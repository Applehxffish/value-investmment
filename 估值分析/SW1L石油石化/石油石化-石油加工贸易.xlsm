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New-石油石化\"/>
    </mc:Choice>
  </mc:AlternateContent>
  <bookViews>
    <workbookView xWindow="0" yWindow="0" windowWidth="3800" windowHeight="2960"/>
  </bookViews>
  <sheets>
    <sheet name="石油加工贸易" sheetId="15" r:id="rId1"/>
    <sheet name="估值-增速与年化收益" sheetId="14" r:id="rId2"/>
  </sheets>
  <functionGroups builtInGroupCount="18"/>
  <definedNames>
    <definedName name="_xlnm._FilterDatabase" localSheetId="0" hidden="1">石油加工贸易!$BU$1:$BU$62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7" i="15"/>
  <c r="C12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1" i="15"/>
  <c r="C10" i="15"/>
  <c r="C9" i="15"/>
  <c r="C8" i="15"/>
  <c r="C6" i="15"/>
  <c r="C5" i="15"/>
  <c r="C4" i="15"/>
  <c r="C3" i="15"/>
  <c r="C2" i="15"/>
</calcChain>
</file>

<file path=xl/sharedStrings.xml><?xml version="1.0" encoding="utf-8"?>
<sst xmlns="http://schemas.openxmlformats.org/spreadsheetml/2006/main" count="1703" uniqueCount="1291">
  <si>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</si>
  <si>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</si>
  <si>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</si>
  <si>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</si>
  <si>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</si>
  <si>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泰山石油</t>
  </si>
  <si>
    <t>茂化实华</t>
  </si>
  <si>
    <t>宝利国际</t>
  </si>
  <si>
    <t>岳阳兴长</t>
  </si>
  <si>
    <t>广聚能源</t>
  </si>
  <si>
    <t>沈阳化工</t>
  </si>
  <si>
    <t>康普顿</t>
  </si>
  <si>
    <t>东华能源</t>
  </si>
  <si>
    <t>中国石化</t>
  </si>
  <si>
    <t>上海石化</t>
  </si>
  <si>
    <t>华锦股份</t>
  </si>
  <si>
    <t>--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</si>
  <si>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</si>
  <si>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</si>
  <si>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</si>
  <si>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代码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</si>
  <si>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</si>
  <si>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</si>
  <si>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</si>
  <si>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</si>
  <si>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</si>
  <si>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</si>
  <si>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</si>
  <si>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</si>
  <si>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</si>
  <si>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</si>
  <si>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</si>
  <si>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SZ000059</t>
  </si>
  <si>
    <t>396.08亿</t>
  </si>
  <si>
    <t>9.93亿</t>
  </si>
  <si>
    <t>SZ000637</t>
  </si>
  <si>
    <t>42.98亿</t>
  </si>
  <si>
    <t>9077.34万</t>
  </si>
  <si>
    <t>1.08亿</t>
  </si>
  <si>
    <t>SZ000698</t>
  </si>
  <si>
    <t>110.20亿</t>
  </si>
  <si>
    <t>0亿</t>
  </si>
  <si>
    <t>SZ000819</t>
  </si>
  <si>
    <t>17.45亿</t>
  </si>
  <si>
    <t>6029.98万</t>
  </si>
  <si>
    <t>1.43亿</t>
  </si>
  <si>
    <t>SZ002221</t>
  </si>
  <si>
    <t>461.88亿</t>
  </si>
  <si>
    <t>11.04亿</t>
  </si>
  <si>
    <t>SZ002986</t>
  </si>
  <si>
    <t>宇新股份</t>
  </si>
  <si>
    <t>31.61亿</t>
  </si>
  <si>
    <t>2.43亿</t>
  </si>
  <si>
    <t>SZ300135</t>
  </si>
  <si>
    <t>24.30亿</t>
  </si>
  <si>
    <t>3950.26万</t>
  </si>
  <si>
    <t>SZ300839</t>
  </si>
  <si>
    <t>博汇股份</t>
  </si>
  <si>
    <t>8.27亿</t>
  </si>
  <si>
    <t>7573.16万</t>
  </si>
  <si>
    <t>SH600028</t>
  </si>
  <si>
    <t>1.88亿</t>
  </si>
  <si>
    <t>SH600387</t>
  </si>
  <si>
    <t>119.60亿</t>
  </si>
  <si>
    <t>4.78亿</t>
  </si>
  <si>
    <t>SH600688</t>
  </si>
  <si>
    <t>1003.46亿</t>
  </si>
  <si>
    <t>22.14亿</t>
  </si>
  <si>
    <t>SH600800</t>
  </si>
  <si>
    <t>SH603798</t>
  </si>
  <si>
    <t>9.70亿</t>
  </si>
  <si>
    <t>8466.69万</t>
  </si>
  <si>
    <t>SZ000096</t>
  </si>
  <si>
    <t>16.23亿</t>
  </si>
  <si>
    <t>1.25亿</t>
  </si>
  <si>
    <t>SZ000554</t>
  </si>
  <si>
    <t>29.25亿</t>
  </si>
  <si>
    <t>592.53万</t>
  </si>
  <si>
    <t>SH603353</t>
  </si>
  <si>
    <t>和顺石油</t>
  </si>
  <si>
    <t>3.24亿</t>
  </si>
  <si>
    <t>19.40亿</t>
  </si>
  <si>
    <t>1.62亿</t>
  </si>
  <si>
    <t>1.47亿</t>
  </si>
  <si>
    <t>3.07亿</t>
  </si>
  <si>
    <t>1.13亿</t>
  </si>
  <si>
    <t>1.05亿</t>
  </si>
  <si>
    <t>2.63亿</t>
  </si>
  <si>
    <t>12.10亿</t>
  </si>
  <si>
    <t>1.45亿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</si>
  <si>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</si>
  <si>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</si>
  <si>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</si>
  <si>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</si>
  <si>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</si>
  <si>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</si>
  <si>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</si>
  <si>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</si>
  <si>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</si>
  <si>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</si>
  <si>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</si>
  <si>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</si>
  <si>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</si>
  <si>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304.37亿</t>
  </si>
  <si>
    <t>370.36亿</t>
  </si>
  <si>
    <t>11.44亿</t>
  </si>
  <si>
    <t>12.29亿</t>
  </si>
  <si>
    <t>1.30亿</t>
  </si>
  <si>
    <t>16.54亿</t>
  </si>
  <si>
    <t>22.07亿</t>
  </si>
  <si>
    <t>1.86亿</t>
  </si>
  <si>
    <t>24.24亿</t>
  </si>
  <si>
    <t>728.80万</t>
  </si>
  <si>
    <t>30.78亿</t>
  </si>
  <si>
    <t>187.70万</t>
  </si>
  <si>
    <t>6.20亿</t>
  </si>
  <si>
    <t>39.98亿</t>
  </si>
  <si>
    <t>1455.06万</t>
  </si>
  <si>
    <t>8.43亿</t>
  </si>
  <si>
    <t>43.20亿</t>
  </si>
  <si>
    <t>3725.10万</t>
  </si>
  <si>
    <t>95.72亿</t>
  </si>
  <si>
    <t>107.91亿</t>
  </si>
  <si>
    <t>38.25亿</t>
  </si>
  <si>
    <t>14.56亿</t>
  </si>
  <si>
    <t>2714.17万</t>
  </si>
  <si>
    <t>1000.00万</t>
  </si>
  <si>
    <t>20.11亿</t>
  </si>
  <si>
    <t>5207.36万</t>
  </si>
  <si>
    <t>1.56亿</t>
  </si>
  <si>
    <t>5.82亿</t>
  </si>
  <si>
    <t>1.77亿</t>
  </si>
  <si>
    <t>290.82亿</t>
  </si>
  <si>
    <t>489.43亿</t>
  </si>
  <si>
    <t>10.78亿</t>
  </si>
  <si>
    <t>22.98亿</t>
  </si>
  <si>
    <t>3286.07万</t>
  </si>
  <si>
    <t>9.20亿</t>
  </si>
  <si>
    <t>33.32亿</t>
  </si>
  <si>
    <t>20.18亿</t>
  </si>
  <si>
    <t>394.88万</t>
  </si>
  <si>
    <t>20.50亿</t>
  </si>
  <si>
    <t>4147.76万</t>
  </si>
  <si>
    <t>8.47亿</t>
  </si>
  <si>
    <t>9.72亿</t>
  </si>
  <si>
    <t>5779.28万</t>
  </si>
  <si>
    <t>8945.39万</t>
  </si>
  <si>
    <t>29597.99亿</t>
  </si>
  <si>
    <t>28911.79亿</t>
  </si>
  <si>
    <t>49.31亿</t>
  </si>
  <si>
    <t>7088.82万</t>
  </si>
  <si>
    <t>214.13亿</t>
  </si>
  <si>
    <t>747.05亿</t>
  </si>
  <si>
    <t>6.28亿</t>
  </si>
  <si>
    <t>1077.65亿</t>
  </si>
  <si>
    <t>52.77亿</t>
  </si>
  <si>
    <t>61.42亿</t>
  </si>
  <si>
    <t>渤海化学</t>
  </si>
  <si>
    <t>27.35亿</t>
  </si>
  <si>
    <t>7248.29万</t>
  </si>
  <si>
    <t>8.40亿</t>
  </si>
  <si>
    <t>18.44亿</t>
  </si>
  <si>
    <t>1.70亿</t>
  </si>
  <si>
    <t>-2.64亿</t>
  </si>
  <si>
    <t>23.39亿</t>
  </si>
  <si>
    <t>7585.50万</t>
  </si>
  <si>
    <t>9.76亿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</si>
  <si>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</si>
  <si>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</si>
  <si>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</si>
  <si>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</si>
  <si>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</si>
  <si>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</si>
  <si>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</si>
  <si>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</si>
  <si>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</si>
  <si>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</si>
  <si>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</si>
  <si>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</si>
  <si>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</si>
  <si>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</si>
  <si>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</si>
  <si>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石油加工贸易</t>
  </si>
  <si>
    <t>1.06亿</t>
  </si>
  <si>
    <t>SZ000985</t>
  </si>
  <si>
    <t>大庆华科</t>
  </si>
  <si>
    <t>17.63亿</t>
  </si>
  <si>
    <t>1212.97万</t>
  </si>
  <si>
    <t>21.56亿</t>
  </si>
  <si>
    <t>16.90亿</t>
  </si>
  <si>
    <t>4472.76万</t>
  </si>
  <si>
    <t>-288.00万</t>
  </si>
  <si>
    <t>SZ002408</t>
  </si>
  <si>
    <t>齐翔腾达</t>
  </si>
  <si>
    <t>246.86亿</t>
  </si>
  <si>
    <t>300.58亿</t>
  </si>
  <si>
    <t>279.24亿</t>
  </si>
  <si>
    <t>SZ002476</t>
  </si>
  <si>
    <t>宝莫股份</t>
  </si>
  <si>
    <t>4.47亿</t>
  </si>
  <si>
    <t>1318.26万</t>
  </si>
  <si>
    <t>4.17亿</t>
  </si>
  <si>
    <t>4.50亿</t>
  </si>
  <si>
    <t>9124.59万</t>
  </si>
  <si>
    <t>SZ002493</t>
  </si>
  <si>
    <t>荣盛石化</t>
  </si>
  <si>
    <t>1072.65亿</t>
  </si>
  <si>
    <t>73.09亿</t>
  </si>
  <si>
    <t>825.00亿</t>
  </si>
  <si>
    <t>914.25亿</t>
  </si>
  <si>
    <t>16.08亿</t>
  </si>
  <si>
    <t>SH600346</t>
  </si>
  <si>
    <t>恒力石化</t>
  </si>
  <si>
    <t>1523.73亿</t>
  </si>
  <si>
    <t>134.62亿</t>
  </si>
  <si>
    <t>1007.82亿</t>
  </si>
  <si>
    <t>600.67亿</t>
  </si>
  <si>
    <t>100.25亿</t>
  </si>
  <si>
    <t>33.23亿</t>
  </si>
  <si>
    <t>SH601857</t>
  </si>
  <si>
    <t>中国石油</t>
  </si>
  <si>
    <t>19338.36亿</t>
  </si>
  <si>
    <t>190.02亿</t>
  </si>
  <si>
    <t>25168.10亿</t>
  </si>
  <si>
    <t>23749.34亿</t>
  </si>
  <si>
    <t>456.77亿</t>
  </si>
  <si>
    <t>530.30亿</t>
  </si>
  <si>
    <t>流通股本</t>
  </si>
  <si>
    <t>净利润[20201231]</t>
  </si>
  <si>
    <t>投入资本回报率roic%[20201231]</t>
  </si>
  <si>
    <t>净资产收益率%[20201231]</t>
  </si>
  <si>
    <t>16.20亿</t>
  </si>
  <si>
    <t>6770.44万</t>
  </si>
  <si>
    <t>3.50亿</t>
  </si>
  <si>
    <t>28.00亿</t>
  </si>
  <si>
    <t>823.21万</t>
  </si>
  <si>
    <t>55.72亿</t>
  </si>
  <si>
    <t>8205.84万</t>
  </si>
  <si>
    <t>101.32亿</t>
  </si>
  <si>
    <t>19.52亿</t>
  </si>
  <si>
    <t>6379.35万</t>
  </si>
  <si>
    <t>5.92亿</t>
  </si>
  <si>
    <t>20.73亿</t>
  </si>
  <si>
    <t>1284.28万</t>
  </si>
  <si>
    <t>348.92亿</t>
  </si>
  <si>
    <t>23.93亿</t>
  </si>
  <si>
    <t>6.57亿</t>
  </si>
  <si>
    <t>1794.81万</t>
  </si>
  <si>
    <t>1.19亿</t>
  </si>
  <si>
    <t>1.93亿</t>
  </si>
  <si>
    <t>32.02亿</t>
  </si>
  <si>
    <t>1.41亿</t>
  </si>
  <si>
    <t>SZ300055</t>
  </si>
  <si>
    <t>万邦达</t>
  </si>
  <si>
    <t>20.09亿</t>
  </si>
  <si>
    <t>2.12亿</t>
  </si>
  <si>
    <t>1.09亿</t>
  </si>
  <si>
    <t>6.31亿</t>
  </si>
  <si>
    <t>13.24亿</t>
  </si>
  <si>
    <t>20.71亿</t>
  </si>
  <si>
    <t>-3.75亿</t>
  </si>
  <si>
    <t>7461.72万</t>
  </si>
  <si>
    <t>-9035.25万</t>
  </si>
  <si>
    <t>3.01亿</t>
  </si>
  <si>
    <t>22.82亿</t>
  </si>
  <si>
    <t>-7351.98万</t>
  </si>
  <si>
    <t>21047.24亿</t>
  </si>
  <si>
    <t>155.31亿</t>
  </si>
  <si>
    <t>7651.21万</t>
  </si>
  <si>
    <t>SH600506</t>
  </si>
  <si>
    <t>-3593.34万</t>
  </si>
  <si>
    <t>2202.94万</t>
  </si>
  <si>
    <t>4255.56万</t>
  </si>
  <si>
    <t>445.46万</t>
  </si>
  <si>
    <t>-772.44万</t>
  </si>
  <si>
    <t>452.78万</t>
  </si>
  <si>
    <t>892.80亿</t>
  </si>
  <si>
    <t>20.01亿</t>
  </si>
  <si>
    <t>42.47亿</t>
  </si>
  <si>
    <t>26143.49亿</t>
  </si>
  <si>
    <t>921.61亿</t>
  </si>
  <si>
    <t>39.33亿</t>
  </si>
  <si>
    <t>9145.86万</t>
  </si>
  <si>
    <t>11.08亿</t>
  </si>
  <si>
    <t xml:space="preserve">    名称</t>
  </si>
  <si>
    <t>LY营业总收入[20211231]</t>
  </si>
  <si>
    <t>净利润?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</si>
  <si>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</si>
  <si>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</si>
  <si>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</si>
  <si>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</si>
  <si>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</si>
  <si>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</si>
  <si>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研发费用总额[20220630]</t>
  </si>
  <si>
    <t>扣非净利润</t>
  </si>
  <si>
    <t>营业总收入[20201231]</t>
  </si>
  <si>
    <t>投入资本回报率roic%[20211231]</t>
  </si>
  <si>
    <t>净资产收益率%[20211231]</t>
  </si>
  <si>
    <t>细分行业</t>
  </si>
  <si>
    <t>单季营收增速</t>
  </si>
  <si>
    <t>单季利润增速</t>
  </si>
  <si>
    <t>原始顺序</t>
    <phoneticPr fontId="1" type="noConversion"/>
  </si>
  <si>
    <t>价格箱体形态过滤</t>
    <phoneticPr fontId="1" type="noConversion"/>
  </si>
  <si>
    <t>N</t>
    <phoneticPr fontId="1" type="noConversion"/>
  </si>
  <si>
    <t>石油加工</t>
  </si>
  <si>
    <t>油品石化贸易</t>
  </si>
  <si>
    <t>6.75亿</t>
  </si>
  <si>
    <t>SZ001316</t>
  </si>
  <si>
    <t>润贝航科</t>
  </si>
  <si>
    <t>6.97亿</t>
  </si>
  <si>
    <t>1.29亿</t>
  </si>
  <si>
    <t>7.22亿</t>
  </si>
  <si>
    <t>8.52亿</t>
  </si>
  <si>
    <t>8.25亿</t>
  </si>
  <si>
    <t>6659.42万</t>
  </si>
  <si>
    <t>7776.54万</t>
  </si>
  <si>
    <t>8647.42万</t>
  </si>
  <si>
    <t>1.07亿</t>
  </si>
  <si>
    <t>7.52亿</t>
  </si>
  <si>
    <t>6.63亿</t>
  </si>
  <si>
    <t>亏损</t>
  </si>
  <si>
    <t>扭亏</t>
  </si>
  <si>
    <t/>
  </si>
  <si>
    <t>5.89亿</t>
  </si>
  <si>
    <t>2.00亿</t>
  </si>
  <si>
    <t>10.00亿</t>
  </si>
  <si>
    <t>18.75亿</t>
  </si>
  <si>
    <t>SH603223</t>
  </si>
  <si>
    <t>恒通股份</t>
  </si>
  <si>
    <t>70.82亿</t>
  </si>
  <si>
    <t>9926.36万</t>
  </si>
  <si>
    <t>3.41亿</t>
  </si>
  <si>
    <t>-1.05亿</t>
  </si>
  <si>
    <t>55.97亿</t>
  </si>
  <si>
    <t>70.36亿</t>
  </si>
  <si>
    <t>60.43亿</t>
  </si>
  <si>
    <t>1.22亿</t>
  </si>
  <si>
    <t>256.60万</t>
  </si>
  <si>
    <t>4706.95万</t>
  </si>
  <si>
    <t>2.21亿</t>
  </si>
  <si>
    <t>1.04亿</t>
  </si>
  <si>
    <t>2.27亿</t>
  </si>
  <si>
    <t>6.09亿</t>
  </si>
  <si>
    <t>1.34亿</t>
  </si>
  <si>
    <t>6.16亿</t>
  </si>
  <si>
    <t>15.39亿</t>
  </si>
  <si>
    <t>8.74亿</t>
  </si>
  <si>
    <t>5.40亿</t>
  </si>
  <si>
    <t>1.52亿</t>
  </si>
  <si>
    <t>15.86亿</t>
  </si>
  <si>
    <t>1.17亿</t>
  </si>
  <si>
    <t>17.33亿</t>
  </si>
  <si>
    <t>8.23亿</t>
  </si>
  <si>
    <t>-1.94亿</t>
  </si>
  <si>
    <t>-1.03亿</t>
  </si>
  <si>
    <t>1.98亿</t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</si>
  <si>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</si>
  <si>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</si>
  <si>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</si>
  <si>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</si>
  <si>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</si>
  <si>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</si>
  <si>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</si>
  <si>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</si>
  <si>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</si>
  <si>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</si>
  <si>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</si>
  <si>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</si>
  <si>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</si>
  <si>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</si>
  <si>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</si>
  <si>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</si>
  <si>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</si>
  <si>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</si>
  <si>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</si>
  <si>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</si>
  <si>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</si>
  <si>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</si>
  <si>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</si>
  <si>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</si>
  <si>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</si>
  <si>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</si>
  <si>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</si>
  <si>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</si>
  <si>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</si>
  <si>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</si>
  <si>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</si>
  <si>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</si>
  <si>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过往利润增速均值</t>
    <phoneticPr fontId="1" type="noConversion"/>
  </si>
  <si>
    <t>成交量综合策略</t>
    <phoneticPr fontId="1" type="noConversion"/>
  </si>
  <si>
    <t>综合策略</t>
    <phoneticPr fontId="1" type="noConversion"/>
  </si>
  <si>
    <t>N日期</t>
    <phoneticPr fontId="1" type="noConversion"/>
  </si>
  <si>
    <t>N-2</t>
    <phoneticPr fontId="1" type="noConversion"/>
  </si>
  <si>
    <t>市销率</t>
    <phoneticPr fontId="1" type="noConversion"/>
  </si>
  <si>
    <t>扣非对比净利润</t>
    <phoneticPr fontId="1" type="noConversion"/>
  </si>
  <si>
    <t>股利率</t>
    <phoneticPr fontId="1" type="noConversion"/>
  </si>
  <si>
    <t>过往营收增速均值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</si>
  <si>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</si>
  <si>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</si>
  <si>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</si>
  <si>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</si>
  <si>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</si>
  <si>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</si>
  <si>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</si>
  <si>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</si>
  <si>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</si>
  <si>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</si>
  <si>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</si>
  <si>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</si>
  <si>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</si>
  <si>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</si>
  <si>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</si>
  <si>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</si>
  <si>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</si>
  <si>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</si>
  <si>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量价齐升策略</t>
    <phoneticPr fontId="1" type="noConversion"/>
  </si>
  <si>
    <t>基本面排序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</si>
  <si>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</si>
  <si>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</si>
  <si>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</si>
  <si>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</si>
  <si>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</si>
  <si>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</si>
  <si>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价格右侧初期策略</t>
    <phoneticPr fontId="1" type="noConversion"/>
  </si>
  <si>
    <t>N-4</t>
    <phoneticPr fontId="1" type="noConversion"/>
  </si>
  <si>
    <t>N-3</t>
    <phoneticPr fontId="1" type="noConversion"/>
  </si>
  <si>
    <t>N-1</t>
    <phoneticPr fontId="1" type="noConversion"/>
  </si>
  <si>
    <t>不分配不转增</t>
  </si>
  <si>
    <t>3.92亿</t>
  </si>
  <si>
    <t>3.36亿</t>
  </si>
  <si>
    <t>10派1.0元(含税)</t>
  </si>
  <si>
    <t>1.2018年借壳环球磁卡，主营业务的变化因此导致这一年营收暴增。2021年Q1的徒增因为疫情，而环比却没有什么变化。公司以生产丙烯为主</t>
    <phoneticPr fontId="1" type="noConversion"/>
  </si>
  <si>
    <t>1.38亿</t>
  </si>
  <si>
    <t>3.02亿</t>
  </si>
  <si>
    <t>1.51亿</t>
  </si>
  <si>
    <t>895.01万</t>
  </si>
  <si>
    <t>169.13亿</t>
  </si>
  <si>
    <t>144.85亿</t>
  </si>
  <si>
    <t>94.49亿</t>
  </si>
  <si>
    <t>461.42亿</t>
  </si>
  <si>
    <t>7029.99万</t>
  </si>
  <si>
    <t>99.33亿</t>
  </si>
  <si>
    <t>86.48亿</t>
  </si>
  <si>
    <t>7161.29万</t>
  </si>
  <si>
    <t>2.76亿</t>
  </si>
  <si>
    <t>303.53万</t>
  </si>
  <si>
    <t>-507347630亿</t>
  </si>
  <si>
    <t>51.39亿</t>
  </si>
  <si>
    <t>800508960亿</t>
  </si>
  <si>
    <t>15574461000亿</t>
  </si>
  <si>
    <t>6.79亿</t>
  </si>
  <si>
    <t>30.89亿</t>
  </si>
  <si>
    <t>100.61亿</t>
  </si>
  <si>
    <t>-41.15亿</t>
  </si>
  <si>
    <t>-1.02亿</t>
  </si>
  <si>
    <t>-7295.01万</t>
  </si>
  <si>
    <t>490.62亿</t>
  </si>
  <si>
    <t>386.48亿</t>
  </si>
  <si>
    <t>5.29亿</t>
  </si>
  <si>
    <t>9.42亿</t>
  </si>
  <si>
    <t>99.75亿</t>
  </si>
  <si>
    <t>-4.98亿</t>
  </si>
  <si>
    <t>10派0.14元(含税)</t>
  </si>
  <si>
    <t>4480.95万</t>
  </si>
  <si>
    <t>3.86亿</t>
  </si>
  <si>
    <t>-2-1</t>
  </si>
  <si>
    <t>665.42万</t>
  </si>
  <si>
    <t>1.89亿</t>
  </si>
  <si>
    <t>27.44亿</t>
  </si>
  <si>
    <t>5.26亿</t>
  </si>
  <si>
    <t>25.53亿</t>
  </si>
  <si>
    <t>8814.58万</t>
  </si>
  <si>
    <t>5.10亿</t>
  </si>
  <si>
    <t>4.88亿</t>
  </si>
  <si>
    <t>1515.78万</t>
  </si>
  <si>
    <t>933.44万</t>
  </si>
  <si>
    <t>-2741796亿</t>
  </si>
  <si>
    <t>37.25万</t>
  </si>
  <si>
    <t>7128397亿</t>
  </si>
  <si>
    <t>9.35亿</t>
  </si>
  <si>
    <t>46063558亿</t>
  </si>
  <si>
    <t>50.78万</t>
  </si>
  <si>
    <t>1239305110亿</t>
  </si>
  <si>
    <t>820.91万</t>
  </si>
  <si>
    <t>7.13万</t>
  </si>
  <si>
    <t>9593.52万</t>
  </si>
  <si>
    <t>-1916.82万</t>
  </si>
  <si>
    <t>-3719.48万</t>
  </si>
  <si>
    <t>-23.65万</t>
  </si>
  <si>
    <t>21.00亿</t>
  </si>
  <si>
    <t>5513.48万</t>
  </si>
  <si>
    <t>5.14亿</t>
  </si>
  <si>
    <t>1004.40万</t>
  </si>
  <si>
    <t>10派0.55元(含税)</t>
  </si>
  <si>
    <t>3036.16万</t>
  </si>
  <si>
    <t>1.39亿</t>
  </si>
  <si>
    <t>2-0</t>
  </si>
  <si>
    <t>453.13万</t>
  </si>
  <si>
    <t>8.34亿</t>
  </si>
  <si>
    <t>9.64亿</t>
  </si>
  <si>
    <t>8.42亿</t>
  </si>
  <si>
    <t>36.41亿</t>
  </si>
  <si>
    <t>3488.66万</t>
  </si>
  <si>
    <t>8.16亿</t>
  </si>
  <si>
    <t>7.56亿</t>
  </si>
  <si>
    <t>4334.82万</t>
  </si>
  <si>
    <t>1177.10万</t>
  </si>
  <si>
    <t>2.14万</t>
  </si>
  <si>
    <t>18684354亿</t>
  </si>
  <si>
    <t>2.86亿</t>
  </si>
  <si>
    <t>5067755亿</t>
  </si>
  <si>
    <t>670776490亿</t>
  </si>
  <si>
    <t>1763.45万</t>
  </si>
  <si>
    <t>5.57亿</t>
  </si>
  <si>
    <t>2.13亿</t>
  </si>
  <si>
    <t>-2789.61万</t>
  </si>
  <si>
    <t>-526.67万</t>
  </si>
  <si>
    <t>30.70亿</t>
  </si>
  <si>
    <t>1163.97万</t>
  </si>
  <si>
    <t>758.83万</t>
  </si>
  <si>
    <t>10派0.23元(含税)</t>
  </si>
  <si>
    <t>3051.61万</t>
  </si>
  <si>
    <t>2.39亿</t>
  </si>
  <si>
    <t>1-1</t>
  </si>
  <si>
    <t>281.59万</t>
  </si>
  <si>
    <t>16.25亿</t>
  </si>
  <si>
    <t>11.94亿</t>
  </si>
  <si>
    <t>45.48亿</t>
  </si>
  <si>
    <t>-1.28亿</t>
  </si>
  <si>
    <t>12.33亿</t>
  </si>
  <si>
    <t>11.61亿</t>
  </si>
  <si>
    <t>1031.47万</t>
  </si>
  <si>
    <t>3911.81万</t>
  </si>
  <si>
    <t>1.39万</t>
  </si>
  <si>
    <t>-45441664亿</t>
  </si>
  <si>
    <t>2.06亿</t>
  </si>
  <si>
    <t>58521191亿</t>
  </si>
  <si>
    <t>87.50万</t>
  </si>
  <si>
    <t>626290710亿</t>
  </si>
  <si>
    <t>9914.88万</t>
  </si>
  <si>
    <t>6.82亿</t>
  </si>
  <si>
    <t>600.00万</t>
  </si>
  <si>
    <t>2.19亿</t>
  </si>
  <si>
    <t>539.35万</t>
  </si>
  <si>
    <t>12.58亿</t>
  </si>
  <si>
    <t>1.58亿</t>
  </si>
  <si>
    <t>4230.38万</t>
  </si>
  <si>
    <t>-1689.68万</t>
  </si>
  <si>
    <t>4494.18万</t>
  </si>
  <si>
    <t>60.59亿</t>
  </si>
  <si>
    <t>-1.30亿</t>
  </si>
  <si>
    <t>12.66亿</t>
  </si>
  <si>
    <t>-3021.85万</t>
  </si>
  <si>
    <t>1277.16万</t>
  </si>
  <si>
    <t>1.44亿</t>
  </si>
  <si>
    <t>2-1</t>
  </si>
  <si>
    <t>518.78万</t>
  </si>
  <si>
    <t>45.30亿</t>
  </si>
  <si>
    <t>11.93亿</t>
  </si>
  <si>
    <t>52.82亿</t>
  </si>
  <si>
    <t>-4.58亿</t>
  </si>
  <si>
    <t>12.22亿</t>
  </si>
  <si>
    <t>11.18亿</t>
  </si>
  <si>
    <t>569.71万</t>
  </si>
  <si>
    <t>5358.98万</t>
  </si>
  <si>
    <t>83.72万</t>
  </si>
  <si>
    <t>-19047611亿</t>
  </si>
  <si>
    <t>12.73亿</t>
  </si>
  <si>
    <t>129413525亿</t>
  </si>
  <si>
    <t>2555889000亿</t>
  </si>
  <si>
    <t>8822.25万</t>
  </si>
  <si>
    <t>13.17亿</t>
  </si>
  <si>
    <t>6.23亿</t>
  </si>
  <si>
    <t>39.06亿</t>
  </si>
  <si>
    <t>5000.00万</t>
  </si>
  <si>
    <t>6809.73万</t>
  </si>
  <si>
    <t>-5169.23万</t>
  </si>
  <si>
    <t>-1.39亿</t>
  </si>
  <si>
    <t>59.41亿</t>
  </si>
  <si>
    <t>-17.18亿</t>
  </si>
  <si>
    <t>3.11亿</t>
  </si>
  <si>
    <t>-9.30亿</t>
  </si>
  <si>
    <t>941.86万</t>
  </si>
  <si>
    <t>11.47亿</t>
  </si>
  <si>
    <t>3023.37万</t>
  </si>
  <si>
    <t>2.40亿</t>
  </si>
  <si>
    <t>-3-1</t>
  </si>
  <si>
    <t>SZ000703</t>
  </si>
  <si>
    <t>恒逸石化</t>
  </si>
  <si>
    <t>1645.00万</t>
  </si>
  <si>
    <t>760.90亿</t>
  </si>
  <si>
    <t>324.51亿</t>
  </si>
  <si>
    <t>316.56亿</t>
  </si>
  <si>
    <t>1361.48亿</t>
  </si>
  <si>
    <t>4.35亿</t>
  </si>
  <si>
    <t>314.29亿</t>
  </si>
  <si>
    <t>300.89亿</t>
  </si>
  <si>
    <t>6177.70万</t>
  </si>
  <si>
    <t>2.94亿</t>
  </si>
  <si>
    <t>235554100亿</t>
  </si>
  <si>
    <t>101.76万</t>
  </si>
  <si>
    <t>313739920亿</t>
  </si>
  <si>
    <t>120.28亿</t>
  </si>
  <si>
    <t>6672116100亿</t>
  </si>
  <si>
    <t>1.90亿</t>
  </si>
  <si>
    <t>39138993000亿</t>
  </si>
  <si>
    <t>50.34亿</t>
  </si>
  <si>
    <t>418.97亿</t>
  </si>
  <si>
    <t>8.39亿</t>
  </si>
  <si>
    <t>54.56亿</t>
  </si>
  <si>
    <t>562.38亿</t>
  </si>
  <si>
    <t>157.59亿</t>
  </si>
  <si>
    <t>-24.55亿</t>
  </si>
  <si>
    <t>23.57亿</t>
  </si>
  <si>
    <t>1520.50亿</t>
  </si>
  <si>
    <t>1296.67亿</t>
  </si>
  <si>
    <t>864.30亿</t>
  </si>
  <si>
    <t>796.21亿</t>
  </si>
  <si>
    <t>880.66亿</t>
  </si>
  <si>
    <t>-10.80亿</t>
  </si>
  <si>
    <t>33.78亿</t>
  </si>
  <si>
    <t>30.72亿</t>
  </si>
  <si>
    <t>31.90亿</t>
  </si>
  <si>
    <t>18.72亿</t>
  </si>
  <si>
    <t>283.81亿</t>
  </si>
  <si>
    <t>3484.63万</t>
  </si>
  <si>
    <t>10派1元(含税)</t>
  </si>
  <si>
    <t>7009.27万</t>
  </si>
  <si>
    <t>4.24亿</t>
  </si>
  <si>
    <t>403.12万</t>
  </si>
  <si>
    <t>11.98亿</t>
  </si>
  <si>
    <t>22.38亿</t>
  </si>
  <si>
    <t>8.31亿</t>
  </si>
  <si>
    <t>30.67亿</t>
  </si>
  <si>
    <t>1.01亿</t>
  </si>
  <si>
    <t>8.07亿</t>
  </si>
  <si>
    <t>872.69万</t>
  </si>
  <si>
    <t>2716.17万</t>
  </si>
  <si>
    <t>-183349亿</t>
  </si>
  <si>
    <t>3.45万</t>
  </si>
  <si>
    <t>17419300亿</t>
  </si>
  <si>
    <t>106320490亿</t>
  </si>
  <si>
    <t>777.49万</t>
  </si>
  <si>
    <t>1049887450亿</t>
  </si>
  <si>
    <t>11.28亿</t>
  </si>
  <si>
    <t>5601.60万</t>
  </si>
  <si>
    <t>463.42万</t>
  </si>
  <si>
    <t>2.30亿</t>
  </si>
  <si>
    <t>65.07万</t>
  </si>
  <si>
    <t>-2565.75万</t>
  </si>
  <si>
    <t>-2.55亿</t>
  </si>
  <si>
    <t>-2.06亿</t>
  </si>
  <si>
    <t>32.22亿</t>
  </si>
  <si>
    <t>7998.35万</t>
  </si>
  <si>
    <t>1649.22万</t>
  </si>
  <si>
    <t>2725.34万</t>
  </si>
  <si>
    <t>1.87亿</t>
  </si>
  <si>
    <t>3-1</t>
  </si>
  <si>
    <t>59.96万</t>
  </si>
  <si>
    <t>1.16亿</t>
  </si>
  <si>
    <t>4.83亿</t>
  </si>
  <si>
    <t>20.00亿</t>
  </si>
  <si>
    <t>567.67万</t>
  </si>
  <si>
    <t>4.76亿</t>
  </si>
  <si>
    <t>4.54亿</t>
  </si>
  <si>
    <t>69.62万</t>
  </si>
  <si>
    <t>2098.76万</t>
  </si>
  <si>
    <t>63788亿</t>
  </si>
  <si>
    <t>32.44万</t>
  </si>
  <si>
    <t>4878906亿</t>
  </si>
  <si>
    <t>881332亿</t>
  </si>
  <si>
    <t>396529260亿</t>
  </si>
  <si>
    <t>1264.29万</t>
  </si>
  <si>
    <t>3169.03万</t>
  </si>
  <si>
    <t>6485.44万</t>
  </si>
  <si>
    <t>3162.01万</t>
  </si>
  <si>
    <t>-645.10万</t>
  </si>
  <si>
    <t>26.09亿</t>
  </si>
  <si>
    <t>1540.89万</t>
  </si>
  <si>
    <t>6.29亿</t>
  </si>
  <si>
    <t>227.32万</t>
  </si>
  <si>
    <t>10派0.18元(含税)</t>
  </si>
  <si>
    <t>381.91万</t>
  </si>
  <si>
    <t>3445.55万</t>
  </si>
  <si>
    <t>53.30万</t>
  </si>
  <si>
    <t>11.83亿</t>
  </si>
  <si>
    <t>1.96亿</t>
  </si>
  <si>
    <t>8.26亿</t>
  </si>
  <si>
    <t>9236.39万</t>
  </si>
  <si>
    <t>1390.03万</t>
  </si>
  <si>
    <t>1018.26万</t>
  </si>
  <si>
    <t>239885亿</t>
  </si>
  <si>
    <t>19919086亿</t>
  </si>
  <si>
    <t>5.30亿</t>
  </si>
  <si>
    <t>274326060亿</t>
  </si>
  <si>
    <t>1010.00万</t>
  </si>
  <si>
    <t>1139072120亿</t>
  </si>
  <si>
    <t>1255.07万</t>
  </si>
  <si>
    <t>321.60万</t>
  </si>
  <si>
    <t>7246.79万</t>
  </si>
  <si>
    <t>1.14亿</t>
  </si>
  <si>
    <t>327.51万</t>
  </si>
  <si>
    <t>-8275.31万</t>
  </si>
  <si>
    <t>-90.99万</t>
  </si>
  <si>
    <t>5.62亿</t>
  </si>
  <si>
    <t>7918.09万</t>
  </si>
  <si>
    <t>2522.18万</t>
  </si>
  <si>
    <t>10派6.45元(含税)</t>
  </si>
  <si>
    <t>326.35万</t>
  </si>
  <si>
    <t>4983.63万</t>
  </si>
  <si>
    <t>-1-1</t>
  </si>
  <si>
    <t>222.93万</t>
  </si>
  <si>
    <t>293.14亿</t>
  </si>
  <si>
    <t>127.24亿</t>
  </si>
  <si>
    <t>71.13亿</t>
  </si>
  <si>
    <t>271.23亿</t>
  </si>
  <si>
    <t>70.85亿</t>
  </si>
  <si>
    <t>67.62亿</t>
  </si>
  <si>
    <t>1609.35万</t>
  </si>
  <si>
    <t>4546.57万</t>
  </si>
  <si>
    <t>10368204亿</t>
  </si>
  <si>
    <t>15.05万</t>
  </si>
  <si>
    <t>25370982亿</t>
  </si>
  <si>
    <t>67.54亿</t>
  </si>
  <si>
    <t>4576461100亿</t>
  </si>
  <si>
    <t>17.56亿</t>
  </si>
  <si>
    <t>18185493000亿</t>
  </si>
  <si>
    <t>77.23亿</t>
  </si>
  <si>
    <t>107.01亿</t>
  </si>
  <si>
    <t>24.18亿</t>
  </si>
  <si>
    <t>2.34万</t>
  </si>
  <si>
    <t>176.34亿</t>
  </si>
  <si>
    <t>85.56亿</t>
  </si>
  <si>
    <t>-2.18亿</t>
  </si>
  <si>
    <t>-9.65亿</t>
  </si>
  <si>
    <t>1.76亿</t>
  </si>
  <si>
    <t>291.99亿</t>
  </si>
  <si>
    <t>286.81亿</t>
  </si>
  <si>
    <t>4237.33万</t>
  </si>
  <si>
    <t>12.86亿</t>
  </si>
  <si>
    <t>71.60亿</t>
  </si>
  <si>
    <t>5184.95万</t>
  </si>
  <si>
    <t>1889.00万</t>
  </si>
  <si>
    <t>1.55亿</t>
  </si>
  <si>
    <t>0151000000</t>
  </si>
  <si>
    <t>0453000000</t>
  </si>
  <si>
    <t>0906000000</t>
  </si>
  <si>
    <t>01510000000</t>
  </si>
  <si>
    <t>03020000000</t>
  </si>
  <si>
    <t>SZ002377</t>
  </si>
  <si>
    <t>国创高新</t>
  </si>
  <si>
    <t>839.60万</t>
  </si>
  <si>
    <t>5.36亿</t>
  </si>
  <si>
    <t>8081.85万</t>
  </si>
  <si>
    <t>8.24亿</t>
  </si>
  <si>
    <t>-1.47亿</t>
  </si>
  <si>
    <t>9567.47万</t>
  </si>
  <si>
    <t>7859.75万</t>
  </si>
  <si>
    <t>91.59万</t>
  </si>
  <si>
    <t>691.92万</t>
  </si>
  <si>
    <t>-455668亿</t>
  </si>
  <si>
    <t>3.81万</t>
  </si>
  <si>
    <t>-5876456亿</t>
  </si>
  <si>
    <t>8310.42万</t>
  </si>
  <si>
    <t>358060800亿</t>
  </si>
  <si>
    <t>3841.31万</t>
  </si>
  <si>
    <t>639353150亿</t>
  </si>
  <si>
    <t>3.67亿</t>
  </si>
  <si>
    <t>8080.13万</t>
  </si>
  <si>
    <t>141.35万</t>
  </si>
  <si>
    <t>4.84亿</t>
  </si>
  <si>
    <t>234.67万</t>
  </si>
  <si>
    <t>-1.77万</t>
  </si>
  <si>
    <t>2890.30万</t>
  </si>
  <si>
    <t>22.01亿</t>
  </si>
  <si>
    <t>37.98亿</t>
  </si>
  <si>
    <t>43.98亿</t>
  </si>
  <si>
    <t>49.36亿</t>
  </si>
  <si>
    <t>43.81亿</t>
  </si>
  <si>
    <t>-5.40亿</t>
  </si>
  <si>
    <t>-11.22亿</t>
  </si>
  <si>
    <t>-29.75亿</t>
  </si>
  <si>
    <t>3.12亿</t>
  </si>
  <si>
    <t>-3691.19万</t>
  </si>
  <si>
    <t>6521.92万</t>
  </si>
  <si>
    <t>5.07亿</t>
  </si>
  <si>
    <t>1800.84万</t>
  </si>
  <si>
    <t>144.65亿</t>
  </si>
  <si>
    <t>123.11亿</t>
  </si>
  <si>
    <t>54.80亿</t>
  </si>
  <si>
    <t>269.18亿</t>
  </si>
  <si>
    <t>-3.84亿</t>
  </si>
  <si>
    <t>54.72亿</t>
  </si>
  <si>
    <t>50.11亿</t>
  </si>
  <si>
    <t>2643.45万</t>
  </si>
  <si>
    <t>-7006033亿</t>
  </si>
  <si>
    <t>37.93万</t>
  </si>
  <si>
    <t>28250221亿</t>
  </si>
  <si>
    <t>31.43亿</t>
  </si>
  <si>
    <t>1310521490亿</t>
  </si>
  <si>
    <t>7548856900亿</t>
  </si>
  <si>
    <t>67.96亿</t>
  </si>
  <si>
    <t>7550.00万</t>
  </si>
  <si>
    <t>12.85亿</t>
  </si>
  <si>
    <t>113.77亿</t>
  </si>
  <si>
    <t>20.41亿</t>
  </si>
  <si>
    <t>3.55亿</t>
  </si>
  <si>
    <t>-5.16亿</t>
  </si>
  <si>
    <t>298.10亿</t>
  </si>
  <si>
    <t>6.34亿</t>
  </si>
  <si>
    <t>-7916.01万</t>
  </si>
  <si>
    <t>10派0.7058元(含税)</t>
  </si>
  <si>
    <t>7.64亿</t>
  </si>
  <si>
    <t>613.24万</t>
  </si>
  <si>
    <t>8709.39万</t>
  </si>
  <si>
    <t>8.83亿</t>
  </si>
  <si>
    <t>3.87亿</t>
  </si>
  <si>
    <t>523.33万</t>
  </si>
  <si>
    <t>1.27亿</t>
  </si>
  <si>
    <t>386.66万</t>
  </si>
  <si>
    <t>940.64万</t>
  </si>
  <si>
    <t>-253604亿</t>
  </si>
  <si>
    <t>6201749亿</t>
  </si>
  <si>
    <t>2.70亿</t>
  </si>
  <si>
    <t>153355800亿</t>
  </si>
  <si>
    <t>169.20万</t>
  </si>
  <si>
    <t>623193680亿</t>
  </si>
  <si>
    <t>137.09万</t>
  </si>
  <si>
    <t>1693.00万</t>
  </si>
  <si>
    <t>142.76万</t>
  </si>
  <si>
    <t>3476.45万</t>
  </si>
  <si>
    <t>8097.65万</t>
  </si>
  <si>
    <t>1180.48万</t>
  </si>
  <si>
    <t>-211.68万</t>
  </si>
  <si>
    <t>-569.43万</t>
  </si>
  <si>
    <t>2970.28万</t>
  </si>
  <si>
    <t>9840.70万</t>
  </si>
  <si>
    <t>-392.40万</t>
  </si>
  <si>
    <t>10派0.1元(含税)</t>
  </si>
  <si>
    <t>4222.77万</t>
  </si>
  <si>
    <t>-2-0</t>
  </si>
  <si>
    <t>1554.66万</t>
  </si>
  <si>
    <t>2802.50亿</t>
  </si>
  <si>
    <t>954.36亿</t>
  </si>
  <si>
    <t>810.88亿</t>
  </si>
  <si>
    <t>3251.12亿</t>
  </si>
  <si>
    <t>11.58亿</t>
  </si>
  <si>
    <t>801.29亿</t>
  </si>
  <si>
    <t>696.90亿</t>
  </si>
  <si>
    <t>3718.94万</t>
  </si>
  <si>
    <t>-29905607亿</t>
  </si>
  <si>
    <t>756.92万</t>
  </si>
  <si>
    <t>474627420亿</t>
  </si>
  <si>
    <t>220.85亿</t>
  </si>
  <si>
    <t>4527525900亿</t>
  </si>
  <si>
    <t>94533708000亿</t>
  </si>
  <si>
    <t>482.17亿</t>
  </si>
  <si>
    <t>494.79亿</t>
  </si>
  <si>
    <t>40.30亿</t>
  </si>
  <si>
    <t>471.76亿</t>
  </si>
  <si>
    <t>1530.36亿</t>
  </si>
  <si>
    <t>1302.64亿</t>
  </si>
  <si>
    <t>41.29亿</t>
  </si>
  <si>
    <t>-94.56亿</t>
  </si>
  <si>
    <t>143.53亿</t>
  </si>
  <si>
    <t>2890.95亿</t>
  </si>
  <si>
    <t>1830.75亿</t>
  </si>
  <si>
    <t>33.41亿</t>
  </si>
  <si>
    <t>132.36亿</t>
  </si>
  <si>
    <t>697.21亿</t>
  </si>
  <si>
    <t>-14.68亿</t>
  </si>
  <si>
    <t>7858.65万</t>
  </si>
  <si>
    <t>124.22万</t>
  </si>
  <si>
    <t>25.75亿</t>
  </si>
  <si>
    <t>39.56亿</t>
  </si>
  <si>
    <t>18.18亿</t>
  </si>
  <si>
    <t>66.09亿</t>
  </si>
  <si>
    <t>17.28亿</t>
  </si>
  <si>
    <t>14.64亿</t>
  </si>
  <si>
    <t>1218.36万</t>
  </si>
  <si>
    <t>1932.14万</t>
  </si>
  <si>
    <t>2245764亿</t>
  </si>
  <si>
    <t>2.51万</t>
  </si>
  <si>
    <t>70592122亿</t>
  </si>
  <si>
    <t>7.19亿</t>
  </si>
  <si>
    <t>455431350亿</t>
  </si>
  <si>
    <t>2386580700亿</t>
  </si>
  <si>
    <t>15.87亿</t>
  </si>
  <si>
    <t>9000.00万</t>
  </si>
  <si>
    <t>6.66亿</t>
  </si>
  <si>
    <t>17.09亿</t>
  </si>
  <si>
    <t>11.86亿</t>
  </si>
  <si>
    <t>-2.23亿</t>
  </si>
  <si>
    <t>-9.71亿</t>
  </si>
  <si>
    <t>4.64亿</t>
  </si>
  <si>
    <t>62.63亿</t>
  </si>
  <si>
    <t>4.30亿</t>
  </si>
  <si>
    <t>14.79亿</t>
  </si>
  <si>
    <t>428.50万</t>
  </si>
  <si>
    <t>3766.31万</t>
  </si>
  <si>
    <t>1-0</t>
  </si>
  <si>
    <t>470.72万</t>
  </si>
  <si>
    <t>17.32亿</t>
  </si>
  <si>
    <t>55.02亿</t>
  </si>
  <si>
    <t>7.05亿</t>
  </si>
  <si>
    <t>28.21亿</t>
  </si>
  <si>
    <t>-1.91亿</t>
  </si>
  <si>
    <t>6.76亿</t>
  </si>
  <si>
    <t>609.85万</t>
  </si>
  <si>
    <t>1956.57万</t>
  </si>
  <si>
    <t>7477755亿</t>
  </si>
  <si>
    <t>54.99万</t>
  </si>
  <si>
    <t>12508298亿</t>
  </si>
  <si>
    <t>6.47亿</t>
  </si>
  <si>
    <t>513330230亿</t>
  </si>
  <si>
    <t>95.70万</t>
  </si>
  <si>
    <t>2645707600亿</t>
  </si>
  <si>
    <t>5.58亿</t>
  </si>
  <si>
    <t>8.51亿</t>
  </si>
  <si>
    <t>1.35亿</t>
  </si>
  <si>
    <t>8957.11万</t>
  </si>
  <si>
    <t>-1.58亿</t>
  </si>
  <si>
    <t>2657.05万</t>
  </si>
  <si>
    <t>27.18亿</t>
  </si>
  <si>
    <t>7844.80万</t>
  </si>
  <si>
    <t>7.55亿</t>
  </si>
  <si>
    <t>2348.65万</t>
  </si>
  <si>
    <t>10派0.15元(含税)</t>
  </si>
  <si>
    <t>2461.71万</t>
  </si>
  <si>
    <t>账面净赚</t>
  </si>
  <si>
    <t>-4-1</t>
  </si>
  <si>
    <t>1610.65万</t>
  </si>
  <si>
    <t>13.60亿</t>
  </si>
  <si>
    <t>9.36亿</t>
  </si>
  <si>
    <t>4.02亿</t>
  </si>
  <si>
    <t>21.46亿</t>
  </si>
  <si>
    <t>-4468.27万</t>
  </si>
  <si>
    <t>4.21亿</t>
  </si>
  <si>
    <t>3.93亿</t>
  </si>
  <si>
    <t>257.01万</t>
  </si>
  <si>
    <t>1495.11万</t>
  </si>
  <si>
    <t>1210414亿</t>
  </si>
  <si>
    <t>-16590393亿</t>
  </si>
  <si>
    <t>2.96亿</t>
  </si>
  <si>
    <t>285835310亿</t>
  </si>
  <si>
    <t>1323761460亿</t>
  </si>
  <si>
    <t>339.06万</t>
  </si>
  <si>
    <t>1562.24万</t>
  </si>
  <si>
    <t>146.71万</t>
  </si>
  <si>
    <t>12.78亿</t>
  </si>
  <si>
    <t>-3753.77万</t>
  </si>
  <si>
    <t>8502.65万</t>
  </si>
  <si>
    <t>-2136.50万</t>
  </si>
  <si>
    <t>24.69亿</t>
  </si>
  <si>
    <t>-1.72亿</t>
  </si>
  <si>
    <t>2.80亿</t>
  </si>
  <si>
    <t>-224.98万</t>
  </si>
  <si>
    <t>9724.41万</t>
  </si>
  <si>
    <t>8.81亿</t>
  </si>
  <si>
    <t>3-0</t>
  </si>
  <si>
    <t>658.21万</t>
  </si>
  <si>
    <t>13.82亿</t>
  </si>
  <si>
    <t>6.62亿</t>
  </si>
  <si>
    <t>7.93亿</t>
  </si>
  <si>
    <t>7.47亿</t>
  </si>
  <si>
    <t>1.12亿</t>
  </si>
  <si>
    <t>8.46亿</t>
  </si>
  <si>
    <t>7.85亿</t>
  </si>
  <si>
    <t>169.01万</t>
  </si>
  <si>
    <t>1449.60万</t>
  </si>
  <si>
    <t>-12204142亿</t>
  </si>
  <si>
    <t>-83632595亿</t>
  </si>
  <si>
    <t>3.99亿</t>
  </si>
  <si>
    <t>1612265500亿</t>
  </si>
  <si>
    <t>69.19万</t>
  </si>
  <si>
    <t>6.53亿</t>
  </si>
  <si>
    <t>12.12亿</t>
  </si>
  <si>
    <t>-3.91亿</t>
  </si>
  <si>
    <t>4.23亿</t>
  </si>
  <si>
    <t>29.65亿</t>
  </si>
  <si>
    <t>17.14亿</t>
  </si>
  <si>
    <t>3003.11万</t>
  </si>
  <si>
    <t>27.78亿</t>
  </si>
  <si>
    <t>1.65亿</t>
  </si>
  <si>
    <t>-2.03亿</t>
  </si>
  <si>
    <t>2917.77万</t>
  </si>
  <si>
    <t>3077.08万</t>
  </si>
  <si>
    <t>1.59亿</t>
  </si>
  <si>
    <t>10680.19亿</t>
  </si>
  <si>
    <t>9916.40亿</t>
  </si>
  <si>
    <t>7899.67亿</t>
  </si>
  <si>
    <t>1599.29亿</t>
  </si>
  <si>
    <t>-42.09亿</t>
  </si>
  <si>
    <t>5472000000亿</t>
  </si>
  <si>
    <t>2.81亿</t>
  </si>
  <si>
    <t>18186000000亿</t>
  </si>
  <si>
    <t>1687.94亿</t>
  </si>
  <si>
    <t>84622000000亿</t>
  </si>
  <si>
    <t>608086000000亿</t>
  </si>
  <si>
    <t>1792.89亿</t>
  </si>
  <si>
    <t>257.57亿</t>
  </si>
  <si>
    <t>2343.66亿</t>
  </si>
  <si>
    <t>-137.55亿</t>
  </si>
  <si>
    <t>-430.82亿</t>
  </si>
  <si>
    <t>459.31亿</t>
  </si>
  <si>
    <t>33181.68亿</t>
  </si>
  <si>
    <t>670.82亿</t>
  </si>
  <si>
    <t>32122.15亿</t>
  </si>
  <si>
    <t>340.55亿</t>
  </si>
  <si>
    <t>604.63亿</t>
  </si>
  <si>
    <t>-18.98亿</t>
  </si>
  <si>
    <t>10派2.0元(含税)</t>
  </si>
  <si>
    <t>7.35亿</t>
  </si>
  <si>
    <t>44.09亿</t>
  </si>
  <si>
    <t>-1-0</t>
  </si>
  <si>
    <t>1699.74万</t>
  </si>
  <si>
    <t>2006.00亿</t>
  </si>
  <si>
    <t>620.89亿</t>
  </si>
  <si>
    <t>583.90亿</t>
  </si>
  <si>
    <t>285.18亿</t>
  </si>
  <si>
    <t>51.79亿</t>
  </si>
  <si>
    <t>562.01亿</t>
  </si>
  <si>
    <t>518.75亿</t>
  </si>
  <si>
    <t>-19773025亿</t>
  </si>
  <si>
    <t>328.31万</t>
  </si>
  <si>
    <t>1818867200亿</t>
  </si>
  <si>
    <t>250.03亿</t>
  </si>
  <si>
    <t>560063760亿</t>
  </si>
  <si>
    <t>73067578000亿</t>
  </si>
  <si>
    <t>566.24亿</t>
  </si>
  <si>
    <t>707.80亿</t>
  </si>
  <si>
    <t>192.81亿</t>
  </si>
  <si>
    <t>138.09亿</t>
  </si>
  <si>
    <t>1302.68亿</t>
  </si>
  <si>
    <t>743.57亿</t>
  </si>
  <si>
    <t>78.77亿</t>
  </si>
  <si>
    <t>-88.17亿</t>
  </si>
  <si>
    <t>51.98亿</t>
  </si>
  <si>
    <t>2223.24亿</t>
  </si>
  <si>
    <t>1979.70亿</t>
  </si>
  <si>
    <t>23.18亿</t>
  </si>
  <si>
    <t>2347.91亿</t>
  </si>
  <si>
    <t>83.79亿</t>
  </si>
  <si>
    <t>69.05亿</t>
  </si>
  <si>
    <t>17.27亿</t>
  </si>
  <si>
    <t>10派5.5元(含税)</t>
  </si>
  <si>
    <t>7674.81万</t>
  </si>
  <si>
    <t>5-1</t>
  </si>
  <si>
    <t>*ST海越</t>
  </si>
  <si>
    <t>669.82万</t>
  </si>
  <si>
    <t>13.39亿</t>
  </si>
  <si>
    <t>30.80亿</t>
  </si>
  <si>
    <t>4.65亿</t>
  </si>
  <si>
    <t>109.73亿</t>
  </si>
  <si>
    <t>5.09亿</t>
  </si>
  <si>
    <t>4.31亿</t>
  </si>
  <si>
    <t>1043.23万</t>
  </si>
  <si>
    <t>2598.90万</t>
  </si>
  <si>
    <t>10413057亿</t>
  </si>
  <si>
    <t>12429663亿</t>
  </si>
  <si>
    <t>4.85亿</t>
  </si>
  <si>
    <t>1940.00万</t>
  </si>
  <si>
    <t>2171779800亿</t>
  </si>
  <si>
    <t>6845.87万</t>
  </si>
  <si>
    <t>6916.76万</t>
  </si>
  <si>
    <t>1172.81万</t>
  </si>
  <si>
    <t>9.90亿</t>
  </si>
  <si>
    <t>-657.30万</t>
  </si>
  <si>
    <t>-1227.77万</t>
  </si>
  <si>
    <t>-2.39亿</t>
  </si>
  <si>
    <t>65.88亿</t>
  </si>
  <si>
    <t>81.34亿</t>
  </si>
  <si>
    <t>5604.10万</t>
  </si>
  <si>
    <t>21.28亿</t>
  </si>
  <si>
    <t>-2.45亿</t>
  </si>
  <si>
    <t>1.85亿</t>
  </si>
  <si>
    <t>3372.05万</t>
  </si>
  <si>
    <t>2.84亿</t>
  </si>
  <si>
    <t>统一股份</t>
  </si>
  <si>
    <t>454.27万</t>
  </si>
  <si>
    <t>17.23亿</t>
  </si>
  <si>
    <t>4.41亿</t>
  </si>
  <si>
    <t>265.07亿</t>
  </si>
  <si>
    <t>6.89亿</t>
  </si>
  <si>
    <t>7.13亿</t>
  </si>
  <si>
    <t>6.05亿</t>
  </si>
  <si>
    <t>4961.85万</t>
  </si>
  <si>
    <t>2445.23万</t>
  </si>
  <si>
    <t>17.89万</t>
  </si>
  <si>
    <t>37727636亿</t>
  </si>
  <si>
    <t>299614610亿</t>
  </si>
  <si>
    <t>8682.30万</t>
  </si>
  <si>
    <t>912341080亿</t>
  </si>
  <si>
    <t>859.09万</t>
  </si>
  <si>
    <t>3.29亿</t>
  </si>
  <si>
    <t>127.17万</t>
  </si>
  <si>
    <t>5.28亿</t>
  </si>
  <si>
    <t>-610.40万</t>
  </si>
  <si>
    <t>-1.34亿</t>
  </si>
  <si>
    <t>-8422.24万</t>
  </si>
  <si>
    <t>22.39亿</t>
  </si>
  <si>
    <t>63.67亿</t>
  </si>
  <si>
    <t>-4898.45万</t>
  </si>
  <si>
    <t>2982.35万</t>
  </si>
  <si>
    <t>2.26亿</t>
  </si>
  <si>
    <t>1981.56万</t>
  </si>
  <si>
    <t>147.15亿</t>
  </si>
  <si>
    <t>249.84亿</t>
  </si>
  <si>
    <t>212.82亿</t>
  </si>
  <si>
    <t>10.94亿</t>
  </si>
  <si>
    <t>1759.88万</t>
  </si>
  <si>
    <t>211.53亿</t>
  </si>
  <si>
    <t>177.39亿</t>
  </si>
  <si>
    <t>5995.00万</t>
  </si>
  <si>
    <t>-7649000亿</t>
  </si>
  <si>
    <t>321.20万</t>
  </si>
  <si>
    <t>98108000亿</t>
  </si>
  <si>
    <t>86.51亿</t>
  </si>
  <si>
    <t>1739901000亿</t>
  </si>
  <si>
    <t>18535268000亿</t>
  </si>
  <si>
    <t>45.00亿</t>
  </si>
  <si>
    <t>13.99亿</t>
  </si>
  <si>
    <t>52.47亿</t>
  </si>
  <si>
    <t>144.19亿</t>
  </si>
  <si>
    <t>-7.18亿</t>
  </si>
  <si>
    <t>-2.60亿</t>
  </si>
  <si>
    <t>14.16亿</t>
  </si>
  <si>
    <t>825.18亿</t>
  </si>
  <si>
    <t>-28.72亿</t>
  </si>
  <si>
    <t>930.14亿</t>
  </si>
  <si>
    <t>2.83亿</t>
  </si>
  <si>
    <t>-14.06亿</t>
  </si>
  <si>
    <t>266.37万</t>
  </si>
  <si>
    <t>8954.33万</t>
  </si>
  <si>
    <t>6.74亿</t>
  </si>
  <si>
    <t>017598800</t>
  </si>
  <si>
    <t>052796400</t>
  </si>
  <si>
    <t>0105592800</t>
  </si>
  <si>
    <t>0175988000</t>
  </si>
  <si>
    <t>0351976000</t>
  </si>
  <si>
    <t>945.66万</t>
  </si>
  <si>
    <t>18.86亿</t>
  </si>
  <si>
    <t>22.16亿</t>
  </si>
  <si>
    <t>13.06亿</t>
  </si>
  <si>
    <t>337.57亿</t>
  </si>
  <si>
    <t>27.62亿</t>
  </si>
  <si>
    <t>15.08亿</t>
  </si>
  <si>
    <t>14.13亿</t>
  </si>
  <si>
    <t>420.18万</t>
  </si>
  <si>
    <t>2177.77万</t>
  </si>
  <si>
    <t>-1000000亿</t>
  </si>
  <si>
    <t>-177399500亿</t>
  </si>
  <si>
    <t>10.83亿</t>
  </si>
  <si>
    <t>70217806亿</t>
  </si>
  <si>
    <t>1.91亿</t>
  </si>
  <si>
    <t>1917377800亿</t>
  </si>
  <si>
    <t>5872.26万</t>
  </si>
  <si>
    <t>7.82亿</t>
  </si>
  <si>
    <t>1.80亿</t>
  </si>
  <si>
    <t>2.88亿</t>
  </si>
  <si>
    <t>18.81亿</t>
  </si>
  <si>
    <t>4.06亿</t>
  </si>
  <si>
    <t>-233.82万</t>
  </si>
  <si>
    <t>-1361.18万</t>
  </si>
  <si>
    <t>3.69亿</t>
  </si>
  <si>
    <t>60.48亿</t>
  </si>
  <si>
    <t>-3823.78万</t>
  </si>
  <si>
    <t>32.25亿</t>
  </si>
  <si>
    <t>66.28亿</t>
  </si>
  <si>
    <t>-5.21亿</t>
  </si>
  <si>
    <t>2.48亿</t>
  </si>
  <si>
    <t>4473.48万</t>
  </si>
  <si>
    <t>2.36亿</t>
  </si>
  <si>
    <t>11220.89亿</t>
  </si>
  <si>
    <t>16808.60亿</t>
  </si>
  <si>
    <t>8121.84亿</t>
  </si>
  <si>
    <t>28.79亿</t>
  </si>
  <si>
    <t>5.13亿</t>
  </si>
  <si>
    <t>7533.37亿</t>
  </si>
  <si>
    <t>6466.72亿</t>
  </si>
  <si>
    <t>146.59亿</t>
  </si>
  <si>
    <t>159.10亿</t>
  </si>
  <si>
    <t>-233000000亿</t>
  </si>
  <si>
    <t>3.94亿</t>
  </si>
  <si>
    <t>45788000000亿</t>
  </si>
  <si>
    <t>2605.16亿</t>
  </si>
  <si>
    <t>93244000000亿</t>
  </si>
  <si>
    <t>670988000000亿</t>
  </si>
  <si>
    <t>1918.06亿</t>
  </si>
  <si>
    <t>425.48亿</t>
  </si>
  <si>
    <t>188.09亿</t>
  </si>
  <si>
    <t>2507.34亿</t>
  </si>
  <si>
    <t>6278.42亿</t>
  </si>
  <si>
    <t>1352.48亿</t>
  </si>
  <si>
    <t>1110.77亿</t>
  </si>
  <si>
    <t>-629.12亿</t>
  </si>
  <si>
    <t>-654.39亿</t>
  </si>
  <si>
    <t>32391.67亿</t>
  </si>
  <si>
    <t>1487.38亿</t>
  </si>
  <si>
    <t>30110.12亿</t>
  </si>
  <si>
    <t>1611.44亿</t>
  </si>
  <si>
    <t>4274.20万</t>
  </si>
  <si>
    <t>10派2.3元(含税)</t>
  </si>
  <si>
    <t>7.75亿</t>
  </si>
  <si>
    <t>50.95亿</t>
  </si>
  <si>
    <t>0513000000</t>
  </si>
  <si>
    <t>01539000000</t>
  </si>
  <si>
    <t>03078000000</t>
  </si>
  <si>
    <t>05130000000</t>
  </si>
  <si>
    <t>010260000000</t>
  </si>
  <si>
    <t>286.88万</t>
  </si>
  <si>
    <t>12.46亿</t>
  </si>
  <si>
    <t>37.79亿</t>
  </si>
  <si>
    <t>614.69亿</t>
  </si>
  <si>
    <t>10.86亿</t>
  </si>
  <si>
    <t>190.70万</t>
  </si>
  <si>
    <t>2031.56万</t>
  </si>
  <si>
    <t>1318770亿</t>
  </si>
  <si>
    <t>28431112亿</t>
  </si>
  <si>
    <t>16.57亿</t>
  </si>
  <si>
    <t>171076280亿</t>
  </si>
  <si>
    <t>2349496700亿</t>
  </si>
  <si>
    <t>16.39亿</t>
  </si>
  <si>
    <t>2692.00万</t>
  </si>
  <si>
    <t>3.65亿</t>
  </si>
  <si>
    <t>7.17万</t>
  </si>
  <si>
    <t>7.83亿</t>
  </si>
  <si>
    <t>3.70亿</t>
  </si>
  <si>
    <t>-1.76亿</t>
  </si>
  <si>
    <t>-2.43亿</t>
  </si>
  <si>
    <t>9043.83万</t>
  </si>
  <si>
    <t>52.69亿</t>
  </si>
  <si>
    <t>37.56亿</t>
  </si>
  <si>
    <t>125.09亿</t>
  </si>
  <si>
    <t>10派0.5元(含税)</t>
  </si>
  <si>
    <t>988.76万</t>
  </si>
  <si>
    <t>6435.69万</t>
  </si>
  <si>
    <t>231.08万</t>
  </si>
  <si>
    <t>5.72亿</t>
  </si>
  <si>
    <t>16.60亿</t>
  </si>
  <si>
    <t>87.92亿</t>
  </si>
  <si>
    <t>11.17亿</t>
  </si>
  <si>
    <t>7.98亿</t>
  </si>
  <si>
    <t>7.44亿</t>
  </si>
  <si>
    <t>4081.34万</t>
  </si>
  <si>
    <t>742.64万</t>
  </si>
  <si>
    <t>3317563亿</t>
  </si>
  <si>
    <t>2.97万</t>
  </si>
  <si>
    <t>6692764亿</t>
  </si>
  <si>
    <t>11524945亿</t>
  </si>
  <si>
    <t>805393900亿</t>
  </si>
  <si>
    <t>4537.61万</t>
  </si>
  <si>
    <t>1226.61万</t>
  </si>
  <si>
    <t>2.75亿</t>
  </si>
  <si>
    <t>-9753.26万</t>
  </si>
  <si>
    <t>-2035.06万</t>
  </si>
  <si>
    <t>39.94亿</t>
  </si>
  <si>
    <t>32.73亿</t>
  </si>
  <si>
    <t>5223.28万</t>
  </si>
  <si>
    <t>926.84万</t>
  </si>
  <si>
    <t>8380.81万</t>
  </si>
  <si>
    <t>151.09万</t>
  </si>
  <si>
    <t>11.85亿</t>
  </si>
  <si>
    <t>3.43亿</t>
  </si>
  <si>
    <t>663.04亿</t>
  </si>
  <si>
    <t>33.51亿</t>
  </si>
  <si>
    <t>2.92亿</t>
  </si>
  <si>
    <t>2.58亿</t>
  </si>
  <si>
    <t>1417.05万</t>
  </si>
  <si>
    <t>1052.27万</t>
  </si>
  <si>
    <t>1439076亿</t>
  </si>
  <si>
    <t>10.97万</t>
  </si>
  <si>
    <t>40047064亿</t>
  </si>
  <si>
    <t>146348610亿</t>
  </si>
  <si>
    <t>4548.78万</t>
  </si>
  <si>
    <t>937383300亿</t>
  </si>
  <si>
    <t>2379.15万</t>
  </si>
  <si>
    <t>2000.00万</t>
  </si>
  <si>
    <t>2144.56万</t>
  </si>
  <si>
    <t>5454.61万</t>
  </si>
  <si>
    <t>127.39万</t>
  </si>
  <si>
    <t>-2166.00万</t>
  </si>
  <si>
    <t>7.92亿</t>
  </si>
  <si>
    <t>3956.39万</t>
  </si>
  <si>
    <t>11.99亿</t>
  </si>
  <si>
    <t>191.10亿</t>
  </si>
  <si>
    <t>4778.99万</t>
  </si>
  <si>
    <t>10.24亿</t>
  </si>
  <si>
    <t>10派0.6元(含税)</t>
  </si>
  <si>
    <t>1049.18万</t>
  </si>
  <si>
    <t>8723.13万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</si>
</sst>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b/>
      <sz val="11"/>
      <color theme="1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6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4" fillId="0" borderId="0" xfId="0" applyFont="1" applyAlignment="1">
      <alignment vertical="center" wrapText="1"/>
    </xf>
    <xf numFmtId="0" fontId="6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406400</xdr:colOff>
          <xdr:row>0</xdr:row>
          <xdr:rowOff>63500</xdr:rowOff>
        </xdr:from>
        <xdr:to>
          <xdr:col>147</xdr:col>
          <xdr:colOff>1479550</xdr:colOff>
          <xdr:row>0</xdr:row>
          <xdr:rowOff>368300</xdr:rowOff>
        </xdr:to>
        <xdr:sp macro="" textlink="">
          <xdr:nvSpPr>
            <xdr:cNvPr id="2050" name="Button 2" descr="更新基本面按钮&#10;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62"/>
  <sheetViews>
    <sheetView tabSelected="1" zoomScale="85" zoomScaleNormal="85" workbookViewId="0">
      <pane xSplit="5" ySplit="1" topLeftCell="BR2" activePane="bottomRight" state="frozen"/>
      <selection pane="topRight" activeCell="F1" sqref="F1"/>
      <selection pane="bottomLeft" activeCell="A2" sqref="A2"/>
      <selection pane="bottomRight" activeCell="C8" sqref="C7:C8"/>
    </sheetView>
  </sheetViews>
  <sheetFormatPr defaultRowHeight="14" x14ac:dyDescent="0.25"/>
  <cols>
    <col min="1" max="1" width="35.1796875" customWidth="1"/>
    <col min="2" max="2" width="38" customWidth="1"/>
    <col min="3" max="3" width="42.1796875" customWidth="1"/>
    <col min="148" max="148" width="26" customWidth="1"/>
  </cols>
  <sheetData>
    <row r="1" spans="1:146" s="3" customFormat="1" ht="35.5" customHeight="1" x14ac:dyDescent="0.25">
      <c r="A1" s="4" t="s">
        <v>17</v>
      </c>
      <c r="B1" s="5" t="s">
        <v>18</v>
      </c>
      <c r="C1" s="4" t="s">
        <v>19</v>
      </c>
      <c r="D1" t="s">
        <v>20</v>
      </c>
      <c r="E1" t="s">
        <v>284</v>
      </c>
      <c r="F1" t="s">
        <v>3</v>
      </c>
      <c r="G1" t="s">
        <v>356</v>
      </c>
      <c r="H1" t="s">
        <v>357</v>
      </c>
      <c r="I1" t="s">
        <v>21</v>
      </c>
      <c r="J1" t="s">
        <v>22</v>
      </c>
      <c r="K1" t="s">
        <v>4</v>
      </c>
      <c r="L1" t="s">
        <v>23</v>
      </c>
      <c r="M1" t="s">
        <v>24</v>
      </c>
      <c r="N1" t="s">
        <v>25</v>
      </c>
      <c r="O1" t="s">
        <v>26</v>
      </c>
      <c r="P1" t="s">
        <v>358</v>
      </c>
      <c r="Q1" t="s">
        <v>285</v>
      </c>
      <c r="R1" t="s">
        <v>286</v>
      </c>
      <c r="S1" t="s">
        <v>27</v>
      </c>
      <c r="T1" t="s">
        <v>359</v>
      </c>
      <c r="U1" t="s">
        <v>227</v>
      </c>
      <c r="V1" t="s">
        <v>28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360</v>
      </c>
      <c r="AC1" t="s">
        <v>292</v>
      </c>
      <c r="AD1" t="s">
        <v>293</v>
      </c>
      <c r="AE1" t="s">
        <v>29</v>
      </c>
      <c r="AF1" t="s">
        <v>30</v>
      </c>
      <c r="AG1" t="s">
        <v>361</v>
      </c>
      <c r="AH1" t="s">
        <v>294</v>
      </c>
      <c r="AI1" t="s">
        <v>362</v>
      </c>
      <c r="AJ1" t="s">
        <v>31</v>
      </c>
      <c r="AK1" t="s">
        <v>363</v>
      </c>
      <c r="AL1" t="s">
        <v>90</v>
      </c>
      <c r="AM1" t="s">
        <v>364</v>
      </c>
      <c r="AN1" t="s">
        <v>365</v>
      </c>
      <c r="AO1" t="s">
        <v>366</v>
      </c>
      <c r="AP1" t="s">
        <v>367</v>
      </c>
      <c r="AQ1" t="s">
        <v>368</v>
      </c>
      <c r="AR1" t="s">
        <v>369</v>
      </c>
      <c r="AS1" t="s">
        <v>370</v>
      </c>
      <c r="AT1" t="s">
        <v>371</v>
      </c>
      <c r="AU1" t="s">
        <v>372</v>
      </c>
      <c r="AV1" t="s">
        <v>373</v>
      </c>
      <c r="AW1" t="s">
        <v>374</v>
      </c>
      <c r="AX1" t="s">
        <v>295</v>
      </c>
      <c r="AY1" t="s">
        <v>91</v>
      </c>
      <c r="AZ1" t="s">
        <v>92</v>
      </c>
      <c r="BA1" t="s">
        <v>93</v>
      </c>
      <c r="BB1" t="s">
        <v>94</v>
      </c>
      <c r="BC1" t="s">
        <v>228</v>
      </c>
      <c r="BD1" t="s">
        <v>95</v>
      </c>
      <c r="BE1" t="s">
        <v>96</v>
      </c>
      <c r="BF1" t="s">
        <v>97</v>
      </c>
      <c r="BG1" t="s">
        <v>98</v>
      </c>
      <c r="BH1" t="s">
        <v>375</v>
      </c>
      <c r="BI1" t="s">
        <v>376</v>
      </c>
      <c r="BJ1" t="s">
        <v>377</v>
      </c>
      <c r="BK1" t="s">
        <v>378</v>
      </c>
      <c r="BL1" t="s">
        <v>379</v>
      </c>
      <c r="BM1" t="s">
        <v>380</v>
      </c>
      <c r="BN1" t="s">
        <v>296</v>
      </c>
      <c r="BO1" t="s">
        <v>229</v>
      </c>
      <c r="BP1" t="s">
        <v>99</v>
      </c>
      <c r="BQ1" t="s">
        <v>297</v>
      </c>
      <c r="BR1" t="s">
        <v>230</v>
      </c>
      <c r="BS1" t="s">
        <v>100</v>
      </c>
      <c r="BT1" t="s">
        <v>381</v>
      </c>
      <c r="BU1" t="s">
        <v>298</v>
      </c>
      <c r="BV1" t="s">
        <v>382</v>
      </c>
      <c r="BW1" t="s">
        <v>180</v>
      </c>
      <c r="BX1" t="s">
        <v>101</v>
      </c>
      <c r="BY1" t="s">
        <v>383</v>
      </c>
      <c r="BZ1" t="s">
        <v>181</v>
      </c>
      <c r="CA1" t="s">
        <v>102</v>
      </c>
      <c r="CB1" t="s">
        <v>384</v>
      </c>
      <c r="CC1" t="s">
        <v>385</v>
      </c>
      <c r="CD1" t="s">
        <v>386</v>
      </c>
      <c r="CE1" t="s">
        <v>387</v>
      </c>
      <c r="CF1" s="1" t="s">
        <v>299</v>
      </c>
      <c r="CG1" s="1" t="s">
        <v>300</v>
      </c>
      <c r="CH1" s="1" t="s">
        <v>167</v>
      </c>
      <c r="CI1" s="1" t="s">
        <v>168</v>
      </c>
      <c r="CJ1" s="1" t="s">
        <v>169</v>
      </c>
      <c r="CK1" s="1" t="s">
        <v>170</v>
      </c>
      <c r="CL1" s="1" t="s">
        <v>171</v>
      </c>
      <c r="CM1" s="1" t="s">
        <v>172</v>
      </c>
      <c r="CN1" s="1" t="s">
        <v>173</v>
      </c>
      <c r="CO1" s="1" t="s">
        <v>174</v>
      </c>
      <c r="CP1" s="1" t="s">
        <v>175</v>
      </c>
      <c r="CQ1" s="1" t="s">
        <v>176</v>
      </c>
      <c r="CR1" s="1" t="s">
        <v>393</v>
      </c>
      <c r="CS1" s="1" t="s">
        <v>394</v>
      </c>
      <c r="CT1" s="1" t="s">
        <v>395</v>
      </c>
      <c r="CU1" s="1" t="s">
        <v>396</v>
      </c>
      <c r="CV1" s="1" t="s">
        <v>388</v>
      </c>
      <c r="CW1" s="1" t="s">
        <v>397</v>
      </c>
      <c r="CX1">
        <v>1</v>
      </c>
      <c r="CY1" t="s">
        <v>398</v>
      </c>
      <c r="CZ1" t="s">
        <v>399</v>
      </c>
      <c r="DA1">
        <v>3</v>
      </c>
      <c r="DB1" t="s">
        <v>400</v>
      </c>
      <c r="DC1" t="s">
        <v>401</v>
      </c>
      <c r="DD1">
        <v>6</v>
      </c>
      <c r="DE1" t="s">
        <v>402</v>
      </c>
      <c r="DF1" t="s">
        <v>403</v>
      </c>
      <c r="DG1">
        <v>10</v>
      </c>
      <c r="DH1" t="s">
        <v>404</v>
      </c>
      <c r="DI1" t="s">
        <v>405</v>
      </c>
      <c r="DJ1">
        <v>20</v>
      </c>
      <c r="DK1" t="s">
        <v>406</v>
      </c>
      <c r="DL1" t="s">
        <v>177</v>
      </c>
      <c r="DM1" t="s">
        <v>178</v>
      </c>
      <c r="DN1" s="2" t="s">
        <v>179</v>
      </c>
      <c r="DO1" t="s">
        <v>407</v>
      </c>
      <c r="DP1" t="s">
        <v>408</v>
      </c>
      <c r="DQ1" s="9" t="s">
        <v>301</v>
      </c>
      <c r="DR1" s="1" t="s">
        <v>409</v>
      </c>
      <c r="DS1" s="1" t="s">
        <v>410</v>
      </c>
      <c r="DT1" t="s">
        <v>411</v>
      </c>
      <c r="DU1" t="s">
        <v>412</v>
      </c>
      <c r="DV1" t="s">
        <v>413</v>
      </c>
      <c r="DW1" t="s">
        <v>414</v>
      </c>
      <c r="DX1" t="s">
        <v>389</v>
      </c>
      <c r="DY1" t="s">
        <v>415</v>
      </c>
      <c r="DZ1" t="s">
        <v>416</v>
      </c>
      <c r="EA1" t="s">
        <v>390</v>
      </c>
      <c r="EB1" t="s">
        <v>417</v>
      </c>
      <c r="EC1" t="s">
        <v>418</v>
      </c>
      <c r="ED1" t="s">
        <v>419</v>
      </c>
      <c r="EE1" t="s">
        <v>420</v>
      </c>
      <c r="EF1" t="s">
        <v>421</v>
      </c>
      <c r="EG1" t="s">
        <v>422</v>
      </c>
      <c r="EH1" t="s">
        <v>302</v>
      </c>
      <c r="EI1" t="s">
        <v>423</v>
      </c>
      <c r="EJ1"/>
      <c r="EK1" s="10" t="s">
        <v>391</v>
      </c>
      <c r="EL1" t="s">
        <v>424</v>
      </c>
      <c r="EM1" t="s">
        <v>425</v>
      </c>
      <c r="EN1" t="s">
        <v>392</v>
      </c>
      <c r="EO1" t="s">
        <v>426</v>
      </c>
      <c r="EP1" t="s">
        <v>303</v>
      </c>
    </row>
    <row r="2" spans="1:146" ht="96" x14ac:dyDescent="0.25">
      <c r="A2" s="8"/>
      <c r="B2" s="8"/>
      <c r="C2" s="8" t="str">
        <f>""&amp;CHAR(10)&amp;Basic_Fundamental_Information_Constructure(F2)&amp;CHAR(10)&amp;Basic_Fundamental_Information_Concatenate("")</f>
        <v xml:space="preserve">
市值66.056977亿, 利润7029.99万; PE98.59; 平均PE9.9; 平均PEG1.56, PB.479; ROIC3.755%; ROE2.4567%; 股利率.339%; 毛利17.42%; 净利1.2767%; 上一年度营收增-5.95%, 利润增-86.71%; 当季营收增-5.27%, 利润增-40.56%; 过往5年营收增6.35%, 利润增-4.08%
Income profile:
</v>
      </c>
      <c r="D2" t="s">
        <v>32</v>
      </c>
      <c r="E2" t="s">
        <v>15</v>
      </c>
      <c r="F2">
        <v>4.13</v>
      </c>
      <c r="G2">
        <v>-0.24</v>
      </c>
      <c r="H2" t="s">
        <v>435</v>
      </c>
      <c r="I2">
        <v>6605697700</v>
      </c>
      <c r="J2">
        <v>98.59</v>
      </c>
      <c r="K2">
        <v>0.47899999999999998</v>
      </c>
      <c r="L2" t="s">
        <v>182</v>
      </c>
      <c r="M2" t="s">
        <v>436</v>
      </c>
      <c r="N2" t="s">
        <v>437</v>
      </c>
      <c r="O2" t="s">
        <v>438</v>
      </c>
      <c r="P2">
        <v>-5.27</v>
      </c>
      <c r="Q2" t="s">
        <v>439</v>
      </c>
      <c r="R2">
        <v>-700000000</v>
      </c>
      <c r="S2" s="6">
        <v>-6.62E-3</v>
      </c>
      <c r="T2" t="s">
        <v>440</v>
      </c>
      <c r="U2">
        <v>1599442500</v>
      </c>
      <c r="V2">
        <v>1599442500</v>
      </c>
      <c r="W2">
        <v>1.93</v>
      </c>
      <c r="X2">
        <v>0.32</v>
      </c>
      <c r="Y2">
        <v>-5.35</v>
      </c>
      <c r="Z2" t="s">
        <v>441</v>
      </c>
      <c r="AA2" t="s">
        <v>442</v>
      </c>
      <c r="AB2" t="s">
        <v>443</v>
      </c>
      <c r="AC2" t="s">
        <v>444</v>
      </c>
      <c r="AD2" t="s">
        <v>16</v>
      </c>
      <c r="AE2">
        <v>41350408</v>
      </c>
      <c r="AF2" t="s">
        <v>41</v>
      </c>
      <c r="AG2" t="s">
        <v>445</v>
      </c>
      <c r="AH2" t="s">
        <v>446</v>
      </c>
      <c r="AI2" t="s">
        <v>447</v>
      </c>
      <c r="AJ2" t="s">
        <v>448</v>
      </c>
      <c r="AK2" t="s">
        <v>183</v>
      </c>
      <c r="AL2" t="s">
        <v>449</v>
      </c>
      <c r="AM2" t="s">
        <v>16</v>
      </c>
      <c r="AN2" t="s">
        <v>432</v>
      </c>
      <c r="AO2" t="s">
        <v>325</v>
      </c>
      <c r="AP2" t="s">
        <v>16</v>
      </c>
      <c r="AQ2" t="s">
        <v>450</v>
      </c>
      <c r="AR2" t="s">
        <v>16</v>
      </c>
      <c r="AS2" t="s">
        <v>451</v>
      </c>
      <c r="AT2" t="s">
        <v>452</v>
      </c>
      <c r="AU2" t="s">
        <v>453</v>
      </c>
      <c r="AV2" t="s">
        <v>454</v>
      </c>
      <c r="AW2" t="s">
        <v>455</v>
      </c>
      <c r="AX2" t="s">
        <v>456</v>
      </c>
      <c r="AY2" t="s">
        <v>457</v>
      </c>
      <c r="AZ2" t="s">
        <v>103</v>
      </c>
      <c r="BA2" t="s">
        <v>33</v>
      </c>
      <c r="BB2" t="s">
        <v>104</v>
      </c>
      <c r="BC2" t="s">
        <v>458</v>
      </c>
      <c r="BD2" t="s">
        <v>459</v>
      </c>
      <c r="BE2" t="s">
        <v>80</v>
      </c>
      <c r="BF2" t="s">
        <v>34</v>
      </c>
      <c r="BG2" t="s">
        <v>105</v>
      </c>
      <c r="BH2" t="s">
        <v>439</v>
      </c>
      <c r="BI2" t="s">
        <v>460</v>
      </c>
      <c r="BJ2" t="s">
        <v>456</v>
      </c>
      <c r="BK2" t="s">
        <v>440</v>
      </c>
      <c r="BL2" t="s">
        <v>461</v>
      </c>
      <c r="BM2" t="s">
        <v>458</v>
      </c>
      <c r="BN2" t="s">
        <v>16</v>
      </c>
      <c r="BO2">
        <v>2.92</v>
      </c>
      <c r="BP2">
        <v>4.59</v>
      </c>
      <c r="BQ2">
        <v>-2.75</v>
      </c>
      <c r="BR2">
        <v>3.69</v>
      </c>
      <c r="BS2">
        <v>6.43</v>
      </c>
      <c r="BT2" t="s">
        <v>462</v>
      </c>
      <c r="BU2" t="s">
        <v>304</v>
      </c>
      <c r="BV2">
        <v>14.82</v>
      </c>
      <c r="BW2">
        <v>16.53</v>
      </c>
      <c r="BX2">
        <v>20.91</v>
      </c>
      <c r="BY2">
        <v>0.18</v>
      </c>
      <c r="BZ2">
        <v>1.22</v>
      </c>
      <c r="CA2">
        <v>2.4300000000000002</v>
      </c>
      <c r="CB2">
        <v>-1.43</v>
      </c>
      <c r="CC2">
        <v>-15.3</v>
      </c>
      <c r="CD2" t="s">
        <v>463</v>
      </c>
      <c r="CE2" t="s">
        <v>464</v>
      </c>
      <c r="CF2" s="11">
        <v>-5.2731829573934838E-2</v>
      </c>
      <c r="CG2" s="12">
        <v>-0.40562248995983918</v>
      </c>
      <c r="CH2" s="11">
        <v>-5.9516478329896927E-2</v>
      </c>
      <c r="CI2" s="11">
        <v>0.26945760846138</v>
      </c>
      <c r="CJ2" s="11">
        <v>0.26977038383483887</v>
      </c>
      <c r="CK2" s="11">
        <v>-0.23154416680335999</v>
      </c>
      <c r="CL2" s="11">
        <v>6.9445982575416565E-2</v>
      </c>
      <c r="CM2" s="12">
        <v>-0.86710792779922485</v>
      </c>
      <c r="CN2" s="12">
        <v>-0.43842887878417969</v>
      </c>
      <c r="CO2" s="12">
        <v>1.9074074029922485</v>
      </c>
      <c r="CP2" s="12">
        <v>-0.67371600866317749</v>
      </c>
      <c r="CQ2" s="12">
        <v>-0.13199301064014435</v>
      </c>
      <c r="CR2">
        <v>9.9028526572933728</v>
      </c>
      <c r="CS2">
        <v>1.5589478982904241</v>
      </c>
      <c r="CT2">
        <v>0.33898305084745767</v>
      </c>
      <c r="CU2" s="11">
        <v>6.3522665947675708E-2</v>
      </c>
      <c r="CV2" s="12">
        <v>-4.0767684578895569E-2</v>
      </c>
      <c r="CW2">
        <v>0.06</v>
      </c>
      <c r="CX2">
        <v>128.07665052712272</v>
      </c>
      <c r="CY2">
        <v>70533525.531938687</v>
      </c>
      <c r="CZ2">
        <v>6.3522665947675708E-2</v>
      </c>
      <c r="DA2">
        <v>42.806100360573701</v>
      </c>
      <c r="DB2">
        <v>211037623.70095345</v>
      </c>
      <c r="DC2">
        <v>6.0346532650291919E-2</v>
      </c>
      <c r="DD2">
        <v>21.709055300609585</v>
      </c>
      <c r="DE2">
        <v>416125785.98693496</v>
      </c>
      <c r="DF2">
        <v>5.5899946033954623E-2</v>
      </c>
      <c r="DG2">
        <v>13.47584326382928</v>
      </c>
      <c r="DH2">
        <v>670362330.81216431</v>
      </c>
      <c r="DI2">
        <v>5.0818132758140566E-2</v>
      </c>
      <c r="DJ2">
        <v>7.4753283794980705</v>
      </c>
      <c r="DK2">
        <v>1208468342.9795449</v>
      </c>
      <c r="DL2">
        <v>4.4465866163372995E-2</v>
      </c>
      <c r="DM2">
        <v>70299900</v>
      </c>
      <c r="DN2">
        <v>6.3522665947675708E-2</v>
      </c>
      <c r="DO2">
        <v>9033697700</v>
      </c>
      <c r="DP2">
        <v>12485461000</v>
      </c>
      <c r="DQ2">
        <v>40</v>
      </c>
      <c r="DR2">
        <v>-0.11625449552161055</v>
      </c>
      <c r="DS2">
        <v>-0.36485480538094361</v>
      </c>
      <c r="DT2" s="13">
        <v>-0.27333333333333337</v>
      </c>
      <c r="DU2">
        <v>-1.0433333333333334</v>
      </c>
      <c r="DV2">
        <v>-1.3166666666666669</v>
      </c>
      <c r="DW2">
        <v>-2.153</v>
      </c>
      <c r="DX2">
        <v>0.35608678756476819</v>
      </c>
      <c r="DY2">
        <v>-2.0177612784974093</v>
      </c>
      <c r="DZ2">
        <v>3658</v>
      </c>
      <c r="EA2">
        <v>-2.0050468446924143</v>
      </c>
      <c r="EB2">
        <v>2</v>
      </c>
      <c r="EC2">
        <v>2.8015699220197036E-2</v>
      </c>
      <c r="ED2">
        <v>0.24133408984693103</v>
      </c>
      <c r="EE2" s="14">
        <v>-2.0618099999999999</v>
      </c>
      <c r="EF2">
        <v>-2.08521</v>
      </c>
      <c r="EG2">
        <v>24.116086787564768</v>
      </c>
      <c r="EH2" t="s">
        <v>465</v>
      </c>
      <c r="EI2">
        <v>0</v>
      </c>
      <c r="EJ2">
        <v>0</v>
      </c>
      <c r="EK2" s="10">
        <v>45470</v>
      </c>
      <c r="EL2" s="15">
        <v>-0.7</v>
      </c>
      <c r="EM2" s="15">
        <v>-3.51</v>
      </c>
      <c r="EN2" s="15">
        <v>1.21</v>
      </c>
      <c r="EO2" s="15">
        <v>2.4</v>
      </c>
      <c r="EP2" s="15">
        <v>-2.34</v>
      </c>
    </row>
    <row r="3" spans="1:146" ht="156" x14ac:dyDescent="0.25">
      <c r="A3" s="8"/>
      <c r="B3" s="8"/>
      <c r="C3" s="8" t="str">
        <f>"公司重要的业务构成是成品油批发零售、化学品贸易、电力投资。公司具有成品油、液化石油气、危险化学品特许经营资质，以及广东省内高速公路建设经营加油站的资质。"&amp;CHAR(10)&amp;Basic_Fundamental_Information_Constructure(F3)&amp;CHAR(10)&amp;Basic_Fundamental_Information_Concatenate("成品油 7.64亿 82.34% 80.53% 8.48%
化工品贸易 1.37亿 14.77% 1.94% 1.14%
土地及物业租赁收入 1674.39万 1.80% 17.53% 84.28%")</f>
        <v>公司重要的业务构成是成品油批发零售、化学品贸易、电力投资。公司具有成品油、液化石油气、危险化学品特许经营资质，以及广东省内高速公路建设经营加油站的资质。
市值50.6352亿, 利润8814.58万; PE59.59; 平均PE52.93; 平均PEG4.65, PB1.86; ROIC1.69%; ROE2.23%; 股利率.5735%; 毛利8.6367%; 净利3.57%; 上一年度营收增21.57%, 利润增59.87%; 当季营收增2.33%, 利润增-31.59%; 过往5年营收增11.37%, 利润增2.63%
Income profile:
成品油 7.64亿 82.34% 80.53% 8.48%
化工品贸易 1.37亿 14.77% 1.94% 1.14%
土地及物业租赁收入 1674.39万 1.80% 17.53% 84.28%</v>
      </c>
      <c r="D3" t="s">
        <v>72</v>
      </c>
      <c r="E3" t="s">
        <v>9</v>
      </c>
      <c r="F3">
        <v>9.59</v>
      </c>
      <c r="G3">
        <v>1.59</v>
      </c>
      <c r="H3" t="s">
        <v>466</v>
      </c>
      <c r="I3">
        <v>5063520000</v>
      </c>
      <c r="J3">
        <v>59.59</v>
      </c>
      <c r="K3">
        <v>1.86</v>
      </c>
      <c r="L3" t="s">
        <v>182</v>
      </c>
      <c r="M3" t="s">
        <v>467</v>
      </c>
      <c r="N3" t="s">
        <v>468</v>
      </c>
      <c r="O3" t="s">
        <v>469</v>
      </c>
      <c r="P3">
        <v>2.23</v>
      </c>
      <c r="Q3" t="s">
        <v>470</v>
      </c>
      <c r="R3">
        <v>6871176</v>
      </c>
      <c r="S3" s="6">
        <v>-0.31590000000000001</v>
      </c>
      <c r="T3" t="s">
        <v>471</v>
      </c>
      <c r="U3">
        <v>510848000</v>
      </c>
      <c r="V3">
        <v>528000000</v>
      </c>
      <c r="W3">
        <v>1.06</v>
      </c>
      <c r="X3">
        <v>0.18</v>
      </c>
      <c r="Y3">
        <v>1.43</v>
      </c>
      <c r="Z3" t="s">
        <v>472</v>
      </c>
      <c r="AA3" t="s">
        <v>473</v>
      </c>
      <c r="AB3" t="s">
        <v>474</v>
      </c>
      <c r="AC3" t="s">
        <v>475</v>
      </c>
      <c r="AD3" t="s">
        <v>16</v>
      </c>
      <c r="AE3">
        <v>-3828110</v>
      </c>
      <c r="AF3" t="s">
        <v>476</v>
      </c>
      <c r="AG3" t="s">
        <v>477</v>
      </c>
      <c r="AH3" t="s">
        <v>478</v>
      </c>
      <c r="AI3" t="s">
        <v>479</v>
      </c>
      <c r="AJ3" t="s">
        <v>480</v>
      </c>
      <c r="AK3" t="s">
        <v>481</v>
      </c>
      <c r="AL3" t="s">
        <v>482</v>
      </c>
      <c r="AM3" t="s">
        <v>16</v>
      </c>
      <c r="AN3">
        <v>0</v>
      </c>
      <c r="AO3" t="s">
        <v>126</v>
      </c>
      <c r="AP3" t="s">
        <v>16</v>
      </c>
      <c r="AQ3" t="s">
        <v>483</v>
      </c>
      <c r="AR3" t="s">
        <v>484</v>
      </c>
      <c r="AS3" t="s">
        <v>485</v>
      </c>
      <c r="AT3" t="s">
        <v>16</v>
      </c>
      <c r="AU3" t="s">
        <v>486</v>
      </c>
      <c r="AV3" t="s">
        <v>487</v>
      </c>
      <c r="AW3" t="s">
        <v>488</v>
      </c>
      <c r="AX3" t="s">
        <v>489</v>
      </c>
      <c r="AY3" t="s">
        <v>231</v>
      </c>
      <c r="AZ3" t="s">
        <v>106</v>
      </c>
      <c r="BA3" t="s">
        <v>73</v>
      </c>
      <c r="BB3" t="s">
        <v>108</v>
      </c>
      <c r="BC3" t="s">
        <v>490</v>
      </c>
      <c r="BD3" t="s">
        <v>232</v>
      </c>
      <c r="BE3" t="s">
        <v>107</v>
      </c>
      <c r="BF3" t="s">
        <v>74</v>
      </c>
      <c r="BG3" t="s">
        <v>38</v>
      </c>
      <c r="BH3" t="s">
        <v>470</v>
      </c>
      <c r="BI3" t="s">
        <v>491</v>
      </c>
      <c r="BJ3" t="s">
        <v>489</v>
      </c>
      <c r="BK3" t="s">
        <v>471</v>
      </c>
      <c r="BL3" t="s">
        <v>492</v>
      </c>
      <c r="BM3" t="s">
        <v>490</v>
      </c>
      <c r="BN3">
        <v>2.08</v>
      </c>
      <c r="BO3">
        <v>1.02</v>
      </c>
      <c r="BP3">
        <v>1.97</v>
      </c>
      <c r="BQ3">
        <v>2.31</v>
      </c>
      <c r="BR3">
        <v>2.02</v>
      </c>
      <c r="BS3">
        <v>2.36</v>
      </c>
      <c r="BT3" t="s">
        <v>493</v>
      </c>
      <c r="BU3" t="s">
        <v>305</v>
      </c>
      <c r="BV3">
        <v>7.35</v>
      </c>
      <c r="BW3">
        <v>8.4499999999999993</v>
      </c>
      <c r="BX3">
        <v>10.11</v>
      </c>
      <c r="BY3">
        <v>3.57</v>
      </c>
      <c r="BZ3">
        <v>2.79</v>
      </c>
      <c r="CA3">
        <v>4.3499999999999996</v>
      </c>
      <c r="CB3">
        <v>0.95</v>
      </c>
      <c r="CC3">
        <v>-7.61</v>
      </c>
      <c r="CD3" t="s">
        <v>494</v>
      </c>
      <c r="CE3" t="s">
        <v>495</v>
      </c>
      <c r="CF3" s="11">
        <v>2.3346303501945644E-2</v>
      </c>
      <c r="CG3" s="12">
        <v>-0.31589247311827956</v>
      </c>
      <c r="CH3" s="11">
        <v>0.21571426093578339</v>
      </c>
      <c r="CI3" s="11">
        <v>0.29629629850387573</v>
      </c>
      <c r="CJ3" s="11">
        <v>0.31814488768577576</v>
      </c>
      <c r="CK3" s="11">
        <v>-0.24276039004325867</v>
      </c>
      <c r="CL3" s="11">
        <v>-1.8742403015494347E-2</v>
      </c>
      <c r="CM3" s="12">
        <v>0.598732590675354</v>
      </c>
      <c r="CN3" s="12">
        <v>-0.18565410375595093</v>
      </c>
      <c r="CO3" s="12">
        <v>-0.4791969358921051</v>
      </c>
      <c r="CP3" s="12">
        <v>3.9999999105930328E-2</v>
      </c>
      <c r="CQ3" s="12">
        <v>0.15740740299224854</v>
      </c>
      <c r="CR3">
        <v>52.930163680235545</v>
      </c>
      <c r="CS3">
        <v>4.6539977701421931</v>
      </c>
      <c r="CT3">
        <v>0.57351407716371228</v>
      </c>
      <c r="CU3" s="11">
        <v>0.11373053081333637</v>
      </c>
      <c r="CV3" s="12">
        <v>2.6257790625095367E-2</v>
      </c>
      <c r="CW3">
        <v>0.06</v>
      </c>
      <c r="CX3">
        <v>27.085801057465176</v>
      </c>
      <c r="CY3">
        <v>92613838.323552981</v>
      </c>
      <c r="CZ3">
        <v>0.11373053081333637</v>
      </c>
      <c r="DA3">
        <v>8.6757693877372972</v>
      </c>
      <c r="DB3">
        <v>289140926.63016713</v>
      </c>
      <c r="DC3">
        <v>0.10804400427266954</v>
      </c>
      <c r="DD3">
        <v>4.1569439132598589</v>
      </c>
      <c r="DE3">
        <v>603452933.7762531</v>
      </c>
      <c r="DF3">
        <v>0.10008286711573601</v>
      </c>
      <c r="DG3">
        <v>2.4205280039757469</v>
      </c>
      <c r="DH3">
        <v>1036352397.44375</v>
      </c>
      <c r="DI3">
        <v>9.0984424650669096E-2</v>
      </c>
      <c r="DJ3">
        <v>1.1672544709739561</v>
      </c>
      <c r="DK3">
        <v>2149077225.5572457</v>
      </c>
      <c r="DL3">
        <v>7.9611371569335454E-2</v>
      </c>
      <c r="DM3">
        <v>88145800</v>
      </c>
      <c r="DN3">
        <v>0.11373053081333637</v>
      </c>
      <c r="DO3">
        <v>2508520000</v>
      </c>
      <c r="DP3">
        <v>1143369910</v>
      </c>
      <c r="DQ3">
        <v>54</v>
      </c>
      <c r="DR3">
        <v>-9.038422731139073E-2</v>
      </c>
      <c r="DS3">
        <v>-0.34215026374337493</v>
      </c>
      <c r="DT3" s="13">
        <v>-0.10666666666666669</v>
      </c>
      <c r="DU3">
        <v>-0.23666666666666669</v>
      </c>
      <c r="DV3">
        <v>-0.34333333333333338</v>
      </c>
      <c r="DW3">
        <v>-2.0760999999999998</v>
      </c>
      <c r="DX3">
        <v>0.49842877697841703</v>
      </c>
      <c r="DY3">
        <v>-2.0166224299280575</v>
      </c>
      <c r="DZ3">
        <v>2562</v>
      </c>
      <c r="EA3">
        <v>-2.0082884445120723</v>
      </c>
      <c r="EB3">
        <v>2</v>
      </c>
      <c r="EC3">
        <v>5.7503030303030306E-2</v>
      </c>
      <c r="ED3">
        <v>0.26325757575757575</v>
      </c>
      <c r="EE3" s="14">
        <v>2.1116000000000001</v>
      </c>
      <c r="EF3">
        <v>2.0979000000000001</v>
      </c>
      <c r="EG3">
        <v>28.218428776978417</v>
      </c>
      <c r="EH3" t="s">
        <v>496</v>
      </c>
      <c r="EI3">
        <v>0</v>
      </c>
      <c r="EJ3">
        <v>0</v>
      </c>
      <c r="EK3" s="10">
        <v>45470</v>
      </c>
      <c r="EL3" s="15">
        <v>0.42</v>
      </c>
      <c r="EM3" s="15">
        <v>-4.41</v>
      </c>
      <c r="EN3" s="15">
        <v>3.96</v>
      </c>
      <c r="EO3" s="15">
        <v>0.42</v>
      </c>
      <c r="EP3" s="15">
        <v>-1.37</v>
      </c>
    </row>
    <row r="4" spans="1:146" ht="96" x14ac:dyDescent="0.25">
      <c r="A4" s="8"/>
      <c r="B4" s="8"/>
      <c r="C4" s="8" t="str">
        <f>""&amp;CHAR(10)&amp;Basic_Fundamental_Information_Constructure(F4)&amp;CHAR(10)&amp;Basic_Fundamental_Information_Concatenate("")</f>
        <v xml:space="preserve">
市值24.231983亿, 利润3488.66万; PE52.87; 平均PE208.15; 平均PEG48.06, PB2.52; ROIC1.6167%; ROE1.47%; 股利率.4563%; 毛利10.28%; 净利.5233%; 上一年度营收增18.6%, 利润增199.72%; 当季营收增3.19%, 利润增144.28%; 过往5年营收增4.33%, 利润增98.55%
Income profile:
</v>
      </c>
      <c r="D4" t="s">
        <v>75</v>
      </c>
      <c r="E4" t="s">
        <v>5</v>
      </c>
      <c r="F4">
        <v>5.04</v>
      </c>
      <c r="G4">
        <v>0.6</v>
      </c>
      <c r="H4" t="s">
        <v>497</v>
      </c>
      <c r="I4">
        <v>2423198300</v>
      </c>
      <c r="J4">
        <v>52.87</v>
      </c>
      <c r="K4">
        <v>2.52</v>
      </c>
      <c r="L4" t="s">
        <v>182</v>
      </c>
      <c r="M4" t="s">
        <v>498</v>
      </c>
      <c r="N4" t="s">
        <v>499</v>
      </c>
      <c r="O4" t="s">
        <v>500</v>
      </c>
      <c r="P4">
        <v>3.14</v>
      </c>
      <c r="Q4" t="s">
        <v>501</v>
      </c>
      <c r="R4">
        <v>18536573</v>
      </c>
      <c r="S4" s="6">
        <v>1.4430000000000001</v>
      </c>
      <c r="T4" t="s">
        <v>502</v>
      </c>
      <c r="U4">
        <v>362653200</v>
      </c>
      <c r="V4">
        <v>480793320</v>
      </c>
      <c r="W4">
        <v>1.72</v>
      </c>
      <c r="X4">
        <v>0.49</v>
      </c>
      <c r="Y4">
        <v>2.23</v>
      </c>
      <c r="Z4" t="s">
        <v>503</v>
      </c>
      <c r="AA4" t="s">
        <v>504</v>
      </c>
      <c r="AB4" t="s">
        <v>505</v>
      </c>
      <c r="AC4" t="s">
        <v>506</v>
      </c>
      <c r="AD4" t="s">
        <v>16</v>
      </c>
      <c r="AE4">
        <v>1323992</v>
      </c>
      <c r="AF4" t="s">
        <v>41</v>
      </c>
      <c r="AG4" t="s">
        <v>507</v>
      </c>
      <c r="AH4" t="s">
        <v>508</v>
      </c>
      <c r="AI4" t="s">
        <v>509</v>
      </c>
      <c r="AJ4" t="s">
        <v>510</v>
      </c>
      <c r="AK4" t="s">
        <v>16</v>
      </c>
      <c r="AL4" t="s">
        <v>511</v>
      </c>
      <c r="AM4" t="s">
        <v>16</v>
      </c>
      <c r="AN4" t="s">
        <v>512</v>
      </c>
      <c r="AO4" t="s">
        <v>16</v>
      </c>
      <c r="AP4" t="s">
        <v>16</v>
      </c>
      <c r="AQ4" t="s">
        <v>199</v>
      </c>
      <c r="AR4" t="s">
        <v>16</v>
      </c>
      <c r="AS4" t="s">
        <v>513</v>
      </c>
      <c r="AT4" t="s">
        <v>16</v>
      </c>
      <c r="AU4" t="s">
        <v>514</v>
      </c>
      <c r="AV4" t="s">
        <v>515</v>
      </c>
      <c r="AW4" t="s">
        <v>516</v>
      </c>
      <c r="AX4" t="s">
        <v>517</v>
      </c>
      <c r="AY4" t="s">
        <v>234</v>
      </c>
      <c r="AZ4" t="s">
        <v>111</v>
      </c>
      <c r="BA4" t="s">
        <v>76</v>
      </c>
      <c r="BB4" t="s">
        <v>113</v>
      </c>
      <c r="BC4" t="s">
        <v>518</v>
      </c>
      <c r="BD4" t="s">
        <v>235</v>
      </c>
      <c r="BE4" t="s">
        <v>112</v>
      </c>
      <c r="BF4" t="s">
        <v>77</v>
      </c>
      <c r="BG4" t="s">
        <v>114</v>
      </c>
      <c r="BH4" t="s">
        <v>501</v>
      </c>
      <c r="BI4" t="s">
        <v>503</v>
      </c>
      <c r="BJ4" t="s">
        <v>517</v>
      </c>
      <c r="BK4" t="s">
        <v>502</v>
      </c>
      <c r="BL4" t="s">
        <v>519</v>
      </c>
      <c r="BM4" t="s">
        <v>518</v>
      </c>
      <c r="BN4">
        <v>2.65</v>
      </c>
      <c r="BO4">
        <v>1.17</v>
      </c>
      <c r="BP4">
        <v>1.03</v>
      </c>
      <c r="BQ4">
        <v>2.5099999999999998</v>
      </c>
      <c r="BR4">
        <v>1.01</v>
      </c>
      <c r="BS4">
        <v>0.89</v>
      </c>
      <c r="BT4" t="s">
        <v>520</v>
      </c>
      <c r="BU4" t="s">
        <v>305</v>
      </c>
      <c r="BV4">
        <v>10.55</v>
      </c>
      <c r="BW4">
        <v>9.69</v>
      </c>
      <c r="BX4">
        <v>10.6</v>
      </c>
      <c r="BY4">
        <v>0.97</v>
      </c>
      <c r="BZ4">
        <v>0.3</v>
      </c>
      <c r="CA4">
        <v>0.3</v>
      </c>
      <c r="CB4">
        <v>-0.59</v>
      </c>
      <c r="CC4">
        <v>-9.6300000000000008</v>
      </c>
      <c r="CD4" t="s">
        <v>521</v>
      </c>
      <c r="CE4" t="s">
        <v>522</v>
      </c>
      <c r="CF4" s="11">
        <v>3.1862745098039214E-2</v>
      </c>
      <c r="CG4" s="12">
        <v>1.4427833638627887</v>
      </c>
      <c r="CH4" s="11">
        <v>0.18599341809749603</v>
      </c>
      <c r="CI4" s="11">
        <v>9.6428617835044861E-2</v>
      </c>
      <c r="CJ4" s="11">
        <v>0.1551155149936676</v>
      </c>
      <c r="CK4" s="11">
        <v>-0.17128203809261322</v>
      </c>
      <c r="CL4" s="11">
        <v>-4.9707662314176559E-2</v>
      </c>
      <c r="CM4" s="12">
        <v>1.9972078800201416</v>
      </c>
      <c r="CN4" s="12">
        <v>0.41394054889678955</v>
      </c>
      <c r="CO4" s="12">
        <v>0.12954171001911163</v>
      </c>
      <c r="CP4" s="12">
        <v>0.22997991740703583</v>
      </c>
      <c r="CQ4" s="12">
        <v>2.1567926406860352</v>
      </c>
      <c r="CR4">
        <v>208.15261844529675</v>
      </c>
      <c r="CS4">
        <v>48.061575754738527</v>
      </c>
      <c r="CT4">
        <v>0.45634920634920639</v>
      </c>
      <c r="CU4" s="11">
        <v>4.3309570103883741E-2</v>
      </c>
      <c r="CV4" s="12">
        <v>0.98549253940582271</v>
      </c>
      <c r="CW4">
        <v>0.06</v>
      </c>
      <c r="CX4">
        <v>66.784493953004969</v>
      </c>
      <c r="CY4">
        <v>34337286.460741647</v>
      </c>
      <c r="CZ4">
        <v>4.3309570103883741E-2</v>
      </c>
      <c r="DA4">
        <v>22.709372171792854</v>
      </c>
      <c r="DB4">
        <v>100980259.72062604</v>
      </c>
      <c r="DC4">
        <v>4.114409159868955E-2</v>
      </c>
      <c r="DD4">
        <v>11.777990564770501</v>
      </c>
      <c r="DE4">
        <v>194701998.3917506</v>
      </c>
      <c r="DF4">
        <v>3.8112421691417694E-2</v>
      </c>
      <c r="DG4">
        <v>7.4913013391405725</v>
      </c>
      <c r="DH4">
        <v>306114811.85765296</v>
      </c>
      <c r="DI4">
        <v>3.4647656083106992E-2</v>
      </c>
      <c r="DJ4">
        <v>4.3698128770227198</v>
      </c>
      <c r="DK4">
        <v>524781807.49067283</v>
      </c>
      <c r="DL4">
        <v>3.0316699072718615E-2</v>
      </c>
      <c r="DM4">
        <v>34886600</v>
      </c>
      <c r="DN4">
        <v>4.3309570103883741E-2</v>
      </c>
      <c r="DO4">
        <v>2293198300</v>
      </c>
      <c r="DP4">
        <v>113776490</v>
      </c>
      <c r="DQ4">
        <v>135</v>
      </c>
      <c r="DR4">
        <v>-1.1446825005844527E-2</v>
      </c>
      <c r="DS4">
        <v>0.45729082445696601</v>
      </c>
      <c r="DT4" s="13">
        <v>-0.25666666666666665</v>
      </c>
      <c r="DU4">
        <v>1.5333333333333332</v>
      </c>
      <c r="DV4">
        <v>1.2766666666666666</v>
      </c>
      <c r="DW4">
        <v>-2.0962999999999998</v>
      </c>
      <c r="DX4">
        <v>0.29768242677824308</v>
      </c>
      <c r="DY4">
        <v>-2.0122958176987447</v>
      </c>
      <c r="DZ4">
        <v>97</v>
      </c>
      <c r="EA4">
        <v>-2.0120624137228584</v>
      </c>
      <c r="EB4">
        <v>2</v>
      </c>
      <c r="EC4">
        <v>6.3470307782146393E-2</v>
      </c>
      <c r="ED4">
        <v>0.4970950927521206</v>
      </c>
      <c r="EE4" s="14">
        <v>1.05501</v>
      </c>
      <c r="EF4">
        <v>1.06881</v>
      </c>
      <c r="EG4">
        <v>17.127682426778243</v>
      </c>
      <c r="EH4" t="s">
        <v>523</v>
      </c>
      <c r="EI4">
        <v>0</v>
      </c>
      <c r="EJ4">
        <v>1</v>
      </c>
      <c r="EK4" s="10">
        <v>45470</v>
      </c>
      <c r="EL4" s="15">
        <v>0</v>
      </c>
      <c r="EM4" s="15">
        <v>-3.73</v>
      </c>
      <c r="EN4" s="15">
        <v>1.63</v>
      </c>
      <c r="EO4" s="15">
        <v>2.2200000000000002</v>
      </c>
      <c r="EP4" s="15">
        <v>-1.38</v>
      </c>
    </row>
    <row r="5" spans="1:146" ht="96" x14ac:dyDescent="0.25">
      <c r="A5" s="8"/>
      <c r="B5" s="8"/>
      <c r="C5" s="8" t="str">
        <f>""&amp;CHAR(10)&amp;Basic_Fundamental_Information_Constructure(F5)&amp;CHAR(10)&amp;Basic_Fundamental_Information_Concatenate("")</f>
        <v xml:space="preserve">
市值16.791974亿, 利润-1.28亿; PE; 平均PE-301.95; 平均PEG-96.27, PB2.44; ROIC-18.805%; ROE-2.9767%; 股利率0%; 毛利4.4933%; 净利-1.0033%; 上一年度营收增-24.94%, 利润增1.54%; 当季营收增-5.69%, 利润增-45.56%; 过往5年营收增3.14%, 利润增53.36%
Income profile:
</v>
      </c>
      <c r="D5" t="s">
        <v>35</v>
      </c>
      <c r="E5" t="s">
        <v>6</v>
      </c>
      <c r="F5">
        <v>3.23</v>
      </c>
      <c r="G5">
        <v>2.2200000000000002</v>
      </c>
      <c r="H5" t="s">
        <v>524</v>
      </c>
      <c r="I5">
        <v>1679197400</v>
      </c>
      <c r="K5">
        <v>2.44</v>
      </c>
      <c r="L5" t="s">
        <v>182</v>
      </c>
      <c r="M5" t="s">
        <v>525</v>
      </c>
      <c r="N5" t="s">
        <v>352</v>
      </c>
      <c r="O5" t="s">
        <v>526</v>
      </c>
      <c r="P5">
        <v>-5.72</v>
      </c>
      <c r="Q5" t="s">
        <v>527</v>
      </c>
      <c r="R5">
        <v>-43987180</v>
      </c>
      <c r="S5" s="6">
        <v>-0.4556</v>
      </c>
      <c r="T5" t="s">
        <v>528</v>
      </c>
      <c r="U5">
        <v>368014260</v>
      </c>
      <c r="V5">
        <v>519875360</v>
      </c>
      <c r="W5">
        <v>2.93</v>
      </c>
      <c r="X5">
        <v>0.49</v>
      </c>
      <c r="Y5">
        <v>-3.39</v>
      </c>
      <c r="Z5" t="s">
        <v>529</v>
      </c>
      <c r="AA5" t="s">
        <v>530</v>
      </c>
      <c r="AB5" t="s">
        <v>531</v>
      </c>
      <c r="AC5" t="s">
        <v>532</v>
      </c>
      <c r="AD5" t="s">
        <v>16</v>
      </c>
      <c r="AE5">
        <v>9169142</v>
      </c>
      <c r="AF5" t="s">
        <v>41</v>
      </c>
      <c r="AG5" t="s">
        <v>533</v>
      </c>
      <c r="AH5" t="s">
        <v>534</v>
      </c>
      <c r="AI5" t="s">
        <v>535</v>
      </c>
      <c r="AJ5" t="s">
        <v>536</v>
      </c>
      <c r="AK5" t="s">
        <v>537</v>
      </c>
      <c r="AL5" t="s">
        <v>538</v>
      </c>
      <c r="AM5" t="s">
        <v>16</v>
      </c>
      <c r="AN5" t="s">
        <v>539</v>
      </c>
      <c r="AO5" t="s">
        <v>540</v>
      </c>
      <c r="AP5" t="s">
        <v>541</v>
      </c>
      <c r="AQ5" t="s">
        <v>542</v>
      </c>
      <c r="AR5" t="s">
        <v>543</v>
      </c>
      <c r="AS5" t="s">
        <v>544</v>
      </c>
      <c r="AT5" t="s">
        <v>545</v>
      </c>
      <c r="AU5" t="s">
        <v>546</v>
      </c>
      <c r="AV5" t="s">
        <v>547</v>
      </c>
      <c r="AW5" t="s">
        <v>548</v>
      </c>
      <c r="AX5" t="s">
        <v>549</v>
      </c>
      <c r="AY5" t="s">
        <v>236</v>
      </c>
      <c r="AZ5" t="s">
        <v>116</v>
      </c>
      <c r="BA5" t="s">
        <v>36</v>
      </c>
      <c r="BB5" t="s">
        <v>119</v>
      </c>
      <c r="BC5" t="s">
        <v>550</v>
      </c>
      <c r="BD5" t="s">
        <v>237</v>
      </c>
      <c r="BE5" t="s">
        <v>117</v>
      </c>
      <c r="BF5" t="s">
        <v>37</v>
      </c>
      <c r="BG5" t="s">
        <v>120</v>
      </c>
      <c r="BH5" t="s">
        <v>527</v>
      </c>
      <c r="BI5" t="s">
        <v>551</v>
      </c>
      <c r="BJ5" t="s">
        <v>549</v>
      </c>
      <c r="BK5" t="s">
        <v>528</v>
      </c>
      <c r="BL5" t="s">
        <v>552</v>
      </c>
      <c r="BM5" t="s">
        <v>550</v>
      </c>
      <c r="BN5">
        <v>-43.14</v>
      </c>
      <c r="BO5" t="s">
        <v>16</v>
      </c>
      <c r="BP5">
        <v>5.53</v>
      </c>
      <c r="BQ5">
        <v>-5</v>
      </c>
      <c r="BR5">
        <v>-11.9</v>
      </c>
      <c r="BS5">
        <v>7.97</v>
      </c>
      <c r="BT5" t="s">
        <v>427</v>
      </c>
      <c r="BU5" t="s">
        <v>304</v>
      </c>
      <c r="BV5">
        <v>4.8499999999999996</v>
      </c>
      <c r="BW5">
        <v>3.52</v>
      </c>
      <c r="BX5">
        <v>5.1100000000000003</v>
      </c>
      <c r="BY5">
        <v>-2.42</v>
      </c>
      <c r="BZ5">
        <v>-2.08</v>
      </c>
      <c r="CA5">
        <v>1.49</v>
      </c>
      <c r="CB5">
        <v>-1.22</v>
      </c>
      <c r="CC5">
        <v>-14.32</v>
      </c>
      <c r="CD5" t="s">
        <v>553</v>
      </c>
      <c r="CE5" t="s">
        <v>554</v>
      </c>
      <c r="CF5" s="11">
        <v>-5.6872037914691941E-2</v>
      </c>
      <c r="CG5" s="12">
        <v>-0.45563744064066714</v>
      </c>
      <c r="CH5" s="11">
        <v>-0.24938111007213593</v>
      </c>
      <c r="CI5" s="11">
        <v>8.7401308119297028E-2</v>
      </c>
      <c r="CJ5" s="11">
        <v>0.39369681477546692</v>
      </c>
      <c r="CK5" s="11">
        <v>-6.9799907505512238E-2</v>
      </c>
      <c r="CL5" s="11">
        <v>-5.0926222465932369E-3</v>
      </c>
      <c r="CM5" s="12">
        <v>1.5384615398943424E-2</v>
      </c>
      <c r="CN5" s="12">
        <v>-2.5842375755310059</v>
      </c>
      <c r="CO5" s="12">
        <v>4.6395201683044434</v>
      </c>
      <c r="CP5" s="12">
        <v>-0.83970415592193604</v>
      </c>
      <c r="CQ5" s="12">
        <v>1.4368044137954712</v>
      </c>
      <c r="CR5">
        <v>-301.95418172663682</v>
      </c>
      <c r="CS5">
        <v>-96.271377980838238</v>
      </c>
      <c r="CT5">
        <v>0</v>
      </c>
      <c r="CU5" s="11">
        <v>3.1364896614104507E-2</v>
      </c>
      <c r="CV5" s="12">
        <v>0.53355349320918322</v>
      </c>
      <c r="CW5">
        <v>0.06</v>
      </c>
      <c r="CX5" t="e">
        <v>#VALUE!</v>
      </c>
      <c r="CY5" t="s">
        <v>320</v>
      </c>
      <c r="CZ5">
        <v>3.1364896614104507E-2</v>
      </c>
      <c r="DA5" t="e">
        <v>#VALUE!</v>
      </c>
      <c r="DB5" t="s">
        <v>321</v>
      </c>
      <c r="DC5">
        <v>2.979665178339928E-2</v>
      </c>
      <c r="DD5" t="e">
        <v>#VALUE!</v>
      </c>
      <c r="DE5" t="s">
        <v>321</v>
      </c>
      <c r="DF5">
        <v>2.7601109020411966E-2</v>
      </c>
      <c r="DG5" t="e">
        <v>#VALUE!</v>
      </c>
      <c r="DH5" t="s">
        <v>321</v>
      </c>
      <c r="DI5">
        <v>2.5091917291283607E-2</v>
      </c>
      <c r="DJ5" t="e">
        <v>#VALUE!</v>
      </c>
      <c r="DK5" t="s">
        <v>321</v>
      </c>
      <c r="DL5">
        <v>2.1955427629873153E-2</v>
      </c>
      <c r="DM5">
        <v>-128000000</v>
      </c>
      <c r="DN5">
        <v>3.1364896614104507E-2</v>
      </c>
      <c r="DO5">
        <v>2481197400</v>
      </c>
      <c r="DP5">
        <v>-631709290</v>
      </c>
      <c r="DQ5">
        <v>193</v>
      </c>
      <c r="DR5">
        <v>-8.823693452879644E-2</v>
      </c>
      <c r="DS5">
        <v>-0.98919093384985035</v>
      </c>
      <c r="DT5" s="13">
        <v>-0.47333333333333333</v>
      </c>
      <c r="DU5">
        <v>-1.5583333333333336</v>
      </c>
      <c r="DV5">
        <v>-2.0316666666666667</v>
      </c>
      <c r="DW5">
        <v>-2.1432000000000002</v>
      </c>
      <c r="DX5">
        <v>0.36869166666666575</v>
      </c>
      <c r="DY5">
        <v>-2.0127006466666666</v>
      </c>
      <c r="DZ5">
        <v>4404</v>
      </c>
      <c r="EA5">
        <v>-2.0017547273085454</v>
      </c>
      <c r="EB5">
        <v>2</v>
      </c>
      <c r="EC5">
        <v>2.4566657669638354E-2</v>
      </c>
      <c r="ED5">
        <v>0.27698946916814832</v>
      </c>
      <c r="EE5" s="14">
        <v>2.0038100000000001</v>
      </c>
      <c r="EF5">
        <v>2.0222099999999998</v>
      </c>
      <c r="EG5">
        <v>28.088691666666666</v>
      </c>
      <c r="EH5" t="s">
        <v>555</v>
      </c>
      <c r="EI5">
        <v>0</v>
      </c>
      <c r="EJ5">
        <v>0</v>
      </c>
      <c r="EK5" s="10">
        <v>45470</v>
      </c>
      <c r="EL5" s="15">
        <v>0.3</v>
      </c>
      <c r="EM5" s="15">
        <v>-4.2300000000000004</v>
      </c>
      <c r="EN5" s="15">
        <v>0.32</v>
      </c>
      <c r="EO5" s="15">
        <v>2.52</v>
      </c>
      <c r="EP5" s="15">
        <v>-1.84</v>
      </c>
    </row>
    <row r="6" spans="1:146" ht="168" x14ac:dyDescent="0.25">
      <c r="A6" s="8"/>
      <c r="B6" s="8"/>
      <c r="C6" s="8" t="str">
        <f>"公司主要从事氯碱、石油、聚醚多元醇等化工产品的生产和销售。主要产品有烧碱、聚氯乙烯（PVC）糊树脂、丙烯酸及酯类、聚乙烯、丙烯、液体石蜡、液化气、聚醚多元醇等。"&amp;CHAR(10)&amp;Basic_Fundamental_Information_Constructure(F6)&amp;CHAR(10)&amp;Basic_Fundamental_Information_Concatenate("聚醚 11.57亿 39.70% 98.54% 12.56%
糊树脂 7.18亿 24.62% -7.55% -1.55%
丙烯酸及脂 6.20亿 21.26% -106.62% -25.38%
烧碱 2.93亿 10.06% 115.63% 58.17%")</f>
        <v>公司主要从事氯碱、石油、聚醚多元醇等化工产品的生产和销售。主要产品有烧碱、聚氯乙烯（PVC）糊树脂、丙烯酸及酯类、聚乙烯、丙烯、液体石蜡、液化气、聚醚多元醇等。
市值25.568849亿, 利润-4.58亿; PE; 平均PE-5.73; 平均PEG-.5, PB1.67; ROIC2.01%; ROE-25.19%; 股利率0%; 毛利5.45%; 净利-12.4767%; 上一年度营收增-11.09%, 利润增73.34%; 当季营收增4.01%, 利润增83.74%; 过往5年营收增-11.52%, 利润增-2310.79%
Income profile:
聚醚 11.57亿 39.70% 98.54% 12.56%
糊树脂 7.18亿 24.62% -7.55% -1.55%
丙烯酸及脂 6.20亿 21.26% -106.62% -25.38%
烧碱 2.93亿 10.06% 115.63% 58.17%</v>
      </c>
      <c r="D6" t="s">
        <v>39</v>
      </c>
      <c r="E6" t="s">
        <v>10</v>
      </c>
      <c r="F6">
        <v>3.12</v>
      </c>
      <c r="G6">
        <v>2.2999999999999998</v>
      </c>
      <c r="H6" t="s">
        <v>556</v>
      </c>
      <c r="I6">
        <v>2556884900</v>
      </c>
      <c r="K6">
        <v>1.67</v>
      </c>
      <c r="L6" t="s">
        <v>182</v>
      </c>
      <c r="M6" t="s">
        <v>557</v>
      </c>
      <c r="N6" t="s">
        <v>345</v>
      </c>
      <c r="O6" t="s">
        <v>558</v>
      </c>
      <c r="P6">
        <v>4.0199999999999996</v>
      </c>
      <c r="Q6" t="s">
        <v>559</v>
      </c>
      <c r="R6">
        <v>-17077089</v>
      </c>
      <c r="S6" s="6">
        <v>0.83779999999999999</v>
      </c>
      <c r="T6" t="s">
        <v>560</v>
      </c>
      <c r="U6">
        <v>785710470</v>
      </c>
      <c r="V6">
        <v>819514400</v>
      </c>
      <c r="W6">
        <v>3.81</v>
      </c>
      <c r="X6">
        <v>0.2</v>
      </c>
      <c r="Y6">
        <v>-1.42</v>
      </c>
      <c r="Z6" t="s">
        <v>561</v>
      </c>
      <c r="AA6" t="s">
        <v>562</v>
      </c>
      <c r="AB6" t="s">
        <v>563</v>
      </c>
      <c r="AC6" t="s">
        <v>564</v>
      </c>
      <c r="AD6" t="s">
        <v>16</v>
      </c>
      <c r="AE6">
        <v>10758977</v>
      </c>
      <c r="AF6" t="s">
        <v>41</v>
      </c>
      <c r="AG6" t="s">
        <v>565</v>
      </c>
      <c r="AH6" t="s">
        <v>566</v>
      </c>
      <c r="AI6" t="s">
        <v>567</v>
      </c>
      <c r="AJ6" t="s">
        <v>568</v>
      </c>
      <c r="AK6" t="s">
        <v>16</v>
      </c>
      <c r="AL6" t="s">
        <v>569</v>
      </c>
      <c r="AM6" t="s">
        <v>16</v>
      </c>
      <c r="AN6" t="s">
        <v>570</v>
      </c>
      <c r="AO6" t="s">
        <v>571</v>
      </c>
      <c r="AP6" t="s">
        <v>572</v>
      </c>
      <c r="AQ6" t="s">
        <v>428</v>
      </c>
      <c r="AR6" t="s">
        <v>16</v>
      </c>
      <c r="AS6" t="s">
        <v>573</v>
      </c>
      <c r="AT6" t="s">
        <v>574</v>
      </c>
      <c r="AU6" t="s">
        <v>575</v>
      </c>
      <c r="AV6" t="s">
        <v>576</v>
      </c>
      <c r="AW6" t="s">
        <v>577</v>
      </c>
      <c r="AX6" t="s">
        <v>578</v>
      </c>
      <c r="AY6" t="s">
        <v>238</v>
      </c>
      <c r="AZ6" t="s">
        <v>121</v>
      </c>
      <c r="BA6" t="s">
        <v>40</v>
      </c>
      <c r="BB6" t="s">
        <v>122</v>
      </c>
      <c r="BC6" t="s">
        <v>579</v>
      </c>
      <c r="BD6" t="s">
        <v>183</v>
      </c>
      <c r="BE6" t="s">
        <v>580</v>
      </c>
      <c r="BF6" t="s">
        <v>581</v>
      </c>
      <c r="BG6" t="s">
        <v>582</v>
      </c>
      <c r="BH6" t="s">
        <v>559</v>
      </c>
      <c r="BI6" t="s">
        <v>583</v>
      </c>
      <c r="BJ6" t="s">
        <v>578</v>
      </c>
      <c r="BK6" t="s">
        <v>560</v>
      </c>
      <c r="BL6" t="s">
        <v>332</v>
      </c>
      <c r="BM6" t="s">
        <v>579</v>
      </c>
      <c r="BN6" t="s">
        <v>16</v>
      </c>
      <c r="BO6" t="s">
        <v>16</v>
      </c>
      <c r="BP6">
        <v>2.0099999999999998</v>
      </c>
      <c r="BQ6">
        <v>-16.72</v>
      </c>
      <c r="BR6">
        <v>-61.45</v>
      </c>
      <c r="BS6">
        <v>2.6</v>
      </c>
      <c r="BT6" t="s">
        <v>427</v>
      </c>
      <c r="BU6" t="s">
        <v>304</v>
      </c>
      <c r="BV6">
        <v>3.15</v>
      </c>
      <c r="BW6">
        <v>3.04</v>
      </c>
      <c r="BX6">
        <v>10.16</v>
      </c>
      <c r="BY6">
        <v>-8.66</v>
      </c>
      <c r="BZ6">
        <v>-29.83</v>
      </c>
      <c r="CA6">
        <v>1.06</v>
      </c>
      <c r="CB6">
        <v>2.63</v>
      </c>
      <c r="CC6">
        <v>-14.29</v>
      </c>
      <c r="CD6" t="s">
        <v>584</v>
      </c>
      <c r="CE6" t="s">
        <v>585</v>
      </c>
      <c r="CF6" s="11">
        <v>4.0104620749782043E-2</v>
      </c>
      <c r="CG6" s="12">
        <v>0.83736105714285713</v>
      </c>
      <c r="CH6" s="11">
        <v>-0.1109241396188736</v>
      </c>
      <c r="CI6" s="11">
        <v>-0.41363993287086487</v>
      </c>
      <c r="CJ6" s="11">
        <v>5.8503970503807068E-2</v>
      </c>
      <c r="CK6" s="11">
        <v>-0.13139750063419342</v>
      </c>
      <c r="CL6" s="11">
        <v>2.1221406757831573E-2</v>
      </c>
      <c r="CM6" s="12">
        <v>0.73341095447540283</v>
      </c>
      <c r="CN6" s="12">
        <v>-17.207546234130859</v>
      </c>
      <c r="CO6" s="12">
        <v>-0.65916401147842407</v>
      </c>
      <c r="CP6" s="12">
        <v>1.3344085216522217</v>
      </c>
      <c r="CQ6" s="12">
        <v>-99.740791320800781</v>
      </c>
      <c r="CR6">
        <v>-5.7252634310717339</v>
      </c>
      <c r="CS6">
        <v>-0.49678096171174363</v>
      </c>
      <c r="CT6">
        <v>0</v>
      </c>
      <c r="CU6" s="11">
        <v>-0.11524723917245865</v>
      </c>
      <c r="CV6" s="12">
        <v>-23.107936418056489</v>
      </c>
      <c r="CW6">
        <v>0.06</v>
      </c>
      <c r="CX6" t="e">
        <v>#VALUE!</v>
      </c>
      <c r="CY6" t="s">
        <v>320</v>
      </c>
      <c r="CZ6">
        <v>-0.11524723917245865</v>
      </c>
      <c r="DA6" t="e">
        <v>#VALUE!</v>
      </c>
      <c r="DB6" t="s">
        <v>321</v>
      </c>
      <c r="DC6">
        <v>-0.10948487721383571</v>
      </c>
      <c r="DD6" t="e">
        <v>#VALUE!</v>
      </c>
      <c r="DE6" t="s">
        <v>321</v>
      </c>
      <c r="DF6">
        <v>-0.10141757047176361</v>
      </c>
      <c r="DG6" t="e">
        <v>#VALUE!</v>
      </c>
      <c r="DH6" t="s">
        <v>321</v>
      </c>
      <c r="DI6">
        <v>-9.219779133796692E-2</v>
      </c>
      <c r="DJ6" t="e">
        <v>#VALUE!</v>
      </c>
      <c r="DK6" t="s">
        <v>321</v>
      </c>
      <c r="DL6">
        <v>-8.0673067420721042E-2</v>
      </c>
      <c r="DM6">
        <v>-458000000</v>
      </c>
      <c r="DN6">
        <v>-0.11524723917245865</v>
      </c>
      <c r="DO6">
        <v>5547884900</v>
      </c>
      <c r="DP6">
        <v>-1350111000</v>
      </c>
      <c r="DQ6">
        <v>226</v>
      </c>
      <c r="DR6">
        <v>0.15535185992224068</v>
      </c>
      <c r="DS6">
        <v>23.945297475199347</v>
      </c>
      <c r="DT6" s="13">
        <v>-0.59</v>
      </c>
      <c r="DU6">
        <v>-1.4683333333333335</v>
      </c>
      <c r="DV6">
        <v>-2.0583333333333336</v>
      </c>
      <c r="DW6">
        <v>6.1554373522458627</v>
      </c>
      <c r="DX6">
        <v>0.32597375000000001</v>
      </c>
      <c r="DY6">
        <v>6.0195810261524825</v>
      </c>
      <c r="DZ6">
        <v>4423</v>
      </c>
      <c r="EA6">
        <v>6.0026325176060187</v>
      </c>
      <c r="EB6">
        <v>6</v>
      </c>
      <c r="EC6">
        <v>3.6892213242378659E-2</v>
      </c>
      <c r="ED6">
        <v>0.29285635493409268</v>
      </c>
      <c r="EE6" s="14">
        <v>-3.0051999999999999</v>
      </c>
      <c r="EF6">
        <v>-3.0172099999999999</v>
      </c>
      <c r="EG6">
        <v>20.12597375</v>
      </c>
      <c r="EH6" t="s">
        <v>586</v>
      </c>
      <c r="EI6">
        <v>0</v>
      </c>
      <c r="EJ6">
        <v>0</v>
      </c>
      <c r="EK6" s="10">
        <v>45470</v>
      </c>
      <c r="EL6" s="15">
        <v>0</v>
      </c>
      <c r="EM6" s="15">
        <v>-3.51</v>
      </c>
      <c r="EN6" s="15">
        <v>1.66</v>
      </c>
      <c r="EO6" s="15">
        <v>1.95</v>
      </c>
      <c r="EP6" s="15">
        <v>-2.2400000000000002</v>
      </c>
    </row>
    <row r="7" spans="1:146" ht="96" x14ac:dyDescent="0.25">
      <c r="C7" s="8" t="str">
        <f>""&amp;CHAR(10)&amp;Basic_Fundamental_Information_Constructure(F7)&amp;CHAR(10)&amp;Basic_Fundamental_Information_Concatenate("")</f>
        <v xml:space="preserve">
市值263.60714亿, 利润4.35亿; PE32.37; 平均PE14.55; 平均PEG1.3, PB1.08; ROIC7.155%; ROE3.3567%; 股利率1.3908%; 毛利3.9333%; 净利.91%; 上一年度营收增-10.46%, 利润增140.28%; 当季营收增11.54%, 利润增1087.19%; 过往5年营收增11.16%, 利润增16.99%
Income profile:
</v>
      </c>
      <c r="D7" t="s">
        <v>587</v>
      </c>
      <c r="E7" t="s">
        <v>588</v>
      </c>
      <c r="F7">
        <v>7.19</v>
      </c>
      <c r="G7">
        <v>2.71</v>
      </c>
      <c r="H7" t="s">
        <v>589</v>
      </c>
      <c r="I7">
        <v>26360714000</v>
      </c>
      <c r="J7">
        <v>32.369999999999997</v>
      </c>
      <c r="K7">
        <v>1.08</v>
      </c>
      <c r="L7" t="s">
        <v>182</v>
      </c>
      <c r="M7" t="s">
        <v>590</v>
      </c>
      <c r="N7" t="s">
        <v>591</v>
      </c>
      <c r="O7" t="s">
        <v>592</v>
      </c>
      <c r="P7" s="7">
        <v>11.54</v>
      </c>
      <c r="Q7" t="s">
        <v>593</v>
      </c>
      <c r="R7">
        <v>413692260</v>
      </c>
      <c r="S7">
        <v>10.87</v>
      </c>
      <c r="T7" t="s">
        <v>594</v>
      </c>
      <c r="U7">
        <v>3647335700</v>
      </c>
      <c r="V7">
        <v>3666302400</v>
      </c>
      <c r="W7">
        <v>3.39</v>
      </c>
      <c r="X7">
        <v>0.28999999999999998</v>
      </c>
      <c r="Y7">
        <v>1.67</v>
      </c>
      <c r="Z7" t="s">
        <v>595</v>
      </c>
      <c r="AA7" t="s">
        <v>596</v>
      </c>
      <c r="AB7" t="s">
        <v>597</v>
      </c>
      <c r="AC7" t="s">
        <v>598</v>
      </c>
      <c r="AD7" t="s">
        <v>16</v>
      </c>
      <c r="AE7">
        <v>753320410</v>
      </c>
      <c r="AF7" t="s">
        <v>599</v>
      </c>
      <c r="AG7" t="s">
        <v>600</v>
      </c>
      <c r="AH7" t="s">
        <v>601</v>
      </c>
      <c r="AI7" t="s">
        <v>602</v>
      </c>
      <c r="AJ7" t="s">
        <v>603</v>
      </c>
      <c r="AK7" t="s">
        <v>604</v>
      </c>
      <c r="AL7" t="s">
        <v>605</v>
      </c>
      <c r="AM7" t="s">
        <v>16</v>
      </c>
      <c r="AN7" t="s">
        <v>606</v>
      </c>
      <c r="AO7" t="s">
        <v>607</v>
      </c>
      <c r="AP7" t="s">
        <v>608</v>
      </c>
      <c r="AQ7" t="s">
        <v>609</v>
      </c>
      <c r="AR7" t="s">
        <v>16</v>
      </c>
      <c r="AS7" t="s">
        <v>610</v>
      </c>
      <c r="AT7" t="s">
        <v>611</v>
      </c>
      <c r="AU7" t="s">
        <v>612</v>
      </c>
      <c r="AV7" t="s">
        <v>353</v>
      </c>
      <c r="AW7" t="s">
        <v>613</v>
      </c>
      <c r="AX7" t="s">
        <v>614</v>
      </c>
      <c r="AY7" t="s">
        <v>615</v>
      </c>
      <c r="AZ7" t="s">
        <v>616</v>
      </c>
      <c r="BA7" t="s">
        <v>617</v>
      </c>
      <c r="BB7" t="s">
        <v>618</v>
      </c>
      <c r="BC7" t="s">
        <v>619</v>
      </c>
      <c r="BD7" t="s">
        <v>620</v>
      </c>
      <c r="BE7" t="s">
        <v>621</v>
      </c>
      <c r="BF7" t="s">
        <v>622</v>
      </c>
      <c r="BG7" t="s">
        <v>623</v>
      </c>
      <c r="BH7" t="s">
        <v>593</v>
      </c>
      <c r="BI7" t="s">
        <v>624</v>
      </c>
      <c r="BJ7" t="s">
        <v>614</v>
      </c>
      <c r="BK7" t="s">
        <v>594</v>
      </c>
      <c r="BL7" t="s">
        <v>625</v>
      </c>
      <c r="BM7" t="s">
        <v>619</v>
      </c>
      <c r="BN7">
        <v>7.67</v>
      </c>
      <c r="BO7" t="s">
        <v>16</v>
      </c>
      <c r="BP7">
        <v>6.64</v>
      </c>
      <c r="BQ7">
        <v>0.82</v>
      </c>
      <c r="BR7">
        <v>-4.3099999999999996</v>
      </c>
      <c r="BS7">
        <v>13.56</v>
      </c>
      <c r="BT7" t="s">
        <v>626</v>
      </c>
      <c r="BU7" t="s">
        <v>304</v>
      </c>
      <c r="BV7">
        <v>3.76</v>
      </c>
      <c r="BW7">
        <v>2.3199999999999998</v>
      </c>
      <c r="BX7">
        <v>5.72</v>
      </c>
      <c r="BY7">
        <v>0.27</v>
      </c>
      <c r="BZ7">
        <v>-0.61</v>
      </c>
      <c r="CA7">
        <v>3.07</v>
      </c>
      <c r="CB7">
        <v>1.41</v>
      </c>
      <c r="CC7" s="11">
        <v>-0.69</v>
      </c>
      <c r="CD7" s="12" t="s">
        <v>627</v>
      </c>
      <c r="CE7" s="11" t="s">
        <v>628</v>
      </c>
      <c r="CF7" s="11">
        <v>0.11539410168774884</v>
      </c>
      <c r="CG7" s="11">
        <v>10.871913517360523</v>
      </c>
      <c r="CH7" s="11">
        <v>-0.10458406060934067</v>
      </c>
      <c r="CI7" s="11">
        <v>0.17261916399002075</v>
      </c>
      <c r="CJ7" s="12">
        <v>0.50025451183319092</v>
      </c>
      <c r="CK7" s="12">
        <v>8.5517667233943939E-2</v>
      </c>
      <c r="CL7" s="12">
        <v>-9.5894008874893188E-2</v>
      </c>
      <c r="CM7" s="12">
        <v>1.4027777910232544</v>
      </c>
      <c r="CN7" s="12">
        <v>-1.3197158575057983</v>
      </c>
      <c r="CO7">
        <v>9.9609330296516418E-2</v>
      </c>
      <c r="CP7">
        <v>-3.6990635097026825E-2</v>
      </c>
      <c r="CQ7">
        <v>0.704059898853302</v>
      </c>
      <c r="CR7" s="11">
        <v>14.554549001564368</v>
      </c>
      <c r="CS7" s="12">
        <v>1.3043737880939683</v>
      </c>
      <c r="CT7">
        <v>1.3908205841446453</v>
      </c>
      <c r="CU7">
        <v>0.11158265471458435</v>
      </c>
      <c r="CV7">
        <v>0.16994810551404954</v>
      </c>
      <c r="CW7">
        <v>0.06</v>
      </c>
      <c r="CX7">
        <v>153.45149098960653</v>
      </c>
      <c r="CY7">
        <v>456168353.585702</v>
      </c>
      <c r="CZ7">
        <v>0.11158265471458435</v>
      </c>
      <c r="DA7">
        <v>49.240586488139549</v>
      </c>
      <c r="DB7">
        <v>1421585707.8968921</v>
      </c>
      <c r="DC7">
        <v>0.10600352197885513</v>
      </c>
      <c r="DD7">
        <v>23.651465827978754</v>
      </c>
      <c r="DE7">
        <v>2959635335.463779</v>
      </c>
      <c r="DF7">
        <v>9.8192736148834225E-2</v>
      </c>
      <c r="DG7">
        <v>13.810972913604274</v>
      </c>
      <c r="DH7">
        <v>5068412952.3596354</v>
      </c>
      <c r="DI7">
        <v>8.9266123771667483E-2</v>
      </c>
      <c r="DJ7">
        <v>6.7029469012904404</v>
      </c>
      <c r="DK7">
        <v>10443125244.886509</v>
      </c>
      <c r="DL7">
        <v>7.810785830020904E-2</v>
      </c>
      <c r="DM7">
        <v>434999999.99999994</v>
      </c>
      <c r="DN7">
        <v>0.11158265471458435</v>
      </c>
      <c r="DO7">
        <v>69999714000</v>
      </c>
      <c r="DP7">
        <v>-17099007000</v>
      </c>
      <c r="DQ7" s="13">
        <v>230</v>
      </c>
      <c r="DR7">
        <v>3.8114469731644895E-3</v>
      </c>
      <c r="DS7">
        <v>10.701965411846475</v>
      </c>
      <c r="DT7">
        <v>-0.15666666666666665</v>
      </c>
      <c r="DU7">
        <v>0.41666666666666669</v>
      </c>
      <c r="DV7">
        <v>0.26</v>
      </c>
      <c r="DW7">
        <v>-6.8999999999999999E-3</v>
      </c>
      <c r="DX7">
        <v>0.46531298113207525</v>
      </c>
      <c r="DY7">
        <v>-1.1406595698113206E-3</v>
      </c>
      <c r="DZ7">
        <v>1125</v>
      </c>
      <c r="EA7">
        <v>-8.8953588761215511E-4</v>
      </c>
      <c r="EB7" s="14">
        <v>0</v>
      </c>
      <c r="EC7" s="14">
        <v>1.911809020445231E-2</v>
      </c>
      <c r="ED7">
        <v>0.11564785272485979</v>
      </c>
      <c r="EE7">
        <v>2.101</v>
      </c>
      <c r="EF7">
        <v>2.0884</v>
      </c>
      <c r="EG7">
        <v>30.165312981132075</v>
      </c>
      <c r="EH7" s="10" t="s">
        <v>496</v>
      </c>
      <c r="EI7">
        <v>0</v>
      </c>
      <c r="EJ7">
        <v>1</v>
      </c>
      <c r="EK7">
        <v>45470</v>
      </c>
      <c r="EL7">
        <v>-0.14000000000000001</v>
      </c>
      <c r="EM7">
        <v>-1.28</v>
      </c>
      <c r="EN7" s="15">
        <v>1.01</v>
      </c>
      <c r="EO7" s="15">
        <v>3.17</v>
      </c>
      <c r="EP7" s="15">
        <v>-1.26</v>
      </c>
    </row>
    <row r="8" spans="1:146" ht="96" x14ac:dyDescent="0.25">
      <c r="A8" s="8"/>
      <c r="B8" s="8"/>
      <c r="C8" s="8" t="str">
        <f>""&amp;CHAR(10)&amp;Basic_Fundamental_Information_Constructure(F8)&amp;CHAR(10)&amp;Basic_Fundamental_Information_Concatenate("")</f>
        <v xml:space="preserve">
市值63.144334亿, 利润1.01亿; PE59.47; 平均PE98.59; 平均PEG7.64, PB2.98; ROIC7.0133%; ROE7.64%; 股利率.5855%; 毛利12.7867%; 净利3.1667%; 上一年度营收增-4.81%, 利润增26.28%; 当季营收增10.51%, 利润增30.97%; 过往5年营收增12.91%, 利润增29.5%
Income profile:
</v>
      </c>
      <c r="D8" t="s">
        <v>42</v>
      </c>
      <c r="E8" t="s">
        <v>8</v>
      </c>
      <c r="F8">
        <v>17.079999999999998</v>
      </c>
      <c r="G8">
        <v>1.79</v>
      </c>
      <c r="H8" t="s">
        <v>629</v>
      </c>
      <c r="I8">
        <v>6314433400</v>
      </c>
      <c r="J8">
        <v>59.47</v>
      </c>
      <c r="K8">
        <v>2.98</v>
      </c>
      <c r="L8" t="s">
        <v>182</v>
      </c>
      <c r="M8" t="s">
        <v>630</v>
      </c>
      <c r="N8" t="s">
        <v>631</v>
      </c>
      <c r="O8" t="s">
        <v>632</v>
      </c>
      <c r="P8">
        <v>10.59</v>
      </c>
      <c r="Q8" t="s">
        <v>633</v>
      </c>
      <c r="R8">
        <v>21599522</v>
      </c>
      <c r="S8" s="6">
        <v>0.30969999999999998</v>
      </c>
      <c r="T8" t="s">
        <v>634</v>
      </c>
      <c r="U8">
        <v>299150260</v>
      </c>
      <c r="V8">
        <v>369697510</v>
      </c>
      <c r="W8">
        <v>1.38</v>
      </c>
      <c r="X8">
        <v>0.26</v>
      </c>
      <c r="Y8">
        <v>2.06</v>
      </c>
      <c r="Z8" t="s">
        <v>635</v>
      </c>
      <c r="AA8" t="s">
        <v>306</v>
      </c>
      <c r="AB8" t="s">
        <v>636</v>
      </c>
      <c r="AC8" t="s">
        <v>637</v>
      </c>
      <c r="AD8" t="s">
        <v>16</v>
      </c>
      <c r="AE8">
        <v>87099</v>
      </c>
      <c r="AF8" t="s">
        <v>638</v>
      </c>
      <c r="AG8" t="s">
        <v>639</v>
      </c>
      <c r="AH8" t="s">
        <v>640</v>
      </c>
      <c r="AI8" t="s">
        <v>344</v>
      </c>
      <c r="AJ8" t="s">
        <v>641</v>
      </c>
      <c r="AK8" t="s">
        <v>642</v>
      </c>
      <c r="AL8" t="s">
        <v>643</v>
      </c>
      <c r="AM8" t="s">
        <v>16</v>
      </c>
      <c r="AN8" t="s">
        <v>644</v>
      </c>
      <c r="AO8" t="s">
        <v>645</v>
      </c>
      <c r="AP8" t="s">
        <v>646</v>
      </c>
      <c r="AQ8" t="s">
        <v>647</v>
      </c>
      <c r="AR8" t="s">
        <v>648</v>
      </c>
      <c r="AS8" t="s">
        <v>347</v>
      </c>
      <c r="AT8" t="s">
        <v>263</v>
      </c>
      <c r="AU8" t="s">
        <v>649</v>
      </c>
      <c r="AV8" t="s">
        <v>650</v>
      </c>
      <c r="AW8" t="s">
        <v>651</v>
      </c>
      <c r="AX8" t="s">
        <v>652</v>
      </c>
      <c r="AY8" t="s">
        <v>239</v>
      </c>
      <c r="AZ8" t="s">
        <v>124</v>
      </c>
      <c r="BA8" t="s">
        <v>43</v>
      </c>
      <c r="BB8" t="s">
        <v>127</v>
      </c>
      <c r="BC8" t="s">
        <v>653</v>
      </c>
      <c r="BD8" t="s">
        <v>240</v>
      </c>
      <c r="BE8" t="s">
        <v>125</v>
      </c>
      <c r="BF8" t="s">
        <v>44</v>
      </c>
      <c r="BG8" t="s">
        <v>128</v>
      </c>
      <c r="BH8" t="s">
        <v>633</v>
      </c>
      <c r="BI8" t="s">
        <v>318</v>
      </c>
      <c r="BJ8" t="s">
        <v>652</v>
      </c>
      <c r="BK8" t="s">
        <v>634</v>
      </c>
      <c r="BL8" t="s">
        <v>654</v>
      </c>
      <c r="BM8" t="s">
        <v>653</v>
      </c>
      <c r="BN8">
        <v>5.04</v>
      </c>
      <c r="BO8">
        <v>8.4</v>
      </c>
      <c r="BP8">
        <v>7.6</v>
      </c>
      <c r="BQ8">
        <v>7.14</v>
      </c>
      <c r="BR8">
        <v>8.48</v>
      </c>
      <c r="BS8">
        <v>7.3</v>
      </c>
      <c r="BT8" t="s">
        <v>626</v>
      </c>
      <c r="BU8" t="s">
        <v>304</v>
      </c>
      <c r="BV8">
        <v>18.02</v>
      </c>
      <c r="BW8">
        <v>9</v>
      </c>
      <c r="BX8">
        <v>11.34</v>
      </c>
      <c r="BY8">
        <v>2.95</v>
      </c>
      <c r="BZ8">
        <v>2.83</v>
      </c>
      <c r="CA8">
        <v>3.72</v>
      </c>
      <c r="CB8">
        <v>-4.42</v>
      </c>
      <c r="CC8">
        <v>-0.81</v>
      </c>
      <c r="CD8" t="s">
        <v>655</v>
      </c>
      <c r="CE8" t="s">
        <v>656</v>
      </c>
      <c r="CF8" s="11">
        <v>0.10505319148936171</v>
      </c>
      <c r="CG8" s="12">
        <v>0.30968106135021406</v>
      </c>
      <c r="CH8" s="11">
        <v>-4.8106782138347626E-2</v>
      </c>
      <c r="CI8" s="11">
        <v>0.65061479806900024</v>
      </c>
      <c r="CJ8" s="11">
        <v>0.34065935015678406</v>
      </c>
      <c r="CK8" s="11">
        <v>-0.16561602056026459</v>
      </c>
      <c r="CL8" s="11">
        <v>-0.13227255642414093</v>
      </c>
      <c r="CM8" s="12">
        <v>0.26276037096977234</v>
      </c>
      <c r="CN8" s="12">
        <v>0.25378766655921936</v>
      </c>
      <c r="CO8" s="12">
        <v>1.3503870964050293</v>
      </c>
      <c r="CP8" s="12">
        <v>-0.54988741874694824</v>
      </c>
      <c r="CQ8" s="12">
        <v>0.1579725593328476</v>
      </c>
      <c r="CR8">
        <v>98.588028221241075</v>
      </c>
      <c r="CS8">
        <v>7.6391809157622559</v>
      </c>
      <c r="CT8">
        <v>0.58548009367681508</v>
      </c>
      <c r="CU8" s="11">
        <v>0.12905575782060624</v>
      </c>
      <c r="CV8" s="12">
        <v>0.29500405490398407</v>
      </c>
      <c r="CW8">
        <v>0.06</v>
      </c>
      <c r="CX8">
        <v>49.028083210359661</v>
      </c>
      <c r="CY8">
        <v>107579841.07535963</v>
      </c>
      <c r="CZ8">
        <v>0.12905575782060624</v>
      </c>
      <c r="DA8">
        <v>15.503009730551565</v>
      </c>
      <c r="DB8">
        <v>340219963.19887149</v>
      </c>
      <c r="DC8">
        <v>0.12260296992957592</v>
      </c>
      <c r="DD8">
        <v>7.2983618306117508</v>
      </c>
      <c r="DE8">
        <v>722687299.20696402</v>
      </c>
      <c r="DF8">
        <v>0.11356906688213349</v>
      </c>
      <c r="DG8">
        <v>4.1637165134720222</v>
      </c>
      <c r="DH8">
        <v>1266760929.3125908</v>
      </c>
      <c r="DI8">
        <v>0.103244606256485</v>
      </c>
      <c r="DJ8">
        <v>1.9160422535307275</v>
      </c>
      <c r="DK8">
        <v>2752775096.8334341</v>
      </c>
      <c r="DL8">
        <v>9.0339030474424362E-2</v>
      </c>
      <c r="DM8">
        <v>101000000</v>
      </c>
      <c r="DN8">
        <v>0.12905575782060624</v>
      </c>
      <c r="DO8">
        <v>5274433400</v>
      </c>
      <c r="DP8">
        <v>509887450</v>
      </c>
      <c r="DQ8">
        <v>306</v>
      </c>
      <c r="DR8">
        <v>-2.4002566331244535E-2</v>
      </c>
      <c r="DS8">
        <v>1.467700644622999E-2</v>
      </c>
      <c r="DT8" s="13">
        <v>-0.12333333333333334</v>
      </c>
      <c r="DU8">
        <v>0.78666666666666663</v>
      </c>
      <c r="DV8">
        <v>0.66333333333333333</v>
      </c>
      <c r="DW8">
        <v>-4.1832579185520364</v>
      </c>
      <c r="DX8">
        <v>0.31574010695187316</v>
      </c>
      <c r="DY8">
        <v>-4.0267080286495514</v>
      </c>
      <c r="DZ8">
        <v>495</v>
      </c>
      <c r="EA8">
        <v>-4.0241208517060034</v>
      </c>
      <c r="EB8">
        <v>4</v>
      </c>
      <c r="EC8">
        <v>7.3718105377555826E-2</v>
      </c>
      <c r="ED8">
        <v>0.50581893288921531</v>
      </c>
      <c r="EE8" s="14">
        <v>3.0209000000000001</v>
      </c>
      <c r="EF8">
        <v>3.0057100000000001</v>
      </c>
      <c r="EG8">
        <v>17.145740106951873</v>
      </c>
      <c r="EH8" t="s">
        <v>657</v>
      </c>
      <c r="EI8">
        <v>0</v>
      </c>
      <c r="EJ8">
        <v>1</v>
      </c>
      <c r="EK8" s="10">
        <v>45470</v>
      </c>
      <c r="EL8" s="15">
        <v>10.02</v>
      </c>
      <c r="EM8" s="15">
        <v>-3.49</v>
      </c>
      <c r="EN8" s="15">
        <v>-4.01</v>
      </c>
      <c r="EO8" s="15">
        <v>-0.35</v>
      </c>
      <c r="EP8" s="15">
        <v>-2.66</v>
      </c>
    </row>
    <row r="9" spans="1:146" ht="96" x14ac:dyDescent="0.25">
      <c r="A9" s="8"/>
      <c r="B9" s="8"/>
      <c r="C9" s="8" t="str">
        <f>""&amp;CHAR(10)&amp;Basic_Fundamental_Information_Constructure(F9)&amp;CHAR(10)&amp;Basic_Fundamental_Information_Concatenate("")</f>
        <v xml:space="preserve">
市值15.919731亿, 利润567.67万; PE224.9; 平均PE108.66; 平均PEG18.45, PB2.7; ROIC1.29%; ROE.8333%; 股利率.1466%; 毛利5.0367%; 净利.4967%; 上一年度营收增-23.34%, 利润增-63.16%; 当季营收增-23.21%, 利润增61.66%; 过往5年营收增5.89%, 利润增308.57%
Income profile:
</v>
      </c>
      <c r="D9" t="s">
        <v>184</v>
      </c>
      <c r="E9" t="s">
        <v>185</v>
      </c>
      <c r="F9">
        <v>12.28</v>
      </c>
      <c r="G9">
        <v>1.1499999999999999</v>
      </c>
      <c r="H9" t="s">
        <v>658</v>
      </c>
      <c r="I9">
        <v>1591973100</v>
      </c>
      <c r="J9">
        <v>224.9</v>
      </c>
      <c r="K9">
        <v>2.7</v>
      </c>
      <c r="L9" t="s">
        <v>182</v>
      </c>
      <c r="M9" t="s">
        <v>659</v>
      </c>
      <c r="N9" t="s">
        <v>323</v>
      </c>
      <c r="O9" t="s">
        <v>660</v>
      </c>
      <c r="P9">
        <v>-23.26</v>
      </c>
      <c r="Q9" t="s">
        <v>661</v>
      </c>
      <c r="R9">
        <v>3674785</v>
      </c>
      <c r="S9" s="6">
        <v>0.61660000000000004</v>
      </c>
      <c r="T9" t="s">
        <v>662</v>
      </c>
      <c r="U9">
        <v>129639500</v>
      </c>
      <c r="V9">
        <v>129639500</v>
      </c>
      <c r="W9">
        <v>1.18</v>
      </c>
      <c r="X9">
        <v>0.69</v>
      </c>
      <c r="Y9">
        <v>0.76</v>
      </c>
      <c r="Z9" t="s">
        <v>663</v>
      </c>
      <c r="AA9" t="s">
        <v>664</v>
      </c>
      <c r="AB9" t="s">
        <v>665</v>
      </c>
      <c r="AC9" t="s">
        <v>666</v>
      </c>
      <c r="AD9" t="s">
        <v>16</v>
      </c>
      <c r="AE9">
        <v>-2126239</v>
      </c>
      <c r="AF9" t="s">
        <v>667</v>
      </c>
      <c r="AG9" t="s">
        <v>668</v>
      </c>
      <c r="AH9" t="s">
        <v>669</v>
      </c>
      <c r="AI9" t="s">
        <v>429</v>
      </c>
      <c r="AJ9" t="s">
        <v>670</v>
      </c>
      <c r="AK9" t="s">
        <v>16</v>
      </c>
      <c r="AL9" t="s">
        <v>671</v>
      </c>
      <c r="AM9" t="s">
        <v>16</v>
      </c>
      <c r="AN9" t="s">
        <v>672</v>
      </c>
      <c r="AO9" t="s">
        <v>16</v>
      </c>
      <c r="AP9" t="s">
        <v>16</v>
      </c>
      <c r="AQ9" t="s">
        <v>673</v>
      </c>
      <c r="AR9" t="s">
        <v>16</v>
      </c>
      <c r="AS9" t="s">
        <v>674</v>
      </c>
      <c r="AT9" t="s">
        <v>16</v>
      </c>
      <c r="AU9" t="s">
        <v>675</v>
      </c>
      <c r="AV9" t="s">
        <v>676</v>
      </c>
      <c r="AW9" t="s">
        <v>16</v>
      </c>
      <c r="AX9" t="s">
        <v>677</v>
      </c>
      <c r="AY9" t="s">
        <v>242</v>
      </c>
      <c r="AZ9" t="s">
        <v>186</v>
      </c>
      <c r="BA9" t="s">
        <v>188</v>
      </c>
      <c r="BB9" t="s">
        <v>189</v>
      </c>
      <c r="BC9" t="s">
        <v>678</v>
      </c>
      <c r="BD9" t="s">
        <v>243</v>
      </c>
      <c r="BE9" t="s">
        <v>187</v>
      </c>
      <c r="BF9" t="s">
        <v>190</v>
      </c>
      <c r="BG9" t="s">
        <v>191</v>
      </c>
      <c r="BH9" t="s">
        <v>661</v>
      </c>
      <c r="BI9" t="s">
        <v>679</v>
      </c>
      <c r="BJ9" t="s">
        <v>677</v>
      </c>
      <c r="BK9" t="s">
        <v>662</v>
      </c>
      <c r="BL9" t="s">
        <v>680</v>
      </c>
      <c r="BM9" t="s">
        <v>678</v>
      </c>
      <c r="BN9" t="s">
        <v>16</v>
      </c>
      <c r="BO9">
        <v>1.39</v>
      </c>
      <c r="BP9">
        <v>1.19</v>
      </c>
      <c r="BQ9">
        <v>-2.2599999999999998</v>
      </c>
      <c r="BR9">
        <v>2.57</v>
      </c>
      <c r="BS9">
        <v>2.19</v>
      </c>
      <c r="BT9" t="s">
        <v>681</v>
      </c>
      <c r="BU9" t="s">
        <v>304</v>
      </c>
      <c r="BV9">
        <v>5.31</v>
      </c>
      <c r="BW9">
        <v>3.94</v>
      </c>
      <c r="BX9">
        <v>5.86</v>
      </c>
      <c r="BY9">
        <v>0.28000000000000003</v>
      </c>
      <c r="BZ9">
        <v>0.59</v>
      </c>
      <c r="CA9">
        <v>0.62</v>
      </c>
      <c r="CB9">
        <v>-2.54</v>
      </c>
      <c r="CC9">
        <v>-15.09</v>
      </c>
      <c r="CD9" t="s">
        <v>682</v>
      </c>
      <c r="CE9" t="s">
        <v>683</v>
      </c>
      <c r="CF9" s="11">
        <v>-0.23211446740858505</v>
      </c>
      <c r="CG9" s="12">
        <v>0.61656915361604792</v>
      </c>
      <c r="CH9" s="11">
        <v>-0.23342274129390717</v>
      </c>
      <c r="CI9" s="11">
        <v>0.25856247544288635</v>
      </c>
      <c r="CJ9" s="11">
        <v>0.17583656311035156</v>
      </c>
      <c r="CK9" s="11">
        <v>-0.1822819709777832</v>
      </c>
      <c r="CL9" s="11">
        <v>0.2757396399974823</v>
      </c>
      <c r="CM9" s="12">
        <v>-0.63159602880477905</v>
      </c>
      <c r="CN9" s="12">
        <v>0.19980844855308533</v>
      </c>
      <c r="CO9" s="12">
        <v>5.8789581060409546E-2</v>
      </c>
      <c r="CP9" s="12">
        <v>-0.72880947589874268</v>
      </c>
      <c r="CQ9" s="12">
        <v>16.530416488647461</v>
      </c>
      <c r="CR9">
        <v>108.66005958657971</v>
      </c>
      <c r="CS9">
        <v>18.452364881639454</v>
      </c>
      <c r="CT9">
        <v>0.1465798045602606</v>
      </c>
      <c r="CU9" s="11">
        <v>5.8886793255805966E-2</v>
      </c>
      <c r="CV9" s="12">
        <v>3.085721802711487</v>
      </c>
      <c r="CW9">
        <v>0.06</v>
      </c>
      <c r="CX9">
        <v>197.32405718552079</v>
      </c>
      <c r="CY9">
        <v>5670738.3578068241</v>
      </c>
      <c r="CZ9">
        <v>5.8886793255805966E-2</v>
      </c>
      <c r="DA9">
        <v>66.211213522029084</v>
      </c>
      <c r="DB9">
        <v>16900054.242741033</v>
      </c>
      <c r="DC9">
        <v>5.5942453593015667E-2</v>
      </c>
      <c r="DD9">
        <v>33.75277177945221</v>
      </c>
      <c r="DE9">
        <v>33152035.847947784</v>
      </c>
      <c r="DF9">
        <v>5.1820378065109252E-2</v>
      </c>
      <c r="DG9">
        <v>21.070818300371403</v>
      </c>
      <c r="DH9">
        <v>53105346.173493244</v>
      </c>
      <c r="DI9">
        <v>4.7109434604644777E-2</v>
      </c>
      <c r="DJ9">
        <v>11.827724676639145</v>
      </c>
      <c r="DK9">
        <v>94605947.516691506</v>
      </c>
      <c r="DL9">
        <v>4.1220755279064172E-2</v>
      </c>
      <c r="DM9">
        <v>5676700</v>
      </c>
      <c r="DN9">
        <v>5.8886793255805966E-2</v>
      </c>
      <c r="DO9">
        <v>1118973100</v>
      </c>
      <c r="DP9">
        <v>331674860</v>
      </c>
      <c r="DQ9">
        <v>418</v>
      </c>
      <c r="DR9">
        <v>-0.29100126066439103</v>
      </c>
      <c r="DS9">
        <v>-2.469152649095439</v>
      </c>
      <c r="DT9" s="13">
        <v>-0.34</v>
      </c>
      <c r="DU9">
        <v>0.48166666666666669</v>
      </c>
      <c r="DV9">
        <v>0.14166666666666666</v>
      </c>
      <c r="DW9">
        <v>-8.1683233929754806</v>
      </c>
      <c r="DX9">
        <v>0.29084152022173654</v>
      </c>
      <c r="DY9">
        <v>-8.0186572207662827</v>
      </c>
      <c r="DZ9">
        <v>1393</v>
      </c>
      <c r="EA9">
        <v>-8.0135712112697206</v>
      </c>
      <c r="EB9">
        <v>8</v>
      </c>
      <c r="EC9">
        <v>2.9459385449650766E-2</v>
      </c>
      <c r="ED9">
        <v>0.26577933423069355</v>
      </c>
      <c r="EE9" s="14">
        <v>-2.0259100000000001</v>
      </c>
      <c r="EF9">
        <v>-2.04081</v>
      </c>
      <c r="EG9">
        <v>18.110841520221737</v>
      </c>
      <c r="EH9" t="s">
        <v>465</v>
      </c>
      <c r="EI9">
        <v>0</v>
      </c>
      <c r="EJ9">
        <v>1</v>
      </c>
      <c r="EK9" s="10">
        <v>45470</v>
      </c>
      <c r="EL9" s="15">
        <v>0.72</v>
      </c>
      <c r="EM9" s="15">
        <v>-4.2699999999999996</v>
      </c>
      <c r="EN9" s="15">
        <v>2.23</v>
      </c>
      <c r="EO9" s="15">
        <v>3.15</v>
      </c>
      <c r="EP9" s="15">
        <v>-1.49</v>
      </c>
    </row>
    <row r="10" spans="1:146" ht="96" x14ac:dyDescent="0.25">
      <c r="A10" s="8"/>
      <c r="B10" s="8"/>
      <c r="C10" s="8" t="str">
        <f>""&amp;CHAR(10)&amp;Basic_Fundamental_Information_Constructure(F10)&amp;CHAR(10)&amp;Basic_Fundamental_Information_Concatenate("")</f>
        <v xml:space="preserve">
市值23.84177亿, 利润9236.39万; PE27.27; 平均PE26.92; 平均PEG11.07, PB2.03; ROIC15.4733%; ROE16.49%; 股利率2.2241%; 毛利28.1033%; 净利14.5767%; 上一年度营收增46.98%, 利润增16.65%; 当季营收增20.99%, 利润增-19.62%; 过往5年营收增2.43%, 利润增9.46%
Income profile:
</v>
      </c>
      <c r="D10" t="s">
        <v>307</v>
      </c>
      <c r="E10" t="s">
        <v>308</v>
      </c>
      <c r="F10">
        <v>29</v>
      </c>
      <c r="G10">
        <v>1.4</v>
      </c>
      <c r="H10" t="s">
        <v>684</v>
      </c>
      <c r="I10">
        <v>2384177000</v>
      </c>
      <c r="J10">
        <v>27.27</v>
      </c>
      <c r="K10">
        <v>2.0299999999999998</v>
      </c>
      <c r="L10" t="s">
        <v>182</v>
      </c>
      <c r="M10" t="s">
        <v>634</v>
      </c>
      <c r="N10" t="s">
        <v>685</v>
      </c>
      <c r="O10" t="s">
        <v>686</v>
      </c>
      <c r="P10">
        <v>21.06</v>
      </c>
      <c r="Q10" t="s">
        <v>687</v>
      </c>
      <c r="R10">
        <v>20274497</v>
      </c>
      <c r="S10" s="6">
        <v>-0.19620000000000001</v>
      </c>
      <c r="T10" t="s">
        <v>688</v>
      </c>
      <c r="U10">
        <v>28417425</v>
      </c>
      <c r="V10">
        <v>82213000</v>
      </c>
      <c r="W10">
        <v>1.1000000000000001</v>
      </c>
      <c r="X10">
        <v>0.15</v>
      </c>
      <c r="Y10">
        <v>10.130000000000001</v>
      </c>
      <c r="Z10" t="s">
        <v>162</v>
      </c>
      <c r="AA10" t="s">
        <v>45</v>
      </c>
      <c r="AB10" t="s">
        <v>689</v>
      </c>
      <c r="AC10" t="s">
        <v>690</v>
      </c>
      <c r="AD10" t="s">
        <v>16</v>
      </c>
      <c r="AE10">
        <v>-1517572</v>
      </c>
      <c r="AF10" t="s">
        <v>691</v>
      </c>
      <c r="AG10">
        <v>4.3099999999999996</v>
      </c>
      <c r="AH10" t="s">
        <v>692</v>
      </c>
      <c r="AI10" t="s">
        <v>693</v>
      </c>
      <c r="AJ10" t="s">
        <v>694</v>
      </c>
      <c r="AK10" t="s">
        <v>695</v>
      </c>
      <c r="AL10" t="s">
        <v>696</v>
      </c>
      <c r="AM10" t="s">
        <v>16</v>
      </c>
      <c r="AN10" t="s">
        <v>697</v>
      </c>
      <c r="AO10" t="s">
        <v>16</v>
      </c>
      <c r="AP10" t="s">
        <v>698</v>
      </c>
      <c r="AQ10" t="s">
        <v>699</v>
      </c>
      <c r="AR10" t="s">
        <v>16</v>
      </c>
      <c r="AS10" t="s">
        <v>700</v>
      </c>
      <c r="AT10" t="s">
        <v>16</v>
      </c>
      <c r="AU10" t="s">
        <v>701</v>
      </c>
      <c r="AV10" t="s">
        <v>702</v>
      </c>
      <c r="AW10" t="s">
        <v>703</v>
      </c>
      <c r="AX10" t="s">
        <v>704</v>
      </c>
      <c r="AY10" t="s">
        <v>309</v>
      </c>
      <c r="AZ10" t="s">
        <v>311</v>
      </c>
      <c r="BA10" t="s">
        <v>312</v>
      </c>
      <c r="BB10" t="s">
        <v>313</v>
      </c>
      <c r="BC10" t="s">
        <v>705</v>
      </c>
      <c r="BD10" t="s">
        <v>310</v>
      </c>
      <c r="BE10" t="s">
        <v>314</v>
      </c>
      <c r="BF10" t="s">
        <v>315</v>
      </c>
      <c r="BG10" t="s">
        <v>316</v>
      </c>
      <c r="BH10" t="s">
        <v>687</v>
      </c>
      <c r="BI10" t="s">
        <v>82</v>
      </c>
      <c r="BJ10" t="s">
        <v>704</v>
      </c>
      <c r="BK10" t="s">
        <v>688</v>
      </c>
      <c r="BL10" t="s">
        <v>706</v>
      </c>
      <c r="BM10" t="s">
        <v>705</v>
      </c>
      <c r="BN10">
        <v>6.07</v>
      </c>
      <c r="BO10">
        <v>10.14</v>
      </c>
      <c r="BP10">
        <v>30.21</v>
      </c>
      <c r="BQ10">
        <v>7.72</v>
      </c>
      <c r="BR10">
        <v>10.39</v>
      </c>
      <c r="BS10">
        <v>31.36</v>
      </c>
      <c r="BT10" t="s">
        <v>707</v>
      </c>
      <c r="BU10" t="s">
        <v>305</v>
      </c>
      <c r="BV10">
        <v>24.37</v>
      </c>
      <c r="BW10">
        <v>28.34</v>
      </c>
      <c r="BX10">
        <v>31.6</v>
      </c>
      <c r="BY10">
        <v>11.13</v>
      </c>
      <c r="BZ10">
        <v>14.07</v>
      </c>
      <c r="CA10">
        <v>18.53</v>
      </c>
      <c r="CB10">
        <v>-7.38</v>
      </c>
      <c r="CC10">
        <v>-16.55</v>
      </c>
      <c r="CD10" t="s">
        <v>708</v>
      </c>
      <c r="CE10" t="s">
        <v>709</v>
      </c>
      <c r="CF10" s="11">
        <v>0.20987654320987653</v>
      </c>
      <c r="CG10" s="12">
        <v>-0.1961518606919411</v>
      </c>
      <c r="CH10" s="11">
        <v>0.46975088119506836</v>
      </c>
      <c r="CI10" s="11">
        <v>-0.19368723034858704</v>
      </c>
      <c r="CJ10" s="11">
        <v>-3.4626040607690811E-2</v>
      </c>
      <c r="CK10" s="11">
        <v>-0.15258215367794037</v>
      </c>
      <c r="CL10" s="11">
        <v>3.2727271318435669E-2</v>
      </c>
      <c r="CM10" s="12">
        <v>0.1664922833442688</v>
      </c>
      <c r="CN10" s="12">
        <v>-0.3861946165561676</v>
      </c>
      <c r="CO10" s="12">
        <v>0.93710565567016602</v>
      </c>
      <c r="CP10" s="12">
        <v>-0.14365257322788239</v>
      </c>
      <c r="CQ10" s="12">
        <v>-0.10070980340242386</v>
      </c>
      <c r="CR10">
        <v>26.920658829693178</v>
      </c>
      <c r="CS10">
        <v>11.070922366712123</v>
      </c>
      <c r="CT10">
        <v>2.2241379310344827</v>
      </c>
      <c r="CU10" s="11">
        <v>2.4316545575857162E-2</v>
      </c>
      <c r="CV10" s="12">
        <v>9.4608189165592188E-2</v>
      </c>
      <c r="CW10">
        <v>0.06</v>
      </c>
      <c r="CX10">
        <v>14.5894673108125</v>
      </c>
      <c r="CY10">
        <v>89254595.267843306</v>
      </c>
      <c r="CZ10">
        <v>2.4316545575857162E-2</v>
      </c>
      <c r="DA10">
        <v>5.0424284264474073</v>
      </c>
      <c r="DB10">
        <v>258244022.497199</v>
      </c>
      <c r="DC10">
        <v>2.3100718297064303E-2</v>
      </c>
      <c r="DD10">
        <v>2.6701305827883388</v>
      </c>
      <c r="DE10">
        <v>487682890.26530486</v>
      </c>
      <c r="DF10">
        <v>2.1398560106754304E-2</v>
      </c>
      <c r="DG10">
        <v>1.7362335162684686</v>
      </c>
      <c r="DH10">
        <v>750001072.89637661</v>
      </c>
      <c r="DI10">
        <v>1.9453236460685731E-2</v>
      </c>
      <c r="DJ10">
        <v>1.0582376796440787</v>
      </c>
      <c r="DK10">
        <v>1230514680.25403</v>
      </c>
      <c r="DL10">
        <v>1.7021581903100012E-2</v>
      </c>
      <c r="DM10">
        <v>92363900</v>
      </c>
      <c r="DN10">
        <v>2.4316545575857162E-2</v>
      </c>
      <c r="DO10">
        <v>1302177000</v>
      </c>
      <c r="DP10">
        <v>1025072120</v>
      </c>
      <c r="DQ10">
        <v>486</v>
      </c>
      <c r="DR10">
        <v>0.18555999763401937</v>
      </c>
      <c r="DS10">
        <v>-0.29076004985753329</v>
      </c>
      <c r="DT10" s="13">
        <v>-0.54</v>
      </c>
      <c r="DU10">
        <v>6.3333333333333353E-2</v>
      </c>
      <c r="DV10">
        <v>-0.47666666666666668</v>
      </c>
      <c r="DW10">
        <v>-9.445921450151058</v>
      </c>
      <c r="DX10">
        <v>0.25548439591221822</v>
      </c>
      <c r="DY10">
        <v>-9.029200896787442</v>
      </c>
      <c r="DZ10">
        <v>2839</v>
      </c>
      <c r="EA10">
        <v>-9.012977541409839</v>
      </c>
      <c r="EB10">
        <v>9</v>
      </c>
      <c r="EC10">
        <v>3.9695668568231299E-2</v>
      </c>
      <c r="ED10">
        <v>0.60618515319961563</v>
      </c>
      <c r="EE10" s="14">
        <v>-1.0719099999999999</v>
      </c>
      <c r="EF10">
        <v>-1.0947100000000001</v>
      </c>
      <c r="EG10">
        <v>19.065484395912218</v>
      </c>
      <c r="EH10" t="s">
        <v>710</v>
      </c>
      <c r="EI10">
        <v>0</v>
      </c>
      <c r="EJ10">
        <v>0</v>
      </c>
      <c r="EK10" s="10">
        <v>45470</v>
      </c>
      <c r="EL10" s="15">
        <v>-0.36</v>
      </c>
      <c r="EM10" s="15">
        <v>-2.2200000000000002</v>
      </c>
      <c r="EN10" s="15">
        <v>0.97</v>
      </c>
      <c r="EO10" s="15">
        <v>4.7300000000000004</v>
      </c>
      <c r="EP10" s="15">
        <v>-2.2799999999999998</v>
      </c>
    </row>
    <row r="11" spans="1:146" ht="96" x14ac:dyDescent="0.25">
      <c r="A11" s="8"/>
      <c r="B11" s="8"/>
      <c r="C11" s="8" t="str">
        <f>""&amp;CHAR(10)&amp;Basic_Fundamental_Information_Constructure(F11)&amp;CHAR(10)&amp;Basic_Fundamental_Information_Concatenate("")</f>
        <v xml:space="preserve">
市值130.660992亿, 利润1.51亿; PE84.61; 平均PE16.09; 平均PEG1.63, PB1.22; ROIC3.57%; ROE4.11%; 股利率0%; 毛利6.62%; 净利1.7967%; 上一年度营收增-7.11%, 利润增256.36%; 当季营收增-.66%, 利润增7.53%; 过往5年营收增-9.87%, 利润增35.59%
Income profile:
</v>
      </c>
      <c r="D11" t="s">
        <v>46</v>
      </c>
      <c r="E11" t="s">
        <v>12</v>
      </c>
      <c r="F11">
        <v>8.2899999999999991</v>
      </c>
      <c r="G11">
        <v>-0.12</v>
      </c>
      <c r="H11" t="s">
        <v>711</v>
      </c>
      <c r="I11">
        <v>13066099200</v>
      </c>
      <c r="J11">
        <v>84.61</v>
      </c>
      <c r="K11">
        <v>1.22</v>
      </c>
      <c r="L11" t="s">
        <v>182</v>
      </c>
      <c r="M11" t="s">
        <v>712</v>
      </c>
      <c r="N11" t="s">
        <v>713</v>
      </c>
      <c r="O11" t="s">
        <v>714</v>
      </c>
      <c r="P11">
        <v>-0.66</v>
      </c>
      <c r="Q11" t="s">
        <v>715</v>
      </c>
      <c r="R11">
        <v>55752511</v>
      </c>
      <c r="S11" s="6">
        <v>7.5300000000000006E-2</v>
      </c>
      <c r="T11" t="s">
        <v>434</v>
      </c>
      <c r="U11">
        <v>1460889900</v>
      </c>
      <c r="V11">
        <v>1576127800</v>
      </c>
      <c r="W11">
        <v>3.32</v>
      </c>
      <c r="X11">
        <v>0.17</v>
      </c>
      <c r="Y11">
        <v>0.87</v>
      </c>
      <c r="Z11" t="s">
        <v>716</v>
      </c>
      <c r="AA11" t="s">
        <v>717</v>
      </c>
      <c r="AB11" t="s">
        <v>718</v>
      </c>
      <c r="AC11" t="s">
        <v>719</v>
      </c>
      <c r="AD11" t="s">
        <v>16</v>
      </c>
      <c r="AE11">
        <v>236928880</v>
      </c>
      <c r="AF11" t="s">
        <v>720</v>
      </c>
      <c r="AG11" t="s">
        <v>721</v>
      </c>
      <c r="AH11" t="s">
        <v>722</v>
      </c>
      <c r="AI11" t="s">
        <v>723</v>
      </c>
      <c r="AJ11" t="s">
        <v>724</v>
      </c>
      <c r="AK11" t="s">
        <v>725</v>
      </c>
      <c r="AL11" t="s">
        <v>726</v>
      </c>
      <c r="AM11" t="s">
        <v>16</v>
      </c>
      <c r="AN11" t="s">
        <v>727</v>
      </c>
      <c r="AO11" t="s">
        <v>728</v>
      </c>
      <c r="AP11" t="s">
        <v>729</v>
      </c>
      <c r="AQ11" t="s">
        <v>326</v>
      </c>
      <c r="AR11" t="s">
        <v>730</v>
      </c>
      <c r="AS11" t="s">
        <v>731</v>
      </c>
      <c r="AT11" t="s">
        <v>732</v>
      </c>
      <c r="AU11" t="s">
        <v>733</v>
      </c>
      <c r="AV11" t="s">
        <v>734</v>
      </c>
      <c r="AW11" t="s">
        <v>735</v>
      </c>
      <c r="AX11" t="s">
        <v>736</v>
      </c>
      <c r="AY11" t="s">
        <v>737</v>
      </c>
      <c r="AZ11" t="s">
        <v>132</v>
      </c>
      <c r="BA11" t="s">
        <v>47</v>
      </c>
      <c r="BB11" t="s">
        <v>133</v>
      </c>
      <c r="BC11" t="s">
        <v>738</v>
      </c>
      <c r="BD11" t="s">
        <v>739</v>
      </c>
      <c r="BE11" t="s">
        <v>88</v>
      </c>
      <c r="BF11" t="s">
        <v>48</v>
      </c>
      <c r="BG11" t="s">
        <v>134</v>
      </c>
      <c r="BH11" t="s">
        <v>715</v>
      </c>
      <c r="BI11" t="s">
        <v>740</v>
      </c>
      <c r="BJ11" t="s">
        <v>736</v>
      </c>
      <c r="BK11" t="s">
        <v>434</v>
      </c>
      <c r="BL11" t="s">
        <v>741</v>
      </c>
      <c r="BM11" t="s">
        <v>738</v>
      </c>
      <c r="BN11">
        <v>1.82</v>
      </c>
      <c r="BO11" t="s">
        <v>16</v>
      </c>
      <c r="BP11">
        <v>5.32</v>
      </c>
      <c r="BQ11">
        <v>1.1100000000000001</v>
      </c>
      <c r="BR11">
        <v>0.4</v>
      </c>
      <c r="BS11">
        <v>10.82</v>
      </c>
      <c r="BT11" t="s">
        <v>427</v>
      </c>
      <c r="BU11" t="s">
        <v>304</v>
      </c>
      <c r="BV11">
        <v>5.55</v>
      </c>
      <c r="BW11">
        <v>4.25</v>
      </c>
      <c r="BX11">
        <v>10.06</v>
      </c>
      <c r="BY11">
        <v>0.64</v>
      </c>
      <c r="BZ11">
        <v>0.17</v>
      </c>
      <c r="CA11">
        <v>4.58</v>
      </c>
      <c r="CB11">
        <v>0.97</v>
      </c>
      <c r="CC11">
        <v>-9.4</v>
      </c>
      <c r="CD11" t="s">
        <v>742</v>
      </c>
      <c r="CE11" t="s">
        <v>743</v>
      </c>
      <c r="CF11" s="11">
        <v>-6.5642458100557332E-3</v>
      </c>
      <c r="CG11" s="12">
        <v>7.5275769293821543E-2</v>
      </c>
      <c r="CH11" s="11">
        <v>-7.1098335087299347E-2</v>
      </c>
      <c r="CI11" s="11">
        <v>1.8060687929391861E-2</v>
      </c>
      <c r="CJ11" s="11">
        <v>-1.3788542710244656E-2</v>
      </c>
      <c r="CK11" s="11">
        <v>-0.37035593390464783</v>
      </c>
      <c r="CL11" s="11">
        <v>-5.6290015578269958E-2</v>
      </c>
      <c r="CM11" s="12">
        <v>2.5635647773742676</v>
      </c>
      <c r="CN11" s="12">
        <v>-0.96705037355422974</v>
      </c>
      <c r="CO11" s="12">
        <v>6.2809914350509644E-2</v>
      </c>
      <c r="CP11" s="12">
        <v>9.6014492213726044E-2</v>
      </c>
      <c r="CQ11" s="12">
        <v>2.4118738248944283E-2</v>
      </c>
      <c r="CR11">
        <v>16.093325305207056</v>
      </c>
      <c r="CS11">
        <v>1.6306214699750063</v>
      </c>
      <c r="CT11">
        <v>0</v>
      </c>
      <c r="CU11" s="11">
        <v>-9.8694427870213985E-2</v>
      </c>
      <c r="CV11" s="12">
        <v>0.35589150972664357</v>
      </c>
      <c r="CW11">
        <v>0.06</v>
      </c>
      <c r="CX11">
        <v>196.39800794701986</v>
      </c>
      <c r="CY11" t="s">
        <v>744</v>
      </c>
      <c r="CZ11">
        <v>-9.8694427870213985E-2</v>
      </c>
      <c r="DA11">
        <v>65.466002649006626</v>
      </c>
      <c r="DB11" t="s">
        <v>745</v>
      </c>
      <c r="DC11">
        <v>-9.3759706476703286E-2</v>
      </c>
      <c r="DD11">
        <v>32.733001324503313</v>
      </c>
      <c r="DE11" t="s">
        <v>746</v>
      </c>
      <c r="DF11">
        <v>-8.6851096525788304E-2</v>
      </c>
      <c r="DG11">
        <v>19.639800794701987</v>
      </c>
      <c r="DH11" t="s">
        <v>747</v>
      </c>
      <c r="DI11">
        <v>-7.8955542296171188E-2</v>
      </c>
      <c r="DJ11">
        <v>9.8199003973509935</v>
      </c>
      <c r="DK11" t="s">
        <v>748</v>
      </c>
      <c r="DL11">
        <v>-6.908609950914979E-2</v>
      </c>
      <c r="DM11">
        <v>151000000</v>
      </c>
      <c r="DN11">
        <v>-9.8694427870213985E-2</v>
      </c>
      <c r="DO11">
        <v>29656099200</v>
      </c>
      <c r="DP11">
        <v>551493000</v>
      </c>
      <c r="DQ11">
        <v>730</v>
      </c>
      <c r="DR11">
        <v>9.2130182060158258E-2</v>
      </c>
      <c r="DS11">
        <v>-0.280615740432822</v>
      </c>
      <c r="DT11" s="13">
        <v>-0.55666666666666664</v>
      </c>
      <c r="DU11">
        <v>-1.8503717077085941E-17</v>
      </c>
      <c r="DV11">
        <v>-0.55666666666666664</v>
      </c>
      <c r="DW11">
        <v>-2.0939999999999999</v>
      </c>
      <c r="DX11">
        <v>0.25187096774193585</v>
      </c>
      <c r="DY11">
        <v>-2.0114558709677421</v>
      </c>
      <c r="DZ11">
        <v>2963</v>
      </c>
      <c r="EA11">
        <v>-2.0048132592891865</v>
      </c>
      <c r="EB11">
        <v>2</v>
      </c>
      <c r="EC11">
        <v>1.1985068723488031E-2</v>
      </c>
      <c r="ED11">
        <v>9.834227909691079E-2</v>
      </c>
      <c r="EE11" s="14">
        <v>4.3409999999999997E-2</v>
      </c>
      <c r="EF11">
        <v>6.4809999999999993E-2</v>
      </c>
      <c r="EG11">
        <v>13.121870967741936</v>
      </c>
      <c r="EH11">
        <v>-1</v>
      </c>
      <c r="EI11">
        <v>0</v>
      </c>
      <c r="EJ11">
        <v>0</v>
      </c>
      <c r="EK11" s="10">
        <v>45470</v>
      </c>
      <c r="EL11" s="15">
        <v>-0.95</v>
      </c>
      <c r="EM11" s="15">
        <v>-3.36</v>
      </c>
      <c r="EN11" s="15">
        <v>1.49</v>
      </c>
      <c r="EO11" s="15">
        <v>3.06</v>
      </c>
      <c r="EP11" s="15">
        <v>-2.14</v>
      </c>
    </row>
    <row r="12" spans="1:146" ht="96" x14ac:dyDescent="0.25">
      <c r="C12" s="8" t="str">
        <f>""&amp;CHAR(10)&amp;Basic_Fundamental_Information_Constructure(F12)&amp;CHAR(10)&amp;Basic_Fundamental_Information_Concatenate("")</f>
        <v xml:space="preserve">
市值17.226914亿, 利润-1.47亿; PE; 平均PE-2.48; 平均PEG-.11, PB3.3; ROIC0%; ROE-47.6833%; 股利率0%; 毛利1.9467%; 净利-23.76%; 上一年度营收增-62.56%, 利润增72.78%; 当季营收增-64.4%, 利润增84.12%; 过往5年营收增-23.3%, 利润增-176.74%
Income profile:
</v>
      </c>
      <c r="D12" t="s">
        <v>749</v>
      </c>
      <c r="E12" t="s">
        <v>750</v>
      </c>
      <c r="F12">
        <v>1.88</v>
      </c>
      <c r="G12">
        <v>2.17</v>
      </c>
      <c r="H12" t="s">
        <v>751</v>
      </c>
      <c r="I12">
        <v>1722691400</v>
      </c>
      <c r="K12">
        <v>3.3</v>
      </c>
      <c r="L12" t="s">
        <v>182</v>
      </c>
      <c r="M12" t="s">
        <v>663</v>
      </c>
      <c r="N12" t="s">
        <v>752</v>
      </c>
      <c r="O12" t="s">
        <v>753</v>
      </c>
      <c r="P12" s="6">
        <v>-64.430000000000007</v>
      </c>
      <c r="Q12" t="s">
        <v>754</v>
      </c>
      <c r="R12">
        <v>-5860492</v>
      </c>
      <c r="S12">
        <v>0.84119999999999995</v>
      </c>
      <c r="T12" t="s">
        <v>755</v>
      </c>
      <c r="U12">
        <v>910399240</v>
      </c>
      <c r="V12">
        <v>916325200</v>
      </c>
      <c r="W12">
        <v>1.93</v>
      </c>
      <c r="X12">
        <v>0.08</v>
      </c>
      <c r="Y12">
        <v>-7.25</v>
      </c>
      <c r="Z12" t="s">
        <v>756</v>
      </c>
      <c r="AA12" t="s">
        <v>757</v>
      </c>
      <c r="AB12" t="s">
        <v>758</v>
      </c>
      <c r="AC12" t="s">
        <v>759</v>
      </c>
      <c r="AD12" t="s">
        <v>16</v>
      </c>
      <c r="AE12">
        <v>4279016</v>
      </c>
      <c r="AF12" t="s">
        <v>760</v>
      </c>
      <c r="AG12" t="s">
        <v>761</v>
      </c>
      <c r="AH12" t="s">
        <v>762</v>
      </c>
      <c r="AI12" t="s">
        <v>763</v>
      </c>
      <c r="AJ12" t="s">
        <v>764</v>
      </c>
      <c r="AK12" t="s">
        <v>765</v>
      </c>
      <c r="AL12" t="s">
        <v>766</v>
      </c>
      <c r="AM12" t="s">
        <v>16</v>
      </c>
      <c r="AN12">
        <v>0</v>
      </c>
      <c r="AO12" t="s">
        <v>767</v>
      </c>
      <c r="AP12" t="s">
        <v>16</v>
      </c>
      <c r="AQ12" t="s">
        <v>768</v>
      </c>
      <c r="AR12" t="s">
        <v>769</v>
      </c>
      <c r="AS12" t="s">
        <v>770</v>
      </c>
      <c r="AT12" t="s">
        <v>16</v>
      </c>
      <c r="AU12" t="s">
        <v>771</v>
      </c>
      <c r="AV12" t="s">
        <v>772</v>
      </c>
      <c r="AW12" t="s">
        <v>773</v>
      </c>
      <c r="AX12" t="s">
        <v>774</v>
      </c>
      <c r="AY12" t="s">
        <v>775</v>
      </c>
      <c r="AZ12" t="s">
        <v>776</v>
      </c>
      <c r="BA12" t="s">
        <v>777</v>
      </c>
      <c r="BB12" t="s">
        <v>778</v>
      </c>
      <c r="BC12" t="s">
        <v>779</v>
      </c>
      <c r="BD12" t="s">
        <v>780</v>
      </c>
      <c r="BE12" t="s">
        <v>781</v>
      </c>
      <c r="BF12" t="s">
        <v>84</v>
      </c>
      <c r="BG12" t="s">
        <v>782</v>
      </c>
      <c r="BH12" t="s">
        <v>754</v>
      </c>
      <c r="BI12" t="s">
        <v>341</v>
      </c>
      <c r="BJ12" t="s">
        <v>774</v>
      </c>
      <c r="BK12" t="s">
        <v>755</v>
      </c>
      <c r="BL12" t="s">
        <v>783</v>
      </c>
      <c r="BM12" t="s">
        <v>779</v>
      </c>
      <c r="BN12" t="s">
        <v>16</v>
      </c>
      <c r="BO12" t="s">
        <v>16</v>
      </c>
      <c r="BP12" t="s">
        <v>16</v>
      </c>
      <c r="BQ12">
        <v>-15.31</v>
      </c>
      <c r="BR12">
        <v>-61.81</v>
      </c>
      <c r="BS12">
        <v>-65.930000000000007</v>
      </c>
      <c r="BT12" t="s">
        <v>427</v>
      </c>
      <c r="BU12" t="s">
        <v>304</v>
      </c>
      <c r="BV12">
        <v>7.3</v>
      </c>
      <c r="BW12">
        <v>-0.23</v>
      </c>
      <c r="BX12">
        <v>-1.23</v>
      </c>
      <c r="BY12">
        <v>-17.96</v>
      </c>
      <c r="BZ12">
        <v>-23.5</v>
      </c>
      <c r="CA12">
        <v>-29.82</v>
      </c>
      <c r="CB12">
        <v>6.21</v>
      </c>
      <c r="CC12" s="11">
        <v>-14.55</v>
      </c>
      <c r="CD12" s="12" t="s">
        <v>784</v>
      </c>
      <c r="CE12" s="11" t="s">
        <v>785</v>
      </c>
      <c r="CF12" s="11">
        <v>-0.64397136563876656</v>
      </c>
      <c r="CG12" s="11">
        <v>0.84123028074956852</v>
      </c>
      <c r="CH12" s="11">
        <v>-0.62562471628189087</v>
      </c>
      <c r="CI12" s="11">
        <v>-0.42048445343971252</v>
      </c>
      <c r="CJ12" s="12">
        <v>-0.13642570376396179</v>
      </c>
      <c r="CK12" s="12">
        <v>-0.10899510979652405</v>
      </c>
      <c r="CL12" s="12">
        <v>0.12668335437774658</v>
      </c>
      <c r="CM12" s="12">
        <v>0.72777777910232544</v>
      </c>
      <c r="CN12" s="12">
        <v>0.51871657371520996</v>
      </c>
      <c r="CO12">
        <v>0.62285715341567993</v>
      </c>
      <c r="CP12">
        <v>-10.690554618835449</v>
      </c>
      <c r="CQ12">
        <v>-1.6025641933083534E-2</v>
      </c>
      <c r="CR12" s="11">
        <v>-2.4816682833133257</v>
      </c>
      <c r="CS12" s="12">
        <v>-0.10652339208156478</v>
      </c>
      <c r="CT12">
        <v>0</v>
      </c>
      <c r="CU12">
        <v>-0.23296932578086854</v>
      </c>
      <c r="CV12">
        <v>-1.7674457509070636</v>
      </c>
      <c r="CW12">
        <v>0.06</v>
      </c>
      <c r="CX12" t="e">
        <v>#VALUE!</v>
      </c>
      <c r="CY12" t="s">
        <v>320</v>
      </c>
      <c r="CZ12">
        <v>-0.23296932578086854</v>
      </c>
      <c r="DA12" t="e">
        <v>#VALUE!</v>
      </c>
      <c r="DB12" t="s">
        <v>321</v>
      </c>
      <c r="DC12">
        <v>-0.22132085949182512</v>
      </c>
      <c r="DD12" t="e">
        <v>#VALUE!</v>
      </c>
      <c r="DE12" t="s">
        <v>321</v>
      </c>
      <c r="DF12">
        <v>-0.20501300668716432</v>
      </c>
      <c r="DG12" t="e">
        <v>#VALUE!</v>
      </c>
      <c r="DH12" t="s">
        <v>321</v>
      </c>
      <c r="DI12">
        <v>-0.18637546062469484</v>
      </c>
      <c r="DJ12" t="e">
        <v>#VALUE!</v>
      </c>
      <c r="DK12" t="s">
        <v>321</v>
      </c>
      <c r="DL12">
        <v>-0.16307852804660797</v>
      </c>
      <c r="DM12">
        <v>-147000000</v>
      </c>
      <c r="DN12">
        <v>-0.23296932578086854</v>
      </c>
      <c r="DO12">
        <v>1662691400</v>
      </c>
      <c r="DP12">
        <v>155353150</v>
      </c>
      <c r="DQ12" s="13">
        <v>883</v>
      </c>
      <c r="DR12">
        <v>-0.41100203985789802</v>
      </c>
      <c r="DS12">
        <v>2.608676031656632</v>
      </c>
      <c r="DT12">
        <v>-0.92333333333333334</v>
      </c>
      <c r="DU12">
        <v>-1.1683333333333334</v>
      </c>
      <c r="DV12">
        <v>-2.0916666666666668</v>
      </c>
      <c r="DW12">
        <v>7.2991329479768785</v>
      </c>
      <c r="DX12">
        <v>0.26863747534516713</v>
      </c>
      <c r="DY12">
        <v>7.0384797072203034</v>
      </c>
      <c r="DZ12">
        <v>4449</v>
      </c>
      <c r="EA12">
        <v>7.0049775120298667</v>
      </c>
      <c r="EB12" s="14">
        <v>7</v>
      </c>
      <c r="EC12" s="14">
        <v>7.1174731416313766E-2</v>
      </c>
      <c r="ED12">
        <v>0.55329701725981129</v>
      </c>
      <c r="EE12">
        <v>6.4909999999999995E-2</v>
      </c>
      <c r="EF12">
        <v>9.2509999999999995E-2</v>
      </c>
      <c r="EG12">
        <v>14.128637475345167</v>
      </c>
      <c r="EH12" s="10">
        <v>-1</v>
      </c>
      <c r="EI12">
        <v>1</v>
      </c>
      <c r="EJ12">
        <v>0</v>
      </c>
      <c r="EK12">
        <v>45470</v>
      </c>
      <c r="EL12">
        <v>-1.06</v>
      </c>
      <c r="EM12">
        <v>-4.3</v>
      </c>
      <c r="EN12" s="15">
        <v>0</v>
      </c>
      <c r="EO12" s="15">
        <v>1.69</v>
      </c>
      <c r="EP12" s="15">
        <v>-2.76</v>
      </c>
    </row>
    <row r="13" spans="1:146" ht="96" x14ac:dyDescent="0.25">
      <c r="A13" s="8"/>
      <c r="B13" s="8"/>
      <c r="C13" s="8" t="str">
        <f>""&amp;CHAR(10)&amp;Basic_Fundamental_Information_Constructure(F13)&amp;CHAR(10)&amp;Basic_Fundamental_Information_Concatenate("")</f>
        <v xml:space="preserve">
市值156.07196亿, 利润-3.84亿; PE; 平均PE18.43; 平均PEG13.46, PB1.34; ROIC6.3533%; ROE9.1667%; 股利率1.2856%; 毛利9.15%; 净利2.4367%; 上一年度营收增-9.7%, 利润增-160.57%; 当季营收增-10.78%, 利润增276.86%; 过往5年营收增1.37%, 利润增-11.58%
Income profile:
</v>
      </c>
      <c r="D13" t="s">
        <v>192</v>
      </c>
      <c r="E13" t="s">
        <v>193</v>
      </c>
      <c r="F13">
        <v>5.49</v>
      </c>
      <c r="G13">
        <v>1.1000000000000001</v>
      </c>
      <c r="H13" t="s">
        <v>786</v>
      </c>
      <c r="I13">
        <v>15607196000</v>
      </c>
      <c r="K13">
        <v>1.34</v>
      </c>
      <c r="L13" t="s">
        <v>182</v>
      </c>
      <c r="M13" t="s">
        <v>787</v>
      </c>
      <c r="N13" t="s">
        <v>788</v>
      </c>
      <c r="O13" t="s">
        <v>789</v>
      </c>
      <c r="P13">
        <v>-10.79</v>
      </c>
      <c r="Q13" t="s">
        <v>790</v>
      </c>
      <c r="R13">
        <v>140000000</v>
      </c>
      <c r="S13" s="6">
        <v>1.4059999999999999</v>
      </c>
      <c r="T13" t="s">
        <v>791</v>
      </c>
      <c r="U13">
        <v>2751130600</v>
      </c>
      <c r="V13">
        <v>2842840900</v>
      </c>
      <c r="W13">
        <v>2.16</v>
      </c>
      <c r="X13">
        <v>0.21</v>
      </c>
      <c r="Y13">
        <v>0.5</v>
      </c>
      <c r="Z13" t="s">
        <v>792</v>
      </c>
      <c r="AA13" t="s">
        <v>793</v>
      </c>
      <c r="AB13" t="s">
        <v>794</v>
      </c>
      <c r="AC13" t="s">
        <v>542</v>
      </c>
      <c r="AD13" t="s">
        <v>16</v>
      </c>
      <c r="AE13">
        <v>33044775</v>
      </c>
      <c r="AF13" t="s">
        <v>795</v>
      </c>
      <c r="AG13" t="s">
        <v>796</v>
      </c>
      <c r="AH13" t="s">
        <v>797</v>
      </c>
      <c r="AI13" t="s">
        <v>798</v>
      </c>
      <c r="AJ13" t="s">
        <v>799</v>
      </c>
      <c r="AK13" t="s">
        <v>346</v>
      </c>
      <c r="AL13" t="s">
        <v>800</v>
      </c>
      <c r="AM13" t="s">
        <v>16</v>
      </c>
      <c r="AN13" t="s">
        <v>351</v>
      </c>
      <c r="AO13" t="s">
        <v>801</v>
      </c>
      <c r="AP13" t="s">
        <v>802</v>
      </c>
      <c r="AQ13" t="s">
        <v>803</v>
      </c>
      <c r="AR13" t="s">
        <v>16</v>
      </c>
      <c r="AS13" t="s">
        <v>804</v>
      </c>
      <c r="AT13" t="s">
        <v>805</v>
      </c>
      <c r="AU13" t="s">
        <v>806</v>
      </c>
      <c r="AV13" t="s">
        <v>807</v>
      </c>
      <c r="AW13" t="s">
        <v>331</v>
      </c>
      <c r="AX13" t="s">
        <v>808</v>
      </c>
      <c r="AY13" t="s">
        <v>244</v>
      </c>
      <c r="AZ13" t="s">
        <v>194</v>
      </c>
      <c r="BA13" t="s">
        <v>195</v>
      </c>
      <c r="BB13" t="s">
        <v>196</v>
      </c>
      <c r="BC13" t="s">
        <v>809</v>
      </c>
      <c r="BD13" t="s">
        <v>245</v>
      </c>
      <c r="BE13" t="s">
        <v>166</v>
      </c>
      <c r="BF13" t="s">
        <v>115</v>
      </c>
      <c r="BG13" t="s">
        <v>118</v>
      </c>
      <c r="BH13" t="s">
        <v>790</v>
      </c>
      <c r="BI13" t="s">
        <v>156</v>
      </c>
      <c r="BJ13" t="s">
        <v>808</v>
      </c>
      <c r="BK13" t="s">
        <v>791</v>
      </c>
      <c r="BL13" t="s">
        <v>810</v>
      </c>
      <c r="BM13" t="s">
        <v>809</v>
      </c>
      <c r="BN13">
        <v>1.68</v>
      </c>
      <c r="BO13">
        <v>3.53</v>
      </c>
      <c r="BP13">
        <v>13.85</v>
      </c>
      <c r="BQ13">
        <v>1.4</v>
      </c>
      <c r="BR13">
        <v>4.83</v>
      </c>
      <c r="BS13">
        <v>21.27</v>
      </c>
      <c r="BT13" t="s">
        <v>811</v>
      </c>
      <c r="BU13" t="s">
        <v>304</v>
      </c>
      <c r="BV13">
        <v>6.12</v>
      </c>
      <c r="BW13">
        <v>8.7899999999999991</v>
      </c>
      <c r="BX13">
        <v>12.54</v>
      </c>
      <c r="BY13">
        <v>-1.7</v>
      </c>
      <c r="BZ13">
        <v>2</v>
      </c>
      <c r="CA13">
        <v>7.01</v>
      </c>
      <c r="CB13">
        <v>-1.96</v>
      </c>
      <c r="CC13">
        <v>2.06</v>
      </c>
      <c r="CD13" t="s">
        <v>256</v>
      </c>
      <c r="CE13" t="s">
        <v>812</v>
      </c>
      <c r="CF13" s="11">
        <v>-0.10778248127645718</v>
      </c>
      <c r="CG13" s="12">
        <v>2.7685677506723714</v>
      </c>
      <c r="CH13" s="11">
        <v>-9.7014397382736206E-2</v>
      </c>
      <c r="CI13" s="11">
        <v>-0.14564946293830872</v>
      </c>
      <c r="CJ13" s="11">
        <v>0.41343274712562561</v>
      </c>
      <c r="CK13" s="11">
        <v>-0.17872114479541779</v>
      </c>
      <c r="CL13" s="11">
        <v>7.6421700417995453E-2</v>
      </c>
      <c r="CM13" s="12">
        <v>-1.6056782007217407</v>
      </c>
      <c r="CN13" s="12">
        <v>-0.73506057262420654</v>
      </c>
      <c r="CO13" s="12">
        <v>1.4518442153930664</v>
      </c>
      <c r="CP13" s="12">
        <v>0.57419353723526001</v>
      </c>
      <c r="CQ13" s="12">
        <v>-0.26453143358230591</v>
      </c>
      <c r="CR13">
        <v>18.42644155844156</v>
      </c>
      <c r="CS13">
        <v>13.455959991235977</v>
      </c>
      <c r="CT13">
        <v>1.2856102003642986</v>
      </c>
      <c r="CU13" s="11">
        <v>1.3693888485431672E-2</v>
      </c>
      <c r="CV13" s="12">
        <v>-0.11584649085998536</v>
      </c>
      <c r="CW13">
        <v>0.06</v>
      </c>
      <c r="CX13" t="e">
        <v>#VALUE!</v>
      </c>
      <c r="CY13" t="s">
        <v>321</v>
      </c>
      <c r="CZ13">
        <v>1.3693888485431672E-2</v>
      </c>
      <c r="DA13" t="e">
        <v>#VALUE!</v>
      </c>
      <c r="DB13" t="s">
        <v>321</v>
      </c>
      <c r="DC13">
        <v>1.3009194061160087E-2</v>
      </c>
      <c r="DD13" t="e">
        <v>#VALUE!</v>
      </c>
      <c r="DE13" t="s">
        <v>321</v>
      </c>
      <c r="DF13">
        <v>1.2050621867179871E-2</v>
      </c>
      <c r="DG13" t="e">
        <v>#VALUE!</v>
      </c>
      <c r="DH13" t="s">
        <v>321</v>
      </c>
      <c r="DI13">
        <v>1.0955110788345337E-2</v>
      </c>
      <c r="DJ13" t="e">
        <v>#VALUE!</v>
      </c>
      <c r="DK13" t="s">
        <v>321</v>
      </c>
      <c r="DL13">
        <v>9.5857219398021703E-3</v>
      </c>
      <c r="DM13">
        <v>-384000000</v>
      </c>
      <c r="DN13">
        <v>1.3693888485431672E-2</v>
      </c>
      <c r="DO13">
        <v>17761196000</v>
      </c>
      <c r="DP13">
        <v>-3828143100</v>
      </c>
      <c r="DQ13">
        <v>914</v>
      </c>
      <c r="DR13">
        <v>-0.12147636976188884</v>
      </c>
      <c r="DS13">
        <v>2.8844142415323568</v>
      </c>
      <c r="DT13" s="13">
        <v>-0.42333333333333334</v>
      </c>
      <c r="DU13">
        <v>-0.76666666666666661</v>
      </c>
      <c r="DV13">
        <v>-1.19</v>
      </c>
      <c r="DW13">
        <v>2.06E-2</v>
      </c>
      <c r="DX13">
        <v>0.33267015706806419</v>
      </c>
      <c r="DY13">
        <v>2.9390052356020944E-3</v>
      </c>
      <c r="DZ13">
        <v>3751</v>
      </c>
      <c r="EA13">
        <v>7.8162585424329674E-4</v>
      </c>
      <c r="EB13">
        <v>0</v>
      </c>
      <c r="EC13">
        <v>3.834192761191807E-2</v>
      </c>
      <c r="ED13">
        <v>0.26874525408720551</v>
      </c>
      <c r="EE13" s="14">
        <v>1.3900000000000001E-2</v>
      </c>
      <c r="EF13">
        <v>1.4999999999999996E-3</v>
      </c>
      <c r="EG13">
        <v>19.142670157068064</v>
      </c>
      <c r="EH13" t="s">
        <v>322</v>
      </c>
      <c r="EI13">
        <v>0</v>
      </c>
      <c r="EJ13">
        <v>0</v>
      </c>
      <c r="EK13" s="10">
        <v>45470</v>
      </c>
      <c r="EL13" s="15">
        <v>0.71</v>
      </c>
      <c r="EM13" s="15">
        <v>-3.37</v>
      </c>
      <c r="EN13" s="15">
        <v>1.47</v>
      </c>
      <c r="EO13" s="15">
        <v>2.35</v>
      </c>
      <c r="EP13" s="15">
        <v>-1.24</v>
      </c>
    </row>
    <row r="14" spans="1:146" ht="96" x14ac:dyDescent="0.25">
      <c r="A14" s="8"/>
      <c r="B14" s="8"/>
      <c r="C14" s="8" t="str">
        <f>""&amp;CHAR(10)&amp;Basic_Fundamental_Information_Constructure(F14)&amp;CHAR(10)&amp;Basic_Fundamental_Information_Concatenate("")</f>
        <v xml:space="preserve">
市值23.0112亿, 利润523.33万; PE146.7; 平均PE-129.41; 平均PEG-279.03, PB2.61; ROIC1.6%; ROE1.8667%; 股利率.266%; 毛利17.97%; 净利3.0267%; 上一年度营收增-34.63%, 利润增-82.38%; 当季营收增36.17%, 利润增266.31%; 过往5年营收增.46%, 利润增13.65%
Income profile:
</v>
      </c>
      <c r="D14" t="s">
        <v>197</v>
      </c>
      <c r="E14" t="s">
        <v>198</v>
      </c>
      <c r="F14">
        <v>3.76</v>
      </c>
      <c r="G14">
        <v>1.62</v>
      </c>
      <c r="H14" t="s">
        <v>813</v>
      </c>
      <c r="I14">
        <v>2301120000</v>
      </c>
      <c r="J14">
        <v>146.69999999999999</v>
      </c>
      <c r="K14">
        <v>2.61</v>
      </c>
      <c r="L14" t="s">
        <v>182</v>
      </c>
      <c r="M14" t="s">
        <v>814</v>
      </c>
      <c r="N14" t="s">
        <v>815</v>
      </c>
      <c r="O14" t="s">
        <v>343</v>
      </c>
      <c r="P14">
        <v>36.57</v>
      </c>
      <c r="Q14" t="s">
        <v>816</v>
      </c>
      <c r="R14">
        <v>6526072</v>
      </c>
      <c r="S14" s="6">
        <v>2.6629999999999998</v>
      </c>
      <c r="T14" t="s">
        <v>817</v>
      </c>
      <c r="U14">
        <v>611950950</v>
      </c>
      <c r="V14">
        <v>612000000</v>
      </c>
      <c r="W14">
        <v>1.0900000000000001</v>
      </c>
      <c r="X14">
        <v>0.14000000000000001</v>
      </c>
      <c r="Y14">
        <v>4.8600000000000003</v>
      </c>
      <c r="Z14" t="s">
        <v>818</v>
      </c>
      <c r="AA14" t="s">
        <v>256</v>
      </c>
      <c r="AB14" t="s">
        <v>819</v>
      </c>
      <c r="AC14" t="s">
        <v>820</v>
      </c>
      <c r="AD14" t="s">
        <v>16</v>
      </c>
      <c r="AE14">
        <v>-641000</v>
      </c>
      <c r="AF14" t="s">
        <v>821</v>
      </c>
      <c r="AG14" t="s">
        <v>16</v>
      </c>
      <c r="AH14" t="s">
        <v>822</v>
      </c>
      <c r="AI14" t="s">
        <v>823</v>
      </c>
      <c r="AJ14" t="s">
        <v>824</v>
      </c>
      <c r="AK14" t="s">
        <v>825</v>
      </c>
      <c r="AL14" t="s">
        <v>826</v>
      </c>
      <c r="AM14" t="s">
        <v>16</v>
      </c>
      <c r="AN14" t="s">
        <v>827</v>
      </c>
      <c r="AO14" t="s">
        <v>828</v>
      </c>
      <c r="AP14" t="s">
        <v>829</v>
      </c>
      <c r="AQ14" t="s">
        <v>830</v>
      </c>
      <c r="AR14" t="s">
        <v>16</v>
      </c>
      <c r="AS14" t="s">
        <v>831</v>
      </c>
      <c r="AT14" t="s">
        <v>16</v>
      </c>
      <c r="AU14" t="s">
        <v>832</v>
      </c>
      <c r="AV14" t="s">
        <v>833</v>
      </c>
      <c r="AW14" t="s">
        <v>834</v>
      </c>
      <c r="AX14" t="s">
        <v>241</v>
      </c>
      <c r="AY14" t="s">
        <v>246</v>
      </c>
      <c r="AZ14" t="s">
        <v>199</v>
      </c>
      <c r="BA14" t="s">
        <v>201</v>
      </c>
      <c r="BB14" t="s">
        <v>202</v>
      </c>
      <c r="BC14" t="s">
        <v>835</v>
      </c>
      <c r="BD14" t="s">
        <v>247</v>
      </c>
      <c r="BE14" t="s">
        <v>200</v>
      </c>
      <c r="BF14" t="s">
        <v>203</v>
      </c>
      <c r="BG14" t="s">
        <v>163</v>
      </c>
      <c r="BH14" t="s">
        <v>816</v>
      </c>
      <c r="BI14" t="s">
        <v>836</v>
      </c>
      <c r="BJ14" t="s">
        <v>241</v>
      </c>
      <c r="BK14" t="s">
        <v>817</v>
      </c>
      <c r="BL14" t="s">
        <v>837</v>
      </c>
      <c r="BM14" t="s">
        <v>835</v>
      </c>
      <c r="BN14">
        <v>0.11</v>
      </c>
      <c r="BO14">
        <v>2.75</v>
      </c>
      <c r="BP14">
        <v>1.94</v>
      </c>
      <c r="BQ14">
        <v>-0.03</v>
      </c>
      <c r="BR14">
        <v>3.47</v>
      </c>
      <c r="BS14">
        <v>2.16</v>
      </c>
      <c r="BT14" t="s">
        <v>838</v>
      </c>
      <c r="BU14" t="s">
        <v>304</v>
      </c>
      <c r="BV14">
        <v>16.8</v>
      </c>
      <c r="BW14">
        <v>21.88</v>
      </c>
      <c r="BX14">
        <v>15.23</v>
      </c>
      <c r="BY14">
        <v>1.35</v>
      </c>
      <c r="BZ14">
        <v>5</v>
      </c>
      <c r="CA14">
        <v>2.73</v>
      </c>
      <c r="CB14">
        <v>2.4500000000000002</v>
      </c>
      <c r="CC14">
        <v>-6.23</v>
      </c>
      <c r="CD14" t="s">
        <v>839</v>
      </c>
      <c r="CE14" t="s">
        <v>87</v>
      </c>
      <c r="CF14" s="11">
        <v>0.36169174957066075</v>
      </c>
      <c r="CG14" s="12">
        <v>2.663117227319062</v>
      </c>
      <c r="CH14" s="11">
        <v>-0.34628379344940186</v>
      </c>
      <c r="CI14" s="11">
        <v>-9.8934553563594818E-2</v>
      </c>
      <c r="CJ14" s="11">
        <v>0.46979865431785583</v>
      </c>
      <c r="CK14" s="11">
        <v>7.1942448616027832E-2</v>
      </c>
      <c r="CL14" s="11">
        <v>-7.3333330452442169E-2</v>
      </c>
      <c r="CM14" s="12">
        <v>-0.82381123304367065</v>
      </c>
      <c r="CN14" s="12">
        <v>0.65492725372314453</v>
      </c>
      <c r="CO14" s="12">
        <v>0.36149924993515015</v>
      </c>
      <c r="CP14" s="12">
        <v>-0.85552668571472168</v>
      </c>
      <c r="CQ14" s="12">
        <v>1.3456283807754517</v>
      </c>
      <c r="CR14">
        <v>-129.41296667925798</v>
      </c>
      <c r="CS14">
        <v>-279.03443932959357</v>
      </c>
      <c r="CT14">
        <v>0.26595744680851069</v>
      </c>
      <c r="CU14" s="11">
        <v>4.637885093688965E-3</v>
      </c>
      <c r="CV14" s="12">
        <v>0.1365433931350708</v>
      </c>
      <c r="CW14">
        <v>0.06</v>
      </c>
      <c r="CX14">
        <v>303.47219262277093</v>
      </c>
      <c r="CY14">
        <v>4959973.0604347195</v>
      </c>
      <c r="CZ14">
        <v>4.637885093688965E-3</v>
      </c>
      <c r="DA14">
        <v>106.67789379887351</v>
      </c>
      <c r="DB14">
        <v>14109895.184450056</v>
      </c>
      <c r="DC14">
        <v>4.4059908390045163E-3</v>
      </c>
      <c r="DD14">
        <v>57.702171079924859</v>
      </c>
      <c r="DE14">
        <v>26085914.478245314</v>
      </c>
      <c r="DF14">
        <v>4.0813388824462891E-3</v>
      </c>
      <c r="DG14">
        <v>38.356427290177038</v>
      </c>
      <c r="DH14">
        <v>39242807.69459153</v>
      </c>
      <c r="DI14">
        <v>3.7103080749511723E-3</v>
      </c>
      <c r="DJ14">
        <v>24.382480802166715</v>
      </c>
      <c r="DK14">
        <v>61733418.851548582</v>
      </c>
      <c r="DL14">
        <v>3.2465195655822753E-3</v>
      </c>
      <c r="DM14">
        <v>5233300</v>
      </c>
      <c r="DN14">
        <v>4.637885093688965E-3</v>
      </c>
      <c r="DO14">
        <v>1505213900</v>
      </c>
      <c r="DP14">
        <v>542217180</v>
      </c>
      <c r="DQ14">
        <v>975</v>
      </c>
      <c r="DR14">
        <v>0.35705386447697179</v>
      </c>
      <c r="DS14">
        <v>2.5265738341839912</v>
      </c>
      <c r="DT14" s="13">
        <v>-0.47333333333333333</v>
      </c>
      <c r="DU14">
        <v>6.6666666666666721E-2</v>
      </c>
      <c r="DV14">
        <v>-0.40666666666666662</v>
      </c>
      <c r="DW14">
        <v>-2.0623</v>
      </c>
      <c r="DX14">
        <v>0.32056159695817488</v>
      </c>
      <c r="DY14">
        <v>-2.0100029874904943</v>
      </c>
      <c r="DZ14">
        <v>2682</v>
      </c>
      <c r="EA14">
        <v>-2.0047528872068336</v>
      </c>
      <c r="EB14">
        <v>2</v>
      </c>
      <c r="EC14">
        <v>6.8999509803921583E-2</v>
      </c>
      <c r="ED14">
        <v>0.4297385620915033</v>
      </c>
      <c r="EE14" s="14">
        <v>-2.1371000000000002</v>
      </c>
      <c r="EF14">
        <v>-2.1126</v>
      </c>
      <c r="EG14">
        <v>16.160561596958175</v>
      </c>
      <c r="EH14" t="s">
        <v>840</v>
      </c>
      <c r="EI14">
        <v>0</v>
      </c>
      <c r="EJ14">
        <v>0</v>
      </c>
      <c r="EK14" s="10">
        <v>45470</v>
      </c>
      <c r="EL14" s="15">
        <v>1.66</v>
      </c>
      <c r="EM14" s="15">
        <v>-3.53</v>
      </c>
      <c r="EN14" s="15">
        <v>2.25</v>
      </c>
      <c r="EO14" s="15">
        <v>1.38</v>
      </c>
      <c r="EP14" s="15">
        <v>-2.4500000000000002</v>
      </c>
    </row>
    <row r="15" spans="1:146" ht="168" x14ac:dyDescent="0.25">
      <c r="A15" s="8"/>
      <c r="B15" s="8"/>
      <c r="C15" s="8" t="str">
        <f>"公司主要从事各类石化及化纤产品的研发、生产和销售。主要包括烯烃及其下游、芳烃及其下游、汽油、柴油、煤油、精对苯二甲酸（PTA）、聚酯（PET）切片、聚酯（PET）瓶片、涤纶预取向丝（POY）、涤纶全牵引丝（FDY）和涤纶加弹丝（DTY）等三十多类产品。"&amp;CHAR(10)&amp;Basic_Fundamental_Information_Constructure(F15)&amp;CHAR(10)&amp;Basic_Fundamental_Information_Concatenate("化工产品 572.76亿 38.80% 41.65% 18.07%
炼油产品 466.68亿 31.61% 52.84% 28.14%
PTA 249.26亿 16.88% 2.03% 2.02%")</f>
        <v>公司主要从事各类石化及化纤产品的研发、生产和销售。主要包括烯烃及其下游、芳烃及其下游、汽油、柴油、煤油、精对苯二甲酸（PTA）、聚酯（PET）切片、聚酯（PET）瓶片、涤纶预取向丝（POY）、涤纶全牵引丝（FDY）和涤纶加弹丝（DTY）等三十多类产品。
市值963.94998亿, 利润11.58亿; PE30.33; 平均PE20.04; 平均PEG.62, PB2.16; ROIC7.875%; ROE12.35%; 股利率1.0504%; 毛利16.27%; 净利5.35%; 上一年度营收增12.46%, 利润增-65.34%; 当季营收增16.3%, 利润增137.63%; 过往5年营收增32.26%, 利润增41.88%
Income profile:
化工产品 572.76亿 38.80% 41.65% 18.07%
炼油产品 466.68亿 31.61% 52.84% 28.14%
PTA 249.26亿 16.88% 2.03% 2.02%</v>
      </c>
      <c r="D15" t="s">
        <v>204</v>
      </c>
      <c r="E15" t="s">
        <v>205</v>
      </c>
      <c r="F15">
        <v>9.52</v>
      </c>
      <c r="G15">
        <v>0.53</v>
      </c>
      <c r="H15" t="s">
        <v>841</v>
      </c>
      <c r="I15">
        <v>96394998000</v>
      </c>
      <c r="J15">
        <v>30.33</v>
      </c>
      <c r="K15">
        <v>2.16</v>
      </c>
      <c r="L15" t="s">
        <v>182</v>
      </c>
      <c r="M15" t="s">
        <v>842</v>
      </c>
      <c r="N15" t="s">
        <v>843</v>
      </c>
      <c r="O15" t="s">
        <v>844</v>
      </c>
      <c r="P15">
        <v>16.3</v>
      </c>
      <c r="Q15" t="s">
        <v>845</v>
      </c>
      <c r="R15">
        <v>552356780</v>
      </c>
      <c r="S15" s="6">
        <v>1.3759999999999999</v>
      </c>
      <c r="T15" t="s">
        <v>846</v>
      </c>
      <c r="U15">
        <v>9498281300</v>
      </c>
      <c r="V15">
        <v>10125525000</v>
      </c>
      <c r="W15">
        <v>3.99</v>
      </c>
      <c r="X15">
        <v>0.21</v>
      </c>
      <c r="Y15">
        <v>1.35</v>
      </c>
      <c r="Z15" t="s">
        <v>847</v>
      </c>
      <c r="AA15" t="s">
        <v>848</v>
      </c>
      <c r="AB15" t="s">
        <v>849</v>
      </c>
      <c r="AC15" t="s">
        <v>535</v>
      </c>
      <c r="AD15" t="s">
        <v>16</v>
      </c>
      <c r="AE15">
        <v>1895306100</v>
      </c>
      <c r="AF15" t="s">
        <v>850</v>
      </c>
      <c r="AG15" t="s">
        <v>851</v>
      </c>
      <c r="AH15" t="s">
        <v>852</v>
      </c>
      <c r="AI15" t="s">
        <v>853</v>
      </c>
      <c r="AJ15" t="s">
        <v>854</v>
      </c>
      <c r="AK15" t="s">
        <v>16</v>
      </c>
      <c r="AL15" t="s">
        <v>855</v>
      </c>
      <c r="AM15" t="s">
        <v>16</v>
      </c>
      <c r="AN15" t="s">
        <v>856</v>
      </c>
      <c r="AO15" t="s">
        <v>857</v>
      </c>
      <c r="AP15" t="s">
        <v>858</v>
      </c>
      <c r="AQ15" t="s">
        <v>859</v>
      </c>
      <c r="AR15" t="s">
        <v>16</v>
      </c>
      <c r="AS15" t="s">
        <v>860</v>
      </c>
      <c r="AT15" t="s">
        <v>861</v>
      </c>
      <c r="AU15" t="s">
        <v>862</v>
      </c>
      <c r="AV15" t="s">
        <v>863</v>
      </c>
      <c r="AW15" t="s">
        <v>864</v>
      </c>
      <c r="AX15" t="s">
        <v>865</v>
      </c>
      <c r="AY15" t="s">
        <v>866</v>
      </c>
      <c r="AZ15" t="s">
        <v>206</v>
      </c>
      <c r="BA15" t="s">
        <v>208</v>
      </c>
      <c r="BB15" t="s">
        <v>209</v>
      </c>
      <c r="BC15" t="s">
        <v>867</v>
      </c>
      <c r="BD15" t="s">
        <v>868</v>
      </c>
      <c r="BE15" t="s">
        <v>207</v>
      </c>
      <c r="BF15" t="s">
        <v>109</v>
      </c>
      <c r="BG15" t="s">
        <v>210</v>
      </c>
      <c r="BH15" t="s">
        <v>845</v>
      </c>
      <c r="BI15" t="s">
        <v>869</v>
      </c>
      <c r="BJ15" t="s">
        <v>865</v>
      </c>
      <c r="BK15" t="s">
        <v>846</v>
      </c>
      <c r="BL15" t="s">
        <v>870</v>
      </c>
      <c r="BM15" t="s">
        <v>867</v>
      </c>
      <c r="BN15" t="s">
        <v>16</v>
      </c>
      <c r="BO15">
        <v>4.16</v>
      </c>
      <c r="BP15">
        <v>11.59</v>
      </c>
      <c r="BQ15">
        <v>0.23</v>
      </c>
      <c r="BR15">
        <v>6.87</v>
      </c>
      <c r="BS15">
        <v>29.95</v>
      </c>
      <c r="BT15" t="s">
        <v>626</v>
      </c>
      <c r="BU15" t="s">
        <v>304</v>
      </c>
      <c r="BV15">
        <v>11.49</v>
      </c>
      <c r="BW15">
        <v>10.81</v>
      </c>
      <c r="BX15">
        <v>26.51</v>
      </c>
      <c r="BY15">
        <v>0.49</v>
      </c>
      <c r="BZ15">
        <v>2.2000000000000002</v>
      </c>
      <c r="CA15">
        <v>13.36</v>
      </c>
      <c r="CB15">
        <v>-1.45</v>
      </c>
      <c r="CC15">
        <v>-7.84</v>
      </c>
      <c r="CD15" t="s">
        <v>871</v>
      </c>
      <c r="CE15" t="s">
        <v>246</v>
      </c>
      <c r="CF15" s="11">
        <v>0.1630355273160167</v>
      </c>
      <c r="CG15" s="12">
        <v>1.3762648365122616</v>
      </c>
      <c r="CH15" s="11">
        <v>0.12458539009094238</v>
      </c>
      <c r="CI15" s="11">
        <v>0.57910692691802979</v>
      </c>
      <c r="CJ15" s="11">
        <v>0.70675426721572876</v>
      </c>
      <c r="CK15" s="11">
        <v>0.30018177628517151</v>
      </c>
      <c r="CL15" s="11">
        <v>-9.7620956599712372E-2</v>
      </c>
      <c r="CM15" s="12">
        <v>-0.65339720249176025</v>
      </c>
      <c r="CN15" s="12">
        <v>-0.74758237600326538</v>
      </c>
      <c r="CO15" s="12">
        <v>0.81091797351837158</v>
      </c>
      <c r="CP15" s="12">
        <v>2.3117353916168213</v>
      </c>
      <c r="CQ15" s="12">
        <v>0.37251248955726624</v>
      </c>
      <c r="CR15">
        <v>20.041234554211858</v>
      </c>
      <c r="CS15">
        <v>0.62123814514518183</v>
      </c>
      <c r="CT15">
        <v>1.0504201680672269</v>
      </c>
      <c r="CU15" s="11">
        <v>0.32260148078203199</v>
      </c>
      <c r="CV15" s="12">
        <v>0.41883725523948667</v>
      </c>
      <c r="CW15">
        <v>0.06</v>
      </c>
      <c r="CX15">
        <v>194.62450194825664</v>
      </c>
      <c r="CY15">
        <v>1444879730.8920689</v>
      </c>
      <c r="CZ15">
        <v>0.32260148078203199</v>
      </c>
      <c r="DA15">
        <v>52.517863051039711</v>
      </c>
      <c r="DB15">
        <v>5354539991.9776974</v>
      </c>
      <c r="DC15">
        <v>0.30647140674293039</v>
      </c>
      <c r="DD15">
        <v>19.628844663711689</v>
      </c>
      <c r="DE15">
        <v>14326314300.091118</v>
      </c>
      <c r="DF15">
        <v>0.28388930308818816</v>
      </c>
      <c r="DG15">
        <v>8.4094391574408238</v>
      </c>
      <c r="DH15">
        <v>33439685184.139919</v>
      </c>
      <c r="DI15">
        <v>0.25808118462562563</v>
      </c>
      <c r="DJ15">
        <v>1.8989593122340405</v>
      </c>
      <c r="DK15">
        <v>148085846910.10059</v>
      </c>
      <c r="DL15">
        <v>0.22582103654742239</v>
      </c>
      <c r="DM15">
        <v>1158000000</v>
      </c>
      <c r="DN15">
        <v>0.32260148078203199</v>
      </c>
      <c r="DO15">
        <v>281208998000</v>
      </c>
      <c r="DP15">
        <v>-58502292000</v>
      </c>
      <c r="DQ15">
        <v>991</v>
      </c>
      <c r="DR15">
        <v>-0.15956595346601529</v>
      </c>
      <c r="DS15">
        <v>0.95742758127277494</v>
      </c>
      <c r="DT15" s="13">
        <v>9.3333333333333268E-2</v>
      </c>
      <c r="DU15">
        <v>0.36666666666666664</v>
      </c>
      <c r="DV15">
        <v>0.45999999999999991</v>
      </c>
      <c r="DW15">
        <v>-2.0783999999999998</v>
      </c>
      <c r="DX15">
        <v>0.35961414916286016</v>
      </c>
      <c r="DY15">
        <v>-2.0093777492943685</v>
      </c>
      <c r="DZ15">
        <v>768</v>
      </c>
      <c r="EA15">
        <v>-2.0079683341362324</v>
      </c>
      <c r="EB15">
        <v>2</v>
      </c>
      <c r="EC15">
        <v>7.761227195626893E-3</v>
      </c>
      <c r="ED15">
        <v>6.4885524454287552E-2</v>
      </c>
      <c r="EE15" s="14">
        <v>2.1409999999999995E-2</v>
      </c>
      <c r="EF15">
        <v>4.0509999999999997E-2</v>
      </c>
      <c r="EG15">
        <v>24.11961414916286</v>
      </c>
      <c r="EH15">
        <v>-1</v>
      </c>
      <c r="EI15">
        <v>0</v>
      </c>
      <c r="EJ15">
        <v>1</v>
      </c>
      <c r="EK15" s="10">
        <v>45470</v>
      </c>
      <c r="EL15" s="15">
        <v>1.35</v>
      </c>
      <c r="EM15" s="15">
        <v>-2.77</v>
      </c>
      <c r="EN15" s="15">
        <v>2.2200000000000002</v>
      </c>
      <c r="EO15" s="15">
        <v>2.89</v>
      </c>
      <c r="EP15" s="15">
        <v>-1.91</v>
      </c>
    </row>
    <row r="16" spans="1:146" ht="96" x14ac:dyDescent="0.25">
      <c r="A16" s="8"/>
      <c r="B16" s="8"/>
      <c r="C16" s="8" t="str">
        <f>""&amp;CHAR(10)&amp;Basic_Fundamental_Information_Constructure(F16)&amp;CHAR(10)&amp;Basic_Fundamental_Information_Concatenate("")</f>
        <v xml:space="preserve">
市值45.144752亿, 利润4.54亿; PE10.76; 平均PE18.33; 平均PEG.85, PB1.17; ROIC10.6867%; ROE13.63%; 股利率.8511%; 毛利13.4433%; 净利5.9233%; 上一年度营收增5.52%, 利润增5.58%; 当季营收增22.92%, 利润增-31.71%; 过往5年营收增21.61%, 利润增98.09%
Income profile:
</v>
      </c>
      <c r="D16" t="s">
        <v>49</v>
      </c>
      <c r="E16" t="s">
        <v>50</v>
      </c>
      <c r="F16">
        <v>11.75</v>
      </c>
      <c r="G16">
        <v>-0.93</v>
      </c>
      <c r="H16" t="s">
        <v>872</v>
      </c>
      <c r="I16">
        <v>4514475200</v>
      </c>
      <c r="J16">
        <v>10.76</v>
      </c>
      <c r="K16">
        <v>1.17</v>
      </c>
      <c r="L16" t="s">
        <v>182</v>
      </c>
      <c r="M16" t="s">
        <v>873</v>
      </c>
      <c r="N16" t="s">
        <v>874</v>
      </c>
      <c r="O16" t="s">
        <v>875</v>
      </c>
      <c r="P16">
        <v>22.87</v>
      </c>
      <c r="Q16" t="s">
        <v>876</v>
      </c>
      <c r="R16">
        <v>73069215</v>
      </c>
      <c r="S16" s="6">
        <v>-0.31780000000000003</v>
      </c>
      <c r="T16" t="s">
        <v>664</v>
      </c>
      <c r="U16">
        <v>235782330</v>
      </c>
      <c r="V16">
        <v>384210650</v>
      </c>
      <c r="W16">
        <v>1.74</v>
      </c>
      <c r="X16">
        <v>0.27</v>
      </c>
      <c r="Y16">
        <v>3.98</v>
      </c>
      <c r="Z16" t="s">
        <v>877</v>
      </c>
      <c r="AA16" t="s">
        <v>878</v>
      </c>
      <c r="AB16" t="s">
        <v>879</v>
      </c>
      <c r="AC16" t="s">
        <v>880</v>
      </c>
      <c r="AD16" t="s">
        <v>16</v>
      </c>
      <c r="AE16">
        <v>4842156</v>
      </c>
      <c r="AF16" t="s">
        <v>881</v>
      </c>
      <c r="AG16" t="s">
        <v>882</v>
      </c>
      <c r="AH16" t="s">
        <v>883</v>
      </c>
      <c r="AI16" t="s">
        <v>884</v>
      </c>
      <c r="AJ16" t="s">
        <v>885</v>
      </c>
      <c r="AK16" t="s">
        <v>16</v>
      </c>
      <c r="AL16" t="s">
        <v>886</v>
      </c>
      <c r="AM16" t="s">
        <v>16</v>
      </c>
      <c r="AN16" t="s">
        <v>887</v>
      </c>
      <c r="AO16" t="s">
        <v>888</v>
      </c>
      <c r="AP16" t="s">
        <v>522</v>
      </c>
      <c r="AQ16" t="s">
        <v>889</v>
      </c>
      <c r="AR16" t="s">
        <v>16</v>
      </c>
      <c r="AS16" t="s">
        <v>890</v>
      </c>
      <c r="AT16" t="s">
        <v>891</v>
      </c>
      <c r="AU16" t="s">
        <v>892</v>
      </c>
      <c r="AV16" t="s">
        <v>893</v>
      </c>
      <c r="AW16" t="s">
        <v>894</v>
      </c>
      <c r="AX16" t="s">
        <v>895</v>
      </c>
      <c r="AY16" t="s">
        <v>250</v>
      </c>
      <c r="AZ16" t="s">
        <v>135</v>
      </c>
      <c r="BA16" t="s">
        <v>51</v>
      </c>
      <c r="BB16" t="s">
        <v>138</v>
      </c>
      <c r="BC16" t="s">
        <v>896</v>
      </c>
      <c r="BD16" t="s">
        <v>251</v>
      </c>
      <c r="BE16" t="s">
        <v>136</v>
      </c>
      <c r="BF16" t="s">
        <v>52</v>
      </c>
      <c r="BG16" t="s">
        <v>131</v>
      </c>
      <c r="BH16" t="s">
        <v>876</v>
      </c>
      <c r="BI16" t="s">
        <v>897</v>
      </c>
      <c r="BJ16" t="s">
        <v>895</v>
      </c>
      <c r="BK16" t="s">
        <v>664</v>
      </c>
      <c r="BL16" t="s">
        <v>317</v>
      </c>
      <c r="BM16" t="s">
        <v>896</v>
      </c>
      <c r="BN16">
        <v>10.7</v>
      </c>
      <c r="BO16">
        <v>15.53</v>
      </c>
      <c r="BP16">
        <v>5.83</v>
      </c>
      <c r="BQ16">
        <v>14.55</v>
      </c>
      <c r="BR16">
        <v>19.190000000000001</v>
      </c>
      <c r="BS16">
        <v>7.15</v>
      </c>
      <c r="BT16" t="s">
        <v>626</v>
      </c>
      <c r="BU16" t="s">
        <v>304</v>
      </c>
      <c r="BV16">
        <v>16.600000000000001</v>
      </c>
      <c r="BW16">
        <v>12.85</v>
      </c>
      <c r="BX16">
        <v>10.88</v>
      </c>
      <c r="BY16">
        <v>6.76</v>
      </c>
      <c r="BZ16">
        <v>6.78</v>
      </c>
      <c r="CA16">
        <v>4.2300000000000004</v>
      </c>
      <c r="CB16">
        <v>-6</v>
      </c>
      <c r="CC16">
        <v>-15.83</v>
      </c>
      <c r="CD16" t="s">
        <v>898</v>
      </c>
      <c r="CE16" t="s">
        <v>899</v>
      </c>
      <c r="CF16" s="11">
        <v>0.22920892494929007</v>
      </c>
      <c r="CG16" s="12">
        <v>-0.31711014018691591</v>
      </c>
      <c r="CH16" s="11">
        <v>5.5245067924261093E-2</v>
      </c>
      <c r="CI16" s="11">
        <v>0.95596498250961304</v>
      </c>
      <c r="CJ16" s="11">
        <v>0.39338567852973938</v>
      </c>
      <c r="CK16" s="11">
        <v>-0.27301490306854248</v>
      </c>
      <c r="CL16" s="11">
        <v>-5.1320549100637436E-2</v>
      </c>
      <c r="CM16" s="12">
        <v>5.5813953280448914E-2</v>
      </c>
      <c r="CN16" s="12">
        <v>2.0496454238891602</v>
      </c>
      <c r="CO16" s="12">
        <v>3.290839672088623</v>
      </c>
      <c r="CP16" s="12">
        <v>-0.86477077007293701</v>
      </c>
      <c r="CQ16" s="12">
        <v>0.37288135290145874</v>
      </c>
      <c r="CR16">
        <v>18.3284197218317</v>
      </c>
      <c r="CS16">
        <v>0.84833350422823506</v>
      </c>
      <c r="CT16">
        <v>0.85106382978723405</v>
      </c>
      <c r="CU16" s="11">
        <v>0.21605205535888672</v>
      </c>
      <c r="CV16" s="12">
        <v>0.98088192641735072</v>
      </c>
      <c r="CW16">
        <v>0.06</v>
      </c>
      <c r="CX16">
        <v>6.0162255277329066</v>
      </c>
      <c r="CY16">
        <v>520837389.7480514</v>
      </c>
      <c r="CZ16">
        <v>0.21605205535888672</v>
      </c>
      <c r="DA16">
        <v>1.7697949098749666</v>
      </c>
      <c r="DB16">
        <v>1770530123.3019001</v>
      </c>
      <c r="DC16">
        <v>0.20524945259094238</v>
      </c>
      <c r="DD16">
        <v>0.75224268545222406</v>
      </c>
      <c r="DE16">
        <v>4165511025.3631186</v>
      </c>
      <c r="DF16">
        <v>0.19012580871582033</v>
      </c>
      <c r="DG16">
        <v>0.37945349889650265</v>
      </c>
      <c r="DH16">
        <v>8257863503.9933233</v>
      </c>
      <c r="DI16">
        <v>0.17284164428710938</v>
      </c>
      <c r="DJ16">
        <v>0.12980067009247512</v>
      </c>
      <c r="DK16">
        <v>24140670443.130905</v>
      </c>
      <c r="DL16">
        <v>0.1512364387512207</v>
      </c>
      <c r="DM16">
        <v>454000000</v>
      </c>
      <c r="DN16">
        <v>0.21605205535888672</v>
      </c>
      <c r="DO16">
        <v>3133475200</v>
      </c>
      <c r="DP16">
        <v>677580700</v>
      </c>
      <c r="DQ16">
        <v>1444</v>
      </c>
      <c r="DR16">
        <v>1.3156869590403353E-2</v>
      </c>
      <c r="DS16">
        <v>-1.2979920666042666</v>
      </c>
      <c r="DT16" s="13">
        <v>-0.12333333333333334</v>
      </c>
      <c r="DU16">
        <v>0.39666666666666672</v>
      </c>
      <c r="DV16">
        <v>0.27333333333333337</v>
      </c>
      <c r="DW16">
        <v>-9.3790271636133919</v>
      </c>
      <c r="DX16">
        <v>0.51377183503216772</v>
      </c>
      <c r="DY16">
        <v>-9.0431226159313329</v>
      </c>
      <c r="DZ16">
        <v>1107</v>
      </c>
      <c r="EA16">
        <v>-9.033780788957559</v>
      </c>
      <c r="EB16">
        <v>9</v>
      </c>
      <c r="EC16">
        <v>1.1152736135763024E-2</v>
      </c>
      <c r="ED16">
        <v>9.802721501863626E-2</v>
      </c>
      <c r="EE16" s="14">
        <v>1.0536000000000001</v>
      </c>
      <c r="EF16">
        <v>1.0505</v>
      </c>
      <c r="EG16">
        <v>40.113771835032168</v>
      </c>
      <c r="EH16" t="s">
        <v>900</v>
      </c>
      <c r="EI16">
        <v>0</v>
      </c>
      <c r="EJ16">
        <v>1</v>
      </c>
      <c r="EK16" s="10">
        <v>45470</v>
      </c>
      <c r="EL16" s="15">
        <v>0.24</v>
      </c>
      <c r="EM16" s="15">
        <v>-3.39</v>
      </c>
      <c r="EN16" s="15">
        <v>2.94</v>
      </c>
      <c r="EO16" s="15">
        <v>1.51</v>
      </c>
      <c r="EP16" s="15">
        <v>-0.31</v>
      </c>
    </row>
    <row r="17" spans="1:146" ht="96" x14ac:dyDescent="0.25">
      <c r="A17" s="8"/>
      <c r="B17" s="8"/>
      <c r="C17" s="8" t="str">
        <f>""&amp;CHAR(10)&amp;Basic_Fundamental_Information_Constructure(F17)&amp;CHAR(10)&amp;Basic_Fundamental_Information_Concatenate("")</f>
        <v xml:space="preserve">
市值34.306734亿, 利润-1.91亿; PE; 平均PE-70.67; 平均PEG-1.8, PB.665; ROIC2.5267%; ROE2.1567%; 股利率.3659%; 毛利11.94%; 净利3.6733%; 上一年度营收增3.79%, 利润增-343.47%; 当季营收增-6.62%, 利润增4.42%; 过往5年营收增39.21%, 利润增-133.98%
Income profile:
</v>
      </c>
      <c r="D17" t="s">
        <v>252</v>
      </c>
      <c r="E17" t="s">
        <v>253</v>
      </c>
      <c r="F17">
        <v>4.0999999999999996</v>
      </c>
      <c r="G17">
        <v>1.49</v>
      </c>
      <c r="H17" t="s">
        <v>901</v>
      </c>
      <c r="I17">
        <v>3430673400</v>
      </c>
      <c r="K17">
        <v>0.66500000000000004</v>
      </c>
      <c r="L17" t="s">
        <v>182</v>
      </c>
      <c r="M17" t="s">
        <v>902</v>
      </c>
      <c r="N17" t="s">
        <v>903</v>
      </c>
      <c r="O17" t="s">
        <v>904</v>
      </c>
      <c r="P17">
        <v>-6.62</v>
      </c>
      <c r="Q17" t="s">
        <v>905</v>
      </c>
      <c r="R17">
        <v>24525680</v>
      </c>
      <c r="S17" s="6">
        <v>4.4200000000000003E-2</v>
      </c>
      <c r="T17" t="s">
        <v>906</v>
      </c>
      <c r="U17">
        <v>624238280</v>
      </c>
      <c r="V17">
        <v>836749610</v>
      </c>
      <c r="W17">
        <v>1.34</v>
      </c>
      <c r="X17">
        <v>0.1</v>
      </c>
      <c r="Y17">
        <v>3.63</v>
      </c>
      <c r="Z17" t="s">
        <v>884</v>
      </c>
      <c r="AA17" t="s">
        <v>907</v>
      </c>
      <c r="AB17" t="s">
        <v>908</v>
      </c>
      <c r="AC17" t="s">
        <v>909</v>
      </c>
      <c r="AD17" t="s">
        <v>16</v>
      </c>
      <c r="AE17">
        <v>1181088</v>
      </c>
      <c r="AF17" t="s">
        <v>910</v>
      </c>
      <c r="AG17" t="s">
        <v>911</v>
      </c>
      <c r="AH17" t="s">
        <v>912</v>
      </c>
      <c r="AI17" t="s">
        <v>913</v>
      </c>
      <c r="AJ17" t="s">
        <v>914</v>
      </c>
      <c r="AK17" t="s">
        <v>915</v>
      </c>
      <c r="AL17" t="s">
        <v>916</v>
      </c>
      <c r="AM17" t="s">
        <v>16</v>
      </c>
      <c r="AN17" t="s">
        <v>917</v>
      </c>
      <c r="AO17" t="s">
        <v>107</v>
      </c>
      <c r="AP17" t="s">
        <v>918</v>
      </c>
      <c r="AQ17" t="s">
        <v>535</v>
      </c>
      <c r="AR17" t="s">
        <v>16</v>
      </c>
      <c r="AS17" t="s">
        <v>349</v>
      </c>
      <c r="AT17" t="s">
        <v>919</v>
      </c>
      <c r="AU17" t="s">
        <v>920</v>
      </c>
      <c r="AV17" t="s">
        <v>921</v>
      </c>
      <c r="AW17" t="s">
        <v>922</v>
      </c>
      <c r="AX17" t="s">
        <v>923</v>
      </c>
      <c r="AY17" t="s">
        <v>254</v>
      </c>
      <c r="AZ17" t="s">
        <v>257</v>
      </c>
      <c r="BA17" t="s">
        <v>160</v>
      </c>
      <c r="BB17" t="s">
        <v>258</v>
      </c>
      <c r="BC17" t="s">
        <v>924</v>
      </c>
      <c r="BD17" t="s">
        <v>255</v>
      </c>
      <c r="BE17" t="s">
        <v>260</v>
      </c>
      <c r="BF17" t="s">
        <v>261</v>
      </c>
      <c r="BG17" t="s">
        <v>262</v>
      </c>
      <c r="BH17" t="s">
        <v>905</v>
      </c>
      <c r="BI17" t="s">
        <v>925</v>
      </c>
      <c r="BJ17" t="s">
        <v>923</v>
      </c>
      <c r="BK17" t="s">
        <v>906</v>
      </c>
      <c r="BL17" t="s">
        <v>926</v>
      </c>
      <c r="BM17" t="s">
        <v>924</v>
      </c>
      <c r="BN17">
        <v>0.96</v>
      </c>
      <c r="BO17">
        <v>1.87</v>
      </c>
      <c r="BP17">
        <v>4.75</v>
      </c>
      <c r="BQ17">
        <v>0.82</v>
      </c>
      <c r="BR17">
        <v>1.56</v>
      </c>
      <c r="BS17">
        <v>4.09</v>
      </c>
      <c r="BT17" t="s">
        <v>927</v>
      </c>
      <c r="BU17" t="s">
        <v>304</v>
      </c>
      <c r="BV17">
        <v>5.96</v>
      </c>
      <c r="BW17">
        <v>10.82</v>
      </c>
      <c r="BX17">
        <v>19.04</v>
      </c>
      <c r="BY17">
        <v>-6.59</v>
      </c>
      <c r="BZ17">
        <v>3.91</v>
      </c>
      <c r="CA17">
        <v>13.7</v>
      </c>
      <c r="CB17">
        <v>1.23</v>
      </c>
      <c r="CC17">
        <v>-15.29</v>
      </c>
      <c r="CD17" t="s">
        <v>928</v>
      </c>
      <c r="CE17" t="s">
        <v>743</v>
      </c>
      <c r="CF17" s="11">
        <v>-6.6225165562913912E-2</v>
      </c>
      <c r="CG17" s="12">
        <v>4.4245843356822002E-2</v>
      </c>
      <c r="CH17" s="11">
        <v>3.7895437330007553E-2</v>
      </c>
      <c r="CI17" s="11">
        <v>0.35291200876235962</v>
      </c>
      <c r="CJ17" s="11">
        <v>2.1838350296020508</v>
      </c>
      <c r="CK17" s="11">
        <v>-0.24880951642990112</v>
      </c>
      <c r="CL17" s="11">
        <v>-0.365558922290802</v>
      </c>
      <c r="CM17" s="12">
        <v>-3.4347338676452637</v>
      </c>
      <c r="CN17" s="12">
        <v>-0.6299622654914856</v>
      </c>
      <c r="CO17" s="12">
        <v>1.565333366394043</v>
      </c>
      <c r="CP17" s="12">
        <v>-6.0256509780883789</v>
      </c>
      <c r="CQ17" s="12">
        <v>1.82584547996521</v>
      </c>
      <c r="CR17">
        <v>-70.665766753305064</v>
      </c>
      <c r="CS17">
        <v>-1.8024461228492161</v>
      </c>
      <c r="CT17">
        <v>0.36585365853658536</v>
      </c>
      <c r="CU17" s="11">
        <v>0.39205480739474297</v>
      </c>
      <c r="CV17" s="12">
        <v>-1.3398336529731751</v>
      </c>
      <c r="CW17">
        <v>0.06</v>
      </c>
      <c r="CX17" t="s">
        <v>929</v>
      </c>
      <c r="CY17" t="s">
        <v>321</v>
      </c>
      <c r="CZ17">
        <v>0.39205480739474297</v>
      </c>
      <c r="DA17" t="s">
        <v>929</v>
      </c>
      <c r="DB17" t="s">
        <v>321</v>
      </c>
      <c r="DC17">
        <v>0.37245206702500577</v>
      </c>
      <c r="DD17" t="s">
        <v>929</v>
      </c>
      <c r="DE17" t="s">
        <v>321</v>
      </c>
      <c r="DF17">
        <v>0.34500823050737384</v>
      </c>
      <c r="DG17" t="s">
        <v>929</v>
      </c>
      <c r="DH17" t="s">
        <v>321</v>
      </c>
      <c r="DI17">
        <v>0.31364384591579442</v>
      </c>
      <c r="DJ17" t="s">
        <v>929</v>
      </c>
      <c r="DK17" t="s">
        <v>321</v>
      </c>
      <c r="DL17">
        <v>0.27443836517632003</v>
      </c>
      <c r="DM17">
        <v>-191000000</v>
      </c>
      <c r="DN17">
        <v>0.39205480739474297</v>
      </c>
      <c r="DO17">
        <v>-339326600</v>
      </c>
      <c r="DP17">
        <v>1059707600</v>
      </c>
      <c r="DQ17">
        <v>1550</v>
      </c>
      <c r="DR17">
        <v>-0.45827997295765688</v>
      </c>
      <c r="DS17">
        <v>1.3840794963299972</v>
      </c>
      <c r="DT17" s="13">
        <v>-9.1666666666666632E-2</v>
      </c>
      <c r="DU17">
        <v>-0.8566666666666668</v>
      </c>
      <c r="DV17">
        <v>-0.94833333333333347</v>
      </c>
      <c r="DW17">
        <v>-2.1528999999999998</v>
      </c>
      <c r="DX17">
        <v>0.38881999999999861</v>
      </c>
      <c r="DY17">
        <v>-2.0242835779999999</v>
      </c>
      <c r="DZ17">
        <v>3513</v>
      </c>
      <c r="EA17">
        <v>-2.0075892121459882</v>
      </c>
      <c r="EB17">
        <v>2</v>
      </c>
      <c r="EC17">
        <v>2.9419912128790835E-2</v>
      </c>
      <c r="ED17">
        <v>0.18524060023165115</v>
      </c>
      <c r="EE17" s="14">
        <v>-4.0745100000000001</v>
      </c>
      <c r="EF17">
        <v>-4.09131</v>
      </c>
      <c r="EG17">
        <v>23.158819999999999</v>
      </c>
      <c r="EH17" t="s">
        <v>930</v>
      </c>
      <c r="EI17">
        <v>0</v>
      </c>
      <c r="EJ17">
        <v>0</v>
      </c>
      <c r="EK17" s="10">
        <v>45470</v>
      </c>
      <c r="EL17" s="15">
        <v>0.49</v>
      </c>
      <c r="EM17" s="15">
        <v>-4.38</v>
      </c>
      <c r="EN17" s="15">
        <v>2.04</v>
      </c>
      <c r="EO17" s="15">
        <v>3.74</v>
      </c>
      <c r="EP17" s="15">
        <v>-1.68</v>
      </c>
    </row>
    <row r="18" spans="1:146" ht="96" x14ac:dyDescent="0.25">
      <c r="A18" s="8"/>
      <c r="B18" s="8"/>
      <c r="C18" s="8" t="str">
        <f>""&amp;CHAR(10)&amp;Basic_Fundamental_Information_Constructure(F18)&amp;CHAR(10)&amp;Basic_Fundamental_Information_Concatenate("")</f>
        <v xml:space="preserve">
市值23.40864亿, 利润-4468.27万; PE; 平均PE-68.42; 平均PEG-34.99, PB2.44; ROIC.08%; ROE-7.2233%; 股利率0%; 毛利7.3733%; 净利-4.2933%; 上一年度营收增-13.08%, 利润增74.02%; 当季营收增43.57%, 利润增296.16%; 过往5年营收增1.96%, 利润增-423.3%
Income profile:
</v>
      </c>
      <c r="D18" t="s">
        <v>53</v>
      </c>
      <c r="E18" t="s">
        <v>7</v>
      </c>
      <c r="F18">
        <v>2.54</v>
      </c>
      <c r="G18">
        <v>2.83</v>
      </c>
      <c r="H18" t="s">
        <v>931</v>
      </c>
      <c r="I18">
        <v>2340864000</v>
      </c>
      <c r="K18">
        <v>2.44</v>
      </c>
      <c r="L18" t="s">
        <v>182</v>
      </c>
      <c r="M18" t="s">
        <v>932</v>
      </c>
      <c r="N18" t="s">
        <v>933</v>
      </c>
      <c r="O18" t="s">
        <v>934</v>
      </c>
      <c r="P18">
        <v>43.66</v>
      </c>
      <c r="Q18" t="s">
        <v>935</v>
      </c>
      <c r="R18">
        <v>4413200</v>
      </c>
      <c r="S18" s="6">
        <v>2.9620000000000002</v>
      </c>
      <c r="T18" t="s">
        <v>936</v>
      </c>
      <c r="U18">
        <v>921600000</v>
      </c>
      <c r="V18">
        <v>921600000</v>
      </c>
      <c r="W18">
        <v>2.44</v>
      </c>
      <c r="X18">
        <v>0.18</v>
      </c>
      <c r="Y18">
        <v>0.78</v>
      </c>
      <c r="Z18" t="s">
        <v>937</v>
      </c>
      <c r="AA18" t="s">
        <v>938</v>
      </c>
      <c r="AB18" t="s">
        <v>939</v>
      </c>
      <c r="AC18" t="s">
        <v>940</v>
      </c>
      <c r="AD18" t="s">
        <v>16</v>
      </c>
      <c r="AE18">
        <v>4629148</v>
      </c>
      <c r="AF18" t="s">
        <v>941</v>
      </c>
      <c r="AG18">
        <v>0.01</v>
      </c>
      <c r="AH18" t="s">
        <v>942</v>
      </c>
      <c r="AI18" t="s">
        <v>943</v>
      </c>
      <c r="AJ18" t="s">
        <v>944</v>
      </c>
      <c r="AK18" t="s">
        <v>16</v>
      </c>
      <c r="AL18" t="s">
        <v>945</v>
      </c>
      <c r="AM18" t="s">
        <v>16</v>
      </c>
      <c r="AN18" t="s">
        <v>946</v>
      </c>
      <c r="AO18" t="s">
        <v>137</v>
      </c>
      <c r="AP18" t="s">
        <v>947</v>
      </c>
      <c r="AQ18" t="s">
        <v>183</v>
      </c>
      <c r="AR18" t="s">
        <v>948</v>
      </c>
      <c r="AS18" t="s">
        <v>949</v>
      </c>
      <c r="AT18" t="s">
        <v>16</v>
      </c>
      <c r="AU18" t="s">
        <v>950</v>
      </c>
      <c r="AV18" t="s">
        <v>951</v>
      </c>
      <c r="AW18" t="s">
        <v>952</v>
      </c>
      <c r="AX18" t="s">
        <v>953</v>
      </c>
      <c r="AY18" t="s">
        <v>264</v>
      </c>
      <c r="AZ18" t="s">
        <v>139</v>
      </c>
      <c r="BA18" t="s">
        <v>54</v>
      </c>
      <c r="BB18" t="s">
        <v>141</v>
      </c>
      <c r="BC18" t="s">
        <v>954</v>
      </c>
      <c r="BD18" t="s">
        <v>265</v>
      </c>
      <c r="BE18" t="s">
        <v>140</v>
      </c>
      <c r="BF18" t="s">
        <v>55</v>
      </c>
      <c r="BG18" t="s">
        <v>142</v>
      </c>
      <c r="BH18" t="s">
        <v>935</v>
      </c>
      <c r="BI18" t="s">
        <v>955</v>
      </c>
      <c r="BJ18" t="s">
        <v>953</v>
      </c>
      <c r="BK18" t="s">
        <v>936</v>
      </c>
      <c r="BL18" t="s">
        <v>956</v>
      </c>
      <c r="BM18" t="s">
        <v>954</v>
      </c>
      <c r="BN18">
        <v>0.08</v>
      </c>
      <c r="BO18" t="s">
        <v>16</v>
      </c>
      <c r="BP18" t="s">
        <v>16</v>
      </c>
      <c r="BQ18">
        <v>0.25</v>
      </c>
      <c r="BR18">
        <v>-15.85</v>
      </c>
      <c r="BS18">
        <v>-6.07</v>
      </c>
      <c r="BT18" t="s">
        <v>427</v>
      </c>
      <c r="BU18" t="s">
        <v>304</v>
      </c>
      <c r="BV18">
        <v>4.4400000000000004</v>
      </c>
      <c r="BW18">
        <v>9.91</v>
      </c>
      <c r="BX18">
        <v>7.77</v>
      </c>
      <c r="BY18">
        <v>-2.2599999999999998</v>
      </c>
      <c r="BZ18">
        <v>-7.18</v>
      </c>
      <c r="CA18">
        <v>-3.44</v>
      </c>
      <c r="CB18">
        <v>1.2</v>
      </c>
      <c r="CC18">
        <v>-22.8</v>
      </c>
      <c r="CD18" t="s">
        <v>957</v>
      </c>
      <c r="CE18" t="s">
        <v>958</v>
      </c>
      <c r="CF18" s="11">
        <v>0.4357142857142855</v>
      </c>
      <c r="CG18" s="12">
        <v>2.9615965863632323</v>
      </c>
      <c r="CH18" s="11">
        <v>-0.13082216680049896</v>
      </c>
      <c r="CI18" s="11">
        <v>8.1945694983005524E-2</v>
      </c>
      <c r="CJ18" s="11">
        <v>0.13082253932952881</v>
      </c>
      <c r="CK18" s="11">
        <v>-0.16954736411571503</v>
      </c>
      <c r="CL18" s="11">
        <v>0.18536591529846191</v>
      </c>
      <c r="CM18" s="12">
        <v>0.74021685123443604</v>
      </c>
      <c r="CN18" s="12">
        <v>-1.3395057916641235</v>
      </c>
      <c r="CO18" s="12">
        <v>-19.618263244628906</v>
      </c>
      <c r="CP18" s="12">
        <v>-0.90003693103790283</v>
      </c>
      <c r="CQ18" s="12">
        <v>-4.7616060823202133E-2</v>
      </c>
      <c r="CR18">
        <v>-68.421807978136485</v>
      </c>
      <c r="CS18">
        <v>-34.993133963804937</v>
      </c>
      <c r="CT18">
        <v>0</v>
      </c>
      <c r="CU18" s="11">
        <v>1.9552923738956451E-2</v>
      </c>
      <c r="CV18" s="12">
        <v>-4.2330410353839394</v>
      </c>
      <c r="CW18">
        <v>0.06</v>
      </c>
      <c r="CX18" t="e">
        <v>#VALUE!</v>
      </c>
      <c r="CY18" t="s">
        <v>321</v>
      </c>
      <c r="CZ18">
        <v>1.9552923738956451E-2</v>
      </c>
      <c r="DA18" t="e">
        <v>#VALUE!</v>
      </c>
      <c r="DB18" t="s">
        <v>321</v>
      </c>
      <c r="DC18">
        <v>1.8575277552008627E-2</v>
      </c>
      <c r="DD18" t="e">
        <v>#VALUE!</v>
      </c>
      <c r="DE18" t="s">
        <v>321</v>
      </c>
      <c r="DF18">
        <v>1.7206572890281678E-2</v>
      </c>
      <c r="DG18" t="e">
        <v>#VALUE!</v>
      </c>
      <c r="DH18" t="s">
        <v>321</v>
      </c>
      <c r="DI18">
        <v>1.5642338991165163E-2</v>
      </c>
      <c r="DJ18" t="e">
        <v>#VALUE!</v>
      </c>
      <c r="DK18" t="s">
        <v>321</v>
      </c>
      <c r="DL18">
        <v>1.3687046617269515E-2</v>
      </c>
      <c r="DM18">
        <v>-44682700.000000007</v>
      </c>
      <c r="DN18">
        <v>1.9552923738956451E-2</v>
      </c>
      <c r="DO18">
        <v>2764864000</v>
      </c>
      <c r="DP18">
        <v>45761460</v>
      </c>
      <c r="DQ18">
        <v>1625</v>
      </c>
      <c r="DR18">
        <v>0.41616136197532905</v>
      </c>
      <c r="DS18">
        <v>7.1946376217471713</v>
      </c>
      <c r="DT18" s="13">
        <v>-0.45666666666666672</v>
      </c>
      <c r="DU18">
        <v>-1.2766666666666668</v>
      </c>
      <c r="DV18">
        <v>-1.7333333333333336</v>
      </c>
      <c r="DW18">
        <v>-3.0769047619047618</v>
      </c>
      <c r="DX18">
        <v>0.30037922360953445</v>
      </c>
      <c r="DY18">
        <v>-3.0084886879109236</v>
      </c>
      <c r="DZ18">
        <v>4203</v>
      </c>
      <c r="EA18">
        <v>-3.0015067005744047</v>
      </c>
      <c r="EB18">
        <v>3</v>
      </c>
      <c r="EC18">
        <v>0.10551660156250001</v>
      </c>
      <c r="ED18">
        <v>0.95594618055555558</v>
      </c>
      <c r="EE18" s="14">
        <v>3.0949</v>
      </c>
      <c r="EF18">
        <v>3.0638000000000001</v>
      </c>
      <c r="EG18">
        <v>19.110379223609534</v>
      </c>
      <c r="EH18" t="s">
        <v>959</v>
      </c>
      <c r="EI18">
        <v>0</v>
      </c>
      <c r="EJ18">
        <v>0</v>
      </c>
      <c r="EK18" s="10">
        <v>45470</v>
      </c>
      <c r="EL18" s="15">
        <v>-1.84</v>
      </c>
      <c r="EM18" s="15">
        <v>-5.24</v>
      </c>
      <c r="EN18" s="15">
        <v>-1.19</v>
      </c>
      <c r="EO18" s="15">
        <v>2.8</v>
      </c>
      <c r="EP18" s="15">
        <v>-3.11</v>
      </c>
    </row>
    <row r="19" spans="1:146" ht="96" x14ac:dyDescent="0.25">
      <c r="A19" s="8"/>
      <c r="B19" s="8"/>
      <c r="C19" s="8" t="str">
        <f>""&amp;CHAR(10)&amp;Basic_Fundamental_Information_Constructure(F19)&amp;CHAR(10)&amp;Basic_Fundamental_Information_Concatenate("")</f>
        <v xml:space="preserve">
市值13.648731亿, 利润1.12亿; PE; 平均PE15.84; 平均PEG.59, PB2.24; ROIC7.4367%; ROE11.3433%; 股利率0%; 毛利10.2833%; 净利.2333%; 上一年度营收增-74.81%, 利润增-26.32%; 当季营收增380.61%, 利润增-440.76%; 过往5年营收增26.83%, 利润增58.55%
Income profile:
</v>
      </c>
      <c r="D19" t="s">
        <v>56</v>
      </c>
      <c r="E19" t="s">
        <v>57</v>
      </c>
      <c r="F19">
        <v>5.56</v>
      </c>
      <c r="G19">
        <v>-0.71</v>
      </c>
      <c r="H19" t="s">
        <v>960</v>
      </c>
      <c r="I19">
        <v>1364873100</v>
      </c>
      <c r="K19">
        <v>2.2400000000000002</v>
      </c>
      <c r="L19" t="s">
        <v>182</v>
      </c>
      <c r="M19" t="s">
        <v>961</v>
      </c>
      <c r="N19" t="s">
        <v>962</v>
      </c>
      <c r="O19" t="s">
        <v>963</v>
      </c>
      <c r="P19">
        <v>90.69</v>
      </c>
      <c r="Q19" t="s">
        <v>964</v>
      </c>
      <c r="R19">
        <v>-99426773</v>
      </c>
      <c r="S19" s="6">
        <v>-2.8460000000000001</v>
      </c>
      <c r="T19" t="s">
        <v>965</v>
      </c>
      <c r="U19">
        <v>240206250</v>
      </c>
      <c r="V19">
        <v>245480770</v>
      </c>
      <c r="W19">
        <v>3.96</v>
      </c>
      <c r="X19">
        <v>0.33</v>
      </c>
      <c r="Y19">
        <v>-12.55</v>
      </c>
      <c r="Z19" t="s">
        <v>966</v>
      </c>
      <c r="AA19" t="s">
        <v>967</v>
      </c>
      <c r="AB19" t="s">
        <v>968</v>
      </c>
      <c r="AC19" t="s">
        <v>969</v>
      </c>
      <c r="AD19" t="s">
        <v>16</v>
      </c>
      <c r="AE19">
        <v>11727036</v>
      </c>
      <c r="AF19" t="s">
        <v>970</v>
      </c>
      <c r="AG19">
        <v>6020</v>
      </c>
      <c r="AH19" t="s">
        <v>971</v>
      </c>
      <c r="AI19" t="s">
        <v>972</v>
      </c>
      <c r="AJ19" t="s">
        <v>41</v>
      </c>
      <c r="AK19" t="s">
        <v>16</v>
      </c>
      <c r="AL19" t="s">
        <v>973</v>
      </c>
      <c r="AM19" t="s">
        <v>16</v>
      </c>
      <c r="AN19" t="s">
        <v>974</v>
      </c>
      <c r="AO19" t="s">
        <v>975</v>
      </c>
      <c r="AP19" t="s">
        <v>16</v>
      </c>
      <c r="AQ19" t="s">
        <v>509</v>
      </c>
      <c r="AR19" t="s">
        <v>16</v>
      </c>
      <c r="AS19" t="s">
        <v>976</v>
      </c>
      <c r="AT19" t="s">
        <v>955</v>
      </c>
      <c r="AU19" t="s">
        <v>977</v>
      </c>
      <c r="AV19" t="s">
        <v>354</v>
      </c>
      <c r="AW19" t="s">
        <v>978</v>
      </c>
      <c r="AX19" t="s">
        <v>979</v>
      </c>
      <c r="AY19" t="s">
        <v>980</v>
      </c>
      <c r="AZ19" t="s">
        <v>144</v>
      </c>
      <c r="BA19" t="s">
        <v>58</v>
      </c>
      <c r="BB19" t="s">
        <v>130</v>
      </c>
      <c r="BC19" t="s">
        <v>348</v>
      </c>
      <c r="BD19" t="s">
        <v>981</v>
      </c>
      <c r="BE19" t="s">
        <v>145</v>
      </c>
      <c r="BF19" t="s">
        <v>59</v>
      </c>
      <c r="BG19" t="s">
        <v>146</v>
      </c>
      <c r="BH19" t="s">
        <v>982</v>
      </c>
      <c r="BI19" t="s">
        <v>983</v>
      </c>
      <c r="BJ19" t="s">
        <v>979</v>
      </c>
      <c r="BK19" t="s">
        <v>984</v>
      </c>
      <c r="BL19" t="s">
        <v>985</v>
      </c>
      <c r="BM19" t="s">
        <v>348</v>
      </c>
      <c r="BN19">
        <v>7.25</v>
      </c>
      <c r="BO19">
        <v>10.45</v>
      </c>
      <c r="BP19">
        <v>4.6100000000000003</v>
      </c>
      <c r="BQ19">
        <v>12.72</v>
      </c>
      <c r="BR19">
        <v>16.350000000000001</v>
      </c>
      <c r="BS19">
        <v>4.96</v>
      </c>
      <c r="BT19" t="s">
        <v>427</v>
      </c>
      <c r="BU19" t="s">
        <v>304</v>
      </c>
      <c r="BV19">
        <v>8.8000000000000007</v>
      </c>
      <c r="BW19">
        <v>11.54</v>
      </c>
      <c r="BX19">
        <v>10.51</v>
      </c>
      <c r="BY19">
        <v>-7.31</v>
      </c>
      <c r="BZ19">
        <v>5.12</v>
      </c>
      <c r="CA19">
        <v>2.89</v>
      </c>
      <c r="CB19">
        <v>-1.24</v>
      </c>
      <c r="CC19">
        <v>-30.76</v>
      </c>
      <c r="CD19" t="s">
        <v>986</v>
      </c>
      <c r="CE19" t="s">
        <v>129</v>
      </c>
      <c r="CF19" s="11">
        <v>3.8060606060606061</v>
      </c>
      <c r="CG19" s="12">
        <v>-4.4076288741059093</v>
      </c>
      <c r="CH19" s="11">
        <v>-0.74806070327758789</v>
      </c>
      <c r="CI19" s="11">
        <v>0.72987163066864014</v>
      </c>
      <c r="CJ19" s="11">
        <v>0.76337450742721558</v>
      </c>
      <c r="CK19" s="11">
        <v>0.17533253133296967</v>
      </c>
      <c r="CL19" s="11">
        <v>0.42096218466758728</v>
      </c>
      <c r="CM19" s="12">
        <v>-0.26315790414810181</v>
      </c>
      <c r="CN19" s="12">
        <v>4.0614194869995117</v>
      </c>
      <c r="CO19" s="12">
        <v>-0.48036608099937439</v>
      </c>
      <c r="CP19" s="12">
        <v>-0.23687337338924408</v>
      </c>
      <c r="CQ19" s="12">
        <v>-0.15340083837509155</v>
      </c>
      <c r="CR19">
        <v>15.839631929322756</v>
      </c>
      <c r="CS19">
        <v>0.59037891539634113</v>
      </c>
      <c r="CT19">
        <v>0</v>
      </c>
      <c r="CU19" s="11">
        <v>0.26829603016376496</v>
      </c>
      <c r="CV19" s="12">
        <v>0.58552425801753993</v>
      </c>
      <c r="CW19">
        <v>0.06</v>
      </c>
      <c r="CX19">
        <v>15.557751681900918</v>
      </c>
      <c r="CY19">
        <v>134008637.14937894</v>
      </c>
      <c r="CZ19">
        <v>0.26829603016376496</v>
      </c>
      <c r="DA19">
        <v>4.3856412223360879</v>
      </c>
      <c r="DB19">
        <v>475386150.91944438</v>
      </c>
      <c r="DC19">
        <v>0.25488122865557672</v>
      </c>
      <c r="DD19">
        <v>1.750812286218397</v>
      </c>
      <c r="DE19">
        <v>1190803329.6380079</v>
      </c>
      <c r="DF19">
        <v>0.23610050654411316</v>
      </c>
      <c r="DG19">
        <v>0.81634046390570592</v>
      </c>
      <c r="DH19">
        <v>2553925956.365211</v>
      </c>
      <c r="DI19">
        <v>0.21463682413101198</v>
      </c>
      <c r="DJ19">
        <v>0.22902814204251051</v>
      </c>
      <c r="DK19">
        <v>9103130652.0096607</v>
      </c>
      <c r="DL19">
        <v>0.18780722111463546</v>
      </c>
      <c r="DM19">
        <v>112000000.00000001</v>
      </c>
      <c r="DN19">
        <v>0.26829603016376496</v>
      </c>
      <c r="DO19">
        <v>2084873100</v>
      </c>
      <c r="DP19">
        <v>400265500</v>
      </c>
      <c r="DQ19">
        <v>2296</v>
      </c>
      <c r="DR19">
        <v>3.537764575896841</v>
      </c>
      <c r="DS19">
        <v>-4.9931531321234495</v>
      </c>
      <c r="DT19" s="13">
        <v>1.0000000000000011E-2</v>
      </c>
      <c r="DU19">
        <v>-1.0816666666666668</v>
      </c>
      <c r="DV19">
        <v>-1.0716666666666668</v>
      </c>
      <c r="DW19">
        <v>-3.1669285714285715</v>
      </c>
      <c r="DX19">
        <v>0.46724871794871747</v>
      </c>
      <c r="DY19">
        <v>-3.0329264467032968</v>
      </c>
      <c r="DZ19">
        <v>2490</v>
      </c>
      <c r="EA19">
        <v>-3.0168820529085396</v>
      </c>
      <c r="EB19">
        <v>3</v>
      </c>
      <c r="EC19">
        <v>0.12534912612503213</v>
      </c>
      <c r="ED19">
        <v>0.63548765958327413</v>
      </c>
      <c r="EE19" s="14">
        <v>-3.00841</v>
      </c>
      <c r="EF19">
        <v>-3.0094099999999999</v>
      </c>
      <c r="EG19">
        <v>27.197248717948717</v>
      </c>
      <c r="EH19" t="s">
        <v>586</v>
      </c>
      <c r="EI19">
        <v>0</v>
      </c>
      <c r="EJ19">
        <v>0</v>
      </c>
      <c r="EK19" s="10">
        <v>45470</v>
      </c>
      <c r="EL19" s="15">
        <v>0.1</v>
      </c>
      <c r="EM19" s="15">
        <v>-4.59</v>
      </c>
      <c r="EN19" s="15">
        <v>0.92</v>
      </c>
      <c r="EO19" s="15">
        <v>4.26</v>
      </c>
      <c r="EP19" s="15">
        <v>-0.1</v>
      </c>
    </row>
    <row r="20" spans="1:146" ht="180" x14ac:dyDescent="0.25">
      <c r="C20" s="8" t="str">
        <f>"公司的主营业务为石油及天然气和化工业务。石油及天然气业务包括勘探、开发及生产原油及天然气；管输原油、天然气；将原油提炼为石油制成品；以及营销原油、天然气和成品油。"&amp;CHAR(10)&amp;Basic_Fundamental_Information_Constructure(F20)&amp;CHAR(10)&amp;Basic_Fundamental_Information_Concatenate("本部及其他 9122.72亿 56.59% 9.85% 3.04%
营销及分销 7919.93亿 49.13% 17.68% 6.28%
炼油 7756.36亿 48.11% 54.27% 19.68%
化工 2782.10亿 17.26% 3.60% 3.64%
勘探及开发 1581.68亿 9.81% 18.59% 33.06%")</f>
        <v>公司的主营业务为石油及天然气和化工业务。石油及天然气业务包括勘探、开发及生产原油及天然气；管输原油、天然气；将原油提炼为石油制成品；以及营销原油、天然气和成品油。
市值7825.2987亿, 利润-42.09亿; PE13.34; 平均PE24.89; 平均PEG.61, PB.938; ROIC7.3267%; ROE8.1733%; 股利率3.1104%; 毛利16.6033%; 净利2.52%; 上一年度营收增-95.18%, 利润增-106.27%; 当季营收增2219.68%, 利润增1065.02%; 过往5年营收增-40.57%, 利润增-106.27%
Income profile:
本部及其他 9122.72亿 56.59% 9.85% 3.04%
营销及分销 7919.93亿 49.13% 17.68% 6.28%
炼油 7756.36亿 48.11% 54.27% 19.68%
化工 2782.10亿 17.26% 3.60% 3.64%
勘探及开发 1581.68亿 9.81% 18.59% 33.06%</v>
      </c>
      <c r="D20" t="s">
        <v>60</v>
      </c>
      <c r="E20" t="s">
        <v>13</v>
      </c>
      <c r="F20">
        <v>6.43</v>
      </c>
      <c r="G20">
        <v>-1.23</v>
      </c>
      <c r="H20" t="s">
        <v>987</v>
      </c>
      <c r="I20">
        <v>782529870000</v>
      </c>
      <c r="J20">
        <v>13.34</v>
      </c>
      <c r="K20">
        <v>0.93799999999999994</v>
      </c>
      <c r="L20" t="s">
        <v>182</v>
      </c>
      <c r="M20" t="s">
        <v>988</v>
      </c>
      <c r="N20" t="s">
        <v>989</v>
      </c>
      <c r="O20" t="s">
        <v>990</v>
      </c>
      <c r="P20">
        <v>-0.17</v>
      </c>
      <c r="Q20" t="s">
        <v>991</v>
      </c>
      <c r="R20">
        <v>18316000000</v>
      </c>
      <c r="S20" s="6">
        <v>-8.8800000000000004E-2</v>
      </c>
      <c r="T20" t="s">
        <v>992</v>
      </c>
      <c r="U20">
        <v>94971971000</v>
      </c>
      <c r="V20">
        <v>121699824000</v>
      </c>
      <c r="W20">
        <v>2.11</v>
      </c>
      <c r="X20" t="s">
        <v>16</v>
      </c>
      <c r="Y20">
        <v>2.7</v>
      </c>
      <c r="Z20" t="s">
        <v>16</v>
      </c>
      <c r="AA20" t="s">
        <v>16</v>
      </c>
      <c r="AB20" t="s">
        <v>16</v>
      </c>
      <c r="AC20" t="s">
        <v>16</v>
      </c>
      <c r="AD20" t="s">
        <v>16</v>
      </c>
      <c r="AE20">
        <v>2704000000</v>
      </c>
      <c r="AF20" t="s">
        <v>993</v>
      </c>
      <c r="AG20" t="s">
        <v>994</v>
      </c>
      <c r="AH20" t="s">
        <v>995</v>
      </c>
      <c r="AI20" t="s">
        <v>996</v>
      </c>
      <c r="AJ20" t="s">
        <v>997</v>
      </c>
      <c r="AK20" t="s">
        <v>16</v>
      </c>
      <c r="AL20" t="s">
        <v>998</v>
      </c>
      <c r="AM20" t="s">
        <v>16</v>
      </c>
      <c r="AN20" t="s">
        <v>999</v>
      </c>
      <c r="AO20" t="s">
        <v>16</v>
      </c>
      <c r="AP20" t="s">
        <v>1000</v>
      </c>
      <c r="AQ20" t="s">
        <v>1001</v>
      </c>
      <c r="AR20" t="s">
        <v>16</v>
      </c>
      <c r="AS20" t="s">
        <v>16</v>
      </c>
      <c r="AT20" t="s">
        <v>16</v>
      </c>
      <c r="AU20" t="s">
        <v>1002</v>
      </c>
      <c r="AV20" t="s">
        <v>1003</v>
      </c>
      <c r="AW20" t="s">
        <v>1004</v>
      </c>
      <c r="AX20" t="s">
        <v>1005</v>
      </c>
      <c r="AY20" t="s">
        <v>16</v>
      </c>
      <c r="AZ20" t="s">
        <v>266</v>
      </c>
      <c r="BA20" t="s">
        <v>147</v>
      </c>
      <c r="BB20" t="s">
        <v>148</v>
      </c>
      <c r="BC20" t="s">
        <v>1006</v>
      </c>
      <c r="BD20" t="s">
        <v>16</v>
      </c>
      <c r="BE20" t="s">
        <v>16</v>
      </c>
      <c r="BF20" t="s">
        <v>16</v>
      </c>
      <c r="BG20" t="s">
        <v>16</v>
      </c>
      <c r="BH20" t="s">
        <v>1007</v>
      </c>
      <c r="BI20" t="s">
        <v>1008</v>
      </c>
      <c r="BJ20" t="s">
        <v>1005</v>
      </c>
      <c r="BK20" t="s">
        <v>1009</v>
      </c>
      <c r="BL20" t="s">
        <v>1010</v>
      </c>
      <c r="BM20" t="s">
        <v>1006</v>
      </c>
      <c r="BN20">
        <v>5.59</v>
      </c>
      <c r="BO20">
        <v>7.63</v>
      </c>
      <c r="BP20">
        <v>8.76</v>
      </c>
      <c r="BQ20">
        <v>6.67</v>
      </c>
      <c r="BR20">
        <v>8.5</v>
      </c>
      <c r="BS20">
        <v>9.35</v>
      </c>
      <c r="BT20" t="s">
        <v>1011</v>
      </c>
      <c r="BU20" t="s">
        <v>304</v>
      </c>
      <c r="BV20">
        <v>15.65</v>
      </c>
      <c r="BW20">
        <v>15.03</v>
      </c>
      <c r="BX20">
        <v>19.13</v>
      </c>
      <c r="BY20">
        <v>2.1800000000000002</v>
      </c>
      <c r="BZ20">
        <v>2.2799999999999998</v>
      </c>
      <c r="CA20">
        <v>3.1</v>
      </c>
      <c r="CB20">
        <v>1.74</v>
      </c>
      <c r="CC20">
        <v>0.94</v>
      </c>
      <c r="CD20" t="s">
        <v>1012</v>
      </c>
      <c r="CE20" t="s">
        <v>1013</v>
      </c>
      <c r="CF20" s="11">
        <v>22.196799295257673</v>
      </c>
      <c r="CG20" s="12">
        <v>10.650158061116965</v>
      </c>
      <c r="CH20" s="11">
        <v>-0.95180201530456543</v>
      </c>
      <c r="CI20" s="11" t="s">
        <v>16</v>
      </c>
      <c r="CJ20" s="11" t="s">
        <v>16</v>
      </c>
      <c r="CK20" s="11">
        <v>-0.28889629244804382</v>
      </c>
      <c r="CL20" s="11">
        <v>2.3734213784337044E-2</v>
      </c>
      <c r="CM20" s="12">
        <v>-1.0627440214157104</v>
      </c>
      <c r="CN20" s="12" t="s">
        <v>16</v>
      </c>
      <c r="CO20" s="12" t="s">
        <v>16</v>
      </c>
      <c r="CP20" s="12" t="s">
        <v>16</v>
      </c>
      <c r="CQ20" s="12" t="s">
        <v>16</v>
      </c>
      <c r="CR20">
        <v>24.892398008684168</v>
      </c>
      <c r="CS20">
        <v>0.61363514664221019</v>
      </c>
      <c r="CT20">
        <v>3.1104199066874028</v>
      </c>
      <c r="CU20" s="11">
        <v>-0.40565469798942405</v>
      </c>
      <c r="CV20" s="12">
        <v>-1.0627440214157104</v>
      </c>
      <c r="CW20">
        <v>0.06</v>
      </c>
      <c r="CX20" t="e">
        <v>#VALUE!</v>
      </c>
      <c r="CY20" t="s">
        <v>321</v>
      </c>
      <c r="CZ20">
        <v>-0.40565469798942405</v>
      </c>
      <c r="DA20" t="e">
        <v>#VALUE!</v>
      </c>
      <c r="DB20" t="s">
        <v>321</v>
      </c>
      <c r="DC20">
        <v>-0.38537196308995281</v>
      </c>
      <c r="DD20" t="e">
        <v>#VALUE!</v>
      </c>
      <c r="DE20" t="s">
        <v>321</v>
      </c>
      <c r="DF20">
        <v>-0.35697613423069319</v>
      </c>
      <c r="DG20" t="e">
        <v>#VALUE!</v>
      </c>
      <c r="DH20" t="s">
        <v>321</v>
      </c>
      <c r="DI20">
        <v>-0.32452375839153924</v>
      </c>
      <c r="DJ20" t="e">
        <v>#VALUE!</v>
      </c>
      <c r="DK20" t="s">
        <v>321</v>
      </c>
      <c r="DL20">
        <v>-0.28395828859259681</v>
      </c>
      <c r="DM20">
        <v>-4209000000.0000005</v>
      </c>
      <c r="DN20">
        <v>-0.40565469798942405</v>
      </c>
      <c r="DO20">
        <v>858908870000</v>
      </c>
      <c r="DP20">
        <v>608086000000</v>
      </c>
      <c r="DQ20">
        <v>2867</v>
      </c>
      <c r="DR20">
        <v>22.602453993247096</v>
      </c>
      <c r="DS20">
        <v>11.712902082532676</v>
      </c>
      <c r="DT20" s="13">
        <v>-1.1599999999999999</v>
      </c>
      <c r="DU20">
        <v>-3.57</v>
      </c>
      <c r="DV20">
        <v>-4.7299999999999995</v>
      </c>
      <c r="DW20">
        <v>9.3999999999999986E-3</v>
      </c>
      <c r="DX20">
        <v>0.43670447055320638</v>
      </c>
      <c r="DY20">
        <v>1.5670220232001379E-3</v>
      </c>
      <c r="DZ20">
        <v>1187</v>
      </c>
      <c r="EA20">
        <v>1.2030190600810452E-3</v>
      </c>
      <c r="EB20">
        <v>0</v>
      </c>
      <c r="EC20">
        <v>6.0394499830994002E-3</v>
      </c>
      <c r="ED20">
        <v>3.6228482959843884E-2</v>
      </c>
      <c r="EE20" s="14">
        <v>-1.0230999999999999</v>
      </c>
      <c r="EF20">
        <v>-1.0141</v>
      </c>
      <c r="EG20">
        <v>27.166704470553206</v>
      </c>
      <c r="EH20" t="s">
        <v>1014</v>
      </c>
      <c r="EI20">
        <v>0</v>
      </c>
      <c r="EJ20">
        <v>1</v>
      </c>
      <c r="EK20" s="10">
        <v>45470</v>
      </c>
      <c r="EL20" s="15">
        <v>0</v>
      </c>
      <c r="EM20" s="15">
        <v>-0.44</v>
      </c>
      <c r="EN20" s="15">
        <v>0.3</v>
      </c>
      <c r="EO20" s="15">
        <v>-1.18</v>
      </c>
      <c r="EP20" s="15">
        <v>-0.9</v>
      </c>
    </row>
    <row r="21" spans="1:146" ht="156" x14ac:dyDescent="0.25">
      <c r="A21" s="8"/>
      <c r="B21" s="8"/>
      <c r="C21" s="8" t="str">
        <f>"公司主营业务囊括石油炼化、石化以及聚酯化纤全产业链上、中、下游业务领域涉及的PX、醋酸、PTA、聚酯切片、民用涤纶长丝、工业涤纶长丝、聚酯薄膜、工程塑料的生产、研发和销售。"&amp;CHAR(10)&amp;Basic_Fundamental_Information_Constructure(F21)&amp;CHAR(10)&amp;Basic_Fundamental_Information_Concatenate("石油化工分部 1071.27亿 89.91% 85.20% 13.35%
总部及其他业务分部 423.45亿 35.54% 4.81% 1.91%
聚酯纤维分部 156.07亿 13.10% 10.23% 11.00%")</f>
        <v>公司主营业务囊括石油炼化、石化以及聚酯化纤全产业链上、中、下游业务领域涉及的PX、醋酸、PTA、聚酯切片、民用涤纶长丝、工业涤纶长丝、聚酯薄膜、工程塑料的生产、研发和销售。
市值990.40134亿, 利润51.79亿; PE12.34; 平均PE11.92; 平均PEG.81, PB1.6; ROIC6.6567%; ROE14.8633%; 股利率3.909%; 毛利11.6133%; 净利3.9433%; 上一年度营收增-87.17%, 利润增123.43%; 当季营收增596.86%, 利润增23.88%; 过往5年营收增14.81%, 利润增57.94%
Income profile:
石油化工分部 1071.27亿 89.91% 85.20% 13.35%
总部及其他业务分部 423.45亿 35.54% 4.81% 1.91%
聚酯纤维分部 156.07亿 13.10% 10.23% 11.00%</v>
      </c>
      <c r="D21" t="s">
        <v>211</v>
      </c>
      <c r="E21" t="s">
        <v>212</v>
      </c>
      <c r="F21">
        <v>14.07</v>
      </c>
      <c r="G21">
        <v>2.25</v>
      </c>
      <c r="H21" t="s">
        <v>1015</v>
      </c>
      <c r="I21">
        <v>99040134000</v>
      </c>
      <c r="J21">
        <v>12.34</v>
      </c>
      <c r="K21">
        <v>1.6</v>
      </c>
      <c r="L21" t="s">
        <v>182</v>
      </c>
      <c r="M21" t="s">
        <v>1016</v>
      </c>
      <c r="N21" t="s">
        <v>1017</v>
      </c>
      <c r="O21" t="s">
        <v>1018</v>
      </c>
      <c r="P21">
        <v>4</v>
      </c>
      <c r="Q21" t="s">
        <v>1019</v>
      </c>
      <c r="R21">
        <v>2139368700</v>
      </c>
      <c r="S21" s="6">
        <v>1.0980000000000001</v>
      </c>
      <c r="T21" t="s">
        <v>1020</v>
      </c>
      <c r="U21">
        <v>7039099800</v>
      </c>
      <c r="V21">
        <v>7039099800</v>
      </c>
      <c r="W21">
        <v>4.3899999999999997</v>
      </c>
      <c r="X21">
        <v>0.22</v>
      </c>
      <c r="Y21">
        <v>3.67</v>
      </c>
      <c r="Z21" t="s">
        <v>1021</v>
      </c>
      <c r="AA21" t="s">
        <v>1022</v>
      </c>
      <c r="AB21" t="s">
        <v>86</v>
      </c>
      <c r="AC21" t="s">
        <v>491</v>
      </c>
      <c r="AD21" t="s">
        <v>16</v>
      </c>
      <c r="AE21">
        <v>1470800500</v>
      </c>
      <c r="AF21" t="s">
        <v>1023</v>
      </c>
      <c r="AG21" t="s">
        <v>1024</v>
      </c>
      <c r="AH21" t="s">
        <v>1025</v>
      </c>
      <c r="AI21" t="s">
        <v>1026</v>
      </c>
      <c r="AJ21" t="s">
        <v>1027</v>
      </c>
      <c r="AK21" t="s">
        <v>16</v>
      </c>
      <c r="AL21" t="s">
        <v>1028</v>
      </c>
      <c r="AM21" t="s">
        <v>16</v>
      </c>
      <c r="AN21" t="s">
        <v>1029</v>
      </c>
      <c r="AO21" t="s">
        <v>1030</v>
      </c>
      <c r="AP21" t="s">
        <v>1031</v>
      </c>
      <c r="AQ21" t="s">
        <v>1032</v>
      </c>
      <c r="AR21" t="s">
        <v>16</v>
      </c>
      <c r="AS21" t="s">
        <v>1033</v>
      </c>
      <c r="AT21" t="s">
        <v>1034</v>
      </c>
      <c r="AU21" t="s">
        <v>1035</v>
      </c>
      <c r="AV21" t="s">
        <v>1036</v>
      </c>
      <c r="AW21" t="s">
        <v>1037</v>
      </c>
      <c r="AX21" t="s">
        <v>1038</v>
      </c>
      <c r="AY21" t="s">
        <v>1039</v>
      </c>
      <c r="AZ21" t="s">
        <v>213</v>
      </c>
      <c r="BA21" t="s">
        <v>215</v>
      </c>
      <c r="BB21" t="s">
        <v>216</v>
      </c>
      <c r="BC21" t="s">
        <v>1040</v>
      </c>
      <c r="BD21" t="s">
        <v>267</v>
      </c>
      <c r="BE21" t="s">
        <v>214</v>
      </c>
      <c r="BF21" t="s">
        <v>217</v>
      </c>
      <c r="BG21" t="s">
        <v>218</v>
      </c>
      <c r="BH21" t="s">
        <v>1041</v>
      </c>
      <c r="BI21" t="s">
        <v>1042</v>
      </c>
      <c r="BJ21" t="s">
        <v>1038</v>
      </c>
      <c r="BK21" t="s">
        <v>1043</v>
      </c>
      <c r="BL21" t="s">
        <v>1044</v>
      </c>
      <c r="BM21" t="s">
        <v>1040</v>
      </c>
      <c r="BN21">
        <v>4.55</v>
      </c>
      <c r="BO21">
        <v>3.57</v>
      </c>
      <c r="BP21">
        <v>11.85</v>
      </c>
      <c r="BQ21">
        <v>10.220000000000001</v>
      </c>
      <c r="BR21">
        <v>4.3</v>
      </c>
      <c r="BS21">
        <v>30.07</v>
      </c>
      <c r="BT21" t="s">
        <v>1045</v>
      </c>
      <c r="BU21" t="s">
        <v>304</v>
      </c>
      <c r="BV21">
        <v>11.25</v>
      </c>
      <c r="BW21">
        <v>8.2100000000000009</v>
      </c>
      <c r="BX21">
        <v>15.38</v>
      </c>
      <c r="BY21">
        <v>2.94</v>
      </c>
      <c r="BZ21">
        <v>1.04</v>
      </c>
      <c r="CA21">
        <v>7.85</v>
      </c>
      <c r="CB21">
        <v>0.86</v>
      </c>
      <c r="CC21">
        <v>-3.23</v>
      </c>
      <c r="CD21" t="s">
        <v>1046</v>
      </c>
      <c r="CE21" t="s">
        <v>664</v>
      </c>
      <c r="CF21" s="11">
        <v>5.9686120062059906</v>
      </c>
      <c r="CG21" s="12">
        <v>0.23877747539085117</v>
      </c>
      <c r="CH21" s="11">
        <v>-0.87172770500183105</v>
      </c>
      <c r="CI21" s="11">
        <v>0.12301862239837646</v>
      </c>
      <c r="CJ21" s="11">
        <v>0.2992459237575531</v>
      </c>
      <c r="CK21" s="11">
        <v>0.51190692186355591</v>
      </c>
      <c r="CL21" s="11">
        <v>0.6778264045715332</v>
      </c>
      <c r="CM21" s="12">
        <v>1.2342534065246582</v>
      </c>
      <c r="CN21" s="12">
        <v>-0.85075008869171143</v>
      </c>
      <c r="CO21" s="12">
        <v>0.15369188785552979</v>
      </c>
      <c r="CP21" s="12">
        <v>0.34284287691116333</v>
      </c>
      <c r="CQ21" s="12">
        <v>2.0168521404266357</v>
      </c>
      <c r="CR21">
        <v>11.923448051687467</v>
      </c>
      <c r="CS21">
        <v>0.80534435762271428</v>
      </c>
      <c r="CT21">
        <v>3.9090262970859984</v>
      </c>
      <c r="CU21" s="11">
        <v>0.14805403351783752</v>
      </c>
      <c r="CV21" s="12">
        <v>0.5793780446052551</v>
      </c>
      <c r="CW21">
        <v>0.06</v>
      </c>
      <c r="CX21">
        <v>42.350128601202925</v>
      </c>
      <c r="CY21">
        <v>5609218716.5932837</v>
      </c>
      <c r="CZ21">
        <v>0.14805403351783752</v>
      </c>
      <c r="DA21">
        <v>13.180070820183587</v>
      </c>
      <c r="DB21">
        <v>18023509679.190868</v>
      </c>
      <c r="DC21">
        <v>0.14065133184194564</v>
      </c>
      <c r="DD21">
        <v>6.0696241700646354</v>
      </c>
      <c r="DE21">
        <v>39137700678.668266</v>
      </c>
      <c r="DF21">
        <v>0.13028754949569701</v>
      </c>
      <c r="DG21">
        <v>3.3741872743276033</v>
      </c>
      <c r="DH21">
        <v>70402474636.603683</v>
      </c>
      <c r="DI21">
        <v>0.11844322681427003</v>
      </c>
      <c r="DJ21">
        <v>1.4615909185527702</v>
      </c>
      <c r="DK21">
        <v>162529152982.98175</v>
      </c>
      <c r="DL21">
        <v>0.10363782346248626</v>
      </c>
      <c r="DM21">
        <v>5179000000</v>
      </c>
      <c r="DN21">
        <v>0.14805403351783752</v>
      </c>
      <c r="DO21">
        <v>237551134000</v>
      </c>
      <c r="DP21">
        <v>-57200422000</v>
      </c>
      <c r="DQ21">
        <v>3114</v>
      </c>
      <c r="DR21">
        <v>5.8205579726881531</v>
      </c>
      <c r="DS21">
        <v>-0.34060056921440396</v>
      </c>
      <c r="DT21" s="13">
        <v>-0.32333333333333331</v>
      </c>
      <c r="DU21">
        <v>1.0316666666666667</v>
      </c>
      <c r="DV21">
        <v>0.70833333333333348</v>
      </c>
      <c r="DW21">
        <v>-1.0323</v>
      </c>
      <c r="DX21">
        <v>0.44904866960352297</v>
      </c>
      <c r="DY21">
        <v>-1.0054602720281938</v>
      </c>
      <c r="DZ21">
        <v>3493</v>
      </c>
      <c r="EA21">
        <v>-1.0017278395048119</v>
      </c>
      <c r="EB21">
        <v>1</v>
      </c>
      <c r="EC21">
        <v>1.0903112923615602E-2</v>
      </c>
      <c r="ED21">
        <v>6.4496883536158983E-2</v>
      </c>
      <c r="EE21" s="14">
        <v>6.1198100000000002</v>
      </c>
      <c r="EF21">
        <v>5.01281</v>
      </c>
      <c r="EG21">
        <v>28.169048669603523</v>
      </c>
      <c r="EH21" t="s">
        <v>1047</v>
      </c>
      <c r="EI21">
        <v>0</v>
      </c>
      <c r="EJ21">
        <v>0</v>
      </c>
      <c r="EK21" s="10">
        <v>45470</v>
      </c>
      <c r="EL21" s="15">
        <v>-9.99</v>
      </c>
      <c r="EM21" s="15">
        <v>-6.53</v>
      </c>
      <c r="EN21" s="15">
        <v>1.07</v>
      </c>
      <c r="EO21" s="15">
        <v>0</v>
      </c>
      <c r="EP21" s="15">
        <v>-4.3</v>
      </c>
    </row>
    <row r="22" spans="1:146" ht="96" x14ac:dyDescent="0.25">
      <c r="A22" s="8"/>
      <c r="B22" s="8"/>
      <c r="C22" s="8" t="str">
        <f>""&amp;CHAR(10)&amp;Basic_Fundamental_Information_Constructure(F22)&amp;CHAR(10)&amp;Basic_Fundamental_Information_Concatenate("")</f>
        <v xml:space="preserve">
市值12.0313127亿, 利润5.09亿; PE; 平均PE4.82; 平均PEG2.51, PB.418; ROIC1.6533%; ROE1.82%; 股利率0%; 毛利6.2633%; 净利-3.22%; 上一年度营收增66.56%, 利润增808.26%; 当季营收增-80.77%, 利润增-94.68%; 过往5年营收增1.92%, 利润增151.99%
Income profile:
</v>
      </c>
      <c r="D22" t="s">
        <v>62</v>
      </c>
      <c r="E22" t="s">
        <v>1048</v>
      </c>
      <c r="F22">
        <v>2.57</v>
      </c>
      <c r="G22">
        <v>4.9000000000000004</v>
      </c>
      <c r="H22" t="s">
        <v>1049</v>
      </c>
      <c r="I22">
        <v>1203131270</v>
      </c>
      <c r="K22">
        <v>0.41799999999999998</v>
      </c>
      <c r="L22" t="s">
        <v>182</v>
      </c>
      <c r="M22" t="s">
        <v>1050</v>
      </c>
      <c r="N22" t="s">
        <v>1051</v>
      </c>
      <c r="O22" t="s">
        <v>1052</v>
      </c>
      <c r="P22">
        <v>-24.87</v>
      </c>
      <c r="Q22" t="s">
        <v>1053</v>
      </c>
      <c r="R22">
        <v>9836130</v>
      </c>
      <c r="S22" s="6">
        <v>-0.41420000000000001</v>
      </c>
      <c r="T22" t="s">
        <v>1054</v>
      </c>
      <c r="U22">
        <v>404048490</v>
      </c>
      <c r="V22">
        <v>468144460</v>
      </c>
      <c r="W22">
        <v>1.37</v>
      </c>
      <c r="X22">
        <v>0.11</v>
      </c>
      <c r="Y22">
        <v>1.79</v>
      </c>
      <c r="Z22" t="s">
        <v>663</v>
      </c>
      <c r="AA22" t="s">
        <v>1055</v>
      </c>
      <c r="AB22" t="s">
        <v>1056</v>
      </c>
      <c r="AC22" t="s">
        <v>1057</v>
      </c>
      <c r="AD22" t="s">
        <v>16</v>
      </c>
      <c r="AE22">
        <v>4078926</v>
      </c>
      <c r="AF22" t="s">
        <v>1058</v>
      </c>
      <c r="AG22">
        <v>2086.58</v>
      </c>
      <c r="AH22" t="s">
        <v>1059</v>
      </c>
      <c r="AI22" t="s">
        <v>1060</v>
      </c>
      <c r="AJ22" t="s">
        <v>16</v>
      </c>
      <c r="AK22" t="s">
        <v>1061</v>
      </c>
      <c r="AL22" t="s">
        <v>1062</v>
      </c>
      <c r="AM22" t="s">
        <v>16</v>
      </c>
      <c r="AN22" t="s">
        <v>1063</v>
      </c>
      <c r="AO22" t="s">
        <v>202</v>
      </c>
      <c r="AP22" t="s">
        <v>324</v>
      </c>
      <c r="AQ22" t="s">
        <v>1064</v>
      </c>
      <c r="AR22" t="s">
        <v>1065</v>
      </c>
      <c r="AS22" t="s">
        <v>1066</v>
      </c>
      <c r="AT22" t="s">
        <v>16</v>
      </c>
      <c r="AU22" t="s">
        <v>1067</v>
      </c>
      <c r="AV22" t="s">
        <v>1068</v>
      </c>
      <c r="AW22" t="s">
        <v>1069</v>
      </c>
      <c r="AX22" t="s">
        <v>1070</v>
      </c>
      <c r="AY22" t="s">
        <v>1071</v>
      </c>
      <c r="AZ22" t="s">
        <v>149</v>
      </c>
      <c r="BA22" t="s">
        <v>63</v>
      </c>
      <c r="BB22" t="s">
        <v>151</v>
      </c>
      <c r="BC22" t="s">
        <v>1072</v>
      </c>
      <c r="BD22" t="s">
        <v>268</v>
      </c>
      <c r="BE22" t="s">
        <v>150</v>
      </c>
      <c r="BF22" t="s">
        <v>64</v>
      </c>
      <c r="BG22" t="s">
        <v>84</v>
      </c>
      <c r="BH22" t="s">
        <v>1073</v>
      </c>
      <c r="BI22" t="s">
        <v>729</v>
      </c>
      <c r="BJ22" t="s">
        <v>1070</v>
      </c>
      <c r="BK22" t="s">
        <v>1074</v>
      </c>
      <c r="BL22" t="s">
        <v>1075</v>
      </c>
      <c r="BM22" t="s">
        <v>1072</v>
      </c>
      <c r="BN22">
        <v>1.03</v>
      </c>
      <c r="BO22">
        <v>1.3</v>
      </c>
      <c r="BP22">
        <v>2.63</v>
      </c>
      <c r="BQ22">
        <v>1.28</v>
      </c>
      <c r="BR22">
        <v>1.77</v>
      </c>
      <c r="BS22">
        <v>2.41</v>
      </c>
      <c r="BT22" t="s">
        <v>427</v>
      </c>
      <c r="BU22" t="s">
        <v>305</v>
      </c>
      <c r="BV22">
        <v>12.49</v>
      </c>
      <c r="BW22">
        <v>3.51</v>
      </c>
      <c r="BX22">
        <v>2.79</v>
      </c>
      <c r="BY22">
        <v>-11.69</v>
      </c>
      <c r="BZ22">
        <v>0.9</v>
      </c>
      <c r="CA22">
        <v>1.1299999999999999</v>
      </c>
      <c r="CB22">
        <v>6.64</v>
      </c>
      <c r="CC22">
        <v>-9.19</v>
      </c>
      <c r="CD22" t="s">
        <v>1076</v>
      </c>
      <c r="CE22" t="s">
        <v>1077</v>
      </c>
      <c r="CF22" s="11">
        <v>-0.80769230769230771</v>
      </c>
      <c r="CG22" s="12">
        <v>-0.94683172972972973</v>
      </c>
      <c r="CH22" s="11">
        <v>0.66560399532318115</v>
      </c>
      <c r="CI22" s="11">
        <v>-0.19006636738777161</v>
      </c>
      <c r="CJ22" s="11">
        <v>0.64956408739089966</v>
      </c>
      <c r="CK22" s="11">
        <v>-0.58770906925201416</v>
      </c>
      <c r="CL22" s="11">
        <v>-0.44146075844764709</v>
      </c>
      <c r="CM22" s="12">
        <v>8.0826358795166016</v>
      </c>
      <c r="CN22" s="12">
        <v>-0.26755371689796448</v>
      </c>
      <c r="CO22" s="12">
        <v>7.9334728419780731E-2</v>
      </c>
      <c r="CP22" s="12">
        <v>-0.85169833898544312</v>
      </c>
      <c r="CQ22" s="12">
        <v>0.55700325965881348</v>
      </c>
      <c r="CR22">
        <v>4.8207483124714141</v>
      </c>
      <c r="CS22">
        <v>2.5125891044868314</v>
      </c>
      <c r="CT22">
        <v>0</v>
      </c>
      <c r="CU22" s="11">
        <v>1.918637752532959E-2</v>
      </c>
      <c r="CV22" s="12">
        <v>1.5199443623423576</v>
      </c>
      <c r="CW22">
        <v>0.06</v>
      </c>
      <c r="CX22" t="s">
        <v>929</v>
      </c>
      <c r="CY22">
        <v>489401760.5286724</v>
      </c>
      <c r="CZ22">
        <v>1.918637752532959E-2</v>
      </c>
      <c r="DA22" t="s">
        <v>929</v>
      </c>
      <c r="DB22">
        <v>1409777445.2557988</v>
      </c>
      <c r="DC22">
        <v>1.822705864906311E-2</v>
      </c>
      <c r="DD22" t="s">
        <v>929</v>
      </c>
      <c r="DE22">
        <v>2647524764.4212966</v>
      </c>
      <c r="DF22">
        <v>1.6884012222290041E-2</v>
      </c>
      <c r="DG22" t="s">
        <v>929</v>
      </c>
      <c r="DH22">
        <v>4047930398.3596225</v>
      </c>
      <c r="DI22">
        <v>1.5349102020263673E-2</v>
      </c>
      <c r="DJ22" t="s">
        <v>929</v>
      </c>
      <c r="DK22">
        <v>6566736622.5817261</v>
      </c>
      <c r="DL22">
        <v>1.3430464267730712E-2</v>
      </c>
      <c r="DM22">
        <v>509000000</v>
      </c>
      <c r="DN22">
        <v>1.918637752532959E-2</v>
      </c>
      <c r="DO22">
        <v>-537868730</v>
      </c>
      <c r="DP22">
        <v>1181779800</v>
      </c>
      <c r="DQ22">
        <v>3148</v>
      </c>
      <c r="DR22">
        <v>-0.8268786852176373</v>
      </c>
      <c r="DS22">
        <v>-2.4667760920720871</v>
      </c>
      <c r="DT22" s="13">
        <v>-0.20666666666666664</v>
      </c>
      <c r="DU22">
        <v>-0.42333333333333334</v>
      </c>
      <c r="DV22">
        <v>-0.63</v>
      </c>
      <c r="DW22">
        <v>7.4194567277321539</v>
      </c>
      <c r="DX22">
        <v>0.35873415492957661</v>
      </c>
      <c r="DY22">
        <v>7.0498038400968035</v>
      </c>
      <c r="DZ22">
        <v>3865</v>
      </c>
      <c r="EA22">
        <v>7.0121342037026455</v>
      </c>
      <c r="EB22">
        <v>7</v>
      </c>
      <c r="EC22">
        <v>7.2030116515743883E-2</v>
      </c>
      <c r="ED22">
        <v>0.60665034891153047</v>
      </c>
      <c r="EE22" s="14">
        <v>1.0648</v>
      </c>
      <c r="EF22">
        <v>1.0506</v>
      </c>
      <c r="EG22">
        <v>24.118734154929577</v>
      </c>
      <c r="EH22" t="s">
        <v>900</v>
      </c>
      <c r="EI22">
        <v>1</v>
      </c>
      <c r="EJ22">
        <v>0</v>
      </c>
      <c r="EK22" s="10">
        <v>45470</v>
      </c>
      <c r="EL22" s="15">
        <v>-1.43</v>
      </c>
      <c r="EM22" s="15">
        <v>-3.62</v>
      </c>
      <c r="EN22" s="15">
        <v>1.5</v>
      </c>
      <c r="EO22" s="15">
        <v>4.4400000000000004</v>
      </c>
      <c r="EP22" s="15">
        <v>-1.42</v>
      </c>
    </row>
    <row r="23" spans="1:146" ht="96" x14ac:dyDescent="0.25">
      <c r="A23" s="8"/>
      <c r="B23" s="8"/>
      <c r="C23" s="8" t="str">
        <f>""&amp;CHAR(10)&amp;Basic_Fundamental_Information_Constructure(F23)&amp;CHAR(10)&amp;Basic_Fundamental_Information_Concatenate("")</f>
        <v xml:space="preserve">
市值23.983165亿, 利润6.89亿; PE; 平均PE25.24; 平均PEG.06, PB5.44; ROIC0%; ROE-19.89%; 股利率0%; 毛利13.0633%; 净利-5.5533%; 上一年度营收增1218.1%, 利润增918.07%; 当季营收增-88.13%, 利润增-69.65%; 过往5年营收增455.75%, 利润增-47.18%
Income profile:
</v>
      </c>
      <c r="D23" t="s">
        <v>269</v>
      </c>
      <c r="E23" t="s">
        <v>1078</v>
      </c>
      <c r="F23">
        <v>12.49</v>
      </c>
      <c r="G23">
        <v>2.29</v>
      </c>
      <c r="H23" t="s">
        <v>1079</v>
      </c>
      <c r="I23">
        <v>2398316500</v>
      </c>
      <c r="K23">
        <v>5.44</v>
      </c>
      <c r="L23" t="s">
        <v>182</v>
      </c>
      <c r="M23" t="s">
        <v>1080</v>
      </c>
      <c r="N23" t="s">
        <v>1081</v>
      </c>
      <c r="O23" t="s">
        <v>504</v>
      </c>
      <c r="P23">
        <v>10.54</v>
      </c>
      <c r="Q23" t="s">
        <v>1082</v>
      </c>
      <c r="R23">
        <v>39459367</v>
      </c>
      <c r="S23" s="6">
        <v>168.42</v>
      </c>
      <c r="T23" t="s">
        <v>1083</v>
      </c>
      <c r="U23">
        <v>147706870</v>
      </c>
      <c r="V23">
        <v>192018930</v>
      </c>
      <c r="W23">
        <v>5.14</v>
      </c>
      <c r="X23">
        <v>0.34</v>
      </c>
      <c r="Y23">
        <v>5.22</v>
      </c>
      <c r="Z23" t="s">
        <v>1084</v>
      </c>
      <c r="AA23" t="s">
        <v>1085</v>
      </c>
      <c r="AB23" t="s">
        <v>1086</v>
      </c>
      <c r="AC23" t="s">
        <v>1087</v>
      </c>
      <c r="AD23" t="s">
        <v>16</v>
      </c>
      <c r="AE23">
        <v>16933118</v>
      </c>
      <c r="AF23" t="s">
        <v>41</v>
      </c>
      <c r="AG23" t="s">
        <v>1088</v>
      </c>
      <c r="AH23" t="s">
        <v>1089</v>
      </c>
      <c r="AI23" t="s">
        <v>433</v>
      </c>
      <c r="AJ23" t="s">
        <v>1090</v>
      </c>
      <c r="AK23" t="s">
        <v>1091</v>
      </c>
      <c r="AL23" t="s">
        <v>1092</v>
      </c>
      <c r="AM23" t="s">
        <v>16</v>
      </c>
      <c r="AN23" t="s">
        <v>1093</v>
      </c>
      <c r="AO23" t="s">
        <v>1094</v>
      </c>
      <c r="AP23" t="s">
        <v>16</v>
      </c>
      <c r="AQ23" t="s">
        <v>339</v>
      </c>
      <c r="AR23" t="s">
        <v>1095</v>
      </c>
      <c r="AS23" t="s">
        <v>685</v>
      </c>
      <c r="AT23" t="s">
        <v>1096</v>
      </c>
      <c r="AU23" t="s">
        <v>434</v>
      </c>
      <c r="AV23" t="s">
        <v>1097</v>
      </c>
      <c r="AW23" t="s">
        <v>1098</v>
      </c>
      <c r="AX23" t="s">
        <v>127</v>
      </c>
      <c r="AY23" t="s">
        <v>233</v>
      </c>
      <c r="AZ23" t="s">
        <v>248</v>
      </c>
      <c r="BA23" t="s">
        <v>271</v>
      </c>
      <c r="BB23" t="s">
        <v>272</v>
      </c>
      <c r="BC23" t="s">
        <v>1099</v>
      </c>
      <c r="BD23" t="s">
        <v>270</v>
      </c>
      <c r="BE23" t="s">
        <v>273</v>
      </c>
      <c r="BF23" t="s">
        <v>274</v>
      </c>
      <c r="BG23" t="s">
        <v>275</v>
      </c>
      <c r="BH23" t="s">
        <v>1100</v>
      </c>
      <c r="BI23" t="s">
        <v>1101</v>
      </c>
      <c r="BJ23" t="s">
        <v>127</v>
      </c>
      <c r="BK23" t="s">
        <v>1102</v>
      </c>
      <c r="BL23" t="s">
        <v>107</v>
      </c>
      <c r="BM23" t="s">
        <v>1099</v>
      </c>
      <c r="BN23" t="s">
        <v>16</v>
      </c>
      <c r="BO23" t="s">
        <v>16</v>
      </c>
      <c r="BP23" t="s">
        <v>16</v>
      </c>
      <c r="BQ23">
        <v>-6.54</v>
      </c>
      <c r="BR23">
        <v>-39.340000000000003</v>
      </c>
      <c r="BS23">
        <v>-13.79</v>
      </c>
      <c r="BT23" t="s">
        <v>427</v>
      </c>
      <c r="BU23" t="s">
        <v>304</v>
      </c>
      <c r="BV23">
        <v>16.809999999999999</v>
      </c>
      <c r="BW23">
        <v>15.16</v>
      </c>
      <c r="BX23">
        <v>7.22</v>
      </c>
      <c r="BY23">
        <v>-2.19</v>
      </c>
      <c r="BZ23">
        <v>-4.1900000000000004</v>
      </c>
      <c r="CA23">
        <v>-10.28</v>
      </c>
      <c r="CB23">
        <v>0.89</v>
      </c>
      <c r="CC23">
        <v>-8.23</v>
      </c>
      <c r="CD23" t="s">
        <v>1103</v>
      </c>
      <c r="CE23" t="s">
        <v>1104</v>
      </c>
      <c r="CF23" s="11">
        <v>-0.88126276111198365</v>
      </c>
      <c r="CG23" s="12">
        <v>-0.69646640769230772</v>
      </c>
      <c r="CH23" s="11">
        <v>12.181003570556641</v>
      </c>
      <c r="CI23" s="11">
        <v>4.7457146644592285</v>
      </c>
      <c r="CJ23" s="11">
        <v>1.9411764144897461</v>
      </c>
      <c r="CK23" s="11">
        <v>4.4018721580505371</v>
      </c>
      <c r="CL23" s="11">
        <v>-0.48233839869499207</v>
      </c>
      <c r="CM23" s="12">
        <v>9.1807212829589844</v>
      </c>
      <c r="CN23" s="12">
        <v>-1.3438472747802734</v>
      </c>
      <c r="CO23" s="12">
        <v>-9.0665826797485352</v>
      </c>
      <c r="CP23" s="12">
        <v>1.5766919851303101</v>
      </c>
      <c r="CQ23" s="12">
        <v>-2.7059941291809082</v>
      </c>
      <c r="CR23">
        <v>25.240911191011016</v>
      </c>
      <c r="CS23">
        <v>5.538341303399507E-2</v>
      </c>
      <c r="CT23">
        <v>0</v>
      </c>
      <c r="CU23" s="11">
        <v>4.5574856817722322</v>
      </c>
      <c r="CV23" s="12">
        <v>-0.47180216312408446</v>
      </c>
      <c r="CW23">
        <v>0.06</v>
      </c>
      <c r="CX23">
        <v>1.0188106112780511</v>
      </c>
      <c r="CY23">
        <v>3612365693.1519508</v>
      </c>
      <c r="CZ23">
        <v>4.5574856817722322</v>
      </c>
      <c r="DA23">
        <v>3.3932823103151342E-2</v>
      </c>
      <c r="DB23">
        <v>108458895058.99109</v>
      </c>
      <c r="DC23">
        <v>4.3296113976836201</v>
      </c>
      <c r="DD23">
        <v>3.7755589107305937E-4</v>
      </c>
      <c r="DE23">
        <v>9747739571855.4316</v>
      </c>
      <c r="DF23">
        <v>4.0105873999595643</v>
      </c>
      <c r="DG23">
        <v>1.5757023456093508E-6</v>
      </c>
      <c r="DH23">
        <v>2335667336064515</v>
      </c>
      <c r="DI23">
        <v>3.6459885454177861</v>
      </c>
      <c r="DJ23">
        <v>4.5956195767906678E-12</v>
      </c>
      <c r="DK23">
        <v>8.008314088021476E+20</v>
      </c>
      <c r="DL23">
        <v>3.1902399772405623</v>
      </c>
      <c r="DM23">
        <v>689000000</v>
      </c>
      <c r="DN23">
        <v>4.5574856817722322</v>
      </c>
      <c r="DO23">
        <v>3680316500</v>
      </c>
      <c r="DP23">
        <v>-270658920</v>
      </c>
      <c r="DQ23">
        <v>3226</v>
      </c>
      <c r="DR23">
        <v>-5.4387484428842159</v>
      </c>
      <c r="DS23">
        <v>-0.22466424456822326</v>
      </c>
      <c r="DT23" s="13">
        <v>0.96000000000000008</v>
      </c>
      <c r="DU23">
        <v>-1.7033333333333334</v>
      </c>
      <c r="DV23">
        <v>-0.74333333333333329</v>
      </c>
      <c r="DW23">
        <v>-2.0823</v>
      </c>
      <c r="DX23">
        <v>0.30196238938052933</v>
      </c>
      <c r="DY23">
        <v>-2.0108605046460175</v>
      </c>
      <c r="DZ23">
        <v>4166</v>
      </c>
      <c r="EA23">
        <v>-2.0020063241459569</v>
      </c>
      <c r="EB23">
        <v>2</v>
      </c>
      <c r="EC23">
        <v>0.15531541603736673</v>
      </c>
      <c r="ED23">
        <v>1.1769672917144156</v>
      </c>
      <c r="EE23" s="14">
        <v>1.0164</v>
      </c>
      <c r="EF23">
        <v>1.0041100000000001</v>
      </c>
      <c r="EG23">
        <v>17.131962389380529</v>
      </c>
      <c r="EH23" t="s">
        <v>523</v>
      </c>
      <c r="EI23">
        <v>0</v>
      </c>
      <c r="EJ23">
        <v>0</v>
      </c>
      <c r="EK23" s="10">
        <v>45470</v>
      </c>
      <c r="EL23" s="15">
        <v>1.19</v>
      </c>
      <c r="EM23" s="15">
        <v>10</v>
      </c>
      <c r="EN23" s="15">
        <v>1.25</v>
      </c>
      <c r="EO23" s="15">
        <v>-1.1399999999999999</v>
      </c>
      <c r="EP23" s="15">
        <v>-2.0499999999999998</v>
      </c>
    </row>
    <row r="24" spans="1:146" ht="168" x14ac:dyDescent="0.25">
      <c r="A24" s="8"/>
      <c r="B24" s="8"/>
      <c r="C24" s="8" t="str">
        <f>"公司主营业务是石油化工业务。公司主要产品有石油产品、中间石化产品、石油化工产品贸易、树脂及塑料、合成纤维。公司是中国主要的炼油化工一体化综合性石油化工企业之一，具有较强的整体规模实力，是中国重要的成品油、中间石化产品、合成树脂和合成纤维生产企业"&amp;CHAR(10)&amp;Basic_Fundamental_Information_Constructure(F24)&amp;CHAR(10)&amp;Basic_Fundamental_Information_Concatenate("石油产品 275.18亿 59.95% 100.46% 24.76%
石油化工产品贸易 69.56亿 15.15% 0.84% 0.82%
中间石化产品 64.33亿 14.01% 1.05% 1.11%")</f>
        <v>公司主营业务是石油化工业务。公司主要产品有石油产品、中间石化产品、石油化工产品贸易、树脂及塑料、合成纤维。公司是中国主要的炼油化工一体化综合性石油化工企业之一，具有较强的整体规模实力，是中国重要的成品油、中间石化产品、合成树脂和合成纤维生产企业
市值280.75848亿, 利润1759.88万; PE; 平均PE23.19; 平均PEG.97, PB1.14; ROIC5.31%; ROE-2.07%; 股利率0%; 毛利15.1767%; 净利-.9167%; 上一年度营收增-98.67%, 利润增100.61%; 当季营收增7420.14%, 利润增3055.8%; 过往5年营收增-23.84%, 利润增-10.79%
Income profile:
石油产品 275.18亿 59.95% 100.46% 24.76%
石油化工产品贸易 69.56亿 15.15% 0.84% 0.82%
中间石化产品 64.33亿 14.01% 1.05% 1.11%</v>
      </c>
      <c r="D24" t="s">
        <v>65</v>
      </c>
      <c r="E24" t="s">
        <v>14</v>
      </c>
      <c r="F24">
        <v>2.63</v>
      </c>
      <c r="G24">
        <v>0</v>
      </c>
      <c r="H24" t="s">
        <v>1105</v>
      </c>
      <c r="I24">
        <v>28075848000</v>
      </c>
      <c r="K24">
        <v>1.1399999999999999</v>
      </c>
      <c r="L24" t="s">
        <v>182</v>
      </c>
      <c r="M24" t="s">
        <v>1106</v>
      </c>
      <c r="N24" t="s">
        <v>1107</v>
      </c>
      <c r="O24" t="s">
        <v>1108</v>
      </c>
      <c r="P24">
        <v>-3.17</v>
      </c>
      <c r="Q24" t="s">
        <v>1109</v>
      </c>
      <c r="R24">
        <v>84061000</v>
      </c>
      <c r="S24" s="6">
        <v>1.5149999999999999</v>
      </c>
      <c r="T24" t="s">
        <v>1110</v>
      </c>
      <c r="U24">
        <v>7328813500</v>
      </c>
      <c r="V24">
        <v>10675227500</v>
      </c>
      <c r="W24">
        <v>1.58</v>
      </c>
      <c r="X24">
        <v>0.54</v>
      </c>
      <c r="Y24">
        <v>0.4</v>
      </c>
      <c r="Z24" t="s">
        <v>1111</v>
      </c>
      <c r="AA24" t="s">
        <v>1112</v>
      </c>
      <c r="AB24" t="s">
        <v>1113</v>
      </c>
      <c r="AC24" t="s">
        <v>664</v>
      </c>
      <c r="AD24" t="s">
        <v>16</v>
      </c>
      <c r="AE24">
        <v>-43198000</v>
      </c>
      <c r="AF24" t="s">
        <v>1114</v>
      </c>
      <c r="AG24" t="s">
        <v>1115</v>
      </c>
      <c r="AH24" t="s">
        <v>1116</v>
      </c>
      <c r="AI24" t="s">
        <v>1117</v>
      </c>
      <c r="AJ24" t="s">
        <v>1118</v>
      </c>
      <c r="AK24" t="s">
        <v>16</v>
      </c>
      <c r="AL24" t="s">
        <v>1119</v>
      </c>
      <c r="AM24" t="s">
        <v>16</v>
      </c>
      <c r="AN24" t="s">
        <v>976</v>
      </c>
      <c r="AO24" t="s">
        <v>1120</v>
      </c>
      <c r="AP24" t="s">
        <v>1121</v>
      </c>
      <c r="AQ24" t="s">
        <v>1122</v>
      </c>
      <c r="AR24" t="s">
        <v>16</v>
      </c>
      <c r="AS24" t="s">
        <v>1123</v>
      </c>
      <c r="AT24" t="s">
        <v>16</v>
      </c>
      <c r="AU24" t="s">
        <v>1124</v>
      </c>
      <c r="AV24" t="s">
        <v>1125</v>
      </c>
      <c r="AW24" t="s">
        <v>1126</v>
      </c>
      <c r="AX24" t="s">
        <v>1127</v>
      </c>
      <c r="AY24" t="s">
        <v>276</v>
      </c>
      <c r="AZ24" t="s">
        <v>152</v>
      </c>
      <c r="BA24" t="s">
        <v>66</v>
      </c>
      <c r="BB24" t="s">
        <v>154</v>
      </c>
      <c r="BC24" t="s">
        <v>1128</v>
      </c>
      <c r="BD24" t="s">
        <v>277</v>
      </c>
      <c r="BE24" t="s">
        <v>153</v>
      </c>
      <c r="BF24" t="s">
        <v>67</v>
      </c>
      <c r="BG24" t="s">
        <v>155</v>
      </c>
      <c r="BH24" t="s">
        <v>1129</v>
      </c>
      <c r="BI24" t="s">
        <v>1130</v>
      </c>
      <c r="BJ24" t="s">
        <v>1127</v>
      </c>
      <c r="BK24" t="s">
        <v>1131</v>
      </c>
      <c r="BL24" t="s">
        <v>1132</v>
      </c>
      <c r="BM24" t="s">
        <v>1128</v>
      </c>
      <c r="BN24" t="s">
        <v>16</v>
      </c>
      <c r="BO24" t="s">
        <v>16</v>
      </c>
      <c r="BP24">
        <v>5.31</v>
      </c>
      <c r="BQ24">
        <v>-2.78</v>
      </c>
      <c r="BR24">
        <v>-10.16</v>
      </c>
      <c r="BS24">
        <v>6.73</v>
      </c>
      <c r="BT24" t="s">
        <v>427</v>
      </c>
      <c r="BU24" t="s">
        <v>304</v>
      </c>
      <c r="BV24">
        <v>14.9</v>
      </c>
      <c r="BW24">
        <v>10.91</v>
      </c>
      <c r="BX24">
        <v>19.72</v>
      </c>
      <c r="BY24">
        <v>-1.51</v>
      </c>
      <c r="BZ24">
        <v>-3.48</v>
      </c>
      <c r="CA24">
        <v>2.2400000000000002</v>
      </c>
      <c r="CB24">
        <v>0.77</v>
      </c>
      <c r="CC24">
        <v>-4.3600000000000003</v>
      </c>
      <c r="CD24" t="s">
        <v>1133</v>
      </c>
      <c r="CE24" t="s">
        <v>1134</v>
      </c>
      <c r="CF24" s="11">
        <v>74.201413427561832</v>
      </c>
      <c r="CG24" s="12">
        <v>30.557983256372715</v>
      </c>
      <c r="CH24" s="11">
        <v>-0.98674225807189941</v>
      </c>
      <c r="CI24" s="11">
        <v>-7.5739294290542603E-2</v>
      </c>
      <c r="CJ24" s="11">
        <v>0.19510073959827423</v>
      </c>
      <c r="CK24" s="11">
        <v>-0.25552588701248169</v>
      </c>
      <c r="CL24" s="11">
        <v>-6.8844199180603027E-2</v>
      </c>
      <c r="CM24" s="12">
        <v>1.0061277151107788</v>
      </c>
      <c r="CN24" s="12">
        <v>-2.4352822303771973</v>
      </c>
      <c r="CO24" s="12">
        <v>2.1863057613372803</v>
      </c>
      <c r="CP24" s="12">
        <v>-0.7163504958152771</v>
      </c>
      <c r="CQ24" s="12">
        <v>-0.58044344186782837</v>
      </c>
      <c r="CR24">
        <v>23.185300019593708</v>
      </c>
      <c r="CS24">
        <v>0.97274103337703266</v>
      </c>
      <c r="CT24">
        <v>0</v>
      </c>
      <c r="CU24" s="11">
        <v>-0.23835017979145051</v>
      </c>
      <c r="CV24" s="12">
        <v>-0.10792853832244872</v>
      </c>
      <c r="CW24">
        <v>0.06</v>
      </c>
      <c r="CX24">
        <v>1011.8217151169398</v>
      </c>
      <c r="CY24" t="s">
        <v>1135</v>
      </c>
      <c r="CZ24">
        <v>-0.23835017979145051</v>
      </c>
      <c r="DA24">
        <v>337.27390503897993</v>
      </c>
      <c r="DB24" t="s">
        <v>1136</v>
      </c>
      <c r="DC24">
        <v>-0.22643267080187798</v>
      </c>
      <c r="DD24">
        <v>168.63695251948997</v>
      </c>
      <c r="DE24" t="s">
        <v>1137</v>
      </c>
      <c r="DF24">
        <v>-0.20974815821647644</v>
      </c>
      <c r="DG24">
        <v>101.18217151169398</v>
      </c>
      <c r="DH24" t="s">
        <v>1138</v>
      </c>
      <c r="DI24">
        <v>-0.19068014383316043</v>
      </c>
      <c r="DJ24">
        <v>50.59108575584699</v>
      </c>
      <c r="DK24" t="s">
        <v>1139</v>
      </c>
      <c r="DL24">
        <v>-0.16684512585401534</v>
      </c>
      <c r="DM24">
        <v>17598800</v>
      </c>
      <c r="DN24">
        <v>-0.23835017979145051</v>
      </c>
      <c r="DO24">
        <v>17806848000</v>
      </c>
      <c r="DP24">
        <v>4116268000</v>
      </c>
      <c r="DQ24">
        <v>3377</v>
      </c>
      <c r="DR24">
        <v>74.439763607353285</v>
      </c>
      <c r="DS24">
        <v>30.665911794695162</v>
      </c>
      <c r="DT24" s="13">
        <v>-0.75666666666666671</v>
      </c>
      <c r="DU24">
        <v>0.245</v>
      </c>
      <c r="DV24">
        <v>-0.51166666666666671</v>
      </c>
      <c r="DW24">
        <v>-1.0436000000000001</v>
      </c>
      <c r="DX24">
        <v>0.41285355489614406</v>
      </c>
      <c r="DY24">
        <v>-1.0057924149934718</v>
      </c>
      <c r="DZ24">
        <v>4178</v>
      </c>
      <c r="EA24">
        <v>-1.0010564639479287</v>
      </c>
      <c r="EB24">
        <v>1</v>
      </c>
      <c r="EC24">
        <v>8.3879523878999298E-3</v>
      </c>
      <c r="ED24">
        <v>6.3136827763155393E-2</v>
      </c>
      <c r="EE24" s="14">
        <v>2.0527099999999998</v>
      </c>
      <c r="EF24">
        <v>2.0931099999999998</v>
      </c>
      <c r="EG24">
        <v>28.132853554896144</v>
      </c>
      <c r="EH24" t="s">
        <v>555</v>
      </c>
      <c r="EI24">
        <v>0</v>
      </c>
      <c r="EJ24">
        <v>0</v>
      </c>
      <c r="EK24" s="10">
        <v>45470</v>
      </c>
      <c r="EL24" s="15">
        <v>-3.3</v>
      </c>
      <c r="EM24" s="15">
        <v>-3.81</v>
      </c>
      <c r="EN24" s="15">
        <v>-0.95</v>
      </c>
      <c r="EO24" s="15">
        <v>2.2000000000000002</v>
      </c>
      <c r="EP24" s="15">
        <v>-4.04</v>
      </c>
    </row>
    <row r="25" spans="1:146" ht="96" x14ac:dyDescent="0.25">
      <c r="A25" s="8" t="s">
        <v>431</v>
      </c>
      <c r="B25" s="8"/>
      <c r="C25" s="8" t="str">
        <f>""&amp;CHAR(10)&amp;Basic_Fundamental_Information_Constructure(F25)&amp;CHAR(10)&amp;Basic_Fundamental_Information_Concatenate("")</f>
        <v xml:space="preserve">
市值22.422913亿, 利润27.62亿; PE; 平均PE4.06; 平均PEG.01, PB1.01; ROIC4.99%; ROE-3.1%; 股利率0%; 毛利2.2867%; 净利-4.12%; 上一年度营收增458.15%, 利润增7323.22%; 当季营收增-80.3%, 利润增-171.52%; 过往5年营收增613.06%, 利润增1466.66%
Income profile:
</v>
      </c>
      <c r="D25" t="s">
        <v>68</v>
      </c>
      <c r="E25" t="s">
        <v>157</v>
      </c>
      <c r="F25">
        <v>2.02</v>
      </c>
      <c r="G25">
        <v>2.02</v>
      </c>
      <c r="H25" t="s">
        <v>1140</v>
      </c>
      <c r="I25">
        <v>2242291300</v>
      </c>
      <c r="K25">
        <v>1.01</v>
      </c>
      <c r="L25" t="s">
        <v>182</v>
      </c>
      <c r="M25" t="s">
        <v>1141</v>
      </c>
      <c r="N25" t="s">
        <v>1142</v>
      </c>
      <c r="O25" t="s">
        <v>1143</v>
      </c>
      <c r="P25">
        <v>150.87</v>
      </c>
      <c r="Q25" t="s">
        <v>1144</v>
      </c>
      <c r="R25">
        <v>-177380300</v>
      </c>
      <c r="S25" s="6">
        <v>-0.62270000000000003</v>
      </c>
      <c r="T25" t="s">
        <v>1145</v>
      </c>
      <c r="U25">
        <v>1109730220</v>
      </c>
      <c r="V25">
        <v>1110045220</v>
      </c>
      <c r="W25">
        <v>2.0499999999999998</v>
      </c>
      <c r="X25">
        <v>0.3</v>
      </c>
      <c r="Y25">
        <v>-13.58</v>
      </c>
      <c r="Z25" t="s">
        <v>1146</v>
      </c>
      <c r="AA25" t="s">
        <v>1147</v>
      </c>
      <c r="AB25" t="s">
        <v>1148</v>
      </c>
      <c r="AC25" t="s">
        <v>1149</v>
      </c>
      <c r="AD25" t="s">
        <v>16</v>
      </c>
      <c r="AE25">
        <v>9876251</v>
      </c>
      <c r="AF25" t="s">
        <v>1150</v>
      </c>
      <c r="AG25">
        <v>1000.33</v>
      </c>
      <c r="AH25" t="s">
        <v>1151</v>
      </c>
      <c r="AI25" t="s">
        <v>1152</v>
      </c>
      <c r="AJ25" t="s">
        <v>1153</v>
      </c>
      <c r="AK25" t="s">
        <v>1154</v>
      </c>
      <c r="AL25" t="s">
        <v>1155</v>
      </c>
      <c r="AM25" t="s">
        <v>16</v>
      </c>
      <c r="AN25" t="s">
        <v>1156</v>
      </c>
      <c r="AO25" t="s">
        <v>1157</v>
      </c>
      <c r="AP25" t="s">
        <v>1158</v>
      </c>
      <c r="AQ25" t="s">
        <v>1159</v>
      </c>
      <c r="AR25" t="s">
        <v>16</v>
      </c>
      <c r="AS25" t="s">
        <v>1160</v>
      </c>
      <c r="AT25" t="s">
        <v>1161</v>
      </c>
      <c r="AU25" t="s">
        <v>1162</v>
      </c>
      <c r="AV25" t="s">
        <v>1163</v>
      </c>
      <c r="AW25" t="s">
        <v>1164</v>
      </c>
      <c r="AX25" t="s">
        <v>1165</v>
      </c>
      <c r="AY25" t="s">
        <v>278</v>
      </c>
      <c r="AZ25" t="s">
        <v>158</v>
      </c>
      <c r="BA25" t="s">
        <v>123</v>
      </c>
      <c r="BB25" t="s">
        <v>89</v>
      </c>
      <c r="BC25" t="s">
        <v>1166</v>
      </c>
      <c r="BD25" t="s">
        <v>61</v>
      </c>
      <c r="BE25" t="s">
        <v>110</v>
      </c>
      <c r="BF25" t="s">
        <v>83</v>
      </c>
      <c r="BG25" t="s">
        <v>159</v>
      </c>
      <c r="BH25" t="s">
        <v>1167</v>
      </c>
      <c r="BI25" t="s">
        <v>1168</v>
      </c>
      <c r="BJ25" t="s">
        <v>1165</v>
      </c>
      <c r="BK25" t="s">
        <v>1169</v>
      </c>
      <c r="BL25" t="s">
        <v>1170</v>
      </c>
      <c r="BM25" t="s">
        <v>1166</v>
      </c>
      <c r="BN25" t="s">
        <v>16</v>
      </c>
      <c r="BO25" t="s">
        <v>16</v>
      </c>
      <c r="BP25">
        <v>4.99</v>
      </c>
      <c r="BQ25">
        <v>-14.54</v>
      </c>
      <c r="BR25">
        <v>-1.31</v>
      </c>
      <c r="BS25">
        <v>6.55</v>
      </c>
      <c r="BT25" t="s">
        <v>427</v>
      </c>
      <c r="BU25" t="s">
        <v>304</v>
      </c>
      <c r="BV25">
        <v>-10.35</v>
      </c>
      <c r="BW25">
        <v>6.15</v>
      </c>
      <c r="BX25">
        <v>11.06</v>
      </c>
      <c r="BY25">
        <v>-16.149999999999999</v>
      </c>
      <c r="BZ25">
        <v>-0.63</v>
      </c>
      <c r="CA25">
        <v>4.42</v>
      </c>
      <c r="CB25">
        <v>1.51</v>
      </c>
      <c r="CC25">
        <v>-17.89</v>
      </c>
      <c r="CD25" t="s">
        <v>1171</v>
      </c>
      <c r="CE25" t="s">
        <v>1172</v>
      </c>
      <c r="CF25" s="11">
        <v>-0.80295715147857571</v>
      </c>
      <c r="CG25" s="12">
        <v>-1.7152431451612904</v>
      </c>
      <c r="CH25" s="11">
        <v>4.5815143585205078</v>
      </c>
      <c r="CI25" s="11">
        <v>0.42406401038169861</v>
      </c>
      <c r="CJ25" s="11">
        <v>0.55283361673355103</v>
      </c>
      <c r="CK25" s="11">
        <v>-0.28496730327606201</v>
      </c>
      <c r="CL25" s="11">
        <v>25.379310607910156</v>
      </c>
      <c r="CM25" s="12">
        <v>73.232185363769531</v>
      </c>
      <c r="CN25" s="12">
        <v>-1.203392505645752</v>
      </c>
      <c r="CO25" s="12">
        <v>1.075268816202879E-2</v>
      </c>
      <c r="CP25" s="12">
        <v>0.26530611515045166</v>
      </c>
      <c r="CQ25" s="12">
        <v>1.0280646085739136</v>
      </c>
      <c r="CR25">
        <v>4.0556990497928531</v>
      </c>
      <c r="CS25">
        <v>6.6155538244228561E-3</v>
      </c>
      <c r="CT25">
        <v>0</v>
      </c>
      <c r="CU25" s="11">
        <v>6.1305510580539702</v>
      </c>
      <c r="CV25" s="12">
        <v>14.666583254002035</v>
      </c>
      <c r="CW25">
        <v>0.06</v>
      </c>
      <c r="CX25">
        <v>0.10292316819418533</v>
      </c>
      <c r="CY25">
        <v>18579794360.702892</v>
      </c>
      <c r="CZ25">
        <v>6.1305510580539702</v>
      </c>
      <c r="DA25">
        <v>2.2001000863384173E-3</v>
      </c>
      <c r="DB25">
        <v>869183775717.48938</v>
      </c>
      <c r="DC25">
        <v>5.8240235051512714</v>
      </c>
      <c r="DD25">
        <v>1.1980377184826159E-5</v>
      </c>
      <c r="DE25">
        <v>159618622226855.06</v>
      </c>
      <c r="DF25">
        <v>5.3948849310874936</v>
      </c>
      <c r="DG25">
        <v>1.975450556114843E-8</v>
      </c>
      <c r="DH25">
        <v>9.6802792359477744E+16</v>
      </c>
      <c r="DI25">
        <v>4.9044408464431761</v>
      </c>
      <c r="DJ25">
        <v>5.9975299170660696E-15</v>
      </c>
      <c r="DK25">
        <v>3.1884647954127643E+23</v>
      </c>
      <c r="DL25">
        <v>4.2913857406377787</v>
      </c>
      <c r="DM25">
        <v>2762000000</v>
      </c>
      <c r="DN25">
        <v>6.1305510580539702</v>
      </c>
      <c r="DO25">
        <v>1912291300</v>
      </c>
      <c r="DP25">
        <v>36377800.000000238</v>
      </c>
      <c r="DQ25">
        <v>3474</v>
      </c>
      <c r="DR25">
        <v>-6.9335082095325458</v>
      </c>
      <c r="DS25">
        <v>-16.381826399163327</v>
      </c>
      <c r="DT25" s="13">
        <v>0.54333333333333333</v>
      </c>
      <c r="DU25">
        <v>-0.99833333333333341</v>
      </c>
      <c r="DV25">
        <v>-0.45500000000000007</v>
      </c>
      <c r="DW25">
        <v>-3.0213749999999999</v>
      </c>
      <c r="DX25">
        <v>0.44955423728813515</v>
      </c>
      <c r="DY25">
        <v>-3.0040517218220337</v>
      </c>
      <c r="DZ25">
        <v>3996</v>
      </c>
      <c r="EA25">
        <v>-3.0008832912152146</v>
      </c>
      <c r="EB25">
        <v>3</v>
      </c>
      <c r="EC25">
        <v>4.0299979851271275E-2</v>
      </c>
      <c r="ED25">
        <v>0.21260395139578186</v>
      </c>
      <c r="EE25" s="14">
        <v>-2.0373999999999999</v>
      </c>
      <c r="EF25">
        <v>-2.0192000000000001</v>
      </c>
      <c r="EG25">
        <v>26.189554237288135</v>
      </c>
      <c r="EH25" t="s">
        <v>840</v>
      </c>
      <c r="EI25">
        <v>0</v>
      </c>
      <c r="EJ25">
        <v>0</v>
      </c>
      <c r="EK25" s="10">
        <v>45470</v>
      </c>
      <c r="EL25" s="15">
        <v>0</v>
      </c>
      <c r="EM25" s="15">
        <v>-2.87</v>
      </c>
      <c r="EN25" s="15">
        <v>0.74</v>
      </c>
      <c r="EO25" s="15">
        <v>0.37</v>
      </c>
      <c r="EP25" s="15">
        <v>-1.82</v>
      </c>
    </row>
    <row r="26" spans="1:146" ht="180" x14ac:dyDescent="0.25">
      <c r="A26" s="8"/>
      <c r="B26" s="8"/>
      <c r="C26" s="8" t="str">
        <f>"公司1999年11月5日成立，是我国油气行业占主导地位的最大的油气生产和销售商，是我国销售收入最大的公司之一，也是世界最大的石油公司之一。公司致力于发展成为具有较强竞争力的国际能源公司，成为全球石油石化产品重要的生产和销售商之一。"&amp;CHAR(10)&amp;Basic_Fundamental_Information_Constructure(F26)&amp;CHAR(10)&amp;Basic_Fundamental_Information_Concatenate("销售 1.34万亿 83.13% 15.08% 3.95%
炼油与化工 5807.80亿 35.97% 36.09% 21.82%
勘探与生产 4391.08亿 27.20% 40.40% 32.31%
天然气销售 2503.58亿 15.51% 3.51% 4.93%")</f>
        <v>公司1999年11月5日成立，是我国油气行业占主导地位的最大的油气生产和销售商，是我国销售收入最大的公司之一，也是世界最大的石油公司之一。公司致力于发展成为具有较强竞争力的国际能源公司，成为全球石油石化产品重要的生产和销售商之一。
市值19290.411亿, 利润5.13亿; PE11.82; 平均PE32.23; 平均PEG2.78, PB1.29; ROIC8.4133%; ROE9.3367%; 股利率2.1822%; 毛利22.0833%; 净利5.1467%; 上一年度营收增-99.91%, 利润增-99.66%; 当季营收增180385.33%, 利润增106776.14%; 过往5年营收增-11.6%, 利润增54.9%
Income profile:
销售 1.34万亿 83.13% 15.08% 3.95%
炼油与化工 5807.80亿 35.97% 36.09% 21.82%
勘探与生产 4391.08亿 27.20% 40.40% 32.31%
天然气销售 2503.58亿 15.51% 3.51% 4.93%</v>
      </c>
      <c r="D26" t="s">
        <v>219</v>
      </c>
      <c r="E26" t="s">
        <v>220</v>
      </c>
      <c r="F26">
        <v>10.54</v>
      </c>
      <c r="G26">
        <v>-0.94</v>
      </c>
      <c r="H26" t="s">
        <v>983</v>
      </c>
      <c r="I26">
        <v>1929041100000</v>
      </c>
      <c r="J26">
        <v>11.82</v>
      </c>
      <c r="K26">
        <v>1.29</v>
      </c>
      <c r="L26" t="s">
        <v>182</v>
      </c>
      <c r="M26" t="s">
        <v>1173</v>
      </c>
      <c r="N26" t="s">
        <v>1174</v>
      </c>
      <c r="O26" t="s">
        <v>1175</v>
      </c>
      <c r="P26">
        <v>10.88</v>
      </c>
      <c r="Q26" t="s">
        <v>1176</v>
      </c>
      <c r="R26">
        <v>45681000000</v>
      </c>
      <c r="S26" s="6">
        <v>4.7E-2</v>
      </c>
      <c r="T26" t="s">
        <v>1177</v>
      </c>
      <c r="U26">
        <v>161922080000</v>
      </c>
      <c r="V26">
        <v>183020980000</v>
      </c>
      <c r="W26">
        <v>1.64</v>
      </c>
      <c r="X26">
        <v>0.28999999999999998</v>
      </c>
      <c r="Y26">
        <v>6.31</v>
      </c>
      <c r="Z26" t="s">
        <v>1178</v>
      </c>
      <c r="AA26" t="s">
        <v>1179</v>
      </c>
      <c r="AB26" t="s">
        <v>1180</v>
      </c>
      <c r="AC26" t="s">
        <v>1181</v>
      </c>
      <c r="AD26" t="s">
        <v>16</v>
      </c>
      <c r="AE26">
        <v>4222000000</v>
      </c>
      <c r="AF26" t="s">
        <v>1182</v>
      </c>
      <c r="AG26" t="s">
        <v>1183</v>
      </c>
      <c r="AH26" t="s">
        <v>1184</v>
      </c>
      <c r="AI26" t="s">
        <v>1185</v>
      </c>
      <c r="AJ26" t="s">
        <v>1186</v>
      </c>
      <c r="AK26" t="s">
        <v>16</v>
      </c>
      <c r="AL26" t="s">
        <v>1187</v>
      </c>
      <c r="AM26" t="s">
        <v>16</v>
      </c>
      <c r="AN26" t="s">
        <v>1188</v>
      </c>
      <c r="AO26" t="s">
        <v>1189</v>
      </c>
      <c r="AP26" t="s">
        <v>1190</v>
      </c>
      <c r="AQ26" t="s">
        <v>1191</v>
      </c>
      <c r="AR26" t="s">
        <v>16</v>
      </c>
      <c r="AS26" t="s">
        <v>1192</v>
      </c>
      <c r="AT26" t="s">
        <v>1193</v>
      </c>
      <c r="AU26" t="s">
        <v>1194</v>
      </c>
      <c r="AV26" t="s">
        <v>1195</v>
      </c>
      <c r="AW26" t="s">
        <v>1196</v>
      </c>
      <c r="AX26" t="s">
        <v>1197</v>
      </c>
      <c r="AY26" t="s">
        <v>279</v>
      </c>
      <c r="AZ26" t="s">
        <v>221</v>
      </c>
      <c r="BA26" t="s">
        <v>223</v>
      </c>
      <c r="BB26" t="s">
        <v>224</v>
      </c>
      <c r="BC26" t="s">
        <v>1198</v>
      </c>
      <c r="BD26" t="s">
        <v>280</v>
      </c>
      <c r="BE26" t="s">
        <v>222</v>
      </c>
      <c r="BF26" t="s">
        <v>225</v>
      </c>
      <c r="BG26" t="s">
        <v>226</v>
      </c>
      <c r="BH26" t="s">
        <v>1199</v>
      </c>
      <c r="BI26" t="s">
        <v>202</v>
      </c>
      <c r="BJ26" t="s">
        <v>1197</v>
      </c>
      <c r="BK26" t="s">
        <v>1200</v>
      </c>
      <c r="BL26" t="s">
        <v>1201</v>
      </c>
      <c r="BM26" t="s">
        <v>1198</v>
      </c>
      <c r="BN26">
        <v>8.3000000000000007</v>
      </c>
      <c r="BO26">
        <v>9.7200000000000006</v>
      </c>
      <c r="BP26">
        <v>7.22</v>
      </c>
      <c r="BQ26">
        <v>9.31</v>
      </c>
      <c r="BR26">
        <v>11.3</v>
      </c>
      <c r="BS26">
        <v>7.4</v>
      </c>
      <c r="BT26" t="s">
        <v>1202</v>
      </c>
      <c r="BU26" t="s">
        <v>304</v>
      </c>
      <c r="BV26">
        <v>23.53</v>
      </c>
      <c r="BW26">
        <v>21.96</v>
      </c>
      <c r="BX26">
        <v>20.76</v>
      </c>
      <c r="BY26">
        <v>5.99</v>
      </c>
      <c r="BZ26">
        <v>5.0599999999999996</v>
      </c>
      <c r="CA26">
        <v>4.3899999999999997</v>
      </c>
      <c r="CB26">
        <v>2.13</v>
      </c>
      <c r="CC26">
        <v>8.8800000000000008</v>
      </c>
      <c r="CD26" t="s">
        <v>1203</v>
      </c>
      <c r="CE26" t="s">
        <v>1204</v>
      </c>
      <c r="CF26" s="11">
        <v>1803.8533333333332</v>
      </c>
      <c r="CG26" s="12">
        <v>1067.7614056431612</v>
      </c>
      <c r="CH26" s="11">
        <v>-0.99911117553710938</v>
      </c>
      <c r="CI26" s="11">
        <v>0.23899558186531067</v>
      </c>
      <c r="CJ26" s="11">
        <v>0.35189798474311829</v>
      </c>
      <c r="CK26" s="11">
        <v>-0.23163208365440369</v>
      </c>
      <c r="CL26" s="11">
        <v>5.9738926589488983E-2</v>
      </c>
      <c r="CM26" s="12">
        <v>-0.99655097723007202</v>
      </c>
      <c r="CN26" s="12">
        <v>0.61389309167861938</v>
      </c>
      <c r="CO26" s="12">
        <v>3.8500685691833496</v>
      </c>
      <c r="CP26" s="12">
        <v>-0.58399194478988647</v>
      </c>
      <c r="CQ26" s="12">
        <v>-0.13865736126899719</v>
      </c>
      <c r="CR26">
        <v>32.229378398924041</v>
      </c>
      <c r="CS26">
        <v>2.7778641845857313</v>
      </c>
      <c r="CT26">
        <v>2.1821631878557874</v>
      </c>
      <c r="CU26" s="11">
        <v>-0.11602215319871903</v>
      </c>
      <c r="CV26" s="12">
        <v>0.54895227551460268</v>
      </c>
      <c r="CW26">
        <v>0.06</v>
      </c>
      <c r="CX26">
        <v>2671.0918128654976</v>
      </c>
      <c r="CY26" t="s">
        <v>1205</v>
      </c>
      <c r="CZ26">
        <v>-0.11602215319871903</v>
      </c>
      <c r="DA26">
        <v>890.36393762183252</v>
      </c>
      <c r="DB26" t="s">
        <v>1206</v>
      </c>
      <c r="DC26">
        <v>-0.11022104553878308</v>
      </c>
      <c r="DD26">
        <v>445.18196881091626</v>
      </c>
      <c r="DE26" t="s">
        <v>1207</v>
      </c>
      <c r="DF26">
        <v>-0.10209949481487275</v>
      </c>
      <c r="DG26">
        <v>267.10918128654976</v>
      </c>
      <c r="DH26" t="s">
        <v>1208</v>
      </c>
      <c r="DI26">
        <v>-9.2817722558975232E-2</v>
      </c>
      <c r="DJ26">
        <v>133.55459064327488</v>
      </c>
      <c r="DK26" t="s">
        <v>1209</v>
      </c>
      <c r="DL26">
        <v>-8.1215507239103313E-2</v>
      </c>
      <c r="DM26">
        <v>513000000</v>
      </c>
      <c r="DN26">
        <v>-0.11602215319871903</v>
      </c>
      <c r="DO26">
        <v>1370270100000.0002</v>
      </c>
      <c r="DP26">
        <v>43146000000</v>
      </c>
      <c r="DQ26">
        <v>3794</v>
      </c>
      <c r="DR26">
        <v>1803.9693554865319</v>
      </c>
      <c r="DS26">
        <v>1067.2124533676465</v>
      </c>
      <c r="DT26" s="13">
        <v>-0.60666666666666669</v>
      </c>
      <c r="DU26">
        <v>0.46666666666666673</v>
      </c>
      <c r="DV26">
        <v>-0.13999999999999996</v>
      </c>
      <c r="DW26">
        <v>2.0888</v>
      </c>
      <c r="DX26">
        <v>0.42210990976741103</v>
      </c>
      <c r="DY26">
        <v>2.0135073599873463</v>
      </c>
      <c r="DZ26">
        <v>1175</v>
      </c>
      <c r="EA26">
        <v>2.0104014601859506</v>
      </c>
      <c r="EB26">
        <v>2</v>
      </c>
      <c r="EC26">
        <v>4.2344872156186682E-3</v>
      </c>
      <c r="ED26">
        <v>2.783833853364789E-2</v>
      </c>
      <c r="EE26" s="14">
        <v>8.3599999999999994E-2</v>
      </c>
      <c r="EF26">
        <v>0.10249999999999999</v>
      </c>
      <c r="EG26">
        <v>27.152109909767411</v>
      </c>
      <c r="EH26" t="s">
        <v>322</v>
      </c>
      <c r="EI26">
        <v>1</v>
      </c>
      <c r="EJ26">
        <v>1</v>
      </c>
      <c r="EK26" s="10">
        <v>45470</v>
      </c>
      <c r="EL26" s="15">
        <v>0.13</v>
      </c>
      <c r="EM26" s="15">
        <v>-1.1399999999999999</v>
      </c>
      <c r="EN26" s="15">
        <v>0.61</v>
      </c>
      <c r="EO26" s="15">
        <v>-0.4</v>
      </c>
      <c r="EP26" s="15">
        <v>1.89</v>
      </c>
    </row>
    <row r="27" spans="1:146" ht="192" x14ac:dyDescent="0.25">
      <c r="A27" s="8"/>
      <c r="B27" s="8"/>
      <c r="C27" s="8" t="str">
        <f>"公司的主营业务为清洁能源、实体物流、互联网物流三大板块。清洁能源主要从事液化天然气（LNG）贸易经营与物流，LNG加气站的建设和运营、LPG的分销零售等；实体物流主要从事普通货物运输，道路危险品货物运输及运输配套仓储等业务；互联网物流主要从事普通货运（无车承运）。"&amp;CHAR(10)&amp;Basic_Fundamental_Information_Constructure(F27)&amp;CHAR(10)&amp;Basic_Fundamental_Information_Concatenate("LNG(LPG)气体销售 17.57亿 73.49%
货物运输 5.92亿 24.76%
租赁、代理及吊装 2138.95万 0.89%
培训及其他 1296.85万 0.54%")</f>
        <v>公司的主营业务为清洁能源、实体物流、互联网物流三大板块。清洁能源主要从事液化天然气（LNG）贸易经营与物流，LNG加气站的建设和运营、LPG的分销零售等；实体物流主要从事普通货物运输，道路危险品货物运输及运输配套仓储等业务；互联网物流主要从事普通货运（无车承运）。
市值45.636552亿, 利润10.86亿; PE38.99; 平均PE18.74; 平均PEG.09, PB1.23; ROIC4.3333%; ROE5.16%; 股利率.7825%; 毛利3.9733%; 净利2.2267%; 上一年度营收增1066.62%, 利润增944.23%; 当季营收增-94.7%, 利润增-85.15%; 过往5年营收增212.71%, 利润增1098.06%
Income profile:
LNG(LPG)气体销售 17.57亿 73.49%
货物运输 5.92亿 24.76%
租赁、代理及吊装 2138.95万 0.89%
培训及其他 1296.85万 0.54%</v>
      </c>
      <c r="D27" t="s">
        <v>327</v>
      </c>
      <c r="E27" t="s">
        <v>328</v>
      </c>
      <c r="F27">
        <v>6.39</v>
      </c>
      <c r="G27">
        <v>-2.59</v>
      </c>
      <c r="H27" t="s">
        <v>1210</v>
      </c>
      <c r="I27">
        <v>4563655200</v>
      </c>
      <c r="J27">
        <v>38.99</v>
      </c>
      <c r="K27">
        <v>1.23</v>
      </c>
      <c r="L27" t="s">
        <v>182</v>
      </c>
      <c r="M27" t="s">
        <v>1211</v>
      </c>
      <c r="N27" t="s">
        <v>1212</v>
      </c>
      <c r="O27" t="s">
        <v>319</v>
      </c>
      <c r="P27">
        <v>-25.03</v>
      </c>
      <c r="Q27" t="s">
        <v>1213</v>
      </c>
      <c r="R27">
        <v>28063349</v>
      </c>
      <c r="S27" s="6">
        <v>-1.54E-2</v>
      </c>
      <c r="T27" t="s">
        <v>1214</v>
      </c>
      <c r="U27">
        <v>553190400</v>
      </c>
      <c r="V27">
        <v>714187050</v>
      </c>
      <c r="W27">
        <v>1.31</v>
      </c>
      <c r="X27">
        <v>0.13</v>
      </c>
      <c r="Y27">
        <v>4.1900000000000004</v>
      </c>
      <c r="Z27" t="s">
        <v>257</v>
      </c>
      <c r="AA27" t="s">
        <v>342</v>
      </c>
      <c r="AB27" t="s">
        <v>1215</v>
      </c>
      <c r="AC27" t="s">
        <v>1216</v>
      </c>
      <c r="AD27" t="s">
        <v>16</v>
      </c>
      <c r="AE27">
        <v>-2812664</v>
      </c>
      <c r="AF27" t="s">
        <v>1217</v>
      </c>
      <c r="AG27">
        <v>838.12</v>
      </c>
      <c r="AH27" t="s">
        <v>1218</v>
      </c>
      <c r="AI27" t="s">
        <v>1219</v>
      </c>
      <c r="AJ27" t="s">
        <v>1220</v>
      </c>
      <c r="AK27" t="s">
        <v>16</v>
      </c>
      <c r="AL27" t="s">
        <v>1221</v>
      </c>
      <c r="AM27" t="s">
        <v>16</v>
      </c>
      <c r="AN27" t="s">
        <v>1222</v>
      </c>
      <c r="AO27" t="s">
        <v>1223</v>
      </c>
      <c r="AP27" t="s">
        <v>85</v>
      </c>
      <c r="AQ27" t="s">
        <v>1224</v>
      </c>
      <c r="AR27" t="s">
        <v>1225</v>
      </c>
      <c r="AS27" t="s">
        <v>1226</v>
      </c>
      <c r="AT27" t="s">
        <v>1227</v>
      </c>
      <c r="AU27" t="s">
        <v>1228</v>
      </c>
      <c r="AV27" t="s">
        <v>1229</v>
      </c>
      <c r="AW27" t="s">
        <v>1230</v>
      </c>
      <c r="AX27" t="s">
        <v>1231</v>
      </c>
      <c r="AY27" t="s">
        <v>329</v>
      </c>
      <c r="AZ27" t="s">
        <v>333</v>
      </c>
      <c r="BA27" t="s">
        <v>334</v>
      </c>
      <c r="BB27" t="s">
        <v>335</v>
      </c>
      <c r="BC27" t="s">
        <v>340</v>
      </c>
      <c r="BD27" t="s">
        <v>330</v>
      </c>
      <c r="BE27" t="s">
        <v>336</v>
      </c>
      <c r="BF27" t="s">
        <v>337</v>
      </c>
      <c r="BG27" t="s">
        <v>338</v>
      </c>
      <c r="BH27" t="s">
        <v>1232</v>
      </c>
      <c r="BI27" t="s">
        <v>1233</v>
      </c>
      <c r="BJ27" t="s">
        <v>1231</v>
      </c>
      <c r="BK27" t="s">
        <v>350</v>
      </c>
      <c r="BL27" t="s">
        <v>467</v>
      </c>
      <c r="BM27" t="s">
        <v>340</v>
      </c>
      <c r="BN27">
        <v>2.02</v>
      </c>
      <c r="BO27">
        <v>3.33</v>
      </c>
      <c r="BP27">
        <v>7.65</v>
      </c>
      <c r="BQ27">
        <v>2.65</v>
      </c>
      <c r="BR27">
        <v>4.62</v>
      </c>
      <c r="BS27">
        <v>8.2100000000000009</v>
      </c>
      <c r="BT27" t="s">
        <v>1234</v>
      </c>
      <c r="BU27" t="s">
        <v>305</v>
      </c>
      <c r="BV27">
        <v>5.55</v>
      </c>
      <c r="BW27">
        <v>3</v>
      </c>
      <c r="BX27">
        <v>3.37</v>
      </c>
      <c r="BY27">
        <v>3.13</v>
      </c>
      <c r="BZ27">
        <v>1.94</v>
      </c>
      <c r="CA27">
        <v>1.61</v>
      </c>
      <c r="CB27">
        <v>-1.99</v>
      </c>
      <c r="CC27">
        <v>-16.47</v>
      </c>
      <c r="CD27" t="s">
        <v>1235</v>
      </c>
      <c r="CE27" t="s">
        <v>1236</v>
      </c>
      <c r="CF27" s="11">
        <v>-0.94699816132384684</v>
      </c>
      <c r="CG27" s="12">
        <v>-0.851516671957672</v>
      </c>
      <c r="CH27" s="11">
        <v>10.666159629821777</v>
      </c>
      <c r="CI27" s="11">
        <v>-0.25600108504295349</v>
      </c>
      <c r="CJ27" s="11">
        <v>0.26532062888145447</v>
      </c>
      <c r="CK27" s="11">
        <v>-0.2045196145772934</v>
      </c>
      <c r="CL27" s="11">
        <v>0.16432243585586548</v>
      </c>
      <c r="CM27" s="12">
        <v>9.4423074722290039</v>
      </c>
      <c r="CN27" s="12">
        <v>4.7715377062559128E-2</v>
      </c>
      <c r="CO27" s="12">
        <v>-0.18636393547058105</v>
      </c>
      <c r="CP27" s="12">
        <v>46.544815063476563</v>
      </c>
      <c r="CQ27" s="12">
        <v>-0.94548487663269043</v>
      </c>
      <c r="CR27">
        <v>18.743204920860038</v>
      </c>
      <c r="CS27">
        <v>8.8118043930474108E-2</v>
      </c>
      <c r="CT27">
        <v>0.78247261345852903</v>
      </c>
      <c r="CU27" s="11">
        <v>2.12705639898777</v>
      </c>
      <c r="CV27" s="12">
        <v>10.980597820132971</v>
      </c>
      <c r="CW27">
        <v>0.06</v>
      </c>
      <c r="CX27">
        <v>0.6338354326227108</v>
      </c>
      <c r="CY27">
        <v>3203757782.3591681</v>
      </c>
      <c r="CZ27">
        <v>2.12705639898777</v>
      </c>
      <c r="DA27">
        <v>5.4813462647858878E-2</v>
      </c>
      <c r="DB27">
        <v>37046650620.225349</v>
      </c>
      <c r="DC27">
        <v>2.0207035790383814</v>
      </c>
      <c r="DD27">
        <v>2.9906403304655791E-3</v>
      </c>
      <c r="DE27">
        <v>679003482737.04651</v>
      </c>
      <c r="DF27">
        <v>1.8718096311092376</v>
      </c>
      <c r="DG27">
        <v>9.8235969270685805E-5</v>
      </c>
      <c r="DH27">
        <v>20671198289952.227</v>
      </c>
      <c r="DI27">
        <v>1.701645119190216</v>
      </c>
      <c r="DJ27">
        <v>4.1365326183367239E-8</v>
      </c>
      <c r="DK27">
        <v>4.9090757582772664E+16</v>
      </c>
      <c r="DL27">
        <v>1.488939479291439</v>
      </c>
      <c r="DM27">
        <v>1086000000</v>
      </c>
      <c r="DN27">
        <v>2.12705639898777</v>
      </c>
      <c r="DO27">
        <v>2030655200</v>
      </c>
      <c r="DP27">
        <v>1566496700</v>
      </c>
      <c r="DQ27">
        <v>4023</v>
      </c>
      <c r="DR27">
        <v>-3.0740545603116169</v>
      </c>
      <c r="DS27">
        <v>-11.832114492090643</v>
      </c>
      <c r="DT27" s="13">
        <v>-0.17333333333333334</v>
      </c>
      <c r="DU27">
        <v>-3.6666666666666702E-2</v>
      </c>
      <c r="DV27">
        <v>-0.21000000000000005</v>
      </c>
      <c r="DW27">
        <v>-3.0053154761904763</v>
      </c>
      <c r="DX27">
        <v>0.55363698375776382</v>
      </c>
      <c r="DY27">
        <v>-3.000816653729141</v>
      </c>
      <c r="DZ27">
        <v>3991</v>
      </c>
      <c r="EA27">
        <v>-3.0001788327833481</v>
      </c>
      <c r="EB27">
        <v>3</v>
      </c>
      <c r="EC27">
        <v>1.3844552348015831E-2</v>
      </c>
      <c r="ED27">
        <v>9.0112107185365498E-2</v>
      </c>
      <c r="EE27" s="14">
        <v>-4.0782100000000003</v>
      </c>
      <c r="EF27">
        <v>-4.1061100000000001</v>
      </c>
      <c r="EG27">
        <v>40.153636983757764</v>
      </c>
      <c r="EH27" t="s">
        <v>930</v>
      </c>
      <c r="EI27">
        <v>0</v>
      </c>
      <c r="EJ27">
        <v>0</v>
      </c>
      <c r="EK27" s="10">
        <v>45470</v>
      </c>
      <c r="EL27" s="15">
        <v>-1.05</v>
      </c>
      <c r="EM27" s="15">
        <v>-3.19</v>
      </c>
      <c r="EN27" s="15">
        <v>0.55000000000000004</v>
      </c>
      <c r="EO27" s="15">
        <v>4.37</v>
      </c>
      <c r="EP27" s="15">
        <v>-2.79</v>
      </c>
    </row>
    <row r="28" spans="1:146" ht="96" x14ac:dyDescent="0.25">
      <c r="A28" s="8"/>
      <c r="B28" s="8"/>
      <c r="C28" s="8" t="str">
        <f>""&amp;CHAR(10)&amp;Basic_Fundamental_Information_Constructure(F28)&amp;CHAR(10)&amp;Basic_Fundamental_Information_Concatenate("")</f>
        <v xml:space="preserve">
市值21.362141亿, 利润11.17亿; PE43.39; 平均PE7.12; 平均PEG.17, PB1.29; ROIC5.23%; ROE4.9733%; 股利率.8117%; 毛利9.4267%; 净利2.17%; 上一年度营收增120.13%, 利润增974.04%; 当季营收增-61.03%, 利润增-95.39%; 过往5年营收增42.59%, 利润增190.07%
Income profile:
</v>
      </c>
      <c r="D28" t="s">
        <v>78</v>
      </c>
      <c r="E28" t="s">
        <v>79</v>
      </c>
      <c r="F28">
        <v>12.32</v>
      </c>
      <c r="G28">
        <v>-0.65</v>
      </c>
      <c r="H28" t="s">
        <v>1237</v>
      </c>
      <c r="I28">
        <v>2136214100</v>
      </c>
      <c r="J28">
        <v>43.39</v>
      </c>
      <c r="K28">
        <v>1.29</v>
      </c>
      <c r="L28" t="s">
        <v>182</v>
      </c>
      <c r="M28" t="s">
        <v>1238</v>
      </c>
      <c r="N28" t="s">
        <v>1239</v>
      </c>
      <c r="O28" t="s">
        <v>635</v>
      </c>
      <c r="P28">
        <v>-7.09</v>
      </c>
      <c r="Q28" t="s">
        <v>1240</v>
      </c>
      <c r="R28">
        <v>9216663</v>
      </c>
      <c r="S28" s="6">
        <v>-0.24529999999999999</v>
      </c>
      <c r="T28" t="s">
        <v>1241</v>
      </c>
      <c r="U28">
        <v>173394000</v>
      </c>
      <c r="V28">
        <v>173394000</v>
      </c>
      <c r="W28">
        <v>1.31</v>
      </c>
      <c r="X28">
        <v>0.37</v>
      </c>
      <c r="Y28">
        <v>1.1399999999999999</v>
      </c>
      <c r="Z28" t="s">
        <v>1242</v>
      </c>
      <c r="AA28" t="s">
        <v>1243</v>
      </c>
      <c r="AB28" t="s">
        <v>1244</v>
      </c>
      <c r="AC28" t="s">
        <v>1245</v>
      </c>
      <c r="AD28" t="s">
        <v>16</v>
      </c>
      <c r="AE28">
        <v>2922143</v>
      </c>
      <c r="AF28" t="s">
        <v>1246</v>
      </c>
      <c r="AG28" t="s">
        <v>1247</v>
      </c>
      <c r="AH28" t="s">
        <v>1248</v>
      </c>
      <c r="AI28" t="s">
        <v>1077</v>
      </c>
      <c r="AJ28" t="s">
        <v>1249</v>
      </c>
      <c r="AK28" t="s">
        <v>16</v>
      </c>
      <c r="AL28" t="s">
        <v>1250</v>
      </c>
      <c r="AM28" t="s">
        <v>16</v>
      </c>
      <c r="AN28">
        <v>0</v>
      </c>
      <c r="AO28" t="s">
        <v>16</v>
      </c>
      <c r="AP28" t="s">
        <v>16</v>
      </c>
      <c r="AQ28" t="s">
        <v>1251</v>
      </c>
      <c r="AR28" t="s">
        <v>1252</v>
      </c>
      <c r="AS28" t="s">
        <v>1253</v>
      </c>
      <c r="AT28" t="s">
        <v>16</v>
      </c>
      <c r="AU28" t="s">
        <v>1254</v>
      </c>
      <c r="AV28" t="s">
        <v>522</v>
      </c>
      <c r="AW28" t="s">
        <v>1255</v>
      </c>
      <c r="AX28" t="s">
        <v>1256</v>
      </c>
      <c r="AY28" t="s">
        <v>281</v>
      </c>
      <c r="AZ28" t="s">
        <v>161</v>
      </c>
      <c r="BA28" t="s">
        <v>81</v>
      </c>
      <c r="BB28" t="s">
        <v>164</v>
      </c>
      <c r="BC28" t="s">
        <v>340</v>
      </c>
      <c r="BD28" t="s">
        <v>282</v>
      </c>
      <c r="BE28" t="s">
        <v>162</v>
      </c>
      <c r="BF28" t="s">
        <v>82</v>
      </c>
      <c r="BG28" t="s">
        <v>129</v>
      </c>
      <c r="BH28" t="s">
        <v>1257</v>
      </c>
      <c r="BI28" t="s">
        <v>259</v>
      </c>
      <c r="BJ28" t="s">
        <v>1256</v>
      </c>
      <c r="BK28" t="s">
        <v>1258</v>
      </c>
      <c r="BL28" t="s">
        <v>324</v>
      </c>
      <c r="BM28" t="s">
        <v>340</v>
      </c>
      <c r="BN28">
        <v>3.8</v>
      </c>
      <c r="BO28">
        <v>6.44</v>
      </c>
      <c r="BP28">
        <v>5.45</v>
      </c>
      <c r="BQ28">
        <v>3.23</v>
      </c>
      <c r="BR28">
        <v>6.14</v>
      </c>
      <c r="BS28">
        <v>5.55</v>
      </c>
      <c r="BT28" t="s">
        <v>430</v>
      </c>
      <c r="BU28" t="s">
        <v>305</v>
      </c>
      <c r="BV28">
        <v>9.68</v>
      </c>
      <c r="BW28">
        <v>9.8699999999999992</v>
      </c>
      <c r="BX28">
        <v>8.73</v>
      </c>
      <c r="BY28">
        <v>1.59</v>
      </c>
      <c r="BZ28">
        <v>2.6</v>
      </c>
      <c r="CA28">
        <v>2.3199999999999998</v>
      </c>
      <c r="CB28">
        <v>-4.2</v>
      </c>
      <c r="CC28">
        <v>-17.149999999999999</v>
      </c>
      <c r="CD28" t="s">
        <v>1259</v>
      </c>
      <c r="CE28" t="s">
        <v>1260</v>
      </c>
      <c r="CF28" s="11">
        <v>-0.61033317238049256</v>
      </c>
      <c r="CG28" s="12">
        <v>-0.95391668500000004</v>
      </c>
      <c r="CH28" s="11">
        <v>1.201302170753479</v>
      </c>
      <c r="CI28" s="11">
        <v>1.5509773045778275E-2</v>
      </c>
      <c r="CJ28" s="11">
        <v>1.1328632831573486</v>
      </c>
      <c r="CK28" s="11">
        <v>-4.9484536051750183E-2</v>
      </c>
      <c r="CL28" s="11">
        <v>-0.17058573663234711</v>
      </c>
      <c r="CM28" s="12">
        <v>9.7403841018676758</v>
      </c>
      <c r="CN28" s="12">
        <v>0.13712652027606964</v>
      </c>
      <c r="CO28" s="12">
        <v>-0.46200823783874512</v>
      </c>
      <c r="CP28" s="12">
        <v>4.9382716417312622E-2</v>
      </c>
      <c r="CQ28" s="12">
        <v>3.8461539894342422E-2</v>
      </c>
      <c r="CR28">
        <v>7.1188999291624926</v>
      </c>
      <c r="CS28">
        <v>0.16714132625584471</v>
      </c>
      <c r="CT28">
        <v>0.81168831168831168</v>
      </c>
      <c r="CU28" s="11">
        <v>0.42592099085450175</v>
      </c>
      <c r="CV28" s="12">
        <v>1.9006693281233311</v>
      </c>
      <c r="CW28">
        <v>0.06</v>
      </c>
      <c r="CX28">
        <v>0.69760121314619516</v>
      </c>
      <c r="CY28">
        <v>1502597874.3249795</v>
      </c>
      <c r="CZ28">
        <v>0.42592099085450175</v>
      </c>
      <c r="DA28">
        <v>0.17352811166508839</v>
      </c>
      <c r="DB28">
        <v>6040601087.2928028</v>
      </c>
      <c r="DC28">
        <v>0.40462494131177662</v>
      </c>
      <c r="DD28">
        <v>5.7147406464194098E-2</v>
      </c>
      <c r="DE28">
        <v>18342286463.284416</v>
      </c>
      <c r="DF28">
        <v>0.37481047195196154</v>
      </c>
      <c r="DG28">
        <v>2.0726565125769102E-2</v>
      </c>
      <c r="DH28">
        <v>50573459405.329399</v>
      </c>
      <c r="DI28">
        <v>0.34073679268360141</v>
      </c>
      <c r="DJ28">
        <v>3.0421268085728814E-3</v>
      </c>
      <c r="DK28">
        <v>344566208432.23053</v>
      </c>
      <c r="DL28">
        <v>0.29814469359815121</v>
      </c>
      <c r="DM28">
        <v>1117000000</v>
      </c>
      <c r="DN28">
        <v>0.42592099085450175</v>
      </c>
      <c r="DO28">
        <v>1048214099.9999998</v>
      </c>
      <c r="DP28">
        <v>530393900</v>
      </c>
      <c r="DQ28">
        <v>4111</v>
      </c>
      <c r="DR28">
        <v>-1.0362541632349944</v>
      </c>
      <c r="DS28">
        <v>-2.8545860131233312</v>
      </c>
      <c r="DT28" s="13">
        <v>5.9999999999999977E-2</v>
      </c>
      <c r="DU28">
        <v>-0.27333333333333337</v>
      </c>
      <c r="DV28">
        <v>-0.2133333333333334</v>
      </c>
      <c r="DW28">
        <v>-8.2448979591836729</v>
      </c>
      <c r="DX28">
        <v>0.4405907477005559</v>
      </c>
      <c r="DY28">
        <v>-8.0270834484164624</v>
      </c>
      <c r="DZ28">
        <v>739</v>
      </c>
      <c r="EA28">
        <v>-8.0231666835671938</v>
      </c>
      <c r="EB28">
        <v>8</v>
      </c>
      <c r="EC28">
        <v>5.3452829971048596E-2</v>
      </c>
      <c r="ED28">
        <v>0.48333910054557827</v>
      </c>
      <c r="EE28" s="14">
        <v>2.0656099999999999</v>
      </c>
      <c r="EF28">
        <v>2.09781</v>
      </c>
      <c r="EG28">
        <v>33.110590747700556</v>
      </c>
      <c r="EH28" t="s">
        <v>555</v>
      </c>
      <c r="EI28">
        <v>0</v>
      </c>
      <c r="EJ28">
        <v>1</v>
      </c>
      <c r="EK28" s="10">
        <v>45470</v>
      </c>
      <c r="EL28" s="15">
        <v>-0.13</v>
      </c>
      <c r="EM28" s="15">
        <v>-2.76</v>
      </c>
      <c r="EN28" s="15">
        <v>0.41</v>
      </c>
      <c r="EO28" s="15">
        <v>0.57999999999999996</v>
      </c>
      <c r="EP28" s="15">
        <v>-3.22</v>
      </c>
    </row>
    <row r="29" spans="1:146" ht="96" x14ac:dyDescent="0.25">
      <c r="A29" s="8"/>
      <c r="B29" s="8"/>
      <c r="C29" s="8" t="str">
        <f>""&amp;CHAR(10)&amp;Basic_Fundamental_Information_Constructure(F29)&amp;CHAR(10)&amp;Basic_Fundamental_Information_Concatenate("")</f>
        <v xml:space="preserve">
市值21.003226亿, 利润33.51亿; PE37.83; 平均PE3.35; 平均PEG0, PB1.83; ROIC5.7267%; ROE5.9967%; 股利率.7326%; 毛利22.8467%; 净利6.3267%; 上一年度营收增8271.72%, 利润增8369.84%; 当季营收增-98.21%, 利润增-95.88%; 过往5年营收增1654.6%, 利润增1668.75%
Income profile:
</v>
      </c>
      <c r="D29" t="s">
        <v>69</v>
      </c>
      <c r="E29" t="s">
        <v>11</v>
      </c>
      <c r="F29">
        <v>8.19</v>
      </c>
      <c r="G29">
        <v>0.86</v>
      </c>
      <c r="H29" t="s">
        <v>1261</v>
      </c>
      <c r="I29">
        <v>2100322600</v>
      </c>
      <c r="J29">
        <v>37.83</v>
      </c>
      <c r="K29">
        <v>1.83</v>
      </c>
      <c r="L29" t="s">
        <v>182</v>
      </c>
      <c r="M29" t="s">
        <v>355</v>
      </c>
      <c r="N29" t="s">
        <v>1262</v>
      </c>
      <c r="O29" t="s">
        <v>1263</v>
      </c>
      <c r="P29">
        <v>-7.61</v>
      </c>
      <c r="Q29" t="s">
        <v>1264</v>
      </c>
      <c r="R29">
        <v>42165808</v>
      </c>
      <c r="S29" s="6">
        <v>0.22470000000000001</v>
      </c>
      <c r="T29" t="s">
        <v>1265</v>
      </c>
      <c r="U29">
        <v>256449650</v>
      </c>
      <c r="V29">
        <v>256449650</v>
      </c>
      <c r="W29">
        <v>1.18</v>
      </c>
      <c r="X29">
        <v>0.25</v>
      </c>
      <c r="Y29">
        <v>12.89</v>
      </c>
      <c r="Z29" t="s">
        <v>1266</v>
      </c>
      <c r="AA29" t="s">
        <v>1267</v>
      </c>
      <c r="AB29" t="s">
        <v>1268</v>
      </c>
      <c r="AC29" t="s">
        <v>1269</v>
      </c>
      <c r="AD29" t="s">
        <v>16</v>
      </c>
      <c r="AE29">
        <v>-559053</v>
      </c>
      <c r="AF29" t="s">
        <v>1270</v>
      </c>
      <c r="AG29" t="s">
        <v>1271</v>
      </c>
      <c r="AH29" t="s">
        <v>1272</v>
      </c>
      <c r="AI29" t="s">
        <v>80</v>
      </c>
      <c r="AJ29" t="s">
        <v>1273</v>
      </c>
      <c r="AK29" t="s">
        <v>1274</v>
      </c>
      <c r="AL29" t="s">
        <v>1275</v>
      </c>
      <c r="AM29" t="s">
        <v>16</v>
      </c>
      <c r="AN29" t="s">
        <v>1276</v>
      </c>
      <c r="AO29" t="s">
        <v>1277</v>
      </c>
      <c r="AP29" t="s">
        <v>1278</v>
      </c>
      <c r="AQ29" t="s">
        <v>1279</v>
      </c>
      <c r="AR29" t="s">
        <v>16</v>
      </c>
      <c r="AS29" t="s">
        <v>249</v>
      </c>
      <c r="AT29" t="s">
        <v>16</v>
      </c>
      <c r="AU29" t="s">
        <v>85</v>
      </c>
      <c r="AV29" t="s">
        <v>1280</v>
      </c>
      <c r="AW29" t="s">
        <v>1281</v>
      </c>
      <c r="AX29" t="s">
        <v>1282</v>
      </c>
      <c r="AY29" t="s">
        <v>283</v>
      </c>
      <c r="AZ29" t="s">
        <v>137</v>
      </c>
      <c r="BA29" t="s">
        <v>70</v>
      </c>
      <c r="BB29" t="s">
        <v>143</v>
      </c>
      <c r="BC29" t="s">
        <v>1283</v>
      </c>
      <c r="BD29" t="s">
        <v>183</v>
      </c>
      <c r="BE29" t="s">
        <v>86</v>
      </c>
      <c r="BF29" t="s">
        <v>71</v>
      </c>
      <c r="BG29" t="s">
        <v>165</v>
      </c>
      <c r="BH29" t="s">
        <v>1284</v>
      </c>
      <c r="BI29" t="s">
        <v>1285</v>
      </c>
      <c r="BJ29" t="s">
        <v>1282</v>
      </c>
      <c r="BK29" t="s">
        <v>1286</v>
      </c>
      <c r="BL29" t="s">
        <v>1287</v>
      </c>
      <c r="BM29" t="s">
        <v>1283</v>
      </c>
      <c r="BN29">
        <v>4.3099999999999996</v>
      </c>
      <c r="BO29">
        <v>3.23</v>
      </c>
      <c r="BP29">
        <v>9.64</v>
      </c>
      <c r="BQ29">
        <v>4.29</v>
      </c>
      <c r="BR29">
        <v>3.62</v>
      </c>
      <c r="BS29">
        <v>10.08</v>
      </c>
      <c r="BT29" t="s">
        <v>1288</v>
      </c>
      <c r="BU29" t="s">
        <v>304</v>
      </c>
      <c r="BV29">
        <v>18.37</v>
      </c>
      <c r="BW29">
        <v>22.45</v>
      </c>
      <c r="BX29">
        <v>27.72</v>
      </c>
      <c r="BY29">
        <v>4.54</v>
      </c>
      <c r="BZ29">
        <v>4.92</v>
      </c>
      <c r="CA29">
        <v>9.52</v>
      </c>
      <c r="CB29">
        <v>-2.73</v>
      </c>
      <c r="CC29">
        <v>-11.36</v>
      </c>
      <c r="CD29" t="s">
        <v>1289</v>
      </c>
      <c r="CE29" t="s">
        <v>1290</v>
      </c>
      <c r="CF29" s="11">
        <v>-0.982051282051282</v>
      </c>
      <c r="CG29" s="12">
        <v>-0.95882245312500003</v>
      </c>
      <c r="CH29" s="11">
        <v>82.717170715332031</v>
      </c>
      <c r="CI29" s="11">
        <v>-0.28519856929779053</v>
      </c>
      <c r="CJ29" s="11">
        <v>0.20434781908988953</v>
      </c>
      <c r="CK29" s="11">
        <v>-5.1546391099691391E-2</v>
      </c>
      <c r="CL29" s="11">
        <v>0.14521841704845428</v>
      </c>
      <c r="CM29" s="12">
        <v>83.698432922363281</v>
      </c>
      <c r="CN29" s="12">
        <v>-0.62675565481185913</v>
      </c>
      <c r="CO29" s="12">
        <v>9.5238098874688148E-3</v>
      </c>
      <c r="CP29" s="12">
        <v>0.24015411734580994</v>
      </c>
      <c r="CQ29" s="12">
        <v>0.11616763472557068</v>
      </c>
      <c r="CR29">
        <v>3.3497204130751084</v>
      </c>
      <c r="CS29">
        <v>2.0244897481898495E-3</v>
      </c>
      <c r="CT29">
        <v>0.73260073260073266</v>
      </c>
      <c r="CU29" s="11">
        <v>16.545998398214579</v>
      </c>
      <c r="CV29" s="12">
        <v>16.687504565902053</v>
      </c>
      <c r="CW29">
        <v>0.06</v>
      </c>
      <c r="CX29">
        <v>2.0071248005100302E-2</v>
      </c>
      <c r="CY29">
        <v>55468528898.506645</v>
      </c>
      <c r="CZ29">
        <v>16.545998398214579</v>
      </c>
      <c r="DA29">
        <v>7.9326938517321576E-5</v>
      </c>
      <c r="DB29">
        <v>14034609437964.109</v>
      </c>
      <c r="DC29">
        <v>15.71869847830385</v>
      </c>
      <c r="DD29">
        <v>3.0938803643755062E-8</v>
      </c>
      <c r="DE29">
        <v>3.5984668729255212E+16</v>
      </c>
      <c r="DF29">
        <v>14.560478590428829</v>
      </c>
      <c r="DG29">
        <v>1.6098275933326468E-12</v>
      </c>
      <c r="DH29">
        <v>6.9157877813189437E+20</v>
      </c>
      <c r="DI29">
        <v>13.236798718571663</v>
      </c>
      <c r="DJ29">
        <v>9.8676063058124775E-23</v>
      </c>
      <c r="DK29">
        <v>1.1282600516238689E+31</v>
      </c>
      <c r="DL29">
        <v>11.582198878750205</v>
      </c>
      <c r="DM29">
        <v>3351000000</v>
      </c>
      <c r="DN29">
        <v>16.545998398214579</v>
      </c>
      <c r="DO29">
        <v>1113322600</v>
      </c>
      <c r="DP29">
        <v>744383300</v>
      </c>
      <c r="DQ29">
        <v>4309</v>
      </c>
      <c r="DR29">
        <v>-17.528049680265859</v>
      </c>
      <c r="DS29">
        <v>-17.646327019027051</v>
      </c>
      <c r="DT29" s="13">
        <v>-0.1566666666666667</v>
      </c>
      <c r="DU29">
        <v>-0.32333333333333336</v>
      </c>
      <c r="DV29">
        <v>-0.48000000000000009</v>
      </c>
      <c r="DW29">
        <v>-8.2403169014084501</v>
      </c>
      <c r="DX29">
        <v>0.2802756405224115</v>
      </c>
      <c r="DY29">
        <v>-8.0289042692452632</v>
      </c>
      <c r="DZ29">
        <v>512</v>
      </c>
      <c r="EA29">
        <v>-8.0260081859079691</v>
      </c>
      <c r="EB29">
        <v>8</v>
      </c>
      <c r="EC29">
        <v>4.0911734525666148E-2</v>
      </c>
      <c r="ED29">
        <v>0.34014981108377407</v>
      </c>
      <c r="EE29" s="14">
        <v>-3.0653100000000002</v>
      </c>
      <c r="EF29">
        <v>-3.0986099999999999</v>
      </c>
      <c r="EG29">
        <v>16.120275640522411</v>
      </c>
      <c r="EH29" t="s">
        <v>586</v>
      </c>
      <c r="EI29">
        <v>0</v>
      </c>
      <c r="EJ29">
        <v>1</v>
      </c>
      <c r="EK29" s="10">
        <v>45470</v>
      </c>
      <c r="EL29" s="15">
        <v>-0.61</v>
      </c>
      <c r="EM29" s="15">
        <v>-2.21</v>
      </c>
      <c r="EN29" s="15">
        <v>-0.63</v>
      </c>
      <c r="EO29" s="15">
        <v>5</v>
      </c>
      <c r="EP29" s="15">
        <v>-3.33</v>
      </c>
    </row>
    <row r="30" spans="1:146" x14ac:dyDescent="0.25">
      <c r="A30" s="8"/>
      <c r="B30" s="8"/>
      <c r="C30" s="8"/>
      <c r="Q30" s="6"/>
    </row>
    <row r="31" spans="1:146" x14ac:dyDescent="0.25">
      <c r="A31" s="8"/>
      <c r="B31" s="8"/>
      <c r="C31" s="8"/>
      <c r="Q31" s="6"/>
    </row>
    <row r="32" spans="1:146" x14ac:dyDescent="0.25">
      <c r="A32" s="8"/>
      <c r="B32" s="8"/>
      <c r="C32" s="8"/>
      <c r="Q32" s="6"/>
    </row>
    <row r="33" spans="1:17" x14ac:dyDescent="0.25">
      <c r="A33" s="8"/>
      <c r="B33" s="8"/>
      <c r="C33" s="8"/>
      <c r="Q33" s="6"/>
    </row>
    <row r="34" spans="1:17" x14ac:dyDescent="0.25">
      <c r="A34" s="8"/>
      <c r="B34" s="8"/>
      <c r="C34" s="8"/>
      <c r="Q34" s="6"/>
    </row>
    <row r="35" spans="1:17" x14ac:dyDescent="0.25">
      <c r="A35" s="8"/>
      <c r="B35" s="8"/>
      <c r="C35" s="8"/>
      <c r="Q35" s="7"/>
    </row>
    <row r="36" spans="1:17" x14ac:dyDescent="0.25">
      <c r="A36" s="8"/>
      <c r="B36" s="8"/>
      <c r="C36" s="8"/>
      <c r="Q36" s="6"/>
    </row>
    <row r="37" spans="1:17" x14ac:dyDescent="0.25">
      <c r="A37" s="8"/>
      <c r="B37" s="8"/>
      <c r="C37" s="8"/>
      <c r="Q37" s="6"/>
    </row>
    <row r="38" spans="1:17" x14ac:dyDescent="0.25">
      <c r="A38" s="8"/>
      <c r="B38" s="8"/>
      <c r="C38" s="8"/>
      <c r="Q38" s="6"/>
    </row>
    <row r="39" spans="1:17" x14ac:dyDescent="0.25">
      <c r="A39" s="8"/>
      <c r="B39" s="8"/>
      <c r="C39" s="8"/>
      <c r="Q39" s="6"/>
    </row>
    <row r="40" spans="1:17" x14ac:dyDescent="0.25">
      <c r="A40" s="8"/>
      <c r="B40" s="8"/>
      <c r="C40" s="8"/>
      <c r="Q40" s="6"/>
    </row>
    <row r="41" spans="1:17" x14ac:dyDescent="0.25">
      <c r="A41" s="8"/>
      <c r="B41" s="8"/>
      <c r="C41" s="8"/>
      <c r="Q41" s="6"/>
    </row>
    <row r="42" spans="1:17" x14ac:dyDescent="0.25">
      <c r="A42" s="8"/>
      <c r="B42" s="8"/>
      <c r="C42" s="8"/>
      <c r="Q42" s="6"/>
    </row>
    <row r="43" spans="1:17" x14ac:dyDescent="0.25">
      <c r="A43" s="8"/>
      <c r="B43" s="8"/>
      <c r="C43" s="8"/>
      <c r="Q43" s="7"/>
    </row>
    <row r="44" spans="1:17" x14ac:dyDescent="0.25">
      <c r="A44" s="8"/>
      <c r="B44" s="8"/>
      <c r="C44" s="8"/>
      <c r="Q44" s="7"/>
    </row>
    <row r="45" spans="1:17" x14ac:dyDescent="0.25">
      <c r="A45" s="8"/>
      <c r="B45" s="8"/>
      <c r="C45" s="8"/>
      <c r="Q45" s="6"/>
    </row>
    <row r="46" spans="1:17" x14ac:dyDescent="0.25">
      <c r="A46" s="8"/>
      <c r="B46" s="8"/>
      <c r="C46" s="8"/>
      <c r="Q46" s="6"/>
    </row>
    <row r="47" spans="1:17" x14ac:dyDescent="0.25">
      <c r="A47" s="8"/>
      <c r="B47" s="8"/>
      <c r="C47" s="8"/>
      <c r="Q47" s="6"/>
    </row>
    <row r="48" spans="1:17" x14ac:dyDescent="0.25">
      <c r="A48" s="8"/>
      <c r="B48" s="8"/>
      <c r="C48" s="8"/>
      <c r="Q48" s="6"/>
    </row>
    <row r="49" spans="1:17" x14ac:dyDescent="0.25">
      <c r="A49" s="8"/>
      <c r="B49" s="8"/>
      <c r="C49" s="8"/>
      <c r="Q49" s="6"/>
    </row>
    <row r="50" spans="1:17" x14ac:dyDescent="0.25">
      <c r="A50" s="8"/>
      <c r="B50" s="8"/>
      <c r="C50" s="8"/>
      <c r="Q50" s="6"/>
    </row>
    <row r="51" spans="1:17" x14ac:dyDescent="0.25">
      <c r="A51" s="8"/>
      <c r="B51" s="8"/>
      <c r="C51" s="8"/>
      <c r="Q51" s="6"/>
    </row>
    <row r="52" spans="1:17" x14ac:dyDescent="0.25">
      <c r="A52" s="8"/>
      <c r="B52" s="8"/>
      <c r="C52" s="8"/>
      <c r="Q52" s="6"/>
    </row>
    <row r="53" spans="1:17" x14ac:dyDescent="0.25">
      <c r="A53" s="8"/>
      <c r="B53" s="8"/>
      <c r="C53" s="8"/>
      <c r="Q53" s="6"/>
    </row>
    <row r="54" spans="1:17" x14ac:dyDescent="0.25">
      <c r="A54" s="8"/>
      <c r="B54" s="8"/>
      <c r="C54" s="8"/>
      <c r="Q54" s="7"/>
    </row>
    <row r="55" spans="1:17" x14ac:dyDescent="0.25">
      <c r="A55" s="8"/>
      <c r="B55" s="8"/>
      <c r="C55" s="8"/>
      <c r="Q55" s="6"/>
    </row>
    <row r="56" spans="1:17" x14ac:dyDescent="0.25">
      <c r="A56" s="8"/>
      <c r="B56" s="8"/>
      <c r="C56" s="8"/>
      <c r="Q56" s="6"/>
    </row>
    <row r="57" spans="1:17" x14ac:dyDescent="0.25">
      <c r="A57" s="8"/>
      <c r="B57" s="8"/>
      <c r="C57" s="8"/>
      <c r="Q57" s="6"/>
    </row>
    <row r="58" spans="1:17" x14ac:dyDescent="0.25">
      <c r="A58" s="8"/>
      <c r="B58" s="8"/>
      <c r="C58" s="8"/>
      <c r="Q58" s="6"/>
    </row>
    <row r="59" spans="1:17" x14ac:dyDescent="0.25">
      <c r="A59" s="8"/>
      <c r="B59" s="8"/>
      <c r="C59" s="8"/>
      <c r="Q59" s="6"/>
    </row>
    <row r="60" spans="1:17" x14ac:dyDescent="0.25">
      <c r="A60" s="8"/>
      <c r="B60" s="8"/>
      <c r="C60" s="8"/>
      <c r="Q60" s="6"/>
    </row>
    <row r="61" spans="1:17" x14ac:dyDescent="0.25">
      <c r="A61" s="8"/>
      <c r="B61" s="8"/>
      <c r="C61" s="8"/>
      <c r="Q61" s="6"/>
    </row>
    <row r="62" spans="1:17" x14ac:dyDescent="0.25">
      <c r="A62" s="8"/>
      <c r="B62" s="8"/>
      <c r="C62" s="8"/>
      <c r="Q62" s="6"/>
    </row>
  </sheetData>
  <autoFilter ref="BU1:BU62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'Basic_Fundamental_Tabel_Update_Buttom &quot;石油加工贸易&quot;,&quot;&quot;'" altText="更新基本面按钮_x000a_">
                <anchor moveWithCells="1" sizeWithCells="1">
                  <from>
                    <xdr:col>147</xdr:col>
                    <xdr:colOff>406400</xdr:colOff>
                    <xdr:row>0</xdr:row>
                    <xdr:rowOff>63500</xdr:rowOff>
                  </from>
                  <to>
                    <xdr:col>147</xdr:col>
                    <xdr:colOff>1479550</xdr:colOff>
                    <xdr:row>0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石油加工贸易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2024-07-10T22:52:58Z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