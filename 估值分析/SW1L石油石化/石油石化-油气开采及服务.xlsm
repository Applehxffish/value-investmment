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石油石化\"/>
    </mc:Choice>
  </mc:AlternateContent>
  <bookViews>
    <workbookView xWindow="0" yWindow="0" windowWidth="3800" windowHeight="2960"/>
  </bookViews>
  <sheets>
    <sheet name="油气开采及服务" sheetId="15" r:id="rId1"/>
    <sheet name="估值-增速与年化收益" sheetId="14" r:id="rId2"/>
  </sheets>
  <functionGroups builtInGroupCount="18"/>
  <definedNames>
    <definedName name="_xlnm._FilterDatabase" localSheetId="0" hidden="1">油气开采及服务!$BU$1:$BU$60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8" i="15"/>
  <c r="C7" i="15"/>
  <c r="C19" i="15"/>
  <c r="C11" i="15"/>
  <c r="C21" i="15"/>
  <c r="C9" i="15"/>
  <c r="C12" i="15"/>
  <c r="C17" i="15"/>
  <c r="C20" i="15"/>
  <c r="C10" i="15"/>
  <c r="C16" i="15"/>
  <c r="C15" i="15"/>
  <c r="C13" i="15"/>
  <c r="C8" i="15"/>
  <c r="C14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<sst xmlns="http://schemas.openxmlformats.org/spreadsheetml/2006/main" count="1267" uniqueCount="975">
  <si>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</si>
  <si>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</si>
  <si>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</si>
  <si>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</si>
  <si>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</si>
  <si>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</si>
  <si>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</si>
  <si>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</si>
  <si>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</si>
  <si>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</si>
  <si>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</si>
  <si>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</si>
  <si>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</si>
  <si>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</si>
  <si>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</si>
  <si>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</si>
  <si>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</si>
  <si>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</si>
  <si>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</si>
  <si>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</si>
  <si>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</si>
  <si>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1.04亿</t>
  </si>
  <si>
    <t>1.08亿</t>
  </si>
  <si>
    <t>0亿</t>
  </si>
  <si>
    <t>1.20亿</t>
  </si>
  <si>
    <t>1.32亿</t>
  </si>
  <si>
    <t>1.25亿</t>
  </si>
  <si>
    <t>1.42亿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</si>
  <si>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</si>
  <si>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</si>
  <si>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</si>
  <si>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</si>
  <si>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</si>
  <si>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</si>
  <si>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</si>
  <si>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</si>
  <si>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</si>
  <si>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</si>
  <si>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</si>
  <si>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</si>
  <si>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</si>
  <si>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1.10亿</t>
  </si>
  <si>
    <t>3.21亿</t>
  </si>
  <si>
    <t>10.78亿</t>
  </si>
  <si>
    <t>4.89亿</t>
  </si>
  <si>
    <t>1.31亿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</si>
  <si>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</si>
  <si>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</si>
  <si>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</si>
  <si>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</si>
  <si>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</si>
  <si>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</si>
  <si>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</si>
  <si>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</si>
  <si>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</si>
  <si>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</si>
  <si>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</si>
  <si>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</si>
  <si>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</si>
  <si>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14.08亿</t>
  </si>
  <si>
    <t>销售毛利率%[20201231]</t>
  </si>
  <si>
    <t>销售净利率%[20201231]</t>
  </si>
  <si>
    <t>1.69亿</t>
  </si>
  <si>
    <t>9.04亿</t>
  </si>
  <si>
    <t>10.66亿</t>
  </si>
  <si>
    <t>15.26亿</t>
  </si>
  <si>
    <t>1.75亿</t>
  </si>
  <si>
    <t>3.97亿</t>
  </si>
  <si>
    <t>13.54亿</t>
  </si>
  <si>
    <t>SZ000968</t>
  </si>
  <si>
    <t>蓝焰控股</t>
  </si>
  <si>
    <t>油气开采及服务</t>
  </si>
  <si>
    <t>14.41亿</t>
  </si>
  <si>
    <t>1.66亿</t>
  </si>
  <si>
    <t>18.87亿</t>
  </si>
  <si>
    <t>23.33亿</t>
  </si>
  <si>
    <t>12.51亿</t>
  </si>
  <si>
    <t>5.57亿</t>
  </si>
  <si>
    <t>6.79亿</t>
  </si>
  <si>
    <t>SZ002207</t>
  </si>
  <si>
    <t>准油股份</t>
  </si>
  <si>
    <t>1.96亿</t>
  </si>
  <si>
    <t>-829.94万</t>
  </si>
  <si>
    <t>3.02亿</t>
  </si>
  <si>
    <t>2.60亿</t>
  </si>
  <si>
    <t>2.06亿</t>
  </si>
  <si>
    <t>5188.70万</t>
  </si>
  <si>
    <t>-3.40亿</t>
  </si>
  <si>
    <t>SZ002554</t>
  </si>
  <si>
    <t>惠博普</t>
  </si>
  <si>
    <t>11.36亿</t>
  </si>
  <si>
    <t>-1.78亿</t>
  </si>
  <si>
    <t>22.93亿</t>
  </si>
  <si>
    <t>16.62亿</t>
  </si>
  <si>
    <t>8524.44万</t>
  </si>
  <si>
    <t>-4.94亿</t>
  </si>
  <si>
    <t>SZ002629</t>
  </si>
  <si>
    <t>3.35亿</t>
  </si>
  <si>
    <t>1.09亿</t>
  </si>
  <si>
    <t>9683.68万</t>
  </si>
  <si>
    <t>25.47亿</t>
  </si>
  <si>
    <t>2897.02万</t>
  </si>
  <si>
    <t>-6.20亿</t>
  </si>
  <si>
    <t>SZ002828</t>
  </si>
  <si>
    <t>贝肯能源</t>
  </si>
  <si>
    <t>9.36亿</t>
  </si>
  <si>
    <t>2492.82万</t>
  </si>
  <si>
    <t>4350.21万</t>
  </si>
  <si>
    <t>4544.69万</t>
  </si>
  <si>
    <t>3.63亿</t>
  </si>
  <si>
    <t>SZ300164</t>
  </si>
  <si>
    <t>通源石油</t>
  </si>
  <si>
    <t>6.32亿</t>
  </si>
  <si>
    <t>-10.53亿</t>
  </si>
  <si>
    <t>15.56亿</t>
  </si>
  <si>
    <t>15.93亿</t>
  </si>
  <si>
    <t>8.17亿</t>
  </si>
  <si>
    <t>4.00亿</t>
  </si>
  <si>
    <t>4513.52万</t>
  </si>
  <si>
    <t>4412.33万</t>
  </si>
  <si>
    <t>2197.44万</t>
  </si>
  <si>
    <t>3.39亿</t>
  </si>
  <si>
    <t>2.12亿</t>
  </si>
  <si>
    <t>SZ300191</t>
  </si>
  <si>
    <t>潜能恒信</t>
  </si>
  <si>
    <t>4.25亿</t>
  </si>
  <si>
    <t>1048.37万</t>
  </si>
  <si>
    <t>2617.84万</t>
  </si>
  <si>
    <t>2899.85万</t>
  </si>
  <si>
    <t>SZ300483</t>
  </si>
  <si>
    <t>首华燃气</t>
  </si>
  <si>
    <t>15.31亿</t>
  </si>
  <si>
    <t>7375.02万</t>
  </si>
  <si>
    <t>561.28万</t>
  </si>
  <si>
    <t>SH600256</t>
  </si>
  <si>
    <t>广汇能源</t>
  </si>
  <si>
    <t>151.34亿</t>
  </si>
  <si>
    <t>1.80亿</t>
  </si>
  <si>
    <t>140.42亿</t>
  </si>
  <si>
    <t>129.05亿</t>
  </si>
  <si>
    <t>SH600339</t>
  </si>
  <si>
    <t>中油工程</t>
  </si>
  <si>
    <t>706.98亿</t>
  </si>
  <si>
    <t>8.55亿</t>
  </si>
  <si>
    <t>650.54亿</t>
  </si>
  <si>
    <t>593.74亿</t>
  </si>
  <si>
    <t>8.04亿</t>
  </si>
  <si>
    <t>9.66亿</t>
  </si>
  <si>
    <t>SH600583</t>
  </si>
  <si>
    <t>海油工程</t>
  </si>
  <si>
    <t>178.63亿</t>
  </si>
  <si>
    <t>147.10亿</t>
  </si>
  <si>
    <t>110.52亿</t>
  </si>
  <si>
    <t>2792.68万</t>
  </si>
  <si>
    <t>7977.80万</t>
  </si>
  <si>
    <t>SH600759</t>
  </si>
  <si>
    <t>16.22亿</t>
  </si>
  <si>
    <t>27.84亿</t>
  </si>
  <si>
    <t>33.26亿</t>
  </si>
  <si>
    <t>5599.92万</t>
  </si>
  <si>
    <t>6962.51万</t>
  </si>
  <si>
    <t>SH600777</t>
  </si>
  <si>
    <t>41.44亿</t>
  </si>
  <si>
    <t>-26.56亿</t>
  </si>
  <si>
    <t>60.70亿</t>
  </si>
  <si>
    <t>47.81亿</t>
  </si>
  <si>
    <t>6.01亿</t>
  </si>
  <si>
    <t>3.65亿</t>
  </si>
  <si>
    <t>SH600871</t>
  </si>
  <si>
    <t>石化油服</t>
  </si>
  <si>
    <t>680.73亿</t>
  </si>
  <si>
    <t>7897.80万</t>
  </si>
  <si>
    <t>3.59亿</t>
  </si>
  <si>
    <t>698.70亿</t>
  </si>
  <si>
    <t>584.09亿</t>
  </si>
  <si>
    <t>9.14亿</t>
  </si>
  <si>
    <t>SH600968</t>
  </si>
  <si>
    <t>海油发展</t>
  </si>
  <si>
    <t>332.08亿</t>
  </si>
  <si>
    <t>15.22亿</t>
  </si>
  <si>
    <t>334.63亿</t>
  </si>
  <si>
    <t>289.75亿</t>
  </si>
  <si>
    <t>12.33亿</t>
  </si>
  <si>
    <t>SH601808</t>
  </si>
  <si>
    <t>中海油服</t>
  </si>
  <si>
    <t>289.59亿</t>
  </si>
  <si>
    <t>27.03亿</t>
  </si>
  <si>
    <t>311.35亿</t>
  </si>
  <si>
    <t>219.46亿</t>
  </si>
  <si>
    <t>25.02亿</t>
  </si>
  <si>
    <t>7080.23万</t>
  </si>
  <si>
    <t>SH603619</t>
  </si>
  <si>
    <t>中曼石油</t>
  </si>
  <si>
    <t>15.85亿</t>
  </si>
  <si>
    <t>-4.86亿</t>
  </si>
  <si>
    <t>24.63亿</t>
  </si>
  <si>
    <t>13.90亿</t>
  </si>
  <si>
    <t>16.32亿</t>
  </si>
  <si>
    <t>1722.49万</t>
  </si>
  <si>
    <t>2996.86万</t>
  </si>
  <si>
    <t>SH603727</t>
  </si>
  <si>
    <t>博迈科</t>
  </si>
  <si>
    <t>25.79亿</t>
  </si>
  <si>
    <t>3465.42万</t>
  </si>
  <si>
    <t>715.28万</t>
  </si>
  <si>
    <r>
      <t>1.。法国石油巨头道达尔今年 5 月正式宣布更名为“道达尔能源”，同时启用了最新的“能源之旅”标识，展现其以传统石油业务为起点，逐渐向天然气、电力、氢能、生物质能、风能和太阳能不断延伸的发展战略。在道达尔能源的投资排序中，</t>
    </r>
    <r>
      <rPr>
        <b/>
        <sz val="9"/>
        <color rgb="FFFF0000"/>
        <rFont val="宋体"/>
        <family val="3"/>
        <charset val="134"/>
        <scheme val="minor"/>
      </rPr>
      <t>天然气排在了第一
位。</t>
    </r>
    <r>
      <rPr>
        <sz val="9"/>
        <color theme="1"/>
        <rFont val="宋体"/>
        <family val="2"/>
        <charset val="134"/>
        <scheme val="minor"/>
      </rPr>
      <t>其官网信息显示，道达尔能源将不断提高天然气产量，预计到 2035 年，天然气产量将占总碳
氢化合物产量的 60%；2.乌东事件催化了天然气的市场供需格局变化的可能；</t>
    </r>
    <phoneticPr fontId="1" type="noConversion"/>
  </si>
  <si>
    <t>1.26亿</t>
  </si>
  <si>
    <t>流通股本</t>
  </si>
  <si>
    <t>净利润[20201231]</t>
  </si>
  <si>
    <t>投入资本回报率roic%[20201231]</t>
  </si>
  <si>
    <t>净资产收益率%[20201231]</t>
  </si>
  <si>
    <t>19.78亿</t>
  </si>
  <si>
    <t>3.05亿</t>
  </si>
  <si>
    <t>1.92亿</t>
  </si>
  <si>
    <t>766.72万</t>
  </si>
  <si>
    <t>15.94亿</t>
  </si>
  <si>
    <t>8919.10万</t>
  </si>
  <si>
    <t>仁智股份</t>
  </si>
  <si>
    <t>-2640.55万</t>
  </si>
  <si>
    <t>-1469.02万</t>
  </si>
  <si>
    <t>1.43亿</t>
  </si>
  <si>
    <t>11.43亿</t>
  </si>
  <si>
    <t>4.21亿</t>
  </si>
  <si>
    <t>1.56亿</t>
  </si>
  <si>
    <t>7.47亿</t>
  </si>
  <si>
    <t>1458.50万</t>
  </si>
  <si>
    <t>4.06亿</t>
  </si>
  <si>
    <t>3428.36万</t>
  </si>
  <si>
    <t>18.24亿</t>
  </si>
  <si>
    <t>6441.27万</t>
  </si>
  <si>
    <t>798.32亿</t>
  </si>
  <si>
    <t>4.59亿</t>
  </si>
  <si>
    <t>197.95亿</t>
  </si>
  <si>
    <t>3.70亿</t>
  </si>
  <si>
    <t>24.53亿</t>
  </si>
  <si>
    <t>-9.43亿</t>
  </si>
  <si>
    <t>48.21亿</t>
  </si>
  <si>
    <t>695.33亿</t>
  </si>
  <si>
    <t>SH600938</t>
  </si>
  <si>
    <t>中国海油</t>
  </si>
  <si>
    <t>2461.11亿</t>
  </si>
  <si>
    <t>703.20亿</t>
  </si>
  <si>
    <t>1553.73亿</t>
  </si>
  <si>
    <t>2331.99亿</t>
  </si>
  <si>
    <t>2277.10亿</t>
  </si>
  <si>
    <t>249.57亿</t>
  </si>
  <si>
    <t>610.45亿</t>
  </si>
  <si>
    <t>526.75亿</t>
  </si>
  <si>
    <t>387.39亿</t>
  </si>
  <si>
    <t>12.84亿</t>
  </si>
  <si>
    <t>292.03亿</t>
  </si>
  <si>
    <t>3.13亿</t>
  </si>
  <si>
    <t>SH603393</t>
  </si>
  <si>
    <t>新天然气</t>
  </si>
  <si>
    <t>26.17亿</t>
  </si>
  <si>
    <t>10.28亿</t>
  </si>
  <si>
    <t>21.12亿</t>
  </si>
  <si>
    <t>22.96亿</t>
  </si>
  <si>
    <t>4.22亿</t>
  </si>
  <si>
    <t>6.50亿</t>
  </si>
  <si>
    <t>40.81亿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</si>
  <si>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</si>
  <si>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</si>
  <si>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</si>
  <si>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</si>
  <si>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</si>
  <si>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</si>
  <si>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</si>
  <si>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</si>
  <si>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</si>
  <si>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</si>
  <si>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</si>
  <si>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</si>
  <si>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</si>
  <si>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</si>
  <si>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</si>
  <si>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</si>
  <si>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</si>
  <si>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过往营收增速均值</t>
    <phoneticPr fontId="1" type="noConversion"/>
  </si>
  <si>
    <t>成交量综合策略</t>
    <phoneticPr fontId="1" type="noConversion"/>
  </si>
  <si>
    <t>机会区域号</t>
    <phoneticPr fontId="1" type="noConversion"/>
  </si>
  <si>
    <t>价格箱体形态过滤</t>
    <phoneticPr fontId="1" type="noConversion"/>
  </si>
  <si>
    <t>2.72亿</t>
  </si>
  <si>
    <t>油气开采</t>
  </si>
  <si>
    <t>油服工程</t>
  </si>
  <si>
    <t>200.00万</t>
  </si>
  <si>
    <t>亏损</t>
  </si>
  <si>
    <t>扭亏</t>
  </si>
  <si>
    <t>2138.00万</t>
  </si>
  <si>
    <t>440.24万</t>
  </si>
  <si>
    <t>56.55万</t>
  </si>
  <si>
    <t>1.40亿</t>
  </si>
  <si>
    <t>3.62亿</t>
  </si>
  <si>
    <t>1798.11万</t>
  </si>
  <si>
    <t>4.81亿</t>
  </si>
  <si>
    <t>4.96亿</t>
  </si>
  <si>
    <t>2.17亿</t>
  </si>
  <si>
    <t>2.11亿</t>
  </si>
  <si>
    <t>1.52亿</t>
  </si>
  <si>
    <t>1.94亿</t>
  </si>
  <si>
    <t>1.53亿</t>
  </si>
  <si>
    <t>5.23亿</t>
  </si>
  <si>
    <t>3.32亿</t>
  </si>
  <si>
    <t>-1.27亿</t>
  </si>
  <si>
    <t>5.56亿</t>
  </si>
  <si>
    <t>11.25亿</t>
  </si>
  <si>
    <t>501701070亿</t>
  </si>
  <si>
    <t>7091.84万</t>
  </si>
  <si>
    <t>8715.44万</t>
  </si>
  <si>
    <t>597646亿</t>
  </si>
  <si>
    <t>12150858亿</t>
  </si>
  <si>
    <t>9717.99万</t>
  </si>
  <si>
    <t>355940010亿</t>
  </si>
  <si>
    <t>3107.91万</t>
  </si>
  <si>
    <t>767118680亿</t>
  </si>
  <si>
    <t>6157.29万</t>
  </si>
  <si>
    <t>1.68亿</t>
  </si>
  <si>
    <t>5.05亿</t>
  </si>
  <si>
    <t>165.82万</t>
  </si>
  <si>
    <t>-3157.68万</t>
  </si>
  <si>
    <t>2113.56万</t>
  </si>
  <si>
    <t>3.20亿</t>
  </si>
  <si>
    <t>5.25亿</t>
  </si>
  <si>
    <t>1210.08万</t>
  </si>
  <si>
    <t>1538.83万</t>
  </si>
  <si>
    <t>3.10亿</t>
  </si>
  <si>
    <t>4.76亿</t>
  </si>
  <si>
    <t>40.00万</t>
  </si>
  <si>
    <t>2.08亿</t>
  </si>
  <si>
    <t>6.45亿</t>
  </si>
  <si>
    <t>1.48亿</t>
  </si>
  <si>
    <t>6.37亿</t>
  </si>
  <si>
    <t>31.86亿</t>
  </si>
  <si>
    <t>2.00亿</t>
  </si>
  <si>
    <t>43.15亿</t>
  </si>
  <si>
    <t>15.63亿</t>
  </si>
  <si>
    <t>16.97亿</t>
  </si>
  <si>
    <t>1.天然气作为清洁低碳能源更加重要；</t>
    <phoneticPr fontId="1" type="noConversion"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</si>
  <si>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</si>
  <si>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</si>
  <si>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</si>
  <si>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</si>
  <si>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</si>
  <si>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</si>
  <si>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</si>
  <si>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</si>
  <si>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</si>
  <si>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</si>
  <si>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</si>
  <si>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</si>
  <si>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</si>
  <si>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</si>
  <si>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</si>
  <si>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</si>
  <si>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</si>
  <si>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</si>
  <si>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</si>
  <si>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</si>
  <si>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</si>
  <si>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</si>
  <si>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</si>
  <si>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</si>
  <si>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</si>
  <si>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</si>
  <si>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</si>
  <si>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</si>
  <si>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</si>
  <si>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</si>
  <si>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</si>
  <si>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</si>
  <si>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股利率</t>
    <phoneticPr fontId="1" type="noConversion"/>
  </si>
  <si>
    <t>1年自由现金流折现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</si>
  <si>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</si>
  <si>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</si>
  <si>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</si>
  <si>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</si>
  <si>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</si>
  <si>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策略1营收单季最佳增速</t>
    <phoneticPr fontId="1" type="noConversion"/>
  </si>
  <si>
    <t>量价齐升策略</t>
    <phoneticPr fontId="1" type="noConversion"/>
  </si>
  <si>
    <t>基本面排序</t>
    <phoneticPr fontId="1" type="noConversion"/>
  </si>
  <si>
    <t>5日成交换手率</t>
    <phoneticPr fontId="1" type="noConversion"/>
  </si>
  <si>
    <t>今日价格累积指数</t>
    <phoneticPr fontId="1" type="noConversion"/>
  </si>
  <si>
    <t>价格右侧初期策略</t>
    <phoneticPr fontId="1" type="noConversion"/>
  </si>
  <si>
    <t>N日期</t>
    <phoneticPr fontId="1" type="noConversion"/>
  </si>
  <si>
    <t>N-2</t>
    <phoneticPr fontId="1" type="noConversion"/>
  </si>
  <si>
    <t>N</t>
    <phoneticPr fontId="1" type="noConversion"/>
  </si>
  <si>
    <t>市销率</t>
    <phoneticPr fontId="1" type="noConversion"/>
  </si>
  <si>
    <t>扣非对比净利润</t>
    <phoneticPr fontId="1" type="noConversion"/>
  </si>
  <si>
    <t>过往利润增速均值</t>
    <phoneticPr fontId="1" type="noConversion"/>
  </si>
  <si>
    <t>折现率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</si>
  <si>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</si>
  <si>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</si>
  <si>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</si>
  <si>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10增速</t>
    <phoneticPr fontId="1" type="noConversion"/>
  </si>
  <si>
    <t>20年自由现金流折现</t>
    <phoneticPr fontId="1" type="noConversion"/>
  </si>
  <si>
    <t>清算价格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</si>
  <si>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</si>
  <si>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</si>
  <si>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</si>
  <si>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</si>
  <si>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</si>
  <si>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综合策略</t>
    <phoneticPr fontId="1" type="noConversion"/>
  </si>
  <si>
    <t>30日成交换手率</t>
    <phoneticPr fontId="1" type="noConversion"/>
  </si>
  <si>
    <t>昨日价格累计指数</t>
    <phoneticPr fontId="1" type="noConversion"/>
  </si>
  <si>
    <t>成交量异动策略</t>
    <phoneticPr fontId="1" type="noConversion"/>
  </si>
  <si>
    <t>N-4</t>
    <phoneticPr fontId="1" type="noConversion"/>
  </si>
  <si>
    <t>N-3</t>
    <phoneticPr fontId="1" type="noConversion"/>
  </si>
  <si>
    <t>N-1</t>
    <phoneticPr fontId="1" type="noConversion"/>
  </si>
  <si>
    <t>11.93亿</t>
  </si>
  <si>
    <t>不分配不转增</t>
  </si>
  <si>
    <t>10派1.5元(含税)</t>
  </si>
  <si>
    <t>3.04亿</t>
  </si>
  <si>
    <t/>
  </si>
  <si>
    <t>887.74万</t>
  </si>
  <si>
    <t>4105.00万</t>
  </si>
  <si>
    <t>2.63亿</t>
  </si>
  <si>
    <t>5.32亿</t>
  </si>
  <si>
    <t>2.69亿</t>
  </si>
  <si>
    <t>1.97亿</t>
  </si>
  <si>
    <t>1.67亿</t>
  </si>
  <si>
    <t>606.98万</t>
  </si>
  <si>
    <t>61.45亿</t>
  </si>
  <si>
    <t>58.45亿</t>
  </si>
  <si>
    <t>5.71亿</t>
  </si>
  <si>
    <t>23.81亿</t>
  </si>
  <si>
    <t>5.40亿</t>
  </si>
  <si>
    <t>3.24亿</t>
  </si>
  <si>
    <t>128.75万</t>
  </si>
  <si>
    <t>3827.22万</t>
  </si>
  <si>
    <t>9.64万</t>
  </si>
  <si>
    <t>160131210亿</t>
  </si>
  <si>
    <t>15.57亿</t>
  </si>
  <si>
    <t>1213014350亿</t>
  </si>
  <si>
    <t>3242957100亿</t>
  </si>
  <si>
    <t>29.07亿</t>
  </si>
  <si>
    <t>1.00亿</t>
  </si>
  <si>
    <t>3.45亿</t>
  </si>
  <si>
    <t>10.91亿</t>
  </si>
  <si>
    <t>23.48亿</t>
  </si>
  <si>
    <t>19.76亿</t>
  </si>
  <si>
    <t>1.41亿</t>
  </si>
  <si>
    <t>-1.12亿</t>
  </si>
  <si>
    <t>-5.45亿</t>
  </si>
  <si>
    <t>5.63亿</t>
  </si>
  <si>
    <t>2.36亿</t>
  </si>
  <si>
    <t>10派1.7元(含税)</t>
  </si>
  <si>
    <t>2557.57万</t>
  </si>
  <si>
    <t>-1-0</t>
  </si>
  <si>
    <t>385.75万</t>
  </si>
  <si>
    <t>2.53亿</t>
  </si>
  <si>
    <t>7359.31万</t>
  </si>
  <si>
    <t>4162.86万</t>
  </si>
  <si>
    <t>-1857.91万</t>
  </si>
  <si>
    <t>5560.56万</t>
  </si>
  <si>
    <t>5117.41万</t>
  </si>
  <si>
    <t>309.99万</t>
  </si>
  <si>
    <t>-10898008亿</t>
  </si>
  <si>
    <t>2999.66万</t>
  </si>
  <si>
    <t>46101938亿</t>
  </si>
  <si>
    <t>1739.22万</t>
  </si>
  <si>
    <t>147959600亿</t>
  </si>
  <si>
    <t>8364.60万</t>
  </si>
  <si>
    <t>303.22万</t>
  </si>
  <si>
    <t>7708.84万</t>
  </si>
  <si>
    <t>520.00万</t>
  </si>
  <si>
    <t>1137.95万</t>
  </si>
  <si>
    <t>-259.71万</t>
  </si>
  <si>
    <t>-1180.42万</t>
  </si>
  <si>
    <t>-970.76万</t>
  </si>
  <si>
    <t>2907.40万</t>
  </si>
  <si>
    <t>-1146.55万</t>
  </si>
  <si>
    <t>2110.15万</t>
  </si>
  <si>
    <t>2.26亿</t>
  </si>
  <si>
    <t>1-0</t>
  </si>
  <si>
    <t>625.78万</t>
  </si>
  <si>
    <t>26.65亿</t>
  </si>
  <si>
    <t>26.13亿</t>
  </si>
  <si>
    <t>6.74亿</t>
  </si>
  <si>
    <t>35.27亿</t>
  </si>
  <si>
    <t>1.05亿</t>
  </si>
  <si>
    <t>5.91亿</t>
  </si>
  <si>
    <t>1558.37万</t>
  </si>
  <si>
    <t>4189.26万</t>
  </si>
  <si>
    <t>9204205亿</t>
  </si>
  <si>
    <t>16312597亿</t>
  </si>
  <si>
    <t>10.53亿</t>
  </si>
  <si>
    <t>655906690亿</t>
  </si>
  <si>
    <t>2395.97万</t>
  </si>
  <si>
    <t>3408227100亿</t>
  </si>
  <si>
    <t>4469.06万</t>
  </si>
  <si>
    <t>5.81亿</t>
  </si>
  <si>
    <t>5477.89万</t>
  </si>
  <si>
    <t>5.94亿</t>
  </si>
  <si>
    <t>39.48万</t>
  </si>
  <si>
    <t>17.42亿</t>
  </si>
  <si>
    <t>8.60亿</t>
  </si>
  <si>
    <t>-1.40亿</t>
  </si>
  <si>
    <t>-610.32万</t>
  </si>
  <si>
    <t>19.87亿</t>
  </si>
  <si>
    <t>1.59亿</t>
  </si>
  <si>
    <t>5.01亿</t>
  </si>
  <si>
    <t>1223.40万</t>
  </si>
  <si>
    <t>10派0.08元(含税)</t>
  </si>
  <si>
    <t>4061.53万</t>
  </si>
  <si>
    <t>3.19亿</t>
  </si>
  <si>
    <t>-4-0</t>
  </si>
  <si>
    <t>2105.87万</t>
  </si>
  <si>
    <t>5649.29万</t>
  </si>
  <si>
    <t>3668.79万</t>
  </si>
  <si>
    <t>-3494.59万</t>
  </si>
  <si>
    <t>4438.51万</t>
  </si>
  <si>
    <t>3416.58万</t>
  </si>
  <si>
    <t>129.45万</t>
  </si>
  <si>
    <t>816.18万</t>
  </si>
  <si>
    <t>7.48万</t>
  </si>
  <si>
    <t>-8195819亿</t>
  </si>
  <si>
    <t>3210.85万</t>
  </si>
  <si>
    <t>74688306亿</t>
  </si>
  <si>
    <t>587.59万</t>
  </si>
  <si>
    <t>161593490亿</t>
  </si>
  <si>
    <t>1841.30万</t>
  </si>
  <si>
    <t>7812.13万</t>
  </si>
  <si>
    <t>-333.88万</t>
  </si>
  <si>
    <t>-2.95万</t>
  </si>
  <si>
    <t>-23.42万</t>
  </si>
  <si>
    <t>1406.54万</t>
  </si>
  <si>
    <t>3263.85万</t>
  </si>
  <si>
    <t>-1250.32万</t>
  </si>
  <si>
    <t>6552.19万</t>
  </si>
  <si>
    <t>3.77亿</t>
  </si>
  <si>
    <t>-3-0</t>
  </si>
  <si>
    <t>459.34万</t>
  </si>
  <si>
    <t>13.11亿</t>
  </si>
  <si>
    <t>6.10亿</t>
  </si>
  <si>
    <t>9.81亿</t>
  </si>
  <si>
    <t>4317.66万</t>
  </si>
  <si>
    <t>1.28亿</t>
  </si>
  <si>
    <t>169.97万</t>
  </si>
  <si>
    <t>1727.58万</t>
  </si>
  <si>
    <t>1902823亿</t>
  </si>
  <si>
    <t>11498534亿</t>
  </si>
  <si>
    <t>9659.27万</t>
  </si>
  <si>
    <t>601291860亿</t>
  </si>
  <si>
    <t>1231614130亿</t>
  </si>
  <si>
    <t>4.23亿</t>
  </si>
  <si>
    <t>4.10亿</t>
  </si>
  <si>
    <t>12.78亿</t>
  </si>
  <si>
    <t>-3785.87万</t>
  </si>
  <si>
    <t>-745.17万</t>
  </si>
  <si>
    <t>744.42万</t>
  </si>
  <si>
    <t>6.69亿</t>
  </si>
  <si>
    <t>-3.19亿</t>
  </si>
  <si>
    <t>-617.60万</t>
  </si>
  <si>
    <t>10派0.882856元(含税)</t>
  </si>
  <si>
    <t>2992.53万</t>
  </si>
  <si>
    <t>2.89亿</t>
  </si>
  <si>
    <t>147.66万</t>
  </si>
  <si>
    <t>11.29亿</t>
  </si>
  <si>
    <t>11.20亿</t>
  </si>
  <si>
    <t>1.16亿</t>
  </si>
  <si>
    <t>-1.28亿</t>
  </si>
  <si>
    <t>1.30亿</t>
  </si>
  <si>
    <t>8005.34万</t>
  </si>
  <si>
    <t>2820.09万</t>
  </si>
  <si>
    <t>910661亿</t>
  </si>
  <si>
    <t>-12338125亿</t>
  </si>
  <si>
    <t>40443589亿</t>
  </si>
  <si>
    <t>340021500亿</t>
  </si>
  <si>
    <t>10.65亿</t>
  </si>
  <si>
    <t>1.21亿</t>
  </si>
  <si>
    <t>2.94亿</t>
  </si>
  <si>
    <t>6.35亿</t>
  </si>
  <si>
    <t>2.48亿</t>
  </si>
  <si>
    <t>6237.83万</t>
  </si>
  <si>
    <t>-1.32亿</t>
  </si>
  <si>
    <t>-2212.67万</t>
  </si>
  <si>
    <t>4106.95万</t>
  </si>
  <si>
    <t>209.96万</t>
  </si>
  <si>
    <t>728.49万</t>
  </si>
  <si>
    <t>8509.07万</t>
  </si>
  <si>
    <t>-2-0</t>
  </si>
  <si>
    <t>497.63万</t>
  </si>
  <si>
    <t>36.64亿</t>
  </si>
  <si>
    <t>43.36亿</t>
  </si>
  <si>
    <t>-2.46亿</t>
  </si>
  <si>
    <t>2.81亿</t>
  </si>
  <si>
    <t>60.03万</t>
  </si>
  <si>
    <t>1673.43万</t>
  </si>
  <si>
    <t>1635476亿</t>
  </si>
  <si>
    <t>-17422946亿</t>
  </si>
  <si>
    <t>6.58亿</t>
  </si>
  <si>
    <t>29026978亿</t>
  </si>
  <si>
    <t>2060313000亿</t>
  </si>
  <si>
    <t>9.19亿</t>
  </si>
  <si>
    <t>2.21亿</t>
  </si>
  <si>
    <t>1.02亿</t>
  </si>
  <si>
    <t>5352.18万</t>
  </si>
  <si>
    <t>12.00亿</t>
  </si>
  <si>
    <t>-7.68亿</t>
  </si>
  <si>
    <t>4.45亿</t>
  </si>
  <si>
    <t>20.45亿</t>
  </si>
  <si>
    <t>4114.29万</t>
  </si>
  <si>
    <t>1017.70万</t>
  </si>
  <si>
    <t>1363.24万</t>
  </si>
  <si>
    <t>9668.98万</t>
  </si>
  <si>
    <t>-1-1</t>
  </si>
  <si>
    <t>5822.01万</t>
  </si>
  <si>
    <t>301.92亿</t>
  </si>
  <si>
    <t>291.54亿</t>
  </si>
  <si>
    <t>100.41亿</t>
  </si>
  <si>
    <t>-815.87万</t>
  </si>
  <si>
    <t>-9766376亿</t>
  </si>
  <si>
    <t>285.26万</t>
  </si>
  <si>
    <t>774279200亿</t>
  </si>
  <si>
    <t>62.31亿</t>
  </si>
  <si>
    <t>2221527500亿</t>
  </si>
  <si>
    <t>14874558000亿</t>
  </si>
  <si>
    <t>52.68亿</t>
  </si>
  <si>
    <t>35.87亿</t>
  </si>
  <si>
    <t>17.11亿</t>
  </si>
  <si>
    <t>-5.21亿</t>
  </si>
  <si>
    <t>4.68亿</t>
  </si>
  <si>
    <t>594.09亿</t>
  </si>
  <si>
    <t>113.37亿</t>
  </si>
  <si>
    <t>614.75亿</t>
  </si>
  <si>
    <t>2.50亿</t>
  </si>
  <si>
    <t>51.73亿</t>
  </si>
  <si>
    <t>-913.74万</t>
  </si>
  <si>
    <t>10派7元(含税)</t>
  </si>
  <si>
    <t>20.69亿</t>
  </si>
  <si>
    <t>2212.49万</t>
  </si>
  <si>
    <t>814.07亿</t>
  </si>
  <si>
    <t>264.10亿</t>
  </si>
  <si>
    <t>147.33亿</t>
  </si>
  <si>
    <t>359.07亿</t>
  </si>
  <si>
    <t>-60.28亿</t>
  </si>
  <si>
    <t>142.10亿</t>
  </si>
  <si>
    <t>134.12亿</t>
  </si>
  <si>
    <t>1902.17万</t>
  </si>
  <si>
    <t>5.99亿</t>
  </si>
  <si>
    <t>2029647亿</t>
  </si>
  <si>
    <t>1038.11万</t>
  </si>
  <si>
    <t>223036470亿</t>
  </si>
  <si>
    <t>274.32亿</t>
  </si>
  <si>
    <t>11674291100亿</t>
  </si>
  <si>
    <t>97665873000亿</t>
  </si>
  <si>
    <t>5670.04万</t>
  </si>
  <si>
    <t>83.29亿</t>
  </si>
  <si>
    <t>313.68亿</t>
  </si>
  <si>
    <t>751.90亿</t>
  </si>
  <si>
    <t>20.00亿</t>
  </si>
  <si>
    <t>-62.43亿</t>
  </si>
  <si>
    <t>-5469.38万</t>
  </si>
  <si>
    <t>-3302.55万</t>
  </si>
  <si>
    <t>835.90亿</t>
  </si>
  <si>
    <t>7.24亿</t>
  </si>
  <si>
    <t>803.43亿</t>
  </si>
  <si>
    <t>58.76亿</t>
  </si>
  <si>
    <t>7.46亿</t>
  </si>
  <si>
    <t>7.38亿</t>
  </si>
  <si>
    <t>10派0.41元(含税)</t>
  </si>
  <si>
    <t>8.66亿</t>
  </si>
  <si>
    <t>1590.95万</t>
  </si>
  <si>
    <t>164.73亿</t>
  </si>
  <si>
    <t>272.60亿</t>
  </si>
  <si>
    <t>56.72亿</t>
  </si>
  <si>
    <t>296.61亿</t>
  </si>
  <si>
    <t>14.71亿</t>
  </si>
  <si>
    <t>51.97亿</t>
  </si>
  <si>
    <t>51.10亿</t>
  </si>
  <si>
    <t>288.20万</t>
  </si>
  <si>
    <t>6102.56万</t>
  </si>
  <si>
    <t>89383100亿</t>
  </si>
  <si>
    <t>289.97万</t>
  </si>
  <si>
    <t>399824900亿</t>
  </si>
  <si>
    <t>70.78亿</t>
  </si>
  <si>
    <t>4326547200亿</t>
  </si>
  <si>
    <t>25823571000亿</t>
  </si>
  <si>
    <t>4.13亿</t>
  </si>
  <si>
    <t>112.97亿</t>
  </si>
  <si>
    <t>899.36万</t>
  </si>
  <si>
    <t>161.35亿</t>
  </si>
  <si>
    <t>2.20亿</t>
  </si>
  <si>
    <t>25.61亿</t>
  </si>
  <si>
    <t>-2254.38万</t>
  </si>
  <si>
    <t>293.58亿</t>
  </si>
  <si>
    <t>14.59亿</t>
  </si>
  <si>
    <t>307.52亿</t>
  </si>
  <si>
    <t>58.60亿</t>
  </si>
  <si>
    <t>16.21亿</t>
  </si>
  <si>
    <t>10派1.47元(含税)</t>
  </si>
  <si>
    <t>2-1</t>
  </si>
  <si>
    <t>洲际油气</t>
  </si>
  <si>
    <t>1490.58万</t>
  </si>
  <si>
    <t>47.75亿</t>
  </si>
  <si>
    <t>82.03亿</t>
  </si>
  <si>
    <t>462.48亿</t>
  </si>
  <si>
    <t>30.07亿</t>
  </si>
  <si>
    <t>2.65亿</t>
  </si>
  <si>
    <t>794.90万</t>
  </si>
  <si>
    <t>5469.85万</t>
  </si>
  <si>
    <t>-176101亿</t>
  </si>
  <si>
    <t>94.34万</t>
  </si>
  <si>
    <t>96181486亿</t>
  </si>
  <si>
    <t>9.49亿</t>
  </si>
  <si>
    <t>171513250亿</t>
  </si>
  <si>
    <t>2019260300亿</t>
  </si>
  <si>
    <t>3981.39万</t>
  </si>
  <si>
    <t>10.03亿</t>
  </si>
  <si>
    <t>6.39亿</t>
  </si>
  <si>
    <t>2082.71万</t>
  </si>
  <si>
    <t>1355.50万</t>
  </si>
  <si>
    <t>-3.18亿</t>
  </si>
  <si>
    <t>28.36亿</t>
  </si>
  <si>
    <t>-7.39亿</t>
  </si>
  <si>
    <t>27.26亿</t>
  </si>
  <si>
    <t>91.75亿</t>
  </si>
  <si>
    <t>12.70亿</t>
  </si>
  <si>
    <t>6.42亿</t>
  </si>
  <si>
    <t>9692.28万</t>
  </si>
  <si>
    <t>-2-1</t>
  </si>
  <si>
    <t>ST新潮</t>
  </si>
  <si>
    <t>9979.55万</t>
  </si>
  <si>
    <t>134.73亿</t>
  </si>
  <si>
    <t>204.52亿</t>
  </si>
  <si>
    <t>21.35亿</t>
  </si>
  <si>
    <t>17.21亿</t>
  </si>
  <si>
    <t>13.56亿</t>
  </si>
  <si>
    <t>9.94亿</t>
  </si>
  <si>
    <t>1.78亿</t>
  </si>
  <si>
    <t>13.45万</t>
  </si>
  <si>
    <t>612741760亿</t>
  </si>
  <si>
    <t>4564413700亿</t>
  </si>
  <si>
    <t>6.93亿</t>
  </si>
  <si>
    <t>27.34亿</t>
  </si>
  <si>
    <t>16.10亿</t>
  </si>
  <si>
    <t>-6.64亿</t>
  </si>
  <si>
    <t>-1.69亿</t>
  </si>
  <si>
    <t>93.57亿</t>
  </si>
  <si>
    <t>31.27亿</t>
  </si>
  <si>
    <t>88.49亿</t>
  </si>
  <si>
    <t>5.42亿</t>
  </si>
  <si>
    <t>25.96亿</t>
  </si>
  <si>
    <t>4624.24万</t>
  </si>
  <si>
    <t>21.49亿</t>
  </si>
  <si>
    <t>3582.09万</t>
  </si>
  <si>
    <t>671.40亿</t>
  </si>
  <si>
    <t>83.90亿</t>
  </si>
  <si>
    <t>185.33亿</t>
  </si>
  <si>
    <t>51.39亿</t>
  </si>
  <si>
    <t>183.29亿</t>
  </si>
  <si>
    <t>170.66亿</t>
  </si>
  <si>
    <t>1272.80万</t>
  </si>
  <si>
    <t>4.65亿</t>
  </si>
  <si>
    <t>9188000亿</t>
  </si>
  <si>
    <t>1005.40万</t>
  </si>
  <si>
    <t>135847000亿</t>
  </si>
  <si>
    <t>18.50亿</t>
  </si>
  <si>
    <t>9771405000亿</t>
  </si>
  <si>
    <t>40112343000亿</t>
  </si>
  <si>
    <t>6.20亿</t>
  </si>
  <si>
    <t>203.20亿</t>
  </si>
  <si>
    <t>88.00亿</t>
  </si>
  <si>
    <t>263.18亿</t>
  </si>
  <si>
    <t>651.04亿</t>
  </si>
  <si>
    <t>2.77亿</t>
  </si>
  <si>
    <t>-7.65亿</t>
  </si>
  <si>
    <t>8126.00万</t>
  </si>
  <si>
    <t>737.73亿</t>
  </si>
  <si>
    <t>799.81亿</t>
  </si>
  <si>
    <t>13.67亿</t>
  </si>
  <si>
    <t>5.89亿</t>
  </si>
  <si>
    <t>1.50亿</t>
  </si>
  <si>
    <t>2.07亿</t>
  </si>
  <si>
    <t>14.35亿</t>
  </si>
  <si>
    <t>01697000000</t>
  </si>
  <si>
    <t>05091000000</t>
  </si>
  <si>
    <t>010182000000</t>
  </si>
  <si>
    <t>016970000000</t>
  </si>
  <si>
    <t>033940000000</t>
  </si>
  <si>
    <t>5612.40万</t>
  </si>
  <si>
    <t>3377.22亿</t>
  </si>
  <si>
    <t>7080.79亿</t>
  </si>
  <si>
    <t>1114.68亿</t>
  </si>
  <si>
    <t>446.98亿</t>
  </si>
  <si>
    <t>3759.41万</t>
  </si>
  <si>
    <t>595.20亿</t>
  </si>
  <si>
    <t>519.14亿</t>
  </si>
  <si>
    <t>8.84亿</t>
  </si>
  <si>
    <t>577000000亿</t>
  </si>
  <si>
    <t>3900.00万</t>
  </si>
  <si>
    <t>39475000000亿</t>
  </si>
  <si>
    <t>1833.79亿</t>
  </si>
  <si>
    <t>42627000000亿</t>
  </si>
  <si>
    <t>288758000000亿</t>
  </si>
  <si>
    <t>16.23亿</t>
  </si>
  <si>
    <t>642.23亿</t>
  </si>
  <si>
    <t>1319.40亿</t>
  </si>
  <si>
    <t>117.71亿</t>
  </si>
  <si>
    <t>599.78亿</t>
  </si>
  <si>
    <t>-338.84亿</t>
  </si>
  <si>
    <t>-11.56亿</t>
  </si>
  <si>
    <t>4222.30亿</t>
  </si>
  <si>
    <t>1417.00亿</t>
  </si>
  <si>
    <t>4166.09亿</t>
  </si>
  <si>
    <t>110.04亿</t>
  </si>
  <si>
    <t>1238.43亿</t>
  </si>
  <si>
    <t>5795.83万</t>
  </si>
  <si>
    <t>10派6.0036元(含税)</t>
  </si>
  <si>
    <t>2.55亿</t>
  </si>
  <si>
    <t>15.08亿</t>
  </si>
  <si>
    <t>3-0</t>
  </si>
  <si>
    <t>2501.29万</t>
  </si>
  <si>
    <t>196.01亿</t>
  </si>
  <si>
    <t>258.65亿</t>
  </si>
  <si>
    <t>92.07亿</t>
  </si>
  <si>
    <t>39.20亿</t>
  </si>
  <si>
    <t>-6170.18万</t>
  </si>
  <si>
    <t>87.16亿</t>
  </si>
  <si>
    <t>81.13亿</t>
  </si>
  <si>
    <t>5692.19万</t>
  </si>
  <si>
    <t>3.64亿</t>
  </si>
  <si>
    <t>69100330亿</t>
  </si>
  <si>
    <t>1461.52万</t>
  </si>
  <si>
    <t>437973210亿</t>
  </si>
  <si>
    <t>46.64亿</t>
  </si>
  <si>
    <t>8596744400亿</t>
  </si>
  <si>
    <t>22229416000亿</t>
  </si>
  <si>
    <t>14.29亿</t>
  </si>
  <si>
    <t>4132.93万</t>
  </si>
  <si>
    <t>722.34万</t>
  </si>
  <si>
    <t>91.62亿</t>
  </si>
  <si>
    <t>2210.21万</t>
  </si>
  <si>
    <t>134.97亿</t>
  </si>
  <si>
    <t>16.35亿</t>
  </si>
  <si>
    <t>-10.46亿</t>
  </si>
  <si>
    <t>-20.36亿</t>
  </si>
  <si>
    <t>1316.45万</t>
  </si>
  <si>
    <t>477.84亿</t>
  </si>
  <si>
    <t>24.16亿</t>
  </si>
  <si>
    <t>493.08亿</t>
  </si>
  <si>
    <t>10.15亿</t>
  </si>
  <si>
    <t>30.81亿</t>
  </si>
  <si>
    <t>1952.72万</t>
  </si>
  <si>
    <t>10派1.1元(含税)</t>
  </si>
  <si>
    <t>1.87亿</t>
  </si>
  <si>
    <t>13.09亿</t>
  </si>
  <si>
    <t>755.59万</t>
  </si>
  <si>
    <t>409.90亿</t>
  </si>
  <si>
    <t>429.98亿</t>
  </si>
  <si>
    <t>101.48亿</t>
  </si>
  <si>
    <t>118.68亿</t>
  </si>
  <si>
    <t>15.79亿</t>
  </si>
  <si>
    <t>92.57亿</t>
  </si>
  <si>
    <t>84.84亿</t>
  </si>
  <si>
    <t>78.22万</t>
  </si>
  <si>
    <t>36401842亿</t>
  </si>
  <si>
    <t>622.15万</t>
  </si>
  <si>
    <t>655700000亿</t>
  </si>
  <si>
    <t>44.44亿</t>
  </si>
  <si>
    <t>16189632000亿</t>
  </si>
  <si>
    <t>7567.36万</t>
  </si>
  <si>
    <t>29216760000亿</t>
  </si>
  <si>
    <t>27.70亿</t>
  </si>
  <si>
    <t>48.64亿</t>
  </si>
  <si>
    <t>121.68亿</t>
  </si>
  <si>
    <t>220.16亿</t>
  </si>
  <si>
    <t>28.03亿</t>
  </si>
  <si>
    <t>-8.35亿</t>
  </si>
  <si>
    <t>-3.34亿</t>
  </si>
  <si>
    <t>-9.23亿</t>
  </si>
  <si>
    <t>356.59亿</t>
  </si>
  <si>
    <t>23.59亿</t>
  </si>
  <si>
    <t>441.09亿</t>
  </si>
  <si>
    <t>23.11亿</t>
  </si>
  <si>
    <t>30.13亿</t>
  </si>
  <si>
    <t>10派2.1元(含税)</t>
  </si>
  <si>
    <t>4011.64万</t>
  </si>
  <si>
    <t>2.29亿</t>
  </si>
  <si>
    <t>01579000000</t>
  </si>
  <si>
    <t>04737000000</t>
  </si>
  <si>
    <t>09474000000</t>
  </si>
  <si>
    <t>015790000000</t>
  </si>
  <si>
    <t>031580000000</t>
  </si>
  <si>
    <t>336.40万</t>
  </si>
  <si>
    <t>66.65亿</t>
  </si>
  <si>
    <t>82.34亿</t>
  </si>
  <si>
    <t>11.31亿</t>
  </si>
  <si>
    <t>22.51亿</t>
  </si>
  <si>
    <t>8991.83万</t>
  </si>
  <si>
    <t>7.97亿</t>
  </si>
  <si>
    <t>7.05亿</t>
  </si>
  <si>
    <t>1327.35万</t>
  </si>
  <si>
    <t>4471.19万</t>
  </si>
  <si>
    <t>-27768547亿</t>
  </si>
  <si>
    <t>155.03万</t>
  </si>
  <si>
    <t>332169780亿</t>
  </si>
  <si>
    <t>32.78亿</t>
  </si>
  <si>
    <t>741967150亿</t>
  </si>
  <si>
    <t>400.00万</t>
  </si>
  <si>
    <t>5322998600亿</t>
  </si>
  <si>
    <t>20.09亿</t>
  </si>
  <si>
    <t>26.15亿</t>
  </si>
  <si>
    <t>32.61亿</t>
  </si>
  <si>
    <t>4.30亿</t>
  </si>
  <si>
    <t>-3.33亿</t>
  </si>
  <si>
    <t>34.16亿</t>
  </si>
  <si>
    <t>9.23亿</t>
  </si>
  <si>
    <t>35.17亿</t>
  </si>
  <si>
    <t>5.16亿</t>
  </si>
  <si>
    <t>10.48亿</t>
  </si>
  <si>
    <t>2608.67万</t>
  </si>
  <si>
    <t>10派9元(含税)</t>
  </si>
  <si>
    <t>2093.12万</t>
  </si>
  <si>
    <t>9651.01万</t>
  </si>
  <si>
    <t>1-1</t>
  </si>
  <si>
    <t>364.59万</t>
  </si>
  <si>
    <t>62.70亿</t>
  </si>
  <si>
    <t>30.18亿</t>
  </si>
  <si>
    <t>8.07亿</t>
  </si>
  <si>
    <t>25.97亿</t>
  </si>
  <si>
    <t>-2.81亿</t>
  </si>
  <si>
    <t>4.36亿</t>
  </si>
  <si>
    <t>1341.07万</t>
  </si>
  <si>
    <t>4044.49万</t>
  </si>
  <si>
    <t>57.82万</t>
  </si>
  <si>
    <t>170210710亿</t>
  </si>
  <si>
    <t>11.74亿</t>
  </si>
  <si>
    <t>710237070亿</t>
  </si>
  <si>
    <t>1328.33万</t>
  </si>
  <si>
    <t>3354159200亿</t>
  </si>
  <si>
    <t>13.48亿</t>
  </si>
  <si>
    <t>2.41亿</t>
  </si>
  <si>
    <t>9.54亿</t>
  </si>
  <si>
    <t>25.99万</t>
  </si>
  <si>
    <t>42.58亿</t>
  </si>
  <si>
    <t>14.56亿</t>
  </si>
  <si>
    <t>2249.21万</t>
  </si>
  <si>
    <t>31.99亿</t>
  </si>
  <si>
    <t>17.62亿</t>
  </si>
  <si>
    <t>4.82亿</t>
  </si>
  <si>
    <t>7398.10万</t>
  </si>
  <si>
    <t>37.32亿</t>
  </si>
  <si>
    <t>8.10亿</t>
  </si>
  <si>
    <t>-8366.40万</t>
  </si>
  <si>
    <t>10派6.2元(含税)</t>
  </si>
  <si>
    <t>2469.09万</t>
  </si>
  <si>
    <t>2.46亿</t>
  </si>
  <si>
    <t>703.69万</t>
  </si>
  <si>
    <t>15.89亿</t>
  </si>
  <si>
    <t>32.16亿</t>
  </si>
  <si>
    <t>4.97亿</t>
  </si>
  <si>
    <t>25.43亿</t>
  </si>
  <si>
    <t>4.12亿</t>
  </si>
  <si>
    <t>419.29万</t>
  </si>
  <si>
    <t>1509.29万</t>
  </si>
  <si>
    <t>-5537630亿</t>
  </si>
  <si>
    <t>3.08万</t>
  </si>
  <si>
    <t>48987826亿</t>
  </si>
  <si>
    <t>16.55亿</t>
  </si>
  <si>
    <t>280501560亿</t>
  </si>
  <si>
    <t>3073048600亿</t>
  </si>
  <si>
    <t>5022.64万</t>
  </si>
  <si>
    <t>2.98亿</t>
  </si>
  <si>
    <t>5.90亿</t>
  </si>
  <si>
    <t>13.13亿</t>
  </si>
  <si>
    <t>-1.08亿</t>
  </si>
  <si>
    <t>-2975.77万</t>
  </si>
  <si>
    <t>-2.35亿</t>
  </si>
  <si>
    <t>32.17亿</t>
  </si>
  <si>
    <t>6461.73万</t>
  </si>
  <si>
    <t>17.99亿</t>
  </si>
  <si>
    <t>-7547.70万</t>
  </si>
  <si>
    <t>3248.85万</t>
  </si>
  <si>
    <t>1976.54万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</si>
</sst>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7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292100</xdr:colOff>
          <xdr:row>0</xdr:row>
          <xdr:rowOff>50800</xdr:rowOff>
        </xdr:from>
        <xdr:to>
          <xdr:col>147</xdr:col>
          <xdr:colOff>1168400</xdr:colOff>
          <xdr:row>0</xdr:row>
          <xdr:rowOff>368300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EP60"/>
  <sheetViews>
    <sheetView tabSelected="1" zoomScale="85" zoomScaleNormal="85" workbookViewId="0">
      <pane xSplit="5" ySplit="1" topLeftCell="F17" activePane="bottomRight" state="frozen"/>
      <selection pane="topRight" activeCell="F1" sqref="F1"/>
      <selection pane="bottomLeft" activeCell="A2" sqref="A2"/>
      <selection pane="bottomRight" activeCell="D21" sqref="D21:EP21"/>
    </sheetView>
  </sheetViews>
  <sheetFormatPr defaultRowHeight="14" x14ac:dyDescent="0.25"/>
  <cols>
    <col min="1" max="1" width="25.54296875" customWidth="1"/>
    <col min="2" max="2" width="28.54296875" customWidth="1"/>
    <col min="3" max="3" width="43.08984375" customWidth="1"/>
    <col min="148" max="148" width="21.54296875" customWidth="1"/>
  </cols>
  <sheetData>
    <row r="1" spans="1:146" s="3" customFormat="1" ht="35" customHeight="1" x14ac:dyDescent="0.25">
      <c r="A1" s="4" t="s">
        <v>6</v>
      </c>
      <c r="B1" s="5" t="s">
        <v>7</v>
      </c>
      <c r="C1" s="4" t="s">
        <v>8</v>
      </c>
      <c r="D1" t="s">
        <v>9</v>
      </c>
      <c r="E1" t="s">
        <v>261</v>
      </c>
      <c r="F1" t="s">
        <v>3</v>
      </c>
      <c r="G1" t="s">
        <v>338</v>
      </c>
      <c r="H1" t="s">
        <v>339</v>
      </c>
      <c r="I1" t="s">
        <v>10</v>
      </c>
      <c r="J1" t="s">
        <v>11</v>
      </c>
      <c r="K1" t="s">
        <v>4</v>
      </c>
      <c r="L1" t="s">
        <v>12</v>
      </c>
      <c r="M1" t="s">
        <v>13</v>
      </c>
      <c r="N1" t="s">
        <v>14</v>
      </c>
      <c r="O1" t="s">
        <v>15</v>
      </c>
      <c r="P1" t="s">
        <v>340</v>
      </c>
      <c r="Q1" t="s">
        <v>262</v>
      </c>
      <c r="R1" t="s">
        <v>263</v>
      </c>
      <c r="S1" t="s">
        <v>16</v>
      </c>
      <c r="T1" t="s">
        <v>341</v>
      </c>
      <c r="U1" t="s">
        <v>207</v>
      </c>
      <c r="V1" t="s">
        <v>17</v>
      </c>
      <c r="W1" t="s">
        <v>264</v>
      </c>
      <c r="X1" t="s">
        <v>265</v>
      </c>
      <c r="Y1" t="s">
        <v>266</v>
      </c>
      <c r="Z1" t="s">
        <v>267</v>
      </c>
      <c r="AA1" t="s">
        <v>268</v>
      </c>
      <c r="AB1" t="s">
        <v>342</v>
      </c>
      <c r="AC1" t="s">
        <v>269</v>
      </c>
      <c r="AD1" t="s">
        <v>270</v>
      </c>
      <c r="AE1" t="s">
        <v>18</v>
      </c>
      <c r="AF1" t="s">
        <v>19</v>
      </c>
      <c r="AG1" t="s">
        <v>343</v>
      </c>
      <c r="AH1" t="s">
        <v>271</v>
      </c>
      <c r="AI1" t="s">
        <v>344</v>
      </c>
      <c r="AJ1" t="s">
        <v>20</v>
      </c>
      <c r="AK1" t="s">
        <v>345</v>
      </c>
      <c r="AL1" t="s">
        <v>28</v>
      </c>
      <c r="AM1" t="s">
        <v>346</v>
      </c>
      <c r="AN1" t="s">
        <v>347</v>
      </c>
      <c r="AO1" t="s">
        <v>348</v>
      </c>
      <c r="AP1" t="s">
        <v>349</v>
      </c>
      <c r="AQ1" t="s">
        <v>350</v>
      </c>
      <c r="AR1" t="s">
        <v>351</v>
      </c>
      <c r="AS1" t="s">
        <v>352</v>
      </c>
      <c r="AT1" t="s">
        <v>353</v>
      </c>
      <c r="AU1" t="s">
        <v>354</v>
      </c>
      <c r="AV1" t="s">
        <v>355</v>
      </c>
      <c r="AW1" t="s">
        <v>356</v>
      </c>
      <c r="AX1" t="s">
        <v>272</v>
      </c>
      <c r="AY1" t="s">
        <v>29</v>
      </c>
      <c r="AZ1" t="s">
        <v>30</v>
      </c>
      <c r="BA1" t="s">
        <v>31</v>
      </c>
      <c r="BB1" t="s">
        <v>32</v>
      </c>
      <c r="BC1" t="s">
        <v>208</v>
      </c>
      <c r="BD1" t="s">
        <v>33</v>
      </c>
      <c r="BE1" t="s">
        <v>34</v>
      </c>
      <c r="BF1" t="s">
        <v>35</v>
      </c>
      <c r="BG1" t="s">
        <v>36</v>
      </c>
      <c r="BH1" t="s">
        <v>357</v>
      </c>
      <c r="BI1" t="s">
        <v>358</v>
      </c>
      <c r="BJ1" t="s">
        <v>359</v>
      </c>
      <c r="BK1" t="s">
        <v>360</v>
      </c>
      <c r="BL1" t="s">
        <v>361</v>
      </c>
      <c r="BM1" t="s">
        <v>362</v>
      </c>
      <c r="BN1" t="s">
        <v>273</v>
      </c>
      <c r="BO1" t="s">
        <v>209</v>
      </c>
      <c r="BP1" t="s">
        <v>37</v>
      </c>
      <c r="BQ1" t="s">
        <v>274</v>
      </c>
      <c r="BR1" t="s">
        <v>210</v>
      </c>
      <c r="BS1" t="s">
        <v>38</v>
      </c>
      <c r="BT1" t="s">
        <v>363</v>
      </c>
      <c r="BU1" t="s">
        <v>275</v>
      </c>
      <c r="BV1" t="s">
        <v>364</v>
      </c>
      <c r="BW1" t="s">
        <v>60</v>
      </c>
      <c r="BX1" t="s">
        <v>39</v>
      </c>
      <c r="BY1" t="s">
        <v>365</v>
      </c>
      <c r="BZ1" t="s">
        <v>61</v>
      </c>
      <c r="CA1" t="s">
        <v>40</v>
      </c>
      <c r="CB1" t="s">
        <v>366</v>
      </c>
      <c r="CC1" t="s">
        <v>367</v>
      </c>
      <c r="CD1" t="s">
        <v>368</v>
      </c>
      <c r="CE1" t="s">
        <v>369</v>
      </c>
      <c r="CF1" s="1" t="s">
        <v>276</v>
      </c>
      <c r="CG1" s="1" t="s">
        <v>277</v>
      </c>
      <c r="CH1" s="1" t="s">
        <v>46</v>
      </c>
      <c r="CI1" s="1" t="s">
        <v>47</v>
      </c>
      <c r="CJ1" s="1" t="s">
        <v>48</v>
      </c>
      <c r="CK1" s="1" t="s">
        <v>49</v>
      </c>
      <c r="CL1" s="1" t="s">
        <v>50</v>
      </c>
      <c r="CM1" s="1" t="s">
        <v>51</v>
      </c>
      <c r="CN1" s="1" t="s">
        <v>52</v>
      </c>
      <c r="CO1" s="1" t="s">
        <v>53</v>
      </c>
      <c r="CP1" s="1" t="s">
        <v>54</v>
      </c>
      <c r="CQ1" s="1" t="s">
        <v>55</v>
      </c>
      <c r="CR1" s="1" t="s">
        <v>386</v>
      </c>
      <c r="CS1" s="1" t="s">
        <v>387</v>
      </c>
      <c r="CT1" s="1" t="s">
        <v>370</v>
      </c>
      <c r="CU1" s="1" t="s">
        <v>278</v>
      </c>
      <c r="CV1" s="1" t="s">
        <v>388</v>
      </c>
      <c r="CW1" s="1" t="s">
        <v>389</v>
      </c>
      <c r="CX1">
        <v>1</v>
      </c>
      <c r="CY1" t="s">
        <v>371</v>
      </c>
      <c r="CZ1" t="s">
        <v>390</v>
      </c>
      <c r="DA1">
        <v>3</v>
      </c>
      <c r="DB1" t="s">
        <v>391</v>
      </c>
      <c r="DC1" t="s">
        <v>392</v>
      </c>
      <c r="DD1">
        <v>6</v>
      </c>
      <c r="DE1" t="s">
        <v>372</v>
      </c>
      <c r="DF1" t="s">
        <v>373</v>
      </c>
      <c r="DG1">
        <v>10</v>
      </c>
      <c r="DH1" t="s">
        <v>374</v>
      </c>
      <c r="DI1" t="s">
        <v>393</v>
      </c>
      <c r="DJ1">
        <v>20</v>
      </c>
      <c r="DK1" t="s">
        <v>394</v>
      </c>
      <c r="DL1" t="s">
        <v>56</v>
      </c>
      <c r="DM1" t="s">
        <v>57</v>
      </c>
      <c r="DN1" s="2" t="s">
        <v>58</v>
      </c>
      <c r="DO1" t="s">
        <v>375</v>
      </c>
      <c r="DP1" t="s">
        <v>395</v>
      </c>
      <c r="DQ1" s="9" t="s">
        <v>376</v>
      </c>
      <c r="DR1" s="1" t="s">
        <v>377</v>
      </c>
      <c r="DS1" s="1" t="s">
        <v>396</v>
      </c>
      <c r="DT1" t="s">
        <v>397</v>
      </c>
      <c r="DU1" t="s">
        <v>398</v>
      </c>
      <c r="DV1" t="s">
        <v>399</v>
      </c>
      <c r="DW1" t="s">
        <v>400</v>
      </c>
      <c r="DX1" t="s">
        <v>279</v>
      </c>
      <c r="DY1" t="s">
        <v>378</v>
      </c>
      <c r="DZ1" t="s">
        <v>379</v>
      </c>
      <c r="EA1" t="s">
        <v>401</v>
      </c>
      <c r="EB1" t="s">
        <v>280</v>
      </c>
      <c r="EC1" t="s">
        <v>380</v>
      </c>
      <c r="ED1" t="s">
        <v>402</v>
      </c>
      <c r="EE1" t="s">
        <v>403</v>
      </c>
      <c r="EF1" t="s">
        <v>381</v>
      </c>
      <c r="EG1" t="s">
        <v>404</v>
      </c>
      <c r="EH1" t="s">
        <v>281</v>
      </c>
      <c r="EI1" t="s">
        <v>382</v>
      </c>
      <c r="EJ1"/>
      <c r="EK1" s="10" t="s">
        <v>383</v>
      </c>
      <c r="EL1" t="s">
        <v>405</v>
      </c>
      <c r="EM1" t="s">
        <v>406</v>
      </c>
      <c r="EN1" t="s">
        <v>384</v>
      </c>
      <c r="EO1" t="s">
        <v>407</v>
      </c>
      <c r="EP1" t="s">
        <v>385</v>
      </c>
    </row>
    <row r="2" spans="1:146" ht="156" hidden="1" x14ac:dyDescent="0.25">
      <c r="A2" s="8"/>
      <c r="B2" s="8"/>
      <c r="C2" s="8" t="str">
        <f>"公司主营业务是煤矿瓦斯治理及煤层气勘探、开发与利用业务。主导产品为煤层气(煤矿瓦斯)等。公司与中国矿业大学、煤炭科学研究总院西安分院等科研院校合作建设了“煤层气开发工程产学研基地”，成立了开发利用工程技术研究中心，建立了全国第一个瓦斯综合治理示范基地。"&amp;CHAR(10)&amp;Basic_Fundamental_Information_Constructure(F2)&amp;CHAR(10)&amp;Basic_Fundamental_Information_Concatenate("煤层气销售 10.95亿 97.05% 108.33% 42.54%
气井建造工程 2015.88万 1.79% -7.19% -153.40%")</f>
        <v>公司主营业务是煤矿瓦斯治理及煤层气勘探、开发与利用业务。主导产品为煤层气(煤矿瓦斯)等。公司与中国矿业大学、煤炭科学研究总院西安分院等科研院校合作建设了“煤层气开发工程产学研基地”，成立了开发利用工程技术研究中心，建立了全国第一个瓦斯综合治理示范基地。
市值61.533169亿, 利润5.40亿; PE13.28; 平均PE13.33; 平均PEG4.12, PB1.06; ROIC5.84%; ROE8.6633%; 股利率2.673%; 毛利36.4367%; 净利19.62%; 上一年度营收增-4.84%, 利润增-4.09%; 当季营收增0%, 利润增-32.41%; 过往5年营收增3.23%, 利润增25.8%
Income profile:
煤层气销售 10.95亿 97.05% 108.33% 42.54%
气井建造工程 2015.88万 1.79% -7.19% -153.40%</v>
      </c>
      <c r="D2" t="s">
        <v>69</v>
      </c>
      <c r="E2" t="s">
        <v>70</v>
      </c>
      <c r="F2">
        <v>6.36</v>
      </c>
      <c r="G2">
        <v>-0.63</v>
      </c>
      <c r="H2" t="s">
        <v>420</v>
      </c>
      <c r="I2">
        <v>6153316900</v>
      </c>
      <c r="J2">
        <v>13.28</v>
      </c>
      <c r="K2">
        <v>1.06</v>
      </c>
      <c r="L2" t="s">
        <v>71</v>
      </c>
      <c r="M2" t="s">
        <v>421</v>
      </c>
      <c r="N2" t="s">
        <v>422</v>
      </c>
      <c r="O2" t="s">
        <v>423</v>
      </c>
      <c r="P2">
        <v>-0.11</v>
      </c>
      <c r="Q2" t="s">
        <v>424</v>
      </c>
      <c r="R2">
        <v>159512840</v>
      </c>
      <c r="S2" s="6">
        <v>-0.32519999999999999</v>
      </c>
      <c r="T2" t="s">
        <v>425</v>
      </c>
      <c r="U2">
        <v>967502660</v>
      </c>
      <c r="V2">
        <v>967502660</v>
      </c>
      <c r="W2">
        <v>1.93</v>
      </c>
      <c r="X2">
        <v>0.05</v>
      </c>
      <c r="Y2">
        <v>27.85</v>
      </c>
      <c r="Z2" t="s">
        <v>222</v>
      </c>
      <c r="AA2" t="s">
        <v>426</v>
      </c>
      <c r="AB2" t="s">
        <v>427</v>
      </c>
      <c r="AC2" t="s">
        <v>428</v>
      </c>
      <c r="AD2" t="s">
        <v>5</v>
      </c>
      <c r="AE2">
        <v>29820336</v>
      </c>
      <c r="AF2" t="s">
        <v>23</v>
      </c>
      <c r="AG2" t="s">
        <v>429</v>
      </c>
      <c r="AH2" t="s">
        <v>430</v>
      </c>
      <c r="AI2" t="s">
        <v>431</v>
      </c>
      <c r="AJ2" t="s">
        <v>432</v>
      </c>
      <c r="AK2" t="s">
        <v>5</v>
      </c>
      <c r="AL2" t="s">
        <v>433</v>
      </c>
      <c r="AM2" t="s">
        <v>5</v>
      </c>
      <c r="AN2" t="s">
        <v>434</v>
      </c>
      <c r="AO2" t="s">
        <v>435</v>
      </c>
      <c r="AP2" t="s">
        <v>436</v>
      </c>
      <c r="AQ2" t="s">
        <v>437</v>
      </c>
      <c r="AR2" t="s">
        <v>5</v>
      </c>
      <c r="AS2" t="s">
        <v>438</v>
      </c>
      <c r="AT2" t="s">
        <v>439</v>
      </c>
      <c r="AU2" t="s">
        <v>440</v>
      </c>
      <c r="AV2" t="s">
        <v>441</v>
      </c>
      <c r="AW2" t="s">
        <v>442</v>
      </c>
      <c r="AX2" t="s">
        <v>189</v>
      </c>
      <c r="AY2" t="s">
        <v>211</v>
      </c>
      <c r="AZ2" t="s">
        <v>72</v>
      </c>
      <c r="BA2" t="s">
        <v>74</v>
      </c>
      <c r="BB2" t="s">
        <v>75</v>
      </c>
      <c r="BC2" t="s">
        <v>443</v>
      </c>
      <c r="BD2" t="s">
        <v>212</v>
      </c>
      <c r="BE2" t="s">
        <v>26</v>
      </c>
      <c r="BF2" t="s">
        <v>77</v>
      </c>
      <c r="BG2" t="s">
        <v>78</v>
      </c>
      <c r="BH2" t="s">
        <v>424</v>
      </c>
      <c r="BI2" t="s">
        <v>423</v>
      </c>
      <c r="BJ2" t="s">
        <v>189</v>
      </c>
      <c r="BK2" t="s">
        <v>425</v>
      </c>
      <c r="BL2" t="s">
        <v>444</v>
      </c>
      <c r="BM2" t="s">
        <v>443</v>
      </c>
      <c r="BN2">
        <v>5.15</v>
      </c>
      <c r="BO2">
        <v>7.66</v>
      </c>
      <c r="BP2">
        <v>4.71</v>
      </c>
      <c r="BQ2">
        <v>7.82</v>
      </c>
      <c r="BR2">
        <v>11.44</v>
      </c>
      <c r="BS2">
        <v>6.73</v>
      </c>
      <c r="BT2" t="s">
        <v>445</v>
      </c>
      <c r="BU2" t="s">
        <v>283</v>
      </c>
      <c r="BV2">
        <v>35.89</v>
      </c>
      <c r="BW2">
        <v>37.93</v>
      </c>
      <c r="BX2">
        <v>35.49</v>
      </c>
      <c r="BY2">
        <v>22.34</v>
      </c>
      <c r="BZ2">
        <v>21.95</v>
      </c>
      <c r="CA2">
        <v>14.57</v>
      </c>
      <c r="CB2">
        <v>0</v>
      </c>
      <c r="CC2">
        <v>-8.49</v>
      </c>
      <c r="CD2" t="s">
        <v>446</v>
      </c>
      <c r="CE2" t="s">
        <v>297</v>
      </c>
      <c r="CF2" s="11">
        <v>0</v>
      </c>
      <c r="CG2" s="12">
        <v>-0.32409813559322032</v>
      </c>
      <c r="CH2" s="11">
        <v>-4.8361383378505707E-2</v>
      </c>
      <c r="CI2" s="11">
        <v>0.2649141252040863</v>
      </c>
      <c r="CJ2" s="11">
        <v>0.37265792489051819</v>
      </c>
      <c r="CK2" s="11">
        <v>-0.23635406792163849</v>
      </c>
      <c r="CL2" s="11">
        <v>-0.1911701112985611</v>
      </c>
      <c r="CM2" s="12">
        <v>-4.0852576494216919E-2</v>
      </c>
      <c r="CN2" s="12">
        <v>0.84590166807174683</v>
      </c>
      <c r="CO2" s="12">
        <v>1.440000057220459</v>
      </c>
      <c r="CP2" s="12">
        <v>-0.77558350563049316</v>
      </c>
      <c r="CQ2" s="12">
        <v>-0.17967599630355835</v>
      </c>
      <c r="CR2">
        <v>13.3332977248104</v>
      </c>
      <c r="CS2">
        <v>4.1231948109295686</v>
      </c>
      <c r="CT2">
        <v>2.6729559748427669</v>
      </c>
      <c r="CU2" s="11">
        <v>3.2337297499179837E-2</v>
      </c>
      <c r="CV2" s="12">
        <v>0.2579579293727875</v>
      </c>
      <c r="CW2">
        <v>0.06</v>
      </c>
      <c r="CX2">
        <v>12.270817002979618</v>
      </c>
      <c r="CY2">
        <v>525907679.8580727</v>
      </c>
      <c r="CZ2">
        <v>3.2337297499179837E-2</v>
      </c>
      <c r="DA2">
        <v>4.2119611902875684</v>
      </c>
      <c r="DB2">
        <v>1532140636.7373021</v>
      </c>
      <c r="DC2">
        <v>3.0720432624220844E-2</v>
      </c>
      <c r="DD2">
        <v>2.2109527065125061</v>
      </c>
      <c r="DE2">
        <v>2918794635.901226</v>
      </c>
      <c r="DF2">
        <v>2.8456821799278258E-2</v>
      </c>
      <c r="DG2">
        <v>1.4244489880979172</v>
      </c>
      <c r="DH2">
        <v>4530395229.2578669</v>
      </c>
      <c r="DI2">
        <v>2.5869837999343871E-2</v>
      </c>
      <c r="DJ2">
        <v>0.8525914881054194</v>
      </c>
      <c r="DK2">
        <v>7569060904.3496265</v>
      </c>
      <c r="DL2">
        <v>2.2636108249425885E-2</v>
      </c>
      <c r="DM2">
        <v>540000000</v>
      </c>
      <c r="DN2">
        <v>3.2337297499179837E-2</v>
      </c>
      <c r="DO2">
        <v>6453316900</v>
      </c>
      <c r="DP2">
        <v>894957100</v>
      </c>
      <c r="DQ2">
        <v>404</v>
      </c>
      <c r="DR2">
        <v>-3.2337297499179837E-2</v>
      </c>
      <c r="DS2">
        <v>-0.58205606496600781</v>
      </c>
      <c r="DT2" s="13">
        <v>-0.37333333333333329</v>
      </c>
      <c r="DU2">
        <v>1.3333333333333345E-2</v>
      </c>
      <c r="DV2">
        <v>-0.35999999999999993</v>
      </c>
      <c r="DW2">
        <v>-2.0849000000000002</v>
      </c>
      <c r="DX2">
        <v>0.43121184834123255</v>
      </c>
      <c r="DY2">
        <v>-2.0102908859241708</v>
      </c>
      <c r="DZ2">
        <v>2592</v>
      </c>
      <c r="EA2">
        <v>-2.0050709296980553</v>
      </c>
      <c r="EB2">
        <v>2</v>
      </c>
      <c r="EC2">
        <v>2.6434759362832138E-2</v>
      </c>
      <c r="ED2">
        <v>0.21808725569808771</v>
      </c>
      <c r="EE2" s="14">
        <v>-1.1168</v>
      </c>
      <c r="EF2">
        <v>-1.0828</v>
      </c>
      <c r="EG2">
        <v>31.121211848341233</v>
      </c>
      <c r="EH2" t="s">
        <v>447</v>
      </c>
      <c r="EI2">
        <v>0</v>
      </c>
      <c r="EJ2">
        <v>0</v>
      </c>
      <c r="EK2" s="10">
        <v>45470</v>
      </c>
      <c r="EL2" s="15">
        <v>-0.46</v>
      </c>
      <c r="EM2" s="15">
        <v>-3.58</v>
      </c>
      <c r="EN2" s="15">
        <v>2.1</v>
      </c>
      <c r="EO2" s="15">
        <v>2.21</v>
      </c>
      <c r="EP2" s="15">
        <v>-3.4</v>
      </c>
    </row>
    <row r="3" spans="1:146" ht="96" x14ac:dyDescent="0.25">
      <c r="A3" s="8"/>
      <c r="B3" s="8"/>
      <c r="C3" s="8" t="str">
        <f>""&amp;CHAR(10)&amp;Basic_Fundamental_Information_Constructure(F3)&amp;CHAR(10)&amp;Basic_Fundamental_Information_Concatenate("")</f>
        <v xml:space="preserve">
市值10.770476亿, 利润-1857.91万; PE; 平均PE-20.38; 平均PEG-5.18, PB14.92; ROIC4.98%; ROE-6.9467%; 股利率0%; 毛利-5.9733%; 净利-2.5967%; 上一年度营收增38.07%, 利润增-91.39%; 当季营收增43.18%, 利润增5.32%; 过往5年营收增3.94%, 利润增-25.27%
Income profile:
</v>
      </c>
      <c r="D3" t="s">
        <v>79</v>
      </c>
      <c r="E3" t="s">
        <v>80</v>
      </c>
      <c r="F3">
        <v>4.1100000000000003</v>
      </c>
      <c r="G3">
        <v>2.4900000000000002</v>
      </c>
      <c r="H3" t="s">
        <v>448</v>
      </c>
      <c r="I3">
        <v>1077047600</v>
      </c>
      <c r="K3">
        <v>14.92</v>
      </c>
      <c r="L3" t="s">
        <v>71</v>
      </c>
      <c r="M3" t="s">
        <v>449</v>
      </c>
      <c r="N3" t="s">
        <v>450</v>
      </c>
      <c r="O3" t="s">
        <v>451</v>
      </c>
      <c r="P3">
        <v>43.18</v>
      </c>
      <c r="Q3" t="s">
        <v>282</v>
      </c>
      <c r="R3">
        <v>-10855472</v>
      </c>
      <c r="S3" s="6">
        <v>5.3199999999999997E-2</v>
      </c>
      <c r="T3" t="s">
        <v>452</v>
      </c>
      <c r="U3">
        <v>260807600</v>
      </c>
      <c r="V3">
        <v>262055380</v>
      </c>
      <c r="W3">
        <v>3.73</v>
      </c>
      <c r="X3">
        <v>0.14000000000000001</v>
      </c>
      <c r="Y3">
        <v>-26.15</v>
      </c>
      <c r="Z3" t="s">
        <v>453</v>
      </c>
      <c r="AA3" t="s">
        <v>454</v>
      </c>
      <c r="AB3" t="s">
        <v>5</v>
      </c>
      <c r="AC3" t="s">
        <v>455</v>
      </c>
      <c r="AD3" t="s">
        <v>5</v>
      </c>
      <c r="AE3">
        <v>1161640</v>
      </c>
      <c r="AF3" t="s">
        <v>23</v>
      </c>
      <c r="AG3" t="s">
        <v>5</v>
      </c>
      <c r="AH3" t="s">
        <v>456</v>
      </c>
      <c r="AI3" t="s">
        <v>457</v>
      </c>
      <c r="AJ3" t="s">
        <v>458</v>
      </c>
      <c r="AK3" t="s">
        <v>459</v>
      </c>
      <c r="AL3" t="s">
        <v>460</v>
      </c>
      <c r="AM3" t="s">
        <v>5</v>
      </c>
      <c r="AN3">
        <v>0</v>
      </c>
      <c r="AO3" t="s">
        <v>461</v>
      </c>
      <c r="AP3" t="s">
        <v>462</v>
      </c>
      <c r="AQ3" t="s">
        <v>463</v>
      </c>
      <c r="AR3" t="s">
        <v>5</v>
      </c>
      <c r="AS3" t="s">
        <v>299</v>
      </c>
      <c r="AT3" t="s">
        <v>464</v>
      </c>
      <c r="AU3" t="s">
        <v>465</v>
      </c>
      <c r="AV3" t="s">
        <v>466</v>
      </c>
      <c r="AW3" t="s">
        <v>467</v>
      </c>
      <c r="AX3" t="s">
        <v>418</v>
      </c>
      <c r="AY3" t="s">
        <v>213</v>
      </c>
      <c r="AZ3" t="s">
        <v>81</v>
      </c>
      <c r="BA3" t="s">
        <v>83</v>
      </c>
      <c r="BB3" t="s">
        <v>84</v>
      </c>
      <c r="BC3" t="s">
        <v>468</v>
      </c>
      <c r="BD3" t="s">
        <v>214</v>
      </c>
      <c r="BE3" t="s">
        <v>82</v>
      </c>
      <c r="BF3" t="s">
        <v>86</v>
      </c>
      <c r="BG3" t="s">
        <v>87</v>
      </c>
      <c r="BH3" t="s">
        <v>282</v>
      </c>
      <c r="BI3" t="s">
        <v>469</v>
      </c>
      <c r="BJ3" t="s">
        <v>418</v>
      </c>
      <c r="BK3" t="s">
        <v>452</v>
      </c>
      <c r="BL3" t="s">
        <v>470</v>
      </c>
      <c r="BM3" t="s">
        <v>468</v>
      </c>
      <c r="BN3" t="s">
        <v>5</v>
      </c>
      <c r="BO3" t="s">
        <v>5</v>
      </c>
      <c r="BP3">
        <v>4.9800000000000004</v>
      </c>
      <c r="BQ3">
        <v>-18.47</v>
      </c>
      <c r="BR3">
        <v>-7.43</v>
      </c>
      <c r="BS3">
        <v>5.0599999999999996</v>
      </c>
      <c r="BT3" t="s">
        <v>409</v>
      </c>
      <c r="BU3" t="s">
        <v>284</v>
      </c>
      <c r="BV3">
        <v>2.83</v>
      </c>
      <c r="BW3">
        <v>-12.83</v>
      </c>
      <c r="BX3">
        <v>-7.92</v>
      </c>
      <c r="BY3">
        <v>-6.89</v>
      </c>
      <c r="BZ3">
        <v>-4.99</v>
      </c>
      <c r="CA3">
        <v>4.09</v>
      </c>
      <c r="CB3">
        <v>0</v>
      </c>
      <c r="CC3">
        <v>-20.5</v>
      </c>
      <c r="CD3" t="s">
        <v>471</v>
      </c>
      <c r="CE3" t="s">
        <v>472</v>
      </c>
      <c r="CF3" s="11">
        <v>0.43181536768246542</v>
      </c>
      <c r="CG3" s="12">
        <v>5.320552963237539E-2</v>
      </c>
      <c r="CH3" s="11">
        <v>0.3807106614112854</v>
      </c>
      <c r="CI3" s="11">
        <v>2.604166604578495E-2</v>
      </c>
      <c r="CJ3" s="11">
        <v>-2.0408162847161293E-2</v>
      </c>
      <c r="CK3" s="11">
        <v>-0.35099336504936218</v>
      </c>
      <c r="CL3" s="11">
        <v>0.16153846681118011</v>
      </c>
      <c r="CM3" s="12">
        <v>-0.91387158632278442</v>
      </c>
      <c r="CN3" s="12">
        <v>-2.2661206722259521</v>
      </c>
      <c r="CO3" s="12">
        <v>1.9238258600234985</v>
      </c>
      <c r="CP3" s="12">
        <v>-1.1599514484405518</v>
      </c>
      <c r="CQ3" s="12">
        <v>1.1526088714599609</v>
      </c>
      <c r="CR3">
        <v>-20.383707759376897</v>
      </c>
      <c r="CS3">
        <v>-5.1764395629603417</v>
      </c>
      <c r="CT3">
        <v>0</v>
      </c>
      <c r="CU3" s="11">
        <v>3.9377853274345398E-2</v>
      </c>
      <c r="CV3" s="12">
        <v>-0.25270179510116575</v>
      </c>
      <c r="CW3">
        <v>0.06</v>
      </c>
      <c r="CX3" t="e">
        <v>#VALUE!</v>
      </c>
      <c r="CY3" t="s">
        <v>286</v>
      </c>
      <c r="CZ3">
        <v>3.9377853274345398E-2</v>
      </c>
      <c r="DA3" t="e">
        <v>#VALUE!</v>
      </c>
      <c r="DB3" t="s">
        <v>287</v>
      </c>
      <c r="DC3">
        <v>3.7408960610628129E-2</v>
      </c>
      <c r="DD3" t="e">
        <v>#VALUE!</v>
      </c>
      <c r="DE3" t="s">
        <v>287</v>
      </c>
      <c r="DF3">
        <v>3.4652510881423952E-2</v>
      </c>
      <c r="DG3" t="e">
        <v>#VALUE!</v>
      </c>
      <c r="DH3" t="s">
        <v>287</v>
      </c>
      <c r="DI3">
        <v>3.1502282619476317E-2</v>
      </c>
      <c r="DJ3" t="e">
        <v>#VALUE!</v>
      </c>
      <c r="DK3" t="s">
        <v>287</v>
      </c>
      <c r="DL3">
        <v>2.7564497292041776E-2</v>
      </c>
      <c r="DM3">
        <v>-18579100</v>
      </c>
      <c r="DN3">
        <v>3.9377853274345398E-2</v>
      </c>
      <c r="DO3">
        <v>1256454500</v>
      </c>
      <c r="DP3">
        <v>-46040400</v>
      </c>
      <c r="DQ3">
        <v>717</v>
      </c>
      <c r="DR3">
        <v>0.39243751440812003</v>
      </c>
      <c r="DS3">
        <v>0.30590732473354115</v>
      </c>
      <c r="DT3" s="13">
        <v>-0.28999999999999998</v>
      </c>
      <c r="DU3">
        <v>-2.3416666666666668</v>
      </c>
      <c r="DV3">
        <v>-2.6316666666666668</v>
      </c>
      <c r="DW3">
        <v>-3.0508928571428573</v>
      </c>
      <c r="DX3">
        <v>0.31336946902654828</v>
      </c>
      <c r="DY3">
        <v>-3.0047518390486725</v>
      </c>
      <c r="DZ3">
        <v>4758</v>
      </c>
      <c r="EA3">
        <v>-3.0003273282475798</v>
      </c>
      <c r="EB3">
        <v>3</v>
      </c>
      <c r="EC3">
        <v>8.0523055851782169E-2</v>
      </c>
      <c r="ED3">
        <v>0.86241312809529025</v>
      </c>
      <c r="EE3" s="14">
        <v>1.0259</v>
      </c>
      <c r="EF3">
        <v>1.0209999999999999</v>
      </c>
      <c r="EG3">
        <v>22.093369469026548</v>
      </c>
      <c r="EH3" t="s">
        <v>473</v>
      </c>
      <c r="EI3">
        <v>0</v>
      </c>
      <c r="EJ3">
        <v>0</v>
      </c>
      <c r="EK3" s="10">
        <v>45470</v>
      </c>
      <c r="EL3" s="15">
        <v>-0.48</v>
      </c>
      <c r="EM3" s="15">
        <v>-4.33</v>
      </c>
      <c r="EN3" s="15">
        <v>1.51</v>
      </c>
      <c r="EO3" s="15">
        <v>1.49</v>
      </c>
      <c r="EP3" s="15">
        <v>-0.49</v>
      </c>
    </row>
    <row r="4" spans="1:146" ht="96" x14ac:dyDescent="0.25">
      <c r="A4" s="8"/>
      <c r="B4" s="8"/>
      <c r="C4" s="8" t="str">
        <f>""&amp;CHAR(10)&amp;Basic_Fundamental_Information_Constructure(F4)&amp;CHAR(10)&amp;Basic_Fundamental_Information_Concatenate("")</f>
        <v xml:space="preserve">
市值29.900243亿, 利润1.05亿; PE27.02; 平均PE-76.81; 平均PEG-2.95, PB1.17; ROIC4.0933%; ROE4.9267%; 股利率.3604%; 毛利22.2867%; 净利5.6967%; 上一年度营收增77.5%, 利润增-33.96%; 当季营收增34.53%, 利润增43.82%; 过往5年营收增26%, 利润增.57%
Income profile:
</v>
      </c>
      <c r="D4" t="s">
        <v>88</v>
      </c>
      <c r="E4" t="s">
        <v>89</v>
      </c>
      <c r="F4">
        <v>2.2200000000000002</v>
      </c>
      <c r="G4">
        <v>1.37</v>
      </c>
      <c r="H4" t="s">
        <v>474</v>
      </c>
      <c r="I4">
        <v>2990024300</v>
      </c>
      <c r="J4">
        <v>27.02</v>
      </c>
      <c r="K4">
        <v>1.17</v>
      </c>
      <c r="L4" t="s">
        <v>71</v>
      </c>
      <c r="M4" t="s">
        <v>475</v>
      </c>
      <c r="N4" t="s">
        <v>476</v>
      </c>
      <c r="O4" t="s">
        <v>477</v>
      </c>
      <c r="P4">
        <v>34.549999999999997</v>
      </c>
      <c r="Q4" t="s">
        <v>478</v>
      </c>
      <c r="R4">
        <v>17595327</v>
      </c>
      <c r="S4" s="6">
        <v>0.43819999999999998</v>
      </c>
      <c r="T4" t="s">
        <v>479</v>
      </c>
      <c r="U4">
        <v>1346608600</v>
      </c>
      <c r="V4">
        <v>1346857800</v>
      </c>
      <c r="W4">
        <v>2.0099999999999998</v>
      </c>
      <c r="X4">
        <v>0.13</v>
      </c>
      <c r="Y4">
        <v>2.0299999999999998</v>
      </c>
      <c r="Z4" t="s">
        <v>477</v>
      </c>
      <c r="AA4" t="s">
        <v>480</v>
      </c>
      <c r="AB4" t="s">
        <v>481</v>
      </c>
      <c r="AC4" t="s">
        <v>482</v>
      </c>
      <c r="AD4" t="s">
        <v>5</v>
      </c>
      <c r="AE4">
        <v>6731604</v>
      </c>
      <c r="AF4" t="s">
        <v>483</v>
      </c>
      <c r="AG4">
        <v>5297.1</v>
      </c>
      <c r="AH4" t="s">
        <v>484</v>
      </c>
      <c r="AI4" t="s">
        <v>485</v>
      </c>
      <c r="AJ4" t="s">
        <v>486</v>
      </c>
      <c r="AK4" t="s">
        <v>487</v>
      </c>
      <c r="AL4" t="s">
        <v>488</v>
      </c>
      <c r="AM4" t="s">
        <v>5</v>
      </c>
      <c r="AN4" t="s">
        <v>489</v>
      </c>
      <c r="AO4" t="s">
        <v>490</v>
      </c>
      <c r="AP4" t="s">
        <v>491</v>
      </c>
      <c r="AQ4" t="s">
        <v>492</v>
      </c>
      <c r="AR4" t="s">
        <v>493</v>
      </c>
      <c r="AS4" t="s">
        <v>494</v>
      </c>
      <c r="AT4" t="s">
        <v>495</v>
      </c>
      <c r="AU4" t="s">
        <v>496</v>
      </c>
      <c r="AV4" t="s">
        <v>497</v>
      </c>
      <c r="AW4" t="s">
        <v>223</v>
      </c>
      <c r="AX4" t="s">
        <v>498</v>
      </c>
      <c r="AY4" t="s">
        <v>215</v>
      </c>
      <c r="AZ4" t="s">
        <v>90</v>
      </c>
      <c r="BA4" t="s">
        <v>92</v>
      </c>
      <c r="BB4" t="s">
        <v>93</v>
      </c>
      <c r="BC4" t="s">
        <v>499</v>
      </c>
      <c r="BD4" t="s">
        <v>216</v>
      </c>
      <c r="BE4" t="s">
        <v>91</v>
      </c>
      <c r="BF4" t="s">
        <v>94</v>
      </c>
      <c r="BG4" t="s">
        <v>95</v>
      </c>
      <c r="BH4" t="s">
        <v>478</v>
      </c>
      <c r="BI4" t="s">
        <v>500</v>
      </c>
      <c r="BJ4" t="s">
        <v>498</v>
      </c>
      <c r="BK4" t="s">
        <v>479</v>
      </c>
      <c r="BL4" t="s">
        <v>501</v>
      </c>
      <c r="BM4" t="s">
        <v>499</v>
      </c>
      <c r="BN4">
        <v>2.7</v>
      </c>
      <c r="BO4">
        <v>5.67</v>
      </c>
      <c r="BP4">
        <v>3.91</v>
      </c>
      <c r="BQ4">
        <v>4.21</v>
      </c>
      <c r="BR4">
        <v>6.62</v>
      </c>
      <c r="BS4">
        <v>3.95</v>
      </c>
      <c r="BT4" t="s">
        <v>502</v>
      </c>
      <c r="BU4" t="s">
        <v>284</v>
      </c>
      <c r="BV4">
        <v>16.41</v>
      </c>
      <c r="BW4">
        <v>19.95</v>
      </c>
      <c r="BX4">
        <v>30.5</v>
      </c>
      <c r="BY4">
        <v>2.76</v>
      </c>
      <c r="BZ4">
        <v>8.31</v>
      </c>
      <c r="CA4">
        <v>6.02</v>
      </c>
      <c r="CB4">
        <v>2.2999999999999998</v>
      </c>
      <c r="CC4">
        <v>-14.94</v>
      </c>
      <c r="CD4" t="s">
        <v>503</v>
      </c>
      <c r="CE4" t="s">
        <v>504</v>
      </c>
      <c r="CF4" s="11">
        <v>0.34530938123752497</v>
      </c>
      <c r="CG4" s="12">
        <v>0.43823173124080433</v>
      </c>
      <c r="CH4" s="11">
        <v>0.77503770589828491</v>
      </c>
      <c r="CI4" s="11">
        <v>0.24654960632324219</v>
      </c>
      <c r="CJ4" s="11">
        <v>0.40316900610923767</v>
      </c>
      <c r="CK4" s="11">
        <v>-0.50457912683486938</v>
      </c>
      <c r="CL4" s="11">
        <v>0.37966302037239075</v>
      </c>
      <c r="CM4" s="12">
        <v>-0.33962264657020569</v>
      </c>
      <c r="CN4" s="12">
        <v>0.78269106149673462</v>
      </c>
      <c r="CO4" s="12">
        <v>1.5010731220245361</v>
      </c>
      <c r="CP4" s="12">
        <v>-3.0881137847900391</v>
      </c>
      <c r="CQ4" s="12">
        <v>1.1725594997406006</v>
      </c>
      <c r="CR4">
        <v>-76.810209252600757</v>
      </c>
      <c r="CS4">
        <v>-2.9546019792001941</v>
      </c>
      <c r="CT4">
        <v>0.36036036036036034</v>
      </c>
      <c r="CU4" s="11">
        <v>0.25996804237365723</v>
      </c>
      <c r="CV4" s="12">
        <v>5.717450380325317E-3</v>
      </c>
      <c r="CW4">
        <v>0.06</v>
      </c>
      <c r="CX4">
        <v>24.373602001956673</v>
      </c>
      <c r="CY4">
        <v>124808155.1407868</v>
      </c>
      <c r="CZ4">
        <v>0.25996804237365723</v>
      </c>
      <c r="DA4">
        <v>6.9173578386659731</v>
      </c>
      <c r="DB4">
        <v>439766796.94029832</v>
      </c>
      <c r="DC4">
        <v>0.24696964025497437</v>
      </c>
      <c r="DD4">
        <v>2.7893939443776445</v>
      </c>
      <c r="DE4">
        <v>1090568188.1655912</v>
      </c>
      <c r="DF4">
        <v>0.22877187728881837</v>
      </c>
      <c r="DG4">
        <v>1.3172697714231518</v>
      </c>
      <c r="DH4">
        <v>2309340399.3575726</v>
      </c>
      <c r="DI4">
        <v>0.20797443389892578</v>
      </c>
      <c r="DJ4">
        <v>0.38173478587101445</v>
      </c>
      <c r="DK4">
        <v>7968947061.1354742</v>
      </c>
      <c r="DL4">
        <v>0.18197762966156006</v>
      </c>
      <c r="DM4">
        <v>105000000</v>
      </c>
      <c r="DN4">
        <v>0.25996804237365723</v>
      </c>
      <c r="DO4">
        <v>3042024300</v>
      </c>
      <c r="DP4">
        <v>1666227099.9999998</v>
      </c>
      <c r="DQ4">
        <v>1047</v>
      </c>
      <c r="DR4">
        <v>8.5341338863867744E-2</v>
      </c>
      <c r="DS4">
        <v>0.43251428086047899</v>
      </c>
      <c r="DT4" s="13">
        <v>0.16</v>
      </c>
      <c r="DU4">
        <v>-5.000000000000001E-2</v>
      </c>
      <c r="DV4">
        <v>0.10999999999999999</v>
      </c>
      <c r="DW4">
        <v>-2.1494</v>
      </c>
      <c r="DX4">
        <v>0.30732068965517129</v>
      </c>
      <c r="DY4">
        <v>-2.0190217110344828</v>
      </c>
      <c r="DZ4">
        <v>1454</v>
      </c>
      <c r="EA4">
        <v>-2.0136092711432623</v>
      </c>
      <c r="EB4">
        <v>2</v>
      </c>
      <c r="EC4">
        <v>3.0155596232950502E-2</v>
      </c>
      <c r="ED4">
        <v>0.23684757217874078</v>
      </c>
      <c r="EE4" s="14">
        <v>-4.0293999999999999</v>
      </c>
      <c r="EF4">
        <v>-4.0023999999999997</v>
      </c>
      <c r="EG4">
        <v>18.127320689655171</v>
      </c>
      <c r="EH4" t="s">
        <v>505</v>
      </c>
      <c r="EI4">
        <v>0</v>
      </c>
      <c r="EJ4">
        <v>1</v>
      </c>
      <c r="EK4" s="10">
        <v>45470</v>
      </c>
      <c r="EL4" s="15">
        <v>-1.36</v>
      </c>
      <c r="EM4" s="15">
        <v>-2.75</v>
      </c>
      <c r="EN4" s="15">
        <v>1.89</v>
      </c>
      <c r="EO4" s="15">
        <v>2.78</v>
      </c>
      <c r="EP4" s="15">
        <v>-2.7</v>
      </c>
    </row>
    <row r="5" spans="1:146" ht="96" x14ac:dyDescent="0.25">
      <c r="A5" s="8"/>
      <c r="B5" s="8"/>
      <c r="C5" s="8" t="str">
        <f>""&amp;CHAR(10)&amp;Basic_Fundamental_Information_Constructure(F5)&amp;CHAR(10)&amp;Basic_Fundamental_Information_Concatenate("")</f>
        <v xml:space="preserve">
市值7.5976752亿, 利润-3494.59万; PE; 平均PE-6.98; 平均PEG-3.23, PB17.14; ROIC34.92%; ROE-31.9367%; 股利率0%; 毛利6.2233%; 净利-9.6333%; 上一年度营收增23.08%, 利润增-348.45%; 当季营收增12.41%, 利润增37.79%; 过往5年营收增-2.16%, 利润增-64.19%
Income profile:
</v>
      </c>
      <c r="D5" t="s">
        <v>96</v>
      </c>
      <c r="E5" t="s">
        <v>217</v>
      </c>
      <c r="F5">
        <v>1.74</v>
      </c>
      <c r="G5">
        <v>10.130000000000001</v>
      </c>
      <c r="H5" t="s">
        <v>506</v>
      </c>
      <c r="I5">
        <v>759767520</v>
      </c>
      <c r="K5">
        <v>17.14</v>
      </c>
      <c r="L5" t="s">
        <v>71</v>
      </c>
      <c r="M5" t="s">
        <v>440</v>
      </c>
      <c r="N5" t="s">
        <v>507</v>
      </c>
      <c r="O5" t="s">
        <v>508</v>
      </c>
      <c r="P5">
        <v>12.41</v>
      </c>
      <c r="Q5" t="s">
        <v>328</v>
      </c>
      <c r="R5">
        <v>-7778113</v>
      </c>
      <c r="S5" s="6">
        <v>0.37790000000000001</v>
      </c>
      <c r="T5" t="s">
        <v>509</v>
      </c>
      <c r="U5">
        <v>354150430</v>
      </c>
      <c r="V5">
        <v>436648000</v>
      </c>
      <c r="W5">
        <v>3.53</v>
      </c>
      <c r="X5">
        <v>0.18</v>
      </c>
      <c r="Y5">
        <v>-21.2</v>
      </c>
      <c r="Z5" t="s">
        <v>510</v>
      </c>
      <c r="AA5" t="s">
        <v>511</v>
      </c>
      <c r="AB5" t="s">
        <v>512</v>
      </c>
      <c r="AC5" t="s">
        <v>513</v>
      </c>
      <c r="AD5" t="s">
        <v>5</v>
      </c>
      <c r="AE5">
        <v>69915</v>
      </c>
      <c r="AF5" t="s">
        <v>23</v>
      </c>
      <c r="AG5" t="s">
        <v>514</v>
      </c>
      <c r="AH5" t="s">
        <v>515</v>
      </c>
      <c r="AI5" t="s">
        <v>516</v>
      </c>
      <c r="AJ5" t="s">
        <v>517</v>
      </c>
      <c r="AK5" t="s">
        <v>518</v>
      </c>
      <c r="AL5" t="s">
        <v>519</v>
      </c>
      <c r="AM5" t="s">
        <v>5</v>
      </c>
      <c r="AN5">
        <v>0</v>
      </c>
      <c r="AO5" t="s">
        <v>5</v>
      </c>
      <c r="AP5" t="s">
        <v>520</v>
      </c>
      <c r="AQ5" t="s">
        <v>521</v>
      </c>
      <c r="AR5" t="s">
        <v>5</v>
      </c>
      <c r="AS5" t="s">
        <v>220</v>
      </c>
      <c r="AT5" t="s">
        <v>5</v>
      </c>
      <c r="AU5" t="s">
        <v>522</v>
      </c>
      <c r="AV5" t="s">
        <v>523</v>
      </c>
      <c r="AW5" t="s">
        <v>524</v>
      </c>
      <c r="AX5" t="s">
        <v>62</v>
      </c>
      <c r="AY5" t="s">
        <v>206</v>
      </c>
      <c r="AZ5" t="s">
        <v>22</v>
      </c>
      <c r="BA5" t="s">
        <v>99</v>
      </c>
      <c r="BB5" t="s">
        <v>100</v>
      </c>
      <c r="BC5" t="s">
        <v>525</v>
      </c>
      <c r="BD5" t="s">
        <v>218</v>
      </c>
      <c r="BE5" t="s">
        <v>219</v>
      </c>
      <c r="BF5" t="s">
        <v>101</v>
      </c>
      <c r="BG5" t="s">
        <v>102</v>
      </c>
      <c r="BH5" t="s">
        <v>328</v>
      </c>
      <c r="BI5" t="s">
        <v>526</v>
      </c>
      <c r="BJ5" t="s">
        <v>62</v>
      </c>
      <c r="BK5" t="s">
        <v>509</v>
      </c>
      <c r="BL5" t="s">
        <v>527</v>
      </c>
      <c r="BM5" t="s">
        <v>525</v>
      </c>
      <c r="BN5" t="s">
        <v>5</v>
      </c>
      <c r="BO5">
        <v>34.92</v>
      </c>
      <c r="BP5" t="s">
        <v>5</v>
      </c>
      <c r="BQ5">
        <v>-47.11</v>
      </c>
      <c r="BR5">
        <v>78.239999999999995</v>
      </c>
      <c r="BS5">
        <v>-126.94</v>
      </c>
      <c r="BT5" t="s">
        <v>409</v>
      </c>
      <c r="BU5" t="s">
        <v>284</v>
      </c>
      <c r="BV5">
        <v>4.88</v>
      </c>
      <c r="BW5">
        <v>4.28</v>
      </c>
      <c r="BX5">
        <v>9.51</v>
      </c>
      <c r="BY5">
        <v>-16.29</v>
      </c>
      <c r="BZ5">
        <v>8.34</v>
      </c>
      <c r="CA5">
        <v>-20.95</v>
      </c>
      <c r="CB5">
        <v>12.26</v>
      </c>
      <c r="CC5">
        <v>-21.97</v>
      </c>
      <c r="CD5" t="s">
        <v>528</v>
      </c>
      <c r="CE5" t="s">
        <v>529</v>
      </c>
      <c r="CF5" s="11">
        <v>0.12406820166367939</v>
      </c>
      <c r="CG5" s="12">
        <v>0.37791021498496385</v>
      </c>
      <c r="CH5" s="11">
        <v>0.23076923191547394</v>
      </c>
      <c r="CI5" s="11">
        <v>0.341269850730896</v>
      </c>
      <c r="CJ5" s="11">
        <v>0.1666666716337204</v>
      </c>
      <c r="CK5" s="11">
        <v>0.11527848988771439</v>
      </c>
      <c r="CL5" s="11">
        <v>-0.96198004484176636</v>
      </c>
      <c r="CM5" s="12">
        <v>-3.4845294952392578</v>
      </c>
      <c r="CN5" s="12">
        <v>1.5326693058013916</v>
      </c>
      <c r="CO5" s="12">
        <v>-0.79749083518981934</v>
      </c>
      <c r="CP5" s="12">
        <v>-1.5070797204971313</v>
      </c>
      <c r="CQ5" s="12">
        <v>1.0467261075973511</v>
      </c>
      <c r="CR5">
        <v>-6.9809544169578839</v>
      </c>
      <c r="CS5">
        <v>-3.2320490118098775</v>
      </c>
      <c r="CT5">
        <v>0</v>
      </c>
      <c r="CU5" s="11">
        <v>-2.1599160134792329E-2</v>
      </c>
      <c r="CV5" s="12">
        <v>-0.64194092750549314</v>
      </c>
      <c r="CW5">
        <v>0.06</v>
      </c>
      <c r="CX5" t="e">
        <v>#VALUE!</v>
      </c>
      <c r="CY5" t="s">
        <v>286</v>
      </c>
      <c r="CZ5">
        <v>-2.1599160134792329E-2</v>
      </c>
      <c r="DA5" t="e">
        <v>#VALUE!</v>
      </c>
      <c r="DB5" t="s">
        <v>287</v>
      </c>
      <c r="DC5">
        <v>-2.0519202128052711E-2</v>
      </c>
      <c r="DD5" t="e">
        <v>#VALUE!</v>
      </c>
      <c r="DE5" t="s">
        <v>287</v>
      </c>
      <c r="DF5">
        <v>-1.900726091861725E-2</v>
      </c>
      <c r="DG5" t="e">
        <v>#VALUE!</v>
      </c>
      <c r="DH5" t="s">
        <v>287</v>
      </c>
      <c r="DI5">
        <v>-1.7279328107833863E-2</v>
      </c>
      <c r="DJ5" t="e">
        <v>#VALUE!</v>
      </c>
      <c r="DK5" t="s">
        <v>287</v>
      </c>
      <c r="DL5">
        <v>-1.5119412094354629E-2</v>
      </c>
      <c r="DM5">
        <v>-34945900</v>
      </c>
      <c r="DN5">
        <v>-2.1599160134792329E-2</v>
      </c>
      <c r="DO5">
        <v>844274620</v>
      </c>
      <c r="DP5">
        <v>18593490</v>
      </c>
      <c r="DQ5">
        <v>1119</v>
      </c>
      <c r="DR5">
        <v>0.14566736179847173</v>
      </c>
      <c r="DS5">
        <v>1.0198511424904571</v>
      </c>
      <c r="DT5" s="13">
        <v>-0.19000000000000003</v>
      </c>
      <c r="DU5">
        <v>-2.4816666666666669</v>
      </c>
      <c r="DV5">
        <v>-2.6716666666666669</v>
      </c>
      <c r="DW5">
        <v>7.3581653520303831</v>
      </c>
      <c r="DX5">
        <v>0.64379814323607687</v>
      </c>
      <c r="DY5">
        <v>7.0622484731543755</v>
      </c>
      <c r="DZ5">
        <v>4782</v>
      </c>
      <c r="EA5">
        <v>7.0039955967112792</v>
      </c>
      <c r="EB5">
        <v>7</v>
      </c>
      <c r="EC5">
        <v>0.15005656730364045</v>
      </c>
      <c r="ED5">
        <v>0.86339568714387793</v>
      </c>
      <c r="EE5" s="14">
        <v>-3.0194999999999999</v>
      </c>
      <c r="EF5">
        <v>-3.0066999999999999</v>
      </c>
      <c r="EG5">
        <v>47.173798143236077</v>
      </c>
      <c r="EH5" t="s">
        <v>530</v>
      </c>
      <c r="EI5">
        <v>1</v>
      </c>
      <c r="EJ5">
        <v>0</v>
      </c>
      <c r="EK5" s="10">
        <v>45470</v>
      </c>
      <c r="EL5" s="15">
        <v>-4.5999999999999996</v>
      </c>
      <c r="EM5" s="15">
        <v>-10.24</v>
      </c>
      <c r="EN5" s="15">
        <v>-0.67</v>
      </c>
      <c r="EO5" s="15">
        <v>5.41</v>
      </c>
      <c r="EP5" s="15">
        <v>-1.28</v>
      </c>
    </row>
    <row r="6" spans="1:146" ht="96" x14ac:dyDescent="0.25">
      <c r="A6" s="8"/>
      <c r="B6" s="8"/>
      <c r="C6" s="8" t="str">
        <f>""&amp;CHAR(10)&amp;Basic_Fundamental_Information_Constructure(F6)&amp;CHAR(10)&amp;Basic_Fundamental_Information_Concatenate("")</f>
        <v xml:space="preserve">
市值16.822662亿, 利润4317.66万; PE28.39; 平均PE-71.81; 平均PEG-7.25, PB2.8; ROIC3.615%; ROE-10.53%; 股利率1.0548%; 毛利11.0633%; 净利-13.9767%; 上一年度营收增46.64%, 利润增113.53%; 当季营收增30.47%, 利润增260.33%; 过往5年营收增9.9%, 利润增-307.94%
Income profile:
</v>
      </c>
      <c r="D6" t="s">
        <v>103</v>
      </c>
      <c r="E6" t="s">
        <v>104</v>
      </c>
      <c r="F6">
        <v>8.3699999999999992</v>
      </c>
      <c r="G6">
        <v>1.0900000000000001</v>
      </c>
      <c r="H6" t="s">
        <v>531</v>
      </c>
      <c r="I6">
        <v>1682266200</v>
      </c>
      <c r="J6">
        <v>28.39</v>
      </c>
      <c r="K6">
        <v>2.8</v>
      </c>
      <c r="L6" t="s">
        <v>71</v>
      </c>
      <c r="M6" t="s">
        <v>532</v>
      </c>
      <c r="N6" t="s">
        <v>533</v>
      </c>
      <c r="O6" t="s">
        <v>419</v>
      </c>
      <c r="P6">
        <v>30.42</v>
      </c>
      <c r="Q6" t="s">
        <v>534</v>
      </c>
      <c r="R6">
        <v>9902072</v>
      </c>
      <c r="S6" s="6">
        <v>2.6030000000000002</v>
      </c>
      <c r="T6" t="s">
        <v>535</v>
      </c>
      <c r="U6">
        <v>193703510</v>
      </c>
      <c r="V6">
        <v>200987600</v>
      </c>
      <c r="W6">
        <v>3.11</v>
      </c>
      <c r="X6">
        <v>0.09</v>
      </c>
      <c r="Y6">
        <v>5.92</v>
      </c>
      <c r="Z6" t="s">
        <v>298</v>
      </c>
      <c r="AA6" t="s">
        <v>536</v>
      </c>
      <c r="AB6" t="s">
        <v>537</v>
      </c>
      <c r="AC6" t="s">
        <v>538</v>
      </c>
      <c r="AD6" t="s">
        <v>5</v>
      </c>
      <c r="AE6">
        <v>2694437</v>
      </c>
      <c r="AF6" t="s">
        <v>539</v>
      </c>
      <c r="AG6">
        <v>119.21</v>
      </c>
      <c r="AH6" t="s">
        <v>540</v>
      </c>
      <c r="AI6" t="s">
        <v>541</v>
      </c>
      <c r="AJ6" t="s">
        <v>542</v>
      </c>
      <c r="AK6" t="s">
        <v>251</v>
      </c>
      <c r="AL6" t="s">
        <v>543</v>
      </c>
      <c r="AM6" t="s">
        <v>5</v>
      </c>
      <c r="AN6">
        <v>0</v>
      </c>
      <c r="AO6" t="s">
        <v>544</v>
      </c>
      <c r="AP6" t="s">
        <v>300</v>
      </c>
      <c r="AQ6" t="s">
        <v>545</v>
      </c>
      <c r="AR6" t="s">
        <v>5</v>
      </c>
      <c r="AS6" t="s">
        <v>546</v>
      </c>
      <c r="AT6" t="s">
        <v>5</v>
      </c>
      <c r="AU6" t="s">
        <v>547</v>
      </c>
      <c r="AV6" t="s">
        <v>548</v>
      </c>
      <c r="AW6" t="s">
        <v>549</v>
      </c>
      <c r="AX6" t="s">
        <v>550</v>
      </c>
      <c r="AY6" t="s">
        <v>221</v>
      </c>
      <c r="AZ6" t="s">
        <v>105</v>
      </c>
      <c r="BA6" t="s">
        <v>59</v>
      </c>
      <c r="BB6" t="s">
        <v>63</v>
      </c>
      <c r="BC6" t="s">
        <v>551</v>
      </c>
      <c r="BD6" t="s">
        <v>288</v>
      </c>
      <c r="BE6" t="s">
        <v>106</v>
      </c>
      <c r="BF6" t="s">
        <v>107</v>
      </c>
      <c r="BG6" t="s">
        <v>108</v>
      </c>
      <c r="BH6" t="s">
        <v>534</v>
      </c>
      <c r="BI6" t="s">
        <v>536</v>
      </c>
      <c r="BJ6" t="s">
        <v>550</v>
      </c>
      <c r="BK6" t="s">
        <v>535</v>
      </c>
      <c r="BL6" t="s">
        <v>552</v>
      </c>
      <c r="BM6" t="s">
        <v>551</v>
      </c>
      <c r="BN6">
        <v>4.12</v>
      </c>
      <c r="BO6" t="s">
        <v>5</v>
      </c>
      <c r="BP6">
        <v>3.11</v>
      </c>
      <c r="BQ6">
        <v>5.84</v>
      </c>
      <c r="BR6">
        <v>-39.619999999999997</v>
      </c>
      <c r="BS6">
        <v>2.19</v>
      </c>
      <c r="BT6" t="s">
        <v>553</v>
      </c>
      <c r="BU6" t="s">
        <v>284</v>
      </c>
      <c r="BV6">
        <v>18.38</v>
      </c>
      <c r="BW6">
        <v>-2.5299999999999998</v>
      </c>
      <c r="BX6">
        <v>17.34</v>
      </c>
      <c r="BY6">
        <v>4.8499999999999996</v>
      </c>
      <c r="BZ6">
        <v>-49.49</v>
      </c>
      <c r="CA6">
        <v>2.71</v>
      </c>
      <c r="CB6">
        <v>-1.99</v>
      </c>
      <c r="CC6">
        <v>-10.5</v>
      </c>
      <c r="CD6" t="s">
        <v>554</v>
      </c>
      <c r="CE6" t="s">
        <v>555</v>
      </c>
      <c r="CF6" s="11">
        <v>0.3046875</v>
      </c>
      <c r="CG6" s="12">
        <v>2.6033147668393783</v>
      </c>
      <c r="CH6" s="11">
        <v>0.46636772155761719</v>
      </c>
      <c r="CI6" s="11">
        <v>-0.41469818353652954</v>
      </c>
      <c r="CJ6" s="11">
        <v>0.22115391492843628</v>
      </c>
      <c r="CK6" s="11">
        <v>-0.33522728085517883</v>
      </c>
      <c r="CL6" s="11">
        <v>0.55752211809158325</v>
      </c>
      <c r="CM6" s="12">
        <v>1.1353498697280884</v>
      </c>
      <c r="CN6" s="12">
        <v>-15.920486450195313</v>
      </c>
      <c r="CO6" s="12">
        <v>-0.14233678579330444</v>
      </c>
      <c r="CP6" s="12">
        <v>-0.42696559429168701</v>
      </c>
      <c r="CQ6" s="12">
        <v>-4.2792797088623047E-2</v>
      </c>
      <c r="CR6">
        <v>-71.806715981509072</v>
      </c>
      <c r="CS6">
        <v>-7.2514707500044073</v>
      </c>
      <c r="CT6">
        <v>1.0547861409796895</v>
      </c>
      <c r="CU6" s="11">
        <v>9.9023658037185672E-2</v>
      </c>
      <c r="CV6" s="12">
        <v>-3.0794463515281678</v>
      </c>
      <c r="CW6">
        <v>0.06</v>
      </c>
      <c r="CX6">
        <v>53.238147785622104</v>
      </c>
      <c r="CY6">
        <v>44766136.673215419</v>
      </c>
      <c r="CZ6">
        <v>9.9023658037185672E-2</v>
      </c>
      <c r="DA6">
        <v>17.265434513992144</v>
      </c>
      <c r="DB6">
        <v>138036850.33635086</v>
      </c>
      <c r="DC6">
        <v>9.4072475135326378E-2</v>
      </c>
      <c r="DD6">
        <v>8.4127567697673857</v>
      </c>
      <c r="DE6">
        <v>283291941.657538</v>
      </c>
      <c r="DF6">
        <v>8.7140819072723391E-2</v>
      </c>
      <c r="DG6">
        <v>4.9937359317124717</v>
      </c>
      <c r="DH6">
        <v>477251146.75471455</v>
      </c>
      <c r="DI6">
        <v>7.9218926429748537E-2</v>
      </c>
      <c r="DJ6">
        <v>2.5144145158476405</v>
      </c>
      <c r="DK6">
        <v>947841409.98986053</v>
      </c>
      <c r="DL6">
        <v>6.9316560626029963E-2</v>
      </c>
      <c r="DM6">
        <v>43176600</v>
      </c>
      <c r="DN6">
        <v>9.9023658037185672E-2</v>
      </c>
      <c r="DO6">
        <v>2383266200</v>
      </c>
      <c r="DP6">
        <v>-46385870</v>
      </c>
      <c r="DQ6">
        <v>1299</v>
      </c>
      <c r="DR6">
        <v>0.20566384196281434</v>
      </c>
      <c r="DS6">
        <v>5.6827611183675462</v>
      </c>
      <c r="DT6" s="13">
        <v>-0.3066666666666667</v>
      </c>
      <c r="DU6">
        <v>-0.94</v>
      </c>
      <c r="DV6">
        <v>-1.2466666666666666</v>
      </c>
      <c r="DW6">
        <v>-2.105</v>
      </c>
      <c r="DX6">
        <v>0.28354775086505085</v>
      </c>
      <c r="DY6">
        <v>-2.0108725138408303</v>
      </c>
      <c r="DZ6">
        <v>3815</v>
      </c>
      <c r="EA6">
        <v>-2.0027553630966488</v>
      </c>
      <c r="EB6">
        <v>2</v>
      </c>
      <c r="EC6">
        <v>0.14889127488461976</v>
      </c>
      <c r="ED6">
        <v>1.4378996515207902</v>
      </c>
      <c r="EE6" s="14">
        <v>-1.0541</v>
      </c>
      <c r="EF6">
        <v>-1.0269999999999999</v>
      </c>
      <c r="EG6">
        <v>18.103547750865051</v>
      </c>
      <c r="EH6" t="s">
        <v>447</v>
      </c>
      <c r="EI6">
        <v>0</v>
      </c>
      <c r="EJ6">
        <v>0</v>
      </c>
      <c r="EK6" s="10">
        <v>45470</v>
      </c>
      <c r="EL6" s="15">
        <v>-0.81</v>
      </c>
      <c r="EM6" s="15">
        <v>-3.97</v>
      </c>
      <c r="EN6" s="15">
        <v>1.34</v>
      </c>
      <c r="EO6" s="15">
        <v>1.92</v>
      </c>
      <c r="EP6" s="15">
        <v>-2.71</v>
      </c>
    </row>
    <row r="7" spans="1:146" ht="96" x14ac:dyDescent="0.25">
      <c r="A7" s="8"/>
      <c r="B7" s="8"/>
      <c r="C7" s="8" t="str">
        <f>""&amp;CHAR(10)&amp;Basic_Fundamental_Information_Constructure(F7)&amp;CHAR(10)&amp;Basic_Fundamental_Information_Concatenate("")</f>
        <v xml:space="preserve">
市值22.369143亿, 利润1458.50万; PE147.1; 平均PE2.99; 平均PEG83310647.93, PB2.02; ROIC-15.4867%; ROE-22.8333%; 股利率0%; 毛利26.4633%; 净利-57.42%; 上一年度营收增18.2%, 利润增101.39%; 当季营收增11.47%, 利润增250.9%; 过往5年营收增31.14%, 利润增-430.34%
Income profile:
</v>
      </c>
      <c r="D7" t="s">
        <v>110</v>
      </c>
      <c r="E7" t="s">
        <v>111</v>
      </c>
      <c r="F7">
        <v>4.1100000000000003</v>
      </c>
      <c r="G7">
        <v>1.4800000000000001E-2</v>
      </c>
      <c r="H7" t="s">
        <v>413</v>
      </c>
      <c r="I7">
        <v>2236914300</v>
      </c>
      <c r="J7">
        <v>147.1</v>
      </c>
      <c r="K7">
        <v>2.02</v>
      </c>
      <c r="L7" t="s">
        <v>71</v>
      </c>
      <c r="M7" t="s">
        <v>304</v>
      </c>
      <c r="N7" t="s">
        <v>305</v>
      </c>
      <c r="O7" t="s">
        <v>306</v>
      </c>
      <c r="P7">
        <v>-4.47</v>
      </c>
      <c r="Q7" t="s">
        <v>224</v>
      </c>
      <c r="R7">
        <v>16013253</v>
      </c>
      <c r="S7" s="6">
        <v>4.0599999999999997E-2</v>
      </c>
      <c r="T7" t="s">
        <v>225</v>
      </c>
      <c r="U7">
        <v>485016370</v>
      </c>
      <c r="V7">
        <v>544261400</v>
      </c>
      <c r="W7">
        <v>1.49</v>
      </c>
      <c r="X7">
        <v>0.3</v>
      </c>
      <c r="Y7">
        <v>3.03</v>
      </c>
      <c r="Z7" t="s">
        <v>295</v>
      </c>
      <c r="AA7" t="s">
        <v>302</v>
      </c>
      <c r="AB7" t="s">
        <v>307</v>
      </c>
      <c r="AC7" t="s">
        <v>308</v>
      </c>
      <c r="AD7" t="s">
        <v>289</v>
      </c>
      <c r="AE7">
        <v>-1428501</v>
      </c>
      <c r="AF7" t="s">
        <v>309</v>
      </c>
      <c r="AG7" t="s">
        <v>5</v>
      </c>
      <c r="AH7" t="s">
        <v>310</v>
      </c>
      <c r="AI7" t="s">
        <v>311</v>
      </c>
      <c r="AJ7" t="s">
        <v>312</v>
      </c>
      <c r="AK7" t="s">
        <v>313</v>
      </c>
      <c r="AL7" t="s">
        <v>314</v>
      </c>
      <c r="AM7" t="s">
        <v>5</v>
      </c>
      <c r="AN7">
        <v>0</v>
      </c>
      <c r="AO7" t="s">
        <v>315</v>
      </c>
      <c r="AP7" t="s">
        <v>285</v>
      </c>
      <c r="AQ7" t="s">
        <v>316</v>
      </c>
      <c r="AR7" t="s">
        <v>290</v>
      </c>
      <c r="AS7" t="s">
        <v>317</v>
      </c>
      <c r="AT7" t="s">
        <v>5</v>
      </c>
      <c r="AU7" t="s">
        <v>318</v>
      </c>
      <c r="AV7" t="s">
        <v>319</v>
      </c>
      <c r="AW7" t="s">
        <v>320</v>
      </c>
      <c r="AX7" t="s">
        <v>112</v>
      </c>
      <c r="AY7" t="s">
        <v>114</v>
      </c>
      <c r="AZ7" t="s">
        <v>115</v>
      </c>
      <c r="BA7" t="s">
        <v>116</v>
      </c>
      <c r="BB7" t="s">
        <v>117</v>
      </c>
      <c r="BC7" t="s">
        <v>113</v>
      </c>
      <c r="BD7" t="s">
        <v>118</v>
      </c>
      <c r="BE7" t="s">
        <v>21</v>
      </c>
      <c r="BF7" t="s">
        <v>119</v>
      </c>
      <c r="BG7" t="s">
        <v>120</v>
      </c>
      <c r="BH7" t="s">
        <v>321</v>
      </c>
      <c r="BI7" t="s">
        <v>322</v>
      </c>
      <c r="BJ7" t="s">
        <v>292</v>
      </c>
      <c r="BK7" t="s">
        <v>323</v>
      </c>
      <c r="BL7" t="s">
        <v>324</v>
      </c>
      <c r="BM7" t="s">
        <v>293</v>
      </c>
      <c r="BN7">
        <v>1.5</v>
      </c>
      <c r="BO7">
        <v>-51.12</v>
      </c>
      <c r="BP7">
        <v>3.16</v>
      </c>
      <c r="BQ7">
        <v>1.57</v>
      </c>
      <c r="BR7">
        <v>-72.64</v>
      </c>
      <c r="BS7">
        <v>2.57</v>
      </c>
      <c r="BT7" t="s">
        <v>409</v>
      </c>
      <c r="BU7" t="s">
        <v>284</v>
      </c>
      <c r="BV7">
        <v>34.29</v>
      </c>
      <c r="BW7">
        <v>10.24</v>
      </c>
      <c r="BX7">
        <v>34.86</v>
      </c>
      <c r="BY7">
        <v>3.77</v>
      </c>
      <c r="BZ7">
        <v>-179.28</v>
      </c>
      <c r="CA7">
        <v>3.25</v>
      </c>
      <c r="CB7">
        <v>3.53</v>
      </c>
      <c r="CC7">
        <v>-3.75</v>
      </c>
      <c r="CD7" t="s">
        <v>414</v>
      </c>
      <c r="CE7" t="s">
        <v>415</v>
      </c>
      <c r="CF7" s="11">
        <v>0.11473049079754601</v>
      </c>
      <c r="CG7" s="12">
        <v>2.5089682968219686</v>
      </c>
      <c r="CH7" s="11">
        <v>0.1819620281457901</v>
      </c>
      <c r="CI7" s="11">
        <v>-0.59383034706115723</v>
      </c>
      <c r="CJ7" s="11">
        <v>-2.3226577788591385E-2</v>
      </c>
      <c r="CK7" s="11">
        <v>0.94981634616851807</v>
      </c>
      <c r="CL7" s="11">
        <v>1.0425000190734863</v>
      </c>
      <c r="CM7" s="12">
        <v>1.0138509273529053</v>
      </c>
      <c r="CN7" s="12">
        <v>-24.329906463623047</v>
      </c>
      <c r="CO7" s="12">
        <v>-0.56600767374038696</v>
      </c>
      <c r="CP7" s="12">
        <v>1.3570313453674316</v>
      </c>
      <c r="CQ7" s="12">
        <v>1.0079410076141357</v>
      </c>
      <c r="CR7">
        <v>2.9945305220883536</v>
      </c>
      <c r="CS7">
        <v>83310647.925951317</v>
      </c>
      <c r="CT7">
        <v>0</v>
      </c>
      <c r="CU7" s="11">
        <v>0.31144429370760918</v>
      </c>
      <c r="CV7" s="12">
        <v>-4.3034181714057924</v>
      </c>
      <c r="CW7">
        <v>0.06</v>
      </c>
      <c r="CX7">
        <v>92.432205596365307</v>
      </c>
      <c r="CY7">
        <v>18044731.154457998</v>
      </c>
      <c r="CZ7">
        <v>0.31144429370760918</v>
      </c>
      <c r="DA7">
        <v>25.165719753587702</v>
      </c>
      <c r="DB7">
        <v>66277234.123701826</v>
      </c>
      <c r="DC7">
        <v>0.29587207902222873</v>
      </c>
      <c r="DD7">
        <v>9.5344955346960294</v>
      </c>
      <c r="DE7">
        <v>174934719.29694232</v>
      </c>
      <c r="DF7">
        <v>0.27407097846269607</v>
      </c>
      <c r="DG7">
        <v>4.1572887525070312</v>
      </c>
      <c r="DH7">
        <v>401202418.04088616</v>
      </c>
      <c r="DI7">
        <v>0.24915543496608736</v>
      </c>
      <c r="DJ7">
        <v>0.98229071633866261</v>
      </c>
      <c r="DK7">
        <v>1697984387.164824</v>
      </c>
      <c r="DL7">
        <v>0.21801100559532641</v>
      </c>
      <c r="DM7">
        <v>14585000</v>
      </c>
      <c r="DN7">
        <v>0.31144429370760918</v>
      </c>
      <c r="DO7">
        <v>1667914300</v>
      </c>
      <c r="DP7">
        <v>262118680</v>
      </c>
      <c r="DQ7">
        <v>1662</v>
      </c>
      <c r="DR7">
        <v>-0.19671380291006318</v>
      </c>
      <c r="DS7">
        <v>6.8123864682277606</v>
      </c>
      <c r="DT7" s="13">
        <v>0</v>
      </c>
      <c r="DU7">
        <v>0.6</v>
      </c>
      <c r="DV7">
        <v>0.6</v>
      </c>
      <c r="DW7">
        <v>6.4848901098901095</v>
      </c>
      <c r="DX7">
        <v>0.42608365019011574</v>
      </c>
      <c r="DY7">
        <v>6.0756834182927335</v>
      </c>
      <c r="DZ7">
        <v>1666</v>
      </c>
      <c r="EA7">
        <v>6.0500660727267652</v>
      </c>
      <c r="EB7">
        <v>6</v>
      </c>
      <c r="EC7">
        <v>7.542331681063548E-2</v>
      </c>
      <c r="ED7">
        <v>0.48322368626545992</v>
      </c>
      <c r="EE7" s="14">
        <v>1.8799999999999997E-2</v>
      </c>
      <c r="EF7">
        <v>1.8948E-2</v>
      </c>
      <c r="EG7">
        <v>27.156083650190116</v>
      </c>
      <c r="EH7" t="s">
        <v>412</v>
      </c>
      <c r="EI7">
        <v>0</v>
      </c>
      <c r="EJ7">
        <v>0</v>
      </c>
      <c r="EK7" s="10">
        <v>44946</v>
      </c>
      <c r="EL7" s="15">
        <v>1.26E-2</v>
      </c>
      <c r="EM7" s="15">
        <v>-1.24</v>
      </c>
      <c r="EN7" s="15">
        <v>1.26</v>
      </c>
      <c r="EO7" s="15">
        <v>0.75</v>
      </c>
      <c r="EP7" s="15">
        <v>1.4800000000000001E-2</v>
      </c>
    </row>
    <row r="8" spans="1:146" ht="96" x14ac:dyDescent="0.25">
      <c r="A8" s="8"/>
      <c r="B8" s="8"/>
      <c r="C8" s="8" t="str">
        <f>""&amp;CHAR(10)&amp;Basic_Fundamental_Information_Constructure(F8)&amp;CHAR(10)&amp;Basic_Fundamental_Information_Concatenate("")</f>
        <v xml:space="preserve">
市值44.736亿, 利润-1.28亿; PE; 平均PE2062.56; 平均PEG47.43, PB4; ROIC2.84%; ROE-.63%; 股利率0%; 毛利43.9533%; 净利-3.1567%; 上一年度营收增0%, 利润增-411.67%; 当季营收增5.45%, 利润增-685.63%; 过往5年营收增43.48%, 利润增-46.91%
Income profile:
</v>
      </c>
      <c r="D8" t="s">
        <v>123</v>
      </c>
      <c r="E8" t="s">
        <v>124</v>
      </c>
      <c r="F8">
        <v>13.98</v>
      </c>
      <c r="G8">
        <v>1.53</v>
      </c>
      <c r="H8" t="s">
        <v>556</v>
      </c>
      <c r="I8">
        <v>4473600000</v>
      </c>
      <c r="K8">
        <v>4</v>
      </c>
      <c r="L8" t="s">
        <v>71</v>
      </c>
      <c r="M8" t="s">
        <v>557</v>
      </c>
      <c r="N8" t="s">
        <v>558</v>
      </c>
      <c r="O8" t="s">
        <v>559</v>
      </c>
      <c r="P8">
        <v>5.9</v>
      </c>
      <c r="Q8" t="s">
        <v>294</v>
      </c>
      <c r="R8">
        <v>-12295914</v>
      </c>
      <c r="S8" s="6">
        <v>-6.8559999999999999</v>
      </c>
      <c r="T8" t="s">
        <v>560</v>
      </c>
      <c r="U8">
        <v>220070000</v>
      </c>
      <c r="V8">
        <v>320000000</v>
      </c>
      <c r="W8">
        <v>1.93</v>
      </c>
      <c r="X8">
        <v>0.05</v>
      </c>
      <c r="Y8">
        <v>-10.61</v>
      </c>
      <c r="Z8" t="s">
        <v>561</v>
      </c>
      <c r="AA8" t="s">
        <v>562</v>
      </c>
      <c r="AB8" t="s">
        <v>5</v>
      </c>
      <c r="AC8" t="s">
        <v>563</v>
      </c>
      <c r="AD8" t="s">
        <v>5</v>
      </c>
      <c r="AE8">
        <v>4439678</v>
      </c>
      <c r="AF8" t="s">
        <v>564</v>
      </c>
      <c r="AG8" t="s">
        <v>5</v>
      </c>
      <c r="AH8" t="s">
        <v>565</v>
      </c>
      <c r="AI8" t="s">
        <v>122</v>
      </c>
      <c r="AJ8" t="s">
        <v>566</v>
      </c>
      <c r="AK8" t="s">
        <v>327</v>
      </c>
      <c r="AL8" t="s">
        <v>567</v>
      </c>
      <c r="AM8" t="s">
        <v>5</v>
      </c>
      <c r="AN8" t="s">
        <v>568</v>
      </c>
      <c r="AO8" t="s">
        <v>569</v>
      </c>
      <c r="AP8" t="s">
        <v>5</v>
      </c>
      <c r="AQ8" t="s">
        <v>570</v>
      </c>
      <c r="AR8" t="s">
        <v>5</v>
      </c>
      <c r="AS8" t="s">
        <v>571</v>
      </c>
      <c r="AT8" t="s">
        <v>572</v>
      </c>
      <c r="AU8" t="s">
        <v>573</v>
      </c>
      <c r="AV8" t="s">
        <v>574</v>
      </c>
      <c r="AW8" t="s">
        <v>575</v>
      </c>
      <c r="AX8" t="s">
        <v>294</v>
      </c>
      <c r="AY8" t="s">
        <v>226</v>
      </c>
      <c r="AZ8" t="s">
        <v>125</v>
      </c>
      <c r="BA8" t="s">
        <v>66</v>
      </c>
      <c r="BB8" t="s">
        <v>98</v>
      </c>
      <c r="BC8" t="s">
        <v>576</v>
      </c>
      <c r="BD8" t="s">
        <v>227</v>
      </c>
      <c r="BE8" t="s">
        <v>126</v>
      </c>
      <c r="BF8" t="s">
        <v>127</v>
      </c>
      <c r="BG8" t="s">
        <v>128</v>
      </c>
      <c r="BH8" t="s">
        <v>294</v>
      </c>
      <c r="BI8" t="s">
        <v>41</v>
      </c>
      <c r="BJ8" t="s">
        <v>294</v>
      </c>
      <c r="BK8" t="s">
        <v>560</v>
      </c>
      <c r="BL8" t="s">
        <v>577</v>
      </c>
      <c r="BM8" t="s">
        <v>576</v>
      </c>
      <c r="BN8" t="s">
        <v>5</v>
      </c>
      <c r="BO8">
        <v>3</v>
      </c>
      <c r="BP8">
        <v>2.68</v>
      </c>
      <c r="BQ8">
        <v>-8</v>
      </c>
      <c r="BR8">
        <v>3.29</v>
      </c>
      <c r="BS8">
        <v>2.82</v>
      </c>
      <c r="BT8" t="s">
        <v>409</v>
      </c>
      <c r="BU8" t="s">
        <v>284</v>
      </c>
      <c r="BV8">
        <v>35.49</v>
      </c>
      <c r="BW8">
        <v>52.22</v>
      </c>
      <c r="BX8">
        <v>44.15</v>
      </c>
      <c r="BY8">
        <v>-26.61</v>
      </c>
      <c r="BZ8">
        <v>8.6199999999999992</v>
      </c>
      <c r="CA8">
        <v>8.52</v>
      </c>
      <c r="CB8">
        <v>0.43</v>
      </c>
      <c r="CC8">
        <v>-0.64</v>
      </c>
      <c r="CD8" t="s">
        <v>578</v>
      </c>
      <c r="CE8" t="s">
        <v>579</v>
      </c>
      <c r="CF8" s="11">
        <v>5.4545454545454265E-2</v>
      </c>
      <c r="CG8" s="12">
        <v>-6.856312630977329</v>
      </c>
      <c r="CH8" s="11">
        <v>0</v>
      </c>
      <c r="CI8" s="11">
        <v>0.18472906947135925</v>
      </c>
      <c r="CJ8" s="11">
        <v>-4.4705882668495178E-2</v>
      </c>
      <c r="CK8" s="11">
        <v>1.4285714626312256</v>
      </c>
      <c r="CL8" s="11">
        <v>0.60550457239151001</v>
      </c>
      <c r="CM8" s="12">
        <v>-4.1166682243347168</v>
      </c>
      <c r="CN8" s="12">
        <v>0.19793428480625153</v>
      </c>
      <c r="CO8" s="12">
        <v>2.27018141746521</v>
      </c>
      <c r="CP8" s="12">
        <v>-0.59952861070632935</v>
      </c>
      <c r="CQ8" s="12">
        <v>-9.724985808134079E-2</v>
      </c>
      <c r="CR8">
        <v>2062.5648355194908</v>
      </c>
      <c r="CS8">
        <v>47.434928792889842</v>
      </c>
      <c r="CT8">
        <v>0</v>
      </c>
      <c r="CU8" s="11">
        <v>0.43481984436511995</v>
      </c>
      <c r="CV8" s="12">
        <v>-0.46906619817018508</v>
      </c>
      <c r="CW8">
        <v>0.06</v>
      </c>
      <c r="CX8" t="e">
        <v>#VALUE!</v>
      </c>
      <c r="CY8" t="s">
        <v>286</v>
      </c>
      <c r="CZ8">
        <v>0.43481984436511995</v>
      </c>
      <c r="DA8" t="e">
        <v>#VALUE!</v>
      </c>
      <c r="DB8" t="s">
        <v>287</v>
      </c>
      <c r="DC8">
        <v>0.41307885214686391</v>
      </c>
      <c r="DD8" t="e">
        <v>#VALUE!</v>
      </c>
      <c r="DE8" t="s">
        <v>287</v>
      </c>
      <c r="DF8">
        <v>0.38264146304130553</v>
      </c>
      <c r="DG8" t="e">
        <v>#VALUE!</v>
      </c>
      <c r="DH8" t="s">
        <v>287</v>
      </c>
      <c r="DI8">
        <v>0.34785587549209596</v>
      </c>
      <c r="DJ8" t="e">
        <v>#VALUE!</v>
      </c>
      <c r="DK8" t="s">
        <v>287</v>
      </c>
      <c r="DL8">
        <v>0.30437389105558393</v>
      </c>
      <c r="DM8">
        <v>-128000000</v>
      </c>
      <c r="DN8">
        <v>0.43481984436511995</v>
      </c>
      <c r="DO8">
        <v>4482600000</v>
      </c>
      <c r="DP8">
        <v>-294978500</v>
      </c>
      <c r="DQ8">
        <v>1678</v>
      </c>
      <c r="DR8">
        <v>-0.38027438981966566</v>
      </c>
      <c r="DS8">
        <v>-6.3872464328071441</v>
      </c>
      <c r="DT8" s="13">
        <v>0.14333333333333323</v>
      </c>
      <c r="DU8">
        <v>-1.2749999999999999</v>
      </c>
      <c r="DV8">
        <v>-1.1316666666666666</v>
      </c>
      <c r="DW8">
        <v>-6.4000000000000003E-3</v>
      </c>
      <c r="DX8">
        <v>0.33561334737575876</v>
      </c>
      <c r="DY8">
        <v>-5.4792542320486622E-4</v>
      </c>
      <c r="DZ8">
        <v>3693</v>
      </c>
      <c r="EA8">
        <v>-1.5193939817637875E-4</v>
      </c>
      <c r="EB8">
        <v>0</v>
      </c>
      <c r="EC8">
        <v>2.2765312499999999E-2</v>
      </c>
      <c r="ED8">
        <v>0.26590843749999998</v>
      </c>
      <c r="EE8" s="14">
        <v>-2.1004999999999998</v>
      </c>
      <c r="EF8">
        <v>-2.0939000000000001</v>
      </c>
      <c r="EG8">
        <v>25.085613347375759</v>
      </c>
      <c r="EH8" t="s">
        <v>580</v>
      </c>
      <c r="EI8">
        <v>0</v>
      </c>
      <c r="EJ8">
        <v>0</v>
      </c>
      <c r="EK8" s="10">
        <v>45470</v>
      </c>
      <c r="EL8" s="15">
        <v>-0.15</v>
      </c>
      <c r="EM8" s="15">
        <v>-3.18</v>
      </c>
      <c r="EN8" s="15">
        <v>1.75</v>
      </c>
      <c r="EO8" s="15">
        <v>2.1</v>
      </c>
      <c r="EP8" s="15">
        <v>-0.66</v>
      </c>
    </row>
    <row r="9" spans="1:146" ht="96" hidden="1" x14ac:dyDescent="0.25">
      <c r="A9" s="8"/>
      <c r="B9" s="8"/>
      <c r="C9" s="8" t="str">
        <f>""&amp;CHAR(10)&amp;Basic_Fundamental_Information_Constructure(F9)&amp;CHAR(10)&amp;Basic_Fundamental_Information_Concatenate("")</f>
        <v xml:space="preserve">
市值19.89984亿, 利润-2.46亿; PE; 平均PE254.48; 平均PEG3.64, PB.789; ROIC2.1067%; ROE1.33%; 股利率0%; 毛利19.4167%; 净利-2.4267%; 上一年度营收增-33.79%, 利润增-697.92%; 当季营收增-27.3%, 利润增-271.06%; 过往5年营收增69.83%, 利润增97.2%
Income profile:
</v>
      </c>
      <c r="D9" t="s">
        <v>129</v>
      </c>
      <c r="E9" t="s">
        <v>130</v>
      </c>
      <c r="F9">
        <v>7.41</v>
      </c>
      <c r="G9">
        <v>2.63</v>
      </c>
      <c r="H9" t="s">
        <v>581</v>
      </c>
      <c r="I9">
        <v>1989984000</v>
      </c>
      <c r="K9">
        <v>0.78900000000000003</v>
      </c>
      <c r="L9" t="s">
        <v>71</v>
      </c>
      <c r="M9" t="s">
        <v>582</v>
      </c>
      <c r="N9" t="s">
        <v>583</v>
      </c>
      <c r="O9" t="s">
        <v>417</v>
      </c>
      <c r="P9">
        <v>-27.41</v>
      </c>
      <c r="Q9" t="s">
        <v>68</v>
      </c>
      <c r="R9">
        <v>-17408981</v>
      </c>
      <c r="S9" s="6">
        <v>-2.7109999999999999</v>
      </c>
      <c r="T9" t="s">
        <v>584</v>
      </c>
      <c r="U9">
        <v>261521090</v>
      </c>
      <c r="V9">
        <v>268553840</v>
      </c>
      <c r="W9">
        <v>1.96</v>
      </c>
      <c r="X9">
        <v>0.03</v>
      </c>
      <c r="Y9">
        <v>-6.02</v>
      </c>
      <c r="Z9" t="s">
        <v>585</v>
      </c>
      <c r="AA9" t="s">
        <v>472</v>
      </c>
      <c r="AB9" t="s">
        <v>586</v>
      </c>
      <c r="AC9" t="s">
        <v>587</v>
      </c>
      <c r="AD9" t="s">
        <v>5</v>
      </c>
      <c r="AE9">
        <v>30625578</v>
      </c>
      <c r="AF9" t="s">
        <v>588</v>
      </c>
      <c r="AG9" t="s">
        <v>5</v>
      </c>
      <c r="AH9" t="s">
        <v>589</v>
      </c>
      <c r="AI9" t="s">
        <v>590</v>
      </c>
      <c r="AJ9" t="s">
        <v>591</v>
      </c>
      <c r="AK9" t="s">
        <v>5</v>
      </c>
      <c r="AL9" t="s">
        <v>592</v>
      </c>
      <c r="AM9" t="s">
        <v>5</v>
      </c>
      <c r="AN9" t="s">
        <v>593</v>
      </c>
      <c r="AO9" t="s">
        <v>594</v>
      </c>
      <c r="AP9" t="s">
        <v>595</v>
      </c>
      <c r="AQ9" t="s">
        <v>596</v>
      </c>
      <c r="AR9" t="s">
        <v>5</v>
      </c>
      <c r="AS9" t="s">
        <v>76</v>
      </c>
      <c r="AT9" t="s">
        <v>597</v>
      </c>
      <c r="AU9" t="s">
        <v>21</v>
      </c>
      <c r="AV9" t="s">
        <v>598</v>
      </c>
      <c r="AW9" t="s">
        <v>599</v>
      </c>
      <c r="AX9" t="s">
        <v>600</v>
      </c>
      <c r="AY9" t="s">
        <v>228</v>
      </c>
      <c r="AZ9" t="s">
        <v>65</v>
      </c>
      <c r="BA9" t="s">
        <v>131</v>
      </c>
      <c r="BB9" t="s">
        <v>121</v>
      </c>
      <c r="BC9" t="s">
        <v>601</v>
      </c>
      <c r="BD9" t="s">
        <v>229</v>
      </c>
      <c r="BE9" t="s">
        <v>22</v>
      </c>
      <c r="BF9" t="s">
        <v>132</v>
      </c>
      <c r="BG9" t="s">
        <v>133</v>
      </c>
      <c r="BH9" t="s">
        <v>68</v>
      </c>
      <c r="BI9" t="s">
        <v>233</v>
      </c>
      <c r="BJ9" t="s">
        <v>600</v>
      </c>
      <c r="BK9" t="s">
        <v>584</v>
      </c>
      <c r="BL9" t="s">
        <v>602</v>
      </c>
      <c r="BM9" t="s">
        <v>601</v>
      </c>
      <c r="BN9">
        <v>0.52</v>
      </c>
      <c r="BO9">
        <v>2.1800000000000002</v>
      </c>
      <c r="BP9">
        <v>3.62</v>
      </c>
      <c r="BQ9">
        <v>0.28000000000000003</v>
      </c>
      <c r="BR9">
        <v>1.38</v>
      </c>
      <c r="BS9">
        <v>2.33</v>
      </c>
      <c r="BT9" t="s">
        <v>409</v>
      </c>
      <c r="BU9" t="s">
        <v>283</v>
      </c>
      <c r="BV9">
        <v>12.57</v>
      </c>
      <c r="BW9">
        <v>20.05</v>
      </c>
      <c r="BX9">
        <v>25.63</v>
      </c>
      <c r="BY9">
        <v>-18.7</v>
      </c>
      <c r="BZ9">
        <v>3.82</v>
      </c>
      <c r="CA9">
        <v>7.6</v>
      </c>
      <c r="CB9">
        <v>2.4900000000000002</v>
      </c>
      <c r="CC9">
        <v>-17.02</v>
      </c>
      <c r="CD9" t="s">
        <v>603</v>
      </c>
      <c r="CE9" t="s">
        <v>604</v>
      </c>
      <c r="CF9" s="11">
        <v>-0.27297297297297296</v>
      </c>
      <c r="CG9" s="12">
        <v>-2.7106201238085879</v>
      </c>
      <c r="CH9" s="11">
        <v>-0.33789730072021484</v>
      </c>
      <c r="CI9" s="11">
        <v>0.12116224318742752</v>
      </c>
      <c r="CJ9" s="11">
        <v>0.19528178870677948</v>
      </c>
      <c r="CK9" s="11">
        <v>-3.2658809795975685E-3</v>
      </c>
      <c r="CL9" s="11">
        <v>3.5162241458892822</v>
      </c>
      <c r="CM9" s="12">
        <v>-6.9791607856750488</v>
      </c>
      <c r="CN9" s="12">
        <v>-0.36126106977462769</v>
      </c>
      <c r="CO9" s="12">
        <v>-0.40358611941337585</v>
      </c>
      <c r="CP9" s="12">
        <v>0.46440279483795166</v>
      </c>
      <c r="CQ9" s="12">
        <v>12.139644622802734</v>
      </c>
      <c r="CR9">
        <v>254.48125050619583</v>
      </c>
      <c r="CS9">
        <v>3.6442916563436154</v>
      </c>
      <c r="CT9">
        <v>0</v>
      </c>
      <c r="CU9" s="11">
        <v>0.69830099921673539</v>
      </c>
      <c r="CV9" s="12">
        <v>0.97200788855552678</v>
      </c>
      <c r="CW9">
        <v>0.06</v>
      </c>
      <c r="CX9" t="e">
        <v>#VALUE!</v>
      </c>
      <c r="CY9" t="s">
        <v>286</v>
      </c>
      <c r="CZ9">
        <v>0.69830099921673539</v>
      </c>
      <c r="DA9" t="e">
        <v>#VALUE!</v>
      </c>
      <c r="DB9" t="s">
        <v>287</v>
      </c>
      <c r="DC9">
        <v>0.66338594925589855</v>
      </c>
      <c r="DD9" t="e">
        <v>#VALUE!</v>
      </c>
      <c r="DE9" t="s">
        <v>287</v>
      </c>
      <c r="DF9">
        <v>0.61450487931072717</v>
      </c>
      <c r="DG9" t="e">
        <v>#VALUE!</v>
      </c>
      <c r="DH9" t="s">
        <v>287</v>
      </c>
      <c r="DI9">
        <v>0.55864079937338829</v>
      </c>
      <c r="DJ9" t="e">
        <v>#VALUE!</v>
      </c>
      <c r="DK9" t="s">
        <v>287</v>
      </c>
      <c r="DL9">
        <v>0.48881069945171474</v>
      </c>
      <c r="DM9">
        <v>-246000000</v>
      </c>
      <c r="DN9">
        <v>0.69830099921673539</v>
      </c>
      <c r="DO9">
        <v>1317984000</v>
      </c>
      <c r="DP9">
        <v>809313000</v>
      </c>
      <c r="DQ9">
        <v>1954</v>
      </c>
      <c r="DR9">
        <v>-0.97127397218970835</v>
      </c>
      <c r="DS9">
        <v>-3.6826280123641144</v>
      </c>
      <c r="DT9" s="13">
        <v>2.3333333333333355E-2</v>
      </c>
      <c r="DU9">
        <v>-1.406666666666667</v>
      </c>
      <c r="DV9">
        <v>-1.3833333333333335</v>
      </c>
      <c r="DW9">
        <v>-3.0115357142857144</v>
      </c>
      <c r="DX9">
        <v>0.71099108696056812</v>
      </c>
      <c r="DY9">
        <v>-3.0016264328960096</v>
      </c>
      <c r="DZ9">
        <v>3937</v>
      </c>
      <c r="EA9">
        <v>-3.000373347512137</v>
      </c>
      <c r="EB9">
        <v>3</v>
      </c>
      <c r="EC9">
        <v>5.0762260558255286E-2</v>
      </c>
      <c r="ED9">
        <v>0.36003879147659923</v>
      </c>
      <c r="EE9" s="14">
        <v>-1.0096000000000001</v>
      </c>
      <c r="EF9">
        <v>-1.0200100000000001</v>
      </c>
      <c r="EG9">
        <v>57.140991086960568</v>
      </c>
      <c r="EH9" t="s">
        <v>605</v>
      </c>
      <c r="EI9">
        <v>0</v>
      </c>
      <c r="EJ9">
        <v>0</v>
      </c>
      <c r="EK9" s="10">
        <v>45470</v>
      </c>
      <c r="EL9" s="15">
        <v>-0.91</v>
      </c>
      <c r="EM9" s="15">
        <v>-5.77</v>
      </c>
      <c r="EN9" s="15">
        <v>0</v>
      </c>
      <c r="EO9" s="15">
        <v>3.34</v>
      </c>
      <c r="EP9" s="15">
        <v>-2.96</v>
      </c>
    </row>
    <row r="10" spans="1:146" ht="180" hidden="1" x14ac:dyDescent="0.25">
      <c r="A10" s="8"/>
      <c r="B10" s="8"/>
      <c r="C10" s="8" t="str">
        <f>"公司是以煤炭、LNG、醇醚、煤焦油、石油为核心产品，以能源物流为支撑的天然气液化、煤炭开采、煤化工转换、油气勘探开发四大业务板块。主要产品是中高压开关柜、接触器、断路器等电器元件、低压控制电器、自动化装置系统、光伏项目。"&amp;CHAR(10)&amp;Basic_Fundamental_Information_Constructure(F10)&amp;CHAR(10)&amp;Basic_Fundamental_Information_Concatenate("天然气销售 118.57亿 47.68% 39.09% 31.49%
煤炭 86.39亿 34.74% 38.21% 42.24%
煤化工产品 41.08亿 16.52% 21.89% 50.90%")</f>
        <v>公司是以煤炭、LNG、醇醚、煤焦油、石油为核心产品，以能源物流为支撑的天然气液化、煤炭开采、煤化工转换、油气勘探开发四大业务板块。主要产品是中高压开关柜、接触器、断路器等电器元件、低压控制电器、自动化装置系统、光伏项目。
市值413.64257亿, 利润-815.87万; PE13.91; 平均PE7.3; 平均PEG.27, PB1.39; ROIC16.3367%; ROE28.7333%; 股利率11.1111%; 毛利27.7967%; 净利15.4267%; 上一年度营收增-97.99%, 利润增-100.07%; 当季营收增3916.4%, 利润增8936.89%; 过往5年营收增-27.13%, 利润增-100.07%
Income profile:
天然气销售 118.57亿 47.68% 39.09% 31.49%
煤炭 86.39亿 34.74% 38.21% 42.24%
煤化工产品 41.08亿 16.52% 21.89% 50.90%</v>
      </c>
      <c r="D10" t="s">
        <v>134</v>
      </c>
      <c r="E10" t="s">
        <v>135</v>
      </c>
      <c r="F10">
        <v>6.3</v>
      </c>
      <c r="G10">
        <v>-1.56</v>
      </c>
      <c r="H10" t="s">
        <v>606</v>
      </c>
      <c r="I10">
        <v>41364257000</v>
      </c>
      <c r="J10">
        <v>13.91</v>
      </c>
      <c r="K10">
        <v>1.39</v>
      </c>
      <c r="L10" t="s">
        <v>71</v>
      </c>
      <c r="M10" t="s">
        <v>607</v>
      </c>
      <c r="N10" t="s">
        <v>608</v>
      </c>
      <c r="O10" t="s">
        <v>609</v>
      </c>
      <c r="P10">
        <v>-49.44</v>
      </c>
      <c r="Q10" t="s">
        <v>408</v>
      </c>
      <c r="R10">
        <v>807461530</v>
      </c>
      <c r="S10" s="6">
        <v>-0.73150000000000004</v>
      </c>
      <c r="T10" t="s">
        <v>610</v>
      </c>
      <c r="U10">
        <v>6565755100</v>
      </c>
      <c r="V10">
        <v>6565755100</v>
      </c>
      <c r="W10">
        <v>2.08</v>
      </c>
      <c r="X10" t="s">
        <v>5</v>
      </c>
      <c r="Y10">
        <v>7.67</v>
      </c>
      <c r="Z10" t="s">
        <v>5</v>
      </c>
      <c r="AA10" t="s">
        <v>5</v>
      </c>
      <c r="AB10" t="s">
        <v>5</v>
      </c>
      <c r="AC10" t="s">
        <v>5</v>
      </c>
      <c r="AD10" t="s">
        <v>5</v>
      </c>
      <c r="AE10">
        <v>282682770</v>
      </c>
      <c r="AF10" t="s">
        <v>611</v>
      </c>
      <c r="AG10" t="s">
        <v>612</v>
      </c>
      <c r="AH10" t="s">
        <v>613</v>
      </c>
      <c r="AI10" t="s">
        <v>614</v>
      </c>
      <c r="AJ10" t="s">
        <v>615</v>
      </c>
      <c r="AK10" t="s">
        <v>5</v>
      </c>
      <c r="AL10" t="s">
        <v>616</v>
      </c>
      <c r="AM10" t="s">
        <v>5</v>
      </c>
      <c r="AN10" t="s">
        <v>617</v>
      </c>
      <c r="AO10" t="s">
        <v>5</v>
      </c>
      <c r="AP10" t="s">
        <v>24</v>
      </c>
      <c r="AQ10" t="s">
        <v>618</v>
      </c>
      <c r="AR10" t="s">
        <v>5</v>
      </c>
      <c r="AS10" t="s">
        <v>5</v>
      </c>
      <c r="AT10" t="s">
        <v>5</v>
      </c>
      <c r="AU10" t="s">
        <v>619</v>
      </c>
      <c r="AV10" t="s">
        <v>620</v>
      </c>
      <c r="AW10" t="s">
        <v>621</v>
      </c>
      <c r="AX10" t="s">
        <v>622</v>
      </c>
      <c r="AY10" t="s">
        <v>5</v>
      </c>
      <c r="AZ10" t="s">
        <v>136</v>
      </c>
      <c r="BA10" t="s">
        <v>138</v>
      </c>
      <c r="BB10" t="s">
        <v>139</v>
      </c>
      <c r="BC10" t="s">
        <v>623</v>
      </c>
      <c r="BD10" t="s">
        <v>5</v>
      </c>
      <c r="BE10" t="s">
        <v>5</v>
      </c>
      <c r="BF10" t="s">
        <v>5</v>
      </c>
      <c r="BG10" t="s">
        <v>5</v>
      </c>
      <c r="BH10" t="s">
        <v>624</v>
      </c>
      <c r="BI10" t="s">
        <v>625</v>
      </c>
      <c r="BJ10" t="s">
        <v>622</v>
      </c>
      <c r="BK10" t="s">
        <v>626</v>
      </c>
      <c r="BL10" t="s">
        <v>627</v>
      </c>
      <c r="BM10" t="s">
        <v>623</v>
      </c>
      <c r="BN10">
        <v>10.79</v>
      </c>
      <c r="BO10">
        <v>24.9</v>
      </c>
      <c r="BP10">
        <v>13.32</v>
      </c>
      <c r="BQ10">
        <v>14.38</v>
      </c>
      <c r="BR10">
        <v>45.05</v>
      </c>
      <c r="BS10">
        <v>26.77</v>
      </c>
      <c r="BT10" t="s">
        <v>628</v>
      </c>
      <c r="BU10" t="s">
        <v>283</v>
      </c>
      <c r="BV10">
        <v>16.350000000000001</v>
      </c>
      <c r="BW10">
        <v>28.63</v>
      </c>
      <c r="BX10">
        <v>38.409999999999997</v>
      </c>
      <c r="BY10">
        <v>8.01</v>
      </c>
      <c r="BZ10">
        <v>18.78</v>
      </c>
      <c r="CA10">
        <v>19.489999999999998</v>
      </c>
      <c r="CB10">
        <v>-5.97</v>
      </c>
      <c r="CC10">
        <v>-13.46</v>
      </c>
      <c r="CD10" t="s">
        <v>282</v>
      </c>
      <c r="CE10" t="s">
        <v>629</v>
      </c>
      <c r="CF10" s="11">
        <v>39.164000000000001</v>
      </c>
      <c r="CG10" s="12">
        <v>89.368850001094401</v>
      </c>
      <c r="CH10" s="11">
        <v>-0.97991883754730225</v>
      </c>
      <c r="CI10" s="11" t="s">
        <v>5</v>
      </c>
      <c r="CJ10" s="11" t="s">
        <v>5</v>
      </c>
      <c r="CK10" s="11">
        <v>7.7766679227352142E-2</v>
      </c>
      <c r="CL10" s="11">
        <v>8.8105417788028717E-2</v>
      </c>
      <c r="CM10" s="12">
        <v>-1.0007196664810181</v>
      </c>
      <c r="CN10" s="12" t="s">
        <v>5</v>
      </c>
      <c r="CO10" s="12" t="s">
        <v>5</v>
      </c>
      <c r="CP10" s="12" t="s">
        <v>5</v>
      </c>
      <c r="CQ10" s="12" t="s">
        <v>5</v>
      </c>
      <c r="CR10">
        <v>7.3024691413057399</v>
      </c>
      <c r="CS10">
        <v>0.26911731640375214</v>
      </c>
      <c r="CT10">
        <v>11.111111111111111</v>
      </c>
      <c r="CU10" s="11">
        <v>-0.27134891351064044</v>
      </c>
      <c r="CV10" s="12">
        <v>-1.0007196664810181</v>
      </c>
      <c r="CW10">
        <v>0.06</v>
      </c>
      <c r="CX10" t="e">
        <v>#VALUE!</v>
      </c>
      <c r="CY10" t="s">
        <v>287</v>
      </c>
      <c r="CZ10">
        <v>-0.27134891351064044</v>
      </c>
      <c r="DA10" t="e">
        <v>#VALUE!</v>
      </c>
      <c r="DB10" t="s">
        <v>287</v>
      </c>
      <c r="DC10">
        <v>-0.25778146783510841</v>
      </c>
      <c r="DD10" t="e">
        <v>#VALUE!</v>
      </c>
      <c r="DE10" t="s">
        <v>287</v>
      </c>
      <c r="DF10">
        <v>-0.23878704388936359</v>
      </c>
      <c r="DG10" t="e">
        <v>#VALUE!</v>
      </c>
      <c r="DH10" t="s">
        <v>287</v>
      </c>
      <c r="DI10">
        <v>-0.21707913080851238</v>
      </c>
      <c r="DJ10" t="e">
        <v>#VALUE!</v>
      </c>
      <c r="DK10" t="s">
        <v>287</v>
      </c>
      <c r="DL10">
        <v>-0.18994423945744829</v>
      </c>
      <c r="DM10">
        <v>-8158700</v>
      </c>
      <c r="DN10">
        <v>-0.27134891351064044</v>
      </c>
      <c r="DO10">
        <v>42402257000</v>
      </c>
      <c r="DP10">
        <v>14874558000</v>
      </c>
      <c r="DQ10">
        <v>3045</v>
      </c>
      <c r="DR10">
        <v>39.435348913510644</v>
      </c>
      <c r="DS10">
        <v>90.369569667575419</v>
      </c>
      <c r="DT10" s="13">
        <v>-1.1599999999999999</v>
      </c>
      <c r="DU10">
        <v>-3.57</v>
      </c>
      <c r="DV10">
        <v>-4.7299999999999995</v>
      </c>
      <c r="DW10">
        <v>-8.4435364041604757</v>
      </c>
      <c r="DX10">
        <v>0.40146447152550779</v>
      </c>
      <c r="DY10">
        <v>-8.0583092789752797</v>
      </c>
      <c r="DZ10">
        <v>3717</v>
      </c>
      <c r="EA10">
        <v>-8.0158952692001098</v>
      </c>
      <c r="EB10">
        <v>8</v>
      </c>
      <c r="EC10">
        <v>4.1427070589337089E-2</v>
      </c>
      <c r="ED10">
        <v>0.31511988621080311</v>
      </c>
      <c r="EE10" s="14">
        <v>2.7300000000000001E-2</v>
      </c>
      <c r="EF10">
        <v>1.0100000000000001E-2</v>
      </c>
      <c r="EG10">
        <v>27.131464471525508</v>
      </c>
      <c r="EH10" t="s">
        <v>412</v>
      </c>
      <c r="EI10">
        <v>0</v>
      </c>
      <c r="EJ10">
        <v>0</v>
      </c>
      <c r="EK10" s="10">
        <v>45470</v>
      </c>
      <c r="EL10" s="15">
        <v>1.8</v>
      </c>
      <c r="EM10" s="15">
        <v>1.18</v>
      </c>
      <c r="EN10" s="15">
        <v>-1.1599999999999999</v>
      </c>
      <c r="EO10" s="15">
        <v>2.35</v>
      </c>
      <c r="EP10" s="15">
        <v>-1.72</v>
      </c>
    </row>
    <row r="11" spans="1:146" ht="96" x14ac:dyDescent="0.25">
      <c r="A11" s="8"/>
      <c r="B11" s="8"/>
      <c r="C11" s="8" t="str">
        <f>""&amp;CHAR(10)&amp;Basic_Fundamental_Information_Constructure(F11)&amp;CHAR(10)&amp;Basic_Fundamental_Information_Concatenate("")</f>
        <v xml:space="preserve">
市值175.31083亿, 利润-60.28亿; PE22.46; 平均PE-47.38; 平均PEG-11.19, PB.665; ROIC2.3633%; ROE2.7333%; 股利率1.3057%; 毛利7.77%; 净利.79%; 上一年度营收增-57.04%, 利润增-932.6%; 当季营收增150.73%, 利润增-67.18%; 过往5年营收增-4.23%, 利润增-186.32%
Income profile:
</v>
      </c>
      <c r="D11" t="s">
        <v>140</v>
      </c>
      <c r="E11" t="s">
        <v>141</v>
      </c>
      <c r="F11">
        <v>3.14</v>
      </c>
      <c r="G11">
        <v>0.32</v>
      </c>
      <c r="H11" t="s">
        <v>630</v>
      </c>
      <c r="I11">
        <v>17531083000</v>
      </c>
      <c r="J11">
        <v>22.46</v>
      </c>
      <c r="K11">
        <v>0.66500000000000004</v>
      </c>
      <c r="L11" t="s">
        <v>71</v>
      </c>
      <c r="M11" t="s">
        <v>631</v>
      </c>
      <c r="N11" t="s">
        <v>632</v>
      </c>
      <c r="O11" t="s">
        <v>633</v>
      </c>
      <c r="P11">
        <v>-1.71</v>
      </c>
      <c r="Q11" t="s">
        <v>634</v>
      </c>
      <c r="R11">
        <v>242187450</v>
      </c>
      <c r="S11" s="6">
        <v>0.16739999999999999</v>
      </c>
      <c r="T11" t="s">
        <v>635</v>
      </c>
      <c r="U11">
        <v>5583147500</v>
      </c>
      <c r="V11">
        <v>5583147500</v>
      </c>
      <c r="W11">
        <v>4</v>
      </c>
      <c r="X11">
        <v>0.14000000000000001</v>
      </c>
      <c r="Y11">
        <v>1.65</v>
      </c>
      <c r="Z11" t="s">
        <v>636</v>
      </c>
      <c r="AA11" t="s">
        <v>637</v>
      </c>
      <c r="AB11" t="s">
        <v>638</v>
      </c>
      <c r="AC11" t="s">
        <v>639</v>
      </c>
      <c r="AD11" t="s">
        <v>5</v>
      </c>
      <c r="AE11">
        <v>-44208076</v>
      </c>
      <c r="AF11" t="s">
        <v>640</v>
      </c>
      <c r="AG11" t="s">
        <v>641</v>
      </c>
      <c r="AH11" t="s">
        <v>642</v>
      </c>
      <c r="AI11" t="s">
        <v>643</v>
      </c>
      <c r="AJ11" t="s">
        <v>644</v>
      </c>
      <c r="AK11" t="s">
        <v>5</v>
      </c>
      <c r="AL11" t="s">
        <v>645</v>
      </c>
      <c r="AM11" t="s">
        <v>5</v>
      </c>
      <c r="AN11" t="s">
        <v>646</v>
      </c>
      <c r="AO11" t="s">
        <v>5</v>
      </c>
      <c r="AP11" t="s">
        <v>647</v>
      </c>
      <c r="AQ11" t="s">
        <v>648</v>
      </c>
      <c r="AR11" t="s">
        <v>5</v>
      </c>
      <c r="AS11" t="s">
        <v>649</v>
      </c>
      <c r="AT11" t="s">
        <v>650</v>
      </c>
      <c r="AU11" t="s">
        <v>651</v>
      </c>
      <c r="AV11" t="s">
        <v>652</v>
      </c>
      <c r="AW11" t="s">
        <v>653</v>
      </c>
      <c r="AX11" t="s">
        <v>654</v>
      </c>
      <c r="AY11" t="s">
        <v>230</v>
      </c>
      <c r="AZ11" t="s">
        <v>142</v>
      </c>
      <c r="BA11" t="s">
        <v>144</v>
      </c>
      <c r="BB11" t="s">
        <v>145</v>
      </c>
      <c r="BC11" t="s">
        <v>655</v>
      </c>
      <c r="BD11" t="s">
        <v>231</v>
      </c>
      <c r="BE11" t="s">
        <v>143</v>
      </c>
      <c r="BF11" t="s">
        <v>146</v>
      </c>
      <c r="BG11" t="s">
        <v>147</v>
      </c>
      <c r="BH11" t="s">
        <v>656</v>
      </c>
      <c r="BI11" t="s">
        <v>657</v>
      </c>
      <c r="BJ11" t="s">
        <v>654</v>
      </c>
      <c r="BK11" t="s">
        <v>658</v>
      </c>
      <c r="BL11" t="s">
        <v>659</v>
      </c>
      <c r="BM11" t="s">
        <v>655</v>
      </c>
      <c r="BN11">
        <v>2.86</v>
      </c>
      <c r="BO11">
        <v>2.62</v>
      </c>
      <c r="BP11">
        <v>1.61</v>
      </c>
      <c r="BQ11">
        <v>3.47</v>
      </c>
      <c r="BR11">
        <v>2.87</v>
      </c>
      <c r="BS11">
        <v>1.86</v>
      </c>
      <c r="BT11" t="s">
        <v>660</v>
      </c>
      <c r="BU11" t="s">
        <v>284</v>
      </c>
      <c r="BV11">
        <v>8.3800000000000008</v>
      </c>
      <c r="BW11">
        <v>7.88</v>
      </c>
      <c r="BX11">
        <v>7.05</v>
      </c>
      <c r="BY11">
        <v>0.92</v>
      </c>
      <c r="BZ11">
        <v>0.86</v>
      </c>
      <c r="CA11">
        <v>0.59</v>
      </c>
      <c r="CB11">
        <v>0.64</v>
      </c>
      <c r="CC11">
        <v>-6.27</v>
      </c>
      <c r="CD11" t="s">
        <v>45</v>
      </c>
      <c r="CE11" t="s">
        <v>661</v>
      </c>
      <c r="CF11" s="11">
        <v>1.5073179033356028</v>
      </c>
      <c r="CG11" s="12">
        <v>-0.67183272357723578</v>
      </c>
      <c r="CH11" s="11">
        <v>-0.57043904066085815</v>
      </c>
      <c r="CI11" s="11">
        <v>4.7073833644390106E-2</v>
      </c>
      <c r="CJ11" s="11">
        <v>0.12919740378856659</v>
      </c>
      <c r="CK11" s="11">
        <v>8.6758710443973541E-2</v>
      </c>
      <c r="CL11" s="11">
        <v>9.5664791762828827E-2</v>
      </c>
      <c r="CM11" s="12">
        <v>-9.3259668350219727</v>
      </c>
      <c r="CN11" s="12">
        <v>0.57734203338623047</v>
      </c>
      <c r="CO11" s="12">
        <v>-0.46315789222717285</v>
      </c>
      <c r="CP11" s="12">
        <v>6.3432835042476654E-2</v>
      </c>
      <c r="CQ11" s="12">
        <v>-0.16770187020301819</v>
      </c>
      <c r="CR11">
        <v>-47.381305405405406</v>
      </c>
      <c r="CS11">
        <v>-11.188330731197373</v>
      </c>
      <c r="CT11">
        <v>1.3057324840764331</v>
      </c>
      <c r="CU11" s="11">
        <v>-4.2348860204219817E-2</v>
      </c>
      <c r="CV11" s="12">
        <v>-1.8632103458046914</v>
      </c>
      <c r="CW11">
        <v>0.06</v>
      </c>
      <c r="CX11" t="e">
        <v>#VALUE!</v>
      </c>
      <c r="CY11" t="s">
        <v>287</v>
      </c>
      <c r="CZ11">
        <v>-4.2348860204219817E-2</v>
      </c>
      <c r="DA11" t="e">
        <v>#VALUE!</v>
      </c>
      <c r="DB11" t="s">
        <v>287</v>
      </c>
      <c r="DC11">
        <v>-4.0231417194008821E-2</v>
      </c>
      <c r="DD11" t="e">
        <v>#VALUE!</v>
      </c>
      <c r="DE11" t="s">
        <v>287</v>
      </c>
      <c r="DF11">
        <v>-3.7266996979713439E-2</v>
      </c>
      <c r="DG11" t="e">
        <v>#VALUE!</v>
      </c>
      <c r="DH11" t="s">
        <v>287</v>
      </c>
      <c r="DI11">
        <v>-3.3879088163375856E-2</v>
      </c>
      <c r="DJ11" t="e">
        <v>#VALUE!</v>
      </c>
      <c r="DK11" t="s">
        <v>287</v>
      </c>
      <c r="DL11">
        <v>-2.9644202142953869E-2</v>
      </c>
      <c r="DM11">
        <v>-6028000000</v>
      </c>
      <c r="DN11">
        <v>-4.2348860204219817E-2</v>
      </c>
      <c r="DO11">
        <v>72528083000</v>
      </c>
      <c r="DP11">
        <v>22475873000</v>
      </c>
      <c r="DQ11">
        <v>3110</v>
      </c>
      <c r="DR11">
        <v>1.5496667635398227</v>
      </c>
      <c r="DS11">
        <v>1.1913776222274555</v>
      </c>
      <c r="DT11" s="13">
        <v>-0.60666666666666669</v>
      </c>
      <c r="DU11">
        <v>-1.2733333333333332</v>
      </c>
      <c r="DV11">
        <v>-1.88</v>
      </c>
      <c r="DW11">
        <v>-2.0627</v>
      </c>
      <c r="DX11">
        <v>0.3512702078521926</v>
      </c>
      <c r="DY11">
        <v>-2.0094846420323327</v>
      </c>
      <c r="DZ11">
        <v>4563</v>
      </c>
      <c r="EA11">
        <v>-2.0010152835991559</v>
      </c>
      <c r="EB11">
        <v>2</v>
      </c>
      <c r="EC11">
        <v>2.3463467515411333E-2</v>
      </c>
      <c r="ED11">
        <v>0.15510964021638332</v>
      </c>
      <c r="EE11" s="14">
        <v>-1.0802</v>
      </c>
      <c r="EF11">
        <v>-1.0504</v>
      </c>
      <c r="EG11">
        <v>20.151270207852193</v>
      </c>
      <c r="EH11" t="s">
        <v>447</v>
      </c>
      <c r="EI11">
        <v>0</v>
      </c>
      <c r="EJ11">
        <v>0</v>
      </c>
      <c r="EK11" s="10">
        <v>45470</v>
      </c>
      <c r="EL11" s="15">
        <v>-0.44</v>
      </c>
      <c r="EM11" s="15">
        <v>-4.28</v>
      </c>
      <c r="EN11" s="15">
        <v>-0.11</v>
      </c>
      <c r="EO11" s="15">
        <v>8.0399999999999991</v>
      </c>
      <c r="EP11" s="15">
        <v>-2.98</v>
      </c>
    </row>
    <row r="12" spans="1:146" ht="96" x14ac:dyDescent="0.25">
      <c r="A12" s="8"/>
      <c r="B12" s="8"/>
      <c r="C12" s="8" t="str">
        <f>""&amp;CHAR(10)&amp;Basic_Fundamental_Information_Constructure(F12)&amp;CHAR(10)&amp;Basic_Fundamental_Information_Concatenate("")</f>
        <v xml:space="preserve">
市值266.60769亿, 利润14.71亿; PE16.19; 平均PE42.42; 平均PEG1.85, PB1.06; ROIC4.1633%; ROE4.5333%; 股利率2.4378%; 毛利10.0967%; 净利4.04%; 上一年度营收增1.03%, 利润增.82%; 当季营收增-3.21%, 利润增331.86%; 过往5年营收增22.94%, 利润增286.38%
Income profile:
</v>
      </c>
      <c r="D12" t="s">
        <v>148</v>
      </c>
      <c r="E12" t="s">
        <v>149</v>
      </c>
      <c r="F12">
        <v>6.03</v>
      </c>
      <c r="G12">
        <v>-0.33</v>
      </c>
      <c r="H12" t="s">
        <v>662</v>
      </c>
      <c r="I12">
        <v>26660769000</v>
      </c>
      <c r="J12">
        <v>16.190000000000001</v>
      </c>
      <c r="K12">
        <v>1.06</v>
      </c>
      <c r="L12" t="s">
        <v>71</v>
      </c>
      <c r="M12" t="s">
        <v>663</v>
      </c>
      <c r="N12" t="s">
        <v>664</v>
      </c>
      <c r="O12" t="s">
        <v>665</v>
      </c>
      <c r="P12">
        <v>-11.33</v>
      </c>
      <c r="Q12" t="s">
        <v>666</v>
      </c>
      <c r="R12">
        <v>475045700</v>
      </c>
      <c r="S12" s="6">
        <v>5.96E-2</v>
      </c>
      <c r="T12" t="s">
        <v>667</v>
      </c>
      <c r="U12">
        <v>4421354800</v>
      </c>
      <c r="V12">
        <v>4421354800</v>
      </c>
      <c r="W12">
        <v>1.62</v>
      </c>
      <c r="X12">
        <v>0.13</v>
      </c>
      <c r="Y12">
        <v>8.5</v>
      </c>
      <c r="Z12" t="s">
        <v>668</v>
      </c>
      <c r="AA12" t="s">
        <v>669</v>
      </c>
      <c r="AB12" t="s">
        <v>670</v>
      </c>
      <c r="AC12" t="s">
        <v>671</v>
      </c>
      <c r="AD12" t="s">
        <v>5</v>
      </c>
      <c r="AE12">
        <v>-19862200</v>
      </c>
      <c r="AF12" t="s">
        <v>672</v>
      </c>
      <c r="AG12" t="s">
        <v>673</v>
      </c>
      <c r="AH12" t="s">
        <v>674</v>
      </c>
      <c r="AI12" t="s">
        <v>675</v>
      </c>
      <c r="AJ12" t="s">
        <v>676</v>
      </c>
      <c r="AK12" t="s">
        <v>5</v>
      </c>
      <c r="AL12" t="s">
        <v>677</v>
      </c>
      <c r="AM12" t="s">
        <v>5</v>
      </c>
      <c r="AN12" t="s">
        <v>678</v>
      </c>
      <c r="AO12" t="s">
        <v>5</v>
      </c>
      <c r="AP12" t="s">
        <v>42</v>
      </c>
      <c r="AQ12" t="s">
        <v>679</v>
      </c>
      <c r="AR12" t="s">
        <v>680</v>
      </c>
      <c r="AS12" t="s">
        <v>681</v>
      </c>
      <c r="AT12" t="s">
        <v>682</v>
      </c>
      <c r="AU12" t="s">
        <v>683</v>
      </c>
      <c r="AV12" t="s">
        <v>296</v>
      </c>
      <c r="AW12" t="s">
        <v>684</v>
      </c>
      <c r="AX12" t="s">
        <v>685</v>
      </c>
      <c r="AY12" t="s">
        <v>232</v>
      </c>
      <c r="AZ12" t="s">
        <v>150</v>
      </c>
      <c r="BA12" t="s">
        <v>151</v>
      </c>
      <c r="BB12" t="s">
        <v>152</v>
      </c>
      <c r="BC12" t="s">
        <v>686</v>
      </c>
      <c r="BD12" t="s">
        <v>233</v>
      </c>
      <c r="BE12" t="s">
        <v>109</v>
      </c>
      <c r="BF12" t="s">
        <v>153</v>
      </c>
      <c r="BG12" t="s">
        <v>154</v>
      </c>
      <c r="BH12" t="s">
        <v>687</v>
      </c>
      <c r="BI12" t="s">
        <v>688</v>
      </c>
      <c r="BJ12" t="s">
        <v>685</v>
      </c>
      <c r="BK12" t="s">
        <v>689</v>
      </c>
      <c r="BL12" t="s">
        <v>41</v>
      </c>
      <c r="BM12" t="s">
        <v>686</v>
      </c>
      <c r="BN12">
        <v>5.13</v>
      </c>
      <c r="BO12">
        <v>5.78</v>
      </c>
      <c r="BP12">
        <v>1.58</v>
      </c>
      <c r="BQ12">
        <v>5.66</v>
      </c>
      <c r="BR12">
        <v>6.3</v>
      </c>
      <c r="BS12">
        <v>1.64</v>
      </c>
      <c r="BT12" t="s">
        <v>690</v>
      </c>
      <c r="BU12" t="s">
        <v>284</v>
      </c>
      <c r="BV12">
        <v>10.75</v>
      </c>
      <c r="BW12">
        <v>8.99</v>
      </c>
      <c r="BX12">
        <v>10.55</v>
      </c>
      <c r="BY12">
        <v>5.3</v>
      </c>
      <c r="BZ12">
        <v>4.9400000000000004</v>
      </c>
      <c r="CA12">
        <v>1.88</v>
      </c>
      <c r="CB12">
        <v>2.0299999999999998</v>
      </c>
      <c r="CC12">
        <v>0.28000000000000003</v>
      </c>
      <c r="CD12" t="s">
        <v>559</v>
      </c>
      <c r="CE12" t="s">
        <v>329</v>
      </c>
      <c r="CF12" s="11">
        <v>-3.2081911262798635E-2</v>
      </c>
      <c r="CG12" s="12">
        <v>3.3185972727272723</v>
      </c>
      <c r="CH12" s="11">
        <v>1.032085157930851E-2</v>
      </c>
      <c r="CI12" s="11">
        <v>0.48310184478759766</v>
      </c>
      <c r="CJ12" s="11">
        <v>0.1081564798951149</v>
      </c>
      <c r="CK12" s="11">
        <v>0.21434402465820313</v>
      </c>
      <c r="CL12" s="11">
        <v>0.33098074793815613</v>
      </c>
      <c r="CM12" s="12">
        <v>8.2248114049434662E-3</v>
      </c>
      <c r="CN12" s="12">
        <v>2.9432435035705566</v>
      </c>
      <c r="CO12" s="12">
        <v>1.9283747300505638E-2</v>
      </c>
      <c r="CP12" s="12">
        <v>11.99826717376709</v>
      </c>
      <c r="CQ12" s="12">
        <v>-0.64994359016418457</v>
      </c>
      <c r="CR12">
        <v>42.423001132308208</v>
      </c>
      <c r="CS12">
        <v>1.8494574534570114</v>
      </c>
      <c r="CT12">
        <v>2.4378109452736316</v>
      </c>
      <c r="CU12" s="11">
        <v>0.22938078977167606</v>
      </c>
      <c r="CV12" s="12">
        <v>2.8638151291757823</v>
      </c>
      <c r="CW12">
        <v>0.06</v>
      </c>
      <c r="CX12">
        <v>9.3043668646854059</v>
      </c>
      <c r="CY12">
        <v>1706055794.1076748</v>
      </c>
      <c r="CZ12">
        <v>0.22938078977167606</v>
      </c>
      <c r="DA12">
        <v>2.7073161143594735</v>
      </c>
      <c r="DB12">
        <v>5863286121.5601292</v>
      </c>
      <c r="DC12">
        <v>0.21791175028309223</v>
      </c>
      <c r="DD12">
        <v>1.1325609839058752</v>
      </c>
      <c r="DE12">
        <v>14015818331.703392</v>
      </c>
      <c r="DF12">
        <v>0.20185509499907492</v>
      </c>
      <c r="DG12">
        <v>0.56010969823264267</v>
      </c>
      <c r="DH12">
        <v>28340464466.313873</v>
      </c>
      <c r="DI12">
        <v>0.18350463181734086</v>
      </c>
      <c r="DJ12">
        <v>0.18236637934165004</v>
      </c>
      <c r="DK12">
        <v>87043286472.566605</v>
      </c>
      <c r="DL12">
        <v>0.16056655284017324</v>
      </c>
      <c r="DM12">
        <v>1471000000</v>
      </c>
      <c r="DN12">
        <v>0.22938078977167606</v>
      </c>
      <c r="DO12">
        <v>15873768999.999996</v>
      </c>
      <c r="DP12">
        <v>9688571000</v>
      </c>
      <c r="DQ12">
        <v>3291</v>
      </c>
      <c r="DR12">
        <v>-0.26146270103447466</v>
      </c>
      <c r="DS12">
        <v>0.45478214355149005</v>
      </c>
      <c r="DT12" s="13">
        <v>-7.3333333333333403E-2</v>
      </c>
      <c r="DU12">
        <v>1.2</v>
      </c>
      <c r="DV12">
        <v>1.1266666666666665</v>
      </c>
      <c r="DW12">
        <v>2.8000000000000004E-3</v>
      </c>
      <c r="DX12">
        <v>0.32984496124030971</v>
      </c>
      <c r="DY12">
        <v>5.0356589147286827E-4</v>
      </c>
      <c r="DZ12">
        <v>913</v>
      </c>
      <c r="EA12">
        <v>4.1359413826059257E-4</v>
      </c>
      <c r="EB12">
        <v>0</v>
      </c>
      <c r="EC12">
        <v>2.623630204931755E-2</v>
      </c>
      <c r="ED12">
        <v>0.14588288639491226</v>
      </c>
      <c r="EE12" s="14">
        <v>2.0238100000000001</v>
      </c>
      <c r="EF12">
        <v>2.0399099999999999</v>
      </c>
      <c r="EG12">
        <v>15.17984496124031</v>
      </c>
      <c r="EH12" t="s">
        <v>691</v>
      </c>
      <c r="EI12">
        <v>0</v>
      </c>
      <c r="EJ12">
        <v>1</v>
      </c>
      <c r="EK12" s="10">
        <v>45470</v>
      </c>
      <c r="EL12" s="15">
        <v>0.28999999999999998</v>
      </c>
      <c r="EM12" s="15">
        <v>-0.57999999999999996</v>
      </c>
      <c r="EN12" s="15">
        <v>0.28999999999999998</v>
      </c>
      <c r="EO12" s="15">
        <v>-0.28999999999999998</v>
      </c>
      <c r="EP12" s="15">
        <v>-1.61</v>
      </c>
    </row>
    <row r="13" spans="1:146" ht="96" hidden="1" x14ac:dyDescent="0.25">
      <c r="A13" s="8"/>
      <c r="B13" s="8"/>
      <c r="C13" s="8" t="str">
        <f>""&amp;CHAR(10)&amp;Basic_Fundamental_Information_Constructure(F13)&amp;CHAR(10)&amp;Basic_Fundamental_Information_Concatenate("")</f>
        <v xml:space="preserve">
市值107.45934亿, 利润30.07亿; PE7.72; 平均PE39.66; 平均PEG.13, PB1.33; ROIC3.31%; ROE-12.1167%; 股利率0%; 毛利63.8233%; 净利-5.6467%; 上一年度营收增1530.75%, 利润增506.9%; 当季营收增-93.06%, 利润增-84.91%; 过往5年营收增307.91%, 利润增16.52%
Income profile:
</v>
      </c>
      <c r="D13" t="s">
        <v>155</v>
      </c>
      <c r="E13" t="s">
        <v>692</v>
      </c>
      <c r="F13">
        <v>2.59</v>
      </c>
      <c r="G13">
        <v>0</v>
      </c>
      <c r="H13" t="s">
        <v>693</v>
      </c>
      <c r="I13">
        <v>10745934000</v>
      </c>
      <c r="J13">
        <v>7.72</v>
      </c>
      <c r="K13">
        <v>1.33</v>
      </c>
      <c r="L13" t="s">
        <v>71</v>
      </c>
      <c r="M13" t="s">
        <v>694</v>
      </c>
      <c r="N13" t="s">
        <v>695</v>
      </c>
      <c r="O13" t="s">
        <v>331</v>
      </c>
      <c r="P13">
        <v>17.73</v>
      </c>
      <c r="Q13" t="s">
        <v>696</v>
      </c>
      <c r="R13">
        <v>96872754</v>
      </c>
      <c r="S13" s="6">
        <v>4.8520000000000003</v>
      </c>
      <c r="T13" t="s">
        <v>697</v>
      </c>
      <c r="U13">
        <v>4143685800</v>
      </c>
      <c r="V13">
        <v>4149009300</v>
      </c>
      <c r="W13">
        <v>1.55</v>
      </c>
      <c r="X13">
        <v>0.05</v>
      </c>
      <c r="Y13">
        <v>16.75</v>
      </c>
      <c r="Z13" t="s">
        <v>44</v>
      </c>
      <c r="AA13" t="s">
        <v>698</v>
      </c>
      <c r="AB13" t="s">
        <v>699</v>
      </c>
      <c r="AC13" t="s">
        <v>700</v>
      </c>
      <c r="AD13" t="s">
        <v>5</v>
      </c>
      <c r="AE13">
        <v>21653588</v>
      </c>
      <c r="AF13" t="s">
        <v>701</v>
      </c>
      <c r="AG13" t="s">
        <v>702</v>
      </c>
      <c r="AH13" t="s">
        <v>703</v>
      </c>
      <c r="AI13" t="s">
        <v>704</v>
      </c>
      <c r="AJ13" t="s">
        <v>705</v>
      </c>
      <c r="AK13" t="s">
        <v>5</v>
      </c>
      <c r="AL13" t="s">
        <v>706</v>
      </c>
      <c r="AM13" t="s">
        <v>5</v>
      </c>
      <c r="AN13" t="s">
        <v>594</v>
      </c>
      <c r="AO13" t="s">
        <v>5</v>
      </c>
      <c r="AP13" t="s">
        <v>5</v>
      </c>
      <c r="AQ13" t="s">
        <v>707</v>
      </c>
      <c r="AR13" t="s">
        <v>5</v>
      </c>
      <c r="AS13" t="s">
        <v>708</v>
      </c>
      <c r="AT13" t="s">
        <v>709</v>
      </c>
      <c r="AU13" t="s">
        <v>710</v>
      </c>
      <c r="AV13" t="s">
        <v>711</v>
      </c>
      <c r="AW13" t="s">
        <v>712</v>
      </c>
      <c r="AX13" t="s">
        <v>713</v>
      </c>
      <c r="AY13" t="s">
        <v>234</v>
      </c>
      <c r="AZ13" t="s">
        <v>156</v>
      </c>
      <c r="BA13" t="s">
        <v>157</v>
      </c>
      <c r="BB13" t="s">
        <v>158</v>
      </c>
      <c r="BC13" t="s">
        <v>714</v>
      </c>
      <c r="BD13" t="s">
        <v>235</v>
      </c>
      <c r="BE13" t="s">
        <v>66</v>
      </c>
      <c r="BF13" t="s">
        <v>159</v>
      </c>
      <c r="BG13" t="s">
        <v>160</v>
      </c>
      <c r="BH13" t="s">
        <v>715</v>
      </c>
      <c r="BI13" t="s">
        <v>716</v>
      </c>
      <c r="BJ13" t="s">
        <v>713</v>
      </c>
      <c r="BK13" t="s">
        <v>717</v>
      </c>
      <c r="BL13" t="s">
        <v>718</v>
      </c>
      <c r="BM13" t="s">
        <v>714</v>
      </c>
      <c r="BN13">
        <v>3.31</v>
      </c>
      <c r="BO13" t="s">
        <v>5</v>
      </c>
      <c r="BP13" t="s">
        <v>5</v>
      </c>
      <c r="BQ13">
        <v>1.52</v>
      </c>
      <c r="BR13">
        <v>-18.2</v>
      </c>
      <c r="BS13">
        <v>-19.670000000000002</v>
      </c>
      <c r="BT13" t="s">
        <v>409</v>
      </c>
      <c r="BU13" t="s">
        <v>283</v>
      </c>
      <c r="BV13">
        <v>61.79</v>
      </c>
      <c r="BW13">
        <v>67.48</v>
      </c>
      <c r="BX13">
        <v>62.2</v>
      </c>
      <c r="BY13">
        <v>47.05</v>
      </c>
      <c r="BZ13">
        <v>-25.61</v>
      </c>
      <c r="CA13">
        <v>-38.380000000000003</v>
      </c>
      <c r="CB13">
        <v>-3.36</v>
      </c>
      <c r="CC13">
        <v>1.17</v>
      </c>
      <c r="CD13" t="s">
        <v>719</v>
      </c>
      <c r="CE13" t="s">
        <v>77</v>
      </c>
      <c r="CF13" s="11">
        <v>-0.93057220708446864</v>
      </c>
      <c r="CG13" s="12">
        <v>-0.84910785981308412</v>
      </c>
      <c r="CH13" s="11">
        <v>15.307476043701172</v>
      </c>
      <c r="CI13" s="11">
        <v>0.15613538026809692</v>
      </c>
      <c r="CJ13" s="11">
        <v>0.51233041286468506</v>
      </c>
      <c r="CK13" s="11">
        <v>-0.41738507151603699</v>
      </c>
      <c r="CL13" s="11">
        <v>-0.1629585474729538</v>
      </c>
      <c r="CM13" s="12">
        <v>5.0690121650695801</v>
      </c>
      <c r="CN13" s="12">
        <v>0.21633085608482361</v>
      </c>
      <c r="CO13" s="12">
        <v>-6.3885712623596191</v>
      </c>
      <c r="CP13" s="12">
        <v>2.125044584274292</v>
      </c>
      <c r="CQ13" s="12">
        <v>-0.1957038938999176</v>
      </c>
      <c r="CR13">
        <v>39.662057217033485</v>
      </c>
      <c r="CS13">
        <v>0.12880973072894752</v>
      </c>
      <c r="CT13">
        <v>0</v>
      </c>
      <c r="CU13" s="11">
        <v>3.0791196435689927</v>
      </c>
      <c r="CV13" s="12">
        <v>0.16522248983383178</v>
      </c>
      <c r="CW13">
        <v>0.06</v>
      </c>
      <c r="CX13">
        <v>0.63240381589072425</v>
      </c>
      <c r="CY13">
        <v>11571615819.067886</v>
      </c>
      <c r="CZ13">
        <v>3.0791196435689927</v>
      </c>
      <c r="DA13">
        <v>3.5688603921406714E-2</v>
      </c>
      <c r="DB13">
        <v>205049601158.8327</v>
      </c>
      <c r="DC13">
        <v>2.9251636613905427</v>
      </c>
      <c r="DD13">
        <v>9.4667491387972471E-4</v>
      </c>
      <c r="DE13">
        <v>7730144628010.8623</v>
      </c>
      <c r="DF13">
        <v>2.7096252863407138</v>
      </c>
      <c r="DG13">
        <v>1.2182564711581072E-5</v>
      </c>
      <c r="DH13">
        <v>600689113766280.75</v>
      </c>
      <c r="DI13">
        <v>2.4632957148551942</v>
      </c>
      <c r="DJ13">
        <v>5.4142718629886736E-10</v>
      </c>
      <c r="DK13">
        <v>1.3516007664898648E+19</v>
      </c>
      <c r="DL13">
        <v>2.1553837504982947</v>
      </c>
      <c r="DM13">
        <v>3007000000</v>
      </c>
      <c r="DN13">
        <v>3.0791196435689927</v>
      </c>
      <c r="DO13">
        <v>7317934000</v>
      </c>
      <c r="DP13">
        <v>1016260300.0000001</v>
      </c>
      <c r="DQ13">
        <v>3441</v>
      </c>
      <c r="DR13">
        <v>-4.0096918506534616</v>
      </c>
      <c r="DS13">
        <v>-1.0143303496469158</v>
      </c>
      <c r="DT13" s="13">
        <v>-7.333333333333332E-2</v>
      </c>
      <c r="DU13">
        <v>-0.83500000000000008</v>
      </c>
      <c r="DV13">
        <v>-0.90833333333333344</v>
      </c>
      <c r="DW13">
        <v>-4.3482142857142856</v>
      </c>
      <c r="DX13">
        <v>0.35400861759425367</v>
      </c>
      <c r="DY13">
        <v>-4.0605922864837138</v>
      </c>
      <c r="DZ13">
        <v>4113</v>
      </c>
      <c r="EA13">
        <v>-4.0118220175389947</v>
      </c>
      <c r="EB13">
        <v>4</v>
      </c>
      <c r="EC13">
        <v>2.3360468244792799E-2</v>
      </c>
      <c r="ED13">
        <v>0.1342489157592392</v>
      </c>
      <c r="EE13" s="14">
        <v>-2.0095100000000001</v>
      </c>
      <c r="EF13">
        <v>-2.0199099999999999</v>
      </c>
      <c r="EG13">
        <v>18.174008617594254</v>
      </c>
      <c r="EH13" t="s">
        <v>720</v>
      </c>
      <c r="EI13">
        <v>0</v>
      </c>
      <c r="EJ13">
        <v>0</v>
      </c>
      <c r="EK13" s="10">
        <v>45470</v>
      </c>
      <c r="EL13" s="15">
        <v>-1.34</v>
      </c>
      <c r="EM13" s="15">
        <v>-4.07</v>
      </c>
      <c r="EN13" s="15">
        <v>0.35</v>
      </c>
      <c r="EO13" s="15">
        <v>1.41</v>
      </c>
      <c r="EP13" s="15">
        <v>-1.04</v>
      </c>
    </row>
    <row r="14" spans="1:146" ht="156" hidden="1" x14ac:dyDescent="0.25">
      <c r="A14" s="8"/>
      <c r="B14" s="8"/>
      <c r="C14" s="8" t="str">
        <f>"公司的主营业务为石油及天然气的勘探、开采及销售。公司的主要产品为原油、天然气。公司核心资产Howard和Borden油田，位于美国页岩油核心产区Permian盆地的核心区域。"&amp;CHAR(10)&amp;Basic_Fundamental_Information_Constructure(F14)&amp;CHAR(10)&amp;Basic_Fundamental_Information_Concatenate("美国 48.10亿 99.77% 100.02% 49.65%
按行业：
石油天然气开采 48.10亿 99.77% 100.02% 49.65%")</f>
        <v>公司的主营业务为石油及天然气的勘探、开采及销售。公司的主要产品为原油、天然气。公司核心资产Howard和Borden油田，位于美国页岩油核心产区Permian盆地的核心区域。
市值126.489222亿, 利润-1.27亿; PE4.92; 平均PE31.78; 平均PEG6.61, PB.619; ROIC8.5733%; ROE12.04%; 股利率0%; 毛利56.53%; 净利23.4433%; 上一年度营收增-81.61%, 利润增-104.06%; 当季营收增293.91%, 利润增1225.29%; 过往5年营收增4.81%, 利润增99.88%
Income profile:
美国 48.10亿 99.77% 100.02% 49.65%
按行业：
石油天然气开采 48.10亿 99.77% 100.02% 49.65%</v>
      </c>
      <c r="D14" t="s">
        <v>161</v>
      </c>
      <c r="E14" t="s">
        <v>721</v>
      </c>
      <c r="F14">
        <v>1.86</v>
      </c>
      <c r="G14">
        <v>5.08</v>
      </c>
      <c r="H14" t="s">
        <v>722</v>
      </c>
      <c r="I14">
        <v>12648922200</v>
      </c>
      <c r="J14">
        <v>4.92</v>
      </c>
      <c r="K14">
        <v>0.61899999999999999</v>
      </c>
      <c r="L14" t="s">
        <v>71</v>
      </c>
      <c r="M14" t="s">
        <v>723</v>
      </c>
      <c r="N14" t="s">
        <v>724</v>
      </c>
      <c r="O14" t="s">
        <v>725</v>
      </c>
      <c r="P14">
        <v>6.64</v>
      </c>
      <c r="Q14" t="s">
        <v>726</v>
      </c>
      <c r="R14">
        <v>612848040</v>
      </c>
      <c r="S14" s="6">
        <v>-3.4700000000000002E-2</v>
      </c>
      <c r="T14" t="s">
        <v>303</v>
      </c>
      <c r="U14">
        <v>6366152400</v>
      </c>
      <c r="V14">
        <v>6800495800</v>
      </c>
      <c r="W14">
        <v>1.68</v>
      </c>
      <c r="X14">
        <v>0.06</v>
      </c>
      <c r="Y14">
        <v>28.71</v>
      </c>
      <c r="Z14" t="s">
        <v>727</v>
      </c>
      <c r="AA14" t="s">
        <v>728</v>
      </c>
      <c r="AB14" t="s">
        <v>5</v>
      </c>
      <c r="AC14" t="s">
        <v>729</v>
      </c>
      <c r="AD14" t="s">
        <v>5</v>
      </c>
      <c r="AE14">
        <v>64337832</v>
      </c>
      <c r="AF14" t="s">
        <v>23</v>
      </c>
      <c r="AG14" t="s">
        <v>730</v>
      </c>
      <c r="AH14" t="s">
        <v>731</v>
      </c>
      <c r="AI14" t="s">
        <v>332</v>
      </c>
      <c r="AJ14" t="s">
        <v>5</v>
      </c>
      <c r="AK14" t="s">
        <v>5</v>
      </c>
      <c r="AL14" t="s">
        <v>732</v>
      </c>
      <c r="AM14" t="s">
        <v>5</v>
      </c>
      <c r="AN14">
        <v>0</v>
      </c>
      <c r="AO14" t="s">
        <v>5</v>
      </c>
      <c r="AP14" t="s">
        <v>5</v>
      </c>
      <c r="AQ14" t="s">
        <v>733</v>
      </c>
      <c r="AR14" t="s">
        <v>5</v>
      </c>
      <c r="AS14" t="s">
        <v>734</v>
      </c>
      <c r="AT14" t="s">
        <v>5</v>
      </c>
      <c r="AU14" t="s">
        <v>735</v>
      </c>
      <c r="AV14" t="s">
        <v>736</v>
      </c>
      <c r="AW14" t="s">
        <v>737</v>
      </c>
      <c r="AX14" t="s">
        <v>738</v>
      </c>
      <c r="AY14" t="s">
        <v>236</v>
      </c>
      <c r="AZ14" t="s">
        <v>162</v>
      </c>
      <c r="BA14" t="s">
        <v>164</v>
      </c>
      <c r="BB14" t="s">
        <v>165</v>
      </c>
      <c r="BC14" t="s">
        <v>739</v>
      </c>
      <c r="BD14" t="s">
        <v>167</v>
      </c>
      <c r="BE14" t="s">
        <v>163</v>
      </c>
      <c r="BF14" t="s">
        <v>43</v>
      </c>
      <c r="BG14" t="s">
        <v>166</v>
      </c>
      <c r="BH14" t="s">
        <v>740</v>
      </c>
      <c r="BI14" t="s">
        <v>741</v>
      </c>
      <c r="BJ14" t="s">
        <v>738</v>
      </c>
      <c r="BK14" t="s">
        <v>742</v>
      </c>
      <c r="BL14" t="s">
        <v>743</v>
      </c>
      <c r="BM14" t="s">
        <v>739</v>
      </c>
      <c r="BN14">
        <v>7.93</v>
      </c>
      <c r="BO14">
        <v>14.68</v>
      </c>
      <c r="BP14">
        <v>3.11</v>
      </c>
      <c r="BQ14">
        <v>10.51</v>
      </c>
      <c r="BR14">
        <v>22.71</v>
      </c>
      <c r="BS14">
        <v>2.9</v>
      </c>
      <c r="BT14" t="s">
        <v>409</v>
      </c>
      <c r="BU14" t="s">
        <v>283</v>
      </c>
      <c r="BV14">
        <v>54.54</v>
      </c>
      <c r="BW14">
        <v>65.53</v>
      </c>
      <c r="BX14">
        <v>49.52</v>
      </c>
      <c r="BY14">
        <v>29.33</v>
      </c>
      <c r="BZ14">
        <v>33.43</v>
      </c>
      <c r="CA14">
        <v>7.57</v>
      </c>
      <c r="CB14">
        <v>2.2000000000000002</v>
      </c>
      <c r="CC14">
        <v>3.91</v>
      </c>
      <c r="CD14" t="s">
        <v>325</v>
      </c>
      <c r="CE14" t="s">
        <v>744</v>
      </c>
      <c r="CF14" s="11">
        <v>2.9391143911439119</v>
      </c>
      <c r="CG14" s="12">
        <v>12.252946213864332</v>
      </c>
      <c r="CH14" s="11">
        <v>-0.81607353687286377</v>
      </c>
      <c r="CI14" s="11">
        <v>0.94088351726531982</v>
      </c>
      <c r="CJ14" s="11">
        <v>0.16336877644062042</v>
      </c>
      <c r="CK14" s="11">
        <v>-0.31729820370674133</v>
      </c>
      <c r="CL14" s="11">
        <v>0.26960885524749756</v>
      </c>
      <c r="CM14" s="12">
        <v>-1.0406140089035034</v>
      </c>
      <c r="CN14" s="12">
        <v>7.5671234130859375</v>
      </c>
      <c r="CO14" s="12">
        <v>1.1374247074127197</v>
      </c>
      <c r="CP14" s="12">
        <v>-3.4638221263885498</v>
      </c>
      <c r="CQ14" s="12">
        <v>0.79367721080780029</v>
      </c>
      <c r="CR14">
        <v>31.781211557788946</v>
      </c>
      <c r="CS14">
        <v>6.6076114895642561</v>
      </c>
      <c r="CT14">
        <v>0</v>
      </c>
      <c r="CU14" s="11">
        <v>4.8097881674766543E-2</v>
      </c>
      <c r="CV14" s="12">
        <v>0.99875783920288086</v>
      </c>
      <c r="CW14">
        <v>0.06</v>
      </c>
      <c r="CX14" t="e">
        <v>#VALUE!</v>
      </c>
      <c r="CY14" t="s">
        <v>287</v>
      </c>
      <c r="CZ14">
        <v>4.8097881674766543E-2</v>
      </c>
      <c r="DA14" t="e">
        <v>#VALUE!</v>
      </c>
      <c r="DB14" t="s">
        <v>287</v>
      </c>
      <c r="DC14">
        <v>4.5692987591028217E-2</v>
      </c>
      <c r="DD14" t="e">
        <v>#VALUE!</v>
      </c>
      <c r="DE14" t="s">
        <v>287</v>
      </c>
      <c r="DF14">
        <v>4.2326135873794558E-2</v>
      </c>
      <c r="DG14" t="e">
        <v>#VALUE!</v>
      </c>
      <c r="DH14" t="s">
        <v>287</v>
      </c>
      <c r="DI14">
        <v>3.8478305339813237E-2</v>
      </c>
      <c r="DJ14" t="e">
        <v>#VALUE!</v>
      </c>
      <c r="DK14" t="s">
        <v>287</v>
      </c>
      <c r="DL14">
        <v>3.3668517172336578E-2</v>
      </c>
      <c r="DM14">
        <v>-127000000</v>
      </c>
      <c r="DN14">
        <v>4.8097881674766543E-2</v>
      </c>
      <c r="DO14">
        <v>5669922200</v>
      </c>
      <c r="DP14">
        <v>1830413700</v>
      </c>
      <c r="DQ14">
        <v>3455</v>
      </c>
      <c r="DR14">
        <v>2.8910165094691456</v>
      </c>
      <c r="DS14">
        <v>11.254188374661451</v>
      </c>
      <c r="DT14" s="13">
        <v>-0.35666666666666669</v>
      </c>
      <c r="DU14">
        <v>-0.21833333333333341</v>
      </c>
      <c r="DV14">
        <v>-0.57500000000000007</v>
      </c>
      <c r="DW14">
        <v>1.0390999999999999</v>
      </c>
      <c r="DX14">
        <v>0.61425314529185582</v>
      </c>
      <c r="DY14">
        <v>1.0056402979809116</v>
      </c>
      <c r="DZ14">
        <v>1278</v>
      </c>
      <c r="EA14">
        <v>1.0042296715974273</v>
      </c>
      <c r="EB14">
        <v>1</v>
      </c>
      <c r="EC14">
        <v>4.5584911617767634E-2</v>
      </c>
      <c r="ED14">
        <v>0.31600637118252467</v>
      </c>
      <c r="EE14" s="14">
        <v>-2.03681</v>
      </c>
      <c r="EF14">
        <v>-2.0741100000000001</v>
      </c>
      <c r="EG14">
        <v>47.144253145291856</v>
      </c>
      <c r="EH14" t="s">
        <v>720</v>
      </c>
      <c r="EI14">
        <v>0</v>
      </c>
      <c r="EJ14">
        <v>1</v>
      </c>
      <c r="EK14" s="10">
        <v>45470</v>
      </c>
      <c r="EL14" s="15">
        <v>0.5</v>
      </c>
      <c r="EM14" s="15">
        <v>-5.03</v>
      </c>
      <c r="EN14" s="15">
        <v>-2.29</v>
      </c>
      <c r="EO14" s="15">
        <v>5.64</v>
      </c>
      <c r="EP14" s="15">
        <v>-3.73</v>
      </c>
    </row>
    <row r="15" spans="1:146" ht="144" x14ac:dyDescent="0.25">
      <c r="A15" s="8"/>
      <c r="B15" s="8"/>
      <c r="C15" s="8" t="str">
        <f>"公司主要油气勘探开发工程施工与技术服务；公司的主要产品为地球物理、钻井、测录井、井下特种作业、工程建设；"&amp;CHAR(10)&amp;Basic_Fundamental_Information_Constructure(F15)&amp;CHAR(10)&amp;Basic_Fundamental_Information_Concatenate("钻井 166.36亿 50.19% 48.73% 7.09%
工程建设 83.26亿 25.12% 26.17% 7.61%
井下特种作业 42.93亿 12.95% 11.51% 6.49%")</f>
        <v>公司主要油气勘探开发工程施工与技术服务；公司的主要产品为地球物理、钻井、测录井、井下特种作业、工程建设；
市值330.32752亿, 利润16.97亿; PE53.14; 平均PE56.82; 平均PEG4.19, PB3.94; ROIC2.62%; ROE4.9933%; 股利率0%; 毛利7.4233%; 净利.5433%; 上一年度营收增-93.03%, 利润增256.51%; 当季营收增1255.74%, 利润增18.31%; 过往5年营收增-13.55%, 利润增200.23%
Income profile:
钻井 166.36亿 50.19% 48.73% 7.09%
工程建设 83.26亿 25.12% 26.17% 7.61%
井下特种作业 42.93亿 12.95% 11.51% 6.49%</v>
      </c>
      <c r="D15" t="s">
        <v>168</v>
      </c>
      <c r="E15" t="s">
        <v>169</v>
      </c>
      <c r="F15">
        <v>1.74</v>
      </c>
      <c r="G15">
        <v>0</v>
      </c>
      <c r="H15" t="s">
        <v>745</v>
      </c>
      <c r="I15">
        <v>33032752000</v>
      </c>
      <c r="J15">
        <v>53.14</v>
      </c>
      <c r="K15">
        <v>3.94</v>
      </c>
      <c r="L15" t="s">
        <v>71</v>
      </c>
      <c r="M15" t="s">
        <v>746</v>
      </c>
      <c r="N15" t="s">
        <v>747</v>
      </c>
      <c r="O15" t="s">
        <v>748</v>
      </c>
      <c r="P15">
        <v>3.3</v>
      </c>
      <c r="Q15" t="s">
        <v>749</v>
      </c>
      <c r="R15">
        <v>177466000</v>
      </c>
      <c r="S15" s="6">
        <v>0.22289999999999999</v>
      </c>
      <c r="T15" t="s">
        <v>336</v>
      </c>
      <c r="U15">
        <v>13569379000</v>
      </c>
      <c r="V15">
        <v>18984340000</v>
      </c>
      <c r="W15">
        <v>8.9</v>
      </c>
      <c r="X15">
        <v>0.25</v>
      </c>
      <c r="Y15">
        <v>0.96</v>
      </c>
      <c r="Z15" t="s">
        <v>750</v>
      </c>
      <c r="AA15" t="s">
        <v>751</v>
      </c>
      <c r="AB15" t="s">
        <v>752</v>
      </c>
      <c r="AC15" t="s">
        <v>753</v>
      </c>
      <c r="AD15" t="s">
        <v>5</v>
      </c>
      <c r="AE15">
        <v>189306000</v>
      </c>
      <c r="AF15" t="s">
        <v>754</v>
      </c>
      <c r="AG15" t="s">
        <v>755</v>
      </c>
      <c r="AH15" t="s">
        <v>756</v>
      </c>
      <c r="AI15" t="s">
        <v>757</v>
      </c>
      <c r="AJ15" t="s">
        <v>758</v>
      </c>
      <c r="AK15" t="s">
        <v>5</v>
      </c>
      <c r="AL15" t="s">
        <v>759</v>
      </c>
      <c r="AM15" t="s">
        <v>5</v>
      </c>
      <c r="AN15" t="s">
        <v>760</v>
      </c>
      <c r="AO15" t="s">
        <v>761</v>
      </c>
      <c r="AP15" t="s">
        <v>762</v>
      </c>
      <c r="AQ15" t="s">
        <v>763</v>
      </c>
      <c r="AR15" t="s">
        <v>5</v>
      </c>
      <c r="AS15" t="s">
        <v>764</v>
      </c>
      <c r="AT15" t="s">
        <v>765</v>
      </c>
      <c r="AU15" t="s">
        <v>766</v>
      </c>
      <c r="AV15" t="s">
        <v>584</v>
      </c>
      <c r="AW15" t="s">
        <v>767</v>
      </c>
      <c r="AX15" t="s">
        <v>768</v>
      </c>
      <c r="AY15" t="s">
        <v>237</v>
      </c>
      <c r="AZ15" t="s">
        <v>170</v>
      </c>
      <c r="BA15" t="s">
        <v>173</v>
      </c>
      <c r="BB15" t="s">
        <v>174</v>
      </c>
      <c r="BC15" t="s">
        <v>326</v>
      </c>
      <c r="BD15" t="s">
        <v>137</v>
      </c>
      <c r="BE15" t="s">
        <v>171</v>
      </c>
      <c r="BF15" t="s">
        <v>175</v>
      </c>
      <c r="BG15" t="s">
        <v>27</v>
      </c>
      <c r="BH15" t="s">
        <v>769</v>
      </c>
      <c r="BI15" t="s">
        <v>770</v>
      </c>
      <c r="BJ15" t="s">
        <v>768</v>
      </c>
      <c r="BK15" t="s">
        <v>771</v>
      </c>
      <c r="BL15" t="s">
        <v>772</v>
      </c>
      <c r="BM15" t="s">
        <v>326</v>
      </c>
      <c r="BN15">
        <v>2.88</v>
      </c>
      <c r="BO15">
        <v>3.36</v>
      </c>
      <c r="BP15">
        <v>1.62</v>
      </c>
      <c r="BQ15">
        <v>5.8</v>
      </c>
      <c r="BR15">
        <v>6.54</v>
      </c>
      <c r="BS15">
        <v>2.64</v>
      </c>
      <c r="BT15" t="s">
        <v>409</v>
      </c>
      <c r="BU15" t="s">
        <v>284</v>
      </c>
      <c r="BV15">
        <v>7.24</v>
      </c>
      <c r="BW15">
        <v>7.82</v>
      </c>
      <c r="BX15">
        <v>7.21</v>
      </c>
      <c r="BY15">
        <v>0.74</v>
      </c>
      <c r="BZ15">
        <v>0.63</v>
      </c>
      <c r="CA15">
        <v>0.26</v>
      </c>
      <c r="CB15">
        <v>0</v>
      </c>
      <c r="CC15">
        <v>-4.92</v>
      </c>
      <c r="CD15" t="s">
        <v>773</v>
      </c>
      <c r="CE15" t="s">
        <v>774</v>
      </c>
      <c r="CF15" s="11">
        <v>12.557425018288223</v>
      </c>
      <c r="CG15" s="12">
        <v>0.18310666666666667</v>
      </c>
      <c r="CH15" s="11">
        <v>-0.93034034967422485</v>
      </c>
      <c r="CI15" s="11">
        <v>6.0978226363658905E-2</v>
      </c>
      <c r="CJ15" s="11">
        <v>2.1447544917464256E-2</v>
      </c>
      <c r="CK15" s="11">
        <v>-2.5719208642840385E-2</v>
      </c>
      <c r="CL15" s="11">
        <v>0.19621977210044861</v>
      </c>
      <c r="CM15" s="12">
        <v>2.5651259422302246</v>
      </c>
      <c r="CN15" s="12">
        <v>1.644444465637207</v>
      </c>
      <c r="CO15" s="12">
        <v>1.2791156768798828</v>
      </c>
      <c r="CP15" s="12">
        <v>-0.91359084844589233</v>
      </c>
      <c r="CQ15" s="12">
        <v>5.436619758605957</v>
      </c>
      <c r="CR15">
        <v>56.822752895803816</v>
      </c>
      <c r="CS15">
        <v>4.1940933936253701</v>
      </c>
      <c r="CT15">
        <v>0</v>
      </c>
      <c r="CU15" s="11">
        <v>-0.13548280298709869</v>
      </c>
      <c r="CV15" s="12">
        <v>2.0023429989814758</v>
      </c>
      <c r="CW15">
        <v>0.06</v>
      </c>
      <c r="CX15">
        <v>54.0852987625221</v>
      </c>
      <c r="CY15" t="s">
        <v>775</v>
      </c>
      <c r="CZ15">
        <v>-0.13548280298709869</v>
      </c>
      <c r="DA15">
        <v>18.0284329208407</v>
      </c>
      <c r="DB15" t="s">
        <v>776</v>
      </c>
      <c r="DC15">
        <v>-0.12870866283774376</v>
      </c>
      <c r="DD15">
        <v>9.0142164604203501</v>
      </c>
      <c r="DE15" t="s">
        <v>777</v>
      </c>
      <c r="DF15">
        <v>-0.11922486662864686</v>
      </c>
      <c r="DG15">
        <v>5.40852987625221</v>
      </c>
      <c r="DH15" t="s">
        <v>778</v>
      </c>
      <c r="DI15">
        <v>-0.10838624238967896</v>
      </c>
      <c r="DJ15">
        <v>2.704264938126105</v>
      </c>
      <c r="DK15" t="s">
        <v>779</v>
      </c>
      <c r="DL15">
        <v>-9.4837962090969077E-2</v>
      </c>
      <c r="DM15">
        <v>1697000000</v>
      </c>
      <c r="DN15">
        <v>-0.13548280298709869</v>
      </c>
      <c r="DO15">
        <v>91782752000</v>
      </c>
      <c r="DP15">
        <v>-24991657000</v>
      </c>
      <c r="DQ15">
        <v>3535</v>
      </c>
      <c r="DR15">
        <v>12.692907821275321</v>
      </c>
      <c r="DS15">
        <v>-1.8192363323148091</v>
      </c>
      <c r="DT15" s="13">
        <v>-0.67333333333333334</v>
      </c>
      <c r="DU15">
        <v>1.3866666666666667</v>
      </c>
      <c r="DV15">
        <v>0.71333333333333337</v>
      </c>
      <c r="DW15">
        <v>-1.0491999999999999</v>
      </c>
      <c r="DX15">
        <v>0.34425086464665072</v>
      </c>
      <c r="DY15">
        <v>-1.0070971425406152</v>
      </c>
      <c r="DZ15">
        <v>4032</v>
      </c>
      <c r="EA15">
        <v>-1.0014972054126778</v>
      </c>
      <c r="EB15">
        <v>1</v>
      </c>
      <c r="EC15">
        <v>1.0903723806042242E-2</v>
      </c>
      <c r="ED15">
        <v>7.5588616723046467E-2</v>
      </c>
      <c r="EE15" s="14">
        <v>-2.0498099999999999</v>
      </c>
      <c r="EF15">
        <v>-2.07531</v>
      </c>
      <c r="EG15">
        <v>20.144250864646651</v>
      </c>
      <c r="EH15" t="s">
        <v>720</v>
      </c>
      <c r="EI15">
        <v>0</v>
      </c>
      <c r="EJ15">
        <v>0</v>
      </c>
      <c r="EK15" s="10">
        <v>45470</v>
      </c>
      <c r="EL15" s="15">
        <v>-0.56000000000000005</v>
      </c>
      <c r="EM15" s="15">
        <v>-3.1</v>
      </c>
      <c r="EN15" s="15">
        <v>-0.57999999999999996</v>
      </c>
      <c r="EO15" s="15">
        <v>3.22</v>
      </c>
      <c r="EP15" s="15">
        <v>-2.5499999999999998</v>
      </c>
    </row>
    <row r="16" spans="1:146" ht="156" hidden="1" x14ac:dyDescent="0.25">
      <c r="A16" s="8" t="s">
        <v>337</v>
      </c>
      <c r="B16" s="8"/>
      <c r="C16" s="8" t="str">
        <f>"公司是一家成立于1999年8月20日，主要从事油气勘探、生产及贸易业务的中国香港投资控股公司。其业务包括常规油气业务、页岩油气业务、油砂业务及其他非常规油气业务。公司主要通过三个分部运营。勘探及生产分部从事原油、天然气及其他石油产品勘探、开发及生产业务。"&amp;CHAR(10)&amp;Basic_Fundamental_Information_Constructure(F16)&amp;CHAR(10)&amp;Basic_Fundamental_Information_Concatenate("油气销售收入 1766.81亿 87.31% 99.47% 62.56%
贸易收入 215.27亿 10.64% 0.82% 4.22%")</f>
        <v>公司是一家成立于1999年8月20日，主要从事油气勘探、生产及贸易业务的中国香港投资控股公司。其业务包括常规油气业务、页岩油气业务、油砂业务及其他非常规油气业务。公司主要通过三个分部运营。勘探及生产分部从事原油、天然气及其他石油产品勘探、开发及生产业务。
市值16305.887亿, 利润3759.41万; PE12.4; 平均PE27.89; 平均PEG14.55, PB2.31; ROIC15.46%; ROE18.9367%; 股利率1.7513%; 毛利51.1767%; 净利30.6367%; 上一年度营收增-89.41%, 利润增-99.97%; 当季营收增912.98%, 利润增68430.31%; 过往5年营收增1.92%, 利润增28.01%
Income profile:
油气销售收入 1766.81亿 87.31% 99.47% 62.56%
贸易收入 215.27亿 10.64% 0.82% 4.22%</v>
      </c>
      <c r="D16" t="s">
        <v>238</v>
      </c>
      <c r="E16" t="s">
        <v>239</v>
      </c>
      <c r="F16">
        <v>34.28</v>
      </c>
      <c r="G16">
        <v>-2.2799999999999998</v>
      </c>
      <c r="H16" t="s">
        <v>780</v>
      </c>
      <c r="I16">
        <v>1630588700000</v>
      </c>
      <c r="J16">
        <v>12.4</v>
      </c>
      <c r="K16">
        <v>2.31</v>
      </c>
      <c r="L16" t="s">
        <v>71</v>
      </c>
      <c r="M16" t="s">
        <v>781</v>
      </c>
      <c r="N16" t="s">
        <v>782</v>
      </c>
      <c r="O16" t="s">
        <v>783</v>
      </c>
      <c r="P16">
        <v>14.08</v>
      </c>
      <c r="Q16" t="s">
        <v>784</v>
      </c>
      <c r="R16">
        <v>39719000000</v>
      </c>
      <c r="S16" s="6">
        <v>0.2369</v>
      </c>
      <c r="T16" t="s">
        <v>785</v>
      </c>
      <c r="U16">
        <v>2841851900</v>
      </c>
      <c r="V16">
        <v>47566764000</v>
      </c>
      <c r="W16">
        <v>1.49</v>
      </c>
      <c r="X16">
        <v>0.11</v>
      </c>
      <c r="Y16">
        <v>35.64</v>
      </c>
      <c r="Z16" t="s">
        <v>786</v>
      </c>
      <c r="AA16" t="s">
        <v>787</v>
      </c>
      <c r="AB16" t="s">
        <v>788</v>
      </c>
      <c r="AC16" t="s">
        <v>156</v>
      </c>
      <c r="AD16" t="s">
        <v>5</v>
      </c>
      <c r="AE16">
        <v>-310000000</v>
      </c>
      <c r="AF16" t="s">
        <v>789</v>
      </c>
      <c r="AG16" t="s">
        <v>790</v>
      </c>
      <c r="AH16" t="s">
        <v>791</v>
      </c>
      <c r="AI16" t="s">
        <v>792</v>
      </c>
      <c r="AJ16" t="s">
        <v>793</v>
      </c>
      <c r="AK16" t="s">
        <v>790</v>
      </c>
      <c r="AL16" t="s">
        <v>794</v>
      </c>
      <c r="AM16" t="s">
        <v>5</v>
      </c>
      <c r="AN16" t="s">
        <v>795</v>
      </c>
      <c r="AO16" t="s">
        <v>334</v>
      </c>
      <c r="AP16" t="s">
        <v>5</v>
      </c>
      <c r="AQ16" t="s">
        <v>796</v>
      </c>
      <c r="AR16" t="s">
        <v>5</v>
      </c>
      <c r="AS16" t="s">
        <v>797</v>
      </c>
      <c r="AT16" t="s">
        <v>798</v>
      </c>
      <c r="AU16" t="s">
        <v>799</v>
      </c>
      <c r="AV16" t="s">
        <v>800</v>
      </c>
      <c r="AW16" t="s">
        <v>801</v>
      </c>
      <c r="AX16" t="s">
        <v>802</v>
      </c>
      <c r="AY16" t="s">
        <v>240</v>
      </c>
      <c r="AZ16" t="s">
        <v>242</v>
      </c>
      <c r="BA16" t="s">
        <v>243</v>
      </c>
      <c r="BB16" t="s">
        <v>244</v>
      </c>
      <c r="BC16" t="s">
        <v>803</v>
      </c>
      <c r="BD16" t="s">
        <v>241</v>
      </c>
      <c r="BE16" t="s">
        <v>245</v>
      </c>
      <c r="BF16" t="s">
        <v>246</v>
      </c>
      <c r="BG16" t="s">
        <v>247</v>
      </c>
      <c r="BH16" t="s">
        <v>804</v>
      </c>
      <c r="BI16" t="s">
        <v>805</v>
      </c>
      <c r="BJ16" t="s">
        <v>802</v>
      </c>
      <c r="BK16" t="s">
        <v>806</v>
      </c>
      <c r="BL16" t="s">
        <v>807</v>
      </c>
      <c r="BM16" t="s">
        <v>803</v>
      </c>
      <c r="BN16">
        <v>13.1</v>
      </c>
      <c r="BO16">
        <v>21.3</v>
      </c>
      <c r="BP16">
        <v>11.98</v>
      </c>
      <c r="BQ16">
        <v>15.45</v>
      </c>
      <c r="BR16">
        <v>26</v>
      </c>
      <c r="BS16">
        <v>15.36</v>
      </c>
      <c r="BT16" t="s">
        <v>808</v>
      </c>
      <c r="BU16" t="s">
        <v>283</v>
      </c>
      <c r="BV16">
        <v>49.88</v>
      </c>
      <c r="BW16">
        <v>53.05</v>
      </c>
      <c r="BX16">
        <v>50.6</v>
      </c>
      <c r="BY16">
        <v>29.79</v>
      </c>
      <c r="BZ16">
        <v>33.549999999999997</v>
      </c>
      <c r="CA16">
        <v>28.57</v>
      </c>
      <c r="CB16">
        <v>3.88</v>
      </c>
      <c r="CC16">
        <v>21.47</v>
      </c>
      <c r="CD16" t="s">
        <v>809</v>
      </c>
      <c r="CE16" t="s">
        <v>810</v>
      </c>
      <c r="CF16" s="11">
        <v>9.1297709923664119</v>
      </c>
      <c r="CG16" s="12">
        <v>684.30305409233881</v>
      </c>
      <c r="CH16" s="11">
        <v>-0.89413821697235107</v>
      </c>
      <c r="CI16" s="11">
        <v>0.71560806035995483</v>
      </c>
      <c r="CJ16" s="11">
        <v>0.58400112390518188</v>
      </c>
      <c r="CK16" s="11">
        <v>-0.33373212814331055</v>
      </c>
      <c r="CL16" s="11">
        <v>2.4105224758386612E-2</v>
      </c>
      <c r="CM16" s="12">
        <v>-0.99973464012145996</v>
      </c>
      <c r="CN16" s="12">
        <v>1.0150741338729858</v>
      </c>
      <c r="CO16" s="12">
        <v>1.8176461458206177</v>
      </c>
      <c r="CP16" s="12">
        <v>-0.59117043018341064</v>
      </c>
      <c r="CQ16" s="12">
        <v>0.15889890491962433</v>
      </c>
      <c r="CR16">
        <v>27.894403245579362</v>
      </c>
      <c r="CS16">
        <v>14.551972291364461</v>
      </c>
      <c r="CT16">
        <v>1.7513418903150524</v>
      </c>
      <c r="CU16" s="11">
        <v>1.9168812781572342E-2</v>
      </c>
      <c r="CV16" s="12">
        <v>0.28014282286167147</v>
      </c>
      <c r="CW16">
        <v>0.06</v>
      </c>
      <c r="CX16">
        <v>34865.062426767559</v>
      </c>
      <c r="CY16">
        <v>36145975.721312933</v>
      </c>
      <c r="CZ16">
        <v>1.9168812781572342E-2</v>
      </c>
      <c r="DA16">
        <v>12103.527890014273</v>
      </c>
      <c r="DB16">
        <v>104121022.51937008</v>
      </c>
      <c r="DC16">
        <v>1.8210372142493724E-2</v>
      </c>
      <c r="DD16">
        <v>6445.1163960058484</v>
      </c>
      <c r="DE16">
        <v>195532806.94526908</v>
      </c>
      <c r="DF16">
        <v>1.6868555247783662E-2</v>
      </c>
      <c r="DG16">
        <v>4215.4736869735516</v>
      </c>
      <c r="DH16">
        <v>298953757.88830227</v>
      </c>
      <c r="DI16">
        <v>1.5335050225257874E-2</v>
      </c>
      <c r="DJ16">
        <v>2598.6419725232367</v>
      </c>
      <c r="DK16">
        <v>484957802.31562132</v>
      </c>
      <c r="DL16">
        <v>1.3418168947100639E-2</v>
      </c>
      <c r="DM16">
        <v>37594100</v>
      </c>
      <c r="DN16">
        <v>1.9168812781572342E-2</v>
      </c>
      <c r="DO16">
        <v>1260231700000</v>
      </c>
      <c r="DP16">
        <v>156818000000</v>
      </c>
      <c r="DQ16">
        <v>3578</v>
      </c>
      <c r="DR16">
        <v>9.1106021795848395</v>
      </c>
      <c r="DS16">
        <v>684.02291126947716</v>
      </c>
      <c r="DT16" s="13">
        <v>-0.45666666666666661</v>
      </c>
      <c r="DU16">
        <v>0.56666666666666665</v>
      </c>
      <c r="DV16">
        <v>0.11000000000000004</v>
      </c>
      <c r="DW16">
        <v>8.1807172799254779</v>
      </c>
      <c r="DX16">
        <v>0.44909814323607367</v>
      </c>
      <c r="DY16">
        <v>8.0305589564860718</v>
      </c>
      <c r="DZ16">
        <v>4998</v>
      </c>
      <c r="EA16">
        <v>8.0006697853476396</v>
      </c>
      <c r="EB16">
        <v>8</v>
      </c>
      <c r="EC16">
        <v>5.3608860169676448E-3</v>
      </c>
      <c r="ED16">
        <v>3.1702808288577293E-2</v>
      </c>
      <c r="EE16" s="14">
        <v>3.0190999999999999</v>
      </c>
      <c r="EF16">
        <v>3.0287999999999999</v>
      </c>
      <c r="EG16">
        <v>28.169098143236074</v>
      </c>
      <c r="EH16" t="s">
        <v>811</v>
      </c>
      <c r="EI16">
        <v>0</v>
      </c>
      <c r="EJ16">
        <v>0</v>
      </c>
      <c r="EK16" s="10">
        <v>45470</v>
      </c>
      <c r="EL16" s="15">
        <v>0</v>
      </c>
      <c r="EM16" s="15">
        <v>-4.37</v>
      </c>
      <c r="EN16" s="15">
        <v>0</v>
      </c>
      <c r="EO16" s="15">
        <v>5.08</v>
      </c>
      <c r="EP16" s="15">
        <v>0.97</v>
      </c>
    </row>
    <row r="17" spans="1:146" ht="144" x14ac:dyDescent="0.25">
      <c r="A17" s="8"/>
      <c r="B17" s="8"/>
      <c r="C17" s="8" t="str">
        <f>"公司主营业务是能源技术服务、低碳环保与数字化、能源物流服务。公司主要产品包括工程技术服务、装备设计制造、绿色涂料等。"&amp;CHAR(10)&amp;Basic_Fundamental_Information_Constructure(F17)&amp;CHAR(10)&amp;Basic_Fundamental_Information_Concatenate("能源物流服务产业 121.48亿 59.92% 39.42% 7.44%
能源技术服务产业 54.41亿 26.84% 32.98% 13.89%
低碳环保与数字化产业 33.42亿 16.49% 28.31% 19.41%")</f>
        <v>公司主营业务是能源技术服务、低碳环保与数字化、能源物流服务。公司主要产品包括工程技术服务、装备设计制造、绿色涂料等。
市值432.01693亿, 利润-6170.18万; PE13.63; 平均PE34.75; 平均PEG4.69, PB1.72; ROIC8.6867%; ROE8.89%; 股利率2.5882%; 毛利13.07%; 净利5.0767%; 上一年度营收增-91.8%, 利润增-102.55%; 当季营收增807.09%, 利润增2467.39%; 过往5年营收增-7.41%, 利润增1.82%
Income profile:
能源物流服务产业 121.48亿 59.92% 39.42% 7.44%
能源技术服务产业 54.41亿 26.84% 32.98% 13.89%
低碳环保与数字化产业 33.42亿 16.49% 28.31% 19.41%</v>
      </c>
      <c r="D17" t="s">
        <v>176</v>
      </c>
      <c r="E17" t="s">
        <v>177</v>
      </c>
      <c r="F17">
        <v>4.25</v>
      </c>
      <c r="G17">
        <v>0.71</v>
      </c>
      <c r="H17" t="s">
        <v>812</v>
      </c>
      <c r="I17">
        <v>43201693000</v>
      </c>
      <c r="J17">
        <v>13.63</v>
      </c>
      <c r="K17">
        <v>1.72</v>
      </c>
      <c r="L17" t="s">
        <v>71</v>
      </c>
      <c r="M17" t="s">
        <v>813</v>
      </c>
      <c r="N17" t="s">
        <v>814</v>
      </c>
      <c r="O17" t="s">
        <v>815</v>
      </c>
      <c r="P17">
        <v>-3.47</v>
      </c>
      <c r="Q17" t="s">
        <v>816</v>
      </c>
      <c r="R17">
        <v>501339530</v>
      </c>
      <c r="S17" s="6">
        <v>0.21440000000000001</v>
      </c>
      <c r="T17" t="s">
        <v>817</v>
      </c>
      <c r="U17">
        <v>10165104200</v>
      </c>
      <c r="V17">
        <v>10165104200</v>
      </c>
      <c r="W17">
        <v>1.64</v>
      </c>
      <c r="X17">
        <v>0.21</v>
      </c>
      <c r="Y17">
        <v>5.82</v>
      </c>
      <c r="Z17" t="s">
        <v>818</v>
      </c>
      <c r="AA17" t="s">
        <v>819</v>
      </c>
      <c r="AB17" t="s">
        <v>820</v>
      </c>
      <c r="AC17" t="s">
        <v>821</v>
      </c>
      <c r="AD17" t="s">
        <v>5</v>
      </c>
      <c r="AE17">
        <v>-12033948</v>
      </c>
      <c r="AF17" t="s">
        <v>822</v>
      </c>
      <c r="AG17" t="s">
        <v>823</v>
      </c>
      <c r="AH17" t="s">
        <v>824</v>
      </c>
      <c r="AI17" t="s">
        <v>825</v>
      </c>
      <c r="AJ17" t="s">
        <v>826</v>
      </c>
      <c r="AK17" t="s">
        <v>41</v>
      </c>
      <c r="AL17" t="s">
        <v>827</v>
      </c>
      <c r="AM17" t="s">
        <v>5</v>
      </c>
      <c r="AN17" t="s">
        <v>828</v>
      </c>
      <c r="AO17" t="s">
        <v>829</v>
      </c>
      <c r="AP17" t="s">
        <v>830</v>
      </c>
      <c r="AQ17" t="s">
        <v>831</v>
      </c>
      <c r="AR17" t="s">
        <v>832</v>
      </c>
      <c r="AS17" t="s">
        <v>833</v>
      </c>
      <c r="AT17" t="s">
        <v>834</v>
      </c>
      <c r="AU17" t="s">
        <v>835</v>
      </c>
      <c r="AV17" t="s">
        <v>836</v>
      </c>
      <c r="AW17" t="s">
        <v>837</v>
      </c>
      <c r="AX17" t="s">
        <v>838</v>
      </c>
      <c r="AY17" t="s">
        <v>248</v>
      </c>
      <c r="AZ17" t="s">
        <v>178</v>
      </c>
      <c r="BA17" t="s">
        <v>180</v>
      </c>
      <c r="BB17" t="s">
        <v>181</v>
      </c>
      <c r="BC17" t="s">
        <v>839</v>
      </c>
      <c r="BD17" t="s">
        <v>249</v>
      </c>
      <c r="BE17" t="s">
        <v>179</v>
      </c>
      <c r="BF17" t="s">
        <v>182</v>
      </c>
      <c r="BG17" t="s">
        <v>64</v>
      </c>
      <c r="BH17" t="s">
        <v>840</v>
      </c>
      <c r="BI17" t="s">
        <v>841</v>
      </c>
      <c r="BJ17" t="s">
        <v>838</v>
      </c>
      <c r="BK17" t="s">
        <v>842</v>
      </c>
      <c r="BL17" t="s">
        <v>843</v>
      </c>
      <c r="BM17" t="s">
        <v>839</v>
      </c>
      <c r="BN17">
        <v>8.69</v>
      </c>
      <c r="BO17">
        <v>10.9</v>
      </c>
      <c r="BP17">
        <v>6.47</v>
      </c>
      <c r="BQ17">
        <v>9.2799999999999994</v>
      </c>
      <c r="BR17">
        <v>11.09</v>
      </c>
      <c r="BS17">
        <v>6.3</v>
      </c>
      <c r="BT17" t="s">
        <v>844</v>
      </c>
      <c r="BU17" t="s">
        <v>284</v>
      </c>
      <c r="BV17">
        <v>13.47</v>
      </c>
      <c r="BW17">
        <v>12.54</v>
      </c>
      <c r="BX17">
        <v>13.2</v>
      </c>
      <c r="BY17">
        <v>6.43</v>
      </c>
      <c r="BZ17">
        <v>5.23</v>
      </c>
      <c r="CA17">
        <v>3.57</v>
      </c>
      <c r="CB17">
        <v>3.16</v>
      </c>
      <c r="CC17">
        <v>4.17</v>
      </c>
      <c r="CD17" t="s">
        <v>845</v>
      </c>
      <c r="CE17" t="s">
        <v>846</v>
      </c>
      <c r="CF17" s="11">
        <v>8.0709359605911324</v>
      </c>
      <c r="CG17" s="12">
        <v>24.673907677496004</v>
      </c>
      <c r="CH17" s="11">
        <v>-0.91796422004699707</v>
      </c>
      <c r="CI17" s="11">
        <v>0.2334856241941452</v>
      </c>
      <c r="CJ17" s="11">
        <v>0.16655626893043518</v>
      </c>
      <c r="CK17" s="11">
        <v>-7.6203132048249245E-3</v>
      </c>
      <c r="CL17" s="11">
        <v>0.15489213168621063</v>
      </c>
      <c r="CM17" s="12">
        <v>-1.0255388021469116</v>
      </c>
      <c r="CN17" s="12">
        <v>0.88161993026733398</v>
      </c>
      <c r="CO17" s="12">
        <v>-0.15637318789958954</v>
      </c>
      <c r="CP17" s="12">
        <v>0.23438774049282074</v>
      </c>
      <c r="CQ17" s="12">
        <v>0.15666034817695618</v>
      </c>
      <c r="CR17">
        <v>34.749939076038011</v>
      </c>
      <c r="CS17">
        <v>4.6876961294613455</v>
      </c>
      <c r="CT17">
        <v>2.5882352941176472</v>
      </c>
      <c r="CU17" s="11">
        <v>-7.413010168820619E-2</v>
      </c>
      <c r="CV17" s="12">
        <v>1.8151205778121949E-2</v>
      </c>
      <c r="CW17">
        <v>0.06</v>
      </c>
      <c r="CX17" t="e">
        <v>#VALUE!</v>
      </c>
      <c r="CY17" t="s">
        <v>287</v>
      </c>
      <c r="CZ17">
        <v>-7.413010168820619E-2</v>
      </c>
      <c r="DA17" t="e">
        <v>#VALUE!</v>
      </c>
      <c r="DB17" t="s">
        <v>287</v>
      </c>
      <c r="DC17">
        <v>-7.0423596603795879E-2</v>
      </c>
      <c r="DD17" t="e">
        <v>#VALUE!</v>
      </c>
      <c r="DE17" t="s">
        <v>287</v>
      </c>
      <c r="DF17">
        <v>-6.5234489485621452E-2</v>
      </c>
      <c r="DG17" t="e">
        <v>#VALUE!</v>
      </c>
      <c r="DH17" t="s">
        <v>287</v>
      </c>
      <c r="DI17">
        <v>-5.9304081350564954E-2</v>
      </c>
      <c r="DJ17" t="e">
        <v>#VALUE!</v>
      </c>
      <c r="DK17" t="s">
        <v>287</v>
      </c>
      <c r="DL17">
        <v>-5.1891071181744332E-2</v>
      </c>
      <c r="DM17">
        <v>-61701800</v>
      </c>
      <c r="DN17">
        <v>-7.413010168820619E-2</v>
      </c>
      <c r="DO17">
        <v>36937693000</v>
      </c>
      <c r="DP17">
        <v>8732416000</v>
      </c>
      <c r="DQ17">
        <v>3592</v>
      </c>
      <c r="DR17">
        <v>8.1450660622793389</v>
      </c>
      <c r="DS17">
        <v>24.655756471717883</v>
      </c>
      <c r="DT17" s="13">
        <v>-0.39000000000000007</v>
      </c>
      <c r="DU17">
        <v>-0.3666666666666667</v>
      </c>
      <c r="DV17">
        <v>-0.75666666666666682</v>
      </c>
      <c r="DW17">
        <v>8.7577937649880102</v>
      </c>
      <c r="DX17">
        <v>0.29285714984175615</v>
      </c>
      <c r="DY17">
        <v>8.1082562574340393</v>
      </c>
      <c r="DZ17">
        <v>3379</v>
      </c>
      <c r="EA17">
        <v>8.036671542391062</v>
      </c>
      <c r="EB17">
        <v>8</v>
      </c>
      <c r="EC17">
        <v>1.8396269858207651E-2</v>
      </c>
      <c r="ED17">
        <v>0.12877388900745357</v>
      </c>
      <c r="EE17" s="14">
        <v>-1.1305100000000001</v>
      </c>
      <c r="EF17">
        <v>-1.1472100000000001</v>
      </c>
      <c r="EG17">
        <v>15.142857149841756</v>
      </c>
      <c r="EH17" t="s">
        <v>605</v>
      </c>
      <c r="EI17">
        <v>0</v>
      </c>
      <c r="EJ17">
        <v>0</v>
      </c>
      <c r="EK17" s="10">
        <v>45470</v>
      </c>
      <c r="EL17" s="15">
        <v>-0.68</v>
      </c>
      <c r="EM17" s="15">
        <v>-2.6</v>
      </c>
      <c r="EN17" s="15">
        <v>-0.42</v>
      </c>
      <c r="EO17" s="15">
        <v>1.27</v>
      </c>
      <c r="EP17" s="15">
        <v>-1.67</v>
      </c>
    </row>
    <row r="18" spans="1:146" ht="216" x14ac:dyDescent="0.25">
      <c r="A18" s="8"/>
      <c r="B18" s="8"/>
      <c r="C18" s="8" t="str">
        <f>"公司的主营业务涉及石油及天然气勘探、开发及生产的各个阶段,主要分为钻井服务、油田技术服务、船舶服务、物探勘察服务四大板块。公司占据了中国近海油田技术服务市场大部分份额,其中固井、泥浆等服务在中国近海拥有绝对市场优势;公司在市场上拥有和操作规模最庞大和功能最广泛的大型装备群,具有较强的竞争能力,可服务于整个中国海域的油田服务市场。"&amp;CHAR(10)&amp;Basic_Fundamental_Information_Constructure(F18)&amp;CHAR(10)&amp;Basic_Fundamental_Information_Concatenate("油田技术服务 150.85亿 51.65% 92.28% 29.33%
钻井服务 87.79亿 30.06% 0.56% 0.31%
船舶服务 33.07亿 11.33% 6.08% 8.82%
物探采集和工程勘察服务 20.32亿 6.96% 1.07% 2.52%")</f>
        <v>公司的主营业务涉及石油及天然气勘探、开发及生产的各个阶段,主要分为钻井服务、油田技术服务、船舶服务、物探勘察服务四大板块。公司占据了中国近海油田技术服务市场大部分份额,其中固井、泥浆等服务在中国近海拥有绝对市场优势;公司在市场上拥有和操作规模最庞大和功能最广泛的大型装备群,具有较强的竞争能力,可服务于整个中国海域的油田服务市场。
市值776.33802亿, 利润15.79亿; PE23.93; 平均PE48.89; 平均PEG27.51, PB1.83; ROIC3.4367%; ROE4.2033%; 股利率1.2907%; 毛利14.86%; 净利5.1767%; 上一年度营收增-66.72%, 利润增-33.06%; 当季营收增339.12%, 利润增217.76%; 过往5年营收增-1.78%, 利润增794.8%
Income profile:
油田技术服务 150.85亿 51.65% 92.28% 29.33%
钻井服务 87.79亿 30.06% 0.56% 0.31%
船舶服务 33.07亿 11.33% 6.08% 8.82%
物探采集和工程勘察服务 20.32亿 6.96% 1.07% 2.52%</v>
      </c>
      <c r="D18" t="s">
        <v>183</v>
      </c>
      <c r="E18" t="s">
        <v>184</v>
      </c>
      <c r="F18">
        <v>16.27</v>
      </c>
      <c r="G18">
        <v>-0.61</v>
      </c>
      <c r="H18" t="s">
        <v>847</v>
      </c>
      <c r="I18">
        <v>77633802000</v>
      </c>
      <c r="J18">
        <v>23.93</v>
      </c>
      <c r="K18">
        <v>1.83</v>
      </c>
      <c r="L18" t="s">
        <v>71</v>
      </c>
      <c r="M18" t="s">
        <v>848</v>
      </c>
      <c r="N18" t="s">
        <v>849</v>
      </c>
      <c r="O18" t="s">
        <v>850</v>
      </c>
      <c r="P18">
        <v>20.010000000000002</v>
      </c>
      <c r="Q18" t="s">
        <v>851</v>
      </c>
      <c r="R18">
        <v>635514310</v>
      </c>
      <c r="S18" s="6">
        <v>0.57269999999999999</v>
      </c>
      <c r="T18" t="s">
        <v>852</v>
      </c>
      <c r="U18">
        <v>2960468000</v>
      </c>
      <c r="V18">
        <v>4771592000</v>
      </c>
      <c r="W18">
        <v>1.92</v>
      </c>
      <c r="X18">
        <v>0.12</v>
      </c>
      <c r="Y18">
        <v>6.81</v>
      </c>
      <c r="Z18" t="s">
        <v>853</v>
      </c>
      <c r="AA18" t="s">
        <v>854</v>
      </c>
      <c r="AB18" t="s">
        <v>855</v>
      </c>
      <c r="AC18" t="s">
        <v>85</v>
      </c>
      <c r="AD18" t="s">
        <v>5</v>
      </c>
      <c r="AE18">
        <v>222858000</v>
      </c>
      <c r="AF18" t="s">
        <v>856</v>
      </c>
      <c r="AG18" t="s">
        <v>857</v>
      </c>
      <c r="AH18" t="s">
        <v>858</v>
      </c>
      <c r="AI18" t="s">
        <v>859</v>
      </c>
      <c r="AJ18" t="s">
        <v>860</v>
      </c>
      <c r="AK18" t="s">
        <v>861</v>
      </c>
      <c r="AL18" t="s">
        <v>862</v>
      </c>
      <c r="AM18" t="s">
        <v>5</v>
      </c>
      <c r="AN18" t="s">
        <v>863</v>
      </c>
      <c r="AO18" t="s">
        <v>864</v>
      </c>
      <c r="AP18" t="s">
        <v>5</v>
      </c>
      <c r="AQ18" t="s">
        <v>865</v>
      </c>
      <c r="AR18" t="s">
        <v>5</v>
      </c>
      <c r="AS18" t="s">
        <v>866</v>
      </c>
      <c r="AT18" t="s">
        <v>867</v>
      </c>
      <c r="AU18" t="s">
        <v>868</v>
      </c>
      <c r="AV18" t="s">
        <v>869</v>
      </c>
      <c r="AW18" t="s">
        <v>870</v>
      </c>
      <c r="AX18" t="s">
        <v>871</v>
      </c>
      <c r="AY18" t="s">
        <v>250</v>
      </c>
      <c r="AZ18" t="s">
        <v>185</v>
      </c>
      <c r="BA18" t="s">
        <v>187</v>
      </c>
      <c r="BB18" t="s">
        <v>188</v>
      </c>
      <c r="BC18" t="s">
        <v>872</v>
      </c>
      <c r="BD18" t="s">
        <v>251</v>
      </c>
      <c r="BE18" t="s">
        <v>186</v>
      </c>
      <c r="BF18" t="s">
        <v>189</v>
      </c>
      <c r="BG18" t="s">
        <v>190</v>
      </c>
      <c r="BH18" t="s">
        <v>873</v>
      </c>
      <c r="BI18" t="s">
        <v>874</v>
      </c>
      <c r="BJ18" t="s">
        <v>871</v>
      </c>
      <c r="BK18" t="s">
        <v>875</v>
      </c>
      <c r="BL18" t="s">
        <v>333</v>
      </c>
      <c r="BM18" t="s">
        <v>872</v>
      </c>
      <c r="BN18">
        <v>4.53</v>
      </c>
      <c r="BO18">
        <v>4.9400000000000004</v>
      </c>
      <c r="BP18">
        <v>0.84</v>
      </c>
      <c r="BQ18">
        <v>5.7</v>
      </c>
      <c r="BR18">
        <v>6.09</v>
      </c>
      <c r="BS18">
        <v>0.82</v>
      </c>
      <c r="BT18" t="s">
        <v>876</v>
      </c>
      <c r="BU18" t="s">
        <v>284</v>
      </c>
      <c r="BV18">
        <v>15.88</v>
      </c>
      <c r="BW18">
        <v>12.28</v>
      </c>
      <c r="BX18">
        <v>16.420000000000002</v>
      </c>
      <c r="BY18">
        <v>7.44</v>
      </c>
      <c r="BZ18">
        <v>6.99</v>
      </c>
      <c r="CA18">
        <v>1.1000000000000001</v>
      </c>
      <c r="CB18">
        <v>-5.41</v>
      </c>
      <c r="CC18">
        <v>-6.12</v>
      </c>
      <c r="CD18" t="s">
        <v>877</v>
      </c>
      <c r="CE18" t="s">
        <v>878</v>
      </c>
      <c r="CF18" s="11">
        <v>3.3911726525313717</v>
      </c>
      <c r="CG18" s="12">
        <v>2.1775715500000001</v>
      </c>
      <c r="CH18" s="11">
        <v>-0.66718077659606934</v>
      </c>
      <c r="CI18" s="11">
        <v>0.22107326984405518</v>
      </c>
      <c r="CJ18" s="11">
        <v>8.4256613627076149E-3</v>
      </c>
      <c r="CK18" s="11">
        <v>-6.9889187812805176E-2</v>
      </c>
      <c r="CL18" s="11">
        <v>0.41870963573455811</v>
      </c>
      <c r="CM18" s="12">
        <v>-0.33064857125282288</v>
      </c>
      <c r="CN18" s="12">
        <v>6.5367417335510254</v>
      </c>
      <c r="CO18" s="12">
        <v>-0.88420277833938599</v>
      </c>
      <c r="CP18" s="12">
        <v>8.0335699021816254E-2</v>
      </c>
      <c r="CQ18" s="12">
        <v>34.337833404541016</v>
      </c>
      <c r="CR18">
        <v>48.89393075785776</v>
      </c>
      <c r="CS18">
        <v>27.511344718447983</v>
      </c>
      <c r="CT18">
        <v>1.2907191149354642</v>
      </c>
      <c r="CU18" s="11">
        <v>-1.7772279493510724E-2</v>
      </c>
      <c r="CV18" s="12">
        <v>7.9480118975043297</v>
      </c>
      <c r="CW18">
        <v>0.06</v>
      </c>
      <c r="CX18">
        <v>47.894744775174161</v>
      </c>
      <c r="CY18" t="s">
        <v>879</v>
      </c>
      <c r="CZ18">
        <v>-1.7772279493510724E-2</v>
      </c>
      <c r="DA18">
        <v>15.964914925058054</v>
      </c>
      <c r="DB18" t="s">
        <v>880</v>
      </c>
      <c r="DC18">
        <v>-1.6883665518835186E-2</v>
      </c>
      <c r="DD18">
        <v>7.9824574625290268</v>
      </c>
      <c r="DE18" t="s">
        <v>881</v>
      </c>
      <c r="DF18">
        <v>-1.5639605954289437E-2</v>
      </c>
      <c r="DG18">
        <v>4.7894744775174161</v>
      </c>
      <c r="DH18" t="s">
        <v>882</v>
      </c>
      <c r="DI18">
        <v>-1.421782359480858E-2</v>
      </c>
      <c r="DJ18">
        <v>2.394737238758708</v>
      </c>
      <c r="DK18" t="s">
        <v>883</v>
      </c>
      <c r="DL18">
        <v>-1.2440595645457506E-2</v>
      </c>
      <c r="DM18">
        <v>1579000000</v>
      </c>
      <c r="DN18">
        <v>-1.7772279493510724E-2</v>
      </c>
      <c r="DO18">
        <v>75625802000</v>
      </c>
      <c r="DP18">
        <v>7200760000</v>
      </c>
      <c r="DQ18">
        <v>3786</v>
      </c>
      <c r="DR18">
        <v>3.4089449320248826</v>
      </c>
      <c r="DS18">
        <v>-5.77044034750433</v>
      </c>
      <c r="DT18" s="13">
        <v>-0.52333333333333332</v>
      </c>
      <c r="DU18">
        <v>0.95499999999999996</v>
      </c>
      <c r="DV18">
        <v>0.43166666666666664</v>
      </c>
      <c r="DW18">
        <v>-8.8839869281045747</v>
      </c>
      <c r="DX18">
        <v>0.40518078602619978</v>
      </c>
      <c r="DY18">
        <v>-8.1548575249022459</v>
      </c>
      <c r="DZ18">
        <v>1911</v>
      </c>
      <c r="EA18">
        <v>-8.0969450532607219</v>
      </c>
      <c r="EB18">
        <v>8</v>
      </c>
      <c r="EC18">
        <v>8.4073407785074661E-3</v>
      </c>
      <c r="ED18">
        <v>4.7992368165593373E-2</v>
      </c>
      <c r="EE18" s="14">
        <v>4.0310000000000012E-2</v>
      </c>
      <c r="EF18">
        <v>5.6110000000000007E-2</v>
      </c>
      <c r="EG18">
        <v>23.1751807860262</v>
      </c>
      <c r="EH18">
        <v>-1</v>
      </c>
      <c r="EI18">
        <v>0</v>
      </c>
      <c r="EJ18">
        <v>0</v>
      </c>
      <c r="EK18" s="10">
        <v>45470</v>
      </c>
      <c r="EL18" s="15">
        <v>-0.57999999999999996</v>
      </c>
      <c r="EM18" s="15">
        <v>-3.34</v>
      </c>
      <c r="EN18" s="15">
        <v>-0.6</v>
      </c>
      <c r="EO18" s="15">
        <v>5.14</v>
      </c>
      <c r="EP18" s="15">
        <v>-1.58</v>
      </c>
    </row>
    <row r="19" spans="1:146" ht="168" hidden="1" x14ac:dyDescent="0.25">
      <c r="A19" s="8"/>
      <c r="B19" s="8"/>
      <c r="C19" s="8" t="str">
        <f>"公司主要从事城市天然气的输配、销售、入户安装以及煤层气开采业务。公司城市燃气业务的主要生产经营区域包括了南北疆的八个市（区、县），上游气源来自中石油新疆油田公司等多家单位。公司的主要产品为天然气销售、天然气入户安装、压缩天然气运输。"&amp;CHAR(10)&amp;Basic_Fundamental_Information_Constructure(F19)&amp;CHAR(10)&amp;Basic_Fundamental_Information_Concatenate("煤层气开采及销售行业 17.39亿 66.46% 80.72% 60.63%
天然气供应及相关行业 8.67亿 33.13% 18.89% 28.46%")</f>
        <v>公司主要从事城市天然气的输配、销售、入户安装以及煤层气开采业务。公司城市燃气业务的主要生产经营区域包括了南北疆的八个市（区、县），上游气源来自中石油新疆油田公司等多家单位。公司的主要产品为天然气销售、天然气入户安装、压缩天然气运输。
市值156.97807亿, 利润8991.83万; PE12.73; 平均PE29.84; 平均PEG2.81, PB2.05; ROIC14.6333%; ROE20.82%; 股利率2.4305%; 毛利50.15%; 净利47.2167%; 上一年度营收增-34.1%, 利润增-90.26%; 当季营收增119.19%, 利润增1172.21%; 过往5年营收增10.6%, 利润增19.38%
Income profile:
煤层气开采及销售行业 17.39亿 66.46% 80.72% 60.63%
天然气供应及相关行业 8.67亿 33.13% 18.89% 28.46%</v>
      </c>
      <c r="D19" t="s">
        <v>252</v>
      </c>
      <c r="E19" t="s">
        <v>253</v>
      </c>
      <c r="F19">
        <v>37.03</v>
      </c>
      <c r="G19">
        <v>0.43</v>
      </c>
      <c r="H19" t="s">
        <v>884</v>
      </c>
      <c r="I19">
        <v>15697807000</v>
      </c>
      <c r="J19">
        <v>12.73</v>
      </c>
      <c r="K19">
        <v>2.0499999999999998</v>
      </c>
      <c r="L19" t="s">
        <v>71</v>
      </c>
      <c r="M19" t="s">
        <v>885</v>
      </c>
      <c r="N19" t="s">
        <v>886</v>
      </c>
      <c r="O19" t="s">
        <v>887</v>
      </c>
      <c r="P19">
        <v>11.11</v>
      </c>
      <c r="Q19" t="s">
        <v>888</v>
      </c>
      <c r="R19">
        <v>331878540</v>
      </c>
      <c r="S19" s="6">
        <v>1.2689999999999999</v>
      </c>
      <c r="T19" t="s">
        <v>889</v>
      </c>
      <c r="U19">
        <v>374727970</v>
      </c>
      <c r="V19">
        <v>423921330</v>
      </c>
      <c r="W19">
        <v>1.82</v>
      </c>
      <c r="X19">
        <v>0.08</v>
      </c>
      <c r="Y19">
        <v>29.82</v>
      </c>
      <c r="Z19" t="s">
        <v>890</v>
      </c>
      <c r="AA19" t="s">
        <v>891</v>
      </c>
      <c r="AB19" t="s">
        <v>892</v>
      </c>
      <c r="AC19" t="s">
        <v>893</v>
      </c>
      <c r="AD19" t="s">
        <v>5</v>
      </c>
      <c r="AE19">
        <v>31478271</v>
      </c>
      <c r="AF19" t="s">
        <v>894</v>
      </c>
      <c r="AG19" t="s">
        <v>895</v>
      </c>
      <c r="AH19" t="s">
        <v>896</v>
      </c>
      <c r="AI19" t="s">
        <v>897</v>
      </c>
      <c r="AJ19" t="s">
        <v>898</v>
      </c>
      <c r="AK19" t="s">
        <v>899</v>
      </c>
      <c r="AL19" t="s">
        <v>900</v>
      </c>
      <c r="AM19" t="s">
        <v>5</v>
      </c>
      <c r="AN19" t="s">
        <v>901</v>
      </c>
      <c r="AO19" t="s">
        <v>5</v>
      </c>
      <c r="AP19" t="s">
        <v>5</v>
      </c>
      <c r="AQ19" t="s">
        <v>335</v>
      </c>
      <c r="AR19" t="s">
        <v>5</v>
      </c>
      <c r="AS19" t="s">
        <v>902</v>
      </c>
      <c r="AT19" t="s">
        <v>903</v>
      </c>
      <c r="AU19" t="s">
        <v>904</v>
      </c>
      <c r="AV19" t="s">
        <v>905</v>
      </c>
      <c r="AW19" t="s">
        <v>411</v>
      </c>
      <c r="AX19" t="s">
        <v>906</v>
      </c>
      <c r="AY19" t="s">
        <v>254</v>
      </c>
      <c r="AZ19" t="s">
        <v>256</v>
      </c>
      <c r="BA19" t="s">
        <v>257</v>
      </c>
      <c r="BB19" t="s">
        <v>197</v>
      </c>
      <c r="BC19" t="s">
        <v>907</v>
      </c>
      <c r="BD19" t="s">
        <v>255</v>
      </c>
      <c r="BE19" t="s">
        <v>172</v>
      </c>
      <c r="BF19" t="s">
        <v>258</v>
      </c>
      <c r="BG19" t="s">
        <v>97</v>
      </c>
      <c r="BH19" t="s">
        <v>908</v>
      </c>
      <c r="BI19" t="s">
        <v>909</v>
      </c>
      <c r="BJ19" t="s">
        <v>906</v>
      </c>
      <c r="BK19" t="s">
        <v>910</v>
      </c>
      <c r="BL19" t="s">
        <v>911</v>
      </c>
      <c r="BM19" t="s">
        <v>907</v>
      </c>
      <c r="BN19">
        <v>9.23</v>
      </c>
      <c r="BO19">
        <v>16.63</v>
      </c>
      <c r="BP19">
        <v>18.04</v>
      </c>
      <c r="BQ19">
        <v>12.44</v>
      </c>
      <c r="BR19">
        <v>18.989999999999998</v>
      </c>
      <c r="BS19">
        <v>31.03</v>
      </c>
      <c r="BT19" t="s">
        <v>912</v>
      </c>
      <c r="BU19" t="s">
        <v>283</v>
      </c>
      <c r="BV19">
        <v>47.46</v>
      </c>
      <c r="BW19">
        <v>53.07</v>
      </c>
      <c r="BX19">
        <v>49.92</v>
      </c>
      <c r="BY19">
        <v>40.409999999999997</v>
      </c>
      <c r="BZ19">
        <v>46.51</v>
      </c>
      <c r="CA19">
        <v>54.73</v>
      </c>
      <c r="CB19">
        <v>6.59</v>
      </c>
      <c r="CC19">
        <v>12.45</v>
      </c>
      <c r="CD19" t="s">
        <v>913</v>
      </c>
      <c r="CE19" t="s">
        <v>914</v>
      </c>
      <c r="CF19" s="11">
        <v>1.191860465116279</v>
      </c>
      <c r="CG19" s="12">
        <v>11.722135801002043</v>
      </c>
      <c r="CH19" s="11">
        <v>-0.34104213118553162</v>
      </c>
      <c r="CI19" s="11">
        <v>0.30531147122383118</v>
      </c>
      <c r="CJ19" s="11">
        <v>0.23910981416702271</v>
      </c>
      <c r="CK19" s="11">
        <v>-8.0139376223087311E-2</v>
      </c>
      <c r="CL19" s="11">
        <v>0.40686273574829102</v>
      </c>
      <c r="CM19" s="12">
        <v>-0.90258044004440308</v>
      </c>
      <c r="CN19" s="12">
        <v>-0.10214007645845413</v>
      </c>
      <c r="CO19" s="12">
        <v>1.8635097742080688</v>
      </c>
      <c r="CP19" s="12">
        <v>-0.14928910136222839</v>
      </c>
      <c r="CQ19" s="12">
        <v>0.25970149040222168</v>
      </c>
      <c r="CR19">
        <v>29.8350584492478</v>
      </c>
      <c r="CS19">
        <v>2.8140838494886151</v>
      </c>
      <c r="CT19">
        <v>2.4304617877396706</v>
      </c>
      <c r="CU19" s="11">
        <v>0.10602050274610519</v>
      </c>
      <c r="CV19" s="12">
        <v>0.193840329349041</v>
      </c>
      <c r="CW19">
        <v>0.06</v>
      </c>
      <c r="CX19">
        <v>150.59137292069039</v>
      </c>
      <c r="CY19">
        <v>93822154.124599144</v>
      </c>
      <c r="CZ19">
        <v>0.10602050274610519</v>
      </c>
      <c r="DA19">
        <v>48.549962930641755</v>
      </c>
      <c r="DB19">
        <v>291015814.37218285</v>
      </c>
      <c r="DC19">
        <v>0.10071947760879993</v>
      </c>
      <c r="DD19">
        <v>23.468534307308513</v>
      </c>
      <c r="DE19">
        <v>602031929.85937953</v>
      </c>
      <c r="DF19">
        <v>9.3298042416572566E-2</v>
      </c>
      <c r="DG19">
        <v>13.80452123903642</v>
      </c>
      <c r="DH19">
        <v>1023491271.8339384</v>
      </c>
      <c r="DI19">
        <v>8.4816402196884161E-2</v>
      </c>
      <c r="DJ19">
        <v>6.810886348485135</v>
      </c>
      <c r="DK19">
        <v>2074444687.0916445</v>
      </c>
      <c r="DL19">
        <v>7.421435192227363E-2</v>
      </c>
      <c r="DM19">
        <v>89918300</v>
      </c>
      <c r="DN19">
        <v>0.10602050274610519</v>
      </c>
      <c r="DO19">
        <v>14128807000</v>
      </c>
      <c r="DP19">
        <v>2707998600</v>
      </c>
      <c r="DQ19">
        <v>4139</v>
      </c>
      <c r="DR19">
        <v>1.0858399623701738</v>
      </c>
      <c r="DS19">
        <v>11.528295471653003</v>
      </c>
      <c r="DT19" s="13">
        <v>-0.22333333333333338</v>
      </c>
      <c r="DU19">
        <v>0.35333333333333328</v>
      </c>
      <c r="DV19">
        <v>0.12999999999999989</v>
      </c>
      <c r="DW19">
        <v>9.5293172690763051</v>
      </c>
      <c r="DX19">
        <v>0.4068809364773594</v>
      </c>
      <c r="DY19">
        <v>9.114798825010908</v>
      </c>
      <c r="DZ19">
        <v>875</v>
      </c>
      <c r="EA19">
        <v>9.0951414919610958</v>
      </c>
      <c r="EB19">
        <v>9</v>
      </c>
      <c r="EC19">
        <v>4.9375198931367763E-2</v>
      </c>
      <c r="ED19">
        <v>0.22766040104658097</v>
      </c>
      <c r="EE19" s="14">
        <v>1.0718099999999999</v>
      </c>
      <c r="EF19">
        <v>1.1029100000000001</v>
      </c>
      <c r="EG19">
        <v>19.216880936477359</v>
      </c>
      <c r="EH19" t="s">
        <v>915</v>
      </c>
      <c r="EI19">
        <v>1</v>
      </c>
      <c r="EJ19">
        <v>1</v>
      </c>
      <c r="EK19" s="10">
        <v>45470</v>
      </c>
      <c r="EL19" s="15">
        <v>1.59</v>
      </c>
      <c r="EM19" s="15">
        <v>-5.0199999999999996</v>
      </c>
      <c r="EN19" s="15">
        <v>-1.08</v>
      </c>
      <c r="EO19" s="15">
        <v>2.11</v>
      </c>
      <c r="EP19" s="15">
        <v>-3.11</v>
      </c>
    </row>
    <row r="20" spans="1:146" ht="96" x14ac:dyDescent="0.25">
      <c r="A20" s="8"/>
      <c r="B20" s="8"/>
      <c r="C20" s="8" t="str">
        <f>""&amp;CHAR(10)&amp;Basic_Fundamental_Information_Constructure(F20)&amp;CHAR(10)&amp;Basic_Fundamental_Information_Concatenate("")</f>
        <v xml:space="preserve">
市值93.320023亿, 利润-2.81亿; PE12.16; 平均PE-341.78; 平均PEG-14.8, PB3.37; ROIC9.2633%; ROE17.5033%; 股利率2.6575%; 毛利41.25%; 净利14.0467%; 上一年度营收增-18.82%, 利润增-158.3%; 当季营收增54.3%, 利润增305.64%; 过往5年营收增23.09%, 利润增-491.12%
Income profile:
</v>
      </c>
      <c r="D20" t="s">
        <v>191</v>
      </c>
      <c r="E20" t="s">
        <v>192</v>
      </c>
      <c r="F20">
        <v>23.33</v>
      </c>
      <c r="G20">
        <v>0.39</v>
      </c>
      <c r="H20" t="s">
        <v>916</v>
      </c>
      <c r="I20">
        <v>9332002300</v>
      </c>
      <c r="J20">
        <v>12.16</v>
      </c>
      <c r="K20">
        <v>3.37</v>
      </c>
      <c r="L20" t="s">
        <v>71</v>
      </c>
      <c r="M20" t="s">
        <v>917</v>
      </c>
      <c r="N20" t="s">
        <v>918</v>
      </c>
      <c r="O20" t="s">
        <v>919</v>
      </c>
      <c r="P20">
        <v>-10.74</v>
      </c>
      <c r="Q20" t="s">
        <v>920</v>
      </c>
      <c r="R20">
        <v>172044860</v>
      </c>
      <c r="S20" s="6">
        <v>-0.19850000000000001</v>
      </c>
      <c r="T20" t="s">
        <v>921</v>
      </c>
      <c r="U20">
        <v>400000100</v>
      </c>
      <c r="V20">
        <v>400000100</v>
      </c>
      <c r="W20">
        <v>3.12</v>
      </c>
      <c r="X20">
        <v>0.09</v>
      </c>
      <c r="Y20">
        <v>22.87</v>
      </c>
      <c r="Z20" t="s">
        <v>490</v>
      </c>
      <c r="AA20" t="s">
        <v>922</v>
      </c>
      <c r="AB20" t="s">
        <v>923</v>
      </c>
      <c r="AC20" t="s">
        <v>924</v>
      </c>
      <c r="AD20" t="s">
        <v>5</v>
      </c>
      <c r="AE20">
        <v>41019403</v>
      </c>
      <c r="AF20" t="s">
        <v>23</v>
      </c>
      <c r="AG20" t="s">
        <v>925</v>
      </c>
      <c r="AH20" t="s">
        <v>926</v>
      </c>
      <c r="AI20" t="s">
        <v>927</v>
      </c>
      <c r="AJ20" t="s">
        <v>928</v>
      </c>
      <c r="AK20" t="s">
        <v>929</v>
      </c>
      <c r="AL20" t="s">
        <v>930</v>
      </c>
      <c r="AM20" t="s">
        <v>5</v>
      </c>
      <c r="AN20" t="s">
        <v>416</v>
      </c>
      <c r="AO20" t="s">
        <v>931</v>
      </c>
      <c r="AP20" t="s">
        <v>932</v>
      </c>
      <c r="AQ20" t="s">
        <v>933</v>
      </c>
      <c r="AR20" t="s">
        <v>934</v>
      </c>
      <c r="AS20" t="s">
        <v>935</v>
      </c>
      <c r="AT20" t="s">
        <v>936</v>
      </c>
      <c r="AU20" t="s">
        <v>330</v>
      </c>
      <c r="AV20" t="s">
        <v>869</v>
      </c>
      <c r="AW20" t="s">
        <v>937</v>
      </c>
      <c r="AX20" t="s">
        <v>938</v>
      </c>
      <c r="AY20" t="s">
        <v>939</v>
      </c>
      <c r="AZ20" t="s">
        <v>193</v>
      </c>
      <c r="BA20" t="s">
        <v>195</v>
      </c>
      <c r="BB20" t="s">
        <v>196</v>
      </c>
      <c r="BC20" t="s">
        <v>940</v>
      </c>
      <c r="BD20" t="s">
        <v>941</v>
      </c>
      <c r="BE20" t="s">
        <v>194</v>
      </c>
      <c r="BF20" t="s">
        <v>198</v>
      </c>
      <c r="BG20" t="s">
        <v>199</v>
      </c>
      <c r="BH20" t="s">
        <v>942</v>
      </c>
      <c r="BI20" t="s">
        <v>301</v>
      </c>
      <c r="BJ20" t="s">
        <v>938</v>
      </c>
      <c r="BK20" t="s">
        <v>943</v>
      </c>
      <c r="BL20" t="s">
        <v>944</v>
      </c>
      <c r="BM20" t="s">
        <v>940</v>
      </c>
      <c r="BN20">
        <v>13.04</v>
      </c>
      <c r="BO20">
        <v>11.74</v>
      </c>
      <c r="BP20">
        <v>3.01</v>
      </c>
      <c r="BQ20">
        <v>26.15</v>
      </c>
      <c r="BR20">
        <v>22.94</v>
      </c>
      <c r="BS20">
        <v>3.42</v>
      </c>
      <c r="BT20" t="s">
        <v>945</v>
      </c>
      <c r="BU20" t="s">
        <v>284</v>
      </c>
      <c r="BV20">
        <v>45.73</v>
      </c>
      <c r="BW20">
        <v>45.76</v>
      </c>
      <c r="BX20">
        <v>32.26</v>
      </c>
      <c r="BY20">
        <v>22</v>
      </c>
      <c r="BZ20">
        <v>16.399999999999999</v>
      </c>
      <c r="CA20">
        <v>3.74</v>
      </c>
      <c r="CB20">
        <v>-0.38</v>
      </c>
      <c r="CC20">
        <v>-3.36</v>
      </c>
      <c r="CD20" t="s">
        <v>946</v>
      </c>
      <c r="CE20" t="s">
        <v>947</v>
      </c>
      <c r="CF20" s="11">
        <v>0.54302103250477995</v>
      </c>
      <c r="CG20" s="12">
        <v>3.0563786096768024</v>
      </c>
      <c r="CH20" s="11">
        <v>-0.18818384408950806</v>
      </c>
      <c r="CI20" s="11">
        <v>0.81555056571960449</v>
      </c>
      <c r="CJ20" s="11">
        <v>0.11167196929454803</v>
      </c>
      <c r="CK20" s="11">
        <v>-0.35647588968276978</v>
      </c>
      <c r="CL20" s="11">
        <v>0.77194249629974365</v>
      </c>
      <c r="CM20" s="12">
        <v>-1.5829875469207764</v>
      </c>
      <c r="CN20" s="12">
        <v>5.5151863098144531</v>
      </c>
      <c r="CO20" s="12">
        <v>1.1522243022918701</v>
      </c>
      <c r="CP20" s="12">
        <v>-29.214967727661133</v>
      </c>
      <c r="CQ20" s="12">
        <v>-0.4252350926399231</v>
      </c>
      <c r="CR20">
        <v>-341.77837882380936</v>
      </c>
      <c r="CS20">
        <v>-14.801940690596473</v>
      </c>
      <c r="CT20">
        <v>2.6575225032147451</v>
      </c>
      <c r="CU20" s="11">
        <v>0.23090105950832368</v>
      </c>
      <c r="CV20" s="12">
        <v>-4.911155951023102</v>
      </c>
      <c r="CW20">
        <v>0.06</v>
      </c>
      <c r="CX20" t="e">
        <v>#VALUE!</v>
      </c>
      <c r="CY20" t="s">
        <v>287</v>
      </c>
      <c r="CZ20">
        <v>0.23090105950832368</v>
      </c>
      <c r="DA20" t="e">
        <v>#VALUE!</v>
      </c>
      <c r="DB20" t="s">
        <v>287</v>
      </c>
      <c r="DC20">
        <v>0.21935600653290749</v>
      </c>
      <c r="DD20" t="e">
        <v>#VALUE!</v>
      </c>
      <c r="DE20" t="s">
        <v>287</v>
      </c>
      <c r="DF20">
        <v>0.20319293236732483</v>
      </c>
      <c r="DG20" t="e">
        <v>#VALUE!</v>
      </c>
      <c r="DH20" t="s">
        <v>287</v>
      </c>
      <c r="DI20">
        <v>0.18472084760665897</v>
      </c>
      <c r="DJ20" t="e">
        <v>#VALUE!</v>
      </c>
      <c r="DK20" t="s">
        <v>287</v>
      </c>
      <c r="DL20">
        <v>0.16163074165582655</v>
      </c>
      <c r="DM20">
        <v>-281000000</v>
      </c>
      <c r="DN20">
        <v>0.23090105950832368</v>
      </c>
      <c r="DO20">
        <v>12584002300</v>
      </c>
      <c r="DP20">
        <v>-903840800</v>
      </c>
      <c r="DQ20">
        <v>4220</v>
      </c>
      <c r="DR20">
        <v>0.31211997299645627</v>
      </c>
      <c r="DS20">
        <v>7.9675345606999048</v>
      </c>
      <c r="DT20" s="13">
        <v>-0.22333333333333338</v>
      </c>
      <c r="DU20">
        <v>-1.3983333333333334</v>
      </c>
      <c r="DV20">
        <v>-1.6216666666666668</v>
      </c>
      <c r="DW20">
        <v>-1.0336000000000001</v>
      </c>
      <c r="DX20">
        <v>0.27036951219512251</v>
      </c>
      <c r="DY20">
        <v>-1.0033724156097561</v>
      </c>
      <c r="DZ20">
        <v>4521</v>
      </c>
      <c r="EA20">
        <v>-1.0003887187464082</v>
      </c>
      <c r="EB20">
        <v>1</v>
      </c>
      <c r="EC20">
        <v>6.1727234568191361E-2</v>
      </c>
      <c r="ED20">
        <v>0.61499984625003845</v>
      </c>
      <c r="EE20" s="14">
        <v>2.0661100000000001</v>
      </c>
      <c r="EF20">
        <v>2.07891</v>
      </c>
      <c r="EG20">
        <v>17.100369512195122</v>
      </c>
      <c r="EH20" t="s">
        <v>691</v>
      </c>
      <c r="EI20">
        <v>0</v>
      </c>
      <c r="EJ20">
        <v>0</v>
      </c>
      <c r="EK20" s="10">
        <v>45470</v>
      </c>
      <c r="EL20" s="15">
        <v>-0.18</v>
      </c>
      <c r="EM20" s="15">
        <v>-5.62</v>
      </c>
      <c r="EN20" s="15">
        <v>-1.34</v>
      </c>
      <c r="EO20" s="15">
        <v>6.03</v>
      </c>
      <c r="EP20" s="15">
        <v>-1.28</v>
      </c>
    </row>
    <row r="21" spans="1:146" ht="180" x14ac:dyDescent="0.25">
      <c r="A21" s="8" t="s">
        <v>205</v>
      </c>
      <c r="B21" s="8"/>
      <c r="C21" s="8" t="str">
        <f>"公司主营业务为面向国内和国际市场，专注于天然气液化、海洋油气开发、矿业开采等行业的高端客户，为其提供专用模块集成设计与建造服务;"&amp;CHAR(10)&amp;Basic_Fundamental_Information_Constructure(F21)&amp;CHAR(10)&amp;Basic_Fundamental_Information_Concatenate("天然气液化模块 14.11亿 54.70% 利润占比155.07% 28.47%
海洋油气资源开发模块 7.56亿 29.31% 利润占比-36.02% -12.34%
矿业开采模块 4.07亿 15.77% 利润占比-20.10% -12.80%
其他业务 567.56万 0.22% 利润占比1.04% 47.45%")</f>
        <v>公司主营业务为面向国内和国际市场，专注于天然气液化、海洋油气开发、矿业开采等行业的高端客户，为其提供专用模块集成设计与建造服务;
市值36.848881亿, 利润1.40亿; PE; 平均PE40.61; 平均PEG.58, PB1.15; ROIC3.215%; ROE1.8633%; 股利率1.1468%; 毛利10.3033%; 净利.6267%; 上一年度营收增-20.95%, 利润增116.66%; 当季营收增-23.54%, 利润增93.91%; 过往5年营收增69.53%, 利润增149.35%
Income profile:
天然气液化模块 14.11亿 54.70% 利润占比155.07% 28.47%
海洋油气资源开发模块 7.56亿 29.31% 利润占比-36.02% -12.34%
矿业开采模块 4.07亿 15.77% 利润占比-20.10% -12.80%
其他业务 567.56万 0.22% 利润占比1.04% 47.45%</v>
      </c>
      <c r="D21" t="s">
        <v>200</v>
      </c>
      <c r="E21" t="s">
        <v>201</v>
      </c>
      <c r="F21">
        <v>13.08</v>
      </c>
      <c r="G21">
        <v>1.32</v>
      </c>
      <c r="H21" t="s">
        <v>948</v>
      </c>
      <c r="I21">
        <v>3684888100</v>
      </c>
      <c r="K21">
        <v>1.1499999999999999</v>
      </c>
      <c r="L21" t="s">
        <v>71</v>
      </c>
      <c r="M21" t="s">
        <v>949</v>
      </c>
      <c r="N21" t="s">
        <v>950</v>
      </c>
      <c r="O21" t="s">
        <v>951</v>
      </c>
      <c r="P21">
        <v>60.35</v>
      </c>
      <c r="Q21" t="s">
        <v>952</v>
      </c>
      <c r="R21">
        <v>63000000</v>
      </c>
      <c r="S21" s="6">
        <v>2.8730000000000002</v>
      </c>
      <c r="T21" t="s">
        <v>291</v>
      </c>
      <c r="U21">
        <v>281719280</v>
      </c>
      <c r="V21">
        <v>281719280</v>
      </c>
      <c r="W21">
        <v>1.43</v>
      </c>
      <c r="X21">
        <v>0.11</v>
      </c>
      <c r="Y21">
        <v>6.8</v>
      </c>
      <c r="Z21" t="s">
        <v>599</v>
      </c>
      <c r="AA21" t="s">
        <v>953</v>
      </c>
      <c r="AB21" t="s">
        <v>954</v>
      </c>
      <c r="AC21" t="s">
        <v>955</v>
      </c>
      <c r="AD21" t="s">
        <v>5</v>
      </c>
      <c r="AE21">
        <v>-9386710</v>
      </c>
      <c r="AF21" t="s">
        <v>956</v>
      </c>
      <c r="AG21" t="s">
        <v>957</v>
      </c>
      <c r="AH21" t="s">
        <v>958</v>
      </c>
      <c r="AI21" t="s">
        <v>959</v>
      </c>
      <c r="AJ21" t="s">
        <v>960</v>
      </c>
      <c r="AK21" t="s">
        <v>5</v>
      </c>
      <c r="AL21" t="s">
        <v>961</v>
      </c>
      <c r="AM21" t="s">
        <v>5</v>
      </c>
      <c r="AN21" t="s">
        <v>962</v>
      </c>
      <c r="AO21" t="s">
        <v>963</v>
      </c>
      <c r="AP21" t="s">
        <v>5</v>
      </c>
      <c r="AQ21" t="s">
        <v>964</v>
      </c>
      <c r="AR21" t="s">
        <v>5</v>
      </c>
      <c r="AS21" t="s">
        <v>965</v>
      </c>
      <c r="AT21" t="s">
        <v>5</v>
      </c>
      <c r="AU21" t="s">
        <v>966</v>
      </c>
      <c r="AV21" t="s">
        <v>967</v>
      </c>
      <c r="AW21" t="s">
        <v>968</v>
      </c>
      <c r="AX21" t="s">
        <v>969</v>
      </c>
      <c r="AY21" t="s">
        <v>260</v>
      </c>
      <c r="AZ21" t="s">
        <v>202</v>
      </c>
      <c r="BA21" t="s">
        <v>68</v>
      </c>
      <c r="BB21" t="s">
        <v>67</v>
      </c>
      <c r="BC21" t="s">
        <v>970</v>
      </c>
      <c r="BD21" t="s">
        <v>73</v>
      </c>
      <c r="BE21" t="s">
        <v>25</v>
      </c>
      <c r="BF21" t="s">
        <v>203</v>
      </c>
      <c r="BG21" t="s">
        <v>204</v>
      </c>
      <c r="BH21" t="s">
        <v>971</v>
      </c>
      <c r="BI21" t="s">
        <v>259</v>
      </c>
      <c r="BJ21" t="s">
        <v>969</v>
      </c>
      <c r="BK21" t="s">
        <v>972</v>
      </c>
      <c r="BL21" t="s">
        <v>973</v>
      </c>
      <c r="BM21" t="s">
        <v>970</v>
      </c>
      <c r="BN21" t="s">
        <v>5</v>
      </c>
      <c r="BO21">
        <v>1.45</v>
      </c>
      <c r="BP21">
        <v>4.9800000000000004</v>
      </c>
      <c r="BQ21">
        <v>-2.62</v>
      </c>
      <c r="BR21">
        <v>2.02</v>
      </c>
      <c r="BS21">
        <v>6.19</v>
      </c>
      <c r="BT21" t="s">
        <v>410</v>
      </c>
      <c r="BU21" t="s">
        <v>284</v>
      </c>
      <c r="BV21">
        <v>8.4700000000000006</v>
      </c>
      <c r="BW21">
        <v>11.74</v>
      </c>
      <c r="BX21">
        <v>10.7</v>
      </c>
      <c r="BY21">
        <v>-4.2</v>
      </c>
      <c r="BZ21">
        <v>2.0099999999999998</v>
      </c>
      <c r="CA21">
        <v>4.07</v>
      </c>
      <c r="CB21">
        <v>-0.61</v>
      </c>
      <c r="CC21">
        <v>-9.92</v>
      </c>
      <c r="CD21" t="s">
        <v>974</v>
      </c>
      <c r="CE21" t="s">
        <v>21</v>
      </c>
      <c r="CF21" s="11">
        <v>-0.23538461538461539</v>
      </c>
      <c r="CG21" s="12">
        <v>0.9391476984163627</v>
      </c>
      <c r="CH21" s="11">
        <v>-0.20951193571090698</v>
      </c>
      <c r="CI21" s="11">
        <v>-0.21171282231807709</v>
      </c>
      <c r="CJ21" s="11">
        <v>0.58239620923995972</v>
      </c>
      <c r="CK21" s="11">
        <v>0.90472680330276489</v>
      </c>
      <c r="CL21" s="11">
        <v>2.4105794429779053</v>
      </c>
      <c r="CM21" s="12">
        <v>1.1666024923324585</v>
      </c>
      <c r="CN21" s="12">
        <v>-0.61073917150497437</v>
      </c>
      <c r="CO21" s="12">
        <v>0.25757575035095215</v>
      </c>
      <c r="CP21" s="12">
        <v>2.8090620040893555</v>
      </c>
      <c r="CQ21" s="12">
        <v>3.844843864440918</v>
      </c>
      <c r="CR21">
        <v>40.610473485478146</v>
      </c>
      <c r="CS21">
        <v>0.58407498938910907</v>
      </c>
      <c r="CT21">
        <v>1.1467889908256881</v>
      </c>
      <c r="CU21" s="11">
        <v>0.69529553949832912</v>
      </c>
      <c r="CV21" s="12">
        <v>1.493468987941742</v>
      </c>
      <c r="CW21">
        <v>0.06</v>
      </c>
      <c r="CX21">
        <v>9.1908179984674696</v>
      </c>
      <c r="CY21">
        <v>223906958.04694912</v>
      </c>
      <c r="CZ21">
        <v>0.69529553949832912</v>
      </c>
      <c r="DA21">
        <v>1.868954228334448</v>
      </c>
      <c r="DB21">
        <v>1101090689.5424209</v>
      </c>
      <c r="DC21">
        <v>0.66053076252341258</v>
      </c>
      <c r="DD21">
        <v>0.44289109264820864</v>
      </c>
      <c r="DE21">
        <v>4646487893.2089853</v>
      </c>
      <c r="DF21">
        <v>0.61186007475852966</v>
      </c>
      <c r="DG21">
        <v>0.10295462277988318</v>
      </c>
      <c r="DH21">
        <v>19988302073.620937</v>
      </c>
      <c r="DI21">
        <v>0.55623643159866332</v>
      </c>
      <c r="DJ21">
        <v>4.8675350230318777E-3</v>
      </c>
      <c r="DK21">
        <v>422778283106.875</v>
      </c>
      <c r="DL21">
        <v>0.48670687764883036</v>
      </c>
      <c r="DM21">
        <v>140000000</v>
      </c>
      <c r="DN21">
        <v>0.69529553949832912</v>
      </c>
      <c r="DO21">
        <v>2057888100.0000005</v>
      </c>
      <c r="DP21">
        <v>1760048600</v>
      </c>
      <c r="DQ21">
        <v>4283</v>
      </c>
      <c r="DR21">
        <v>-0.93068015488294453</v>
      </c>
      <c r="DS21">
        <v>-0.55432128952537929</v>
      </c>
      <c r="DT21" s="13">
        <v>0.11499999999999992</v>
      </c>
      <c r="DU21">
        <v>1.5916666666666668</v>
      </c>
      <c r="DV21">
        <v>1.7066666666666668</v>
      </c>
      <c r="DW21">
        <v>-2.0992000000000002</v>
      </c>
      <c r="DX21">
        <v>0.74005192307692202</v>
      </c>
      <c r="DY21">
        <v>-2.0188531507692309</v>
      </c>
      <c r="DZ21">
        <v>3313</v>
      </c>
      <c r="EA21">
        <v>-2.0066299631961462</v>
      </c>
      <c r="EB21">
        <v>2</v>
      </c>
      <c r="EC21">
        <v>7.0159912378023964E-2</v>
      </c>
      <c r="ED21">
        <v>0.36916181242547547</v>
      </c>
      <c r="EE21" s="14">
        <v>6.0610000000000004E-2</v>
      </c>
      <c r="EF21">
        <v>9.0609999999999996E-2</v>
      </c>
      <c r="EG21">
        <v>55.190051923076922</v>
      </c>
      <c r="EH21">
        <v>-1</v>
      </c>
      <c r="EI21">
        <v>0</v>
      </c>
      <c r="EJ21">
        <v>0</v>
      </c>
      <c r="EK21" s="10">
        <v>45470</v>
      </c>
      <c r="EL21" s="15">
        <v>-1.51</v>
      </c>
      <c r="EM21" s="15">
        <v>-3.87</v>
      </c>
      <c r="EN21" s="15">
        <v>0.61</v>
      </c>
      <c r="EO21" s="15">
        <v>1.46</v>
      </c>
      <c r="EP21" s="15">
        <v>-3</v>
      </c>
    </row>
    <row r="22" spans="1:146" hidden="1" x14ac:dyDescent="0.25">
      <c r="A22" s="8"/>
      <c r="B22" s="8"/>
      <c r="C22" s="8"/>
      <c r="Q22" s="6"/>
    </row>
    <row r="23" spans="1:146" hidden="1" x14ac:dyDescent="0.25">
      <c r="A23" s="8"/>
      <c r="B23" s="8"/>
      <c r="C23" s="8"/>
      <c r="Q23" s="7"/>
    </row>
    <row r="24" spans="1:146" hidden="1" x14ac:dyDescent="0.25">
      <c r="A24" s="8"/>
      <c r="B24" s="8"/>
      <c r="C24" s="8"/>
      <c r="Q24" s="6"/>
    </row>
    <row r="25" spans="1:146" hidden="1" x14ac:dyDescent="0.25">
      <c r="A25" s="8"/>
      <c r="B25" s="8"/>
      <c r="C25" s="8"/>
      <c r="Q25" s="6"/>
    </row>
    <row r="26" spans="1:146" hidden="1" x14ac:dyDescent="0.25">
      <c r="A26" s="8"/>
      <c r="B26" s="8"/>
      <c r="C26" s="8"/>
      <c r="Q26" s="6"/>
    </row>
    <row r="27" spans="1:146" hidden="1" x14ac:dyDescent="0.25">
      <c r="A27" s="8"/>
      <c r="B27" s="8"/>
      <c r="C27" s="8"/>
      <c r="Q27" s="6"/>
    </row>
    <row r="28" spans="1:146" hidden="1" x14ac:dyDescent="0.25">
      <c r="A28" s="8"/>
      <c r="B28" s="8"/>
      <c r="C28" s="8"/>
      <c r="Q28" s="6"/>
    </row>
    <row r="29" spans="1:146" hidden="1" x14ac:dyDescent="0.25">
      <c r="A29" s="8"/>
      <c r="B29" s="8"/>
      <c r="C29" s="8"/>
      <c r="Q29" s="6"/>
    </row>
    <row r="30" spans="1:146" hidden="1" x14ac:dyDescent="0.25">
      <c r="A30" s="8"/>
      <c r="B30" s="8"/>
      <c r="C30" s="8"/>
      <c r="Q30" s="6"/>
    </row>
    <row r="31" spans="1:146" hidden="1" x14ac:dyDescent="0.25">
      <c r="A31" s="8"/>
      <c r="B31" s="8"/>
      <c r="C31" s="8"/>
      <c r="Q31" s="6"/>
    </row>
    <row r="32" spans="1:146" hidden="1" x14ac:dyDescent="0.25">
      <c r="A32" s="8"/>
      <c r="B32" s="8"/>
      <c r="C32" s="8"/>
      <c r="Q32" s="6"/>
    </row>
    <row r="33" spans="1:17" hidden="1" x14ac:dyDescent="0.25">
      <c r="A33" s="8"/>
      <c r="B33" s="8"/>
      <c r="C33" s="8"/>
      <c r="Q33" s="7"/>
    </row>
    <row r="34" spans="1:17" hidden="1" x14ac:dyDescent="0.25">
      <c r="A34" s="8"/>
      <c r="B34" s="8"/>
      <c r="C34" s="8"/>
      <c r="Q34" s="6"/>
    </row>
    <row r="35" spans="1:17" hidden="1" x14ac:dyDescent="0.25">
      <c r="A35" s="8"/>
      <c r="B35" s="8"/>
      <c r="C35" s="8"/>
      <c r="Q35" s="6"/>
    </row>
    <row r="36" spans="1:17" hidden="1" x14ac:dyDescent="0.25">
      <c r="A36" s="8"/>
      <c r="B36" s="8"/>
      <c r="C36" s="8"/>
      <c r="Q36" s="6"/>
    </row>
    <row r="37" spans="1:17" hidden="1" x14ac:dyDescent="0.25">
      <c r="A37" s="8"/>
      <c r="B37" s="8"/>
      <c r="C37" s="8"/>
      <c r="Q37" s="6"/>
    </row>
    <row r="38" spans="1:17" hidden="1" x14ac:dyDescent="0.25">
      <c r="A38" s="8"/>
      <c r="B38" s="8"/>
      <c r="C38" s="8"/>
      <c r="Q38" s="6"/>
    </row>
    <row r="39" spans="1:17" hidden="1" x14ac:dyDescent="0.25">
      <c r="A39" s="8"/>
      <c r="B39" s="8"/>
      <c r="C39" s="8"/>
      <c r="Q39" s="6"/>
    </row>
    <row r="40" spans="1:17" hidden="1" x14ac:dyDescent="0.25">
      <c r="A40" s="8"/>
      <c r="B40" s="8"/>
      <c r="C40" s="8"/>
      <c r="Q40" s="6"/>
    </row>
    <row r="41" spans="1:17" hidden="1" x14ac:dyDescent="0.25">
      <c r="A41" s="8"/>
      <c r="B41" s="8"/>
      <c r="C41" s="8"/>
      <c r="Q41" s="7"/>
    </row>
    <row r="42" spans="1:17" hidden="1" x14ac:dyDescent="0.25">
      <c r="A42" s="8"/>
      <c r="B42" s="8"/>
      <c r="C42" s="8"/>
      <c r="Q42" s="7"/>
    </row>
    <row r="43" spans="1:17" hidden="1" x14ac:dyDescent="0.25">
      <c r="A43" s="8"/>
      <c r="B43" s="8"/>
      <c r="C43" s="8"/>
      <c r="Q43" s="6"/>
    </row>
    <row r="44" spans="1:17" hidden="1" x14ac:dyDescent="0.25">
      <c r="A44" s="8"/>
      <c r="B44" s="8"/>
      <c r="C44" s="8"/>
      <c r="Q44" s="6"/>
    </row>
    <row r="45" spans="1:17" hidden="1" x14ac:dyDescent="0.25">
      <c r="A45" s="8"/>
      <c r="B45" s="8"/>
      <c r="C45" s="8"/>
      <c r="Q45" s="6"/>
    </row>
    <row r="46" spans="1:17" hidden="1" x14ac:dyDescent="0.25">
      <c r="A46" s="8"/>
      <c r="B46" s="8"/>
      <c r="C46" s="8"/>
      <c r="Q46" s="6"/>
    </row>
    <row r="47" spans="1:17" hidden="1" x14ac:dyDescent="0.25">
      <c r="A47" s="8"/>
      <c r="B47" s="8"/>
      <c r="C47" s="8"/>
      <c r="Q47" s="6"/>
    </row>
    <row r="48" spans="1:17" hidden="1" x14ac:dyDescent="0.25">
      <c r="A48" s="8"/>
      <c r="B48" s="8"/>
      <c r="C48" s="8"/>
      <c r="Q48" s="6"/>
    </row>
    <row r="49" spans="1:17" hidden="1" x14ac:dyDescent="0.25">
      <c r="A49" s="8"/>
      <c r="B49" s="8"/>
      <c r="C49" s="8"/>
      <c r="Q49" s="6"/>
    </row>
    <row r="50" spans="1:17" hidden="1" x14ac:dyDescent="0.25">
      <c r="A50" s="8"/>
      <c r="B50" s="8"/>
      <c r="C50" s="8"/>
      <c r="Q50" s="6"/>
    </row>
    <row r="51" spans="1:17" hidden="1" x14ac:dyDescent="0.25">
      <c r="A51" s="8"/>
      <c r="B51" s="8"/>
      <c r="C51" s="8"/>
      <c r="Q51" s="6"/>
    </row>
    <row r="52" spans="1:17" hidden="1" x14ac:dyDescent="0.25">
      <c r="A52" s="8"/>
      <c r="B52" s="8"/>
      <c r="C52" s="8"/>
      <c r="Q52" s="7"/>
    </row>
    <row r="53" spans="1:17" hidden="1" x14ac:dyDescent="0.25">
      <c r="A53" s="8"/>
      <c r="B53" s="8"/>
      <c r="C53" s="8"/>
      <c r="Q53" s="6"/>
    </row>
    <row r="54" spans="1:17" hidden="1" x14ac:dyDescent="0.25">
      <c r="A54" s="8"/>
      <c r="B54" s="8"/>
      <c r="C54" s="8"/>
      <c r="Q54" s="6"/>
    </row>
    <row r="55" spans="1:17" hidden="1" x14ac:dyDescent="0.25">
      <c r="A55" s="8"/>
      <c r="B55" s="8"/>
      <c r="C55" s="8"/>
      <c r="Q55" s="6"/>
    </row>
    <row r="56" spans="1:17" hidden="1" x14ac:dyDescent="0.25">
      <c r="A56" s="8"/>
      <c r="B56" s="8"/>
      <c r="C56" s="8"/>
      <c r="Q56" s="6"/>
    </row>
    <row r="57" spans="1:17" hidden="1" x14ac:dyDescent="0.25">
      <c r="A57" s="8"/>
      <c r="B57" s="8"/>
      <c r="C57" s="8"/>
      <c r="Q57" s="6"/>
    </row>
    <row r="58" spans="1:17" hidden="1" x14ac:dyDescent="0.25">
      <c r="A58" s="8"/>
      <c r="B58" s="8"/>
      <c r="C58" s="8"/>
      <c r="Q58" s="6"/>
    </row>
    <row r="59" spans="1:17" hidden="1" x14ac:dyDescent="0.25">
      <c r="A59" s="8"/>
      <c r="B59" s="8"/>
      <c r="C59" s="8"/>
      <c r="Q59" s="6"/>
    </row>
    <row r="60" spans="1:17" hidden="1" x14ac:dyDescent="0.25">
      <c r="A60" s="8"/>
      <c r="B60" s="8"/>
      <c r="C60" s="8"/>
      <c r="Q60" s="6"/>
    </row>
  </sheetData>
  <autoFilter ref="BU1:BU60">
    <filterColumn colId="0">
      <filters>
        <filter val="油服工程"/>
      </filters>
    </filterColumn>
  </autoFilter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油气开采及服务&quot;,&quot;&quot;'" altText="更新基本面按钮_x000a_">
                <anchor moveWithCells="1" sizeWithCells="1">
                  <from>
                    <xdr:col>147</xdr:col>
                    <xdr:colOff>292100</xdr:colOff>
                    <xdr:row>0</xdr:row>
                    <xdr:rowOff>50800</xdr:rowOff>
                  </from>
                  <to>
                    <xdr:col>147</xdr:col>
                    <xdr:colOff>1168400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油气开采及服务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2024-07-10T22:51:39Z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