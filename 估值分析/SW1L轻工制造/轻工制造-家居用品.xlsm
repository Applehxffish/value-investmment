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001Xiaofeng\value-investment-backup\估值分析\New-轻工制造\"/>
    </mc:Choice>
  </mc:AlternateContent>
  <bookViews>
    <workbookView xWindow="0" yWindow="0" windowWidth="3800" windowHeight="2950"/>
  </bookViews>
  <sheets>
    <sheet name="家用轻工" sheetId="15" r:id="rId1"/>
    <sheet name="估值-增速与年化收益" sheetId="14" r:id="rId2"/>
  </sheets>
  <functionGroups builtInGroupCount="18"/>
  <definedNames>
    <definedName name="_xlnm._FilterDatabase" localSheetId="0" hidden="1">家用轻工!$BU$1:$BU$94</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 i="14" l="1"/>
  <c r="C5" i="14" s="1"/>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12" i="15"/>
  <c r="C55" i="15"/>
  <c r="C58" i="15"/>
  <c r="C73" i="15"/>
  <c r="C87" i="15"/>
  <c r="C27" i="15"/>
  <c r="C41" i="15"/>
  <c r="C14" i="15"/>
  <c r="C82" i="15"/>
  <c r="C63" i="15"/>
  <c r="C54" i="15"/>
  <c r="C43" i="15"/>
  <c r="C90" i="15"/>
  <c r="C39" i="15"/>
  <c r="C50" i="15"/>
  <c r="C68" i="15"/>
  <c r="C83" i="15"/>
  <c r="C8" i="15"/>
  <c r="C36" i="15"/>
  <c r="C64" i="15"/>
  <c r="C22" i="15"/>
  <c r="C78" i="15"/>
  <c r="C28" i="15"/>
  <c r="C59" i="15"/>
  <c r="C6" i="15"/>
  <c r="C31" i="15"/>
  <c r="C44" i="15"/>
  <c r="C72" i="15"/>
  <c r="C23" i="15"/>
  <c r="C9" i="15"/>
  <c r="C51" i="15"/>
  <c r="C80" i="15"/>
  <c r="C33" i="15"/>
  <c r="C61" i="15"/>
  <c r="C91" i="15"/>
  <c r="C45" i="15"/>
  <c r="C89" i="15"/>
  <c r="C26" i="15"/>
  <c r="C35" i="15"/>
  <c r="C53" i="15"/>
  <c r="C67" i="15"/>
  <c r="C4" i="15"/>
  <c r="C81" i="15"/>
  <c r="C49" i="15"/>
  <c r="C47" i="15"/>
  <c r="C30" i="15"/>
  <c r="C29" i="15"/>
  <c r="C57" i="15"/>
  <c r="C71" i="15"/>
  <c r="C20" i="15"/>
  <c r="C5" i="15"/>
  <c r="C24" i="15"/>
  <c r="C34" i="15"/>
  <c r="C19" i="15"/>
  <c r="C32" i="15"/>
  <c r="C76" i="15"/>
  <c r="C21" i="15"/>
  <c r="C70" i="15"/>
  <c r="C85" i="15"/>
  <c r="C38" i="15"/>
  <c r="C52" i="15"/>
  <c r="C16" i="15"/>
  <c r="C86" i="15"/>
  <c r="C46" i="15"/>
  <c r="C40" i="15"/>
  <c r="C7" i="15"/>
  <c r="C92" i="15"/>
  <c r="C18" i="15"/>
  <c r="C74" i="15"/>
  <c r="C88" i="15"/>
  <c r="C25" i="15"/>
  <c r="C42" i="15"/>
  <c r="C17" i="15"/>
  <c r="C2" i="15"/>
  <c r="C65" i="15"/>
  <c r="C79" i="15"/>
  <c r="C11" i="15"/>
  <c r="C77" i="15"/>
  <c r="C15" i="15"/>
  <c r="C56" i="15"/>
  <c r="C69" i="15"/>
  <c r="C84" i="15"/>
  <c r="C37" i="15"/>
  <c r="C13" i="15"/>
  <c r="C66" i="15"/>
  <c r="C62" i="15"/>
  <c r="C48" i="15"/>
  <c r="C3" i="15"/>
  <c r="C60" i="15"/>
  <c r="C75" i="15"/>
  <c r="C10" i="15"/>
</calcChain>
</file>

<file path=xl/sharedStrings.xml><?xml version="1.0" encoding="utf-8"?>
<sst xmlns="http://schemas.openxmlformats.org/spreadsheetml/2006/main" count="5176" uniqueCount="3404">
  <si>
    <t>&lt;-增速</t>
    <phoneticPr fontId="1" type="noConversion"/>
  </si>
  <si>
    <t>&lt;-估值</t>
    <phoneticPr fontId="1" type="noConversion"/>
  </si>
  <si>
    <t>&lt;-折合年化收益</t>
    <phoneticPr fontId="1" type="noConversion"/>
  </si>
  <si>
    <t>现价</t>
  </si>
  <si>
    <t>市净率</t>
  </si>
  <si>
    <t>山东华鹏</t>
  </si>
  <si>
    <t>金陵体育</t>
  </si>
  <si>
    <t>萃华珠宝</t>
  </si>
  <si>
    <t>实丰文化</t>
  </si>
  <si>
    <t>顶固集创</t>
  </si>
  <si>
    <t>海鸥住工</t>
  </si>
  <si>
    <t>松发股份</t>
  </si>
  <si>
    <t>珠江钢琴</t>
  </si>
  <si>
    <t>德艺文创</t>
  </si>
  <si>
    <t>尚品宅配</t>
  </si>
  <si>
    <t>梦百合</t>
  </si>
  <si>
    <t>海伦钢琴</t>
  </si>
  <si>
    <t>乐歌股份</t>
  </si>
  <si>
    <t>中源家居</t>
  </si>
  <si>
    <t>四通股份</t>
  </si>
  <si>
    <t>齐心集团</t>
  </si>
  <si>
    <t>德尔未来</t>
  </si>
  <si>
    <t>曲美家居</t>
  </si>
  <si>
    <t>英派斯</t>
  </si>
  <si>
    <t>我乐家居</t>
  </si>
  <si>
    <t>永艺股份</t>
  </si>
  <si>
    <t>丰林集团</t>
  </si>
  <si>
    <t>欧派家居</t>
  </si>
  <si>
    <t>哈尔斯</t>
  </si>
  <si>
    <t>皮阿诺</t>
  </si>
  <si>
    <t>顾家家居</t>
  </si>
  <si>
    <t>菲林格尔</t>
  </si>
  <si>
    <t>恒林股份</t>
  </si>
  <si>
    <t>索菲亚</t>
  </si>
  <si>
    <t>美克家居</t>
  </si>
  <si>
    <t>志邦家居</t>
  </si>
  <si>
    <t>江山欧派</t>
  </si>
  <si>
    <t>惠达卫浴</t>
  </si>
  <si>
    <t>好莱客</t>
  </si>
  <si>
    <t>德力股份</t>
  </si>
  <si>
    <t>浙江永强</t>
  </si>
  <si>
    <t>--</t>
  </si>
  <si>
    <t>预期多</t>
    <phoneticPr fontId="1" type="noConversion"/>
  </si>
  <si>
    <t>预期空</t>
    <phoneticPr fontId="1" type="noConversion"/>
  </si>
  <si>
    <t>已知和基本信息</t>
    <phoneticPr fontId="1" type="noConversion"/>
  </si>
  <si>
    <t>代码</t>
  </si>
  <si>
    <t>总市值</t>
  </si>
  <si>
    <t>TTM市盈率</t>
  </si>
  <si>
    <t>所属行业</t>
  </si>
  <si>
    <t>负债合计</t>
  </si>
  <si>
    <t>所有者权益合计</t>
  </si>
  <si>
    <t>主营业务收入</t>
  </si>
  <si>
    <t>净利润增长率</t>
  </si>
  <si>
    <t>总股本</t>
  </si>
  <si>
    <t>财务费用</t>
  </si>
  <si>
    <t>投资收益</t>
  </si>
  <si>
    <t>应收账款</t>
  </si>
  <si>
    <t>SZ000026</t>
  </si>
  <si>
    <t>飞亚达</t>
  </si>
  <si>
    <t>家用轻工</t>
  </si>
  <si>
    <t>37.04亿</t>
  </si>
  <si>
    <t>2.16亿</t>
  </si>
  <si>
    <t>3.54亿</t>
  </si>
  <si>
    <t>1.91亿</t>
  </si>
  <si>
    <t>1.04亿</t>
  </si>
  <si>
    <t>1.39亿</t>
  </si>
  <si>
    <t>18.39亿</t>
  </si>
  <si>
    <t>3.06亿</t>
  </si>
  <si>
    <t>2.12亿</t>
  </si>
  <si>
    <t>7.20亿</t>
  </si>
  <si>
    <t>2.70亿</t>
  </si>
  <si>
    <t>SZ002084</t>
  </si>
  <si>
    <t>25.69亿</t>
  </si>
  <si>
    <t>1.31亿</t>
  </si>
  <si>
    <t>1.20亿</t>
  </si>
  <si>
    <t>4.37亿</t>
  </si>
  <si>
    <t>3.09亿</t>
  </si>
  <si>
    <t>SZ002103</t>
  </si>
  <si>
    <t>广博股份</t>
  </si>
  <si>
    <t>21.65亿</t>
  </si>
  <si>
    <t>1283.63万</t>
  </si>
  <si>
    <t>9.20亿</t>
  </si>
  <si>
    <t>1.83亿</t>
  </si>
  <si>
    <t>2.19亿</t>
  </si>
  <si>
    <t>1.27亿</t>
  </si>
  <si>
    <t>SZ002301</t>
  </si>
  <si>
    <t>59.81亿</t>
  </si>
  <si>
    <t>2.30亿</t>
  </si>
  <si>
    <t>1.65亿</t>
  </si>
  <si>
    <t>1.76亿</t>
  </si>
  <si>
    <t>3.62亿</t>
  </si>
  <si>
    <t>1.38亿</t>
  </si>
  <si>
    <t>2.98亿</t>
  </si>
  <si>
    <t>4.17亿</t>
  </si>
  <si>
    <t>1.16亿</t>
  </si>
  <si>
    <t>2.00亿</t>
  </si>
  <si>
    <t>SZ002489</t>
  </si>
  <si>
    <t>46.85亿</t>
  </si>
  <si>
    <t>5.00亿</t>
  </si>
  <si>
    <t>2.02亿</t>
  </si>
  <si>
    <t>1.09亿</t>
  </si>
  <si>
    <t>4.26亿</t>
  </si>
  <si>
    <t>3.35亿</t>
  </si>
  <si>
    <t>SZ002571</t>
  </si>
  <si>
    <t>8.67亿</t>
  </si>
  <si>
    <t>1349.18万</t>
  </si>
  <si>
    <t>2.57亿</t>
  </si>
  <si>
    <t>1.01亿</t>
  </si>
  <si>
    <t>SZ002572</t>
  </si>
  <si>
    <t>29.62亿</t>
  </si>
  <si>
    <t>76.86亿</t>
  </si>
  <si>
    <t>10.77亿</t>
  </si>
  <si>
    <t>15.97亿</t>
  </si>
  <si>
    <t>1.36亿</t>
  </si>
  <si>
    <t>1.88亿</t>
  </si>
  <si>
    <t>SZ002615</t>
  </si>
  <si>
    <t>17.94亿</t>
  </si>
  <si>
    <t>5511.67万</t>
  </si>
  <si>
    <t>SZ002631</t>
  </si>
  <si>
    <t>17.98亿</t>
  </si>
  <si>
    <t>7968.92万</t>
  </si>
  <si>
    <t>3.57亿</t>
  </si>
  <si>
    <t>1.87亿</t>
  </si>
  <si>
    <t>SZ002678</t>
  </si>
  <si>
    <t>20.53亿</t>
  </si>
  <si>
    <t>1.90亿</t>
  </si>
  <si>
    <t>1.50亿</t>
  </si>
  <si>
    <t>2.34亿</t>
  </si>
  <si>
    <t>SZ002731</t>
  </si>
  <si>
    <t>22.74亿</t>
  </si>
  <si>
    <t>3743.04万</t>
  </si>
  <si>
    <t>19.41亿</t>
  </si>
  <si>
    <t>2.72亿</t>
  </si>
  <si>
    <t>2.85亿</t>
  </si>
  <si>
    <t>0亿</t>
  </si>
  <si>
    <t>2.52亿</t>
  </si>
  <si>
    <t>8.00亿</t>
  </si>
  <si>
    <t>2.36亿</t>
  </si>
  <si>
    <t>11.09亿</t>
  </si>
  <si>
    <t>1.82亿</t>
  </si>
  <si>
    <t>4.20亿</t>
  </si>
  <si>
    <t>1.26亿</t>
  </si>
  <si>
    <t>1.14亿</t>
  </si>
  <si>
    <t>SZ002853</t>
  </si>
  <si>
    <t>14.71亿</t>
  </si>
  <si>
    <t>1.75亿</t>
  </si>
  <si>
    <t>SZ002862</t>
  </si>
  <si>
    <t>3.88亿</t>
  </si>
  <si>
    <t>828.04万</t>
  </si>
  <si>
    <t>1.21亿</t>
  </si>
  <si>
    <t>9.91亿</t>
  </si>
  <si>
    <t>9.08亿</t>
  </si>
  <si>
    <t>2.73亿</t>
  </si>
  <si>
    <t>2.42亿</t>
  </si>
  <si>
    <t>3.27亿</t>
  </si>
  <si>
    <t>SZ002899</t>
  </si>
  <si>
    <t>10.60亿</t>
  </si>
  <si>
    <t>9.38亿</t>
  </si>
  <si>
    <t>5055.77万</t>
  </si>
  <si>
    <t>3.36亿</t>
  </si>
  <si>
    <t>5.72亿</t>
  </si>
  <si>
    <t>1.70亿</t>
  </si>
  <si>
    <t>SZ300329</t>
  </si>
  <si>
    <t>5.54亿</t>
  </si>
  <si>
    <t>5203.06万</t>
  </si>
  <si>
    <t>SZ300616</t>
  </si>
  <si>
    <t>72.61亿</t>
  </si>
  <si>
    <t>5.28亿</t>
  </si>
  <si>
    <t>1.40亿</t>
  </si>
  <si>
    <t>1.02亿</t>
  </si>
  <si>
    <t>SZ300640</t>
  </si>
  <si>
    <t>6.16亿</t>
  </si>
  <si>
    <t>4490.09万</t>
  </si>
  <si>
    <t>SZ300651</t>
  </si>
  <si>
    <t>4250.04万</t>
  </si>
  <si>
    <t>1.52亿</t>
  </si>
  <si>
    <t>1.13亿</t>
  </si>
  <si>
    <t>SZ300703</t>
  </si>
  <si>
    <t>6.90亿</t>
  </si>
  <si>
    <t>9.32亿</t>
  </si>
  <si>
    <t>1.18亿</t>
  </si>
  <si>
    <t>2.15亿</t>
  </si>
  <si>
    <t>SZ300729</t>
  </si>
  <si>
    <t>9.78亿</t>
  </si>
  <si>
    <t>6298.05万</t>
  </si>
  <si>
    <t>2.39亿</t>
  </si>
  <si>
    <t>SZ300749</t>
  </si>
  <si>
    <t>9.30亿</t>
  </si>
  <si>
    <t>7788.74万</t>
  </si>
  <si>
    <t>1.34亿</t>
  </si>
  <si>
    <t>SH600337</t>
  </si>
  <si>
    <t>55.88亿</t>
  </si>
  <si>
    <t>4.64亿</t>
  </si>
  <si>
    <t>2.79亿</t>
  </si>
  <si>
    <t>5.59亿</t>
  </si>
  <si>
    <t>22.25亿</t>
  </si>
  <si>
    <t>18.19亿</t>
  </si>
  <si>
    <t>5.30亿</t>
  </si>
  <si>
    <t>3.79亿</t>
  </si>
  <si>
    <t>2.01亿</t>
  </si>
  <si>
    <t>SH600735</t>
  </si>
  <si>
    <t>新华锦</t>
  </si>
  <si>
    <t>1.47亿</t>
  </si>
  <si>
    <t>1.00亿</t>
  </si>
  <si>
    <t>SH601996</t>
  </si>
  <si>
    <t>19.43亿</t>
  </si>
  <si>
    <t>2.20亿</t>
  </si>
  <si>
    <t>3.80亿</t>
  </si>
  <si>
    <t>7.84亿</t>
  </si>
  <si>
    <t>2.32亿</t>
  </si>
  <si>
    <t>SH603021</t>
  </si>
  <si>
    <t>8.66亿</t>
  </si>
  <si>
    <t>-9744.90万</t>
  </si>
  <si>
    <t>2.83亿</t>
  </si>
  <si>
    <t>1.41亿</t>
  </si>
  <si>
    <t>1.12亿</t>
  </si>
  <si>
    <t>SH603180</t>
  </si>
  <si>
    <t>21.25亿</t>
  </si>
  <si>
    <t>7.97亿</t>
  </si>
  <si>
    <t>1.35亿</t>
  </si>
  <si>
    <t>5.37亿</t>
  </si>
  <si>
    <t>SH603208</t>
  </si>
  <si>
    <t>20.27亿</t>
  </si>
  <si>
    <t>2.61亿</t>
  </si>
  <si>
    <t>9.17亿</t>
  </si>
  <si>
    <t>SH603221</t>
  </si>
  <si>
    <t>爱丽家居</t>
  </si>
  <si>
    <t>11.46亿</t>
  </si>
  <si>
    <t>1.42亿</t>
  </si>
  <si>
    <t>SH603226</t>
  </si>
  <si>
    <t>1.84亿</t>
  </si>
  <si>
    <t>SH603268</t>
  </si>
  <si>
    <t>5.80亿</t>
  </si>
  <si>
    <t>2840.69万</t>
  </si>
  <si>
    <t>1.05亿</t>
  </si>
  <si>
    <t>SH603313</t>
  </si>
  <si>
    <t>38.32亿</t>
  </si>
  <si>
    <t>3.74亿</t>
  </si>
  <si>
    <t>4.49亿</t>
  </si>
  <si>
    <t>SH603326</t>
  </si>
  <si>
    <t>13.32亿</t>
  </si>
  <si>
    <t>1.54亿</t>
  </si>
  <si>
    <t>1.30亿</t>
  </si>
  <si>
    <t>SH603385</t>
  </si>
  <si>
    <t>32.10亿</t>
  </si>
  <si>
    <t>3.29亿</t>
  </si>
  <si>
    <t>2.67亿</t>
  </si>
  <si>
    <t>SH603389</t>
  </si>
  <si>
    <t>3.72亿</t>
  </si>
  <si>
    <t>-1.25亿</t>
  </si>
  <si>
    <t>1.85亿</t>
  </si>
  <si>
    <t>1.19亿</t>
  </si>
  <si>
    <t>SH603408</t>
  </si>
  <si>
    <t>建霖家居</t>
  </si>
  <si>
    <t>33.93亿</t>
  </si>
  <si>
    <t>3.34亿</t>
  </si>
  <si>
    <t>1.15亿</t>
  </si>
  <si>
    <t>SH603600</t>
  </si>
  <si>
    <t>24.50亿</t>
  </si>
  <si>
    <t>1.81亿</t>
  </si>
  <si>
    <t>SH603610</t>
  </si>
  <si>
    <t>麒盛科技</t>
  </si>
  <si>
    <t>25.29亿</t>
  </si>
  <si>
    <t>3.95亿</t>
  </si>
  <si>
    <t>8.45亿</t>
  </si>
  <si>
    <t>SH603661</t>
  </si>
  <si>
    <t>29.04亿</t>
  </si>
  <si>
    <t>2.43亿</t>
  </si>
  <si>
    <t>SH603709</t>
  </si>
  <si>
    <t>10.70亿</t>
  </si>
  <si>
    <t>3370.83万</t>
  </si>
  <si>
    <t>4.77亿</t>
  </si>
  <si>
    <t>2.56亿</t>
  </si>
  <si>
    <t>1.37亿</t>
  </si>
  <si>
    <t>SH603801</t>
  </si>
  <si>
    <t>1.25亿</t>
  </si>
  <si>
    <t>SH603816</t>
  </si>
  <si>
    <t>110.94亿</t>
  </si>
  <si>
    <t>11.61亿</t>
  </si>
  <si>
    <t>1.53亿</t>
  </si>
  <si>
    <t>2.76亿</t>
  </si>
  <si>
    <t>2.84亿</t>
  </si>
  <si>
    <t>SH603818</t>
  </si>
  <si>
    <t>42.79亿</t>
  </si>
  <si>
    <t>8215.53万</t>
  </si>
  <si>
    <t>2.28亿</t>
  </si>
  <si>
    <t>SH603833</t>
  </si>
  <si>
    <t>135.33亿</t>
  </si>
  <si>
    <t>7.83亿</t>
  </si>
  <si>
    <t>SH603838</t>
  </si>
  <si>
    <t>4.05亿</t>
  </si>
  <si>
    <t>4357.32万</t>
  </si>
  <si>
    <t>1.17亿</t>
  </si>
  <si>
    <t>SH603848</t>
  </si>
  <si>
    <t>12.60亿</t>
  </si>
  <si>
    <t>2.35亿</t>
  </si>
  <si>
    <t>SH603898</t>
  </si>
  <si>
    <t>3.65亿</t>
  </si>
  <si>
    <t>1.51亿</t>
  </si>
  <si>
    <t>SH603899</t>
  </si>
  <si>
    <t>111.41亿</t>
  </si>
  <si>
    <t>SH603992</t>
  </si>
  <si>
    <t>松霖科技</t>
  </si>
  <si>
    <t>17.39亿</t>
  </si>
  <si>
    <t>8.30亿</t>
  </si>
  <si>
    <t>6.61亿</t>
  </si>
  <si>
    <t>2.66亿</t>
  </si>
  <si>
    <t>流动资产</t>
  </si>
  <si>
    <t>营业收入[20191231]</t>
  </si>
  <si>
    <t>营业收入[20181231]</t>
  </si>
  <si>
    <t>营业收入[20171231]</t>
  </si>
  <si>
    <t>营业收入[20161231]</t>
  </si>
  <si>
    <t>净利润[20191231]</t>
  </si>
  <si>
    <t>净利润[20181231]</t>
  </si>
  <si>
    <t>净利润[20171231]</t>
  </si>
  <si>
    <t>净利润[20161231]</t>
  </si>
  <si>
    <t>投入资本回报率roic%[20191231]</t>
  </si>
  <si>
    <t>净资产收益率%[20191231]</t>
  </si>
  <si>
    <t>销售毛利率%[20191231]</t>
  </si>
  <si>
    <t>销售净利率%[20191231]</t>
  </si>
  <si>
    <t>42.43亿</t>
  </si>
  <si>
    <t>2.94亿</t>
  </si>
  <si>
    <t>34.00亿</t>
  </si>
  <si>
    <t>33.46亿</t>
  </si>
  <si>
    <t>2.46亿</t>
  </si>
  <si>
    <t>3.78亿</t>
  </si>
  <si>
    <t>11.92亿</t>
  </si>
  <si>
    <t>15.54亿</t>
  </si>
  <si>
    <t>1.23亿</t>
  </si>
  <si>
    <t>20.48亿</t>
  </si>
  <si>
    <t>33.40亿</t>
  </si>
  <si>
    <t>5.76亿</t>
  </si>
  <si>
    <t>4194.84万</t>
  </si>
  <si>
    <t>4.54亿</t>
  </si>
  <si>
    <t>7.96亿</t>
  </si>
  <si>
    <t>25.93亿</t>
  </si>
  <si>
    <t>-2.37亿</t>
  </si>
  <si>
    <t>1.74亿</t>
  </si>
  <si>
    <t>-6.77亿</t>
  </si>
  <si>
    <t>80.09亿</t>
  </si>
  <si>
    <t>42.41亿</t>
  </si>
  <si>
    <t>5.86亿</t>
  </si>
  <si>
    <t>1.67亿</t>
  </si>
  <si>
    <t>1.97亿</t>
  </si>
  <si>
    <t>SZ002348</t>
  </si>
  <si>
    <t>高乐股份</t>
  </si>
  <si>
    <t>5.08亿</t>
  </si>
  <si>
    <t>7.12亿</t>
  </si>
  <si>
    <t>1.49亿</t>
  </si>
  <si>
    <t>49.55亿</t>
  </si>
  <si>
    <t>2.40亿</t>
  </si>
  <si>
    <t>15.68亿</t>
  </si>
  <si>
    <t>8.68亿</t>
  </si>
  <si>
    <t>43.86亿</t>
  </si>
  <si>
    <t>-1.08亿</t>
  </si>
  <si>
    <t>514.42万</t>
  </si>
  <si>
    <t>2.37亿</t>
  </si>
  <si>
    <t>7.95亿</t>
  </si>
  <si>
    <t>8.72亿</t>
  </si>
  <si>
    <t>-1.28亿</t>
  </si>
  <si>
    <t>83.53亿</t>
  </si>
  <si>
    <t>2.10亿</t>
  </si>
  <si>
    <t>3.07亿</t>
  </si>
  <si>
    <t>73.11亿</t>
  </si>
  <si>
    <t>9.59亿</t>
  </si>
  <si>
    <t>7.63亿</t>
  </si>
  <si>
    <t>13.34亿</t>
  </si>
  <si>
    <t>14.92亿</t>
  </si>
  <si>
    <t>-2830.91万</t>
  </si>
  <si>
    <t>3.76亿</t>
  </si>
  <si>
    <t>14.39亿</t>
  </si>
  <si>
    <t>9936.76万</t>
  </si>
  <si>
    <t>1.10亿</t>
  </si>
  <si>
    <t>-2697.57万</t>
  </si>
  <si>
    <t>17.68亿</t>
  </si>
  <si>
    <t>16.00亿</t>
  </si>
  <si>
    <t>1.72亿</t>
  </si>
  <si>
    <t>17.52亿</t>
  </si>
  <si>
    <t>1.71亿</t>
  </si>
  <si>
    <t>10.82亿</t>
  </si>
  <si>
    <t>19.75亿</t>
  </si>
  <si>
    <t>4.65亿</t>
  </si>
  <si>
    <t>21.09亿</t>
  </si>
  <si>
    <t>2881.08万</t>
  </si>
  <si>
    <t>5.73亿</t>
  </si>
  <si>
    <t>26.93亿</t>
  </si>
  <si>
    <t>27.47亿</t>
  </si>
  <si>
    <t>2961.21万</t>
  </si>
  <si>
    <t>6256.12万</t>
  </si>
  <si>
    <t>4.76亿</t>
  </si>
  <si>
    <t>12.84亿</t>
  </si>
  <si>
    <t>9.94亿</t>
  </si>
  <si>
    <t>1.61亿</t>
  </si>
  <si>
    <t>1.60亿</t>
  </si>
  <si>
    <t>14.94亿</t>
  </si>
  <si>
    <t>11.10亿</t>
  </si>
  <si>
    <t>1.03亿</t>
  </si>
  <si>
    <t>5.20亿</t>
  </si>
  <si>
    <t>2.51亿</t>
  </si>
  <si>
    <t>-4098.41万</t>
  </si>
  <si>
    <t>3.98亿</t>
  </si>
  <si>
    <t>3196.84万</t>
  </si>
  <si>
    <t>2.64亿</t>
  </si>
  <si>
    <t>3956.19万</t>
  </si>
  <si>
    <t>2.17亿</t>
  </si>
  <si>
    <t>1.66亿</t>
  </si>
  <si>
    <t>8.57亿</t>
  </si>
  <si>
    <t>6268.66万</t>
  </si>
  <si>
    <t>8317.00万</t>
  </si>
  <si>
    <t>SZ003011</t>
  </si>
  <si>
    <t>海象新材</t>
  </si>
  <si>
    <t>12.24亿</t>
  </si>
  <si>
    <t>3.41亿</t>
  </si>
  <si>
    <t>8.59亿</t>
  </si>
  <si>
    <t>8957.34万</t>
  </si>
  <si>
    <t>3183.75万</t>
  </si>
  <si>
    <t>5.27亿</t>
  </si>
  <si>
    <t>4.70亿</t>
  </si>
  <si>
    <t>5451.27万</t>
  </si>
  <si>
    <t>4098.05万</t>
  </si>
  <si>
    <t>65.13亿</t>
  </si>
  <si>
    <t>3.84亿</t>
  </si>
  <si>
    <t>2.06亿</t>
  </si>
  <si>
    <t>7.87亿</t>
  </si>
  <si>
    <t>66.45亿</t>
  </si>
  <si>
    <t>5.60亿</t>
  </si>
  <si>
    <t>3900.57万</t>
  </si>
  <si>
    <t>1.58亿</t>
  </si>
  <si>
    <t>3.51亿</t>
  </si>
  <si>
    <t>2.11亿</t>
  </si>
  <si>
    <t>4.02亿</t>
  </si>
  <si>
    <t>5.58亿</t>
  </si>
  <si>
    <t>4021.38万</t>
  </si>
  <si>
    <t>3008.41万</t>
  </si>
  <si>
    <t>3.30亿</t>
  </si>
  <si>
    <t>3540.41万</t>
  </si>
  <si>
    <t>创源股份</t>
  </si>
  <si>
    <t>2.63亿</t>
  </si>
  <si>
    <t>6.77亿</t>
  </si>
  <si>
    <t>8325.59万</t>
  </si>
  <si>
    <t>9.47亿</t>
  </si>
  <si>
    <t>5759.09万</t>
  </si>
  <si>
    <t>2174.10万</t>
  </si>
  <si>
    <t>8.31亿</t>
  </si>
  <si>
    <t>7651.27万</t>
  </si>
  <si>
    <t>8.09亿</t>
  </si>
  <si>
    <t>2.89亿</t>
  </si>
  <si>
    <t>8.37亿</t>
  </si>
  <si>
    <t>45.71亿</t>
  </si>
  <si>
    <t>1.08亿</t>
  </si>
  <si>
    <t>52.61亿</t>
  </si>
  <si>
    <t>4.51亿</t>
  </si>
  <si>
    <t>3.01亿</t>
  </si>
  <si>
    <t>5.22亿</t>
  </si>
  <si>
    <t>SH600599</t>
  </si>
  <si>
    <t>4613.51万</t>
  </si>
  <si>
    <t>3.43亿</t>
  </si>
  <si>
    <t>-9292.92万</t>
  </si>
  <si>
    <t>-5503.86万</t>
  </si>
  <si>
    <t>2005.68万</t>
  </si>
  <si>
    <t>12.43亿</t>
  </si>
  <si>
    <t>14.35亿</t>
  </si>
  <si>
    <t>13.65亿</t>
  </si>
  <si>
    <t>13.56亿</t>
  </si>
  <si>
    <t>7271.54万</t>
  </si>
  <si>
    <t>7644.32万</t>
  </si>
  <si>
    <t>7382.24万</t>
  </si>
  <si>
    <t>4.74亿</t>
  </si>
  <si>
    <t>2.99亿</t>
  </si>
  <si>
    <t>17.40亿</t>
  </si>
  <si>
    <t>3.82亿</t>
  </si>
  <si>
    <t>13.02亿</t>
  </si>
  <si>
    <t>2.04亿</t>
  </si>
  <si>
    <t>4905.00万</t>
  </si>
  <si>
    <t>8.02亿</t>
  </si>
  <si>
    <t>7.85亿</t>
  </si>
  <si>
    <t>1974.78万</t>
  </si>
  <si>
    <t>2636.47万</t>
  </si>
  <si>
    <t>26.40亿</t>
  </si>
  <si>
    <t>2.93亿</t>
  </si>
  <si>
    <t>17.02亿</t>
  </si>
  <si>
    <t>30.12亿</t>
  </si>
  <si>
    <t>4.47亿</t>
  </si>
  <si>
    <t>12.83亿</t>
  </si>
  <si>
    <t>10.78亿</t>
  </si>
  <si>
    <t>7930.05万</t>
  </si>
  <si>
    <t>13.73亿</t>
  </si>
  <si>
    <t>6.02亿</t>
  </si>
  <si>
    <t>6087.71万</t>
  </si>
  <si>
    <t>8.35亿</t>
  </si>
  <si>
    <t>9881.73万</t>
  </si>
  <si>
    <t>4.46亿</t>
  </si>
  <si>
    <t>161.95万</t>
  </si>
  <si>
    <t>5.91亿</t>
  </si>
  <si>
    <t>3762.58万</t>
  </si>
  <si>
    <t>65.30亿</t>
  </si>
  <si>
    <t>30.49亿</t>
  </si>
  <si>
    <t>1.86亿</t>
  </si>
  <si>
    <t>1.56亿</t>
  </si>
  <si>
    <t>15.84亿</t>
  </si>
  <si>
    <t>6.76亿</t>
  </si>
  <si>
    <t>32.18亿</t>
  </si>
  <si>
    <t>3.00亿</t>
  </si>
  <si>
    <t>29.00亿</t>
  </si>
  <si>
    <t>亚振家居</t>
  </si>
  <si>
    <t>3.12亿</t>
  </si>
  <si>
    <t>1671.25万</t>
  </si>
  <si>
    <t>-8610.90万</t>
  </si>
  <si>
    <t>38.35亿</t>
  </si>
  <si>
    <t>35.30亿</t>
  </si>
  <si>
    <t>34.34亿</t>
  </si>
  <si>
    <t>24.11亿</t>
  </si>
  <si>
    <t>22.60亿</t>
  </si>
  <si>
    <t>23.91亿</t>
  </si>
  <si>
    <t>47.43亿</t>
  </si>
  <si>
    <t>3.63亿</t>
  </si>
  <si>
    <t>17.27亿</t>
  </si>
  <si>
    <t>23.18亿</t>
  </si>
  <si>
    <t>11.62亿</t>
  </si>
  <si>
    <t>4171.84万</t>
  </si>
  <si>
    <t>2.14亿</t>
  </si>
  <si>
    <t>8.88亿</t>
  </si>
  <si>
    <t>8377.40万</t>
  </si>
  <si>
    <t>23.02亿</t>
  </si>
  <si>
    <t>38.40亿</t>
  </si>
  <si>
    <t>6.34亿</t>
  </si>
  <si>
    <t>24.33亿</t>
  </si>
  <si>
    <t>1.78亿</t>
  </si>
  <si>
    <t>126.66亿</t>
  </si>
  <si>
    <t>91.72亿</t>
  </si>
  <si>
    <t>9.89亿</t>
  </si>
  <si>
    <t>8.22亿</t>
  </si>
  <si>
    <t>12.85亿</t>
  </si>
  <si>
    <t>28.92亿</t>
  </si>
  <si>
    <t>16.64亿</t>
  </si>
  <si>
    <t>12.55亿</t>
  </si>
  <si>
    <t>-5906.42万</t>
  </si>
  <si>
    <t>147.40亿</t>
  </si>
  <si>
    <t>20.63亿</t>
  </si>
  <si>
    <t>115.09亿</t>
  </si>
  <si>
    <t>15.72亿</t>
  </si>
  <si>
    <t>9.50亿</t>
  </si>
  <si>
    <t>3.56亿</t>
  </si>
  <si>
    <t>-487.39万</t>
  </si>
  <si>
    <t>4.21亿</t>
  </si>
  <si>
    <t>4278.08万</t>
  </si>
  <si>
    <t>11.60亿</t>
  </si>
  <si>
    <t>13.10亿</t>
  </si>
  <si>
    <t>21.83亿</t>
  </si>
  <si>
    <t>21.33亿</t>
  </si>
  <si>
    <t>131.38亿</t>
  </si>
  <si>
    <t>85.35亿</t>
  </si>
  <si>
    <t>8.07亿</t>
  </si>
  <si>
    <t>20.35亿</t>
  </si>
  <si>
    <t>17.59亿</t>
  </si>
  <si>
    <t>17.35亿</t>
  </si>
  <si>
    <t>13.45亿</t>
  </si>
  <si>
    <t>SH605099</t>
  </si>
  <si>
    <t>共创草坪</t>
  </si>
  <si>
    <t>18.50亿</t>
  </si>
  <si>
    <t>4.11亿</t>
  </si>
  <si>
    <t>13.98亿</t>
  </si>
  <si>
    <t>SH605268</t>
  </si>
  <si>
    <t>王力安防</t>
  </si>
  <si>
    <t>21.14亿</t>
  </si>
  <si>
    <t>19.51亿</t>
  </si>
  <si>
    <t>14.50亿</t>
  </si>
  <si>
    <t>SH605299</t>
  </si>
  <si>
    <t>舒华体育</t>
  </si>
  <si>
    <t>14.84亿</t>
  </si>
  <si>
    <t>11.82亿</t>
  </si>
  <si>
    <t>1.99亿</t>
  </si>
  <si>
    <t>2.29亿</t>
  </si>
  <si>
    <t>1.63亿</t>
  </si>
  <si>
    <t>SZ301004</t>
  </si>
  <si>
    <t>6483.74万</t>
  </si>
  <si>
    <t>8122.42万</t>
  </si>
  <si>
    <t>ST熊猫</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</si>
  <si>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</si>
  <si>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</si>
  <si>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</si>
  <si>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</si>
  <si>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</si>
  <si>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</si>
  <si>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</si>
  <si>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</si>
  <si>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</si>
  <si>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</si>
  <si>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</si>
  <si>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</si>
  <si>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</si>
  <si>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1.2020 年，新冠疫情在全球范围内蔓延后，各国政府相继出台疫情防控措施，要求减少外出、居家办公，进一步强化了居家办公的趋势，进而拉动了家庭办公家具消费需求的快速增长，且办公椅等家庭办公类产品作为相对小件的活动家具适合电商平台销售；2.已成为国内办公椅行业建设国外产能最早、目前国外产能
规模最大、拥有客户资源最多的企业</t>
    <phoneticPr fontId="1" type="noConversion"/>
  </si>
  <si>
    <t>1.在利用越南生产基地、新产品等差异化优势继续扩大美国市场份额的基础上，加快拓展欧洲、亚洲、澳洲、南美洲等市场。但需关注越南市场受疫情影响的程度；2.Steelcase、Herman Miller、Haworth 是全球具有影响力的知名办公椅品牌；3.按摩椅没有全球龙头，竞争较为分散，国内主要是：傲胜（OSIM）较为领先，奥佳华、荣泰健康，艾力斯特紧随其后；4.销售前五大客户占比64.71%，集中度太高</t>
    <phoneticPr fontId="1" type="noConversion"/>
  </si>
  <si>
    <t>销售毛利率%[20201231]</t>
  </si>
  <si>
    <t>销售净利率%[20201231]</t>
  </si>
  <si>
    <t>SZ001211</t>
  </si>
  <si>
    <t>双枪科技</t>
  </si>
  <si>
    <t>8.34亿</t>
  </si>
  <si>
    <t>7.18亿</t>
  </si>
  <si>
    <t>6.08亿</t>
  </si>
  <si>
    <t>SZ001216</t>
  </si>
  <si>
    <t>华瓷股份</t>
  </si>
  <si>
    <t>9.21亿</t>
  </si>
  <si>
    <t>1.68亿</t>
  </si>
  <si>
    <t>7.28亿</t>
  </si>
  <si>
    <t>12.61亿</t>
  </si>
  <si>
    <t>10.87亿</t>
  </si>
  <si>
    <t>SZ002162</t>
  </si>
  <si>
    <t>悦心健康</t>
  </si>
  <si>
    <t>11.95亿</t>
  </si>
  <si>
    <t>5719.50万</t>
  </si>
  <si>
    <t>3.91亿</t>
  </si>
  <si>
    <t>11.66亿</t>
  </si>
  <si>
    <t>3787.25万</t>
  </si>
  <si>
    <t>2434.71万</t>
  </si>
  <si>
    <t>3.81亿</t>
  </si>
  <si>
    <t>5.66亿</t>
  </si>
  <si>
    <t>3.85亿</t>
  </si>
  <si>
    <t>1.24亿</t>
  </si>
  <si>
    <t>4.40亿</t>
  </si>
  <si>
    <t>4.48亿</t>
  </si>
  <si>
    <t>4.09亿</t>
  </si>
  <si>
    <t>12.98亿</t>
  </si>
  <si>
    <t>SZ002798</t>
  </si>
  <si>
    <t>帝欧家居</t>
  </si>
  <si>
    <t>56.37亿</t>
  </si>
  <si>
    <t>5.67亿</t>
  </si>
  <si>
    <t>15.20亿</t>
  </si>
  <si>
    <t>55.70亿</t>
  </si>
  <si>
    <t>43.08亿</t>
  </si>
  <si>
    <t>5.34亿</t>
  </si>
  <si>
    <t>5452.51万</t>
  </si>
  <si>
    <t>SZ002918</t>
  </si>
  <si>
    <t>蒙娜丽莎</t>
  </si>
  <si>
    <t>48.64亿</t>
  </si>
  <si>
    <t>9.48亿</t>
  </si>
  <si>
    <t>38.04亿</t>
  </si>
  <si>
    <t>32.08亿</t>
  </si>
  <si>
    <t>4.33亿</t>
  </si>
  <si>
    <t>3.02亿</t>
  </si>
  <si>
    <t>SZ003012</t>
  </si>
  <si>
    <t>东鹏控股</t>
  </si>
  <si>
    <t>71.58亿</t>
  </si>
  <si>
    <t>8.52亿</t>
  </si>
  <si>
    <t>67.52亿</t>
  </si>
  <si>
    <t>66.19亿</t>
  </si>
  <si>
    <t>7.94亿</t>
  </si>
  <si>
    <t>10.21亿</t>
  </si>
  <si>
    <t>5.09亿</t>
  </si>
  <si>
    <t>5182.60万</t>
  </si>
  <si>
    <t>SZ300993</t>
  </si>
  <si>
    <t>玉马遮阳</t>
  </si>
  <si>
    <t>3.22亿</t>
  </si>
  <si>
    <t>8085.39万</t>
  </si>
  <si>
    <t>5125.31万</t>
  </si>
  <si>
    <t>嘉益股份</t>
  </si>
  <si>
    <t>3.21亿</t>
  </si>
  <si>
    <t>3.40亿</t>
  </si>
  <si>
    <t>SZ301055</t>
  </si>
  <si>
    <t>张小泉</t>
  </si>
  <si>
    <t>7721.60万</t>
  </si>
  <si>
    <t>4.84亿</t>
  </si>
  <si>
    <t>4.10亿</t>
  </si>
  <si>
    <t>4380.85万</t>
  </si>
  <si>
    <t>SZ301061</t>
  </si>
  <si>
    <t>匠心家居</t>
  </si>
  <si>
    <t>13.18亿</t>
  </si>
  <si>
    <t>11.75亿</t>
  </si>
  <si>
    <t>10.97亿</t>
  </si>
  <si>
    <t>16.77亿</t>
  </si>
  <si>
    <t>SH603195</t>
  </si>
  <si>
    <t>公牛集团</t>
  </si>
  <si>
    <t>100.51亿</t>
  </si>
  <si>
    <t>23.13亿</t>
  </si>
  <si>
    <t>100.40亿</t>
  </si>
  <si>
    <t>90.65亿</t>
  </si>
  <si>
    <t>23.04亿</t>
  </si>
  <si>
    <t>4.73亿</t>
  </si>
  <si>
    <t>SH603615</t>
  </si>
  <si>
    <t>茶花股份</t>
  </si>
  <si>
    <t>6883.64万</t>
  </si>
  <si>
    <t>6838.19万</t>
  </si>
  <si>
    <t>2.44亿</t>
  </si>
  <si>
    <t>好太太</t>
  </si>
  <si>
    <t>5.06亿</t>
  </si>
  <si>
    <t>12.27亿</t>
  </si>
  <si>
    <t>3.71亿</t>
  </si>
  <si>
    <t>13.19亿</t>
  </si>
  <si>
    <t>SH605155</t>
  </si>
  <si>
    <t>西大门</t>
  </si>
  <si>
    <t>7783.87万</t>
  </si>
  <si>
    <t>8838.61万</t>
  </si>
  <si>
    <t>7619.48万</t>
  </si>
  <si>
    <t>15.74亿</t>
  </si>
  <si>
    <t>1.21世纪初，从中国航天员首次进入太空开始，其专业计时腕表均由飞亚达承制，“飞亚达”成为世界三大航天表品牌之一</t>
    <phoneticPr fontId="1" type="noConversion"/>
  </si>
  <si>
    <t>7190.02万</t>
  </si>
  <si>
    <t>流通股本</t>
  </si>
  <si>
    <t>净利润[20201231]</t>
  </si>
  <si>
    <t>投入资本回报率roic%[20201231]</t>
  </si>
  <si>
    <t>净资产收益率%[20201231]</t>
  </si>
  <si>
    <t>52.44亿</t>
  </si>
  <si>
    <t>5.47亿</t>
  </si>
  <si>
    <t>9.76亿</t>
  </si>
  <si>
    <t>12.04亿</t>
  </si>
  <si>
    <t>41.26亿</t>
  </si>
  <si>
    <t>8561.71万</t>
  </si>
  <si>
    <t>28.43亿</t>
  </si>
  <si>
    <t>1841.06万</t>
  </si>
  <si>
    <t>4617.10万</t>
  </si>
  <si>
    <t>3.47亿</t>
  </si>
  <si>
    <t>82.36亿</t>
  </si>
  <si>
    <t>3.38亿</t>
  </si>
  <si>
    <t>81.51亿</t>
  </si>
  <si>
    <t>9.57亿</t>
  </si>
  <si>
    <t>869.49万</t>
  </si>
  <si>
    <t>104.07亿</t>
  </si>
  <si>
    <t>23.89亿</t>
  </si>
  <si>
    <t>20.34亿</t>
  </si>
  <si>
    <t>7613.82万</t>
  </si>
  <si>
    <t>20.20亿</t>
  </si>
  <si>
    <t>18.24亿</t>
  </si>
  <si>
    <t>2.50亿</t>
  </si>
  <si>
    <t>29.51亿</t>
  </si>
  <si>
    <t>36.80亿</t>
  </si>
  <si>
    <t>3408.79万</t>
  </si>
  <si>
    <t>8.42亿</t>
  </si>
  <si>
    <t>4.03亿</t>
  </si>
  <si>
    <t>61.47亿</t>
  </si>
  <si>
    <t>6911.60万</t>
  </si>
  <si>
    <t>-7.29亿</t>
  </si>
  <si>
    <t>2.47亿</t>
  </si>
  <si>
    <t>-97.26万</t>
  </si>
  <si>
    <t>12.25亿</t>
  </si>
  <si>
    <t>8.64亿</t>
  </si>
  <si>
    <t>1743.19万</t>
  </si>
  <si>
    <t>69.87亿</t>
  </si>
  <si>
    <t>3.15亿</t>
  </si>
  <si>
    <t>9697.15万</t>
  </si>
  <si>
    <t>79.79亿</t>
  </si>
  <si>
    <t>-7961.50万</t>
  </si>
  <si>
    <t>73.10亿</t>
  </si>
  <si>
    <t>8970.47万</t>
  </si>
  <si>
    <t>2.22亿</t>
  </si>
  <si>
    <t>2077.90万</t>
  </si>
  <si>
    <t>2603.81万</t>
  </si>
  <si>
    <t>13.83亿</t>
  </si>
  <si>
    <t>946.67万</t>
  </si>
  <si>
    <t>28.71亿</t>
  </si>
  <si>
    <t>-8482.84万</t>
  </si>
  <si>
    <t>8217.10万</t>
  </si>
  <si>
    <t>7.60亿</t>
  </si>
  <si>
    <t>7873.28万</t>
  </si>
  <si>
    <t>7230.07万</t>
  </si>
  <si>
    <t>19.25亿</t>
  </si>
  <si>
    <t>SZ301101</t>
  </si>
  <si>
    <t>明月镜片</t>
  </si>
  <si>
    <t>8209.41万</t>
  </si>
  <si>
    <t>5.40亿</t>
  </si>
  <si>
    <t>5.53亿</t>
  </si>
  <si>
    <t>7000.49万</t>
  </si>
  <si>
    <t>6984.60万</t>
  </si>
  <si>
    <t>3284.66万</t>
  </si>
  <si>
    <t>SZ301113</t>
  </si>
  <si>
    <t>雅艺科技</t>
  </si>
  <si>
    <t>9380.31万</t>
  </si>
  <si>
    <t>8454.65万</t>
  </si>
  <si>
    <t>3592.79万</t>
  </si>
  <si>
    <t>2674.04万</t>
  </si>
  <si>
    <t>16.65亿</t>
  </si>
  <si>
    <t>SZ301188</t>
  </si>
  <si>
    <t>力诺特玻</t>
  </si>
  <si>
    <t>8.89亿</t>
  </si>
  <si>
    <t>6.60亿</t>
  </si>
  <si>
    <t>6.56亿</t>
  </si>
  <si>
    <t>5.98亿</t>
  </si>
  <si>
    <t>5.04亿</t>
  </si>
  <si>
    <t>9080.30万</t>
  </si>
  <si>
    <t>8286.78万</t>
  </si>
  <si>
    <t>6559.47万</t>
  </si>
  <si>
    <t>4861.64万</t>
  </si>
  <si>
    <t>SZ301193</t>
  </si>
  <si>
    <t>家联科技</t>
  </si>
  <si>
    <t>12.34亿</t>
  </si>
  <si>
    <t>7119.88万</t>
  </si>
  <si>
    <t>10.26亿</t>
  </si>
  <si>
    <t>10.20亿</t>
  </si>
  <si>
    <t>7484.49万</t>
  </si>
  <si>
    <t>1054.63万</t>
  </si>
  <si>
    <t>52.75亿</t>
  </si>
  <si>
    <t>7196.86万</t>
  </si>
  <si>
    <t>6597.12万</t>
  </si>
  <si>
    <t>4473.19万</t>
  </si>
  <si>
    <t>20.66亿</t>
  </si>
  <si>
    <t>-3.65亿</t>
  </si>
  <si>
    <t>34.48亿</t>
  </si>
  <si>
    <t>123.85亿</t>
  </si>
  <si>
    <t>27.80亿</t>
  </si>
  <si>
    <t>31.57亿</t>
  </si>
  <si>
    <t>2.54亿</t>
  </si>
  <si>
    <t>SH603216</t>
  </si>
  <si>
    <t>梦天家居</t>
  </si>
  <si>
    <t>13.48亿</t>
  </si>
  <si>
    <t>9425.51万</t>
  </si>
  <si>
    <t>587.98万</t>
  </si>
  <si>
    <t>7.81亿</t>
  </si>
  <si>
    <t>2033.13万</t>
  </si>
  <si>
    <t>-3.09亿</t>
  </si>
  <si>
    <t>SH603272</t>
  </si>
  <si>
    <t>联翔股份</t>
  </si>
  <si>
    <t>6704.67万</t>
  </si>
  <si>
    <t>6375.95万</t>
  </si>
  <si>
    <t>8547.84万</t>
  </si>
  <si>
    <t>4720.21万</t>
  </si>
  <si>
    <t>81.39亿</t>
  </si>
  <si>
    <t>-2.76亿</t>
  </si>
  <si>
    <t>17.25亿</t>
  </si>
  <si>
    <t>-1.62亿</t>
  </si>
  <si>
    <t>38.93亿</t>
  </si>
  <si>
    <t>-6683.49万</t>
  </si>
  <si>
    <t>47.12亿</t>
  </si>
  <si>
    <t>46.59亿</t>
  </si>
  <si>
    <t>29.67亿</t>
  </si>
  <si>
    <t>7.99亿</t>
  </si>
  <si>
    <t>-2045.55万</t>
  </si>
  <si>
    <t>4067.96万</t>
  </si>
  <si>
    <t>57.78亿</t>
  </si>
  <si>
    <t>-1533.07万</t>
  </si>
  <si>
    <t>51.53亿</t>
  </si>
  <si>
    <t>183.42亿</t>
  </si>
  <si>
    <t>50.73亿</t>
  </si>
  <si>
    <t>204.42亿</t>
  </si>
  <si>
    <t>26.66亿</t>
  </si>
  <si>
    <t>3223.38万</t>
  </si>
  <si>
    <t>14.25亿</t>
  </si>
  <si>
    <t>33.71亿</t>
  </si>
  <si>
    <t>6530.59万</t>
  </si>
  <si>
    <t>晨光股份</t>
  </si>
  <si>
    <t>176.07亿</t>
  </si>
  <si>
    <t>15.18亿</t>
  </si>
  <si>
    <t>29.77亿</t>
  </si>
  <si>
    <t>8950.46万</t>
  </si>
  <si>
    <t>26.45亿</t>
  </si>
  <si>
    <t>15.62亿</t>
  </si>
  <si>
    <t>其他家用轻工</t>
  </si>
  <si>
    <t>4.22亿</t>
  </si>
  <si>
    <t xml:space="preserve">    名称</t>
  </si>
  <si>
    <t>净利润?</t>
  </si>
  <si>
    <t>研发费用总额[20220630]</t>
  </si>
  <si>
    <t>扣非净利润</t>
  </si>
  <si>
    <t>营业总收入[20201231]</t>
  </si>
  <si>
    <t>单季营收增速</t>
  </si>
  <si>
    <t>单季利润增速</t>
  </si>
  <si>
    <t>亏损</t>
  </si>
  <si>
    <t>扭亏</t>
  </si>
  <si>
    <t>2.13亿</t>
  </si>
  <si>
    <t>SZ001222</t>
  </si>
  <si>
    <t>源飞宠物</t>
  </si>
  <si>
    <t>1.45亿</t>
  </si>
  <si>
    <t>5.15亿</t>
  </si>
  <si>
    <t>4.35亿</t>
  </si>
  <si>
    <t/>
  </si>
  <si>
    <t>SZ001323</t>
  </si>
  <si>
    <t>慕思股份</t>
  </si>
  <si>
    <t>44.52亿</t>
  </si>
  <si>
    <t>38.62亿</t>
  </si>
  <si>
    <t>31.88亿</t>
  </si>
  <si>
    <t>5.36亿</t>
  </si>
  <si>
    <t>1-1</t>
  </si>
  <si>
    <t>4.25亿</t>
  </si>
  <si>
    <t>4.98亿</t>
  </si>
  <si>
    <t>SZ300163</t>
  </si>
  <si>
    <t>4.50亿</t>
  </si>
  <si>
    <t>5.87亿</t>
  </si>
  <si>
    <t>6.89亿</t>
  </si>
  <si>
    <t>1818.23万</t>
  </si>
  <si>
    <t>4850.60万</t>
  </si>
  <si>
    <t>-2.02亿</t>
  </si>
  <si>
    <t>-348.47万</t>
  </si>
  <si>
    <t>6.75亿</t>
  </si>
  <si>
    <t>SZ301011</t>
  </si>
  <si>
    <t>华立科技</t>
  </si>
  <si>
    <t>4605.83万</t>
  </si>
  <si>
    <t>5976.91万</t>
  </si>
  <si>
    <t>3136.16万</t>
  </si>
  <si>
    <t>5253.50万</t>
  </si>
  <si>
    <t>SZ301336</t>
  </si>
  <si>
    <t>趣睡科技</t>
  </si>
  <si>
    <t>4.79亿</t>
  </si>
  <si>
    <t>5.52亿</t>
  </si>
  <si>
    <t>4.80亿</t>
  </si>
  <si>
    <t>6787.95万</t>
  </si>
  <si>
    <t>7392.98万</t>
  </si>
  <si>
    <t>4387.00万</t>
  </si>
  <si>
    <t>6845.51万</t>
  </si>
  <si>
    <t>3.26亿</t>
  </si>
  <si>
    <t>1.06亿</t>
  </si>
  <si>
    <t>SH605080</t>
  </si>
  <si>
    <t>浙江自然</t>
  </si>
  <si>
    <t>5.81亿</t>
  </si>
  <si>
    <t>5.45亿</t>
  </si>
  <si>
    <t>8167.23万</t>
  </si>
  <si>
    <t>LY营业总收入[20211231]</t>
  </si>
  <si>
    <t>10.69亿</t>
  </si>
  <si>
    <t>64.81亿</t>
  </si>
  <si>
    <t>6.27亿</t>
  </si>
  <si>
    <t>开始亏损</t>
  </si>
  <si>
    <r>
      <t>1.一是公司核心的优势业务转换器、墙壁开关插座业务保持了稳健的增长；二是公司围绕新能源、智能生态两大赛道加快布局，陆续上市新能源充电枪/桩、智能锁、智能晾衣机等新品类，取得了良好的发展势头；三是公司不断强化公牛业务管理体系，提高自身经营能力。2.问：新能源充电枪、充电桩的发展情况如何？答：基于自身优势，我们持续在思考如何服务未来的大趋势，新能源是未来比较明确的趋势之一。</t>
    </r>
    <r>
      <rPr>
        <sz val="9"/>
        <color rgb="FFFF0000"/>
        <rFont val="宋体"/>
        <family val="3"/>
        <charset val="134"/>
        <scheme val="minor"/>
      </rPr>
      <t>充电枪、充电桩是我们服务新能源领域的首个支点</t>
    </r>
    <r>
      <rPr>
        <sz val="9"/>
        <color theme="1"/>
        <rFont val="宋体"/>
        <family val="2"/>
        <charset val="134"/>
        <scheme val="minor"/>
      </rPr>
      <t>，一上市就获得消费者青睐，公司首款充电枪于2021年6月上市，首款充电桩于2021年10月上市，目前共有五款产品在电商平台销售，销量在第三方品牌中居于领先地位。</t>
    </r>
    <phoneticPr fontId="1" type="noConversion"/>
  </si>
  <si>
    <r>
      <t>1.曾经出现过反垄断的调查和整改；2.根据华经产业研究院统计的数据，截止2021年底，中国插座/插排应用市场规模约为145.71亿元，较2020年增长4.39%。</t>
    </r>
    <r>
      <rPr>
        <sz val="9"/>
        <color rgb="FFFF0000"/>
        <rFont val="宋体"/>
        <family val="3"/>
        <charset val="134"/>
        <scheme val="minor"/>
      </rPr>
      <t>自2016年以来，我国的插排/插座市场规模增速一直徘徊在10%以下</t>
    </r>
    <r>
      <rPr>
        <sz val="9"/>
        <color theme="1"/>
        <rFont val="宋体"/>
        <family val="2"/>
        <charset val="134"/>
        <scheme val="minor"/>
      </rPr>
      <t>，需求早已趋于稳定，很难再有大幅跃升；</t>
    </r>
    <r>
      <rPr>
        <sz val="9"/>
        <color theme="1"/>
        <rFont val="宋体"/>
        <family val="3"/>
        <charset val="134"/>
        <scheme val="minor"/>
      </rPr>
      <t>3.在IPO之初，</t>
    </r>
    <r>
      <rPr>
        <b/>
        <sz val="9"/>
        <color rgb="FFFF0000"/>
        <rFont val="宋体"/>
        <family val="3"/>
        <charset val="134"/>
        <scheme val="minor"/>
      </rPr>
      <t>阮氏家族高达97%的控股率</t>
    </r>
    <r>
      <rPr>
        <sz val="9"/>
        <color theme="1"/>
        <rFont val="宋体"/>
        <family val="3"/>
        <charset val="134"/>
        <scheme val="minor"/>
      </rPr>
      <t>，还有关联公司的业绩问题，就饱受争议。直到现在公牛主营业务遇到了增长瓶颈，依然有很多投资者担心在其家族式管理作风下，高层很难及时、快速做出响应，尽快找到第二增长曲线；4.插座，智能照明业务和房地产行业联系较为紧密，因此房地产的行业走势需要关注其影响；</t>
    </r>
    <phoneticPr fontId="1" type="noConversion"/>
  </si>
  <si>
    <t>权益乘数[20220630]</t>
  </si>
  <si>
    <t>总资产周转率[20220630]</t>
  </si>
  <si>
    <t>净利润／营业总收入%[20220630]</t>
  </si>
  <si>
    <t>营业总成本[20220630]</t>
  </si>
  <si>
    <t>营业成本[20220630]</t>
  </si>
  <si>
    <t>管理费用[20220630]</t>
  </si>
  <si>
    <t>投入资本回报率roic%[20211231]</t>
  </si>
  <si>
    <t>净资产收益率%[20211231]</t>
  </si>
  <si>
    <t>细分行业</t>
  </si>
  <si>
    <t>市销率</t>
    <phoneticPr fontId="1" type="noConversion"/>
  </si>
  <si>
    <t>扣非对比净利润</t>
    <phoneticPr fontId="1" type="noConversion"/>
  </si>
  <si>
    <t>过往营收增速均值</t>
    <phoneticPr fontId="1" type="noConversion"/>
  </si>
  <si>
    <t>折现率</t>
    <phoneticPr fontId="1" type="noConversion"/>
  </si>
  <si>
    <t>1年自由现金流折现</t>
    <phoneticPr fontId="1" type="noConversion"/>
  </si>
  <si>
    <t>3增速</t>
    <phoneticPr fontId="1" type="noConversion"/>
  </si>
  <si>
    <t>6年自由现金流折现</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</si>
  <si>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</si>
  <si>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</si>
  <si>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</si>
  <si>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</si>
  <si>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</si>
  <si>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策略1营收单季最佳增速</t>
    <phoneticPr fontId="1" type="noConversion"/>
  </si>
  <si>
    <t>营收成长策略</t>
    <phoneticPr fontId="1" type="noConversion"/>
  </si>
  <si>
    <t>利润成长策略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</si>
  <si>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</si>
  <si>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</si>
  <si>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</si>
  <si>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</si>
  <si>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</si>
  <si>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</si>
  <si>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</si>
  <si>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</si>
  <si>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</si>
  <si>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</si>
  <si>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</si>
  <si>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</si>
  <si>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</si>
  <si>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N-4</t>
    <phoneticPr fontId="1" type="noConversion"/>
  </si>
  <si>
    <t>N-2</t>
    <phoneticPr fontId="1" type="noConversion"/>
  </si>
  <si>
    <t>N</t>
    <phoneticPr fontId="1" type="noConversion"/>
  </si>
  <si>
    <t>饰品</t>
  </si>
  <si>
    <t>瓷砖地板</t>
  </si>
  <si>
    <t>文娱用品</t>
  </si>
  <si>
    <t>SZ001238</t>
  </si>
  <si>
    <t>浙江正特</t>
  </si>
  <si>
    <t>6.14亿</t>
  </si>
  <si>
    <t>12.40亿</t>
  </si>
  <si>
    <t>9.10亿</t>
  </si>
  <si>
    <t>7.04亿</t>
  </si>
  <si>
    <t>1.07亿</t>
  </si>
  <si>
    <t>4.14亿</t>
  </si>
  <si>
    <t>10.73亿</t>
  </si>
  <si>
    <t>4.99亿</t>
  </si>
  <si>
    <t>5.64亿</t>
  </si>
  <si>
    <t>1.79亿</t>
  </si>
  <si>
    <t>42.06亿</t>
  </si>
  <si>
    <t>19.99亿</t>
  </si>
  <si>
    <t>1.96亿</t>
  </si>
  <si>
    <t>4.31亿</t>
  </si>
  <si>
    <t>1.89亿</t>
  </si>
  <si>
    <t>5000.00万</t>
  </si>
  <si>
    <t>10.49亿</t>
  </si>
  <si>
    <t>1.77亿</t>
  </si>
  <si>
    <t>1.94亿</t>
  </si>
  <si>
    <t>4.45亿</t>
  </si>
  <si>
    <t>1.29亿</t>
  </si>
  <si>
    <t>2.23亿</t>
  </si>
  <si>
    <t>1.28亿</t>
  </si>
  <si>
    <t>1.93亿</t>
  </si>
  <si>
    <t>2.77亿</t>
  </si>
  <si>
    <t>3.04亿</t>
  </si>
  <si>
    <t>2.71亿</t>
  </si>
  <si>
    <t>1.59亿</t>
  </si>
  <si>
    <t>3.18亿</t>
  </si>
  <si>
    <t>2.80亿</t>
  </si>
  <si>
    <t>2.59亿</t>
  </si>
  <si>
    <t>6.23亿</t>
  </si>
  <si>
    <t>1.80亿</t>
  </si>
  <si>
    <t>2.65亿</t>
  </si>
  <si>
    <t>SZ001322</t>
  </si>
  <si>
    <t>箭牌家居</t>
  </si>
  <si>
    <t>83.73亿</t>
  </si>
  <si>
    <t>5.77亿</t>
  </si>
  <si>
    <t>65.02亿</t>
  </si>
  <si>
    <t>66.58亿</t>
  </si>
  <si>
    <t>68.10亿</t>
  </si>
  <si>
    <t>5.56亿</t>
  </si>
  <si>
    <t>SZ001300</t>
  </si>
  <si>
    <t>三柏硕</t>
  </si>
  <si>
    <t>12.07亿</t>
  </si>
  <si>
    <t>9.51亿</t>
  </si>
  <si>
    <t>5.74亿</t>
  </si>
  <si>
    <t>2.88亿</t>
  </si>
  <si>
    <t>5.23亿</t>
  </si>
  <si>
    <t>13.52亿</t>
  </si>
  <si>
    <t>8.23亿</t>
  </si>
  <si>
    <t>2.96亿</t>
  </si>
  <si>
    <t>9.55亿</t>
  </si>
  <si>
    <t>3.23亿</t>
  </si>
  <si>
    <t>5.83亿</t>
  </si>
  <si>
    <t>11.24亿</t>
  </si>
  <si>
    <t>7.68亿</t>
  </si>
  <si>
    <t>8.87亿</t>
  </si>
  <si>
    <t>3.60亿</t>
  </si>
  <si>
    <t>SZ301227</t>
  </si>
  <si>
    <t>森鹰窗业</t>
  </si>
  <si>
    <t>6.11亿</t>
  </si>
  <si>
    <t>7586.28万</t>
  </si>
  <si>
    <t>5977.53万</t>
  </si>
  <si>
    <t>SZ301335</t>
  </si>
  <si>
    <t>天元宠物</t>
  </si>
  <si>
    <t>18.54亿</t>
  </si>
  <si>
    <t>8718.40万</t>
  </si>
  <si>
    <t>8747.93万</t>
  </si>
  <si>
    <t>SZ301356</t>
  </si>
  <si>
    <t>天振股份</t>
  </si>
  <si>
    <t>31.81亿</t>
  </si>
  <si>
    <t>22.43亿</t>
  </si>
  <si>
    <t>17.28亿</t>
  </si>
  <si>
    <t>20.57亿</t>
  </si>
  <si>
    <t>18.87亿</t>
  </si>
  <si>
    <t>13.89亿</t>
  </si>
  <si>
    <t>-3.80亿</t>
  </si>
  <si>
    <t>17.12亿</t>
  </si>
  <si>
    <r>
      <t>1.</t>
    </r>
    <r>
      <rPr>
        <b/>
        <sz val="9"/>
        <color rgb="FFFF0000"/>
        <rFont val="宋体"/>
        <family val="3"/>
        <charset val="134"/>
        <scheme val="minor"/>
      </rPr>
      <t>境外收入占比98%</t>
    </r>
    <r>
      <rPr>
        <sz val="9"/>
        <color theme="1"/>
        <rFont val="宋体"/>
        <family val="2"/>
        <charset val="134"/>
        <scheme val="minor"/>
      </rPr>
      <t>。2.公司第三季度营业收入下滑的原因主要是：1）美国通货膨胀的影响，导致消费能力的下降；2）客户去库存的节奏低于预期。</t>
    </r>
    <phoneticPr fontId="1" type="noConversion"/>
  </si>
  <si>
    <r>
      <t>1.宠物经济主要集中在美国、欧洲和亚洲。公司</t>
    </r>
    <r>
      <rPr>
        <sz val="9"/>
        <color rgb="FFFF0000"/>
        <rFont val="宋体"/>
        <family val="3"/>
        <charset val="134"/>
        <scheme val="minor"/>
      </rPr>
      <t>业务以出口为主</t>
    </r>
    <r>
      <rPr>
        <sz val="9"/>
        <color theme="1"/>
        <rFont val="宋体"/>
        <family val="2"/>
        <charset val="134"/>
        <scheme val="minor"/>
      </rPr>
      <t>,公司与国际知名的专业宠物连锁店和大型连锁零售商有长期、稳定且连续的合作,如美国宠物用品零售巨头Petco和PetSmart、欧洲知名的宠物连锁超市PetsatHome以及国际大型连锁零售商Walmart、Target等,并通过向上述企业销售贴牌产品的方式实现终端销售。</t>
    </r>
    <phoneticPr fontId="1" type="noConversion"/>
  </si>
  <si>
    <t>1.57亿</t>
  </si>
  <si>
    <t xml:space="preserve">
</t>
    <phoneticPr fontId="1" type="noConversion"/>
  </si>
  <si>
    <r>
      <t>1.公司推出“</t>
    </r>
    <r>
      <rPr>
        <sz val="9"/>
        <color rgb="FFFF0000"/>
        <rFont val="宋体"/>
        <family val="3"/>
        <charset val="134"/>
        <scheme val="minor"/>
      </rPr>
      <t>微笑铺贴”服务，一直以来包铺贴</t>
    </r>
    <r>
      <rPr>
        <sz val="9"/>
        <color theme="1"/>
        <rFont val="宋体"/>
        <family val="2"/>
        <charset val="134"/>
        <scheme val="minor"/>
      </rPr>
      <t>是行业短板与痛点，家装业务传统的其他材料（如门窗、橱柜、涂料、空调等）均包安装，但瓷砖瓷板一直以来没有介入到安装；2.终端得益于</t>
    </r>
    <r>
      <rPr>
        <b/>
        <sz val="9"/>
        <color rgb="FFFF0000"/>
        <rFont val="宋体"/>
        <family val="3"/>
        <charset val="134"/>
        <scheme val="minor"/>
      </rPr>
      <t>渠道下沉布局县乡村市场</t>
    </r>
    <r>
      <rPr>
        <sz val="9"/>
        <color theme="1"/>
        <rFont val="宋体"/>
        <family val="2"/>
        <charset val="134"/>
        <scheme val="minor"/>
      </rPr>
      <t>，以及新农村振兴建设、建材下乡等政策，有信心在C端保持增长和市场份额的进一步提升。</t>
    </r>
    <phoneticPr fontId="1" type="noConversion"/>
  </si>
  <si>
    <r>
      <t>1.同时叠加国内外疫情反复、</t>
    </r>
    <r>
      <rPr>
        <b/>
        <sz val="9"/>
        <color rgb="FFFF0000"/>
        <rFont val="宋体"/>
        <family val="3"/>
        <charset val="134"/>
        <scheme val="minor"/>
      </rPr>
      <t>双碳政策和限电限产、能源和
原材料价格上涨</t>
    </r>
    <r>
      <rPr>
        <sz val="9"/>
        <color theme="1"/>
        <rFont val="宋体"/>
        <family val="2"/>
        <charset val="134"/>
        <scheme val="minor"/>
      </rPr>
      <t>等多重不利因素，致使公司本年度利润下滑;</t>
    </r>
    <phoneticPr fontId="1" type="noConversion"/>
  </si>
  <si>
    <t>涨幅</t>
  </si>
  <si>
    <t>成交量[20221212]</t>
  </si>
  <si>
    <t>营业收入(同比增长率) %[20220930]</t>
  </si>
  <si>
    <t>LY净利润[20211231]</t>
  </si>
  <si>
    <t>销售费用[20220930]</t>
  </si>
  <si>
    <t>其他收入[20220930]</t>
  </si>
  <si>
    <t>货币资金[20220930]</t>
  </si>
  <si>
    <t>应收票据[20220930]</t>
  </si>
  <si>
    <t>固定资产[20220930]</t>
  </si>
  <si>
    <t>在建工程[20220930]</t>
  </si>
  <si>
    <t>短期借款[20220930]</t>
  </si>
  <si>
    <t>应付票据[20220930]</t>
  </si>
  <si>
    <t>应付账款[20220930]</t>
  </si>
  <si>
    <t>预收款项[20220930]</t>
  </si>
  <si>
    <t>流动负债[20220930]</t>
  </si>
  <si>
    <t>长期借款[20220930]</t>
  </si>
  <si>
    <t>经营活动产生的现金流量净额[20220930]</t>
  </si>
  <si>
    <t>投资活动产生的现金流量净额[20220930]</t>
  </si>
  <si>
    <t>筹资活动产生的现金流量净额[20220930]</t>
  </si>
  <si>
    <t>CYLQ营业收入[20220630]</t>
  </si>
  <si>
    <t>LYCQ营业收入[20210930]</t>
  </si>
  <si>
    <t>LYLQ营业收入[20210630]</t>
  </si>
  <si>
    <t>CYLQ净利润[20220630]</t>
  </si>
  <si>
    <t>LYCQ净利润[20210930]</t>
  </si>
  <si>
    <t>LYLQ净利润[20210630]</t>
  </si>
  <si>
    <t>分红明细[20211231]</t>
  </si>
  <si>
    <t>销售毛利率%[20220630]</t>
  </si>
  <si>
    <t>销售净利率%[20220630]</t>
  </si>
  <si>
    <t>区间涨跌幅:前复权%[20221206-20221212]</t>
  </si>
  <si>
    <t>指数@区间涨跌幅:不复权%[20221101-20221212]</t>
  </si>
  <si>
    <t>指数@区间成交量[20221206-20221212]</t>
  </si>
  <si>
    <t>指数@区间成交量[20221101-20221212]</t>
  </si>
  <si>
    <t>股利率</t>
    <phoneticPr fontId="1" type="noConversion"/>
  </si>
  <si>
    <t>过往利润增速均值</t>
    <phoneticPr fontId="1" type="noConversion"/>
  </si>
  <si>
    <t>1增速</t>
    <phoneticPr fontId="1" type="noConversion"/>
  </si>
  <si>
    <t>原始顺序</t>
    <phoneticPr fontId="1" type="noConversion"/>
  </si>
  <si>
    <t>策略1利润单季最佳增速</t>
    <phoneticPr fontId="1" type="noConversion"/>
  </si>
  <si>
    <t>价格变动策略</t>
    <phoneticPr fontId="1" type="noConversion"/>
  </si>
  <si>
    <t>N-1</t>
    <phoneticPr fontId="1" type="noConversion"/>
  </si>
  <si>
    <t>3年自由现金流折现</t>
    <phoneticPr fontId="1" type="noConversion"/>
  </si>
  <si>
    <t>6增速</t>
    <phoneticPr fontId="1" type="noConversion"/>
  </si>
  <si>
    <t>营收和利润加权</t>
    <phoneticPr fontId="1" type="noConversion"/>
  </si>
  <si>
    <t>N-3</t>
    <phoneticPr fontId="1" type="noConversion"/>
  </si>
  <si>
    <t>不分配不转增</t>
  </si>
  <si>
    <t>10派3元(含税)</t>
  </si>
  <si>
    <t>10派5元(含税)</t>
  </si>
  <si>
    <t>10派2.1元(含税)</t>
  </si>
  <si>
    <t>10派2元(含税)</t>
  </si>
  <si>
    <t>10派6元(含税)</t>
  </si>
  <si>
    <t>10派1.5元(含税)</t>
  </si>
  <si>
    <t>10派0.3元(含税)</t>
  </si>
  <si>
    <t>10派0.1元(含税)</t>
  </si>
  <si>
    <t>10派2.5元(含税)</t>
  </si>
  <si>
    <t>10派1元(含税)</t>
  </si>
  <si>
    <t>13.80亿</t>
  </si>
  <si>
    <t>-1-0</t>
  </si>
  <si>
    <t>1-0</t>
  </si>
  <si>
    <t>-1-1</t>
  </si>
  <si>
    <t>1.问：目前欧美国家的消费者信心如何？答：在欧美经济下行的趋势下，总体上大家相对消极悲观。我们这边也看到，大盘的搜索指数也有所下降，但可喜的一面是由于我们过去的两年在品牌投入上比较大，持续不断的保持比较强有力的品牌层面的一些营销相关的活动，所以去年到今年，我们整个的品牌力的提升这块非常好，尽管美国这边在整个大盘下行的趋势下，我们欧美品牌搜索指数都有质量的同比提升。另外，根据第三方的调研显示，高收入人群表示还是愿意在类似升降桌等非刚需产品上进行投入，而低收入人群会选择减少在非必要消费上的投入。因此，未来我们会持续提升中高端产品的占比，提升健康办公升降桌产品在高收入人群当中的渗透率。</t>
    <phoneticPr fontId="1" type="noConversion"/>
  </si>
  <si>
    <t>SZ001368</t>
  </si>
  <si>
    <t>通达创智</t>
  </si>
  <si>
    <r>
      <t>1.公司董事长正全力推进“乐歌项董说营销”抖音号运营，粉丝持续快速增加中；2.报告期内，海外仓业务稳步增长，仓库利用率提升，品牌产品的销售系数持续提升，特别是国内市场，外部因素也明显改善，海运价格大幅回落，美元兑人民币中间价显著回升。所以，我们预计未来公司盈利能力会逐步改善。展望</t>
    </r>
    <r>
      <rPr>
        <sz val="9"/>
        <color rgb="FFFF0000"/>
        <rFont val="宋体"/>
        <family val="3"/>
        <charset val="134"/>
        <scheme val="minor"/>
      </rPr>
      <t>未来三年国内业务的占比，预计会在15-20%</t>
    </r>
    <r>
      <rPr>
        <sz val="9"/>
        <color theme="1"/>
        <rFont val="宋体"/>
        <family val="2"/>
        <charset val="134"/>
        <scheme val="minor"/>
      </rPr>
      <t>。目前线上占比72%，线下不到30%，线上线下会同步发展;3.20年营收开始大幅增长的原因，一是公司产品结构转型，多年的线性驱动技术储备成功落地，二是20年开始</t>
    </r>
    <r>
      <rPr>
        <sz val="9"/>
        <color rgb="FFFF0000"/>
        <rFont val="宋体"/>
        <family val="3"/>
        <charset val="134"/>
        <scheme val="minor"/>
      </rPr>
      <t>疫情催化居家办公需求</t>
    </r>
    <r>
      <rPr>
        <sz val="9"/>
        <color theme="1"/>
        <rFont val="宋体"/>
        <family val="2"/>
        <charset val="134"/>
        <scheme val="minor"/>
      </rPr>
      <t>，因为我们做自主品牌，能及时洞察到消费者需求的变化，产品结构转型成功后，敏锐地抓住了消费者居家办公需求上升的时机，因此20年出现了爆发式增长。</t>
    </r>
    <phoneticPr fontId="1" type="noConversion"/>
  </si>
  <si>
    <t>1.43亿</t>
  </si>
  <si>
    <t>43.54亿</t>
  </si>
  <si>
    <t>-1541.82万</t>
  </si>
  <si>
    <t>3000.00万</t>
  </si>
  <si>
    <t>1.98亿</t>
  </si>
  <si>
    <t>9.54亿</t>
  </si>
  <si>
    <t>13.82亿</t>
  </si>
  <si>
    <t>5918.76万</t>
  </si>
  <si>
    <t>6570.16万</t>
  </si>
  <si>
    <t>75.13亿</t>
  </si>
  <si>
    <t>5.93亿</t>
  </si>
  <si>
    <t>58.13亿</t>
  </si>
  <si>
    <t>10派10元(含税)</t>
  </si>
  <si>
    <t>9.31亿</t>
  </si>
  <si>
    <t>1.32亿</t>
  </si>
  <si>
    <t>6.93亿</t>
  </si>
  <si>
    <t>5.32亿</t>
  </si>
  <si>
    <t>32.95亿</t>
  </si>
  <si>
    <t>4740.95万</t>
  </si>
  <si>
    <t>6.07亿</t>
  </si>
  <si>
    <t>24.86亿</t>
  </si>
  <si>
    <t>-3621.75万</t>
  </si>
  <si>
    <t>11.63亿</t>
  </si>
  <si>
    <t>-2.78亿</t>
  </si>
  <si>
    <t>2.07亿</t>
  </si>
  <si>
    <t>86.29亿</t>
  </si>
  <si>
    <t>4.56亿</t>
  </si>
  <si>
    <t>-8362.60万</t>
  </si>
  <si>
    <t>2-1</t>
  </si>
  <si>
    <t>82.19亿</t>
  </si>
  <si>
    <t>6.05亿</t>
  </si>
  <si>
    <t>2.78亿</t>
  </si>
  <si>
    <t>-1.10亿</t>
  </si>
  <si>
    <t>112.23亿</t>
  </si>
  <si>
    <t>10.64亿</t>
  </si>
  <si>
    <t>10派7元(含税)</t>
  </si>
  <si>
    <t>3.05亿</t>
  </si>
  <si>
    <t>-2-0</t>
  </si>
  <si>
    <t>3-0</t>
  </si>
  <si>
    <t>24.28亿</t>
  </si>
  <si>
    <t>19.73亿</t>
  </si>
  <si>
    <t>-1921.35万</t>
  </si>
  <si>
    <t>16.60亿</t>
  </si>
  <si>
    <t>4.82亿</t>
  </si>
  <si>
    <t>4780.75万</t>
  </si>
  <si>
    <t>3.66亿</t>
  </si>
  <si>
    <t>4.07亿</t>
  </si>
  <si>
    <t>41.12亿</t>
  </si>
  <si>
    <t>-15.09亿</t>
  </si>
  <si>
    <t>14.52亿</t>
  </si>
  <si>
    <t>-4047.27万</t>
  </si>
  <si>
    <t>10.91亿</t>
  </si>
  <si>
    <t>1800.00万</t>
  </si>
  <si>
    <t>8.25亿</t>
  </si>
  <si>
    <t>6566.46万</t>
  </si>
  <si>
    <t>10派0.63元(含税)</t>
  </si>
  <si>
    <t>065664600</t>
  </si>
  <si>
    <t>0196993800</t>
  </si>
  <si>
    <t>0393987600</t>
  </si>
  <si>
    <t>0656646000</t>
  </si>
  <si>
    <t>01313292000</t>
  </si>
  <si>
    <t>35.53亿</t>
  </si>
  <si>
    <t>62.29亿</t>
  </si>
  <si>
    <t>-3.81亿</t>
  </si>
  <si>
    <t>18.94亿</t>
  </si>
  <si>
    <t>4.15亿</t>
  </si>
  <si>
    <t>69.30亿</t>
  </si>
  <si>
    <t>-171.66万</t>
  </si>
  <si>
    <t>832.44万</t>
  </si>
  <si>
    <t>08324400</t>
  </si>
  <si>
    <t>024973200</t>
  </si>
  <si>
    <t>049946400</t>
  </si>
  <si>
    <t>083244000</t>
  </si>
  <si>
    <t>0166488000</t>
  </si>
  <si>
    <t>53.14亿</t>
  </si>
  <si>
    <t>4629.72万</t>
  </si>
  <si>
    <t>8.38亿</t>
  </si>
  <si>
    <t>5020.25万</t>
  </si>
  <si>
    <t>3847.30万</t>
  </si>
  <si>
    <t>7494.33万</t>
  </si>
  <si>
    <t>10转3股派1.8元(含税)</t>
  </si>
  <si>
    <t>-7121.55万</t>
  </si>
  <si>
    <t>8.27亿</t>
  </si>
  <si>
    <t>14.63亿</t>
  </si>
  <si>
    <t>4.62亿</t>
  </si>
  <si>
    <t>4902.63万</t>
  </si>
  <si>
    <t>19.76亿</t>
  </si>
  <si>
    <t>SZ301287</t>
  </si>
  <si>
    <t>康力源</t>
  </si>
  <si>
    <t>3.19亿</t>
  </si>
  <si>
    <t>8427.18万</t>
  </si>
  <si>
    <t>7828.19万</t>
  </si>
  <si>
    <t>4.24亿</t>
  </si>
  <si>
    <t>3688.89万</t>
  </si>
  <si>
    <t>SZ301376</t>
  </si>
  <si>
    <t>致欧科技</t>
  </si>
  <si>
    <t>54.55亿</t>
  </si>
  <si>
    <t>44.96亿</t>
  </si>
  <si>
    <t>9036.39万</t>
  </si>
  <si>
    <t>-1594994亿</t>
  </si>
  <si>
    <t>18.65亿</t>
  </si>
  <si>
    <t>5202.98万</t>
  </si>
  <si>
    <t>10派0.37元(含税)</t>
  </si>
  <si>
    <t>4535.55万</t>
  </si>
  <si>
    <t>7.22亿</t>
  </si>
  <si>
    <t>5.69亿</t>
  </si>
  <si>
    <t>140.81亿</t>
  </si>
  <si>
    <t>31.89亿</t>
  </si>
  <si>
    <t>32.09亿</t>
  </si>
  <si>
    <t>-2.99亿</t>
  </si>
  <si>
    <t>4.91亿</t>
  </si>
  <si>
    <t>10派3.5元(含税)</t>
  </si>
  <si>
    <t>-3563.88万</t>
  </si>
  <si>
    <t>972.19万</t>
  </si>
  <si>
    <t>-1.71亿</t>
  </si>
  <si>
    <t>3627.01万</t>
  </si>
  <si>
    <t>80.17亿</t>
  </si>
  <si>
    <t>4135.92万</t>
  </si>
  <si>
    <t>16.66亿</t>
  </si>
  <si>
    <t>34.19亿</t>
  </si>
  <si>
    <t>40.55亿</t>
  </si>
  <si>
    <t>10.08亿</t>
  </si>
  <si>
    <t>26.63亿</t>
  </si>
  <si>
    <t>65.15亿</t>
  </si>
  <si>
    <t>10派2.6元(含税)</t>
  </si>
  <si>
    <t>-4188.39万</t>
  </si>
  <si>
    <t>53.89亿</t>
  </si>
  <si>
    <t>5.57亿</t>
  </si>
  <si>
    <t>180.10亿</t>
  </si>
  <si>
    <t>18.12亿</t>
  </si>
  <si>
    <t>4.43亿</t>
  </si>
  <si>
    <t>48.53亿</t>
  </si>
  <si>
    <t>3695.73万</t>
  </si>
  <si>
    <t>224.80亿</t>
  </si>
  <si>
    <t>26.88亿</t>
  </si>
  <si>
    <t>-2-1</t>
  </si>
  <si>
    <t>-2605.83万</t>
  </si>
  <si>
    <t>28.23亿</t>
  </si>
  <si>
    <t>199.96亿</t>
  </si>
  <si>
    <t>12.82亿</t>
  </si>
  <si>
    <t>7.93亿</t>
  </si>
  <si>
    <t>10派1.96元(含税)</t>
  </si>
  <si>
    <t>9.46亿</t>
  </si>
  <si>
    <t>24.71亿</t>
  </si>
  <si>
    <t>8204.47万</t>
  </si>
  <si>
    <t>22.03亿</t>
  </si>
  <si>
    <t>4.60亿</t>
  </si>
  <si>
    <t>23.65亿</t>
  </si>
  <si>
    <t>2816.15万</t>
  </si>
  <si>
    <t>-1697482亿</t>
  </si>
  <si>
    <t>-1.03亿</t>
  </si>
  <si>
    <t>21.84亿</t>
  </si>
  <si>
    <t>4.36亿</t>
  </si>
  <si>
    <t>1299.33万</t>
  </si>
  <si>
    <t>1913.16万</t>
  </si>
  <si>
    <t>3.77亿</t>
  </si>
  <si>
    <t>15.02亿</t>
  </si>
  <si>
    <t>5.82亿</t>
  </si>
  <si>
    <t>17.70亿</t>
  </si>
  <si>
    <t>4.27亿</t>
  </si>
  <si>
    <t>2.25亿</t>
  </si>
  <si>
    <t>2.21亿</t>
  </si>
  <si>
    <t>7.15亿</t>
  </si>
  <si>
    <t>-5723.70万</t>
  </si>
  <si>
    <t>3.58亿</t>
  </si>
  <si>
    <t>2.97亿</t>
  </si>
  <si>
    <t>21.70亿</t>
  </si>
  <si>
    <t>12.30亿</t>
  </si>
  <si>
    <t>9.37亿</t>
  </si>
  <si>
    <t>4266.76万</t>
  </si>
  <si>
    <t>6.46亿</t>
  </si>
  <si>
    <t>12.96亿</t>
  </si>
  <si>
    <t>19.78亿</t>
  </si>
  <si>
    <t>3650.25万</t>
  </si>
  <si>
    <t>7.02亿</t>
  </si>
  <si>
    <t>3.96亿</t>
  </si>
  <si>
    <t>9.28亿</t>
  </si>
  <si>
    <t>5.71亿</t>
  </si>
  <si>
    <t>5.75亿</t>
  </si>
  <si>
    <t>1548.71万</t>
  </si>
  <si>
    <t>12.28亿</t>
  </si>
  <si>
    <t>613.53万</t>
  </si>
  <si>
    <t>28.93亿</t>
  </si>
  <si>
    <t>17.79亿</t>
  </si>
  <si>
    <t>15.48亿</t>
  </si>
  <si>
    <t>785.46万</t>
  </si>
  <si>
    <t>7085.96万</t>
  </si>
  <si>
    <t>1.69亿</t>
  </si>
  <si>
    <t>3.28亿</t>
  </si>
  <si>
    <t>-1.44亿</t>
  </si>
  <si>
    <t>3.61亿</t>
  </si>
  <si>
    <t>2.58亿</t>
  </si>
  <si>
    <t>7.82亿</t>
  </si>
  <si>
    <t>2.86亿</t>
  </si>
  <si>
    <t>3.75亿</t>
  </si>
  <si>
    <t>6173.90万</t>
  </si>
  <si>
    <t>3.25亿</t>
  </si>
  <si>
    <t>9336.60万</t>
  </si>
  <si>
    <t>3563.07万</t>
  </si>
  <si>
    <t>1474.34万</t>
  </si>
  <si>
    <t>6.04亿</t>
  </si>
  <si>
    <t>59.67亿</t>
  </si>
  <si>
    <t>39.71亿</t>
  </si>
  <si>
    <t>23.26亿</t>
  </si>
  <si>
    <t>15.95亿</t>
  </si>
  <si>
    <t>4063.86万</t>
  </si>
  <si>
    <t>7006.86万</t>
  </si>
  <si>
    <t>4118.93万</t>
  </si>
  <si>
    <t>4.72亿</t>
  </si>
  <si>
    <t>16.88亿</t>
  </si>
  <si>
    <t>510.47万</t>
  </si>
  <si>
    <t>-1520872亿</t>
  </si>
  <si>
    <t>-9510.62万</t>
  </si>
  <si>
    <t>7.36亿</t>
  </si>
  <si>
    <t>27.44亿</t>
  </si>
  <si>
    <t>4462.92万</t>
  </si>
  <si>
    <t>4.58亿</t>
  </si>
  <si>
    <t>7.11亿</t>
  </si>
  <si>
    <t>41.86亿</t>
  </si>
  <si>
    <t>17.75亿</t>
  </si>
  <si>
    <t>10.14亿</t>
  </si>
  <si>
    <t>8.91亿</t>
  </si>
  <si>
    <t>16.79亿</t>
  </si>
  <si>
    <t>2.26亿</t>
  </si>
  <si>
    <t>2.49亿</t>
  </si>
  <si>
    <t>5.95亿</t>
  </si>
  <si>
    <t>6.26亿</t>
  </si>
  <si>
    <t>6.59亿</t>
  </si>
  <si>
    <t>4000.00万</t>
  </si>
  <si>
    <t>7029.08万</t>
  </si>
  <si>
    <t>8976.11万</t>
  </si>
  <si>
    <t>7183.99万</t>
  </si>
  <si>
    <t>4596.82万</t>
  </si>
  <si>
    <t>4100.04万</t>
  </si>
  <si>
    <t>1.11亿</t>
  </si>
  <si>
    <t>1.95亿</t>
  </si>
  <si>
    <t>8319.80万</t>
  </si>
  <si>
    <t>5491.15万</t>
  </si>
  <si>
    <t>6282.14万</t>
  </si>
  <si>
    <t>6.45亿</t>
  </si>
  <si>
    <t>5.33亿</t>
  </si>
  <si>
    <t>8021.94万</t>
  </si>
  <si>
    <t>4159.15万</t>
  </si>
  <si>
    <t>4779.15万</t>
  </si>
  <si>
    <t>7676.53万</t>
  </si>
  <si>
    <t>5048.61万</t>
  </si>
  <si>
    <t>5.89亿</t>
  </si>
  <si>
    <t>11.28亿</t>
  </si>
  <si>
    <t>6.86亿</t>
  </si>
  <si>
    <t>3.33亿</t>
  </si>
  <si>
    <t>13.62亿</t>
  </si>
  <si>
    <t>3.86亿</t>
  </si>
  <si>
    <t>6.47亿</t>
  </si>
  <si>
    <t>9023.35万</t>
  </si>
  <si>
    <t>4131.32万</t>
  </si>
  <si>
    <t>6340.09万</t>
  </si>
  <si>
    <t>7.37亿</t>
  </si>
  <si>
    <t>-5.62亿</t>
  </si>
  <si>
    <t>1.92亿</t>
  </si>
  <si>
    <t>4.18亿</t>
  </si>
  <si>
    <t>3.70亿</t>
  </si>
  <si>
    <t>2.75亿</t>
  </si>
  <si>
    <t>814.13万</t>
  </si>
  <si>
    <t>35.80万</t>
  </si>
  <si>
    <t>-1.09亿</t>
  </si>
  <si>
    <t>-1.91亿</t>
  </si>
  <si>
    <t>-3.29亿</t>
  </si>
  <si>
    <t>1128.28万</t>
  </si>
  <si>
    <t>5508.91万</t>
  </si>
  <si>
    <t>4.81亿</t>
  </si>
  <si>
    <t>21.05亿</t>
  </si>
  <si>
    <t>25.11亿</t>
  </si>
  <si>
    <t>6692.76万</t>
  </si>
  <si>
    <t>3.94亿</t>
  </si>
  <si>
    <t>-2.48亿</t>
  </si>
  <si>
    <t>1784.36万</t>
  </si>
  <si>
    <t>9.23亿</t>
  </si>
  <si>
    <t>5.90亿</t>
  </si>
  <si>
    <t>673.41万</t>
  </si>
  <si>
    <t>2.62亿</t>
  </si>
  <si>
    <t>5.26亿</t>
  </si>
  <si>
    <t>76.00万</t>
  </si>
  <si>
    <t>1.44亿</t>
  </si>
  <si>
    <t>8.29亿</t>
  </si>
  <si>
    <t>6.79亿</t>
  </si>
  <si>
    <t>4.19亿</t>
  </si>
  <si>
    <t>7.08亿</t>
  </si>
  <si>
    <t>1435.72万</t>
  </si>
  <si>
    <t>1.33亿</t>
  </si>
  <si>
    <t>3.52亿</t>
  </si>
  <si>
    <t>32.74亿</t>
  </si>
  <si>
    <t>19.30亿</t>
  </si>
  <si>
    <t>8007.67万</t>
  </si>
  <si>
    <t>11.14亿</t>
  </si>
  <si>
    <t>2.03亿</t>
  </si>
  <si>
    <t>10.93亿</t>
  </si>
  <si>
    <t>1987.83万</t>
  </si>
  <si>
    <t>6.21亿</t>
  </si>
  <si>
    <t>17.20亿</t>
  </si>
  <si>
    <t>4.68亿</t>
  </si>
  <si>
    <t>5.16亿</t>
  </si>
  <si>
    <t>6.71亿</t>
  </si>
  <si>
    <t>2.82亿</t>
  </si>
  <si>
    <t>15.09亿</t>
  </si>
  <si>
    <t>14.24亿</t>
  </si>
  <si>
    <t>29.11亿</t>
  </si>
  <si>
    <t>5.70亿</t>
  </si>
  <si>
    <t>13.95亿</t>
  </si>
  <si>
    <t>9446.73万</t>
  </si>
  <si>
    <t>10.44亿</t>
  </si>
  <si>
    <t>-1.05亿</t>
  </si>
  <si>
    <t>1.业务分布：橱柜38%,衣柜50%，木门8%；</t>
    <phoneticPr fontId="1" type="noConversion"/>
  </si>
  <si>
    <t>1.橱柜对手（金牌，志邦，皮阿诺），衣柜对手（索菲亚，好莱客）</t>
    <phoneticPr fontId="1" type="noConversion"/>
  </si>
  <si>
    <t>1.沙发的龙头对手是敏华控股（香港上市）；2.床垫对手：喜临门，梦百合；</t>
    <phoneticPr fontId="1" type="noConversion"/>
  </si>
  <si>
    <t>1.慕思股份2022年的床垫市占率8.6%，高于对手喜临门，席梦思，金可儿；</t>
    <phoneticPr fontId="1" type="noConversion"/>
  </si>
  <si>
    <t>1.解决消费者的痛点和爽点是非常重要的方向。00后已经开始成长，未来会成为消费的主流。他们的特点之一是倾向懒人经济，希望交钥匙工程，从设计到选材、运输、铺贴，到整体硬装、软装，到整体交付，未来对整装业务肯定是这样的需求；2.国内建陶行业3500亿市场空间，目前很多小厂家因为环保等原因在出清；</t>
    <phoneticPr fontId="1" type="noConversion"/>
  </si>
  <si>
    <t>35.27亿</t>
  </si>
  <si>
    <t>31.94亿</t>
  </si>
  <si>
    <t>22.56亿</t>
  </si>
  <si>
    <t>6.91亿</t>
  </si>
  <si>
    <t>66.38万</t>
  </si>
  <si>
    <t>252875160亿</t>
  </si>
  <si>
    <t>404973710亿</t>
  </si>
  <si>
    <t>2347.27万</t>
  </si>
  <si>
    <t>3094626100亿</t>
  </si>
  <si>
    <t>912.26万</t>
  </si>
  <si>
    <t>-5648.14万</t>
  </si>
  <si>
    <t>-2.54亿</t>
  </si>
  <si>
    <t>33.85亿</t>
  </si>
  <si>
    <t>8.84亿</t>
  </si>
  <si>
    <t>6.92亿</t>
  </si>
  <si>
    <t>4.42亿</t>
  </si>
  <si>
    <t>4276.90万</t>
  </si>
  <si>
    <t>-559377亿</t>
  </si>
  <si>
    <t>118.38万</t>
  </si>
  <si>
    <t>-9020014亿</t>
  </si>
  <si>
    <t>7648.29万</t>
  </si>
  <si>
    <t>251052550亿</t>
  </si>
  <si>
    <t>752830600亿</t>
  </si>
  <si>
    <t>4290.17万</t>
  </si>
  <si>
    <t>-1.38亿</t>
  </si>
  <si>
    <t>8616.31万</t>
  </si>
  <si>
    <t>-1581.51万</t>
  </si>
  <si>
    <t>518.94万</t>
  </si>
  <si>
    <t>5.97亿</t>
  </si>
  <si>
    <t>6.52亿</t>
  </si>
  <si>
    <t>2.87亿</t>
  </si>
  <si>
    <t>10.27亿</t>
  </si>
  <si>
    <t>38.92亿</t>
  </si>
  <si>
    <t>6.01亿</t>
  </si>
  <si>
    <t>4.97亿</t>
  </si>
  <si>
    <t>4.38亿</t>
  </si>
  <si>
    <t>8.92亿</t>
  </si>
  <si>
    <t>9.27亿</t>
  </si>
  <si>
    <t>7.90亿</t>
  </si>
  <si>
    <t>2.92亿</t>
  </si>
  <si>
    <t>1.55亿</t>
  </si>
  <si>
    <t>37.61亿</t>
  </si>
  <si>
    <t>2578.91万</t>
  </si>
  <si>
    <t>3445.99万</t>
  </si>
  <si>
    <t>1052549亿</t>
  </si>
  <si>
    <t>3.23万</t>
  </si>
  <si>
    <t>-25887833亿</t>
  </si>
  <si>
    <t>720.41万</t>
  </si>
  <si>
    <t>189021480亿</t>
  </si>
  <si>
    <t>260564380亿</t>
  </si>
  <si>
    <t>179.26万</t>
  </si>
  <si>
    <t>7340.60万</t>
  </si>
  <si>
    <t>3628.34万</t>
  </si>
  <si>
    <t>-1704.78万</t>
  </si>
  <si>
    <t>-773.73万</t>
  </si>
  <si>
    <t>2166.46万</t>
  </si>
  <si>
    <t>-3254.10万</t>
  </si>
  <si>
    <t>-5626.32万</t>
  </si>
  <si>
    <t>5.17亿</t>
  </si>
  <si>
    <t>8.17亿</t>
  </si>
  <si>
    <t>24.90亿</t>
  </si>
  <si>
    <t>13.84亿</t>
  </si>
  <si>
    <t>31.86亿</t>
  </si>
  <si>
    <t>-6.35亿</t>
  </si>
  <si>
    <t>12.32亿</t>
  </si>
  <si>
    <t>13.46亿</t>
  </si>
  <si>
    <t>17.06亿</t>
  </si>
  <si>
    <t>-19109218亿</t>
  </si>
  <si>
    <t>39.57万</t>
  </si>
  <si>
    <t>158672960亿</t>
  </si>
  <si>
    <t>249925020亿</t>
  </si>
  <si>
    <t>1650254000亿</t>
  </si>
  <si>
    <t>4081.02万</t>
  </si>
  <si>
    <t>4249.83万</t>
  </si>
  <si>
    <t>4.53亿</t>
  </si>
  <si>
    <t>-4283.01万</t>
  </si>
  <si>
    <t>-7681.25万</t>
  </si>
  <si>
    <t>4756.08万</t>
  </si>
  <si>
    <t>18.98亿</t>
  </si>
  <si>
    <t>4555.77万</t>
  </si>
  <si>
    <t>12.01亿</t>
  </si>
  <si>
    <t>8.95亿</t>
  </si>
  <si>
    <t>2.18亿</t>
  </si>
  <si>
    <t>13.17亿</t>
  </si>
  <si>
    <t>34.13亿</t>
  </si>
  <si>
    <t>15.29亿</t>
  </si>
  <si>
    <t>31.66亿</t>
  </si>
  <si>
    <t>30.14亿</t>
  </si>
  <si>
    <t>5320.94万</t>
  </si>
  <si>
    <t>3011.68万</t>
  </si>
  <si>
    <t>92948亿</t>
  </si>
  <si>
    <t>3.38万</t>
  </si>
  <si>
    <t>90065727亿</t>
  </si>
  <si>
    <t>285508390亿</t>
  </si>
  <si>
    <t>55.00万</t>
  </si>
  <si>
    <t>3504895400亿</t>
  </si>
  <si>
    <t>900.00万</t>
  </si>
  <si>
    <t>27.00亿</t>
  </si>
  <si>
    <t>-6.61亿</t>
  </si>
  <si>
    <t>5.55亿</t>
  </si>
  <si>
    <t>32.38亿</t>
  </si>
  <si>
    <t>5974.02万</t>
  </si>
  <si>
    <t>3452.00万</t>
  </si>
  <si>
    <t>2.05亿</t>
  </si>
  <si>
    <t>-3-1</t>
  </si>
  <si>
    <t>2.31亿</t>
  </si>
  <si>
    <t>45.77亿</t>
  </si>
  <si>
    <t>27.72亿</t>
  </si>
  <si>
    <t>28.06亿</t>
  </si>
  <si>
    <t>294222亿</t>
  </si>
  <si>
    <t>130.69万</t>
  </si>
  <si>
    <t>-73869681亿</t>
  </si>
  <si>
    <t>8.01亿</t>
  </si>
  <si>
    <t>1663224700亿</t>
  </si>
  <si>
    <t>3230.56万</t>
  </si>
  <si>
    <t>3752941900亿</t>
  </si>
  <si>
    <t>461.43万</t>
  </si>
  <si>
    <t>8.93亿</t>
  </si>
  <si>
    <t>6.42亿</t>
  </si>
  <si>
    <t>25.85亿</t>
  </si>
  <si>
    <t>-1.53亿</t>
  </si>
  <si>
    <t>-3.75亿</t>
  </si>
  <si>
    <t>31.15亿</t>
  </si>
  <si>
    <t>-6055.48万</t>
  </si>
  <si>
    <t>-3.94亿</t>
  </si>
  <si>
    <t>9.03亿</t>
  </si>
  <si>
    <t>10.28亿</t>
  </si>
  <si>
    <t>4491.92万</t>
  </si>
  <si>
    <t>4121.10万</t>
  </si>
  <si>
    <t>1809409亿</t>
  </si>
  <si>
    <t>3.69万</t>
  </si>
  <si>
    <t>68915860亿</t>
  </si>
  <si>
    <t>171350040亿</t>
  </si>
  <si>
    <t>883923730亿</t>
  </si>
  <si>
    <t>10.16亿</t>
  </si>
  <si>
    <t>5649.27万</t>
  </si>
  <si>
    <t>-1.97亿</t>
  </si>
  <si>
    <t>4961.84万</t>
  </si>
  <si>
    <t>3708.23万</t>
  </si>
  <si>
    <t>2959.09万</t>
  </si>
  <si>
    <t>1.64亿</t>
  </si>
  <si>
    <t>50.56亿</t>
  </si>
  <si>
    <t>2053.70万</t>
  </si>
  <si>
    <t>3197.68万</t>
  </si>
  <si>
    <t>7034181亿</t>
  </si>
  <si>
    <t>2.33万</t>
  </si>
  <si>
    <t>-8706833亿</t>
  </si>
  <si>
    <t>5686.94万</t>
  </si>
  <si>
    <t>133559889亿</t>
  </si>
  <si>
    <t>398.92万</t>
  </si>
  <si>
    <t>703976760亿</t>
  </si>
  <si>
    <t>3410.15万</t>
  </si>
  <si>
    <t>8830.89万</t>
  </si>
  <si>
    <t>5210.49万</t>
  </si>
  <si>
    <t>1263.60万</t>
  </si>
  <si>
    <t>2693.40万</t>
  </si>
  <si>
    <t>-3058.65万</t>
  </si>
  <si>
    <t>-3433.39万</t>
  </si>
  <si>
    <t>324.03万</t>
  </si>
  <si>
    <t>807.93万</t>
  </si>
  <si>
    <t>35.38亿</t>
  </si>
  <si>
    <t>8.41亿</t>
  </si>
  <si>
    <t>6.88亿</t>
  </si>
  <si>
    <t>17.05亿</t>
  </si>
  <si>
    <t>7.88亿</t>
  </si>
  <si>
    <t>8.61亿</t>
  </si>
  <si>
    <t>2060.52万</t>
  </si>
  <si>
    <t>2550.68万</t>
  </si>
  <si>
    <t>3211319亿</t>
  </si>
  <si>
    <t>3.61万</t>
  </si>
  <si>
    <t>115854105亿</t>
  </si>
  <si>
    <t>80119641亿</t>
  </si>
  <si>
    <t>836293630亿</t>
  </si>
  <si>
    <t>4581.10万</t>
  </si>
  <si>
    <t>5019.61万</t>
  </si>
  <si>
    <t>9608.48万</t>
  </si>
  <si>
    <t>-1.75亿</t>
  </si>
  <si>
    <t>-4504.19万</t>
  </si>
  <si>
    <t>7286.38万</t>
  </si>
  <si>
    <t>6.84亿</t>
  </si>
  <si>
    <t>14.55亿</t>
  </si>
  <si>
    <t>-1.59亿</t>
  </si>
  <si>
    <t>7.73亿</t>
  </si>
  <si>
    <t>-3-0</t>
  </si>
  <si>
    <t>5.50亿</t>
  </si>
  <si>
    <t>2801.65万</t>
  </si>
  <si>
    <t>2002.36万</t>
  </si>
  <si>
    <t>9071698亿</t>
  </si>
  <si>
    <t>43132338亿</t>
  </si>
  <si>
    <t>165415670亿</t>
  </si>
  <si>
    <t>2015.71万</t>
  </si>
  <si>
    <t>1372678000亿</t>
  </si>
  <si>
    <t>6417.56万</t>
  </si>
  <si>
    <t>9609.66万</t>
  </si>
  <si>
    <t>4142.14万</t>
  </si>
  <si>
    <t>4016.02万</t>
  </si>
  <si>
    <t>8661.84万</t>
  </si>
  <si>
    <t>12.72亿</t>
  </si>
  <si>
    <t>18.14亿</t>
  </si>
  <si>
    <t>6.78亿</t>
  </si>
  <si>
    <t>5.11亿</t>
  </si>
  <si>
    <t>4.34亿</t>
  </si>
  <si>
    <t>6.70亿</t>
  </si>
  <si>
    <t>7.24亿</t>
  </si>
  <si>
    <t>-1.41亿</t>
  </si>
  <si>
    <t>597.55万</t>
  </si>
  <si>
    <t>1828.87万</t>
  </si>
  <si>
    <t>49.34万</t>
  </si>
  <si>
    <t>38969014亿</t>
  </si>
  <si>
    <t>992802510亿</t>
  </si>
  <si>
    <t>3199.81万</t>
  </si>
  <si>
    <t>73.60万</t>
  </si>
  <si>
    <t>-19.83万</t>
  </si>
  <si>
    <t>-960.38万</t>
  </si>
  <si>
    <t>4129.29万</t>
  </si>
  <si>
    <t>7129.37万</t>
  </si>
  <si>
    <t>4-0</t>
  </si>
  <si>
    <t>17.30亿</t>
  </si>
  <si>
    <t>15.83亿</t>
  </si>
  <si>
    <t>8325.39万</t>
  </si>
  <si>
    <t>5973199亿</t>
  </si>
  <si>
    <t>11.06万</t>
  </si>
  <si>
    <t>53555959亿</t>
  </si>
  <si>
    <t>215135450亿</t>
  </si>
  <si>
    <t>1574294800亿</t>
  </si>
  <si>
    <t>33.45万</t>
  </si>
  <si>
    <t>7.30亿</t>
  </si>
  <si>
    <t>-1.07亿</t>
  </si>
  <si>
    <t>14.03亿</t>
  </si>
  <si>
    <t>3063.43万</t>
  </si>
  <si>
    <t>5009.61万</t>
  </si>
  <si>
    <t>3406.18万</t>
  </si>
  <si>
    <t>-5.74亿</t>
  </si>
  <si>
    <t>1133.00万</t>
  </si>
  <si>
    <t>6265.45万</t>
  </si>
  <si>
    <t>-4715860亿</t>
  </si>
  <si>
    <t>98.44万</t>
  </si>
  <si>
    <t>78932497亿</t>
  </si>
  <si>
    <t>305564280亿</t>
  </si>
  <si>
    <t>1663041000亿</t>
  </si>
  <si>
    <t>1820.33万</t>
  </si>
  <si>
    <t>1792.51万</t>
  </si>
  <si>
    <t>-2033.71万</t>
  </si>
  <si>
    <t>-4.35亿</t>
  </si>
  <si>
    <t>3541.24万</t>
  </si>
  <si>
    <t>4761.22万</t>
  </si>
  <si>
    <t>773.72万</t>
  </si>
  <si>
    <t>6044.14万</t>
  </si>
  <si>
    <t>62.20万</t>
  </si>
  <si>
    <t>-151445450亿</t>
  </si>
  <si>
    <t>6216.36万</t>
  </si>
  <si>
    <t>130899396亿</t>
  </si>
  <si>
    <t>5953.66万</t>
  </si>
  <si>
    <t>460067630亿</t>
  </si>
  <si>
    <t>1369.40万</t>
  </si>
  <si>
    <t>16.57亿</t>
  </si>
  <si>
    <t>-2699.78万</t>
  </si>
  <si>
    <t>7317.63万</t>
  </si>
  <si>
    <t>-1.02亿</t>
  </si>
  <si>
    <t>6.12亿</t>
  </si>
  <si>
    <t>9.40亿</t>
  </si>
  <si>
    <t>4.44亿</t>
  </si>
  <si>
    <t>10.54亿</t>
  </si>
  <si>
    <t>-2.33亿</t>
  </si>
  <si>
    <t>1000.00万</t>
  </si>
  <si>
    <t>12.37亿</t>
  </si>
  <si>
    <t>3.10亿</t>
  </si>
  <si>
    <t>-1.12亿</t>
  </si>
  <si>
    <t>55.79亿</t>
  </si>
  <si>
    <t>5.94亿</t>
  </si>
  <si>
    <t>5.10亿</t>
  </si>
  <si>
    <t>14.32亿</t>
  </si>
  <si>
    <t>26.15亿</t>
  </si>
  <si>
    <t>21.94亿</t>
  </si>
  <si>
    <t>18.69亿</t>
  </si>
  <si>
    <t>9672.89万</t>
  </si>
  <si>
    <t>5119603亿</t>
  </si>
  <si>
    <t>147.86万</t>
  </si>
  <si>
    <t>290229730亿</t>
  </si>
  <si>
    <t>630220070亿</t>
  </si>
  <si>
    <t>5054.32万</t>
  </si>
  <si>
    <t>2795633700亿</t>
  </si>
  <si>
    <t>4176.01万</t>
  </si>
  <si>
    <t>34.45万</t>
  </si>
  <si>
    <t>-1.37亿</t>
  </si>
  <si>
    <t>-9907.17万</t>
  </si>
  <si>
    <t>19.16亿</t>
  </si>
  <si>
    <t>13.06亿</t>
  </si>
  <si>
    <t>5.00万</t>
  </si>
  <si>
    <t>2.33亿</t>
  </si>
  <si>
    <t>1.62亿</t>
  </si>
  <si>
    <t>-1.36亿</t>
  </si>
  <si>
    <t>16.83亿</t>
  </si>
  <si>
    <t>4-1</t>
  </si>
  <si>
    <t>-4-1</t>
  </si>
  <si>
    <r>
      <rPr>
        <sz val="9"/>
        <color theme="1"/>
        <rFont val="宋体"/>
        <family val="3"/>
        <charset val="134"/>
        <scheme val="minor"/>
      </rPr>
      <t>0.公司为保温杯制造龙头企业；</t>
    </r>
    <r>
      <rPr>
        <sz val="9"/>
        <color theme="1"/>
        <rFont val="宋体"/>
        <family val="2"/>
        <charset val="134"/>
        <scheme val="minor"/>
      </rPr>
      <t>1.预计2023年报业绩：净利润4.500亿元至4.750亿元，增长幅度为65.50%至74.70% 变动原因：a.报告期内，终端市场持续向好，公司订单饱和，规模效率较为显著；b.公司内部管理持续精益化，外部环境对经营也有一定的正向影响。2.美国为全球最主要的保温杯进口国。2022 年美国进口金额为 13.93 亿美元，约 占</t>
    </r>
    <r>
      <rPr>
        <sz val="9"/>
        <color rgb="FFFF0000"/>
        <rFont val="宋体"/>
        <family val="3"/>
        <charset val="134"/>
        <scheme val="minor"/>
      </rPr>
      <t>全球的 40.7%</t>
    </r>
    <r>
      <rPr>
        <sz val="9"/>
        <color theme="1"/>
        <rFont val="宋体"/>
        <family val="2"/>
        <charset val="134"/>
        <scheme val="minor"/>
      </rPr>
      <t>。</t>
    </r>
    <r>
      <rPr>
        <sz val="9"/>
        <color theme="1"/>
        <rFont val="宋体"/>
        <family val="3"/>
        <charset val="134"/>
        <scheme val="minor"/>
      </rPr>
      <t>3.测算，北美保温杯市场规模将达到122.9 亿美元，2023年到2027年</t>
    </r>
    <r>
      <rPr>
        <sz val="9"/>
        <color rgb="FFFF0000"/>
        <rFont val="宋体"/>
        <family val="3"/>
        <charset val="134"/>
        <scheme val="minor"/>
      </rPr>
      <t>CAGR为19.2%</t>
    </r>
    <r>
      <rPr>
        <sz val="9"/>
        <color theme="1"/>
        <rFont val="宋体"/>
        <family val="3"/>
        <charset val="134"/>
        <scheme val="minor"/>
      </rPr>
      <t>。</t>
    </r>
    <phoneticPr fontId="1" type="noConversion"/>
  </si>
  <si>
    <r>
      <t>1.公司与保温杯龙头企业，如 PMI、Takeya、ETS 等长期深度合作，前五大客户收入占比多年维持高位， 2022 年为 93.87%;2.保温杯供应链由上游原材料供应，中游生产制造，以及下游销售组成；下游零售端头部效应明显，以膳魔师、STANLEY、虎牌等海外高端品牌凭借品牌力长期占据龙头地位。3.保温杯中游制造竞争者有：</t>
    </r>
    <r>
      <rPr>
        <b/>
        <sz val="9"/>
        <color rgb="FFFF0000"/>
        <rFont val="宋体"/>
        <family val="3"/>
        <charset val="134"/>
        <scheme val="minor"/>
      </rPr>
      <t>哈尔斯，希诺，富光 和嘉益股份</t>
    </r>
    <r>
      <rPr>
        <sz val="9"/>
        <color theme="1"/>
        <rFont val="宋体"/>
        <family val="2"/>
        <charset val="134"/>
        <scheme val="minor"/>
      </rPr>
      <t>；</t>
    </r>
    <phoneticPr fontId="1" type="noConversion"/>
  </si>
  <si>
    <r>
      <t>1.23H1归母净利润同比</t>
    </r>
    <r>
      <rPr>
        <b/>
        <sz val="9"/>
        <color rgb="FFFF0000"/>
        <rFont val="宋体"/>
        <family val="3"/>
        <charset val="134"/>
        <scheme val="minor"/>
      </rPr>
      <t>降低 64.17%</t>
    </r>
    <r>
      <rPr>
        <sz val="9"/>
        <color theme="1"/>
        <rFont val="宋体"/>
        <family val="2"/>
        <charset val="134"/>
        <scheme val="minor"/>
      </rPr>
      <t>，系国内外经济形势及主流市场客户短期消化库存等因素的影响。</t>
    </r>
    <phoneticPr fontId="1" type="noConversion"/>
  </si>
  <si>
    <t>1.不锈钢真空保温器皿在一定程度上具有了快消品的特征，产品更换频率有望逐步提高。2.旗下四大品牌哈尔斯、SIGG、NONOO 和 SANTECO，针对不同的客群进行差异化发展；</t>
    <phoneticPr fontId="1" type="noConversion"/>
  </si>
  <si>
    <r>
      <t>1.公司同行业 公司主要有</t>
    </r>
    <r>
      <rPr>
        <sz val="9"/>
        <color rgb="FFFF0000"/>
        <rFont val="宋体"/>
        <family val="3"/>
        <charset val="134"/>
        <scheme val="minor"/>
      </rPr>
      <t>浙江永强、宁波万汇、杭州中艺、客贝利</t>
    </r>
    <r>
      <rPr>
        <sz val="9"/>
        <color theme="1"/>
        <rFont val="宋体"/>
        <family val="2"/>
        <charset val="134"/>
        <scheme val="minor"/>
      </rPr>
      <t xml:space="preserve"> （ 厦门）；</t>
    </r>
    <phoneticPr fontId="1" type="noConversion"/>
  </si>
  <si>
    <t>374.45万</t>
  </si>
  <si>
    <t>2383.79万</t>
  </si>
  <si>
    <t>账面净赚</t>
  </si>
  <si>
    <t>172.18万</t>
  </si>
  <si>
    <t>722.82万</t>
  </si>
  <si>
    <t>4471.95万</t>
  </si>
  <si>
    <t>3.50亿</t>
  </si>
  <si>
    <t>2238.40万</t>
  </si>
  <si>
    <t>8116.89万</t>
  </si>
  <si>
    <t>2.69亿</t>
  </si>
  <si>
    <t>4.93亿</t>
  </si>
  <si>
    <t>1614.64万</t>
  </si>
  <si>
    <t>7263.87万</t>
  </si>
  <si>
    <t>2553.71万</t>
  </si>
  <si>
    <t>7447.48万</t>
  </si>
  <si>
    <t>2099.79万</t>
  </si>
  <si>
    <t>2.24亿</t>
  </si>
  <si>
    <t>879.62万</t>
  </si>
  <si>
    <t>2015.75万</t>
  </si>
  <si>
    <t>415.26万</t>
  </si>
  <si>
    <t>1945.32万</t>
  </si>
  <si>
    <t>997.41万</t>
  </si>
  <si>
    <t>3780.22万</t>
  </si>
  <si>
    <t>-4-0</t>
  </si>
  <si>
    <t>234.77万</t>
  </si>
  <si>
    <t>1288.24万</t>
  </si>
  <si>
    <t>8211.43万</t>
  </si>
  <si>
    <t>SZ301588</t>
  </si>
  <si>
    <t>美新科技</t>
  </si>
  <si>
    <t>7.46亿</t>
  </si>
  <si>
    <t>8474.72万</t>
  </si>
  <si>
    <t>16.94亿</t>
  </si>
  <si>
    <t>251.59万</t>
  </si>
  <si>
    <t>1396.03万</t>
  </si>
  <si>
    <t>2041.41万</t>
  </si>
  <si>
    <t>9211.70万</t>
  </si>
  <si>
    <t>1545.67万</t>
  </si>
  <si>
    <t>8784.56万</t>
  </si>
  <si>
    <t>-5-0</t>
  </si>
  <si>
    <t>1368.81万</t>
  </si>
  <si>
    <t>9829.36万</t>
  </si>
  <si>
    <t>6.44亿</t>
  </si>
  <si>
    <t>510.86万</t>
  </si>
  <si>
    <t>2336.34万</t>
  </si>
  <si>
    <t>5673.43万</t>
  </si>
  <si>
    <t>143.32万</t>
  </si>
  <si>
    <t>家居用品</t>
  </si>
  <si>
    <t>16.43亿</t>
  </si>
  <si>
    <t>1853.16万</t>
  </si>
  <si>
    <t>1694.58万</t>
  </si>
  <si>
    <t>547200亿</t>
  </si>
  <si>
    <t>38185569亿</t>
  </si>
  <si>
    <t>115643566亿</t>
  </si>
  <si>
    <t>349.61万</t>
  </si>
  <si>
    <t>1189323840亿</t>
  </si>
  <si>
    <t>7171.37万</t>
  </si>
  <si>
    <t>2106.60万</t>
  </si>
  <si>
    <t>2216.64万</t>
  </si>
  <si>
    <t>-1052.46万</t>
  </si>
  <si>
    <t>-114.24万</t>
  </si>
  <si>
    <t>4142.55万</t>
  </si>
  <si>
    <t>其他家居用品</t>
  </si>
  <si>
    <t>818.07万</t>
  </si>
  <si>
    <t>7291.26万</t>
  </si>
  <si>
    <t>56.55万</t>
  </si>
  <si>
    <t>13.67亿</t>
  </si>
  <si>
    <t>682.46万</t>
  </si>
  <si>
    <t>859.56万</t>
  </si>
  <si>
    <t>848221亿</t>
  </si>
  <si>
    <t>389.79万</t>
  </si>
  <si>
    <t>33420946亿</t>
  </si>
  <si>
    <t>6.13亿</t>
  </si>
  <si>
    <t>173929870亿</t>
  </si>
  <si>
    <t>1047150920亿</t>
  </si>
  <si>
    <t>1.46亿</t>
  </si>
  <si>
    <t>-2670.74万</t>
  </si>
  <si>
    <t>-3116.11万</t>
  </si>
  <si>
    <t>-5226.15万</t>
  </si>
  <si>
    <t>2117.98万</t>
  </si>
  <si>
    <t>347.10万</t>
  </si>
  <si>
    <t>2690.93万</t>
  </si>
  <si>
    <t>99.50万</t>
  </si>
  <si>
    <t>1690.56万</t>
  </si>
  <si>
    <t>2582.81万</t>
  </si>
  <si>
    <t>2386.60万</t>
  </si>
  <si>
    <t>-1681769亿</t>
  </si>
  <si>
    <t>28179099亿</t>
  </si>
  <si>
    <t>206565570亿</t>
  </si>
  <si>
    <t>1013406600亿</t>
  </si>
  <si>
    <t>7012.59万</t>
  </si>
  <si>
    <t>9743.10万</t>
  </si>
  <si>
    <t>3258.14万</t>
  </si>
  <si>
    <t>-2532.39万</t>
  </si>
  <si>
    <t>4825.54万</t>
  </si>
  <si>
    <t>2262.13万</t>
  </si>
  <si>
    <t>10派0.7元(含税)</t>
  </si>
  <si>
    <t>307.52万</t>
  </si>
  <si>
    <t>1826.72万</t>
  </si>
  <si>
    <t>233.28万</t>
  </si>
  <si>
    <t>3.32亿</t>
  </si>
  <si>
    <t>-4293.73万</t>
  </si>
  <si>
    <t>651.88万</t>
  </si>
  <si>
    <t>1411.20万</t>
  </si>
  <si>
    <t>2654765亿</t>
  </si>
  <si>
    <t>1.10万</t>
  </si>
  <si>
    <t>9421464亿</t>
  </si>
  <si>
    <t>132593705亿</t>
  </si>
  <si>
    <t>956714200亿</t>
  </si>
  <si>
    <t>51.24万</t>
  </si>
  <si>
    <t>2510.39万</t>
  </si>
  <si>
    <t>8653.91万</t>
  </si>
  <si>
    <t>2.98万</t>
  </si>
  <si>
    <t>455.89万</t>
  </si>
  <si>
    <t>-3059.82万</t>
  </si>
  <si>
    <t>-92.40万</t>
  </si>
  <si>
    <t>382.54万</t>
  </si>
  <si>
    <t>1681.44万</t>
  </si>
  <si>
    <t>153.25万</t>
  </si>
  <si>
    <t>56.33亿</t>
  </si>
  <si>
    <t>49.08亿</t>
  </si>
  <si>
    <t>11.35亿</t>
  </si>
  <si>
    <t>76.48亿</t>
  </si>
  <si>
    <t>8.58亿</t>
  </si>
  <si>
    <t>8126.10万</t>
  </si>
  <si>
    <t>7684634亿</t>
  </si>
  <si>
    <t>291.34万</t>
  </si>
  <si>
    <t>-105701041亿</t>
  </si>
  <si>
    <t>382677630亿</t>
  </si>
  <si>
    <t>7737.65万</t>
  </si>
  <si>
    <t>2802277000亿</t>
  </si>
  <si>
    <t>34.78亿</t>
  </si>
  <si>
    <t>11.04亿</t>
  </si>
  <si>
    <t>-9.39亿</t>
  </si>
  <si>
    <t>-937.43万</t>
  </si>
  <si>
    <t>311.11万</t>
  </si>
  <si>
    <t>10派1.318916元(含税)</t>
  </si>
  <si>
    <t>1024.44万</t>
  </si>
  <si>
    <t>9444.65万</t>
  </si>
  <si>
    <t>62.04万</t>
  </si>
  <si>
    <t>25.12亿</t>
  </si>
  <si>
    <t>46.99亿</t>
  </si>
  <si>
    <t>10.45亿</t>
  </si>
  <si>
    <t>5.99亿</t>
  </si>
  <si>
    <t>8113.17万</t>
  </si>
  <si>
    <t>4347505亿</t>
  </si>
  <si>
    <t>80.55万</t>
  </si>
  <si>
    <t>133314644亿</t>
  </si>
  <si>
    <t>35.88亿</t>
  </si>
  <si>
    <t>36458327亿</t>
  </si>
  <si>
    <t>4311967200亿</t>
  </si>
  <si>
    <t>22.41亿</t>
  </si>
  <si>
    <t>-2335.76万</t>
  </si>
  <si>
    <t>成品家居</t>
  </si>
  <si>
    <t>449.70万</t>
  </si>
  <si>
    <t>2784.03万</t>
  </si>
  <si>
    <t>61.83万</t>
  </si>
  <si>
    <t>14.41亿</t>
  </si>
  <si>
    <t>166.13万</t>
  </si>
  <si>
    <t>2121.90万</t>
  </si>
  <si>
    <t>1395848亿</t>
  </si>
  <si>
    <t>28105995亿</t>
  </si>
  <si>
    <t>195751250亿</t>
  </si>
  <si>
    <t>1072293460亿</t>
  </si>
  <si>
    <t>503.01万</t>
  </si>
  <si>
    <t>4070.00万</t>
  </si>
  <si>
    <t>-465.56万</t>
  </si>
  <si>
    <t>-9724.92万</t>
  </si>
  <si>
    <t>2383.34万</t>
  </si>
  <si>
    <t>3097.22万</t>
  </si>
  <si>
    <t>10派8元(含税)</t>
  </si>
  <si>
    <t>353.51万</t>
  </si>
  <si>
    <t>4185.04万</t>
  </si>
  <si>
    <t>724.64万</t>
  </si>
  <si>
    <t>19.32亿</t>
  </si>
  <si>
    <t>17.56亿</t>
  </si>
  <si>
    <t>6.68亿</t>
  </si>
  <si>
    <t>3223.27万</t>
  </si>
  <si>
    <t>4052.10万</t>
  </si>
  <si>
    <t>-237133亿</t>
  </si>
  <si>
    <t>86.74万</t>
  </si>
  <si>
    <t>5700961亿</t>
  </si>
  <si>
    <t>673396030亿</t>
  </si>
  <si>
    <t>4300.42万</t>
  </si>
  <si>
    <t>2308332000亿</t>
  </si>
  <si>
    <t>16.31亿</t>
  </si>
  <si>
    <t>8018.71万</t>
  </si>
  <si>
    <t>-2066.66万</t>
  </si>
  <si>
    <t>6413.25万</t>
  </si>
  <si>
    <t>-2905.15万</t>
  </si>
  <si>
    <t>10派0.300824元(含税)</t>
  </si>
  <si>
    <t>3727.40万</t>
  </si>
  <si>
    <t>SZ002094</t>
  </si>
  <si>
    <t>青岛金王</t>
  </si>
  <si>
    <t>630.04万</t>
  </si>
  <si>
    <t>14.77亿</t>
  </si>
  <si>
    <t>3.31亿</t>
  </si>
  <si>
    <t>25.09亿</t>
  </si>
  <si>
    <t>1042.26万</t>
  </si>
  <si>
    <t>1973.07万</t>
  </si>
  <si>
    <t>2242.88万</t>
  </si>
  <si>
    <t>12638345亿</t>
  </si>
  <si>
    <t>7.86万</t>
  </si>
  <si>
    <t>8884287亿</t>
  </si>
  <si>
    <t>249056140亿</t>
  </si>
  <si>
    <t>13.69万</t>
  </si>
  <si>
    <t>2214502900亿</t>
  </si>
  <si>
    <t>65.46万</t>
  </si>
  <si>
    <t>17.65亿</t>
  </si>
  <si>
    <t>-8452.49万</t>
  </si>
  <si>
    <t>-9322.32万</t>
  </si>
  <si>
    <t>-408.38万</t>
  </si>
  <si>
    <t>31.53亿</t>
  </si>
  <si>
    <t>40.02亿</t>
  </si>
  <si>
    <t>54.75亿</t>
  </si>
  <si>
    <t>54.56亿</t>
  </si>
  <si>
    <t>-8.09亿</t>
  </si>
  <si>
    <t>1634.20万</t>
  </si>
  <si>
    <t>-4.29亿</t>
  </si>
  <si>
    <t>2117.10万</t>
  </si>
  <si>
    <t>2022.57万</t>
  </si>
  <si>
    <t>7113.46万</t>
  </si>
  <si>
    <t>010422600</t>
  </si>
  <si>
    <t>031267800</t>
  </si>
  <si>
    <t>062535600</t>
  </si>
  <si>
    <t>0104226000</t>
  </si>
  <si>
    <t>0208452000</t>
  </si>
  <si>
    <t>557.00万</t>
  </si>
  <si>
    <t>9.66亿</t>
  </si>
  <si>
    <t>26.90亿</t>
  </si>
  <si>
    <t>4.13亿</t>
  </si>
  <si>
    <t>3519.60万</t>
  </si>
  <si>
    <t>1903.87万</t>
  </si>
  <si>
    <t>5124026亿</t>
  </si>
  <si>
    <t>65.21万</t>
  </si>
  <si>
    <t>22696775亿</t>
  </si>
  <si>
    <t>328119540亿</t>
  </si>
  <si>
    <t>458.00万</t>
  </si>
  <si>
    <t>878880060亿</t>
  </si>
  <si>
    <t>204.67万</t>
  </si>
  <si>
    <t>1312.00万</t>
  </si>
  <si>
    <t>19.29万</t>
  </si>
  <si>
    <t>6.19亿</t>
  </si>
  <si>
    <t>-1.14亿</t>
  </si>
  <si>
    <t>3544.24万</t>
  </si>
  <si>
    <t>2634.38万</t>
  </si>
  <si>
    <t>600.65万</t>
  </si>
  <si>
    <t>9.98亿</t>
  </si>
  <si>
    <t>12.78亿</t>
  </si>
  <si>
    <t>5006.38万</t>
  </si>
  <si>
    <t>3737.16万</t>
  </si>
  <si>
    <t>1486.15万</t>
  </si>
  <si>
    <t>-1466389亿</t>
  </si>
  <si>
    <t>48.20万</t>
  </si>
  <si>
    <t>-15051118亿</t>
  </si>
  <si>
    <t>205596050亿</t>
  </si>
  <si>
    <t>442.60万</t>
  </si>
  <si>
    <t>782086860亿</t>
  </si>
  <si>
    <t>900.14万</t>
  </si>
  <si>
    <t>7.53亿</t>
  </si>
  <si>
    <t>-5397.93万</t>
  </si>
  <si>
    <t>-871.91万</t>
  </si>
  <si>
    <t>-1198.21万</t>
  </si>
  <si>
    <t>-767.29万</t>
  </si>
  <si>
    <t>4394.79万</t>
  </si>
  <si>
    <t>51.66亿</t>
  </si>
  <si>
    <t>31.30亿</t>
  </si>
  <si>
    <t>21.91亿</t>
  </si>
  <si>
    <t>110.99亿</t>
  </si>
  <si>
    <t>7690.89万</t>
  </si>
  <si>
    <t>21.35亿</t>
  </si>
  <si>
    <t>19.68亿</t>
  </si>
  <si>
    <t>3923.54万</t>
  </si>
  <si>
    <t>79.63亿</t>
  </si>
  <si>
    <t>12.62万</t>
  </si>
  <si>
    <t>44436391亿</t>
  </si>
  <si>
    <t>34.62亿</t>
  </si>
  <si>
    <t>2652187500亿</t>
  </si>
  <si>
    <t>6545.54万</t>
  </si>
  <si>
    <t>7138583700亿</t>
  </si>
  <si>
    <t>299.90万</t>
  </si>
  <si>
    <t>16.95亿</t>
  </si>
  <si>
    <t>51.22亿</t>
  </si>
  <si>
    <t>3465.39万</t>
  </si>
  <si>
    <t>-511.12万</t>
  </si>
  <si>
    <t>-10.81亿</t>
  </si>
  <si>
    <t>19.11亿</t>
  </si>
  <si>
    <t>4454.55万</t>
  </si>
  <si>
    <t>10派0.83元(含税)</t>
  </si>
  <si>
    <t>2585.94万</t>
  </si>
  <si>
    <t>961.04万</t>
  </si>
  <si>
    <t>33.59亿</t>
  </si>
  <si>
    <t>38.86亿</t>
  </si>
  <si>
    <t>48.37亿</t>
  </si>
  <si>
    <t>5087.08万</t>
  </si>
  <si>
    <t>19.56亿</t>
  </si>
  <si>
    <t>17.17亿</t>
  </si>
  <si>
    <t>7696.32万</t>
  </si>
  <si>
    <t>-365385亿</t>
  </si>
  <si>
    <t>28.26万</t>
  </si>
  <si>
    <t>249888740亿</t>
  </si>
  <si>
    <t>26.38亿</t>
  </si>
  <si>
    <t>2134661900亿</t>
  </si>
  <si>
    <t>5967158400亿</t>
  </si>
  <si>
    <t>2239.22万</t>
  </si>
  <si>
    <t>12.22亿</t>
  </si>
  <si>
    <t>7.56亿</t>
  </si>
  <si>
    <t>436.11万</t>
  </si>
  <si>
    <t>42.52亿</t>
  </si>
  <si>
    <t>-1675.47万</t>
  </si>
  <si>
    <t>24.37亿</t>
  </si>
  <si>
    <t>4.06亿</t>
  </si>
  <si>
    <t>5201.81万</t>
  </si>
  <si>
    <t>1304.38万</t>
  </si>
  <si>
    <t>18.47亿</t>
  </si>
  <si>
    <t>13.29亿</t>
  </si>
  <si>
    <t>-8550.94万</t>
  </si>
  <si>
    <t>676.67万</t>
  </si>
  <si>
    <t>4024.25万</t>
  </si>
  <si>
    <t>7793867亿</t>
  </si>
  <si>
    <t>33.73万</t>
  </si>
  <si>
    <t>5400507亿</t>
  </si>
  <si>
    <t>145708950亿</t>
  </si>
  <si>
    <t>2390.92万</t>
  </si>
  <si>
    <t>945271960亿</t>
  </si>
  <si>
    <t>-1351.46万</t>
  </si>
  <si>
    <t>-4582.15万</t>
  </si>
  <si>
    <t>743.43万</t>
  </si>
  <si>
    <t>-4115.18万</t>
  </si>
  <si>
    <t>751.83万</t>
  </si>
  <si>
    <t>72.76亿</t>
  </si>
  <si>
    <t>73.44亿</t>
  </si>
  <si>
    <t>21.11亿</t>
  </si>
  <si>
    <t>116.66亿</t>
  </si>
  <si>
    <t>14.22亿</t>
  </si>
  <si>
    <t>2504477亿</t>
  </si>
  <si>
    <t>9.02万</t>
  </si>
  <si>
    <t>155890720亿</t>
  </si>
  <si>
    <t>28.95亿</t>
  </si>
  <si>
    <t>963901820亿</t>
  </si>
  <si>
    <t>1141.48万</t>
  </si>
  <si>
    <t>5104499600亿</t>
  </si>
  <si>
    <t>7913.06万</t>
  </si>
  <si>
    <t>10.53亿</t>
  </si>
  <si>
    <t>49.20亿</t>
  </si>
  <si>
    <t>-10.19亿</t>
  </si>
  <si>
    <t>-1.48亿</t>
  </si>
  <si>
    <t>18.05亿</t>
  </si>
  <si>
    <t>定制家居</t>
  </si>
  <si>
    <t>4561.89万</t>
  </si>
  <si>
    <t>569.87万</t>
  </si>
  <si>
    <t>28.27亿</t>
  </si>
  <si>
    <t>17.88亿</t>
  </si>
  <si>
    <t>2.55亿</t>
  </si>
  <si>
    <t>19.33亿</t>
  </si>
  <si>
    <t>3176.20万</t>
  </si>
  <si>
    <t>3658.56万</t>
  </si>
  <si>
    <t>2336.93万</t>
  </si>
  <si>
    <t>7020978亿</t>
  </si>
  <si>
    <t>129.91万</t>
  </si>
  <si>
    <t>-28186574亿</t>
  </si>
  <si>
    <t>7.07亿</t>
  </si>
  <si>
    <t>157638040亿</t>
  </si>
  <si>
    <t>361.34万</t>
  </si>
  <si>
    <t>3158682300亿</t>
  </si>
  <si>
    <t>300.61万</t>
  </si>
  <si>
    <t>5015.00万</t>
  </si>
  <si>
    <t>15.67亿</t>
  </si>
  <si>
    <t>-6659.55万</t>
  </si>
  <si>
    <t>-3.39亿</t>
  </si>
  <si>
    <t>-1735.71万</t>
  </si>
  <si>
    <t>2020.47万</t>
  </si>
  <si>
    <t>313.42万</t>
  </si>
  <si>
    <t>8.28亿</t>
  </si>
  <si>
    <t>587.85万</t>
  </si>
  <si>
    <t>1273.55万</t>
  </si>
  <si>
    <t>2974.18万</t>
  </si>
  <si>
    <t>23.42亿</t>
  </si>
  <si>
    <t>6.97万</t>
  </si>
  <si>
    <t>-20968736亿</t>
  </si>
  <si>
    <t>8.32亿</t>
  </si>
  <si>
    <t>132589532亿</t>
  </si>
  <si>
    <t>2620091000亿</t>
  </si>
  <si>
    <t>1729.82万</t>
  </si>
  <si>
    <t>2915.04万</t>
  </si>
  <si>
    <t>-1.77亿</t>
  </si>
  <si>
    <t>-1492.54万</t>
  </si>
  <si>
    <t>-1.32亿</t>
  </si>
  <si>
    <t>3.73亿</t>
  </si>
  <si>
    <t>3072.64万</t>
  </si>
  <si>
    <t>10派0.02元(含税)</t>
  </si>
  <si>
    <t>2080.64万</t>
  </si>
  <si>
    <t>017635500</t>
  </si>
  <si>
    <t>035271000</t>
  </si>
  <si>
    <t>058785000</t>
  </si>
  <si>
    <t>0117570000</t>
  </si>
  <si>
    <t>1058.76万</t>
  </si>
  <si>
    <t>9.62亿</t>
  </si>
  <si>
    <t>13.39亿</t>
  </si>
  <si>
    <t>13.16亿</t>
  </si>
  <si>
    <t>8597.89万</t>
  </si>
  <si>
    <t>2607.07万</t>
  </si>
  <si>
    <t>1778.42万</t>
  </si>
  <si>
    <t>1240215亿</t>
  </si>
  <si>
    <t>19.34万</t>
  </si>
  <si>
    <t>-11812953亿</t>
  </si>
  <si>
    <t>471014090亿</t>
  </si>
  <si>
    <t>1719.46万</t>
  </si>
  <si>
    <t>1172905700亿</t>
  </si>
  <si>
    <t>1123.75万</t>
  </si>
  <si>
    <t>608.89万</t>
  </si>
  <si>
    <t>-7280.36万</t>
  </si>
  <si>
    <t>-386.30万</t>
  </si>
  <si>
    <t>2472.24万</t>
  </si>
  <si>
    <t>9456.45万</t>
  </si>
  <si>
    <t>167.73万</t>
  </si>
  <si>
    <t>6609.54万</t>
  </si>
  <si>
    <t>-6408.71万</t>
  </si>
  <si>
    <t>6240.37万</t>
  </si>
  <si>
    <t>3895.91万</t>
  </si>
  <si>
    <t>1252.81万</t>
  </si>
  <si>
    <t>718.92万</t>
  </si>
  <si>
    <t>-935247亿</t>
  </si>
  <si>
    <t>2178107亿</t>
  </si>
  <si>
    <t>2998.54万</t>
  </si>
  <si>
    <t>104588539亿</t>
  </si>
  <si>
    <t>287767790亿</t>
  </si>
  <si>
    <t>2435.02万</t>
  </si>
  <si>
    <t>2464.22万</t>
  </si>
  <si>
    <t>4273.43万</t>
  </si>
  <si>
    <t>-2920.48万</t>
  </si>
  <si>
    <t>-1074.91万</t>
  </si>
  <si>
    <t>5362.36万</t>
  </si>
  <si>
    <t>300.08万</t>
  </si>
  <si>
    <t>1186.94万</t>
  </si>
  <si>
    <t>186.65万</t>
  </si>
  <si>
    <t>59.06亿</t>
  </si>
  <si>
    <t>37.96亿</t>
  </si>
  <si>
    <t>8.18亿</t>
  </si>
  <si>
    <t>59.21亿</t>
  </si>
  <si>
    <t>6421.99万</t>
  </si>
  <si>
    <t>9701.66万</t>
  </si>
  <si>
    <t>-1605963亿</t>
  </si>
  <si>
    <t>104.18万</t>
  </si>
  <si>
    <t>8769666亿</t>
  </si>
  <si>
    <t>21.19亿</t>
  </si>
  <si>
    <t>903583930亿</t>
  </si>
  <si>
    <t>2686.82万</t>
  </si>
  <si>
    <t>5102653900亿</t>
  </si>
  <si>
    <t>9403.64万</t>
  </si>
  <si>
    <t>36.87亿</t>
  </si>
  <si>
    <t>2787.04万</t>
  </si>
  <si>
    <t>-2656.30万</t>
  </si>
  <si>
    <t>-4916.94万</t>
  </si>
  <si>
    <t>11.01亿</t>
  </si>
  <si>
    <t>690.06万</t>
  </si>
  <si>
    <t>1466.03万</t>
  </si>
  <si>
    <t>94.45万</t>
  </si>
  <si>
    <t>15.99亿</t>
  </si>
  <si>
    <t>4564.61万</t>
  </si>
  <si>
    <t>2482.22万</t>
  </si>
  <si>
    <t>1633.61万</t>
  </si>
  <si>
    <t>-247010亿</t>
  </si>
  <si>
    <t>11015646亿</t>
  </si>
  <si>
    <t>285108290亿</t>
  </si>
  <si>
    <t>1014630120亿</t>
  </si>
  <si>
    <t>4634.47万</t>
  </si>
  <si>
    <t>4042.49万</t>
  </si>
  <si>
    <t>-4286.15万</t>
  </si>
  <si>
    <t>2596.95万</t>
  </si>
  <si>
    <t>6724.28万</t>
  </si>
  <si>
    <t>559.11万</t>
  </si>
  <si>
    <t>4253.56万</t>
  </si>
  <si>
    <t>439.11万</t>
  </si>
  <si>
    <t>47.68亿</t>
  </si>
  <si>
    <t>77.80亿</t>
  </si>
  <si>
    <t>10.12亿</t>
  </si>
  <si>
    <t>77.73亿</t>
  </si>
  <si>
    <t>10.31亿</t>
  </si>
  <si>
    <t>7.43亿</t>
  </si>
  <si>
    <t>8560.07万</t>
  </si>
  <si>
    <t>571546亿</t>
  </si>
  <si>
    <t>439.16万</t>
  </si>
  <si>
    <t>-17276591亿</t>
  </si>
  <si>
    <t>29.20亿</t>
  </si>
  <si>
    <t>963255270亿</t>
  </si>
  <si>
    <t>6074.69万</t>
  </si>
  <si>
    <t>6030884900亿</t>
  </si>
  <si>
    <t>8000.00万</t>
  </si>
  <si>
    <t>18.56亿</t>
  </si>
  <si>
    <t>8.70亿</t>
  </si>
  <si>
    <t>37.73亿</t>
  </si>
  <si>
    <t>-9565.35万</t>
  </si>
  <si>
    <t>-1.39亿</t>
  </si>
  <si>
    <t>11.44亿</t>
  </si>
  <si>
    <t>117.77万</t>
  </si>
  <si>
    <t>2323.74万</t>
  </si>
  <si>
    <t>3-1</t>
  </si>
  <si>
    <t>ST先锋</t>
  </si>
  <si>
    <t>1745.79万</t>
  </si>
  <si>
    <t>4.89亿</t>
  </si>
  <si>
    <t>6312.30万</t>
  </si>
  <si>
    <t>-9958.62万</t>
  </si>
  <si>
    <t>6393.72万</t>
  </si>
  <si>
    <t>5379.91万</t>
  </si>
  <si>
    <t>121.32万</t>
  </si>
  <si>
    <t>707.88万</t>
  </si>
  <si>
    <t>-44920亿</t>
  </si>
  <si>
    <t>96.25万</t>
  </si>
  <si>
    <t>-7907425亿</t>
  </si>
  <si>
    <t>5539.10万</t>
  </si>
  <si>
    <t>73025749亿</t>
  </si>
  <si>
    <t>95.68万</t>
  </si>
  <si>
    <t>291500850亿</t>
  </si>
  <si>
    <t>4999.13万</t>
  </si>
  <si>
    <t>1874.44万</t>
  </si>
  <si>
    <t>2692.13万</t>
  </si>
  <si>
    <t>-2389.34万</t>
  </si>
  <si>
    <t>-917.64万</t>
  </si>
  <si>
    <t>6884.52万</t>
  </si>
  <si>
    <t>-522.79万</t>
  </si>
  <si>
    <t>8933.89万</t>
  </si>
  <si>
    <t>6.99亿</t>
  </si>
  <si>
    <t>-5-1</t>
  </si>
  <si>
    <t>167.82万</t>
  </si>
  <si>
    <t>51.77亿</t>
  </si>
  <si>
    <t>38.85亿</t>
  </si>
  <si>
    <t>7.76亿</t>
  </si>
  <si>
    <t>49.00亿</t>
  </si>
  <si>
    <t>6484.54万</t>
  </si>
  <si>
    <t>5.61亿</t>
  </si>
  <si>
    <t>7045.58万</t>
  </si>
  <si>
    <t>1628423亿</t>
  </si>
  <si>
    <t>55.38万</t>
  </si>
  <si>
    <t>-94760470亿</t>
  </si>
  <si>
    <t>29.42亿</t>
  </si>
  <si>
    <t>187932380亿</t>
  </si>
  <si>
    <t>443.72万</t>
  </si>
  <si>
    <t>4016141400亿</t>
  </si>
  <si>
    <t>3.59亿</t>
  </si>
  <si>
    <t>17.43亿</t>
  </si>
  <si>
    <t>36.45亿</t>
  </si>
  <si>
    <t>5.13亿</t>
  </si>
  <si>
    <t>-9531.25万</t>
  </si>
  <si>
    <t>10派9元(含税)</t>
  </si>
  <si>
    <t>1351.29万</t>
  </si>
  <si>
    <t>0194536200</t>
  </si>
  <si>
    <t>0389072400</t>
  </si>
  <si>
    <t>0648454000</t>
  </si>
  <si>
    <t>01296908000</t>
  </si>
  <si>
    <t>309.60万</t>
  </si>
  <si>
    <t>9645.72万</t>
  </si>
  <si>
    <t>8.20亿</t>
  </si>
  <si>
    <t>7.21亿</t>
  </si>
  <si>
    <t>2637.77万</t>
  </si>
  <si>
    <t>1524.12万</t>
  </si>
  <si>
    <t>933.92万</t>
  </si>
  <si>
    <t>351863亿</t>
  </si>
  <si>
    <t>94.98万</t>
  </si>
  <si>
    <t>4759065亿</t>
  </si>
  <si>
    <t>8234.70万</t>
  </si>
  <si>
    <t>132761911亿</t>
  </si>
  <si>
    <t>341931710亿</t>
  </si>
  <si>
    <t>3400.00万</t>
  </si>
  <si>
    <t>4771.96万</t>
  </si>
  <si>
    <t>-4454.14万</t>
  </si>
  <si>
    <t>-6701.19万</t>
  </si>
  <si>
    <t>3383.79万</t>
  </si>
  <si>
    <t>704.86万</t>
  </si>
  <si>
    <t>1940.11万</t>
  </si>
  <si>
    <t>125.04万</t>
  </si>
  <si>
    <t>8.33亿</t>
  </si>
  <si>
    <t>6993.47万</t>
  </si>
  <si>
    <t>5.14亿</t>
  </si>
  <si>
    <t>6761.92万</t>
  </si>
  <si>
    <t>7140.92万</t>
  </si>
  <si>
    <t>4631.71万</t>
  </si>
  <si>
    <t>497.72万</t>
  </si>
  <si>
    <t>1303.54万</t>
  </si>
  <si>
    <t>2282918亿</t>
  </si>
  <si>
    <t>3.82万</t>
  </si>
  <si>
    <t>-382914亿</t>
  </si>
  <si>
    <t>75620769亿</t>
  </si>
  <si>
    <t>781294100亿</t>
  </si>
  <si>
    <t>3996.50万</t>
  </si>
  <si>
    <t>9371.77万</t>
  </si>
  <si>
    <t>-2224.10万</t>
  </si>
  <si>
    <t>6024.49万</t>
  </si>
  <si>
    <t>-458.10万</t>
  </si>
  <si>
    <t>7362.52万</t>
  </si>
  <si>
    <t>248.15万</t>
  </si>
  <si>
    <t>731.41万</t>
  </si>
  <si>
    <t>5526.88万</t>
  </si>
  <si>
    <t>146.49万</t>
  </si>
  <si>
    <t>8.65亿</t>
  </si>
  <si>
    <t>13.59亿</t>
  </si>
  <si>
    <t>7674.03万</t>
  </si>
  <si>
    <t>4825.63万</t>
  </si>
  <si>
    <t>4028.64万</t>
  </si>
  <si>
    <t>223571亿</t>
  </si>
  <si>
    <t>12.80万</t>
  </si>
  <si>
    <t>5520801亿</t>
  </si>
  <si>
    <t>3.39亿</t>
  </si>
  <si>
    <t>182625940亿</t>
  </si>
  <si>
    <t>821423100亿</t>
  </si>
  <si>
    <t>5440.31万</t>
  </si>
  <si>
    <t>3740.79万</t>
  </si>
  <si>
    <t>1653.00万</t>
  </si>
  <si>
    <t>33.50万</t>
  </si>
  <si>
    <t>-3508.94万</t>
  </si>
  <si>
    <t>-3816.86万</t>
  </si>
  <si>
    <t>-828.42万</t>
  </si>
  <si>
    <t>-965.61万</t>
  </si>
  <si>
    <t>1034.73万</t>
  </si>
  <si>
    <t>9139.84万</t>
  </si>
  <si>
    <t>198.63万</t>
  </si>
  <si>
    <t>31.12亿</t>
  </si>
  <si>
    <t>11.22亿</t>
  </si>
  <si>
    <t>39.02亿</t>
  </si>
  <si>
    <t>7.71亿</t>
  </si>
  <si>
    <t>5009.25万</t>
  </si>
  <si>
    <t>-8639919亿</t>
  </si>
  <si>
    <t>31.89万</t>
  </si>
  <si>
    <t>41290861亿</t>
  </si>
  <si>
    <t>17.73亿</t>
  </si>
  <si>
    <t>273007740亿</t>
  </si>
  <si>
    <t>85.44万</t>
  </si>
  <si>
    <t>3052298300亿</t>
  </si>
  <si>
    <t>3.45亿</t>
  </si>
  <si>
    <t>4.90亿</t>
  </si>
  <si>
    <t>6.68万</t>
  </si>
  <si>
    <t>19.53亿</t>
  </si>
  <si>
    <t>-1.81亿</t>
  </si>
  <si>
    <t>3.97亿</t>
  </si>
  <si>
    <t>10派4元(含税)</t>
  </si>
  <si>
    <t>1265.52万</t>
  </si>
  <si>
    <t>178.19万</t>
  </si>
  <si>
    <t>1985.33万</t>
  </si>
  <si>
    <t>2253.88万</t>
  </si>
  <si>
    <t>2185.54万</t>
  </si>
  <si>
    <t>481630亿</t>
  </si>
  <si>
    <t>-11616081亿</t>
  </si>
  <si>
    <t>134425950亿</t>
  </si>
  <si>
    <t>569.79万</t>
  </si>
  <si>
    <t>723895380亿</t>
  </si>
  <si>
    <t>618.96万</t>
  </si>
  <si>
    <t>6.41亿</t>
  </si>
  <si>
    <t>-1.49亿</t>
  </si>
  <si>
    <t>-1579.85万</t>
  </si>
  <si>
    <t>-122.18万</t>
  </si>
  <si>
    <t>2465.79万</t>
  </si>
  <si>
    <t>473.36万</t>
  </si>
  <si>
    <t>1014.92万</t>
  </si>
  <si>
    <t>62.11万</t>
  </si>
  <si>
    <t>3.37亿</t>
  </si>
  <si>
    <t>14.27亿</t>
  </si>
  <si>
    <t>4.32亿</t>
  </si>
  <si>
    <t>2357.92万</t>
  </si>
  <si>
    <t>442.72万</t>
  </si>
  <si>
    <t>1722.73万</t>
  </si>
  <si>
    <t>2677711亿</t>
  </si>
  <si>
    <t>1.09万</t>
  </si>
  <si>
    <t>108821222亿</t>
  </si>
  <si>
    <t>161327030亿</t>
  </si>
  <si>
    <t>1153377070亿</t>
  </si>
  <si>
    <t>5895.15万</t>
  </si>
  <si>
    <t>9162.00万</t>
  </si>
  <si>
    <t>-7087.44万</t>
  </si>
  <si>
    <t>2835.90万</t>
  </si>
  <si>
    <t>8511.60万</t>
  </si>
  <si>
    <t>722.36万</t>
  </si>
  <si>
    <t>10派20元(含税)</t>
  </si>
  <si>
    <t>460.18万</t>
  </si>
  <si>
    <t>2733.08万</t>
  </si>
  <si>
    <t>106.18万</t>
  </si>
  <si>
    <t>676.60万</t>
  </si>
  <si>
    <t>1065.37万</t>
  </si>
  <si>
    <t>1360.95万</t>
  </si>
  <si>
    <t>35289亿</t>
  </si>
  <si>
    <t>19652323亿</t>
  </si>
  <si>
    <t>271310870亿</t>
  </si>
  <si>
    <t>731275630亿</t>
  </si>
  <si>
    <t>4003.50万</t>
  </si>
  <si>
    <t>2333.90万</t>
  </si>
  <si>
    <t>1783.84万</t>
  </si>
  <si>
    <t>-4369.52万</t>
  </si>
  <si>
    <t>-418.93万</t>
  </si>
  <si>
    <t>8.16亿</t>
  </si>
  <si>
    <t>7806.36万</t>
  </si>
  <si>
    <t>5195.69万</t>
  </si>
  <si>
    <t>49.52万</t>
  </si>
  <si>
    <t>745.97万</t>
  </si>
  <si>
    <t>4649.35万</t>
  </si>
  <si>
    <t>157.43万</t>
  </si>
  <si>
    <t>9046.91万</t>
  </si>
  <si>
    <t>3967.96万</t>
  </si>
  <si>
    <t>1728.87万</t>
  </si>
  <si>
    <t>37.15万</t>
  </si>
  <si>
    <t>6866370亿</t>
  </si>
  <si>
    <t>29389768亿</t>
  </si>
  <si>
    <t>455162780亿</t>
  </si>
  <si>
    <t>153.88万</t>
  </si>
  <si>
    <t>1990.05万</t>
  </si>
  <si>
    <t>4925.00万</t>
  </si>
  <si>
    <t>105.68万</t>
  </si>
  <si>
    <t>-581.67万</t>
  </si>
  <si>
    <t>-3846.89万</t>
  </si>
  <si>
    <t>4150.75万</t>
  </si>
  <si>
    <t>8.11亿</t>
  </si>
  <si>
    <t>2511.83万</t>
  </si>
  <si>
    <t>1053.17万</t>
  </si>
  <si>
    <t>1038.82万</t>
  </si>
  <si>
    <t>5127.50万</t>
  </si>
  <si>
    <t>146.77万</t>
  </si>
  <si>
    <t>31.22亿</t>
  </si>
  <si>
    <t>10.67亿</t>
  </si>
  <si>
    <t>7527.94万</t>
  </si>
  <si>
    <t>1676.22万</t>
  </si>
  <si>
    <t>1851.38万</t>
  </si>
  <si>
    <t>8864390亿</t>
  </si>
  <si>
    <t>1.20万</t>
  </si>
  <si>
    <t>113215886亿</t>
  </si>
  <si>
    <t>10.43亿</t>
  </si>
  <si>
    <t>299488170亿</t>
  </si>
  <si>
    <t>3407673200亿</t>
  </si>
  <si>
    <t>132.18万</t>
  </si>
  <si>
    <t>2447.78万</t>
  </si>
  <si>
    <t>297.61万</t>
  </si>
  <si>
    <t>7688.27万</t>
  </si>
  <si>
    <t>7736.25万</t>
  </si>
  <si>
    <t>1371.40万</t>
  </si>
  <si>
    <t>19.21亿</t>
  </si>
  <si>
    <t>701.41万</t>
  </si>
  <si>
    <t>10转3股派5元(含税)</t>
  </si>
  <si>
    <t>736.20万</t>
  </si>
  <si>
    <t>4604.87万</t>
  </si>
  <si>
    <t>112.81万</t>
  </si>
  <si>
    <t>16.48亿</t>
  </si>
  <si>
    <t>8054.67万</t>
  </si>
  <si>
    <t>3588.88万</t>
  </si>
  <si>
    <t>2364.07万</t>
  </si>
  <si>
    <t>3137000亿</t>
  </si>
  <si>
    <t>72.45万</t>
  </si>
  <si>
    <t>34793590亿</t>
  </si>
  <si>
    <t>178881660亿</t>
  </si>
  <si>
    <t>1494623100亿</t>
  </si>
  <si>
    <t>425.94万</t>
  </si>
  <si>
    <t>5245.68万</t>
  </si>
  <si>
    <t>2181.88万</t>
  </si>
  <si>
    <t>-6.13亿</t>
  </si>
  <si>
    <t>-104.03万</t>
  </si>
  <si>
    <t>7.49亿</t>
  </si>
  <si>
    <t>6298.15万</t>
  </si>
  <si>
    <t>479.97万</t>
  </si>
  <si>
    <t>3056.80万</t>
  </si>
  <si>
    <t>54.03万</t>
  </si>
  <si>
    <t>8196.36万</t>
  </si>
  <si>
    <t>7.27亿</t>
  </si>
  <si>
    <t>4419.91万</t>
  </si>
  <si>
    <t>3927.95万</t>
  </si>
  <si>
    <t>2855.95万</t>
  </si>
  <si>
    <t>379.94万</t>
  </si>
  <si>
    <t>536.81万</t>
  </si>
  <si>
    <t>-16205亿</t>
  </si>
  <si>
    <t>2510672亿</t>
  </si>
  <si>
    <t>30288695亿</t>
  </si>
  <si>
    <t>364729870亿</t>
  </si>
  <si>
    <t>2356.52万</t>
  </si>
  <si>
    <t>710.18万</t>
  </si>
  <si>
    <t>3666.96万</t>
  </si>
  <si>
    <t>5632.53万</t>
  </si>
  <si>
    <t>-844.87万</t>
  </si>
  <si>
    <t>-2034.83万</t>
  </si>
  <si>
    <t>-5.34万</t>
  </si>
  <si>
    <t>1876.96万</t>
  </si>
  <si>
    <t>2589.70万</t>
  </si>
  <si>
    <t>341.04万</t>
  </si>
  <si>
    <t>2086.92万</t>
  </si>
  <si>
    <t>103.94万</t>
  </si>
  <si>
    <t>22.76亿</t>
  </si>
  <si>
    <t>18.71亿</t>
  </si>
  <si>
    <t>2581.26万</t>
  </si>
  <si>
    <t>3197.84万</t>
  </si>
  <si>
    <t>-146145亿</t>
  </si>
  <si>
    <t>17.28万</t>
  </si>
  <si>
    <t>9863350亿</t>
  </si>
  <si>
    <t>318556080亿</t>
  </si>
  <si>
    <t>4454.00万</t>
  </si>
  <si>
    <t>1430374700亿</t>
  </si>
  <si>
    <t>8769.17万</t>
  </si>
  <si>
    <t>5295.80万</t>
  </si>
  <si>
    <t>-4.10亿</t>
  </si>
  <si>
    <t>-8244.79万</t>
  </si>
  <si>
    <t>17.21亿</t>
  </si>
  <si>
    <t>4535.50万</t>
  </si>
  <si>
    <t>4235.96万</t>
  </si>
  <si>
    <t>548.33万</t>
  </si>
  <si>
    <t>3378.31万</t>
  </si>
  <si>
    <t>95.25万</t>
  </si>
  <si>
    <t>17.96亿</t>
  </si>
  <si>
    <t>8856.96万</t>
  </si>
  <si>
    <t>-9353.84万</t>
  </si>
  <si>
    <t>7436.05万</t>
  </si>
  <si>
    <t>1309.16万</t>
  </si>
  <si>
    <t>1102.52万</t>
  </si>
  <si>
    <t>-77381亿</t>
  </si>
  <si>
    <t>5.80万</t>
  </si>
  <si>
    <t>-8840591亿</t>
  </si>
  <si>
    <t>391432740亿</t>
  </si>
  <si>
    <t>2361.74万</t>
  </si>
  <si>
    <t>1434988000亿</t>
  </si>
  <si>
    <t>5338.17万</t>
  </si>
  <si>
    <t>-1753.72万</t>
  </si>
  <si>
    <t>-6746.56万</t>
  </si>
  <si>
    <t>-153.19万</t>
  </si>
  <si>
    <t>7059.23万</t>
  </si>
  <si>
    <t>-2030.48万</t>
  </si>
  <si>
    <t>646.33万</t>
  </si>
  <si>
    <t>2441.29万</t>
  </si>
  <si>
    <t>52.34万</t>
  </si>
  <si>
    <t>2096.41万</t>
  </si>
  <si>
    <t>2690.45万</t>
  </si>
  <si>
    <t>566.78万</t>
  </si>
  <si>
    <t>3.56万</t>
  </si>
  <si>
    <t>18130540亿</t>
  </si>
  <si>
    <t>10.59亿</t>
  </si>
  <si>
    <t>90672599亿</t>
  </si>
  <si>
    <t>1272086870亿</t>
  </si>
  <si>
    <t>304.78万</t>
  </si>
  <si>
    <t>1000.93万</t>
  </si>
  <si>
    <t>400.83万</t>
  </si>
  <si>
    <t>1172.24万</t>
  </si>
  <si>
    <t>-875.54万</t>
  </si>
  <si>
    <t>-125.94万</t>
  </si>
  <si>
    <t>6.09亿</t>
  </si>
  <si>
    <t>4187.03万</t>
  </si>
  <si>
    <t>9692.29万</t>
  </si>
  <si>
    <t>597.91万</t>
  </si>
  <si>
    <t>422.55万</t>
  </si>
  <si>
    <t>2112.46万</t>
  </si>
  <si>
    <t>020964100</t>
  </si>
  <si>
    <t>062892300</t>
  </si>
  <si>
    <t>0125784600</t>
  </si>
  <si>
    <t>0209641000</t>
  </si>
  <si>
    <t>0419282000</t>
  </si>
  <si>
    <t>197.29万</t>
  </si>
  <si>
    <t>6.33亿</t>
  </si>
  <si>
    <t>19.35亿</t>
  </si>
  <si>
    <t>2386.11万</t>
  </si>
  <si>
    <t>4.88亿</t>
  </si>
  <si>
    <t>4291.11万</t>
  </si>
  <si>
    <t>1818.00万</t>
  </si>
  <si>
    <t>1016565亿</t>
  </si>
  <si>
    <t>10346184亿</t>
  </si>
  <si>
    <t>299212160亿</t>
  </si>
  <si>
    <t>1187.50万</t>
  </si>
  <si>
    <t>2019446000亿</t>
  </si>
  <si>
    <t>3627.90万</t>
  </si>
  <si>
    <t>9354.23万</t>
  </si>
  <si>
    <t>923.83万</t>
  </si>
  <si>
    <t>-1.30亿</t>
  </si>
  <si>
    <t>-2706.91万</t>
  </si>
  <si>
    <t>20.37亿</t>
  </si>
  <si>
    <t>5949.87万</t>
  </si>
  <si>
    <t>7676.71万</t>
  </si>
  <si>
    <t>642.09万</t>
  </si>
  <si>
    <t>342.04万</t>
  </si>
  <si>
    <t>1563.01万</t>
  </si>
  <si>
    <t>34.32万</t>
  </si>
  <si>
    <t>5976.90万</t>
  </si>
  <si>
    <t>4551.68万</t>
  </si>
  <si>
    <t>5540.13万</t>
  </si>
  <si>
    <t>4351.76万</t>
  </si>
  <si>
    <t>890.01万</t>
  </si>
  <si>
    <t>312.38万</t>
  </si>
  <si>
    <t>1471199亿</t>
  </si>
  <si>
    <t>5274732亿</t>
  </si>
  <si>
    <t>6743.00万</t>
  </si>
  <si>
    <t>21658462亿</t>
  </si>
  <si>
    <t>648276840亿</t>
  </si>
  <si>
    <t>4615.32万</t>
  </si>
  <si>
    <t>3595.58万</t>
  </si>
  <si>
    <t>8898.77万</t>
  </si>
  <si>
    <t>2251.55万</t>
  </si>
  <si>
    <t>939.14万</t>
  </si>
  <si>
    <t>-995.01万</t>
  </si>
  <si>
    <t>5884.49万</t>
  </si>
  <si>
    <t>411.05万</t>
  </si>
  <si>
    <t>156.15万</t>
  </si>
  <si>
    <t>1157.87万</t>
  </si>
  <si>
    <t>045516800</t>
  </si>
  <si>
    <t>0136550400</t>
  </si>
  <si>
    <t>0273100800</t>
  </si>
  <si>
    <t>0455168000</t>
  </si>
  <si>
    <t>0910336000</t>
  </si>
  <si>
    <t>82.07万</t>
  </si>
  <si>
    <t>29.81亿</t>
  </si>
  <si>
    <t>1154.07万</t>
  </si>
  <si>
    <t>1768.34万</t>
  </si>
  <si>
    <t>1758.59万</t>
  </si>
  <si>
    <t>1477075亿</t>
  </si>
  <si>
    <t>697.18万</t>
  </si>
  <si>
    <t>-18849743亿</t>
  </si>
  <si>
    <t>16.38亿</t>
  </si>
  <si>
    <t>141238270亿</t>
  </si>
  <si>
    <t>2297077600亿</t>
  </si>
  <si>
    <t>4488.29万</t>
  </si>
  <si>
    <t>145.69万</t>
  </si>
  <si>
    <t>7686.28万</t>
  </si>
  <si>
    <t>622.33万</t>
  </si>
  <si>
    <t>-6106.44万</t>
  </si>
  <si>
    <t>-1.58亿</t>
  </si>
  <si>
    <t>5013.42万</t>
  </si>
  <si>
    <t>-2.67亿</t>
  </si>
  <si>
    <t>1776.31万</t>
  </si>
  <si>
    <t>331.80万</t>
  </si>
  <si>
    <t>2186.60万</t>
  </si>
  <si>
    <t>034622100</t>
  </si>
  <si>
    <t>069244200</t>
  </si>
  <si>
    <t>0115407000</t>
  </si>
  <si>
    <t>0230814000</t>
  </si>
  <si>
    <t>91.66万</t>
  </si>
  <si>
    <t>24.60亿</t>
  </si>
  <si>
    <t>32.19亿</t>
  </si>
  <si>
    <t>18.42亿</t>
  </si>
  <si>
    <t>13.20亿</t>
  </si>
  <si>
    <t>11.79亿</t>
  </si>
  <si>
    <t>6780.55万</t>
  </si>
  <si>
    <t>15035112亿</t>
  </si>
  <si>
    <t>13.59万</t>
  </si>
  <si>
    <t>95983316亿</t>
  </si>
  <si>
    <t>162868690亿</t>
  </si>
  <si>
    <t>3452676600亿</t>
  </si>
  <si>
    <t>4.67亿</t>
  </si>
  <si>
    <t>55.89万</t>
  </si>
  <si>
    <t>18.00亿</t>
  </si>
  <si>
    <t>-1.29亿</t>
  </si>
  <si>
    <t>-4.34亿</t>
  </si>
  <si>
    <t>60.74亿</t>
  </si>
  <si>
    <t>6825.80万</t>
  </si>
  <si>
    <t>530.72万</t>
  </si>
  <si>
    <t>6002.90万</t>
  </si>
  <si>
    <t>144.03万</t>
  </si>
  <si>
    <t>9.06亿</t>
  </si>
  <si>
    <t>30.54亿</t>
  </si>
  <si>
    <t>906.82万</t>
  </si>
  <si>
    <t>2698.79万</t>
  </si>
  <si>
    <t>197974亿</t>
  </si>
  <si>
    <t>6.12万</t>
  </si>
  <si>
    <t>18176071亿</t>
  </si>
  <si>
    <t>188439280亿</t>
  </si>
  <si>
    <t>996342380亿</t>
  </si>
  <si>
    <t>4.95亿</t>
  </si>
  <si>
    <t>1745.56万</t>
  </si>
  <si>
    <t>-4605.47万</t>
  </si>
  <si>
    <t>6.95亿</t>
  </si>
  <si>
    <t>9346.97万</t>
  </si>
  <si>
    <t>6513.90万</t>
  </si>
  <si>
    <t>2094.22万</t>
  </si>
  <si>
    <t>422.53万</t>
  </si>
  <si>
    <t>7591.71万</t>
  </si>
  <si>
    <t>8479.30万</t>
  </si>
  <si>
    <t>10派1.9元(含税)</t>
  </si>
  <si>
    <t>852.08万</t>
  </si>
  <si>
    <t>9838.07万</t>
  </si>
  <si>
    <t>29-1</t>
  </si>
  <si>
    <t>SH600265</t>
  </si>
  <si>
    <t>景谷林业</t>
  </si>
  <si>
    <t>41.35万</t>
  </si>
  <si>
    <t>203.63亿</t>
  </si>
  <si>
    <t>4.60万</t>
  </si>
  <si>
    <t>-5972633亿</t>
  </si>
  <si>
    <t>3677.57万</t>
  </si>
  <si>
    <t>86961920亿</t>
  </si>
  <si>
    <t>413092670亿</t>
  </si>
  <si>
    <t>3160.01万</t>
  </si>
  <si>
    <t>2876.21万</t>
  </si>
  <si>
    <t>418.27万</t>
  </si>
  <si>
    <t>128.42万</t>
  </si>
  <si>
    <t>-407.80万</t>
  </si>
  <si>
    <t>-1904.84万</t>
  </si>
  <si>
    <t>5067.82万</t>
  </si>
  <si>
    <t>-2227.04万</t>
  </si>
  <si>
    <t>13.54亿</t>
  </si>
  <si>
    <t>632.26万</t>
  </si>
  <si>
    <t>6258.65万</t>
  </si>
  <si>
    <t>252.13万</t>
  </si>
  <si>
    <t>2783.16万</t>
  </si>
  <si>
    <t>1957.51万</t>
  </si>
  <si>
    <t>59.57亿</t>
  </si>
  <si>
    <t>34.98亿</t>
  </si>
  <si>
    <t>14.68亿</t>
  </si>
  <si>
    <t>-2.14亿</t>
  </si>
  <si>
    <t>10.00亿</t>
  </si>
  <si>
    <t>280942亿</t>
  </si>
  <si>
    <t>60.36万</t>
  </si>
  <si>
    <t>-162563950亿</t>
  </si>
  <si>
    <t>276511100亿</t>
  </si>
  <si>
    <t>30.59万</t>
  </si>
  <si>
    <t>3450124200亿</t>
  </si>
  <si>
    <t>6718.63万</t>
  </si>
  <si>
    <t>12.15亿</t>
  </si>
  <si>
    <t>38.11亿</t>
  </si>
  <si>
    <t>661.66万</t>
  </si>
  <si>
    <t>2049.99万</t>
  </si>
  <si>
    <t>-2.89亿</t>
  </si>
  <si>
    <t>41.82亿</t>
  </si>
  <si>
    <t>5.03亿</t>
  </si>
  <si>
    <t>-4.63亿</t>
  </si>
  <si>
    <t>436.71万</t>
  </si>
  <si>
    <t>5501.71万</t>
  </si>
  <si>
    <t>5.24亿</t>
  </si>
  <si>
    <t>XD金牌家</t>
  </si>
  <si>
    <t>46.06万</t>
  </si>
  <si>
    <t>31.95亿</t>
  </si>
  <si>
    <t>27.93亿</t>
  </si>
  <si>
    <t>4.61亿</t>
  </si>
  <si>
    <t>8517.09万</t>
  </si>
  <si>
    <t>4015.77万</t>
  </si>
  <si>
    <t>8215973亿</t>
  </si>
  <si>
    <t>207.78万</t>
  </si>
  <si>
    <t>14101901亿</t>
  </si>
  <si>
    <t>195578060亿</t>
  </si>
  <si>
    <t>1958.02万</t>
  </si>
  <si>
    <t>2274374400亿</t>
  </si>
  <si>
    <t>7479.68万</t>
  </si>
  <si>
    <t>-4.31亿</t>
  </si>
  <si>
    <t>-1.72亿</t>
  </si>
  <si>
    <t>7884.86万</t>
  </si>
  <si>
    <t>10派6.0元(含税)</t>
  </si>
  <si>
    <t>421.13万</t>
  </si>
  <si>
    <t>3036.11万</t>
  </si>
  <si>
    <t>138.46万</t>
  </si>
  <si>
    <t>53.02亿</t>
  </si>
  <si>
    <t>154.34亿</t>
  </si>
  <si>
    <t>38.03亿</t>
  </si>
  <si>
    <t>1707.67万</t>
  </si>
  <si>
    <t>28.26亿</t>
  </si>
  <si>
    <t>21.99亿</t>
  </si>
  <si>
    <t>105435964亿</t>
  </si>
  <si>
    <t>47.75万</t>
  </si>
  <si>
    <t>817959860亿</t>
  </si>
  <si>
    <t>59.83亿</t>
  </si>
  <si>
    <t>331801150亿</t>
  </si>
  <si>
    <t>17661368000亿</t>
  </si>
  <si>
    <t>10.86亿</t>
  </si>
  <si>
    <t>18.01亿</t>
  </si>
  <si>
    <t>56.26亿</t>
  </si>
  <si>
    <t>15.19亿</t>
  </si>
  <si>
    <t>-3.15亿</t>
  </si>
  <si>
    <t>9236.45万</t>
  </si>
  <si>
    <t>156.95亿</t>
  </si>
  <si>
    <t>38.70亿</t>
  </si>
  <si>
    <t>1219.61万</t>
  </si>
  <si>
    <t>10转4.5股派31.0元(含税)</t>
  </si>
  <si>
    <t>961.52万</t>
  </si>
  <si>
    <t>6143.86万</t>
  </si>
  <si>
    <t>017076700</t>
  </si>
  <si>
    <t>051230100</t>
  </si>
  <si>
    <t>0102460200</t>
  </si>
  <si>
    <t>0170767000</t>
  </si>
  <si>
    <t>0341534000</t>
  </si>
  <si>
    <t>92.23万</t>
  </si>
  <si>
    <t>30.31亿</t>
  </si>
  <si>
    <t>16.16亿</t>
  </si>
  <si>
    <t>5117.32万</t>
  </si>
  <si>
    <t>1822.65万</t>
  </si>
  <si>
    <t>-2892160亿</t>
  </si>
  <si>
    <t>106.59万</t>
  </si>
  <si>
    <t>19141158亿</t>
  </si>
  <si>
    <t>824846910亿</t>
  </si>
  <si>
    <t>3128.13万</t>
  </si>
  <si>
    <t>2436109900亿</t>
  </si>
  <si>
    <t>774.77万</t>
  </si>
  <si>
    <t>5968.43万</t>
  </si>
  <si>
    <t>28.04万</t>
  </si>
  <si>
    <t>5731.32万</t>
  </si>
  <si>
    <t>-2.07亿</t>
  </si>
  <si>
    <t>-2599.21万</t>
  </si>
  <si>
    <t>-3920.19万</t>
  </si>
  <si>
    <t>37.38亿</t>
  </si>
  <si>
    <t>3.90亿</t>
  </si>
  <si>
    <t>7701.05万</t>
  </si>
  <si>
    <t>10派17.8元(含税)</t>
  </si>
  <si>
    <t>611.51万</t>
  </si>
  <si>
    <t>5534.07万</t>
  </si>
  <si>
    <t>87.30万</t>
  </si>
  <si>
    <t>6.48亿</t>
  </si>
  <si>
    <t>17.92亿</t>
  </si>
  <si>
    <t>21.81亿</t>
  </si>
  <si>
    <t>3013.07万</t>
  </si>
  <si>
    <t>1759.40万</t>
  </si>
  <si>
    <t>231856亿</t>
  </si>
  <si>
    <t>19.58万</t>
  </si>
  <si>
    <t>6789423亿</t>
  </si>
  <si>
    <t>66348135亿</t>
  </si>
  <si>
    <t>37.72万</t>
  </si>
  <si>
    <t>1573317200亿</t>
  </si>
  <si>
    <t>5733.84万</t>
  </si>
  <si>
    <t>8902.00万</t>
  </si>
  <si>
    <t>9572.96万</t>
  </si>
  <si>
    <t>6398.34万</t>
  </si>
  <si>
    <t>484.99万</t>
  </si>
  <si>
    <t>3680.76万</t>
  </si>
  <si>
    <t>204.09万</t>
  </si>
  <si>
    <t>6.22亿</t>
  </si>
  <si>
    <t>16.35亿</t>
  </si>
  <si>
    <t>-6548.04万</t>
  </si>
  <si>
    <t>367.48万</t>
  </si>
  <si>
    <t>2214.75万</t>
  </si>
  <si>
    <t>-22972亿</t>
  </si>
  <si>
    <t>40805564亿</t>
  </si>
  <si>
    <t>258530980亿</t>
  </si>
  <si>
    <t>974247260亿</t>
  </si>
  <si>
    <t>38.94万</t>
  </si>
  <si>
    <t>7775.00万</t>
  </si>
  <si>
    <t>7597.67万</t>
  </si>
  <si>
    <t>-3830.16万</t>
  </si>
  <si>
    <t>7006.31万</t>
  </si>
  <si>
    <t>11.76亿</t>
  </si>
  <si>
    <t>7788.91万</t>
  </si>
  <si>
    <t>3372.86万</t>
  </si>
  <si>
    <t>1183.90万</t>
  </si>
  <si>
    <t>738.06万</t>
  </si>
  <si>
    <t>5129.95万</t>
  </si>
  <si>
    <t>70.21亿</t>
  </si>
  <si>
    <t>8.54亿</t>
  </si>
  <si>
    <t>6503.96万</t>
  </si>
  <si>
    <t>4582.16万</t>
  </si>
  <si>
    <t>647.72万</t>
  </si>
  <si>
    <t>859.23万</t>
  </si>
  <si>
    <t>-12110252亿</t>
  </si>
  <si>
    <t>7001.15万</t>
  </si>
  <si>
    <t>8917420亿</t>
  </si>
  <si>
    <t>567168400亿</t>
  </si>
  <si>
    <t>500.24万</t>
  </si>
  <si>
    <t>737.70万</t>
  </si>
  <si>
    <t>3872.01万</t>
  </si>
  <si>
    <t>-4982.27万</t>
  </si>
  <si>
    <t>-539.92万</t>
  </si>
  <si>
    <t>2470.34万</t>
  </si>
  <si>
    <t>-2418.43万</t>
  </si>
  <si>
    <t>3138.68万</t>
  </si>
  <si>
    <t>120.27万</t>
  </si>
  <si>
    <t>6464.52万</t>
  </si>
  <si>
    <t>4665.27万</t>
  </si>
  <si>
    <t>13.81亿</t>
  </si>
  <si>
    <t>8481.96万</t>
  </si>
  <si>
    <t>5775.30万</t>
  </si>
  <si>
    <t>3711.02万</t>
  </si>
  <si>
    <t>591.47万</t>
  </si>
  <si>
    <t>762.72万</t>
  </si>
  <si>
    <t>1.60万</t>
  </si>
  <si>
    <t>-11058652亿</t>
  </si>
  <si>
    <t>2602.31万</t>
  </si>
  <si>
    <t>81940040亿</t>
  </si>
  <si>
    <t>75.55万</t>
  </si>
  <si>
    <t>295618020亿</t>
  </si>
  <si>
    <t>60.74万</t>
  </si>
  <si>
    <t>3658.12万</t>
  </si>
  <si>
    <t>1420.00万</t>
  </si>
  <si>
    <t>-420.26万</t>
  </si>
  <si>
    <t>-106.59万</t>
  </si>
  <si>
    <t>1279.86万</t>
  </si>
  <si>
    <t>-1.17亿</t>
  </si>
  <si>
    <t>221.04万</t>
  </si>
  <si>
    <t>662.71万</t>
  </si>
  <si>
    <t>5056.63万</t>
  </si>
  <si>
    <t>121.24万</t>
  </si>
  <si>
    <t>2714.92万</t>
  </si>
  <si>
    <t>6039.47万</t>
  </si>
  <si>
    <t>3130.89万</t>
  </si>
  <si>
    <t>1926.91万</t>
  </si>
  <si>
    <t>261.64万</t>
  </si>
  <si>
    <t>752.41万</t>
  </si>
  <si>
    <t>-512199亿</t>
  </si>
  <si>
    <t>5.16万</t>
  </si>
  <si>
    <t>-4596473亿</t>
  </si>
  <si>
    <t>1806979亿</t>
  </si>
  <si>
    <t>264638040亿</t>
  </si>
  <si>
    <t>210.19万</t>
  </si>
  <si>
    <t>1536.07万</t>
  </si>
  <si>
    <t>3412.13万</t>
  </si>
  <si>
    <t>8913.31万</t>
  </si>
  <si>
    <t>-1516.13万</t>
  </si>
  <si>
    <t>-1268.47万</t>
  </si>
  <si>
    <t>-1799.24万</t>
  </si>
  <si>
    <t>-1328.81万</t>
  </si>
  <si>
    <t>1213.63万</t>
  </si>
  <si>
    <t>10派1.531元(含税)</t>
  </si>
  <si>
    <t>781.30万</t>
  </si>
  <si>
    <t>5666.55万</t>
  </si>
  <si>
    <t>434.72万</t>
  </si>
  <si>
    <t>61.18亿</t>
  </si>
  <si>
    <t>39.09亿</t>
  </si>
  <si>
    <t>7180.54万</t>
  </si>
  <si>
    <t>17.74亿</t>
  </si>
  <si>
    <t>11.18亿</t>
  </si>
  <si>
    <t>-166597亿</t>
  </si>
  <si>
    <t>1100.58万</t>
  </si>
  <si>
    <t>18975625亿</t>
  </si>
  <si>
    <t>9.72亿</t>
  </si>
  <si>
    <t>1485729700亿</t>
  </si>
  <si>
    <t>4619965700亿</t>
  </si>
  <si>
    <t>14.69亿</t>
  </si>
  <si>
    <t>42.36亿</t>
  </si>
  <si>
    <t>-4487.59万</t>
  </si>
  <si>
    <t>79.76亿</t>
  </si>
  <si>
    <t>1043.46万</t>
  </si>
  <si>
    <t>2226.10万</t>
  </si>
  <si>
    <t>247.48万</t>
  </si>
  <si>
    <t>12.95亿</t>
  </si>
  <si>
    <t>19.06亿</t>
  </si>
  <si>
    <t>7981.73万</t>
  </si>
  <si>
    <t>2644.44万</t>
  </si>
  <si>
    <t>1604093亿</t>
  </si>
  <si>
    <t>14.45万</t>
  </si>
  <si>
    <t>2005887亿</t>
  </si>
  <si>
    <t>4.96亿</t>
  </si>
  <si>
    <t>112736516亿</t>
  </si>
  <si>
    <t>1631.09万</t>
  </si>
  <si>
    <t>982756830亿</t>
  </si>
  <si>
    <t>1706.43万</t>
  </si>
  <si>
    <t>7494.77万</t>
  </si>
  <si>
    <t>9423.16万</t>
  </si>
  <si>
    <t>5854.73万</t>
  </si>
  <si>
    <t>-8497.15万</t>
  </si>
  <si>
    <t>-5515.77万</t>
  </si>
  <si>
    <t>8012.50万</t>
  </si>
  <si>
    <t>17.11亿</t>
  </si>
  <si>
    <t>8380.20万</t>
  </si>
  <si>
    <t>10派2.7元(含税)</t>
  </si>
  <si>
    <t>1528.89万</t>
  </si>
  <si>
    <t>276.98万</t>
  </si>
  <si>
    <t>20.08亿</t>
  </si>
  <si>
    <t>24.27亿</t>
  </si>
  <si>
    <t>6855.47万</t>
  </si>
  <si>
    <t>8650.40万</t>
  </si>
  <si>
    <t>5888.45万</t>
  </si>
  <si>
    <t>12135255亿</t>
  </si>
  <si>
    <t>90.17万</t>
  </si>
  <si>
    <t>11472681亿</t>
  </si>
  <si>
    <t>744995110亿</t>
  </si>
  <si>
    <t>4207.16万</t>
  </si>
  <si>
    <t>2962489300亿</t>
  </si>
  <si>
    <t>418.89万</t>
  </si>
  <si>
    <t>7382.42万</t>
  </si>
  <si>
    <t>17.13亿</t>
  </si>
  <si>
    <t>4983.92万</t>
  </si>
  <si>
    <t>-9548.30万</t>
  </si>
  <si>
    <t>36.04亿</t>
  </si>
  <si>
    <t>1255.90万</t>
  </si>
  <si>
    <t>1668.93万</t>
  </si>
  <si>
    <t>9689.21万</t>
  </si>
  <si>
    <t>068554700</t>
  </si>
  <si>
    <t>0205664100</t>
  </si>
  <si>
    <t>0411328200</t>
  </si>
  <si>
    <t>0685547000</t>
  </si>
  <si>
    <t>01371094000</t>
  </si>
  <si>
    <t>1867.81万</t>
  </si>
  <si>
    <t>3207.15万</t>
  </si>
  <si>
    <t>2317.13万</t>
  </si>
  <si>
    <t>5900.34万</t>
  </si>
  <si>
    <t>2672.57万</t>
  </si>
  <si>
    <t>1489.53万</t>
  </si>
  <si>
    <t>1475.98万</t>
  </si>
  <si>
    <t>-42917亿</t>
  </si>
  <si>
    <t>-28235605亿</t>
  </si>
  <si>
    <t>918.97万</t>
  </si>
  <si>
    <t>19414296亿</t>
  </si>
  <si>
    <t>18.68万</t>
  </si>
  <si>
    <t>185693320亿</t>
  </si>
  <si>
    <t>100.00万</t>
  </si>
  <si>
    <t>5502.77万</t>
  </si>
  <si>
    <t>3278.85万</t>
  </si>
  <si>
    <t>25.98万</t>
  </si>
  <si>
    <t>-2128.71万</t>
  </si>
  <si>
    <t>1625.86万</t>
  </si>
  <si>
    <t>-573.37万</t>
  </si>
  <si>
    <t>-8928.69万</t>
  </si>
  <si>
    <t>874.14万</t>
  </si>
  <si>
    <t>8400.85万</t>
  </si>
  <si>
    <t>163.84万</t>
  </si>
  <si>
    <t>31.91亿</t>
  </si>
  <si>
    <t>11.53亿</t>
  </si>
  <si>
    <t>15.05亿</t>
  </si>
  <si>
    <t>3889.54万</t>
  </si>
  <si>
    <t>6366.11万</t>
  </si>
  <si>
    <t>5610979亿</t>
  </si>
  <si>
    <t>113226172亿</t>
  </si>
  <si>
    <t>4.94亿</t>
  </si>
  <si>
    <t>940000450亿</t>
  </si>
  <si>
    <t>3019.45万</t>
  </si>
  <si>
    <t>3007410700亿</t>
  </si>
  <si>
    <t>9078.60万</t>
  </si>
  <si>
    <t>13.49亿</t>
  </si>
  <si>
    <t>1421.19万</t>
  </si>
  <si>
    <t>-7259.90万</t>
  </si>
  <si>
    <t>-1414.77万</t>
  </si>
  <si>
    <t>43.34亿</t>
  </si>
  <si>
    <t>4094.54万</t>
  </si>
  <si>
    <t>10派4.4元(含税)</t>
  </si>
  <si>
    <t>1021.07万</t>
  </si>
  <si>
    <t>6615.17万</t>
  </si>
  <si>
    <t>0199000000</t>
  </si>
  <si>
    <t>0597000000</t>
  </si>
  <si>
    <t>01194000000</t>
  </si>
  <si>
    <t>01990000000</t>
  </si>
  <si>
    <t>03980000000</t>
  </si>
  <si>
    <t>551.17万</t>
  </si>
  <si>
    <t>16.56亿</t>
  </si>
  <si>
    <t>3813.27万</t>
  </si>
  <si>
    <t>6.67亿</t>
  </si>
  <si>
    <t>6252.98万</t>
  </si>
  <si>
    <t>5086.45万</t>
  </si>
  <si>
    <t>615423亿</t>
  </si>
  <si>
    <t>17.70万</t>
  </si>
  <si>
    <t>42805124亿</t>
  </si>
  <si>
    <t>480027720亿</t>
  </si>
  <si>
    <t>394.48万</t>
  </si>
  <si>
    <t>1983725600亿</t>
  </si>
  <si>
    <t>5578.97万</t>
  </si>
  <si>
    <t>235.88万</t>
  </si>
  <si>
    <t>-4591.64万</t>
  </si>
  <si>
    <t>-461.59万</t>
  </si>
  <si>
    <t>3327.85万</t>
  </si>
  <si>
    <t>1624.56万</t>
  </si>
  <si>
    <t>8641.45万</t>
  </si>
  <si>
    <t>238.30万</t>
  </si>
  <si>
    <t>33.22亿</t>
  </si>
  <si>
    <t>69.63亿</t>
  </si>
  <si>
    <t>6862.42万</t>
  </si>
  <si>
    <t>6927.87万</t>
  </si>
  <si>
    <t>-15211379亿</t>
  </si>
  <si>
    <t>147.83万</t>
  </si>
  <si>
    <t>57495413亿</t>
  </si>
  <si>
    <t>15.51亿</t>
  </si>
  <si>
    <t>448672510亿</t>
  </si>
  <si>
    <t>2917217900亿</t>
  </si>
  <si>
    <t>3.67亿</t>
  </si>
  <si>
    <t>5.21亿</t>
  </si>
  <si>
    <t>12.16亿</t>
  </si>
  <si>
    <t>8271.45万</t>
  </si>
  <si>
    <t>-1.46亿</t>
  </si>
  <si>
    <t>6135.76万</t>
  </si>
  <si>
    <t>2836.15万</t>
  </si>
  <si>
    <t>31.03亿</t>
  </si>
  <si>
    <t>16.90亿</t>
  </si>
  <si>
    <t>1241.15万</t>
  </si>
  <si>
    <t>824.68万</t>
  </si>
  <si>
    <t>11.87亿</t>
  </si>
  <si>
    <t>-3.10亿</t>
  </si>
  <si>
    <t>1649.24万</t>
  </si>
  <si>
    <t>1432.54万</t>
  </si>
  <si>
    <t>-131879亿</t>
  </si>
  <si>
    <t>35.79万</t>
  </si>
  <si>
    <t>-1963471亿</t>
  </si>
  <si>
    <t>105213353亿</t>
  </si>
  <si>
    <t>830799200亿</t>
  </si>
  <si>
    <t>964.82万</t>
  </si>
  <si>
    <t>2533.99万</t>
  </si>
  <si>
    <t>1207.15万</t>
  </si>
  <si>
    <t>-282.15万</t>
  </si>
  <si>
    <t>-4165.70万</t>
  </si>
  <si>
    <t>-1860.09万</t>
  </si>
  <si>
    <t>6.57亿</t>
  </si>
  <si>
    <t>5357.76万</t>
  </si>
  <si>
    <t>469.45万</t>
  </si>
  <si>
    <t>-2144.41万</t>
  </si>
  <si>
    <t>10派0.5元(含税)</t>
  </si>
  <si>
    <t>3662.30万</t>
  </si>
  <si>
    <t>9562.52万</t>
  </si>
  <si>
    <t>52.27万</t>
  </si>
  <si>
    <t>61.35亿</t>
  </si>
  <si>
    <t>35.59亿</t>
  </si>
  <si>
    <t>23.54亿</t>
  </si>
  <si>
    <t>10.72亿</t>
  </si>
  <si>
    <t>22.37亿</t>
  </si>
  <si>
    <t>8495.28万</t>
  </si>
  <si>
    <t>1038021亿</t>
  </si>
  <si>
    <t>74.94万</t>
  </si>
  <si>
    <t>103014977亿</t>
  </si>
  <si>
    <t>1509738900亿</t>
  </si>
  <si>
    <t>79.47万</t>
  </si>
  <si>
    <t>5795482200亿</t>
  </si>
  <si>
    <t>15.17亿</t>
  </si>
  <si>
    <t>14.09亿</t>
  </si>
  <si>
    <t>419.74万</t>
  </si>
  <si>
    <t>43.58亿</t>
  </si>
  <si>
    <t>14.90亿</t>
  </si>
  <si>
    <t>-8849.07万</t>
  </si>
  <si>
    <t>9283.52万</t>
  </si>
  <si>
    <t>81.95亿</t>
  </si>
  <si>
    <t>5596.62万</t>
  </si>
  <si>
    <t>291.98万</t>
  </si>
  <si>
    <t>2000.30万</t>
  </si>
  <si>
    <t>107.25万</t>
  </si>
  <si>
    <t>6.00亿</t>
  </si>
  <si>
    <t>36.25亿</t>
  </si>
  <si>
    <t>5884.84万</t>
  </si>
  <si>
    <t>1118.96万</t>
  </si>
  <si>
    <t>17005亿</t>
  </si>
  <si>
    <t>1.03万</t>
  </si>
  <si>
    <t>6881065亿</t>
  </si>
  <si>
    <t>9295.10万</t>
  </si>
  <si>
    <t>159687200亿</t>
  </si>
  <si>
    <t>533435860亿</t>
  </si>
  <si>
    <t>323.51万</t>
  </si>
  <si>
    <t>-1496.79万</t>
  </si>
  <si>
    <t>-3346.89万</t>
  </si>
  <si>
    <t>2213.80万</t>
  </si>
  <si>
    <t>2135.99万</t>
  </si>
  <si>
    <t>584.63万</t>
  </si>
  <si>
    <t>488.20万</t>
  </si>
  <si>
    <t>8061.25万</t>
  </si>
  <si>
    <t>331.69万</t>
  </si>
  <si>
    <t>30.99亿</t>
  </si>
  <si>
    <t>33.48亿</t>
  </si>
  <si>
    <t>16.26亿</t>
  </si>
  <si>
    <t>7375.69万</t>
  </si>
  <si>
    <t>-396591亿</t>
  </si>
  <si>
    <t>123.90万</t>
  </si>
  <si>
    <t>38970772亿</t>
  </si>
  <si>
    <t>323979400亿</t>
  </si>
  <si>
    <t>1554.10万</t>
  </si>
  <si>
    <t>2754214200亿</t>
  </si>
  <si>
    <t>20.68亿</t>
  </si>
  <si>
    <t>61.16亿</t>
  </si>
  <si>
    <t>-2754.74万</t>
  </si>
  <si>
    <t>2017.98万</t>
  </si>
  <si>
    <t>314.34万</t>
  </si>
  <si>
    <t>101.69亿</t>
  </si>
  <si>
    <t>43.50亿</t>
  </si>
  <si>
    <t>38.98亿</t>
  </si>
  <si>
    <t>7.57亿</t>
  </si>
  <si>
    <t>10983403亿</t>
  </si>
  <si>
    <t>5652.27万</t>
  </si>
  <si>
    <t>375539190亿</t>
  </si>
  <si>
    <t>25.63亿</t>
  </si>
  <si>
    <t>1397299100亿</t>
  </si>
  <si>
    <t>6490352600亿</t>
  </si>
  <si>
    <t>14.12亿</t>
  </si>
  <si>
    <t>11.41亿</t>
  </si>
  <si>
    <t>2117.49万</t>
  </si>
  <si>
    <t>13.08亿</t>
  </si>
  <si>
    <t>52.47亿</t>
  </si>
  <si>
    <t>-1.60亿</t>
  </si>
  <si>
    <t>-4.13亿</t>
  </si>
  <si>
    <t>-4.45亿</t>
  </si>
  <si>
    <t>192.12亿</t>
  </si>
  <si>
    <t>20.06亿</t>
  </si>
  <si>
    <t>4013.03万</t>
  </si>
  <si>
    <t>10派13.9元(含税)</t>
  </si>
  <si>
    <t>2289.94万</t>
  </si>
  <si>
    <t>0144000000</t>
  </si>
  <si>
    <t>0432000000</t>
  </si>
  <si>
    <t>0864000000</t>
  </si>
  <si>
    <t>01440000000</t>
  </si>
  <si>
    <t>02880000000</t>
  </si>
  <si>
    <t>338.59万</t>
  </si>
  <si>
    <t>49.10亿</t>
  </si>
  <si>
    <t>23.79亿</t>
  </si>
  <si>
    <t>9118.22万</t>
  </si>
  <si>
    <t>-6346708亿</t>
  </si>
  <si>
    <t>4.68万</t>
  </si>
  <si>
    <t>-57591701亿</t>
  </si>
  <si>
    <t>10.83亿</t>
  </si>
  <si>
    <t>466299810亿</t>
  </si>
  <si>
    <t>2285698600亿</t>
  </si>
  <si>
    <t>1514.62万</t>
  </si>
  <si>
    <t>3911.98万</t>
  </si>
  <si>
    <t>16.98亿</t>
  </si>
  <si>
    <t>9951.76万</t>
  </si>
  <si>
    <t>-2248.88万</t>
  </si>
  <si>
    <t>40.28亿</t>
  </si>
  <si>
    <t>-3.04亿</t>
  </si>
  <si>
    <t>45.28万</t>
  </si>
  <si>
    <t>2425.18万</t>
  </si>
  <si>
    <t>0510000000</t>
  </si>
  <si>
    <t>01020000000</t>
  </si>
  <si>
    <t>01700000000</t>
  </si>
  <si>
    <t>03400000000</t>
  </si>
  <si>
    <t>295.63万</t>
  </si>
  <si>
    <t>162.31亿</t>
  </si>
  <si>
    <t>183.16亿</t>
  </si>
  <si>
    <t>36.21亿</t>
  </si>
  <si>
    <t>63.31亿</t>
  </si>
  <si>
    <t>34.44亿</t>
  </si>
  <si>
    <t>25.36亿</t>
  </si>
  <si>
    <t>2119644亿</t>
  </si>
  <si>
    <t>497.09万</t>
  </si>
  <si>
    <t>142840010亿</t>
  </si>
  <si>
    <t>137.77亿</t>
  </si>
  <si>
    <t>1503939000亿</t>
  </si>
  <si>
    <t>4711.13万</t>
  </si>
  <si>
    <t>17649337000亿</t>
  </si>
  <si>
    <t>22.46亿</t>
  </si>
  <si>
    <t>99.22亿</t>
  </si>
  <si>
    <t>2286.22万</t>
  </si>
  <si>
    <t>13.97亿</t>
  </si>
  <si>
    <t>5.62亿</t>
  </si>
  <si>
    <t>150.02亿</t>
  </si>
  <si>
    <t>-4.52亿</t>
  </si>
  <si>
    <t>-30.31亿</t>
  </si>
  <si>
    <t>20.62亿</t>
  </si>
  <si>
    <t>227.82亿</t>
  </si>
  <si>
    <t>30.36亿</t>
  </si>
  <si>
    <t>3029.77万</t>
  </si>
  <si>
    <t>10派27.6元(含税)</t>
  </si>
  <si>
    <t>1390.17万</t>
  </si>
  <si>
    <t>7659.36万</t>
  </si>
  <si>
    <t>604.87万</t>
  </si>
  <si>
    <t>6193.32万</t>
  </si>
  <si>
    <t>3825.93万</t>
  </si>
  <si>
    <t>4676.91万</t>
  </si>
  <si>
    <t>4878.72万</t>
  </si>
  <si>
    <t>3458.69万</t>
  </si>
  <si>
    <t>234.92万</t>
  </si>
  <si>
    <t>916.28万</t>
  </si>
  <si>
    <t>7796051亿</t>
  </si>
  <si>
    <t>-9159478亿</t>
  </si>
  <si>
    <t>71081898亿</t>
  </si>
  <si>
    <t>687523490亿</t>
  </si>
  <si>
    <t>368.12万</t>
  </si>
  <si>
    <t>1969.38万</t>
  </si>
  <si>
    <t>-392.78万</t>
  </si>
  <si>
    <t>5110.42万</t>
  </si>
  <si>
    <t>-3736.31万</t>
  </si>
  <si>
    <t>2740.66万</t>
  </si>
  <si>
    <t>3843.97万</t>
  </si>
  <si>
    <t>254.56万</t>
  </si>
  <si>
    <t>27.54亿</t>
  </si>
  <si>
    <t>31.97亿</t>
  </si>
  <si>
    <t>6410.61万</t>
  </si>
  <si>
    <t>2113.89万</t>
  </si>
  <si>
    <t>32.65万</t>
  </si>
  <si>
    <t>55403152亿</t>
  </si>
  <si>
    <t>71902970亿</t>
  </si>
  <si>
    <t>93.80万</t>
  </si>
  <si>
    <t>613354960亿</t>
  </si>
  <si>
    <t>9628.75万</t>
  </si>
  <si>
    <t>8855.86万</t>
  </si>
  <si>
    <t>-2523.98万</t>
  </si>
  <si>
    <t>-1415.31万</t>
  </si>
  <si>
    <t>-47.52万</t>
  </si>
  <si>
    <t>8603.52万</t>
  </si>
  <si>
    <t>1122.76万</t>
  </si>
  <si>
    <t>5203.79万</t>
  </si>
  <si>
    <t>53.95万</t>
  </si>
  <si>
    <t>31.19亿</t>
  </si>
  <si>
    <t>233.51亿</t>
  </si>
  <si>
    <t>15.27亿</t>
  </si>
  <si>
    <t>6167.52万</t>
  </si>
  <si>
    <t>3610.98万</t>
  </si>
  <si>
    <t>5544772亿</t>
  </si>
  <si>
    <t>29.55万</t>
  </si>
  <si>
    <t>5071963亿</t>
  </si>
  <si>
    <t>171982100亿</t>
  </si>
  <si>
    <t>7.13万</t>
  </si>
  <si>
    <t>2059168900亿</t>
  </si>
  <si>
    <t>1811.14万</t>
  </si>
  <si>
    <t>570.48万</t>
  </si>
  <si>
    <t>-295.04万</t>
  </si>
  <si>
    <t>22.65亿</t>
  </si>
  <si>
    <t>48.82亿</t>
  </si>
  <si>
    <t>357.07万</t>
  </si>
  <si>
    <t>3134.47万</t>
  </si>
  <si>
    <t>522.59万</t>
  </si>
  <si>
    <t>87.47亿</t>
  </si>
  <si>
    <t>54.85亿</t>
  </si>
  <si>
    <t>7.33亿</t>
  </si>
  <si>
    <t>-7619.81万</t>
  </si>
  <si>
    <t>43.79亿</t>
  </si>
  <si>
    <t>-875748亿</t>
  </si>
  <si>
    <t>748.55万</t>
  </si>
  <si>
    <t>327703630亿</t>
  </si>
  <si>
    <t>39.21亿</t>
  </si>
  <si>
    <t>3637195400亿</t>
  </si>
  <si>
    <t>3335.67万</t>
  </si>
  <si>
    <t>11498774600亿</t>
  </si>
  <si>
    <t>5377.88万</t>
  </si>
  <si>
    <t>3002.75万</t>
  </si>
  <si>
    <t>6814.71万</t>
  </si>
  <si>
    <t>-6346.09万</t>
  </si>
  <si>
    <t>1581.54万</t>
  </si>
  <si>
    <t>1434.40万</t>
  </si>
  <si>
    <t>7955.78万</t>
  </si>
  <si>
    <t>116.45万</t>
  </si>
  <si>
    <t>19.20亿</t>
  </si>
  <si>
    <t>-2.87亿</t>
  </si>
  <si>
    <t>630.29万</t>
  </si>
  <si>
    <t>2041.26万</t>
  </si>
  <si>
    <t>11981726亿</t>
  </si>
  <si>
    <t>5.63万</t>
  </si>
  <si>
    <t>55656476亿</t>
  </si>
  <si>
    <t>213877200亿</t>
  </si>
  <si>
    <t>589.81万</t>
  </si>
  <si>
    <t>1540675100亿</t>
  </si>
  <si>
    <t>6985.69万</t>
  </si>
  <si>
    <t>3433.92万</t>
  </si>
  <si>
    <t>4669.67万</t>
  </si>
  <si>
    <t>185.59万</t>
  </si>
  <si>
    <t>10派0.94元(含税)</t>
  </si>
  <si>
    <t>415.76万</t>
  </si>
  <si>
    <t>3353.36万</t>
  </si>
  <si>
    <t>43.04万</t>
  </si>
  <si>
    <t>6.28亿</t>
  </si>
  <si>
    <t>25.99亿</t>
  </si>
  <si>
    <t>4.78亿</t>
  </si>
  <si>
    <t>3571.99万</t>
  </si>
  <si>
    <t>2816.28万</t>
  </si>
  <si>
    <t>691239亿</t>
  </si>
  <si>
    <t>8.43万</t>
  </si>
  <si>
    <t>117120899亿</t>
  </si>
  <si>
    <t>9.83亿</t>
  </si>
  <si>
    <t>588144480亿</t>
  </si>
  <si>
    <t>2148221500亿</t>
  </si>
  <si>
    <t>926.78万</t>
  </si>
  <si>
    <t>10000.00万</t>
  </si>
  <si>
    <t>9247.13万</t>
  </si>
  <si>
    <t>2144.04万</t>
  </si>
  <si>
    <t>-2.01亿</t>
  </si>
  <si>
    <t>24.61亿</t>
  </si>
  <si>
    <t>3640.92万</t>
  </si>
  <si>
    <t>10派5.4元(含税)</t>
  </si>
  <si>
    <t>306.68万</t>
  </si>
  <si>
    <t>2098.37万</t>
  </si>
  <si>
    <t>103.56万</t>
  </si>
  <si>
    <t>12.26亿</t>
  </si>
  <si>
    <t>75.79亿</t>
  </si>
  <si>
    <t>9897.70万</t>
  </si>
  <si>
    <t>2698.63万</t>
  </si>
  <si>
    <t>1009.91万</t>
  </si>
  <si>
    <t>417603亿</t>
  </si>
  <si>
    <t>1.48万</t>
  </si>
  <si>
    <t>22943091亿</t>
  </si>
  <si>
    <t>62308840亿</t>
  </si>
  <si>
    <t>180.60万</t>
  </si>
  <si>
    <t>805361770亿</t>
  </si>
  <si>
    <t>535.68万</t>
  </si>
  <si>
    <t>2484.43万</t>
  </si>
  <si>
    <t>8172.63万</t>
  </si>
  <si>
    <t>3292.17万</t>
  </si>
  <si>
    <t>-2993.18万</t>
  </si>
  <si>
    <t>6.37亿</t>
  </si>
  <si>
    <t>9113.80万</t>
  </si>
  <si>
    <t>7095.68万</t>
  </si>
  <si>
    <t>10转4股派2元(含税)</t>
  </si>
  <si>
    <t>745.12万</t>
  </si>
  <si>
    <t>6688.24万</t>
  </si>
  <si>
    <t>76.15万</t>
  </si>
  <si>
    <t>23.62亿</t>
  </si>
  <si>
    <t>5552.21万</t>
  </si>
  <si>
    <t>2449.51万</t>
  </si>
  <si>
    <t>-326781亿</t>
  </si>
  <si>
    <t>14.71万</t>
  </si>
  <si>
    <t>6928681亿</t>
  </si>
  <si>
    <t>1141000390亿</t>
  </si>
  <si>
    <t>1220.78万</t>
  </si>
  <si>
    <t>2060200600亿</t>
  </si>
  <si>
    <t>22.01亿</t>
  </si>
  <si>
    <t>-1.31亿</t>
  </si>
  <si>
    <t>6796.30万</t>
  </si>
  <si>
    <t>-4293.17万</t>
  </si>
  <si>
    <t>30.44亿</t>
  </si>
  <si>
    <t>6.58亿</t>
  </si>
  <si>
    <t>5464.29万</t>
  </si>
  <si>
    <t>2985.13万</t>
  </si>
  <si>
    <t>10派3.0元(含税)</t>
  </si>
  <si>
    <t>676.05万</t>
  </si>
  <si>
    <t>5492.75万</t>
  </si>
  <si>
    <t>131.56万</t>
  </si>
  <si>
    <t>6.49亿</t>
  </si>
  <si>
    <t>28.41亿</t>
  </si>
  <si>
    <t>3259.97万</t>
  </si>
  <si>
    <t>2465.71万</t>
  </si>
  <si>
    <t>81508亿</t>
  </si>
  <si>
    <t>7.36万</t>
  </si>
  <si>
    <t>11284263亿</t>
  </si>
  <si>
    <t>241288280亿</t>
  </si>
  <si>
    <t>623.88万</t>
  </si>
  <si>
    <t>1057603410亿</t>
  </si>
  <si>
    <t>578.48万</t>
  </si>
  <si>
    <t>-3156.23万</t>
  </si>
  <si>
    <t>-1.41万</t>
  </si>
  <si>
    <t>-6620.45万</t>
  </si>
  <si>
    <t>6324.63万</t>
  </si>
  <si>
    <t>783.17万</t>
  </si>
  <si>
    <t>6510.69万</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</si>
</sst>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color theme="1"/>
      <name val="宋体"/>
      <family val="2"/>
      <charset val="134"/>
      <scheme val="minor"/>
    </font>
    <font>
      <sz val="9"/>
      <name val="宋体"/>
      <family val="2"/>
      <charset val="134"/>
      <scheme val="minor"/>
    </font>
    <font>
      <sz val="11"/>
      <color indexed="8"/>
      <name val="Calibri"/>
      <family val="2"/>
    </font>
    <font>
      <sz val="9"/>
      <color theme="1"/>
      <name val="宋体"/>
      <family val="2"/>
      <charset val="134"/>
      <scheme val="minor"/>
    </font>
    <font>
      <sz val="11"/>
      <name val="宋体"/>
      <family val="2"/>
      <charset val="134"/>
      <scheme val="minor"/>
    </font>
    <font>
      <sz val="9"/>
      <color rgb="FFFF0000"/>
      <name val="宋体"/>
      <family val="3"/>
      <charset val="134"/>
      <scheme val="minor"/>
    </font>
    <font>
      <sz val="11"/>
      <color rgb="FFFF0000"/>
      <name val="宋体"/>
      <family val="2"/>
      <charset val="134"/>
      <scheme val="minor"/>
    </font>
    <font>
      <sz val="9"/>
      <color theme="1"/>
      <name val="宋体"/>
      <family val="3"/>
      <charset val="134"/>
      <scheme val="minor"/>
    </font>
    <font>
      <b/>
      <sz val="9"/>
      <color rgb="FFFF0000"/>
      <name val="宋体"/>
      <family val="3"/>
      <charset val="134"/>
      <scheme val="minor"/>
    </font>
    <font>
      <sz val="11"/>
      <color rgb="FF000000"/>
      <name val="宋体"/>
      <family val="3"/>
      <charset val="134"/>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2" fillId="0" borderId="0" applyFill="0" applyProtection="0"/>
  </cellStyleXfs>
  <cellXfs count="16">
    <xf numFmtId="0" fontId="0" fillId="0" borderId="0" xfId="0">
      <alignment vertical="center"/>
    </xf>
    <xf numFmtId="0" fontId="0" fillId="0" borderId="0" xfId="0" applyFill="1">
      <alignment vertical="center"/>
    </xf>
    <xf numFmtId="0" fontId="0" fillId="2" borderId="0" xfId="0" applyFill="1">
      <alignment vertical="center"/>
    </xf>
    <xf numFmtId="0" fontId="0" fillId="0" borderId="1" xfId="0" applyNumberFormat="1" applyFill="1" applyBorder="1" applyAlignment="1">
      <alignment vertical="center" wrapText="1"/>
    </xf>
    <xf numFmtId="0" fontId="0" fillId="3" borderId="1" xfId="0" applyNumberFormat="1" applyFill="1" applyBorder="1" applyAlignment="1">
      <alignment vertical="center" wrapText="1"/>
    </xf>
    <xf numFmtId="10" fontId="0" fillId="0" borderId="0" xfId="0" applyNumberFormat="1">
      <alignment vertical="center"/>
    </xf>
    <xf numFmtId="9" fontId="0" fillId="0" borderId="0" xfId="0" applyNumberFormat="1">
      <alignment vertical="center"/>
    </xf>
    <xf numFmtId="0" fontId="3" fillId="0" borderId="0" xfId="0" applyFont="1" applyAlignment="1">
      <alignment vertical="center" wrapText="1"/>
    </xf>
    <xf numFmtId="0" fontId="0" fillId="4" borderId="0" xfId="0" applyFill="1">
      <alignment vertical="center"/>
    </xf>
    <xf numFmtId="0" fontId="0" fillId="5" borderId="0" xfId="0" applyFill="1">
      <alignment vertical="center"/>
    </xf>
    <xf numFmtId="0" fontId="4" fillId="0" borderId="0" xfId="0" applyFont="1">
      <alignment vertical="center"/>
    </xf>
    <xf numFmtId="0" fontId="6" fillId="0" borderId="0" xfId="0" applyFont="1">
      <alignment vertical="center"/>
    </xf>
    <xf numFmtId="0" fontId="4" fillId="0" borderId="0" xfId="0" applyFont="1" applyFill="1">
      <alignment vertical="center"/>
    </xf>
    <xf numFmtId="14" fontId="0" fillId="0" borderId="0" xfId="0" applyNumberFormat="1">
      <alignment vertical="center"/>
    </xf>
    <xf numFmtId="0" fontId="0" fillId="0" borderId="0" xfId="0" applyNumberFormat="1">
      <alignment vertical="center"/>
    </xf>
    <xf numFmtId="0" fontId="7" fillId="0" borderId="0" xfId="0" applyFont="1" applyAlignment="1">
      <alignment vertical="center" wrapText="1"/>
    </xf>
  </cellXfs>
  <cellStyles count="2">
    <cellStyle name="常规" xfId="0" builtinId="0"/>
    <cellStyle name="常规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266700</xdr:colOff>
          <xdr:row>0</xdr:row>
          <xdr:rowOff>88900</xdr:rowOff>
        </xdr:from>
        <xdr:to>
          <xdr:col>147</xdr:col>
          <xdr:colOff>1409700</xdr:colOff>
          <xdr:row>0</xdr:row>
          <xdr:rowOff>400050</xdr:rowOff>
        </xdr:to>
        <xdr:sp macro="" textlink="">
          <xdr:nvSpPr>
            <xdr:cNvPr id="2049" name="Button 1" descr="更新基本面按钮&#10;"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94"/>
  <sheetViews>
    <sheetView tabSelected="1" zoomScale="85" zoomScaleNormal="85" workbookViewId="0">
      <pane xSplit="5" ySplit="1" topLeftCell="F2" activePane="bottomRight" state="frozen"/>
      <selection pane="topRight" activeCell="F1" sqref="F1"/>
      <selection pane="bottomLeft" activeCell="A2" sqref="A2"/>
      <selection pane="bottomRight" activeCell="C11" sqref="C11:C12"/>
    </sheetView>
  </sheetViews>
  <sheetFormatPr defaultRowHeight="14" x14ac:dyDescent="0.25"/>
  <cols>
    <col min="1" max="1" width="40.26953125" customWidth="1"/>
    <col min="2" max="2" width="50" customWidth="1"/>
    <col min="3" max="3" width="44" customWidth="1"/>
    <col min="148" max="148" width="23.453125" customWidth="1"/>
  </cols>
  <sheetData>
    <row r="1" spans="1:146" ht="22.9" customHeight="1" x14ac:dyDescent="0.25">
      <c r="A1" s="3" t="s">
        <v>42</v>
      </c>
      <c r="B1" s="4" t="s">
        <v>43</v>
      </c>
      <c r="C1" s="3" t="s">
        <v>44</v>
      </c>
      <c r="D1" t="s">
        <v>45</v>
      </c>
      <c r="E1" t="s">
        <v>845</v>
      </c>
      <c r="F1" t="s">
        <v>3</v>
      </c>
      <c r="G1" t="s">
        <v>1038</v>
      </c>
      <c r="H1" t="s">
        <v>1039</v>
      </c>
      <c r="I1" t="s">
        <v>46</v>
      </c>
      <c r="J1" t="s">
        <v>47</v>
      </c>
      <c r="K1" t="s">
        <v>4</v>
      </c>
      <c r="L1" t="s">
        <v>48</v>
      </c>
      <c r="M1" t="s">
        <v>49</v>
      </c>
      <c r="N1" t="s">
        <v>50</v>
      </c>
      <c r="O1" t="s">
        <v>51</v>
      </c>
      <c r="P1" t="s">
        <v>1040</v>
      </c>
      <c r="Q1" t="s">
        <v>901</v>
      </c>
      <c r="R1" t="s">
        <v>846</v>
      </c>
      <c r="S1" t="s">
        <v>52</v>
      </c>
      <c r="T1" t="s">
        <v>1041</v>
      </c>
      <c r="U1" t="s">
        <v>696</v>
      </c>
      <c r="V1" t="s">
        <v>53</v>
      </c>
      <c r="W1" t="s">
        <v>908</v>
      </c>
      <c r="X1" t="s">
        <v>909</v>
      </c>
      <c r="Y1" t="s">
        <v>910</v>
      </c>
      <c r="Z1" t="s">
        <v>911</v>
      </c>
      <c r="AA1" t="s">
        <v>912</v>
      </c>
      <c r="AB1" t="s">
        <v>1042</v>
      </c>
      <c r="AC1" t="s">
        <v>913</v>
      </c>
      <c r="AD1" t="s">
        <v>847</v>
      </c>
      <c r="AE1" t="s">
        <v>54</v>
      </c>
      <c r="AF1" t="s">
        <v>55</v>
      </c>
      <c r="AG1" t="s">
        <v>1043</v>
      </c>
      <c r="AH1" t="s">
        <v>848</v>
      </c>
      <c r="AI1" t="s">
        <v>1044</v>
      </c>
      <c r="AJ1" t="s">
        <v>56</v>
      </c>
      <c r="AK1" t="s">
        <v>1045</v>
      </c>
      <c r="AL1" t="s">
        <v>307</v>
      </c>
      <c r="AM1" t="s">
        <v>1046</v>
      </c>
      <c r="AN1" t="s">
        <v>1047</v>
      </c>
      <c r="AO1" t="s">
        <v>1048</v>
      </c>
      <c r="AP1" t="s">
        <v>1049</v>
      </c>
      <c r="AQ1" t="s">
        <v>1050</v>
      </c>
      <c r="AR1" t="s">
        <v>1051</v>
      </c>
      <c r="AS1" t="s">
        <v>1052</v>
      </c>
      <c r="AT1" t="s">
        <v>1053</v>
      </c>
      <c r="AU1" t="s">
        <v>1054</v>
      </c>
      <c r="AV1" t="s">
        <v>1055</v>
      </c>
      <c r="AW1" t="s">
        <v>1056</v>
      </c>
      <c r="AX1" t="s">
        <v>849</v>
      </c>
      <c r="AY1" t="s">
        <v>308</v>
      </c>
      <c r="AZ1" t="s">
        <v>309</v>
      </c>
      <c r="BA1" t="s">
        <v>310</v>
      </c>
      <c r="BB1" t="s">
        <v>311</v>
      </c>
      <c r="BC1" t="s">
        <v>697</v>
      </c>
      <c r="BD1" t="s">
        <v>312</v>
      </c>
      <c r="BE1" t="s">
        <v>313</v>
      </c>
      <c r="BF1" t="s">
        <v>314</v>
      </c>
      <c r="BG1" t="s">
        <v>315</v>
      </c>
      <c r="BH1" t="s">
        <v>1057</v>
      </c>
      <c r="BI1" t="s">
        <v>1058</v>
      </c>
      <c r="BJ1" t="s">
        <v>1059</v>
      </c>
      <c r="BK1" t="s">
        <v>1060</v>
      </c>
      <c r="BL1" t="s">
        <v>1061</v>
      </c>
      <c r="BM1" t="s">
        <v>1062</v>
      </c>
      <c r="BN1" t="s">
        <v>914</v>
      </c>
      <c r="BO1" t="s">
        <v>698</v>
      </c>
      <c r="BP1" t="s">
        <v>316</v>
      </c>
      <c r="BQ1" t="s">
        <v>915</v>
      </c>
      <c r="BR1" t="s">
        <v>699</v>
      </c>
      <c r="BS1" t="s">
        <v>317</v>
      </c>
      <c r="BT1" t="s">
        <v>1063</v>
      </c>
      <c r="BU1" t="s">
        <v>916</v>
      </c>
      <c r="BV1" t="s">
        <v>1064</v>
      </c>
      <c r="BW1" t="s">
        <v>593</v>
      </c>
      <c r="BX1" t="s">
        <v>318</v>
      </c>
      <c r="BY1" t="s">
        <v>1065</v>
      </c>
      <c r="BZ1" t="s">
        <v>594</v>
      </c>
      <c r="CA1" t="s">
        <v>319</v>
      </c>
      <c r="CB1" t="s">
        <v>1066</v>
      </c>
      <c r="CC1" t="s">
        <v>1067</v>
      </c>
      <c r="CD1" t="s">
        <v>1068</v>
      </c>
      <c r="CE1" t="s">
        <v>1069</v>
      </c>
      <c r="CF1" s="1" t="s">
        <v>850</v>
      </c>
      <c r="CG1" s="1" t="s">
        <v>851</v>
      </c>
      <c r="CH1" s="1" t="s">
        <v>578</v>
      </c>
      <c r="CI1" s="1" t="s">
        <v>579</v>
      </c>
      <c r="CJ1" s="1" t="s">
        <v>580</v>
      </c>
      <c r="CK1" s="1" t="s">
        <v>581</v>
      </c>
      <c r="CL1" s="1" t="s">
        <v>582</v>
      </c>
      <c r="CM1" s="1" t="s">
        <v>583</v>
      </c>
      <c r="CN1" s="1" t="s">
        <v>584</v>
      </c>
      <c r="CO1" s="1" t="s">
        <v>585</v>
      </c>
      <c r="CP1" s="1" t="s">
        <v>586</v>
      </c>
      <c r="CQ1" s="1" t="s">
        <v>587</v>
      </c>
      <c r="CR1" s="1" t="s">
        <v>917</v>
      </c>
      <c r="CS1" s="1" t="s">
        <v>918</v>
      </c>
      <c r="CT1" s="1" t="s">
        <v>1070</v>
      </c>
      <c r="CU1" s="1" t="s">
        <v>919</v>
      </c>
      <c r="CV1" s="1" t="s">
        <v>1071</v>
      </c>
      <c r="CW1" s="1" t="s">
        <v>920</v>
      </c>
      <c r="CX1">
        <v>1</v>
      </c>
      <c r="CY1" t="s">
        <v>921</v>
      </c>
      <c r="CZ1" t="s">
        <v>1072</v>
      </c>
      <c r="DA1">
        <v>3</v>
      </c>
      <c r="DB1" t="s">
        <v>1077</v>
      </c>
      <c r="DC1" t="s">
        <v>922</v>
      </c>
      <c r="DD1">
        <v>6</v>
      </c>
      <c r="DE1" t="s">
        <v>923</v>
      </c>
      <c r="DF1" t="s">
        <v>1078</v>
      </c>
      <c r="DG1">
        <v>10</v>
      </c>
      <c r="DH1" t="s">
        <v>924</v>
      </c>
      <c r="DI1" t="s">
        <v>925</v>
      </c>
      <c r="DJ1">
        <v>20</v>
      </c>
      <c r="DK1" t="s">
        <v>926</v>
      </c>
      <c r="DL1" t="s">
        <v>588</v>
      </c>
      <c r="DM1" t="s">
        <v>589</v>
      </c>
      <c r="DN1" s="2" t="s">
        <v>590</v>
      </c>
      <c r="DO1" t="s">
        <v>927</v>
      </c>
      <c r="DP1" t="s">
        <v>928</v>
      </c>
      <c r="DQ1" s="12" t="s">
        <v>1073</v>
      </c>
      <c r="DR1" s="1" t="s">
        <v>929</v>
      </c>
      <c r="DS1" s="1" t="s">
        <v>1074</v>
      </c>
      <c r="DT1" t="s">
        <v>930</v>
      </c>
      <c r="DU1" t="s">
        <v>931</v>
      </c>
      <c r="DV1" t="s">
        <v>1079</v>
      </c>
      <c r="DW1" t="s">
        <v>1075</v>
      </c>
      <c r="DX1" t="s">
        <v>932</v>
      </c>
      <c r="DY1" t="s">
        <v>933</v>
      </c>
      <c r="DZ1" t="s">
        <v>934</v>
      </c>
      <c r="EA1" t="s">
        <v>935</v>
      </c>
      <c r="EB1" t="s">
        <v>936</v>
      </c>
      <c r="EC1" t="s">
        <v>937</v>
      </c>
      <c r="ED1" t="s">
        <v>938</v>
      </c>
      <c r="EE1" t="s">
        <v>939</v>
      </c>
      <c r="EF1" t="s">
        <v>940</v>
      </c>
      <c r="EG1" t="s">
        <v>941</v>
      </c>
      <c r="EH1" t="s">
        <v>942</v>
      </c>
      <c r="EI1" t="s">
        <v>943</v>
      </c>
      <c r="EK1" s="13" t="s">
        <v>944</v>
      </c>
      <c r="EL1" t="s">
        <v>945</v>
      </c>
      <c r="EM1" t="s">
        <v>1080</v>
      </c>
      <c r="EN1" t="s">
        <v>946</v>
      </c>
      <c r="EO1" t="s">
        <v>1076</v>
      </c>
      <c r="EP1" t="s">
        <v>947</v>
      </c>
    </row>
    <row r="2" spans="1:146" ht="154" customHeight="1" x14ac:dyDescent="0.25">
      <c r="A2" s="7" t="s">
        <v>694</v>
      </c>
      <c r="B2" s="7"/>
      <c r="C2" s="7" t="str">
        <f>""&amp;CHAR(10)&amp;Basic_Fundamental_Information_Constructure(F2)&amp;CHAR(10)&amp;Basic_Fundamental_Information_Concatenate("手表业务 26.37亿 94.95% 利润占比93.20% 毛利36.73%
租赁业务 7414.99万 2.67% 利润占比5.40% 毛利75.75%
精密科技业务 5930.59万 2.14% 利润占比0.86% 毛利15.14%
其他 671.57万 0.24% 利润占比0.53% 毛利82.39%")</f>
        <v xml:space="preserve">
市值45.466587亿, 利润2.67亿; PE13.65; 平均PE18.32; 平均PEG2.89, PB1.36; ROIC8.13%; ROE9.1333%; 股利率2.2831%; 毛利37.0567%; 净利7.42%; 上一年度营收增-16.97%, 利润增-31.19%; 当季营收增-3.25%, 利润增-11.73%; 过往5年营收增6.35%, 利润增17.14%
Income profile:
手表业务 26.37亿 94.95% 利润占比93.20% 毛利36.73%
租赁业务 7414.99万 2.67% 利润占比5.40% 毛利75.75%
精密科技业务 5930.59万 2.14% 利润占比0.86% 毛利15.14%
其他 671.57万 0.24% 利润占比0.53% 毛利82.39%</v>
      </c>
      <c r="D2" t="s">
        <v>57</v>
      </c>
      <c r="E2" t="s">
        <v>58</v>
      </c>
      <c r="F2">
        <v>10.95</v>
      </c>
      <c r="G2">
        <v>0.55000000000000004</v>
      </c>
      <c r="H2" t="s">
        <v>1716</v>
      </c>
      <c r="I2">
        <v>4546658700</v>
      </c>
      <c r="J2">
        <v>13.65</v>
      </c>
      <c r="K2">
        <v>1.36</v>
      </c>
      <c r="L2" t="s">
        <v>59</v>
      </c>
      <c r="M2" t="s">
        <v>1376</v>
      </c>
      <c r="N2" t="s">
        <v>1390</v>
      </c>
      <c r="O2" t="s">
        <v>1416</v>
      </c>
      <c r="P2">
        <v>4.1900000000000004</v>
      </c>
      <c r="Q2" t="s">
        <v>1101</v>
      </c>
      <c r="R2">
        <v>265557990</v>
      </c>
      <c r="S2" s="5">
        <v>0.15559999999999999</v>
      </c>
      <c r="T2" t="s">
        <v>246</v>
      </c>
      <c r="U2">
        <v>362553410</v>
      </c>
      <c r="V2">
        <v>415266730</v>
      </c>
      <c r="W2">
        <v>1.28</v>
      </c>
      <c r="X2">
        <v>0.85</v>
      </c>
      <c r="Y2">
        <v>7.53</v>
      </c>
      <c r="Z2" t="s">
        <v>1417</v>
      </c>
      <c r="AA2" t="s">
        <v>1418</v>
      </c>
      <c r="AB2" t="s">
        <v>1419</v>
      </c>
      <c r="AC2" t="s">
        <v>393</v>
      </c>
      <c r="AD2" t="s">
        <v>1248</v>
      </c>
      <c r="AE2">
        <v>16903969</v>
      </c>
      <c r="AF2" t="s">
        <v>1249</v>
      </c>
      <c r="AG2" t="s">
        <v>1420</v>
      </c>
      <c r="AH2" t="s">
        <v>1421</v>
      </c>
      <c r="AI2" t="s">
        <v>1143</v>
      </c>
      <c r="AJ2" t="s">
        <v>1422</v>
      </c>
      <c r="AK2" t="s">
        <v>1423</v>
      </c>
      <c r="AL2" t="s">
        <v>1424</v>
      </c>
      <c r="AM2" t="s">
        <v>41</v>
      </c>
      <c r="AN2">
        <v>0</v>
      </c>
      <c r="AO2" t="s">
        <v>502</v>
      </c>
      <c r="AP2" t="s">
        <v>41</v>
      </c>
      <c r="AQ2" t="s">
        <v>527</v>
      </c>
      <c r="AR2" t="s">
        <v>1425</v>
      </c>
      <c r="AS2" t="s">
        <v>521</v>
      </c>
      <c r="AT2" t="s">
        <v>41</v>
      </c>
      <c r="AU2" t="s">
        <v>887</v>
      </c>
      <c r="AV2" t="s">
        <v>1426</v>
      </c>
      <c r="AW2" t="s">
        <v>1427</v>
      </c>
      <c r="AX2" t="s">
        <v>700</v>
      </c>
      <c r="AY2" t="s">
        <v>320</v>
      </c>
      <c r="AZ2" t="s">
        <v>60</v>
      </c>
      <c r="BA2" t="s">
        <v>322</v>
      </c>
      <c r="BB2" t="s">
        <v>323</v>
      </c>
      <c r="BC2" t="s">
        <v>147</v>
      </c>
      <c r="BD2" t="s">
        <v>321</v>
      </c>
      <c r="BE2" t="s">
        <v>61</v>
      </c>
      <c r="BF2" t="s">
        <v>230</v>
      </c>
      <c r="BG2" t="s">
        <v>168</v>
      </c>
      <c r="BH2" t="s">
        <v>1247</v>
      </c>
      <c r="BI2" t="s">
        <v>1428</v>
      </c>
      <c r="BJ2" t="s">
        <v>1251</v>
      </c>
      <c r="BK2" t="s">
        <v>122</v>
      </c>
      <c r="BL2" t="s">
        <v>87</v>
      </c>
      <c r="BM2" t="s">
        <v>214</v>
      </c>
      <c r="BN2">
        <v>3.04</v>
      </c>
      <c r="BO2">
        <v>12.01</v>
      </c>
      <c r="BP2">
        <v>9.34</v>
      </c>
      <c r="BQ2">
        <v>3.23</v>
      </c>
      <c r="BR2">
        <v>13.39</v>
      </c>
      <c r="BS2">
        <v>10.78</v>
      </c>
      <c r="BT2" t="s">
        <v>1090</v>
      </c>
      <c r="BU2" t="s">
        <v>948</v>
      </c>
      <c r="BV2">
        <v>36.03</v>
      </c>
      <c r="BW2">
        <v>37.340000000000003</v>
      </c>
      <c r="BX2">
        <v>37.799999999999997</v>
      </c>
      <c r="BY2">
        <v>7.93</v>
      </c>
      <c r="BZ2">
        <v>7.4</v>
      </c>
      <c r="CA2">
        <v>6.93</v>
      </c>
      <c r="CB2">
        <v>5.8</v>
      </c>
      <c r="CC2">
        <v>18.12</v>
      </c>
      <c r="CD2" t="s">
        <v>1717</v>
      </c>
      <c r="CE2" t="s">
        <v>88</v>
      </c>
      <c r="CF2" s="8">
        <v>-3.2472939217318503E-2</v>
      </c>
      <c r="CG2" s="9">
        <v>-0.11732595505617947</v>
      </c>
      <c r="CH2" s="8">
        <v>-0.16971783339977264</v>
      </c>
      <c r="CI2" s="8">
        <v>0.23591803014278412</v>
      </c>
      <c r="CJ2" s="8">
        <v>0.14551837742328644</v>
      </c>
      <c r="CK2" s="8">
        <v>8.9411765336990356E-2</v>
      </c>
      <c r="CL2" s="8">
        <v>1.613871194422245E-2</v>
      </c>
      <c r="CM2" s="9">
        <v>-0.31185567378997803</v>
      </c>
      <c r="CN2" s="9">
        <v>0.31972789764404297</v>
      </c>
      <c r="CO2" s="9">
        <v>0.3611111044883728</v>
      </c>
      <c r="CP2" s="9">
        <v>0.17391304671764374</v>
      </c>
      <c r="CQ2" s="9">
        <v>0.31428572535514832</v>
      </c>
      <c r="CR2">
        <v>18.320988717259908</v>
      </c>
      <c r="CS2">
        <v>2.8872952835569827</v>
      </c>
      <c r="CT2">
        <v>2.2831050228310503</v>
      </c>
      <c r="CU2" s="8">
        <v>6.3453810289502144E-2</v>
      </c>
      <c r="CV2" s="9">
        <v>0.17143642008304597</v>
      </c>
      <c r="CW2">
        <v>0.06</v>
      </c>
      <c r="CX2">
        <v>8.1967333127851312</v>
      </c>
      <c r="CY2">
        <v>267869969.19556323</v>
      </c>
      <c r="CZ2">
        <v>6.3453810289502144E-2</v>
      </c>
      <c r="DA2">
        <v>2.7396935107490799</v>
      </c>
      <c r="DB2">
        <v>801424937.27324581</v>
      </c>
      <c r="DC2">
        <v>6.0281119775027037E-2</v>
      </c>
      <c r="DD2">
        <v>1.3895385382599552</v>
      </c>
      <c r="DE2">
        <v>1580135159.6548779</v>
      </c>
      <c r="DF2">
        <v>5.5839353054761884E-2</v>
      </c>
      <c r="DG2">
        <v>0.86262542410446519</v>
      </c>
      <c r="DH2">
        <v>2545321107.6863675</v>
      </c>
      <c r="DI2">
        <v>5.0763048231601715E-2</v>
      </c>
      <c r="DJ2">
        <v>0.47860099918979371</v>
      </c>
      <c r="DK2">
        <v>4587660083.69592</v>
      </c>
      <c r="DL2">
        <v>4.4417667202651501E-2</v>
      </c>
      <c r="DM2">
        <v>267000000</v>
      </c>
      <c r="DN2">
        <v>6.3453810289502144E-2</v>
      </c>
      <c r="DO2">
        <v>2195658700</v>
      </c>
      <c r="DP2">
        <v>2206626100</v>
      </c>
      <c r="DQ2">
        <v>20</v>
      </c>
      <c r="DR2">
        <v>-9.5926749506820647E-2</v>
      </c>
      <c r="DS2">
        <v>-0.28876237513922542</v>
      </c>
      <c r="DT2" s="10">
        <v>-0.45666666666666672</v>
      </c>
      <c r="DU2">
        <v>0.55333333333333323</v>
      </c>
      <c r="DV2">
        <v>9.6666666666666512E-2</v>
      </c>
      <c r="DW2">
        <v>8.3200883002207497</v>
      </c>
      <c r="DX2">
        <v>0.3244721212121216</v>
      </c>
      <c r="DY2">
        <v>8.0462438357080739</v>
      </c>
      <c r="DZ2">
        <v>2043</v>
      </c>
      <c r="EA2">
        <v>8.027777034231999</v>
      </c>
      <c r="EB2">
        <v>8</v>
      </c>
      <c r="EC2">
        <v>5.7403828137158976E-2</v>
      </c>
      <c r="ED2">
        <v>0.39733498515520377</v>
      </c>
      <c r="EE2" s="11">
        <v>2.0910000000000002E-2</v>
      </c>
      <c r="EF2">
        <v>1.5409999999999997E-2</v>
      </c>
      <c r="EG2">
        <v>18.144472121212122</v>
      </c>
      <c r="EH2">
        <v>-1</v>
      </c>
      <c r="EI2">
        <v>0</v>
      </c>
      <c r="EJ2">
        <v>0</v>
      </c>
      <c r="EK2" s="13">
        <v>45385</v>
      </c>
      <c r="EL2" s="14">
        <v>1.06</v>
      </c>
      <c r="EM2" s="14">
        <v>1.63</v>
      </c>
      <c r="EN2" s="14">
        <v>2.2599999999999998</v>
      </c>
      <c r="EO2" s="14">
        <v>0.18</v>
      </c>
      <c r="EP2" s="14">
        <v>0.55000000000000004</v>
      </c>
    </row>
    <row r="3" spans="1:146" ht="96" x14ac:dyDescent="0.25">
      <c r="A3" s="7"/>
      <c r="B3" s="7"/>
      <c r="C3" s="7" t="str">
        <f>""&amp;CHAR(10)&amp;Basic_Fundamental_Information_Constructure(F3)&amp;CHAR(10)&amp;Basic_Fundamental_Information_Concatenate("")</f>
        <v xml:space="preserve">
市值13.176亿, 利润-1541.82万; PE; 平均PE26.05; 平均PEG1.84, PB1.51; ROIC8.7633%; ROE10.5%; 股利率0%; 毛利36.3067%; 净利4.7133%; 上一年度营收增-2.15%, 利润增-121.93%; 当季营收增10.5%, 利润增184.61%; 过往5年营收增14.14%, 利润增-10.06%
Income profile:
</v>
      </c>
      <c r="D3" t="s">
        <v>595</v>
      </c>
      <c r="E3" t="s">
        <v>596</v>
      </c>
      <c r="F3">
        <v>18.3</v>
      </c>
      <c r="G3">
        <v>0</v>
      </c>
      <c r="H3" t="s">
        <v>1719</v>
      </c>
      <c r="I3">
        <v>1317600000</v>
      </c>
      <c r="K3">
        <v>1.51</v>
      </c>
      <c r="L3" t="s">
        <v>59</v>
      </c>
      <c r="M3" t="s">
        <v>1326</v>
      </c>
      <c r="N3" t="s">
        <v>1429</v>
      </c>
      <c r="O3" t="s">
        <v>438</v>
      </c>
      <c r="P3">
        <v>8.09</v>
      </c>
      <c r="Q3" t="s">
        <v>1005</v>
      </c>
      <c r="R3">
        <v>-4018649</v>
      </c>
      <c r="S3" s="5">
        <v>-1.774</v>
      </c>
      <c r="T3" t="s">
        <v>1102</v>
      </c>
      <c r="U3">
        <v>37623315</v>
      </c>
      <c r="V3">
        <v>72000000</v>
      </c>
      <c r="W3">
        <v>1.71</v>
      </c>
      <c r="X3">
        <v>0.46</v>
      </c>
      <c r="Y3">
        <v>-0.71</v>
      </c>
      <c r="Z3" t="s">
        <v>1430</v>
      </c>
      <c r="AA3" t="s">
        <v>1431</v>
      </c>
      <c r="AB3" t="s">
        <v>337</v>
      </c>
      <c r="AC3" t="s">
        <v>1432</v>
      </c>
      <c r="AD3" t="s">
        <v>1253</v>
      </c>
      <c r="AE3">
        <v>9836669</v>
      </c>
      <c r="AF3" t="s">
        <v>1433</v>
      </c>
      <c r="AG3" t="s">
        <v>1434</v>
      </c>
      <c r="AH3" t="s">
        <v>1435</v>
      </c>
      <c r="AI3" t="s">
        <v>1436</v>
      </c>
      <c r="AJ3" t="s">
        <v>1437</v>
      </c>
      <c r="AK3" t="s">
        <v>41</v>
      </c>
      <c r="AL3" t="s">
        <v>1438</v>
      </c>
      <c r="AM3" t="s">
        <v>41</v>
      </c>
      <c r="AN3" t="s">
        <v>854</v>
      </c>
      <c r="AO3" t="s">
        <v>1324</v>
      </c>
      <c r="AP3" t="s">
        <v>41</v>
      </c>
      <c r="AQ3" t="s">
        <v>99</v>
      </c>
      <c r="AR3" t="s">
        <v>41</v>
      </c>
      <c r="AS3" t="s">
        <v>866</v>
      </c>
      <c r="AT3" t="s">
        <v>1328</v>
      </c>
      <c r="AU3" t="s">
        <v>1439</v>
      </c>
      <c r="AV3" t="s">
        <v>1440</v>
      </c>
      <c r="AW3" t="s">
        <v>1441</v>
      </c>
      <c r="AX3" t="s">
        <v>702</v>
      </c>
      <c r="AY3" t="s">
        <v>597</v>
      </c>
      <c r="AZ3" t="s">
        <v>598</v>
      </c>
      <c r="BA3" t="s">
        <v>599</v>
      </c>
      <c r="BB3" t="s">
        <v>98</v>
      </c>
      <c r="BC3" t="s">
        <v>1329</v>
      </c>
      <c r="BD3" t="s">
        <v>1330</v>
      </c>
      <c r="BE3" t="s">
        <v>1331</v>
      </c>
      <c r="BF3" t="s">
        <v>1332</v>
      </c>
      <c r="BG3" t="s">
        <v>1333</v>
      </c>
      <c r="BH3" t="s">
        <v>958</v>
      </c>
      <c r="BI3" t="s">
        <v>1326</v>
      </c>
      <c r="BJ3" t="s">
        <v>147</v>
      </c>
      <c r="BK3" t="s">
        <v>1442</v>
      </c>
      <c r="BL3" t="s">
        <v>1443</v>
      </c>
      <c r="BM3" t="s">
        <v>1254</v>
      </c>
      <c r="BN3">
        <v>0.55000000000000004</v>
      </c>
      <c r="BO3">
        <v>9.4499999999999993</v>
      </c>
      <c r="BP3">
        <v>16.29</v>
      </c>
      <c r="BQ3">
        <v>0.24</v>
      </c>
      <c r="BR3">
        <v>10.49</v>
      </c>
      <c r="BS3">
        <v>20.77</v>
      </c>
      <c r="BT3" t="s">
        <v>1081</v>
      </c>
      <c r="BU3" t="s">
        <v>843</v>
      </c>
      <c r="BV3">
        <v>34.1</v>
      </c>
      <c r="BW3">
        <v>37</v>
      </c>
      <c r="BX3">
        <v>37.82</v>
      </c>
      <c r="BY3">
        <v>-3.82</v>
      </c>
      <c r="BZ3">
        <v>7.2</v>
      </c>
      <c r="CA3">
        <v>10.76</v>
      </c>
      <c r="CB3">
        <v>9.58</v>
      </c>
      <c r="CC3">
        <v>21.43</v>
      </c>
      <c r="CD3" t="s">
        <v>1720</v>
      </c>
      <c r="CE3" t="s">
        <v>1721</v>
      </c>
      <c r="CF3" s="8">
        <v>0.10504201680672294</v>
      </c>
      <c r="CG3" s="9">
        <v>1.846096813989184</v>
      </c>
      <c r="CH3" s="8">
        <v>-2.151639387011528E-2</v>
      </c>
      <c r="CI3" s="8">
        <v>0.17026378214359283</v>
      </c>
      <c r="CJ3" s="8">
        <v>0.16155989468097687</v>
      </c>
      <c r="CK3" s="8">
        <v>0.1809210479259491</v>
      </c>
      <c r="CL3" s="8">
        <v>0.21600000560283661</v>
      </c>
      <c r="CM3" s="9">
        <v>-1.2193487882614136</v>
      </c>
      <c r="CN3" s="9">
        <v>-0.21691247820854187</v>
      </c>
      <c r="CO3" s="9">
        <v>0.24946025013923645</v>
      </c>
      <c r="CP3" s="9">
        <v>0.56281745433807373</v>
      </c>
      <c r="CQ3" s="9">
        <v>0.12116467207670212</v>
      </c>
      <c r="CR3">
        <v>26.053067108002775</v>
      </c>
      <c r="CS3">
        <v>1.8419134078785726</v>
      </c>
      <c r="CT3">
        <v>0</v>
      </c>
      <c r="CU3" s="8">
        <v>0.14144566729664804</v>
      </c>
      <c r="CV3" s="9">
        <v>-0.10056377798318863</v>
      </c>
      <c r="CW3">
        <v>0.06</v>
      </c>
      <c r="CX3" t="e">
        <v>#VALUE!</v>
      </c>
      <c r="CY3" t="s">
        <v>852</v>
      </c>
      <c r="CZ3">
        <v>0.14144566729664804</v>
      </c>
      <c r="DA3" t="e">
        <v>#VALUE!</v>
      </c>
      <c r="DB3" t="s">
        <v>853</v>
      </c>
      <c r="DC3">
        <v>0.13437338393181564</v>
      </c>
      <c r="DD3" t="e">
        <v>#VALUE!</v>
      </c>
      <c r="DE3" t="s">
        <v>853</v>
      </c>
      <c r="DF3">
        <v>0.12447218722105027</v>
      </c>
      <c r="DG3" t="e">
        <v>#VALUE!</v>
      </c>
      <c r="DH3" t="s">
        <v>853</v>
      </c>
      <c r="DI3">
        <v>0.11315653383731844</v>
      </c>
      <c r="DJ3" t="e">
        <v>#VALUE!</v>
      </c>
      <c r="DK3" t="s">
        <v>853</v>
      </c>
      <c r="DL3">
        <v>9.9011967107653615E-2</v>
      </c>
      <c r="DM3">
        <v>-15418200</v>
      </c>
      <c r="DN3">
        <v>0.14144566729664804</v>
      </c>
      <c r="DO3">
        <v>1059600000</v>
      </c>
      <c r="DP3">
        <v>216830599.99999994</v>
      </c>
      <c r="DQ3">
        <v>440</v>
      </c>
      <c r="DR3">
        <v>-3.6403650489925096E-2</v>
      </c>
      <c r="DS3">
        <v>1.9466605919723727</v>
      </c>
      <c r="DT3" s="10">
        <v>5.9999999999999908E-2</v>
      </c>
      <c r="DU3">
        <v>-1.5483333333333336</v>
      </c>
      <c r="DV3">
        <v>-1.4883333333333337</v>
      </c>
      <c r="DW3">
        <v>9.4470368642090534</v>
      </c>
      <c r="DX3">
        <v>0.4716341864287385</v>
      </c>
      <c r="DY3">
        <v>9.0722564398500847</v>
      </c>
      <c r="DZ3">
        <v>4204</v>
      </c>
      <c r="EA3">
        <v>9.0128807414275371</v>
      </c>
      <c r="EB3">
        <v>9</v>
      </c>
      <c r="EC3">
        <v>0.10039166666666668</v>
      </c>
      <c r="ED3">
        <v>0.62110416666666668</v>
      </c>
      <c r="EE3" s="11">
        <v>-3.0118999999999998</v>
      </c>
      <c r="EF3">
        <v>-3.0118999999999998</v>
      </c>
      <c r="EG3">
        <v>31.161634186428739</v>
      </c>
      <c r="EH3" t="s">
        <v>1599</v>
      </c>
      <c r="EI3">
        <v>1</v>
      </c>
      <c r="EJ3">
        <v>0</v>
      </c>
      <c r="EK3" s="13">
        <v>45385</v>
      </c>
      <c r="EL3" s="14">
        <v>3.11</v>
      </c>
      <c r="EM3" s="14">
        <v>0.87</v>
      </c>
      <c r="EN3" s="14">
        <v>3.63</v>
      </c>
      <c r="EO3" s="14">
        <v>1.67</v>
      </c>
      <c r="EP3" s="14">
        <v>0</v>
      </c>
    </row>
    <row r="4" spans="1:146" ht="96" x14ac:dyDescent="0.25">
      <c r="A4" s="7"/>
      <c r="B4" s="7"/>
      <c r="C4" s="7" t="str">
        <f>""&amp;CHAR(10)&amp;Basic_Fundamental_Information_Constructure(F4)&amp;CHAR(10)&amp;Basic_Fundamental_Information_Concatenate("")</f>
        <v xml:space="preserve">
市值30.148444亿, 利润1.80亿; PE16.41; 平均PE21.93; 平均PEG2.49, PB1.85; ROIC11.6333%; ROE12.9%; 股利率2.1721%; 毛利31.58%; 净利12.9067%; 上一年度营收增-10.72%, 利润增5.26%; 当季营收增8.11%, 利润增10.24%; 过往5年营收增8.8%, 利润增11.05%
Income profile:
</v>
      </c>
      <c r="D4" t="s">
        <v>600</v>
      </c>
      <c r="E4" t="s">
        <v>601</v>
      </c>
      <c r="F4">
        <v>11.97</v>
      </c>
      <c r="G4">
        <v>1.27</v>
      </c>
      <c r="H4" t="s">
        <v>1761</v>
      </c>
      <c r="I4">
        <v>3014844400</v>
      </c>
      <c r="J4">
        <v>16.41</v>
      </c>
      <c r="K4">
        <v>1.85</v>
      </c>
      <c r="L4" t="s">
        <v>1762</v>
      </c>
      <c r="M4" t="s">
        <v>1255</v>
      </c>
      <c r="N4" t="s">
        <v>1763</v>
      </c>
      <c r="O4" t="s">
        <v>982</v>
      </c>
      <c r="P4">
        <v>7.95</v>
      </c>
      <c r="Q4" t="s">
        <v>1480</v>
      </c>
      <c r="R4">
        <v>45667020</v>
      </c>
      <c r="S4" s="5">
        <v>0.1024</v>
      </c>
      <c r="T4" t="s">
        <v>985</v>
      </c>
      <c r="U4">
        <v>62966700</v>
      </c>
      <c r="V4">
        <v>251866700</v>
      </c>
      <c r="W4">
        <v>1.22</v>
      </c>
      <c r="X4">
        <v>0.14000000000000001</v>
      </c>
      <c r="Y4">
        <v>16.239999999999998</v>
      </c>
      <c r="Z4" t="s">
        <v>185</v>
      </c>
      <c r="AA4" t="s">
        <v>114</v>
      </c>
      <c r="AB4" t="s">
        <v>1764</v>
      </c>
      <c r="AC4" t="s">
        <v>1765</v>
      </c>
      <c r="AD4" t="s">
        <v>41</v>
      </c>
      <c r="AE4">
        <v>-2839583</v>
      </c>
      <c r="AF4" t="s">
        <v>1766</v>
      </c>
      <c r="AG4" t="s">
        <v>41</v>
      </c>
      <c r="AH4" t="s">
        <v>1767</v>
      </c>
      <c r="AI4" t="s">
        <v>1686</v>
      </c>
      <c r="AJ4" t="s">
        <v>1768</v>
      </c>
      <c r="AK4" t="s">
        <v>1769</v>
      </c>
      <c r="AL4" t="s">
        <v>1770</v>
      </c>
      <c r="AM4" t="s">
        <v>41</v>
      </c>
      <c r="AN4" t="s">
        <v>1771</v>
      </c>
      <c r="AO4" t="s">
        <v>41</v>
      </c>
      <c r="AP4" t="s">
        <v>1772</v>
      </c>
      <c r="AQ4" t="s">
        <v>219</v>
      </c>
      <c r="AR4" t="s">
        <v>41</v>
      </c>
      <c r="AS4" t="s">
        <v>152</v>
      </c>
      <c r="AT4" t="s">
        <v>41</v>
      </c>
      <c r="AU4" t="s">
        <v>1773</v>
      </c>
      <c r="AV4" t="s">
        <v>1774</v>
      </c>
      <c r="AW4" t="s">
        <v>1775</v>
      </c>
      <c r="AX4" t="s">
        <v>1092</v>
      </c>
      <c r="AY4" t="s">
        <v>703</v>
      </c>
      <c r="AZ4" t="s">
        <v>602</v>
      </c>
      <c r="BA4" t="s">
        <v>541</v>
      </c>
      <c r="BB4" t="s">
        <v>264</v>
      </c>
      <c r="BC4" t="s">
        <v>378</v>
      </c>
      <c r="BD4" t="s">
        <v>273</v>
      </c>
      <c r="BE4" t="s">
        <v>180</v>
      </c>
      <c r="BF4" t="s">
        <v>1334</v>
      </c>
      <c r="BG4" t="s">
        <v>449</v>
      </c>
      <c r="BH4" t="s">
        <v>1480</v>
      </c>
      <c r="BI4" t="s">
        <v>983</v>
      </c>
      <c r="BJ4" t="s">
        <v>1092</v>
      </c>
      <c r="BK4" t="s">
        <v>985</v>
      </c>
      <c r="BL4" t="s">
        <v>1776</v>
      </c>
      <c r="BM4" t="s">
        <v>378</v>
      </c>
      <c r="BN4">
        <v>9.33</v>
      </c>
      <c r="BO4">
        <v>11.91</v>
      </c>
      <c r="BP4">
        <v>13.66</v>
      </c>
      <c r="BQ4">
        <v>9.8699999999999992</v>
      </c>
      <c r="BR4">
        <v>12.28</v>
      </c>
      <c r="BS4">
        <v>16.55</v>
      </c>
      <c r="BT4" t="s">
        <v>1224</v>
      </c>
      <c r="BU4" t="s">
        <v>1777</v>
      </c>
      <c r="BV4">
        <v>32.36</v>
      </c>
      <c r="BW4">
        <v>32.42</v>
      </c>
      <c r="BX4">
        <v>29.96</v>
      </c>
      <c r="BY4">
        <v>14.56</v>
      </c>
      <c r="BZ4">
        <v>12.53</v>
      </c>
      <c r="CA4">
        <v>11.63</v>
      </c>
      <c r="CB4">
        <v>-4.7</v>
      </c>
      <c r="CC4">
        <v>-13.26</v>
      </c>
      <c r="CD4" t="s">
        <v>1778</v>
      </c>
      <c r="CE4" t="s">
        <v>1779</v>
      </c>
      <c r="CF4" s="8">
        <v>8.1081081081081086E-2</v>
      </c>
      <c r="CG4" s="9">
        <v>0.10238910815801862</v>
      </c>
      <c r="CH4" s="8">
        <v>-0.10724637657403946</v>
      </c>
      <c r="CI4" s="8">
        <v>0.14617940783500671</v>
      </c>
      <c r="CJ4" s="8">
        <v>0.30727469921112061</v>
      </c>
      <c r="CK4" s="8">
        <v>-3.0526315793395042E-2</v>
      </c>
      <c r="CL4" s="8">
        <v>0.12426035851240158</v>
      </c>
      <c r="CM4" s="9">
        <v>5.2631579339504242E-2</v>
      </c>
      <c r="CN4" s="9">
        <v>0.24817518889904022</v>
      </c>
      <c r="CO4" s="9">
        <v>0.16101695597171783</v>
      </c>
      <c r="CP4" s="9">
        <v>6.3063062727451324E-2</v>
      </c>
      <c r="CQ4" s="9">
        <v>2.777777798473835E-2</v>
      </c>
      <c r="CR4">
        <v>21.926141090909091</v>
      </c>
      <c r="CS4">
        <v>2.4919367092455196</v>
      </c>
      <c r="CT4">
        <v>2.1720969089390141</v>
      </c>
      <c r="CU4" s="8">
        <v>8.7988354638218885E-2</v>
      </c>
      <c r="CV4" s="9">
        <v>0.11053291298449039</v>
      </c>
      <c r="CW4">
        <v>0.06</v>
      </c>
      <c r="CX4">
        <v>9.4658645119231313</v>
      </c>
      <c r="CY4">
        <v>184752739.46686739</v>
      </c>
      <c r="CZ4">
        <v>8.7988354638218885E-2</v>
      </c>
      <c r="DA4">
        <v>3.0986312139972023</v>
      </c>
      <c r="DB4">
        <v>564392558.91442752</v>
      </c>
      <c r="DC4">
        <v>8.3588936906307934E-2</v>
      </c>
      <c r="DD4">
        <v>1.5288613965887576</v>
      </c>
      <c r="DE4">
        <v>1143886819.238209</v>
      </c>
      <c r="DF4">
        <v>7.7429752081632622E-2</v>
      </c>
      <c r="DG4">
        <v>0.92046590549843421</v>
      </c>
      <c r="DH4">
        <v>1899955652.4073503</v>
      </c>
      <c r="DI4">
        <v>7.0390683710575108E-2</v>
      </c>
      <c r="DJ4">
        <v>0.47817785446366023</v>
      </c>
      <c r="DK4">
        <v>3657309479.4646239</v>
      </c>
      <c r="DL4">
        <v>6.1591848246753213E-2</v>
      </c>
      <c r="DM4">
        <v>180000000</v>
      </c>
      <c r="DN4">
        <v>8.7988354638218885E-2</v>
      </c>
      <c r="DO4">
        <v>1748844400</v>
      </c>
      <c r="DP4">
        <v>916323840</v>
      </c>
      <c r="DQ4">
        <v>441</v>
      </c>
      <c r="DR4">
        <v>-6.9072735571377997E-3</v>
      </c>
      <c r="DS4">
        <v>-8.1438048264717705E-3</v>
      </c>
      <c r="DT4" s="10">
        <v>-0.3066666666666667</v>
      </c>
      <c r="DU4">
        <v>0.28333333333333338</v>
      </c>
      <c r="DV4">
        <v>-2.3333333333333317E-2</v>
      </c>
      <c r="DW4">
        <v>-8.3544494720965314</v>
      </c>
      <c r="DX4">
        <v>0.32219871462545679</v>
      </c>
      <c r="DY4">
        <v>-8.039768775168902</v>
      </c>
      <c r="DZ4">
        <v>1752</v>
      </c>
      <c r="EA4">
        <v>-8.026133766539564</v>
      </c>
      <c r="EB4">
        <v>8</v>
      </c>
      <c r="EC4">
        <v>3.2480276273123845E-2</v>
      </c>
      <c r="ED4">
        <v>0.28948884469443559</v>
      </c>
      <c r="EE4" s="11">
        <v>-1.02121</v>
      </c>
      <c r="EF4">
        <v>-1.0438099999999999</v>
      </c>
      <c r="EG4">
        <v>21.112198714625457</v>
      </c>
      <c r="EH4" t="s">
        <v>1095</v>
      </c>
      <c r="EI4">
        <v>0</v>
      </c>
      <c r="EJ4">
        <v>0</v>
      </c>
      <c r="EK4" s="13">
        <v>45470</v>
      </c>
      <c r="EL4" s="14">
        <v>0.95</v>
      </c>
      <c r="EM4" s="14">
        <v>-3.36</v>
      </c>
      <c r="EN4" s="14">
        <v>1.05</v>
      </c>
      <c r="EO4" s="14">
        <v>2.88</v>
      </c>
      <c r="EP4" s="14">
        <v>-2.2599999999999998</v>
      </c>
    </row>
    <row r="5" spans="1:146" ht="156" x14ac:dyDescent="0.25">
      <c r="A5" s="7" t="s">
        <v>1033</v>
      </c>
      <c r="B5" s="7" t="s">
        <v>1032</v>
      </c>
      <c r="C5" s="7" t="str">
        <f>"公司的主营业务为宠物用品和宠物零食的研发、生产和销售，主要产品包括宠物牵引用具、宠物注塑玩具等宠物用品，狗咬胶等宠物零食等。"&amp;CHAR(10)&amp;Basic_Fundamental_Information_Constructure(F5)&amp;CHAR(10)&amp;Basic_Fundamental_Information_Concatenate("宠物牵引用具 6.13亿 57.33%  69.38% 27.59%
宠物零食 3.53亿 32.99% 22.65% 15.65%
其他宠物产品 8750.41万 8.19% 6.89% 19.18%
宠物注塑玩具 1101.02万 1.03% 1.37% 30.28%")</f>
        <v>公司的主营业务为宠物用品和宠物零食的研发、生产和销售，主要产品包括宠物牵引用具、宠物注塑玩具等宠物用品，狗咬胶等宠物零食等。
市值22.944978亿, 利润1.26亿; PE16.22; 平均PE22.1; 平均PEG1.05, PB1.86; ROIC17.1133%; ROE19.04%; 股利率1.6639%; 毛利23.0233%; 净利15.6933%; 上一年度营收增3.88%, 利润增-20.75%; 当季营收增30.85%, 利润增72.51%; 过往5年营收增21.08%, 利润增19.78%
Income profile:
宠物牵引用具 6.13亿 57.33%  69.38% 27.59%
宠物零食 3.53亿 32.99% 22.65% 15.65%
其他宠物产品 8750.41万 8.19% 6.89% 19.18%
宠物注塑玩具 1101.02万 1.03% 1.37% 30.28%</v>
      </c>
      <c r="D5" t="s">
        <v>855</v>
      </c>
      <c r="E5" t="s">
        <v>856</v>
      </c>
      <c r="F5">
        <v>12.02</v>
      </c>
      <c r="G5">
        <v>1.69</v>
      </c>
      <c r="H5" t="s">
        <v>1780</v>
      </c>
      <c r="I5">
        <v>2294497800</v>
      </c>
      <c r="J5">
        <v>16.22</v>
      </c>
      <c r="K5">
        <v>1.86</v>
      </c>
      <c r="L5" t="s">
        <v>1762</v>
      </c>
      <c r="M5" t="s">
        <v>99</v>
      </c>
      <c r="N5" t="s">
        <v>1781</v>
      </c>
      <c r="O5" t="s">
        <v>324</v>
      </c>
      <c r="P5">
        <v>30.67</v>
      </c>
      <c r="Q5" t="s">
        <v>150</v>
      </c>
      <c r="R5">
        <v>36536964</v>
      </c>
      <c r="S5" s="5">
        <v>0.72509999999999997</v>
      </c>
      <c r="T5" t="s">
        <v>141</v>
      </c>
      <c r="U5">
        <v>78545225</v>
      </c>
      <c r="V5">
        <v>190890000</v>
      </c>
      <c r="W5">
        <v>1.1100000000000001</v>
      </c>
      <c r="X5">
        <v>0.16</v>
      </c>
      <c r="Y5">
        <v>17.11</v>
      </c>
      <c r="Z5" t="s">
        <v>99</v>
      </c>
      <c r="AA5" t="s">
        <v>125</v>
      </c>
      <c r="AB5" t="s">
        <v>1782</v>
      </c>
      <c r="AC5" t="s">
        <v>1783</v>
      </c>
      <c r="AD5" t="s">
        <v>41</v>
      </c>
      <c r="AE5">
        <v>-8851350</v>
      </c>
      <c r="AF5" t="s">
        <v>1784</v>
      </c>
      <c r="AG5" t="s">
        <v>1785</v>
      </c>
      <c r="AH5" t="s">
        <v>1786</v>
      </c>
      <c r="AI5" t="s">
        <v>1787</v>
      </c>
      <c r="AJ5" t="s">
        <v>1788</v>
      </c>
      <c r="AK5" t="s">
        <v>41</v>
      </c>
      <c r="AL5" t="s">
        <v>1789</v>
      </c>
      <c r="AM5" t="s">
        <v>41</v>
      </c>
      <c r="AN5" t="s">
        <v>88</v>
      </c>
      <c r="AO5" t="s">
        <v>41</v>
      </c>
      <c r="AP5" t="s">
        <v>41</v>
      </c>
      <c r="AQ5" t="s">
        <v>618</v>
      </c>
      <c r="AR5" t="s">
        <v>41</v>
      </c>
      <c r="AS5" t="s">
        <v>1790</v>
      </c>
      <c r="AT5" t="s">
        <v>41</v>
      </c>
      <c r="AU5" t="s">
        <v>1791</v>
      </c>
      <c r="AV5" t="s">
        <v>1792</v>
      </c>
      <c r="AW5" t="s">
        <v>1793</v>
      </c>
      <c r="AX5" t="s">
        <v>1105</v>
      </c>
      <c r="AY5" t="s">
        <v>902</v>
      </c>
      <c r="AZ5" t="s">
        <v>599</v>
      </c>
      <c r="BA5" t="s">
        <v>858</v>
      </c>
      <c r="BB5" t="s">
        <v>859</v>
      </c>
      <c r="BC5" t="s">
        <v>980</v>
      </c>
      <c r="BD5" t="s">
        <v>273</v>
      </c>
      <c r="BE5" t="s">
        <v>1336</v>
      </c>
      <c r="BF5" t="s">
        <v>1337</v>
      </c>
      <c r="BG5" t="s">
        <v>1338</v>
      </c>
      <c r="BH5" t="s">
        <v>150</v>
      </c>
      <c r="BI5" t="s">
        <v>114</v>
      </c>
      <c r="BJ5" t="s">
        <v>1105</v>
      </c>
      <c r="BK5" t="s">
        <v>141</v>
      </c>
      <c r="BL5" t="s">
        <v>1794</v>
      </c>
      <c r="BM5" t="s">
        <v>980</v>
      </c>
      <c r="BN5">
        <v>7.04</v>
      </c>
      <c r="BO5">
        <v>17.78</v>
      </c>
      <c r="BP5">
        <v>26.52</v>
      </c>
      <c r="BQ5">
        <v>8.84</v>
      </c>
      <c r="BR5">
        <v>20.239999999999998</v>
      </c>
      <c r="BS5">
        <v>28.04</v>
      </c>
      <c r="BT5" t="s">
        <v>1085</v>
      </c>
      <c r="BU5" t="s">
        <v>950</v>
      </c>
      <c r="BV5">
        <v>22.14</v>
      </c>
      <c r="BW5">
        <v>24.13</v>
      </c>
      <c r="BX5">
        <v>22.8</v>
      </c>
      <c r="BY5">
        <v>14.69</v>
      </c>
      <c r="BZ5">
        <v>17.98</v>
      </c>
      <c r="CA5">
        <v>14.41</v>
      </c>
      <c r="CB5">
        <v>-1.88</v>
      </c>
      <c r="CC5">
        <v>-8.8000000000000007</v>
      </c>
      <c r="CD5" t="s">
        <v>1795</v>
      </c>
      <c r="CE5" t="s">
        <v>1796</v>
      </c>
      <c r="CF5" s="8">
        <v>0.30851063829787234</v>
      </c>
      <c r="CG5" s="9">
        <v>0.72508541157140294</v>
      </c>
      <c r="CH5" s="8">
        <v>3.8784068077802658E-2</v>
      </c>
      <c r="CI5" s="8">
        <v>-0.10757717490196228</v>
      </c>
      <c r="CJ5" s="8">
        <v>0.75822371244430542</v>
      </c>
      <c r="CK5" s="8">
        <v>0.18058252334594727</v>
      </c>
      <c r="CL5" s="8">
        <v>0.18390804529190063</v>
      </c>
      <c r="CM5" s="9">
        <v>-0.20754717290401459</v>
      </c>
      <c r="CN5" s="9">
        <v>0.16058394312858582</v>
      </c>
      <c r="CO5" s="9">
        <v>0.64667421579360962</v>
      </c>
      <c r="CP5" s="9">
        <v>0.51512891054153442</v>
      </c>
      <c r="CQ5" s="9">
        <v>-0.1259109228849411</v>
      </c>
      <c r="CR5">
        <v>22.100343392822541</v>
      </c>
      <c r="CS5">
        <v>1.0484817998073785</v>
      </c>
      <c r="CT5">
        <v>1.6638935108153079</v>
      </c>
      <c r="CU5" s="8">
        <v>0.21078423485159875</v>
      </c>
      <c r="CV5" s="9">
        <v>0.19778579473495483</v>
      </c>
      <c r="CW5">
        <v>0.06</v>
      </c>
      <c r="CX5">
        <v>7.8479088806198325</v>
      </c>
      <c r="CY5">
        <v>143923409.04839757</v>
      </c>
      <c r="CZ5">
        <v>0.21078423485159875</v>
      </c>
      <c r="DA5">
        <v>2.3186394898428078</v>
      </c>
      <c r="DB5">
        <v>487138170.87475485</v>
      </c>
      <c r="DC5">
        <v>0.20024502310901882</v>
      </c>
      <c r="DD5">
        <v>0.99172894554424618</v>
      </c>
      <c r="DE5">
        <v>1138917851.5709736</v>
      </c>
      <c r="DF5">
        <v>0.1854901266694069</v>
      </c>
      <c r="DG5">
        <v>0.50415249923596372</v>
      </c>
      <c r="DH5">
        <v>2240389171.355371</v>
      </c>
      <c r="DI5">
        <v>0.16862738788127901</v>
      </c>
      <c r="DJ5">
        <v>0.17581143293590917</v>
      </c>
      <c r="DK5">
        <v>6424484353.1407337</v>
      </c>
      <c r="DL5">
        <v>0.14754896439611911</v>
      </c>
      <c r="DM5">
        <v>126000000</v>
      </c>
      <c r="DN5">
        <v>0.21078423485159875</v>
      </c>
      <c r="DO5">
        <v>1129497800</v>
      </c>
      <c r="DP5">
        <v>901150920</v>
      </c>
      <c r="DQ5">
        <v>445</v>
      </c>
      <c r="DR5">
        <v>9.7726403446273591E-2</v>
      </c>
      <c r="DS5">
        <v>0.5272996168364481</v>
      </c>
      <c r="DT5" s="10">
        <v>4.33333333333333E-2</v>
      </c>
      <c r="DU5">
        <v>0.58666666666666656</v>
      </c>
      <c r="DV5">
        <v>0.62999999999999989</v>
      </c>
      <c r="DW5">
        <v>-2.0880000000000001</v>
      </c>
      <c r="DX5">
        <v>0.3189888625865423</v>
      </c>
      <c r="DY5">
        <v>-2.0113510199076154</v>
      </c>
      <c r="DZ5">
        <v>540</v>
      </c>
      <c r="EA5">
        <v>-2.0101514992128773</v>
      </c>
      <c r="EB5">
        <v>2</v>
      </c>
      <c r="EC5">
        <v>1.8183246896118183E-2</v>
      </c>
      <c r="ED5">
        <v>0.14096757294777096</v>
      </c>
      <c r="EE5" s="11">
        <v>-2.1183999999999998</v>
      </c>
      <c r="EF5">
        <v>-2.1103000000000001</v>
      </c>
      <c r="EG5">
        <v>19.128988862586542</v>
      </c>
      <c r="EH5" t="s">
        <v>1137</v>
      </c>
      <c r="EI5">
        <v>0</v>
      </c>
      <c r="EJ5">
        <v>1</v>
      </c>
      <c r="EK5" s="13">
        <v>45470</v>
      </c>
      <c r="EL5" s="14">
        <v>2.57</v>
      </c>
      <c r="EM5" s="14">
        <v>-3.95</v>
      </c>
      <c r="EN5" s="14">
        <v>0.42</v>
      </c>
      <c r="EO5" s="14">
        <v>3.18</v>
      </c>
      <c r="EP5" s="14">
        <v>-0.81</v>
      </c>
    </row>
    <row r="6" spans="1:146" ht="156" x14ac:dyDescent="0.25">
      <c r="A6" s="7"/>
      <c r="B6" s="7" t="s">
        <v>1715</v>
      </c>
      <c r="C6" s="7" t="str">
        <f>"公司是一家集户外休闲家具及用品研发、生产、销售业务。公司产品主要用于家庭庭院、露台、餐馆、酒吧、海滩、公园、酒店等休闲场所，为人们营造舒适、时尚、高品质的户外休闲环境。公司为户外遮阳及休闲家具代工企业。"&amp;CHAR(10)&amp;Basic_Fundamental_Information_Constructure(F6)&amp;CHAR(10)&amp;Basic_Fundamental_Information_Concatenate("遮阳制品 6.43亿 89.34% 92.50% 26.91%
休闲家具 4141.76万 5.75% 5.21% 23.52%
原材料 3536.55万 4.91% 2.29% 12.14%")</f>
        <v>公司是一家集户外休闲家具及用品研发、生产、销售业务。公司产品主要用于家庭庭院、露台、餐馆、酒吧、海滩、公园、酒店等休闲场所，为人们营造舒适、时尚、高品质的户外休闲环境。公司为户外遮阳及休闲家具代工企业。
市值22.143亿, 利润1690.56万; PE142.6; 平均PE37.56; 平均PEG3.27, PB2; ROIC7.7167%; ROE9.41%; 股利率.3477%; 毛利21.8333%; 净利4.5533%; 上一年度营收增-21.06%, 利润增-71.44%; 当季营收增1.99%, 利润增-6.08%; 过往5年营收增11.47%, 利润增-.42%
Income profile:
遮阳制品 6.43亿 89.34% 92.50% 26.91%
休闲家具 4141.76万 5.75% 5.21% 23.52%
原材料 3536.55万 4.91% 2.29% 12.14%</v>
      </c>
      <c r="D6" t="s">
        <v>951</v>
      </c>
      <c r="E6" t="s">
        <v>952</v>
      </c>
      <c r="F6">
        <v>20.13</v>
      </c>
      <c r="G6">
        <v>4.84</v>
      </c>
      <c r="H6" t="s">
        <v>1797</v>
      </c>
      <c r="I6">
        <v>2214300000</v>
      </c>
      <c r="J6">
        <v>142.6</v>
      </c>
      <c r="K6">
        <v>2</v>
      </c>
      <c r="L6" t="s">
        <v>1762</v>
      </c>
      <c r="M6" t="s">
        <v>1379</v>
      </c>
      <c r="N6" t="s">
        <v>395</v>
      </c>
      <c r="O6" t="s">
        <v>1264</v>
      </c>
      <c r="P6">
        <v>1.78</v>
      </c>
      <c r="Q6" t="s">
        <v>1151</v>
      </c>
      <c r="R6">
        <v>21244988</v>
      </c>
      <c r="S6">
        <v>-6.08E-2</v>
      </c>
      <c r="T6" t="s">
        <v>1798</v>
      </c>
      <c r="U6">
        <v>31977125</v>
      </c>
      <c r="V6">
        <v>110000000</v>
      </c>
      <c r="W6">
        <v>1.36</v>
      </c>
      <c r="X6">
        <v>0.25</v>
      </c>
      <c r="Y6">
        <v>5.92</v>
      </c>
      <c r="Z6" t="s">
        <v>894</v>
      </c>
      <c r="AA6" t="s">
        <v>986</v>
      </c>
      <c r="AB6" t="s">
        <v>1799</v>
      </c>
      <c r="AC6" t="s">
        <v>1800</v>
      </c>
      <c r="AD6" t="s">
        <v>41</v>
      </c>
      <c r="AE6">
        <v>-2004003</v>
      </c>
      <c r="AF6" t="s">
        <v>1801</v>
      </c>
      <c r="AG6">
        <v>4.37</v>
      </c>
      <c r="AH6" t="s">
        <v>1802</v>
      </c>
      <c r="AI6" t="s">
        <v>75</v>
      </c>
      <c r="AJ6" t="s">
        <v>1803</v>
      </c>
      <c r="AK6" t="s">
        <v>41</v>
      </c>
      <c r="AL6" t="s">
        <v>1804</v>
      </c>
      <c r="AM6" t="s">
        <v>41</v>
      </c>
      <c r="AN6" t="s">
        <v>1805</v>
      </c>
      <c r="AO6" t="s">
        <v>968</v>
      </c>
      <c r="AP6" t="s">
        <v>573</v>
      </c>
      <c r="AQ6" t="s">
        <v>1806</v>
      </c>
      <c r="AR6" t="s">
        <v>41</v>
      </c>
      <c r="AS6" t="s">
        <v>1145</v>
      </c>
      <c r="AT6" t="s">
        <v>41</v>
      </c>
      <c r="AU6" t="s">
        <v>1807</v>
      </c>
      <c r="AV6" t="s">
        <v>1808</v>
      </c>
      <c r="AW6" t="s">
        <v>1809</v>
      </c>
      <c r="AX6" t="s">
        <v>1106</v>
      </c>
      <c r="AY6" t="s">
        <v>954</v>
      </c>
      <c r="AZ6" t="s">
        <v>955</v>
      </c>
      <c r="BA6" t="s">
        <v>878</v>
      </c>
      <c r="BB6" t="s">
        <v>956</v>
      </c>
      <c r="BC6" t="s">
        <v>1107</v>
      </c>
      <c r="BD6" t="s">
        <v>449</v>
      </c>
      <c r="BE6" t="s">
        <v>1341</v>
      </c>
      <c r="BF6" t="s">
        <v>1342</v>
      </c>
      <c r="BG6" t="s">
        <v>1343</v>
      </c>
      <c r="BH6" t="s">
        <v>1151</v>
      </c>
      <c r="BI6" t="s">
        <v>428</v>
      </c>
      <c r="BJ6" t="s">
        <v>1106</v>
      </c>
      <c r="BK6" t="s">
        <v>1798</v>
      </c>
      <c r="BL6" t="s">
        <v>1810</v>
      </c>
      <c r="BM6" t="s">
        <v>1107</v>
      </c>
      <c r="BN6">
        <v>0.74</v>
      </c>
      <c r="BO6">
        <v>5.78</v>
      </c>
      <c r="BP6">
        <v>16.63</v>
      </c>
      <c r="BQ6">
        <v>3.04</v>
      </c>
      <c r="BR6">
        <v>7.53</v>
      </c>
      <c r="BS6">
        <v>17.66</v>
      </c>
      <c r="BT6" t="s">
        <v>1811</v>
      </c>
      <c r="BU6" t="s">
        <v>1777</v>
      </c>
      <c r="BV6">
        <v>24.32</v>
      </c>
      <c r="BW6">
        <v>20.98</v>
      </c>
      <c r="BX6">
        <v>20.2</v>
      </c>
      <c r="BY6">
        <v>0.97</v>
      </c>
      <c r="BZ6">
        <v>4.01</v>
      </c>
      <c r="CA6">
        <v>8.68</v>
      </c>
      <c r="CB6">
        <v>1.56</v>
      </c>
      <c r="CC6">
        <v>-9.57</v>
      </c>
      <c r="CD6" t="s">
        <v>1812</v>
      </c>
      <c r="CE6" t="s">
        <v>1813</v>
      </c>
      <c r="CF6" s="8">
        <v>1.9943019943019943E-2</v>
      </c>
      <c r="CG6" s="9">
        <v>-6.0841419370239555E-2</v>
      </c>
      <c r="CH6" s="8">
        <v>-0.21056436002254486</v>
      </c>
      <c r="CI6" s="8">
        <v>0.11451613157987595</v>
      </c>
      <c r="CJ6" s="8">
        <v>0.36263737082481384</v>
      </c>
      <c r="CK6" s="8">
        <v>0.34814813733100891</v>
      </c>
      <c r="CL6" s="8">
        <v>-4.119318351149559E-2</v>
      </c>
      <c r="CM6" s="9">
        <v>-0.71437257528305054</v>
      </c>
      <c r="CN6" s="9">
        <v>-0.45196667313575745</v>
      </c>
      <c r="CO6" s="9">
        <v>0.34630775451660156</v>
      </c>
      <c r="CP6" s="9">
        <v>0.92874503135681152</v>
      </c>
      <c r="CQ6" s="9">
        <v>-0.12973017990589142</v>
      </c>
      <c r="CR6">
        <v>37.562808245282106</v>
      </c>
      <c r="CS6">
        <v>3.2746225176097892</v>
      </c>
      <c r="CT6">
        <v>0.34773969200198707</v>
      </c>
      <c r="CU6" s="8">
        <v>0.11470881924033165</v>
      </c>
      <c r="CV6" s="9">
        <v>-4.2033284902572628E-3</v>
      </c>
      <c r="CW6">
        <v>0.06</v>
      </c>
      <c r="CX6">
        <v>76.852837612026462</v>
      </c>
      <c r="CY6">
        <v>17778133.409952216</v>
      </c>
      <c r="CZ6">
        <v>0.11470881924033165</v>
      </c>
      <c r="DA6">
        <v>24.596224650000469</v>
      </c>
      <c r="DB6">
        <v>55549175.511371575</v>
      </c>
      <c r="DC6">
        <v>0.10897337827831506</v>
      </c>
      <c r="DD6">
        <v>11.77192531897548</v>
      </c>
      <c r="DE6">
        <v>116064276.91123937</v>
      </c>
      <c r="DF6">
        <v>0.10094376093149185</v>
      </c>
      <c r="DG6">
        <v>6.845763877290314</v>
      </c>
      <c r="DH6">
        <v>199583278.72401115</v>
      </c>
      <c r="DI6">
        <v>9.1767055392265318E-2</v>
      </c>
      <c r="DJ6">
        <v>3.2915703706684889</v>
      </c>
      <c r="DK6">
        <v>415090624.27321476</v>
      </c>
      <c r="DL6">
        <v>8.0296173468232146E-2</v>
      </c>
      <c r="DM6">
        <v>16905600</v>
      </c>
      <c r="DN6">
        <v>0.11470881924033165</v>
      </c>
      <c r="DO6">
        <v>1366300000</v>
      </c>
      <c r="DP6">
        <v>647406600</v>
      </c>
      <c r="DQ6">
        <v>456</v>
      </c>
      <c r="DR6">
        <v>-9.4765799297311701E-2</v>
      </c>
      <c r="DS6">
        <v>-5.663809087998229E-2</v>
      </c>
      <c r="DT6" s="10">
        <v>-0.35666666666666669</v>
      </c>
      <c r="DU6">
        <v>-0.11666666666666663</v>
      </c>
      <c r="DV6">
        <v>-0.47333333333333333</v>
      </c>
      <c r="DW6">
        <v>-2.0956999999999999</v>
      </c>
      <c r="DX6">
        <v>0.63834544976789087</v>
      </c>
      <c r="DY6">
        <v>-2.0161106595427869</v>
      </c>
      <c r="DZ6">
        <v>2832</v>
      </c>
      <c r="EA6">
        <v>-2.0071820122188786</v>
      </c>
      <c r="EB6">
        <v>2</v>
      </c>
      <c r="EC6">
        <v>2.7956363636363637E-2</v>
      </c>
      <c r="ED6">
        <v>0.16606545454545454</v>
      </c>
      <c r="EE6" s="11">
        <v>1.7899999999999999E-2</v>
      </c>
      <c r="EF6">
        <v>3.1100000000000021E-3</v>
      </c>
      <c r="EG6">
        <v>47.168345449767891</v>
      </c>
      <c r="EH6">
        <v>-1</v>
      </c>
      <c r="EI6">
        <v>0</v>
      </c>
      <c r="EJ6">
        <v>0</v>
      </c>
      <c r="EK6" s="13">
        <v>45470</v>
      </c>
      <c r="EL6" s="14">
        <v>-0.05</v>
      </c>
      <c r="EM6" s="14">
        <v>-4.43</v>
      </c>
      <c r="EN6" s="14">
        <v>1.41</v>
      </c>
      <c r="EO6" s="14">
        <v>2.67</v>
      </c>
      <c r="EP6" s="14">
        <v>-2.1</v>
      </c>
    </row>
    <row r="7" spans="1:146" ht="96" x14ac:dyDescent="0.25">
      <c r="C7" s="7" t="str">
        <f>""&amp;CHAR(10)&amp;Basic_Fundamental_Information_Constructure(F7)&amp;CHAR(10)&amp;Basic_Fundamental_Information_Concatenate("")</f>
        <v xml:space="preserve">
市值26.961616亿, 利润-4293.73万; PE; 平均PE39.94; 平均PEG90, PB2.57; ROIC11.3667%; ROE16.2967%; 股利率0%; 毛利21.11%; 净利3.1%; 上一年度营收增-41.45%, 利润增-165.35%; 当季营收增53.4%, 利润增219.54%; 过往5年营收增-.44%, 利润增-19.17%
Income profile:
</v>
      </c>
      <c r="D7" t="s">
        <v>995</v>
      </c>
      <c r="E7" t="s">
        <v>996</v>
      </c>
      <c r="F7">
        <v>11.06</v>
      </c>
      <c r="G7">
        <v>1.37</v>
      </c>
      <c r="H7" t="s">
        <v>1814</v>
      </c>
      <c r="I7">
        <v>2696161600</v>
      </c>
      <c r="K7">
        <v>2.57</v>
      </c>
      <c r="L7" t="s">
        <v>1762</v>
      </c>
      <c r="M7" t="s">
        <v>573</v>
      </c>
      <c r="N7" t="s">
        <v>969</v>
      </c>
      <c r="O7" t="s">
        <v>427</v>
      </c>
      <c r="P7">
        <v>53.59</v>
      </c>
      <c r="Q7" t="s">
        <v>1815</v>
      </c>
      <c r="R7">
        <v>12223697</v>
      </c>
      <c r="S7">
        <v>2.1949999999999998</v>
      </c>
      <c r="T7" t="s">
        <v>1816</v>
      </c>
      <c r="U7">
        <v>66219087</v>
      </c>
      <c r="V7">
        <v>243775910</v>
      </c>
      <c r="W7">
        <v>1.1599999999999999</v>
      </c>
      <c r="X7">
        <v>0.13</v>
      </c>
      <c r="Y7">
        <v>7.74</v>
      </c>
      <c r="Z7" t="s">
        <v>1382</v>
      </c>
      <c r="AA7" t="s">
        <v>251</v>
      </c>
      <c r="AB7" t="s">
        <v>1817</v>
      </c>
      <c r="AC7" t="s">
        <v>1818</v>
      </c>
      <c r="AD7" t="s">
        <v>41</v>
      </c>
      <c r="AE7">
        <v>-1445861</v>
      </c>
      <c r="AF7" t="s">
        <v>1819</v>
      </c>
      <c r="AG7" t="s">
        <v>1820</v>
      </c>
      <c r="AH7" t="s">
        <v>1821</v>
      </c>
      <c r="AI7" t="s">
        <v>139</v>
      </c>
      <c r="AJ7" t="s">
        <v>1822</v>
      </c>
      <c r="AK7" t="s">
        <v>41</v>
      </c>
      <c r="AL7" t="s">
        <v>1823</v>
      </c>
      <c r="AM7" t="s">
        <v>41</v>
      </c>
      <c r="AN7" t="s">
        <v>1824</v>
      </c>
      <c r="AO7" t="s">
        <v>1680</v>
      </c>
      <c r="AP7" t="s">
        <v>1825</v>
      </c>
      <c r="AQ7" t="s">
        <v>1826</v>
      </c>
      <c r="AR7" t="s">
        <v>1827</v>
      </c>
      <c r="AS7" t="s">
        <v>126</v>
      </c>
      <c r="AT7" t="s">
        <v>1828</v>
      </c>
      <c r="AU7" t="s">
        <v>1829</v>
      </c>
      <c r="AV7" t="s">
        <v>1707</v>
      </c>
      <c r="AW7" t="s">
        <v>1830</v>
      </c>
      <c r="AX7" t="s">
        <v>626</v>
      </c>
      <c r="AY7" t="s">
        <v>997</v>
      </c>
      <c r="AZ7" t="s">
        <v>998</v>
      </c>
      <c r="BA7" t="s">
        <v>999</v>
      </c>
      <c r="BB7" t="s">
        <v>331</v>
      </c>
      <c r="BC7" t="s">
        <v>1108</v>
      </c>
      <c r="BD7" t="s">
        <v>973</v>
      </c>
      <c r="BE7" t="s">
        <v>141</v>
      </c>
      <c r="BF7" t="s">
        <v>1344</v>
      </c>
      <c r="BG7" t="s">
        <v>1345</v>
      </c>
      <c r="BH7" t="s">
        <v>1815</v>
      </c>
      <c r="BI7" t="s">
        <v>396</v>
      </c>
      <c r="BJ7" t="s">
        <v>626</v>
      </c>
      <c r="BK7" t="s">
        <v>1816</v>
      </c>
      <c r="BL7" t="s">
        <v>1831</v>
      </c>
      <c r="BM7" t="s">
        <v>1108</v>
      </c>
      <c r="BN7">
        <v>0.75</v>
      </c>
      <c r="BO7">
        <v>7.97</v>
      </c>
      <c r="BP7">
        <v>25.38</v>
      </c>
      <c r="BQ7">
        <v>1.0900000000000001</v>
      </c>
      <c r="BR7">
        <v>12.1</v>
      </c>
      <c r="BS7">
        <v>35.700000000000003</v>
      </c>
      <c r="BT7" t="s">
        <v>1081</v>
      </c>
      <c r="BU7" t="s">
        <v>950</v>
      </c>
      <c r="BV7">
        <v>12.65</v>
      </c>
      <c r="BW7">
        <v>27.08</v>
      </c>
      <c r="BX7">
        <v>23.6</v>
      </c>
      <c r="BY7">
        <v>-12.93</v>
      </c>
      <c r="BZ7">
        <v>11.58</v>
      </c>
      <c r="CA7">
        <v>10.65</v>
      </c>
      <c r="CB7">
        <v>-2.73</v>
      </c>
      <c r="CC7">
        <v>-19.510000000000002</v>
      </c>
      <c r="CD7" t="s">
        <v>1832</v>
      </c>
      <c r="CE7" t="s">
        <v>175</v>
      </c>
      <c r="CF7" s="8">
        <v>0.53398058252427183</v>
      </c>
      <c r="CG7" s="9">
        <v>2.1954036179223086</v>
      </c>
      <c r="CH7" s="8">
        <v>-0.41446208953857422</v>
      </c>
      <c r="CI7" s="8">
        <v>-0.53024029731750488</v>
      </c>
      <c r="CJ7" s="8">
        <v>0.26919040083885193</v>
      </c>
      <c r="CK7" s="8">
        <v>0.65679442882537842</v>
      </c>
      <c r="CL7" s="8">
        <v>-3.4722222480922937E-3</v>
      </c>
      <c r="CM7" s="9">
        <v>-1.6535197496414185</v>
      </c>
      <c r="CN7" s="9">
        <v>-0.49068528413772583</v>
      </c>
      <c r="CO7" s="9">
        <v>2.380952425301075E-2</v>
      </c>
      <c r="CP7" s="9">
        <v>0.64136672019958496</v>
      </c>
      <c r="CQ7" s="9">
        <v>0.52052336931228638</v>
      </c>
      <c r="CR7">
        <v>39.941586461956902</v>
      </c>
      <c r="CS7">
        <v>89.999962753264342</v>
      </c>
      <c r="CT7">
        <v>0</v>
      </c>
      <c r="CU7" s="8">
        <v>-4.4379558879882094E-3</v>
      </c>
      <c r="CV7" s="9">
        <v>-0.19170108400285243</v>
      </c>
      <c r="CW7">
        <v>0.06</v>
      </c>
      <c r="CX7" t="e">
        <v>#VALUE!</v>
      </c>
      <c r="CY7" t="s">
        <v>853</v>
      </c>
      <c r="CZ7">
        <v>-4.4379558879882094E-3</v>
      </c>
      <c r="DA7" t="e">
        <v>#VALUE!</v>
      </c>
      <c r="DB7" t="s">
        <v>853</v>
      </c>
      <c r="DC7">
        <v>-4.216058093588799E-3</v>
      </c>
      <c r="DD7" t="e">
        <v>#VALUE!</v>
      </c>
      <c r="DE7" t="s">
        <v>853</v>
      </c>
      <c r="DF7">
        <v>-3.9054011814296241E-3</v>
      </c>
      <c r="DG7" t="e">
        <v>#VALUE!</v>
      </c>
      <c r="DH7" t="s">
        <v>853</v>
      </c>
      <c r="DI7">
        <v>-3.5503647103905678E-3</v>
      </c>
      <c r="DJ7" t="e">
        <v>#VALUE!</v>
      </c>
      <c r="DK7" t="s">
        <v>853</v>
      </c>
      <c r="DL7">
        <v>-3.1065691215917462E-3</v>
      </c>
      <c r="DM7">
        <v>-42937299.999999993</v>
      </c>
      <c r="DN7">
        <v>-4.4379558879882094E-3</v>
      </c>
      <c r="DO7">
        <v>1810161600</v>
      </c>
      <c r="DP7">
        <v>806714200</v>
      </c>
      <c r="DQ7" s="10">
        <v>478</v>
      </c>
      <c r="DR7">
        <v>0.53841853841226006</v>
      </c>
      <c r="DS7">
        <v>2.387104701925161</v>
      </c>
      <c r="DT7">
        <v>-0.38999999999999996</v>
      </c>
      <c r="DU7">
        <v>-0.78666666666666663</v>
      </c>
      <c r="DV7">
        <v>-1.1766666666666665</v>
      </c>
      <c r="DW7">
        <v>-8.1399282419272172</v>
      </c>
      <c r="DX7">
        <v>0.27062105263157921</v>
      </c>
      <c r="DY7">
        <v>-8.0154790094148751</v>
      </c>
      <c r="DZ7">
        <v>3738</v>
      </c>
      <c r="EA7">
        <v>-8.004156008007282</v>
      </c>
      <c r="EB7" s="11">
        <v>8</v>
      </c>
      <c r="EC7">
        <v>6.8974821999433819E-2</v>
      </c>
      <c r="ED7">
        <v>0.62352346464423003</v>
      </c>
      <c r="EE7">
        <v>-3.0104099999999998</v>
      </c>
      <c r="EF7">
        <v>-3.0224099999999998</v>
      </c>
      <c r="EG7">
        <v>16.110621052631579</v>
      </c>
      <c r="EH7" s="13" t="s">
        <v>1520</v>
      </c>
      <c r="EI7" s="14">
        <v>0</v>
      </c>
      <c r="EJ7" s="14">
        <v>0</v>
      </c>
      <c r="EK7" s="14">
        <v>45470</v>
      </c>
      <c r="EL7" s="14">
        <v>-0.94</v>
      </c>
      <c r="EM7" s="14">
        <v>-4.75</v>
      </c>
      <c r="EN7" s="14">
        <v>2.1800000000000002</v>
      </c>
      <c r="EO7" s="14">
        <v>3.19</v>
      </c>
      <c r="EP7" s="14">
        <v>-1.2</v>
      </c>
    </row>
    <row r="8" spans="1:146" ht="96" x14ac:dyDescent="0.25">
      <c r="A8" s="7"/>
      <c r="B8" s="7"/>
      <c r="C8" s="7" t="str">
        <f>""&amp;CHAR(10)&amp;Basic_Fundamental_Information_Constructure(F8)&amp;CHAR(10)&amp;Basic_Fundamental_Information_Concatenate("")</f>
        <v xml:space="preserve">
市值69.363723亿, 利润4.25亿; PE20.94; 平均PE14.17; 平均PEG4.51, PB1.41; ROIC10.75%; ROE14.8933%; 股利率1.8446%; 毛利30.4167%; 净利6.7667%; 上一年度营收增1.8%, 利润增-28.33%; 当季营收增2.25%, 利润增-3003.96%; 过往5年营收增3.15%, 利润增32.11%
Income profile:
</v>
      </c>
      <c r="D8" t="s">
        <v>987</v>
      </c>
      <c r="E8" t="s">
        <v>988</v>
      </c>
      <c r="F8">
        <v>7.15</v>
      </c>
      <c r="G8">
        <v>0</v>
      </c>
      <c r="H8" t="s">
        <v>1833</v>
      </c>
      <c r="I8">
        <v>6936372300</v>
      </c>
      <c r="J8">
        <v>20.94</v>
      </c>
      <c r="K8">
        <v>1.41</v>
      </c>
      <c r="L8" t="s">
        <v>1762</v>
      </c>
      <c r="M8" t="s">
        <v>1834</v>
      </c>
      <c r="N8" t="s">
        <v>1835</v>
      </c>
      <c r="O8" t="s">
        <v>1836</v>
      </c>
      <c r="P8">
        <v>2.2599999999999998</v>
      </c>
      <c r="Q8" t="s">
        <v>1837</v>
      </c>
      <c r="R8">
        <v>-90345149</v>
      </c>
      <c r="S8">
        <v>-30.04</v>
      </c>
      <c r="T8" t="s">
        <v>868</v>
      </c>
      <c r="U8">
        <v>165612800</v>
      </c>
      <c r="V8">
        <v>970122000</v>
      </c>
      <c r="W8">
        <v>1.96</v>
      </c>
      <c r="X8">
        <v>0.11</v>
      </c>
      <c r="Y8">
        <v>-8.0299999999999994</v>
      </c>
      <c r="Z8" t="s">
        <v>1280</v>
      </c>
      <c r="AA8" t="s">
        <v>1838</v>
      </c>
      <c r="AB8" t="s">
        <v>1839</v>
      </c>
      <c r="AC8" t="s">
        <v>82</v>
      </c>
      <c r="AD8" t="s">
        <v>41</v>
      </c>
      <c r="AE8">
        <v>10368987</v>
      </c>
      <c r="AF8" t="s">
        <v>1840</v>
      </c>
      <c r="AG8" t="s">
        <v>1841</v>
      </c>
      <c r="AH8" t="s">
        <v>1842</v>
      </c>
      <c r="AI8" t="s">
        <v>1581</v>
      </c>
      <c r="AJ8" t="s">
        <v>1843</v>
      </c>
      <c r="AK8" t="s">
        <v>1844</v>
      </c>
      <c r="AL8" t="s">
        <v>1845</v>
      </c>
      <c r="AM8" t="s">
        <v>41</v>
      </c>
      <c r="AN8" t="s">
        <v>207</v>
      </c>
      <c r="AO8" t="s">
        <v>468</v>
      </c>
      <c r="AP8" t="s">
        <v>1618</v>
      </c>
      <c r="AQ8" t="s">
        <v>1271</v>
      </c>
      <c r="AR8" t="s">
        <v>41</v>
      </c>
      <c r="AS8" t="s">
        <v>1846</v>
      </c>
      <c r="AT8" t="s">
        <v>1847</v>
      </c>
      <c r="AU8" t="s">
        <v>1848</v>
      </c>
      <c r="AV8" t="s">
        <v>1214</v>
      </c>
      <c r="AW8" t="s">
        <v>1849</v>
      </c>
      <c r="AX8" t="s">
        <v>1109</v>
      </c>
      <c r="AY8" t="s">
        <v>989</v>
      </c>
      <c r="AZ8" t="s">
        <v>991</v>
      </c>
      <c r="BA8" t="s">
        <v>992</v>
      </c>
      <c r="BB8" t="s">
        <v>993</v>
      </c>
      <c r="BC8" t="s">
        <v>1110</v>
      </c>
      <c r="BD8" t="s">
        <v>990</v>
      </c>
      <c r="BE8" t="s">
        <v>1346</v>
      </c>
      <c r="BF8" t="s">
        <v>994</v>
      </c>
      <c r="BG8" t="s">
        <v>343</v>
      </c>
      <c r="BH8" t="s">
        <v>1837</v>
      </c>
      <c r="BI8" t="s">
        <v>395</v>
      </c>
      <c r="BJ8" t="s">
        <v>1109</v>
      </c>
      <c r="BK8" t="s">
        <v>868</v>
      </c>
      <c r="BL8" t="s">
        <v>1850</v>
      </c>
      <c r="BM8" t="s">
        <v>1110</v>
      </c>
      <c r="BN8">
        <v>4.38</v>
      </c>
      <c r="BO8">
        <v>11.5</v>
      </c>
      <c r="BP8">
        <v>16.37</v>
      </c>
      <c r="BQ8">
        <v>5.98</v>
      </c>
      <c r="BR8">
        <v>17.100000000000001</v>
      </c>
      <c r="BS8">
        <v>21.6</v>
      </c>
      <c r="BT8" t="s">
        <v>1851</v>
      </c>
      <c r="BU8" t="s">
        <v>1777</v>
      </c>
      <c r="BV8">
        <v>28.34</v>
      </c>
      <c r="BW8">
        <v>32.85</v>
      </c>
      <c r="BX8">
        <v>30.06</v>
      </c>
      <c r="BY8">
        <v>5.54</v>
      </c>
      <c r="BZ8">
        <v>7.88</v>
      </c>
      <c r="CA8">
        <v>6.88</v>
      </c>
      <c r="CB8">
        <v>-2.19</v>
      </c>
      <c r="CC8">
        <v>-25.97</v>
      </c>
      <c r="CD8" t="s">
        <v>1852</v>
      </c>
      <c r="CE8" t="s">
        <v>1853</v>
      </c>
      <c r="CF8" s="8">
        <v>2.2522522522522521E-2</v>
      </c>
      <c r="CG8" s="9">
        <v>-30.039615891485326</v>
      </c>
      <c r="CH8" s="8">
        <v>1.7968863248825073E-2</v>
      </c>
      <c r="CI8" s="8">
        <v>-0.10271112620830536</v>
      </c>
      <c r="CJ8" s="8">
        <v>0.28775760531425476</v>
      </c>
      <c r="CK8" s="8">
        <v>-2.3430421948432922E-2</v>
      </c>
      <c r="CL8" s="8">
        <v>-2.2320117801427841E-2</v>
      </c>
      <c r="CM8" s="9">
        <v>-0.28330522775650024</v>
      </c>
      <c r="CN8" s="9">
        <v>2.7729636058211327E-2</v>
      </c>
      <c r="CO8" s="9">
        <v>-2.0373513922095299E-2</v>
      </c>
      <c r="CP8" s="9">
        <v>5.9352517127990723E-2</v>
      </c>
      <c r="CQ8" s="9">
        <v>1.8223350048065186</v>
      </c>
      <c r="CR8">
        <v>14.170321348314607</v>
      </c>
      <c r="CS8">
        <v>4.5052424679900547</v>
      </c>
      <c r="CT8">
        <v>1.8446377622377621</v>
      </c>
      <c r="CU8" s="8">
        <v>3.1452960520982745E-2</v>
      </c>
      <c r="CV8" s="9">
        <v>0.321147683262825</v>
      </c>
      <c r="CW8">
        <v>0.06</v>
      </c>
      <c r="CX8">
        <v>18.525676483071116</v>
      </c>
      <c r="CY8">
        <v>413554253.03907323</v>
      </c>
      <c r="CZ8">
        <v>3.1452960520982745E-2</v>
      </c>
      <c r="DA8">
        <v>6.3637676671033416</v>
      </c>
      <c r="DB8">
        <v>1203905092.1994615</v>
      </c>
      <c r="DC8">
        <v>2.9880312494933607E-2</v>
      </c>
      <c r="DD8">
        <v>3.3437143039751844</v>
      </c>
      <c r="DE8">
        <v>2291275989.3666019</v>
      </c>
      <c r="DF8">
        <v>2.7678605258464817E-2</v>
      </c>
      <c r="DG8">
        <v>2.1564606485669344</v>
      </c>
      <c r="DH8">
        <v>3552753121.2272887</v>
      </c>
      <c r="DI8">
        <v>2.5162368416786197E-2</v>
      </c>
      <c r="DJ8">
        <v>1.2933525487077304</v>
      </c>
      <c r="DK8">
        <v>5923653459.8821936</v>
      </c>
      <c r="DL8">
        <v>2.2017072364687921E-2</v>
      </c>
      <c r="DM8">
        <v>425000000</v>
      </c>
      <c r="DN8">
        <v>3.1452960520982745E-2</v>
      </c>
      <c r="DO8">
        <v>7661372300</v>
      </c>
      <c r="DP8">
        <v>-675723000</v>
      </c>
      <c r="DQ8" s="10">
        <v>490</v>
      </c>
      <c r="DR8">
        <v>-8.9304379984602236E-3</v>
      </c>
      <c r="DS8">
        <v>-30.360763574748152</v>
      </c>
      <c r="DT8">
        <v>-0.3066666666666667</v>
      </c>
      <c r="DU8">
        <v>-0.58166666666666667</v>
      </c>
      <c r="DV8">
        <v>-0.88833333333333342</v>
      </c>
      <c r="DW8">
        <v>-3.1127559523809523</v>
      </c>
      <c r="DX8">
        <v>0.27846776147205976</v>
      </c>
      <c r="DY8">
        <v>-3.0122303857474124</v>
      </c>
      <c r="DZ8">
        <v>3442</v>
      </c>
      <c r="EA8">
        <v>-3.0039922276764548</v>
      </c>
      <c r="EB8" s="11">
        <v>3</v>
      </c>
      <c r="EC8">
        <v>1.0559908959904012E-2</v>
      </c>
      <c r="ED8">
        <v>9.7355281088357962E-2</v>
      </c>
      <c r="EE8">
        <v>-2.0273099999999999</v>
      </c>
      <c r="EF8">
        <v>-2.05111</v>
      </c>
      <c r="EG8">
        <v>17.10846776147206</v>
      </c>
      <c r="EH8" s="13" t="s">
        <v>1235</v>
      </c>
      <c r="EI8" s="14">
        <v>0</v>
      </c>
      <c r="EJ8" s="14">
        <v>0</v>
      </c>
      <c r="EK8" s="14">
        <v>45470</v>
      </c>
      <c r="EL8" s="14">
        <v>0.39</v>
      </c>
      <c r="EM8" s="14">
        <v>-5.22</v>
      </c>
      <c r="EN8" s="14">
        <v>0.83</v>
      </c>
      <c r="EO8" s="14">
        <v>3.42</v>
      </c>
      <c r="EP8" s="14">
        <v>-2.38</v>
      </c>
    </row>
    <row r="9" spans="1:146" ht="192" x14ac:dyDescent="0.25">
      <c r="A9" s="7"/>
      <c r="B9" s="7" t="s">
        <v>1414</v>
      </c>
      <c r="C9" s="7" t="str">
        <f>"公司主营业务为健康睡眠系统的研发、生产和销售。公司主要产品包括中高端床垫、床架、床品和其他产品等。随着公司在健康睡眠领域的精耕细作，“慕思”品牌影响力不断提升。“慕思De Rucci”被国家工商行政管理总局评选为中国驰名商标。"&amp;CHAR(10)&amp;Basic_Fundamental_Information_Constructure(F9)&amp;CHAR(10)&amp;Basic_Fundamental_Information_Concatenate("床垫 11.46亿 47.76% 67.08% 62.62%
床架 7.27亿 30.31% 31.33% 46.08%
其他 1.93亿 8.05%
沙发 1.86亿 7.77%
床品 1.28亿 5.33%")</f>
        <v>公司主营业务为健康睡眠系统的研发、生产和销售。公司主要产品包括中高端床垫、床架、床品和其他产品等。随着公司在健康睡眠领域的精耕细作，“慕思”品牌影响力不断提升。“慕思De Rucci”被国家工商行政管理总局评选为中国驰名商标。
市值115.362884亿, 利润8.02亿; PE13.7; 平均PE21.1; 平均PEG1.56, PB2.45; ROIC19.4867%; ROE20.8267%; 股利率3.4674%; 毛利47.2467%; 净利12.39%; 上一年度营收增-4.03%, 利润增13.28%; 当季营收增25.5%, 利润增39.85%; 过往5年营收增13.53%, 利润增31.92%
Income profile:
床垫 11.46亿 47.76% 67.08% 62.62%
床架 7.27亿 30.31% 31.33% 46.08%
其他 1.93亿 8.05%
沙发 1.86亿 7.77%
床品 1.28亿 5.33%</v>
      </c>
      <c r="D9" t="s">
        <v>861</v>
      </c>
      <c r="E9" t="s">
        <v>862</v>
      </c>
      <c r="F9">
        <v>28.84</v>
      </c>
      <c r="G9">
        <v>0.91</v>
      </c>
      <c r="H9" t="s">
        <v>1854</v>
      </c>
      <c r="I9">
        <v>11536288400</v>
      </c>
      <c r="J9">
        <v>13.7</v>
      </c>
      <c r="K9">
        <v>2.4500000000000002</v>
      </c>
      <c r="L9" t="s">
        <v>1762</v>
      </c>
      <c r="M9" t="s">
        <v>1855</v>
      </c>
      <c r="N9" t="s">
        <v>1856</v>
      </c>
      <c r="O9" t="s">
        <v>1496</v>
      </c>
      <c r="P9">
        <v>25.5</v>
      </c>
      <c r="Q9" t="s">
        <v>1684</v>
      </c>
      <c r="R9">
        <v>141248930</v>
      </c>
      <c r="S9" s="5">
        <v>0.39479999999999998</v>
      </c>
      <c r="T9" t="s">
        <v>474</v>
      </c>
      <c r="U9">
        <v>77935000</v>
      </c>
      <c r="V9">
        <v>400010000</v>
      </c>
      <c r="W9">
        <v>1.51</v>
      </c>
      <c r="X9">
        <v>0.17</v>
      </c>
      <c r="Y9">
        <v>11.76</v>
      </c>
      <c r="Z9" t="s">
        <v>1857</v>
      </c>
      <c r="AA9" t="s">
        <v>1858</v>
      </c>
      <c r="AB9" t="s">
        <v>1189</v>
      </c>
      <c r="AC9" t="s">
        <v>1859</v>
      </c>
      <c r="AD9" t="s">
        <v>41</v>
      </c>
      <c r="AE9">
        <v>-8433028</v>
      </c>
      <c r="AF9" t="s">
        <v>1860</v>
      </c>
      <c r="AG9" t="s">
        <v>1861</v>
      </c>
      <c r="AH9" t="s">
        <v>1862</v>
      </c>
      <c r="AI9" t="s">
        <v>1863</v>
      </c>
      <c r="AJ9" t="s">
        <v>1864</v>
      </c>
      <c r="AK9" t="s">
        <v>41</v>
      </c>
      <c r="AL9" t="s">
        <v>1865</v>
      </c>
      <c r="AM9" t="s">
        <v>41</v>
      </c>
      <c r="AN9" t="s">
        <v>1358</v>
      </c>
      <c r="AO9" t="s">
        <v>1110</v>
      </c>
      <c r="AP9" t="s">
        <v>305</v>
      </c>
      <c r="AQ9" t="s">
        <v>280</v>
      </c>
      <c r="AR9" t="s">
        <v>41</v>
      </c>
      <c r="AS9" t="s">
        <v>1866</v>
      </c>
      <c r="AT9" t="s">
        <v>41</v>
      </c>
      <c r="AU9" t="s">
        <v>1867</v>
      </c>
      <c r="AV9" t="s">
        <v>1257</v>
      </c>
      <c r="AW9" t="s">
        <v>1192</v>
      </c>
      <c r="AX9" t="s">
        <v>1111</v>
      </c>
      <c r="AY9" t="s">
        <v>903</v>
      </c>
      <c r="AZ9" t="s">
        <v>863</v>
      </c>
      <c r="BA9" t="s">
        <v>864</v>
      </c>
      <c r="BB9" t="s">
        <v>865</v>
      </c>
      <c r="BC9" t="s">
        <v>1386</v>
      </c>
      <c r="BD9" t="s">
        <v>1348</v>
      </c>
      <c r="BE9" t="s">
        <v>866</v>
      </c>
      <c r="BF9" t="s">
        <v>1349</v>
      </c>
      <c r="BG9" t="s">
        <v>61</v>
      </c>
      <c r="BH9" t="s">
        <v>1684</v>
      </c>
      <c r="BI9" t="s">
        <v>713</v>
      </c>
      <c r="BJ9" t="s">
        <v>1111</v>
      </c>
      <c r="BK9" t="s">
        <v>474</v>
      </c>
      <c r="BL9" t="s">
        <v>107</v>
      </c>
      <c r="BM9" t="s">
        <v>1386</v>
      </c>
      <c r="BN9">
        <v>10.53</v>
      </c>
      <c r="BO9">
        <v>18.82</v>
      </c>
      <c r="BP9">
        <v>29.11</v>
      </c>
      <c r="BQ9">
        <v>11.68</v>
      </c>
      <c r="BR9">
        <v>19.920000000000002</v>
      </c>
      <c r="BS9">
        <v>30.88</v>
      </c>
      <c r="BT9" t="s">
        <v>1112</v>
      </c>
      <c r="BU9" t="s">
        <v>1868</v>
      </c>
      <c r="BV9">
        <v>50.29</v>
      </c>
      <c r="BW9">
        <v>46.47</v>
      </c>
      <c r="BX9">
        <v>44.98</v>
      </c>
      <c r="BY9">
        <v>14.38</v>
      </c>
      <c r="BZ9">
        <v>12.2</v>
      </c>
      <c r="CA9">
        <v>10.59</v>
      </c>
      <c r="CB9">
        <v>0.24</v>
      </c>
      <c r="CC9">
        <v>-11.83</v>
      </c>
      <c r="CD9" t="s">
        <v>1869</v>
      </c>
      <c r="CE9" t="s">
        <v>1870</v>
      </c>
      <c r="CF9" s="8">
        <v>0.2549634273772205</v>
      </c>
      <c r="CG9" s="9">
        <v>0.39850425742574258</v>
      </c>
      <c r="CH9" s="8">
        <v>-4.0254667401313782E-2</v>
      </c>
      <c r="CI9" s="8">
        <v>-0.10307047516107559</v>
      </c>
      <c r="CJ9" s="8">
        <v>0.45575028657913208</v>
      </c>
      <c r="CK9" s="8">
        <v>0.15277056396007538</v>
      </c>
      <c r="CL9" s="8">
        <v>0.2114177793264389</v>
      </c>
      <c r="CM9" s="9">
        <v>0.13276836276054382</v>
      </c>
      <c r="CN9" s="9">
        <v>3.2069969922304153E-2</v>
      </c>
      <c r="CO9" s="9">
        <v>0.27985075116157532</v>
      </c>
      <c r="CP9" s="9">
        <v>0.60960960388183594</v>
      </c>
      <c r="CQ9" s="9">
        <v>0.54166668653488159</v>
      </c>
      <c r="CR9">
        <v>21.096534715025903</v>
      </c>
      <c r="CS9">
        <v>1.5589797654721058</v>
      </c>
      <c r="CT9">
        <v>3.4674063800277395</v>
      </c>
      <c r="CU9" s="8">
        <v>0.1353226974606514</v>
      </c>
      <c r="CV9" s="9">
        <v>0.31919307485222814</v>
      </c>
      <c r="CW9">
        <v>0.06</v>
      </c>
      <c r="CX9">
        <v>10.884055141794644</v>
      </c>
      <c r="CY9">
        <v>858989437.13532305</v>
      </c>
      <c r="CZ9">
        <v>0.1353226974606514</v>
      </c>
      <c r="DA9">
        <v>3.4235731490282335</v>
      </c>
      <c r="DB9">
        <v>2730856912.6538906</v>
      </c>
      <c r="DC9">
        <v>0.12855656258761883</v>
      </c>
      <c r="DD9">
        <v>1.6000825522979851</v>
      </c>
      <c r="DE9">
        <v>5843003779.1318102</v>
      </c>
      <c r="DF9">
        <v>0.11908397376537323</v>
      </c>
      <c r="DG9">
        <v>0.9051412532790557</v>
      </c>
      <c r="DH9">
        <v>10329093239.458845</v>
      </c>
      <c r="DI9">
        <v>0.10825815796852112</v>
      </c>
      <c r="DJ9">
        <v>0.40841587751512082</v>
      </c>
      <c r="DK9">
        <v>22891588977.595173</v>
      </c>
      <c r="DL9">
        <v>9.4725888222455978E-2</v>
      </c>
      <c r="DM9">
        <v>802000000</v>
      </c>
      <c r="DN9">
        <v>0.1353226974606514</v>
      </c>
      <c r="DO9">
        <v>9349288400</v>
      </c>
      <c r="DP9">
        <v>2070967200</v>
      </c>
      <c r="DQ9">
        <v>491</v>
      </c>
      <c r="DR9">
        <v>0.1196407299165691</v>
      </c>
      <c r="DS9">
        <v>7.9311182573514438E-2</v>
      </c>
      <c r="DT9" s="10">
        <v>-9.000000000000008E-2</v>
      </c>
      <c r="DU9">
        <v>0.68666666666666665</v>
      </c>
      <c r="DV9">
        <v>0.59666666666666657</v>
      </c>
      <c r="DW9">
        <v>-2.1183000000000001</v>
      </c>
      <c r="DX9">
        <v>0.32152843180569224</v>
      </c>
      <c r="DY9">
        <v>-2.0191088134826134</v>
      </c>
      <c r="DZ9">
        <v>585</v>
      </c>
      <c r="EA9">
        <v>-2.0169212095907683</v>
      </c>
      <c r="EB9">
        <v>2</v>
      </c>
      <c r="EC9">
        <v>1.1242218944526388E-2</v>
      </c>
      <c r="ED9">
        <v>6.9599010024749386E-2</v>
      </c>
      <c r="EE9" s="11">
        <v>6.5500000000000003E-2</v>
      </c>
      <c r="EF9">
        <v>4.8500000000000001E-2</v>
      </c>
      <c r="EG9">
        <v>16.161528431805692</v>
      </c>
      <c r="EH9" t="s">
        <v>860</v>
      </c>
      <c r="EI9">
        <v>0</v>
      </c>
      <c r="EJ9">
        <v>1</v>
      </c>
      <c r="EK9" s="13">
        <v>45470</v>
      </c>
      <c r="EL9" s="14">
        <v>0</v>
      </c>
      <c r="EM9" s="14">
        <v>-1.91</v>
      </c>
      <c r="EN9" s="14">
        <v>0.69</v>
      </c>
      <c r="EO9" s="14">
        <v>1.45</v>
      </c>
      <c r="EP9" s="14">
        <v>-1.7</v>
      </c>
    </row>
    <row r="10" spans="1:146" ht="96" x14ac:dyDescent="0.25">
      <c r="C10" s="7" t="str">
        <f>""&amp;CHAR(10)&amp;Basic_Fundamental_Information_Constructure(F10)&amp;CHAR(10)&amp;Basic_Fundamental_Information_Concatenate("")</f>
        <v xml:space="preserve">
市值21.076893亿, 利润1.01亿; PE20.72; 平均PE22.62; 平均PEG2.29, PB1.46; ROIC17.28%; ROE13.815%; 股利率4.322%; 毛利25.7333%; 净利13.5367%; 上一年度营收增-14.18%, 利润增-23.48%; 当季营收增14.01%, 利润增1.94%; 过往5年营收增9.87%, 利润增21.21%
Income profile:
</v>
      </c>
      <c r="D10" s="5" t="s">
        <v>1097</v>
      </c>
      <c r="E10" t="s">
        <v>1098</v>
      </c>
      <c r="F10">
        <v>18.510000000000002</v>
      </c>
      <c r="G10">
        <v>1.37</v>
      </c>
      <c r="H10" t="s">
        <v>1871</v>
      </c>
      <c r="I10">
        <v>2107689300</v>
      </c>
      <c r="J10">
        <v>20.72</v>
      </c>
      <c r="K10">
        <v>1.46</v>
      </c>
      <c r="L10" t="s">
        <v>1762</v>
      </c>
      <c r="M10" t="s">
        <v>983</v>
      </c>
      <c r="N10" t="s">
        <v>1872</v>
      </c>
      <c r="O10" t="s">
        <v>137</v>
      </c>
      <c r="P10" s="5">
        <v>14.43</v>
      </c>
      <c r="Q10" t="s">
        <v>822</v>
      </c>
      <c r="R10">
        <v>31571987</v>
      </c>
      <c r="S10">
        <v>1.9400000000000001E-2</v>
      </c>
      <c r="T10" t="s">
        <v>107</v>
      </c>
      <c r="U10">
        <v>31695475</v>
      </c>
      <c r="V10">
        <v>113867600</v>
      </c>
      <c r="W10">
        <v>1.19</v>
      </c>
      <c r="X10">
        <v>0.14000000000000001</v>
      </c>
      <c r="Y10">
        <v>13.35</v>
      </c>
      <c r="Z10" t="s">
        <v>1394</v>
      </c>
      <c r="AA10" t="s">
        <v>1287</v>
      </c>
      <c r="AB10" t="s">
        <v>1873</v>
      </c>
      <c r="AC10" t="s">
        <v>1874</v>
      </c>
      <c r="AD10" t="s">
        <v>41</v>
      </c>
      <c r="AE10">
        <v>-2937981</v>
      </c>
      <c r="AF10" t="s">
        <v>1875</v>
      </c>
      <c r="AG10">
        <v>528.45000000000005</v>
      </c>
      <c r="AH10" t="s">
        <v>1876</v>
      </c>
      <c r="AI10" t="s">
        <v>844</v>
      </c>
      <c r="AJ10" t="s">
        <v>1877</v>
      </c>
      <c r="AK10" t="s">
        <v>41</v>
      </c>
      <c r="AL10" t="s">
        <v>1878</v>
      </c>
      <c r="AM10" t="s">
        <v>41</v>
      </c>
      <c r="AN10" t="s">
        <v>1879</v>
      </c>
      <c r="AO10" t="s">
        <v>41</v>
      </c>
      <c r="AP10" t="s">
        <v>1880</v>
      </c>
      <c r="AQ10" t="s">
        <v>1382</v>
      </c>
      <c r="AR10" t="s">
        <v>41</v>
      </c>
      <c r="AS10" t="s">
        <v>137</v>
      </c>
      <c r="AT10" t="s">
        <v>41</v>
      </c>
      <c r="AU10" t="s">
        <v>1881</v>
      </c>
      <c r="AV10" t="s">
        <v>1882</v>
      </c>
      <c r="AW10" t="s">
        <v>1883</v>
      </c>
      <c r="AX10" t="s">
        <v>1113</v>
      </c>
      <c r="AY10" t="s">
        <v>541</v>
      </c>
      <c r="AZ10" t="s">
        <v>1115</v>
      </c>
      <c r="BA10" t="s">
        <v>1007</v>
      </c>
      <c r="BB10" t="s">
        <v>1116</v>
      </c>
      <c r="BC10" t="s">
        <v>1114</v>
      </c>
      <c r="BD10" t="s">
        <v>73</v>
      </c>
      <c r="BE10" t="s">
        <v>1353</v>
      </c>
      <c r="BF10" t="s">
        <v>1354</v>
      </c>
      <c r="BG10" t="s">
        <v>1355</v>
      </c>
      <c r="BH10" t="s">
        <v>822</v>
      </c>
      <c r="BI10" t="s">
        <v>1124</v>
      </c>
      <c r="BJ10" t="s">
        <v>1113</v>
      </c>
      <c r="BK10" t="s">
        <v>107</v>
      </c>
      <c r="BL10" t="s">
        <v>1884</v>
      </c>
      <c r="BM10" t="s">
        <v>1114</v>
      </c>
      <c r="BN10">
        <v>7.05</v>
      </c>
      <c r="BO10">
        <v>20.27</v>
      </c>
      <c r="BP10">
        <v>24.52</v>
      </c>
      <c r="BQ10">
        <v>7.03</v>
      </c>
      <c r="BR10">
        <v>20.6</v>
      </c>
      <c r="BS10" t="s">
        <v>41</v>
      </c>
      <c r="BT10" t="s">
        <v>1885</v>
      </c>
      <c r="BU10" t="s">
        <v>950</v>
      </c>
      <c r="BV10">
        <v>27.29</v>
      </c>
      <c r="BW10">
        <v>25.1</v>
      </c>
      <c r="BX10">
        <v>24.81</v>
      </c>
      <c r="BY10">
        <v>12.65</v>
      </c>
      <c r="BZ10">
        <v>14.13</v>
      </c>
      <c r="CA10">
        <v>13.83</v>
      </c>
      <c r="CB10">
        <v>-5.32</v>
      </c>
      <c r="CC10" s="8">
        <v>-11.18</v>
      </c>
      <c r="CD10" s="9" t="s">
        <v>1886</v>
      </c>
      <c r="CE10" s="8" t="s">
        <v>1887</v>
      </c>
      <c r="CF10" s="8">
        <v>0.14009661835748807</v>
      </c>
      <c r="CG10" s="8">
        <v>1.9365334073782419E-2</v>
      </c>
      <c r="CH10" s="8">
        <v>-0.14178302884101868</v>
      </c>
      <c r="CI10" s="8">
        <v>-1.9999999552965164E-2</v>
      </c>
      <c r="CJ10" s="9">
        <v>0.37085136771202087</v>
      </c>
      <c r="CK10" s="9">
        <v>0.18867924809455872</v>
      </c>
      <c r="CL10" s="9">
        <v>9.5864661037921906E-2</v>
      </c>
      <c r="CM10" s="9">
        <v>-0.23484848439693451</v>
      </c>
      <c r="CN10" s="9">
        <v>7.6335878111422062E-3</v>
      </c>
      <c r="CO10">
        <v>0.45178890228271484</v>
      </c>
      <c r="CP10">
        <v>1.1841325759887695</v>
      </c>
      <c r="CQ10">
        <v>-0.34838148951530457</v>
      </c>
      <c r="CR10" s="8">
        <v>22.624904016047303</v>
      </c>
      <c r="CS10" s="9">
        <v>2.29176890231841</v>
      </c>
      <c r="CT10">
        <v>4.3219881145326848</v>
      </c>
      <c r="CU10">
        <v>9.8722449690103534E-2</v>
      </c>
      <c r="CV10">
        <v>0.21206501843407749</v>
      </c>
      <c r="CW10">
        <v>0.06</v>
      </c>
      <c r="CX10">
        <v>8.8422285650421948</v>
      </c>
      <c r="CY10">
        <v>104689591.9044344</v>
      </c>
      <c r="CZ10">
        <v>9.8722449690103534E-2</v>
      </c>
      <c r="DA10">
        <v>2.8683150961307491</v>
      </c>
      <c r="DB10">
        <v>322729291.92776644</v>
      </c>
      <c r="DC10">
        <v>9.3786327205598347E-2</v>
      </c>
      <c r="DD10">
        <v>1.3980944511486526</v>
      </c>
      <c r="DE10">
        <v>662107842.02703047</v>
      </c>
      <c r="DF10">
        <v>8.6875755727291115E-2</v>
      </c>
      <c r="DG10">
        <v>0.83021962780546532</v>
      </c>
      <c r="DH10">
        <v>1114993272.8606904</v>
      </c>
      <c r="DI10">
        <v>7.8977959752082827E-2</v>
      </c>
      <c r="DJ10">
        <v>0.4183892298233392</v>
      </c>
      <c r="DK10">
        <v>2212507478.7199073</v>
      </c>
      <c r="DL10">
        <v>6.9105714783072467E-2</v>
      </c>
      <c r="DM10">
        <v>101000000</v>
      </c>
      <c r="DN10">
        <v>9.8722449690103534E-2</v>
      </c>
      <c r="DO10">
        <v>925689300</v>
      </c>
      <c r="DP10">
        <v>836293460</v>
      </c>
      <c r="DQ10" s="10">
        <v>508</v>
      </c>
      <c r="DR10">
        <v>4.1374168667384539E-2</v>
      </c>
      <c r="DS10">
        <v>-0.19269968436029508</v>
      </c>
      <c r="DT10">
        <v>-0.19000000000000003</v>
      </c>
      <c r="DU10">
        <v>0.10000000000000002</v>
      </c>
      <c r="DV10">
        <v>-9.0000000000000011E-2</v>
      </c>
      <c r="DW10">
        <v>-8.4758497316636845</v>
      </c>
      <c r="DX10">
        <v>0.29446992143444373</v>
      </c>
      <c r="DY10">
        <v>-8.0401949894482314</v>
      </c>
      <c r="DZ10">
        <v>1913</v>
      </c>
      <c r="EA10">
        <v>-8.0251474327330712</v>
      </c>
      <c r="EB10" s="11">
        <v>8</v>
      </c>
      <c r="EC10" s="11">
        <v>3.104570571435597E-2</v>
      </c>
      <c r="ED10">
        <v>0.3675356290990589</v>
      </c>
      <c r="EE10">
        <v>9.5000000000000001E-2</v>
      </c>
      <c r="EF10">
        <v>8.6300000000000002E-2</v>
      </c>
      <c r="EG10">
        <v>21.084469921434444</v>
      </c>
      <c r="EH10" s="13" t="s">
        <v>860</v>
      </c>
      <c r="EI10" s="14">
        <v>0</v>
      </c>
      <c r="EJ10" s="14">
        <v>0</v>
      </c>
      <c r="EK10" s="14">
        <v>45470</v>
      </c>
      <c r="EL10" s="14">
        <v>-0.92</v>
      </c>
      <c r="EM10" s="14">
        <v>-3.32</v>
      </c>
      <c r="EN10" s="14">
        <v>1.98</v>
      </c>
      <c r="EO10" s="14">
        <v>3.15</v>
      </c>
      <c r="EP10" s="14">
        <v>-0.87</v>
      </c>
    </row>
    <row r="11" spans="1:146" ht="96" x14ac:dyDescent="0.25">
      <c r="A11" s="7"/>
      <c r="B11" s="7"/>
      <c r="C11" s="7" t="str">
        <f>""&amp;CHAR(10)&amp;Basic_Fundamental_Information_Constructure(F11)&amp;CHAR(10)&amp;Basic_Fundamental_Information_Concatenate("")</f>
        <v xml:space="preserve">
市值16.141319亿, 利润-2.33亿; PE; 平均PE43.05; 平均PEG5.82, PB.993; ROIC1.3767%; ROE2.5933%; 股利率1.213%; 毛利16.76%; 净利-3.0567%; 上一年度营收增-11.87%, 利润增-591.46%; 当季营收增16.32%, 利润增121.94%; 过往5年营收增7.4%, 利润增-90.29%
Income profile:
</v>
      </c>
      <c r="D11" t="s">
        <v>71</v>
      </c>
      <c r="E11" t="s">
        <v>10</v>
      </c>
      <c r="F11">
        <v>2.48</v>
      </c>
      <c r="G11">
        <v>1.64</v>
      </c>
      <c r="H11" t="s">
        <v>1888</v>
      </c>
      <c r="I11">
        <v>1614131900</v>
      </c>
      <c r="K11">
        <v>0.99299999999999999</v>
      </c>
      <c r="L11" t="s">
        <v>1762</v>
      </c>
      <c r="M11" t="s">
        <v>1889</v>
      </c>
      <c r="N11" t="s">
        <v>1890</v>
      </c>
      <c r="O11" t="s">
        <v>438</v>
      </c>
      <c r="P11">
        <v>16.22</v>
      </c>
      <c r="Q11" t="s">
        <v>266</v>
      </c>
      <c r="R11">
        <v>6375100</v>
      </c>
      <c r="S11" s="5">
        <v>1.2190000000000001</v>
      </c>
      <c r="T11" t="s">
        <v>1679</v>
      </c>
      <c r="U11">
        <v>647281620</v>
      </c>
      <c r="V11">
        <v>650859650</v>
      </c>
      <c r="W11">
        <v>2.12</v>
      </c>
      <c r="X11">
        <v>0.18</v>
      </c>
      <c r="Y11">
        <v>0.5</v>
      </c>
      <c r="Z11" t="s">
        <v>1891</v>
      </c>
      <c r="AA11" t="s">
        <v>1277</v>
      </c>
      <c r="AB11" t="s">
        <v>1892</v>
      </c>
      <c r="AC11" t="s">
        <v>1893</v>
      </c>
      <c r="AD11" t="s">
        <v>41</v>
      </c>
      <c r="AE11">
        <v>5004412</v>
      </c>
      <c r="AF11" t="s">
        <v>1894</v>
      </c>
      <c r="AG11" t="s">
        <v>1895</v>
      </c>
      <c r="AH11" t="s">
        <v>1896</v>
      </c>
      <c r="AI11" t="s">
        <v>1313</v>
      </c>
      <c r="AJ11" t="s">
        <v>1897</v>
      </c>
      <c r="AK11" t="s">
        <v>1898</v>
      </c>
      <c r="AL11" t="s">
        <v>1899</v>
      </c>
      <c r="AM11" t="s">
        <v>41</v>
      </c>
      <c r="AN11" t="s">
        <v>895</v>
      </c>
      <c r="AO11" t="s">
        <v>324</v>
      </c>
      <c r="AP11" t="s">
        <v>1287</v>
      </c>
      <c r="AQ11" t="s">
        <v>198</v>
      </c>
      <c r="AR11" t="s">
        <v>41</v>
      </c>
      <c r="AS11" t="s">
        <v>1900</v>
      </c>
      <c r="AT11" t="s">
        <v>1498</v>
      </c>
      <c r="AU11" t="s">
        <v>1901</v>
      </c>
      <c r="AV11" t="s">
        <v>1902</v>
      </c>
      <c r="AW11" t="s">
        <v>1903</v>
      </c>
      <c r="AX11" t="s">
        <v>1117</v>
      </c>
      <c r="AY11" t="s">
        <v>704</v>
      </c>
      <c r="AZ11" t="s">
        <v>330</v>
      </c>
      <c r="BA11" t="s">
        <v>72</v>
      </c>
      <c r="BB11" t="s">
        <v>195</v>
      </c>
      <c r="BC11" t="s">
        <v>1118</v>
      </c>
      <c r="BD11" t="s">
        <v>705</v>
      </c>
      <c r="BE11" t="s">
        <v>175</v>
      </c>
      <c r="BF11" t="s">
        <v>73</v>
      </c>
      <c r="BG11" t="s">
        <v>332</v>
      </c>
      <c r="BH11" t="s">
        <v>266</v>
      </c>
      <c r="BI11" t="s">
        <v>1257</v>
      </c>
      <c r="BJ11" t="s">
        <v>1117</v>
      </c>
      <c r="BK11" t="s">
        <v>1679</v>
      </c>
      <c r="BL11" t="s">
        <v>1904</v>
      </c>
      <c r="BM11" t="s">
        <v>1118</v>
      </c>
      <c r="BN11">
        <v>0.12</v>
      </c>
      <c r="BO11">
        <v>1.59</v>
      </c>
      <c r="BP11">
        <v>2.42</v>
      </c>
      <c r="BQ11">
        <v>0.44</v>
      </c>
      <c r="BR11">
        <v>2.57</v>
      </c>
      <c r="BS11">
        <v>4.7699999999999996</v>
      </c>
      <c r="BT11" t="s">
        <v>1905</v>
      </c>
      <c r="BU11" t="s">
        <v>1777</v>
      </c>
      <c r="BV11">
        <v>16.34</v>
      </c>
      <c r="BW11">
        <v>15.69</v>
      </c>
      <c r="BX11">
        <v>18.25</v>
      </c>
      <c r="BY11">
        <v>-10.95</v>
      </c>
      <c r="BZ11">
        <v>0.72</v>
      </c>
      <c r="CA11">
        <v>1.06</v>
      </c>
      <c r="CB11">
        <v>1.22</v>
      </c>
      <c r="CC11">
        <v>-16.5</v>
      </c>
      <c r="CD11" t="s">
        <v>1906</v>
      </c>
      <c r="CE11" t="s">
        <v>1323</v>
      </c>
      <c r="CF11" s="8">
        <v>0.16323024054982818</v>
      </c>
      <c r="CG11" s="9">
        <v>1.2194413369361308</v>
      </c>
      <c r="CH11" s="8">
        <v>-0.11866465955972672</v>
      </c>
      <c r="CI11" s="8">
        <v>-0.20140573382377625</v>
      </c>
      <c r="CJ11" s="8">
        <v>0.23532937467098236</v>
      </c>
      <c r="CK11" s="8">
        <v>0.30011680722236633</v>
      </c>
      <c r="CL11" s="8">
        <v>0.15460674464702606</v>
      </c>
      <c r="CM11" s="9">
        <v>-5.9146270751953125</v>
      </c>
      <c r="CN11" s="9">
        <v>-0.44626128673553467</v>
      </c>
      <c r="CO11" s="9">
        <v>-0.43672963976860046</v>
      </c>
      <c r="CP11" s="9">
        <v>0.16030533611774445</v>
      </c>
      <c r="CQ11" s="9">
        <v>2.1228842735290527</v>
      </c>
      <c r="CR11">
        <v>43.048300477830864</v>
      </c>
      <c r="CS11">
        <v>5.8176125384246822</v>
      </c>
      <c r="CT11">
        <v>1.2129999999999999</v>
      </c>
      <c r="CU11" s="8">
        <v>7.3996506631374359E-2</v>
      </c>
      <c r="CV11" s="9">
        <v>-0.90288567841053013</v>
      </c>
      <c r="CW11">
        <v>0.06</v>
      </c>
      <c r="CX11" t="e">
        <v>#VALUE!</v>
      </c>
      <c r="CY11" t="s">
        <v>853</v>
      </c>
      <c r="CZ11">
        <v>7.3996506631374359E-2</v>
      </c>
      <c r="DA11" t="e">
        <v>#VALUE!</v>
      </c>
      <c r="DB11" t="s">
        <v>853</v>
      </c>
      <c r="DC11">
        <v>7.0296681299805638E-2</v>
      </c>
      <c r="DD11" t="e">
        <v>#VALUE!</v>
      </c>
      <c r="DE11" t="s">
        <v>853</v>
      </c>
      <c r="DF11">
        <v>6.5116925835609435E-2</v>
      </c>
      <c r="DG11" t="e">
        <v>#VALUE!</v>
      </c>
      <c r="DH11" t="s">
        <v>853</v>
      </c>
      <c r="DI11">
        <v>5.919720530509949E-2</v>
      </c>
      <c r="DJ11" t="e">
        <v>#VALUE!</v>
      </c>
      <c r="DK11" t="s">
        <v>853</v>
      </c>
      <c r="DL11">
        <v>5.1797554641962049E-2</v>
      </c>
      <c r="DM11">
        <v>-233000000</v>
      </c>
      <c r="DN11">
        <v>7.3996506631374359E-2</v>
      </c>
      <c r="DO11">
        <v>1790131900.0000002</v>
      </c>
      <c r="DP11">
        <v>677332000.00000024</v>
      </c>
      <c r="DQ11">
        <v>600</v>
      </c>
      <c r="DR11">
        <v>8.9233733918453823E-2</v>
      </c>
      <c r="DS11">
        <v>2.1223270153466611</v>
      </c>
      <c r="DT11" s="10">
        <v>-0.24000000000000007</v>
      </c>
      <c r="DU11">
        <v>-0.94833333333333336</v>
      </c>
      <c r="DV11">
        <v>-1.1883333333333335</v>
      </c>
      <c r="DW11">
        <v>-3.0056547619047618</v>
      </c>
      <c r="DX11">
        <v>0.40492920353982398</v>
      </c>
      <c r="DY11">
        <v>-3.0009326353771599</v>
      </c>
      <c r="DZ11">
        <v>3748</v>
      </c>
      <c r="EA11">
        <v>-3.0002485810926989</v>
      </c>
      <c r="EB11">
        <v>3</v>
      </c>
      <c r="EC11">
        <v>5.7268875094653664E-2</v>
      </c>
      <c r="ED11">
        <v>0.34723307859075297</v>
      </c>
      <c r="EE11" s="11">
        <v>-2.0110999999999999</v>
      </c>
      <c r="EF11">
        <v>-2.0009100000000002</v>
      </c>
      <c r="EG11">
        <v>24.164929203539824</v>
      </c>
      <c r="EH11" t="s">
        <v>1235</v>
      </c>
      <c r="EI11">
        <v>0</v>
      </c>
      <c r="EJ11">
        <v>0</v>
      </c>
      <c r="EK11" s="13">
        <v>45470</v>
      </c>
      <c r="EL11" s="14">
        <v>0</v>
      </c>
      <c r="EM11" s="14">
        <v>-4.38</v>
      </c>
      <c r="EN11" s="14">
        <v>1.67</v>
      </c>
      <c r="EO11" s="14">
        <v>4.1500000000000004</v>
      </c>
      <c r="EP11" s="14">
        <v>-1.2</v>
      </c>
    </row>
    <row r="12" spans="1:146" ht="96" x14ac:dyDescent="0.25">
      <c r="C12" s="7" t="str">
        <f>""&amp;CHAR(10)&amp;Basic_Fundamental_Information_Constructure(F12)&amp;CHAR(10)&amp;Basic_Fundamental_Information_Concatenate("")</f>
        <v xml:space="preserve">
市值13.472502亿, 利润1042.26万; PE; 平均PE-7.44; 平均PEG-.54, PB.931; ROIC4.1%; ROE-13.6567%; 股利率0%; 毛利10.56%; 净利-9.9533%; 上一年度营收增-14.98%, 利润增101.29%; 当季营收增-58.1%, 利润增115.7%; 过往5年营收增-13.83%, 利润增-1410.27%
Income profile:
</v>
      </c>
      <c r="D12" t="s">
        <v>1907</v>
      </c>
      <c r="E12" t="s">
        <v>1908</v>
      </c>
      <c r="F12">
        <v>1.95</v>
      </c>
      <c r="G12">
        <v>10.17</v>
      </c>
      <c r="H12" t="s">
        <v>1909</v>
      </c>
      <c r="I12">
        <v>1347250200</v>
      </c>
      <c r="K12">
        <v>0.93100000000000005</v>
      </c>
      <c r="L12" t="s">
        <v>1762</v>
      </c>
      <c r="M12" t="s">
        <v>1747</v>
      </c>
      <c r="N12" t="s">
        <v>1910</v>
      </c>
      <c r="O12" t="s">
        <v>1911</v>
      </c>
      <c r="P12" s="5">
        <v>-58.02</v>
      </c>
      <c r="Q12" t="s">
        <v>1912</v>
      </c>
      <c r="R12">
        <v>43626800</v>
      </c>
      <c r="S12">
        <v>-0.54430000000000001</v>
      </c>
      <c r="T12" t="s">
        <v>1913</v>
      </c>
      <c r="U12">
        <v>690453550</v>
      </c>
      <c r="V12">
        <v>690897550</v>
      </c>
      <c r="W12">
        <v>2.2000000000000002</v>
      </c>
      <c r="X12">
        <v>0.1</v>
      </c>
      <c r="Y12">
        <v>2.84</v>
      </c>
      <c r="Z12" t="s">
        <v>1349</v>
      </c>
      <c r="AA12" t="s">
        <v>152</v>
      </c>
      <c r="AB12" t="s">
        <v>1914</v>
      </c>
      <c r="AC12" t="s">
        <v>1915</v>
      </c>
      <c r="AD12" t="s">
        <v>41</v>
      </c>
      <c r="AE12">
        <v>11780574</v>
      </c>
      <c r="AF12" t="s">
        <v>1916</v>
      </c>
      <c r="AG12" t="s">
        <v>1917</v>
      </c>
      <c r="AH12" t="s">
        <v>1918</v>
      </c>
      <c r="AI12" t="s">
        <v>160</v>
      </c>
      <c r="AJ12" t="s">
        <v>1919</v>
      </c>
      <c r="AK12" t="s">
        <v>1920</v>
      </c>
      <c r="AL12" t="s">
        <v>1921</v>
      </c>
      <c r="AM12" t="s">
        <v>41</v>
      </c>
      <c r="AN12" t="s">
        <v>1922</v>
      </c>
      <c r="AO12" t="s">
        <v>546</v>
      </c>
      <c r="AP12" t="s">
        <v>132</v>
      </c>
      <c r="AQ12" t="s">
        <v>242</v>
      </c>
      <c r="AR12" t="s">
        <v>41</v>
      </c>
      <c r="AS12" t="s">
        <v>1923</v>
      </c>
      <c r="AT12" t="s">
        <v>41</v>
      </c>
      <c r="AU12" t="s">
        <v>1924</v>
      </c>
      <c r="AV12" t="s">
        <v>1925</v>
      </c>
      <c r="AW12" t="s">
        <v>1926</v>
      </c>
      <c r="AX12" t="s">
        <v>722</v>
      </c>
      <c r="AY12" t="s">
        <v>1927</v>
      </c>
      <c r="AZ12" t="s">
        <v>1928</v>
      </c>
      <c r="BA12" t="s">
        <v>1929</v>
      </c>
      <c r="BB12" t="s">
        <v>1930</v>
      </c>
      <c r="BC12" t="s">
        <v>1931</v>
      </c>
      <c r="BD12" t="s">
        <v>1932</v>
      </c>
      <c r="BE12" t="s">
        <v>1933</v>
      </c>
      <c r="BF12" t="s">
        <v>1934</v>
      </c>
      <c r="BG12" t="s">
        <v>64</v>
      </c>
      <c r="BH12" t="s">
        <v>1912</v>
      </c>
      <c r="BI12" t="s">
        <v>1454</v>
      </c>
      <c r="BJ12" t="s">
        <v>722</v>
      </c>
      <c r="BK12" t="s">
        <v>1913</v>
      </c>
      <c r="BL12" t="s">
        <v>1935</v>
      </c>
      <c r="BM12" t="s">
        <v>1931</v>
      </c>
      <c r="BN12">
        <v>4.0999999999999996</v>
      </c>
      <c r="BO12" t="s">
        <v>41</v>
      </c>
      <c r="BP12" t="s">
        <v>41</v>
      </c>
      <c r="BQ12">
        <v>2.92</v>
      </c>
      <c r="BR12">
        <v>-44.55</v>
      </c>
      <c r="BS12">
        <v>0.66</v>
      </c>
      <c r="BT12" t="s">
        <v>1081</v>
      </c>
      <c r="BU12" t="s">
        <v>1777</v>
      </c>
      <c r="BV12">
        <v>9.9499999999999993</v>
      </c>
      <c r="BW12">
        <v>8.4600000000000009</v>
      </c>
      <c r="BX12">
        <v>13.27</v>
      </c>
      <c r="BY12">
        <v>0.36</v>
      </c>
      <c r="BZ12">
        <v>-29.66</v>
      </c>
      <c r="CA12">
        <v>-0.56000000000000005</v>
      </c>
      <c r="CB12">
        <v>8.94</v>
      </c>
      <c r="CC12" s="8">
        <v>-19.75</v>
      </c>
      <c r="CD12" s="9" t="s">
        <v>1936</v>
      </c>
      <c r="CE12" s="8" t="s">
        <v>1246</v>
      </c>
      <c r="CF12" s="8">
        <v>-0.58101265822784809</v>
      </c>
      <c r="CG12" s="8">
        <v>1.1569982744725769</v>
      </c>
      <c r="CH12" s="8">
        <v>-0.1497797816991806</v>
      </c>
      <c r="CI12" s="8">
        <v>-6.4065933227539063E-2</v>
      </c>
      <c r="CJ12" s="9">
        <v>-0.21214397251605988</v>
      </c>
      <c r="CK12" s="9">
        <v>-0.26904106140136719</v>
      </c>
      <c r="CL12" s="9">
        <v>3.4823694732040167E-3</v>
      </c>
      <c r="CM12" s="9">
        <v>1.0128833055496216</v>
      </c>
      <c r="CN12" s="9">
        <v>-50.504344940185547</v>
      </c>
      <c r="CO12">
        <v>1.0380933284759521</v>
      </c>
      <c r="CP12">
        <v>-21.263568878173828</v>
      </c>
      <c r="CQ12">
        <v>-0.79643267393112183</v>
      </c>
      <c r="CR12" s="8">
        <v>-7.4429299036042424</v>
      </c>
      <c r="CS12" s="9">
        <v>-0.5381351562398714</v>
      </c>
      <c r="CT12">
        <v>0</v>
      </c>
      <c r="CU12">
        <v>-0.13830967587418855</v>
      </c>
      <c r="CV12">
        <v>-14.102673971652985</v>
      </c>
      <c r="CW12">
        <v>0.06</v>
      </c>
      <c r="CX12">
        <v>150.08253218966476</v>
      </c>
      <c r="CY12" t="s">
        <v>1937</v>
      </c>
      <c r="CZ12">
        <v>-0.13830967587418855</v>
      </c>
      <c r="DA12">
        <v>50.027510729888256</v>
      </c>
      <c r="DB12" t="s">
        <v>1938</v>
      </c>
      <c r="DC12">
        <v>-0.13139419208047912</v>
      </c>
      <c r="DD12">
        <v>25.013755364944128</v>
      </c>
      <c r="DE12" t="s">
        <v>1939</v>
      </c>
      <c r="DF12">
        <v>-0.12171251476928592</v>
      </c>
      <c r="DG12">
        <v>15.008253218966477</v>
      </c>
      <c r="DH12" t="s">
        <v>1940</v>
      </c>
      <c r="DI12">
        <v>-0.11064774069935085</v>
      </c>
      <c r="DJ12">
        <v>7.5041266094832384</v>
      </c>
      <c r="DK12" t="s">
        <v>1941</v>
      </c>
      <c r="DL12">
        <v>-9.6816773111931972E-2</v>
      </c>
      <c r="DM12">
        <v>10422600</v>
      </c>
      <c r="DN12">
        <v>-0.13830967587418855</v>
      </c>
      <c r="DO12">
        <v>1564250200</v>
      </c>
      <c r="DP12">
        <v>449502900.00000024</v>
      </c>
      <c r="DQ12" s="10">
        <v>608</v>
      </c>
      <c r="DR12">
        <v>-0.44270298235365957</v>
      </c>
      <c r="DS12">
        <v>15.259672246125561</v>
      </c>
      <c r="DT12">
        <v>-0.69</v>
      </c>
      <c r="DU12">
        <v>-0.3666666666666667</v>
      </c>
      <c r="DV12">
        <v>-1.0566666666666666</v>
      </c>
      <c r="DW12">
        <v>7.3116068316486578</v>
      </c>
      <c r="DX12">
        <v>0.24464043478260869</v>
      </c>
      <c r="DY12">
        <v>7.0481870159273798</v>
      </c>
      <c r="DZ12">
        <v>4453</v>
      </c>
      <c r="EA12">
        <v>7.0061954734763772</v>
      </c>
      <c r="EB12" s="11">
        <v>7</v>
      </c>
      <c r="EC12" s="11">
        <v>0.10295969351751211</v>
      </c>
      <c r="ED12">
        <v>0.66580059518231027</v>
      </c>
      <c r="EE12">
        <v>-3.08101</v>
      </c>
      <c r="EF12">
        <v>-3.1027100000000001</v>
      </c>
      <c r="EG12">
        <v>9.1546404347826087</v>
      </c>
      <c r="EH12" s="13" t="s">
        <v>1520</v>
      </c>
      <c r="EI12">
        <v>1</v>
      </c>
      <c r="EJ12">
        <v>0</v>
      </c>
      <c r="EK12">
        <v>45470</v>
      </c>
      <c r="EL12">
        <v>-1.6</v>
      </c>
      <c r="EM12">
        <v>-4.8899999999999997</v>
      </c>
      <c r="EN12" s="14">
        <v>1.1399999999999999</v>
      </c>
      <c r="EO12" s="14">
        <v>3.95</v>
      </c>
      <c r="EP12" s="14">
        <v>-2.17</v>
      </c>
    </row>
    <row r="13" spans="1:146" ht="96" x14ac:dyDescent="0.25">
      <c r="A13" s="7"/>
      <c r="B13" s="7"/>
      <c r="C13" s="7" t="str">
        <f>""&amp;CHAR(10)&amp;Basic_Fundamental_Information_Constructure(F13)&amp;CHAR(10)&amp;Basic_Fundamental_Information_Concatenate("")</f>
        <v xml:space="preserve">
市值26.446511亿, 利润1.69亿; PE16.89; 平均PE-21.16; 平均PEG-3.44, PB2.74; ROIC5.27%; ROE3.9933%; 股利率0%; 毛利13.5667%; 净利1.8033%; 上一年度营收增8.21%, 利润增566.63%; 当季营收增-8.14%, 利润增-35.7%; 过往5年营收增6.15%, 利润增-293.35%
Income profile:
</v>
      </c>
      <c r="D13" t="s">
        <v>77</v>
      </c>
      <c r="E13" t="s">
        <v>78</v>
      </c>
      <c r="F13">
        <v>4.95</v>
      </c>
      <c r="G13">
        <v>1.85</v>
      </c>
      <c r="H13" t="s">
        <v>1942</v>
      </c>
      <c r="I13">
        <v>2644651100</v>
      </c>
      <c r="J13">
        <v>16.89</v>
      </c>
      <c r="K13">
        <v>2.74</v>
      </c>
      <c r="L13" t="s">
        <v>1762</v>
      </c>
      <c r="M13" t="s">
        <v>997</v>
      </c>
      <c r="N13" t="s">
        <v>1943</v>
      </c>
      <c r="O13" t="s">
        <v>619</v>
      </c>
      <c r="P13">
        <v>-8.24</v>
      </c>
      <c r="Q13" t="s">
        <v>1944</v>
      </c>
      <c r="R13">
        <v>22790731</v>
      </c>
      <c r="S13" s="5">
        <v>-0.35699999999999998</v>
      </c>
      <c r="T13" t="s">
        <v>1287</v>
      </c>
      <c r="U13">
        <v>377075190</v>
      </c>
      <c r="V13">
        <v>534272950</v>
      </c>
      <c r="W13">
        <v>1.68</v>
      </c>
      <c r="X13">
        <v>0.23</v>
      </c>
      <c r="Y13">
        <v>5.18</v>
      </c>
      <c r="Z13" t="s">
        <v>1945</v>
      </c>
      <c r="AA13" t="s">
        <v>62</v>
      </c>
      <c r="AB13" t="s">
        <v>1946</v>
      </c>
      <c r="AC13" t="s">
        <v>1947</v>
      </c>
      <c r="AD13" t="s">
        <v>41</v>
      </c>
      <c r="AE13">
        <v>-1219982</v>
      </c>
      <c r="AF13" t="s">
        <v>1948</v>
      </c>
      <c r="AG13" t="s">
        <v>1949</v>
      </c>
      <c r="AH13" t="s">
        <v>1950</v>
      </c>
      <c r="AI13" t="s">
        <v>402</v>
      </c>
      <c r="AJ13" t="s">
        <v>1951</v>
      </c>
      <c r="AK13" t="s">
        <v>1952</v>
      </c>
      <c r="AL13" t="s">
        <v>1953</v>
      </c>
      <c r="AM13" t="s">
        <v>41</v>
      </c>
      <c r="AN13" t="s">
        <v>1954</v>
      </c>
      <c r="AO13" t="s">
        <v>962</v>
      </c>
      <c r="AP13" t="s">
        <v>1955</v>
      </c>
      <c r="AQ13" t="s">
        <v>1006</v>
      </c>
      <c r="AR13" t="s">
        <v>1956</v>
      </c>
      <c r="AS13" t="s">
        <v>1957</v>
      </c>
      <c r="AT13" t="s">
        <v>41</v>
      </c>
      <c r="AU13" t="s">
        <v>1958</v>
      </c>
      <c r="AV13" t="s">
        <v>603</v>
      </c>
      <c r="AW13" t="s">
        <v>1597</v>
      </c>
      <c r="AX13" t="s">
        <v>1120</v>
      </c>
      <c r="AY13" t="s">
        <v>706</v>
      </c>
      <c r="AZ13" t="s">
        <v>335</v>
      </c>
      <c r="BA13" t="s">
        <v>79</v>
      </c>
      <c r="BB13" t="s">
        <v>329</v>
      </c>
      <c r="BC13" t="s">
        <v>1121</v>
      </c>
      <c r="BD13" t="s">
        <v>707</v>
      </c>
      <c r="BE13" t="s">
        <v>336</v>
      </c>
      <c r="BF13" t="s">
        <v>80</v>
      </c>
      <c r="BG13" t="s">
        <v>338</v>
      </c>
      <c r="BH13" t="s">
        <v>1944</v>
      </c>
      <c r="BI13" t="s">
        <v>887</v>
      </c>
      <c r="BJ13" t="s">
        <v>1120</v>
      </c>
      <c r="BK13" t="s">
        <v>1287</v>
      </c>
      <c r="BL13" t="s">
        <v>1959</v>
      </c>
      <c r="BM13" t="s">
        <v>1121</v>
      </c>
      <c r="BN13">
        <v>7.61</v>
      </c>
      <c r="BO13" t="s">
        <v>41</v>
      </c>
      <c r="BP13">
        <v>2.93</v>
      </c>
      <c r="BQ13">
        <v>14.25</v>
      </c>
      <c r="BR13">
        <v>-4.58</v>
      </c>
      <c r="BS13">
        <v>2.31</v>
      </c>
      <c r="BT13" t="s">
        <v>1081</v>
      </c>
      <c r="BU13" t="s">
        <v>950</v>
      </c>
      <c r="BV13">
        <v>14.72</v>
      </c>
      <c r="BW13">
        <v>14.04</v>
      </c>
      <c r="BX13">
        <v>11.94</v>
      </c>
      <c r="BY13">
        <v>6.28</v>
      </c>
      <c r="BZ13">
        <v>-1.51</v>
      </c>
      <c r="CA13">
        <v>0.64</v>
      </c>
      <c r="CB13">
        <v>-0.2</v>
      </c>
      <c r="CC13">
        <v>-12.54</v>
      </c>
      <c r="CD13" t="s">
        <v>1960</v>
      </c>
      <c r="CE13" t="s">
        <v>1323</v>
      </c>
      <c r="CF13" s="8">
        <v>-8.1419624217118874E-2</v>
      </c>
      <c r="CG13" s="9">
        <v>-0.35696422928469856</v>
      </c>
      <c r="CH13" s="8">
        <v>8.2059428095817566E-2</v>
      </c>
      <c r="CI13" s="8">
        <v>-0.12557154893875122</v>
      </c>
      <c r="CJ13" s="8">
        <v>9.6413470804691315E-2</v>
      </c>
      <c r="CK13" s="8">
        <v>0.19769053161144257</v>
      </c>
      <c r="CL13" s="8">
        <v>5.7128876447677612E-2</v>
      </c>
      <c r="CM13" s="9">
        <v>5.666252613067627</v>
      </c>
      <c r="CN13" s="9">
        <v>-2.9672091007232666</v>
      </c>
      <c r="CO13" s="9">
        <v>1.0776817798614502</v>
      </c>
      <c r="CP13" s="9">
        <v>-19.463264465332031</v>
      </c>
      <c r="CQ13" s="9">
        <v>1.0189605951309204</v>
      </c>
      <c r="CR13">
        <v>-21.158038195097248</v>
      </c>
      <c r="CS13">
        <v>-3.4378633295940575</v>
      </c>
      <c r="CT13">
        <v>0</v>
      </c>
      <c r="CU13" s="8">
        <v>6.1544151604175569E-2</v>
      </c>
      <c r="CV13" s="9">
        <v>-2.9335157155990599</v>
      </c>
      <c r="CW13">
        <v>0.06</v>
      </c>
      <c r="CX13">
        <v>17.050021016387618</v>
      </c>
      <c r="CY13">
        <v>169246190.20859024</v>
      </c>
      <c r="CZ13">
        <v>6.1544151604175569E-2</v>
      </c>
      <c r="DA13">
        <v>5.708114667942267</v>
      </c>
      <c r="DB13">
        <v>505534886.36209476</v>
      </c>
      <c r="DC13">
        <v>5.8466944023966787E-2</v>
      </c>
      <c r="DD13">
        <v>2.9012546070211629</v>
      </c>
      <c r="DE13">
        <v>994621807.0680865</v>
      </c>
      <c r="DF13">
        <v>5.41588534116745E-2</v>
      </c>
      <c r="DG13">
        <v>1.8053099623866773</v>
      </c>
      <c r="DH13">
        <v>1598424182.0640469</v>
      </c>
      <c r="DI13">
        <v>4.9235321283340461E-2</v>
      </c>
      <c r="DJ13">
        <v>1.0065425012090941</v>
      </c>
      <c r="DK13">
        <v>2866894439.6621652</v>
      </c>
      <c r="DL13">
        <v>4.3080906122922896E-2</v>
      </c>
      <c r="DM13">
        <v>169000000</v>
      </c>
      <c r="DN13">
        <v>6.1544151604175569E-2</v>
      </c>
      <c r="DO13">
        <v>2885651100</v>
      </c>
      <c r="DP13">
        <v>259880060</v>
      </c>
      <c r="DQ13">
        <v>617</v>
      </c>
      <c r="DR13">
        <v>-0.14296377582129444</v>
      </c>
      <c r="DS13">
        <v>2.5765514863143615</v>
      </c>
      <c r="DT13" s="10">
        <v>-0.32333333333333336</v>
      </c>
      <c r="DU13">
        <v>-1.04</v>
      </c>
      <c r="DV13">
        <v>-1.3633333333333333</v>
      </c>
      <c r="DW13">
        <v>-2.1254</v>
      </c>
      <c r="DX13">
        <v>0.37656548672566204</v>
      </c>
      <c r="DY13">
        <v>-2.0146173120353983</v>
      </c>
      <c r="DZ13">
        <v>3905</v>
      </c>
      <c r="EA13">
        <v>-2.0034469395308521</v>
      </c>
      <c r="EB13">
        <v>2</v>
      </c>
      <c r="EC13">
        <v>4.9307755520843793E-2</v>
      </c>
      <c r="ED13">
        <v>0.42300475814843325</v>
      </c>
      <c r="EE13" s="11">
        <v>-2.0207999999999999</v>
      </c>
      <c r="EF13">
        <v>-2.0127999999999999</v>
      </c>
      <c r="EG13">
        <v>26.116565486725662</v>
      </c>
      <c r="EH13" t="s">
        <v>1137</v>
      </c>
      <c r="EI13">
        <v>0</v>
      </c>
      <c r="EJ13">
        <v>0</v>
      </c>
      <c r="EK13" s="13">
        <v>45470</v>
      </c>
      <c r="EL13" s="14">
        <v>-0.4</v>
      </c>
      <c r="EM13" s="14">
        <v>-3.98</v>
      </c>
      <c r="EN13" s="14">
        <v>0.41</v>
      </c>
      <c r="EO13" s="14">
        <v>3.93</v>
      </c>
      <c r="EP13" s="14">
        <v>-0.8</v>
      </c>
    </row>
    <row r="14" spans="1:146" ht="96" x14ac:dyDescent="0.25">
      <c r="A14" s="7"/>
      <c r="B14" s="7"/>
      <c r="C14" s="7" t="str">
        <f>""&amp;CHAR(10)&amp;Basic_Fundamental_Information_Constructure(F14)&amp;CHAR(10)&amp;Basic_Fundamental_Information_Concatenate("")</f>
        <v xml:space="preserve">
市值26.780767亿, 利润5006.38万; PE59.89; 平均PE-257.71; 平均PEG-43.9, PB2.75; ROIC6.04%; ROE-3.3967%; 股利率0%; 毛利23.66%; 净利-5.5367%; 上一年度营收增9.89%, 利润增118.01%; 当季营收增0%, 利润增-69.65%; 过往5年营收增5.87%, 利润增-99.36%
Income profile:
</v>
      </c>
      <c r="D14" t="s">
        <v>607</v>
      </c>
      <c r="E14" t="s">
        <v>608</v>
      </c>
      <c r="F14">
        <v>2.91</v>
      </c>
      <c r="G14">
        <v>2.11</v>
      </c>
      <c r="H14" t="s">
        <v>1961</v>
      </c>
      <c r="I14">
        <v>2678076700</v>
      </c>
      <c r="J14">
        <v>59.89</v>
      </c>
      <c r="K14">
        <v>2.75</v>
      </c>
      <c r="L14" t="s">
        <v>1762</v>
      </c>
      <c r="M14" t="s">
        <v>556</v>
      </c>
      <c r="N14" t="s">
        <v>1962</v>
      </c>
      <c r="O14" t="s">
        <v>1261</v>
      </c>
      <c r="P14">
        <v>0.01</v>
      </c>
      <c r="Q14" t="s">
        <v>1963</v>
      </c>
      <c r="R14">
        <v>-13017355</v>
      </c>
      <c r="S14" s="5">
        <v>-0.69650000000000001</v>
      </c>
      <c r="T14" t="s">
        <v>1964</v>
      </c>
      <c r="U14">
        <v>919413980</v>
      </c>
      <c r="V14">
        <v>920301280</v>
      </c>
      <c r="W14">
        <v>2.25</v>
      </c>
      <c r="X14">
        <v>0.1</v>
      </c>
      <c r="Y14">
        <v>-6.24</v>
      </c>
      <c r="Z14" t="s">
        <v>295</v>
      </c>
      <c r="AA14" t="s">
        <v>337</v>
      </c>
      <c r="AB14" t="s">
        <v>1965</v>
      </c>
      <c r="AC14" t="s">
        <v>1966</v>
      </c>
      <c r="AD14" t="s">
        <v>41</v>
      </c>
      <c r="AE14">
        <v>4928690</v>
      </c>
      <c r="AF14" t="s">
        <v>1967</v>
      </c>
      <c r="AG14" t="s">
        <v>1968</v>
      </c>
      <c r="AH14" t="s">
        <v>1969</v>
      </c>
      <c r="AI14" t="s">
        <v>306</v>
      </c>
      <c r="AJ14" t="s">
        <v>1970</v>
      </c>
      <c r="AK14" t="s">
        <v>1971</v>
      </c>
      <c r="AL14" t="s">
        <v>1972</v>
      </c>
      <c r="AM14" t="s">
        <v>41</v>
      </c>
      <c r="AN14" t="s">
        <v>1973</v>
      </c>
      <c r="AO14" t="s">
        <v>145</v>
      </c>
      <c r="AP14" t="s">
        <v>145</v>
      </c>
      <c r="AQ14" t="s">
        <v>1335</v>
      </c>
      <c r="AR14" t="s">
        <v>41</v>
      </c>
      <c r="AS14" t="s">
        <v>1974</v>
      </c>
      <c r="AT14" t="s">
        <v>76</v>
      </c>
      <c r="AU14" t="s">
        <v>1975</v>
      </c>
      <c r="AV14" t="s">
        <v>1976</v>
      </c>
      <c r="AW14" t="s">
        <v>1977</v>
      </c>
      <c r="AX14" t="s">
        <v>1122</v>
      </c>
      <c r="AY14" t="s">
        <v>605</v>
      </c>
      <c r="AZ14" t="s">
        <v>609</v>
      </c>
      <c r="BA14" t="s">
        <v>612</v>
      </c>
      <c r="BB14" t="s">
        <v>183</v>
      </c>
      <c r="BC14" t="s">
        <v>1123</v>
      </c>
      <c r="BD14" t="s">
        <v>708</v>
      </c>
      <c r="BE14" t="s">
        <v>610</v>
      </c>
      <c r="BF14" t="s">
        <v>613</v>
      </c>
      <c r="BG14" t="s">
        <v>614</v>
      </c>
      <c r="BH14" t="s">
        <v>1963</v>
      </c>
      <c r="BI14" t="s">
        <v>1261</v>
      </c>
      <c r="BJ14" t="s">
        <v>1122</v>
      </c>
      <c r="BK14" t="s">
        <v>1964</v>
      </c>
      <c r="BL14" t="s">
        <v>1978</v>
      </c>
      <c r="BM14" t="s">
        <v>1123</v>
      </c>
      <c r="BN14">
        <v>7.8</v>
      </c>
      <c r="BO14" t="s">
        <v>41</v>
      </c>
      <c r="BP14">
        <v>4.28</v>
      </c>
      <c r="BQ14">
        <v>10.26</v>
      </c>
      <c r="BR14">
        <v>-24.44</v>
      </c>
      <c r="BS14">
        <v>3.99</v>
      </c>
      <c r="BT14" t="s">
        <v>1081</v>
      </c>
      <c r="BU14" t="s">
        <v>949</v>
      </c>
      <c r="BV14">
        <v>22.44</v>
      </c>
      <c r="BW14">
        <v>21.59</v>
      </c>
      <c r="BX14">
        <v>26.95</v>
      </c>
      <c r="BY14">
        <v>3.76</v>
      </c>
      <c r="BZ14">
        <v>-24.16</v>
      </c>
      <c r="CA14">
        <v>3.79</v>
      </c>
      <c r="CB14">
        <v>5.43</v>
      </c>
      <c r="CC14">
        <v>-16.38</v>
      </c>
      <c r="CD14" t="s">
        <v>1979</v>
      </c>
      <c r="CE14" t="s">
        <v>362</v>
      </c>
      <c r="CF14" s="8">
        <v>0</v>
      </c>
      <c r="CG14" s="9">
        <v>-0.69653651161881425</v>
      </c>
      <c r="CH14" s="8">
        <v>9.8882138729095459E-2</v>
      </c>
      <c r="CI14" s="8">
        <v>-7.7716000378131866E-2</v>
      </c>
      <c r="CJ14" s="8">
        <v>5.5230014026165009E-2</v>
      </c>
      <c r="CK14" s="8">
        <v>2.4871410802006721E-2</v>
      </c>
      <c r="CL14" s="8">
        <v>0.19222903251647949</v>
      </c>
      <c r="CM14" s="9">
        <v>1.1800856590270996</v>
      </c>
      <c r="CN14" s="9">
        <v>-7.0210957527160645</v>
      </c>
      <c r="CO14" s="9">
        <v>-0.19274412095546722</v>
      </c>
      <c r="CP14" s="9">
        <v>0.51019871234893799</v>
      </c>
      <c r="CQ14" s="9">
        <v>0.55552405118942261</v>
      </c>
      <c r="CR14">
        <v>-257.71139652224679</v>
      </c>
      <c r="CS14">
        <v>-43.903643228202746</v>
      </c>
      <c r="CT14">
        <v>0</v>
      </c>
      <c r="CU14" s="8">
        <v>5.8699319139122963E-2</v>
      </c>
      <c r="CV14" s="9">
        <v>-0.99360629022121427</v>
      </c>
      <c r="CW14">
        <v>0.06</v>
      </c>
      <c r="CX14">
        <v>60.498667763158856</v>
      </c>
      <c r="CY14">
        <v>50002368.842940778</v>
      </c>
      <c r="CZ14">
        <v>5.8699319139122963E-2</v>
      </c>
      <c r="DA14">
        <v>20.303305338779289</v>
      </c>
      <c r="DB14">
        <v>148994296.71788993</v>
      </c>
      <c r="DC14">
        <v>5.5764353182166812E-2</v>
      </c>
      <c r="DD14">
        <v>10.3522606794394</v>
      </c>
      <c r="DE14">
        <v>292214115.70596337</v>
      </c>
      <c r="DF14">
        <v>5.1655400842428208E-2</v>
      </c>
      <c r="DG14">
        <v>6.4640709532264529</v>
      </c>
      <c r="DH14">
        <v>467983213.96674556</v>
      </c>
      <c r="DI14">
        <v>4.6959455311298373E-2</v>
      </c>
      <c r="DJ14">
        <v>3.6302144274804884</v>
      </c>
      <c r="DK14">
        <v>833305238.69344056</v>
      </c>
      <c r="DL14">
        <v>4.1089523397386071E-2</v>
      </c>
      <c r="DM14">
        <v>50063800</v>
      </c>
      <c r="DN14">
        <v>5.8699319139122963E-2</v>
      </c>
      <c r="DO14">
        <v>3025076700</v>
      </c>
      <c r="DP14">
        <v>29086860</v>
      </c>
      <c r="DQ14">
        <v>672</v>
      </c>
      <c r="DR14">
        <v>-5.8699319139122963E-2</v>
      </c>
      <c r="DS14">
        <v>0.29706977860240003</v>
      </c>
      <c r="DT14" s="10">
        <v>-0.34</v>
      </c>
      <c r="DU14">
        <v>-1.1983333333333333</v>
      </c>
      <c r="DV14">
        <v>-1.5383333333333333</v>
      </c>
      <c r="DW14">
        <v>6.2489683631361759</v>
      </c>
      <c r="DX14">
        <v>0.29315276872964235</v>
      </c>
      <c r="DY14">
        <v>6.0356405105090305</v>
      </c>
      <c r="DZ14">
        <v>4048</v>
      </c>
      <c r="EA14">
        <v>6.0074070884854383</v>
      </c>
      <c r="EB14">
        <v>6</v>
      </c>
      <c r="EC14">
        <v>4.775381818441022E-2</v>
      </c>
      <c r="ED14">
        <v>0.33358640987655697</v>
      </c>
      <c r="EE14" s="11">
        <v>-2.0899000000000001</v>
      </c>
      <c r="EF14">
        <v>-2.0827</v>
      </c>
      <c r="EG14">
        <v>15.143152768729642</v>
      </c>
      <c r="EH14" t="s">
        <v>1137</v>
      </c>
      <c r="EI14">
        <v>0</v>
      </c>
      <c r="EJ14">
        <v>0</v>
      </c>
      <c r="EK14" s="13">
        <v>45470</v>
      </c>
      <c r="EL14" s="14">
        <v>-2.74</v>
      </c>
      <c r="EM14" s="14">
        <v>-4.58</v>
      </c>
      <c r="EN14" s="14">
        <v>1.1100000000000001</v>
      </c>
      <c r="EO14" s="14">
        <v>1.46</v>
      </c>
      <c r="EP14" s="14">
        <v>-0.72</v>
      </c>
    </row>
    <row r="15" spans="1:146" ht="96" x14ac:dyDescent="0.25">
      <c r="A15" s="7"/>
      <c r="B15" s="7"/>
      <c r="C15" s="7" t="str">
        <f>""&amp;CHAR(10)&amp;Basic_Fundamental_Information_Constructure(F15)&amp;CHAR(10)&amp;Basic_Fundamental_Information_Concatenate("")</f>
        <v xml:space="preserve">
市值34.55065亿, 利润7690.89万; PE42.24; 平均PE78.25; 平均PEG3.52, PB1.1; ROIC2.87%; ROE-2.9%; 股利率1.7328%; 毛利9.8867%; 净利-1.6367%; 上一年度营收增28.62%, 利润增-39.44%; 当季营收增14.65%, 利润增10.96%; 过往5年营收增22.23%, 利润增-57.85%
Income profile:
</v>
      </c>
      <c r="D15" t="s">
        <v>85</v>
      </c>
      <c r="E15" t="s">
        <v>20</v>
      </c>
      <c r="F15">
        <v>4.79</v>
      </c>
      <c r="G15">
        <v>1.05</v>
      </c>
      <c r="H15" t="s">
        <v>1952</v>
      </c>
      <c r="I15">
        <v>3455065000</v>
      </c>
      <c r="J15">
        <v>42.24</v>
      </c>
      <c r="K15">
        <v>1.1000000000000001</v>
      </c>
      <c r="L15" t="s">
        <v>1762</v>
      </c>
      <c r="M15" t="s">
        <v>1980</v>
      </c>
      <c r="N15" t="s">
        <v>1981</v>
      </c>
      <c r="O15" t="s">
        <v>1982</v>
      </c>
      <c r="P15">
        <v>14.66</v>
      </c>
      <c r="Q15" t="s">
        <v>1983</v>
      </c>
      <c r="R15">
        <v>49428533</v>
      </c>
      <c r="S15" s="5">
        <v>0.1096</v>
      </c>
      <c r="T15" t="s">
        <v>1984</v>
      </c>
      <c r="U15">
        <v>717990220</v>
      </c>
      <c r="V15">
        <v>721307930</v>
      </c>
      <c r="W15">
        <v>2.65</v>
      </c>
      <c r="X15">
        <v>0.26</v>
      </c>
      <c r="Y15">
        <v>2.14</v>
      </c>
      <c r="Z15" t="s">
        <v>1985</v>
      </c>
      <c r="AA15" t="s">
        <v>1986</v>
      </c>
      <c r="AB15" t="s">
        <v>149</v>
      </c>
      <c r="AC15" t="s">
        <v>1987</v>
      </c>
      <c r="AD15" t="s">
        <v>41</v>
      </c>
      <c r="AE15">
        <v>-12070069</v>
      </c>
      <c r="AF15" t="s">
        <v>1988</v>
      </c>
      <c r="AG15" t="s">
        <v>1989</v>
      </c>
      <c r="AH15" t="s">
        <v>1990</v>
      </c>
      <c r="AI15" t="s">
        <v>1991</v>
      </c>
      <c r="AJ15" t="s">
        <v>1992</v>
      </c>
      <c r="AK15" t="s">
        <v>1993</v>
      </c>
      <c r="AL15" t="s">
        <v>1994</v>
      </c>
      <c r="AM15" t="s">
        <v>41</v>
      </c>
      <c r="AN15" t="s">
        <v>1995</v>
      </c>
      <c r="AO15" t="s">
        <v>1001</v>
      </c>
      <c r="AP15" t="s">
        <v>1476</v>
      </c>
      <c r="AQ15" t="s">
        <v>1996</v>
      </c>
      <c r="AR15" t="s">
        <v>41</v>
      </c>
      <c r="AS15" t="s">
        <v>1997</v>
      </c>
      <c r="AT15" t="s">
        <v>41</v>
      </c>
      <c r="AU15" t="s">
        <v>1998</v>
      </c>
      <c r="AV15" t="s">
        <v>1999</v>
      </c>
      <c r="AW15" t="s">
        <v>2000</v>
      </c>
      <c r="AX15" t="s">
        <v>1125</v>
      </c>
      <c r="AY15" t="s">
        <v>710</v>
      </c>
      <c r="AZ15" t="s">
        <v>339</v>
      </c>
      <c r="BA15" t="s">
        <v>86</v>
      </c>
      <c r="BB15" t="s">
        <v>340</v>
      </c>
      <c r="BC15" t="s">
        <v>84</v>
      </c>
      <c r="BD15" t="s">
        <v>1357</v>
      </c>
      <c r="BE15" t="s">
        <v>199</v>
      </c>
      <c r="BF15" t="s">
        <v>87</v>
      </c>
      <c r="BG15" t="s">
        <v>1358</v>
      </c>
      <c r="BH15" t="s">
        <v>1983</v>
      </c>
      <c r="BI15" t="s">
        <v>2001</v>
      </c>
      <c r="BJ15" t="s">
        <v>1125</v>
      </c>
      <c r="BK15" t="s">
        <v>1984</v>
      </c>
      <c r="BL15" t="s">
        <v>2002</v>
      </c>
      <c r="BM15" t="s">
        <v>84</v>
      </c>
      <c r="BN15">
        <v>2.94</v>
      </c>
      <c r="BO15">
        <v>2.8</v>
      </c>
      <c r="BP15" t="s">
        <v>41</v>
      </c>
      <c r="BQ15">
        <v>4.72</v>
      </c>
      <c r="BR15">
        <v>4.32</v>
      </c>
      <c r="BS15">
        <v>-17.739999999999998</v>
      </c>
      <c r="BT15" t="s">
        <v>2003</v>
      </c>
      <c r="BU15" t="s">
        <v>950</v>
      </c>
      <c r="BV15">
        <v>8.3800000000000008</v>
      </c>
      <c r="BW15">
        <v>10.07</v>
      </c>
      <c r="BX15">
        <v>11.21</v>
      </c>
      <c r="BY15">
        <v>0.55000000000000004</v>
      </c>
      <c r="BZ15">
        <v>1.4</v>
      </c>
      <c r="CA15">
        <v>-6.86</v>
      </c>
      <c r="CB15">
        <v>-0.83</v>
      </c>
      <c r="CC15">
        <v>-13.18</v>
      </c>
      <c r="CD15" t="s">
        <v>2004</v>
      </c>
      <c r="CE15" t="s">
        <v>1034</v>
      </c>
      <c r="CF15" s="8">
        <v>0.14652014652014653</v>
      </c>
      <c r="CG15" s="9">
        <v>0.10961899630714662</v>
      </c>
      <c r="CH15" s="8">
        <v>0.28624400496482849</v>
      </c>
      <c r="CI15" s="8">
        <v>4.7717329114675522E-2</v>
      </c>
      <c r="CJ15" s="8">
        <v>2.8343154117465019E-2</v>
      </c>
      <c r="CK15" s="8">
        <v>0.33907368779182434</v>
      </c>
      <c r="CL15" s="8">
        <v>0.41028067469596863</v>
      </c>
      <c r="CM15" s="9">
        <v>-0.3944181501865387</v>
      </c>
      <c r="CN15" s="9">
        <v>1.2259786128997803</v>
      </c>
      <c r="CO15" s="9">
        <v>-3.7960197925567627</v>
      </c>
      <c r="CP15" s="9">
        <v>-0.12608695030212402</v>
      </c>
      <c r="CQ15" s="9">
        <v>0.1979166716337204</v>
      </c>
      <c r="CR15">
        <v>78.254788721707754</v>
      </c>
      <c r="CS15">
        <v>3.5197303864177485</v>
      </c>
      <c r="CT15">
        <v>1.7327766179540709</v>
      </c>
      <c r="CU15" s="8">
        <v>0.22233177013695241</v>
      </c>
      <c r="CV15" s="9">
        <v>-0.57852592170238493</v>
      </c>
      <c r="CW15">
        <v>0.06</v>
      </c>
      <c r="CX15">
        <v>61.915124457023659</v>
      </c>
      <c r="CY15">
        <v>88686973.468194216</v>
      </c>
      <c r="CZ15">
        <v>0.22233177013695241</v>
      </c>
      <c r="DA15">
        <v>18.119959070205997</v>
      </c>
      <c r="DB15">
        <v>303039591.79625094</v>
      </c>
      <c r="DC15">
        <v>0.21121518163010478</v>
      </c>
      <c r="DD15">
        <v>7.6443174919769517</v>
      </c>
      <c r="DE15">
        <v>718319850.76013851</v>
      </c>
      <c r="DF15">
        <v>0.1956519577205181</v>
      </c>
      <c r="DG15">
        <v>3.8203601638354261</v>
      </c>
      <c r="DH15">
        <v>1437316055.1667151</v>
      </c>
      <c r="DI15">
        <v>0.17786541610956194</v>
      </c>
      <c r="DJ15">
        <v>1.2769287606311746</v>
      </c>
      <c r="DK15">
        <v>4300212485.8444061</v>
      </c>
      <c r="DL15">
        <v>0.15563223909586668</v>
      </c>
      <c r="DM15">
        <v>76908900</v>
      </c>
      <c r="DN15">
        <v>0.22233177013695241</v>
      </c>
      <c r="DO15">
        <v>5491065000</v>
      </c>
      <c r="DP15">
        <v>2016583700</v>
      </c>
      <c r="DQ15">
        <v>808</v>
      </c>
      <c r="DR15">
        <v>-7.5811623616805879E-2</v>
      </c>
      <c r="DS15">
        <v>0.68814491800953159</v>
      </c>
      <c r="DT15" s="10">
        <v>-5.6666666666666719E-2</v>
      </c>
      <c r="DU15">
        <v>-0.23</v>
      </c>
      <c r="DV15">
        <v>-0.28666666666666674</v>
      </c>
      <c r="DW15">
        <v>-2.1318000000000001</v>
      </c>
      <c r="DX15">
        <v>0.37470955414012774</v>
      </c>
      <c r="DY15">
        <v>-2.0217087192356686</v>
      </c>
      <c r="DZ15">
        <v>2400</v>
      </c>
      <c r="EA15">
        <v>-2.0115128432737106</v>
      </c>
      <c r="EB15">
        <v>2</v>
      </c>
      <c r="EC15">
        <v>3.5850708032559686E-2</v>
      </c>
      <c r="ED15">
        <v>0.21766016075824926</v>
      </c>
      <c r="EE15" s="11">
        <v>-1.0539099999999999</v>
      </c>
      <c r="EF15">
        <v>-1.0701100000000001</v>
      </c>
      <c r="EG15">
        <v>21.164709554140128</v>
      </c>
      <c r="EH15" t="s">
        <v>1095</v>
      </c>
      <c r="EI15">
        <v>0</v>
      </c>
      <c r="EJ15">
        <v>0</v>
      </c>
      <c r="EK15" s="13">
        <v>45470</v>
      </c>
      <c r="EL15" s="14">
        <v>1</v>
      </c>
      <c r="EM15" s="14">
        <v>-4.7699999999999996</v>
      </c>
      <c r="EN15" s="14">
        <v>0</v>
      </c>
      <c r="EO15" s="14">
        <v>2.92</v>
      </c>
      <c r="EP15" s="14">
        <v>-1.62</v>
      </c>
    </row>
    <row r="16" spans="1:146" ht="96" x14ac:dyDescent="0.25">
      <c r="A16" s="7"/>
      <c r="B16" s="7"/>
      <c r="C16" s="7" t="str">
        <f>""&amp;CHAR(10)&amp;Basic_Fundamental_Information_Constructure(F16)&amp;CHAR(10)&amp;Basic_Fundamental_Information_Concatenate("")</f>
        <v xml:space="preserve">
市值31.54176亿, 利润-8362.60万; PE; 平均PE-29.28; 平均PEG-2.51, PB5.71; ROIC0%; ROE-13.7367%; 股利率0%; 毛利21.22%; 净利-34.99%; 上一年度营收增-27.73%, 利润增23.28%; 当季营收增8.33%, 利润增754.07%; 过往5年营收增-11.68%, 利润增-597.46%
Income profile:
</v>
      </c>
      <c r="D16" t="s">
        <v>344</v>
      </c>
      <c r="E16" t="s">
        <v>345</v>
      </c>
      <c r="F16">
        <v>3.33</v>
      </c>
      <c r="G16">
        <v>-3.48</v>
      </c>
      <c r="H16" t="s">
        <v>1723</v>
      </c>
      <c r="I16">
        <v>3154176000</v>
      </c>
      <c r="K16">
        <v>5.71</v>
      </c>
      <c r="L16" t="s">
        <v>59</v>
      </c>
      <c r="M16" t="s">
        <v>682</v>
      </c>
      <c r="N16" t="s">
        <v>888</v>
      </c>
      <c r="O16" t="s">
        <v>61</v>
      </c>
      <c r="P16">
        <v>-15.94</v>
      </c>
      <c r="Q16" t="s">
        <v>981</v>
      </c>
      <c r="R16">
        <v>-24224029</v>
      </c>
      <c r="S16" s="5">
        <v>0.56950000000000001</v>
      </c>
      <c r="T16" t="s">
        <v>1127</v>
      </c>
      <c r="U16">
        <v>888976850</v>
      </c>
      <c r="V16">
        <v>947200000</v>
      </c>
      <c r="W16">
        <v>1.44</v>
      </c>
      <c r="X16">
        <v>0.27</v>
      </c>
      <c r="Y16">
        <v>-11.3</v>
      </c>
      <c r="Z16" t="s">
        <v>127</v>
      </c>
      <c r="AA16" t="s">
        <v>427</v>
      </c>
      <c r="AB16" t="s">
        <v>1458</v>
      </c>
      <c r="AC16" t="s">
        <v>1459</v>
      </c>
      <c r="AD16" t="s">
        <v>1362</v>
      </c>
      <c r="AE16">
        <v>2500143</v>
      </c>
      <c r="AF16" t="s">
        <v>1460</v>
      </c>
      <c r="AG16" t="s">
        <v>1461</v>
      </c>
      <c r="AH16" t="s">
        <v>1462</v>
      </c>
      <c r="AI16" t="s">
        <v>1463</v>
      </c>
      <c r="AJ16" t="s">
        <v>1464</v>
      </c>
      <c r="AK16" t="s">
        <v>1363</v>
      </c>
      <c r="AL16" t="s">
        <v>1465</v>
      </c>
      <c r="AM16" t="s">
        <v>41</v>
      </c>
      <c r="AN16" t="s">
        <v>1466</v>
      </c>
      <c r="AO16" t="s">
        <v>41</v>
      </c>
      <c r="AP16" t="s">
        <v>41</v>
      </c>
      <c r="AQ16" t="s">
        <v>1467</v>
      </c>
      <c r="AR16" t="s">
        <v>41</v>
      </c>
      <c r="AS16" t="s">
        <v>1335</v>
      </c>
      <c r="AT16" t="s">
        <v>1468</v>
      </c>
      <c r="AU16" t="s">
        <v>1469</v>
      </c>
      <c r="AV16" t="s">
        <v>1470</v>
      </c>
      <c r="AW16" t="s">
        <v>1471</v>
      </c>
      <c r="AX16" t="s">
        <v>619</v>
      </c>
      <c r="AY16" t="s">
        <v>346</v>
      </c>
      <c r="AZ16" t="s">
        <v>347</v>
      </c>
      <c r="BA16" t="s">
        <v>304</v>
      </c>
      <c r="BB16" t="s">
        <v>305</v>
      </c>
      <c r="BC16" t="s">
        <v>1364</v>
      </c>
      <c r="BD16" t="s">
        <v>1365</v>
      </c>
      <c r="BE16" t="s">
        <v>1366</v>
      </c>
      <c r="BF16" t="s">
        <v>1367</v>
      </c>
      <c r="BG16" t="s">
        <v>1368</v>
      </c>
      <c r="BH16" t="s">
        <v>215</v>
      </c>
      <c r="BI16" t="s">
        <v>106</v>
      </c>
      <c r="BJ16" t="s">
        <v>392</v>
      </c>
      <c r="BK16" t="s">
        <v>1472</v>
      </c>
      <c r="BL16" t="s">
        <v>1473</v>
      </c>
      <c r="BM16" t="s">
        <v>1263</v>
      </c>
      <c r="BN16" t="s">
        <v>41</v>
      </c>
      <c r="BO16" t="s">
        <v>41</v>
      </c>
      <c r="BP16" t="s">
        <v>41</v>
      </c>
      <c r="BQ16">
        <v>-3.06</v>
      </c>
      <c r="BR16">
        <v>-15.54</v>
      </c>
      <c r="BS16">
        <v>-22.61</v>
      </c>
      <c r="BT16" t="s">
        <v>1081</v>
      </c>
      <c r="BU16" t="s">
        <v>950</v>
      </c>
      <c r="BV16">
        <v>19.7</v>
      </c>
      <c r="BW16">
        <v>20.92</v>
      </c>
      <c r="BX16">
        <v>23.04</v>
      </c>
      <c r="BY16">
        <v>-29.15</v>
      </c>
      <c r="BZ16">
        <v>-26.2</v>
      </c>
      <c r="CA16">
        <v>-49.62</v>
      </c>
      <c r="CB16">
        <v>4.72</v>
      </c>
      <c r="CC16">
        <v>11</v>
      </c>
      <c r="CD16" t="s">
        <v>1724</v>
      </c>
      <c r="CE16" t="s">
        <v>1255</v>
      </c>
      <c r="CF16" s="8">
        <v>8.3333333333333509E-2</v>
      </c>
      <c r="CG16" s="9">
        <v>7.540738344629287</v>
      </c>
      <c r="CH16" s="8">
        <v>-0.27727273106575012</v>
      </c>
      <c r="CI16" s="8">
        <v>-0.13385826349258423</v>
      </c>
      <c r="CJ16" s="8">
        <v>-0.28651684522628784</v>
      </c>
      <c r="CK16" s="8">
        <v>-0.14216867089271545</v>
      </c>
      <c r="CL16" s="8">
        <v>0.25567322969436646</v>
      </c>
      <c r="CM16" s="9">
        <v>0.23278899490833282</v>
      </c>
      <c r="CN16" s="9">
        <v>0.42931938171386719</v>
      </c>
      <c r="CO16" s="9">
        <v>0.41945287585258484</v>
      </c>
      <c r="CP16" s="9">
        <v>-30.159429550170898</v>
      </c>
      <c r="CQ16" s="9">
        <v>-0.79518997669219971</v>
      </c>
      <c r="CR16">
        <v>-29.284233554572417</v>
      </c>
      <c r="CS16">
        <v>-2.5065967980744523</v>
      </c>
      <c r="CT16">
        <v>0</v>
      </c>
      <c r="CU16" s="8">
        <v>-0.11682865619659424</v>
      </c>
      <c r="CV16" s="9">
        <v>-5.9746116548776627</v>
      </c>
      <c r="CW16">
        <v>0.06</v>
      </c>
      <c r="CX16" t="e">
        <v>#VALUE!</v>
      </c>
      <c r="CY16" t="s">
        <v>852</v>
      </c>
      <c r="CZ16">
        <v>-0.11682865619659424</v>
      </c>
      <c r="DA16" t="e">
        <v>#VALUE!</v>
      </c>
      <c r="DB16" t="s">
        <v>853</v>
      </c>
      <c r="DC16">
        <v>-0.11098722338676453</v>
      </c>
      <c r="DD16" t="e">
        <v>#VALUE!</v>
      </c>
      <c r="DE16" t="s">
        <v>853</v>
      </c>
      <c r="DF16">
        <v>-0.10280921745300294</v>
      </c>
      <c r="DG16" t="e">
        <v>#VALUE!</v>
      </c>
      <c r="DH16" t="s">
        <v>853</v>
      </c>
      <c r="DI16">
        <v>-9.3462924957275401E-2</v>
      </c>
      <c r="DJ16" t="e">
        <v>#VALUE!</v>
      </c>
      <c r="DK16" t="s">
        <v>853</v>
      </c>
      <c r="DL16">
        <v>-8.1780059337615965E-2</v>
      </c>
      <c r="DM16">
        <v>-83626000</v>
      </c>
      <c r="DN16">
        <v>-0.11682865619659424</v>
      </c>
      <c r="DO16">
        <v>2846176000</v>
      </c>
      <c r="DP16">
        <v>65564380</v>
      </c>
      <c r="DQ16">
        <v>860</v>
      </c>
      <c r="DR16">
        <v>0.20016198952992775</v>
      </c>
      <c r="DS16">
        <v>13.515349999506949</v>
      </c>
      <c r="DT16" s="10">
        <v>-0.64</v>
      </c>
      <c r="DU16">
        <v>-2.5483333333333333</v>
      </c>
      <c r="DV16">
        <v>-3.1883333333333335</v>
      </c>
      <c r="DW16">
        <v>8.4290909090909096</v>
      </c>
      <c r="DX16">
        <v>0.59530211140583333</v>
      </c>
      <c r="DY16">
        <v>8.0923841787123223</v>
      </c>
      <c r="DZ16">
        <v>4940</v>
      </c>
      <c r="EA16">
        <v>8.0031781891034726</v>
      </c>
      <c r="EB16">
        <v>8</v>
      </c>
      <c r="EC16">
        <v>8.569351773648648E-2</v>
      </c>
      <c r="ED16">
        <v>0.39801520270270269</v>
      </c>
      <c r="EE16" s="11">
        <v>-1.0106999999999999</v>
      </c>
      <c r="EF16">
        <v>-1.0241100000000001</v>
      </c>
      <c r="EG16">
        <v>38.215302111405833</v>
      </c>
      <c r="EH16" t="s">
        <v>1095</v>
      </c>
      <c r="EI16">
        <v>0</v>
      </c>
      <c r="EJ16">
        <v>0</v>
      </c>
      <c r="EK16" s="13">
        <v>45385</v>
      </c>
      <c r="EL16" s="14">
        <v>0</v>
      </c>
      <c r="EM16" s="14">
        <v>-0.31</v>
      </c>
      <c r="EN16" s="14">
        <v>1.51</v>
      </c>
      <c r="EO16" s="14">
        <v>0.74</v>
      </c>
      <c r="EP16" s="14">
        <v>0</v>
      </c>
    </row>
    <row r="17" spans="1:146" ht="96" x14ac:dyDescent="0.25">
      <c r="A17" s="7"/>
      <c r="B17" s="7"/>
      <c r="C17" s="7" t="str">
        <f>""&amp;CHAR(10)&amp;Basic_Fundamental_Information_Constructure(F17)&amp;CHAR(10)&amp;Basic_Fundamental_Information_Concatenate("")</f>
        <v xml:space="preserve">
市值52.056392亿, 利润5087.08万; PE; 平均PE23.77; 平均PEG3.23, PB1.35; ROIC2.56%; ROE3.9633%; 股利率.4167%; 毛利18.31%; 净利1.4033%; 上一年度营收增-41.15%, 利润增-76.45%; 当季营收增-6.69%, 利润增-36.68%; 过往5年营收增7.35%, 利润增97.78%
Income profile:
</v>
      </c>
      <c r="D17" t="s">
        <v>96</v>
      </c>
      <c r="E17" t="s">
        <v>40</v>
      </c>
      <c r="F17">
        <v>2.4</v>
      </c>
      <c r="G17">
        <v>0</v>
      </c>
      <c r="H17" t="s">
        <v>2005</v>
      </c>
      <c r="I17">
        <v>5205639200</v>
      </c>
      <c r="K17">
        <v>1.35</v>
      </c>
      <c r="L17" t="s">
        <v>1762</v>
      </c>
      <c r="M17" t="s">
        <v>2006</v>
      </c>
      <c r="N17" t="s">
        <v>2007</v>
      </c>
      <c r="O17" t="s">
        <v>129</v>
      </c>
      <c r="P17">
        <v>-6.7</v>
      </c>
      <c r="Q17" t="s">
        <v>2008</v>
      </c>
      <c r="R17">
        <v>257077660</v>
      </c>
      <c r="S17" s="5">
        <v>-0.3664</v>
      </c>
      <c r="T17" t="s">
        <v>2009</v>
      </c>
      <c r="U17">
        <v>1874737900</v>
      </c>
      <c r="V17">
        <v>2169016300</v>
      </c>
      <c r="W17">
        <v>2.12</v>
      </c>
      <c r="X17">
        <v>0.3</v>
      </c>
      <c r="Y17">
        <v>11.08</v>
      </c>
      <c r="Z17" t="s">
        <v>2010</v>
      </c>
      <c r="AA17" t="s">
        <v>2011</v>
      </c>
      <c r="AB17" t="s">
        <v>396</v>
      </c>
      <c r="AC17" t="s">
        <v>2012</v>
      </c>
      <c r="AD17" t="s">
        <v>41</v>
      </c>
      <c r="AE17">
        <v>14629551</v>
      </c>
      <c r="AF17" t="s">
        <v>2013</v>
      </c>
      <c r="AG17" t="s">
        <v>2014</v>
      </c>
      <c r="AH17" t="s">
        <v>2015</v>
      </c>
      <c r="AI17" t="s">
        <v>2016</v>
      </c>
      <c r="AJ17" t="s">
        <v>2017</v>
      </c>
      <c r="AK17" t="s">
        <v>41</v>
      </c>
      <c r="AL17" t="s">
        <v>2018</v>
      </c>
      <c r="AM17" t="s">
        <v>41</v>
      </c>
      <c r="AN17" t="s">
        <v>2019</v>
      </c>
      <c r="AO17" t="s">
        <v>1398</v>
      </c>
      <c r="AP17" t="s">
        <v>2020</v>
      </c>
      <c r="AQ17" t="s">
        <v>2021</v>
      </c>
      <c r="AR17" t="s">
        <v>2022</v>
      </c>
      <c r="AS17" t="s">
        <v>2023</v>
      </c>
      <c r="AT17" t="s">
        <v>41</v>
      </c>
      <c r="AU17" t="s">
        <v>630</v>
      </c>
      <c r="AV17" t="s">
        <v>2024</v>
      </c>
      <c r="AW17" t="s">
        <v>646</v>
      </c>
      <c r="AX17" t="s">
        <v>1129</v>
      </c>
      <c r="AY17" t="s">
        <v>712</v>
      </c>
      <c r="AZ17" t="s">
        <v>349</v>
      </c>
      <c r="BA17" t="s">
        <v>97</v>
      </c>
      <c r="BB17" t="s">
        <v>353</v>
      </c>
      <c r="BC17" t="s">
        <v>61</v>
      </c>
      <c r="BD17" t="s">
        <v>275</v>
      </c>
      <c r="BE17" t="s">
        <v>197</v>
      </c>
      <c r="BF17" t="s">
        <v>98</v>
      </c>
      <c r="BG17" t="s">
        <v>354</v>
      </c>
      <c r="BH17" t="s">
        <v>2008</v>
      </c>
      <c r="BI17" t="s">
        <v>2025</v>
      </c>
      <c r="BJ17" t="s">
        <v>1129</v>
      </c>
      <c r="BK17" t="s">
        <v>2009</v>
      </c>
      <c r="BL17" t="s">
        <v>2026</v>
      </c>
      <c r="BM17" t="s">
        <v>61</v>
      </c>
      <c r="BN17">
        <v>2.33</v>
      </c>
      <c r="BO17">
        <v>2.98</v>
      </c>
      <c r="BP17">
        <v>2.37</v>
      </c>
      <c r="BQ17">
        <v>2.2799999999999998</v>
      </c>
      <c r="BR17">
        <v>6.16</v>
      </c>
      <c r="BS17">
        <v>3.45</v>
      </c>
      <c r="BT17" t="s">
        <v>1089</v>
      </c>
      <c r="BU17" t="s">
        <v>1868</v>
      </c>
      <c r="BV17">
        <v>23.6</v>
      </c>
      <c r="BW17">
        <v>17.2</v>
      </c>
      <c r="BX17">
        <v>14.13</v>
      </c>
      <c r="BY17">
        <v>0.75</v>
      </c>
      <c r="BZ17">
        <v>1.96</v>
      </c>
      <c r="CA17">
        <v>1.5</v>
      </c>
      <c r="CB17">
        <v>1.27</v>
      </c>
      <c r="CC17">
        <v>-12.41</v>
      </c>
      <c r="CD17" t="s">
        <v>2027</v>
      </c>
      <c r="CE17" t="s">
        <v>611</v>
      </c>
      <c r="CF17" s="8">
        <v>-6.6885514977431268E-2</v>
      </c>
      <c r="CG17" s="9">
        <v>-0.36680379310344818</v>
      </c>
      <c r="CH17" s="8">
        <v>-0.41148555278778076</v>
      </c>
      <c r="CI17" s="8">
        <v>8.3425035700201988E-3</v>
      </c>
      <c r="CJ17" s="8">
        <v>0.64500510692596436</v>
      </c>
      <c r="CK17" s="8">
        <v>5.7630650699138641E-2</v>
      </c>
      <c r="CL17" s="8">
        <v>6.8171530961990356E-2</v>
      </c>
      <c r="CM17" s="9">
        <v>-0.76448702812194824</v>
      </c>
      <c r="CN17" s="9">
        <v>0.7279999852180481</v>
      </c>
      <c r="CO17" s="9">
        <v>-0.76415091753005981</v>
      </c>
      <c r="CP17" s="9">
        <v>5.9999998658895493E-2</v>
      </c>
      <c r="CQ17" s="9">
        <v>5.6296296119689941</v>
      </c>
      <c r="CR17">
        <v>23.772379445528436</v>
      </c>
      <c r="CS17">
        <v>3.2328925280176857</v>
      </c>
      <c r="CT17">
        <v>0.41666666666666669</v>
      </c>
      <c r="CU17" s="8">
        <v>7.3532847873866561E-2</v>
      </c>
      <c r="CV17" s="9">
        <v>0.97779833003878591</v>
      </c>
      <c r="CW17">
        <v>0.06</v>
      </c>
      <c r="CX17">
        <v>90.811639318994551</v>
      </c>
      <c r="CY17">
        <v>51520259.243039519</v>
      </c>
      <c r="CZ17">
        <v>7.3532847873866561E-2</v>
      </c>
      <c r="DA17">
        <v>30.093884014768847</v>
      </c>
      <c r="DB17">
        <v>155468107.66280335</v>
      </c>
      <c r="DC17">
        <v>6.9856205480173225E-2</v>
      </c>
      <c r="DD17">
        <v>15.092101532258578</v>
      </c>
      <c r="DE17">
        <v>310005812.64310032</v>
      </c>
      <c r="DF17">
        <v>6.4708906129002569E-2</v>
      </c>
      <c r="DG17">
        <v>9.2532679016083872</v>
      </c>
      <c r="DH17">
        <v>505620203.55930328</v>
      </c>
      <c r="DI17">
        <v>5.8826278299093253E-2</v>
      </c>
      <c r="DJ17">
        <v>5.0001309721514051</v>
      </c>
      <c r="DK17">
        <v>935703329.78436422</v>
      </c>
      <c r="DL17">
        <v>5.1472993511706588E-2</v>
      </c>
      <c r="DM17">
        <v>50870800</v>
      </c>
      <c r="DN17">
        <v>7.3532847873866561E-2</v>
      </c>
      <c r="DO17">
        <v>4678639200</v>
      </c>
      <c r="DP17">
        <v>1715158399.9999995</v>
      </c>
      <c r="DQ17">
        <v>987</v>
      </c>
      <c r="DR17">
        <v>-0.14041836285129783</v>
      </c>
      <c r="DS17">
        <v>-1.344602123142234</v>
      </c>
      <c r="DT17" s="10">
        <v>-0.34</v>
      </c>
      <c r="DU17">
        <v>-5.000000000000001E-2</v>
      </c>
      <c r="DV17">
        <v>-0.39</v>
      </c>
      <c r="DW17">
        <v>-2.1240999999999999</v>
      </c>
      <c r="DX17">
        <v>0.35303861892583055</v>
      </c>
      <c r="DY17">
        <v>-2.0165100926086956</v>
      </c>
      <c r="DZ17">
        <v>2651</v>
      </c>
      <c r="EA17">
        <v>-2.0079448762670808</v>
      </c>
      <c r="EB17">
        <v>2</v>
      </c>
      <c r="EC17">
        <v>2.3982346282967078E-2</v>
      </c>
      <c r="ED17">
        <v>0.18026604963734022</v>
      </c>
      <c r="EE17" s="11">
        <v>-3.0555099999999999</v>
      </c>
      <c r="EF17">
        <v>-3.0843099999999999</v>
      </c>
      <c r="EG17">
        <v>22.133038618925831</v>
      </c>
      <c r="EH17" t="s">
        <v>1520</v>
      </c>
      <c r="EI17">
        <v>0</v>
      </c>
      <c r="EJ17">
        <v>0</v>
      </c>
      <c r="EK17" s="13">
        <v>45470</v>
      </c>
      <c r="EL17" s="14">
        <v>0.84</v>
      </c>
      <c r="EM17" s="14">
        <v>-4.1500000000000004</v>
      </c>
      <c r="EN17" s="14">
        <v>0.87</v>
      </c>
      <c r="EO17" s="14">
        <v>4.29</v>
      </c>
      <c r="EP17" s="14">
        <v>-2.88</v>
      </c>
    </row>
    <row r="18" spans="1:146" ht="96" x14ac:dyDescent="0.25">
      <c r="A18" s="7"/>
      <c r="B18" s="7"/>
      <c r="C18" s="7" t="str">
        <f>""&amp;CHAR(10)&amp;Basic_Fundamental_Information_Constructure(F18)&amp;CHAR(10)&amp;Basic_Fundamental_Information_Concatenate("")</f>
        <v xml:space="preserve">
市值15.129297亿, 利润-8550.94万; PE; 平均PE-30.65; 平均PEG-2.68, PB1.23; ROIC.58%; ROE-3.8633%; 股利率0%; 毛利16.2033%; 净利-5.8967%; 上一年度营收增18.24%, 利润增22.26%; 当季营收增23.23%, 利润增113.73%; 过往5年营收增11.46%, 利润增-245.03%
Income profile:
</v>
      </c>
      <c r="D18" t="s">
        <v>103</v>
      </c>
      <c r="E18" t="s">
        <v>39</v>
      </c>
      <c r="F18">
        <v>3.86</v>
      </c>
      <c r="G18">
        <v>1.05</v>
      </c>
      <c r="H18" t="s">
        <v>2028</v>
      </c>
      <c r="I18">
        <v>1512929700</v>
      </c>
      <c r="K18">
        <v>1.23</v>
      </c>
      <c r="L18" t="s">
        <v>1762</v>
      </c>
      <c r="M18" t="s">
        <v>2029</v>
      </c>
      <c r="N18" t="s">
        <v>1267</v>
      </c>
      <c r="O18" t="s">
        <v>1145</v>
      </c>
      <c r="P18">
        <v>23.35</v>
      </c>
      <c r="Q18" t="s">
        <v>2030</v>
      </c>
      <c r="R18">
        <v>5651811</v>
      </c>
      <c r="S18" s="5">
        <v>1.137</v>
      </c>
      <c r="T18" t="s">
        <v>2031</v>
      </c>
      <c r="U18">
        <v>298306190</v>
      </c>
      <c r="V18">
        <v>391950700</v>
      </c>
      <c r="W18">
        <v>2.58</v>
      </c>
      <c r="X18">
        <v>0.12</v>
      </c>
      <c r="Y18">
        <v>1.29</v>
      </c>
      <c r="Z18" t="s">
        <v>1290</v>
      </c>
      <c r="AA18" t="s">
        <v>1265</v>
      </c>
      <c r="AB18" t="s">
        <v>2032</v>
      </c>
      <c r="AC18" t="s">
        <v>2033</v>
      </c>
      <c r="AD18" t="s">
        <v>41</v>
      </c>
      <c r="AE18">
        <v>9562852</v>
      </c>
      <c r="AF18" t="s">
        <v>2034</v>
      </c>
      <c r="AG18" t="s">
        <v>2035</v>
      </c>
      <c r="AH18" t="s">
        <v>2036</v>
      </c>
      <c r="AI18" t="s">
        <v>149</v>
      </c>
      <c r="AJ18" t="s">
        <v>2037</v>
      </c>
      <c r="AK18" t="s">
        <v>2038</v>
      </c>
      <c r="AL18" t="s">
        <v>2039</v>
      </c>
      <c r="AM18" t="s">
        <v>41</v>
      </c>
      <c r="AN18" t="s">
        <v>1352</v>
      </c>
      <c r="AO18" t="s">
        <v>1911</v>
      </c>
      <c r="AP18" t="s">
        <v>141</v>
      </c>
      <c r="AQ18" t="s">
        <v>953</v>
      </c>
      <c r="AR18" t="s">
        <v>41</v>
      </c>
      <c r="AS18" t="s">
        <v>1687</v>
      </c>
      <c r="AT18" t="s">
        <v>889</v>
      </c>
      <c r="AU18" t="s">
        <v>2040</v>
      </c>
      <c r="AV18" t="s">
        <v>2041</v>
      </c>
      <c r="AW18" t="s">
        <v>2042</v>
      </c>
      <c r="AX18" t="s">
        <v>1008</v>
      </c>
      <c r="AY18" t="s">
        <v>713</v>
      </c>
      <c r="AZ18" t="s">
        <v>288</v>
      </c>
      <c r="BA18" t="s">
        <v>104</v>
      </c>
      <c r="BB18" t="s">
        <v>357</v>
      </c>
      <c r="BC18" t="s">
        <v>1132</v>
      </c>
      <c r="BD18" t="s">
        <v>714</v>
      </c>
      <c r="BE18" t="s">
        <v>355</v>
      </c>
      <c r="BF18" t="s">
        <v>105</v>
      </c>
      <c r="BG18" t="s">
        <v>359</v>
      </c>
      <c r="BH18" t="s">
        <v>2030</v>
      </c>
      <c r="BI18" t="s">
        <v>1265</v>
      </c>
      <c r="BJ18" t="s">
        <v>1008</v>
      </c>
      <c r="BK18" t="s">
        <v>2031</v>
      </c>
      <c r="BL18" t="s">
        <v>2043</v>
      </c>
      <c r="BM18" t="s">
        <v>1132</v>
      </c>
      <c r="BN18" t="s">
        <v>41</v>
      </c>
      <c r="BO18" t="s">
        <v>41</v>
      </c>
      <c r="BP18">
        <v>0.57999999999999996</v>
      </c>
      <c r="BQ18">
        <v>-4.2300000000000004</v>
      </c>
      <c r="BR18">
        <v>-7.96</v>
      </c>
      <c r="BS18">
        <v>0.6</v>
      </c>
      <c r="BT18" t="s">
        <v>1081</v>
      </c>
      <c r="BU18" t="s">
        <v>1777</v>
      </c>
      <c r="BV18">
        <v>15.42</v>
      </c>
      <c r="BW18">
        <v>16.04</v>
      </c>
      <c r="BX18">
        <v>17.149999999999999</v>
      </c>
      <c r="BY18">
        <v>-8.23</v>
      </c>
      <c r="BZ18">
        <v>-10.210000000000001</v>
      </c>
      <c r="CA18">
        <v>0.75</v>
      </c>
      <c r="CB18">
        <v>-20.74</v>
      </c>
      <c r="CC18">
        <v>-17.170000000000002</v>
      </c>
      <c r="CD18" t="s">
        <v>1114</v>
      </c>
      <c r="CE18" t="s">
        <v>1288</v>
      </c>
      <c r="CF18" s="8">
        <v>0.23232323232323232</v>
      </c>
      <c r="CG18" s="9">
        <v>1.1373405537546353</v>
      </c>
      <c r="CH18" s="8">
        <v>0.18238428235054016</v>
      </c>
      <c r="CI18" s="8">
        <v>0.17450365424156189</v>
      </c>
      <c r="CJ18" s="8">
        <v>0.2222222238779068</v>
      </c>
      <c r="CK18" s="8">
        <v>-9.6885815262794495E-2</v>
      </c>
      <c r="CL18" s="8">
        <v>9.0566039085388184E-2</v>
      </c>
      <c r="CM18" s="9">
        <v>0.22264181077480316</v>
      </c>
      <c r="CN18" s="9">
        <v>-13.651093482971191</v>
      </c>
      <c r="CO18" s="9">
        <v>0.69023364782333374</v>
      </c>
      <c r="CP18" s="9">
        <v>-0.6187165379524231</v>
      </c>
      <c r="CQ18" s="9">
        <v>1.1054047346115112</v>
      </c>
      <c r="CR18">
        <v>-30.649011322563926</v>
      </c>
      <c r="CS18">
        <v>-2.6754125211455433</v>
      </c>
      <c r="CT18">
        <v>0</v>
      </c>
      <c r="CU18" s="8">
        <v>0.11455807685852051</v>
      </c>
      <c r="CV18" s="9">
        <v>-2.4503059655427935</v>
      </c>
      <c r="CW18">
        <v>0.06</v>
      </c>
      <c r="CX18" t="e">
        <v>#VALUE!</v>
      </c>
      <c r="CY18" t="s">
        <v>853</v>
      </c>
      <c r="CZ18">
        <v>0.11455807685852051</v>
      </c>
      <c r="DA18" t="e">
        <v>#VALUE!</v>
      </c>
      <c r="DB18" t="s">
        <v>853</v>
      </c>
      <c r="DC18">
        <v>0.10883017301559449</v>
      </c>
      <c r="DD18" t="e">
        <v>#VALUE!</v>
      </c>
      <c r="DE18" t="s">
        <v>853</v>
      </c>
      <c r="DF18">
        <v>0.10081110763549805</v>
      </c>
      <c r="DG18" t="e">
        <v>#VALUE!</v>
      </c>
      <c r="DH18" t="s">
        <v>853</v>
      </c>
      <c r="DI18">
        <v>9.1646461486816419E-2</v>
      </c>
      <c r="DJ18" t="e">
        <v>#VALUE!</v>
      </c>
      <c r="DK18" t="s">
        <v>853</v>
      </c>
      <c r="DL18">
        <v>8.0190653800964351E-2</v>
      </c>
      <c r="DM18">
        <v>-85509400</v>
      </c>
      <c r="DN18">
        <v>0.11455807685852051</v>
      </c>
      <c r="DO18">
        <v>2129929700</v>
      </c>
      <c r="DP18">
        <v>-486728040</v>
      </c>
      <c r="DQ18">
        <v>1064</v>
      </c>
      <c r="DR18">
        <v>0.11776515546471181</v>
      </c>
      <c r="DS18">
        <v>3.5876465192974285</v>
      </c>
      <c r="DT18" s="10">
        <v>1.0000000000000011E-2</v>
      </c>
      <c r="DU18">
        <v>-0.29333333333333339</v>
      </c>
      <c r="DV18">
        <v>-0.28333333333333338</v>
      </c>
      <c r="DW18">
        <v>-5.8278688524590168</v>
      </c>
      <c r="DX18">
        <v>0.50243902439024379</v>
      </c>
      <c r="DY18">
        <v>-5.333166733306677</v>
      </c>
      <c r="DZ18">
        <v>2397</v>
      </c>
      <c r="EA18">
        <v>-5.1768848038084174</v>
      </c>
      <c r="EB18">
        <v>5</v>
      </c>
      <c r="EC18">
        <v>0.33677704874618158</v>
      </c>
      <c r="ED18">
        <v>0.83683993930869371</v>
      </c>
      <c r="EE18" s="11">
        <v>-3.0042</v>
      </c>
      <c r="EF18">
        <v>-3.1034999999999999</v>
      </c>
      <c r="EG18">
        <v>10.402439024390244</v>
      </c>
      <c r="EH18" t="s">
        <v>1599</v>
      </c>
      <c r="EI18">
        <v>0</v>
      </c>
      <c r="EJ18">
        <v>0</v>
      </c>
      <c r="EK18" s="13">
        <v>45470</v>
      </c>
      <c r="EL18" s="14">
        <v>1.6</v>
      </c>
      <c r="EM18" s="14">
        <v>-3.66</v>
      </c>
      <c r="EN18" s="14">
        <v>2.72</v>
      </c>
      <c r="EO18" s="14">
        <v>6.61</v>
      </c>
      <c r="EP18" s="14">
        <v>9.93</v>
      </c>
    </row>
    <row r="19" spans="1:146" ht="168" x14ac:dyDescent="0.25">
      <c r="A19" s="7"/>
      <c r="B19" s="7"/>
      <c r="C19" s="7" t="str">
        <f>"公司主营业务为从事全屋家具（包括衣柜、橱柜、门窗、墙板、地板、家品、家电、卫浴等）的设计研发和生产销售。公司的主要产品为衣柜及其配套产品、橱柜及其配件、木门。"&amp;CHAR(10)&amp;Basic_Fundamental_Information_Constructure(F19)&amp;CHAR(10)&amp;Basic_Fundamental_Information_Concatenate("衣柜及其配套产品 38.76亿 81.72% 85.72% 36.49%
橱柜及其配件 4.81亿 10.15% 6.48% 22.21%
木门 2.23亿 4.70% 3.41% 25.23%
其他业务 8922.29万 1.88% 3.71% 68.59%")</f>
        <v>公司主营业务为从事全屋家具（包括衣柜、橱柜、门窗、墙板、地板、家品、家电、卫浴等）的设计研发和生产销售。公司的主要产品为衣柜及其配套产品、橱柜及其配件、木门。
市值147.0573亿, 利润12.61亿; PE11.12; 平均PE15.55; 平均PEG1.55, PB2.08; ROIC9.1267%; ROE12.0867%; 股利率6.5488%; 毛利34.1167%; 净利7.4667%; 上一年度营收增3.95%, 利润增18.52%; 当季营收增16.95%, 利润增59.1%; 过往5年营收增10.04%, 利润增143.37%
Income profile:
衣柜及其配套产品 38.76亿 81.72% 85.72% 36.49%
橱柜及其配件 4.81亿 10.15% 6.48% 22.21%
木门 2.23亿 4.70% 3.41% 25.23%
其他业务 8922.29万 1.88% 3.71% 68.59%</v>
      </c>
      <c r="D19" t="s">
        <v>108</v>
      </c>
      <c r="E19" t="s">
        <v>33</v>
      </c>
      <c r="F19">
        <v>15.27</v>
      </c>
      <c r="G19">
        <v>0.99</v>
      </c>
      <c r="H19" t="s">
        <v>2044</v>
      </c>
      <c r="I19">
        <v>14705730000</v>
      </c>
      <c r="J19">
        <v>11.12</v>
      </c>
      <c r="K19">
        <v>2.08</v>
      </c>
      <c r="L19" t="s">
        <v>1762</v>
      </c>
      <c r="M19" t="s">
        <v>2045</v>
      </c>
      <c r="N19" t="s">
        <v>2046</v>
      </c>
      <c r="O19" t="s">
        <v>2047</v>
      </c>
      <c r="P19">
        <v>16.98</v>
      </c>
      <c r="Q19" t="s">
        <v>2048</v>
      </c>
      <c r="R19">
        <v>165465210</v>
      </c>
      <c r="S19" s="5">
        <v>0.58589999999999998</v>
      </c>
      <c r="T19" t="s">
        <v>605</v>
      </c>
      <c r="U19">
        <v>638794340</v>
      </c>
      <c r="V19">
        <v>963047160</v>
      </c>
      <c r="W19">
        <v>1.81</v>
      </c>
      <c r="X19">
        <v>0.15</v>
      </c>
      <c r="Y19">
        <v>8.24</v>
      </c>
      <c r="Z19" t="s">
        <v>1702</v>
      </c>
      <c r="AA19" t="s">
        <v>2049</v>
      </c>
      <c r="AB19" t="s">
        <v>520</v>
      </c>
      <c r="AC19" t="s">
        <v>1287</v>
      </c>
      <c r="AD19" t="s">
        <v>41</v>
      </c>
      <c r="AE19">
        <v>164369</v>
      </c>
      <c r="AF19" t="s">
        <v>2050</v>
      </c>
      <c r="AG19" t="s">
        <v>2051</v>
      </c>
      <c r="AH19" t="s">
        <v>2052</v>
      </c>
      <c r="AI19" t="s">
        <v>2053</v>
      </c>
      <c r="AJ19" t="s">
        <v>2054</v>
      </c>
      <c r="AK19" t="s">
        <v>2055</v>
      </c>
      <c r="AL19" t="s">
        <v>2056</v>
      </c>
      <c r="AM19" t="s">
        <v>41</v>
      </c>
      <c r="AN19" t="s">
        <v>1010</v>
      </c>
      <c r="AO19" t="s">
        <v>1391</v>
      </c>
      <c r="AP19" t="s">
        <v>2057</v>
      </c>
      <c r="AQ19" t="s">
        <v>2058</v>
      </c>
      <c r="AR19" t="s">
        <v>41</v>
      </c>
      <c r="AS19" t="s">
        <v>2059</v>
      </c>
      <c r="AT19" t="s">
        <v>224</v>
      </c>
      <c r="AU19" t="s">
        <v>2060</v>
      </c>
      <c r="AV19" t="s">
        <v>1001</v>
      </c>
      <c r="AW19" t="s">
        <v>2061</v>
      </c>
      <c r="AX19" t="s">
        <v>1133</v>
      </c>
      <c r="AY19" t="s">
        <v>715</v>
      </c>
      <c r="AZ19" t="s">
        <v>360</v>
      </c>
      <c r="BA19" t="s">
        <v>110</v>
      </c>
      <c r="BB19" t="s">
        <v>363</v>
      </c>
      <c r="BC19" t="s">
        <v>1134</v>
      </c>
      <c r="BD19" t="s">
        <v>328</v>
      </c>
      <c r="BE19" t="s">
        <v>326</v>
      </c>
      <c r="BF19" t="s">
        <v>111</v>
      </c>
      <c r="BG19" t="s">
        <v>364</v>
      </c>
      <c r="BH19" t="s">
        <v>2048</v>
      </c>
      <c r="BI19" t="s">
        <v>2062</v>
      </c>
      <c r="BJ19" t="s">
        <v>1133</v>
      </c>
      <c r="BK19" t="s">
        <v>605</v>
      </c>
      <c r="BL19" t="s">
        <v>64</v>
      </c>
      <c r="BM19" t="s">
        <v>1134</v>
      </c>
      <c r="BN19">
        <v>11.78</v>
      </c>
      <c r="BO19">
        <v>13.47</v>
      </c>
      <c r="BP19">
        <v>2.13</v>
      </c>
      <c r="BQ19">
        <v>15.94</v>
      </c>
      <c r="BR19">
        <v>18.22</v>
      </c>
      <c r="BS19">
        <v>2.1</v>
      </c>
      <c r="BT19" t="s">
        <v>1112</v>
      </c>
      <c r="BU19" t="s">
        <v>2063</v>
      </c>
      <c r="BV19">
        <v>36.15</v>
      </c>
      <c r="BW19">
        <v>32.99</v>
      </c>
      <c r="BX19">
        <v>33.21</v>
      </c>
      <c r="BY19">
        <v>11.34</v>
      </c>
      <c r="BZ19">
        <v>9.58</v>
      </c>
      <c r="CA19">
        <v>1.48</v>
      </c>
      <c r="CB19">
        <v>-0.39</v>
      </c>
      <c r="CC19">
        <v>-17.899999999999999</v>
      </c>
      <c r="CD19" t="s">
        <v>2064</v>
      </c>
      <c r="CE19" t="s">
        <v>1455</v>
      </c>
      <c r="CF19" s="8">
        <v>0.16952908587257617</v>
      </c>
      <c r="CG19" s="9">
        <v>0.59101163461538464</v>
      </c>
      <c r="CH19" s="8">
        <v>3.9472494274377823E-2</v>
      </c>
      <c r="CI19" s="8">
        <v>7.8408762812614441E-2</v>
      </c>
      <c r="CJ19" s="8">
        <v>0.24589969217777252</v>
      </c>
      <c r="CK19" s="8">
        <v>8.6781136691570282E-2</v>
      </c>
      <c r="CL19" s="8">
        <v>5.1292579621076584E-2</v>
      </c>
      <c r="CM19" s="9">
        <v>0.18515031039714813</v>
      </c>
      <c r="CN19" s="9">
        <v>7.6504063606262207</v>
      </c>
      <c r="CO19" s="9">
        <v>-0.8968120813369751</v>
      </c>
      <c r="CP19" s="9">
        <v>0.10677815228700638</v>
      </c>
      <c r="CQ19" s="9">
        <v>0.12304477393627167</v>
      </c>
      <c r="CR19">
        <v>15.545169133192388</v>
      </c>
      <c r="CS19">
        <v>1.5487720050691178</v>
      </c>
      <c r="CT19">
        <v>6.5487884741322855</v>
      </c>
      <c r="CU19" s="8">
        <v>0.10037093311548233</v>
      </c>
      <c r="CV19" s="9">
        <v>1.4337135031819344</v>
      </c>
      <c r="CW19">
        <v>0.06</v>
      </c>
      <c r="CX19">
        <v>11.182152249764947</v>
      </c>
      <c r="CY19">
        <v>1309026176.0930407</v>
      </c>
      <c r="CZ19">
        <v>0.10037093311548233</v>
      </c>
      <c r="DA19">
        <v>3.6223099216161754</v>
      </c>
      <c r="DB19">
        <v>4040993265.8299561</v>
      </c>
      <c r="DC19">
        <v>9.5352386459708213E-2</v>
      </c>
      <c r="DD19">
        <v>1.7623023715562491</v>
      </c>
      <c r="DE19">
        <v>8306026386.9892845</v>
      </c>
      <c r="DF19">
        <v>8.832642114162445E-2</v>
      </c>
      <c r="DG19">
        <v>1.0442626863021613</v>
      </c>
      <c r="DH19">
        <v>14017287213.271658</v>
      </c>
      <c r="DI19">
        <v>8.029674649238587E-2</v>
      </c>
      <c r="DJ19">
        <v>0.5237625291258764</v>
      </c>
      <c r="DK19">
        <v>27947264620.913918</v>
      </c>
      <c r="DL19">
        <v>7.0259653180837628E-2</v>
      </c>
      <c r="DM19">
        <v>1261000000</v>
      </c>
      <c r="DN19">
        <v>0.10037093311548233</v>
      </c>
      <c r="DO19">
        <v>14637730000</v>
      </c>
      <c r="DP19">
        <v>184499600</v>
      </c>
      <c r="DQ19">
        <v>1065</v>
      </c>
      <c r="DR19">
        <v>6.9158152757093846E-2</v>
      </c>
      <c r="DS19">
        <v>-0.84270186856654972</v>
      </c>
      <c r="DT19" s="10">
        <v>-0.3066666666666667</v>
      </c>
      <c r="DU19">
        <v>0.48666666666666664</v>
      </c>
      <c r="DV19">
        <v>0.17999999999999994</v>
      </c>
      <c r="DW19">
        <v>-3.0214880952380954</v>
      </c>
      <c r="DX19">
        <v>0.34622910958904157</v>
      </c>
      <c r="DY19">
        <v>-3.0033570659858122</v>
      </c>
      <c r="DZ19">
        <v>1298</v>
      </c>
      <c r="EA19">
        <v>-3.0025043318078115</v>
      </c>
      <c r="EB19">
        <v>3</v>
      </c>
      <c r="EC19">
        <v>4.736933132122003E-2</v>
      </c>
      <c r="ED19">
        <v>0.30320425844981463</v>
      </c>
      <c r="EE19" s="11">
        <v>6.4409999999999995E-2</v>
      </c>
      <c r="EF19">
        <v>9.9209999999999993E-2</v>
      </c>
      <c r="EG19">
        <v>19.156229109589042</v>
      </c>
      <c r="EH19">
        <v>-1</v>
      </c>
      <c r="EI19">
        <v>0</v>
      </c>
      <c r="EJ19">
        <v>1</v>
      </c>
      <c r="EK19" s="13">
        <v>45470</v>
      </c>
      <c r="EL19" s="14">
        <v>0.75</v>
      </c>
      <c r="EM19" s="14">
        <v>-1.62</v>
      </c>
      <c r="EN19" s="14">
        <v>2.09</v>
      </c>
      <c r="EO19" s="14">
        <v>-0.25</v>
      </c>
      <c r="EP19" s="14">
        <v>-3.48</v>
      </c>
    </row>
    <row r="20" spans="1:146" ht="156" x14ac:dyDescent="0.25">
      <c r="A20" s="7" t="s">
        <v>1714</v>
      </c>
      <c r="B20" s="7" t="s">
        <v>1713</v>
      </c>
      <c r="C20" s="7" t="str">
        <f>"公司是一家主要从事多种不同材质的杯壶产品的研发设计、生产与销售。公司主要产品包括不锈钢、钛等材质的真空保温器皿以及不锈钢、钛、玻璃、铝、塑料（PP、Tritan）、陶瓷等材质的非真空器皿。"&amp;CHAR(10)&amp;Basic_Fundamental_Information_Constructure(F20)&amp;CHAR(10)&amp;Basic_Fundamental_Information_Concatenate("真空器皿 7.61亿 81.20% 97.81% 28.04%
塑料杯 7770.03万 8.29%
铝瓶 4223.53万 4.51%")</f>
        <v>公司是一家主要从事多种不同材质的杯壶产品的研发设计、生产与销售。公司主要产品包括不锈钢、钛等材质的真空保温器皿以及不锈钢、钛、玻璃、铝、塑料（PP、Tritan）、陶瓷等材质的非真空器皿。
市值34.612544亿, 利润2.06亿; PE13.86; 平均PE35.92; 平均PEG2.58, PB2.36; ROIC5.14%; ROE4.09%; 股利率2.6954%; 毛利27.3367%; 净利2.62%; 上一年度营收增1.63%, 利润增51.47%; 当季营收增27.74%, 利润增102.68%; 过往5年营收增13.92%, 利润增85.26%
Income profile:
真空器皿 7.61亿 81.20% 97.81% 28.04%
塑料杯 7770.03万 8.29%
铝瓶 4223.53万 4.51%</v>
      </c>
      <c r="D20" t="s">
        <v>115</v>
      </c>
      <c r="E20" t="s">
        <v>28</v>
      </c>
      <c r="F20">
        <v>7.42</v>
      </c>
      <c r="G20">
        <v>0.27</v>
      </c>
      <c r="H20" t="s">
        <v>1727</v>
      </c>
      <c r="I20">
        <v>3461254400</v>
      </c>
      <c r="J20">
        <v>13.86</v>
      </c>
      <c r="K20">
        <v>2.36</v>
      </c>
      <c r="L20" t="s">
        <v>59</v>
      </c>
      <c r="M20" t="s">
        <v>1480</v>
      </c>
      <c r="N20" t="s">
        <v>1481</v>
      </c>
      <c r="O20" t="s">
        <v>1482</v>
      </c>
      <c r="P20">
        <v>-10.119999999999999</v>
      </c>
      <c r="Q20" t="s">
        <v>1139</v>
      </c>
      <c r="R20">
        <v>152978980</v>
      </c>
      <c r="S20" s="5">
        <v>-0.15090000000000001</v>
      </c>
      <c r="T20" t="s">
        <v>422</v>
      </c>
      <c r="U20">
        <v>286375780</v>
      </c>
      <c r="V20">
        <v>466749330</v>
      </c>
      <c r="W20">
        <v>1.92</v>
      </c>
      <c r="X20">
        <v>0.69</v>
      </c>
      <c r="Y20">
        <v>8.89</v>
      </c>
      <c r="Z20" t="s">
        <v>1256</v>
      </c>
      <c r="AA20" t="s">
        <v>518</v>
      </c>
      <c r="AB20" t="s">
        <v>279</v>
      </c>
      <c r="AC20" t="s">
        <v>251</v>
      </c>
      <c r="AD20" t="s">
        <v>1269</v>
      </c>
      <c r="AE20">
        <v>-10720992</v>
      </c>
      <c r="AF20" t="s">
        <v>1483</v>
      </c>
      <c r="AG20" t="s">
        <v>1484</v>
      </c>
      <c r="AH20" t="s">
        <v>1485</v>
      </c>
      <c r="AI20" t="s">
        <v>1386</v>
      </c>
      <c r="AJ20" t="s">
        <v>1486</v>
      </c>
      <c r="AK20" t="s">
        <v>41</v>
      </c>
      <c r="AL20" t="s">
        <v>1487</v>
      </c>
      <c r="AM20" t="s">
        <v>41</v>
      </c>
      <c r="AN20" t="s">
        <v>1488</v>
      </c>
      <c r="AO20" t="s">
        <v>372</v>
      </c>
      <c r="AP20" t="s">
        <v>1489</v>
      </c>
      <c r="AQ20" t="s">
        <v>1490</v>
      </c>
      <c r="AR20" t="s">
        <v>41</v>
      </c>
      <c r="AS20" t="s">
        <v>288</v>
      </c>
      <c r="AT20" t="s">
        <v>1192</v>
      </c>
      <c r="AU20" t="s">
        <v>1491</v>
      </c>
      <c r="AV20" t="s">
        <v>1492</v>
      </c>
      <c r="AW20" t="s">
        <v>1493</v>
      </c>
      <c r="AX20" t="s">
        <v>716</v>
      </c>
      <c r="AY20" t="s">
        <v>367</v>
      </c>
      <c r="AZ20" t="s">
        <v>116</v>
      </c>
      <c r="BA20" t="s">
        <v>116</v>
      </c>
      <c r="BB20" t="s">
        <v>370</v>
      </c>
      <c r="BC20" t="s">
        <v>113</v>
      </c>
      <c r="BD20" t="s">
        <v>368</v>
      </c>
      <c r="BE20" t="s">
        <v>117</v>
      </c>
      <c r="BF20" t="s">
        <v>371</v>
      </c>
      <c r="BG20" t="s">
        <v>372</v>
      </c>
      <c r="BH20" t="s">
        <v>1268</v>
      </c>
      <c r="BI20" t="s">
        <v>1494</v>
      </c>
      <c r="BJ20" t="s">
        <v>1271</v>
      </c>
      <c r="BK20" t="s">
        <v>1495</v>
      </c>
      <c r="BL20" t="s">
        <v>985</v>
      </c>
      <c r="BM20" t="s">
        <v>84</v>
      </c>
      <c r="BN20">
        <v>0.63</v>
      </c>
      <c r="BO20">
        <v>9.65</v>
      </c>
      <c r="BP20" t="s">
        <v>41</v>
      </c>
      <c r="BQ20">
        <v>0.18</v>
      </c>
      <c r="BR20">
        <v>15.38</v>
      </c>
      <c r="BS20">
        <v>-3.29</v>
      </c>
      <c r="BT20" t="s">
        <v>1085</v>
      </c>
      <c r="BU20" t="s">
        <v>843</v>
      </c>
      <c r="BV20">
        <v>29.22</v>
      </c>
      <c r="BW20">
        <v>26.13</v>
      </c>
      <c r="BX20">
        <v>26.66</v>
      </c>
      <c r="BY20">
        <v>4.66</v>
      </c>
      <c r="BZ20">
        <v>5.38</v>
      </c>
      <c r="CA20">
        <v>-2.1800000000000002</v>
      </c>
      <c r="CB20">
        <v>10.25</v>
      </c>
      <c r="CC20">
        <v>24.71</v>
      </c>
      <c r="CD20" t="s">
        <v>1728</v>
      </c>
      <c r="CE20" t="s">
        <v>198</v>
      </c>
      <c r="CF20" s="8">
        <v>0.27740863787375397</v>
      </c>
      <c r="CG20" s="9">
        <v>1.0268166037735849</v>
      </c>
      <c r="CH20" s="8">
        <v>1.6324849799275398E-2</v>
      </c>
      <c r="CI20" s="8">
        <v>0.60120636224746704</v>
      </c>
      <c r="CJ20" s="8">
        <v>-0.16833890974521637</v>
      </c>
      <c r="CK20" s="8">
        <v>0</v>
      </c>
      <c r="CL20" s="8">
        <v>0.24669903516769409</v>
      </c>
      <c r="CM20" s="9">
        <v>0.51470589637756348</v>
      </c>
      <c r="CN20" s="9">
        <v>5.8041090965270996</v>
      </c>
      <c r="CO20" s="9">
        <v>-1.5136210918426514</v>
      </c>
      <c r="CP20" s="9">
        <v>-0.44532522559165955</v>
      </c>
      <c r="CQ20" s="9">
        <v>-9.6658185124397278E-2</v>
      </c>
      <c r="CR20">
        <v>35.919088885168371</v>
      </c>
      <c r="CS20">
        <v>2.5807972416927161</v>
      </c>
      <c r="CT20">
        <v>2.6954177897574123</v>
      </c>
      <c r="CU20" s="8">
        <v>0.13917826749384404</v>
      </c>
      <c r="CV20" s="9">
        <v>0.852642098069191</v>
      </c>
      <c r="CW20">
        <v>0.06</v>
      </c>
      <c r="CX20">
        <v>15.119438918810648</v>
      </c>
      <c r="CY20">
        <v>221387474.62616211</v>
      </c>
      <c r="CZ20">
        <v>0.13917826749384404</v>
      </c>
      <c r="DA20">
        <v>4.740478295353431</v>
      </c>
      <c r="DB20">
        <v>706100564.42636704</v>
      </c>
      <c r="DC20">
        <v>0.13221935411915184</v>
      </c>
      <c r="DD20">
        <v>2.2056914955038924</v>
      </c>
      <c r="DE20">
        <v>1517553296.4710083</v>
      </c>
      <c r="DF20">
        <v>0.12247687539458275</v>
      </c>
      <c r="DG20">
        <v>1.241193359029656</v>
      </c>
      <c r="DH20">
        <v>2696803343.0478768</v>
      </c>
      <c r="DI20">
        <v>0.11134261399507524</v>
      </c>
      <c r="DJ20">
        <v>0.55323588901296339</v>
      </c>
      <c r="DK20">
        <v>6050320426.557806</v>
      </c>
      <c r="DL20">
        <v>9.7424787245690828E-2</v>
      </c>
      <c r="DM20">
        <v>206000000</v>
      </c>
      <c r="DN20">
        <v>0.13917826749384404</v>
      </c>
      <c r="DO20">
        <v>3347254400</v>
      </c>
      <c r="DP20">
        <v>867254000</v>
      </c>
      <c r="DQ20">
        <v>1113</v>
      </c>
      <c r="DR20">
        <v>0.13823037037990993</v>
      </c>
      <c r="DS20">
        <v>0.17417450570439386</v>
      </c>
      <c r="DT20" s="10">
        <v>-0.17333333333333334</v>
      </c>
      <c r="DU20">
        <v>-0.4866666666666668</v>
      </c>
      <c r="DV20">
        <v>-0.66000000000000014</v>
      </c>
      <c r="DW20">
        <v>9.4148118170781068</v>
      </c>
      <c r="DX20">
        <v>0.47165884960422022</v>
      </c>
      <c r="DY20">
        <v>9.0795023556634273</v>
      </c>
      <c r="DZ20">
        <v>3506</v>
      </c>
      <c r="EA20">
        <v>9.0250193105195695</v>
      </c>
      <c r="EB20">
        <v>9</v>
      </c>
      <c r="EC20">
        <v>0.15562679008023428</v>
      </c>
      <c r="ED20">
        <v>0.81199902311589822</v>
      </c>
      <c r="EE20" s="11">
        <v>1.0940000000000001</v>
      </c>
      <c r="EF20">
        <v>1.0967</v>
      </c>
      <c r="EG20">
        <v>28.19165884960422</v>
      </c>
      <c r="EH20" t="s">
        <v>1094</v>
      </c>
      <c r="EI20">
        <v>1</v>
      </c>
      <c r="EJ20">
        <v>0</v>
      </c>
      <c r="EK20" s="13">
        <v>45385</v>
      </c>
      <c r="EL20" s="14">
        <v>1.93</v>
      </c>
      <c r="EM20" s="14">
        <v>2.48</v>
      </c>
      <c r="EN20" s="14">
        <v>0.39</v>
      </c>
      <c r="EO20" s="14">
        <v>0.57999999999999996</v>
      </c>
      <c r="EP20" s="14">
        <v>-0.19</v>
      </c>
    </row>
    <row r="21" spans="1:146" ht="96" x14ac:dyDescent="0.25">
      <c r="A21" s="7"/>
      <c r="B21" s="7"/>
      <c r="C21" s="7" t="str">
        <f>""&amp;CHAR(10)&amp;Basic_Fundamental_Information_Constructure(F21)&amp;CHAR(10)&amp;Basic_Fundamental_Information_Concatenate("")</f>
        <v xml:space="preserve">
市值23.513992亿, 利润3176.20万; PE85.18; 平均PE57.49; 平均PEG21.14, PB1.39; ROIC1.26%; ROE.9533%; 股利率.8403%; 毛利24.4133%; 净利.73%; 上一年度营收增-2.03%, 利润增265.31%; 当季营收增-2.3%, 利润增-23.94%; 过往5年营收增2.72%, 利润增73.02%
Income profile:
</v>
      </c>
      <c r="D21" t="s">
        <v>118</v>
      </c>
      <c r="E21" t="s">
        <v>21</v>
      </c>
      <c r="F21">
        <v>3.57</v>
      </c>
      <c r="G21">
        <v>2.88</v>
      </c>
      <c r="H21" t="s">
        <v>2065</v>
      </c>
      <c r="I21">
        <v>2351399200</v>
      </c>
      <c r="J21">
        <v>85.18</v>
      </c>
      <c r="K21">
        <v>1.39</v>
      </c>
      <c r="L21" t="s">
        <v>1762</v>
      </c>
      <c r="M21" t="s">
        <v>2066</v>
      </c>
      <c r="N21" t="s">
        <v>2067</v>
      </c>
      <c r="O21" t="s">
        <v>2068</v>
      </c>
      <c r="P21">
        <v>-2.38</v>
      </c>
      <c r="Q21" t="s">
        <v>2069</v>
      </c>
      <c r="R21">
        <v>-21512730</v>
      </c>
      <c r="S21" s="5">
        <v>-0.2394</v>
      </c>
      <c r="T21" t="s">
        <v>2070</v>
      </c>
      <c r="U21">
        <v>654944700</v>
      </c>
      <c r="V21">
        <v>658655230</v>
      </c>
      <c r="W21">
        <v>2.2999999999999998</v>
      </c>
      <c r="X21">
        <v>0.06</v>
      </c>
      <c r="Y21">
        <v>-8.4</v>
      </c>
      <c r="Z21" t="s">
        <v>446</v>
      </c>
      <c r="AA21" t="s">
        <v>1394</v>
      </c>
      <c r="AB21" t="s">
        <v>2071</v>
      </c>
      <c r="AC21" t="s">
        <v>2072</v>
      </c>
      <c r="AD21" t="s">
        <v>41</v>
      </c>
      <c r="AE21">
        <v>13645041</v>
      </c>
      <c r="AF21" t="s">
        <v>2073</v>
      </c>
      <c r="AG21" t="s">
        <v>2074</v>
      </c>
      <c r="AH21" t="s">
        <v>2075</v>
      </c>
      <c r="AI21" t="s">
        <v>2076</v>
      </c>
      <c r="AJ21" t="s">
        <v>2077</v>
      </c>
      <c r="AK21" t="s">
        <v>2078</v>
      </c>
      <c r="AL21" t="s">
        <v>2079</v>
      </c>
      <c r="AM21" t="s">
        <v>41</v>
      </c>
      <c r="AN21" t="s">
        <v>2080</v>
      </c>
      <c r="AO21" t="s">
        <v>978</v>
      </c>
      <c r="AP21" t="s">
        <v>2081</v>
      </c>
      <c r="AQ21" t="s">
        <v>1521</v>
      </c>
      <c r="AR21" t="s">
        <v>41</v>
      </c>
      <c r="AS21" t="s">
        <v>2082</v>
      </c>
      <c r="AT21" t="s">
        <v>41</v>
      </c>
      <c r="AU21" t="s">
        <v>2083</v>
      </c>
      <c r="AV21" t="s">
        <v>2084</v>
      </c>
      <c r="AW21" t="s">
        <v>2061</v>
      </c>
      <c r="AX21" t="s">
        <v>1140</v>
      </c>
      <c r="AY21" t="s">
        <v>717</v>
      </c>
      <c r="AZ21" t="s">
        <v>351</v>
      </c>
      <c r="BA21" t="s">
        <v>119</v>
      </c>
      <c r="BB21" t="s">
        <v>374</v>
      </c>
      <c r="BC21" t="s">
        <v>1141</v>
      </c>
      <c r="BD21" t="s">
        <v>718</v>
      </c>
      <c r="BE21" t="s">
        <v>373</v>
      </c>
      <c r="BF21" t="s">
        <v>120</v>
      </c>
      <c r="BG21" t="s">
        <v>64</v>
      </c>
      <c r="BH21" t="s">
        <v>2069</v>
      </c>
      <c r="BI21" t="s">
        <v>223</v>
      </c>
      <c r="BJ21" t="s">
        <v>1140</v>
      </c>
      <c r="BK21" t="s">
        <v>2070</v>
      </c>
      <c r="BL21" t="s">
        <v>2085</v>
      </c>
      <c r="BM21" t="s">
        <v>1141</v>
      </c>
      <c r="BN21">
        <v>-1.06</v>
      </c>
      <c r="BO21" t="s">
        <v>41</v>
      </c>
      <c r="BP21">
        <v>3.58</v>
      </c>
      <c r="BQ21">
        <v>-0.3</v>
      </c>
      <c r="BR21">
        <v>-1.06</v>
      </c>
      <c r="BS21">
        <v>4.22</v>
      </c>
      <c r="BT21" t="s">
        <v>1088</v>
      </c>
      <c r="BU21" t="s">
        <v>2063</v>
      </c>
      <c r="BV21">
        <v>22.85</v>
      </c>
      <c r="BW21">
        <v>23.36</v>
      </c>
      <c r="BX21">
        <v>27.03</v>
      </c>
      <c r="BY21">
        <v>1.24</v>
      </c>
      <c r="BZ21">
        <v>-1.97</v>
      </c>
      <c r="CA21">
        <v>2.92</v>
      </c>
      <c r="CB21">
        <v>-0.28000000000000003</v>
      </c>
      <c r="CC21">
        <v>-25.16</v>
      </c>
      <c r="CD21" t="s">
        <v>2086</v>
      </c>
      <c r="CE21" t="s">
        <v>298</v>
      </c>
      <c r="CF21" s="8">
        <v>-2.2988505747126551E-2</v>
      </c>
      <c r="CG21" s="9">
        <v>-0.23941960350519384</v>
      </c>
      <c r="CH21" s="8">
        <v>-2.0273694768548012E-2</v>
      </c>
      <c r="CI21" s="8">
        <v>-2.9990198090672493E-2</v>
      </c>
      <c r="CJ21" s="8">
        <v>0.29719388484954834</v>
      </c>
      <c r="CK21" s="8">
        <v>-0.12791991233825684</v>
      </c>
      <c r="CL21" s="8">
        <v>1.6968326643109322E-2</v>
      </c>
      <c r="CM21" s="9">
        <v>2.6531085968017578</v>
      </c>
      <c r="CN21" s="9">
        <v>-1.2523503303527832</v>
      </c>
      <c r="CO21" s="9">
        <v>3.8224737644195557</v>
      </c>
      <c r="CP21" s="9">
        <v>-1.3385113477706909</v>
      </c>
      <c r="CQ21" s="9">
        <v>-0.23375768959522247</v>
      </c>
      <c r="CR21">
        <v>57.491376127647811</v>
      </c>
      <c r="CS21">
        <v>21.139891874760693</v>
      </c>
      <c r="CT21">
        <v>0.84033613445378152</v>
      </c>
      <c r="CU21" s="8">
        <v>2.7195681259036063E-2</v>
      </c>
      <c r="CV21" s="9">
        <v>0.73019259870052333</v>
      </c>
      <c r="CW21">
        <v>0.06</v>
      </c>
      <c r="CX21">
        <v>110.15283421555523</v>
      </c>
      <c r="CY21">
        <v>30779046.441650476</v>
      </c>
      <c r="CZ21">
        <v>2.7195681259036063E-2</v>
      </c>
      <c r="DA21">
        <v>37.977146138953465</v>
      </c>
      <c r="DB21">
        <v>89274722.950349346</v>
      </c>
      <c r="DC21">
        <v>2.583589719608426E-2</v>
      </c>
      <c r="DD21">
        <v>20.047227573064539</v>
      </c>
      <c r="DE21">
        <v>169120602.22009659</v>
      </c>
      <c r="DF21">
        <v>2.3932199507951734E-2</v>
      </c>
      <c r="DG21">
        <v>12.99266462188411</v>
      </c>
      <c r="DH21">
        <v>260947180.4797765</v>
      </c>
      <c r="DI21">
        <v>2.1756545007228852E-2</v>
      </c>
      <c r="DJ21">
        <v>7.868163431878652</v>
      </c>
      <c r="DK21">
        <v>430900963.02060252</v>
      </c>
      <c r="DL21">
        <v>1.9036976881325243E-2</v>
      </c>
      <c r="DM21">
        <v>31762000</v>
      </c>
      <c r="DN21">
        <v>2.7195681259036063E-2</v>
      </c>
      <c r="DO21">
        <v>3390399200</v>
      </c>
      <c r="DP21">
        <v>1591682300</v>
      </c>
      <c r="DQ21">
        <v>1121</v>
      </c>
      <c r="DR21">
        <v>-5.0184187006162617E-2</v>
      </c>
      <c r="DS21">
        <v>-0.9696122022057172</v>
      </c>
      <c r="DT21" s="10">
        <v>-0.3066666666666667</v>
      </c>
      <c r="DU21">
        <v>-1.5166666666666666</v>
      </c>
      <c r="DV21">
        <v>-1.8233333333333333</v>
      </c>
      <c r="DW21">
        <v>-3.1035952380952381</v>
      </c>
      <c r="DX21">
        <v>0.52380596026490112</v>
      </c>
      <c r="DY21">
        <v>-3.0138616603122044</v>
      </c>
      <c r="DZ21">
        <v>4270</v>
      </c>
      <c r="EA21">
        <v>-3.0022786290924173</v>
      </c>
      <c r="EB21">
        <v>3</v>
      </c>
      <c r="EC21">
        <v>3.0675684454824718E-2</v>
      </c>
      <c r="ED21">
        <v>0.22925499278279474</v>
      </c>
      <c r="EE21" s="11">
        <v>-4.0095999999999998</v>
      </c>
      <c r="EF21">
        <v>-4.0121099999999998</v>
      </c>
      <c r="EG21">
        <v>39.133805960264901</v>
      </c>
      <c r="EH21" t="s">
        <v>1710</v>
      </c>
      <c r="EI21">
        <v>0</v>
      </c>
      <c r="EJ21">
        <v>0</v>
      </c>
      <c r="EK21" s="13">
        <v>45470</v>
      </c>
      <c r="EL21" s="14">
        <v>0</v>
      </c>
      <c r="EM21" s="14">
        <v>-4.9000000000000004</v>
      </c>
      <c r="EN21" s="14">
        <v>2.0099999999999998</v>
      </c>
      <c r="EO21" s="14">
        <v>3.37</v>
      </c>
      <c r="EP21" s="14">
        <v>-2.17</v>
      </c>
    </row>
    <row r="22" spans="1:146" ht="96" x14ac:dyDescent="0.25">
      <c r="A22" s="7"/>
      <c r="B22" s="7"/>
      <c r="C22" s="7" t="str">
        <f>""&amp;CHAR(10)&amp;Basic_Fundamental_Information_Constructure(F22)&amp;CHAR(10)&amp;Basic_Fundamental_Information_Concatenate("")</f>
        <v xml:space="preserve">
市值50.234713亿, 利润587.85万; PE; 平均PE35.38; 平均PEG3.91, PB1.37; ROIC2.09%; ROE2.91%; 股利率.0542%; 毛利23.12%; 净利5.71%; 上一年度营收增-32.05%, 利润增-95.22%; 当季营收增-42.9%, 利润增-164.07%; 过往5年营收增-9.06%, 利润增-24.47%
Income profile:
</v>
      </c>
      <c r="D22" t="s">
        <v>123</v>
      </c>
      <c r="E22" t="s">
        <v>12</v>
      </c>
      <c r="F22">
        <v>3.69</v>
      </c>
      <c r="G22">
        <v>3.07</v>
      </c>
      <c r="H22" t="s">
        <v>2087</v>
      </c>
      <c r="I22">
        <v>5023471300</v>
      </c>
      <c r="K22">
        <v>1.37</v>
      </c>
      <c r="L22" t="s">
        <v>1762</v>
      </c>
      <c r="M22" t="s">
        <v>2088</v>
      </c>
      <c r="N22" t="s">
        <v>60</v>
      </c>
      <c r="O22" t="s">
        <v>854</v>
      </c>
      <c r="P22">
        <v>-42.88</v>
      </c>
      <c r="Q22" t="s">
        <v>1347</v>
      </c>
      <c r="R22">
        <v>-19687706</v>
      </c>
      <c r="S22" s="5">
        <v>-1.641</v>
      </c>
      <c r="T22" t="s">
        <v>2089</v>
      </c>
      <c r="U22">
        <v>1357574400</v>
      </c>
      <c r="V22">
        <v>1361374300</v>
      </c>
      <c r="W22">
        <v>1.17</v>
      </c>
      <c r="X22">
        <v>0.05</v>
      </c>
      <c r="Y22">
        <v>-9.86</v>
      </c>
      <c r="Z22" t="s">
        <v>1705</v>
      </c>
      <c r="AA22" t="s">
        <v>962</v>
      </c>
      <c r="AB22" t="s">
        <v>2090</v>
      </c>
      <c r="AC22" t="s">
        <v>2091</v>
      </c>
      <c r="AD22" t="s">
        <v>41</v>
      </c>
      <c r="AE22">
        <v>-5405135</v>
      </c>
      <c r="AF22" t="s">
        <v>2092</v>
      </c>
      <c r="AG22" t="s">
        <v>2093</v>
      </c>
      <c r="AH22" t="s">
        <v>2094</v>
      </c>
      <c r="AI22" t="s">
        <v>2095</v>
      </c>
      <c r="AJ22" t="s">
        <v>2096</v>
      </c>
      <c r="AK22" t="s">
        <v>41</v>
      </c>
      <c r="AL22" t="s">
        <v>2097</v>
      </c>
      <c r="AM22" t="s">
        <v>41</v>
      </c>
      <c r="AN22" t="s">
        <v>2098</v>
      </c>
      <c r="AO22" t="s">
        <v>89</v>
      </c>
      <c r="AP22" t="s">
        <v>2099</v>
      </c>
      <c r="AQ22" t="s">
        <v>142</v>
      </c>
      <c r="AR22" t="s">
        <v>41</v>
      </c>
      <c r="AS22" t="s">
        <v>630</v>
      </c>
      <c r="AT22" t="s">
        <v>41</v>
      </c>
      <c r="AU22" t="s">
        <v>2100</v>
      </c>
      <c r="AV22" t="s">
        <v>2101</v>
      </c>
      <c r="AW22" t="s">
        <v>2102</v>
      </c>
      <c r="AX22" t="s">
        <v>1142</v>
      </c>
      <c r="AY22" t="s">
        <v>719</v>
      </c>
      <c r="AZ22" t="s">
        <v>377</v>
      </c>
      <c r="BA22" t="s">
        <v>124</v>
      </c>
      <c r="BB22" t="s">
        <v>380</v>
      </c>
      <c r="BC22" t="s">
        <v>328</v>
      </c>
      <c r="BD22" t="s">
        <v>497</v>
      </c>
      <c r="BE22" t="s">
        <v>378</v>
      </c>
      <c r="BF22" t="s">
        <v>125</v>
      </c>
      <c r="BG22" t="s">
        <v>89</v>
      </c>
      <c r="BH22" t="s">
        <v>1347</v>
      </c>
      <c r="BI22" t="s">
        <v>2103</v>
      </c>
      <c r="BJ22" t="s">
        <v>1142</v>
      </c>
      <c r="BK22" t="s">
        <v>2089</v>
      </c>
      <c r="BL22" t="s">
        <v>2104</v>
      </c>
      <c r="BM22" t="s">
        <v>328</v>
      </c>
      <c r="BN22">
        <v>-0.49</v>
      </c>
      <c r="BO22">
        <v>2.68</v>
      </c>
      <c r="BP22">
        <v>4.08</v>
      </c>
      <c r="BQ22">
        <v>0.18</v>
      </c>
      <c r="BR22">
        <v>3.36</v>
      </c>
      <c r="BS22">
        <v>5.19</v>
      </c>
      <c r="BT22" t="s">
        <v>2105</v>
      </c>
      <c r="BU22" t="s">
        <v>950</v>
      </c>
      <c r="BV22">
        <v>19.97</v>
      </c>
      <c r="BW22">
        <v>24.02</v>
      </c>
      <c r="BX22">
        <v>25.37</v>
      </c>
      <c r="BY22">
        <v>0.15</v>
      </c>
      <c r="BZ22">
        <v>7.54</v>
      </c>
      <c r="CA22">
        <v>9.44</v>
      </c>
      <c r="CB22">
        <v>1.93</v>
      </c>
      <c r="CC22">
        <v>-14.98</v>
      </c>
      <c r="CD22" t="s">
        <v>2106</v>
      </c>
      <c r="CE22" t="s">
        <v>215</v>
      </c>
      <c r="CF22" s="8">
        <v>-0.42895442359249331</v>
      </c>
      <c r="CG22" s="9">
        <v>-1.6407423583628411</v>
      </c>
      <c r="CH22" s="8">
        <v>-0.32048192620277405</v>
      </c>
      <c r="CI22" s="8">
        <v>-0.17821782827377319</v>
      </c>
      <c r="CJ22" s="8">
        <v>0.15296803414821625</v>
      </c>
      <c r="CK22" s="8">
        <v>-0.1466146856546402</v>
      </c>
      <c r="CL22" s="8">
        <v>3.9493605494499207E-2</v>
      </c>
      <c r="CM22" s="9">
        <v>-0.95220732688903809</v>
      </c>
      <c r="CN22" s="9">
        <v>-0.33870968222618103</v>
      </c>
      <c r="CO22" s="9">
        <v>8.7719298899173737E-2</v>
      </c>
      <c r="CP22" s="9">
        <v>-0.10000000149011612</v>
      </c>
      <c r="CQ22" s="9">
        <v>7.9545453190803528E-2</v>
      </c>
      <c r="CR22">
        <v>35.381604066777129</v>
      </c>
      <c r="CS22">
        <v>3.9065237124085996</v>
      </c>
      <c r="CT22">
        <v>5.4200542005420058E-2</v>
      </c>
      <c r="CU22" s="8">
        <v>-9.0570560097694403E-2</v>
      </c>
      <c r="CV22" s="9">
        <v>-0.24473045170307159</v>
      </c>
      <c r="CW22">
        <v>0.06</v>
      </c>
      <c r="CX22" t="e">
        <v>#VALUE!</v>
      </c>
      <c r="CY22" t="s">
        <v>905</v>
      </c>
      <c r="CZ22">
        <v>-9.0570560097694403E-2</v>
      </c>
      <c r="DA22">
        <v>121.76979955203991</v>
      </c>
      <c r="DB22" t="s">
        <v>2107</v>
      </c>
      <c r="DC22">
        <v>-8.6042032092809681E-2</v>
      </c>
      <c r="DD22">
        <v>60.884899776019957</v>
      </c>
      <c r="DE22" t="s">
        <v>2108</v>
      </c>
      <c r="DF22">
        <v>-7.9702092885971076E-2</v>
      </c>
      <c r="DG22">
        <v>36.530939865611977</v>
      </c>
      <c r="DH22" t="s">
        <v>2109</v>
      </c>
      <c r="DI22">
        <v>-7.245644807815553E-2</v>
      </c>
      <c r="DJ22">
        <v>18.265469932805988</v>
      </c>
      <c r="DK22" t="s">
        <v>2110</v>
      </c>
      <c r="DL22">
        <v>-6.3399392068386073E-2</v>
      </c>
      <c r="DM22">
        <v>5878500</v>
      </c>
      <c r="DN22">
        <v>-9.0570560097694403E-2</v>
      </c>
      <c r="DO22">
        <v>2147471300</v>
      </c>
      <c r="DP22">
        <v>2086091000</v>
      </c>
      <c r="DQ22">
        <v>1168</v>
      </c>
      <c r="DR22">
        <v>-0.33838386349479888</v>
      </c>
      <c r="DS22">
        <v>-1.3960119066597696</v>
      </c>
      <c r="DT22" s="10">
        <v>-0.62333333333333341</v>
      </c>
      <c r="DU22">
        <v>-1.3816666666666668</v>
      </c>
      <c r="DV22">
        <v>-2.0050000000000003</v>
      </c>
      <c r="DW22">
        <v>-2.1497999999999999</v>
      </c>
      <c r="DX22">
        <v>0.35577142857142807</v>
      </c>
      <c r="DY22">
        <v>-2.0278285600000001</v>
      </c>
      <c r="DZ22">
        <v>4392</v>
      </c>
      <c r="EA22">
        <v>-2.0039101577455969</v>
      </c>
      <c r="EB22">
        <v>2</v>
      </c>
      <c r="EC22">
        <v>1.528337944972224E-2</v>
      </c>
      <c r="ED22">
        <v>8.2269806327326736E-2</v>
      </c>
      <c r="EE22" s="11">
        <v>2.7310000000000004E-2</v>
      </c>
      <c r="EF22">
        <v>5.161000000000001E-2</v>
      </c>
      <c r="EG22">
        <v>17.185771428571428</v>
      </c>
      <c r="EH22">
        <v>-1</v>
      </c>
      <c r="EI22">
        <v>0</v>
      </c>
      <c r="EJ22">
        <v>0</v>
      </c>
      <c r="EK22" s="13">
        <v>45470</v>
      </c>
      <c r="EL22" s="14">
        <v>-0.81</v>
      </c>
      <c r="EM22" s="14">
        <v>-5.19</v>
      </c>
      <c r="EN22" s="14">
        <v>2.31</v>
      </c>
      <c r="EO22" s="14">
        <v>4.51</v>
      </c>
      <c r="EP22" s="14">
        <v>-2.4300000000000002</v>
      </c>
    </row>
    <row r="23" spans="1:146" ht="96" x14ac:dyDescent="0.25">
      <c r="A23" s="7"/>
      <c r="B23" s="7"/>
      <c r="C23" s="7" t="str">
        <f>""&amp;CHAR(10)&amp;Basic_Fundamental_Information_Constructure(F23)&amp;CHAR(10)&amp;Basic_Fundamental_Information_Concatenate("")</f>
        <v xml:space="preserve">
市值30.149561亿, 利润4780.75万; PE28.52; 平均PE75.28; 平均PEG5.88, PB2.11; ROIC2.5967%; ROE2.56%; 股利率.085%; 毛利9.39%; 净利1.5433%; 上一年度营收增14.29%, 利润增40.25%; 当季营收增-37.78%, 利润增1749.03%; 过往5年营收增12.8%, 利润增1.85%
Income profile:
</v>
      </c>
      <c r="D23" t="s">
        <v>128</v>
      </c>
      <c r="E23" t="s">
        <v>7</v>
      </c>
      <c r="F23">
        <v>11.77</v>
      </c>
      <c r="G23">
        <v>7.19</v>
      </c>
      <c r="H23" t="s">
        <v>1729</v>
      </c>
      <c r="I23">
        <v>3014956100</v>
      </c>
      <c r="J23">
        <v>28.52</v>
      </c>
      <c r="K23">
        <v>2.11</v>
      </c>
      <c r="L23" t="s">
        <v>59</v>
      </c>
      <c r="M23" t="s">
        <v>1500</v>
      </c>
      <c r="N23" t="s">
        <v>1501</v>
      </c>
      <c r="O23" t="s">
        <v>1117</v>
      </c>
      <c r="P23">
        <v>1.76</v>
      </c>
      <c r="Q23" t="s">
        <v>963</v>
      </c>
      <c r="R23">
        <v>92432127</v>
      </c>
      <c r="S23" s="5">
        <v>1.6779999999999999</v>
      </c>
      <c r="T23" t="s">
        <v>1144</v>
      </c>
      <c r="U23">
        <v>243370820</v>
      </c>
      <c r="V23">
        <v>256156000</v>
      </c>
      <c r="W23">
        <v>3.23</v>
      </c>
      <c r="X23">
        <v>0.82</v>
      </c>
      <c r="Y23">
        <v>2.14</v>
      </c>
      <c r="Z23" t="s">
        <v>1502</v>
      </c>
      <c r="AA23" t="s">
        <v>1503</v>
      </c>
      <c r="AB23" t="s">
        <v>1504</v>
      </c>
      <c r="AC23" t="s">
        <v>1505</v>
      </c>
      <c r="AD23" t="s">
        <v>41</v>
      </c>
      <c r="AE23">
        <v>50897951</v>
      </c>
      <c r="AF23" t="s">
        <v>1506</v>
      </c>
      <c r="AG23" t="s">
        <v>1507</v>
      </c>
      <c r="AH23" t="s">
        <v>1508</v>
      </c>
      <c r="AI23" t="s">
        <v>1294</v>
      </c>
      <c r="AJ23" t="s">
        <v>1509</v>
      </c>
      <c r="AK23" t="s">
        <v>1510</v>
      </c>
      <c r="AL23" t="s">
        <v>1511</v>
      </c>
      <c r="AM23" t="s">
        <v>41</v>
      </c>
      <c r="AN23" t="s">
        <v>709</v>
      </c>
      <c r="AO23" t="s">
        <v>1409</v>
      </c>
      <c r="AP23" t="s">
        <v>1512</v>
      </c>
      <c r="AQ23" t="s">
        <v>571</v>
      </c>
      <c r="AR23" t="s">
        <v>41</v>
      </c>
      <c r="AS23" t="s">
        <v>1513</v>
      </c>
      <c r="AT23" t="s">
        <v>773</v>
      </c>
      <c r="AU23" t="s">
        <v>125</v>
      </c>
      <c r="AV23" t="s">
        <v>1514</v>
      </c>
      <c r="AW23" t="s">
        <v>1515</v>
      </c>
      <c r="AX23" t="s">
        <v>723</v>
      </c>
      <c r="AY23" t="s">
        <v>382</v>
      </c>
      <c r="AZ23" t="s">
        <v>129</v>
      </c>
      <c r="BA23" t="s">
        <v>385</v>
      </c>
      <c r="BB23" t="s">
        <v>386</v>
      </c>
      <c r="BC23" t="s">
        <v>724</v>
      </c>
      <c r="BD23" t="s">
        <v>383</v>
      </c>
      <c r="BE23" t="s">
        <v>130</v>
      </c>
      <c r="BF23" t="s">
        <v>387</v>
      </c>
      <c r="BG23" t="s">
        <v>388</v>
      </c>
      <c r="BH23" t="s">
        <v>1371</v>
      </c>
      <c r="BI23" t="s">
        <v>1516</v>
      </c>
      <c r="BJ23" t="s">
        <v>1272</v>
      </c>
      <c r="BK23" t="s">
        <v>1517</v>
      </c>
      <c r="BL23" t="s">
        <v>1518</v>
      </c>
      <c r="BM23" t="s">
        <v>1273</v>
      </c>
      <c r="BN23">
        <v>2</v>
      </c>
      <c r="BO23">
        <v>2.86</v>
      </c>
      <c r="BP23">
        <v>2.93</v>
      </c>
      <c r="BQ23">
        <v>2.69</v>
      </c>
      <c r="BR23">
        <v>2.67</v>
      </c>
      <c r="BS23">
        <v>2.3199999999999998</v>
      </c>
      <c r="BT23" t="s">
        <v>1089</v>
      </c>
      <c r="BU23" t="s">
        <v>948</v>
      </c>
      <c r="BV23">
        <v>6.72</v>
      </c>
      <c r="BW23">
        <v>7.05</v>
      </c>
      <c r="BX23">
        <v>14.4</v>
      </c>
      <c r="BY23">
        <v>2.37</v>
      </c>
      <c r="BZ23">
        <v>0.91</v>
      </c>
      <c r="CA23">
        <v>1.35</v>
      </c>
      <c r="CB23">
        <v>26.02</v>
      </c>
      <c r="CC23">
        <v>26.56</v>
      </c>
      <c r="CD23" t="s">
        <v>1730</v>
      </c>
      <c r="CE23" t="s">
        <v>730</v>
      </c>
      <c r="CF23" s="8">
        <v>-0.37777777777777766</v>
      </c>
      <c r="CG23" s="9">
        <v>17.49025321563682</v>
      </c>
      <c r="CH23" s="8">
        <v>0.14293481409549713</v>
      </c>
      <c r="CI23" s="8">
        <v>0.7449028491973877</v>
      </c>
      <c r="CJ23" s="8">
        <v>-7.2559341788291931E-2</v>
      </c>
      <c r="CK23" s="8">
        <v>-0.15558859705924988</v>
      </c>
      <c r="CL23" s="8">
        <v>-1.9657853990793228E-2</v>
      </c>
      <c r="CM23" s="9">
        <v>0.40247711539268494</v>
      </c>
      <c r="CN23" s="9">
        <v>0.18316395580768585</v>
      </c>
      <c r="CO23" s="9">
        <v>-0.23028340935707092</v>
      </c>
      <c r="CP23" s="9">
        <v>0.26402384042739868</v>
      </c>
      <c r="CQ23" s="9">
        <v>-0.52666985988616943</v>
      </c>
      <c r="CR23">
        <v>75.276701459240755</v>
      </c>
      <c r="CS23">
        <v>5.8806994568707447</v>
      </c>
      <c r="CT23">
        <v>8.4961767204757871E-2</v>
      </c>
      <c r="CU23" s="8">
        <v>0.12800637409090995</v>
      </c>
      <c r="CV23" s="9">
        <v>1.8542328476905824E-2</v>
      </c>
      <c r="CW23">
        <v>0.06</v>
      </c>
      <c r="CX23">
        <v>96.294576064994601</v>
      </c>
      <c r="CY23">
        <v>50874683.706935063</v>
      </c>
      <c r="CZ23">
        <v>0.12800637409090995</v>
      </c>
      <c r="DA23">
        <v>30.475821094824585</v>
      </c>
      <c r="DB23">
        <v>160748945.36088291</v>
      </c>
      <c r="DC23">
        <v>0.12160605538636445</v>
      </c>
      <c r="DD23">
        <v>14.364509921123862</v>
      </c>
      <c r="DE23">
        <v>341045822.44019306</v>
      </c>
      <c r="DF23">
        <v>0.11264560920000076</v>
      </c>
      <c r="DG23">
        <v>8.2065432673513463</v>
      </c>
      <c r="DH23">
        <v>596957323.00466299</v>
      </c>
      <c r="DI23">
        <v>0.10240509927272796</v>
      </c>
      <c r="DJ23">
        <v>3.7887967367360402</v>
      </c>
      <c r="DK23">
        <v>1293011064.0404363</v>
      </c>
      <c r="DL23">
        <v>8.9604461863636964E-2</v>
      </c>
      <c r="DM23">
        <v>47807500</v>
      </c>
      <c r="DN23">
        <v>0.12800637409090995</v>
      </c>
      <c r="DO23">
        <v>4898956100</v>
      </c>
      <c r="DP23">
        <v>804895400</v>
      </c>
      <c r="DQ23">
        <v>1221</v>
      </c>
      <c r="DR23">
        <v>-0.50578415186868764</v>
      </c>
      <c r="DS23">
        <v>17.471710887159915</v>
      </c>
      <c r="DT23" s="10">
        <v>-0.25666666666666665</v>
      </c>
      <c r="DU23">
        <v>0.79999999999999993</v>
      </c>
      <c r="DV23">
        <v>0.54333333333333322</v>
      </c>
      <c r="DW23">
        <v>9.9796686746987948</v>
      </c>
      <c r="DX23">
        <v>0.82151740890688218</v>
      </c>
      <c r="DY23">
        <v>9.2953871603824201</v>
      </c>
      <c r="DZ23">
        <v>988</v>
      </c>
      <c r="EA23">
        <v>9.2383421028261594</v>
      </c>
      <c r="EB23">
        <v>9</v>
      </c>
      <c r="EC23">
        <v>0.2907400178016521</v>
      </c>
      <c r="ED23">
        <v>0.96425615640469098</v>
      </c>
      <c r="EE23" s="11">
        <v>-1.0972</v>
      </c>
      <c r="EF23">
        <v>1.9100000000000006E-2</v>
      </c>
      <c r="EG23">
        <v>52.301517408906882</v>
      </c>
      <c r="EH23" t="s">
        <v>860</v>
      </c>
      <c r="EI23">
        <v>1</v>
      </c>
      <c r="EJ23">
        <v>1</v>
      </c>
      <c r="EK23" s="13">
        <v>45385</v>
      </c>
      <c r="EL23" s="14">
        <v>2.0299999999999998</v>
      </c>
      <c r="EM23" s="14">
        <v>4.3</v>
      </c>
      <c r="EN23" s="14">
        <v>2.5299999999999998</v>
      </c>
      <c r="EO23" s="14">
        <v>-2.4700000000000002</v>
      </c>
      <c r="EP23" s="14">
        <v>5.57</v>
      </c>
    </row>
    <row r="24" spans="1:146" ht="96" x14ac:dyDescent="0.25">
      <c r="A24" s="7"/>
      <c r="B24" s="7"/>
      <c r="C24" s="7" t="str">
        <f>""&amp;CHAR(10)&amp;Basic_Fundamental_Information_Constructure(F24)&amp;CHAR(10)&amp;Basic_Fundamental_Information_Concatenate("")</f>
        <v xml:space="preserve">
市值18.171072亿, 利润-15.09亿; PE; 平均PE84.75; 平均PEG.59, PB.727; ROIC7.625%; ROE4.33%; 股利率0%; 毛利26.2767%; 净利2.5467%; 上一年度营收增-33.11%, 利润增-2283.29%; 当季营收增-13.17%, 利润增96.83%; 过往5年营收增142.64%, 利润增-344.72%
Income profile:
</v>
      </c>
      <c r="D24" t="s">
        <v>623</v>
      </c>
      <c r="E24" t="s">
        <v>624</v>
      </c>
      <c r="F24">
        <v>4.72</v>
      </c>
      <c r="G24">
        <v>0.43</v>
      </c>
      <c r="H24" t="s">
        <v>1731</v>
      </c>
      <c r="I24">
        <v>1817107200</v>
      </c>
      <c r="K24">
        <v>0.72699999999999998</v>
      </c>
      <c r="L24" t="s">
        <v>59</v>
      </c>
      <c r="M24" t="s">
        <v>1522</v>
      </c>
      <c r="N24" t="s">
        <v>1523</v>
      </c>
      <c r="O24" t="s">
        <v>1314</v>
      </c>
      <c r="P24">
        <v>-11.91</v>
      </c>
      <c r="Q24" t="s">
        <v>1147</v>
      </c>
      <c r="R24">
        <v>-65180013</v>
      </c>
      <c r="S24" s="5">
        <v>0.83450000000000002</v>
      </c>
      <c r="T24" t="s">
        <v>1148</v>
      </c>
      <c r="U24">
        <v>292812200</v>
      </c>
      <c r="V24">
        <v>384974580</v>
      </c>
      <c r="W24">
        <v>2.65</v>
      </c>
      <c r="X24">
        <v>0.36</v>
      </c>
      <c r="Y24">
        <v>-2.39</v>
      </c>
      <c r="Z24" t="s">
        <v>1524</v>
      </c>
      <c r="AA24" t="s">
        <v>1370</v>
      </c>
      <c r="AB24" t="s">
        <v>213</v>
      </c>
      <c r="AC24" t="s">
        <v>1034</v>
      </c>
      <c r="AD24" t="s">
        <v>1372</v>
      </c>
      <c r="AE24">
        <v>117423201</v>
      </c>
      <c r="AF24" t="s">
        <v>1525</v>
      </c>
      <c r="AG24" t="s">
        <v>1526</v>
      </c>
      <c r="AH24" t="s">
        <v>1527</v>
      </c>
      <c r="AI24" t="s">
        <v>1528</v>
      </c>
      <c r="AJ24" t="s">
        <v>1529</v>
      </c>
      <c r="AK24" t="s">
        <v>1530</v>
      </c>
      <c r="AL24" t="s">
        <v>1531</v>
      </c>
      <c r="AM24" t="s">
        <v>41</v>
      </c>
      <c r="AN24" t="s">
        <v>1532</v>
      </c>
      <c r="AO24" t="s">
        <v>1533</v>
      </c>
      <c r="AP24" t="s">
        <v>1534</v>
      </c>
      <c r="AQ24" t="s">
        <v>844</v>
      </c>
      <c r="AR24" t="s">
        <v>41</v>
      </c>
      <c r="AS24" t="s">
        <v>1535</v>
      </c>
      <c r="AT24" t="s">
        <v>1351</v>
      </c>
      <c r="AU24" t="s">
        <v>1294</v>
      </c>
      <c r="AV24" t="s">
        <v>1536</v>
      </c>
      <c r="AW24" t="s">
        <v>1537</v>
      </c>
      <c r="AX24" t="s">
        <v>727</v>
      </c>
      <c r="AY24" t="s">
        <v>625</v>
      </c>
      <c r="AZ24" t="s">
        <v>628</v>
      </c>
      <c r="BA24" t="s">
        <v>629</v>
      </c>
      <c r="BB24" t="s">
        <v>630</v>
      </c>
      <c r="BC24" t="s">
        <v>728</v>
      </c>
      <c r="BD24" t="s">
        <v>626</v>
      </c>
      <c r="BE24" t="s">
        <v>616</v>
      </c>
      <c r="BF24" t="s">
        <v>615</v>
      </c>
      <c r="BG24" t="s">
        <v>631</v>
      </c>
      <c r="BH24" t="s">
        <v>1319</v>
      </c>
      <c r="BI24" t="s">
        <v>1538</v>
      </c>
      <c r="BJ24" t="s">
        <v>964</v>
      </c>
      <c r="BK24" t="s">
        <v>1539</v>
      </c>
      <c r="BL24" t="s">
        <v>1540</v>
      </c>
      <c r="BM24" t="s">
        <v>1374</v>
      </c>
      <c r="BN24" t="s">
        <v>41</v>
      </c>
      <c r="BO24">
        <v>3.19</v>
      </c>
      <c r="BP24">
        <v>12.06</v>
      </c>
      <c r="BQ24">
        <v>-2.87</v>
      </c>
      <c r="BR24">
        <v>1.61</v>
      </c>
      <c r="BS24">
        <v>14.25</v>
      </c>
      <c r="BT24" t="s">
        <v>1081</v>
      </c>
      <c r="BU24" t="s">
        <v>949</v>
      </c>
      <c r="BV24">
        <v>22.3</v>
      </c>
      <c r="BW24">
        <v>26.07</v>
      </c>
      <c r="BX24">
        <v>30.46</v>
      </c>
      <c r="BY24">
        <v>-3.43</v>
      </c>
      <c r="BZ24">
        <v>1.08</v>
      </c>
      <c r="CA24">
        <v>9.99</v>
      </c>
      <c r="CB24">
        <v>-1.67</v>
      </c>
      <c r="CC24">
        <v>17.41</v>
      </c>
      <c r="CD24" t="s">
        <v>219</v>
      </c>
      <c r="CE24" t="s">
        <v>75</v>
      </c>
      <c r="CF24" s="8">
        <v>-0.13172043010752707</v>
      </c>
      <c r="CG24" s="9">
        <v>0.96832045890410956</v>
      </c>
      <c r="CH24" s="8">
        <v>-0.33105579018592834</v>
      </c>
      <c r="CI24" s="8">
        <v>9.0473584830760956E-2</v>
      </c>
      <c r="CJ24" s="8">
        <v>1.202878262847662E-2</v>
      </c>
      <c r="CK24" s="8">
        <v>0.29294341802597046</v>
      </c>
      <c r="CL24" s="8">
        <v>7.0674152374267578</v>
      </c>
      <c r="CM24" s="9">
        <v>-22.832860946655273</v>
      </c>
      <c r="CN24" s="9">
        <v>-0.87810230255126953</v>
      </c>
      <c r="CO24" s="9">
        <v>1.7667844658717513E-3</v>
      </c>
      <c r="CP24" s="9">
        <v>0.48556429147720337</v>
      </c>
      <c r="CQ24" s="9">
        <v>5.9876079559326172</v>
      </c>
      <c r="CR24">
        <v>84.752409610925284</v>
      </c>
      <c r="CS24">
        <v>0.59418623227410972</v>
      </c>
      <c r="CT24">
        <v>0</v>
      </c>
      <c r="CU24" s="8">
        <v>1.4263610465452075</v>
      </c>
      <c r="CV24" s="9">
        <v>-3.44720484346617</v>
      </c>
      <c r="CW24">
        <v>0.06</v>
      </c>
      <c r="CX24" t="e">
        <v>#VALUE!</v>
      </c>
      <c r="CY24" t="s">
        <v>852</v>
      </c>
      <c r="CZ24">
        <v>1.4263610465452075</v>
      </c>
      <c r="DA24" t="e">
        <v>#VALUE!</v>
      </c>
      <c r="DB24" t="s">
        <v>853</v>
      </c>
      <c r="DC24">
        <v>1.3550429942179469</v>
      </c>
      <c r="DD24" t="e">
        <v>#VALUE!</v>
      </c>
      <c r="DE24" t="s">
        <v>853</v>
      </c>
      <c r="DF24">
        <v>1.2551977209597827</v>
      </c>
      <c r="DG24" t="e">
        <v>#VALUE!</v>
      </c>
      <c r="DH24" t="s">
        <v>853</v>
      </c>
      <c r="DI24">
        <v>1.1410888372361661</v>
      </c>
      <c r="DJ24" t="e">
        <v>#VALUE!</v>
      </c>
      <c r="DK24" t="s">
        <v>853</v>
      </c>
      <c r="DL24">
        <v>0.99845273258164513</v>
      </c>
      <c r="DM24">
        <v>-1509000000</v>
      </c>
      <c r="DN24">
        <v>1.4263610465452075</v>
      </c>
      <c r="DO24">
        <v>3622107200</v>
      </c>
      <c r="DP24">
        <v>1167941900</v>
      </c>
      <c r="DQ24">
        <v>1278</v>
      </c>
      <c r="DR24">
        <v>-1.5580814766527344</v>
      </c>
      <c r="DS24">
        <v>4.4155253023702796</v>
      </c>
      <c r="DT24" s="10">
        <v>4.9999999999999689E-3</v>
      </c>
      <c r="DU24">
        <v>-1.425</v>
      </c>
      <c r="DV24">
        <v>-1.4200000000000002</v>
      </c>
      <c r="DW24">
        <v>3.0159464285714286</v>
      </c>
      <c r="DX24">
        <v>0.48892448512585701</v>
      </c>
      <c r="DY24">
        <v>3.0049262422360248</v>
      </c>
      <c r="DZ24">
        <v>4157</v>
      </c>
      <c r="EA24">
        <v>3.0009234296920146</v>
      </c>
      <c r="EB24">
        <v>3</v>
      </c>
      <c r="EC24">
        <v>0.35067250414300083</v>
      </c>
      <c r="ED24">
        <v>1.1351398837814175</v>
      </c>
      <c r="EE24" s="11">
        <v>-2.004</v>
      </c>
      <c r="EF24">
        <v>-2.0083000000000002</v>
      </c>
      <c r="EG24">
        <v>18.308924485125857</v>
      </c>
      <c r="EH24" t="s">
        <v>1137</v>
      </c>
      <c r="EI24">
        <v>0</v>
      </c>
      <c r="EJ24">
        <v>0</v>
      </c>
      <c r="EK24" s="13">
        <v>45385</v>
      </c>
      <c r="EL24" s="14">
        <v>2.92</v>
      </c>
      <c r="EM24" s="14">
        <v>-7.69</v>
      </c>
      <c r="EN24" s="14">
        <v>1.58</v>
      </c>
      <c r="EO24" s="14">
        <v>-0.1</v>
      </c>
      <c r="EP24" s="14">
        <v>-1.84</v>
      </c>
    </row>
    <row r="25" spans="1:146" ht="96" x14ac:dyDescent="0.25">
      <c r="A25" s="7"/>
      <c r="B25" s="7"/>
      <c r="C25" s="7" t="str">
        <f>""&amp;CHAR(10)&amp;Basic_Fundamental_Information_Constructure(F25)&amp;CHAR(10)&amp;Basic_Fundamental_Information_Concatenate("")</f>
        <v xml:space="preserve">
市值16.341145亿, 利润8597.89万; PE20.02; 平均PE392.52; 平均PEG74.3, PB1.22; ROIC7.745%; ROE-9.95%; 股利率2.2831%; 毛利31.16%; 净利-7.6767%; 上一年度营收增-9.37%, 利润增-44.17%; 当季营收增-2.79%, 利润增-112.27%; 过往5年营收增5.28%, 利润增-71.46%
Income profile:
</v>
      </c>
      <c r="D25" t="s">
        <v>143</v>
      </c>
      <c r="E25" t="s">
        <v>29</v>
      </c>
      <c r="F25">
        <v>8.76</v>
      </c>
      <c r="G25">
        <v>10.050000000000001</v>
      </c>
      <c r="H25" t="s">
        <v>2111</v>
      </c>
      <c r="I25">
        <v>1634114500</v>
      </c>
      <c r="J25">
        <v>20.02</v>
      </c>
      <c r="K25">
        <v>1.22</v>
      </c>
      <c r="L25" t="s">
        <v>1762</v>
      </c>
      <c r="M25" t="s">
        <v>2112</v>
      </c>
      <c r="N25" t="s">
        <v>2113</v>
      </c>
      <c r="O25" t="s">
        <v>337</v>
      </c>
      <c r="P25">
        <v>-2.61</v>
      </c>
      <c r="Q25" t="s">
        <v>2114</v>
      </c>
      <c r="R25">
        <v>-8200116</v>
      </c>
      <c r="S25" s="5">
        <v>-1.123</v>
      </c>
      <c r="T25" t="s">
        <v>2115</v>
      </c>
      <c r="U25">
        <v>132277035</v>
      </c>
      <c r="V25">
        <v>186542750</v>
      </c>
      <c r="W25">
        <v>1.56</v>
      </c>
      <c r="X25">
        <v>0.08</v>
      </c>
      <c r="Y25">
        <v>-5.19</v>
      </c>
      <c r="Z25" t="s">
        <v>63</v>
      </c>
      <c r="AA25" t="s">
        <v>113</v>
      </c>
      <c r="AB25" t="s">
        <v>2116</v>
      </c>
      <c r="AC25" t="s">
        <v>2117</v>
      </c>
      <c r="AD25" t="s">
        <v>41</v>
      </c>
      <c r="AE25">
        <v>35165</v>
      </c>
      <c r="AF25" t="s">
        <v>2118</v>
      </c>
      <c r="AG25" t="s">
        <v>2119</v>
      </c>
      <c r="AH25" t="s">
        <v>2120</v>
      </c>
      <c r="AI25" t="s">
        <v>1264</v>
      </c>
      <c r="AJ25" t="s">
        <v>2121</v>
      </c>
      <c r="AK25" t="s">
        <v>2122</v>
      </c>
      <c r="AL25" t="s">
        <v>2123</v>
      </c>
      <c r="AM25" t="s">
        <v>41</v>
      </c>
      <c r="AN25" t="s">
        <v>2124</v>
      </c>
      <c r="AO25" t="s">
        <v>41</v>
      </c>
      <c r="AP25" t="s">
        <v>63</v>
      </c>
      <c r="AQ25" t="s">
        <v>967</v>
      </c>
      <c r="AR25" t="s">
        <v>41</v>
      </c>
      <c r="AS25" t="s">
        <v>1578</v>
      </c>
      <c r="AT25" t="s">
        <v>41</v>
      </c>
      <c r="AU25" t="s">
        <v>1364</v>
      </c>
      <c r="AV25" t="s">
        <v>2125</v>
      </c>
      <c r="AW25" t="s">
        <v>2126</v>
      </c>
      <c r="AX25" t="s">
        <v>1149</v>
      </c>
      <c r="AY25" t="s">
        <v>720</v>
      </c>
      <c r="AZ25" t="s">
        <v>394</v>
      </c>
      <c r="BA25" t="s">
        <v>144</v>
      </c>
      <c r="BB25" t="s">
        <v>395</v>
      </c>
      <c r="BC25" t="s">
        <v>241</v>
      </c>
      <c r="BD25" t="s">
        <v>729</v>
      </c>
      <c r="BE25" t="s">
        <v>343</v>
      </c>
      <c r="BF25" t="s">
        <v>145</v>
      </c>
      <c r="BG25" t="s">
        <v>228</v>
      </c>
      <c r="BH25" t="s">
        <v>2114</v>
      </c>
      <c r="BI25" t="s">
        <v>962</v>
      </c>
      <c r="BJ25" t="s">
        <v>1149</v>
      </c>
      <c r="BK25" t="s">
        <v>2115</v>
      </c>
      <c r="BL25" t="s">
        <v>2127</v>
      </c>
      <c r="BM25" t="s">
        <v>241</v>
      </c>
      <c r="BN25">
        <v>4.43</v>
      </c>
      <c r="BO25">
        <v>11.06</v>
      </c>
      <c r="BP25" t="s">
        <v>41</v>
      </c>
      <c r="BQ25">
        <v>4.76</v>
      </c>
      <c r="BR25">
        <v>12.82</v>
      </c>
      <c r="BS25">
        <v>-47.43</v>
      </c>
      <c r="BT25" t="s">
        <v>1085</v>
      </c>
      <c r="BU25" t="s">
        <v>2063</v>
      </c>
      <c r="BV25">
        <v>29.5</v>
      </c>
      <c r="BW25">
        <v>30.02</v>
      </c>
      <c r="BX25">
        <v>33.96</v>
      </c>
      <c r="BY25">
        <v>6.26</v>
      </c>
      <c r="BZ25">
        <v>10.35</v>
      </c>
      <c r="CA25">
        <v>-39.64</v>
      </c>
      <c r="CB25">
        <v>17.899999999999999</v>
      </c>
      <c r="CC25">
        <v>1.27</v>
      </c>
      <c r="CD25" t="s">
        <v>2128</v>
      </c>
      <c r="CE25" t="s">
        <v>2129</v>
      </c>
      <c r="CF25" s="8">
        <v>-2.7932960893854747E-2</v>
      </c>
      <c r="CG25" s="9">
        <v>-1.1227325912503237</v>
      </c>
      <c r="CH25" s="8">
        <v>-9.3663908541202545E-2</v>
      </c>
      <c r="CI25" s="8">
        <v>-0.20394736528396606</v>
      </c>
      <c r="CJ25" s="8">
        <v>0.22088353335857391</v>
      </c>
      <c r="CK25" s="8">
        <v>1.5635577961802483E-2</v>
      </c>
      <c r="CL25" s="8">
        <v>0.32522529363632202</v>
      </c>
      <c r="CM25" s="9">
        <v>-0.44169548153877258</v>
      </c>
      <c r="CN25" s="9">
        <v>1.2112482786178589</v>
      </c>
      <c r="CO25" s="9">
        <v>-4.700507640838623</v>
      </c>
      <c r="CP25" s="9">
        <v>0.12571428716182709</v>
      </c>
      <c r="CQ25" s="9">
        <v>0.23239436745643616</v>
      </c>
      <c r="CR25">
        <v>392.51876583836759</v>
      </c>
      <c r="CS25">
        <v>74.303205386776312</v>
      </c>
      <c r="CT25">
        <v>2.2831050228310503</v>
      </c>
      <c r="CU25" s="8">
        <v>5.2826626226305962E-2</v>
      </c>
      <c r="CV25" s="9">
        <v>-0.71456923782825466</v>
      </c>
      <c r="CW25">
        <v>0.06</v>
      </c>
      <c r="CX25">
        <v>14.720818450494573</v>
      </c>
      <c r="CY25">
        <v>85397052.088348046</v>
      </c>
      <c r="CZ25">
        <v>5.2826626226305962E-2</v>
      </c>
      <c r="DA25">
        <v>4.9651118291047487</v>
      </c>
      <c r="DB25">
        <v>253189564.15663821</v>
      </c>
      <c r="DC25">
        <v>5.0185294914990658E-2</v>
      </c>
      <c r="DD25">
        <v>2.5481731056680443</v>
      </c>
      <c r="DE25">
        <v>493339521.24513429</v>
      </c>
      <c r="DF25">
        <v>4.6487431079149245E-2</v>
      </c>
      <c r="DG25">
        <v>1.6024472434361019</v>
      </c>
      <c r="DH25">
        <v>784496653.57119</v>
      </c>
      <c r="DI25">
        <v>4.2261300981044775E-2</v>
      </c>
      <c r="DJ25">
        <v>0.9132844005753038</v>
      </c>
      <c r="DK25">
        <v>1376476483.3474741</v>
      </c>
      <c r="DL25">
        <v>3.6978638358414168E-2</v>
      </c>
      <c r="DM25">
        <v>85978900</v>
      </c>
      <c r="DN25">
        <v>5.2826626226305962E-2</v>
      </c>
      <c r="DO25">
        <v>1257114500</v>
      </c>
      <c r="DP25">
        <v>484905700</v>
      </c>
      <c r="DQ25">
        <v>1322</v>
      </c>
      <c r="DR25">
        <v>-8.0759587120160709E-2</v>
      </c>
      <c r="DS25">
        <v>-0.408163353422069</v>
      </c>
      <c r="DT25" s="10">
        <v>-0.35666666666666669</v>
      </c>
      <c r="DU25">
        <v>-1.3483333333333334</v>
      </c>
      <c r="DV25">
        <v>-1.7050000000000001</v>
      </c>
      <c r="DW25">
        <v>5.0709497206703906</v>
      </c>
      <c r="DX25">
        <v>1.0014342702149059</v>
      </c>
      <c r="DY25">
        <v>5.0185486884454145</v>
      </c>
      <c r="DZ25">
        <v>4184</v>
      </c>
      <c r="EA25">
        <v>5.0033612691781713</v>
      </c>
      <c r="EB25">
        <v>5</v>
      </c>
      <c r="EC25">
        <v>0.1325294067981736</v>
      </c>
      <c r="ED25">
        <v>0.50693205712899592</v>
      </c>
      <c r="EE25" s="11">
        <v>-2.1206</v>
      </c>
      <c r="EF25">
        <v>-2.1166</v>
      </c>
      <c r="EG25">
        <v>74.261434270214906</v>
      </c>
      <c r="EH25" t="s">
        <v>1137</v>
      </c>
      <c r="EI25">
        <v>1</v>
      </c>
      <c r="EJ25">
        <v>0</v>
      </c>
      <c r="EK25" s="13">
        <v>45470</v>
      </c>
      <c r="EL25" s="14">
        <v>0</v>
      </c>
      <c r="EM25" s="14">
        <v>-3.95</v>
      </c>
      <c r="EN25" s="14">
        <v>1.7</v>
      </c>
      <c r="EO25" s="14">
        <v>3.77</v>
      </c>
      <c r="EP25" s="14">
        <v>-0.4</v>
      </c>
    </row>
    <row r="26" spans="1:146" ht="96" x14ac:dyDescent="0.25">
      <c r="A26" s="7"/>
      <c r="B26" s="7"/>
      <c r="C26" s="7" t="str">
        <f>""&amp;CHAR(10)&amp;Basic_Fundamental_Information_Constructure(F26)&amp;CHAR(10)&amp;Basic_Fundamental_Information_Concatenate("")</f>
        <v xml:space="preserve">
市值16.176亿, 利润-6408.71万; PE; 平均PE-91.33; 平均PEG-70.02, PB3.92; ROIC-9.13%; ROE-3.56%; 股利率0%; 毛利14.4433%; 净利-10.9967%; 上一年度营收增-4.26%, 利润增-58.35%; 当季营收增23.26%, 利润增39.13%; 过往5年营收增-1.3%, 利润增-938.21%
Income profile:
</v>
      </c>
      <c r="D26" t="s">
        <v>146</v>
      </c>
      <c r="E26" t="s">
        <v>8</v>
      </c>
      <c r="F26">
        <v>13.48</v>
      </c>
      <c r="G26">
        <v>1.74</v>
      </c>
      <c r="H26" t="s">
        <v>2130</v>
      </c>
      <c r="I26">
        <v>1617600000</v>
      </c>
      <c r="K26">
        <v>3.92</v>
      </c>
      <c r="L26" t="s">
        <v>1762</v>
      </c>
      <c r="M26" t="s">
        <v>742</v>
      </c>
      <c r="N26" t="s">
        <v>1945</v>
      </c>
      <c r="O26" t="s">
        <v>2131</v>
      </c>
      <c r="P26">
        <v>23.26</v>
      </c>
      <c r="Q26" t="s">
        <v>736</v>
      </c>
      <c r="R26">
        <v>4175021</v>
      </c>
      <c r="S26" s="5">
        <v>0.39129999999999998</v>
      </c>
      <c r="T26" t="s">
        <v>2132</v>
      </c>
      <c r="U26">
        <v>90177083</v>
      </c>
      <c r="V26">
        <v>120000000</v>
      </c>
      <c r="W26">
        <v>1.51</v>
      </c>
      <c r="X26">
        <v>0.11</v>
      </c>
      <c r="Y26">
        <v>6.32</v>
      </c>
      <c r="Z26" t="s">
        <v>2133</v>
      </c>
      <c r="AA26" t="s">
        <v>2134</v>
      </c>
      <c r="AB26" t="s">
        <v>2135</v>
      </c>
      <c r="AC26" t="s">
        <v>2136</v>
      </c>
      <c r="AD26" t="s">
        <v>41</v>
      </c>
      <c r="AE26">
        <v>1413853</v>
      </c>
      <c r="AF26" t="s">
        <v>2137</v>
      </c>
      <c r="AG26">
        <v>1000</v>
      </c>
      <c r="AH26" t="s">
        <v>2138</v>
      </c>
      <c r="AI26" t="s">
        <v>2139</v>
      </c>
      <c r="AJ26" t="s">
        <v>2140</v>
      </c>
      <c r="AK26" t="s">
        <v>41</v>
      </c>
      <c r="AL26" t="s">
        <v>2141</v>
      </c>
      <c r="AM26" t="s">
        <v>41</v>
      </c>
      <c r="AN26" t="s">
        <v>2142</v>
      </c>
      <c r="AO26" t="s">
        <v>372</v>
      </c>
      <c r="AP26" t="s">
        <v>41</v>
      </c>
      <c r="AQ26" t="s">
        <v>2143</v>
      </c>
      <c r="AR26" t="s">
        <v>41</v>
      </c>
      <c r="AS26" t="s">
        <v>1287</v>
      </c>
      <c r="AT26" t="s">
        <v>2144</v>
      </c>
      <c r="AU26" t="s">
        <v>2145</v>
      </c>
      <c r="AV26" t="s">
        <v>2146</v>
      </c>
      <c r="AW26">
        <v>-2480.64</v>
      </c>
      <c r="AX26" t="s">
        <v>245</v>
      </c>
      <c r="AY26" t="s">
        <v>297</v>
      </c>
      <c r="AZ26" t="s">
        <v>398</v>
      </c>
      <c r="BA26" t="s">
        <v>147</v>
      </c>
      <c r="BB26" t="s">
        <v>400</v>
      </c>
      <c r="BC26" t="s">
        <v>1150</v>
      </c>
      <c r="BD26" t="s">
        <v>731</v>
      </c>
      <c r="BE26" t="s">
        <v>399</v>
      </c>
      <c r="BF26" t="s">
        <v>148</v>
      </c>
      <c r="BG26" t="s">
        <v>401</v>
      </c>
      <c r="BH26" t="s">
        <v>736</v>
      </c>
      <c r="BI26" t="s">
        <v>2147</v>
      </c>
      <c r="BJ26" t="s">
        <v>245</v>
      </c>
      <c r="BK26" t="s">
        <v>2132</v>
      </c>
      <c r="BL26" t="s">
        <v>2148</v>
      </c>
      <c r="BM26" t="s">
        <v>1150</v>
      </c>
      <c r="BN26" t="s">
        <v>41</v>
      </c>
      <c r="BO26" t="s">
        <v>41</v>
      </c>
      <c r="BP26">
        <v>-9.1300000000000008</v>
      </c>
      <c r="BQ26">
        <v>-2.2799999999999998</v>
      </c>
      <c r="BR26">
        <v>-8.2100000000000009</v>
      </c>
      <c r="BS26">
        <v>-0.19</v>
      </c>
      <c r="BT26" t="s">
        <v>1081</v>
      </c>
      <c r="BU26" t="s">
        <v>950</v>
      </c>
      <c r="BV26">
        <v>14.99</v>
      </c>
      <c r="BW26">
        <v>12.26</v>
      </c>
      <c r="BX26">
        <v>16.079999999999998</v>
      </c>
      <c r="BY26">
        <v>-20.38</v>
      </c>
      <c r="BZ26">
        <v>-12.34</v>
      </c>
      <c r="CA26">
        <v>-0.27</v>
      </c>
      <c r="CB26">
        <v>-0.3</v>
      </c>
      <c r="CC26">
        <v>-17.3</v>
      </c>
      <c r="CD26" t="s">
        <v>2149</v>
      </c>
      <c r="CE26" t="s">
        <v>64</v>
      </c>
      <c r="CF26" s="8">
        <v>0.23258043100425932</v>
      </c>
      <c r="CG26" s="9">
        <v>0.39130265262596642</v>
      </c>
      <c r="CH26" s="8">
        <v>-4.2553190141916275E-2</v>
      </c>
      <c r="CI26" s="8">
        <v>-9.8630137741565704E-2</v>
      </c>
      <c r="CJ26" s="8">
        <v>0.45418328046798706</v>
      </c>
      <c r="CK26" s="8">
        <v>-0.35309278964996338</v>
      </c>
      <c r="CL26" s="8">
        <v>-2.5125628337264061E-2</v>
      </c>
      <c r="CM26" s="9">
        <v>-0.58346492052078247</v>
      </c>
      <c r="CN26" s="9">
        <v>-40.612892150878906</v>
      </c>
      <c r="CO26" s="9">
        <v>0.97626882791519165</v>
      </c>
      <c r="CP26" s="9">
        <v>-5.9495315551757812</v>
      </c>
      <c r="CQ26" s="9">
        <v>-0.74098169803619385</v>
      </c>
      <c r="CR26">
        <v>-91.331608757882222</v>
      </c>
      <c r="CS26">
        <v>-70.019746856900014</v>
      </c>
      <c r="CT26">
        <v>0</v>
      </c>
      <c r="CU26" s="8">
        <v>-1.3043693080544472E-2</v>
      </c>
      <c r="CV26" s="9">
        <v>-9.3821202993392951</v>
      </c>
      <c r="CW26">
        <v>0.06</v>
      </c>
      <c r="CX26" t="e">
        <v>#VALUE!</v>
      </c>
      <c r="CY26" t="s">
        <v>853</v>
      </c>
      <c r="CZ26">
        <v>-1.3043693080544472E-2</v>
      </c>
      <c r="DA26" t="e">
        <v>#VALUE!</v>
      </c>
      <c r="DB26" t="s">
        <v>853</v>
      </c>
      <c r="DC26">
        <v>-1.2391508426517248E-2</v>
      </c>
      <c r="DD26" t="e">
        <v>#VALUE!</v>
      </c>
      <c r="DE26" t="s">
        <v>853</v>
      </c>
      <c r="DF26">
        <v>-1.1478449910879136E-2</v>
      </c>
      <c r="DG26" t="e">
        <v>#VALUE!</v>
      </c>
      <c r="DH26" t="s">
        <v>853</v>
      </c>
      <c r="DI26">
        <v>-1.0434954464435578E-2</v>
      </c>
      <c r="DJ26" t="e">
        <v>#VALUE!</v>
      </c>
      <c r="DK26" t="s">
        <v>853</v>
      </c>
      <c r="DL26">
        <v>-9.1305851563811304E-3</v>
      </c>
      <c r="DM26">
        <v>-64087100</v>
      </c>
      <c r="DN26">
        <v>-1.3043693080544472E-2</v>
      </c>
      <c r="DO26">
        <v>1426600000</v>
      </c>
      <c r="DP26">
        <v>118767790</v>
      </c>
      <c r="DQ26">
        <v>1330</v>
      </c>
      <c r="DR26">
        <v>0.2456241240848038</v>
      </c>
      <c r="DS26">
        <v>9.7734229519652622</v>
      </c>
      <c r="DT26" s="10">
        <v>-0.42333333333333334</v>
      </c>
      <c r="DU26">
        <v>-1.86</v>
      </c>
      <c r="DV26">
        <v>-2.2833333333333332</v>
      </c>
      <c r="DW26">
        <v>-3.014702380952381</v>
      </c>
      <c r="DX26">
        <v>0.27412884615384658</v>
      </c>
      <c r="DY26">
        <v>-3.0016779657738097</v>
      </c>
      <c r="DZ26">
        <v>4571</v>
      </c>
      <c r="EA26">
        <v>-3.0001769909103881</v>
      </c>
      <c r="EB26">
        <v>3</v>
      </c>
      <c r="EC26">
        <v>9.8911666666666662E-2</v>
      </c>
      <c r="ED26">
        <v>0.8666666666666667</v>
      </c>
      <c r="EE26" s="11">
        <v>1.10141</v>
      </c>
      <c r="EF26">
        <v>1.14941</v>
      </c>
      <c r="EG26">
        <v>16.114128846153847</v>
      </c>
      <c r="EH26" t="s">
        <v>867</v>
      </c>
      <c r="EI26">
        <v>0</v>
      </c>
      <c r="EJ26">
        <v>0</v>
      </c>
      <c r="EK26" s="13">
        <v>45470</v>
      </c>
      <c r="EL26" s="14">
        <v>0.43</v>
      </c>
      <c r="EM26" s="14">
        <v>-0.71</v>
      </c>
      <c r="EN26" s="14">
        <v>2.44</v>
      </c>
      <c r="EO26" s="14">
        <v>2.25</v>
      </c>
      <c r="EP26" s="14">
        <v>-4.8</v>
      </c>
    </row>
    <row r="27" spans="1:146" ht="96" x14ac:dyDescent="0.25">
      <c r="A27" s="7"/>
      <c r="B27" s="7"/>
      <c r="C27" s="7" t="str">
        <f>""&amp;CHAR(10)&amp;Basic_Fundamental_Information_Constructure(F27)&amp;CHAR(10)&amp;Basic_Fundamental_Information_Concatenate("")</f>
        <v xml:space="preserve">
市值18.552亿, 利润6566.46万; PE17.06; 平均PE34.89; 平均PEG54.81, PB1.51; ROIC1.5567%; ROE1.87%; 股利率.4075%; 毛利30.0833%; 净利5.32%; 上一年度营收增-4.51%, 利润增276.69%; 当季营收增38.95%, 利润增152.21%; 过往5年营收增-.64%, 利润增31.01%
Income profile:
</v>
      </c>
      <c r="D27" t="s">
        <v>155</v>
      </c>
      <c r="E27" t="s">
        <v>23</v>
      </c>
      <c r="F27">
        <v>15.46</v>
      </c>
      <c r="G27">
        <v>5.67</v>
      </c>
      <c r="H27" t="s">
        <v>1733</v>
      </c>
      <c r="I27">
        <v>1855200000</v>
      </c>
      <c r="J27">
        <v>17.059999999999999</v>
      </c>
      <c r="K27">
        <v>1.51</v>
      </c>
      <c r="L27" t="s">
        <v>59</v>
      </c>
      <c r="M27" t="s">
        <v>1542</v>
      </c>
      <c r="N27" t="s">
        <v>732</v>
      </c>
      <c r="O27" t="s">
        <v>1327</v>
      </c>
      <c r="P27">
        <v>16.11</v>
      </c>
      <c r="Q27" t="s">
        <v>1153</v>
      </c>
      <c r="R27">
        <v>72653569</v>
      </c>
      <c r="S27" s="5">
        <v>1.4550000000000001</v>
      </c>
      <c r="T27" t="s">
        <v>1154</v>
      </c>
      <c r="U27">
        <v>120000000</v>
      </c>
      <c r="V27">
        <v>120000000</v>
      </c>
      <c r="W27">
        <v>1.84</v>
      </c>
      <c r="X27">
        <v>0.31</v>
      </c>
      <c r="Y27">
        <v>11.03</v>
      </c>
      <c r="Z27" t="s">
        <v>1227</v>
      </c>
      <c r="AA27" t="s">
        <v>451</v>
      </c>
      <c r="AB27" t="s">
        <v>1543</v>
      </c>
      <c r="AC27" t="s">
        <v>1544</v>
      </c>
      <c r="AD27" t="s">
        <v>1375</v>
      </c>
      <c r="AE27">
        <v>-11323247</v>
      </c>
      <c r="AF27" t="s">
        <v>1545</v>
      </c>
      <c r="AG27" t="s">
        <v>1546</v>
      </c>
      <c r="AH27" t="s">
        <v>1547</v>
      </c>
      <c r="AI27" t="s">
        <v>101</v>
      </c>
      <c r="AJ27" t="s">
        <v>1548</v>
      </c>
      <c r="AK27" t="s">
        <v>41</v>
      </c>
      <c r="AL27" t="s">
        <v>1549</v>
      </c>
      <c r="AM27" t="s">
        <v>41</v>
      </c>
      <c r="AN27" t="s">
        <v>1550</v>
      </c>
      <c r="AO27" t="s">
        <v>41</v>
      </c>
      <c r="AP27" t="s">
        <v>1551</v>
      </c>
      <c r="AQ27" t="s">
        <v>114</v>
      </c>
      <c r="AR27" t="s">
        <v>41</v>
      </c>
      <c r="AS27" t="s">
        <v>198</v>
      </c>
      <c r="AT27" t="s">
        <v>1270</v>
      </c>
      <c r="AU27" t="s">
        <v>259</v>
      </c>
      <c r="AV27" t="s">
        <v>1552</v>
      </c>
      <c r="AW27" t="s">
        <v>1553</v>
      </c>
      <c r="AX27" t="s">
        <v>733</v>
      </c>
      <c r="AY27" t="s">
        <v>352</v>
      </c>
      <c r="AZ27" t="s">
        <v>157</v>
      </c>
      <c r="BA27" t="s">
        <v>151</v>
      </c>
      <c r="BB27" t="s">
        <v>406</v>
      </c>
      <c r="BC27" t="s">
        <v>734</v>
      </c>
      <c r="BD27" t="s">
        <v>403</v>
      </c>
      <c r="BE27" t="s">
        <v>158</v>
      </c>
      <c r="BF27" t="s">
        <v>407</v>
      </c>
      <c r="BG27" t="s">
        <v>408</v>
      </c>
      <c r="BH27" t="s">
        <v>263</v>
      </c>
      <c r="BI27" t="s">
        <v>626</v>
      </c>
      <c r="BJ27" t="s">
        <v>1255</v>
      </c>
      <c r="BK27" t="s">
        <v>1554</v>
      </c>
      <c r="BL27" t="s">
        <v>1555</v>
      </c>
      <c r="BM27" t="s">
        <v>1279</v>
      </c>
      <c r="BN27">
        <v>0.25</v>
      </c>
      <c r="BO27">
        <v>0.99</v>
      </c>
      <c r="BP27">
        <v>3.43</v>
      </c>
      <c r="BQ27">
        <v>0.28999999999999998</v>
      </c>
      <c r="BR27">
        <v>1.6</v>
      </c>
      <c r="BS27">
        <v>3.72</v>
      </c>
      <c r="BT27" t="s">
        <v>1155</v>
      </c>
      <c r="BU27" t="s">
        <v>950</v>
      </c>
      <c r="BV27">
        <v>31.82</v>
      </c>
      <c r="BW27">
        <v>25.58</v>
      </c>
      <c r="BX27">
        <v>32.85</v>
      </c>
      <c r="BY27">
        <v>9.3800000000000008</v>
      </c>
      <c r="BZ27">
        <v>2.02</v>
      </c>
      <c r="CA27">
        <v>4.5599999999999996</v>
      </c>
      <c r="CB27">
        <v>11.79</v>
      </c>
      <c r="CC27">
        <v>32.590000000000003</v>
      </c>
      <c r="CD27" t="s">
        <v>1734</v>
      </c>
      <c r="CE27" t="s">
        <v>857</v>
      </c>
      <c r="CF27" s="8">
        <v>0.38947368421052631</v>
      </c>
      <c r="CG27" s="9">
        <v>1.5221053191338505</v>
      </c>
      <c r="CH27" s="8">
        <v>-4.51388880610466E-2</v>
      </c>
      <c r="CI27" s="8">
        <v>-4.6082949265837669E-3</v>
      </c>
      <c r="CJ27" s="8">
        <v>-7.46268630027771E-2</v>
      </c>
      <c r="CK27" s="8">
        <v>3.3039648085832596E-2</v>
      </c>
      <c r="CL27" s="8">
        <v>5.9509918093681335E-2</v>
      </c>
      <c r="CM27" s="9">
        <v>2.7669215202331543</v>
      </c>
      <c r="CN27" s="9">
        <v>-0.55937659740447998</v>
      </c>
      <c r="CO27" s="9">
        <v>-0.21749012172222137</v>
      </c>
      <c r="CP27" s="9">
        <v>-0.19348473846912384</v>
      </c>
      <c r="CQ27" s="9">
        <v>-0.24628351628780365</v>
      </c>
      <c r="CR27">
        <v>34.886093357407262</v>
      </c>
      <c r="CS27">
        <v>54.810154894449738</v>
      </c>
      <c r="CT27">
        <v>0.40750323415265199</v>
      </c>
      <c r="CU27" s="8">
        <v>-6.3648959621787071E-3</v>
      </c>
      <c r="CV27" s="9">
        <v>0.3100573092699051</v>
      </c>
      <c r="CW27">
        <v>0.06</v>
      </c>
      <c r="CX27">
        <v>25.252571400724285</v>
      </c>
      <c r="CY27" t="s">
        <v>1156</v>
      </c>
      <c r="CZ27">
        <v>-6.3648959621787071E-3</v>
      </c>
      <c r="DA27">
        <v>8.4175238002414297</v>
      </c>
      <c r="DB27" t="s">
        <v>1157</v>
      </c>
      <c r="DC27">
        <v>-6.0466511640697718E-3</v>
      </c>
      <c r="DD27">
        <v>4.2087619001207148</v>
      </c>
      <c r="DE27" t="s">
        <v>1158</v>
      </c>
      <c r="DF27">
        <v>-5.6011084467172626E-3</v>
      </c>
      <c r="DG27">
        <v>2.5252571400724286</v>
      </c>
      <c r="DH27" t="s">
        <v>1159</v>
      </c>
      <c r="DI27">
        <v>-5.0919167697429657E-3</v>
      </c>
      <c r="DJ27">
        <v>1.2626285700362143</v>
      </c>
      <c r="DK27" t="s">
        <v>1160</v>
      </c>
      <c r="DL27">
        <v>-4.455427173525095E-3</v>
      </c>
      <c r="DM27">
        <v>65664600</v>
      </c>
      <c r="DN27">
        <v>-6.3648959621787071E-3</v>
      </c>
      <c r="DO27">
        <v>1658200000</v>
      </c>
      <c r="DP27">
        <v>504923730</v>
      </c>
      <c r="DQ27">
        <v>1372</v>
      </c>
      <c r="DR27">
        <v>0.39583858017270501</v>
      </c>
      <c r="DS27">
        <v>1.2120480098639455</v>
      </c>
      <c r="DT27" s="10">
        <v>-0.44</v>
      </c>
      <c r="DU27">
        <v>0.40000000000000008</v>
      </c>
      <c r="DV27">
        <v>-3.9999999999999925E-2</v>
      </c>
      <c r="DW27">
        <v>9.3617674133169686</v>
      </c>
      <c r="DX27">
        <v>0.90901724137930673</v>
      </c>
      <c r="DY27">
        <v>9.0502919078202542</v>
      </c>
      <c r="DZ27">
        <v>2365</v>
      </c>
      <c r="EA27">
        <v>9.0270432053192966</v>
      </c>
      <c r="EB27">
        <v>9</v>
      </c>
      <c r="EC27">
        <v>0.16797916666666668</v>
      </c>
      <c r="ED27">
        <v>1.2083333333333333</v>
      </c>
      <c r="EE27" s="11">
        <v>8.7999999999999995E-2</v>
      </c>
      <c r="EF27">
        <v>0.1447</v>
      </c>
      <c r="EG27">
        <v>77.139017241379307</v>
      </c>
      <c r="EH27" t="s">
        <v>860</v>
      </c>
      <c r="EI27">
        <v>1</v>
      </c>
      <c r="EJ27">
        <v>0</v>
      </c>
      <c r="EK27" s="13">
        <v>45385</v>
      </c>
      <c r="EL27" s="14">
        <v>1.88</v>
      </c>
      <c r="EM27" s="14">
        <v>2.41</v>
      </c>
      <c r="EN27" s="14">
        <v>5.12</v>
      </c>
      <c r="EO27" s="14">
        <v>-1.91</v>
      </c>
      <c r="EP27" s="14">
        <v>0.8</v>
      </c>
    </row>
    <row r="28" spans="1:146" ht="144" x14ac:dyDescent="0.25">
      <c r="A28" s="7" t="s">
        <v>1036</v>
      </c>
      <c r="B28" s="7"/>
      <c r="C28" s="7" t="str">
        <f>"公司主要从事高品质建筑陶瓷产品的研发、生产和销售。主要产品可分为陶瓷砖、陶瓷板、岩板、瓷艺,其中,陶瓷砖产品可分为瓷质有釉砖、瓷质无釉砖和非瓷质有釉砖三类。"&amp;CHAR(10)&amp;Basic_Fundamental_Information_Constructure(F28)&amp;CHAR(10)&amp;Basic_Fundamental_Information_Concatenate("瓷质有釉砖 20.35亿 69.59% 72.67% 21.23%
陶瓷板、薄型陶瓷砖 3.58亿 12.25% 18.22% 30.22%
非瓷质有釉砖 3.56亿 12.19% 6.67% 11.13%")</f>
        <v>公司主要从事高品质建筑陶瓷产品的研发、生产和销售。主要产品可分为陶瓷砖、陶瓷板、岩板、瓷艺,其中,陶瓷砖产品可分为瓷质有釉砖、瓷质无釉砖和非瓷质有釉砖三类。
市值36.079089亿, 利润2.66亿; PE13.41; 平均PE13.87; 平均PEG.93, PB1.1; ROIC6.495%; ROE2.5567%; 股利率3.4522%; 毛利27.4233%; 净利1.4767%; 上一年度营收增-4.94%, 利润增169.82%; 当季营收增-25.7%, 利润增39.63%; 过往5年营收增14.86%, 利润增-9.03%
Income profile:
瓷质有釉砖 20.35亿 69.59% 72.67% 21.23%
陶瓷板、薄型陶瓷砖 3.58亿 12.25% 18.22% 30.22%
非瓷质有釉砖 3.56亿 12.19% 6.67% 11.13%</v>
      </c>
      <c r="D28" t="s">
        <v>632</v>
      </c>
      <c r="E28" t="s">
        <v>633</v>
      </c>
      <c r="F28">
        <v>8.69</v>
      </c>
      <c r="G28">
        <v>0</v>
      </c>
      <c r="H28" t="s">
        <v>2150</v>
      </c>
      <c r="I28">
        <v>3607908900</v>
      </c>
      <c r="J28">
        <v>13.41</v>
      </c>
      <c r="K28">
        <v>1.1000000000000001</v>
      </c>
      <c r="L28" t="s">
        <v>1762</v>
      </c>
      <c r="M28" t="s">
        <v>2151</v>
      </c>
      <c r="N28" t="s">
        <v>2152</v>
      </c>
      <c r="O28" t="s">
        <v>2153</v>
      </c>
      <c r="P28">
        <v>-25.72</v>
      </c>
      <c r="Q28" t="s">
        <v>2154</v>
      </c>
      <c r="R28">
        <v>9635007</v>
      </c>
      <c r="S28" s="5">
        <v>0.39629999999999999</v>
      </c>
      <c r="T28" t="s">
        <v>306</v>
      </c>
      <c r="U28">
        <v>219461940</v>
      </c>
      <c r="V28">
        <v>415179390</v>
      </c>
      <c r="W28">
        <v>2.5</v>
      </c>
      <c r="X28">
        <v>0.09</v>
      </c>
      <c r="Y28">
        <v>0.92</v>
      </c>
      <c r="Z28" t="s">
        <v>1003</v>
      </c>
      <c r="AA28" t="s">
        <v>1449</v>
      </c>
      <c r="AB28" t="s">
        <v>2155</v>
      </c>
      <c r="AC28" t="s">
        <v>2156</v>
      </c>
      <c r="AD28" t="s">
        <v>41</v>
      </c>
      <c r="AE28">
        <v>17630536</v>
      </c>
      <c r="AF28" t="s">
        <v>2157</v>
      </c>
      <c r="AG28" t="s">
        <v>2158</v>
      </c>
      <c r="AH28" t="s">
        <v>2159</v>
      </c>
      <c r="AI28" t="s">
        <v>2160</v>
      </c>
      <c r="AJ28" t="s">
        <v>2161</v>
      </c>
      <c r="AK28" t="s">
        <v>2162</v>
      </c>
      <c r="AL28" t="s">
        <v>2163</v>
      </c>
      <c r="AM28" t="s">
        <v>41</v>
      </c>
      <c r="AN28" t="s">
        <v>2164</v>
      </c>
      <c r="AO28" t="s">
        <v>1165</v>
      </c>
      <c r="AP28" t="s">
        <v>871</v>
      </c>
      <c r="AQ28" t="s">
        <v>1541</v>
      </c>
      <c r="AR28" t="s">
        <v>41</v>
      </c>
      <c r="AS28" t="s">
        <v>2165</v>
      </c>
      <c r="AT28" t="s">
        <v>643</v>
      </c>
      <c r="AU28" t="s">
        <v>2166</v>
      </c>
      <c r="AV28" t="s">
        <v>2167</v>
      </c>
      <c r="AW28" t="s">
        <v>2168</v>
      </c>
      <c r="AX28" t="s">
        <v>1162</v>
      </c>
      <c r="AY28" t="s">
        <v>735</v>
      </c>
      <c r="AZ28" t="s">
        <v>634</v>
      </c>
      <c r="BA28" t="s">
        <v>636</v>
      </c>
      <c r="BB28" t="s">
        <v>637</v>
      </c>
      <c r="BC28" t="s">
        <v>1163</v>
      </c>
      <c r="BD28" t="s">
        <v>736</v>
      </c>
      <c r="BE28" t="s">
        <v>616</v>
      </c>
      <c r="BF28" t="s">
        <v>638</v>
      </c>
      <c r="BG28" t="s">
        <v>90</v>
      </c>
      <c r="BH28" t="s">
        <v>2154</v>
      </c>
      <c r="BI28" t="s">
        <v>2169</v>
      </c>
      <c r="BJ28" t="s">
        <v>1162</v>
      </c>
      <c r="BK28" t="s">
        <v>306</v>
      </c>
      <c r="BL28" t="s">
        <v>2170</v>
      </c>
      <c r="BM28" t="s">
        <v>1163</v>
      </c>
      <c r="BN28">
        <v>6.52</v>
      </c>
      <c r="BO28" t="s">
        <v>41</v>
      </c>
      <c r="BP28">
        <v>6.47</v>
      </c>
      <c r="BQ28">
        <v>9.81</v>
      </c>
      <c r="BR28">
        <v>-10.88</v>
      </c>
      <c r="BS28">
        <v>8.74</v>
      </c>
      <c r="BT28" t="s">
        <v>1082</v>
      </c>
      <c r="BU28" t="s">
        <v>949</v>
      </c>
      <c r="BV28">
        <v>29.51</v>
      </c>
      <c r="BW28">
        <v>23.65</v>
      </c>
      <c r="BX28">
        <v>29.11</v>
      </c>
      <c r="BY28">
        <v>5.36</v>
      </c>
      <c r="BZ28">
        <v>-5.57</v>
      </c>
      <c r="CA28">
        <v>4.6399999999999997</v>
      </c>
      <c r="CB28">
        <v>-0.8</v>
      </c>
      <c r="CC28">
        <v>-27.34</v>
      </c>
      <c r="CD28" t="s">
        <v>2171</v>
      </c>
      <c r="CE28" t="s">
        <v>975</v>
      </c>
      <c r="CF28" s="8">
        <v>-0.25703905540417804</v>
      </c>
      <c r="CG28" s="9">
        <v>0.39625641248587096</v>
      </c>
      <c r="CH28" s="8">
        <v>-4.9446180462837219E-2</v>
      </c>
      <c r="CI28" s="8">
        <v>-0.10848713666200638</v>
      </c>
      <c r="CJ28" s="8">
        <v>0.43647199869155884</v>
      </c>
      <c r="CK28" s="8">
        <v>0.27865403890609741</v>
      </c>
      <c r="CL28" s="8">
        <v>0.18578553199768066</v>
      </c>
      <c r="CM28" s="9">
        <v>1.6981626749038696</v>
      </c>
      <c r="CN28" s="9">
        <v>-2.2095239162445068</v>
      </c>
      <c r="CO28" s="9">
        <v>-0.44346290826797485</v>
      </c>
      <c r="CP28" s="9">
        <v>0.30715936422348022</v>
      </c>
      <c r="CQ28" s="9">
        <v>0.1961326003074646</v>
      </c>
      <c r="CR28">
        <v>13.867683151825753</v>
      </c>
      <c r="CS28">
        <v>0.93324960089437436</v>
      </c>
      <c r="CT28">
        <v>3.4522439585730726</v>
      </c>
      <c r="CU28" s="8">
        <v>0.14859565049409867</v>
      </c>
      <c r="CV28" s="9">
        <v>-9.0306437015533453E-2</v>
      </c>
      <c r="CW28">
        <v>0.06</v>
      </c>
      <c r="CX28">
        <v>19.837835880465811</v>
      </c>
      <c r="CY28">
        <v>288232493.42587757</v>
      </c>
      <c r="CZ28">
        <v>0.14859565049409867</v>
      </c>
      <c r="DA28">
        <v>6.1710749751448279</v>
      </c>
      <c r="DB28">
        <v>926566104.45181108</v>
      </c>
      <c r="DC28">
        <v>0.14116586796939373</v>
      </c>
      <c r="DD28">
        <v>2.8400831257998616</v>
      </c>
      <c r="DE28">
        <v>2013289275.9572477</v>
      </c>
      <c r="DF28">
        <v>0.13076417243480684</v>
      </c>
      <c r="DG28">
        <v>1.5776621400288158</v>
      </c>
      <c r="DH28">
        <v>3624292397.5443583</v>
      </c>
      <c r="DI28">
        <v>0.11887652039527895</v>
      </c>
      <c r="DJ28">
        <v>0.68218977158848615</v>
      </c>
      <c r="DK28">
        <v>8381698375.0515461</v>
      </c>
      <c r="DL28">
        <v>0.10401695534586906</v>
      </c>
      <c r="DM28">
        <v>266000000</v>
      </c>
      <c r="DN28">
        <v>0.14859565049409867</v>
      </c>
      <c r="DO28">
        <v>5717908900</v>
      </c>
      <c r="DP28">
        <v>1415653900.0000005</v>
      </c>
      <c r="DQ28">
        <v>1382</v>
      </c>
      <c r="DR28">
        <v>-0.40563470589827672</v>
      </c>
      <c r="DS28">
        <v>0.48656284950140438</v>
      </c>
      <c r="DT28" s="10">
        <v>-9.000000000000008E-2</v>
      </c>
      <c r="DU28">
        <v>-0.3</v>
      </c>
      <c r="DV28">
        <v>-0.39000000000000007</v>
      </c>
      <c r="DW28">
        <v>-3.12825</v>
      </c>
      <c r="DX28">
        <v>0.25453359375000006</v>
      </c>
      <c r="DY28">
        <v>-3.0146889333984377</v>
      </c>
      <c r="DZ28">
        <v>2658</v>
      </c>
      <c r="EA28">
        <v>-3.0070483883939274</v>
      </c>
      <c r="EB28">
        <v>3</v>
      </c>
      <c r="EC28">
        <v>3.5310760488375878E-2</v>
      </c>
      <c r="ED28">
        <v>0.30830046741963757</v>
      </c>
      <c r="EE28" s="11">
        <v>-1.0891</v>
      </c>
      <c r="EF28">
        <v>-1.0717000000000001</v>
      </c>
      <c r="EG28">
        <v>14.11453359375</v>
      </c>
      <c r="EH28" t="s">
        <v>1093</v>
      </c>
      <c r="EI28">
        <v>0</v>
      </c>
      <c r="EJ28">
        <v>0</v>
      </c>
      <c r="EK28" s="13">
        <v>45470</v>
      </c>
      <c r="EL28" s="14">
        <v>0.87</v>
      </c>
      <c r="EM28" s="14">
        <v>-3.01</v>
      </c>
      <c r="EN28" s="14">
        <v>0.89</v>
      </c>
      <c r="EO28" s="14">
        <v>1.1000000000000001</v>
      </c>
      <c r="EP28" s="14">
        <v>-1.74</v>
      </c>
    </row>
    <row r="29" spans="1:146" ht="96" x14ac:dyDescent="0.25">
      <c r="A29" s="7"/>
      <c r="B29" s="7"/>
      <c r="C29" s="7" t="str">
        <f>""&amp;CHAR(10)&amp;Basic_Fundamental_Information_Constructure(F29)&amp;CHAR(10)&amp;Basic_Fundamental_Information_Concatenate("")</f>
        <v xml:space="preserve">
市值13.1219928亿, 利润4564.61万; PE; 平均PE10.22; 平均PEG.58, PB.911; ROIC8.16%; ROE10.85%; 股利率4.6948%; 毛利21.08%; 净利6.49%; 上一年度营收增-15.58%, 利润增-78.47%; 当季营收增-30.48%, 利润增-83.67%; 过往5年营收增17.74%, 利润增16.41%
Income profile:
</v>
      </c>
      <c r="D29" t="s">
        <v>409</v>
      </c>
      <c r="E29" t="s">
        <v>410</v>
      </c>
      <c r="F29">
        <v>12.78</v>
      </c>
      <c r="G29">
        <v>1.75</v>
      </c>
      <c r="H29" t="s">
        <v>2172</v>
      </c>
      <c r="I29">
        <v>1312199280</v>
      </c>
      <c r="K29">
        <v>0.91100000000000003</v>
      </c>
      <c r="L29" t="s">
        <v>1762</v>
      </c>
      <c r="M29" t="s">
        <v>81</v>
      </c>
      <c r="N29" t="s">
        <v>1872</v>
      </c>
      <c r="O29" t="s">
        <v>452</v>
      </c>
      <c r="P29">
        <v>-30.45</v>
      </c>
      <c r="Q29" t="s">
        <v>2173</v>
      </c>
      <c r="R29">
        <v>10981595</v>
      </c>
      <c r="S29" s="5">
        <v>-0.8367</v>
      </c>
      <c r="T29" t="s">
        <v>2174</v>
      </c>
      <c r="U29">
        <v>76520771</v>
      </c>
      <c r="V29">
        <v>102676000</v>
      </c>
      <c r="W29">
        <v>1.63</v>
      </c>
      <c r="X29">
        <v>0.13</v>
      </c>
      <c r="Y29">
        <v>3.64</v>
      </c>
      <c r="Z29" t="s">
        <v>1455</v>
      </c>
      <c r="AA29" t="s">
        <v>1521</v>
      </c>
      <c r="AB29" t="s">
        <v>2175</v>
      </c>
      <c r="AC29" t="s">
        <v>2176</v>
      </c>
      <c r="AD29" t="s">
        <v>41</v>
      </c>
      <c r="AE29">
        <v>4071920</v>
      </c>
      <c r="AF29" t="s">
        <v>2177</v>
      </c>
      <c r="AG29">
        <v>4572.96</v>
      </c>
      <c r="AH29" t="s">
        <v>2178</v>
      </c>
      <c r="AI29" t="s">
        <v>106</v>
      </c>
      <c r="AJ29" t="s">
        <v>2179</v>
      </c>
      <c r="AK29" t="s">
        <v>41</v>
      </c>
      <c r="AL29" t="s">
        <v>2180</v>
      </c>
      <c r="AM29" t="s">
        <v>41</v>
      </c>
      <c r="AN29" t="s">
        <v>2181</v>
      </c>
      <c r="AO29" t="s">
        <v>1449</v>
      </c>
      <c r="AP29" t="s">
        <v>1704</v>
      </c>
      <c r="AQ29" t="s">
        <v>965</v>
      </c>
      <c r="AR29">
        <v>825.93</v>
      </c>
      <c r="AS29" t="s">
        <v>1497</v>
      </c>
      <c r="AT29" t="s">
        <v>41</v>
      </c>
      <c r="AU29" t="s">
        <v>2182</v>
      </c>
      <c r="AV29" t="s">
        <v>2183</v>
      </c>
      <c r="AW29" t="s">
        <v>2184</v>
      </c>
      <c r="AX29" t="s">
        <v>1164</v>
      </c>
      <c r="AY29" t="s">
        <v>119</v>
      </c>
      <c r="AZ29" t="s">
        <v>411</v>
      </c>
      <c r="BA29" t="s">
        <v>413</v>
      </c>
      <c r="BB29" t="s">
        <v>208</v>
      </c>
      <c r="BC29" t="s">
        <v>68</v>
      </c>
      <c r="BD29" t="s">
        <v>737</v>
      </c>
      <c r="BE29" t="s">
        <v>114</v>
      </c>
      <c r="BF29" t="s">
        <v>91</v>
      </c>
      <c r="BG29" t="s">
        <v>414</v>
      </c>
      <c r="BH29" t="s">
        <v>2173</v>
      </c>
      <c r="BI29" t="s">
        <v>638</v>
      </c>
      <c r="BJ29" t="s">
        <v>1164</v>
      </c>
      <c r="BK29" t="s">
        <v>2174</v>
      </c>
      <c r="BL29" t="s">
        <v>2185</v>
      </c>
      <c r="BM29" t="s">
        <v>68</v>
      </c>
      <c r="BN29">
        <v>6.25</v>
      </c>
      <c r="BO29">
        <v>11.76</v>
      </c>
      <c r="BP29">
        <v>6.47</v>
      </c>
      <c r="BQ29">
        <v>9.27</v>
      </c>
      <c r="BR29">
        <v>15.46</v>
      </c>
      <c r="BS29">
        <v>7.82</v>
      </c>
      <c r="BT29" t="s">
        <v>1086</v>
      </c>
      <c r="BU29" t="s">
        <v>949</v>
      </c>
      <c r="BV29">
        <v>24.44</v>
      </c>
      <c r="BW29">
        <v>22.05</v>
      </c>
      <c r="BX29">
        <v>16.75</v>
      </c>
      <c r="BY29">
        <v>2.85</v>
      </c>
      <c r="BZ29">
        <v>11.23</v>
      </c>
      <c r="CA29">
        <v>5.39</v>
      </c>
      <c r="CB29">
        <v>-4.7</v>
      </c>
      <c r="CC29">
        <v>-13.88</v>
      </c>
      <c r="CD29" t="s">
        <v>2186</v>
      </c>
      <c r="CE29" t="s">
        <v>2187</v>
      </c>
      <c r="CF29" s="8">
        <v>-0.30484988452655887</v>
      </c>
      <c r="CG29" s="9">
        <v>-0.83668742229651349</v>
      </c>
      <c r="CH29" s="8">
        <v>-0.15575498342514038</v>
      </c>
      <c r="CI29" s="8">
        <v>5.3392659872770309E-2</v>
      </c>
      <c r="CJ29" s="8">
        <v>0.46895423531532288</v>
      </c>
      <c r="CK29" s="8">
        <v>0.42491269111633301</v>
      </c>
      <c r="CL29" s="8">
        <v>9.5663264393806458E-2</v>
      </c>
      <c r="CM29" s="9">
        <v>-0.78468823432922363</v>
      </c>
      <c r="CN29" s="9">
        <v>1.1862092018127441</v>
      </c>
      <c r="CO29" s="9">
        <v>-0.48419412970542908</v>
      </c>
      <c r="CP29" s="9">
        <v>0.36231884360313416</v>
      </c>
      <c r="CQ29" s="9">
        <v>0.54063594341278076</v>
      </c>
      <c r="CR29">
        <v>10.222393769857087</v>
      </c>
      <c r="CS29">
        <v>0.5761251138004968</v>
      </c>
      <c r="CT29">
        <v>4.694835680751174</v>
      </c>
      <c r="CU29" s="8">
        <v>0.17743357345461847</v>
      </c>
      <c r="CV29" s="9">
        <v>0.16405632495880126</v>
      </c>
      <c r="CW29">
        <v>0.06</v>
      </c>
      <c r="CX29">
        <v>15.604564623957062</v>
      </c>
      <c r="CY29">
        <v>50703066.638930991</v>
      </c>
      <c r="CZ29">
        <v>0.17743357345461847</v>
      </c>
      <c r="DA29">
        <v>4.7390797799401074</v>
      </c>
      <c r="DB29">
        <v>166952091.27920595</v>
      </c>
      <c r="DC29">
        <v>0.16856189478188754</v>
      </c>
      <c r="DD29">
        <v>2.1086286453401013</v>
      </c>
      <c r="DE29">
        <v>375219829.12851268</v>
      </c>
      <c r="DF29">
        <v>0.15614154464006424</v>
      </c>
      <c r="DG29">
        <v>1.1249263528722828</v>
      </c>
      <c r="DH29">
        <v>703334292.04483032</v>
      </c>
      <c r="DI29">
        <v>0.14194685876369478</v>
      </c>
      <c r="DJ29">
        <v>0.44157668643705317</v>
      </c>
      <c r="DK29">
        <v>1791759629.3045819</v>
      </c>
      <c r="DL29">
        <v>0.12420350141823291</v>
      </c>
      <c r="DM29">
        <v>45646100</v>
      </c>
      <c r="DN29">
        <v>0.17743357345461847</v>
      </c>
      <c r="DO29">
        <v>791199280</v>
      </c>
      <c r="DP29">
        <v>119630120.00000012</v>
      </c>
      <c r="DQ29">
        <v>1468</v>
      </c>
      <c r="DR29">
        <v>-0.48228345798117733</v>
      </c>
      <c r="DS29">
        <v>-1.0007437472553147</v>
      </c>
      <c r="DT29" s="10">
        <v>-0.35666666666666669</v>
      </c>
      <c r="DU29">
        <v>-0.39000000000000007</v>
      </c>
      <c r="DV29">
        <v>-0.74666666666666681</v>
      </c>
      <c r="DW29">
        <v>-8.3386167146974071</v>
      </c>
      <c r="DX29">
        <v>0.33144518944131535</v>
      </c>
      <c r="DY29">
        <v>-8.0445095382113969</v>
      </c>
      <c r="DZ29">
        <v>3273</v>
      </c>
      <c r="EA29">
        <v>-8.0160007870243319</v>
      </c>
      <c r="EB29">
        <v>8</v>
      </c>
      <c r="EC29">
        <v>5.4453815886867429E-2</v>
      </c>
      <c r="ED29">
        <v>0.41427013128676621</v>
      </c>
      <c r="EE29" s="11">
        <v>-3.0383100000000001</v>
      </c>
      <c r="EF29">
        <v>-3.0398100000000001</v>
      </c>
      <c r="EG29">
        <v>20.131445189441315</v>
      </c>
      <c r="EH29" t="s">
        <v>1520</v>
      </c>
      <c r="EI29">
        <v>0</v>
      </c>
      <c r="EJ29">
        <v>0</v>
      </c>
      <c r="EK29" s="13">
        <v>45470</v>
      </c>
      <c r="EL29" s="14">
        <v>-0.45</v>
      </c>
      <c r="EM29" s="14">
        <v>-3.7</v>
      </c>
      <c r="EN29" s="14">
        <v>2.12</v>
      </c>
      <c r="EO29" s="14">
        <v>3.07</v>
      </c>
      <c r="EP29" s="14">
        <v>-0.15</v>
      </c>
    </row>
    <row r="30" spans="1:146" ht="156" x14ac:dyDescent="0.25">
      <c r="A30" s="7" t="s">
        <v>1415</v>
      </c>
      <c r="B30" s="7" t="s">
        <v>1037</v>
      </c>
      <c r="C30" s="7" t="str">
        <f>"公司主营业务为生产销售瓷砖、卫浴（卫生陶瓷和卫浴产品）、木地板、涂料、硅藻泥、集成墙板、辅材（防水、瓷砖胶、美缝剂）和整装家居等产品和服务，为用户提供装修一站式硬装产品解决方案。"&amp;CHAR(10)&amp;Basic_Fundamental_Information_Constructure(F30)&amp;CHAR(10)&amp;Basic_Fundamental_Information_Concatenate("瓷砖 25.93亿 82.78% 84.79% 28.46%
洁具 4.28亿 13.67% 10.51% 21.36%
其他 1.11亿 3.55% 4.70% 36.82%")</f>
        <v>公司主营业务为生产销售瓷砖、卫浴（卫生陶瓷和卫浴产品）、木地板、涂料、硅藻泥、集成墙板、辅材（防水、瓷砖胶、美缝剂）和整装家居等产品和服务，为用户提供装修一站式硬装产品解决方案。
市值70.8492亿, 利润7.20亿; PE10.01; 平均PE12.09; 平均PEG3.27, PB.911; ROIC3.18%; ROE4.44%; 股利率4.9669%; 毛利30.44%; 净利4.6733%; 上一年度营收增12.16%, 利润增256.44%; 当季营收增-11.54%, 利润增-1077.8%; 过往5年营收增3.7%, 利润增42.6%
Income profile:
瓷砖 25.93亿 82.78% 84.79% 28.46%
洁具 4.28亿 13.67% 10.51% 21.36%
其他 1.11亿 3.55% 4.70% 36.82%</v>
      </c>
      <c r="D30" t="s">
        <v>640</v>
      </c>
      <c r="E30" t="s">
        <v>641</v>
      </c>
      <c r="F30">
        <v>6.04</v>
      </c>
      <c r="G30">
        <v>1.17</v>
      </c>
      <c r="H30" t="s">
        <v>2188</v>
      </c>
      <c r="I30">
        <v>7084920000</v>
      </c>
      <c r="J30">
        <v>10.01</v>
      </c>
      <c r="K30">
        <v>0.91100000000000003</v>
      </c>
      <c r="L30" t="s">
        <v>1762</v>
      </c>
      <c r="M30" t="s">
        <v>2189</v>
      </c>
      <c r="N30" t="s">
        <v>2190</v>
      </c>
      <c r="O30" t="s">
        <v>2191</v>
      </c>
      <c r="P30">
        <v>-11.58</v>
      </c>
      <c r="Q30" t="s">
        <v>2192</v>
      </c>
      <c r="R30">
        <v>-11515577</v>
      </c>
      <c r="S30" s="5">
        <v>-10.78</v>
      </c>
      <c r="T30" t="s">
        <v>69</v>
      </c>
      <c r="U30">
        <v>1166679080</v>
      </c>
      <c r="V30">
        <v>1173000000</v>
      </c>
      <c r="W30">
        <v>1.52</v>
      </c>
      <c r="X30">
        <v>0.08</v>
      </c>
      <c r="Y30">
        <v>-1.18</v>
      </c>
      <c r="Z30" t="s">
        <v>2193</v>
      </c>
      <c r="AA30" t="s">
        <v>2194</v>
      </c>
      <c r="AB30" t="s">
        <v>573</v>
      </c>
      <c r="AC30" t="s">
        <v>2195</v>
      </c>
      <c r="AD30" t="s">
        <v>41</v>
      </c>
      <c r="AE30">
        <v>-12698735</v>
      </c>
      <c r="AF30" t="s">
        <v>2196</v>
      </c>
      <c r="AG30" t="s">
        <v>2197</v>
      </c>
      <c r="AH30" t="s">
        <v>2198</v>
      </c>
      <c r="AI30" t="s">
        <v>2199</v>
      </c>
      <c r="AJ30" t="s">
        <v>2200</v>
      </c>
      <c r="AK30" t="s">
        <v>2201</v>
      </c>
      <c r="AL30" t="s">
        <v>2202</v>
      </c>
      <c r="AM30" t="s">
        <v>41</v>
      </c>
      <c r="AN30" t="s">
        <v>175</v>
      </c>
      <c r="AO30" t="s">
        <v>2203</v>
      </c>
      <c r="AP30" t="s">
        <v>2204</v>
      </c>
      <c r="AQ30" t="s">
        <v>2205</v>
      </c>
      <c r="AR30" t="s">
        <v>41</v>
      </c>
      <c r="AS30" t="s">
        <v>2206</v>
      </c>
      <c r="AT30" t="s">
        <v>41</v>
      </c>
      <c r="AU30" t="s">
        <v>2207</v>
      </c>
      <c r="AV30" t="s">
        <v>2208</v>
      </c>
      <c r="AW30" t="s">
        <v>1123</v>
      </c>
      <c r="AX30" t="s">
        <v>1166</v>
      </c>
      <c r="AY30" t="s">
        <v>738</v>
      </c>
      <c r="AZ30" t="s">
        <v>642</v>
      </c>
      <c r="BA30" t="s">
        <v>644</v>
      </c>
      <c r="BB30" t="s">
        <v>645</v>
      </c>
      <c r="BC30" t="s">
        <v>99</v>
      </c>
      <c r="BD30" t="s">
        <v>241</v>
      </c>
      <c r="BE30" t="s">
        <v>643</v>
      </c>
      <c r="BF30" t="s">
        <v>646</v>
      </c>
      <c r="BG30" t="s">
        <v>646</v>
      </c>
      <c r="BH30" t="s">
        <v>2192</v>
      </c>
      <c r="BI30" t="s">
        <v>2209</v>
      </c>
      <c r="BJ30" t="s">
        <v>1166</v>
      </c>
      <c r="BK30" t="s">
        <v>69</v>
      </c>
      <c r="BL30" t="s">
        <v>2210</v>
      </c>
      <c r="BM30" t="s">
        <v>99</v>
      </c>
      <c r="BN30">
        <v>7.19</v>
      </c>
      <c r="BO30">
        <v>2.13</v>
      </c>
      <c r="BP30">
        <v>0.22</v>
      </c>
      <c r="BQ30">
        <v>8.4499999999999993</v>
      </c>
      <c r="BR30">
        <v>2.8</v>
      </c>
      <c r="BS30">
        <v>2.0699999999999998</v>
      </c>
      <c r="BT30" t="s">
        <v>1082</v>
      </c>
      <c r="BU30" t="s">
        <v>949</v>
      </c>
      <c r="BV30">
        <v>32.020000000000003</v>
      </c>
      <c r="BW30">
        <v>29.73</v>
      </c>
      <c r="BX30">
        <v>29.57</v>
      </c>
      <c r="BY30">
        <v>9.26</v>
      </c>
      <c r="BZ30">
        <v>2.87</v>
      </c>
      <c r="CA30">
        <v>1.89</v>
      </c>
      <c r="CB30">
        <v>-1.1499999999999999</v>
      </c>
      <c r="CC30">
        <v>-16.8</v>
      </c>
      <c r="CD30" t="s">
        <v>2211</v>
      </c>
      <c r="CE30" t="s">
        <v>137</v>
      </c>
      <c r="CF30" s="8">
        <v>-0.11538461538461549</v>
      </c>
      <c r="CG30" s="9">
        <v>-10.778022416574679</v>
      </c>
      <c r="CH30" s="8">
        <v>0.12164507061243057</v>
      </c>
      <c r="CI30" s="8">
        <v>-0.13147009909152985</v>
      </c>
      <c r="CJ30" s="8">
        <v>0.11469679325819016</v>
      </c>
      <c r="CK30" s="8">
        <v>6.0130350291728973E-2</v>
      </c>
      <c r="CL30" s="8">
        <v>2.0093699917197227E-2</v>
      </c>
      <c r="CM30" s="9">
        <v>2.5643563270568848</v>
      </c>
      <c r="CN30" s="9">
        <v>0.31168830394744873</v>
      </c>
      <c r="CO30" s="9">
        <v>-0.81924885511398315</v>
      </c>
      <c r="CP30" s="9">
        <v>7.3047861456871033E-2</v>
      </c>
      <c r="CQ30" s="9">
        <v>0</v>
      </c>
      <c r="CR30">
        <v>12.090307167235494</v>
      </c>
      <c r="CS30">
        <v>3.2659590839528727</v>
      </c>
      <c r="CT30">
        <v>4.9668874172185431</v>
      </c>
      <c r="CU30" s="8">
        <v>3.7019162997603418E-2</v>
      </c>
      <c r="CV30" s="9">
        <v>0.42596872746944425</v>
      </c>
      <c r="CW30">
        <v>0.06</v>
      </c>
      <c r="CX30">
        <v>5.7821914457208461</v>
      </c>
      <c r="CY30">
        <v>704390374.86629653</v>
      </c>
      <c r="CZ30">
        <v>3.7019162997603418E-2</v>
      </c>
      <c r="DA30">
        <v>1.976790601040632</v>
      </c>
      <c r="DB30">
        <v>2060369974.3695226</v>
      </c>
      <c r="DC30">
        <v>3.5168204847723247E-2</v>
      </c>
      <c r="DD30">
        <v>1.0323554532255574</v>
      </c>
      <c r="DE30">
        <v>3945269032.361197</v>
      </c>
      <c r="DF30">
        <v>3.2576863437891006E-2</v>
      </c>
      <c r="DG30">
        <v>0.66149854404573216</v>
      </c>
      <c r="DH30">
        <v>6157111057.4030561</v>
      </c>
      <c r="DI30">
        <v>2.9615330398082736E-2</v>
      </c>
      <c r="DJ30">
        <v>0.39165734604428887</v>
      </c>
      <c r="DK30">
        <v>10399192153.897278</v>
      </c>
      <c r="DL30">
        <v>2.5913414098322391E-2</v>
      </c>
      <c r="DM30">
        <v>720000000</v>
      </c>
      <c r="DN30">
        <v>3.7019162997603418E-2</v>
      </c>
      <c r="DO30">
        <v>4072920000</v>
      </c>
      <c r="DP30">
        <v>2257884900.0000005</v>
      </c>
      <c r="DQ30">
        <v>1469</v>
      </c>
      <c r="DR30">
        <v>-0.15240377838221891</v>
      </c>
      <c r="DS30">
        <v>-11.203991144044123</v>
      </c>
      <c r="DT30" s="10">
        <v>-0.44</v>
      </c>
      <c r="DU30">
        <v>-0.71499999999999997</v>
      </c>
      <c r="DV30">
        <v>-1.155</v>
      </c>
      <c r="DW30">
        <v>-3.0090476190476192</v>
      </c>
      <c r="DX30">
        <v>0.32846355932203464</v>
      </c>
      <c r="DY30">
        <v>-3.0008908607748186</v>
      </c>
      <c r="DZ30">
        <v>3712</v>
      </c>
      <c r="EA30">
        <v>-3.0002437227716627</v>
      </c>
      <c r="EB30">
        <v>3</v>
      </c>
      <c r="EC30">
        <v>1.9810230179028131E-2</v>
      </c>
      <c r="ED30">
        <v>0.20119352088661552</v>
      </c>
      <c r="EE30" s="11">
        <v>3.10521</v>
      </c>
      <c r="EF30">
        <v>3.11951</v>
      </c>
      <c r="EG30">
        <v>23.098463559322035</v>
      </c>
      <c r="EH30" t="s">
        <v>2212</v>
      </c>
      <c r="EI30">
        <v>0</v>
      </c>
      <c r="EJ30">
        <v>0</v>
      </c>
      <c r="EK30" s="13">
        <v>45470</v>
      </c>
      <c r="EL30" s="14">
        <v>1.44</v>
      </c>
      <c r="EM30" s="14">
        <v>-3.16</v>
      </c>
      <c r="EN30" s="14">
        <v>0.49</v>
      </c>
      <c r="EO30" s="14">
        <v>2.11</v>
      </c>
      <c r="EP30" s="14">
        <v>-1.43</v>
      </c>
    </row>
    <row r="31" spans="1:146" ht="96" x14ac:dyDescent="0.25">
      <c r="A31" s="7"/>
      <c r="B31" s="7"/>
      <c r="C31" s="7" t="str">
        <f>""&amp;CHAR(10)&amp;Basic_Fundamental_Information_Constructure(F31)&amp;CHAR(10)&amp;Basic_Fundamental_Information_Concatenate("")</f>
        <v xml:space="preserve">
市值6.4464亿, 利润-9958.62万; PE; 平均PE-16.11; 平均PEG-1.17, PB1.32; ROIC0%; ROE-.47%; 股利率0%; 毛利18.1867%; 净利-13.7933%; 上一年度营收增-17.38%, 利润增-5701.36%; 当季营收增-8.31%, 利润增-8.46%; 过往5年营收增-13.77%, 利润增-1141.66%
Income profile:
</v>
      </c>
      <c r="D31" t="s">
        <v>870</v>
      </c>
      <c r="E31" t="s">
        <v>2213</v>
      </c>
      <c r="F31">
        <v>1.36</v>
      </c>
      <c r="G31">
        <v>4.62</v>
      </c>
      <c r="H31" t="s">
        <v>2214</v>
      </c>
      <c r="I31">
        <v>644640000</v>
      </c>
      <c r="K31">
        <v>1.32</v>
      </c>
      <c r="L31" t="s">
        <v>1762</v>
      </c>
      <c r="M31" t="s">
        <v>234</v>
      </c>
      <c r="N31" t="s">
        <v>2215</v>
      </c>
      <c r="O31" t="s">
        <v>2216</v>
      </c>
      <c r="P31">
        <v>-8.31</v>
      </c>
      <c r="Q31" t="s">
        <v>135</v>
      </c>
      <c r="R31">
        <v>-5670189</v>
      </c>
      <c r="S31" s="5">
        <v>-8.4599999999999995E-2</v>
      </c>
      <c r="T31" t="s">
        <v>2217</v>
      </c>
      <c r="U31">
        <v>416787670</v>
      </c>
      <c r="V31">
        <v>474000000</v>
      </c>
      <c r="W31">
        <v>1.18</v>
      </c>
      <c r="X31">
        <v>0.11</v>
      </c>
      <c r="Y31">
        <v>-8.98</v>
      </c>
      <c r="Z31" t="s">
        <v>2218</v>
      </c>
      <c r="AA31" t="s">
        <v>2219</v>
      </c>
      <c r="AB31" t="s">
        <v>2220</v>
      </c>
      <c r="AC31" t="s">
        <v>2221</v>
      </c>
      <c r="AD31" t="s">
        <v>41</v>
      </c>
      <c r="AE31">
        <v>-746245</v>
      </c>
      <c r="AF31" t="s">
        <v>2222</v>
      </c>
      <c r="AG31" t="s">
        <v>2223</v>
      </c>
      <c r="AH31" t="s">
        <v>2224</v>
      </c>
      <c r="AI31" t="s">
        <v>2225</v>
      </c>
      <c r="AJ31" t="s">
        <v>2226</v>
      </c>
      <c r="AK31" t="s">
        <v>2227</v>
      </c>
      <c r="AL31" t="s">
        <v>2228</v>
      </c>
      <c r="AM31" t="s">
        <v>41</v>
      </c>
      <c r="AN31" t="s">
        <v>2229</v>
      </c>
      <c r="AO31" t="s">
        <v>41</v>
      </c>
      <c r="AP31" t="s">
        <v>41</v>
      </c>
      <c r="AQ31" t="s">
        <v>2230</v>
      </c>
      <c r="AR31" t="s">
        <v>41</v>
      </c>
      <c r="AS31" t="s">
        <v>2231</v>
      </c>
      <c r="AT31" t="s">
        <v>41</v>
      </c>
      <c r="AU31" t="s">
        <v>2232</v>
      </c>
      <c r="AV31" t="s">
        <v>2233</v>
      </c>
      <c r="AW31" t="s">
        <v>41</v>
      </c>
      <c r="AX31" t="s">
        <v>1136</v>
      </c>
      <c r="AY31" t="s">
        <v>67</v>
      </c>
      <c r="AZ31" t="s">
        <v>280</v>
      </c>
      <c r="BA31" t="s">
        <v>871</v>
      </c>
      <c r="BB31" t="s">
        <v>872</v>
      </c>
      <c r="BC31" t="s">
        <v>1167</v>
      </c>
      <c r="BD31" t="s">
        <v>877</v>
      </c>
      <c r="BE31" t="s">
        <v>874</v>
      </c>
      <c r="BF31" t="s">
        <v>875</v>
      </c>
      <c r="BG31" t="s">
        <v>876</v>
      </c>
      <c r="BH31" t="s">
        <v>135</v>
      </c>
      <c r="BI31" t="s">
        <v>2234</v>
      </c>
      <c r="BJ31" t="s">
        <v>1136</v>
      </c>
      <c r="BK31" t="s">
        <v>2217</v>
      </c>
      <c r="BL31" t="s">
        <v>2235</v>
      </c>
      <c r="BM31" t="s">
        <v>1167</v>
      </c>
      <c r="BN31" t="s">
        <v>41</v>
      </c>
      <c r="BO31" t="s">
        <v>41</v>
      </c>
      <c r="BP31" t="s">
        <v>41</v>
      </c>
      <c r="BQ31">
        <v>-0.54</v>
      </c>
      <c r="BR31">
        <v>-0.28999999999999998</v>
      </c>
      <c r="BS31">
        <v>-0.57999999999999996</v>
      </c>
      <c r="BT31" t="s">
        <v>1081</v>
      </c>
      <c r="BU31" t="s">
        <v>1777</v>
      </c>
      <c r="BV31">
        <v>17.09</v>
      </c>
      <c r="BW31">
        <v>17.899999999999999</v>
      </c>
      <c r="BX31">
        <v>19.57</v>
      </c>
      <c r="BY31">
        <v>-39.49</v>
      </c>
      <c r="BZ31">
        <v>-0.62</v>
      </c>
      <c r="CA31">
        <v>-1.27</v>
      </c>
      <c r="CB31">
        <v>9.68</v>
      </c>
      <c r="CC31">
        <v>-4.2300000000000004</v>
      </c>
      <c r="CD31" t="s">
        <v>2236</v>
      </c>
      <c r="CE31" t="s">
        <v>2237</v>
      </c>
      <c r="CF31" s="8">
        <v>-8.3116905753778045E-2</v>
      </c>
      <c r="CG31" s="9">
        <v>-8.4601656496872554E-2</v>
      </c>
      <c r="CH31" s="8">
        <v>-0.1737704873085022</v>
      </c>
      <c r="CI31" s="8">
        <v>-3.2679738942533731E-3</v>
      </c>
      <c r="CJ31" s="8">
        <v>0.10869564861059189</v>
      </c>
      <c r="CK31" s="8">
        <v>-0.38666665554046631</v>
      </c>
      <c r="CL31" s="8">
        <v>-0.23339012265205383</v>
      </c>
      <c r="CM31" s="9">
        <v>-57.013629913330078</v>
      </c>
      <c r="CN31" s="9">
        <v>0.50738942623138428</v>
      </c>
      <c r="CO31" s="9">
        <v>-1.1916533708572388</v>
      </c>
      <c r="CP31" s="9">
        <v>-0.62515360116958618</v>
      </c>
      <c r="CQ31" s="9">
        <v>1.240128755569458</v>
      </c>
      <c r="CR31">
        <v>-16.109341472191492</v>
      </c>
      <c r="CS31">
        <v>-1.1700574555708982</v>
      </c>
      <c r="CT31">
        <v>0</v>
      </c>
      <c r="CU31" s="8">
        <v>-0.13767991815693675</v>
      </c>
      <c r="CV31" s="9">
        <v>-11.416583740711213</v>
      </c>
      <c r="CW31">
        <v>0.06</v>
      </c>
      <c r="CX31" t="e">
        <v>#VALUE!</v>
      </c>
      <c r="CY31" t="s">
        <v>852</v>
      </c>
      <c r="CZ31">
        <v>-0.13767991815693675</v>
      </c>
      <c r="DA31" t="e">
        <v>#VALUE!</v>
      </c>
      <c r="DB31" t="s">
        <v>853</v>
      </c>
      <c r="DC31">
        <v>-0.1307959222490899</v>
      </c>
      <c r="DD31" t="e">
        <v>#VALUE!</v>
      </c>
      <c r="DE31" t="s">
        <v>853</v>
      </c>
      <c r="DF31">
        <v>-0.12115832797810434</v>
      </c>
      <c r="DG31" t="e">
        <v>#VALUE!</v>
      </c>
      <c r="DH31" t="s">
        <v>853</v>
      </c>
      <c r="DI31">
        <v>-0.11014393452554941</v>
      </c>
      <c r="DJ31" t="e">
        <v>#VALUE!</v>
      </c>
      <c r="DK31" t="s">
        <v>853</v>
      </c>
      <c r="DL31">
        <v>-9.6375942709855722E-2</v>
      </c>
      <c r="DM31">
        <v>-99586200.000000015</v>
      </c>
      <c r="DN31">
        <v>-0.13767991815693675</v>
      </c>
      <c r="DO31">
        <v>260640000.00000006</v>
      </c>
      <c r="DP31">
        <v>264579550</v>
      </c>
      <c r="DQ31">
        <v>1652</v>
      </c>
      <c r="DR31">
        <v>5.4563012403158709E-2</v>
      </c>
      <c r="DS31">
        <v>11.33198208421434</v>
      </c>
      <c r="DT31" s="10">
        <v>-0.82333333333333325</v>
      </c>
      <c r="DU31">
        <v>-2.6316666666666668</v>
      </c>
      <c r="DV31">
        <v>-3.4550000000000001</v>
      </c>
      <c r="DW31">
        <v>5.4369834710743801</v>
      </c>
      <c r="DX31">
        <v>0.36780957939914116</v>
      </c>
      <c r="DY31">
        <v>5.0558506736423938</v>
      </c>
      <c r="DZ31">
        <v>5024</v>
      </c>
      <c r="EA31">
        <v>5.0009399526288156</v>
      </c>
      <c r="EB31">
        <v>5</v>
      </c>
      <c r="EC31">
        <v>0.18847869198312237</v>
      </c>
      <c r="ED31">
        <v>1.4746835443037976</v>
      </c>
      <c r="EE31" s="11">
        <v>-5.00441</v>
      </c>
      <c r="EF31">
        <v>-5.0125099999999998</v>
      </c>
      <c r="EG31">
        <v>24.127809579399141</v>
      </c>
      <c r="EH31" t="s">
        <v>2238</v>
      </c>
      <c r="EI31">
        <v>1</v>
      </c>
      <c r="EJ31">
        <v>0</v>
      </c>
      <c r="EK31" s="13">
        <v>45470</v>
      </c>
      <c r="EL31" s="14">
        <v>6.5</v>
      </c>
      <c r="EM31" s="14">
        <v>-6.11</v>
      </c>
      <c r="EN31" s="14">
        <v>0</v>
      </c>
      <c r="EO31" s="14">
        <v>0.81</v>
      </c>
      <c r="EP31" s="14">
        <v>-0.81</v>
      </c>
    </row>
    <row r="32" spans="1:146" ht="96" x14ac:dyDescent="0.25">
      <c r="A32" s="7"/>
      <c r="B32" s="7"/>
      <c r="C32" s="7" t="str">
        <f>""&amp;CHAR(10)&amp;Basic_Fundamental_Information_Constructure(F32)&amp;CHAR(10)&amp;Basic_Fundamental_Information_Concatenate("")</f>
        <v xml:space="preserve">
市值13.75715亿, 利润832.44万; PE217.4; 平均PE76.38; 平均PEG26.23, PB1.48; ROIC1.845%; ROE-1.5733%; 股利率0%; 毛利25.46%; 净利-2.2867%; 上一年度营收增-27.39%, 利润增110.46%; 当季营收增-28.57%, 利润增46.28%; 过往5年营收增-2.91%, 利润增-49.99%
Income profile:
</v>
      </c>
      <c r="D32" t="s">
        <v>162</v>
      </c>
      <c r="E32" t="s">
        <v>16</v>
      </c>
      <c r="F32">
        <v>5.44</v>
      </c>
      <c r="G32">
        <v>0.37</v>
      </c>
      <c r="H32" t="s">
        <v>1735</v>
      </c>
      <c r="I32">
        <v>1375715000</v>
      </c>
      <c r="J32">
        <v>217.4</v>
      </c>
      <c r="K32">
        <v>1.48</v>
      </c>
      <c r="L32" t="s">
        <v>59</v>
      </c>
      <c r="M32" t="s">
        <v>1246</v>
      </c>
      <c r="N32" t="s">
        <v>1453</v>
      </c>
      <c r="O32" t="s">
        <v>572</v>
      </c>
      <c r="P32">
        <v>-21.99</v>
      </c>
      <c r="Q32" t="s">
        <v>198</v>
      </c>
      <c r="R32">
        <v>6083945</v>
      </c>
      <c r="S32" s="5">
        <v>-0.247</v>
      </c>
      <c r="T32" t="s">
        <v>1168</v>
      </c>
      <c r="U32">
        <v>252140430</v>
      </c>
      <c r="V32">
        <v>252888780</v>
      </c>
      <c r="W32">
        <v>1.5</v>
      </c>
      <c r="X32">
        <v>0.16</v>
      </c>
      <c r="Y32">
        <v>2.64</v>
      </c>
      <c r="Z32" t="s">
        <v>267</v>
      </c>
      <c r="AA32" t="s">
        <v>378</v>
      </c>
      <c r="AB32" t="s">
        <v>1558</v>
      </c>
      <c r="AC32" t="s">
        <v>1559</v>
      </c>
      <c r="AD32" t="s">
        <v>1378</v>
      </c>
      <c r="AE32">
        <v>5282557</v>
      </c>
      <c r="AF32" t="s">
        <v>1560</v>
      </c>
      <c r="AG32" t="s">
        <v>1561</v>
      </c>
      <c r="AH32" t="s">
        <v>1562</v>
      </c>
      <c r="AI32" t="s">
        <v>1563</v>
      </c>
      <c r="AJ32" t="s">
        <v>1564</v>
      </c>
      <c r="AK32" t="s">
        <v>1565</v>
      </c>
      <c r="AL32" t="s">
        <v>1566</v>
      </c>
      <c r="AM32" t="s">
        <v>41</v>
      </c>
      <c r="AN32" t="s">
        <v>1567</v>
      </c>
      <c r="AO32" t="s">
        <v>152</v>
      </c>
      <c r="AP32" t="s">
        <v>1568</v>
      </c>
      <c r="AQ32" t="s">
        <v>1569</v>
      </c>
      <c r="AR32" t="s">
        <v>1570</v>
      </c>
      <c r="AS32" t="s">
        <v>620</v>
      </c>
      <c r="AT32" t="s">
        <v>41</v>
      </c>
      <c r="AU32" t="s">
        <v>1571</v>
      </c>
      <c r="AV32" t="s">
        <v>1572</v>
      </c>
      <c r="AW32" t="s">
        <v>1573</v>
      </c>
      <c r="AX32" t="s">
        <v>453</v>
      </c>
      <c r="AY32" t="s">
        <v>389</v>
      </c>
      <c r="AZ32" t="s">
        <v>163</v>
      </c>
      <c r="BA32" t="s">
        <v>416</v>
      </c>
      <c r="BB32" t="s">
        <v>417</v>
      </c>
      <c r="BC32" t="s">
        <v>739</v>
      </c>
      <c r="BD32" t="s">
        <v>415</v>
      </c>
      <c r="BE32" t="s">
        <v>164</v>
      </c>
      <c r="BF32" t="s">
        <v>418</v>
      </c>
      <c r="BG32" t="s">
        <v>419</v>
      </c>
      <c r="BH32" t="s">
        <v>241</v>
      </c>
      <c r="BI32" t="s">
        <v>479</v>
      </c>
      <c r="BJ32" t="s">
        <v>114</v>
      </c>
      <c r="BK32" t="s">
        <v>1574</v>
      </c>
      <c r="BL32" t="s">
        <v>1575</v>
      </c>
      <c r="BM32" t="s">
        <v>1281</v>
      </c>
      <c r="BN32">
        <v>0.49</v>
      </c>
      <c r="BO32" t="s">
        <v>41</v>
      </c>
      <c r="BP32">
        <v>3.2</v>
      </c>
      <c r="BQ32">
        <v>0.37</v>
      </c>
      <c r="BR32">
        <v>-8.33</v>
      </c>
      <c r="BS32">
        <v>3.24</v>
      </c>
      <c r="BT32" t="s">
        <v>1081</v>
      </c>
      <c r="BU32" t="s">
        <v>950</v>
      </c>
      <c r="BV32">
        <v>25.86</v>
      </c>
      <c r="BW32">
        <v>25.86</v>
      </c>
      <c r="BX32">
        <v>24.66</v>
      </c>
      <c r="BY32">
        <v>2.0699999999999998</v>
      </c>
      <c r="BZ32">
        <v>-15.52</v>
      </c>
      <c r="CA32">
        <v>6.59</v>
      </c>
      <c r="CB32">
        <v>9.4600000000000009</v>
      </c>
      <c r="CC32">
        <v>24.49</v>
      </c>
      <c r="CD32" t="s">
        <v>1736</v>
      </c>
      <c r="CE32" t="s">
        <v>259</v>
      </c>
      <c r="CF32" s="8">
        <v>-0.2857142857142857</v>
      </c>
      <c r="CG32" s="9">
        <v>0.4627803497942396</v>
      </c>
      <c r="CH32" s="8">
        <v>-0.2739463746547699</v>
      </c>
      <c r="CI32" s="8">
        <v>9.663865715265274E-2</v>
      </c>
      <c r="CJ32" s="8">
        <v>-0.14079421758651733</v>
      </c>
      <c r="CK32" s="8">
        <v>5.1233395934104919E-2</v>
      </c>
      <c r="CL32" s="8">
        <v>0.12127659469842911</v>
      </c>
      <c r="CM32" s="9">
        <v>1.1045582294464111</v>
      </c>
      <c r="CN32" s="9">
        <v>-3.5006673336029053</v>
      </c>
      <c r="CO32" s="9">
        <v>-0.38810047507286072</v>
      </c>
      <c r="CP32" s="9">
        <v>-4.5532509684562683E-2</v>
      </c>
      <c r="CQ32" s="9">
        <v>0.33021071553230286</v>
      </c>
      <c r="CR32">
        <v>76.378611409012791</v>
      </c>
      <c r="CS32">
        <v>26.230369988650992</v>
      </c>
      <c r="CT32">
        <v>0</v>
      </c>
      <c r="CU32" s="8">
        <v>-2.9118388891220093E-2</v>
      </c>
      <c r="CV32" s="9">
        <v>-0.49990627467632293</v>
      </c>
      <c r="CW32">
        <v>0.06</v>
      </c>
      <c r="CX32">
        <v>109.16282254576906</v>
      </c>
      <c r="CY32" t="s">
        <v>1169</v>
      </c>
      <c r="CZ32">
        <v>-2.9118388891220093E-2</v>
      </c>
      <c r="DA32">
        <v>36.387607515256356</v>
      </c>
      <c r="DB32" t="s">
        <v>1170</v>
      </c>
      <c r="DC32">
        <v>-2.7662469446659087E-2</v>
      </c>
      <c r="DD32">
        <v>18.193803757628178</v>
      </c>
      <c r="DE32" t="s">
        <v>1171</v>
      </c>
      <c r="DF32">
        <v>-2.5624182224273682E-2</v>
      </c>
      <c r="DG32">
        <v>10.916282254576906</v>
      </c>
      <c r="DH32" t="s">
        <v>1172</v>
      </c>
      <c r="DI32">
        <v>-2.3294711112976076E-2</v>
      </c>
      <c r="DJ32">
        <v>5.458141127288453</v>
      </c>
      <c r="DK32" t="s">
        <v>1173</v>
      </c>
      <c r="DL32">
        <v>-2.0382872223854064E-2</v>
      </c>
      <c r="DM32">
        <v>8324400.0000000009</v>
      </c>
      <c r="DN32">
        <v>-2.9118388891220093E-2</v>
      </c>
      <c r="DO32">
        <v>908715000</v>
      </c>
      <c r="DP32">
        <v>255976759.99999994</v>
      </c>
      <c r="DQ32">
        <v>1816</v>
      </c>
      <c r="DR32">
        <v>-0.25659589682306561</v>
      </c>
      <c r="DS32">
        <v>0.96268662447056252</v>
      </c>
      <c r="DT32" s="10">
        <v>-0.60666666666666669</v>
      </c>
      <c r="DU32">
        <v>-0.6366666666666666</v>
      </c>
      <c r="DV32">
        <v>-1.2433333333333332</v>
      </c>
      <c r="DW32">
        <v>9.3862801143323811</v>
      </c>
      <c r="DX32">
        <v>0.3774762430939238</v>
      </c>
      <c r="DY32">
        <v>9.0415159354703345</v>
      </c>
      <c r="DZ32">
        <v>4035</v>
      </c>
      <c r="EA32">
        <v>9.0087722295237356</v>
      </c>
      <c r="EB32">
        <v>9</v>
      </c>
      <c r="EC32">
        <v>7.692393470362742E-2</v>
      </c>
      <c r="ED32">
        <v>0.71572965791523058</v>
      </c>
      <c r="EE32" s="11">
        <v>3.9000000000000007E-3</v>
      </c>
      <c r="EF32">
        <v>7.6E-3</v>
      </c>
      <c r="EG32">
        <v>27.107476243093924</v>
      </c>
      <c r="EH32" t="s">
        <v>860</v>
      </c>
      <c r="EI32">
        <v>1</v>
      </c>
      <c r="EJ32">
        <v>0</v>
      </c>
      <c r="EK32" s="13">
        <v>45385</v>
      </c>
      <c r="EL32" s="14">
        <v>3.02</v>
      </c>
      <c r="EM32" s="14">
        <v>1.95</v>
      </c>
      <c r="EN32" s="14">
        <v>4.68</v>
      </c>
      <c r="EO32" s="14">
        <v>-0.14000000000000001</v>
      </c>
      <c r="EP32" s="14">
        <v>-0.68</v>
      </c>
    </row>
    <row r="33" spans="1:146" ht="96" x14ac:dyDescent="0.25">
      <c r="A33" s="7"/>
      <c r="B33" s="7"/>
      <c r="C33" s="7" t="str">
        <f>""&amp;CHAR(10)&amp;Basic_Fundamental_Information_Constructure(F33)&amp;CHAR(10)&amp;Basic_Fundamental_Information_Concatenate("")</f>
        <v xml:space="preserve">
市值23.955855亿, 利润6484.54万; PE32.53; 平均PE11; 平均PEG2.3, PB.617; ROIC2.925%; ROE1.31%; 股利率8.4349%; 毛利34.2567%; 净利1.1367%; 上一年度营收增-7.79%, 利润增40.06%; 当季营收增-4.08%, 利润增9.22%; 过往5年营收增-4.78%, 利润增-17.94%
Income profile:
</v>
      </c>
      <c r="D33" t="s">
        <v>165</v>
      </c>
      <c r="E33" t="s">
        <v>14</v>
      </c>
      <c r="F33">
        <v>10.67</v>
      </c>
      <c r="G33">
        <v>-0.74</v>
      </c>
      <c r="H33" t="s">
        <v>2239</v>
      </c>
      <c r="I33">
        <v>2395585500</v>
      </c>
      <c r="J33">
        <v>32.53</v>
      </c>
      <c r="K33">
        <v>0.61699999999999999</v>
      </c>
      <c r="L33" t="s">
        <v>1762</v>
      </c>
      <c r="M33" t="s">
        <v>2240</v>
      </c>
      <c r="N33" t="s">
        <v>2241</v>
      </c>
      <c r="O33" t="s">
        <v>2242</v>
      </c>
      <c r="P33">
        <v>-3.98</v>
      </c>
      <c r="Q33" t="s">
        <v>2243</v>
      </c>
      <c r="R33">
        <v>-86524548</v>
      </c>
      <c r="S33" s="5">
        <v>9.2200000000000004E-2</v>
      </c>
      <c r="T33" t="s">
        <v>2244</v>
      </c>
      <c r="U33">
        <v>124244750</v>
      </c>
      <c r="V33">
        <v>224515980</v>
      </c>
      <c r="W33">
        <v>2.15</v>
      </c>
      <c r="X33">
        <v>0.09</v>
      </c>
      <c r="Y33">
        <v>-11.11</v>
      </c>
      <c r="Z33" t="s">
        <v>1321</v>
      </c>
      <c r="AA33" t="s">
        <v>2245</v>
      </c>
      <c r="AB33" t="s">
        <v>1519</v>
      </c>
      <c r="AC33" t="s">
        <v>2246</v>
      </c>
      <c r="AD33" t="s">
        <v>41</v>
      </c>
      <c r="AE33">
        <v>-72459</v>
      </c>
      <c r="AF33" t="s">
        <v>2247</v>
      </c>
      <c r="AG33" t="s">
        <v>2248</v>
      </c>
      <c r="AH33" t="s">
        <v>2249</v>
      </c>
      <c r="AI33" t="s">
        <v>2250</v>
      </c>
      <c r="AJ33" t="s">
        <v>2251</v>
      </c>
      <c r="AK33" t="s">
        <v>2252</v>
      </c>
      <c r="AL33" t="s">
        <v>2253</v>
      </c>
      <c r="AM33" t="s">
        <v>41</v>
      </c>
      <c r="AN33" t="s">
        <v>2254</v>
      </c>
      <c r="AO33" t="s">
        <v>2255</v>
      </c>
      <c r="AP33" t="s">
        <v>1339</v>
      </c>
      <c r="AQ33" t="s">
        <v>185</v>
      </c>
      <c r="AR33" t="s">
        <v>41</v>
      </c>
      <c r="AS33" t="s">
        <v>2256</v>
      </c>
      <c r="AT33" t="s">
        <v>2257</v>
      </c>
      <c r="AU33" t="s">
        <v>2084</v>
      </c>
      <c r="AV33" t="s">
        <v>193</v>
      </c>
      <c r="AW33" t="s">
        <v>1252</v>
      </c>
      <c r="AX33" t="s">
        <v>1174</v>
      </c>
      <c r="AY33" t="s">
        <v>740</v>
      </c>
      <c r="AZ33" t="s">
        <v>420</v>
      </c>
      <c r="BA33" t="s">
        <v>166</v>
      </c>
      <c r="BB33" t="s">
        <v>424</v>
      </c>
      <c r="BC33" t="s">
        <v>1175</v>
      </c>
      <c r="BD33" t="s">
        <v>741</v>
      </c>
      <c r="BE33" t="s">
        <v>107</v>
      </c>
      <c r="BF33" t="s">
        <v>167</v>
      </c>
      <c r="BG33" t="s">
        <v>271</v>
      </c>
      <c r="BH33" t="s">
        <v>2243</v>
      </c>
      <c r="BI33" t="s">
        <v>445</v>
      </c>
      <c r="BJ33" t="s">
        <v>1174</v>
      </c>
      <c r="BK33" t="s">
        <v>2244</v>
      </c>
      <c r="BL33" t="s">
        <v>2258</v>
      </c>
      <c r="BM33" t="s">
        <v>1175</v>
      </c>
      <c r="BN33" t="s">
        <v>41</v>
      </c>
      <c r="BO33">
        <v>2.88</v>
      </c>
      <c r="BP33">
        <v>2.97</v>
      </c>
      <c r="BQ33">
        <v>0.11</v>
      </c>
      <c r="BR33">
        <v>1.29</v>
      </c>
      <c r="BS33">
        <v>2.5299999999999998</v>
      </c>
      <c r="BT33" t="s">
        <v>2259</v>
      </c>
      <c r="BU33" t="s">
        <v>2063</v>
      </c>
      <c r="BV33">
        <v>34.979999999999997</v>
      </c>
      <c r="BW33">
        <v>34.619999999999997</v>
      </c>
      <c r="BX33">
        <v>33.17</v>
      </c>
      <c r="BY33">
        <v>1.32</v>
      </c>
      <c r="BZ33">
        <v>0.87</v>
      </c>
      <c r="CA33">
        <v>1.22</v>
      </c>
      <c r="CB33">
        <v>-3.53</v>
      </c>
      <c r="CC33">
        <v>-23.95</v>
      </c>
      <c r="CD33" t="s">
        <v>2260</v>
      </c>
      <c r="CE33" t="s">
        <v>957</v>
      </c>
      <c r="CF33" s="8">
        <v>-4.0791100123609397E-2</v>
      </c>
      <c r="CG33" s="9">
        <v>9.2201463606557371E-2</v>
      </c>
      <c r="CH33" s="8">
        <v>-7.7907443046569824E-2</v>
      </c>
      <c r="CI33" s="8">
        <v>-0.27305063605308533</v>
      </c>
      <c r="CJ33" s="8">
        <v>0.12237067520618439</v>
      </c>
      <c r="CK33" s="8">
        <v>-0.10301614552736282</v>
      </c>
      <c r="CL33" s="8">
        <v>9.2701278626918793E-2</v>
      </c>
      <c r="CM33" s="9">
        <v>0.400633305311203</v>
      </c>
      <c r="CN33" s="9">
        <v>-0.48389327526092529</v>
      </c>
      <c r="CO33" s="9">
        <v>-0.11183461546897888</v>
      </c>
      <c r="CP33" s="9">
        <v>-0.80871212482452393</v>
      </c>
      <c r="CQ33" s="9">
        <v>0.10691823810338974</v>
      </c>
      <c r="CR33">
        <v>10.99861705342315</v>
      </c>
      <c r="CS33">
        <v>2.3019071808888185</v>
      </c>
      <c r="CT33">
        <v>8.4348641049671986</v>
      </c>
      <c r="CU33" s="8">
        <v>-4.7780454158782959E-2</v>
      </c>
      <c r="CV33" s="9">
        <v>-0.17937769442796708</v>
      </c>
      <c r="CW33">
        <v>0.06</v>
      </c>
      <c r="CX33" t="e">
        <v>#VALUE!</v>
      </c>
      <c r="CY33" t="s">
        <v>905</v>
      </c>
      <c r="CZ33">
        <v>-4.7780454158782959E-2</v>
      </c>
      <c r="DA33">
        <v>18.955780466566122</v>
      </c>
      <c r="DB33" t="s">
        <v>2261</v>
      </c>
      <c r="DC33">
        <v>-4.539143145084381E-2</v>
      </c>
      <c r="DD33">
        <v>9.4778902332830608</v>
      </c>
      <c r="DE33" t="s">
        <v>2262</v>
      </c>
      <c r="DF33">
        <v>-4.2046799659729003E-2</v>
      </c>
      <c r="DG33">
        <v>5.6867341399698361</v>
      </c>
      <c r="DH33" t="s">
        <v>2263</v>
      </c>
      <c r="DI33">
        <v>-3.8224363327026369E-2</v>
      </c>
      <c r="DJ33">
        <v>2.8433670699849181</v>
      </c>
      <c r="DK33" t="s">
        <v>2264</v>
      </c>
      <c r="DL33">
        <v>-3.344631791114807E-2</v>
      </c>
      <c r="DM33">
        <v>64845400</v>
      </c>
      <c r="DN33">
        <v>-4.7780454158782959E-2</v>
      </c>
      <c r="DO33">
        <v>3687585500</v>
      </c>
      <c r="DP33">
        <v>371141399.99999952</v>
      </c>
      <c r="DQ33">
        <v>2083</v>
      </c>
      <c r="DR33">
        <v>6.9893540351735617E-3</v>
      </c>
      <c r="DS33">
        <v>0.27157915803452448</v>
      </c>
      <c r="DT33" s="10">
        <v>-0.59</v>
      </c>
      <c r="DU33">
        <v>-0.89500000000000002</v>
      </c>
      <c r="DV33">
        <v>-1.4849999999999999</v>
      </c>
      <c r="DW33">
        <v>-8.1473903966597074</v>
      </c>
      <c r="DX33">
        <v>0.2662887850467287</v>
      </c>
      <c r="DY33">
        <v>-8.0186137541217093</v>
      </c>
      <c r="DZ33">
        <v>4008</v>
      </c>
      <c r="EA33">
        <v>-8.0040141598908274</v>
      </c>
      <c r="EB33">
        <v>8</v>
      </c>
      <c r="EC33">
        <v>6.0186807192966846E-2</v>
      </c>
      <c r="ED33">
        <v>0.47658077612114735</v>
      </c>
      <c r="EE33" s="11">
        <v>-2.0076100000000001</v>
      </c>
      <c r="EF33">
        <v>-2.0262099999999998</v>
      </c>
      <c r="EG33">
        <v>14.126288785046729</v>
      </c>
      <c r="EH33" t="s">
        <v>1235</v>
      </c>
      <c r="EI33">
        <v>0</v>
      </c>
      <c r="EJ33">
        <v>0</v>
      </c>
      <c r="EK33" s="13">
        <v>45470</v>
      </c>
      <c r="EL33" s="14">
        <v>1.45</v>
      </c>
      <c r="EM33" s="14">
        <v>-3.93</v>
      </c>
      <c r="EN33" s="14">
        <v>4.09</v>
      </c>
      <c r="EO33" s="14">
        <v>0.71</v>
      </c>
      <c r="EP33" s="14">
        <v>-1.86</v>
      </c>
    </row>
    <row r="34" spans="1:146" ht="96" x14ac:dyDescent="0.25">
      <c r="A34" s="7"/>
      <c r="B34" s="7"/>
      <c r="C34" s="7" t="str">
        <f>""&amp;CHAR(10)&amp;Basic_Fundamental_Information_Constructure(F34)&amp;CHAR(10)&amp;Basic_Fundamental_Information_Concatenate("")</f>
        <v xml:space="preserve">
市值12.2481351亿, 利润2637.77万; PE58.39; 平均PE33.18; 平均PEG4.7, PB1.5; ROIC4.03%; ROE4.46%; 股利率1.7857%; 毛利15.8%; 净利4.0733%; 上一年度营收增-13.96%, 利润增-47.46%; 当季营收增7.3%, 利润增-76.61%; 过往5年营收增7.06%, 利润增9.19%
Income profile:
</v>
      </c>
      <c r="D34" t="s">
        <v>170</v>
      </c>
      <c r="E34" t="s">
        <v>13</v>
      </c>
      <c r="F34">
        <v>3.92</v>
      </c>
      <c r="G34">
        <v>2.08</v>
      </c>
      <c r="H34" t="s">
        <v>2265</v>
      </c>
      <c r="I34">
        <v>1224813510</v>
      </c>
      <c r="J34">
        <v>58.39</v>
      </c>
      <c r="K34">
        <v>1.5</v>
      </c>
      <c r="L34" t="s">
        <v>1762</v>
      </c>
      <c r="M34" t="s">
        <v>2266</v>
      </c>
      <c r="N34" t="s">
        <v>2267</v>
      </c>
      <c r="O34" t="s">
        <v>63</v>
      </c>
      <c r="P34">
        <v>7.09</v>
      </c>
      <c r="Q34" t="s">
        <v>2268</v>
      </c>
      <c r="R34">
        <v>1648739</v>
      </c>
      <c r="S34" s="5">
        <v>-0.7661</v>
      </c>
      <c r="T34" t="s">
        <v>2269</v>
      </c>
      <c r="U34">
        <v>220660850</v>
      </c>
      <c r="V34">
        <v>312452430</v>
      </c>
      <c r="W34">
        <v>1.1499999999999999</v>
      </c>
      <c r="X34">
        <v>0.21</v>
      </c>
      <c r="Y34">
        <v>0.85</v>
      </c>
      <c r="Z34" t="s">
        <v>114</v>
      </c>
      <c r="AA34" t="s">
        <v>393</v>
      </c>
      <c r="AB34" t="s">
        <v>2270</v>
      </c>
      <c r="AC34" t="s">
        <v>2271</v>
      </c>
      <c r="AD34" t="s">
        <v>41</v>
      </c>
      <c r="AE34">
        <v>-2072084</v>
      </c>
      <c r="AF34" t="s">
        <v>2272</v>
      </c>
      <c r="AG34" t="s">
        <v>2273</v>
      </c>
      <c r="AH34" t="s">
        <v>2274</v>
      </c>
      <c r="AI34" t="s">
        <v>2275</v>
      </c>
      <c r="AJ34" t="s">
        <v>2276</v>
      </c>
      <c r="AK34" t="s">
        <v>41</v>
      </c>
      <c r="AL34" t="s">
        <v>2277</v>
      </c>
      <c r="AM34" t="s">
        <v>41</v>
      </c>
      <c r="AN34" t="s">
        <v>142</v>
      </c>
      <c r="AO34" t="s">
        <v>2278</v>
      </c>
      <c r="AP34" t="s">
        <v>41</v>
      </c>
      <c r="AQ34" t="s">
        <v>2279</v>
      </c>
      <c r="AR34" t="s">
        <v>41</v>
      </c>
      <c r="AS34" t="s">
        <v>180</v>
      </c>
      <c r="AT34" t="s">
        <v>41</v>
      </c>
      <c r="AU34" t="s">
        <v>2280</v>
      </c>
      <c r="AV34" t="s">
        <v>2281</v>
      </c>
      <c r="AW34" t="s">
        <v>2282</v>
      </c>
      <c r="AX34" t="s">
        <v>1176</v>
      </c>
      <c r="AY34" t="s">
        <v>552</v>
      </c>
      <c r="AZ34" t="s">
        <v>425</v>
      </c>
      <c r="BA34" t="s">
        <v>171</v>
      </c>
      <c r="BB34" t="s">
        <v>431</v>
      </c>
      <c r="BC34" t="s">
        <v>1177</v>
      </c>
      <c r="BD34" t="s">
        <v>743</v>
      </c>
      <c r="BE34" t="s">
        <v>426</v>
      </c>
      <c r="BF34" t="s">
        <v>172</v>
      </c>
      <c r="BG34" t="s">
        <v>432</v>
      </c>
      <c r="BH34" t="s">
        <v>2268</v>
      </c>
      <c r="BI34" t="s">
        <v>527</v>
      </c>
      <c r="BJ34" t="s">
        <v>1176</v>
      </c>
      <c r="BK34" t="s">
        <v>2269</v>
      </c>
      <c r="BL34" t="s">
        <v>2283</v>
      </c>
      <c r="BM34" t="s">
        <v>1177</v>
      </c>
      <c r="BN34">
        <v>2</v>
      </c>
      <c r="BO34">
        <v>6.03</v>
      </c>
      <c r="BP34">
        <v>4.0599999999999996</v>
      </c>
      <c r="BQ34">
        <v>2.64</v>
      </c>
      <c r="BR34">
        <v>7.18</v>
      </c>
      <c r="BS34">
        <v>3.56</v>
      </c>
      <c r="BT34" t="s">
        <v>1811</v>
      </c>
      <c r="BU34" t="s">
        <v>1777</v>
      </c>
      <c r="BV34">
        <v>19.3</v>
      </c>
      <c r="BW34">
        <v>15.77</v>
      </c>
      <c r="BX34">
        <v>12.33</v>
      </c>
      <c r="BY34">
        <v>3.65</v>
      </c>
      <c r="BZ34">
        <v>5.99</v>
      </c>
      <c r="CA34">
        <v>2.58</v>
      </c>
      <c r="CB34">
        <v>-0.51</v>
      </c>
      <c r="CC34">
        <v>-15.15</v>
      </c>
      <c r="CD34" t="s">
        <v>2284</v>
      </c>
      <c r="CE34" t="s">
        <v>74</v>
      </c>
      <c r="CF34" s="8">
        <v>7.3033707865168537E-2</v>
      </c>
      <c r="CG34" s="9">
        <v>-0.76608986181653094</v>
      </c>
      <c r="CH34" s="8">
        <v>-0.13961814343929291</v>
      </c>
      <c r="CI34" s="8">
        <v>3.8413878530263901E-2</v>
      </c>
      <c r="CJ34" s="8">
        <v>0.44107142090797424</v>
      </c>
      <c r="CK34" s="8">
        <v>-9.0909093618392944E-2</v>
      </c>
      <c r="CL34" s="8">
        <v>0.10394265502691269</v>
      </c>
      <c r="CM34" s="9">
        <v>-0.47457396984100342</v>
      </c>
      <c r="CN34" s="9">
        <v>1.4160209894180298</v>
      </c>
      <c r="CO34" s="9">
        <v>-0.4672829806804657</v>
      </c>
      <c r="CP34" s="9">
        <v>-0.13129357993602753</v>
      </c>
      <c r="CQ34" s="9">
        <v>0.11655451357364655</v>
      </c>
      <c r="CR34">
        <v>33.180848529616277</v>
      </c>
      <c r="CS34">
        <v>4.7011591210942658</v>
      </c>
      <c r="CT34">
        <v>1.7857142857142856</v>
      </c>
      <c r="CU34" s="8">
        <v>7.0580143481492996E-2</v>
      </c>
      <c r="CV34" s="9">
        <v>9.1884994506835932E-2</v>
      </c>
      <c r="CW34">
        <v>0.06</v>
      </c>
      <c r="CX34">
        <v>18.815773888484536</v>
      </c>
      <c r="CY34">
        <v>26640982.87802998</v>
      </c>
      <c r="CZ34">
        <v>7.0580143481492996E-2</v>
      </c>
      <c r="DA34">
        <v>6.250993559724094</v>
      </c>
      <c r="DB34">
        <v>80190565.741380349</v>
      </c>
      <c r="DC34">
        <v>6.7051136307418338E-2</v>
      </c>
      <c r="DD34">
        <v>3.1452717983655378</v>
      </c>
      <c r="DE34">
        <v>159372779.88518795</v>
      </c>
      <c r="DF34">
        <v>6.2110526263713835E-2</v>
      </c>
      <c r="DG34">
        <v>1.9355149879273552</v>
      </c>
      <c r="DH34">
        <v>258985703.09537384</v>
      </c>
      <c r="DI34">
        <v>5.6464114785194398E-2</v>
      </c>
      <c r="DJ34">
        <v>1.0540983748261097</v>
      </c>
      <c r="DK34">
        <v>475544524.08931255</v>
      </c>
      <c r="DL34">
        <v>4.9406100437045096E-2</v>
      </c>
      <c r="DM34">
        <v>26377700</v>
      </c>
      <c r="DN34">
        <v>7.0580143481492996E-2</v>
      </c>
      <c r="DO34">
        <v>501270710.00000012</v>
      </c>
      <c r="DP34">
        <v>223931710</v>
      </c>
      <c r="DQ34">
        <v>2107</v>
      </c>
      <c r="DR34">
        <v>2.4535643836755411E-3</v>
      </c>
      <c r="DS34">
        <v>-0.8579748563233669</v>
      </c>
      <c r="DT34" s="10">
        <v>-0.3066666666666667</v>
      </c>
      <c r="DU34">
        <v>-0.44</v>
      </c>
      <c r="DV34">
        <v>-0.7466666666666667</v>
      </c>
      <c r="DW34">
        <v>-2.1515</v>
      </c>
      <c r="DX34">
        <v>0.34167583333333368</v>
      </c>
      <c r="DY34">
        <v>-2.0244938887499999</v>
      </c>
      <c r="DZ34">
        <v>3269</v>
      </c>
      <c r="EA34">
        <v>-2.0088245106044522</v>
      </c>
      <c r="EB34">
        <v>2</v>
      </c>
      <c r="EC34">
        <v>6.2092972040575907E-2</v>
      </c>
      <c r="ED34">
        <v>0.38405846291545886</v>
      </c>
      <c r="EE34" s="11">
        <v>-2.0893000000000002</v>
      </c>
      <c r="EF34">
        <v>-2.0792000000000002</v>
      </c>
      <c r="EG34">
        <v>18.161675833333334</v>
      </c>
      <c r="EH34" t="s">
        <v>1137</v>
      </c>
      <c r="EI34">
        <v>0</v>
      </c>
      <c r="EJ34">
        <v>0</v>
      </c>
      <c r="EK34" s="13">
        <v>45470</v>
      </c>
      <c r="EL34" s="14">
        <v>0.51</v>
      </c>
      <c r="EM34" s="14">
        <v>-6.08</v>
      </c>
      <c r="EN34" s="14">
        <v>2.7</v>
      </c>
      <c r="EO34" s="14">
        <v>3.94</v>
      </c>
      <c r="EP34" s="14">
        <v>-1.01</v>
      </c>
    </row>
    <row r="35" spans="1:146" ht="96" x14ac:dyDescent="0.25">
      <c r="A35" s="7"/>
      <c r="B35" s="7"/>
      <c r="C35" s="7" t="str">
        <f>""&amp;CHAR(10)&amp;Basic_Fundamental_Information_Constructure(F35)&amp;CHAR(10)&amp;Basic_Fundamental_Information_Concatenate("")</f>
        <v xml:space="preserve">
市值15.578621亿, 利润6761.92万; PE22.92; 平均PE38.93; 平均PEG11.55, PB1.99; ROIC3.7367%; ROE4.5633%; 股利率1.2397%; 毛利32.0633%; 净利8.53%; 上一年度营收增8.44%, 利润增75.76%; 当季营收增-5.01%, 利润增14.1%; 过往5年营收增3.37%, 利润增20.18%
Income profile:
</v>
      </c>
      <c r="D35" t="s">
        <v>173</v>
      </c>
      <c r="E35" t="s">
        <v>6</v>
      </c>
      <c r="F35">
        <v>12.1</v>
      </c>
      <c r="G35">
        <v>1.26</v>
      </c>
      <c r="H35" t="s">
        <v>2285</v>
      </c>
      <c r="I35">
        <v>1557862100</v>
      </c>
      <c r="J35">
        <v>22.92</v>
      </c>
      <c r="K35">
        <v>1.99</v>
      </c>
      <c r="L35" t="s">
        <v>1762</v>
      </c>
      <c r="M35" t="s">
        <v>1369</v>
      </c>
      <c r="N35" t="s">
        <v>2286</v>
      </c>
      <c r="O35" t="s">
        <v>2287</v>
      </c>
      <c r="P35">
        <v>-5.01</v>
      </c>
      <c r="Q35" t="s">
        <v>2288</v>
      </c>
      <c r="R35">
        <v>2831513</v>
      </c>
      <c r="S35" s="5">
        <v>0.14099999999999999</v>
      </c>
      <c r="T35" t="s">
        <v>2289</v>
      </c>
      <c r="U35">
        <v>75489768</v>
      </c>
      <c r="V35">
        <v>128748930</v>
      </c>
      <c r="W35">
        <v>1.56</v>
      </c>
      <c r="X35">
        <v>0.05</v>
      </c>
      <c r="Y35">
        <v>4.1399999999999997</v>
      </c>
      <c r="Z35" t="s">
        <v>2290</v>
      </c>
      <c r="AA35" t="s">
        <v>2291</v>
      </c>
      <c r="AB35" t="s">
        <v>2292</v>
      </c>
      <c r="AC35" t="s">
        <v>2293</v>
      </c>
      <c r="AD35" t="s">
        <v>41</v>
      </c>
      <c r="AE35">
        <v>687170</v>
      </c>
      <c r="AF35" t="s">
        <v>2294</v>
      </c>
      <c r="AG35" t="s">
        <v>2295</v>
      </c>
      <c r="AH35" t="s">
        <v>2296</v>
      </c>
      <c r="AI35" t="s">
        <v>132</v>
      </c>
      <c r="AJ35" t="s">
        <v>2297</v>
      </c>
      <c r="AK35" t="s">
        <v>1704</v>
      </c>
      <c r="AL35" t="s">
        <v>2298</v>
      </c>
      <c r="AM35" t="s">
        <v>41</v>
      </c>
      <c r="AN35" t="s">
        <v>2299</v>
      </c>
      <c r="AO35" t="s">
        <v>1381</v>
      </c>
      <c r="AP35" t="s">
        <v>41</v>
      </c>
      <c r="AQ35" t="s">
        <v>2300</v>
      </c>
      <c r="AR35" t="s">
        <v>41</v>
      </c>
      <c r="AS35" t="s">
        <v>429</v>
      </c>
      <c r="AT35" t="s">
        <v>41</v>
      </c>
      <c r="AU35" t="s">
        <v>2301</v>
      </c>
      <c r="AV35" t="s">
        <v>2302</v>
      </c>
      <c r="AW35" t="s">
        <v>2303</v>
      </c>
      <c r="AX35" t="s">
        <v>467</v>
      </c>
      <c r="AY35" t="s">
        <v>701</v>
      </c>
      <c r="AZ35" t="s">
        <v>238</v>
      </c>
      <c r="BA35" t="s">
        <v>98</v>
      </c>
      <c r="BB35" t="s">
        <v>333</v>
      </c>
      <c r="BC35" t="s">
        <v>1178</v>
      </c>
      <c r="BD35" t="s">
        <v>744</v>
      </c>
      <c r="BE35" t="s">
        <v>433</v>
      </c>
      <c r="BF35" t="s">
        <v>174</v>
      </c>
      <c r="BG35" t="s">
        <v>435</v>
      </c>
      <c r="BH35" t="s">
        <v>2288</v>
      </c>
      <c r="BI35" t="s">
        <v>2304</v>
      </c>
      <c r="BJ35" t="s">
        <v>467</v>
      </c>
      <c r="BK35" t="s">
        <v>2289</v>
      </c>
      <c r="BL35" t="s">
        <v>2305</v>
      </c>
      <c r="BM35" t="s">
        <v>1178</v>
      </c>
      <c r="BN35">
        <v>3.6</v>
      </c>
      <c r="BO35">
        <v>4.33</v>
      </c>
      <c r="BP35">
        <v>3.28</v>
      </c>
      <c r="BQ35">
        <v>4.83</v>
      </c>
      <c r="BR35">
        <v>5.1100000000000003</v>
      </c>
      <c r="BS35">
        <v>3.75</v>
      </c>
      <c r="BT35" t="s">
        <v>1087</v>
      </c>
      <c r="BU35" t="s">
        <v>950</v>
      </c>
      <c r="BV35">
        <v>30.02</v>
      </c>
      <c r="BW35">
        <v>34.729999999999997</v>
      </c>
      <c r="BX35">
        <v>31.44</v>
      </c>
      <c r="BY35">
        <v>12.2</v>
      </c>
      <c r="BZ35">
        <v>8.35</v>
      </c>
      <c r="CA35">
        <v>5.04</v>
      </c>
      <c r="CB35">
        <v>-0.17</v>
      </c>
      <c r="CC35">
        <v>-15.38</v>
      </c>
      <c r="CD35" t="s">
        <v>2306</v>
      </c>
      <c r="CE35" t="s">
        <v>2307</v>
      </c>
      <c r="CF35" s="8">
        <v>-5.0125500507978246E-2</v>
      </c>
      <c r="CG35" s="9">
        <v>0.1410489623211767</v>
      </c>
      <c r="CH35" s="8">
        <v>8.4388189017772675E-2</v>
      </c>
      <c r="CI35" s="8">
        <v>-0.13345521688461304</v>
      </c>
      <c r="CJ35" s="8">
        <v>0.21826280653476715</v>
      </c>
      <c r="CK35" s="8">
        <v>-0.10199999809265137</v>
      </c>
      <c r="CL35" s="8">
        <v>0.10132158547639847</v>
      </c>
      <c r="CM35" s="9">
        <v>0.75757545232772827</v>
      </c>
      <c r="CN35" s="9">
        <v>0.47756555676460266</v>
      </c>
      <c r="CO35" s="9">
        <v>-0.13448964059352875</v>
      </c>
      <c r="CP35" s="9">
        <v>-0.2921454906463623</v>
      </c>
      <c r="CQ35" s="9">
        <v>0.20043723285198212</v>
      </c>
      <c r="CR35">
        <v>38.927267283000219</v>
      </c>
      <c r="CS35">
        <v>11.549927522325394</v>
      </c>
      <c r="CT35">
        <v>1.2396694214876034</v>
      </c>
      <c r="CU35" s="8">
        <v>3.3703473210334775E-2</v>
      </c>
      <c r="CV35" s="9">
        <v>0.20178862214088439</v>
      </c>
      <c r="CW35">
        <v>0.06</v>
      </c>
      <c r="CX35">
        <v>18.286791238310169</v>
      </c>
      <c r="CY35">
        <v>65941699.901607797</v>
      </c>
      <c r="CZ35">
        <v>3.3703473210334775E-2</v>
      </c>
      <c r="DA35">
        <v>6.2695979989813759</v>
      </c>
      <c r="DB35">
        <v>192334835.53425863</v>
      </c>
      <c r="DC35">
        <v>3.2018299549818031E-2</v>
      </c>
      <c r="DD35">
        <v>3.2861381967488859</v>
      </c>
      <c r="DE35">
        <v>366954165.58956951</v>
      </c>
      <c r="DF35">
        <v>2.9659056425094601E-2</v>
      </c>
      <c r="DG35">
        <v>2.1138028128939941</v>
      </c>
      <c r="DH35">
        <v>570470477.49409592</v>
      </c>
      <c r="DI35">
        <v>2.6962778568267821E-2</v>
      </c>
      <c r="DJ35">
        <v>1.2612206495268323</v>
      </c>
      <c r="DK35">
        <v>956107165.27072322</v>
      </c>
      <c r="DL35">
        <v>2.3592431247234341E-2</v>
      </c>
      <c r="DM35">
        <v>67619200</v>
      </c>
      <c r="DN35">
        <v>3.3703473210334775E-2</v>
      </c>
      <c r="DO35">
        <v>1205862100</v>
      </c>
      <c r="DP35">
        <v>570294100</v>
      </c>
      <c r="DQ35">
        <v>2117</v>
      </c>
      <c r="DR35">
        <v>-8.3828973718313021E-2</v>
      </c>
      <c r="DS35">
        <v>-6.0739659819707692E-2</v>
      </c>
      <c r="DT35" s="10">
        <v>-0.3066666666666667</v>
      </c>
      <c r="DU35">
        <v>0.46666666666666662</v>
      </c>
      <c r="DV35">
        <v>0.15999999999999992</v>
      </c>
      <c r="DW35">
        <v>-2.1537999999999999</v>
      </c>
      <c r="DX35">
        <v>0.33233686998813</v>
      </c>
      <c r="DY35">
        <v>-2.0203534106041747</v>
      </c>
      <c r="DZ35">
        <v>1351</v>
      </c>
      <c r="EA35">
        <v>-2.0149723034170437</v>
      </c>
      <c r="EB35">
        <v>2</v>
      </c>
      <c r="EC35">
        <v>5.6809015810849843E-2</v>
      </c>
      <c r="ED35">
        <v>0.42927580058335241</v>
      </c>
      <c r="EE35" s="11">
        <v>-4.0342000000000002</v>
      </c>
      <c r="EF35">
        <v>-4.0246000000000004</v>
      </c>
      <c r="EG35">
        <v>20.13233686998813</v>
      </c>
      <c r="EH35" t="s">
        <v>1739</v>
      </c>
      <c r="EI35">
        <v>0</v>
      </c>
      <c r="EJ35">
        <v>1</v>
      </c>
      <c r="EK35" s="13">
        <v>45470</v>
      </c>
      <c r="EL35" s="14">
        <v>-0.48</v>
      </c>
      <c r="EM35" s="14">
        <v>-5.18</v>
      </c>
      <c r="EN35" s="14">
        <v>1.45</v>
      </c>
      <c r="EO35" s="14">
        <v>4.63</v>
      </c>
      <c r="EP35" s="14">
        <v>-0.96</v>
      </c>
    </row>
    <row r="36" spans="1:146" ht="96" x14ac:dyDescent="0.25">
      <c r="A36" s="7"/>
      <c r="B36" s="7"/>
      <c r="C36" s="7" t="str">
        <f>""&amp;CHAR(10)&amp;Basic_Fundamental_Information_Constructure(F36)&amp;CHAR(10)&amp;Basic_Fundamental_Information_Concatenate("")</f>
        <v xml:space="preserve">
市值14.305073亿, 利润7674.03万; PE15.41; 平均PE20.72; 平均PEG1.76, PB1.75; ROIC6.0167%; ROE7.7133%; 股利率1.8916%; 毛利28.6133%; 净利4.56%; 上一年度营收增3.03%, 利润增2.4%; 当季营收增30%, 利润增166.71%; 过往5年营收增11.75%, 利润增119.59%
Income profile:
</v>
      </c>
      <c r="D36" t="s">
        <v>177</v>
      </c>
      <c r="E36" t="s">
        <v>436</v>
      </c>
      <c r="F36">
        <v>7.93</v>
      </c>
      <c r="G36">
        <v>1.67</v>
      </c>
      <c r="H36" t="s">
        <v>2308</v>
      </c>
      <c r="I36">
        <v>1430507300</v>
      </c>
      <c r="J36">
        <v>15.41</v>
      </c>
      <c r="K36">
        <v>1.75</v>
      </c>
      <c r="L36" t="s">
        <v>1762</v>
      </c>
      <c r="M36" t="s">
        <v>525</v>
      </c>
      <c r="N36" t="s">
        <v>2309</v>
      </c>
      <c r="O36" t="s">
        <v>1296</v>
      </c>
      <c r="P36">
        <v>29.61</v>
      </c>
      <c r="Q36" t="s">
        <v>2310</v>
      </c>
      <c r="R36">
        <v>6441130</v>
      </c>
      <c r="S36" s="6">
        <v>1.667</v>
      </c>
      <c r="T36" t="s">
        <v>2311</v>
      </c>
      <c r="U36">
        <v>166257560</v>
      </c>
      <c r="V36">
        <v>180391840</v>
      </c>
      <c r="W36">
        <v>1.7</v>
      </c>
      <c r="X36">
        <v>0.22</v>
      </c>
      <c r="Y36">
        <v>3.57</v>
      </c>
      <c r="Z36" t="s">
        <v>505</v>
      </c>
      <c r="AA36" t="s">
        <v>429</v>
      </c>
      <c r="AB36" t="s">
        <v>2312</v>
      </c>
      <c r="AC36" t="s">
        <v>2313</v>
      </c>
      <c r="AD36" t="s">
        <v>41</v>
      </c>
      <c r="AE36">
        <v>-4629188</v>
      </c>
      <c r="AF36" t="s">
        <v>2314</v>
      </c>
      <c r="AG36" t="s">
        <v>2315</v>
      </c>
      <c r="AH36" t="s">
        <v>2316</v>
      </c>
      <c r="AI36" t="s">
        <v>2317</v>
      </c>
      <c r="AJ36" t="s">
        <v>2318</v>
      </c>
      <c r="AK36" t="s">
        <v>41</v>
      </c>
      <c r="AL36" t="s">
        <v>2319</v>
      </c>
      <c r="AM36" t="s">
        <v>41</v>
      </c>
      <c r="AN36" t="s">
        <v>2320</v>
      </c>
      <c r="AO36" t="s">
        <v>2321</v>
      </c>
      <c r="AP36" t="s">
        <v>2322</v>
      </c>
      <c r="AQ36" t="s">
        <v>84</v>
      </c>
      <c r="AR36" t="s">
        <v>2323</v>
      </c>
      <c r="AS36" t="s">
        <v>2317</v>
      </c>
      <c r="AT36" t="s">
        <v>472</v>
      </c>
      <c r="AU36" t="s">
        <v>2324</v>
      </c>
      <c r="AV36" t="s">
        <v>2325</v>
      </c>
      <c r="AW36" t="s">
        <v>2326</v>
      </c>
      <c r="AX36" t="s">
        <v>687</v>
      </c>
      <c r="AY36" t="s">
        <v>745</v>
      </c>
      <c r="AZ36" t="s">
        <v>606</v>
      </c>
      <c r="BA36" t="s">
        <v>179</v>
      </c>
      <c r="BB36" t="s">
        <v>136</v>
      </c>
      <c r="BC36" t="s">
        <v>1179</v>
      </c>
      <c r="BD36" t="s">
        <v>746</v>
      </c>
      <c r="BE36" t="s">
        <v>649</v>
      </c>
      <c r="BF36" t="s">
        <v>180</v>
      </c>
      <c r="BG36" t="s">
        <v>439</v>
      </c>
      <c r="BH36" t="s">
        <v>2310</v>
      </c>
      <c r="BI36" t="s">
        <v>721</v>
      </c>
      <c r="BJ36" t="s">
        <v>687</v>
      </c>
      <c r="BK36" t="s">
        <v>2311</v>
      </c>
      <c r="BL36" t="s">
        <v>2327</v>
      </c>
      <c r="BM36" t="s">
        <v>1179</v>
      </c>
      <c r="BN36">
        <v>4.7699999999999996</v>
      </c>
      <c r="BO36">
        <v>8.33</v>
      </c>
      <c r="BP36">
        <v>4.95</v>
      </c>
      <c r="BQ36">
        <v>11.47</v>
      </c>
      <c r="BR36">
        <v>10.32</v>
      </c>
      <c r="BS36">
        <v>1.35</v>
      </c>
      <c r="BT36" t="s">
        <v>1087</v>
      </c>
      <c r="BU36" t="s">
        <v>950</v>
      </c>
      <c r="BV36">
        <v>33.04</v>
      </c>
      <c r="BW36">
        <v>28.93</v>
      </c>
      <c r="BX36">
        <v>23.87</v>
      </c>
      <c r="BY36">
        <v>6.46</v>
      </c>
      <c r="BZ36">
        <v>6.15</v>
      </c>
      <c r="CA36">
        <v>1.07</v>
      </c>
      <c r="CB36">
        <v>-1.86</v>
      </c>
      <c r="CC36">
        <v>-11</v>
      </c>
      <c r="CD36" t="s">
        <v>2328</v>
      </c>
      <c r="CE36" t="s">
        <v>2329</v>
      </c>
      <c r="CF36" s="8">
        <v>0.3</v>
      </c>
      <c r="CG36" s="9">
        <v>1.6670529509843519</v>
      </c>
      <c r="CH36" s="8">
        <v>3.0326003208756447E-2</v>
      </c>
      <c r="CI36" s="8">
        <v>-4.6276208013296127E-2</v>
      </c>
      <c r="CJ36" s="8">
        <v>0.27230909466743469</v>
      </c>
      <c r="CK36" s="8">
        <v>0.16630908846855164</v>
      </c>
      <c r="CL36" s="8">
        <v>0.16500000655651093</v>
      </c>
      <c r="CM36" s="9">
        <v>2.3978235200047493E-2</v>
      </c>
      <c r="CN36" s="9">
        <v>6.9165172576904297</v>
      </c>
      <c r="CO36" s="9">
        <v>-0.81733685731887817</v>
      </c>
      <c r="CP36" s="9">
        <v>-0.56079661846160889</v>
      </c>
      <c r="CQ36" s="9">
        <v>0.41731691360473633</v>
      </c>
      <c r="CR36">
        <v>20.720368431039404</v>
      </c>
      <c r="CS36">
        <v>1.7629315330994138</v>
      </c>
      <c r="CT36">
        <v>1.8915510718789408</v>
      </c>
      <c r="CU36" s="8">
        <v>0.11753359697759151</v>
      </c>
      <c r="CV36" s="9">
        <v>1.1959357861429454</v>
      </c>
      <c r="CW36">
        <v>0.06</v>
      </c>
      <c r="CX36">
        <v>14.826023342685714</v>
      </c>
      <c r="CY36">
        <v>80905531.596357986</v>
      </c>
      <c r="CZ36">
        <v>0.11753359697759151</v>
      </c>
      <c r="DA36">
        <v>4.7336988660605055</v>
      </c>
      <c r="DB36">
        <v>253397466.5351406</v>
      </c>
      <c r="DC36">
        <v>0.11165691712871192</v>
      </c>
      <c r="DD36">
        <v>2.2582491152015063</v>
      </c>
      <c r="DE36">
        <v>531166952.27531022</v>
      </c>
      <c r="DF36">
        <v>0.10342956534028053</v>
      </c>
      <c r="DG36">
        <v>1.3083403467708525</v>
      </c>
      <c r="DH36">
        <v>916815951.56836212</v>
      </c>
      <c r="DI36">
        <v>9.4026877582073218E-2</v>
      </c>
      <c r="DJ36">
        <v>0.62374119260355199</v>
      </c>
      <c r="DK36">
        <v>1923084949.693876</v>
      </c>
      <c r="DL36">
        <v>8.2273517884314057E-2</v>
      </c>
      <c r="DM36">
        <v>76740300</v>
      </c>
      <c r="DN36">
        <v>0.11753359697759151</v>
      </c>
      <c r="DO36">
        <v>1199507300</v>
      </c>
      <c r="DP36">
        <v>482423100</v>
      </c>
      <c r="DQ36">
        <v>2169</v>
      </c>
      <c r="DR36">
        <v>0.18246640302240846</v>
      </c>
      <c r="DS36">
        <v>0.47111716484140653</v>
      </c>
      <c r="DT36" s="10">
        <v>-9.000000000000008E-2</v>
      </c>
      <c r="DU36">
        <v>0.5066666666666666</v>
      </c>
      <c r="DV36">
        <v>0.41666666666666652</v>
      </c>
      <c r="DW36">
        <v>-2.11</v>
      </c>
      <c r="DX36">
        <v>0.27321095336461088</v>
      </c>
      <c r="DY36">
        <v>-2.0124532048701069</v>
      </c>
      <c r="DZ36">
        <v>841</v>
      </c>
      <c r="EA36">
        <v>-2.0104036656732851</v>
      </c>
      <c r="EB36">
        <v>2</v>
      </c>
      <c r="EC36">
        <v>5.736013336301686E-2</v>
      </c>
      <c r="ED36">
        <v>0.50666593344798749</v>
      </c>
      <c r="EE36" s="11">
        <v>-1.01461</v>
      </c>
      <c r="EF36">
        <v>-1.02441</v>
      </c>
      <c r="EG36">
        <v>16.113210953364611</v>
      </c>
      <c r="EH36" t="s">
        <v>1095</v>
      </c>
      <c r="EI36">
        <v>0</v>
      </c>
      <c r="EJ36">
        <v>1</v>
      </c>
      <c r="EK36" s="13">
        <v>45470</v>
      </c>
      <c r="EL36" s="14">
        <v>0</v>
      </c>
      <c r="EM36" s="14">
        <v>-4.0999999999999996</v>
      </c>
      <c r="EN36" s="14">
        <v>1.69</v>
      </c>
      <c r="EO36" s="14">
        <v>3.83</v>
      </c>
      <c r="EP36" s="14">
        <v>-0.98</v>
      </c>
    </row>
    <row r="37" spans="1:146" ht="180" x14ac:dyDescent="0.25">
      <c r="A37" s="7" t="s">
        <v>1099</v>
      </c>
      <c r="B37" s="7" t="s">
        <v>1096</v>
      </c>
      <c r="C37" s="7" t="str">
        <f>"公司从事人体工学产品的研发、生产及销售。主要产品为人体工学大屏支架、人体工学工作站系列产品。2019年，公司智慧健康升降工作站荣获了上格设计奖。"&amp;CHAR(10)&amp;Basic_Fundamental_Information_Constructure(F37)&amp;CHAR(10)&amp;Basic_Fundamental_Information_Concatenate("（境外占比94%）
人体工学工作站 11.20亿 72.34% 80.59% 42.47%
仓储物流服务 1.81亿 11.67% 1.11% 3.63%
其他自产销售 1.17亿 7.54% 12.36% 62.47%
人体工学大屏支架 8076.95万 5.22% 3.26% 23.84%
外购产品销售 3358.11万 2.17% 2.83% 49.68%")</f>
        <v>公司从事人体工学产品的研发、生产及销售。主要产品为人体工学大屏支架、人体工学工作站系列产品。2019年，公司智慧健康升降工作站荣获了上格设计奖。
市值45.967401亿, 利润6.34亿; PE14.52; 平均PE20.05; 平均PEG.55, PB1.49; ROIC8.84%; ROE13.49%; 股利率2.7229%; 毛利36.8867%; 净利9.8267%; 上一年度营收增21.63%, 利润增189.5%; 当季营收增40.95%, 利润增-79.89%; 过往5年营收增36.6%, 利润增89.41%
Income profile:
（境外占比94%）
人体工学工作站 11.20亿 72.34% 80.59% 42.47%
仓储物流服务 1.81亿 11.67% 1.11% 3.63%
其他自产销售 1.17亿 7.54% 12.36% 62.47%
人体工学大屏支架 8076.95万 5.22% 3.26% 23.84%
外购产品销售 3358.11万 2.17% 2.83% 49.68%</v>
      </c>
      <c r="D37" t="s">
        <v>182</v>
      </c>
      <c r="E37" t="s">
        <v>17</v>
      </c>
      <c r="F37">
        <v>14.69</v>
      </c>
      <c r="G37">
        <v>1.1000000000000001</v>
      </c>
      <c r="H37" t="s">
        <v>2330</v>
      </c>
      <c r="I37">
        <v>4596740100</v>
      </c>
      <c r="J37">
        <v>14.52</v>
      </c>
      <c r="K37">
        <v>1.49</v>
      </c>
      <c r="L37" t="s">
        <v>1762</v>
      </c>
      <c r="M37" t="s">
        <v>1457</v>
      </c>
      <c r="N37" t="s">
        <v>2331</v>
      </c>
      <c r="O37" t="s">
        <v>2332</v>
      </c>
      <c r="P37">
        <v>40.83</v>
      </c>
      <c r="Q37" t="s">
        <v>2333</v>
      </c>
      <c r="R37">
        <v>79851037</v>
      </c>
      <c r="S37" s="5">
        <v>-0.79890000000000005</v>
      </c>
      <c r="T37" t="s">
        <v>525</v>
      </c>
      <c r="U37">
        <v>294402450</v>
      </c>
      <c r="V37">
        <v>312916270</v>
      </c>
      <c r="W37">
        <v>2.39</v>
      </c>
      <c r="X37">
        <v>0.16</v>
      </c>
      <c r="Y37">
        <v>7.12</v>
      </c>
      <c r="Z37" t="s">
        <v>959</v>
      </c>
      <c r="AA37" t="s">
        <v>2334</v>
      </c>
      <c r="AB37" t="s">
        <v>343</v>
      </c>
      <c r="AC37" t="s">
        <v>2335</v>
      </c>
      <c r="AD37" t="s">
        <v>41</v>
      </c>
      <c r="AE37">
        <v>16335925</v>
      </c>
      <c r="AF37" t="s">
        <v>2336</v>
      </c>
      <c r="AG37" t="s">
        <v>2337</v>
      </c>
      <c r="AH37" t="s">
        <v>2338</v>
      </c>
      <c r="AI37" t="s">
        <v>2339</v>
      </c>
      <c r="AJ37" t="s">
        <v>2340</v>
      </c>
      <c r="AK37" t="s">
        <v>2341</v>
      </c>
      <c r="AL37" t="s">
        <v>2342</v>
      </c>
      <c r="AM37" t="s">
        <v>41</v>
      </c>
      <c r="AN37" t="s">
        <v>2343</v>
      </c>
      <c r="AO37" t="s">
        <v>604</v>
      </c>
      <c r="AP37" t="s">
        <v>228</v>
      </c>
      <c r="AQ37" t="s">
        <v>2344</v>
      </c>
      <c r="AR37" t="s">
        <v>2345</v>
      </c>
      <c r="AS37" t="s">
        <v>2346</v>
      </c>
      <c r="AT37" t="s">
        <v>643</v>
      </c>
      <c r="AU37" t="s">
        <v>149</v>
      </c>
      <c r="AV37" t="s">
        <v>2347</v>
      </c>
      <c r="AW37" t="s">
        <v>99</v>
      </c>
      <c r="AX37" t="s">
        <v>637</v>
      </c>
      <c r="AY37" t="s">
        <v>747</v>
      </c>
      <c r="AZ37" t="s">
        <v>131</v>
      </c>
      <c r="BA37" t="s">
        <v>183</v>
      </c>
      <c r="BB37" t="s">
        <v>440</v>
      </c>
      <c r="BC37" t="s">
        <v>83</v>
      </c>
      <c r="BD37" t="s">
        <v>250</v>
      </c>
      <c r="BE37" t="s">
        <v>404</v>
      </c>
      <c r="BF37" t="s">
        <v>184</v>
      </c>
      <c r="BG37" t="s">
        <v>441</v>
      </c>
      <c r="BH37" t="s">
        <v>2333</v>
      </c>
      <c r="BI37" t="s">
        <v>334</v>
      </c>
      <c r="BJ37" t="s">
        <v>637</v>
      </c>
      <c r="BK37" t="s">
        <v>525</v>
      </c>
      <c r="BL37" t="s">
        <v>2348</v>
      </c>
      <c r="BM37" t="s">
        <v>83</v>
      </c>
      <c r="BN37">
        <v>11.49</v>
      </c>
      <c r="BO37">
        <v>6.92</v>
      </c>
      <c r="BP37">
        <v>8.11</v>
      </c>
      <c r="BQ37">
        <v>19.21</v>
      </c>
      <c r="BR37">
        <v>10.66</v>
      </c>
      <c r="BS37">
        <v>10.6</v>
      </c>
      <c r="BT37" t="s">
        <v>2349</v>
      </c>
      <c r="BU37" t="s">
        <v>1777</v>
      </c>
      <c r="BV37">
        <v>36.53</v>
      </c>
      <c r="BW37">
        <v>34.409999999999997</v>
      </c>
      <c r="BX37">
        <v>39.72</v>
      </c>
      <c r="BY37">
        <v>16.239999999999998</v>
      </c>
      <c r="BZ37">
        <v>6.82</v>
      </c>
      <c r="CA37">
        <v>6.42</v>
      </c>
      <c r="CB37">
        <v>-5.16</v>
      </c>
      <c r="CC37">
        <v>-12.14</v>
      </c>
      <c r="CD37" t="s">
        <v>2350</v>
      </c>
      <c r="CE37" t="s">
        <v>256</v>
      </c>
      <c r="CF37" s="8">
        <v>0.40954773869346733</v>
      </c>
      <c r="CG37" s="9">
        <v>-0.79886388664987407</v>
      </c>
      <c r="CH37" s="8">
        <v>0.21633420884609222</v>
      </c>
      <c r="CI37" s="8">
        <v>0.11738067865371704</v>
      </c>
      <c r="CJ37" s="8">
        <v>0.47913455963134766</v>
      </c>
      <c r="CK37" s="8">
        <v>0.98466253280639648</v>
      </c>
      <c r="CL37" s="8">
        <v>3.2734952867031097E-2</v>
      </c>
      <c r="CM37" s="9">
        <v>1.8949772119522095</v>
      </c>
      <c r="CN37" s="9">
        <v>0.18378378450870514</v>
      </c>
      <c r="CO37" s="9">
        <v>-0.14746543765068054</v>
      </c>
      <c r="CP37" s="9">
        <v>2.4455108642578125</v>
      </c>
      <c r="CQ37" s="9">
        <v>9.3584232032299042E-2</v>
      </c>
      <c r="CR37">
        <v>20.050170132935303</v>
      </c>
      <c r="CS37">
        <v>0.54774494560172171</v>
      </c>
      <c r="CT37">
        <v>2.7229407760381212</v>
      </c>
      <c r="CU37" s="8">
        <v>0.3660493865609169</v>
      </c>
      <c r="CV37" s="9">
        <v>0.89407813102006917</v>
      </c>
      <c r="CW37">
        <v>0.06</v>
      </c>
      <c r="CX37">
        <v>6.4203244623940163</v>
      </c>
      <c r="CY37">
        <v>817052180.26379371</v>
      </c>
      <c r="CZ37">
        <v>0.3660493865609169</v>
      </c>
      <c r="DA37">
        <v>1.6737136197888443</v>
      </c>
      <c r="DB37">
        <v>3134192156.8767557</v>
      </c>
      <c r="DC37">
        <v>0.34774691723287104</v>
      </c>
      <c r="DD37">
        <v>0.59321595631545865</v>
      </c>
      <c r="DE37">
        <v>8842884356.2839622</v>
      </c>
      <c r="DF37">
        <v>0.32212346017360688</v>
      </c>
      <c r="DG37">
        <v>0.23712264588565554</v>
      </c>
      <c r="DH37">
        <v>22122476241.80772</v>
      </c>
      <c r="DI37">
        <v>0.29283950924873353</v>
      </c>
      <c r="DJ37">
        <v>4.4762162925169054E-2</v>
      </c>
      <c r="DK37">
        <v>117191390165.16119</v>
      </c>
      <c r="DL37">
        <v>0.25623457059264182</v>
      </c>
      <c r="DM37">
        <v>634000000</v>
      </c>
      <c r="DN37">
        <v>0.3660493865609169</v>
      </c>
      <c r="DO37">
        <v>5245740100</v>
      </c>
      <c r="DP37">
        <v>1099298300</v>
      </c>
      <c r="DQ37">
        <v>2192</v>
      </c>
      <c r="DR37">
        <v>4.3498352132550433E-2</v>
      </c>
      <c r="DS37">
        <v>-1.6929420176699432</v>
      </c>
      <c r="DT37" s="10">
        <v>9.3333333333333338E-2</v>
      </c>
      <c r="DU37">
        <v>0.47500000000000003</v>
      </c>
      <c r="DV37">
        <v>0.56833333333333336</v>
      </c>
      <c r="DW37">
        <v>-8.4250411861614491</v>
      </c>
      <c r="DX37">
        <v>0.29004521739130268</v>
      </c>
      <c r="DY37">
        <v>-8.0467737497313951</v>
      </c>
      <c r="DZ37">
        <v>616</v>
      </c>
      <c r="EA37">
        <v>-8.0411352703117203</v>
      </c>
      <c r="EB37">
        <v>8</v>
      </c>
      <c r="EC37">
        <v>4.0442767645159521E-2</v>
      </c>
      <c r="ED37">
        <v>0.3675104525565257</v>
      </c>
      <c r="EE37" s="11">
        <v>3.0952000000000002</v>
      </c>
      <c r="EF37">
        <v>3.0836000000000001</v>
      </c>
      <c r="EG37">
        <v>18.110045217391303</v>
      </c>
      <c r="EH37" t="s">
        <v>1138</v>
      </c>
      <c r="EI37">
        <v>0</v>
      </c>
      <c r="EJ37">
        <v>1</v>
      </c>
      <c r="EK37" s="13">
        <v>45470</v>
      </c>
      <c r="EL37" s="14">
        <v>0.51</v>
      </c>
      <c r="EM37" s="14">
        <v>-4.26</v>
      </c>
      <c r="EN37" s="14">
        <v>0.33</v>
      </c>
      <c r="EO37" s="14">
        <v>2.4500000000000002</v>
      </c>
      <c r="EP37" s="14">
        <v>-1.1599999999999999</v>
      </c>
    </row>
    <row r="38" spans="1:146" ht="96" x14ac:dyDescent="0.25">
      <c r="A38" s="7"/>
      <c r="B38" s="7"/>
      <c r="C38" s="7" t="str">
        <f>""&amp;CHAR(10)&amp;Basic_Fundamental_Information_Constructure(F38)&amp;CHAR(10)&amp;Basic_Fundamental_Information_Concatenate("")</f>
        <v xml:space="preserve">
市值10.8267737亿, 利润1985.33万; PE185.8; 平均PE47.83; 平均PEG4.21, PB1.51; ROIC2.945%; ROE-1.0967%; 股利率.5703%; 毛利30.6167%; 净利-1.2867%; 上一年度营收增19.66%, 利润增-19.49%; 当季营收增-1.79%, 利润增-296.28%; 过往5年营收增11.37%, 利润增-90.18%
Income profile:
</v>
      </c>
      <c r="D38" t="s">
        <v>186</v>
      </c>
      <c r="E38" t="s">
        <v>9</v>
      </c>
      <c r="F38">
        <v>5.26</v>
      </c>
      <c r="G38">
        <v>2.14</v>
      </c>
      <c r="H38" t="s">
        <v>2351</v>
      </c>
      <c r="I38">
        <v>1082677370</v>
      </c>
      <c r="J38">
        <v>185.8</v>
      </c>
      <c r="K38">
        <v>1.51</v>
      </c>
      <c r="L38" t="s">
        <v>1762</v>
      </c>
      <c r="M38" t="s">
        <v>541</v>
      </c>
      <c r="N38" t="s">
        <v>1204</v>
      </c>
      <c r="O38" t="s">
        <v>206</v>
      </c>
      <c r="P38">
        <v>-1.63</v>
      </c>
      <c r="Q38" t="s">
        <v>390</v>
      </c>
      <c r="R38">
        <v>-9291108</v>
      </c>
      <c r="S38" s="5">
        <v>-2.9630000000000001</v>
      </c>
      <c r="T38" t="s">
        <v>2352</v>
      </c>
      <c r="U38">
        <v>155720850</v>
      </c>
      <c r="V38">
        <v>205832200</v>
      </c>
      <c r="W38">
        <v>2.1</v>
      </c>
      <c r="X38">
        <v>0.14000000000000001</v>
      </c>
      <c r="Y38">
        <v>-4.22</v>
      </c>
      <c r="Z38" t="s">
        <v>209</v>
      </c>
      <c r="AA38" t="s">
        <v>527</v>
      </c>
      <c r="AB38" t="s">
        <v>2353</v>
      </c>
      <c r="AC38" t="s">
        <v>2354</v>
      </c>
      <c r="AD38" t="s">
        <v>41</v>
      </c>
      <c r="AE38">
        <v>873958</v>
      </c>
      <c r="AF38" t="s">
        <v>2355</v>
      </c>
      <c r="AG38">
        <v>4648.6499999999996</v>
      </c>
      <c r="AH38" t="s">
        <v>2356</v>
      </c>
      <c r="AI38" t="s">
        <v>114</v>
      </c>
      <c r="AJ38" t="s">
        <v>2357</v>
      </c>
      <c r="AK38" t="s">
        <v>2358</v>
      </c>
      <c r="AL38" t="s">
        <v>2359</v>
      </c>
      <c r="AM38" t="s">
        <v>41</v>
      </c>
      <c r="AN38" t="s">
        <v>2360</v>
      </c>
      <c r="AO38" t="s">
        <v>41</v>
      </c>
      <c r="AP38" t="s">
        <v>682</v>
      </c>
      <c r="AQ38" t="s">
        <v>169</v>
      </c>
      <c r="AR38" t="s">
        <v>41</v>
      </c>
      <c r="AS38" t="s">
        <v>2361</v>
      </c>
      <c r="AT38" t="s">
        <v>328</v>
      </c>
      <c r="AU38" t="s">
        <v>2362</v>
      </c>
      <c r="AV38" t="s">
        <v>2363</v>
      </c>
      <c r="AW38" t="s">
        <v>2364</v>
      </c>
      <c r="AX38" t="s">
        <v>959</v>
      </c>
      <c r="AY38" t="s">
        <v>622</v>
      </c>
      <c r="AZ38" t="s">
        <v>358</v>
      </c>
      <c r="BA38" t="s">
        <v>187</v>
      </c>
      <c r="BB38" t="s">
        <v>443</v>
      </c>
      <c r="BC38" t="s">
        <v>2365</v>
      </c>
      <c r="BD38" t="s">
        <v>748</v>
      </c>
      <c r="BE38" t="s">
        <v>442</v>
      </c>
      <c r="BF38" t="s">
        <v>188</v>
      </c>
      <c r="BG38" t="s">
        <v>444</v>
      </c>
      <c r="BH38" t="s">
        <v>390</v>
      </c>
      <c r="BI38" t="s">
        <v>1732</v>
      </c>
      <c r="BJ38" t="s">
        <v>959</v>
      </c>
      <c r="BK38" t="s">
        <v>2352</v>
      </c>
      <c r="BL38" t="s">
        <v>2366</v>
      </c>
      <c r="BM38" t="s">
        <v>2365</v>
      </c>
      <c r="BN38">
        <v>3.72</v>
      </c>
      <c r="BO38">
        <v>2.17</v>
      </c>
      <c r="BP38" t="s">
        <v>41</v>
      </c>
      <c r="BQ38">
        <v>4.5599999999999996</v>
      </c>
      <c r="BR38">
        <v>3.43</v>
      </c>
      <c r="BS38">
        <v>-11.28</v>
      </c>
      <c r="BT38" t="s">
        <v>1088</v>
      </c>
      <c r="BU38" t="s">
        <v>2063</v>
      </c>
      <c r="BV38">
        <v>27.91</v>
      </c>
      <c r="BW38">
        <v>31.11</v>
      </c>
      <c r="BX38">
        <v>32.83</v>
      </c>
      <c r="BY38">
        <v>1.35</v>
      </c>
      <c r="BZ38">
        <v>1.48</v>
      </c>
      <c r="CA38">
        <v>-6.69</v>
      </c>
      <c r="CB38">
        <v>-0.75</v>
      </c>
      <c r="CC38">
        <v>-15.02</v>
      </c>
      <c r="CD38" t="s">
        <v>2367</v>
      </c>
      <c r="CE38" t="s">
        <v>203</v>
      </c>
      <c r="CF38" s="8">
        <v>-1.7857142857142856E-2</v>
      </c>
      <c r="CG38" s="9">
        <v>-2.9627995605881359</v>
      </c>
      <c r="CH38" s="8">
        <v>0.19664491713047028</v>
      </c>
      <c r="CI38" s="8">
        <v>-0.17334359884262085</v>
      </c>
      <c r="CJ38" s="8">
        <v>0.48853209614753723</v>
      </c>
      <c r="CK38" s="8">
        <v>-6.2365591526031494E-2</v>
      </c>
      <c r="CL38" s="8">
        <v>0.11913357675075531</v>
      </c>
      <c r="CM38" s="9">
        <v>-0.19485032558441162</v>
      </c>
      <c r="CN38" s="9">
        <v>1.2906798124313354</v>
      </c>
      <c r="CO38" s="9">
        <v>-4.901771068572998</v>
      </c>
      <c r="CP38" s="9">
        <v>-0.72086626291275024</v>
      </c>
      <c r="CQ38" s="9">
        <v>1.7966898158192635E-2</v>
      </c>
      <c r="CR38">
        <v>47.827107158607575</v>
      </c>
      <c r="CS38">
        <v>4.2056796894271544</v>
      </c>
      <c r="CT38">
        <v>0.57034220532319391</v>
      </c>
      <c r="CU38" s="8">
        <v>0.11372027993202209</v>
      </c>
      <c r="CV38" s="9">
        <v>-0.90176818929612634</v>
      </c>
      <c r="CW38">
        <v>0.06</v>
      </c>
      <c r="CX38">
        <v>62.83372879930252</v>
      </c>
      <c r="CY38">
        <v>20859455.503372084</v>
      </c>
      <c r="CZ38">
        <v>0.11372027993202209</v>
      </c>
      <c r="DA38">
        <v>20.126251605313467</v>
      </c>
      <c r="DB38">
        <v>65122775.75094869</v>
      </c>
      <c r="DC38">
        <v>0.10803426593542098</v>
      </c>
      <c r="DD38">
        <v>9.643488482537391</v>
      </c>
      <c r="DE38">
        <v>135913199.08489537</v>
      </c>
      <c r="DF38">
        <v>0.10007384634017945</v>
      </c>
      <c r="DG38">
        <v>5.6153391660265282</v>
      </c>
      <c r="DH38">
        <v>233410187.92413366</v>
      </c>
      <c r="DI38">
        <v>9.0976223945617676E-2</v>
      </c>
      <c r="DJ38">
        <v>2.7079756919963649</v>
      </c>
      <c r="DK38">
        <v>484006327.63204265</v>
      </c>
      <c r="DL38">
        <v>7.9604195952415455E-2</v>
      </c>
      <c r="DM38">
        <v>19853300</v>
      </c>
      <c r="DN38">
        <v>0.11372027993202209</v>
      </c>
      <c r="DO38">
        <v>1310677370</v>
      </c>
      <c r="DP38">
        <v>82895380</v>
      </c>
      <c r="DQ38">
        <v>2209</v>
      </c>
      <c r="DR38">
        <v>-0.13157742278916496</v>
      </c>
      <c r="DS38">
        <v>-2.0610313712920094</v>
      </c>
      <c r="DT38" s="10">
        <v>-0.28999999999999998</v>
      </c>
      <c r="DU38">
        <v>-1.6816666666666666</v>
      </c>
      <c r="DV38">
        <v>-1.9716666666666667</v>
      </c>
      <c r="DW38">
        <v>-2.1501999999999999</v>
      </c>
      <c r="DX38">
        <v>0.31149200000000032</v>
      </c>
      <c r="DY38">
        <v>-2.0152440984000002</v>
      </c>
      <c r="DZ38">
        <v>728</v>
      </c>
      <c r="EA38">
        <v>-2.0130723364361645</v>
      </c>
      <c r="EB38">
        <v>2</v>
      </c>
      <c r="EC38">
        <v>4.93081257451458E-2</v>
      </c>
      <c r="ED38">
        <v>0.48583263454406067</v>
      </c>
      <c r="EE38" s="11">
        <v>1.4199999999999997E-2</v>
      </c>
      <c r="EF38">
        <v>8.8099999999999984E-3</v>
      </c>
      <c r="EG38">
        <v>21.101492</v>
      </c>
      <c r="EH38">
        <v>-1</v>
      </c>
      <c r="EI38">
        <v>0</v>
      </c>
      <c r="EJ38">
        <v>1</v>
      </c>
      <c r="EK38" s="13">
        <v>45470</v>
      </c>
      <c r="EL38" s="14">
        <v>-1.91</v>
      </c>
      <c r="EM38" s="14">
        <v>-2.5499999999999998</v>
      </c>
      <c r="EN38" s="14">
        <v>0.39</v>
      </c>
      <c r="EO38" s="14">
        <v>2.0299999999999998</v>
      </c>
      <c r="EP38" s="14">
        <v>-2.2999999999999998</v>
      </c>
    </row>
    <row r="39" spans="1:146" ht="96" x14ac:dyDescent="0.25">
      <c r="A39" s="7"/>
      <c r="B39" s="7"/>
      <c r="C39" s="7" t="str">
        <f>""&amp;CHAR(10)&amp;Basic_Fundamental_Information_Constructure(F39)&amp;CHAR(10)&amp;Basic_Fundamental_Information_Concatenate("")</f>
        <v xml:space="preserve">
市值38.5164亿, 利润1.57亿; PE24.45; 平均PE35.77; 平均PEG2.09, PB2.86; ROIC12.1633%; ROE11.77%; 股利率1.44%; 毛利43.3%; 净利26.3267%; 上一年度营收增5.19%, 利润增12.14%; 当季营收增18.49%, 利润增-2.77%; 过往5年营收增17.11%, 利润增26.68%
Income profile:
</v>
      </c>
      <c r="D39" t="s">
        <v>650</v>
      </c>
      <c r="E39" t="s">
        <v>651</v>
      </c>
      <c r="F39">
        <v>12.5</v>
      </c>
      <c r="G39">
        <v>1.71</v>
      </c>
      <c r="H39" t="s">
        <v>1737</v>
      </c>
      <c r="I39">
        <v>3851640000</v>
      </c>
      <c r="J39">
        <v>24.45</v>
      </c>
      <c r="K39">
        <v>2.86</v>
      </c>
      <c r="L39" t="s">
        <v>59</v>
      </c>
      <c r="M39" t="s">
        <v>107</v>
      </c>
      <c r="N39" t="s">
        <v>801</v>
      </c>
      <c r="O39" t="s">
        <v>271</v>
      </c>
      <c r="P39">
        <v>18.809999999999999</v>
      </c>
      <c r="Q39" t="s">
        <v>701</v>
      </c>
      <c r="R39">
        <v>119671985</v>
      </c>
      <c r="S39" s="5">
        <v>7.4900000000000001E-3</v>
      </c>
      <c r="T39" t="s">
        <v>1034</v>
      </c>
      <c r="U39">
        <v>99461700</v>
      </c>
      <c r="V39">
        <v>308131200</v>
      </c>
      <c r="W39">
        <v>1.08</v>
      </c>
      <c r="X39">
        <v>0.34</v>
      </c>
      <c r="Y39">
        <v>25.07</v>
      </c>
      <c r="Z39" t="s">
        <v>159</v>
      </c>
      <c r="AA39" t="s">
        <v>1402</v>
      </c>
      <c r="AB39" t="s">
        <v>1582</v>
      </c>
      <c r="AC39" t="s">
        <v>1583</v>
      </c>
      <c r="AD39" t="s">
        <v>1285</v>
      </c>
      <c r="AE39">
        <v>-10244583</v>
      </c>
      <c r="AF39" t="s">
        <v>1584</v>
      </c>
      <c r="AG39" t="s">
        <v>1585</v>
      </c>
      <c r="AH39" t="s">
        <v>1586</v>
      </c>
      <c r="AI39" t="s">
        <v>686</v>
      </c>
      <c r="AJ39" t="s">
        <v>1587</v>
      </c>
      <c r="AK39" t="s">
        <v>41</v>
      </c>
      <c r="AL39" t="s">
        <v>1588</v>
      </c>
      <c r="AM39" t="s">
        <v>41</v>
      </c>
      <c r="AN39" t="s">
        <v>1589</v>
      </c>
      <c r="AO39" t="s">
        <v>41</v>
      </c>
      <c r="AP39" t="s">
        <v>41</v>
      </c>
      <c r="AQ39" t="s">
        <v>1590</v>
      </c>
      <c r="AR39" t="s">
        <v>41</v>
      </c>
      <c r="AS39" t="s">
        <v>1591</v>
      </c>
      <c r="AT39" t="s">
        <v>41</v>
      </c>
      <c r="AU39" t="s">
        <v>180</v>
      </c>
      <c r="AV39" t="s">
        <v>1592</v>
      </c>
      <c r="AW39" t="s">
        <v>1593</v>
      </c>
      <c r="AX39" t="s">
        <v>397</v>
      </c>
      <c r="AY39" t="s">
        <v>617</v>
      </c>
      <c r="AZ39" t="s">
        <v>421</v>
      </c>
      <c r="BA39" t="s">
        <v>652</v>
      </c>
      <c r="BB39" t="s">
        <v>272</v>
      </c>
      <c r="BC39" t="s">
        <v>168</v>
      </c>
      <c r="BD39" t="s">
        <v>449</v>
      </c>
      <c r="BE39" t="s">
        <v>100</v>
      </c>
      <c r="BF39" t="s">
        <v>653</v>
      </c>
      <c r="BG39" t="s">
        <v>654</v>
      </c>
      <c r="BH39" t="s">
        <v>978</v>
      </c>
      <c r="BI39" t="s">
        <v>430</v>
      </c>
      <c r="BJ39" t="s">
        <v>272</v>
      </c>
      <c r="BK39" t="s">
        <v>1594</v>
      </c>
      <c r="BL39" t="s">
        <v>251</v>
      </c>
      <c r="BM39" t="s">
        <v>1286</v>
      </c>
      <c r="BN39">
        <v>2.08</v>
      </c>
      <c r="BO39">
        <v>14.94</v>
      </c>
      <c r="BP39">
        <v>19.47</v>
      </c>
      <c r="BQ39">
        <v>2.1</v>
      </c>
      <c r="BR39">
        <v>15.2</v>
      </c>
      <c r="BS39">
        <v>18.010000000000002</v>
      </c>
      <c r="BT39" t="s">
        <v>1180</v>
      </c>
      <c r="BU39" t="s">
        <v>843</v>
      </c>
      <c r="BV39">
        <v>39.75</v>
      </c>
      <c r="BW39">
        <v>43.57</v>
      </c>
      <c r="BX39">
        <v>46.58</v>
      </c>
      <c r="BY39">
        <v>23.95</v>
      </c>
      <c r="BZ39">
        <v>26.97</v>
      </c>
      <c r="CA39">
        <v>28.06</v>
      </c>
      <c r="CB39">
        <v>16.82</v>
      </c>
      <c r="CC39">
        <v>32.56</v>
      </c>
      <c r="CD39" t="s">
        <v>1738</v>
      </c>
      <c r="CE39" t="s">
        <v>74</v>
      </c>
      <c r="CF39" s="8">
        <v>0.18493150684931514</v>
      </c>
      <c r="CG39" s="9">
        <v>-2.7673534079484176E-2</v>
      </c>
      <c r="CH39" s="8">
        <v>5.1923077553510666E-2</v>
      </c>
      <c r="CI39" s="8">
        <v>0.35064935684204102</v>
      </c>
      <c r="CJ39" s="8">
        <v>2.6041667442768812E-3</v>
      </c>
      <c r="CK39" s="8">
        <v>0.19254659116268158</v>
      </c>
      <c r="CL39" s="8">
        <v>0.2578125</v>
      </c>
      <c r="CM39" s="9">
        <v>0.12142857164144516</v>
      </c>
      <c r="CN39" s="9">
        <v>0.29629629850387573</v>
      </c>
      <c r="CO39" s="9">
        <v>-9.1743115335702896E-3</v>
      </c>
      <c r="CP39" s="9">
        <v>0.34811052680015564</v>
      </c>
      <c r="CQ39" s="9">
        <v>0.57754170894622803</v>
      </c>
      <c r="CR39">
        <v>35.767821738504615</v>
      </c>
      <c r="CS39">
        <v>2.090375776271963</v>
      </c>
      <c r="CT39">
        <v>1.44</v>
      </c>
      <c r="CU39" s="8">
        <v>0.17110713846050202</v>
      </c>
      <c r="CV39" s="9">
        <v>0.26684055887162683</v>
      </c>
      <c r="CW39">
        <v>0.06</v>
      </c>
      <c r="CX39">
        <v>15.016104793828539</v>
      </c>
      <c r="CY39">
        <v>173456434.65877247</v>
      </c>
      <c r="CZ39">
        <v>0.17110713846050202</v>
      </c>
      <c r="DA39">
        <v>4.5843757199342354</v>
      </c>
      <c r="DB39">
        <v>568155875.32981801</v>
      </c>
      <c r="DC39">
        <v>0.1625517815374769</v>
      </c>
      <c r="DD39">
        <v>2.0550244227621999</v>
      </c>
      <c r="DE39">
        <v>1267449657.1184545</v>
      </c>
      <c r="DF39">
        <v>0.15057428184524177</v>
      </c>
      <c r="DG39">
        <v>1.1062153934172043</v>
      </c>
      <c r="DH39">
        <v>2354550493.0590596</v>
      </c>
      <c r="DI39">
        <v>0.13688571076840161</v>
      </c>
      <c r="DJ39">
        <v>0.44375376241399594</v>
      </c>
      <c r="DK39">
        <v>5869561501.4752827</v>
      </c>
      <c r="DL39">
        <v>0.1197749969223514</v>
      </c>
      <c r="DM39">
        <v>157000000</v>
      </c>
      <c r="DN39">
        <v>0.17110713846050202</v>
      </c>
      <c r="DO39">
        <v>2604640000</v>
      </c>
      <c r="DP39">
        <v>740208830</v>
      </c>
      <c r="DQ39">
        <v>2450</v>
      </c>
      <c r="DR39">
        <v>1.3824368388813124E-2</v>
      </c>
      <c r="DS39">
        <v>-0.29451409295111103</v>
      </c>
      <c r="DT39" s="10">
        <v>-7.3333333333333403E-2</v>
      </c>
      <c r="DU39">
        <v>0.36666666666666664</v>
      </c>
      <c r="DV39">
        <v>0.29333333333333322</v>
      </c>
      <c r="DW39">
        <v>9.5165847665847672</v>
      </c>
      <c r="DX39">
        <v>0.66501833333333449</v>
      </c>
      <c r="DY39">
        <v>9.1627336721949231</v>
      </c>
      <c r="DZ39">
        <v>1539</v>
      </c>
      <c r="EA39">
        <v>9.1137799736984437</v>
      </c>
      <c r="EB39">
        <v>9</v>
      </c>
      <c r="EC39">
        <v>0.12268215617243564</v>
      </c>
      <c r="ED39">
        <v>0.38944449637037731</v>
      </c>
      <c r="EE39" s="11">
        <v>3.1374</v>
      </c>
      <c r="EF39">
        <v>4.0045000000000002</v>
      </c>
      <c r="EG39">
        <v>35.315018333333335</v>
      </c>
      <c r="EH39" t="s">
        <v>1632</v>
      </c>
      <c r="EI39">
        <v>1</v>
      </c>
      <c r="EJ39">
        <v>0</v>
      </c>
      <c r="EK39" s="13">
        <v>45385</v>
      </c>
      <c r="EL39" s="14">
        <v>2.06</v>
      </c>
      <c r="EM39" s="14">
        <v>2.0099999999999998</v>
      </c>
      <c r="EN39" s="14">
        <v>-0.77</v>
      </c>
      <c r="EO39" s="14">
        <v>8.14</v>
      </c>
      <c r="EP39" s="14">
        <v>0.31</v>
      </c>
    </row>
    <row r="40" spans="1:146" ht="132" x14ac:dyDescent="0.25">
      <c r="A40" s="15" t="s">
        <v>1711</v>
      </c>
      <c r="B40" s="7" t="s">
        <v>1712</v>
      </c>
      <c r="C40" s="7" t="str">
        <f>"公司的主营业务为各种不同材质的饮品、食品容器的研发设计、生产与销售。"&amp;CHAR(10)&amp;Basic_Fundamental_Information_Constructure(F40)&amp;CHAR(10)&amp;Basic_Fundamental_Information_Concatenate("境外占比94%；
不锈钢真空保温器皿产品 6.21亿 95.03% 96.71% 38.95%
其他业务 2191.86万 3.36% 3.29% 37.54%")</f>
        <v>公司的主营业务为各种不同材质的饮品、食品容器的研发设计、生产与销售。
市值89.232亿, 利润2357.92万; PE16.95; 平均PE89.87; 平均PEG3.93, PB6.25; ROIC27.08%; ROE28.4267%; 股利率2.331%; 毛利34.57%; 净利20.68%; 上一年度营收增-60.87%, 利润增-91.33%; 当季营收增407.54%, 利润增1387.9%; 过往5年营收增22.87%, 利润增29.02%
Income profile:
境外占比94%；
不锈钢真空保温器皿产品 6.21亿 95.03% 96.71% 38.95%
其他业务 2191.86万 3.36% 3.29% 37.54%</v>
      </c>
      <c r="D40" t="s">
        <v>574</v>
      </c>
      <c r="E40" t="s">
        <v>655</v>
      </c>
      <c r="F40">
        <v>85.8</v>
      </c>
      <c r="G40">
        <v>-0.16</v>
      </c>
      <c r="H40" t="s">
        <v>2368</v>
      </c>
      <c r="I40">
        <v>8923200000</v>
      </c>
      <c r="J40">
        <v>16.95</v>
      </c>
      <c r="K40">
        <v>6.25</v>
      </c>
      <c r="L40" t="s">
        <v>1762</v>
      </c>
      <c r="M40" t="s">
        <v>2369</v>
      </c>
      <c r="N40" t="s">
        <v>2370</v>
      </c>
      <c r="O40" t="s">
        <v>2371</v>
      </c>
      <c r="P40">
        <v>78.2</v>
      </c>
      <c r="Q40" t="s">
        <v>1726</v>
      </c>
      <c r="R40">
        <v>107479948</v>
      </c>
      <c r="S40" s="5">
        <v>1.022</v>
      </c>
      <c r="T40" t="s">
        <v>2372</v>
      </c>
      <c r="U40">
        <v>95023362</v>
      </c>
      <c r="V40">
        <v>104000000</v>
      </c>
      <c r="W40">
        <v>1.25</v>
      </c>
      <c r="X40">
        <v>0.25</v>
      </c>
      <c r="Y40">
        <v>24.88</v>
      </c>
      <c r="Z40" t="s">
        <v>978</v>
      </c>
      <c r="AA40" t="s">
        <v>986</v>
      </c>
      <c r="AB40" t="s">
        <v>2373</v>
      </c>
      <c r="AC40" t="s">
        <v>2374</v>
      </c>
      <c r="AD40" t="s">
        <v>41</v>
      </c>
      <c r="AE40">
        <v>-3610388</v>
      </c>
      <c r="AF40" t="s">
        <v>2375</v>
      </c>
      <c r="AG40" t="s">
        <v>2376</v>
      </c>
      <c r="AH40" t="s">
        <v>2377</v>
      </c>
      <c r="AI40" t="s">
        <v>1445</v>
      </c>
      <c r="AJ40" t="s">
        <v>2378</v>
      </c>
      <c r="AK40" t="s">
        <v>41</v>
      </c>
      <c r="AL40" t="s">
        <v>2379</v>
      </c>
      <c r="AM40" t="s">
        <v>41</v>
      </c>
      <c r="AN40" t="s">
        <v>141</v>
      </c>
      <c r="AO40" t="s">
        <v>2380</v>
      </c>
      <c r="AP40" t="s">
        <v>41</v>
      </c>
      <c r="AQ40" t="s">
        <v>342</v>
      </c>
      <c r="AR40" t="s">
        <v>41</v>
      </c>
      <c r="AS40" t="s">
        <v>1290</v>
      </c>
      <c r="AT40" t="s">
        <v>41</v>
      </c>
      <c r="AU40" t="s">
        <v>2381</v>
      </c>
      <c r="AV40" t="s">
        <v>2382</v>
      </c>
      <c r="AW40" t="s">
        <v>2383</v>
      </c>
      <c r="AX40" t="s">
        <v>294</v>
      </c>
      <c r="AY40" t="s">
        <v>341</v>
      </c>
      <c r="AZ40" t="s">
        <v>542</v>
      </c>
      <c r="BA40" t="s">
        <v>290</v>
      </c>
      <c r="BB40" t="s">
        <v>369</v>
      </c>
      <c r="BC40" t="s">
        <v>132</v>
      </c>
      <c r="BD40" t="s">
        <v>749</v>
      </c>
      <c r="BE40" t="s">
        <v>575</v>
      </c>
      <c r="BF40" t="s">
        <v>695</v>
      </c>
      <c r="BG40" t="s">
        <v>576</v>
      </c>
      <c r="BH40" t="s">
        <v>1319</v>
      </c>
      <c r="BI40" t="s">
        <v>2384</v>
      </c>
      <c r="BJ40" t="s">
        <v>294</v>
      </c>
      <c r="BK40" t="s">
        <v>1308</v>
      </c>
      <c r="BL40" t="s">
        <v>2385</v>
      </c>
      <c r="BM40" t="s">
        <v>132</v>
      </c>
      <c r="BN40">
        <v>28.57</v>
      </c>
      <c r="BO40">
        <v>36.340000000000003</v>
      </c>
      <c r="BP40">
        <v>16.329999999999998</v>
      </c>
      <c r="BQ40">
        <v>31.68</v>
      </c>
      <c r="BR40">
        <v>37.18</v>
      </c>
      <c r="BS40">
        <v>16.420000000000002</v>
      </c>
      <c r="BT40" t="s">
        <v>2386</v>
      </c>
      <c r="BU40" t="s">
        <v>1777</v>
      </c>
      <c r="BV40">
        <v>40.72</v>
      </c>
      <c r="BW40">
        <v>34.26</v>
      </c>
      <c r="BX40">
        <v>28.73</v>
      </c>
      <c r="BY40">
        <v>26.59</v>
      </c>
      <c r="BZ40">
        <v>21.53</v>
      </c>
      <c r="CA40">
        <v>13.92</v>
      </c>
      <c r="CB40">
        <v>-5.71</v>
      </c>
      <c r="CC40">
        <v>-0.23</v>
      </c>
      <c r="CD40" t="s">
        <v>2387</v>
      </c>
      <c r="CE40" t="s">
        <v>2388</v>
      </c>
      <c r="CF40" s="8">
        <v>4.0754264768081203</v>
      </c>
      <c r="CG40" s="9">
        <v>13.879000498366466</v>
      </c>
      <c r="CH40" s="8">
        <v>-0.60873013734817505</v>
      </c>
      <c r="CI40" s="8">
        <v>1.1501706838607788</v>
      </c>
      <c r="CJ40" s="8">
        <v>0.64606744050979614</v>
      </c>
      <c r="CK40" s="8">
        <v>-0.1209876537322998</v>
      </c>
      <c r="CL40" s="8">
        <v>7.7127657830715179E-2</v>
      </c>
      <c r="CM40" s="9">
        <v>-0.91331177949905396</v>
      </c>
      <c r="CN40" s="9">
        <v>2.3101701736450195</v>
      </c>
      <c r="CO40" s="9">
        <v>0.26733952760696411</v>
      </c>
      <c r="CP40" s="9">
        <v>-9.8230600357055664E-2</v>
      </c>
      <c r="CQ40" s="9">
        <v>-0.11479337513446808</v>
      </c>
      <c r="CR40">
        <v>89.874301675977662</v>
      </c>
      <c r="CS40">
        <v>3.9292816659389085</v>
      </c>
      <c r="CT40">
        <v>2.3310023310023311</v>
      </c>
      <c r="CU40" s="8">
        <v>0.22872959822416306</v>
      </c>
      <c r="CV40" s="9">
        <v>0.29023478925228119</v>
      </c>
      <c r="CW40">
        <v>0.06</v>
      </c>
      <c r="CX40">
        <v>286.5891170409725</v>
      </c>
      <c r="CY40">
        <v>27332510.323063381</v>
      </c>
      <c r="CZ40">
        <v>0.22872959822416306</v>
      </c>
      <c r="DA40">
        <v>83.434057992036941</v>
      </c>
      <c r="DB40">
        <v>93884921.679676801</v>
      </c>
      <c r="DC40">
        <v>0.21729311831295489</v>
      </c>
      <c r="DD40">
        <v>34.930459346638564</v>
      </c>
      <c r="DE40">
        <v>224251273.71689737</v>
      </c>
      <c r="DF40">
        <v>0.2012820464372635</v>
      </c>
      <c r="DG40">
        <v>17.291695615518751</v>
      </c>
      <c r="DH40">
        <v>453003578.95323753</v>
      </c>
      <c r="DI40">
        <v>0.18298367857933046</v>
      </c>
      <c r="DJ40">
        <v>5.6437269098926031</v>
      </c>
      <c r="DK40">
        <v>1387948092.6459394</v>
      </c>
      <c r="DL40">
        <v>0.16011071875691413</v>
      </c>
      <c r="DM40">
        <v>23579200</v>
      </c>
      <c r="DN40">
        <v>0.22872959822416306</v>
      </c>
      <c r="DO40">
        <v>7833200000</v>
      </c>
      <c r="DP40">
        <v>792377070</v>
      </c>
      <c r="DQ40">
        <v>2454</v>
      </c>
      <c r="DR40">
        <v>3.8466968785839573</v>
      </c>
      <c r="DS40">
        <v>13.588765709114185</v>
      </c>
      <c r="DT40" s="10">
        <v>-0.20666666666666664</v>
      </c>
      <c r="DU40">
        <v>0.33666666666666661</v>
      </c>
      <c r="DV40">
        <v>0.12999999999999998</v>
      </c>
      <c r="DW40">
        <v>-4.0402802101576185</v>
      </c>
      <c r="DX40">
        <v>0.31837414199364888</v>
      </c>
      <c r="DY40">
        <v>-4.0067821458246131</v>
      </c>
      <c r="DZ40">
        <v>1296</v>
      </c>
      <c r="EA40">
        <v>-4.0050620556115604</v>
      </c>
      <c r="EB40">
        <v>4</v>
      </c>
      <c r="EC40">
        <v>4.4248076923076925E-2</v>
      </c>
      <c r="ED40">
        <v>0.26279615384615385</v>
      </c>
      <c r="EE40" s="11">
        <v>2.0757099999999999</v>
      </c>
      <c r="EF40">
        <v>2.0952099999999998</v>
      </c>
      <c r="EG40">
        <v>15.168374141993649</v>
      </c>
      <c r="EH40" t="s">
        <v>1128</v>
      </c>
      <c r="EI40">
        <v>0</v>
      </c>
      <c r="EJ40">
        <v>1</v>
      </c>
      <c r="EK40" s="13">
        <v>45470</v>
      </c>
      <c r="EL40" s="14">
        <v>-0.4</v>
      </c>
      <c r="EM40" s="14">
        <v>-4.09</v>
      </c>
      <c r="EN40" s="14">
        <v>-0.46</v>
      </c>
      <c r="EO40" s="14">
        <v>2.56</v>
      </c>
      <c r="EP40" s="14">
        <v>-1.95</v>
      </c>
    </row>
    <row r="41" spans="1:146" ht="96" x14ac:dyDescent="0.25">
      <c r="A41" s="7"/>
      <c r="B41" s="7"/>
      <c r="C41" s="7" t="str">
        <f>""&amp;CHAR(10)&amp;Basic_Fundamental_Information_Constructure(F41)&amp;CHAR(10)&amp;Basic_Fundamental_Information_Concatenate("")</f>
        <v xml:space="preserve">
市值22.986636亿, 利润676.60万; PE34.73; 平均PE110.09; 平均PEG15.48, PB3.23; ROIC7.91%; ROE1.95%; 股利率1.2763%; 毛利26.5733%; 净利.99%; 上一年度营收增-4.96%, 利润增109.5%; 当季营收增175.42%, 利润增3933.97%; 过往5年营收增7.11%, 利润增-8.87%
Income profile:
</v>
      </c>
      <c r="D41" t="s">
        <v>879</v>
      </c>
      <c r="E41" t="s">
        <v>880</v>
      </c>
      <c r="F41">
        <v>15.67</v>
      </c>
      <c r="G41">
        <v>1.69</v>
      </c>
      <c r="H41" t="s">
        <v>2389</v>
      </c>
      <c r="I41">
        <v>2298663600</v>
      </c>
      <c r="J41">
        <v>34.729999999999997</v>
      </c>
      <c r="K41">
        <v>3.23</v>
      </c>
      <c r="L41" t="s">
        <v>1762</v>
      </c>
      <c r="M41" t="s">
        <v>1399</v>
      </c>
      <c r="N41" t="s">
        <v>1317</v>
      </c>
      <c r="O41" t="s">
        <v>181</v>
      </c>
      <c r="P41">
        <v>37.6</v>
      </c>
      <c r="Q41" t="s">
        <v>1278</v>
      </c>
      <c r="R41">
        <v>19976197</v>
      </c>
      <c r="S41" s="5">
        <v>2.4750000000000001</v>
      </c>
      <c r="T41" t="s">
        <v>2390</v>
      </c>
      <c r="U41">
        <v>143808440</v>
      </c>
      <c r="V41">
        <v>146692000</v>
      </c>
      <c r="W41">
        <v>1.65</v>
      </c>
      <c r="X41">
        <v>0.18</v>
      </c>
      <c r="Y41">
        <v>9.2799999999999994</v>
      </c>
      <c r="Z41" t="s">
        <v>114</v>
      </c>
      <c r="AA41" t="s">
        <v>175</v>
      </c>
      <c r="AB41" t="s">
        <v>2391</v>
      </c>
      <c r="AC41" t="s">
        <v>2392</v>
      </c>
      <c r="AD41" t="s">
        <v>41</v>
      </c>
      <c r="AE41">
        <v>2613765</v>
      </c>
      <c r="AF41" t="s">
        <v>2393</v>
      </c>
      <c r="AG41">
        <v>843.02</v>
      </c>
      <c r="AH41" t="s">
        <v>2394</v>
      </c>
      <c r="AI41" t="s">
        <v>84</v>
      </c>
      <c r="AJ41" t="s">
        <v>2395</v>
      </c>
      <c r="AK41" t="s">
        <v>41</v>
      </c>
      <c r="AL41" t="s">
        <v>2396</v>
      </c>
      <c r="AM41" t="s">
        <v>41</v>
      </c>
      <c r="AN41">
        <v>0</v>
      </c>
      <c r="AO41" t="s">
        <v>2397</v>
      </c>
      <c r="AP41" t="s">
        <v>2398</v>
      </c>
      <c r="AQ41" t="s">
        <v>1790</v>
      </c>
      <c r="AR41" t="s">
        <v>41</v>
      </c>
      <c r="AS41" t="s">
        <v>1275</v>
      </c>
      <c r="AT41" t="s">
        <v>41</v>
      </c>
      <c r="AU41" t="s">
        <v>2399</v>
      </c>
      <c r="AV41" t="s">
        <v>2400</v>
      </c>
      <c r="AW41" t="s">
        <v>2401</v>
      </c>
      <c r="AX41" t="s">
        <v>1130</v>
      </c>
      <c r="AY41" t="s">
        <v>904</v>
      </c>
      <c r="AZ41" t="s">
        <v>868</v>
      </c>
      <c r="BA41" t="s">
        <v>869</v>
      </c>
      <c r="BB41" t="s">
        <v>620</v>
      </c>
      <c r="BC41" t="s">
        <v>1181</v>
      </c>
      <c r="BD41" t="s">
        <v>884</v>
      </c>
      <c r="BE41" t="s">
        <v>881</v>
      </c>
      <c r="BF41" t="s">
        <v>882</v>
      </c>
      <c r="BG41" t="s">
        <v>883</v>
      </c>
      <c r="BH41" t="s">
        <v>2402</v>
      </c>
      <c r="BI41" t="s">
        <v>2403</v>
      </c>
      <c r="BJ41" t="s">
        <v>1130</v>
      </c>
      <c r="BK41" t="s">
        <v>2404</v>
      </c>
      <c r="BL41" t="s">
        <v>2405</v>
      </c>
      <c r="BM41" t="s">
        <v>1181</v>
      </c>
      <c r="BN41">
        <v>6.85</v>
      </c>
      <c r="BO41" t="s">
        <v>41</v>
      </c>
      <c r="BP41">
        <v>8.9700000000000006</v>
      </c>
      <c r="BQ41">
        <v>6.76</v>
      </c>
      <c r="BR41">
        <v>-10.210000000000001</v>
      </c>
      <c r="BS41">
        <v>9.3000000000000007</v>
      </c>
      <c r="BT41" t="s">
        <v>1085</v>
      </c>
      <c r="BU41" t="s">
        <v>950</v>
      </c>
      <c r="BV41">
        <v>28.65</v>
      </c>
      <c r="BW41">
        <v>23.38</v>
      </c>
      <c r="BX41">
        <v>27.69</v>
      </c>
      <c r="BY41">
        <v>6.37</v>
      </c>
      <c r="BZ41">
        <v>-11.78</v>
      </c>
      <c r="CA41">
        <v>8.3800000000000008</v>
      </c>
      <c r="CB41">
        <v>1.69</v>
      </c>
      <c r="CC41">
        <v>-5.72</v>
      </c>
      <c r="CD41" t="s">
        <v>2406</v>
      </c>
      <c r="CE41" t="s">
        <v>2407</v>
      </c>
      <c r="CF41" s="8">
        <v>1.7541645530054981</v>
      </c>
      <c r="CG41" s="9">
        <v>39.339654684975763</v>
      </c>
      <c r="CH41" s="8">
        <v>-4.958677664399147E-2</v>
      </c>
      <c r="CI41" s="8">
        <v>-3.5087719559669495E-2</v>
      </c>
      <c r="CJ41" s="8">
        <v>0.47529411315917969</v>
      </c>
      <c r="CK41" s="8">
        <v>-0.1465863436460495</v>
      </c>
      <c r="CL41" s="8">
        <v>0.1116071417927742</v>
      </c>
      <c r="CM41" s="9">
        <v>1.0950074195861816</v>
      </c>
      <c r="CN41" s="9">
        <v>-2.3555819988250732</v>
      </c>
      <c r="CO41" s="9">
        <v>0.14061960577964783</v>
      </c>
      <c r="CP41" s="9">
        <v>-0.22939611971378326</v>
      </c>
      <c r="CQ41" s="9">
        <v>0.90580517053604126</v>
      </c>
      <c r="CR41">
        <v>110.09408618673393</v>
      </c>
      <c r="CS41">
        <v>15.478286706402995</v>
      </c>
      <c r="CT41">
        <v>1.2763241863433312</v>
      </c>
      <c r="CU41" s="8">
        <v>7.1128083020448679E-2</v>
      </c>
      <c r="CV41" s="9">
        <v>-8.870918452739715E-2</v>
      </c>
      <c r="CW41">
        <v>0.06</v>
      </c>
      <c r="CX41">
        <v>300.66613285683201</v>
      </c>
      <c r="CY41">
        <v>6837030.7638833532</v>
      </c>
      <c r="CZ41">
        <v>7.1128083020448679E-2</v>
      </c>
      <c r="DA41">
        <v>99.841042260915714</v>
      </c>
      <c r="DB41">
        <v>20589364.388123184</v>
      </c>
      <c r="DC41">
        <v>6.7571678869426235E-2</v>
      </c>
      <c r="DD41">
        <v>50.205538994325899</v>
      </c>
      <c r="DE41">
        <v>40944956.297199115</v>
      </c>
      <c r="DF41">
        <v>6.2592713057994839E-2</v>
      </c>
      <c r="DG41">
        <v>30.874146189503758</v>
      </c>
      <c r="DH41">
        <v>66582038.815987118</v>
      </c>
      <c r="DI41">
        <v>5.6902466416358946E-2</v>
      </c>
      <c r="DJ41">
        <v>16.790026838985902</v>
      </c>
      <c r="DK41">
        <v>122433610.12543561</v>
      </c>
      <c r="DL41">
        <v>4.9789658114314073E-2</v>
      </c>
      <c r="DM41">
        <v>6766000</v>
      </c>
      <c r="DN41">
        <v>7.1128083020448679E-2</v>
      </c>
      <c r="DO41">
        <v>2055663600</v>
      </c>
      <c r="DP41">
        <v>335275630</v>
      </c>
      <c r="DQ41">
        <v>2461</v>
      </c>
      <c r="DR41">
        <v>1.6830364699850495</v>
      </c>
      <c r="DS41">
        <v>39.428363869503158</v>
      </c>
      <c r="DT41" s="10">
        <v>-0.3066666666666667</v>
      </c>
      <c r="DU41">
        <v>0.3</v>
      </c>
      <c r="DV41">
        <v>-6.6666666666667096E-3</v>
      </c>
      <c r="DW41">
        <v>-1.0571999999999999</v>
      </c>
      <c r="DX41">
        <v>0.320446083861185</v>
      </c>
      <c r="DY41">
        <v>-1.0091775159968597</v>
      </c>
      <c r="DZ41">
        <v>1881</v>
      </c>
      <c r="EA41">
        <v>-1.0057992561944931</v>
      </c>
      <c r="EB41">
        <v>1</v>
      </c>
      <c r="EC41">
        <v>5.0852807242385403E-2</v>
      </c>
      <c r="ED41">
        <v>0.31694639107790473</v>
      </c>
      <c r="EE41" s="11">
        <v>-3.0832000000000002</v>
      </c>
      <c r="EF41">
        <v>-3.0720000000000001</v>
      </c>
      <c r="EG41">
        <v>16.160446083861185</v>
      </c>
      <c r="EH41" t="s">
        <v>1599</v>
      </c>
      <c r="EI41">
        <v>0</v>
      </c>
      <c r="EJ41">
        <v>0</v>
      </c>
      <c r="EK41" s="13">
        <v>45470</v>
      </c>
      <c r="EL41" s="14">
        <v>-2.0499999999999998</v>
      </c>
      <c r="EM41" s="14">
        <v>-5.85</v>
      </c>
      <c r="EN41" s="14">
        <v>1.76</v>
      </c>
      <c r="EO41" s="14">
        <v>5.83</v>
      </c>
      <c r="EP41" s="14">
        <v>-1.1200000000000001</v>
      </c>
    </row>
    <row r="42" spans="1:146" ht="96" x14ac:dyDescent="0.25">
      <c r="A42" s="7"/>
      <c r="B42" s="7"/>
      <c r="C42" s="7" t="str">
        <f>""&amp;CHAR(10)&amp;Basic_Fundamental_Information_Constructure(F42)&amp;CHAR(10)&amp;Basic_Fundamental_Information_Concatenate("")</f>
        <v xml:space="preserve">
市值19.3752亿, 利润9046.91万; PE79.71; 平均PE28.77; 平均PEG2.2, PB3.01; ROIC6.48%; ROE7.26%; 股利率1.2077%; 毛利36.8267%; 净利6.3067%; 上一年度营收增-12.45%, 利润增117.96%; 当季营收增65.12%, 利润增-27.25%; 过往5年营收增13.09%, 利润增28.9%
Income profile:
</v>
      </c>
      <c r="D42" t="s">
        <v>658</v>
      </c>
      <c r="E42" t="s">
        <v>659</v>
      </c>
      <c r="F42">
        <v>12.42</v>
      </c>
      <c r="G42">
        <v>2.39</v>
      </c>
      <c r="H42" t="s">
        <v>2408</v>
      </c>
      <c r="I42">
        <v>1937520000</v>
      </c>
      <c r="J42">
        <v>79.709999999999994</v>
      </c>
      <c r="K42">
        <v>3.01</v>
      </c>
      <c r="L42" t="s">
        <v>1762</v>
      </c>
      <c r="M42" t="s">
        <v>1349</v>
      </c>
      <c r="N42" t="s">
        <v>1327</v>
      </c>
      <c r="O42" t="s">
        <v>854</v>
      </c>
      <c r="P42">
        <v>11.38</v>
      </c>
      <c r="Q42" t="s">
        <v>1619</v>
      </c>
      <c r="R42">
        <v>7662205</v>
      </c>
      <c r="S42" s="5">
        <v>-9.5799999999999996E-2</v>
      </c>
      <c r="T42" t="s">
        <v>2409</v>
      </c>
      <c r="U42">
        <v>58450000</v>
      </c>
      <c r="V42">
        <v>156000000</v>
      </c>
      <c r="W42">
        <v>1.47</v>
      </c>
      <c r="X42">
        <v>0.21</v>
      </c>
      <c r="Y42">
        <v>4.13</v>
      </c>
      <c r="Z42" t="s">
        <v>199</v>
      </c>
      <c r="AA42" t="s">
        <v>113</v>
      </c>
      <c r="AB42" t="s">
        <v>2410</v>
      </c>
      <c r="AC42" t="s">
        <v>2411</v>
      </c>
      <c r="AD42" t="s">
        <v>41</v>
      </c>
      <c r="AE42">
        <v>-245555</v>
      </c>
      <c r="AF42" t="s">
        <v>134</v>
      </c>
      <c r="AG42" t="s">
        <v>2412</v>
      </c>
      <c r="AH42" t="s">
        <v>2413</v>
      </c>
      <c r="AI42" t="s">
        <v>175</v>
      </c>
      <c r="AJ42" t="s">
        <v>2414</v>
      </c>
      <c r="AK42" t="s">
        <v>41</v>
      </c>
      <c r="AL42" t="s">
        <v>2415</v>
      </c>
      <c r="AM42" t="s">
        <v>41</v>
      </c>
      <c r="AN42" t="s">
        <v>2416</v>
      </c>
      <c r="AO42" t="s">
        <v>2417</v>
      </c>
      <c r="AP42" t="s">
        <v>2418</v>
      </c>
      <c r="AQ42" t="s">
        <v>1556</v>
      </c>
      <c r="AR42" t="s">
        <v>41</v>
      </c>
      <c r="AS42" t="s">
        <v>639</v>
      </c>
      <c r="AT42" t="s">
        <v>41</v>
      </c>
      <c r="AU42" t="s">
        <v>2419</v>
      </c>
      <c r="AV42" t="s">
        <v>2420</v>
      </c>
      <c r="AW42" t="s">
        <v>2421</v>
      </c>
      <c r="AX42" t="s">
        <v>1182</v>
      </c>
      <c r="AY42" t="s">
        <v>750</v>
      </c>
      <c r="AZ42" t="s">
        <v>160</v>
      </c>
      <c r="BA42" t="s">
        <v>661</v>
      </c>
      <c r="BB42" t="s">
        <v>662</v>
      </c>
      <c r="BC42" t="s">
        <v>2422</v>
      </c>
      <c r="BD42" t="s">
        <v>751</v>
      </c>
      <c r="BE42" t="s">
        <v>660</v>
      </c>
      <c r="BF42" t="s">
        <v>752</v>
      </c>
      <c r="BG42" t="s">
        <v>663</v>
      </c>
      <c r="BH42" t="s">
        <v>2423</v>
      </c>
      <c r="BI42" t="s">
        <v>973</v>
      </c>
      <c r="BJ42" t="s">
        <v>1182</v>
      </c>
      <c r="BK42" t="s">
        <v>2424</v>
      </c>
      <c r="BL42" t="s">
        <v>2425</v>
      </c>
      <c r="BM42" t="s">
        <v>2422</v>
      </c>
      <c r="BN42">
        <v>1.72</v>
      </c>
      <c r="BO42">
        <v>5.85</v>
      </c>
      <c r="BP42">
        <v>11.87</v>
      </c>
      <c r="BQ42">
        <v>1.38</v>
      </c>
      <c r="BR42">
        <v>6</v>
      </c>
      <c r="BS42">
        <v>14.4</v>
      </c>
      <c r="BT42" t="s">
        <v>1087</v>
      </c>
      <c r="BU42" t="s">
        <v>1777</v>
      </c>
      <c r="BV42">
        <v>35.58</v>
      </c>
      <c r="BW42">
        <v>36.299999999999997</v>
      </c>
      <c r="BX42">
        <v>38.6</v>
      </c>
      <c r="BY42">
        <v>3.47</v>
      </c>
      <c r="BZ42">
        <v>5.09</v>
      </c>
      <c r="CA42">
        <v>10.36</v>
      </c>
      <c r="CB42">
        <v>4.72</v>
      </c>
      <c r="CC42">
        <v>-1.19</v>
      </c>
      <c r="CD42" t="s">
        <v>2426</v>
      </c>
      <c r="CE42" t="s">
        <v>2427</v>
      </c>
      <c r="CF42" s="8">
        <v>0.65116279069767447</v>
      </c>
      <c r="CG42" s="9">
        <v>-0.27246266034923139</v>
      </c>
      <c r="CH42" s="8">
        <v>-0.12454655021429062</v>
      </c>
      <c r="CI42" s="8">
        <v>8.8157892227172852E-2</v>
      </c>
      <c r="CJ42" s="8">
        <v>0.32867133617401123</v>
      </c>
      <c r="CK42" s="8">
        <v>0.18181818723678589</v>
      </c>
      <c r="CL42" s="8">
        <v>0.18048781156539917</v>
      </c>
      <c r="CM42" s="9">
        <v>1.1795845031738281</v>
      </c>
      <c r="CN42" s="9">
        <v>-0.47280550003051758</v>
      </c>
      <c r="CO42" s="9">
        <v>1.9643597304821014E-2</v>
      </c>
      <c r="CP42" s="9">
        <v>6.7984066903591156E-2</v>
      </c>
      <c r="CQ42" s="9">
        <v>0.65038073062896729</v>
      </c>
      <c r="CR42">
        <v>28.772585318188096</v>
      </c>
      <c r="CS42">
        <v>2.1977606953525224</v>
      </c>
      <c r="CT42">
        <v>1.2077294685990339</v>
      </c>
      <c r="CU42" s="8">
        <v>0.1309177353978157</v>
      </c>
      <c r="CV42" s="9">
        <v>0.28895747959613799</v>
      </c>
      <c r="CW42">
        <v>0.06</v>
      </c>
      <c r="CX42">
        <v>16.695917122295135</v>
      </c>
      <c r="CY42">
        <v>96521801.599508032</v>
      </c>
      <c r="CZ42">
        <v>0.1309177353978157</v>
      </c>
      <c r="DA42">
        <v>5.2711206392842636</v>
      </c>
      <c r="DB42">
        <v>305726260.17886388</v>
      </c>
      <c r="DC42">
        <v>0.12437184862792491</v>
      </c>
      <c r="DD42">
        <v>2.476158018834798</v>
      </c>
      <c r="DE42">
        <v>650814684.58072424</v>
      </c>
      <c r="DF42">
        <v>0.11520760715007781</v>
      </c>
      <c r="DG42">
        <v>1.4091045591334539</v>
      </c>
      <c r="DH42">
        <v>1143648276.1726525</v>
      </c>
      <c r="DI42">
        <v>0.10473418831825257</v>
      </c>
      <c r="DJ42">
        <v>0.64467944444944558</v>
      </c>
      <c r="DK42">
        <v>2499722945.8374209</v>
      </c>
      <c r="DL42">
        <v>9.1642414778470987E-2</v>
      </c>
      <c r="DM42">
        <v>90469100</v>
      </c>
      <c r="DN42">
        <v>0.1309177353978157</v>
      </c>
      <c r="DO42">
        <v>1611520000</v>
      </c>
      <c r="DP42">
        <v>153162780</v>
      </c>
      <c r="DQ42">
        <v>2501</v>
      </c>
      <c r="DR42">
        <v>0.52024505529985876</v>
      </c>
      <c r="DS42">
        <v>-0.56142013994536932</v>
      </c>
      <c r="DT42" s="10">
        <v>-9.000000000000008E-2</v>
      </c>
      <c r="DU42">
        <v>0.1633333333333333</v>
      </c>
      <c r="DV42">
        <v>7.3333333333333223E-2</v>
      </c>
      <c r="DW42">
        <v>4.2521186440677967</v>
      </c>
      <c r="DX42">
        <v>0.37259775719161514</v>
      </c>
      <c r="DY42">
        <v>4.0510786718343264</v>
      </c>
      <c r="DZ42">
        <v>2468</v>
      </c>
      <c r="EA42">
        <v>4.0264089727957515</v>
      </c>
      <c r="EB42">
        <v>4</v>
      </c>
      <c r="EC42">
        <v>6.6591025641025647E-2</v>
      </c>
      <c r="ED42">
        <v>0.32868589743589743</v>
      </c>
      <c r="EE42" s="11">
        <v>-3.0903</v>
      </c>
      <c r="EF42">
        <v>-3.1128999999999998</v>
      </c>
      <c r="EG42">
        <v>17.202597757191615</v>
      </c>
      <c r="EH42" t="s">
        <v>1599</v>
      </c>
      <c r="EI42">
        <v>0</v>
      </c>
      <c r="EJ42">
        <v>0</v>
      </c>
      <c r="EK42" s="13">
        <v>45470</v>
      </c>
      <c r="EL42" s="14">
        <v>-0.94</v>
      </c>
      <c r="EM42" s="14">
        <v>-4.6100000000000003</v>
      </c>
      <c r="EN42" s="14">
        <v>2.25</v>
      </c>
      <c r="EO42" s="14">
        <v>4.46</v>
      </c>
      <c r="EP42" s="14">
        <v>2.2599999999999998</v>
      </c>
    </row>
    <row r="43" spans="1:146" ht="96" x14ac:dyDescent="0.25">
      <c r="C43" s="7" t="str">
        <f>""&amp;CHAR(10)&amp;Basic_Fundamental_Information_Constructure(F43)&amp;CHAR(10)&amp;Basic_Fundamental_Information_Concatenate("")</f>
        <v xml:space="preserve">
市值72.20096亿, 利润7527.94万; PE15.98; 平均PE37.18; 平均PEG13.03, PB2.31; ROIC13.29%; ROE15.53%; 股利率1.1523%; 毛利31.7633%; 净利19.8467%; 上一年度营收增-27.07%, 利润增-77.53%; 当季营收增150.67%, 利润增1625.1%; 过往5年营收增2.85%, 利润增8.75%
Income profile:
</v>
      </c>
      <c r="D43" t="s">
        <v>664</v>
      </c>
      <c r="E43" t="s">
        <v>665</v>
      </c>
      <c r="F43">
        <v>43.39</v>
      </c>
      <c r="G43">
        <v>-0.73</v>
      </c>
      <c r="H43" t="s">
        <v>2428</v>
      </c>
      <c r="I43">
        <v>7220096000</v>
      </c>
      <c r="J43">
        <v>15.98</v>
      </c>
      <c r="K43">
        <v>2.31</v>
      </c>
      <c r="L43" t="s">
        <v>1762</v>
      </c>
      <c r="M43" t="s">
        <v>1227</v>
      </c>
      <c r="N43" t="s">
        <v>2429</v>
      </c>
      <c r="O43" t="s">
        <v>194</v>
      </c>
      <c r="P43">
        <v>30.66</v>
      </c>
      <c r="Q43" t="s">
        <v>2430</v>
      </c>
      <c r="R43">
        <v>120999957</v>
      </c>
      <c r="S43" s="5">
        <v>0.57969999999999999</v>
      </c>
      <c r="T43" t="s">
        <v>2431</v>
      </c>
      <c r="U43">
        <v>41600000</v>
      </c>
      <c r="V43">
        <v>166400000</v>
      </c>
      <c r="W43">
        <v>1.2</v>
      </c>
      <c r="X43">
        <v>0.15</v>
      </c>
      <c r="Y43">
        <v>21.64</v>
      </c>
      <c r="Z43" t="s">
        <v>140</v>
      </c>
      <c r="AA43" t="s">
        <v>2103</v>
      </c>
      <c r="AB43" t="s">
        <v>2432</v>
      </c>
      <c r="AC43" t="s">
        <v>2433</v>
      </c>
      <c r="AD43" t="s">
        <v>41</v>
      </c>
      <c r="AE43">
        <v>-19114340</v>
      </c>
      <c r="AF43" t="s">
        <v>2434</v>
      </c>
      <c r="AG43" t="s">
        <v>2435</v>
      </c>
      <c r="AH43" t="s">
        <v>2436</v>
      </c>
      <c r="AI43" t="s">
        <v>2437</v>
      </c>
      <c r="AJ43" t="s">
        <v>2438</v>
      </c>
      <c r="AK43" t="s">
        <v>41</v>
      </c>
      <c r="AL43" t="s">
        <v>2439</v>
      </c>
      <c r="AM43" t="s">
        <v>41</v>
      </c>
      <c r="AN43" t="s">
        <v>2440</v>
      </c>
      <c r="AO43" t="s">
        <v>2441</v>
      </c>
      <c r="AP43" t="s">
        <v>1388</v>
      </c>
      <c r="AQ43" t="s">
        <v>132</v>
      </c>
      <c r="AR43" t="s">
        <v>2442</v>
      </c>
      <c r="AS43" t="s">
        <v>167</v>
      </c>
      <c r="AT43" t="s">
        <v>41</v>
      </c>
      <c r="AU43" t="s">
        <v>2443</v>
      </c>
      <c r="AV43" t="s">
        <v>2444</v>
      </c>
      <c r="AW43" t="s">
        <v>2445</v>
      </c>
      <c r="AX43" t="s">
        <v>1183</v>
      </c>
      <c r="AY43" t="s">
        <v>753</v>
      </c>
      <c r="AZ43" t="s">
        <v>666</v>
      </c>
      <c r="BA43" t="s">
        <v>667</v>
      </c>
      <c r="BB43" t="s">
        <v>668</v>
      </c>
      <c r="BC43" t="s">
        <v>102</v>
      </c>
      <c r="BD43" t="s">
        <v>92</v>
      </c>
      <c r="BE43" t="s">
        <v>422</v>
      </c>
      <c r="BF43" t="s">
        <v>176</v>
      </c>
      <c r="BG43" t="s">
        <v>91</v>
      </c>
      <c r="BH43" t="s">
        <v>2446</v>
      </c>
      <c r="BI43" t="s">
        <v>974</v>
      </c>
      <c r="BJ43" t="s">
        <v>1183</v>
      </c>
      <c r="BK43" t="s">
        <v>1146</v>
      </c>
      <c r="BL43" t="s">
        <v>2447</v>
      </c>
      <c r="BM43" t="s">
        <v>102</v>
      </c>
      <c r="BN43">
        <v>10.26</v>
      </c>
      <c r="BO43">
        <v>12.47</v>
      </c>
      <c r="BP43">
        <v>17.14</v>
      </c>
      <c r="BQ43">
        <v>11.36</v>
      </c>
      <c r="BR43">
        <v>12.85</v>
      </c>
      <c r="BS43">
        <v>22.38</v>
      </c>
      <c r="BT43" t="s">
        <v>2448</v>
      </c>
      <c r="BU43" t="s">
        <v>1868</v>
      </c>
      <c r="BV43">
        <v>33.950000000000003</v>
      </c>
      <c r="BW43">
        <v>32.56</v>
      </c>
      <c r="BX43">
        <v>28.78</v>
      </c>
      <c r="BY43">
        <v>21.2</v>
      </c>
      <c r="BZ43">
        <v>22.84</v>
      </c>
      <c r="CA43">
        <v>15.5</v>
      </c>
      <c r="CB43">
        <v>-7.6</v>
      </c>
      <c r="CC43">
        <v>-11.7</v>
      </c>
      <c r="CD43" t="s">
        <v>2449</v>
      </c>
      <c r="CE43" t="s">
        <v>2450</v>
      </c>
      <c r="CF43" s="8">
        <v>1.506726457399103</v>
      </c>
      <c r="CG43" s="9">
        <v>16.250959781012533</v>
      </c>
      <c r="CH43" s="8">
        <v>-0.27067673206329346</v>
      </c>
      <c r="CI43" s="8">
        <v>-0.23999993503093719</v>
      </c>
      <c r="CJ43" s="8">
        <v>0.46054622530937195</v>
      </c>
      <c r="CK43" s="8">
        <v>0.12170206755399704</v>
      </c>
      <c r="CL43" s="8">
        <v>7.1103125810623169E-2</v>
      </c>
      <c r="CM43" s="9">
        <v>-0.77528542280197144</v>
      </c>
      <c r="CN43" s="9">
        <v>0.12416107207536697</v>
      </c>
      <c r="CO43" s="9">
        <v>0.44660192728042603</v>
      </c>
      <c r="CP43" s="9">
        <v>0.82300883531570435</v>
      </c>
      <c r="CQ43" s="9">
        <v>-0.18115942180156708</v>
      </c>
      <c r="CR43">
        <v>37.176127888298716</v>
      </c>
      <c r="CS43">
        <v>13.028278471371864</v>
      </c>
      <c r="CT43">
        <v>1.1523392486748099</v>
      </c>
      <c r="CU43" s="8">
        <v>2.8534950315952302E-2</v>
      </c>
      <c r="CV43" s="9">
        <v>8.7465398013591766E-2</v>
      </c>
      <c r="CW43">
        <v>0.06</v>
      </c>
      <c r="CX43">
        <v>63.729322866878505</v>
      </c>
      <c r="CY43">
        <v>73044805.602655366</v>
      </c>
      <c r="CZ43">
        <v>2.8534950315952302E-2</v>
      </c>
      <c r="DA43">
        <v>21.946574566706175</v>
      </c>
      <c r="DB43">
        <v>212110367.64990038</v>
      </c>
      <c r="DC43">
        <v>2.7108202800154687E-2</v>
      </c>
      <c r="DD43">
        <v>11.5681742825805</v>
      </c>
      <c r="DE43">
        <v>402405417.33622575</v>
      </c>
      <c r="DF43">
        <v>2.5110756278038025E-2</v>
      </c>
      <c r="DG43">
        <v>7.485831447707084</v>
      </c>
      <c r="DH43">
        <v>621854236.56925368</v>
      </c>
      <c r="DI43">
        <v>2.2827960252761844E-2</v>
      </c>
      <c r="DJ43">
        <v>4.5196174158629177</v>
      </c>
      <c r="DK43">
        <v>1029975675.2997679</v>
      </c>
      <c r="DL43">
        <v>1.997446522116661E-2</v>
      </c>
      <c r="DM43">
        <v>75279400</v>
      </c>
      <c r="DN43">
        <v>2.8534950315952302E-2</v>
      </c>
      <c r="DO43">
        <v>4655096000</v>
      </c>
      <c r="DP43">
        <v>2879673200</v>
      </c>
      <c r="DQ43">
        <v>2507</v>
      </c>
      <c r="DR43">
        <v>1.4781915070831508</v>
      </c>
      <c r="DS43">
        <v>16.163494382998941</v>
      </c>
      <c r="DT43" s="10">
        <v>-0.62333333333333341</v>
      </c>
      <c r="DU43">
        <v>-6.6666666666666652E-2</v>
      </c>
      <c r="DV43">
        <v>-0.69000000000000006</v>
      </c>
      <c r="DW43">
        <v>-9.649572649572649</v>
      </c>
      <c r="DX43">
        <v>0.39987422011913565</v>
      </c>
      <c r="DY43">
        <v>-9.1038499207611476</v>
      </c>
      <c r="DZ43">
        <v>3301</v>
      </c>
      <c r="EA43">
        <v>-9.0367640913222935</v>
      </c>
      <c r="EB43">
        <v>9</v>
      </c>
      <c r="EC43">
        <v>4.4242788461538458E-2</v>
      </c>
      <c r="ED43">
        <v>0.27673497596153845</v>
      </c>
      <c r="EE43" s="11">
        <v>-1.03051</v>
      </c>
      <c r="EF43">
        <v>-1.0625100000000001</v>
      </c>
      <c r="EG43">
        <v>24.159874220119136</v>
      </c>
      <c r="EH43" t="s">
        <v>1095</v>
      </c>
      <c r="EI43">
        <v>0</v>
      </c>
      <c r="EJ43">
        <v>0</v>
      </c>
      <c r="EK43" s="13">
        <v>45470</v>
      </c>
      <c r="EL43" s="14">
        <v>-3.04</v>
      </c>
      <c r="EM43" s="14">
        <v>-6.16</v>
      </c>
      <c r="EN43" s="14">
        <v>-0.25</v>
      </c>
      <c r="EO43" s="14">
        <v>4.72</v>
      </c>
      <c r="EP43" s="14">
        <v>-3.2</v>
      </c>
    </row>
    <row r="44" spans="1:146" ht="96" x14ac:dyDescent="0.25">
      <c r="C44" s="7" t="str">
        <f>""&amp;CHAR(10)&amp;Basic_Fundamental_Information_Constructure(F44)&amp;CHAR(10)&amp;Basic_Fundamental_Information_Concatenate("")</f>
        <v xml:space="preserve">
市值45.602188亿, 利润1.34亿; PE27.69; 平均PE52.14; 平均PEG15.38, PB2.85; ROIC9.0033%; ROE10.5967%; 股利率1.3257%; 毛利55.4133%; 净利20.9233%; 上一年度营收增-4.17%, 利润增-1.47%; 当季营收增27.15%, 利润增-32.98%; 过往5年营收增3.39%, 利润增38.87%
Income profile:
</v>
      </c>
      <c r="D44" t="s">
        <v>754</v>
      </c>
      <c r="E44" t="s">
        <v>755</v>
      </c>
      <c r="F44">
        <v>22.63</v>
      </c>
      <c r="G44">
        <v>2.86</v>
      </c>
      <c r="H44" t="s">
        <v>2451</v>
      </c>
      <c r="I44">
        <v>4560218800</v>
      </c>
      <c r="J44">
        <v>27.69</v>
      </c>
      <c r="K44">
        <v>2.85</v>
      </c>
      <c r="L44" t="s">
        <v>1762</v>
      </c>
      <c r="M44" t="s">
        <v>348</v>
      </c>
      <c r="N44" t="s">
        <v>2452</v>
      </c>
      <c r="O44" t="s">
        <v>1358</v>
      </c>
      <c r="P44">
        <v>11.93</v>
      </c>
      <c r="Q44" t="s">
        <v>1444</v>
      </c>
      <c r="R44">
        <v>42208440</v>
      </c>
      <c r="S44" s="5">
        <v>0.20419999999999999</v>
      </c>
      <c r="T44" t="s">
        <v>189</v>
      </c>
      <c r="U44">
        <v>71468100</v>
      </c>
      <c r="V44">
        <v>201512100</v>
      </c>
      <c r="W44">
        <v>1.1000000000000001</v>
      </c>
      <c r="X44">
        <v>0.11</v>
      </c>
      <c r="Y44">
        <v>23.14</v>
      </c>
      <c r="Z44" t="s">
        <v>348</v>
      </c>
      <c r="AA44" t="s">
        <v>2453</v>
      </c>
      <c r="AB44" t="s">
        <v>2454</v>
      </c>
      <c r="AC44" t="s">
        <v>2455</v>
      </c>
      <c r="AD44" t="s">
        <v>41</v>
      </c>
      <c r="AE44">
        <v>232378</v>
      </c>
      <c r="AF44" t="s">
        <v>2456</v>
      </c>
      <c r="AG44" t="s">
        <v>2457</v>
      </c>
      <c r="AH44" t="s">
        <v>2458</v>
      </c>
      <c r="AI44" t="s">
        <v>1290</v>
      </c>
      <c r="AJ44" t="s">
        <v>2459</v>
      </c>
      <c r="AK44" t="s">
        <v>41</v>
      </c>
      <c r="AL44" t="s">
        <v>2460</v>
      </c>
      <c r="AM44" t="s">
        <v>41</v>
      </c>
      <c r="AN44" t="s">
        <v>2461</v>
      </c>
      <c r="AO44" t="s">
        <v>41</v>
      </c>
      <c r="AP44" t="s">
        <v>41</v>
      </c>
      <c r="AQ44" t="s">
        <v>2462</v>
      </c>
      <c r="AR44" t="s">
        <v>41</v>
      </c>
      <c r="AS44" t="s">
        <v>175</v>
      </c>
      <c r="AT44" t="s">
        <v>41</v>
      </c>
      <c r="AU44" t="s">
        <v>2463</v>
      </c>
      <c r="AV44" t="s">
        <v>2464</v>
      </c>
      <c r="AW44" t="s">
        <v>2465</v>
      </c>
      <c r="AX44" t="s">
        <v>984</v>
      </c>
      <c r="AY44" t="s">
        <v>331</v>
      </c>
      <c r="AZ44" t="s">
        <v>757</v>
      </c>
      <c r="BA44" t="s">
        <v>758</v>
      </c>
      <c r="BB44" t="s">
        <v>648</v>
      </c>
      <c r="BC44" t="s">
        <v>113</v>
      </c>
      <c r="BD44" t="s">
        <v>756</v>
      </c>
      <c r="BE44" t="s">
        <v>759</v>
      </c>
      <c r="BF44" t="s">
        <v>760</v>
      </c>
      <c r="BG44" t="s">
        <v>761</v>
      </c>
      <c r="BH44" t="s">
        <v>2466</v>
      </c>
      <c r="BI44" t="s">
        <v>298</v>
      </c>
      <c r="BJ44" t="s">
        <v>984</v>
      </c>
      <c r="BK44" t="s">
        <v>427</v>
      </c>
      <c r="BL44" t="s">
        <v>2467</v>
      </c>
      <c r="BM44" t="s">
        <v>113</v>
      </c>
      <c r="BN44">
        <v>8.0500000000000007</v>
      </c>
      <c r="BO44">
        <v>9.9</v>
      </c>
      <c r="BP44">
        <v>9.06</v>
      </c>
      <c r="BQ44">
        <v>8.09</v>
      </c>
      <c r="BR44">
        <v>9.25</v>
      </c>
      <c r="BS44">
        <v>14.45</v>
      </c>
      <c r="BT44" t="s">
        <v>1082</v>
      </c>
      <c r="BU44" t="s">
        <v>950</v>
      </c>
      <c r="BV44">
        <v>57.58</v>
      </c>
      <c r="BW44">
        <v>53.97</v>
      </c>
      <c r="BX44">
        <v>54.69</v>
      </c>
      <c r="BY44">
        <v>23.08</v>
      </c>
      <c r="BZ44">
        <v>23.76</v>
      </c>
      <c r="CA44">
        <v>15.93</v>
      </c>
      <c r="CB44">
        <v>1.3</v>
      </c>
      <c r="CC44">
        <v>-12.93</v>
      </c>
      <c r="CD44" t="s">
        <v>2468</v>
      </c>
      <c r="CE44" t="s">
        <v>2469</v>
      </c>
      <c r="CF44" s="8">
        <v>0.27152317880794702</v>
      </c>
      <c r="CG44" s="9">
        <v>-0.32982796535490583</v>
      </c>
      <c r="CH44" s="8">
        <v>-4.1733548045158386E-2</v>
      </c>
      <c r="CI44" s="8">
        <v>8.1597223877906799E-2</v>
      </c>
      <c r="CJ44" s="8">
        <v>6.6666670143604279E-2</v>
      </c>
      <c r="CK44" s="8">
        <v>-2.3508137091994286E-2</v>
      </c>
      <c r="CL44" s="8">
        <v>8.6444005370140076E-2</v>
      </c>
      <c r="CM44" s="9">
        <v>-1.4705882407724857E-2</v>
      </c>
      <c r="CN44" s="9">
        <v>0.656635582447052</v>
      </c>
      <c r="CO44" s="9">
        <v>0.17269077897071838</v>
      </c>
      <c r="CP44" s="9">
        <v>2.2749477066099644E-3</v>
      </c>
      <c r="CQ44" s="9">
        <v>1.1264301538467407</v>
      </c>
      <c r="CR44">
        <v>52.137482383483267</v>
      </c>
      <c r="CS44">
        <v>15.382854515527503</v>
      </c>
      <c r="CT44">
        <v>1.3256738842244808</v>
      </c>
      <c r="CU44" s="8">
        <v>3.3893242850899695E-2</v>
      </c>
      <c r="CV44" s="9">
        <v>0.38866511611267923</v>
      </c>
      <c r="CW44">
        <v>0.06</v>
      </c>
      <c r="CX44">
        <v>23.421771609815295</v>
      </c>
      <c r="CY44">
        <v>130699711.83209488</v>
      </c>
      <c r="CZ44">
        <v>3.3893242850899695E-2</v>
      </c>
      <c r="DA44">
        <v>8.0288118561680069</v>
      </c>
      <c r="DB44">
        <v>381279179.88864905</v>
      </c>
      <c r="DC44">
        <v>3.2198580708354706E-2</v>
      </c>
      <c r="DD44">
        <v>4.2073361954318349</v>
      </c>
      <c r="DE44">
        <v>727590726.72246981</v>
      </c>
      <c r="DF44">
        <v>2.9826053708791732E-2</v>
      </c>
      <c r="DG44">
        <v>2.7057648275141957</v>
      </c>
      <c r="DH44">
        <v>1131369130.4104807</v>
      </c>
      <c r="DI44">
        <v>2.7114594280719759E-2</v>
      </c>
      <c r="DJ44">
        <v>1.6137123346157545</v>
      </c>
      <c r="DK44">
        <v>1897004028.7440174</v>
      </c>
      <c r="DL44">
        <v>2.3725269995629784E-2</v>
      </c>
      <c r="DM44">
        <v>134000000.00000001</v>
      </c>
      <c r="DN44">
        <v>3.3893242850899695E-2</v>
      </c>
      <c r="DO44">
        <v>3061218800</v>
      </c>
      <c r="DP44">
        <v>1342623100</v>
      </c>
      <c r="DQ44">
        <v>2543</v>
      </c>
      <c r="DR44">
        <v>0.23762993595704732</v>
      </c>
      <c r="DS44">
        <v>-0.71849308146758506</v>
      </c>
      <c r="DT44" s="10">
        <v>-0.44</v>
      </c>
      <c r="DU44">
        <v>0.41333333333333333</v>
      </c>
      <c r="DV44">
        <v>-2.6666666666666672E-2</v>
      </c>
      <c r="DW44">
        <v>-2.1293000000000002</v>
      </c>
      <c r="DX44">
        <v>0.45701714210939598</v>
      </c>
      <c r="DY44">
        <v>-2.0203023164747447</v>
      </c>
      <c r="DZ44">
        <v>4356</v>
      </c>
      <c r="EA44">
        <v>-2.0029956842704419</v>
      </c>
      <c r="EB44">
        <v>2</v>
      </c>
      <c r="EC44">
        <v>2.3818420829319925E-2</v>
      </c>
      <c r="ED44">
        <v>0.15169312413497751</v>
      </c>
      <c r="EE44" s="11">
        <v>-4.0391000000000004</v>
      </c>
      <c r="EF44">
        <v>-4.0246000000000004</v>
      </c>
      <c r="EG44">
        <v>30.157017142109396</v>
      </c>
      <c r="EH44" t="s">
        <v>1739</v>
      </c>
      <c r="EI44">
        <v>0</v>
      </c>
      <c r="EJ44">
        <v>0</v>
      </c>
      <c r="EK44" s="13">
        <v>45470</v>
      </c>
      <c r="EL44" s="14">
        <v>-2.19</v>
      </c>
      <c r="EM44" s="14">
        <v>-5.91</v>
      </c>
      <c r="EN44" s="14">
        <v>0.24</v>
      </c>
      <c r="EO44" s="14">
        <v>3.97</v>
      </c>
      <c r="EP44" s="14">
        <v>-1.45</v>
      </c>
    </row>
    <row r="45" spans="1:146" ht="96" x14ac:dyDescent="0.25">
      <c r="C45" s="7" t="str">
        <f>""&amp;CHAR(10)&amp;Basic_Fundamental_Information_Constructure(F45)&amp;CHAR(10)&amp;Basic_Fundamental_Information_Concatenate("")</f>
        <v xml:space="preserve">
市值13.251亿, 利润1.01亿; PE75.41; 平均PE20.33; 平均PEG.13, PB1.82; ROIC9.18%; ROE18.4167%; 股利率.1585%; 毛利36.5167%; 净利20.3367%; 上一年度营收增681.03%, 利润增106.01%; 当季营收增-78.01%, 利润增-91.01%; 过往5年营收增156.29%, 利润增47.78%
Income profile:
</v>
      </c>
      <c r="D45" t="s">
        <v>762</v>
      </c>
      <c r="E45" t="s">
        <v>763</v>
      </c>
      <c r="F45">
        <v>18.93</v>
      </c>
      <c r="G45">
        <v>1.66</v>
      </c>
      <c r="H45" t="s">
        <v>2470</v>
      </c>
      <c r="I45">
        <v>1325100000</v>
      </c>
      <c r="J45">
        <v>75.41</v>
      </c>
      <c r="K45">
        <v>1.82</v>
      </c>
      <c r="L45" t="s">
        <v>1762</v>
      </c>
      <c r="M45" t="s">
        <v>2471</v>
      </c>
      <c r="N45" t="s">
        <v>2472</v>
      </c>
      <c r="O45" t="s">
        <v>2473</v>
      </c>
      <c r="P45">
        <v>150.41999999999999</v>
      </c>
      <c r="Q45" t="s">
        <v>2310</v>
      </c>
      <c r="R45">
        <v>2328279</v>
      </c>
      <c r="S45" s="5">
        <v>-0.33960000000000001</v>
      </c>
      <c r="T45" t="s">
        <v>107</v>
      </c>
      <c r="U45">
        <v>18484525</v>
      </c>
      <c r="V45">
        <v>70000000</v>
      </c>
      <c r="W45">
        <v>1.08</v>
      </c>
      <c r="X45">
        <v>0.06</v>
      </c>
      <c r="Y45">
        <v>5.27</v>
      </c>
      <c r="Z45" t="s">
        <v>2474</v>
      </c>
      <c r="AA45" t="s">
        <v>2475</v>
      </c>
      <c r="AB45" t="s">
        <v>2476</v>
      </c>
      <c r="AC45" t="s">
        <v>2477</v>
      </c>
      <c r="AD45" t="s">
        <v>41</v>
      </c>
      <c r="AE45">
        <v>-2308276</v>
      </c>
      <c r="AF45" t="s">
        <v>2478</v>
      </c>
      <c r="AG45" t="s">
        <v>41</v>
      </c>
      <c r="AH45" t="s">
        <v>2479</v>
      </c>
      <c r="AI45" t="s">
        <v>1402</v>
      </c>
      <c r="AJ45" t="s">
        <v>2480</v>
      </c>
      <c r="AK45" t="s">
        <v>41</v>
      </c>
      <c r="AL45" t="s">
        <v>2481</v>
      </c>
      <c r="AM45" t="s">
        <v>41</v>
      </c>
      <c r="AN45" t="s">
        <v>2482</v>
      </c>
      <c r="AO45" t="s">
        <v>41</v>
      </c>
      <c r="AP45" t="s">
        <v>2483</v>
      </c>
      <c r="AQ45" t="s">
        <v>2484</v>
      </c>
      <c r="AR45" t="s">
        <v>41</v>
      </c>
      <c r="AS45" t="s">
        <v>2485</v>
      </c>
      <c r="AT45" t="s">
        <v>41</v>
      </c>
      <c r="AU45" t="s">
        <v>2486</v>
      </c>
      <c r="AV45" t="s">
        <v>2487</v>
      </c>
      <c r="AW45" t="s">
        <v>2488</v>
      </c>
      <c r="AX45" t="s">
        <v>337</v>
      </c>
      <c r="AY45" t="s">
        <v>620</v>
      </c>
      <c r="AZ45" t="s">
        <v>656</v>
      </c>
      <c r="BA45" t="s">
        <v>298</v>
      </c>
      <c r="BB45" t="s">
        <v>91</v>
      </c>
      <c r="BC45" t="s">
        <v>1185</v>
      </c>
      <c r="BD45" t="s">
        <v>764</v>
      </c>
      <c r="BE45" t="s">
        <v>765</v>
      </c>
      <c r="BF45" t="s">
        <v>766</v>
      </c>
      <c r="BG45" t="s">
        <v>767</v>
      </c>
      <c r="BH45" t="s">
        <v>427</v>
      </c>
      <c r="BI45" t="s">
        <v>199</v>
      </c>
      <c r="BJ45" t="s">
        <v>337</v>
      </c>
      <c r="BK45" t="s">
        <v>2489</v>
      </c>
      <c r="BL45" t="s">
        <v>2490</v>
      </c>
      <c r="BM45" t="s">
        <v>1185</v>
      </c>
      <c r="BN45">
        <v>1.99</v>
      </c>
      <c r="BO45">
        <v>4.5</v>
      </c>
      <c r="BP45">
        <v>21.05</v>
      </c>
      <c r="BQ45">
        <v>3.12</v>
      </c>
      <c r="BR45">
        <v>6.89</v>
      </c>
      <c r="BS45">
        <v>45.24</v>
      </c>
      <c r="BT45" t="s">
        <v>1088</v>
      </c>
      <c r="BU45" t="s">
        <v>1777</v>
      </c>
      <c r="BV45">
        <v>36.159999999999997</v>
      </c>
      <c r="BW45">
        <v>37.83</v>
      </c>
      <c r="BX45">
        <v>35.56</v>
      </c>
      <c r="BY45">
        <v>11.88</v>
      </c>
      <c r="BZ45">
        <v>28.21</v>
      </c>
      <c r="CA45">
        <v>20.92</v>
      </c>
      <c r="CB45">
        <v>-4.83</v>
      </c>
      <c r="CC45">
        <v>-12.97</v>
      </c>
      <c r="CD45" t="s">
        <v>2491</v>
      </c>
      <c r="CE45" t="s">
        <v>2492</v>
      </c>
      <c r="CF45" s="8">
        <v>-0.78010398009950244</v>
      </c>
      <c r="CG45" s="9">
        <v>-0.91009464416727803</v>
      </c>
      <c r="CH45" s="8">
        <v>6.8103451728820801</v>
      </c>
      <c r="CI45" s="8">
        <v>-0.6116071343421936</v>
      </c>
      <c r="CJ45" s="8">
        <v>0.39563861489295959</v>
      </c>
      <c r="CK45" s="8">
        <v>1.1258277893066406</v>
      </c>
      <c r="CL45" s="8">
        <v>9.4202898442745209E-2</v>
      </c>
      <c r="CM45" s="9">
        <v>1.0601187944412231</v>
      </c>
      <c r="CN45" s="9">
        <v>-0.47734886407852173</v>
      </c>
      <c r="CO45" s="9">
        <v>0.10948541015386581</v>
      </c>
      <c r="CP45" s="9">
        <v>1.3532267808914185</v>
      </c>
      <c r="CQ45" s="9">
        <v>0.34358125925064087</v>
      </c>
      <c r="CR45">
        <v>20.331716977262417</v>
      </c>
      <c r="CS45">
        <v>0.13009122822477831</v>
      </c>
      <c r="CT45">
        <v>0.15847860538827258</v>
      </c>
      <c r="CU45" s="8">
        <v>1.5628814682364465</v>
      </c>
      <c r="CV45" s="9">
        <v>0.47781267613172529</v>
      </c>
      <c r="CW45">
        <v>0.06</v>
      </c>
      <c r="CX45">
        <v>2.7848736810392274</v>
      </c>
      <c r="CY45">
        <v>244199083.29422742</v>
      </c>
      <c r="CZ45">
        <v>1.5628814682364465</v>
      </c>
      <c r="DA45">
        <v>0.32498052623730567</v>
      </c>
      <c r="DB45">
        <v>2092628773.4035094</v>
      </c>
      <c r="DC45">
        <v>1.4847373948246241</v>
      </c>
      <c r="DD45">
        <v>2.9680308582273499E-2</v>
      </c>
      <c r="DE45">
        <v>22912955844.608925</v>
      </c>
      <c r="DF45">
        <v>1.3753356920480728</v>
      </c>
      <c r="DG45">
        <v>1.916563276886331E-3</v>
      </c>
      <c r="DH45">
        <v>354834931985.56873</v>
      </c>
      <c r="DI45">
        <v>1.2503051745891574</v>
      </c>
      <c r="DJ45">
        <v>4.0577874612015029E-6</v>
      </c>
      <c r="DK45">
        <v>167594682201180.28</v>
      </c>
      <c r="DL45">
        <v>1.0940170277655124</v>
      </c>
      <c r="DM45">
        <v>101000000</v>
      </c>
      <c r="DN45">
        <v>1.5628814682364465</v>
      </c>
      <c r="DO45">
        <v>680063600</v>
      </c>
      <c r="DP45">
        <v>308404570</v>
      </c>
      <c r="DQ45">
        <v>2554</v>
      </c>
      <c r="DR45">
        <v>-2.3429854483359489</v>
      </c>
      <c r="DS45">
        <v>-1.3879073202990033</v>
      </c>
      <c r="DT45" s="10">
        <v>-7.333333333333332E-2</v>
      </c>
      <c r="DU45">
        <v>7.6666666666666661E-2</v>
      </c>
      <c r="DV45">
        <v>3.3333333333333409E-3</v>
      </c>
      <c r="DW45">
        <v>-8.3723978411719351</v>
      </c>
      <c r="DX45">
        <v>0.3434178598125473</v>
      </c>
      <c r="DY45">
        <v>-8.0608564582031299</v>
      </c>
      <c r="DZ45">
        <v>4157</v>
      </c>
      <c r="EA45">
        <v>-8.0113495508155737</v>
      </c>
      <c r="EB45">
        <v>8</v>
      </c>
      <c r="EC45">
        <v>4.8719999999999999E-2</v>
      </c>
      <c r="ED45">
        <v>0.29813142857142855</v>
      </c>
      <c r="EE45" s="11">
        <v>-3.1476999999999999</v>
      </c>
      <c r="EF45">
        <v>-1.0476000000000001</v>
      </c>
      <c r="EG45">
        <v>18.163417859812547</v>
      </c>
      <c r="EH45" t="s">
        <v>1093</v>
      </c>
      <c r="EI45">
        <v>0</v>
      </c>
      <c r="EJ45">
        <v>0</v>
      </c>
      <c r="EK45" s="13">
        <v>45470</v>
      </c>
      <c r="EL45" s="14">
        <v>-1.5</v>
      </c>
      <c r="EM45" s="14">
        <v>-5.16</v>
      </c>
      <c r="EN45" s="14">
        <v>2.77</v>
      </c>
      <c r="EO45" s="14">
        <v>4</v>
      </c>
      <c r="EP45" s="14">
        <v>19.989999999999998</v>
      </c>
    </row>
    <row r="46" spans="1:146" ht="96" x14ac:dyDescent="0.25">
      <c r="C46" s="7" t="str">
        <f>""&amp;CHAR(10)&amp;Basic_Fundamental_Information_Constructure(F46)&amp;CHAR(10)&amp;Basic_Fundamental_Information_Concatenate("")</f>
        <v xml:space="preserve">
市值40.283601亿, 利润1.17亿; PE48.14; 平均PE45.61; 平均PEG4.06, PB2.8; ROIC10.33%; ROE12.7067%; 股利率1.1541%; 毛利23.9%; 净利12.1633%; 上一年度营收增-7.54%, 利润增-6.4%; 当季营收增18.04%, 利润增-45.81%; 过往5年营收增11.22%, 利润增20.42%
Income profile:
</v>
      </c>
      <c r="D46" t="s">
        <v>769</v>
      </c>
      <c r="E46" t="s">
        <v>770</v>
      </c>
      <c r="F46">
        <v>17.329999999999998</v>
      </c>
      <c r="G46">
        <v>-2.09</v>
      </c>
      <c r="H46" t="s">
        <v>1740</v>
      </c>
      <c r="I46">
        <v>4028360100</v>
      </c>
      <c r="J46">
        <v>48.14</v>
      </c>
      <c r="K46">
        <v>2.8</v>
      </c>
      <c r="L46" t="s">
        <v>59</v>
      </c>
      <c r="M46" t="s">
        <v>1600</v>
      </c>
      <c r="N46" t="s">
        <v>1284</v>
      </c>
      <c r="O46" t="s">
        <v>1419</v>
      </c>
      <c r="P46">
        <v>21.45</v>
      </c>
      <c r="Q46" t="s">
        <v>531</v>
      </c>
      <c r="R46">
        <v>53641667</v>
      </c>
      <c r="S46" s="5">
        <v>-0.38069999999999998</v>
      </c>
      <c r="T46" t="s">
        <v>292</v>
      </c>
      <c r="U46">
        <v>150761410</v>
      </c>
      <c r="V46">
        <v>232410000</v>
      </c>
      <c r="W46">
        <v>1.35</v>
      </c>
      <c r="X46">
        <v>0.37</v>
      </c>
      <c r="Y46">
        <v>7.76</v>
      </c>
      <c r="Z46" t="s">
        <v>1339</v>
      </c>
      <c r="AA46" t="s">
        <v>160</v>
      </c>
      <c r="AB46" t="s">
        <v>1601</v>
      </c>
      <c r="AC46" t="s">
        <v>1602</v>
      </c>
      <c r="AD46" t="s">
        <v>1387</v>
      </c>
      <c r="AE46">
        <v>-1465503</v>
      </c>
      <c r="AF46" t="s">
        <v>1603</v>
      </c>
      <c r="AG46">
        <v>601.49</v>
      </c>
      <c r="AH46" t="s">
        <v>1604</v>
      </c>
      <c r="AI46" t="s">
        <v>1292</v>
      </c>
      <c r="AJ46" t="s">
        <v>1605</v>
      </c>
      <c r="AK46" t="s">
        <v>1606</v>
      </c>
      <c r="AL46" t="s">
        <v>1607</v>
      </c>
      <c r="AM46" t="s">
        <v>41</v>
      </c>
      <c r="AN46" t="s">
        <v>1608</v>
      </c>
      <c r="AO46" t="s">
        <v>41</v>
      </c>
      <c r="AP46" t="s">
        <v>41</v>
      </c>
      <c r="AQ46" t="s">
        <v>1609</v>
      </c>
      <c r="AR46" t="s">
        <v>41</v>
      </c>
      <c r="AS46" t="s">
        <v>1456</v>
      </c>
      <c r="AT46" t="s">
        <v>41</v>
      </c>
      <c r="AU46" t="s">
        <v>1610</v>
      </c>
      <c r="AV46" t="s">
        <v>1410</v>
      </c>
      <c r="AW46" t="s">
        <v>1252</v>
      </c>
      <c r="AX46" t="s">
        <v>771</v>
      </c>
      <c r="AY46" t="s">
        <v>772</v>
      </c>
      <c r="AZ46" t="s">
        <v>773</v>
      </c>
      <c r="BA46" t="s">
        <v>774</v>
      </c>
      <c r="BB46" t="s">
        <v>775</v>
      </c>
      <c r="BC46" t="s">
        <v>275</v>
      </c>
      <c r="BD46" t="s">
        <v>776</v>
      </c>
      <c r="BE46" t="s">
        <v>777</v>
      </c>
      <c r="BF46" t="s">
        <v>778</v>
      </c>
      <c r="BG46" t="s">
        <v>779</v>
      </c>
      <c r="BH46" t="s">
        <v>1184</v>
      </c>
      <c r="BI46" t="s">
        <v>1205</v>
      </c>
      <c r="BJ46" t="s">
        <v>1294</v>
      </c>
      <c r="BK46" t="s">
        <v>1611</v>
      </c>
      <c r="BL46" t="s">
        <v>1612</v>
      </c>
      <c r="BM46" t="s">
        <v>1295</v>
      </c>
      <c r="BN46">
        <v>1.58</v>
      </c>
      <c r="BO46">
        <v>12.65</v>
      </c>
      <c r="BP46">
        <v>16.760000000000002</v>
      </c>
      <c r="BQ46">
        <v>1.59</v>
      </c>
      <c r="BR46">
        <v>18.600000000000001</v>
      </c>
      <c r="BS46">
        <v>17.93</v>
      </c>
      <c r="BT46" t="s">
        <v>1085</v>
      </c>
      <c r="BU46" t="s">
        <v>843</v>
      </c>
      <c r="BV46">
        <v>16.86</v>
      </c>
      <c r="BW46">
        <v>25.04</v>
      </c>
      <c r="BX46">
        <v>29.8</v>
      </c>
      <c r="BY46">
        <v>8.69</v>
      </c>
      <c r="BZ46">
        <v>14.04</v>
      </c>
      <c r="CA46">
        <v>13.76</v>
      </c>
      <c r="CB46">
        <v>5.67</v>
      </c>
      <c r="CC46">
        <v>10.66</v>
      </c>
      <c r="CD46" t="s">
        <v>1741</v>
      </c>
      <c r="CE46" t="s">
        <v>1742</v>
      </c>
      <c r="CF46" s="8">
        <v>0.18041237113402062</v>
      </c>
      <c r="CG46" s="9">
        <v>-0.45812732622169344</v>
      </c>
      <c r="CH46" s="8">
        <v>-7.53655806183815E-2</v>
      </c>
      <c r="CI46" s="8">
        <v>0.34696969389915466</v>
      </c>
      <c r="CJ46" s="8">
        <v>6.0975607484579086E-3</v>
      </c>
      <c r="CK46" s="8">
        <v>9.6989966928958893E-2</v>
      </c>
      <c r="CL46" s="8">
        <v>0.1865079402923584</v>
      </c>
      <c r="CM46" s="9">
        <v>-6.4000003039836884E-2</v>
      </c>
      <c r="CN46" s="9">
        <v>0.37660649418830872</v>
      </c>
      <c r="CO46" s="9">
        <v>9.5757335424423218E-2</v>
      </c>
      <c r="CP46" s="9">
        <v>0.26333072781562805</v>
      </c>
      <c r="CQ46" s="9">
        <v>0.34922990202903748</v>
      </c>
      <c r="CR46">
        <v>45.614240833665008</v>
      </c>
      <c r="CS46">
        <v>4.0639945535971869</v>
      </c>
      <c r="CT46">
        <v>1.154068090017311</v>
      </c>
      <c r="CU46" s="8">
        <v>0.11223991625010968</v>
      </c>
      <c r="CV46" s="9">
        <v>0.20418489128351211</v>
      </c>
      <c r="CW46">
        <v>0.06</v>
      </c>
      <c r="CX46">
        <v>24.684012949552137</v>
      </c>
      <c r="CY46">
        <v>122766103.96345551</v>
      </c>
      <c r="CZ46">
        <v>0.11223991625010968</v>
      </c>
      <c r="DA46">
        <v>7.9163934838938861</v>
      </c>
      <c r="DB46">
        <v>382795537.66059613</v>
      </c>
      <c r="DC46">
        <v>0.10662792043760419</v>
      </c>
      <c r="DD46">
        <v>3.7995775639908564</v>
      </c>
      <c r="DE46">
        <v>797551845.95233929</v>
      </c>
      <c r="DF46">
        <v>9.8771126300096518E-2</v>
      </c>
      <c r="DG46">
        <v>2.2167945166954199</v>
      </c>
      <c r="DH46">
        <v>1367000900.2536526</v>
      </c>
      <c r="DI46">
        <v>8.9791933000087754E-2</v>
      </c>
      <c r="DJ46">
        <v>1.073781887169335</v>
      </c>
      <c r="DK46">
        <v>2822137471.5013361</v>
      </c>
      <c r="DL46">
        <v>7.8567941375076764E-2</v>
      </c>
      <c r="DM46">
        <v>117000000</v>
      </c>
      <c r="DN46">
        <v>0.11223991625010968</v>
      </c>
      <c r="DO46">
        <v>3030360100</v>
      </c>
      <c r="DP46">
        <v>1217678000</v>
      </c>
      <c r="DQ46">
        <v>2621</v>
      </c>
      <c r="DR46">
        <v>6.8172454883910938E-2</v>
      </c>
      <c r="DS46">
        <v>-0.66231221750520552</v>
      </c>
      <c r="DT46" s="10">
        <v>-0.19000000000000003</v>
      </c>
      <c r="DU46">
        <v>0.14666666666666661</v>
      </c>
      <c r="DV46">
        <v>-4.3333333333333418E-2</v>
      </c>
      <c r="DW46">
        <v>8.531894934333959</v>
      </c>
      <c r="DX46">
        <v>0.37688375072874192</v>
      </c>
      <c r="DY46">
        <v>8.0834456722919281</v>
      </c>
      <c r="DZ46">
        <v>2384</v>
      </c>
      <c r="EA46">
        <v>8.044560902404525</v>
      </c>
      <c r="EB46">
        <v>8</v>
      </c>
      <c r="EC46">
        <v>5.5429628673465001E-2</v>
      </c>
      <c r="ED46">
        <v>0.35331655264403428</v>
      </c>
      <c r="EE46" s="11">
        <v>4.0194999999999999</v>
      </c>
      <c r="EF46">
        <v>4.0014099999999999</v>
      </c>
      <c r="EG46">
        <v>22.156883750728742</v>
      </c>
      <c r="EH46" t="s">
        <v>1709</v>
      </c>
      <c r="EI46">
        <v>0</v>
      </c>
      <c r="EJ46">
        <v>0</v>
      </c>
      <c r="EK46" s="13">
        <v>45385</v>
      </c>
      <c r="EL46" s="14">
        <v>-0.79</v>
      </c>
      <c r="EM46" s="14">
        <v>3.75</v>
      </c>
      <c r="EN46" s="14">
        <v>3.72</v>
      </c>
      <c r="EO46" s="14">
        <v>1.38</v>
      </c>
      <c r="EP46" s="14">
        <v>1.25</v>
      </c>
    </row>
    <row r="47" spans="1:146" ht="96" x14ac:dyDescent="0.25">
      <c r="C47" s="7" t="str">
        <f>""&amp;CHAR(10)&amp;Basic_Fundamental_Information_Constructure(F47)&amp;CHAR(10)&amp;Basic_Fundamental_Information_Concatenate("")</f>
        <v xml:space="preserve">
市值29.299208亿, 利润2.25亿; PE41.65; 平均PE26.06; 平均PEG3.29, PB1.87; ROIC6.3667%; ROE10.3433%; 股利率1.3106%; 毛利19.83%; 净利5.4133%; 上一年度营收增-48.99%, 利润增25.7%; 当季营收增175.69%, 利润增2.39%; 过往5年营收增7.92%, 利润增160.31%
Income profile:
</v>
      </c>
      <c r="D47" t="s">
        <v>780</v>
      </c>
      <c r="E47" t="s">
        <v>781</v>
      </c>
      <c r="F47">
        <v>15.26</v>
      </c>
      <c r="G47">
        <v>-0.39</v>
      </c>
      <c r="H47" t="s">
        <v>2493</v>
      </c>
      <c r="I47">
        <v>2929920800</v>
      </c>
      <c r="J47">
        <v>41.65</v>
      </c>
      <c r="K47">
        <v>1.87</v>
      </c>
      <c r="L47" t="s">
        <v>1762</v>
      </c>
      <c r="M47" t="s">
        <v>2494</v>
      </c>
      <c r="N47" t="s">
        <v>2495</v>
      </c>
      <c r="O47" t="s">
        <v>960</v>
      </c>
      <c r="P47">
        <v>52.03</v>
      </c>
      <c r="Q47" t="s">
        <v>1221</v>
      </c>
      <c r="R47">
        <v>43371525</v>
      </c>
      <c r="S47" s="5">
        <v>1.36</v>
      </c>
      <c r="T47" t="s">
        <v>1260</v>
      </c>
      <c r="U47">
        <v>96240054</v>
      </c>
      <c r="V47">
        <v>192000050</v>
      </c>
      <c r="W47">
        <v>2.16</v>
      </c>
      <c r="X47">
        <v>0.12</v>
      </c>
      <c r="Y47">
        <v>8.36</v>
      </c>
      <c r="Z47" t="s">
        <v>2215</v>
      </c>
      <c r="AA47" t="s">
        <v>726</v>
      </c>
      <c r="AB47" t="s">
        <v>2496</v>
      </c>
      <c r="AC47" t="s">
        <v>2497</v>
      </c>
      <c r="AD47" t="s">
        <v>41</v>
      </c>
      <c r="AE47">
        <v>9966204</v>
      </c>
      <c r="AF47" t="s">
        <v>2498</v>
      </c>
      <c r="AG47" t="s">
        <v>2499</v>
      </c>
      <c r="AH47" t="s">
        <v>2500</v>
      </c>
      <c r="AI47" t="s">
        <v>2257</v>
      </c>
      <c r="AJ47" t="s">
        <v>2501</v>
      </c>
      <c r="AK47" t="s">
        <v>2502</v>
      </c>
      <c r="AL47" t="s">
        <v>2503</v>
      </c>
      <c r="AM47" t="s">
        <v>41</v>
      </c>
      <c r="AN47" t="s">
        <v>197</v>
      </c>
      <c r="AO47" t="s">
        <v>2504</v>
      </c>
      <c r="AP47" t="s">
        <v>1373</v>
      </c>
      <c r="AQ47" t="s">
        <v>1004</v>
      </c>
      <c r="AR47" t="s">
        <v>41</v>
      </c>
      <c r="AS47" t="s">
        <v>1542</v>
      </c>
      <c r="AT47" t="s">
        <v>1230</v>
      </c>
      <c r="AU47" t="s">
        <v>2505</v>
      </c>
      <c r="AV47" t="s">
        <v>2506</v>
      </c>
      <c r="AW47" t="s">
        <v>2507</v>
      </c>
      <c r="AX47" t="s">
        <v>1186</v>
      </c>
      <c r="AY47" t="s">
        <v>782</v>
      </c>
      <c r="AZ47" t="s">
        <v>784</v>
      </c>
      <c r="BA47" t="s">
        <v>785</v>
      </c>
      <c r="BB47" t="s">
        <v>635</v>
      </c>
      <c r="BC47" t="s">
        <v>962</v>
      </c>
      <c r="BD47" t="s">
        <v>783</v>
      </c>
      <c r="BE47" t="s">
        <v>142</v>
      </c>
      <c r="BF47" t="s">
        <v>786</v>
      </c>
      <c r="BG47" t="s">
        <v>787</v>
      </c>
      <c r="BH47" t="s">
        <v>2508</v>
      </c>
      <c r="BI47" t="s">
        <v>259</v>
      </c>
      <c r="BJ47" t="s">
        <v>1186</v>
      </c>
      <c r="BK47" t="s">
        <v>2509</v>
      </c>
      <c r="BL47" t="s">
        <v>2510</v>
      </c>
      <c r="BM47" t="s">
        <v>962</v>
      </c>
      <c r="BN47">
        <v>2.63</v>
      </c>
      <c r="BO47">
        <v>9.8699999999999992</v>
      </c>
      <c r="BP47">
        <v>6.6</v>
      </c>
      <c r="BQ47">
        <v>4.1399999999999997</v>
      </c>
      <c r="BR47">
        <v>12.49</v>
      </c>
      <c r="BS47">
        <v>14.4</v>
      </c>
      <c r="BT47" t="s">
        <v>1085</v>
      </c>
      <c r="BU47" t="s">
        <v>1777</v>
      </c>
      <c r="BV47">
        <v>19.23</v>
      </c>
      <c r="BW47">
        <v>22.24</v>
      </c>
      <c r="BX47">
        <v>18.02</v>
      </c>
      <c r="BY47">
        <v>1.58</v>
      </c>
      <c r="BZ47">
        <v>8.89</v>
      </c>
      <c r="CA47">
        <v>5.77</v>
      </c>
      <c r="CB47">
        <v>-4.3899999999999997</v>
      </c>
      <c r="CC47">
        <v>-18.61</v>
      </c>
      <c r="CD47" t="s">
        <v>2511</v>
      </c>
      <c r="CE47" t="s">
        <v>2512</v>
      </c>
      <c r="CF47" s="8">
        <v>1.7569060773480663</v>
      </c>
      <c r="CG47" s="9">
        <v>2.3888917742377169E-2</v>
      </c>
      <c r="CH47" s="8">
        <v>-0.48987853527069092</v>
      </c>
      <c r="CI47" s="8">
        <v>0.60129660367965698</v>
      </c>
      <c r="CJ47" s="8">
        <v>0.20272904634475708</v>
      </c>
      <c r="CK47" s="8">
        <v>5.8823530562222004E-3</v>
      </c>
      <c r="CL47" s="8">
        <v>7.594936341047287E-2</v>
      </c>
      <c r="CM47" s="9">
        <v>0.25698325037956238</v>
      </c>
      <c r="CN47" s="9">
        <v>1.5140873193740845</v>
      </c>
      <c r="CO47" s="9">
        <v>-0.37544912099838257</v>
      </c>
      <c r="CP47" s="9">
        <v>0.52314996719360352</v>
      </c>
      <c r="CQ47" s="9">
        <v>6.0967917442321777</v>
      </c>
      <c r="CR47">
        <v>26.059569219822411</v>
      </c>
      <c r="CS47">
        <v>3.2905255489928673</v>
      </c>
      <c r="CT47">
        <v>1.3106159895150722</v>
      </c>
      <c r="CU47" s="8">
        <v>7.9195766244083643E-2</v>
      </c>
      <c r="CV47" s="9">
        <v>1.603112632036209</v>
      </c>
      <c r="CW47">
        <v>0.06</v>
      </c>
      <c r="CX47">
        <v>14.558232090026685</v>
      </c>
      <c r="CY47">
        <v>229074573.02350831</v>
      </c>
      <c r="CZ47">
        <v>7.9195766244083643E-2</v>
      </c>
      <c r="DA47">
        <v>4.801273250759726</v>
      </c>
      <c r="DB47">
        <v>694590919.0801214</v>
      </c>
      <c r="DC47">
        <v>7.5235977931879458E-2</v>
      </c>
      <c r="DD47">
        <v>2.3925653394691606</v>
      </c>
      <c r="DE47">
        <v>1393868223.778549</v>
      </c>
      <c r="DF47">
        <v>6.9692274294793605E-2</v>
      </c>
      <c r="DG47">
        <v>1.4565761977167091</v>
      </c>
      <c r="DH47">
        <v>2289561510.9101295</v>
      </c>
      <c r="DI47">
        <v>6.3356612995266917E-2</v>
      </c>
      <c r="DJ47">
        <v>0.77519465616156424</v>
      </c>
      <c r="DK47">
        <v>4302043072.0112495</v>
      </c>
      <c r="DL47">
        <v>5.5437036370858547E-2</v>
      </c>
      <c r="DM47">
        <v>225000000</v>
      </c>
      <c r="DN47">
        <v>7.9195766244083643E-2</v>
      </c>
      <c r="DO47">
        <v>3334920800</v>
      </c>
      <c r="DP47">
        <v>402374700.00000012</v>
      </c>
      <c r="DQ47">
        <v>2619</v>
      </c>
      <c r="DR47">
        <v>1.6777103111039826</v>
      </c>
      <c r="DS47">
        <v>-1.5792237142938319</v>
      </c>
      <c r="DT47" s="10">
        <v>-0.17333333333333334</v>
      </c>
      <c r="DU47">
        <v>0.99500000000000011</v>
      </c>
      <c r="DV47">
        <v>0.82166666666666677</v>
      </c>
      <c r="DW47">
        <v>-8.2358946802794204</v>
      </c>
      <c r="DX47">
        <v>0.39230896513345526</v>
      </c>
      <c r="DY47">
        <v>-8.03828782143664</v>
      </c>
      <c r="DZ47">
        <v>3102</v>
      </c>
      <c r="EA47">
        <v>-8.015045390497999</v>
      </c>
      <c r="EB47">
        <v>8</v>
      </c>
      <c r="EC47">
        <v>2.8558846729466996E-2</v>
      </c>
      <c r="ED47">
        <v>0.17595360001208332</v>
      </c>
      <c r="EE47" s="11">
        <v>-5.0544000000000002</v>
      </c>
      <c r="EF47">
        <v>-5.0618999999999996</v>
      </c>
      <c r="EG47">
        <v>23.162308965133455</v>
      </c>
      <c r="EH47" t="s">
        <v>1754</v>
      </c>
      <c r="EI47">
        <v>0</v>
      </c>
      <c r="EJ47">
        <v>0</v>
      </c>
      <c r="EK47" s="13">
        <v>45470</v>
      </c>
      <c r="EL47" s="14">
        <v>0.12</v>
      </c>
      <c r="EM47" s="14">
        <v>-5.87</v>
      </c>
      <c r="EN47" s="14">
        <v>2.59</v>
      </c>
      <c r="EO47" s="14">
        <v>4.58</v>
      </c>
      <c r="EP47" s="14">
        <v>0.75</v>
      </c>
    </row>
    <row r="48" spans="1:146" ht="96" x14ac:dyDescent="0.25">
      <c r="C48" s="7" t="str">
        <f>""&amp;CHAR(10)&amp;Basic_Fundamental_Information_Constructure(F48)&amp;CHAR(10)&amp;Basic_Fundamental_Information_Concatenate("")</f>
        <v xml:space="preserve">
市值16.6848亿, 利润-9353.84万; PE11.14; 平均PE24.71; 平均PEG7.4, PB.929; ROIC8.47%; ROE10.8533%; 股利率2.8409%; 毛利33.06%; 净利13.71%; 上一年度营收增-57.84%, 利润增-186.61%; 当季营收增25.47%, 利润增91.33%; 过往5年营收增-3.34%, 利润增-21.43%
Income profile:
</v>
      </c>
      <c r="D48" t="s">
        <v>1012</v>
      </c>
      <c r="E48" t="s">
        <v>1013</v>
      </c>
      <c r="F48">
        <v>17.600000000000001</v>
      </c>
      <c r="G48">
        <v>2.21</v>
      </c>
      <c r="H48" t="s">
        <v>2513</v>
      </c>
      <c r="I48">
        <v>1668480000</v>
      </c>
      <c r="J48">
        <v>11.14</v>
      </c>
      <c r="K48">
        <v>0.92900000000000005</v>
      </c>
      <c r="L48" t="s">
        <v>1762</v>
      </c>
      <c r="M48" t="s">
        <v>93</v>
      </c>
      <c r="N48" t="s">
        <v>2514</v>
      </c>
      <c r="O48" t="s">
        <v>2515</v>
      </c>
      <c r="P48" s="5">
        <v>3.22</v>
      </c>
      <c r="Q48" t="s">
        <v>237</v>
      </c>
      <c r="R48">
        <v>-1760573</v>
      </c>
      <c r="S48">
        <v>0.68589999999999995</v>
      </c>
      <c r="T48" t="s">
        <v>2516</v>
      </c>
      <c r="U48">
        <v>33737475</v>
      </c>
      <c r="V48">
        <v>94800000</v>
      </c>
      <c r="W48">
        <v>1.24</v>
      </c>
      <c r="X48">
        <v>0.04</v>
      </c>
      <c r="Y48">
        <v>-1.99</v>
      </c>
      <c r="Z48" t="s">
        <v>396</v>
      </c>
      <c r="AA48" t="s">
        <v>2517</v>
      </c>
      <c r="AB48" t="s">
        <v>2518</v>
      </c>
      <c r="AC48" t="s">
        <v>2519</v>
      </c>
      <c r="AD48" t="s">
        <v>41</v>
      </c>
      <c r="AE48">
        <v>-3957847</v>
      </c>
      <c r="AF48" t="s">
        <v>2520</v>
      </c>
      <c r="AG48" t="s">
        <v>2521</v>
      </c>
      <c r="AH48" t="s">
        <v>2522</v>
      </c>
      <c r="AI48" t="s">
        <v>1262</v>
      </c>
      <c r="AJ48" t="s">
        <v>2523</v>
      </c>
      <c r="AK48" t="s">
        <v>2524</v>
      </c>
      <c r="AL48" t="s">
        <v>2525</v>
      </c>
      <c r="AM48" t="s">
        <v>41</v>
      </c>
      <c r="AN48" t="s">
        <v>214</v>
      </c>
      <c r="AO48" t="s">
        <v>979</v>
      </c>
      <c r="AP48" t="s">
        <v>41</v>
      </c>
      <c r="AQ48" t="s">
        <v>2526</v>
      </c>
      <c r="AR48" t="s">
        <v>41</v>
      </c>
      <c r="AS48" t="s">
        <v>1359</v>
      </c>
      <c r="AT48" t="s">
        <v>41</v>
      </c>
      <c r="AU48" t="s">
        <v>2527</v>
      </c>
      <c r="AV48" t="s">
        <v>2528</v>
      </c>
      <c r="AW48" t="s">
        <v>2529</v>
      </c>
      <c r="AX48" t="s">
        <v>1010</v>
      </c>
      <c r="AY48" t="s">
        <v>713</v>
      </c>
      <c r="AZ48" t="s">
        <v>447</v>
      </c>
      <c r="BA48" t="s">
        <v>604</v>
      </c>
      <c r="BB48" t="s">
        <v>1014</v>
      </c>
      <c r="BC48" t="s">
        <v>449</v>
      </c>
      <c r="BD48" t="s">
        <v>975</v>
      </c>
      <c r="BE48" t="s">
        <v>84</v>
      </c>
      <c r="BF48" t="s">
        <v>1015</v>
      </c>
      <c r="BG48" t="s">
        <v>1016</v>
      </c>
      <c r="BH48" t="s">
        <v>1676</v>
      </c>
      <c r="BI48" t="s">
        <v>2530</v>
      </c>
      <c r="BJ48" t="s">
        <v>1010</v>
      </c>
      <c r="BK48" t="s">
        <v>1790</v>
      </c>
      <c r="BL48" t="s">
        <v>2531</v>
      </c>
      <c r="BM48" t="s">
        <v>449</v>
      </c>
      <c r="BN48">
        <v>5.17</v>
      </c>
      <c r="BO48">
        <v>6.67</v>
      </c>
      <c r="BP48">
        <v>13.57</v>
      </c>
      <c r="BQ48">
        <v>6.67</v>
      </c>
      <c r="BR48">
        <v>9.67</v>
      </c>
      <c r="BS48">
        <v>16.22</v>
      </c>
      <c r="BT48" t="s">
        <v>1083</v>
      </c>
      <c r="BU48" t="s">
        <v>2063</v>
      </c>
      <c r="BV48">
        <v>36.19</v>
      </c>
      <c r="BW48">
        <v>33.340000000000003</v>
      </c>
      <c r="BX48">
        <v>29.65</v>
      </c>
      <c r="BY48">
        <v>15.53</v>
      </c>
      <c r="BZ48">
        <v>12.17</v>
      </c>
      <c r="CA48">
        <v>13.43</v>
      </c>
      <c r="CB48">
        <v>-6.43</v>
      </c>
      <c r="CC48">
        <v>-23.88</v>
      </c>
      <c r="CD48" t="s">
        <v>2532</v>
      </c>
      <c r="CE48" t="s">
        <v>2533</v>
      </c>
      <c r="CF48" s="8">
        <v>0.25466375227893107</v>
      </c>
      <c r="CG48" s="9">
        <v>0.91329276821244243</v>
      </c>
      <c r="CH48" s="8">
        <v>-0.57835400104522705</v>
      </c>
      <c r="CI48" s="8">
        <v>-7.3145247995853424E-2</v>
      </c>
      <c r="CJ48" s="8">
        <v>0.14336918294429779</v>
      </c>
      <c r="CK48" s="8">
        <v>0.14972527325153351</v>
      </c>
      <c r="CL48" s="8">
        <v>0.19148936867713928</v>
      </c>
      <c r="CM48" s="9">
        <v>-1.8660962581634521</v>
      </c>
      <c r="CN48" s="9">
        <v>-0.15625</v>
      </c>
      <c r="CO48" s="9">
        <v>7.8740157186985016E-3</v>
      </c>
      <c r="CP48" s="9">
        <v>0.67407476902008057</v>
      </c>
      <c r="CQ48" s="9">
        <v>0.26913291215896606</v>
      </c>
      <c r="CR48">
        <v>24.712138764852206</v>
      </c>
      <c r="CS48">
        <v>7.4025929263323276</v>
      </c>
      <c r="CT48">
        <v>2.8409090909090908</v>
      </c>
      <c r="CU48" s="8">
        <v>-3.3383084833621977E-2</v>
      </c>
      <c r="CV48" s="9">
        <v>-0.21425291225314141</v>
      </c>
      <c r="CW48">
        <v>0.06</v>
      </c>
      <c r="CX48" t="e">
        <v>#VALUE!</v>
      </c>
      <c r="CY48" t="s">
        <v>852</v>
      </c>
      <c r="CZ48">
        <v>-3.3383084833621977E-2</v>
      </c>
      <c r="DA48" t="e">
        <v>#VALUE!</v>
      </c>
      <c r="DB48" t="s">
        <v>853</v>
      </c>
      <c r="DC48">
        <v>-3.171393059194088E-2</v>
      </c>
      <c r="DD48" t="e">
        <v>#VALUE!</v>
      </c>
      <c r="DE48" t="s">
        <v>853</v>
      </c>
      <c r="DF48">
        <v>-2.937711465358734E-2</v>
      </c>
      <c r="DG48" t="e">
        <v>#VALUE!</v>
      </c>
      <c r="DH48" t="s">
        <v>853</v>
      </c>
      <c r="DI48">
        <v>-2.6706467866897583E-2</v>
      </c>
      <c r="DJ48" t="e">
        <v>#VALUE!</v>
      </c>
      <c r="DK48" t="s">
        <v>853</v>
      </c>
      <c r="DL48">
        <v>-2.3368159383535383E-2</v>
      </c>
      <c r="DM48">
        <v>-93538400</v>
      </c>
      <c r="DN48">
        <v>-3.3383084833621977E-2</v>
      </c>
      <c r="DO48">
        <v>289480000</v>
      </c>
      <c r="DP48">
        <v>1016988000</v>
      </c>
      <c r="DQ48" s="10">
        <v>2649</v>
      </c>
      <c r="DR48">
        <v>0.28804683711255302</v>
      </c>
      <c r="DS48">
        <v>1.1275456804655839</v>
      </c>
      <c r="DT48">
        <v>-0.50666666666666671</v>
      </c>
      <c r="DU48">
        <v>-1.2450000000000001</v>
      </c>
      <c r="DV48">
        <v>-1.7516666666666669</v>
      </c>
      <c r="DW48">
        <v>-9.2692629815745402</v>
      </c>
      <c r="DX48">
        <v>0.43474937430620575</v>
      </c>
      <c r="DY48">
        <v>-9.0712872058956826</v>
      </c>
      <c r="DZ48">
        <v>3171</v>
      </c>
      <c r="EA48">
        <v>-9.0270500767576767</v>
      </c>
      <c r="EB48" s="11">
        <v>9</v>
      </c>
      <c r="EC48">
        <v>6.8178270042194095E-2</v>
      </c>
      <c r="ED48">
        <v>0.2575200421940928</v>
      </c>
      <c r="EE48">
        <v>1.0506</v>
      </c>
      <c r="EF48">
        <v>1.0852999999999999</v>
      </c>
      <c r="EG48">
        <v>17.264749374306206</v>
      </c>
      <c r="EH48" s="13" t="s">
        <v>1094</v>
      </c>
      <c r="EI48" s="14">
        <v>0</v>
      </c>
      <c r="EJ48" s="14">
        <v>0</v>
      </c>
      <c r="EK48" s="14">
        <v>45470</v>
      </c>
      <c r="EL48" s="14">
        <v>-1.6</v>
      </c>
      <c r="EM48" s="14">
        <v>-5.79</v>
      </c>
      <c r="EN48" s="14">
        <v>6.91</v>
      </c>
      <c r="EO48" s="14">
        <v>2.46</v>
      </c>
      <c r="EP48" s="14">
        <v>3.47</v>
      </c>
    </row>
    <row r="49" spans="1:146" ht="96" x14ac:dyDescent="0.25">
      <c r="C49" s="7" t="str">
        <f>""&amp;CHAR(10)&amp;Basic_Fundamental_Information_Constructure(F49)&amp;CHAR(10)&amp;Basic_Fundamental_Information_Concatenate("")</f>
        <v xml:space="preserve">
市值17.120856亿, 利润2096.41万; PE18.39; 平均PE31.39; 平均PEG24.25, PB1.56; ROIC18.6033%; ROE18.76%; 股利率.9735%; 毛利28.4833%; 净利13.66%; 上一年度营收增-76.61%, 利润增-75.12%; 当季营收增294.07%, 利润增190.33%; 过往5年营收增-1.29%, 利润增44.02%
Income profile:
</v>
      </c>
      <c r="D49" t="s">
        <v>1187</v>
      </c>
      <c r="E49" t="s">
        <v>1188</v>
      </c>
      <c r="F49">
        <v>25.68</v>
      </c>
      <c r="G49">
        <v>0.35</v>
      </c>
      <c r="H49" t="s">
        <v>2534</v>
      </c>
      <c r="I49">
        <v>1712085600</v>
      </c>
      <c r="J49">
        <v>18.39</v>
      </c>
      <c r="K49">
        <v>1.56</v>
      </c>
      <c r="L49" t="s">
        <v>1762</v>
      </c>
      <c r="M49" t="s">
        <v>154</v>
      </c>
      <c r="N49" t="s">
        <v>138</v>
      </c>
      <c r="O49" t="s">
        <v>88</v>
      </c>
      <c r="P49" s="5">
        <v>-1.56</v>
      </c>
      <c r="Q49" t="s">
        <v>228</v>
      </c>
      <c r="R49">
        <v>17359150</v>
      </c>
      <c r="S49">
        <v>-0.17960000000000001</v>
      </c>
      <c r="T49" t="s">
        <v>2535</v>
      </c>
      <c r="U49">
        <v>16670000</v>
      </c>
      <c r="V49">
        <v>66670000</v>
      </c>
      <c r="W49">
        <v>1.3</v>
      </c>
      <c r="X49">
        <v>0.12</v>
      </c>
      <c r="Y49">
        <v>10.55</v>
      </c>
      <c r="Z49" t="s">
        <v>214</v>
      </c>
      <c r="AA49" t="s">
        <v>372</v>
      </c>
      <c r="AB49" t="s">
        <v>2536</v>
      </c>
      <c r="AC49" t="s">
        <v>2537</v>
      </c>
      <c r="AD49" t="s">
        <v>41</v>
      </c>
      <c r="AE49">
        <v>-6380240</v>
      </c>
      <c r="AF49" t="s">
        <v>134</v>
      </c>
      <c r="AG49" t="s">
        <v>2538</v>
      </c>
      <c r="AH49" t="s">
        <v>2539</v>
      </c>
      <c r="AI49" t="s">
        <v>2540</v>
      </c>
      <c r="AJ49" t="s">
        <v>2541</v>
      </c>
      <c r="AK49" t="s">
        <v>41</v>
      </c>
      <c r="AL49" t="s">
        <v>2542</v>
      </c>
      <c r="AM49" t="s">
        <v>41</v>
      </c>
      <c r="AN49" t="s">
        <v>2543</v>
      </c>
      <c r="AO49" t="s">
        <v>2544</v>
      </c>
      <c r="AP49" t="s">
        <v>2545</v>
      </c>
      <c r="AQ49" t="s">
        <v>142</v>
      </c>
      <c r="AR49" t="s">
        <v>41</v>
      </c>
      <c r="AS49" t="s">
        <v>1000</v>
      </c>
      <c r="AT49" t="s">
        <v>41</v>
      </c>
      <c r="AU49" t="s">
        <v>2546</v>
      </c>
      <c r="AV49" t="s">
        <v>2547</v>
      </c>
      <c r="AW49" t="s">
        <v>2548</v>
      </c>
      <c r="AX49" t="s">
        <v>1119</v>
      </c>
      <c r="AY49" t="s">
        <v>1274</v>
      </c>
      <c r="AZ49" t="s">
        <v>878</v>
      </c>
      <c r="BA49" t="s">
        <v>470</v>
      </c>
      <c r="BB49" t="s">
        <v>686</v>
      </c>
      <c r="BC49" t="s">
        <v>1190</v>
      </c>
      <c r="BD49" t="s">
        <v>1191</v>
      </c>
      <c r="BE49" t="s">
        <v>1297</v>
      </c>
      <c r="BF49" t="s">
        <v>1298</v>
      </c>
      <c r="BG49" t="s">
        <v>1299</v>
      </c>
      <c r="BH49" t="s">
        <v>2549</v>
      </c>
      <c r="BI49" t="s">
        <v>2550</v>
      </c>
      <c r="BJ49" t="s">
        <v>1119</v>
      </c>
      <c r="BK49" t="s">
        <v>2551</v>
      </c>
      <c r="BL49" t="s">
        <v>2552</v>
      </c>
      <c r="BM49" t="s">
        <v>1190</v>
      </c>
      <c r="BN49">
        <v>9.4</v>
      </c>
      <c r="BO49">
        <v>21.94</v>
      </c>
      <c r="BP49">
        <v>24.47</v>
      </c>
      <c r="BQ49">
        <v>13.64</v>
      </c>
      <c r="BR49">
        <v>23.88</v>
      </c>
      <c r="BS49" t="s">
        <v>41</v>
      </c>
      <c r="BT49" t="s">
        <v>1090</v>
      </c>
      <c r="BU49" t="s">
        <v>950</v>
      </c>
      <c r="BV49">
        <v>32.590000000000003</v>
      </c>
      <c r="BW49">
        <v>25.63</v>
      </c>
      <c r="BX49">
        <v>27.23</v>
      </c>
      <c r="BY49">
        <v>15.9</v>
      </c>
      <c r="BZ49">
        <v>13.9</v>
      </c>
      <c r="CA49">
        <v>11.18</v>
      </c>
      <c r="CB49">
        <v>-3.64</v>
      </c>
      <c r="CC49" s="8">
        <v>-5.76</v>
      </c>
      <c r="CD49" s="9" t="s">
        <v>2553</v>
      </c>
      <c r="CE49" s="8" t="s">
        <v>2554</v>
      </c>
      <c r="CF49" s="8">
        <v>2.9407408115060076</v>
      </c>
      <c r="CG49" s="8">
        <v>1.9033048452108177</v>
      </c>
      <c r="CH49" s="8">
        <v>-0.76606261730194092</v>
      </c>
      <c r="CI49" s="8">
        <v>-0.13532763719558716</v>
      </c>
      <c r="CJ49" s="9">
        <v>3.9999999105930328E-2</v>
      </c>
      <c r="CK49" s="9">
        <v>0.76701569557189941</v>
      </c>
      <c r="CL49" s="9">
        <v>2.964959479868412E-2</v>
      </c>
      <c r="CM49" s="9">
        <v>-0.7512323260307312</v>
      </c>
      <c r="CN49" s="9">
        <v>7.6516993343830109E-2</v>
      </c>
      <c r="CO49">
        <v>-0.16155876219272614</v>
      </c>
      <c r="CP49">
        <v>1.6203807592391968</v>
      </c>
      <c r="CQ49">
        <v>1.4167220592498779</v>
      </c>
      <c r="CR49" s="8">
        <v>31.389658125900091</v>
      </c>
      <c r="CS49" s="9">
        <v>24.248493696140919</v>
      </c>
      <c r="CT49">
        <v>0.97352024922118385</v>
      </c>
      <c r="CU49">
        <v>-1.2944993004202843E-2</v>
      </c>
      <c r="CV49">
        <v>0.44016574472188952</v>
      </c>
      <c r="CW49">
        <v>0.06</v>
      </c>
      <c r="CX49">
        <v>44.365634584837892</v>
      </c>
      <c r="CY49" t="s">
        <v>2555</v>
      </c>
      <c r="CZ49">
        <v>-1.2944993004202843E-2</v>
      </c>
      <c r="DA49">
        <v>14.78854486161263</v>
      </c>
      <c r="DB49" t="s">
        <v>2556</v>
      </c>
      <c r="DC49">
        <v>-1.22977433539927E-2</v>
      </c>
      <c r="DD49">
        <v>7.394272430806315</v>
      </c>
      <c r="DE49" t="s">
        <v>2557</v>
      </c>
      <c r="DF49">
        <v>-1.1391593843698502E-2</v>
      </c>
      <c r="DG49">
        <v>4.4365634584837892</v>
      </c>
      <c r="DH49" t="s">
        <v>2558</v>
      </c>
      <c r="DI49">
        <v>-1.0355994403362274E-2</v>
      </c>
      <c r="DJ49">
        <v>2.2182817292418946</v>
      </c>
      <c r="DK49" t="s">
        <v>2559</v>
      </c>
      <c r="DL49">
        <v>-9.0614951029419893E-3</v>
      </c>
      <c r="DM49">
        <v>20964100</v>
      </c>
      <c r="DN49">
        <v>-1.2944993004202843E-2</v>
      </c>
      <c r="DO49">
        <v>930085600</v>
      </c>
      <c r="DP49">
        <v>984086870</v>
      </c>
      <c r="DQ49" s="10">
        <v>2693</v>
      </c>
      <c r="DR49">
        <v>2.9536858045102106</v>
      </c>
      <c r="DS49">
        <v>1.4631391004889283</v>
      </c>
      <c r="DT49">
        <v>-0.54</v>
      </c>
      <c r="DU49">
        <v>0.18666666666666662</v>
      </c>
      <c r="DV49">
        <v>-0.35333333333333339</v>
      </c>
      <c r="DW49">
        <v>-8.6319444444444446</v>
      </c>
      <c r="DX49">
        <v>0.34002745614118213</v>
      </c>
      <c r="DY49">
        <v>-8.1264062396447745</v>
      </c>
      <c r="DZ49">
        <v>3054</v>
      </c>
      <c r="EA49">
        <v>-8.0508593402562934</v>
      </c>
      <c r="EB49" s="11">
        <v>8</v>
      </c>
      <c r="EC49" s="11">
        <v>6.3379331033448325E-2</v>
      </c>
      <c r="ED49">
        <v>0.31685315734213287</v>
      </c>
      <c r="EE49">
        <v>4.231E-2</v>
      </c>
      <c r="EF49">
        <v>5.3510000000000002E-2</v>
      </c>
      <c r="EG49">
        <v>14.200027456141182</v>
      </c>
      <c r="EH49" s="13">
        <v>-1</v>
      </c>
      <c r="EI49" s="14">
        <v>0</v>
      </c>
      <c r="EJ49" s="14">
        <v>0</v>
      </c>
      <c r="EK49" s="14">
        <v>45470</v>
      </c>
      <c r="EL49" s="14">
        <v>-0.11</v>
      </c>
      <c r="EM49" s="14">
        <v>-1.99</v>
      </c>
      <c r="EN49" s="14">
        <v>0.18</v>
      </c>
      <c r="EO49" s="14">
        <v>0.54</v>
      </c>
      <c r="EP49" s="14">
        <v>-1.1200000000000001</v>
      </c>
    </row>
    <row r="50" spans="1:146" ht="96" x14ac:dyDescent="0.25">
      <c r="C50" s="7" t="str">
        <f>""&amp;CHAR(10)&amp;Basic_Fundamental_Information_Constructure(F50)&amp;CHAR(10)&amp;Basic_Fundamental_Information_Concatenate("")</f>
        <v xml:space="preserve">
市值20.538亿, 利润2386.11万; PE26.62; 平均PE22.47; 平均PEG48.92, PB1.06; ROIC7.86%; ROE10.5867%; 股利率2.1472%; 毛利18.73%; 净利5.4633%; 上一年度营收增-83.84%, 利润增-81.5%; 当季营收增747.08%, 利润增117.55%; 过往5年营收增.46%, 利润增-7.33%
Income profile:
</v>
      </c>
      <c r="D50" t="s">
        <v>1017</v>
      </c>
      <c r="E50" t="s">
        <v>1018</v>
      </c>
      <c r="F50">
        <v>16.3</v>
      </c>
      <c r="G50">
        <v>5.09</v>
      </c>
      <c r="H50" t="s">
        <v>2560</v>
      </c>
      <c r="I50">
        <v>2053800000</v>
      </c>
      <c r="J50">
        <v>26.62</v>
      </c>
      <c r="K50">
        <v>1.06</v>
      </c>
      <c r="L50" t="s">
        <v>1762</v>
      </c>
      <c r="M50" t="s">
        <v>2561</v>
      </c>
      <c r="N50" t="s">
        <v>2562</v>
      </c>
      <c r="O50" t="s">
        <v>775</v>
      </c>
      <c r="P50">
        <v>17.899999999999999</v>
      </c>
      <c r="Q50" t="s">
        <v>1136</v>
      </c>
      <c r="R50">
        <v>13968381</v>
      </c>
      <c r="S50">
        <v>2.8000000000000001E-2</v>
      </c>
      <c r="T50" t="s">
        <v>2563</v>
      </c>
      <c r="U50">
        <v>49875004</v>
      </c>
      <c r="V50">
        <v>126000000</v>
      </c>
      <c r="W50">
        <v>1.33</v>
      </c>
      <c r="X50">
        <v>0.2</v>
      </c>
      <c r="Y50">
        <v>2.64</v>
      </c>
      <c r="Z50" t="s">
        <v>2564</v>
      </c>
      <c r="AA50" t="s">
        <v>1385</v>
      </c>
      <c r="AB50" t="s">
        <v>2565</v>
      </c>
      <c r="AC50" t="s">
        <v>2566</v>
      </c>
      <c r="AD50" t="s">
        <v>41</v>
      </c>
      <c r="AE50">
        <v>-884339</v>
      </c>
      <c r="AF50" t="s">
        <v>2567</v>
      </c>
      <c r="AG50">
        <v>1523.08</v>
      </c>
      <c r="AH50" t="s">
        <v>2568</v>
      </c>
      <c r="AI50" t="s">
        <v>1290</v>
      </c>
      <c r="AJ50" t="s">
        <v>2569</v>
      </c>
      <c r="AK50" t="s">
        <v>2570</v>
      </c>
      <c r="AL50" t="s">
        <v>2571</v>
      </c>
      <c r="AM50" t="s">
        <v>41</v>
      </c>
      <c r="AN50" t="s">
        <v>2572</v>
      </c>
      <c r="AO50" t="s">
        <v>2573</v>
      </c>
      <c r="AP50" t="s">
        <v>169</v>
      </c>
      <c r="AQ50" t="s">
        <v>189</v>
      </c>
      <c r="AR50" t="s">
        <v>41</v>
      </c>
      <c r="AS50" t="s">
        <v>1259</v>
      </c>
      <c r="AT50" t="s">
        <v>63</v>
      </c>
      <c r="AU50" t="s">
        <v>2574</v>
      </c>
      <c r="AV50" t="s">
        <v>2575</v>
      </c>
      <c r="AW50" t="s">
        <v>2576</v>
      </c>
      <c r="AX50" t="s">
        <v>1028</v>
      </c>
      <c r="AY50" t="s">
        <v>1019</v>
      </c>
      <c r="AZ50" t="s">
        <v>566</v>
      </c>
      <c r="BA50" t="s">
        <v>969</v>
      </c>
      <c r="BB50" t="s">
        <v>1010</v>
      </c>
      <c r="BC50" t="s">
        <v>973</v>
      </c>
      <c r="BD50" t="s">
        <v>957</v>
      </c>
      <c r="BE50" t="s">
        <v>142</v>
      </c>
      <c r="BF50" t="s">
        <v>1020</v>
      </c>
      <c r="BG50" t="s">
        <v>1021</v>
      </c>
      <c r="BH50" t="s">
        <v>2577</v>
      </c>
      <c r="BI50" t="s">
        <v>2578</v>
      </c>
      <c r="BJ50" t="s">
        <v>1028</v>
      </c>
      <c r="BK50" t="s">
        <v>2579</v>
      </c>
      <c r="BL50" t="s">
        <v>2580</v>
      </c>
      <c r="BM50" t="s">
        <v>973</v>
      </c>
      <c r="BN50">
        <v>2.54</v>
      </c>
      <c r="BO50">
        <v>8.67</v>
      </c>
      <c r="BP50">
        <v>12.37</v>
      </c>
      <c r="BQ50">
        <v>2.72</v>
      </c>
      <c r="BR50">
        <v>14.02</v>
      </c>
      <c r="BS50">
        <v>15.02</v>
      </c>
      <c r="BT50" t="s">
        <v>1211</v>
      </c>
      <c r="BU50" t="s">
        <v>950</v>
      </c>
      <c r="BV50">
        <v>17.77</v>
      </c>
      <c r="BW50">
        <v>20.05</v>
      </c>
      <c r="BX50">
        <v>18.37</v>
      </c>
      <c r="BY50">
        <v>3.76</v>
      </c>
      <c r="BZ50">
        <v>6.85</v>
      </c>
      <c r="CA50">
        <v>5.78</v>
      </c>
      <c r="CB50">
        <v>2.58</v>
      </c>
      <c r="CC50">
        <v>-12.79</v>
      </c>
      <c r="CD50" t="s">
        <v>2581</v>
      </c>
      <c r="CE50" t="s">
        <v>2582</v>
      </c>
      <c r="CF50" s="8">
        <v>7.4707733110135184</v>
      </c>
      <c r="CG50" s="9">
        <v>1.1754553100032705</v>
      </c>
      <c r="CH50" s="8">
        <v>-0.83836781978607178</v>
      </c>
      <c r="CI50" s="8">
        <v>1.7799386754631996E-2</v>
      </c>
      <c r="CJ50" s="8">
        <v>0.27862069010734558</v>
      </c>
      <c r="CK50" s="8">
        <v>0.38226881623268127</v>
      </c>
      <c r="CL50" s="8">
        <v>0.18263810873031616</v>
      </c>
      <c r="CM50" s="9">
        <v>-0.81503021717071533</v>
      </c>
      <c r="CN50" s="9">
        <v>0.20560747385025024</v>
      </c>
      <c r="CO50" s="9">
        <v>-6.1403509229421616E-2</v>
      </c>
      <c r="CP50" s="9">
        <v>0.30757936835289001</v>
      </c>
      <c r="CQ50" s="9">
        <v>-3.3756101038306952E-3</v>
      </c>
      <c r="CR50">
        <v>22.46536343688631</v>
      </c>
      <c r="CS50">
        <v>48.92457274570981</v>
      </c>
      <c r="CT50">
        <v>2.147239263803681</v>
      </c>
      <c r="CU50" s="8">
        <v>4.5918364077806471E-3</v>
      </c>
      <c r="CV50" s="9">
        <v>-7.3324498860165482E-2</v>
      </c>
      <c r="CW50">
        <v>0.06</v>
      </c>
      <c r="CX50">
        <v>33.245133493577327</v>
      </c>
      <c r="CY50">
        <v>22613836.101612918</v>
      </c>
      <c r="CZ50">
        <v>4.5918364077806471E-3</v>
      </c>
      <c r="DA50">
        <v>11.686941139773907</v>
      </c>
      <c r="DB50">
        <v>64328209.666549571</v>
      </c>
      <c r="DC50">
        <v>4.3622445873916149E-3</v>
      </c>
      <c r="DD50">
        <v>6.3217891400952144</v>
      </c>
      <c r="DE50">
        <v>118922030.35241961</v>
      </c>
      <c r="DF50">
        <v>4.0408160388469691E-3</v>
      </c>
      <c r="DG50">
        <v>4.2025021865410741</v>
      </c>
      <c r="DH50">
        <v>178893422.68701562</v>
      </c>
      <c r="DI50">
        <v>3.6734691262245178E-3</v>
      </c>
      <c r="DJ50">
        <v>2.6717058649273215</v>
      </c>
      <c r="DK50">
        <v>281393251.35645163</v>
      </c>
      <c r="DL50">
        <v>3.2142854854464529E-3</v>
      </c>
      <c r="DM50">
        <v>23861100</v>
      </c>
      <c r="DN50">
        <v>4.5918364077806471E-3</v>
      </c>
      <c r="DO50">
        <v>751799999.99999976</v>
      </c>
      <c r="DP50">
        <v>1592446000</v>
      </c>
      <c r="DQ50" s="10">
        <v>2737</v>
      </c>
      <c r="DR50">
        <v>7.4661814746057376</v>
      </c>
      <c r="DS50">
        <v>1.2487798088634361</v>
      </c>
      <c r="DT50">
        <v>-0.42333333333333339</v>
      </c>
      <c r="DU50">
        <v>-6.6666666666666652E-2</v>
      </c>
      <c r="DV50">
        <v>-0.49000000000000005</v>
      </c>
      <c r="DW50">
        <v>6.1678594664931685</v>
      </c>
      <c r="DX50">
        <v>1.5788341725261013</v>
      </c>
      <c r="DY50">
        <v>6.0367333874507034</v>
      </c>
      <c r="DZ50">
        <v>1544</v>
      </c>
      <c r="EA50">
        <v>6.0256342973873203</v>
      </c>
      <c r="EB50" s="11">
        <v>6</v>
      </c>
      <c r="EC50">
        <v>2.7146031746031744E-2</v>
      </c>
      <c r="ED50">
        <v>0.1240484126984127</v>
      </c>
      <c r="EE50">
        <v>1.0113099999999999</v>
      </c>
      <c r="EF50">
        <v>1.0438099999999999</v>
      </c>
      <c r="EG50">
        <v>136.2188341725261</v>
      </c>
      <c r="EH50" s="13" t="s">
        <v>867</v>
      </c>
      <c r="EI50" s="14">
        <v>0</v>
      </c>
      <c r="EJ50" s="14">
        <v>0</v>
      </c>
      <c r="EK50" s="14">
        <v>45470</v>
      </c>
      <c r="EL50" s="14">
        <v>1.08</v>
      </c>
      <c r="EM50" s="14">
        <v>-5.93</v>
      </c>
      <c r="EN50" s="14">
        <v>-4.12</v>
      </c>
      <c r="EO50" s="14">
        <v>2.2200000000000002</v>
      </c>
      <c r="EP50" s="14">
        <v>-3.25</v>
      </c>
    </row>
    <row r="51" spans="1:146" ht="96" x14ac:dyDescent="0.25">
      <c r="A51" s="7"/>
      <c r="B51" s="7"/>
      <c r="C51" s="7" t="str">
        <f>""&amp;CHAR(10)&amp;Basic_Fundamental_Information_Constructure(F51)&amp;CHAR(10)&amp;Basic_Fundamental_Information_Concatenate("")</f>
        <v xml:space="preserve">
市值11.524亿, 利润4551.68万; PE45.81; 平均PE20.55; 平均PEG4.56, PB1.45; ROIC7.6733%; ROE8.7667%; 股利率.3471%; 毛利25.3567%; 净利11.2333%; 上一年度营收增8.67%, 利润增23.39%; 当季营收增1.57%, 利润增87.7%; 过往5年营收增-4.5%, 利润增7.69%
Income profile:
</v>
      </c>
      <c r="D51" t="s">
        <v>885</v>
      </c>
      <c r="E51" t="s">
        <v>886</v>
      </c>
      <c r="F51">
        <v>28.81</v>
      </c>
      <c r="G51">
        <v>2.13</v>
      </c>
      <c r="H51" t="s">
        <v>2583</v>
      </c>
      <c r="I51">
        <v>1152400000</v>
      </c>
      <c r="J51">
        <v>45.81</v>
      </c>
      <c r="K51">
        <v>1.45</v>
      </c>
      <c r="L51" t="s">
        <v>1762</v>
      </c>
      <c r="M51" t="s">
        <v>251</v>
      </c>
      <c r="N51" t="s">
        <v>357</v>
      </c>
      <c r="O51" t="s">
        <v>2584</v>
      </c>
      <c r="P51">
        <v>0.45</v>
      </c>
      <c r="Q51" t="s">
        <v>428</v>
      </c>
      <c r="R51">
        <v>7715414</v>
      </c>
      <c r="S51" s="5">
        <v>0.2016</v>
      </c>
      <c r="T51" t="s">
        <v>2585</v>
      </c>
      <c r="U51">
        <v>25746624</v>
      </c>
      <c r="V51">
        <v>40000000</v>
      </c>
      <c r="W51">
        <v>1.1200000000000001</v>
      </c>
      <c r="X51">
        <v>7.0000000000000007E-2</v>
      </c>
      <c r="Y51">
        <v>12.91</v>
      </c>
      <c r="Z51" t="s">
        <v>2586</v>
      </c>
      <c r="AA51" t="s">
        <v>2587</v>
      </c>
      <c r="AB51" t="s">
        <v>2588</v>
      </c>
      <c r="AC51" t="s">
        <v>2589</v>
      </c>
      <c r="AD51" t="s">
        <v>41</v>
      </c>
      <c r="AE51">
        <v>-2413478</v>
      </c>
      <c r="AF51" t="s">
        <v>2590</v>
      </c>
      <c r="AG51">
        <v>117.72</v>
      </c>
      <c r="AH51" t="s">
        <v>2591</v>
      </c>
      <c r="AI51" t="s">
        <v>2592</v>
      </c>
      <c r="AJ51" t="s">
        <v>2593</v>
      </c>
      <c r="AK51" t="s">
        <v>41</v>
      </c>
      <c r="AL51" t="s">
        <v>2594</v>
      </c>
      <c r="AM51" t="s">
        <v>41</v>
      </c>
      <c r="AN51">
        <v>0</v>
      </c>
      <c r="AO51" t="s">
        <v>41</v>
      </c>
      <c r="AP51" t="s">
        <v>2595</v>
      </c>
      <c r="AQ51" t="s">
        <v>2596</v>
      </c>
      <c r="AR51" t="s">
        <v>41</v>
      </c>
      <c r="AS51" t="s">
        <v>2597</v>
      </c>
      <c r="AT51" t="s">
        <v>41</v>
      </c>
      <c r="AU51" t="s">
        <v>2598</v>
      </c>
      <c r="AV51" t="s">
        <v>2599</v>
      </c>
      <c r="AW51" t="s">
        <v>2600</v>
      </c>
      <c r="AX51" t="s">
        <v>1006</v>
      </c>
      <c r="AY51" t="s">
        <v>677</v>
      </c>
      <c r="AZ51" t="s">
        <v>887</v>
      </c>
      <c r="BA51" t="s">
        <v>888</v>
      </c>
      <c r="BB51" t="s">
        <v>889</v>
      </c>
      <c r="BC51" t="s">
        <v>1193</v>
      </c>
      <c r="BD51" t="s">
        <v>893</v>
      </c>
      <c r="BE51" t="s">
        <v>890</v>
      </c>
      <c r="BF51" t="s">
        <v>891</v>
      </c>
      <c r="BG51" t="s">
        <v>892</v>
      </c>
      <c r="BH51" t="s">
        <v>1136</v>
      </c>
      <c r="BI51" t="s">
        <v>2601</v>
      </c>
      <c r="BJ51" t="s">
        <v>1006</v>
      </c>
      <c r="BK51" t="s">
        <v>2563</v>
      </c>
      <c r="BL51" t="s">
        <v>2602</v>
      </c>
      <c r="BM51" t="s">
        <v>1193</v>
      </c>
      <c r="BN51">
        <v>1.77</v>
      </c>
      <c r="BO51">
        <v>5</v>
      </c>
      <c r="BP51">
        <v>16.25</v>
      </c>
      <c r="BQ51">
        <v>2.44</v>
      </c>
      <c r="BR51">
        <v>6.64</v>
      </c>
      <c r="BS51">
        <v>17.22</v>
      </c>
      <c r="BT51" t="s">
        <v>1091</v>
      </c>
      <c r="BU51" t="s">
        <v>1868</v>
      </c>
      <c r="BV51">
        <v>22.12</v>
      </c>
      <c r="BW51">
        <v>26.09</v>
      </c>
      <c r="BX51">
        <v>27.86</v>
      </c>
      <c r="BY51">
        <v>7.79</v>
      </c>
      <c r="BZ51">
        <v>11.43</v>
      </c>
      <c r="CA51">
        <v>14.48</v>
      </c>
      <c r="CB51">
        <v>-2.41</v>
      </c>
      <c r="CC51">
        <v>-11.08</v>
      </c>
      <c r="CD51" t="s">
        <v>2603</v>
      </c>
      <c r="CE51" t="s">
        <v>2604</v>
      </c>
      <c r="CF51" s="8">
        <v>1.5703994738711428E-2</v>
      </c>
      <c r="CG51" s="9">
        <v>0.87700133803673519</v>
      </c>
      <c r="CH51" s="8">
        <v>8.6687304079532623E-2</v>
      </c>
      <c r="CI51" s="8">
        <v>-0.31712472438812256</v>
      </c>
      <c r="CJ51" s="8">
        <v>-1.2526095844805241E-2</v>
      </c>
      <c r="CK51" s="8">
        <v>-0.13224637508392334</v>
      </c>
      <c r="CL51" s="8">
        <v>0.15000000596046448</v>
      </c>
      <c r="CM51" s="9">
        <v>0.23388879001140594</v>
      </c>
      <c r="CN51" s="9">
        <v>-0.46112272143363953</v>
      </c>
      <c r="CO51" s="9">
        <v>8.4797320887446404E-3</v>
      </c>
      <c r="CP51" s="9">
        <v>-8.1838391721248627E-2</v>
      </c>
      <c r="CQ51" s="9">
        <v>0.68520170450210571</v>
      </c>
      <c r="CR51">
        <v>20.545545686829001</v>
      </c>
      <c r="CS51">
        <v>4.561421818045873</v>
      </c>
      <c r="CT51">
        <v>0.34710170079833391</v>
      </c>
      <c r="CU51" s="8">
        <v>-4.5041977055370809E-2</v>
      </c>
      <c r="CV51" s="9">
        <v>7.6921822689473632E-2</v>
      </c>
      <c r="CW51">
        <v>0.06</v>
      </c>
      <c r="CX51">
        <v>10.466465129358831</v>
      </c>
      <c r="CY51" t="s">
        <v>2605</v>
      </c>
      <c r="CZ51">
        <v>-4.5041977055370809E-2</v>
      </c>
      <c r="DA51">
        <v>3.4888217097862766</v>
      </c>
      <c r="DB51" t="s">
        <v>2606</v>
      </c>
      <c r="DC51">
        <v>-4.2789878202602265E-2</v>
      </c>
      <c r="DD51">
        <v>1.7444108548931383</v>
      </c>
      <c r="DE51" t="s">
        <v>2607</v>
      </c>
      <c r="DF51">
        <v>-3.9636939808726311E-2</v>
      </c>
      <c r="DG51">
        <v>1.0466465129358831</v>
      </c>
      <c r="DH51" t="s">
        <v>2608</v>
      </c>
      <c r="DI51">
        <v>-3.6033581644296646E-2</v>
      </c>
      <c r="DJ51">
        <v>0.52332325646794153</v>
      </c>
      <c r="DK51" t="s">
        <v>2609</v>
      </c>
      <c r="DL51">
        <v>-3.1529383938759564E-2</v>
      </c>
      <c r="DM51">
        <v>45516800</v>
      </c>
      <c r="DN51">
        <v>-4.5041977055370809E-2</v>
      </c>
      <c r="DO51">
        <v>476400000</v>
      </c>
      <c r="DP51">
        <v>559289140</v>
      </c>
      <c r="DQ51">
        <v>2738</v>
      </c>
      <c r="DR51">
        <v>6.074597179408224E-2</v>
      </c>
      <c r="DS51">
        <v>0.80007951534726152</v>
      </c>
      <c r="DT51" s="10">
        <v>-0.49</v>
      </c>
      <c r="DU51">
        <v>0.21666666666666665</v>
      </c>
      <c r="DV51">
        <v>-0.27333333333333332</v>
      </c>
      <c r="DW51">
        <v>-2.1107999999999998</v>
      </c>
      <c r="DX51">
        <v>0.4148596992753919</v>
      </c>
      <c r="DY51">
        <v>-2.0149424546797134</v>
      </c>
      <c r="DZ51">
        <v>1692</v>
      </c>
      <c r="EA51">
        <v>-2.0099947769266655</v>
      </c>
      <c r="EB51">
        <v>2</v>
      </c>
      <c r="EC51">
        <v>3.9037500000000003E-2</v>
      </c>
      <c r="ED51">
        <v>0.28946749999999993</v>
      </c>
      <c r="EE51" s="11">
        <v>-2.0493999999999999</v>
      </c>
      <c r="EF51">
        <v>-2.0293999999999999</v>
      </c>
      <c r="EG51">
        <v>28.134859699275392</v>
      </c>
      <c r="EH51" t="s">
        <v>1137</v>
      </c>
      <c r="EI51">
        <v>0</v>
      </c>
      <c r="EJ51">
        <v>0</v>
      </c>
      <c r="EK51" s="13">
        <v>45470</v>
      </c>
      <c r="EL51" s="14">
        <v>-0.25</v>
      </c>
      <c r="EM51" s="14">
        <v>-4.03</v>
      </c>
      <c r="EN51" s="14">
        <v>2.1</v>
      </c>
      <c r="EO51" s="14">
        <v>2.5</v>
      </c>
      <c r="EP51" s="14">
        <v>-2</v>
      </c>
    </row>
    <row r="52" spans="1:146" ht="96" x14ac:dyDescent="0.25">
      <c r="C52" s="7" t="str">
        <f>""&amp;CHAR(10)&amp;Basic_Fundamental_Information_Constructure(F52)&amp;CHAR(10)&amp;Basic_Fundamental_Information_Concatenate("")</f>
        <v xml:space="preserve">
市值26.3952亿, 利润1154.07万; PE; 平均PE9.52; 平均PEG1.02, PB.886; ROIC16.295%; ROE15.9467%; 股利率0%; 毛利11.9333%; 净利-21.36%; 上一年度营收增-95.45%, 利润增-96.95%; 当季营收增205.18%, 利润增-156.21%; 过往5年营收增-9.31%, 利润增-11.41%
Income profile:
</v>
      </c>
      <c r="D52" t="s">
        <v>1022</v>
      </c>
      <c r="E52" t="s">
        <v>1023</v>
      </c>
      <c r="F52">
        <v>12.22</v>
      </c>
      <c r="G52">
        <v>1.5</v>
      </c>
      <c r="H52" t="s">
        <v>2610</v>
      </c>
      <c r="I52">
        <v>2639520000</v>
      </c>
      <c r="K52">
        <v>0.88600000000000001</v>
      </c>
      <c r="L52" t="s">
        <v>1762</v>
      </c>
      <c r="M52" t="s">
        <v>971</v>
      </c>
      <c r="N52" t="s">
        <v>2611</v>
      </c>
      <c r="O52" t="s">
        <v>279</v>
      </c>
      <c r="P52">
        <v>-13.47</v>
      </c>
      <c r="Q52" t="s">
        <v>219</v>
      </c>
      <c r="R52">
        <v>-9984222</v>
      </c>
      <c r="S52">
        <v>-1.2090000000000001</v>
      </c>
      <c r="T52" t="s">
        <v>2612</v>
      </c>
      <c r="U52">
        <v>54810000</v>
      </c>
      <c r="V52">
        <v>216000000</v>
      </c>
      <c r="W52">
        <v>1.06</v>
      </c>
      <c r="X52">
        <v>0.05</v>
      </c>
      <c r="Y52">
        <v>-6.51</v>
      </c>
      <c r="Z52" t="s">
        <v>378</v>
      </c>
      <c r="AA52" t="s">
        <v>1100</v>
      </c>
      <c r="AB52" t="s">
        <v>2613</v>
      </c>
      <c r="AC52" t="s">
        <v>2614</v>
      </c>
      <c r="AD52" t="s">
        <v>41</v>
      </c>
      <c r="AE52">
        <v>-14025331</v>
      </c>
      <c r="AF52" t="s">
        <v>2615</v>
      </c>
      <c r="AG52" t="s">
        <v>2616</v>
      </c>
      <c r="AH52" t="s">
        <v>2617</v>
      </c>
      <c r="AI52" t="s">
        <v>2618</v>
      </c>
      <c r="AJ52" t="s">
        <v>2619</v>
      </c>
      <c r="AK52" t="s">
        <v>41</v>
      </c>
      <c r="AL52" t="s">
        <v>2620</v>
      </c>
      <c r="AM52" t="s">
        <v>41</v>
      </c>
      <c r="AN52" t="s">
        <v>2621</v>
      </c>
      <c r="AO52" t="s">
        <v>41</v>
      </c>
      <c r="AP52" t="s">
        <v>2622</v>
      </c>
      <c r="AQ52" t="s">
        <v>2623</v>
      </c>
      <c r="AR52" t="s">
        <v>2624</v>
      </c>
      <c r="AS52" t="s">
        <v>1706</v>
      </c>
      <c r="AT52" t="s">
        <v>41</v>
      </c>
      <c r="AU52" t="s">
        <v>2625</v>
      </c>
      <c r="AV52" t="s">
        <v>2626</v>
      </c>
      <c r="AW52" t="s">
        <v>41</v>
      </c>
      <c r="AX52" t="s">
        <v>821</v>
      </c>
      <c r="AY52" t="s">
        <v>1024</v>
      </c>
      <c r="AZ52" t="s">
        <v>1025</v>
      </c>
      <c r="BA52" t="s">
        <v>1026</v>
      </c>
      <c r="BB52" t="s">
        <v>1027</v>
      </c>
      <c r="BC52" t="s">
        <v>198</v>
      </c>
      <c r="BD52" t="s">
        <v>193</v>
      </c>
      <c r="BE52" t="s">
        <v>248</v>
      </c>
      <c r="BF52" t="s">
        <v>711</v>
      </c>
      <c r="BG52" t="s">
        <v>281</v>
      </c>
      <c r="BH52" t="s">
        <v>505</v>
      </c>
      <c r="BI52" t="s">
        <v>2627</v>
      </c>
      <c r="BJ52" t="s">
        <v>821</v>
      </c>
      <c r="BK52" t="s">
        <v>2628</v>
      </c>
      <c r="BL52" t="s">
        <v>2629</v>
      </c>
      <c r="BM52" t="s">
        <v>198</v>
      </c>
      <c r="BN52" t="s">
        <v>41</v>
      </c>
      <c r="BO52">
        <v>14.03</v>
      </c>
      <c r="BP52">
        <v>18.559999999999999</v>
      </c>
      <c r="BQ52">
        <v>-2.09</v>
      </c>
      <c r="BR52">
        <v>24.09</v>
      </c>
      <c r="BS52">
        <v>25.84</v>
      </c>
      <c r="BT52" t="s">
        <v>1081</v>
      </c>
      <c r="BU52" t="s">
        <v>949</v>
      </c>
      <c r="BV52">
        <v>-6.99</v>
      </c>
      <c r="BW52">
        <v>22.27</v>
      </c>
      <c r="BX52">
        <v>20.52</v>
      </c>
      <c r="BY52">
        <v>-85.64</v>
      </c>
      <c r="BZ52">
        <v>12.78</v>
      </c>
      <c r="CA52">
        <v>8.7799999999999994</v>
      </c>
      <c r="CB52">
        <v>-5.56</v>
      </c>
      <c r="CC52">
        <v>-20.23</v>
      </c>
      <c r="CD52" t="s">
        <v>2630</v>
      </c>
      <c r="CE52" t="s">
        <v>2631</v>
      </c>
      <c r="CF52" s="8">
        <v>2.0518089447921777</v>
      </c>
      <c r="CG52" s="9">
        <v>-1.5620765519532063</v>
      </c>
      <c r="CH52" s="8">
        <v>-0.95449948310852051</v>
      </c>
      <c r="CI52" s="8">
        <v>-6.7274406552314758E-2</v>
      </c>
      <c r="CJ52" s="8">
        <v>0.41818985342979431</v>
      </c>
      <c r="CK52" s="8">
        <v>0.29803243279457092</v>
      </c>
      <c r="CL52" s="8">
        <v>-0.15994164347648621</v>
      </c>
      <c r="CM52" s="9">
        <v>-0.96954959630966187</v>
      </c>
      <c r="CN52" s="9">
        <v>0.35842293500900269</v>
      </c>
      <c r="CO52" s="9">
        <v>-0.25</v>
      </c>
      <c r="CP52" s="9">
        <v>0.10059171915054321</v>
      </c>
      <c r="CQ52" s="9">
        <v>0.19014084339141846</v>
      </c>
      <c r="CR52" s="8">
        <v>9.5201277612264015</v>
      </c>
      <c r="CS52" s="9">
        <v>1.022584948800191</v>
      </c>
      <c r="CT52">
        <v>0</v>
      </c>
      <c r="CU52">
        <v>-9.3098649382591242E-2</v>
      </c>
      <c r="CV52">
        <v>-0.1140788197517395</v>
      </c>
      <c r="CW52">
        <v>0.06</v>
      </c>
      <c r="CX52" t="s">
        <v>1718</v>
      </c>
      <c r="CY52" t="s">
        <v>905</v>
      </c>
      <c r="CZ52">
        <v>-9.3098649382591242E-2</v>
      </c>
      <c r="DA52" t="s">
        <v>1718</v>
      </c>
      <c r="DB52" t="s">
        <v>2632</v>
      </c>
      <c r="DC52">
        <v>-8.8443716913461673E-2</v>
      </c>
      <c r="DD52" t="s">
        <v>1718</v>
      </c>
      <c r="DE52" t="s">
        <v>2633</v>
      </c>
      <c r="DF52">
        <v>-8.1926811456680293E-2</v>
      </c>
      <c r="DG52" t="s">
        <v>1718</v>
      </c>
      <c r="DH52" t="s">
        <v>2634</v>
      </c>
      <c r="DI52">
        <v>-7.4478919506072994E-2</v>
      </c>
      <c r="DJ52" t="s">
        <v>1718</v>
      </c>
      <c r="DK52" t="s">
        <v>2635</v>
      </c>
      <c r="DL52">
        <v>-6.5169054567813869E-2</v>
      </c>
      <c r="DM52">
        <v>11540700</v>
      </c>
      <c r="DN52">
        <v>-9.3098649382591242E-2</v>
      </c>
      <c r="DO52">
        <v>-147480000</v>
      </c>
      <c r="DP52">
        <v>2135077600</v>
      </c>
      <c r="DQ52" s="10">
        <v>2747</v>
      </c>
      <c r="DR52">
        <v>2.1449075941747688</v>
      </c>
      <c r="DS52">
        <v>-1.4479977322014668</v>
      </c>
      <c r="DT52">
        <v>-0.62333333333333341</v>
      </c>
      <c r="DU52">
        <v>-1.115</v>
      </c>
      <c r="DV52">
        <v>-1.7383333333333333</v>
      </c>
      <c r="DW52">
        <v>-8.2748393475037076</v>
      </c>
      <c r="DX52">
        <v>0.47174243117168374</v>
      </c>
      <c r="DY52">
        <v>-8.0417047907718509</v>
      </c>
      <c r="DZ52">
        <v>1615</v>
      </c>
      <c r="EA52">
        <v>-8.0285241181502194</v>
      </c>
      <c r="EB52" s="11">
        <v>8</v>
      </c>
      <c r="EC52">
        <v>1.5361111111111112E-2</v>
      </c>
      <c r="ED52">
        <v>0.10123148148148148</v>
      </c>
      <c r="EE52">
        <v>1.0197000000000001</v>
      </c>
      <c r="EF52">
        <v>1.0042</v>
      </c>
      <c r="EG52">
        <v>32.151742431171684</v>
      </c>
      <c r="EH52" s="13" t="s">
        <v>1094</v>
      </c>
      <c r="EI52" s="14">
        <v>0</v>
      </c>
      <c r="EJ52" s="14">
        <v>0</v>
      </c>
      <c r="EK52" s="14">
        <v>45470</v>
      </c>
      <c r="EL52" s="14">
        <v>0.21</v>
      </c>
      <c r="EM52" s="14">
        <v>-6.24</v>
      </c>
      <c r="EN52" s="14">
        <v>1.53</v>
      </c>
      <c r="EO52" s="14">
        <v>4.1900000000000004</v>
      </c>
      <c r="EP52" s="14">
        <v>-1.55</v>
      </c>
    </row>
    <row r="53" spans="1:146" ht="96" x14ac:dyDescent="0.25">
      <c r="C53" s="7" t="str">
        <f>""&amp;CHAR(10)&amp;Basic_Fundamental_Information_Constructure(F53)&amp;CHAR(10)&amp;Basic_Fundamental_Information_Concatenate("")</f>
        <v xml:space="preserve">
市值80.50075亿, 利润2.19亿; PE18.89; 平均PE39.03; 平均PEG2.37, PB2.5; ROIC12.19%; ROE13.83%; 股利率2.4938%; 毛利33.5367%; 净利5.1333%; 上一年度营收增-75.8%, 利润增-12.4%; 当季营收增567.39%, 利润增47.29%; 过往5年营收增16.49%, 利润增74.51%
Income profile:
</v>
      </c>
      <c r="D53" t="s">
        <v>1194</v>
      </c>
      <c r="E53" t="s">
        <v>1195</v>
      </c>
      <c r="F53">
        <v>20.05</v>
      </c>
      <c r="G53">
        <v>0.75</v>
      </c>
      <c r="H53" t="s">
        <v>2636</v>
      </c>
      <c r="I53">
        <v>8050075000</v>
      </c>
      <c r="J53">
        <v>18.89</v>
      </c>
      <c r="K53">
        <v>2.5</v>
      </c>
      <c r="L53" t="s">
        <v>1762</v>
      </c>
      <c r="M53" t="s">
        <v>2637</v>
      </c>
      <c r="N53" t="s">
        <v>2638</v>
      </c>
      <c r="O53" t="s">
        <v>2639</v>
      </c>
      <c r="P53" s="5">
        <v>45.3</v>
      </c>
      <c r="Q53" t="s">
        <v>2640</v>
      </c>
      <c r="R53">
        <v>100538681</v>
      </c>
      <c r="S53">
        <v>0.15060000000000001</v>
      </c>
      <c r="T53" t="s">
        <v>83</v>
      </c>
      <c r="U53">
        <v>127564629</v>
      </c>
      <c r="V53">
        <v>401500000</v>
      </c>
      <c r="W53">
        <v>1.78</v>
      </c>
      <c r="X53">
        <v>0.33</v>
      </c>
      <c r="Y53">
        <v>5.46</v>
      </c>
      <c r="Z53" t="s">
        <v>469</v>
      </c>
      <c r="AA53" t="s">
        <v>2641</v>
      </c>
      <c r="AB53" t="s">
        <v>238</v>
      </c>
      <c r="AC53" t="s">
        <v>2642</v>
      </c>
      <c r="AD53" t="s">
        <v>41</v>
      </c>
      <c r="AE53">
        <v>25544119</v>
      </c>
      <c r="AF53" t="s">
        <v>2643</v>
      </c>
      <c r="AG53" t="s">
        <v>2644</v>
      </c>
      <c r="AH53" t="s">
        <v>2645</v>
      </c>
      <c r="AI53" t="s">
        <v>1685</v>
      </c>
      <c r="AJ53" t="s">
        <v>2646</v>
      </c>
      <c r="AK53" t="s">
        <v>41</v>
      </c>
      <c r="AL53" t="s">
        <v>2647</v>
      </c>
      <c r="AM53" t="s">
        <v>41</v>
      </c>
      <c r="AN53">
        <v>0</v>
      </c>
      <c r="AO53" t="s">
        <v>1452</v>
      </c>
      <c r="AP53" t="s">
        <v>41</v>
      </c>
      <c r="AQ53" t="s">
        <v>2648</v>
      </c>
      <c r="AR53" t="s">
        <v>2649</v>
      </c>
      <c r="AS53" t="s">
        <v>2650</v>
      </c>
      <c r="AT53" t="s">
        <v>41</v>
      </c>
      <c r="AU53" t="s">
        <v>1451</v>
      </c>
      <c r="AV53" t="s">
        <v>2651</v>
      </c>
      <c r="AW53" t="s">
        <v>2652</v>
      </c>
      <c r="AX53" t="s">
        <v>1196</v>
      </c>
      <c r="AY53" t="s">
        <v>1301</v>
      </c>
      <c r="AZ53" t="s">
        <v>1302</v>
      </c>
      <c r="BA53" t="s">
        <v>1303</v>
      </c>
      <c r="BB53" t="s">
        <v>1304</v>
      </c>
      <c r="BC53" t="s">
        <v>721</v>
      </c>
      <c r="BD53" t="s">
        <v>350</v>
      </c>
      <c r="BE53" t="s">
        <v>207</v>
      </c>
      <c r="BF53" t="s">
        <v>449</v>
      </c>
      <c r="BG53" t="s">
        <v>1305</v>
      </c>
      <c r="BH53" t="s">
        <v>2653</v>
      </c>
      <c r="BI53" t="s">
        <v>280</v>
      </c>
      <c r="BJ53" t="s">
        <v>1196</v>
      </c>
      <c r="BK53" t="s">
        <v>1945</v>
      </c>
      <c r="BL53" t="s">
        <v>2654</v>
      </c>
      <c r="BM53" t="s">
        <v>721</v>
      </c>
      <c r="BN53">
        <v>9.09</v>
      </c>
      <c r="BO53">
        <v>12.44</v>
      </c>
      <c r="BP53">
        <v>15.04</v>
      </c>
      <c r="BQ53">
        <v>12.72</v>
      </c>
      <c r="BR53">
        <v>14.94</v>
      </c>
      <c r="BS53" t="s">
        <v>41</v>
      </c>
      <c r="BT53" t="s">
        <v>1083</v>
      </c>
      <c r="BU53" t="s">
        <v>1868</v>
      </c>
      <c r="BV53">
        <v>36.32</v>
      </c>
      <c r="BW53">
        <v>31.65</v>
      </c>
      <c r="BX53">
        <v>32.64</v>
      </c>
      <c r="BY53">
        <v>6.8</v>
      </c>
      <c r="BZ53">
        <v>4.58</v>
      </c>
      <c r="CA53">
        <v>4.0199999999999996</v>
      </c>
      <c r="CB53">
        <v>-5.29</v>
      </c>
      <c r="CC53" s="1">
        <v>-20.28</v>
      </c>
      <c r="CD53" s="1" t="s">
        <v>2655</v>
      </c>
      <c r="CE53" s="1" t="s">
        <v>2656</v>
      </c>
      <c r="CF53" s="8">
        <v>5.6739130434782616</v>
      </c>
      <c r="CG53" s="9">
        <v>0.47292157695801224</v>
      </c>
      <c r="CH53" s="8">
        <v>-0.75802016258239746</v>
      </c>
      <c r="CI53" s="8">
        <v>-8.5805259644985199E-2</v>
      </c>
      <c r="CJ53" s="8">
        <v>0.50264418125152588</v>
      </c>
      <c r="CK53" s="8">
        <v>0.70722264051437378</v>
      </c>
      <c r="CL53" s="8">
        <v>0.45830723643302917</v>
      </c>
      <c r="CM53" s="9">
        <v>-0.12399999797344208</v>
      </c>
      <c r="CN53" s="9">
        <v>4.1666667908430099E-2</v>
      </c>
      <c r="CO53" s="9">
        <v>-0.3684210479259491</v>
      </c>
      <c r="CP53" s="9">
        <v>2.5185184478759766</v>
      </c>
      <c r="CQ53" s="9">
        <v>1.6575719118118286</v>
      </c>
      <c r="CR53" s="1">
        <v>39.026295721545857</v>
      </c>
      <c r="CS53" s="1">
        <v>2.3670989444624322</v>
      </c>
      <c r="CT53" s="1">
        <v>2.4937655860349128</v>
      </c>
      <c r="CU53" s="8">
        <v>0.16486972719430923</v>
      </c>
      <c r="CV53" s="9">
        <v>0.7450671963393688</v>
      </c>
      <c r="CW53">
        <v>0.06</v>
      </c>
      <c r="CX53">
        <v>30.295348809686839</v>
      </c>
      <c r="CY53">
        <v>240666481.37316388</v>
      </c>
      <c r="CZ53">
        <v>0.16486972719430923</v>
      </c>
      <c r="DA53">
        <v>9.2971706592568051</v>
      </c>
      <c r="DB53">
        <v>784225144.10237062</v>
      </c>
      <c r="DC53">
        <v>0.15662624083459376</v>
      </c>
      <c r="DD53">
        <v>4.1982227831339332</v>
      </c>
      <c r="DE53">
        <v>1736705119.4356298</v>
      </c>
      <c r="DF53">
        <v>0.14508535993099211</v>
      </c>
      <c r="DG53">
        <v>2.2798530899337708</v>
      </c>
      <c r="DH53">
        <v>3198045975.9412851</v>
      </c>
      <c r="DI53">
        <v>0.13189578175544739</v>
      </c>
      <c r="DJ53">
        <v>0.93408622680425679</v>
      </c>
      <c r="DK53">
        <v>7805569540.3459654</v>
      </c>
      <c r="DL53">
        <v>0.11540880903601645</v>
      </c>
      <c r="DM53">
        <v>219000000</v>
      </c>
      <c r="DN53">
        <v>0.16486972719430923</v>
      </c>
      <c r="DO53">
        <v>7291075000</v>
      </c>
      <c r="DP53">
        <v>1652676600</v>
      </c>
      <c r="DQ53" s="10">
        <v>2764</v>
      </c>
      <c r="DR53">
        <v>5.5090433162839521</v>
      </c>
      <c r="DS53">
        <v>-0.27214561938135656</v>
      </c>
      <c r="DT53">
        <v>-0.3066666666666667</v>
      </c>
      <c r="DU53">
        <v>0.72333333333333327</v>
      </c>
      <c r="DV53">
        <v>0.41666666666666657</v>
      </c>
      <c r="DW53">
        <v>-8.2608481262327409</v>
      </c>
      <c r="DX53">
        <v>0.28841060154258785</v>
      </c>
      <c r="DY53">
        <v>-8.0230617397514941</v>
      </c>
      <c r="DZ53">
        <v>737</v>
      </c>
      <c r="EA53">
        <v>-8.0197356140769642</v>
      </c>
      <c r="EB53" s="11">
        <v>8</v>
      </c>
      <c r="EC53" s="11">
        <v>1.3218430884184309E-2</v>
      </c>
      <c r="ED53">
        <v>0.1495118306351183</v>
      </c>
      <c r="EE53">
        <v>3.0366</v>
      </c>
      <c r="EF53">
        <v>3.0236000000000001</v>
      </c>
      <c r="EG53">
        <v>20.088410601542588</v>
      </c>
      <c r="EH53" s="13" t="s">
        <v>1138</v>
      </c>
      <c r="EI53" s="14">
        <v>0</v>
      </c>
      <c r="EJ53" s="14">
        <v>1</v>
      </c>
      <c r="EK53" s="14">
        <v>45470</v>
      </c>
      <c r="EL53" s="14">
        <v>-1.43</v>
      </c>
      <c r="EM53" s="14">
        <v>-5.29</v>
      </c>
      <c r="EN53" s="14">
        <v>1.04</v>
      </c>
      <c r="EO53" s="14">
        <v>3.08</v>
      </c>
      <c r="EP53" s="14">
        <v>-1.3</v>
      </c>
    </row>
    <row r="54" spans="1:146" ht="96" x14ac:dyDescent="0.25">
      <c r="C54" s="7" t="str">
        <f>""&amp;CHAR(10)&amp;Basic_Fundamental_Information_Constructure(F54)&amp;CHAR(10)&amp;Basic_Fundamental_Information_Concatenate("")</f>
        <v xml:space="preserve">
市值25.223737亿, 利润6.07亿; PE33.35; 平均PE17.29; 平均PEG.21, PB2.78; ROIC17.97%; ROE0%; 股利率.8954%; 毛利31.23%; 净利11.46%; 上一年度营收增309.38%, 利润增616.25%; 当季营收增-61.44%, 利润增-78.92%; 过往5年营收增81.52%, 利润增251.42%
Income profile:
</v>
      </c>
      <c r="D54" t="s">
        <v>1743</v>
      </c>
      <c r="E54" t="s">
        <v>1744</v>
      </c>
      <c r="F54">
        <v>21.22</v>
      </c>
      <c r="G54">
        <v>-0.24</v>
      </c>
      <c r="H54" t="s">
        <v>2657</v>
      </c>
      <c r="I54">
        <v>2522373700</v>
      </c>
      <c r="J54">
        <v>33.35</v>
      </c>
      <c r="K54">
        <v>2.78</v>
      </c>
      <c r="L54" t="s">
        <v>1762</v>
      </c>
      <c r="M54" t="s">
        <v>1757</v>
      </c>
      <c r="N54" t="s">
        <v>2658</v>
      </c>
      <c r="O54" t="s">
        <v>520</v>
      </c>
      <c r="P54" s="5">
        <v>12.85</v>
      </c>
      <c r="Q54" t="s">
        <v>2659</v>
      </c>
      <c r="R54">
        <v>17873426</v>
      </c>
      <c r="S54">
        <v>-1.4999999999999999E-2</v>
      </c>
      <c r="T54" t="s">
        <v>1119</v>
      </c>
      <c r="U54">
        <v>22582500</v>
      </c>
      <c r="V54">
        <v>118867754</v>
      </c>
      <c r="W54">
        <v>1.71</v>
      </c>
      <c r="X54">
        <v>0.16</v>
      </c>
      <c r="Y54">
        <v>8.34</v>
      </c>
      <c r="Z54" t="s">
        <v>125</v>
      </c>
      <c r="AA54" t="s">
        <v>214</v>
      </c>
      <c r="AB54" t="s">
        <v>2660</v>
      </c>
      <c r="AC54" t="s">
        <v>2661</v>
      </c>
      <c r="AD54" t="s">
        <v>41</v>
      </c>
      <c r="AE54">
        <v>5253046</v>
      </c>
      <c r="AF54" t="s">
        <v>2662</v>
      </c>
      <c r="AG54" t="s">
        <v>2663</v>
      </c>
      <c r="AH54" t="s">
        <v>2664</v>
      </c>
      <c r="AI54" t="s">
        <v>889</v>
      </c>
      <c r="AJ54" t="s">
        <v>2665</v>
      </c>
      <c r="AK54" t="s">
        <v>41</v>
      </c>
      <c r="AL54" t="s">
        <v>2666</v>
      </c>
      <c r="AM54" t="s">
        <v>41</v>
      </c>
      <c r="AN54" t="s">
        <v>94</v>
      </c>
      <c r="AO54" t="s">
        <v>978</v>
      </c>
      <c r="AP54" t="s">
        <v>41</v>
      </c>
      <c r="AQ54" t="s">
        <v>149</v>
      </c>
      <c r="AR54" t="s">
        <v>41</v>
      </c>
      <c r="AS54" t="s">
        <v>2667</v>
      </c>
      <c r="AT54" t="s">
        <v>975</v>
      </c>
      <c r="AU54" t="s">
        <v>2668</v>
      </c>
      <c r="AV54" t="s">
        <v>2669</v>
      </c>
      <c r="AW54" t="s">
        <v>470</v>
      </c>
      <c r="AX54" t="s">
        <v>1745</v>
      </c>
      <c r="AY54" t="s">
        <v>2670</v>
      </c>
      <c r="AZ54" t="s">
        <v>1450</v>
      </c>
      <c r="BA54" t="s">
        <v>1722</v>
      </c>
      <c r="BB54" t="s">
        <v>656</v>
      </c>
      <c r="BC54" t="s">
        <v>1746</v>
      </c>
      <c r="BD54" t="s">
        <v>2671</v>
      </c>
      <c r="BE54" t="s">
        <v>2672</v>
      </c>
      <c r="BF54" t="s">
        <v>2673</v>
      </c>
      <c r="BG54" t="s">
        <v>2674</v>
      </c>
      <c r="BH54" t="s">
        <v>1240</v>
      </c>
      <c r="BI54" t="s">
        <v>1515</v>
      </c>
      <c r="BJ54" t="s">
        <v>1745</v>
      </c>
      <c r="BK54" t="s">
        <v>2675</v>
      </c>
      <c r="BL54" t="s">
        <v>2676</v>
      </c>
      <c r="BM54" t="s">
        <v>1746</v>
      </c>
      <c r="BN54" t="s">
        <v>41</v>
      </c>
      <c r="BO54">
        <v>14.23</v>
      </c>
      <c r="BP54">
        <v>21.71</v>
      </c>
      <c r="BQ54" t="s">
        <v>41</v>
      </c>
      <c r="BR54" t="s">
        <v>41</v>
      </c>
      <c r="BS54" t="s">
        <v>41</v>
      </c>
      <c r="BT54" t="s">
        <v>2677</v>
      </c>
      <c r="BU54" t="s">
        <v>949</v>
      </c>
      <c r="BV54">
        <v>33.04</v>
      </c>
      <c r="BW54">
        <v>29.2</v>
      </c>
      <c r="BX54">
        <v>31.45</v>
      </c>
      <c r="BY54">
        <v>9.57</v>
      </c>
      <c r="BZ54">
        <v>11.36</v>
      </c>
      <c r="CA54">
        <v>13.45</v>
      </c>
      <c r="CB54">
        <v>-8.81</v>
      </c>
      <c r="CC54" s="8">
        <v>-29.76</v>
      </c>
      <c r="CD54" s="9" t="s">
        <v>2678</v>
      </c>
      <c r="CE54" s="8" t="s">
        <v>2679</v>
      </c>
      <c r="CF54" s="8">
        <v>-0.61441441441441447</v>
      </c>
      <c r="CG54" s="8">
        <v>-0.7892110669512814</v>
      </c>
      <c r="CH54" s="8">
        <v>3.0938341617584229</v>
      </c>
      <c r="CI54" s="8">
        <v>7.3381297290325165E-2</v>
      </c>
      <c r="CJ54" s="9">
        <v>0.39839035272598267</v>
      </c>
      <c r="CK54" s="9">
        <v>0.41999998688697815</v>
      </c>
      <c r="CL54" s="9">
        <v>9.0342678129673004E-2</v>
      </c>
      <c r="CM54" s="9">
        <v>6.1624784469604492</v>
      </c>
      <c r="CN54" s="9">
        <v>-9.3318969011306763E-2</v>
      </c>
      <c r="CO54">
        <v>0.43492677807807922</v>
      </c>
      <c r="CP54">
        <v>2.1104180812835693</v>
      </c>
      <c r="CQ54">
        <v>3.9563817977905273</v>
      </c>
      <c r="CR54" s="8">
        <v>17.285936846462356</v>
      </c>
      <c r="CS54" s="9">
        <v>0.21204802937143577</v>
      </c>
      <c r="CT54">
        <v>0.89538171536286526</v>
      </c>
      <c r="CU54">
        <v>0.81518969535827634</v>
      </c>
      <c r="CV54">
        <v>2.5141772270202636</v>
      </c>
      <c r="CW54">
        <v>0.06</v>
      </c>
      <c r="CX54">
        <v>2.1745800643540187</v>
      </c>
      <c r="CY54">
        <v>1039452967.0589374</v>
      </c>
      <c r="CZ54">
        <v>0.81518969535827634</v>
      </c>
      <c r="DA54">
        <v>0.40621537124543733</v>
      </c>
      <c r="DB54">
        <v>5564471115.5803881</v>
      </c>
      <c r="DC54">
        <v>0.77443021059036254</v>
      </c>
      <c r="DD54">
        <v>8.3424766552365817E-2</v>
      </c>
      <c r="DE54">
        <v>27094756070.802559</v>
      </c>
      <c r="DF54">
        <v>0.71736693191528322</v>
      </c>
      <c r="DG54">
        <v>1.5962362630147199E-2</v>
      </c>
      <c r="DH54">
        <v>141606462174.4003</v>
      </c>
      <c r="DI54">
        <v>0.65215175628662114</v>
      </c>
      <c r="DJ54">
        <v>4.6538955284513374E-4</v>
      </c>
      <c r="DK54">
        <v>4856949809425.9492</v>
      </c>
      <c r="DL54">
        <v>0.57063278675079343</v>
      </c>
      <c r="DM54">
        <v>607000000</v>
      </c>
      <c r="DN54">
        <v>0.81518969535827634</v>
      </c>
      <c r="DO54">
        <v>2260373700</v>
      </c>
      <c r="DP54">
        <v>501342380</v>
      </c>
      <c r="DQ54" s="10">
        <v>2842</v>
      </c>
      <c r="DR54">
        <v>-1.4296041097726908</v>
      </c>
      <c r="DS54">
        <v>-3.3033882939715449</v>
      </c>
      <c r="DT54">
        <v>0.10999999999999995</v>
      </c>
      <c r="DU54">
        <v>0.97133333333333338</v>
      </c>
      <c r="DV54">
        <v>1.0813333333333333</v>
      </c>
      <c r="DW54">
        <v>-9.2960349462365599</v>
      </c>
      <c r="DX54">
        <v>0.28661048003884987</v>
      </c>
      <c r="DY54">
        <v>-9.0256397288018242</v>
      </c>
      <c r="DZ54">
        <v>709</v>
      </c>
      <c r="EA54">
        <v>-9.0220822791500641</v>
      </c>
      <c r="EB54" s="11">
        <v>9</v>
      </c>
      <c r="EC54" s="11">
        <v>7.1683023471613677E-2</v>
      </c>
      <c r="ED54">
        <v>0.82764834607710347</v>
      </c>
      <c r="EE54">
        <v>29.005500000000001</v>
      </c>
      <c r="EF54">
        <v>29.037109999999998</v>
      </c>
      <c r="EG54">
        <v>20.08661048003885</v>
      </c>
      <c r="EH54" s="13" t="s">
        <v>2680</v>
      </c>
      <c r="EI54">
        <v>0</v>
      </c>
      <c r="EJ54">
        <v>1</v>
      </c>
      <c r="EK54">
        <v>45470</v>
      </c>
      <c r="EL54">
        <v>0.27</v>
      </c>
      <c r="EM54">
        <v>-2.76</v>
      </c>
      <c r="EN54" s="14">
        <v>2.59</v>
      </c>
      <c r="EO54" s="14">
        <v>2.69</v>
      </c>
      <c r="EP54" s="14">
        <v>-4.26</v>
      </c>
    </row>
    <row r="55" spans="1:146" ht="96" x14ac:dyDescent="0.25">
      <c r="C55" s="7" t="str">
        <f>""&amp;CHAR(10)&amp;Basic_Fundamental_Information_Constructure(F55)&amp;CHAR(10)&amp;Basic_Fundamental_Information_Concatenate("")</f>
        <v xml:space="preserve">
市值18.01624亿, 利润5.59亿; PE2513; 平均PE6.71; 平均PEG0, PB11.29; ROIC5.8%; ROE-34.9733%; 股利率0%; 毛利3.3833%; 净利-11.8067%; 上一年度营收增17920.35%, 利润增2610.06%; 当季营收增-92.25%, 利润增-109.42%; 过往5年营收增5971.97%, 利润增2610.06%
Income profile:
</v>
      </c>
      <c r="D55" t="s">
        <v>2681</v>
      </c>
      <c r="E55" t="s">
        <v>2682</v>
      </c>
      <c r="F55">
        <v>13.88</v>
      </c>
      <c r="G55">
        <v>1.24</v>
      </c>
      <c r="H55" t="s">
        <v>2683</v>
      </c>
      <c r="I55">
        <v>1801624000</v>
      </c>
      <c r="J55">
        <v>2513</v>
      </c>
      <c r="K55">
        <v>11.29</v>
      </c>
      <c r="L55" t="s">
        <v>1762</v>
      </c>
      <c r="M55" t="s">
        <v>1397</v>
      </c>
      <c r="N55" t="s">
        <v>1389</v>
      </c>
      <c r="O55" t="s">
        <v>234</v>
      </c>
      <c r="P55" s="6">
        <v>57.25</v>
      </c>
      <c r="Q55" t="s">
        <v>2684</v>
      </c>
      <c r="R55">
        <v>-5896781</v>
      </c>
      <c r="S55">
        <v>-19.25</v>
      </c>
      <c r="T55" t="s">
        <v>194</v>
      </c>
      <c r="U55">
        <v>129800000</v>
      </c>
      <c r="V55">
        <v>129800000</v>
      </c>
      <c r="W55">
        <v>2.72</v>
      </c>
      <c r="X55" t="s">
        <v>41</v>
      </c>
      <c r="Y55">
        <v>-6.85</v>
      </c>
      <c r="Z55" t="s">
        <v>41</v>
      </c>
      <c r="AA55" t="s">
        <v>41</v>
      </c>
      <c r="AB55" t="s">
        <v>41</v>
      </c>
      <c r="AC55" t="s">
        <v>41</v>
      </c>
      <c r="AD55" t="s">
        <v>41</v>
      </c>
      <c r="AE55">
        <v>4908901</v>
      </c>
      <c r="AF55" t="s">
        <v>134</v>
      </c>
      <c r="AG55" t="s">
        <v>2685</v>
      </c>
      <c r="AH55" t="s">
        <v>2686</v>
      </c>
      <c r="AI55" t="s">
        <v>2687</v>
      </c>
      <c r="AJ55" t="s">
        <v>2688</v>
      </c>
      <c r="AK55" t="s">
        <v>41</v>
      </c>
      <c r="AL55" t="s">
        <v>2689</v>
      </c>
      <c r="AM55" t="s">
        <v>41</v>
      </c>
      <c r="AN55" t="s">
        <v>2690</v>
      </c>
      <c r="AO55" t="s">
        <v>41</v>
      </c>
      <c r="AP55" t="s">
        <v>41</v>
      </c>
      <c r="AQ55" t="s">
        <v>2691</v>
      </c>
      <c r="AR55" t="s">
        <v>2692</v>
      </c>
      <c r="AS55" t="s">
        <v>41</v>
      </c>
      <c r="AT55" t="s">
        <v>41</v>
      </c>
      <c r="AU55" t="s">
        <v>2693</v>
      </c>
      <c r="AV55" t="s">
        <v>2694</v>
      </c>
      <c r="AW55" t="s">
        <v>2695</v>
      </c>
      <c r="AX55" t="s">
        <v>176</v>
      </c>
      <c r="AY55" t="s">
        <v>41</v>
      </c>
      <c r="AZ55" t="s">
        <v>2696</v>
      </c>
      <c r="BA55" t="s">
        <v>1394</v>
      </c>
      <c r="BB55" t="s">
        <v>251</v>
      </c>
      <c r="BC55" t="s">
        <v>2697</v>
      </c>
      <c r="BD55" t="s">
        <v>41</v>
      </c>
      <c r="BE55" t="s">
        <v>41</v>
      </c>
      <c r="BF55" t="s">
        <v>41</v>
      </c>
      <c r="BG55" t="s">
        <v>41</v>
      </c>
      <c r="BH55" t="s">
        <v>1377</v>
      </c>
      <c r="BI55" t="s">
        <v>2698</v>
      </c>
      <c r="BJ55" t="s">
        <v>176</v>
      </c>
      <c r="BK55" t="s">
        <v>2699</v>
      </c>
      <c r="BL55" t="s">
        <v>2700</v>
      </c>
      <c r="BM55" t="s">
        <v>2697</v>
      </c>
      <c r="BN55">
        <v>5.8</v>
      </c>
      <c r="BO55" t="s">
        <v>41</v>
      </c>
      <c r="BP55" t="s">
        <v>41</v>
      </c>
      <c r="BQ55">
        <v>1.95</v>
      </c>
      <c r="BR55">
        <v>-13.68</v>
      </c>
      <c r="BS55">
        <v>-93.19</v>
      </c>
      <c r="BT55" t="s">
        <v>1081</v>
      </c>
      <c r="BU55" t="s">
        <v>1777</v>
      </c>
      <c r="BV55">
        <v>10.34</v>
      </c>
      <c r="BW55">
        <v>-0.43</v>
      </c>
      <c r="BX55">
        <v>0.24</v>
      </c>
      <c r="BY55">
        <v>4.84</v>
      </c>
      <c r="BZ55">
        <v>-19.68</v>
      </c>
      <c r="CA55">
        <v>-20.58</v>
      </c>
      <c r="CB55">
        <v>1.83</v>
      </c>
      <c r="CC55" s="8">
        <v>-22.11</v>
      </c>
      <c r="CD55" s="9" t="s">
        <v>2701</v>
      </c>
      <c r="CE55" s="8" t="s">
        <v>2702</v>
      </c>
      <c r="CF55" s="8">
        <v>-0.92245199409158052</v>
      </c>
      <c r="CG55" s="8">
        <v>-1.0942180981521574</v>
      </c>
      <c r="CH55" s="8">
        <v>179.20353698730469</v>
      </c>
      <c r="CI55" s="8" t="s">
        <v>41</v>
      </c>
      <c r="CJ55" s="9" t="s">
        <v>41</v>
      </c>
      <c r="CK55" s="9">
        <v>-0.75035363435745239</v>
      </c>
      <c r="CL55" s="9">
        <v>0.70588237047195435</v>
      </c>
      <c r="CM55" s="9">
        <v>26.100582122802734</v>
      </c>
      <c r="CN55" s="9" t="s">
        <v>41</v>
      </c>
      <c r="CO55" t="s">
        <v>41</v>
      </c>
      <c r="CP55" t="s">
        <v>41</v>
      </c>
      <c r="CQ55" t="s">
        <v>41</v>
      </c>
      <c r="CR55" s="8">
        <v>6.7133394543546698</v>
      </c>
      <c r="CS55" s="9">
        <v>1.1241417386131951E-3</v>
      </c>
      <c r="CT55">
        <v>0</v>
      </c>
      <c r="CU55">
        <v>59.719688574473061</v>
      </c>
      <c r="CV55">
        <v>26.100582122802734</v>
      </c>
      <c r="CW55">
        <v>0.06</v>
      </c>
      <c r="CX55">
        <v>6.4664476409392296E-2</v>
      </c>
      <c r="CY55">
        <v>32021043314.274002</v>
      </c>
      <c r="CZ55">
        <v>59.719688574473061</v>
      </c>
      <c r="DA55">
        <v>2.2504720760100688E-5</v>
      </c>
      <c r="DB55">
        <v>92008428901329.578</v>
      </c>
      <c r="DC55">
        <v>56.733704145749407</v>
      </c>
      <c r="DD55">
        <v>2.183351111219502E-10</v>
      </c>
      <c r="DE55">
        <v>9.4836968243896484E+18</v>
      </c>
      <c r="DF55">
        <v>52.553325945536294</v>
      </c>
      <c r="DG55">
        <v>8.514639200541919E-17</v>
      </c>
      <c r="DH55">
        <v>2.431839977280792E+25</v>
      </c>
      <c r="DI55">
        <v>47.775750859578451</v>
      </c>
      <c r="DJ55">
        <v>2.71815063036732E-32</v>
      </c>
      <c r="DK55">
        <v>7.617767672132961E+40</v>
      </c>
      <c r="DL55">
        <v>41.803782002131143</v>
      </c>
      <c r="DM55">
        <v>559000000</v>
      </c>
      <c r="DN55">
        <v>59.719688574473061</v>
      </c>
      <c r="DO55">
        <v>2070624000</v>
      </c>
      <c r="DP55">
        <v>413092670</v>
      </c>
      <c r="DQ55" s="10">
        <v>3051</v>
      </c>
      <c r="DR55">
        <v>-60.642140568564642</v>
      </c>
      <c r="DS55">
        <v>-27.194800220954892</v>
      </c>
      <c r="DT55">
        <v>-0.21000000000000008</v>
      </c>
      <c r="DU55">
        <v>-1.7950000000000002</v>
      </c>
      <c r="DV55">
        <v>-2.0050000000000003</v>
      </c>
      <c r="DW55">
        <v>-3.0691011904761902</v>
      </c>
      <c r="DX55">
        <v>0.28059127035456172</v>
      </c>
      <c r="DY55">
        <v>-3.0062599646282506</v>
      </c>
      <c r="DZ55">
        <v>698</v>
      </c>
      <c r="EA55">
        <v>-3.0054048853111235</v>
      </c>
      <c r="EB55" s="11">
        <v>3</v>
      </c>
      <c r="EC55" s="11">
        <v>1.9424499229583975E-2</v>
      </c>
      <c r="ED55">
        <v>0.2144191063174114</v>
      </c>
      <c r="EE55">
        <v>1.0099100000000001</v>
      </c>
      <c r="EF55">
        <v>1.03471</v>
      </c>
      <c r="EG55">
        <v>19.090591270354562</v>
      </c>
      <c r="EH55" s="13" t="s">
        <v>867</v>
      </c>
      <c r="EI55">
        <v>0</v>
      </c>
      <c r="EJ55">
        <v>1</v>
      </c>
      <c r="EK55">
        <v>45470</v>
      </c>
      <c r="EL55">
        <v>0.12</v>
      </c>
      <c r="EM55">
        <v>-4</v>
      </c>
      <c r="EN55" s="14">
        <v>1.51</v>
      </c>
      <c r="EO55" s="14">
        <v>2.61</v>
      </c>
      <c r="EP55" s="14">
        <v>-2.48</v>
      </c>
    </row>
    <row r="56" spans="1:146" ht="96" x14ac:dyDescent="0.25">
      <c r="A56" s="7"/>
      <c r="B56" s="7"/>
      <c r="C56" s="7" t="str">
        <f>""&amp;CHAR(10)&amp;Basic_Fundamental_Information_Constructure(F56)&amp;CHAR(10)&amp;Basic_Fundamental_Information_Concatenate("")</f>
        <v xml:space="preserve">
市值30.478576亿, 利润-2.14亿; PE; 平均PE19.31; 平均PEG1.23, PB.876; ROIC5.25%; ROE-2.7433%; 股利率0%; 毛利44.2667%; 净利-4.46%; 上一年度营收增-67.35%, 利润增25.95%; 当季营收增63.42%, 利润增-3674.58%; 过往5年营收增-15.74%, 利润增-51.32%
Income profile:
</v>
      </c>
      <c r="D56" t="s">
        <v>190</v>
      </c>
      <c r="E56" t="s">
        <v>34</v>
      </c>
      <c r="F56">
        <v>2.06</v>
      </c>
      <c r="G56">
        <v>3</v>
      </c>
      <c r="H56" t="s">
        <v>2703</v>
      </c>
      <c r="I56">
        <v>3047857600</v>
      </c>
      <c r="K56">
        <v>0.876</v>
      </c>
      <c r="L56" t="s">
        <v>1762</v>
      </c>
      <c r="M56" t="s">
        <v>2704</v>
      </c>
      <c r="N56" t="s">
        <v>2705</v>
      </c>
      <c r="O56" t="s">
        <v>531</v>
      </c>
      <c r="P56">
        <v>-26.4</v>
      </c>
      <c r="Q56" t="s">
        <v>2706</v>
      </c>
      <c r="R56">
        <v>-156105360</v>
      </c>
      <c r="S56" s="5">
        <v>-2.1840000000000002</v>
      </c>
      <c r="T56" t="s">
        <v>2707</v>
      </c>
      <c r="U56">
        <v>1479542500</v>
      </c>
      <c r="V56">
        <v>1479542500</v>
      </c>
      <c r="W56">
        <v>2.68</v>
      </c>
      <c r="X56">
        <v>0.09</v>
      </c>
      <c r="Y56">
        <v>-18.86</v>
      </c>
      <c r="Z56" t="s">
        <v>2708</v>
      </c>
      <c r="AA56" t="s">
        <v>2564</v>
      </c>
      <c r="AB56" t="s">
        <v>1136</v>
      </c>
      <c r="AC56" t="s">
        <v>242</v>
      </c>
      <c r="AD56" t="s">
        <v>41</v>
      </c>
      <c r="AE56">
        <v>46111177</v>
      </c>
      <c r="AF56" t="s">
        <v>2709</v>
      </c>
      <c r="AG56" t="s">
        <v>2710</v>
      </c>
      <c r="AH56" t="s">
        <v>2711</v>
      </c>
      <c r="AI56" t="s">
        <v>1595</v>
      </c>
      <c r="AJ56" t="s">
        <v>2712</v>
      </c>
      <c r="AK56" t="s">
        <v>2713</v>
      </c>
      <c r="AL56" t="s">
        <v>2714</v>
      </c>
      <c r="AM56" t="s">
        <v>41</v>
      </c>
      <c r="AN56" t="s">
        <v>2715</v>
      </c>
      <c r="AO56" t="s">
        <v>2716</v>
      </c>
      <c r="AP56" t="s">
        <v>1116</v>
      </c>
      <c r="AQ56" t="s">
        <v>621</v>
      </c>
      <c r="AR56" t="s">
        <v>41</v>
      </c>
      <c r="AS56" t="s">
        <v>2717</v>
      </c>
      <c r="AT56" t="s">
        <v>1011</v>
      </c>
      <c r="AU56" t="s">
        <v>2718</v>
      </c>
      <c r="AV56" t="s">
        <v>2719</v>
      </c>
      <c r="AW56" t="s">
        <v>1683</v>
      </c>
      <c r="AX56" t="s">
        <v>1197</v>
      </c>
      <c r="AY56" t="s">
        <v>788</v>
      </c>
      <c r="AZ56" t="s">
        <v>448</v>
      </c>
      <c r="BA56" t="s">
        <v>191</v>
      </c>
      <c r="BB56" t="s">
        <v>450</v>
      </c>
      <c r="BC56" t="s">
        <v>2720</v>
      </c>
      <c r="BD56" t="s">
        <v>572</v>
      </c>
      <c r="BE56" t="s">
        <v>67</v>
      </c>
      <c r="BF56" t="s">
        <v>192</v>
      </c>
      <c r="BG56" t="s">
        <v>451</v>
      </c>
      <c r="BH56" t="s">
        <v>2721</v>
      </c>
      <c r="BI56" t="s">
        <v>2722</v>
      </c>
      <c r="BJ56" t="s">
        <v>1197</v>
      </c>
      <c r="BK56" t="s">
        <v>2723</v>
      </c>
      <c r="BL56" t="s">
        <v>2724</v>
      </c>
      <c r="BM56" t="s">
        <v>2720</v>
      </c>
      <c r="BN56" t="s">
        <v>41</v>
      </c>
      <c r="BO56" t="s">
        <v>41</v>
      </c>
      <c r="BP56">
        <v>5.25</v>
      </c>
      <c r="BQ56">
        <v>-6.61</v>
      </c>
      <c r="BR56">
        <v>-6.95</v>
      </c>
      <c r="BS56">
        <v>5.33</v>
      </c>
      <c r="BT56" t="s">
        <v>1081</v>
      </c>
      <c r="BU56" t="s">
        <v>1868</v>
      </c>
      <c r="BV56">
        <v>42.8</v>
      </c>
      <c r="BW56">
        <v>42.21</v>
      </c>
      <c r="BX56">
        <v>47.79</v>
      </c>
      <c r="BY56">
        <v>-11.06</v>
      </c>
      <c r="BZ56">
        <v>-6.56</v>
      </c>
      <c r="CA56">
        <v>4.24</v>
      </c>
      <c r="CB56">
        <v>-2.37</v>
      </c>
      <c r="CC56" s="1">
        <v>-8.44</v>
      </c>
      <c r="CD56" s="1" t="s">
        <v>2725</v>
      </c>
      <c r="CE56" s="1" t="s">
        <v>2726</v>
      </c>
      <c r="CF56" s="8">
        <v>0.63419483101391672</v>
      </c>
      <c r="CG56" s="9">
        <v>-36.745771793638802</v>
      </c>
      <c r="CH56" s="8">
        <v>-0.67348754405975342</v>
      </c>
      <c r="CI56" s="8">
        <v>-0.14767768979072571</v>
      </c>
      <c r="CJ56" s="8">
        <v>0.15401443839073181</v>
      </c>
      <c r="CK56" s="8">
        <v>-0.18199713528156281</v>
      </c>
      <c r="CL56" s="8">
        <v>6.2155395746231079E-2</v>
      </c>
      <c r="CM56" s="9">
        <v>0.25951558351516724</v>
      </c>
      <c r="CN56" s="9">
        <v>-2.2620086669921875</v>
      </c>
      <c r="CO56" s="9">
        <v>-0.25163400173187256</v>
      </c>
      <c r="CP56" s="9">
        <v>-0.34051725268363953</v>
      </c>
      <c r="CQ56" s="9">
        <v>2.8824834153056145E-2</v>
      </c>
      <c r="CR56" s="1">
        <v>19.310607814149947</v>
      </c>
      <c r="CS56" s="1">
        <v>1.2268609265951103</v>
      </c>
      <c r="CT56" s="1">
        <v>0</v>
      </c>
      <c r="CU56" s="8">
        <v>-0.15739850699901581</v>
      </c>
      <c r="CV56" s="9">
        <v>-0.5131639007478952</v>
      </c>
      <c r="CW56">
        <v>0.06</v>
      </c>
      <c r="CX56" t="e">
        <v>#VALUE!</v>
      </c>
      <c r="CY56" t="s">
        <v>852</v>
      </c>
      <c r="CZ56">
        <v>-0.15739850699901581</v>
      </c>
      <c r="DA56" t="e">
        <v>#VALUE!</v>
      </c>
      <c r="DB56" t="s">
        <v>853</v>
      </c>
      <c r="DC56">
        <v>-0.14952858164906502</v>
      </c>
      <c r="DD56" t="e">
        <v>#VALUE!</v>
      </c>
      <c r="DE56" t="s">
        <v>853</v>
      </c>
      <c r="DF56">
        <v>-0.13851068615913392</v>
      </c>
      <c r="DG56" t="e">
        <v>#VALUE!</v>
      </c>
      <c r="DH56" t="s">
        <v>853</v>
      </c>
      <c r="DI56">
        <v>-0.12591880559921265</v>
      </c>
      <c r="DJ56" t="e">
        <v>#VALUE!</v>
      </c>
      <c r="DK56" t="s">
        <v>853</v>
      </c>
      <c r="DL56">
        <v>-0.11017895489931105</v>
      </c>
      <c r="DM56">
        <v>-214000000</v>
      </c>
      <c r="DN56">
        <v>-0.15739850699901581</v>
      </c>
      <c r="DO56">
        <v>5506857600</v>
      </c>
      <c r="DP56">
        <v>-360875800</v>
      </c>
      <c r="DQ56">
        <v>3108</v>
      </c>
      <c r="DR56">
        <v>0.79159333801293252</v>
      </c>
      <c r="DS56">
        <v>-36.232607892890904</v>
      </c>
      <c r="DT56" s="10">
        <v>-0.75666666666666671</v>
      </c>
      <c r="DU56">
        <v>-2.1150000000000002</v>
      </c>
      <c r="DV56">
        <v>-2.871666666666667</v>
      </c>
      <c r="DW56">
        <v>-2.0844</v>
      </c>
      <c r="DX56">
        <v>0.65499446564885777</v>
      </c>
      <c r="DY56">
        <v>-2.0088615329007635</v>
      </c>
      <c r="DZ56">
        <v>2867</v>
      </c>
      <c r="EA56">
        <v>-2.003889710038437</v>
      </c>
      <c r="EB56">
        <v>2</v>
      </c>
      <c r="EC56">
        <v>3.7185210968931272E-2</v>
      </c>
      <c r="ED56">
        <v>0.35416353365989822</v>
      </c>
      <c r="EE56" s="11">
        <v>1.0195000000000001</v>
      </c>
      <c r="EF56">
        <v>1.0033099999999999</v>
      </c>
      <c r="EG56">
        <v>55.104994465648858</v>
      </c>
      <c r="EH56" t="s">
        <v>867</v>
      </c>
      <c r="EI56">
        <v>0</v>
      </c>
      <c r="EJ56">
        <v>0</v>
      </c>
      <c r="EK56" s="13">
        <v>45470</v>
      </c>
      <c r="EL56" s="14">
        <v>-1.1200000000000001</v>
      </c>
      <c r="EM56" s="14">
        <v>-3.17</v>
      </c>
      <c r="EN56" s="14">
        <v>0.7</v>
      </c>
      <c r="EO56" s="14">
        <v>1.62</v>
      </c>
      <c r="EP56" s="14">
        <v>-2.2799999999999998</v>
      </c>
    </row>
    <row r="57" spans="1:146" ht="96" x14ac:dyDescent="0.25">
      <c r="A57" s="7"/>
      <c r="B57" s="7"/>
      <c r="C57" s="7" t="str">
        <f>""&amp;CHAR(10)&amp;Basic_Fundamental_Information_Constructure(F57)&amp;CHAR(10)&amp;Basic_Fundamental_Information_Concatenate("")</f>
        <v xml:space="preserve">
市值19.7208亿, 利润9036.39万; PE30.9; 平均PE146.88; 平均PEG19.21, PB2.36; ROIC6.6067%; ROE7.0633%; 股利率0%; 毛利41.62%; 净利25.8833%; 上一年度营收增13.84%, 利润增25.56%; 当季营收增22.58%, 利润增181.57%; 过往5年营收增7.64%, 利润增-42.41%
Income profile:
</v>
      </c>
      <c r="D57" t="s">
        <v>454</v>
      </c>
      <c r="E57" t="s">
        <v>577</v>
      </c>
      <c r="F57">
        <v>11.88</v>
      </c>
      <c r="G57">
        <v>2.41</v>
      </c>
      <c r="H57" t="s">
        <v>1748</v>
      </c>
      <c r="I57">
        <v>1972080000</v>
      </c>
      <c r="J57">
        <v>30.9</v>
      </c>
      <c r="K57">
        <v>2.36</v>
      </c>
      <c r="L57" t="s">
        <v>59</v>
      </c>
      <c r="M57" t="s">
        <v>139</v>
      </c>
      <c r="N57" t="s">
        <v>597</v>
      </c>
      <c r="O57" t="s">
        <v>971</v>
      </c>
      <c r="P57">
        <v>-28.59</v>
      </c>
      <c r="Q57" t="s">
        <v>245</v>
      </c>
      <c r="R57">
        <v>44742440</v>
      </c>
      <c r="S57" s="5">
        <v>-0.37240000000000001</v>
      </c>
      <c r="T57" t="s">
        <v>1198</v>
      </c>
      <c r="U57">
        <v>166000000</v>
      </c>
      <c r="V57">
        <v>166000000</v>
      </c>
      <c r="W57">
        <v>1.22</v>
      </c>
      <c r="X57">
        <v>0.19</v>
      </c>
      <c r="Y57">
        <v>23.01</v>
      </c>
      <c r="Z57" t="s">
        <v>1388</v>
      </c>
      <c r="AA57" t="s">
        <v>1334</v>
      </c>
      <c r="AB57" t="s">
        <v>1621</v>
      </c>
      <c r="AC57" t="s">
        <v>1622</v>
      </c>
      <c r="AD57" t="s">
        <v>41</v>
      </c>
      <c r="AE57">
        <v>-2508638</v>
      </c>
      <c r="AF57" t="s">
        <v>1199</v>
      </c>
      <c r="AG57" t="s">
        <v>1623</v>
      </c>
      <c r="AH57" t="s">
        <v>1624</v>
      </c>
      <c r="AI57" t="s">
        <v>1360</v>
      </c>
      <c r="AJ57" t="s">
        <v>41</v>
      </c>
      <c r="AK57" t="s">
        <v>41</v>
      </c>
      <c r="AL57" t="s">
        <v>1625</v>
      </c>
      <c r="AM57" t="s">
        <v>41</v>
      </c>
      <c r="AN57">
        <v>0</v>
      </c>
      <c r="AO57" t="s">
        <v>1392</v>
      </c>
      <c r="AP57" t="s">
        <v>41</v>
      </c>
      <c r="AQ57" t="s">
        <v>1626</v>
      </c>
      <c r="AR57" t="s">
        <v>1627</v>
      </c>
      <c r="AS57" t="s">
        <v>985</v>
      </c>
      <c r="AT57" t="s">
        <v>41</v>
      </c>
      <c r="AU57" t="s">
        <v>61</v>
      </c>
      <c r="AV57" t="s">
        <v>1628</v>
      </c>
      <c r="AW57" t="s">
        <v>1629</v>
      </c>
      <c r="AX57" t="s">
        <v>446</v>
      </c>
      <c r="AY57" t="s">
        <v>145</v>
      </c>
      <c r="AZ57" t="s">
        <v>113</v>
      </c>
      <c r="BA57" t="s">
        <v>213</v>
      </c>
      <c r="BB57" t="s">
        <v>456</v>
      </c>
      <c r="BC57" t="s">
        <v>789</v>
      </c>
      <c r="BD57" t="s">
        <v>455</v>
      </c>
      <c r="BE57" t="s">
        <v>457</v>
      </c>
      <c r="BF57" t="s">
        <v>458</v>
      </c>
      <c r="BG57" t="s">
        <v>459</v>
      </c>
      <c r="BH57" t="s">
        <v>498</v>
      </c>
      <c r="BI57" t="s">
        <v>979</v>
      </c>
      <c r="BJ57" t="s">
        <v>350</v>
      </c>
      <c r="BK57" t="s">
        <v>1630</v>
      </c>
      <c r="BL57" t="s">
        <v>1631</v>
      </c>
      <c r="BM57" t="s">
        <v>1306</v>
      </c>
      <c r="BN57">
        <v>2.67</v>
      </c>
      <c r="BO57">
        <v>9.94</v>
      </c>
      <c r="BP57">
        <v>7.21</v>
      </c>
      <c r="BQ57">
        <v>2.64</v>
      </c>
      <c r="BR57">
        <v>10.89</v>
      </c>
      <c r="BS57">
        <v>7.66</v>
      </c>
      <c r="BT57" t="s">
        <v>1081</v>
      </c>
      <c r="BU57" t="s">
        <v>843</v>
      </c>
      <c r="BV57">
        <v>42.57</v>
      </c>
      <c r="BW57">
        <v>38.76</v>
      </c>
      <c r="BX57">
        <v>43.53</v>
      </c>
      <c r="BY57">
        <v>26.44</v>
      </c>
      <c r="BZ57">
        <v>24.88</v>
      </c>
      <c r="CA57">
        <v>26.33</v>
      </c>
      <c r="CB57">
        <v>7.9</v>
      </c>
      <c r="CC57">
        <v>23.49</v>
      </c>
      <c r="CD57" t="s">
        <v>1749</v>
      </c>
      <c r="CE57" t="s">
        <v>273</v>
      </c>
      <c r="CF57" s="8">
        <v>0.22580645161290322</v>
      </c>
      <c r="CG57" s="9">
        <v>1.8157211656191332</v>
      </c>
      <c r="CH57" s="8">
        <v>0.13840830326080322</v>
      </c>
      <c r="CI57" s="8">
        <v>0.65142858028411865</v>
      </c>
      <c r="CJ57" s="8">
        <v>0.2867647111415863</v>
      </c>
      <c r="CK57" s="8">
        <v>-0.51943463087081909</v>
      </c>
      <c r="CL57" s="8">
        <v>-0.17492711544036865</v>
      </c>
      <c r="CM57" s="9">
        <v>0.25560179352760315</v>
      </c>
      <c r="CN57" s="9">
        <v>0.55995327234268188</v>
      </c>
      <c r="CO57" s="9">
        <v>1.4964543581008911</v>
      </c>
      <c r="CP57" s="9">
        <v>-0.68843686580657959</v>
      </c>
      <c r="CQ57" s="9">
        <v>-3.7441365718841553</v>
      </c>
      <c r="CR57">
        <v>146.88405419295253</v>
      </c>
      <c r="CS57">
        <v>19.213597799558485</v>
      </c>
      <c r="CT57">
        <v>0</v>
      </c>
      <c r="CU57" s="8">
        <v>7.6447969675064092E-2</v>
      </c>
      <c r="CV57" s="9">
        <v>-0.42411280274391172</v>
      </c>
      <c r="CW57">
        <v>0.06</v>
      </c>
      <c r="CX57">
        <v>14.385272969082919</v>
      </c>
      <c r="CY57">
        <v>91766072.346151441</v>
      </c>
      <c r="CZ57">
        <v>7.6447969675064092E-2</v>
      </c>
      <c r="DA57">
        <v>4.7553137093826638</v>
      </c>
      <c r="DB57">
        <v>277601033.42821795</v>
      </c>
      <c r="DC57">
        <v>7.2625571191310884E-2</v>
      </c>
      <c r="DD57">
        <v>2.3769983641102463</v>
      </c>
      <c r="DE57">
        <v>555355872.3184607</v>
      </c>
      <c r="DF57">
        <v>6.7274213314056405E-2</v>
      </c>
      <c r="DG57">
        <v>1.4520924660388443</v>
      </c>
      <c r="DH57">
        <v>909088113.10139191</v>
      </c>
      <c r="DI57">
        <v>6.1158375740051278E-2</v>
      </c>
      <c r="DJ57">
        <v>0.77856242297339473</v>
      </c>
      <c r="DK57">
        <v>1695535208.2861958</v>
      </c>
      <c r="DL57">
        <v>5.3513578772544861E-2</v>
      </c>
      <c r="DM57">
        <v>90363900</v>
      </c>
      <c r="DN57">
        <v>7.6447969675064092E-2</v>
      </c>
      <c r="DO57">
        <v>1320080000</v>
      </c>
      <c r="DP57">
        <v>812802510</v>
      </c>
      <c r="DQ57">
        <v>3310</v>
      </c>
      <c r="DR57">
        <v>0.14935848193783913</v>
      </c>
      <c r="DS57">
        <v>2.2398339683630448</v>
      </c>
      <c r="DT57" s="10">
        <v>-0.2233333333333333</v>
      </c>
      <c r="DU57">
        <v>-0.90333333333333332</v>
      </c>
      <c r="DV57">
        <v>-1.1266666666666667</v>
      </c>
      <c r="DW57">
        <v>9.3363133248190717</v>
      </c>
      <c r="DX57">
        <v>0.31190000000000051</v>
      </c>
      <c r="DY57">
        <v>9.0342703277990637</v>
      </c>
      <c r="DZ57">
        <v>3945</v>
      </c>
      <c r="EA57">
        <v>9.0078441270235938</v>
      </c>
      <c r="EB57">
        <v>9</v>
      </c>
      <c r="EC57">
        <v>8.4098192771084337E-2</v>
      </c>
      <c r="ED57">
        <v>0.82530120481927716</v>
      </c>
      <c r="EE57" s="11">
        <v>1.06921</v>
      </c>
      <c r="EF57">
        <v>1.04511</v>
      </c>
      <c r="EG57">
        <v>21.101900000000001</v>
      </c>
      <c r="EH57" t="s">
        <v>867</v>
      </c>
      <c r="EI57">
        <v>1</v>
      </c>
      <c r="EJ57">
        <v>0</v>
      </c>
      <c r="EK57" s="13">
        <v>45385</v>
      </c>
      <c r="EL57" s="14">
        <v>0</v>
      </c>
      <c r="EM57" s="14">
        <v>1.91</v>
      </c>
      <c r="EN57" s="14">
        <v>1.31</v>
      </c>
      <c r="EO57" s="14">
        <v>1.84</v>
      </c>
      <c r="EP57" s="14">
        <v>-0.9</v>
      </c>
    </row>
    <row r="58" spans="1:146" ht="96" x14ac:dyDescent="0.25">
      <c r="A58" s="7"/>
      <c r="B58" s="7"/>
      <c r="C58" s="7" t="str">
        <f>""&amp;CHAR(10)&amp;Basic_Fundamental_Information_Constructure(F58)&amp;CHAR(10)&amp;Basic_Fundamental_Information_Concatenate("")</f>
        <v xml:space="preserve">
市值23.497046亿, 利润5202.98万; PE36.86; 平均PE36.55; 平均PEG4.87, PB1.74; ROIC6.5033%; ROE4.0633%; 股利率.6752%; 毛利22.3067%; 净利6.4733%; 上一年度营收增18.49%, 利润增-21.13%; 当季营收增26.75%, 利润增94.41%; 过往5年营收增7.51%, 利润增-2.69%
Income profile:
</v>
      </c>
      <c r="D58" t="s">
        <v>200</v>
      </c>
      <c r="E58" t="s">
        <v>201</v>
      </c>
      <c r="F58">
        <v>5.48</v>
      </c>
      <c r="G58">
        <v>-0.9</v>
      </c>
      <c r="H58" t="s">
        <v>1750</v>
      </c>
      <c r="I58">
        <v>2349704600</v>
      </c>
      <c r="J58">
        <v>36.86</v>
      </c>
      <c r="K58">
        <v>1.74</v>
      </c>
      <c r="L58" t="s">
        <v>59</v>
      </c>
      <c r="M58" t="s">
        <v>1598</v>
      </c>
      <c r="N58" t="s">
        <v>1403</v>
      </c>
      <c r="O58" t="s">
        <v>1633</v>
      </c>
      <c r="P58">
        <v>23.34</v>
      </c>
      <c r="Q58" t="s">
        <v>1200</v>
      </c>
      <c r="R58">
        <v>61806370</v>
      </c>
      <c r="S58" s="5">
        <v>0.23200000000000001</v>
      </c>
      <c r="T58" t="s">
        <v>1201</v>
      </c>
      <c r="U58">
        <v>421016640</v>
      </c>
      <c r="V58">
        <v>428778220</v>
      </c>
      <c r="W58">
        <v>1.51</v>
      </c>
      <c r="X58">
        <v>0.75</v>
      </c>
      <c r="Y58">
        <v>6.73</v>
      </c>
      <c r="Z58" t="s">
        <v>1634</v>
      </c>
      <c r="AA58" t="s">
        <v>1350</v>
      </c>
      <c r="AB58" t="s">
        <v>214</v>
      </c>
      <c r="AC58" t="s">
        <v>1635</v>
      </c>
      <c r="AD58" t="s">
        <v>41</v>
      </c>
      <c r="AE58">
        <v>-5577234</v>
      </c>
      <c r="AF58" t="s">
        <v>1636</v>
      </c>
      <c r="AG58" t="s">
        <v>1637</v>
      </c>
      <c r="AH58" t="s">
        <v>1638</v>
      </c>
      <c r="AI58" t="s">
        <v>1400</v>
      </c>
      <c r="AJ58" t="s">
        <v>1639</v>
      </c>
      <c r="AK58" t="s">
        <v>41</v>
      </c>
      <c r="AL58" t="s">
        <v>1640</v>
      </c>
      <c r="AM58" t="s">
        <v>41</v>
      </c>
      <c r="AN58">
        <v>0</v>
      </c>
      <c r="AO58" t="s">
        <v>63</v>
      </c>
      <c r="AP58" t="s">
        <v>41</v>
      </c>
      <c r="AQ58" t="s">
        <v>114</v>
      </c>
      <c r="AR58" t="s">
        <v>1641</v>
      </c>
      <c r="AS58" t="s">
        <v>1642</v>
      </c>
      <c r="AT58" t="s">
        <v>41</v>
      </c>
      <c r="AU58" t="s">
        <v>215</v>
      </c>
      <c r="AV58" t="s">
        <v>1643</v>
      </c>
      <c r="AW58" t="s">
        <v>1250</v>
      </c>
      <c r="AX58" t="s">
        <v>693</v>
      </c>
      <c r="AY58" t="s">
        <v>460</v>
      </c>
      <c r="AZ58" t="s">
        <v>461</v>
      </c>
      <c r="BA58" t="s">
        <v>462</v>
      </c>
      <c r="BB58" t="s">
        <v>463</v>
      </c>
      <c r="BC58" t="s">
        <v>790</v>
      </c>
      <c r="BD58" t="s">
        <v>791</v>
      </c>
      <c r="BE58" t="s">
        <v>464</v>
      </c>
      <c r="BF58" t="s">
        <v>465</v>
      </c>
      <c r="BG58" t="s">
        <v>466</v>
      </c>
      <c r="BH58" t="s">
        <v>1393</v>
      </c>
      <c r="BI58" t="s">
        <v>1644</v>
      </c>
      <c r="BJ58" t="s">
        <v>224</v>
      </c>
      <c r="BK58" t="s">
        <v>1645</v>
      </c>
      <c r="BL58" t="s">
        <v>1646</v>
      </c>
      <c r="BM58" t="s">
        <v>1647</v>
      </c>
      <c r="BN58">
        <v>1.1499999999999999</v>
      </c>
      <c r="BO58">
        <v>10.37</v>
      </c>
      <c r="BP58">
        <v>7.99</v>
      </c>
      <c r="BQ58">
        <v>0.61</v>
      </c>
      <c r="BR58">
        <v>6.87</v>
      </c>
      <c r="BS58">
        <v>4.71</v>
      </c>
      <c r="BT58" t="s">
        <v>1202</v>
      </c>
      <c r="BU58" t="s">
        <v>948</v>
      </c>
      <c r="BV58">
        <v>19.78</v>
      </c>
      <c r="BW58">
        <v>21.91</v>
      </c>
      <c r="BX58">
        <v>25.23</v>
      </c>
      <c r="BY58">
        <v>5.22</v>
      </c>
      <c r="BZ58">
        <v>7.39</v>
      </c>
      <c r="CA58">
        <v>6.81</v>
      </c>
      <c r="CB58">
        <v>2.2400000000000002</v>
      </c>
      <c r="CC58">
        <v>16.84</v>
      </c>
      <c r="CD58" t="s">
        <v>1751</v>
      </c>
      <c r="CE58" t="s">
        <v>502</v>
      </c>
      <c r="CF58" s="8">
        <v>0.26748971193415638</v>
      </c>
      <c r="CG58" s="9">
        <v>0.94408673905315477</v>
      </c>
      <c r="CH58" s="8">
        <v>0.18487924337387085</v>
      </c>
      <c r="CI58" s="8">
        <v>0.26629117131233215</v>
      </c>
      <c r="CJ58" s="8">
        <v>-0.13379789888858795</v>
      </c>
      <c r="CK58" s="8">
        <v>5.1282148808240891E-2</v>
      </c>
      <c r="CL58" s="8">
        <v>6.6371210850775242E-3</v>
      </c>
      <c r="CM58" s="9">
        <v>-0.21132554113864899</v>
      </c>
      <c r="CN58" s="9">
        <v>0.47481328248977661</v>
      </c>
      <c r="CO58" s="9">
        <v>-0.38483595848083496</v>
      </c>
      <c r="CP58" s="9">
        <v>-4.8765618354082108E-2</v>
      </c>
      <c r="CQ58" s="9">
        <v>3.5501420497894287E-2</v>
      </c>
      <c r="CR58">
        <v>36.550996995441437</v>
      </c>
      <c r="CS58">
        <v>4.8696771937266066</v>
      </c>
      <c r="CT58">
        <v>0.67518248175182471</v>
      </c>
      <c r="CU58" s="8">
        <v>7.505835713818669E-2</v>
      </c>
      <c r="CV58" s="9">
        <v>-2.6922482997179031E-2</v>
      </c>
      <c r="CW58">
        <v>0.06</v>
      </c>
      <c r="CX58">
        <v>30.580579159594443</v>
      </c>
      <c r="CY58">
        <v>52768935.198328689</v>
      </c>
      <c r="CZ58">
        <v>7.505835713818669E-2</v>
      </c>
      <c r="DA58">
        <v>10.120907207191637</v>
      </c>
      <c r="DB58">
        <v>159442683.0485459</v>
      </c>
      <c r="DC58">
        <v>7.1305439281277347E-2</v>
      </c>
      <c r="DD58">
        <v>5.0669567003469602</v>
      </c>
      <c r="DE58">
        <v>318476098.26417136</v>
      </c>
      <c r="DF58">
        <v>6.6051354281604288E-2</v>
      </c>
      <c r="DG58">
        <v>3.1007494624064855</v>
      </c>
      <c r="DH58">
        <v>520424052.1733759</v>
      </c>
      <c r="DI58">
        <v>6.0046685710549358E-2</v>
      </c>
      <c r="DJ58">
        <v>1.6687235143316976</v>
      </c>
      <c r="DK58">
        <v>967029340.77504623</v>
      </c>
      <c r="DL58">
        <v>5.2540849996730678E-2</v>
      </c>
      <c r="DM58">
        <v>52029799.999999993</v>
      </c>
      <c r="DN58">
        <v>7.505835713818669E-2</v>
      </c>
      <c r="DO58">
        <v>1613704600</v>
      </c>
      <c r="DP58">
        <v>844294800</v>
      </c>
      <c r="DQ58">
        <v>3424</v>
      </c>
      <c r="DR58">
        <v>0.19243135479596968</v>
      </c>
      <c r="DS58">
        <v>0.9710092220503338</v>
      </c>
      <c r="DT58" s="10">
        <v>-0.12333333333333336</v>
      </c>
      <c r="DU58">
        <v>0.44999999999999996</v>
      </c>
      <c r="DV58">
        <v>0.32666666666666661</v>
      </c>
      <c r="DW58">
        <v>3.0095000000000001</v>
      </c>
      <c r="DX58">
        <v>0.58705666666666789</v>
      </c>
      <c r="DY58">
        <v>3.0029170383333335</v>
      </c>
      <c r="DZ58">
        <v>1463</v>
      </c>
      <c r="EA58">
        <v>3.0020828657215923</v>
      </c>
      <c r="EB58">
        <v>3</v>
      </c>
      <c r="EC58">
        <v>0.21483600542956682</v>
      </c>
      <c r="ED58">
        <v>0.6996624035614496</v>
      </c>
      <c r="EE58" s="11">
        <v>-1.143</v>
      </c>
      <c r="EF58">
        <v>-1.1339999999999999</v>
      </c>
      <c r="EG58">
        <v>28.307056666666668</v>
      </c>
      <c r="EH58" t="s">
        <v>1093</v>
      </c>
      <c r="EI58">
        <v>0</v>
      </c>
      <c r="EJ58">
        <v>1</v>
      </c>
      <c r="EK58" s="13">
        <v>45385</v>
      </c>
      <c r="EL58" s="14">
        <v>1.1200000000000001</v>
      </c>
      <c r="EM58" s="14">
        <v>-1.1100000000000001</v>
      </c>
      <c r="EN58" s="14">
        <v>2.16</v>
      </c>
      <c r="EO58" s="14">
        <v>0.42</v>
      </c>
      <c r="EP58" s="14">
        <v>0.42</v>
      </c>
    </row>
    <row r="59" spans="1:146" ht="96" x14ac:dyDescent="0.25">
      <c r="A59" s="7"/>
      <c r="B59" s="7"/>
      <c r="C59" s="7" t="str">
        <f>""&amp;CHAR(10)&amp;Basic_Fundamental_Information_Constructure(F59)&amp;CHAR(10)&amp;Basic_Fundamental_Information_Concatenate("")</f>
        <v xml:space="preserve">
市值27.380385亿, 利润4535.55万; PE52.37; 平均PE20.17; 平均PEG1.94, PB.948; ROIC4.905%; ROE3.87%; 股利率0%; 毛利16.33%; 净利6.95%; 上一年度营收增-.63%, 利润增-73%; 当季营收增11.02%, 利润增574.36%; 过往5年营收增10.4%, 利润增-7.2%
Income profile:
</v>
      </c>
      <c r="D59" t="s">
        <v>204</v>
      </c>
      <c r="E59" t="s">
        <v>26</v>
      </c>
      <c r="F59">
        <v>2.39</v>
      </c>
      <c r="G59">
        <v>0.42</v>
      </c>
      <c r="H59" t="s">
        <v>1752</v>
      </c>
      <c r="I59">
        <v>2738038500</v>
      </c>
      <c r="J59">
        <v>52.37</v>
      </c>
      <c r="K59">
        <v>0.94799999999999995</v>
      </c>
      <c r="L59" t="s">
        <v>59</v>
      </c>
      <c r="M59" t="s">
        <v>208</v>
      </c>
      <c r="N59" t="s">
        <v>1282</v>
      </c>
      <c r="O59" t="s">
        <v>374</v>
      </c>
      <c r="P59">
        <v>27.29</v>
      </c>
      <c r="Q59" t="s">
        <v>124</v>
      </c>
      <c r="R59">
        <v>78725814</v>
      </c>
      <c r="S59" s="5">
        <v>0.65349999999999997</v>
      </c>
      <c r="T59" t="s">
        <v>1203</v>
      </c>
      <c r="U59">
        <v>1145622800</v>
      </c>
      <c r="V59">
        <v>1145622800</v>
      </c>
      <c r="W59">
        <v>1.27</v>
      </c>
      <c r="X59">
        <v>0.45</v>
      </c>
      <c r="Y59">
        <v>4.46</v>
      </c>
      <c r="Z59" t="s">
        <v>1398</v>
      </c>
      <c r="AA59" t="s">
        <v>375</v>
      </c>
      <c r="AB59" t="s">
        <v>1649</v>
      </c>
      <c r="AC59" t="s">
        <v>1650</v>
      </c>
      <c r="AD59" t="s">
        <v>1396</v>
      </c>
      <c r="AE59">
        <v>-1414969</v>
      </c>
      <c r="AF59" t="s">
        <v>1651</v>
      </c>
      <c r="AG59" t="s">
        <v>1652</v>
      </c>
      <c r="AH59" t="s">
        <v>1653</v>
      </c>
      <c r="AI59" t="s">
        <v>1449</v>
      </c>
      <c r="AJ59" t="s">
        <v>1654</v>
      </c>
      <c r="AK59" t="s">
        <v>41</v>
      </c>
      <c r="AL59" t="s">
        <v>1655</v>
      </c>
      <c r="AM59" t="s">
        <v>41</v>
      </c>
      <c r="AN59" t="s">
        <v>1656</v>
      </c>
      <c r="AO59" t="s">
        <v>657</v>
      </c>
      <c r="AP59" t="s">
        <v>1657</v>
      </c>
      <c r="AQ59" t="s">
        <v>245</v>
      </c>
      <c r="AR59" t="s">
        <v>41</v>
      </c>
      <c r="AS59" t="s">
        <v>1356</v>
      </c>
      <c r="AT59" t="s">
        <v>41</v>
      </c>
      <c r="AU59" t="s">
        <v>1291</v>
      </c>
      <c r="AV59" t="s">
        <v>1658</v>
      </c>
      <c r="AW59" t="s">
        <v>1659</v>
      </c>
      <c r="AX59" t="s">
        <v>792</v>
      </c>
      <c r="AY59" t="s">
        <v>469</v>
      </c>
      <c r="AZ59" t="s">
        <v>205</v>
      </c>
      <c r="BA59" t="s">
        <v>112</v>
      </c>
      <c r="BB59" t="s">
        <v>471</v>
      </c>
      <c r="BC59" t="s">
        <v>603</v>
      </c>
      <c r="BD59" t="s">
        <v>376</v>
      </c>
      <c r="BE59" t="s">
        <v>161</v>
      </c>
      <c r="BF59" t="s">
        <v>65</v>
      </c>
      <c r="BG59" t="s">
        <v>74</v>
      </c>
      <c r="BH59" t="s">
        <v>1395</v>
      </c>
      <c r="BI59" t="s">
        <v>1029</v>
      </c>
      <c r="BJ59" t="s">
        <v>804</v>
      </c>
      <c r="BK59" t="s">
        <v>1660</v>
      </c>
      <c r="BL59" t="s">
        <v>1661</v>
      </c>
      <c r="BM59" t="s">
        <v>1307</v>
      </c>
      <c r="BN59" t="s">
        <v>41</v>
      </c>
      <c r="BO59">
        <v>4.84</v>
      </c>
      <c r="BP59">
        <v>4.97</v>
      </c>
      <c r="BQ59">
        <v>-0.36</v>
      </c>
      <c r="BR59">
        <v>5.9</v>
      </c>
      <c r="BS59">
        <v>6.07</v>
      </c>
      <c r="BT59" t="s">
        <v>1081</v>
      </c>
      <c r="BU59" t="s">
        <v>843</v>
      </c>
      <c r="BV59">
        <v>8.73</v>
      </c>
      <c r="BW59">
        <v>13.88</v>
      </c>
      <c r="BX59">
        <v>26.38</v>
      </c>
      <c r="BY59">
        <v>3.24</v>
      </c>
      <c r="BZ59">
        <v>8.09</v>
      </c>
      <c r="CA59">
        <v>9.52</v>
      </c>
      <c r="CB59">
        <v>5.29</v>
      </c>
      <c r="CC59">
        <v>10.65</v>
      </c>
      <c r="CD59" t="s">
        <v>1753</v>
      </c>
      <c r="CE59" t="s">
        <v>1009</v>
      </c>
      <c r="CF59" s="8">
        <v>0.11019736842105263</v>
      </c>
      <c r="CG59" s="9">
        <v>5.7435915240779085</v>
      </c>
      <c r="CH59" s="8">
        <v>-6.292383186519146E-3</v>
      </c>
      <c r="CI59" s="8">
        <v>0.18735632300376892</v>
      </c>
      <c r="CJ59" s="8">
        <v>-0.1044776439666748</v>
      </c>
      <c r="CK59" s="8">
        <v>0.21665631234645844</v>
      </c>
      <c r="CL59" s="8">
        <v>0.22657445073127747</v>
      </c>
      <c r="CM59" s="9">
        <v>-0.73002678155899048</v>
      </c>
      <c r="CN59" s="9">
        <v>-2.3255813866853714E-2</v>
      </c>
      <c r="CO59" s="9">
        <v>1.1764706112444401E-2</v>
      </c>
      <c r="CP59" s="9">
        <v>0.22302158176898956</v>
      </c>
      <c r="CQ59" s="9">
        <v>0.15833333134651184</v>
      </c>
      <c r="CR59">
        <v>20.173291639830516</v>
      </c>
      <c r="CS59">
        <v>1.9404222402224645</v>
      </c>
      <c r="CT59">
        <v>0</v>
      </c>
      <c r="CU59" s="8">
        <v>0.10396341178566218</v>
      </c>
      <c r="CV59" s="9">
        <v>-7.203259523957968E-2</v>
      </c>
      <c r="CW59">
        <v>0.06</v>
      </c>
      <c r="CX59">
        <v>13.316756337645955</v>
      </c>
      <c r="CY59">
        <v>47236615.587966606</v>
      </c>
      <c r="CZ59">
        <v>0.10396341178566218</v>
      </c>
      <c r="DA59">
        <v>4.3007200780222146</v>
      </c>
      <c r="DB59">
        <v>146263529.96433049</v>
      </c>
      <c r="DC59">
        <v>9.8765241196379069E-2</v>
      </c>
      <c r="DD59">
        <v>2.0838088256587599</v>
      </c>
      <c r="DE59">
        <v>301869582.39853907</v>
      </c>
      <c r="DF59">
        <v>9.1487802371382723E-2</v>
      </c>
      <c r="DG59">
        <v>1.2290205951839466</v>
      </c>
      <c r="DH59">
        <v>511820959.27843446</v>
      </c>
      <c r="DI59">
        <v>8.3170729428529752E-2</v>
      </c>
      <c r="DJ59">
        <v>0.6100354580411177</v>
      </c>
      <c r="DK59">
        <v>1031150717.0745498</v>
      </c>
      <c r="DL59">
        <v>7.2774388249963518E-2</v>
      </c>
      <c r="DM59">
        <v>45355500</v>
      </c>
      <c r="DN59">
        <v>0.10396341178566218</v>
      </c>
      <c r="DO59">
        <v>629038500</v>
      </c>
      <c r="DP59">
        <v>926041000</v>
      </c>
      <c r="DQ59">
        <v>3847</v>
      </c>
      <c r="DR59">
        <v>6.2339566353904474E-3</v>
      </c>
      <c r="DS59">
        <v>5.815624119317488</v>
      </c>
      <c r="DT59" s="10">
        <v>-7.3333333333333403E-2</v>
      </c>
      <c r="DU59">
        <v>0.32333333333333331</v>
      </c>
      <c r="DV59">
        <v>0.24999999999999989</v>
      </c>
      <c r="DW59">
        <v>8.4967136150234737</v>
      </c>
      <c r="DX59">
        <v>0.32438229166666499</v>
      </c>
      <c r="DY59">
        <v>8.0568152415884189</v>
      </c>
      <c r="DZ59">
        <v>1638</v>
      </c>
      <c r="EA59">
        <v>8.0386245915255117</v>
      </c>
      <c r="EB59">
        <v>8</v>
      </c>
      <c r="EC59">
        <v>7.6679339831574586E-2</v>
      </c>
      <c r="ED59">
        <v>0.67037771943784641</v>
      </c>
      <c r="EE59" s="11">
        <v>-2.0203000000000002</v>
      </c>
      <c r="EF59">
        <v>-2.0245000000000002</v>
      </c>
      <c r="EG59">
        <v>21.114382291666665</v>
      </c>
      <c r="EH59" t="s">
        <v>1137</v>
      </c>
      <c r="EI59">
        <v>0</v>
      </c>
      <c r="EJ59">
        <v>0</v>
      </c>
      <c r="EK59" s="13">
        <v>45385</v>
      </c>
      <c r="EL59" s="14">
        <v>1.32</v>
      </c>
      <c r="EM59" s="14">
        <v>0.87</v>
      </c>
      <c r="EN59" s="14">
        <v>4.28</v>
      </c>
      <c r="EO59" s="14">
        <v>-1.82</v>
      </c>
      <c r="EP59" s="14">
        <v>-0.93</v>
      </c>
    </row>
    <row r="60" spans="1:146" ht="96" x14ac:dyDescent="0.25">
      <c r="A60" s="7"/>
      <c r="B60" s="7"/>
      <c r="C60" s="7" t="str">
        <f>""&amp;CHAR(10)&amp;Basic_Fundamental_Information_Constructure(F60)&amp;CHAR(10)&amp;Basic_Fundamental_Information_Concatenate("")</f>
        <v xml:space="preserve">
市值13.661783亿, 利润-3.80亿; PE; 平均PE-10.97; 平均PEG-72.31, PB3.7; ROIC6.61%; ROE-12.9633%; 股利率0%; 毛利13.54%; 净利-25.35%; 上一年度营收增-10.39%, 利润增-4.11%; 当季营收增-42.22%, 利润增8.89%; 过往5年营收增.15%, 利润增-263.3%
Income profile:
</v>
      </c>
      <c r="D60" t="s">
        <v>210</v>
      </c>
      <c r="E60" t="s">
        <v>5</v>
      </c>
      <c r="F60">
        <v>4.2699999999999996</v>
      </c>
      <c r="G60">
        <v>-0.93</v>
      </c>
      <c r="H60" t="s">
        <v>1755</v>
      </c>
      <c r="I60">
        <v>1366178300</v>
      </c>
      <c r="K60">
        <v>3.7</v>
      </c>
      <c r="L60" t="s">
        <v>59</v>
      </c>
      <c r="M60" t="s">
        <v>1322</v>
      </c>
      <c r="N60" t="s">
        <v>515</v>
      </c>
      <c r="O60" t="s">
        <v>726</v>
      </c>
      <c r="P60">
        <v>-26.47</v>
      </c>
      <c r="Q60" t="s">
        <v>1009</v>
      </c>
      <c r="R60">
        <v>-154549550</v>
      </c>
      <c r="S60" s="5">
        <v>-7.4099999999999999E-2</v>
      </c>
      <c r="T60" t="s">
        <v>1030</v>
      </c>
      <c r="U60">
        <v>319948070</v>
      </c>
      <c r="V60">
        <v>319948070</v>
      </c>
      <c r="W60">
        <v>5.63</v>
      </c>
      <c r="X60">
        <v>0.18</v>
      </c>
      <c r="Y60">
        <v>-39.32</v>
      </c>
      <c r="Z60" t="s">
        <v>1380</v>
      </c>
      <c r="AA60" t="s">
        <v>147</v>
      </c>
      <c r="AB60" t="s">
        <v>1662</v>
      </c>
      <c r="AC60" t="s">
        <v>1663</v>
      </c>
      <c r="AD60" t="s">
        <v>1310</v>
      </c>
      <c r="AE60">
        <v>52989849</v>
      </c>
      <c r="AF60" t="s">
        <v>1311</v>
      </c>
      <c r="AG60" t="s">
        <v>1664</v>
      </c>
      <c r="AH60" t="s">
        <v>1665</v>
      </c>
      <c r="AI60" t="s">
        <v>1666</v>
      </c>
      <c r="AJ60" t="s">
        <v>1667</v>
      </c>
      <c r="AK60" t="s">
        <v>1668</v>
      </c>
      <c r="AL60" t="s">
        <v>1669</v>
      </c>
      <c r="AM60" t="s">
        <v>41</v>
      </c>
      <c r="AN60" t="s">
        <v>431</v>
      </c>
      <c r="AO60" t="s">
        <v>1126</v>
      </c>
      <c r="AP60" t="s">
        <v>1670</v>
      </c>
      <c r="AQ60" t="s">
        <v>429</v>
      </c>
      <c r="AR60" t="s">
        <v>41</v>
      </c>
      <c r="AS60" t="s">
        <v>1671</v>
      </c>
      <c r="AT60" t="s">
        <v>41</v>
      </c>
      <c r="AU60" t="s">
        <v>1672</v>
      </c>
      <c r="AV60" t="s">
        <v>1673</v>
      </c>
      <c r="AW60" t="s">
        <v>1674</v>
      </c>
      <c r="AX60" t="s">
        <v>406</v>
      </c>
      <c r="AY60" t="s">
        <v>391</v>
      </c>
      <c r="AZ60" t="s">
        <v>211</v>
      </c>
      <c r="BA60" t="s">
        <v>474</v>
      </c>
      <c r="BB60" t="s">
        <v>475</v>
      </c>
      <c r="BC60" t="s">
        <v>793</v>
      </c>
      <c r="BD60" t="s">
        <v>473</v>
      </c>
      <c r="BE60" t="s">
        <v>212</v>
      </c>
      <c r="BF60" t="s">
        <v>476</v>
      </c>
      <c r="BG60" t="s">
        <v>477</v>
      </c>
      <c r="BH60" t="s">
        <v>152</v>
      </c>
      <c r="BI60" t="s">
        <v>701</v>
      </c>
      <c r="BJ60" t="s">
        <v>652</v>
      </c>
      <c r="BK60" t="s">
        <v>1132</v>
      </c>
      <c r="BL60" t="s">
        <v>1289</v>
      </c>
      <c r="BM60" t="s">
        <v>1312</v>
      </c>
      <c r="BN60" t="s">
        <v>41</v>
      </c>
      <c r="BO60" t="s">
        <v>41</v>
      </c>
      <c r="BP60">
        <v>6.61</v>
      </c>
      <c r="BQ60">
        <v>-9.24</v>
      </c>
      <c r="BR60">
        <v>-33.6</v>
      </c>
      <c r="BS60">
        <v>3.95</v>
      </c>
      <c r="BT60" t="s">
        <v>1081</v>
      </c>
      <c r="BU60" t="s">
        <v>843</v>
      </c>
      <c r="BV60">
        <v>-0.17</v>
      </c>
      <c r="BW60">
        <v>13.41</v>
      </c>
      <c r="BX60">
        <v>27.38</v>
      </c>
      <c r="BY60">
        <v>-41.03</v>
      </c>
      <c r="BZ60">
        <v>-42.78</v>
      </c>
      <c r="CA60">
        <v>7.76</v>
      </c>
      <c r="CB60">
        <v>2.89</v>
      </c>
      <c r="CC60">
        <v>16.670000000000002</v>
      </c>
      <c r="CD60" t="s">
        <v>1756</v>
      </c>
      <c r="CE60" t="s">
        <v>1757</v>
      </c>
      <c r="CF60" s="8">
        <v>-0.42222222222222222</v>
      </c>
      <c r="CG60" s="9">
        <v>8.885073363084893E-2</v>
      </c>
      <c r="CH60" s="8">
        <v>-0.10385064035654068</v>
      </c>
      <c r="CI60" s="8">
        <v>-0.13782696425914764</v>
      </c>
      <c r="CJ60" s="8">
        <v>0.14780600368976593</v>
      </c>
      <c r="CK60" s="8">
        <v>7.9800501465797424E-2</v>
      </c>
      <c r="CL60" s="8">
        <v>2.1656051278114319E-2</v>
      </c>
      <c r="CM60" s="9">
        <v>-4.109589010477066E-2</v>
      </c>
      <c r="CN60" s="9">
        <v>-8.4413862228393555</v>
      </c>
      <c r="CO60" s="9">
        <v>1.5033402442932129</v>
      </c>
      <c r="CP60" s="9">
        <v>-5.9346761703491211</v>
      </c>
      <c r="CQ60" s="9">
        <v>-0.25097572803497314</v>
      </c>
      <c r="CR60">
        <v>-10.96911264956613</v>
      </c>
      <c r="CS60">
        <v>-72.308387138007348</v>
      </c>
      <c r="CT60">
        <v>0</v>
      </c>
      <c r="CU60" s="8">
        <v>1.5169903635978699E-3</v>
      </c>
      <c r="CV60" s="9">
        <v>-2.6329587534070016</v>
      </c>
      <c r="CW60">
        <v>0.06</v>
      </c>
      <c r="CX60" t="e">
        <v>#VALUE!</v>
      </c>
      <c r="CY60" t="s">
        <v>852</v>
      </c>
      <c r="CZ60">
        <v>1.5169903635978699E-3</v>
      </c>
      <c r="DA60" t="e">
        <v>#VALUE!</v>
      </c>
      <c r="DB60" t="s">
        <v>853</v>
      </c>
      <c r="DC60">
        <v>1.4411408454179763E-3</v>
      </c>
      <c r="DD60" t="e">
        <v>#VALUE!</v>
      </c>
      <c r="DE60" t="s">
        <v>853</v>
      </c>
      <c r="DF60">
        <v>1.3349515199661255E-3</v>
      </c>
      <c r="DG60" t="e">
        <v>#VALUE!</v>
      </c>
      <c r="DH60" t="s">
        <v>853</v>
      </c>
      <c r="DI60">
        <v>1.2135922908782959E-3</v>
      </c>
      <c r="DJ60" t="e">
        <v>#VALUE!</v>
      </c>
      <c r="DK60" t="s">
        <v>853</v>
      </c>
      <c r="DL60">
        <v>1.0618932545185089E-3</v>
      </c>
      <c r="DM60">
        <v>-380000000</v>
      </c>
      <c r="DN60">
        <v>1.5169903635978699E-3</v>
      </c>
      <c r="DO60">
        <v>2682178300</v>
      </c>
      <c r="DP60">
        <v>-1196932370</v>
      </c>
      <c r="DQ60">
        <v>3871</v>
      </c>
      <c r="DR60">
        <v>-0.42373921258582009</v>
      </c>
      <c r="DS60">
        <v>2.7218094870378504</v>
      </c>
      <c r="DT60" s="10">
        <v>-0.44</v>
      </c>
      <c r="DU60">
        <v>-2.5150000000000001</v>
      </c>
      <c r="DV60">
        <v>-2.9550000000000001</v>
      </c>
      <c r="DW60">
        <v>8.1733653269346132</v>
      </c>
      <c r="DX60">
        <v>0.3126298136645963</v>
      </c>
      <c r="DY60">
        <v>8.0264607175459322</v>
      </c>
      <c r="DZ60">
        <v>4871</v>
      </c>
      <c r="EA60">
        <v>8.0012671766612105</v>
      </c>
      <c r="EB60">
        <v>8</v>
      </c>
      <c r="EC60">
        <v>0.30721735561649116</v>
      </c>
      <c r="ED60">
        <v>2.0128266440238254</v>
      </c>
      <c r="EE60" s="11">
        <v>-2.0979100000000002</v>
      </c>
      <c r="EF60">
        <v>-2.1072099999999998</v>
      </c>
      <c r="EG60">
        <v>16.152629813664596</v>
      </c>
      <c r="EH60" t="s">
        <v>1235</v>
      </c>
      <c r="EI60">
        <v>0</v>
      </c>
      <c r="EJ60">
        <v>0</v>
      </c>
      <c r="EK60" s="13">
        <v>45385</v>
      </c>
      <c r="EL60" s="14">
        <v>2.89</v>
      </c>
      <c r="EM60" s="14">
        <v>-1.41</v>
      </c>
      <c r="EN60" s="14">
        <v>0.01</v>
      </c>
      <c r="EO60" s="14">
        <v>1.1399999999999999</v>
      </c>
      <c r="EP60" s="14">
        <v>0.78</v>
      </c>
    </row>
    <row r="61" spans="1:146" ht="96" x14ac:dyDescent="0.25">
      <c r="A61" s="7"/>
      <c r="B61" s="7"/>
      <c r="C61" s="7" t="str">
        <f>""&amp;CHAR(10)&amp;Basic_Fundamental_Information_Constructure(F61)&amp;CHAR(10)&amp;Basic_Fundamental_Information_Concatenate("")</f>
        <v xml:space="preserve">
市值28.923189亿, 利润3.25亿; PE9.78; 平均PE10.3; 平均PEG1.43, PB1.06; ROIC8.9567%; ROE11.3867%; 股利率3.2%; 毛利29.84%; 净利8.4433%; 上一年度营收增-46.69%, 利润增17.33%; 当季营收增48.38%, 利润增-53.82%; 过往5年营收增7.21%, 利润增10.19%
Income profile:
</v>
      </c>
      <c r="D61" t="s">
        <v>216</v>
      </c>
      <c r="E61" t="s">
        <v>2727</v>
      </c>
      <c r="F61">
        <v>18.75</v>
      </c>
      <c r="G61">
        <v>-0.57999999999999996</v>
      </c>
      <c r="H61" t="s">
        <v>2728</v>
      </c>
      <c r="I61">
        <v>2892318900</v>
      </c>
      <c r="J61">
        <v>9.7799999999999994</v>
      </c>
      <c r="K61">
        <v>1.06</v>
      </c>
      <c r="L61" t="s">
        <v>1762</v>
      </c>
      <c r="M61" t="s">
        <v>2729</v>
      </c>
      <c r="N61" t="s">
        <v>2730</v>
      </c>
      <c r="O61" t="s">
        <v>2361</v>
      </c>
      <c r="P61">
        <v>11.45</v>
      </c>
      <c r="Q61" t="s">
        <v>1164</v>
      </c>
      <c r="R61">
        <v>36409884</v>
      </c>
      <c r="S61" s="5">
        <v>0.1116</v>
      </c>
      <c r="T61" t="s">
        <v>1296</v>
      </c>
      <c r="U61">
        <v>154257010</v>
      </c>
      <c r="V61">
        <v>154257010</v>
      </c>
      <c r="W61">
        <v>1.95</v>
      </c>
      <c r="X61">
        <v>0.11</v>
      </c>
      <c r="Y61">
        <v>5.44</v>
      </c>
      <c r="Z61" t="s">
        <v>1326</v>
      </c>
      <c r="AA61" t="s">
        <v>2731</v>
      </c>
      <c r="AB61" t="s">
        <v>2732</v>
      </c>
      <c r="AC61" t="s">
        <v>2733</v>
      </c>
      <c r="AD61" t="s">
        <v>41</v>
      </c>
      <c r="AE61">
        <v>1731579</v>
      </c>
      <c r="AF61" t="s">
        <v>2734</v>
      </c>
      <c r="AG61" t="s">
        <v>2735</v>
      </c>
      <c r="AH61" t="s">
        <v>2736</v>
      </c>
      <c r="AI61" t="s">
        <v>2257</v>
      </c>
      <c r="AJ61" t="s">
        <v>2737</v>
      </c>
      <c r="AK61" t="s">
        <v>2738</v>
      </c>
      <c r="AL61" t="s">
        <v>2739</v>
      </c>
      <c r="AM61" t="s">
        <v>41</v>
      </c>
      <c r="AN61" t="s">
        <v>1246</v>
      </c>
      <c r="AO61" t="s">
        <v>1377</v>
      </c>
      <c r="AP61" t="s">
        <v>2740</v>
      </c>
      <c r="AQ61" t="s">
        <v>1474</v>
      </c>
      <c r="AR61" t="s">
        <v>41</v>
      </c>
      <c r="AS61" t="s">
        <v>1614</v>
      </c>
      <c r="AT61" t="s">
        <v>41</v>
      </c>
      <c r="AU61" t="s">
        <v>2741</v>
      </c>
      <c r="AV61" t="s">
        <v>434</v>
      </c>
      <c r="AW61" t="s">
        <v>2742</v>
      </c>
      <c r="AX61" t="s">
        <v>1161</v>
      </c>
      <c r="AY61" t="s">
        <v>794</v>
      </c>
      <c r="AZ61" t="s">
        <v>478</v>
      </c>
      <c r="BA61" t="s">
        <v>217</v>
      </c>
      <c r="BB61" t="s">
        <v>480</v>
      </c>
      <c r="BC61" t="s">
        <v>977</v>
      </c>
      <c r="BD61" t="s">
        <v>711</v>
      </c>
      <c r="BE61" t="s">
        <v>479</v>
      </c>
      <c r="BF61" t="s">
        <v>153</v>
      </c>
      <c r="BG61" t="s">
        <v>361</v>
      </c>
      <c r="BH61" t="s">
        <v>2256</v>
      </c>
      <c r="BI61" t="s">
        <v>2371</v>
      </c>
      <c r="BJ61" t="s">
        <v>1161</v>
      </c>
      <c r="BK61" t="s">
        <v>1455</v>
      </c>
      <c r="BL61" t="s">
        <v>2743</v>
      </c>
      <c r="BM61" t="s">
        <v>977</v>
      </c>
      <c r="BN61">
        <v>4.33</v>
      </c>
      <c r="BO61">
        <v>8.7200000000000006</v>
      </c>
      <c r="BP61">
        <v>13.82</v>
      </c>
      <c r="BQ61">
        <v>6.23</v>
      </c>
      <c r="BR61">
        <v>11.24</v>
      </c>
      <c r="BS61">
        <v>16.690000000000001</v>
      </c>
      <c r="BT61" t="s">
        <v>2744</v>
      </c>
      <c r="BU61" t="s">
        <v>2063</v>
      </c>
      <c r="BV61">
        <v>29.58</v>
      </c>
      <c r="BW61">
        <v>29.46</v>
      </c>
      <c r="BX61">
        <v>30.48</v>
      </c>
      <c r="BY61">
        <v>7.95</v>
      </c>
      <c r="BZ61">
        <v>7.67</v>
      </c>
      <c r="CA61">
        <v>9.7100000000000009</v>
      </c>
      <c r="CB61">
        <v>1.3</v>
      </c>
      <c r="CC61">
        <v>-16.96</v>
      </c>
      <c r="CD61" t="s">
        <v>2745</v>
      </c>
      <c r="CE61" t="s">
        <v>2746</v>
      </c>
      <c r="CF61" s="8">
        <v>0.48379629629629628</v>
      </c>
      <c r="CG61" s="9">
        <v>-0.53823043148515004</v>
      </c>
      <c r="CH61" s="8">
        <v>-0.46692934632301331</v>
      </c>
      <c r="CI61" s="8">
        <v>3.0452417209744453E-2</v>
      </c>
      <c r="CJ61" s="8">
        <v>0.30606061220169067</v>
      </c>
      <c r="CK61" s="8">
        <v>0.24235297739505768</v>
      </c>
      <c r="CL61" s="8">
        <v>0.24853110313415527</v>
      </c>
      <c r="CM61" s="9">
        <v>0.17328520119190216</v>
      </c>
      <c r="CN61" s="9">
        <v>-0.18047337234020233</v>
      </c>
      <c r="CO61" s="9">
        <v>0.15358361601829529</v>
      </c>
      <c r="CP61" s="9">
        <v>0.21074379980564117</v>
      </c>
      <c r="CQ61" s="9">
        <v>0.15238095819950104</v>
      </c>
      <c r="CR61">
        <v>10.299058397626114</v>
      </c>
      <c r="CS61">
        <v>1.4285685763222384</v>
      </c>
      <c r="CT61">
        <v>3.2</v>
      </c>
      <c r="CU61" s="8">
        <v>7.2093552723526952E-2</v>
      </c>
      <c r="CV61" s="9">
        <v>0.10190404057502747</v>
      </c>
      <c r="CW61">
        <v>0.06</v>
      </c>
      <c r="CX61">
        <v>10.022024448918497</v>
      </c>
      <c r="CY61">
        <v>328707928.90108132</v>
      </c>
      <c r="CZ61">
        <v>7.2093552723526952E-2</v>
      </c>
      <c r="DA61">
        <v>3.3252441092196867</v>
      </c>
      <c r="DB61">
        <v>990699867.97843134</v>
      </c>
      <c r="DC61">
        <v>6.8488875087350604E-2</v>
      </c>
      <c r="DD61">
        <v>1.6703062297936535</v>
      </c>
      <c r="DE61">
        <v>1972284387.879565</v>
      </c>
      <c r="DF61">
        <v>6.3442326396703719E-2</v>
      </c>
      <c r="DG61">
        <v>1.025932854935969</v>
      </c>
      <c r="DH61">
        <v>3211047276.7787585</v>
      </c>
      <c r="DI61">
        <v>5.7674842178821566E-2</v>
      </c>
      <c r="DJ61">
        <v>0.55650080087862464</v>
      </c>
      <c r="DK61">
        <v>5919701992.8790827</v>
      </c>
      <c r="DL61">
        <v>5.0465486906468862E-2</v>
      </c>
      <c r="DM61">
        <v>325000000</v>
      </c>
      <c r="DN61">
        <v>7.2093552723526952E-2</v>
      </c>
      <c r="DO61">
        <v>3294318900</v>
      </c>
      <c r="DP61">
        <v>460374400</v>
      </c>
      <c r="DQ61">
        <v>3987</v>
      </c>
      <c r="DR61">
        <v>0.41170274357276931</v>
      </c>
      <c r="DS61">
        <v>-0.64013447206017748</v>
      </c>
      <c r="DT61" s="10">
        <v>-0.25666666666666677</v>
      </c>
      <c r="DU61">
        <v>0.14666666666666661</v>
      </c>
      <c r="DV61">
        <v>-0.11000000000000015</v>
      </c>
      <c r="DW61">
        <v>-3.0108571428571427</v>
      </c>
      <c r="DX61">
        <v>0.2587070955927161</v>
      </c>
      <c r="DY61">
        <v>-3.0015059627521494</v>
      </c>
      <c r="DZ61">
        <v>208</v>
      </c>
      <c r="EA61">
        <v>-3.0014446632898308</v>
      </c>
      <c r="EB61">
        <v>3</v>
      </c>
      <c r="EC61">
        <v>2.7300542127712706E-2</v>
      </c>
      <c r="ED61">
        <v>0.19682152532322519</v>
      </c>
      <c r="EE61" s="11">
        <v>-3.0571100000000002</v>
      </c>
      <c r="EF61">
        <v>-3.0738099999999999</v>
      </c>
      <c r="EG61">
        <v>12.138707095592716</v>
      </c>
      <c r="EH61" t="s">
        <v>1520</v>
      </c>
      <c r="EI61">
        <v>0</v>
      </c>
      <c r="EJ61">
        <v>1</v>
      </c>
      <c r="EK61" s="13">
        <v>45470</v>
      </c>
      <c r="EL61" s="14">
        <v>-1.65</v>
      </c>
      <c r="EM61" s="14">
        <v>-2.73</v>
      </c>
      <c r="EN61" s="14">
        <v>-0.59</v>
      </c>
      <c r="EO61" s="14">
        <v>0.02</v>
      </c>
      <c r="EP61" s="14">
        <v>-1.67</v>
      </c>
    </row>
    <row r="62" spans="1:146" ht="180" x14ac:dyDescent="0.25">
      <c r="A62" s="7" t="s">
        <v>906</v>
      </c>
      <c r="B62" s="7" t="s">
        <v>907</v>
      </c>
      <c r="C62" s="7" t="str">
        <f>"公司专注于以转换器、墙壁开关插座为核心的民用电工产品的研发、生产和销售。公司专注于电连接、智能电工照明、数码配件三大业务板块，电连接产品主要为转换器，智能电工照明产品主要包括墙壁开关插座、LED照明、断路器、生活电器、智能门锁等产品，数码配件主要为数码配件类产品。"&amp;CHAR(10)&amp;Basic_Fundamental_Information_Constructure(F62)&amp;CHAR(10)&amp;Basic_Fundamental_Information_Concatenate("电连接产品 64.13亿 51.78% 46.17% 32.95%
智能电工照明产品 55.51亿 44.82% 50.97% 42.02%
数码配件产品 3.73亿 3.01% 2.20% 27.00%
其他业务 4804.56万 0.39% 0.66% 63.00%")</f>
        <v>公司专注于以转换器、墙壁开关插座为核心的民用电工产品的研发、生产和销售。公司专注于电连接、智能电工照明、数码配件三大业务板块，电连接产品主要为转换器，智能电工照明产品主要包括墙壁开关插座、LED照明、断路器、生活电器、智能门锁等产品，数码配件主要为数码配件类产品。
市值951.9102亿, 利润1707.67万; PE23.43; 平均PE46.51; 平均PEG5.18, PB6.17; ROIC23.09%; ROE25.9467%; 股利率4.2091%; 毛利39.3833%; 净利23.23%; 上一年度营收增-92.71%, 利润增-99.46%; 当季营收增1439.68%, 利润增7519.4%; 过往5年营收增-8.99%, 利润增-5.36%
Income profile:
电连接产品 64.13亿 51.78% 46.17% 32.95%
智能电工照明产品 55.51亿 44.82% 50.97% 42.02%
数码配件产品 3.73亿 3.01% 2.20% 27.00%
其他业务 4804.56万 0.39% 0.66% 63.00%</v>
      </c>
      <c r="D62" t="s">
        <v>670</v>
      </c>
      <c r="E62" t="s">
        <v>671</v>
      </c>
      <c r="F62">
        <v>73.650000000000006</v>
      </c>
      <c r="G62">
        <v>-0.46</v>
      </c>
      <c r="H62" t="s">
        <v>2747</v>
      </c>
      <c r="I62">
        <v>95191020000</v>
      </c>
      <c r="J62">
        <v>23.43</v>
      </c>
      <c r="K62">
        <v>6.17</v>
      </c>
      <c r="L62" t="s">
        <v>1762</v>
      </c>
      <c r="M62" t="s">
        <v>2748</v>
      </c>
      <c r="N62" t="s">
        <v>2749</v>
      </c>
      <c r="O62" t="s">
        <v>2750</v>
      </c>
      <c r="P62">
        <v>14.06</v>
      </c>
      <c r="Q62" t="s">
        <v>1447</v>
      </c>
      <c r="R62">
        <v>929269680</v>
      </c>
      <c r="S62" s="5">
        <v>0.26269999999999999</v>
      </c>
      <c r="T62" t="s">
        <v>2751</v>
      </c>
      <c r="U62">
        <v>1289551060</v>
      </c>
      <c r="V62">
        <v>1292478200</v>
      </c>
      <c r="W62">
        <v>1.38</v>
      </c>
      <c r="X62">
        <v>0.19</v>
      </c>
      <c r="Y62">
        <v>24.46</v>
      </c>
      <c r="Z62" t="s">
        <v>2752</v>
      </c>
      <c r="AA62" t="s">
        <v>2753</v>
      </c>
      <c r="AB62" t="s">
        <v>1402</v>
      </c>
      <c r="AC62" t="s">
        <v>980</v>
      </c>
      <c r="AD62" t="s">
        <v>41</v>
      </c>
      <c r="AE62">
        <v>-26566459</v>
      </c>
      <c r="AF62" t="s">
        <v>2754</v>
      </c>
      <c r="AG62" t="s">
        <v>2755</v>
      </c>
      <c r="AH62" t="s">
        <v>2756</v>
      </c>
      <c r="AI62" t="s">
        <v>2757</v>
      </c>
      <c r="AJ62" t="s">
        <v>2758</v>
      </c>
      <c r="AK62" t="s">
        <v>41</v>
      </c>
      <c r="AL62" t="s">
        <v>2759</v>
      </c>
      <c r="AM62" t="s">
        <v>41</v>
      </c>
      <c r="AN62" t="s">
        <v>2760</v>
      </c>
      <c r="AO62" t="s">
        <v>1578</v>
      </c>
      <c r="AP62" t="s">
        <v>41</v>
      </c>
      <c r="AQ62" t="s">
        <v>2761</v>
      </c>
      <c r="AR62" t="s">
        <v>41</v>
      </c>
      <c r="AS62" t="s">
        <v>2762</v>
      </c>
      <c r="AT62" t="s">
        <v>41</v>
      </c>
      <c r="AU62" t="s">
        <v>2763</v>
      </c>
      <c r="AV62" t="s">
        <v>2764</v>
      </c>
      <c r="AW62" t="s">
        <v>2765</v>
      </c>
      <c r="AX62" t="s">
        <v>1206</v>
      </c>
      <c r="AY62" t="s">
        <v>795</v>
      </c>
      <c r="AZ62" t="s">
        <v>672</v>
      </c>
      <c r="BA62" t="s">
        <v>674</v>
      </c>
      <c r="BB62" t="s">
        <v>675</v>
      </c>
      <c r="BC62" t="s">
        <v>1207</v>
      </c>
      <c r="BD62" t="s">
        <v>796</v>
      </c>
      <c r="BE62" t="s">
        <v>673</v>
      </c>
      <c r="BF62" t="s">
        <v>676</v>
      </c>
      <c r="BG62" t="s">
        <v>669</v>
      </c>
      <c r="BH62" t="s">
        <v>2766</v>
      </c>
      <c r="BI62" t="s">
        <v>730</v>
      </c>
      <c r="BJ62" t="s">
        <v>1206</v>
      </c>
      <c r="BK62" t="s">
        <v>2767</v>
      </c>
      <c r="BL62" t="s">
        <v>2768</v>
      </c>
      <c r="BM62" t="s">
        <v>1207</v>
      </c>
      <c r="BN62">
        <v>19.78</v>
      </c>
      <c r="BO62">
        <v>24.58</v>
      </c>
      <c r="BP62">
        <v>24.91</v>
      </c>
      <c r="BQ62">
        <v>21.68</v>
      </c>
      <c r="BR62">
        <v>27.88</v>
      </c>
      <c r="BS62">
        <v>28.28</v>
      </c>
      <c r="BT62" t="s">
        <v>2769</v>
      </c>
      <c r="BU62" t="s">
        <v>1777</v>
      </c>
      <c r="BV62">
        <v>43.2</v>
      </c>
      <c r="BW62">
        <v>38</v>
      </c>
      <c r="BX62">
        <v>36.950000000000003</v>
      </c>
      <c r="BY62">
        <v>24.62</v>
      </c>
      <c r="BZ62">
        <v>22.62</v>
      </c>
      <c r="CA62">
        <v>22.45</v>
      </c>
      <c r="CB62">
        <v>-4.5</v>
      </c>
      <c r="CC62">
        <v>-12.19</v>
      </c>
      <c r="CD62" t="s">
        <v>2770</v>
      </c>
      <c r="CE62" t="s">
        <v>2771</v>
      </c>
      <c r="CF62" s="8">
        <v>14.396761133603237</v>
      </c>
      <c r="CG62" s="9">
        <v>75.194003000959341</v>
      </c>
      <c r="CH62" s="8">
        <v>-0.92706483602523804</v>
      </c>
      <c r="CI62" s="8">
        <v>0.13693983852863312</v>
      </c>
      <c r="CJ62" s="8">
        <v>0.23221570253372192</v>
      </c>
      <c r="CK62" s="8">
        <v>1.0955983307212591E-3</v>
      </c>
      <c r="CL62" s="8">
        <v>0.10755660384893417</v>
      </c>
      <c r="CM62" s="9">
        <v>-0.99464511871337891</v>
      </c>
      <c r="CN62" s="9">
        <v>0.14712227880954742</v>
      </c>
      <c r="CO62" s="9">
        <v>0.20190232992172241</v>
      </c>
      <c r="CP62" s="9">
        <v>3.9062222931534052E-3</v>
      </c>
      <c r="CQ62" s="9">
        <v>0.373881995677948</v>
      </c>
      <c r="CR62">
        <v>46.509979860304945</v>
      </c>
      <c r="CS62">
        <v>5.1763211541266214</v>
      </c>
      <c r="CT62">
        <v>4.2090970807875081</v>
      </c>
      <c r="CU62" s="8">
        <v>-8.985141855664551E-2</v>
      </c>
      <c r="CV62" s="9">
        <v>-5.3566458402201533E-2</v>
      </c>
      <c r="CW62">
        <v>0.06</v>
      </c>
      <c r="CX62">
        <v>4980.9986707033559</v>
      </c>
      <c r="CY62" t="s">
        <v>2772</v>
      </c>
      <c r="CZ62">
        <v>-8.985141855664551E-2</v>
      </c>
      <c r="DA62">
        <v>1660.332890234452</v>
      </c>
      <c r="DB62" t="s">
        <v>2773</v>
      </c>
      <c r="DC62">
        <v>-8.5358847628813225E-2</v>
      </c>
      <c r="DD62">
        <v>830.16644511722598</v>
      </c>
      <c r="DE62" t="s">
        <v>2774</v>
      </c>
      <c r="DF62">
        <v>-7.9069248329848046E-2</v>
      </c>
      <c r="DG62">
        <v>498.09986707033562</v>
      </c>
      <c r="DH62" t="s">
        <v>2775</v>
      </c>
      <c r="DI62">
        <v>-7.1881134845316413E-2</v>
      </c>
      <c r="DJ62">
        <v>249.04993353516781</v>
      </c>
      <c r="DK62" t="s">
        <v>2776</v>
      </c>
      <c r="DL62">
        <v>-6.2895992989651858E-2</v>
      </c>
      <c r="DM62">
        <v>17076700</v>
      </c>
      <c r="DN62">
        <v>-8.985141855664551E-2</v>
      </c>
      <c r="DO62">
        <v>85059020000</v>
      </c>
      <c r="DP62">
        <v>12035368000</v>
      </c>
      <c r="DQ62">
        <v>4000</v>
      </c>
      <c r="DR62">
        <v>14.486612552159881</v>
      </c>
      <c r="DS62">
        <v>75.247569459361543</v>
      </c>
      <c r="DT62" s="10">
        <v>-0.64</v>
      </c>
      <c r="DU62">
        <v>-0.10000000000000002</v>
      </c>
      <c r="DV62">
        <v>-0.74</v>
      </c>
      <c r="DW62">
        <v>-8.3691550451189496</v>
      </c>
      <c r="DX62">
        <v>0.31650096193598276</v>
      </c>
      <c r="DY62">
        <v>-8.0577731196646365</v>
      </c>
      <c r="DZ62">
        <v>52</v>
      </c>
      <c r="EA62">
        <v>-8.0571852131631569</v>
      </c>
      <c r="EB62">
        <v>8</v>
      </c>
      <c r="EC62">
        <v>7.4393517817167056E-3</v>
      </c>
      <c r="ED62">
        <v>4.7535501952760212E-2</v>
      </c>
      <c r="EE62" s="11">
        <v>1.0707</v>
      </c>
      <c r="EF62">
        <v>1.0449999999999999</v>
      </c>
      <c r="EG62">
        <v>16.156500961935983</v>
      </c>
      <c r="EH62" t="s">
        <v>1094</v>
      </c>
      <c r="EI62">
        <v>0</v>
      </c>
      <c r="EJ62">
        <v>1</v>
      </c>
      <c r="EK62" s="13">
        <v>45470</v>
      </c>
      <c r="EL62" s="14">
        <v>-2.44</v>
      </c>
      <c r="EM62" s="14">
        <v>-3.33</v>
      </c>
      <c r="EN62" s="14">
        <v>3.62</v>
      </c>
      <c r="EO62" s="14">
        <v>5.88</v>
      </c>
      <c r="EP62" s="14">
        <v>-2.57</v>
      </c>
    </row>
    <row r="63" spans="1:146" ht="96" x14ac:dyDescent="0.25">
      <c r="A63" s="7"/>
      <c r="B63" s="7"/>
      <c r="C63" s="7" t="str">
        <f>""&amp;CHAR(10)&amp;Basic_Fundamental_Information_Constructure(F63)&amp;CHAR(10)&amp;Basic_Fundamental_Information_Concatenate("")</f>
        <v xml:space="preserve">
市值33.060421亿, 利润2.52亿; PE9.18; 平均PE18.89; 平均PEG1.83, PB2.16; ROIC12.565%; ROE5.37%; 股利率9.5391%; 毛利26.3233%; 净利3%; 上一年度营收增-61.45%, 利润增184.28%; 当季营收增84.66%, 利润增-62.62%; 过往5年营收增10.32%, 利润增12.41%
Income profile:
</v>
      </c>
      <c r="D63" t="s">
        <v>221</v>
      </c>
      <c r="E63" t="s">
        <v>36</v>
      </c>
      <c r="F63">
        <v>18.66</v>
      </c>
      <c r="G63">
        <v>0.05</v>
      </c>
      <c r="H63" t="s">
        <v>2777</v>
      </c>
      <c r="I63">
        <v>3306042100</v>
      </c>
      <c r="J63">
        <v>9.18</v>
      </c>
      <c r="K63">
        <v>2.16</v>
      </c>
      <c r="L63" t="s">
        <v>1762</v>
      </c>
      <c r="M63" t="s">
        <v>2778</v>
      </c>
      <c r="N63" t="s">
        <v>2779</v>
      </c>
      <c r="O63" t="s">
        <v>1326</v>
      </c>
      <c r="P63">
        <v>-8.17</v>
      </c>
      <c r="Q63" t="s">
        <v>1681</v>
      </c>
      <c r="R63">
        <v>28788734</v>
      </c>
      <c r="S63" s="5">
        <v>-0.50790000000000002</v>
      </c>
      <c r="T63" t="s">
        <v>135</v>
      </c>
      <c r="U63">
        <v>177172670</v>
      </c>
      <c r="V63">
        <v>177172670</v>
      </c>
      <c r="W63">
        <v>2.59</v>
      </c>
      <c r="X63">
        <v>0.14000000000000001</v>
      </c>
      <c r="Y63">
        <v>4.5</v>
      </c>
      <c r="Z63" t="s">
        <v>1449</v>
      </c>
      <c r="AA63" t="s">
        <v>648</v>
      </c>
      <c r="AB63" t="s">
        <v>2780</v>
      </c>
      <c r="AC63" t="s">
        <v>2781</v>
      </c>
      <c r="AD63" t="s">
        <v>41</v>
      </c>
      <c r="AE63">
        <v>2655325</v>
      </c>
      <c r="AF63" t="s">
        <v>2782</v>
      </c>
      <c r="AG63" t="s">
        <v>2783</v>
      </c>
      <c r="AH63" t="s">
        <v>2784</v>
      </c>
      <c r="AI63" t="s">
        <v>1452</v>
      </c>
      <c r="AJ63" t="s">
        <v>2785</v>
      </c>
      <c r="AK63" t="s">
        <v>2786</v>
      </c>
      <c r="AL63" t="s">
        <v>2787</v>
      </c>
      <c r="AM63" t="s">
        <v>41</v>
      </c>
      <c r="AN63" t="s">
        <v>2788</v>
      </c>
      <c r="AO63" t="s">
        <v>2789</v>
      </c>
      <c r="AP63" t="s">
        <v>1340</v>
      </c>
      <c r="AQ63" t="s">
        <v>1126</v>
      </c>
      <c r="AR63" t="s">
        <v>2790</v>
      </c>
      <c r="AS63" t="s">
        <v>1708</v>
      </c>
      <c r="AT63" t="s">
        <v>2791</v>
      </c>
      <c r="AU63" t="s">
        <v>2792</v>
      </c>
      <c r="AV63" t="s">
        <v>2793</v>
      </c>
      <c r="AW63" t="s">
        <v>2794</v>
      </c>
      <c r="AX63" t="s">
        <v>1208</v>
      </c>
      <c r="AY63" t="s">
        <v>797</v>
      </c>
      <c r="AZ63" t="s">
        <v>481</v>
      </c>
      <c r="BA63" t="s">
        <v>222</v>
      </c>
      <c r="BB63" t="s">
        <v>483</v>
      </c>
      <c r="BC63" t="s">
        <v>1209</v>
      </c>
      <c r="BD63" t="s">
        <v>106</v>
      </c>
      <c r="BE63" t="s">
        <v>101</v>
      </c>
      <c r="BF63" t="s">
        <v>223</v>
      </c>
      <c r="BG63" t="s">
        <v>279</v>
      </c>
      <c r="BH63" t="s">
        <v>2795</v>
      </c>
      <c r="BI63" t="s">
        <v>2317</v>
      </c>
      <c r="BJ63" t="s">
        <v>1208</v>
      </c>
      <c r="BK63" t="s">
        <v>2796</v>
      </c>
      <c r="BL63" t="s">
        <v>2797</v>
      </c>
      <c r="BM63" t="s">
        <v>1209</v>
      </c>
      <c r="BN63">
        <v>13.77</v>
      </c>
      <c r="BO63" t="s">
        <v>41</v>
      </c>
      <c r="BP63">
        <v>11.36</v>
      </c>
      <c r="BQ63">
        <v>19.809999999999999</v>
      </c>
      <c r="BR63">
        <v>-18.170000000000002</v>
      </c>
      <c r="BS63">
        <v>14.47</v>
      </c>
      <c r="BT63" t="s">
        <v>2798</v>
      </c>
      <c r="BU63" t="s">
        <v>2063</v>
      </c>
      <c r="BV63">
        <v>26.02</v>
      </c>
      <c r="BW63">
        <v>23.85</v>
      </c>
      <c r="BX63">
        <v>29.1</v>
      </c>
      <c r="BY63">
        <v>10.35</v>
      </c>
      <c r="BZ63">
        <v>-9.5399999999999991</v>
      </c>
      <c r="CA63">
        <v>8.19</v>
      </c>
      <c r="CB63">
        <v>-2.5099999999999998</v>
      </c>
      <c r="CC63">
        <v>-22.8</v>
      </c>
      <c r="CD63" t="s">
        <v>2799</v>
      </c>
      <c r="CE63" t="s">
        <v>2800</v>
      </c>
      <c r="CF63" s="8">
        <v>0.84660766961651912</v>
      </c>
      <c r="CG63" s="9">
        <v>-0.62617131430129658</v>
      </c>
      <c r="CH63" s="8">
        <v>-0.61452168226242065</v>
      </c>
      <c r="CI63" s="8">
        <v>1.6471333801746368E-2</v>
      </c>
      <c r="CJ63" s="8">
        <v>4.8140749335289001E-2</v>
      </c>
      <c r="CK63" s="8">
        <v>0.48593977093696594</v>
      </c>
      <c r="CL63" s="8">
        <v>0.57989084720611572</v>
      </c>
      <c r="CM63" s="9">
        <v>1.8428093194961548</v>
      </c>
      <c r="CN63" s="9">
        <v>-2.163424015045166</v>
      </c>
      <c r="CO63" s="9">
        <v>-0.39671361446380615</v>
      </c>
      <c r="CP63" s="9">
        <v>0.63218390941619873</v>
      </c>
      <c r="CQ63" s="9">
        <v>0.70588237047195435</v>
      </c>
      <c r="CR63">
        <v>18.891669142857143</v>
      </c>
      <c r="CS63">
        <v>1.8308683351209953</v>
      </c>
      <c r="CT63">
        <v>9.539121114683816</v>
      </c>
      <c r="CU63" s="8">
        <v>0.10318420380353928</v>
      </c>
      <c r="CV63" s="9">
        <v>0.12414759397506714</v>
      </c>
      <c r="CW63">
        <v>0.06</v>
      </c>
      <c r="CX63">
        <v>18.000939119694529</v>
      </c>
      <c r="CY63">
        <v>262266433.35706782</v>
      </c>
      <c r="CZ63">
        <v>0.10318420380353928</v>
      </c>
      <c r="DA63">
        <v>5.8173280507201675</v>
      </c>
      <c r="DB63">
        <v>811548198.56094408</v>
      </c>
      <c r="DC63">
        <v>9.802499361336231E-2</v>
      </c>
      <c r="DD63">
        <v>2.8211501612522638</v>
      </c>
      <c r="DE63">
        <v>1673445874.9634242</v>
      </c>
      <c r="DF63">
        <v>9.080209934711457E-2</v>
      </c>
      <c r="DG63">
        <v>1.6655905496922916</v>
      </c>
      <c r="DH63">
        <v>2834455383.3306665</v>
      </c>
      <c r="DI63">
        <v>8.2547363042831431E-2</v>
      </c>
      <c r="DJ63">
        <v>0.82861027149880795</v>
      </c>
      <c r="DK63">
        <v>5697542333.6962481</v>
      </c>
      <c r="DL63">
        <v>7.2228942662477494E-2</v>
      </c>
      <c r="DM63">
        <v>252000000</v>
      </c>
      <c r="DN63">
        <v>0.10318420380353928</v>
      </c>
      <c r="DO63">
        <v>4721042100</v>
      </c>
      <c r="DP63">
        <v>753109900.00000024</v>
      </c>
      <c r="DQ63">
        <v>4009</v>
      </c>
      <c r="DR63">
        <v>0.7434234658129798</v>
      </c>
      <c r="DS63">
        <v>-0.75031890827636372</v>
      </c>
      <c r="DT63" s="10">
        <v>-0.55666666666666675</v>
      </c>
      <c r="DU63">
        <v>-0.55666666666666675</v>
      </c>
      <c r="DV63">
        <v>-1.1133333333333335</v>
      </c>
      <c r="DW63">
        <v>-8.1100877192982459</v>
      </c>
      <c r="DX63">
        <v>0.28049914439101731</v>
      </c>
      <c r="DY63">
        <v>-8.0121645987904149</v>
      </c>
      <c r="DZ63">
        <v>1361</v>
      </c>
      <c r="EA63">
        <v>-8.0089246733591519</v>
      </c>
      <c r="EB63">
        <v>8</v>
      </c>
      <c r="EC63">
        <v>3.4514917001589464E-2</v>
      </c>
      <c r="ED63">
        <v>0.31235460864251807</v>
      </c>
      <c r="EE63" s="11">
        <v>-1.0616000000000001</v>
      </c>
      <c r="EF63">
        <v>-1.0538000000000001</v>
      </c>
      <c r="EG63">
        <v>17.110499144391017</v>
      </c>
      <c r="EH63" t="s">
        <v>1093</v>
      </c>
      <c r="EI63">
        <v>0</v>
      </c>
      <c r="EJ63">
        <v>1</v>
      </c>
      <c r="EK63" s="13">
        <v>45470</v>
      </c>
      <c r="EL63" s="14">
        <v>-1.97</v>
      </c>
      <c r="EM63" s="14">
        <v>-5.42</v>
      </c>
      <c r="EN63" s="14">
        <v>-0.98</v>
      </c>
      <c r="EO63" s="14">
        <v>6.2</v>
      </c>
      <c r="EP63" s="14">
        <v>-0.78</v>
      </c>
    </row>
    <row r="64" spans="1:146" ht="96" x14ac:dyDescent="0.25">
      <c r="A64" s="7"/>
      <c r="B64" s="7"/>
      <c r="C64" s="7" t="str">
        <f>""&amp;CHAR(10)&amp;Basic_Fundamental_Information_Constructure(F64)&amp;CHAR(10)&amp;Basic_Fundamental_Information_Concatenate("")</f>
        <v xml:space="preserve">
市值20.153445亿, 利润2.50亿; PE20.68; 平均PE10.93; 平均PEG.86, PB1.13; ROIC9.9667%; ROE14.51%; 股利率3.3149%; 毛利30.6433%; 净利11.7233%; 上一年度营收增57.02%, 利润增13.64%; 当季营收增-61.52%, 利润增-89.68%; 过往5年营收增12.71%, 利润增26.26%
Income profile:
</v>
      </c>
      <c r="D64" t="s">
        <v>799</v>
      </c>
      <c r="E64" t="s">
        <v>800</v>
      </c>
      <c r="F64">
        <v>9.0500000000000007</v>
      </c>
      <c r="G64">
        <v>0.67</v>
      </c>
      <c r="H64" t="s">
        <v>2801</v>
      </c>
      <c r="I64">
        <v>2015344500</v>
      </c>
      <c r="J64">
        <v>20.68</v>
      </c>
      <c r="K64">
        <v>1.1299999999999999</v>
      </c>
      <c r="L64" t="s">
        <v>1762</v>
      </c>
      <c r="M64" t="s">
        <v>2802</v>
      </c>
      <c r="N64" t="s">
        <v>2803</v>
      </c>
      <c r="O64" t="s">
        <v>404</v>
      </c>
      <c r="P64">
        <v>33.74</v>
      </c>
      <c r="Q64" t="s">
        <v>2804</v>
      </c>
      <c r="R64">
        <v>6602557</v>
      </c>
      <c r="S64" s="5">
        <v>0.35580000000000001</v>
      </c>
      <c r="T64" t="s">
        <v>721</v>
      </c>
      <c r="U64">
        <v>56690000</v>
      </c>
      <c r="V64">
        <v>222690000</v>
      </c>
      <c r="W64">
        <v>1.25</v>
      </c>
      <c r="X64">
        <v>0.09</v>
      </c>
      <c r="Y64">
        <v>3.04</v>
      </c>
      <c r="Z64" t="s">
        <v>854</v>
      </c>
      <c r="AA64" t="s">
        <v>393</v>
      </c>
      <c r="AB64" t="s">
        <v>2805</v>
      </c>
      <c r="AC64" t="s">
        <v>2806</v>
      </c>
      <c r="AD64" t="s">
        <v>41</v>
      </c>
      <c r="AE64">
        <v>-5195146</v>
      </c>
      <c r="AF64" t="s">
        <v>2807</v>
      </c>
      <c r="AG64" t="s">
        <v>2808</v>
      </c>
      <c r="AH64" t="s">
        <v>2809</v>
      </c>
      <c r="AI64" t="s">
        <v>1239</v>
      </c>
      <c r="AJ64" t="s">
        <v>2810</v>
      </c>
      <c r="AK64" t="s">
        <v>2811</v>
      </c>
      <c r="AL64" t="s">
        <v>2812</v>
      </c>
      <c r="AM64" t="s">
        <v>41</v>
      </c>
      <c r="AN64" t="s">
        <v>2813</v>
      </c>
      <c r="AO64" t="s">
        <v>41</v>
      </c>
      <c r="AP64" t="s">
        <v>2814</v>
      </c>
      <c r="AQ64" t="s">
        <v>64</v>
      </c>
      <c r="AR64" t="s">
        <v>41</v>
      </c>
      <c r="AS64" t="s">
        <v>972</v>
      </c>
      <c r="AT64" t="s">
        <v>41</v>
      </c>
      <c r="AU64" t="s">
        <v>1620</v>
      </c>
      <c r="AV64" t="s">
        <v>416</v>
      </c>
      <c r="AW64" t="s">
        <v>41</v>
      </c>
      <c r="AX64" t="s">
        <v>1029</v>
      </c>
      <c r="AY64" t="s">
        <v>627</v>
      </c>
      <c r="AZ64" t="s">
        <v>685</v>
      </c>
      <c r="BA64" t="s">
        <v>801</v>
      </c>
      <c r="BB64" t="s">
        <v>556</v>
      </c>
      <c r="BC64" t="s">
        <v>206</v>
      </c>
      <c r="BD64" t="s">
        <v>82</v>
      </c>
      <c r="BE64" t="s">
        <v>378</v>
      </c>
      <c r="BF64" t="s">
        <v>114</v>
      </c>
      <c r="BG64" t="s">
        <v>802</v>
      </c>
      <c r="BH64" t="s">
        <v>1499</v>
      </c>
      <c r="BI64" t="s">
        <v>961</v>
      </c>
      <c r="BJ64" t="s">
        <v>1029</v>
      </c>
      <c r="BK64" t="s">
        <v>2815</v>
      </c>
      <c r="BL64" t="s">
        <v>2816</v>
      </c>
      <c r="BM64" t="s">
        <v>206</v>
      </c>
      <c r="BN64">
        <v>1.41</v>
      </c>
      <c r="BO64">
        <v>12.59</v>
      </c>
      <c r="BP64">
        <v>15.9</v>
      </c>
      <c r="BQ64">
        <v>2.4900000000000002</v>
      </c>
      <c r="BR64">
        <v>13.18</v>
      </c>
      <c r="BS64">
        <v>27.86</v>
      </c>
      <c r="BT64" t="s">
        <v>1082</v>
      </c>
      <c r="BU64" t="s">
        <v>2063</v>
      </c>
      <c r="BV64">
        <v>28.11</v>
      </c>
      <c r="BW64">
        <v>31.93</v>
      </c>
      <c r="BX64">
        <v>31.89</v>
      </c>
      <c r="BY64">
        <v>7.27</v>
      </c>
      <c r="BZ64">
        <v>15.87</v>
      </c>
      <c r="CA64">
        <v>12.03</v>
      </c>
      <c r="CB64">
        <v>-1.42</v>
      </c>
      <c r="CC64">
        <v>-12.39</v>
      </c>
      <c r="CD64" t="s">
        <v>2817</v>
      </c>
      <c r="CE64" t="s">
        <v>2818</v>
      </c>
      <c r="CF64" s="8">
        <v>-0.61524822695035464</v>
      </c>
      <c r="CG64" s="9">
        <v>-0.89680828152302006</v>
      </c>
      <c r="CH64" s="8">
        <v>0.57019442319869995</v>
      </c>
      <c r="CI64" s="8">
        <v>-8.618425577878952E-2</v>
      </c>
      <c r="CJ64" s="8">
        <v>0.23879374563694</v>
      </c>
      <c r="CK64" s="8">
        <v>-8.9762561023235321E-2</v>
      </c>
      <c r="CL64" s="8">
        <v>2.230531070381403E-3</v>
      </c>
      <c r="CM64" s="9">
        <v>0.13636364042758942</v>
      </c>
      <c r="CN64" s="9">
        <v>0.20218579471111298</v>
      </c>
      <c r="CO64" s="9">
        <v>7.0175439119338989E-2</v>
      </c>
      <c r="CP64" s="9">
        <v>-9.0425528585910797E-2</v>
      </c>
      <c r="CQ64" s="9">
        <v>0.99458694458007813</v>
      </c>
      <c r="CR64">
        <v>10.930631641833786</v>
      </c>
      <c r="CS64">
        <v>0.86031130391177713</v>
      </c>
      <c r="CT64">
        <v>3.3149171270718227</v>
      </c>
      <c r="CU64" s="8">
        <v>0.1270543766207993</v>
      </c>
      <c r="CV64" s="9">
        <v>0.26257725805044174</v>
      </c>
      <c r="CW64">
        <v>0.06</v>
      </c>
      <c r="CX64">
        <v>3.2780145808732573</v>
      </c>
      <c r="CY64">
        <v>265814711.46716961</v>
      </c>
      <c r="CZ64">
        <v>0.1270543766207993</v>
      </c>
      <c r="DA64">
        <v>1.0382729557269117</v>
      </c>
      <c r="DB64">
        <v>839224883.20035005</v>
      </c>
      <c r="DC64">
        <v>0.12070165778975933</v>
      </c>
      <c r="DD64">
        <v>0.48991860664058062</v>
      </c>
      <c r="DE64">
        <v>1778549514.5303695</v>
      </c>
      <c r="DF64">
        <v>0.11180785142630338</v>
      </c>
      <c r="DG64">
        <v>0.28025244715896519</v>
      </c>
      <c r="DH64">
        <v>3109141450.2644982</v>
      </c>
      <c r="DI64">
        <v>0.10164350129663945</v>
      </c>
      <c r="DJ64">
        <v>0.12976958900550481</v>
      </c>
      <c r="DK64">
        <v>6714550817.934989</v>
      </c>
      <c r="DL64">
        <v>8.89380636345595E-2</v>
      </c>
      <c r="DM64">
        <v>250000000</v>
      </c>
      <c r="DN64">
        <v>0.1270543766207993</v>
      </c>
      <c r="DO64">
        <v>871344499.99999976</v>
      </c>
      <c r="DP64">
        <v>1128317200</v>
      </c>
      <c r="DQ64">
        <v>4016</v>
      </c>
      <c r="DR64">
        <v>-0.74230260357115396</v>
      </c>
      <c r="DS64">
        <v>-1.1593855395734618</v>
      </c>
      <c r="DT64" s="10">
        <v>-0.14000000000000001</v>
      </c>
      <c r="DU64">
        <v>-9.0000000000000011E-2</v>
      </c>
      <c r="DV64">
        <v>-0.23000000000000004</v>
      </c>
      <c r="DW64">
        <v>-2.1238999999999999</v>
      </c>
      <c r="DX64">
        <v>0.34176354883230697</v>
      </c>
      <c r="DY64">
        <v>-2.0163255037003229</v>
      </c>
      <c r="DZ64">
        <v>1828</v>
      </c>
      <c r="EA64">
        <v>-2.0104853822200508</v>
      </c>
      <c r="EB64">
        <v>2</v>
      </c>
      <c r="EC64">
        <v>2.1778705824239974E-2</v>
      </c>
      <c r="ED64">
        <v>0.16528627239660515</v>
      </c>
      <c r="EE64" s="11">
        <v>-1.0018100000000001</v>
      </c>
      <c r="EF64">
        <v>-1.00651</v>
      </c>
      <c r="EG64">
        <v>21.131763548832307</v>
      </c>
      <c r="EH64" t="s">
        <v>1095</v>
      </c>
      <c r="EI64">
        <v>0</v>
      </c>
      <c r="EJ64">
        <v>0</v>
      </c>
      <c r="EK64" s="13">
        <v>45470</v>
      </c>
      <c r="EL64" s="14">
        <v>0.53</v>
      </c>
      <c r="EM64" s="14">
        <v>-2.87</v>
      </c>
      <c r="EN64" s="14">
        <v>-0.54</v>
      </c>
      <c r="EO64" s="14">
        <v>0.62</v>
      </c>
      <c r="EP64" s="14">
        <v>-0.47</v>
      </c>
    </row>
    <row r="65" spans="1:146" ht="96" x14ac:dyDescent="0.25">
      <c r="A65" s="7"/>
      <c r="B65" s="7"/>
      <c r="C65" s="7" t="str">
        <f>""&amp;CHAR(10)&amp;Basic_Fundamental_Information_Constructure(F65)&amp;CHAR(10)&amp;Basic_Fundamental_Information_Concatenate("")</f>
        <v xml:space="preserve">
市值21.15617亿, 利润-6548.04万; PE16.47; 平均PE42.16; 平均PEG5.8, PB1.4; ROIC.78%; ROE.0433%; 股利率1.1561%; 毛利9.91%; 净利.0667%; 上一年度营收增12.02%, 利润增-83.73%; 当季营收增48.43%, 利润增5.69%; 过往5年营收增-7.27%, 利润增-189.09%
Income profile:
</v>
      </c>
      <c r="D65" t="s">
        <v>225</v>
      </c>
      <c r="E65" t="s">
        <v>226</v>
      </c>
      <c r="F65">
        <v>8.65</v>
      </c>
      <c r="G65">
        <v>2</v>
      </c>
      <c r="H65" t="s">
        <v>2819</v>
      </c>
      <c r="I65">
        <v>2115617000</v>
      </c>
      <c r="J65">
        <v>16.47</v>
      </c>
      <c r="K65">
        <v>1.4</v>
      </c>
      <c r="L65" t="s">
        <v>1762</v>
      </c>
      <c r="M65" t="s">
        <v>2820</v>
      </c>
      <c r="N65" t="s">
        <v>2821</v>
      </c>
      <c r="O65" t="s">
        <v>1911</v>
      </c>
      <c r="P65">
        <v>106.06</v>
      </c>
      <c r="Q65" t="s">
        <v>1497</v>
      </c>
      <c r="R65">
        <v>35648226</v>
      </c>
      <c r="S65" s="5">
        <v>3.395</v>
      </c>
      <c r="T65" t="s">
        <v>2822</v>
      </c>
      <c r="U65">
        <v>240000000</v>
      </c>
      <c r="V65">
        <v>244580000</v>
      </c>
      <c r="W65">
        <v>1.42</v>
      </c>
      <c r="X65">
        <v>0.15</v>
      </c>
      <c r="Y65">
        <v>9.57</v>
      </c>
      <c r="Z65" t="s">
        <v>446</v>
      </c>
      <c r="AA65" t="s">
        <v>398</v>
      </c>
      <c r="AB65" t="s">
        <v>2823</v>
      </c>
      <c r="AC65" t="s">
        <v>2824</v>
      </c>
      <c r="AD65" t="s">
        <v>41</v>
      </c>
      <c r="AE65">
        <v>-1906470</v>
      </c>
      <c r="AF65" t="s">
        <v>2825</v>
      </c>
      <c r="AG65" t="s">
        <v>41</v>
      </c>
      <c r="AH65" t="s">
        <v>2826</v>
      </c>
      <c r="AI65" t="s">
        <v>1316</v>
      </c>
      <c r="AJ65" t="s">
        <v>2827</v>
      </c>
      <c r="AK65" t="s">
        <v>41</v>
      </c>
      <c r="AL65" t="s">
        <v>2828</v>
      </c>
      <c r="AM65" t="s">
        <v>41</v>
      </c>
      <c r="AN65" t="s">
        <v>2829</v>
      </c>
      <c r="AO65" t="s">
        <v>437</v>
      </c>
      <c r="AP65" t="s">
        <v>2830</v>
      </c>
      <c r="AQ65" t="s">
        <v>175</v>
      </c>
      <c r="AR65" t="s">
        <v>41</v>
      </c>
      <c r="AS65" t="s">
        <v>194</v>
      </c>
      <c r="AT65" t="s">
        <v>1152</v>
      </c>
      <c r="AU65" t="s">
        <v>2831</v>
      </c>
      <c r="AV65" t="s">
        <v>2832</v>
      </c>
      <c r="AW65" t="s">
        <v>2833</v>
      </c>
      <c r="AX65" t="s">
        <v>822</v>
      </c>
      <c r="AY65" t="s">
        <v>484</v>
      </c>
      <c r="AZ65" t="s">
        <v>484</v>
      </c>
      <c r="BA65" t="s">
        <v>227</v>
      </c>
      <c r="BB65" t="s">
        <v>486</v>
      </c>
      <c r="BC65" t="s">
        <v>1212</v>
      </c>
      <c r="BD65" t="s">
        <v>803</v>
      </c>
      <c r="BE65" t="s">
        <v>485</v>
      </c>
      <c r="BF65" t="s">
        <v>228</v>
      </c>
      <c r="BG65" t="s">
        <v>145</v>
      </c>
      <c r="BH65" t="s">
        <v>2834</v>
      </c>
      <c r="BI65" t="s">
        <v>974</v>
      </c>
      <c r="BJ65" t="s">
        <v>822</v>
      </c>
      <c r="BK65" t="s">
        <v>2835</v>
      </c>
      <c r="BL65" t="s">
        <v>2836</v>
      </c>
      <c r="BM65" t="s">
        <v>1212</v>
      </c>
      <c r="BN65">
        <v>0.78</v>
      </c>
      <c r="BO65" t="s">
        <v>41</v>
      </c>
      <c r="BP65" t="s">
        <v>41</v>
      </c>
      <c r="BQ65">
        <v>2.2400000000000002</v>
      </c>
      <c r="BR65">
        <v>-2.52</v>
      </c>
      <c r="BS65">
        <v>0.41</v>
      </c>
      <c r="BT65" t="s">
        <v>1091</v>
      </c>
      <c r="BU65" t="s">
        <v>949</v>
      </c>
      <c r="BV65">
        <v>18.53</v>
      </c>
      <c r="BW65">
        <v>3.42</v>
      </c>
      <c r="BX65">
        <v>7.78</v>
      </c>
      <c r="BY65">
        <v>5.25</v>
      </c>
      <c r="BZ65">
        <v>-5.6</v>
      </c>
      <c r="CA65">
        <v>0.55000000000000004</v>
      </c>
      <c r="CB65">
        <v>-2.48</v>
      </c>
      <c r="CC65">
        <v>-16.02</v>
      </c>
      <c r="CD65" t="s">
        <v>2837</v>
      </c>
      <c r="CE65" t="s">
        <v>142</v>
      </c>
      <c r="CF65" s="8">
        <v>0.48430493273542602</v>
      </c>
      <c r="CG65" s="9">
        <v>5.6913895032702215E-2</v>
      </c>
      <c r="CH65" s="8">
        <v>0.12015018612146378</v>
      </c>
      <c r="CI65" s="8">
        <v>-0.25881260633468628</v>
      </c>
      <c r="CJ65" s="8">
        <v>0</v>
      </c>
      <c r="CK65" s="8">
        <v>-5.9336822479963303E-2</v>
      </c>
      <c r="CL65" s="8">
        <v>-0.16533134877681732</v>
      </c>
      <c r="CM65" s="9">
        <v>-0.83733457326889038</v>
      </c>
      <c r="CN65" s="9">
        <v>-7.0612263679504395</v>
      </c>
      <c r="CO65" s="9">
        <v>-0.92585420608520508</v>
      </c>
      <c r="CP65" s="9">
        <v>-0.44154581427574158</v>
      </c>
      <c r="CQ65" s="9">
        <v>-0.18857142329216003</v>
      </c>
      <c r="CR65">
        <v>42.163208730719447</v>
      </c>
      <c r="CS65">
        <v>5.8023202175367157</v>
      </c>
      <c r="CT65">
        <v>1.1560693641618496</v>
      </c>
      <c r="CU65" s="8">
        <v>-7.2666118294000631E-2</v>
      </c>
      <c r="CV65" s="9">
        <v>-1.8909064769744872</v>
      </c>
      <c r="CW65">
        <v>0.06</v>
      </c>
      <c r="CX65" t="e">
        <v>#VALUE!</v>
      </c>
      <c r="CY65" t="s">
        <v>853</v>
      </c>
      <c r="CZ65">
        <v>-7.2666118294000631E-2</v>
      </c>
      <c r="DA65" t="e">
        <v>#VALUE!</v>
      </c>
      <c r="DB65" t="s">
        <v>853</v>
      </c>
      <c r="DC65">
        <v>-6.903281237930059E-2</v>
      </c>
      <c r="DD65" t="e">
        <v>#VALUE!</v>
      </c>
      <c r="DE65" t="s">
        <v>853</v>
      </c>
      <c r="DF65">
        <v>-6.3946184098720563E-2</v>
      </c>
      <c r="DG65" t="e">
        <v>#VALUE!</v>
      </c>
      <c r="DH65" t="s">
        <v>853</v>
      </c>
      <c r="DI65">
        <v>-5.8132894635200508E-2</v>
      </c>
      <c r="DJ65" t="e">
        <v>#VALUE!</v>
      </c>
      <c r="DK65" t="s">
        <v>853</v>
      </c>
      <c r="DL65">
        <v>-5.0866282805800439E-2</v>
      </c>
      <c r="DM65">
        <v>-65480400</v>
      </c>
      <c r="DN65">
        <v>-7.2666118294000631E-2</v>
      </c>
      <c r="DO65">
        <v>1102616999.9999998</v>
      </c>
      <c r="DP65">
        <v>415247260</v>
      </c>
      <c r="DQ65">
        <v>4021</v>
      </c>
      <c r="DR65">
        <v>0.55697105102942668</v>
      </c>
      <c r="DS65">
        <v>1.9478203720071894</v>
      </c>
      <c r="DT65" s="10">
        <v>-0.69</v>
      </c>
      <c r="DU65">
        <v>-1.3499999999999999</v>
      </c>
      <c r="DV65">
        <v>-2.04</v>
      </c>
      <c r="DW65">
        <v>-3.0002261904761904</v>
      </c>
      <c r="DX65">
        <v>0.3038508771929827</v>
      </c>
      <c r="DY65">
        <v>-3.0000234900793652</v>
      </c>
      <c r="DZ65">
        <v>1478</v>
      </c>
      <c r="EA65">
        <v>-3.0000166958841987</v>
      </c>
      <c r="EB65">
        <v>3</v>
      </c>
      <c r="EC65">
        <v>4.8405429716248262E-2</v>
      </c>
      <c r="ED65">
        <v>0.46610515986589252</v>
      </c>
      <c r="EE65" s="11">
        <v>2.0144000000000002</v>
      </c>
      <c r="EF65">
        <v>2.0115099999999999</v>
      </c>
      <c r="EG65">
        <v>20.103850877192983</v>
      </c>
      <c r="EH65" t="s">
        <v>1128</v>
      </c>
      <c r="EI65">
        <v>0</v>
      </c>
      <c r="EJ65">
        <v>1</v>
      </c>
      <c r="EK65" s="13">
        <v>45470</v>
      </c>
      <c r="EL65" s="14">
        <v>1.46</v>
      </c>
      <c r="EM65" s="14">
        <v>-5.54</v>
      </c>
      <c r="EN65" s="14">
        <v>-3.84</v>
      </c>
      <c r="EO65" s="14">
        <v>7.08</v>
      </c>
      <c r="EP65" s="14">
        <v>-2.59</v>
      </c>
    </row>
    <row r="66" spans="1:146" ht="96" x14ac:dyDescent="0.25">
      <c r="A66" s="7"/>
      <c r="B66" s="7"/>
      <c r="C66" s="7" t="str">
        <f>""&amp;CHAR(10)&amp;Basic_Fundamental_Information_Constructure(F66)&amp;CHAR(10)&amp;Basic_Fundamental_Information_Concatenate("")</f>
        <v xml:space="preserve">
市值12.051171亿, 利润8.54亿; PE; 平均PE6.25; 平均PEG.03, PB1.24; ROIC-.04%; ROE.3333%; 股利率0%; 毛利17.7133%; 净利-1.0367%; 上一年度营收增1232.26%, 利润增8684.29%; 当季营收增-97.19%, 利润增-105.24%; 过往5年营收增240.09%, 利润增1706.75%
Income profile:
</v>
      </c>
      <c r="D66" t="s">
        <v>229</v>
      </c>
      <c r="E66" t="s">
        <v>31</v>
      </c>
      <c r="F66">
        <v>3.39</v>
      </c>
      <c r="G66">
        <v>0.59</v>
      </c>
      <c r="H66" t="s">
        <v>2838</v>
      </c>
      <c r="I66">
        <v>1205117100</v>
      </c>
      <c r="K66">
        <v>1.24</v>
      </c>
      <c r="L66" t="s">
        <v>1762</v>
      </c>
      <c r="M66" t="s">
        <v>62</v>
      </c>
      <c r="N66" t="s">
        <v>2437</v>
      </c>
      <c r="O66" t="s">
        <v>2839</v>
      </c>
      <c r="P66">
        <v>-33.4</v>
      </c>
      <c r="Q66" t="s">
        <v>2840</v>
      </c>
      <c r="R66">
        <v>-11996310</v>
      </c>
      <c r="S66" s="5">
        <v>8.9800000000000005E-2</v>
      </c>
      <c r="T66" t="s">
        <v>2841</v>
      </c>
      <c r="U66">
        <v>355491770</v>
      </c>
      <c r="V66">
        <v>355491770</v>
      </c>
      <c r="W66">
        <v>1.33</v>
      </c>
      <c r="X66">
        <v>0.04</v>
      </c>
      <c r="Y66">
        <v>-26.01</v>
      </c>
      <c r="Z66" t="s">
        <v>2842</v>
      </c>
      <c r="AA66" t="s">
        <v>2843</v>
      </c>
      <c r="AB66" t="s">
        <v>2844</v>
      </c>
      <c r="AC66" t="s">
        <v>2845</v>
      </c>
      <c r="AD66" t="s">
        <v>41</v>
      </c>
      <c r="AE66">
        <v>-1177650</v>
      </c>
      <c r="AF66" t="s">
        <v>134</v>
      </c>
      <c r="AG66">
        <v>1787.62</v>
      </c>
      <c r="AH66" t="s">
        <v>2846</v>
      </c>
      <c r="AI66" t="s">
        <v>2847</v>
      </c>
      <c r="AJ66" t="s">
        <v>2848</v>
      </c>
      <c r="AK66" t="s">
        <v>41</v>
      </c>
      <c r="AL66" t="s">
        <v>2849</v>
      </c>
      <c r="AM66" t="s">
        <v>41</v>
      </c>
      <c r="AN66" t="s">
        <v>979</v>
      </c>
      <c r="AO66" t="s">
        <v>2850</v>
      </c>
      <c r="AP66" t="s">
        <v>2851</v>
      </c>
      <c r="AQ66" t="s">
        <v>2852</v>
      </c>
      <c r="AR66" t="s">
        <v>41</v>
      </c>
      <c r="AS66" t="s">
        <v>603</v>
      </c>
      <c r="AT66" t="s">
        <v>279</v>
      </c>
      <c r="AU66" t="s">
        <v>2853</v>
      </c>
      <c r="AV66" t="s">
        <v>2854</v>
      </c>
      <c r="AW66" t="s">
        <v>2855</v>
      </c>
      <c r="AX66" t="s">
        <v>416</v>
      </c>
      <c r="AY66" t="s">
        <v>804</v>
      </c>
      <c r="AZ66" t="s">
        <v>487</v>
      </c>
      <c r="BA66" t="s">
        <v>218</v>
      </c>
      <c r="BB66" t="s">
        <v>489</v>
      </c>
      <c r="BC66" t="s">
        <v>1213</v>
      </c>
      <c r="BD66" t="s">
        <v>805</v>
      </c>
      <c r="BE66" t="s">
        <v>488</v>
      </c>
      <c r="BF66" t="s">
        <v>176</v>
      </c>
      <c r="BG66" t="s">
        <v>490</v>
      </c>
      <c r="BH66" t="s">
        <v>263</v>
      </c>
      <c r="BI66" t="s">
        <v>720</v>
      </c>
      <c r="BJ66" t="s">
        <v>416</v>
      </c>
      <c r="BK66" t="s">
        <v>2856</v>
      </c>
      <c r="BL66" t="s">
        <v>572</v>
      </c>
      <c r="BM66" t="s">
        <v>1213</v>
      </c>
      <c r="BN66" t="s">
        <v>41</v>
      </c>
      <c r="BO66">
        <v>-0.93</v>
      </c>
      <c r="BP66">
        <v>0.85</v>
      </c>
      <c r="BQ66">
        <v>-2.0099999999999998</v>
      </c>
      <c r="BR66">
        <v>0.97</v>
      </c>
      <c r="BS66">
        <v>2.04</v>
      </c>
      <c r="BT66" t="s">
        <v>1081</v>
      </c>
      <c r="BU66" t="s">
        <v>949</v>
      </c>
      <c r="BV66">
        <v>15.28</v>
      </c>
      <c r="BW66">
        <v>16.239999999999998</v>
      </c>
      <c r="BX66">
        <v>21.62</v>
      </c>
      <c r="BY66">
        <v>-7.18</v>
      </c>
      <c r="BZ66">
        <v>1.58</v>
      </c>
      <c r="CA66">
        <v>2.4900000000000002</v>
      </c>
      <c r="CB66">
        <v>2.73</v>
      </c>
      <c r="CC66">
        <v>-6.87</v>
      </c>
      <c r="CD66" t="s">
        <v>2857</v>
      </c>
      <c r="CE66" t="s">
        <v>857</v>
      </c>
      <c r="CF66" s="8">
        <v>-0.97187527412280705</v>
      </c>
      <c r="CG66" s="9">
        <v>-1.052385633187773</v>
      </c>
      <c r="CH66" s="8">
        <v>12.32258129119873</v>
      </c>
      <c r="CI66" s="8">
        <v>-0.32522407174110413</v>
      </c>
      <c r="CJ66" s="8">
        <v>0.29734218120574951</v>
      </c>
      <c r="CK66" s="8">
        <v>-0.24466750025749207</v>
      </c>
      <c r="CL66" s="8">
        <v>-4.5508980751037598E-2</v>
      </c>
      <c r="CM66" s="9">
        <v>86.842910766601563</v>
      </c>
      <c r="CN66" s="9">
        <v>-0.52182596921920776</v>
      </c>
      <c r="CO66" s="9">
        <v>-0.66602712869644165</v>
      </c>
      <c r="CP66" s="9">
        <v>-0.46126461029052734</v>
      </c>
      <c r="CQ66" s="9">
        <v>0.14352451264858246</v>
      </c>
      <c r="CR66">
        <v>6.2508905140585558</v>
      </c>
      <c r="CS66">
        <v>2.6035564078202792E-2</v>
      </c>
      <c r="CT66">
        <v>0</v>
      </c>
      <c r="CU66" s="8">
        <v>2.4009045839309691</v>
      </c>
      <c r="CV66" s="9">
        <v>17.067463514208793</v>
      </c>
      <c r="CW66">
        <v>0.06</v>
      </c>
      <c r="CX66">
        <v>0.18836568767792286</v>
      </c>
      <c r="CY66">
        <v>2739974070.4500442</v>
      </c>
      <c r="CZ66">
        <v>2.4009045839309691</v>
      </c>
      <c r="DA66">
        <v>1.4278346945926276E-2</v>
      </c>
      <c r="DB66">
        <v>36146838422.864647</v>
      </c>
      <c r="DC66">
        <v>2.2808593547344205</v>
      </c>
      <c r="DD66">
        <v>6.2243562919537003E-4</v>
      </c>
      <c r="DE66">
        <v>829189519030.57141</v>
      </c>
      <c r="DF66">
        <v>2.1127960338592526</v>
      </c>
      <c r="DG66">
        <v>1.5263458852005311E-5</v>
      </c>
      <c r="DH66">
        <v>33813901881891.773</v>
      </c>
      <c r="DI66">
        <v>1.9207236671447754</v>
      </c>
      <c r="DJ66">
        <v>3.192325427259999E-9</v>
      </c>
      <c r="DK66">
        <v>1.6167433795839162E+17</v>
      </c>
      <c r="DL66">
        <v>1.6806332087516782</v>
      </c>
      <c r="DM66">
        <v>853999999.99999988</v>
      </c>
      <c r="DN66">
        <v>2.4009045839309691</v>
      </c>
      <c r="DO66">
        <v>516117100</v>
      </c>
      <c r="DP66">
        <v>399168400</v>
      </c>
      <c r="DQ66">
        <v>4025</v>
      </c>
      <c r="DR66">
        <v>-3.372779858053776</v>
      </c>
      <c r="DS66">
        <v>-18.119849147396565</v>
      </c>
      <c r="DT66" s="10">
        <v>-0.27333333333333337</v>
      </c>
      <c r="DU66">
        <v>-1.1316666666666666</v>
      </c>
      <c r="DV66">
        <v>-1.405</v>
      </c>
      <c r="DW66">
        <v>6.2843749999999998</v>
      </c>
      <c r="DX66">
        <v>0.51646068965517178</v>
      </c>
      <c r="DY66">
        <v>6.0615560086206894</v>
      </c>
      <c r="DZ66">
        <v>2012</v>
      </c>
      <c r="EA66">
        <v>6.0373190831128953</v>
      </c>
      <c r="EB66">
        <v>6</v>
      </c>
      <c r="EC66">
        <v>8.8291214167911677E-2</v>
      </c>
      <c r="ED66">
        <v>0.40788567341516796</v>
      </c>
      <c r="EE66" s="11">
        <v>1.0504</v>
      </c>
      <c r="EF66">
        <v>1.0306999999999999</v>
      </c>
      <c r="EG66">
        <v>30.216460689655172</v>
      </c>
      <c r="EH66" t="s">
        <v>1094</v>
      </c>
      <c r="EI66">
        <v>0</v>
      </c>
      <c r="EJ66">
        <v>0</v>
      </c>
      <c r="EK66" s="13">
        <v>45470</v>
      </c>
      <c r="EL66" s="14">
        <v>2.15</v>
      </c>
      <c r="EM66" s="14">
        <v>7.0000000000000007E-2</v>
      </c>
      <c r="EN66" s="14">
        <v>4.08</v>
      </c>
      <c r="EO66" s="14">
        <v>-0.38</v>
      </c>
      <c r="EP66" s="14">
        <v>-1.97</v>
      </c>
    </row>
    <row r="67" spans="1:146" ht="96" x14ac:dyDescent="0.25">
      <c r="C67" s="7" t="str">
        <f>""&amp;CHAR(10)&amp;Basic_Fundamental_Information_Constructure(F67)&amp;CHAR(10)&amp;Basic_Fundamental_Information_Concatenate("")</f>
        <v xml:space="preserve">
市值15.670103亿, 利润8481.96万; PE; 平均PE-28.71; 平均PEG-.42, PB24.24; ROIC0%; ROE-53.95%; 股利率0%; 毛利4.5133%; 净利-66.69%; 上一年度营收增409.59%, 利润增149.6%; 当季营收增-77.46%, 利润增-577.92%; 过往5年营收增68.45%, 利润增-3820.9%
Income profile:
</v>
      </c>
      <c r="D67" t="s">
        <v>231</v>
      </c>
      <c r="E67" t="s">
        <v>11</v>
      </c>
      <c r="F67">
        <v>12.62</v>
      </c>
      <c r="G67">
        <v>2.52</v>
      </c>
      <c r="H67" t="s">
        <v>2858</v>
      </c>
      <c r="I67">
        <v>1567010300</v>
      </c>
      <c r="K67">
        <v>24.24</v>
      </c>
      <c r="L67" t="s">
        <v>1762</v>
      </c>
      <c r="M67" t="s">
        <v>2344</v>
      </c>
      <c r="N67" t="s">
        <v>2859</v>
      </c>
      <c r="O67" t="s">
        <v>2860</v>
      </c>
      <c r="P67">
        <v>24.82</v>
      </c>
      <c r="Q67" t="s">
        <v>2861</v>
      </c>
      <c r="R67">
        <v>-10563996</v>
      </c>
      <c r="S67" s="5">
        <v>0.51759999999999995</v>
      </c>
      <c r="T67" t="s">
        <v>2862</v>
      </c>
      <c r="U67">
        <v>124168800</v>
      </c>
      <c r="V67">
        <v>124168800</v>
      </c>
      <c r="W67">
        <v>8.7100000000000009</v>
      </c>
      <c r="X67">
        <v>0.08</v>
      </c>
      <c r="Y67">
        <v>-22.64</v>
      </c>
      <c r="Z67" t="s">
        <v>2863</v>
      </c>
      <c r="AA67" t="s">
        <v>2864</v>
      </c>
      <c r="AB67" t="s">
        <v>2865</v>
      </c>
      <c r="AC67" t="s">
        <v>2866</v>
      </c>
      <c r="AD67" t="s">
        <v>41</v>
      </c>
      <c r="AE67">
        <v>4482736</v>
      </c>
      <c r="AF67" t="s">
        <v>134</v>
      </c>
      <c r="AG67" t="s">
        <v>2867</v>
      </c>
      <c r="AH67" t="s">
        <v>2868</v>
      </c>
      <c r="AI67" t="s">
        <v>2869</v>
      </c>
      <c r="AJ67" t="s">
        <v>2870</v>
      </c>
      <c r="AK67" t="s">
        <v>2871</v>
      </c>
      <c r="AL67" t="s">
        <v>2872</v>
      </c>
      <c r="AM67" t="s">
        <v>41</v>
      </c>
      <c r="AN67" t="s">
        <v>2873</v>
      </c>
      <c r="AO67" t="s">
        <v>1706</v>
      </c>
      <c r="AP67" t="s">
        <v>41</v>
      </c>
      <c r="AQ67" t="s">
        <v>2874</v>
      </c>
      <c r="AR67" t="s">
        <v>41</v>
      </c>
      <c r="AS67" t="s">
        <v>451</v>
      </c>
      <c r="AT67" t="s">
        <v>2875</v>
      </c>
      <c r="AU67" t="s">
        <v>2876</v>
      </c>
      <c r="AV67" t="s">
        <v>2877</v>
      </c>
      <c r="AW67" t="s">
        <v>2878</v>
      </c>
      <c r="AX67" t="s">
        <v>979</v>
      </c>
      <c r="AY67" t="s">
        <v>726</v>
      </c>
      <c r="AZ67" t="s">
        <v>491</v>
      </c>
      <c r="BA67" t="s">
        <v>232</v>
      </c>
      <c r="BB67" t="s">
        <v>493</v>
      </c>
      <c r="BC67" t="s">
        <v>1214</v>
      </c>
      <c r="BD67" t="s">
        <v>806</v>
      </c>
      <c r="BE67" t="s">
        <v>492</v>
      </c>
      <c r="BF67" t="s">
        <v>233</v>
      </c>
      <c r="BG67" t="s">
        <v>494</v>
      </c>
      <c r="BH67" t="s">
        <v>422</v>
      </c>
      <c r="BI67" t="s">
        <v>1124</v>
      </c>
      <c r="BJ67" t="s">
        <v>979</v>
      </c>
      <c r="BK67" t="s">
        <v>2879</v>
      </c>
      <c r="BL67" t="s">
        <v>2880</v>
      </c>
      <c r="BM67" t="s">
        <v>1214</v>
      </c>
      <c r="BN67" t="s">
        <v>41</v>
      </c>
      <c r="BO67" t="s">
        <v>41</v>
      </c>
      <c r="BP67" t="s">
        <v>41</v>
      </c>
      <c r="BQ67">
        <v>-40.44</v>
      </c>
      <c r="BR67">
        <v>-61.56</v>
      </c>
      <c r="BS67">
        <v>-59.85</v>
      </c>
      <c r="BT67" t="s">
        <v>1081</v>
      </c>
      <c r="BU67" t="s">
        <v>1777</v>
      </c>
      <c r="BV67">
        <v>4.6100000000000003</v>
      </c>
      <c r="BW67">
        <v>-7.46</v>
      </c>
      <c r="BX67">
        <v>16.39</v>
      </c>
      <c r="BY67">
        <v>-56.83</v>
      </c>
      <c r="BZ67">
        <v>-63.27</v>
      </c>
      <c r="CA67">
        <v>-79.97</v>
      </c>
      <c r="CB67">
        <v>-7.27</v>
      </c>
      <c r="CC67">
        <v>-10.050000000000001</v>
      </c>
      <c r="CD67" t="s">
        <v>2881</v>
      </c>
      <c r="CE67" t="s">
        <v>2882</v>
      </c>
      <c r="CF67" s="8">
        <v>-0.77462463768115941</v>
      </c>
      <c r="CG67" s="9">
        <v>-5.7792236699239954</v>
      </c>
      <c r="CH67" s="8">
        <v>4.0959405899047852</v>
      </c>
      <c r="CI67" s="8">
        <v>-0.32754343748092651</v>
      </c>
      <c r="CJ67" s="8">
        <v>-9.6412554383277893E-2</v>
      </c>
      <c r="CK67" s="8">
        <v>-0.23103448748588562</v>
      </c>
      <c r="CL67" s="8">
        <v>-1.8612520769238472E-2</v>
      </c>
      <c r="CM67" s="9">
        <v>1.496021032333374</v>
      </c>
      <c r="CN67" s="9">
        <v>0.44660192728042603</v>
      </c>
      <c r="CO67" s="9">
        <v>-191.79962158203125</v>
      </c>
      <c r="CP67" s="9">
        <v>-0.94298923015594482</v>
      </c>
      <c r="CQ67" s="9">
        <v>-0.24501538276672363</v>
      </c>
      <c r="CR67">
        <v>-28.706113855234449</v>
      </c>
      <c r="CS67">
        <v>-0.41939336932909077</v>
      </c>
      <c r="CT67">
        <v>0</v>
      </c>
      <c r="CU67" s="8">
        <v>0.68446751795709138</v>
      </c>
      <c r="CV67" s="9">
        <v>-38.209000647068024</v>
      </c>
      <c r="CW67">
        <v>0.06</v>
      </c>
      <c r="CX67">
        <v>14.781412268984502</v>
      </c>
      <c r="CY67">
        <v>134788548.19444647</v>
      </c>
      <c r="CZ67">
        <v>0.68446751795709138</v>
      </c>
      <c r="DA67">
        <v>3.0293651710846827</v>
      </c>
      <c r="DB67">
        <v>657684031.96060431</v>
      </c>
      <c r="DC67">
        <v>0.65024414205923675</v>
      </c>
      <c r="DD67">
        <v>0.72731574623542739</v>
      </c>
      <c r="DE67">
        <v>2739339977.599061</v>
      </c>
      <c r="DF67">
        <v>0.60233141580224037</v>
      </c>
      <c r="DG67">
        <v>0.17210375471478984</v>
      </c>
      <c r="DH67">
        <v>11576534767.075508</v>
      </c>
      <c r="DI67">
        <v>0.5475740143656731</v>
      </c>
      <c r="DJ67">
        <v>8.5069573536935162E-3</v>
      </c>
      <c r="DK67">
        <v>234204195126.82324</v>
      </c>
      <c r="DL67">
        <v>0.47912726256996391</v>
      </c>
      <c r="DM67">
        <v>84819599.999999985</v>
      </c>
      <c r="DN67">
        <v>0.68446751795709138</v>
      </c>
      <c r="DO67">
        <v>1992365100</v>
      </c>
      <c r="DP67">
        <v>-155381980</v>
      </c>
      <c r="DQ67">
        <v>4046</v>
      </c>
      <c r="DR67">
        <v>-1.4590921556382508</v>
      </c>
      <c r="DS67">
        <v>32.42977697714403</v>
      </c>
      <c r="DT67" s="10">
        <v>-0.40666666666666673</v>
      </c>
      <c r="DU67">
        <v>-1.8483333333333334</v>
      </c>
      <c r="DV67">
        <v>-2.2549999999999999</v>
      </c>
      <c r="DW67">
        <v>-9.7233830845771152</v>
      </c>
      <c r="DX67">
        <v>0.35105764115626426</v>
      </c>
      <c r="DY67">
        <v>-9.0948048807170192</v>
      </c>
      <c r="DZ67">
        <v>2189</v>
      </c>
      <c r="EA67">
        <v>-9.0541927703668126</v>
      </c>
      <c r="EB67">
        <v>9</v>
      </c>
      <c r="EC67">
        <v>5.3371700459374657E-2</v>
      </c>
      <c r="ED67">
        <v>0.40723837228031518</v>
      </c>
      <c r="EE67" s="11">
        <v>-3.0888100000000001</v>
      </c>
      <c r="EF67">
        <v>-3.12731</v>
      </c>
      <c r="EG67">
        <v>22.131057641156264</v>
      </c>
      <c r="EH67" t="s">
        <v>1520</v>
      </c>
      <c r="EI67">
        <v>0</v>
      </c>
      <c r="EJ67">
        <v>0</v>
      </c>
      <c r="EK67" s="13">
        <v>45470</v>
      </c>
      <c r="EL67" s="14">
        <v>-3.26</v>
      </c>
      <c r="EM67" s="14">
        <v>-4.7</v>
      </c>
      <c r="EN67" s="14">
        <v>-2.79</v>
      </c>
      <c r="EO67" s="14">
        <v>2.97</v>
      </c>
      <c r="EP67" s="14">
        <v>-3.85</v>
      </c>
    </row>
    <row r="68" spans="1:146" ht="96" x14ac:dyDescent="0.25">
      <c r="C68" s="7" t="str">
        <f>""&amp;CHAR(10)&amp;Basic_Fundamental_Information_Constructure(F68)&amp;CHAR(10)&amp;Basic_Fundamental_Information_Concatenate("")</f>
        <v xml:space="preserve">
市值9.1502641亿, 利润6039.47万; PE; 平均PE15.24; 平均PEG.25, PB1.52; ROIC8.8167%; ROE9.85%; 股利率1.7339%; 毛利40.53%; 净利11.18%; 上一年度营收增311.5%, 利润增66.51%; 当季营收增-85.93%, 利润增-127.92%; 过往5年营收增59.78%, 利润增16.29%
Income profile:
</v>
      </c>
      <c r="D68" t="s">
        <v>807</v>
      </c>
      <c r="E68" t="s">
        <v>808</v>
      </c>
      <c r="F68">
        <v>8.83</v>
      </c>
      <c r="G68">
        <v>3.27</v>
      </c>
      <c r="H68" t="s">
        <v>2883</v>
      </c>
      <c r="I68">
        <v>915026410</v>
      </c>
      <c r="K68">
        <v>1.52</v>
      </c>
      <c r="L68" t="s">
        <v>1762</v>
      </c>
      <c r="M68" t="s">
        <v>74</v>
      </c>
      <c r="N68" t="s">
        <v>1449</v>
      </c>
      <c r="O68" t="s">
        <v>2884</v>
      </c>
      <c r="P68">
        <v>-24.76</v>
      </c>
      <c r="Q68" t="s">
        <v>1003</v>
      </c>
      <c r="R68">
        <v>-3388639</v>
      </c>
      <c r="S68" s="5">
        <v>0.15640000000000001</v>
      </c>
      <c r="T68" t="s">
        <v>2885</v>
      </c>
      <c r="U68">
        <v>42502000</v>
      </c>
      <c r="V68">
        <v>103627000</v>
      </c>
      <c r="W68">
        <v>1.1599999999999999</v>
      </c>
      <c r="X68">
        <v>0.04</v>
      </c>
      <c r="Y68">
        <v>-12.49</v>
      </c>
      <c r="Z68" t="s">
        <v>2886</v>
      </c>
      <c r="AA68" t="s">
        <v>2887</v>
      </c>
      <c r="AB68" t="s">
        <v>2888</v>
      </c>
      <c r="AC68" t="s">
        <v>2889</v>
      </c>
      <c r="AD68" t="s">
        <v>41</v>
      </c>
      <c r="AE68">
        <v>-216445</v>
      </c>
      <c r="AF68" t="s">
        <v>2890</v>
      </c>
      <c r="AG68" t="s">
        <v>2891</v>
      </c>
      <c r="AH68" t="s">
        <v>2892</v>
      </c>
      <c r="AI68" t="s">
        <v>573</v>
      </c>
      <c r="AJ68" t="s">
        <v>2893</v>
      </c>
      <c r="AK68" t="s">
        <v>41</v>
      </c>
      <c r="AL68" t="s">
        <v>2894</v>
      </c>
      <c r="AM68" t="s">
        <v>41</v>
      </c>
      <c r="AN68" t="s">
        <v>2895</v>
      </c>
      <c r="AO68" t="s">
        <v>41</v>
      </c>
      <c r="AP68" t="s">
        <v>2896</v>
      </c>
      <c r="AQ68" t="s">
        <v>2897</v>
      </c>
      <c r="AR68" t="s">
        <v>41</v>
      </c>
      <c r="AS68" t="s">
        <v>2898</v>
      </c>
      <c r="AT68" t="s">
        <v>41</v>
      </c>
      <c r="AU68" t="s">
        <v>2899</v>
      </c>
      <c r="AV68" t="s">
        <v>2900</v>
      </c>
      <c r="AW68" t="s">
        <v>2901</v>
      </c>
      <c r="AX68" t="s">
        <v>95</v>
      </c>
      <c r="AY68" t="s">
        <v>193</v>
      </c>
      <c r="AZ68" t="s">
        <v>798</v>
      </c>
      <c r="BA68" t="s">
        <v>92</v>
      </c>
      <c r="BB68" t="s">
        <v>730</v>
      </c>
      <c r="BC68" t="s">
        <v>1215</v>
      </c>
      <c r="BD68" t="s">
        <v>809</v>
      </c>
      <c r="BE68" t="s">
        <v>810</v>
      </c>
      <c r="BF68" t="s">
        <v>811</v>
      </c>
      <c r="BG68" t="s">
        <v>812</v>
      </c>
      <c r="BH68" t="s">
        <v>498</v>
      </c>
      <c r="BI68" t="s">
        <v>976</v>
      </c>
      <c r="BJ68" t="s">
        <v>95</v>
      </c>
      <c r="BK68" t="s">
        <v>2902</v>
      </c>
      <c r="BL68" t="s">
        <v>2903</v>
      </c>
      <c r="BM68" t="s">
        <v>1215</v>
      </c>
      <c r="BN68">
        <v>-0.59</v>
      </c>
      <c r="BO68">
        <v>6.2</v>
      </c>
      <c r="BP68">
        <v>20.84</v>
      </c>
      <c r="BQ68">
        <v>0.64</v>
      </c>
      <c r="BR68">
        <v>6.69</v>
      </c>
      <c r="BS68">
        <v>22.22</v>
      </c>
      <c r="BT68" t="s">
        <v>2904</v>
      </c>
      <c r="BU68" t="s">
        <v>1777</v>
      </c>
      <c r="BV68">
        <v>29.26</v>
      </c>
      <c r="BW68">
        <v>43.23</v>
      </c>
      <c r="BX68">
        <v>49.1</v>
      </c>
      <c r="BY68">
        <v>-8.61</v>
      </c>
      <c r="BZ68">
        <v>18.149999999999999</v>
      </c>
      <c r="CA68">
        <v>24</v>
      </c>
      <c r="CB68">
        <v>3.88</v>
      </c>
      <c r="CC68">
        <v>-16.059999999999999</v>
      </c>
      <c r="CD68" t="s">
        <v>2905</v>
      </c>
      <c r="CE68" t="s">
        <v>2906</v>
      </c>
      <c r="CF68" s="8">
        <v>-0.85933056994818657</v>
      </c>
      <c r="CG68" s="9">
        <v>-1.279215164424083</v>
      </c>
      <c r="CH68" s="8">
        <v>3.1150000095367432</v>
      </c>
      <c r="CI68" s="8">
        <v>-0.28315412998199463</v>
      </c>
      <c r="CJ68" s="8">
        <v>9.8425194621086121E-2</v>
      </c>
      <c r="CK68" s="8">
        <v>-0.14765100181102753</v>
      </c>
      <c r="CL68" s="8">
        <v>0.20647773146629333</v>
      </c>
      <c r="CM68" s="9">
        <v>0.66513741016387939</v>
      </c>
      <c r="CN68" s="9">
        <v>-0.45903229713439941</v>
      </c>
      <c r="CO68" s="9">
        <v>5.1556237041950226E-2</v>
      </c>
      <c r="CP68" s="9">
        <v>-0.25408640503883362</v>
      </c>
      <c r="CQ68" s="9">
        <v>0.81090247631072998</v>
      </c>
      <c r="CR68">
        <v>15.244024972823937</v>
      </c>
      <c r="CS68">
        <v>0.25499374683032794</v>
      </c>
      <c r="CT68">
        <v>1.7338618346545864</v>
      </c>
      <c r="CU68" s="8">
        <v>0.59781956076622011</v>
      </c>
      <c r="CV68" s="9">
        <v>0.16289548426866532</v>
      </c>
      <c r="CW68">
        <v>0.06</v>
      </c>
      <c r="CX68">
        <v>4.767552234760311</v>
      </c>
      <c r="CY68">
        <v>91037578.326988325</v>
      </c>
      <c r="CZ68">
        <v>0.59781956076622011</v>
      </c>
      <c r="DA68">
        <v>1.0409877156890872</v>
      </c>
      <c r="DB68">
        <v>416937110.26425892</v>
      </c>
      <c r="DC68">
        <v>0.56792858272790914</v>
      </c>
      <c r="DD68">
        <v>0.27765343743647136</v>
      </c>
      <c r="DE68">
        <v>1563194801.4304979</v>
      </c>
      <c r="DF68">
        <v>0.52608121347427372</v>
      </c>
      <c r="DG68">
        <v>7.5799817143728271E-2</v>
      </c>
      <c r="DH68">
        <v>5725955897.4531336</v>
      </c>
      <c r="DI68">
        <v>0.47825564861297609</v>
      </c>
      <c r="DJ68">
        <v>5.3718960583574744E-3</v>
      </c>
      <c r="DK68">
        <v>80795757268.004379</v>
      </c>
      <c r="DL68">
        <v>0.41847369253635408</v>
      </c>
      <c r="DM68">
        <v>60394700</v>
      </c>
      <c r="DN68">
        <v>0.59781956076622011</v>
      </c>
      <c r="DO68">
        <v>434026410</v>
      </c>
      <c r="DP68">
        <v>175504940</v>
      </c>
      <c r="DQ68">
        <v>4049</v>
      </c>
      <c r="DR68">
        <v>-1.4571501307144068</v>
      </c>
      <c r="DS68">
        <v>-1.4421106486927484</v>
      </c>
      <c r="DT68" s="10">
        <v>-0.19000000000000003</v>
      </c>
      <c r="DU68">
        <v>-0.63166666666666671</v>
      </c>
      <c r="DV68">
        <v>-0.82166666666666677</v>
      </c>
      <c r="DW68">
        <v>6.1945837512537612</v>
      </c>
      <c r="DX68">
        <v>0.31787930927989577</v>
      </c>
      <c r="DY68">
        <v>6.0268290732199601</v>
      </c>
      <c r="DZ68">
        <v>1786</v>
      </c>
      <c r="EA68">
        <v>6.0174520233626509</v>
      </c>
      <c r="EB68">
        <v>6</v>
      </c>
      <c r="EC68">
        <v>7.5395408532525313E-2</v>
      </c>
      <c r="ED68">
        <v>0.54682177424802414</v>
      </c>
      <c r="EE68" s="11">
        <v>1.0116099999999999</v>
      </c>
      <c r="EF68">
        <v>1.0396099999999999</v>
      </c>
      <c r="EG68">
        <v>18.137879309279896</v>
      </c>
      <c r="EH68" t="s">
        <v>867</v>
      </c>
      <c r="EI68">
        <v>0</v>
      </c>
      <c r="EJ68">
        <v>0</v>
      </c>
      <c r="EK68" s="13">
        <v>45470</v>
      </c>
      <c r="EL68" s="14">
        <v>-1.1000000000000001</v>
      </c>
      <c r="EM68" s="14">
        <v>-6.42</v>
      </c>
      <c r="EN68" s="14">
        <v>0.1</v>
      </c>
      <c r="EO68" s="14">
        <v>4.74</v>
      </c>
      <c r="EP68" s="14">
        <v>-2.8</v>
      </c>
    </row>
    <row r="69" spans="1:146" ht="96" x14ac:dyDescent="0.25">
      <c r="A69" s="7"/>
      <c r="B69" s="7"/>
      <c r="C69" s="7" t="str">
        <f>""&amp;CHAR(10)&amp;Basic_Fundamental_Information_Constructure(F69)&amp;CHAR(10)&amp;Basic_Fundamental_Information_Concatenate("")</f>
        <v xml:space="preserve">
市值40.511669亿, 利润7180.54万; PE36.95; 平均PE31.32; 平均PEG4.9, PB1.05; ROIC3.915%; ROE-1.1133%; 股利率0%; 毛利32.62%; 净利-.38%; 上一年度营收增-87.28%, 利润增73.61%; 当季营收增804.98%, 利润增89.97%; 过往5年营收增6.39%, 利润增23.64%
Income profile:
</v>
      </c>
      <c r="D69" t="s">
        <v>235</v>
      </c>
      <c r="E69" t="s">
        <v>15</v>
      </c>
      <c r="F69">
        <v>7.1</v>
      </c>
      <c r="G69">
        <v>-1.39</v>
      </c>
      <c r="H69" t="s">
        <v>2907</v>
      </c>
      <c r="I69">
        <v>4051166900</v>
      </c>
      <c r="J69">
        <v>36.950000000000003</v>
      </c>
      <c r="K69">
        <v>1.05</v>
      </c>
      <c r="L69" t="s">
        <v>1762</v>
      </c>
      <c r="M69" t="s">
        <v>2908</v>
      </c>
      <c r="N69" t="s">
        <v>2909</v>
      </c>
      <c r="O69" t="s">
        <v>196</v>
      </c>
      <c r="P69">
        <v>7.08</v>
      </c>
      <c r="Q69" t="s">
        <v>785</v>
      </c>
      <c r="R69">
        <v>19822857</v>
      </c>
      <c r="S69" s="5">
        <v>0.18179999999999999</v>
      </c>
      <c r="T69" t="s">
        <v>2910</v>
      </c>
      <c r="U69">
        <v>570586890</v>
      </c>
      <c r="V69">
        <v>570586890</v>
      </c>
      <c r="W69">
        <v>2.5299999999999998</v>
      </c>
      <c r="X69">
        <v>0.18</v>
      </c>
      <c r="Y69">
        <v>1.18</v>
      </c>
      <c r="Z69" t="s">
        <v>2911</v>
      </c>
      <c r="AA69" t="s">
        <v>2912</v>
      </c>
      <c r="AB69" t="s">
        <v>1677</v>
      </c>
      <c r="AC69" t="s">
        <v>141</v>
      </c>
      <c r="AD69" t="s">
        <v>41</v>
      </c>
      <c r="AE69">
        <v>51540252</v>
      </c>
      <c r="AF69" t="s">
        <v>2913</v>
      </c>
      <c r="AG69" t="s">
        <v>2914</v>
      </c>
      <c r="AH69" t="s">
        <v>2915</v>
      </c>
      <c r="AI69" t="s">
        <v>2916</v>
      </c>
      <c r="AJ69" t="s">
        <v>2917</v>
      </c>
      <c r="AK69" t="s">
        <v>41</v>
      </c>
      <c r="AL69" t="s">
        <v>2918</v>
      </c>
      <c r="AM69" t="s">
        <v>41</v>
      </c>
      <c r="AN69" t="s">
        <v>273</v>
      </c>
      <c r="AO69" t="s">
        <v>768</v>
      </c>
      <c r="AP69" t="s">
        <v>1680</v>
      </c>
      <c r="AQ69" t="s">
        <v>2919</v>
      </c>
      <c r="AR69" t="s">
        <v>41</v>
      </c>
      <c r="AS69" t="s">
        <v>2920</v>
      </c>
      <c r="AT69" t="s">
        <v>65</v>
      </c>
      <c r="AU69" t="s">
        <v>1114</v>
      </c>
      <c r="AV69" t="s">
        <v>2921</v>
      </c>
      <c r="AW69" t="s">
        <v>2707</v>
      </c>
      <c r="AX69" t="s">
        <v>1216</v>
      </c>
      <c r="AY69" t="s">
        <v>813</v>
      </c>
      <c r="AZ69" t="s">
        <v>495</v>
      </c>
      <c r="BA69" t="s">
        <v>236</v>
      </c>
      <c r="BB69" t="s">
        <v>496</v>
      </c>
      <c r="BC69" t="s">
        <v>1217</v>
      </c>
      <c r="BD69" t="s">
        <v>814</v>
      </c>
      <c r="BE69" t="s">
        <v>198</v>
      </c>
      <c r="BF69" t="s">
        <v>237</v>
      </c>
      <c r="BG69" t="s">
        <v>497</v>
      </c>
      <c r="BH69" t="s">
        <v>2922</v>
      </c>
      <c r="BI69" t="s">
        <v>199</v>
      </c>
      <c r="BJ69" t="s">
        <v>1216</v>
      </c>
      <c r="BK69" t="s">
        <v>957</v>
      </c>
      <c r="BL69" t="s">
        <v>2923</v>
      </c>
      <c r="BM69" t="s">
        <v>1217</v>
      </c>
      <c r="BN69">
        <v>5</v>
      </c>
      <c r="BO69">
        <v>2.83</v>
      </c>
      <c r="BP69" t="s">
        <v>41</v>
      </c>
      <c r="BQ69">
        <v>3.7</v>
      </c>
      <c r="BR69">
        <v>1.4</v>
      </c>
      <c r="BS69">
        <v>-8.44</v>
      </c>
      <c r="BT69" t="s">
        <v>1081</v>
      </c>
      <c r="BU69" t="s">
        <v>1868</v>
      </c>
      <c r="BV69">
        <v>38.35</v>
      </c>
      <c r="BW69">
        <v>31.04</v>
      </c>
      <c r="BX69">
        <v>28.47</v>
      </c>
      <c r="BY69">
        <v>1.52</v>
      </c>
      <c r="BZ69">
        <v>0.65</v>
      </c>
      <c r="CA69">
        <v>-3.31</v>
      </c>
      <c r="CB69">
        <v>-4.95</v>
      </c>
      <c r="CC69">
        <v>-16.670000000000002</v>
      </c>
      <c r="CD69" t="s">
        <v>2924</v>
      </c>
      <c r="CE69" t="s">
        <v>970</v>
      </c>
      <c r="CF69" s="8">
        <v>8.0497512437810972</v>
      </c>
      <c r="CG69" s="9">
        <v>0.89972370766488419</v>
      </c>
      <c r="CH69" s="8">
        <v>-0.87277036905288696</v>
      </c>
      <c r="CI69" s="8">
        <v>-1.4989540912210941E-2</v>
      </c>
      <c r="CJ69" s="8">
        <v>0.24640122056007385</v>
      </c>
      <c r="CK69" s="8">
        <v>0.70407092571258545</v>
      </c>
      <c r="CL69" s="8">
        <v>0.25680553913116455</v>
      </c>
      <c r="CM69" s="9">
        <v>0.7361409068107605</v>
      </c>
      <c r="CN69" s="9">
        <v>1.1498521566390991</v>
      </c>
      <c r="CO69" s="9">
        <v>-1.7282321453094482</v>
      </c>
      <c r="CP69" s="9">
        <v>1.3368983753025532E-2</v>
      </c>
      <c r="CQ69" s="9">
        <v>1.0107526779174805</v>
      </c>
      <c r="CR69">
        <v>31.316812696688306</v>
      </c>
      <c r="CS69">
        <v>4.9006370073914622</v>
      </c>
      <c r="CT69">
        <v>0</v>
      </c>
      <c r="CU69" s="8">
        <v>6.3903555087745187E-2</v>
      </c>
      <c r="CV69" s="9">
        <v>0.23637651596218348</v>
      </c>
      <c r="CW69">
        <v>0.06</v>
      </c>
      <c r="CX69">
        <v>86.862517314113063</v>
      </c>
      <c r="CY69">
        <v>72069830.504242986</v>
      </c>
      <c r="CZ69">
        <v>6.3903555087745187E-2</v>
      </c>
      <c r="DA69">
        <v>29.021992101100125</v>
      </c>
      <c r="DB69">
        <v>215704245.1873143</v>
      </c>
      <c r="DC69">
        <v>6.0708377333357925E-2</v>
      </c>
      <c r="DD69">
        <v>14.712210858064106</v>
      </c>
      <c r="DE69">
        <v>425508236.68821037</v>
      </c>
      <c r="DF69">
        <v>5.6235128477215762E-2</v>
      </c>
      <c r="DG69">
        <v>9.1283073963591157</v>
      </c>
      <c r="DH69">
        <v>685797117.49156344</v>
      </c>
      <c r="DI69">
        <v>5.1122844070196155E-2</v>
      </c>
      <c r="DJ69">
        <v>5.0586914177411852</v>
      </c>
      <c r="DK69">
        <v>1237507169.9461951</v>
      </c>
      <c r="DL69">
        <v>4.4732488561421625E-2</v>
      </c>
      <c r="DM69">
        <v>71805400</v>
      </c>
      <c r="DN69">
        <v>6.3903555087745187E-2</v>
      </c>
      <c r="DO69">
        <v>6260166900</v>
      </c>
      <c r="DP69">
        <v>383965700</v>
      </c>
      <c r="DQ69">
        <v>4080</v>
      </c>
      <c r="DR69">
        <v>7.9858476886933518</v>
      </c>
      <c r="DS69">
        <v>0.66334719170270073</v>
      </c>
      <c r="DT69" s="10">
        <v>-0.3066666666666667</v>
      </c>
      <c r="DU69">
        <v>0.36999999999999994</v>
      </c>
      <c r="DV69">
        <v>6.3333333333333242E-2</v>
      </c>
      <c r="DW69">
        <v>-8.2969406118776252</v>
      </c>
      <c r="DX69">
        <v>0.3657683615819225</v>
      </c>
      <c r="DY69">
        <v>-8.0373457342429813</v>
      </c>
      <c r="DZ69">
        <v>877</v>
      </c>
      <c r="EA69">
        <v>-8.0309363000098912</v>
      </c>
      <c r="EB69">
        <v>8</v>
      </c>
      <c r="EC69">
        <v>3.9014215696403398E-2</v>
      </c>
      <c r="ED69">
        <v>0.31020691695177222</v>
      </c>
      <c r="EE69" s="11">
        <v>-1.0338099999999999</v>
      </c>
      <c r="EF69">
        <v>-1.05141</v>
      </c>
      <c r="EG69">
        <v>24.125768361581923</v>
      </c>
      <c r="EH69" t="s">
        <v>1095</v>
      </c>
      <c r="EI69">
        <v>0</v>
      </c>
      <c r="EJ69">
        <v>1</v>
      </c>
      <c r="EK69" s="13">
        <v>45470</v>
      </c>
      <c r="EL69" s="14">
        <v>-1.3</v>
      </c>
      <c r="EM69" s="14">
        <v>-3.82</v>
      </c>
      <c r="EN69" s="14">
        <v>0.14000000000000001</v>
      </c>
      <c r="EO69" s="14">
        <v>0.96</v>
      </c>
      <c r="EP69" s="14">
        <v>-1.76</v>
      </c>
    </row>
    <row r="70" spans="1:146" ht="96" x14ac:dyDescent="0.25">
      <c r="A70" s="7"/>
      <c r="B70" s="7"/>
      <c r="C70" s="7" t="str">
        <f>""&amp;CHAR(10)&amp;Basic_Fundamental_Information_Constructure(F70)&amp;CHAR(10)&amp;Basic_Fundamental_Information_Concatenate("")</f>
        <v xml:space="preserve">
市值17.866389亿, 利润2.78亿; PE10.57; 平均PE14.66; 平均PEG1.18, PB1.52; ROIC10.61%; ROE4.1167%; 股利率4.8825%; 毛利44.0567%; 净利2.7367%; 上一年度营收增14.41%, 利润增100%; 当季营收增-32.37%, 利润增-77.34%; 过往5年营收增12.38%, 利润增41.2%
Income profile:
</v>
      </c>
      <c r="D70" t="s">
        <v>239</v>
      </c>
      <c r="E70" t="s">
        <v>24</v>
      </c>
      <c r="F70">
        <v>5.53</v>
      </c>
      <c r="G70">
        <v>1.65</v>
      </c>
      <c r="H70" t="s">
        <v>2925</v>
      </c>
      <c r="I70">
        <v>1786638900</v>
      </c>
      <c r="J70">
        <v>10.57</v>
      </c>
      <c r="K70">
        <v>1.52</v>
      </c>
      <c r="L70" t="s">
        <v>1762</v>
      </c>
      <c r="M70" t="s">
        <v>2926</v>
      </c>
      <c r="N70" t="s">
        <v>2641</v>
      </c>
      <c r="O70" t="s">
        <v>1402</v>
      </c>
      <c r="P70">
        <v>6.32</v>
      </c>
      <c r="Q70" t="s">
        <v>2927</v>
      </c>
      <c r="R70">
        <v>18989429</v>
      </c>
      <c r="S70" s="5">
        <v>1.8580000000000001</v>
      </c>
      <c r="T70" t="s">
        <v>1131</v>
      </c>
      <c r="U70">
        <v>315512680</v>
      </c>
      <c r="V70">
        <v>323081180</v>
      </c>
      <c r="W70">
        <v>2.0099999999999998</v>
      </c>
      <c r="X70">
        <v>0.12</v>
      </c>
      <c r="Y70">
        <v>6.74</v>
      </c>
      <c r="Z70" t="s">
        <v>133</v>
      </c>
      <c r="AA70" t="s">
        <v>427</v>
      </c>
      <c r="AB70" t="s">
        <v>2928</v>
      </c>
      <c r="AC70" t="s">
        <v>2929</v>
      </c>
      <c r="AD70" t="s">
        <v>41</v>
      </c>
      <c r="AE70">
        <v>2149750</v>
      </c>
      <c r="AF70" t="s">
        <v>2930</v>
      </c>
      <c r="AG70" t="s">
        <v>2931</v>
      </c>
      <c r="AH70" t="s">
        <v>2932</v>
      </c>
      <c r="AI70" t="s">
        <v>2933</v>
      </c>
      <c r="AJ70" t="s">
        <v>2934</v>
      </c>
      <c r="AK70" t="s">
        <v>2935</v>
      </c>
      <c r="AL70" t="s">
        <v>2936</v>
      </c>
      <c r="AM70" t="s">
        <v>41</v>
      </c>
      <c r="AN70" t="s">
        <v>2937</v>
      </c>
      <c r="AO70" t="s">
        <v>1324</v>
      </c>
      <c r="AP70" t="s">
        <v>2938</v>
      </c>
      <c r="AQ70" t="s">
        <v>2939</v>
      </c>
      <c r="AR70" t="s">
        <v>2940</v>
      </c>
      <c r="AS70" t="s">
        <v>1383</v>
      </c>
      <c r="AT70" t="s">
        <v>1455</v>
      </c>
      <c r="AU70" t="s">
        <v>2941</v>
      </c>
      <c r="AV70" t="s">
        <v>2942</v>
      </c>
      <c r="AW70" t="s">
        <v>2943</v>
      </c>
      <c r="AX70" t="s">
        <v>1218</v>
      </c>
      <c r="AY70" t="s">
        <v>815</v>
      </c>
      <c r="AZ70" t="s">
        <v>499</v>
      </c>
      <c r="BA70" t="s">
        <v>240</v>
      </c>
      <c r="BB70" t="s">
        <v>379</v>
      </c>
      <c r="BC70" t="s">
        <v>65</v>
      </c>
      <c r="BD70" t="s">
        <v>816</v>
      </c>
      <c r="BE70" t="s">
        <v>206</v>
      </c>
      <c r="BF70" t="s">
        <v>241</v>
      </c>
      <c r="BG70" t="s">
        <v>169</v>
      </c>
      <c r="BH70" t="s">
        <v>2944</v>
      </c>
      <c r="BI70" t="s">
        <v>93</v>
      </c>
      <c r="BJ70" t="s">
        <v>1218</v>
      </c>
      <c r="BK70" t="s">
        <v>1034</v>
      </c>
      <c r="BL70" t="s">
        <v>2945</v>
      </c>
      <c r="BM70" t="s">
        <v>65</v>
      </c>
      <c r="BN70">
        <v>10.74</v>
      </c>
      <c r="BO70">
        <v>10.48</v>
      </c>
      <c r="BP70" t="s">
        <v>41</v>
      </c>
      <c r="BQ70">
        <v>13.95</v>
      </c>
      <c r="BR70">
        <v>14.88</v>
      </c>
      <c r="BS70">
        <v>-16.48</v>
      </c>
      <c r="BT70" t="s">
        <v>2946</v>
      </c>
      <c r="BU70" t="s">
        <v>2063</v>
      </c>
      <c r="BV70">
        <v>46.26</v>
      </c>
      <c r="BW70">
        <v>44.59</v>
      </c>
      <c r="BX70">
        <v>41.32</v>
      </c>
      <c r="BY70">
        <v>9.16</v>
      </c>
      <c r="BZ70">
        <v>8.43</v>
      </c>
      <c r="CA70">
        <v>-9.3800000000000008</v>
      </c>
      <c r="CB70">
        <v>-0.54</v>
      </c>
      <c r="CC70">
        <v>-17.829999999999998</v>
      </c>
      <c r="CD70" t="s">
        <v>2947</v>
      </c>
      <c r="CE70" t="s">
        <v>975</v>
      </c>
      <c r="CF70" s="8">
        <v>-0.32374100719424459</v>
      </c>
      <c r="CG70" s="9">
        <v>-0.77340124340707861</v>
      </c>
      <c r="CH70" s="8">
        <v>0.14405761659145355</v>
      </c>
      <c r="CI70" s="8">
        <v>-3.4202862530946732E-2</v>
      </c>
      <c r="CJ70" s="8">
        <v>8.9015111327171326E-2</v>
      </c>
      <c r="CK70" s="8">
        <v>0.18918919563293457</v>
      </c>
      <c r="CL70" s="8">
        <v>0.23105360567569733</v>
      </c>
      <c r="CM70" s="9">
        <v>1</v>
      </c>
      <c r="CN70" s="9">
        <v>1.8580247163772583</v>
      </c>
      <c r="CO70" s="9">
        <v>-1.7363636493682861</v>
      </c>
      <c r="CP70" s="9">
        <v>0.4285714328289032</v>
      </c>
      <c r="CQ70" s="9">
        <v>0.50980395078659058</v>
      </c>
      <c r="CR70">
        <v>14.664614774281807</v>
      </c>
      <c r="CS70">
        <v>1.1843252095401853</v>
      </c>
      <c r="CT70">
        <v>4.8824593128390594</v>
      </c>
      <c r="CU70" s="8">
        <v>0.12382253333926201</v>
      </c>
      <c r="CV70" s="9">
        <v>0.41200729012489318</v>
      </c>
      <c r="CW70">
        <v>0.06</v>
      </c>
      <c r="CX70">
        <v>6.4553486819635282</v>
      </c>
      <c r="CY70">
        <v>294738362.51727813</v>
      </c>
      <c r="CZ70">
        <v>0.12382253333926201</v>
      </c>
      <c r="DA70">
        <v>2.0502139565984026</v>
      </c>
      <c r="DB70">
        <v>928019680.03219986</v>
      </c>
      <c r="DC70">
        <v>0.1176314066722989</v>
      </c>
      <c r="DD70">
        <v>0.97102258150123044</v>
      </c>
      <c r="DE70">
        <v>1959417768.6974719</v>
      </c>
      <c r="DF70">
        <v>0.10896382933855056</v>
      </c>
      <c r="DG70">
        <v>0.55787562422428716</v>
      </c>
      <c r="DH70">
        <v>3410507319.8807964</v>
      </c>
      <c r="DI70">
        <v>9.9058026671409616E-2</v>
      </c>
      <c r="DJ70">
        <v>0.26091095918043999</v>
      </c>
      <c r="DK70">
        <v>7292291998.6821203</v>
      </c>
      <c r="DL70">
        <v>8.66757733374834E-2</v>
      </c>
      <c r="DM70">
        <v>278000000</v>
      </c>
      <c r="DN70">
        <v>0.12382253333926201</v>
      </c>
      <c r="DO70">
        <v>1902638900</v>
      </c>
      <c r="DP70">
        <v>153756830.00000012</v>
      </c>
      <c r="DQ70">
        <v>4092</v>
      </c>
      <c r="DR70">
        <v>-0.44756354053350661</v>
      </c>
      <c r="DS70">
        <v>-1.1854085335319717</v>
      </c>
      <c r="DT70" s="10">
        <v>-0.22333333333333338</v>
      </c>
      <c r="DU70">
        <v>-0.19000000000000006</v>
      </c>
      <c r="DV70">
        <v>-0.41333333333333344</v>
      </c>
      <c r="DW70">
        <v>-3.0206964285714286</v>
      </c>
      <c r="DX70">
        <v>0.3094445312500001</v>
      </c>
      <c r="DY70">
        <v>-3.0024720752092633</v>
      </c>
      <c r="DZ70">
        <v>1986</v>
      </c>
      <c r="EA70">
        <v>-3.0015113039048411</v>
      </c>
      <c r="EB70">
        <v>3</v>
      </c>
      <c r="EC70">
        <v>4.7322162188462982E-2</v>
      </c>
      <c r="ED70">
        <v>0.39618525597807958</v>
      </c>
      <c r="EE70" s="11">
        <v>2.12E-2</v>
      </c>
      <c r="EF70">
        <v>6.8999999999999999E-3</v>
      </c>
      <c r="EG70">
        <v>19.11944453125</v>
      </c>
      <c r="EH70" t="s">
        <v>860</v>
      </c>
      <c r="EI70">
        <v>0</v>
      </c>
      <c r="EJ70">
        <v>0</v>
      </c>
      <c r="EK70" s="13">
        <v>45470</v>
      </c>
      <c r="EL70" s="14">
        <v>0.17</v>
      </c>
      <c r="EM70" s="14">
        <v>-3.92</v>
      </c>
      <c r="EN70" s="14">
        <v>2.48</v>
      </c>
      <c r="EO70" s="14">
        <v>1.21</v>
      </c>
      <c r="EP70" s="14">
        <v>-1.43</v>
      </c>
    </row>
    <row r="71" spans="1:146" ht="96" x14ac:dyDescent="0.25">
      <c r="A71" s="7"/>
      <c r="B71" s="7"/>
      <c r="C71" s="7" t="str">
        <f>""&amp;CHAR(10)&amp;Basic_Fundamental_Information_Constructure(F71)&amp;CHAR(10)&amp;Basic_Fundamental_Information_Concatenate("")</f>
        <v xml:space="preserve">
市值21.032844亿, 利润6855.47万; PE; 平均PE9.66; 平均PEG5.21, PB.572; ROIC4.245%; ROE2.9467%; 股利率0%; 毛利25.9367%; 净利1.3767%; 上一年度营收增-29.01%, 利润增-46.44%; 当季营收增20.88%, 利润增126.01%; 过往5年营收增-1.86%, 利润增-16.89%
Income profile:
</v>
      </c>
      <c r="D71" t="s">
        <v>243</v>
      </c>
      <c r="E71" t="s">
        <v>37</v>
      </c>
      <c r="F71">
        <v>5.51</v>
      </c>
      <c r="G71">
        <v>1.66</v>
      </c>
      <c r="H71" t="s">
        <v>2948</v>
      </c>
      <c r="I71">
        <v>2103284400</v>
      </c>
      <c r="K71">
        <v>0.57199999999999995</v>
      </c>
      <c r="L71" t="s">
        <v>1762</v>
      </c>
      <c r="M71" t="s">
        <v>2949</v>
      </c>
      <c r="N71" t="s">
        <v>864</v>
      </c>
      <c r="O71" t="s">
        <v>873</v>
      </c>
      <c r="P71">
        <v>6.63</v>
      </c>
      <c r="Q71" t="s">
        <v>2950</v>
      </c>
      <c r="R71">
        <v>28384235</v>
      </c>
      <c r="S71" s="5">
        <v>59.79</v>
      </c>
      <c r="T71" t="s">
        <v>2951</v>
      </c>
      <c r="U71">
        <v>381721300</v>
      </c>
      <c r="V71">
        <v>381721300</v>
      </c>
      <c r="W71">
        <v>1.49</v>
      </c>
      <c r="X71">
        <v>0.12</v>
      </c>
      <c r="Y71">
        <v>3.66</v>
      </c>
      <c r="Z71" t="s">
        <v>1615</v>
      </c>
      <c r="AA71" t="s">
        <v>1210</v>
      </c>
      <c r="AB71" t="s">
        <v>2952</v>
      </c>
      <c r="AC71" t="s">
        <v>2953</v>
      </c>
      <c r="AD71" t="s">
        <v>41</v>
      </c>
      <c r="AE71">
        <v>810947</v>
      </c>
      <c r="AF71" t="s">
        <v>2954</v>
      </c>
      <c r="AG71" t="s">
        <v>2955</v>
      </c>
      <c r="AH71" t="s">
        <v>2956</v>
      </c>
      <c r="AI71" t="s">
        <v>1444</v>
      </c>
      <c r="AJ71" t="s">
        <v>2957</v>
      </c>
      <c r="AK71" t="s">
        <v>2958</v>
      </c>
      <c r="AL71" t="s">
        <v>2959</v>
      </c>
      <c r="AM71" t="s">
        <v>41</v>
      </c>
      <c r="AN71" t="s">
        <v>2960</v>
      </c>
      <c r="AO71" t="s">
        <v>2961</v>
      </c>
      <c r="AP71" t="s">
        <v>527</v>
      </c>
      <c r="AQ71" t="s">
        <v>1675</v>
      </c>
      <c r="AR71" t="s">
        <v>41</v>
      </c>
      <c r="AS71" t="s">
        <v>2962</v>
      </c>
      <c r="AT71" t="s">
        <v>41</v>
      </c>
      <c r="AU71" t="s">
        <v>2963</v>
      </c>
      <c r="AV71" t="s">
        <v>544</v>
      </c>
      <c r="AW71" t="s">
        <v>2964</v>
      </c>
      <c r="AX71" t="s">
        <v>1219</v>
      </c>
      <c r="AY71" t="s">
        <v>817</v>
      </c>
      <c r="AZ71" t="s">
        <v>501</v>
      </c>
      <c r="BA71" t="s">
        <v>244</v>
      </c>
      <c r="BB71" t="s">
        <v>503</v>
      </c>
      <c r="BC71" t="s">
        <v>975</v>
      </c>
      <c r="BD71" t="s">
        <v>295</v>
      </c>
      <c r="BE71" t="s">
        <v>362</v>
      </c>
      <c r="BF71" t="s">
        <v>245</v>
      </c>
      <c r="BG71" t="s">
        <v>185</v>
      </c>
      <c r="BH71" t="s">
        <v>2965</v>
      </c>
      <c r="BI71" t="s">
        <v>1406</v>
      </c>
      <c r="BJ71" t="s">
        <v>1219</v>
      </c>
      <c r="BK71" t="s">
        <v>1552</v>
      </c>
      <c r="BL71" t="s">
        <v>2966</v>
      </c>
      <c r="BM71" t="s">
        <v>975</v>
      </c>
      <c r="BN71" t="s">
        <v>41</v>
      </c>
      <c r="BO71">
        <v>2.89</v>
      </c>
      <c r="BP71">
        <v>5.6</v>
      </c>
      <c r="BQ71">
        <v>-0.7</v>
      </c>
      <c r="BR71">
        <v>3.31</v>
      </c>
      <c r="BS71">
        <v>6.23</v>
      </c>
      <c r="BT71" t="s">
        <v>1081</v>
      </c>
      <c r="BU71" t="s">
        <v>1777</v>
      </c>
      <c r="BV71">
        <v>25.34</v>
      </c>
      <c r="BW71">
        <v>24.81</v>
      </c>
      <c r="BX71">
        <v>27.66</v>
      </c>
      <c r="BY71">
        <v>-5.55</v>
      </c>
      <c r="BZ71">
        <v>3.57</v>
      </c>
      <c r="CA71">
        <v>6.11</v>
      </c>
      <c r="CB71">
        <v>0.36</v>
      </c>
      <c r="CC71">
        <v>-16.010000000000002</v>
      </c>
      <c r="CD71" t="s">
        <v>2967</v>
      </c>
      <c r="CE71" t="s">
        <v>2968</v>
      </c>
      <c r="CF71" s="8">
        <v>0.20877192982456141</v>
      </c>
      <c r="CG71" s="9">
        <v>1.2600712636356397</v>
      </c>
      <c r="CH71" s="8">
        <v>-0.29014331102371216</v>
      </c>
      <c r="CI71" s="8">
        <v>-0.12175697088241577</v>
      </c>
      <c r="CJ71" s="8">
        <v>0.20975764095783234</v>
      </c>
      <c r="CK71" s="8">
        <v>2.4922119919210672E-3</v>
      </c>
      <c r="CL71" s="8">
        <v>0.10689650475978851</v>
      </c>
      <c r="CM71" s="9">
        <v>-0.46441638469696045</v>
      </c>
      <c r="CN71" s="9">
        <v>-0.45531913638114929</v>
      </c>
      <c r="CO71" s="9">
        <v>-0.23452769219875336</v>
      </c>
      <c r="CP71" s="9">
        <v>-6.6869303584098816E-2</v>
      </c>
      <c r="CQ71" s="9">
        <v>0.37656903266906738</v>
      </c>
      <c r="CR71">
        <v>9.6587662192788404</v>
      </c>
      <c r="CS71">
        <v>5.2066617681898304</v>
      </c>
      <c r="CT71">
        <v>0</v>
      </c>
      <c r="CU71" s="8">
        <v>-1.8550784839317203E-2</v>
      </c>
      <c r="CV71" s="9">
        <v>-0.1689126968383789</v>
      </c>
      <c r="CW71">
        <v>0.06</v>
      </c>
      <c r="CX71">
        <v>3.6362846019310195</v>
      </c>
      <c r="CY71" t="s">
        <v>2969</v>
      </c>
      <c r="CZ71">
        <v>-1.8550784839317203E-2</v>
      </c>
      <c r="DA71">
        <v>1.21209486731034</v>
      </c>
      <c r="DB71" t="s">
        <v>2970</v>
      </c>
      <c r="DC71">
        <v>-1.7623245597351341E-2</v>
      </c>
      <c r="DD71">
        <v>0.60604743365517</v>
      </c>
      <c r="DE71" t="s">
        <v>2971</v>
      </c>
      <c r="DF71">
        <v>-1.632469065859914E-2</v>
      </c>
      <c r="DG71">
        <v>0.36362846019310197</v>
      </c>
      <c r="DH71" t="s">
        <v>2972</v>
      </c>
      <c r="DI71">
        <v>-1.4840627871453764E-2</v>
      </c>
      <c r="DJ71">
        <v>0.18181423009655098</v>
      </c>
      <c r="DK71" t="s">
        <v>2973</v>
      </c>
      <c r="DL71">
        <v>-1.2985549387522041E-2</v>
      </c>
      <c r="DM71">
        <v>68554700</v>
      </c>
      <c r="DN71">
        <v>-1.8550784839317203E-2</v>
      </c>
      <c r="DO71">
        <v>249284400.00000048</v>
      </c>
      <c r="DP71">
        <v>1249489300</v>
      </c>
      <c r="DQ71">
        <v>4132</v>
      </c>
      <c r="DR71">
        <v>0.22732271466387863</v>
      </c>
      <c r="DS71">
        <v>1.4289839604740187</v>
      </c>
      <c r="DT71" s="10">
        <v>-0.47333333333333333</v>
      </c>
      <c r="DU71">
        <v>-0.56999999999999995</v>
      </c>
      <c r="DV71">
        <v>-1.0433333333333332</v>
      </c>
      <c r="DW71">
        <v>-3.0001130952380954</v>
      </c>
      <c r="DX71">
        <v>0.36224624803245092</v>
      </c>
      <c r="DY71">
        <v>-3.0000194802304323</v>
      </c>
      <c r="DZ71">
        <v>3193</v>
      </c>
      <c r="EA71">
        <v>-3.0000073079455456</v>
      </c>
      <c r="EB71">
        <v>3</v>
      </c>
      <c r="EC71">
        <v>4.3721165153739132E-2</v>
      </c>
      <c r="ED71">
        <v>0.25382943000560876</v>
      </c>
      <c r="EE71" s="11">
        <v>-3.0871</v>
      </c>
      <c r="EF71">
        <v>-3.0533000000000001</v>
      </c>
      <c r="EG71">
        <v>19.172246248032451</v>
      </c>
      <c r="EH71" t="s">
        <v>1599</v>
      </c>
      <c r="EI71">
        <v>0</v>
      </c>
      <c r="EJ71">
        <v>0</v>
      </c>
      <c r="EK71" s="13">
        <v>45470</v>
      </c>
      <c r="EL71" s="14">
        <v>3.64</v>
      </c>
      <c r="EM71" s="14">
        <v>-2.87</v>
      </c>
      <c r="EN71" s="14">
        <v>9.99</v>
      </c>
      <c r="EO71" s="14">
        <v>10.029999999999999</v>
      </c>
      <c r="EP71" s="14">
        <v>-3.38</v>
      </c>
    </row>
    <row r="72" spans="1:146" ht="96" x14ac:dyDescent="0.25">
      <c r="A72" s="7"/>
      <c r="B72" s="7" t="s">
        <v>1035</v>
      </c>
      <c r="C72" s="7" t="str">
        <f>""&amp;CHAR(10)&amp;Basic_Fundamental_Information_Constructure(F72)&amp;CHAR(10)&amp;Basic_Fundamental_Information_Concatenate("")</f>
        <v xml:space="preserve">
市值12.4281696亿, 利润2317.13万; PE; 平均PE-22.78; 平均PEG-1.29, PB3.57; ROIC0%; ROE-14.0933%; 股利率0%; 毛利40.3967%; 净利-43.2267%; 上一年度营收增140.93%, 利润增125.95%; 当季营收增-71.36%, 利润增-423.37%; 过往5年营收增17.67%, 利润增-67.87%
Income profile:
</v>
      </c>
      <c r="D72" t="s">
        <v>247</v>
      </c>
      <c r="E72" t="s">
        <v>504</v>
      </c>
      <c r="F72">
        <v>4.7300000000000004</v>
      </c>
      <c r="G72">
        <v>3.28</v>
      </c>
      <c r="H72" t="s">
        <v>2974</v>
      </c>
      <c r="I72">
        <v>1242816960</v>
      </c>
      <c r="K72">
        <v>3.57</v>
      </c>
      <c r="L72" t="s">
        <v>1762</v>
      </c>
      <c r="M72" t="s">
        <v>1446</v>
      </c>
      <c r="N72" t="s">
        <v>255</v>
      </c>
      <c r="O72" t="s">
        <v>2975</v>
      </c>
      <c r="P72">
        <v>-30.73</v>
      </c>
      <c r="Q72" t="s">
        <v>1277</v>
      </c>
      <c r="R72">
        <v>-28266634</v>
      </c>
      <c r="S72" s="5">
        <v>-5.4100000000000002E-2</v>
      </c>
      <c r="T72" t="s">
        <v>2976</v>
      </c>
      <c r="U72">
        <v>262752000</v>
      </c>
      <c r="V72">
        <v>262752000</v>
      </c>
      <c r="W72">
        <v>1.83</v>
      </c>
      <c r="X72">
        <v>0.05</v>
      </c>
      <c r="Y72">
        <v>-90.23</v>
      </c>
      <c r="Z72" t="s">
        <v>2977</v>
      </c>
      <c r="AA72" t="s">
        <v>2978</v>
      </c>
      <c r="AB72" t="s">
        <v>2979</v>
      </c>
      <c r="AC72" t="s">
        <v>2980</v>
      </c>
      <c r="AD72" t="s">
        <v>41</v>
      </c>
      <c r="AE72">
        <v>1624592</v>
      </c>
      <c r="AF72" t="s">
        <v>2981</v>
      </c>
      <c r="AG72">
        <v>-1429.06</v>
      </c>
      <c r="AH72" t="s">
        <v>2982</v>
      </c>
      <c r="AI72" t="s">
        <v>2983</v>
      </c>
      <c r="AJ72" t="s">
        <v>2984</v>
      </c>
      <c r="AK72" t="s">
        <v>2985</v>
      </c>
      <c r="AL72" t="s">
        <v>2986</v>
      </c>
      <c r="AM72" t="s">
        <v>41</v>
      </c>
      <c r="AN72" t="s">
        <v>2987</v>
      </c>
      <c r="AO72" t="s">
        <v>2988</v>
      </c>
      <c r="AP72" t="s">
        <v>41</v>
      </c>
      <c r="AQ72" t="s">
        <v>2989</v>
      </c>
      <c r="AR72" t="s">
        <v>2990</v>
      </c>
      <c r="AS72" t="s">
        <v>472</v>
      </c>
      <c r="AT72" t="s">
        <v>41</v>
      </c>
      <c r="AU72" t="s">
        <v>2991</v>
      </c>
      <c r="AV72" t="s">
        <v>2992</v>
      </c>
      <c r="AW72" t="s">
        <v>2993</v>
      </c>
      <c r="AX72" t="s">
        <v>356</v>
      </c>
      <c r="AY72" t="s">
        <v>280</v>
      </c>
      <c r="AZ72" t="s">
        <v>505</v>
      </c>
      <c r="BA72" t="s">
        <v>248</v>
      </c>
      <c r="BB72" t="s">
        <v>93</v>
      </c>
      <c r="BC72" t="s">
        <v>2994</v>
      </c>
      <c r="BD72" t="s">
        <v>818</v>
      </c>
      <c r="BE72" t="s">
        <v>506</v>
      </c>
      <c r="BF72" t="s">
        <v>249</v>
      </c>
      <c r="BG72" t="s">
        <v>507</v>
      </c>
      <c r="BH72" t="s">
        <v>1104</v>
      </c>
      <c r="BI72" t="s">
        <v>215</v>
      </c>
      <c r="BJ72" t="s">
        <v>356</v>
      </c>
      <c r="BK72" t="s">
        <v>2651</v>
      </c>
      <c r="BL72" t="s">
        <v>2995</v>
      </c>
      <c r="BM72" t="s">
        <v>2994</v>
      </c>
      <c r="BN72" t="s">
        <v>41</v>
      </c>
      <c r="BO72" t="s">
        <v>41</v>
      </c>
      <c r="BP72" t="s">
        <v>41</v>
      </c>
      <c r="BQ72">
        <v>-15.6</v>
      </c>
      <c r="BR72">
        <v>-16.239999999999998</v>
      </c>
      <c r="BS72">
        <v>-10.44</v>
      </c>
      <c r="BT72" t="s">
        <v>1081</v>
      </c>
      <c r="BU72" t="s">
        <v>1868</v>
      </c>
      <c r="BV72">
        <v>34.79</v>
      </c>
      <c r="BW72">
        <v>39.85</v>
      </c>
      <c r="BX72">
        <v>46.55</v>
      </c>
      <c r="BY72">
        <v>-66.599999999999994</v>
      </c>
      <c r="BZ72">
        <v>-38.53</v>
      </c>
      <c r="CA72">
        <v>-24.55</v>
      </c>
      <c r="CB72">
        <v>-9.39</v>
      </c>
      <c r="CC72">
        <v>-9.73</v>
      </c>
      <c r="CD72" t="s">
        <v>2996</v>
      </c>
      <c r="CE72" t="s">
        <v>1401</v>
      </c>
      <c r="CF72" s="8">
        <v>-0.71364732142857146</v>
      </c>
      <c r="CG72" s="9">
        <v>-4.2336506738051112</v>
      </c>
      <c r="CH72" s="8">
        <v>1.4092826843261719</v>
      </c>
      <c r="CI72" s="8">
        <v>-0.14130434393882751</v>
      </c>
      <c r="CJ72" s="8">
        <v>-0.11538461595773697</v>
      </c>
      <c r="CK72" s="8">
        <v>-0.16129031777381897</v>
      </c>
      <c r="CL72" s="8">
        <v>-0.10791366547346115</v>
      </c>
      <c r="CM72" s="9">
        <v>1.2595150470733643</v>
      </c>
      <c r="CN72" s="9">
        <v>-0.33593222498893738</v>
      </c>
      <c r="CO72" s="9">
        <v>-4.9990963935852051</v>
      </c>
      <c r="CP72" s="9">
        <v>1.1337000131607056</v>
      </c>
      <c r="CQ72" s="9">
        <v>-0.45164850354194641</v>
      </c>
      <c r="CR72">
        <v>-22.77980784916312</v>
      </c>
      <c r="CS72">
        <v>-1.2893407511544488</v>
      </c>
      <c r="CT72">
        <v>0</v>
      </c>
      <c r="CU72" s="8">
        <v>0.17667794823646546</v>
      </c>
      <c r="CV72" s="9">
        <v>-0.67869241237640376</v>
      </c>
      <c r="CW72">
        <v>0.06</v>
      </c>
      <c r="CX72">
        <v>46.490322542631993</v>
      </c>
      <c r="CY72">
        <v>25721846.926388312</v>
      </c>
      <c r="CZ72">
        <v>0.17667794823646546</v>
      </c>
      <c r="DA72">
        <v>14.127884095766747</v>
      </c>
      <c r="DB72">
        <v>84642325.198457167</v>
      </c>
      <c r="DC72">
        <v>0.16784405082464218</v>
      </c>
      <c r="DD72">
        <v>6.2917211389685246</v>
      </c>
      <c r="DE72">
        <v>190061977.25349987</v>
      </c>
      <c r="DF72">
        <v>0.15547659444808962</v>
      </c>
      <c r="DG72">
        <v>3.3601638041367314</v>
      </c>
      <c r="DH72">
        <v>355880555.14669186</v>
      </c>
      <c r="DI72">
        <v>0.14134235858917238</v>
      </c>
      <c r="DJ72">
        <v>1.3224323365685966</v>
      </c>
      <c r="DK72">
        <v>904255686.2325871</v>
      </c>
      <c r="DL72">
        <v>0.12367456376552581</v>
      </c>
      <c r="DM72">
        <v>23171300</v>
      </c>
      <c r="DN72">
        <v>0.17667794823646546</v>
      </c>
      <c r="DO72">
        <v>1195816960</v>
      </c>
      <c r="DP72">
        <v>-18306680</v>
      </c>
      <c r="DQ72">
        <v>4136</v>
      </c>
      <c r="DR72">
        <v>-0.89032526966503689</v>
      </c>
      <c r="DS72">
        <v>-3.5549582614287072</v>
      </c>
      <c r="DT72" s="10">
        <v>-0.22333333333333336</v>
      </c>
      <c r="DU72">
        <v>-2.0983333333333336</v>
      </c>
      <c r="DV72">
        <v>-2.3216666666666668</v>
      </c>
      <c r="DW72">
        <v>-9.9650565262076061</v>
      </c>
      <c r="DX72">
        <v>0.40519895081967294</v>
      </c>
      <c r="DY72">
        <v>-9.1208240645628695</v>
      </c>
      <c r="DZ72">
        <v>4082</v>
      </c>
      <c r="EA72">
        <v>-9.0243066806987535</v>
      </c>
      <c r="EB72">
        <v>9</v>
      </c>
      <c r="EC72">
        <v>0.31972544452563634</v>
      </c>
      <c r="ED72">
        <v>2.5537388868590916</v>
      </c>
      <c r="EE72" s="11">
        <v>5.9400000000000001E-2</v>
      </c>
      <c r="EF72">
        <v>2.9300000000000003E-2</v>
      </c>
      <c r="EG72">
        <v>28.125198950819673</v>
      </c>
      <c r="EH72" t="s">
        <v>860</v>
      </c>
      <c r="EI72">
        <v>0</v>
      </c>
      <c r="EJ72">
        <v>0</v>
      </c>
      <c r="EK72" s="13">
        <v>45470</v>
      </c>
      <c r="EL72" s="14">
        <v>0.14000000000000001</v>
      </c>
      <c r="EM72" s="14">
        <v>10.029999999999999</v>
      </c>
      <c r="EN72" s="14">
        <v>1.97</v>
      </c>
      <c r="EO72" s="14">
        <v>0.36</v>
      </c>
      <c r="EP72" s="14">
        <v>-3.01</v>
      </c>
    </row>
    <row r="73" spans="1:146" ht="96" x14ac:dyDescent="0.25">
      <c r="A73" s="7"/>
      <c r="B73" s="7"/>
      <c r="C73" s="7" t="str">
        <f>""&amp;CHAR(10)&amp;Basic_Fundamental_Information_Constructure(F73)&amp;CHAR(10)&amp;Basic_Fundamental_Information_Concatenate("")</f>
        <v xml:space="preserve">
市值57.781674亿, 利润1.99亿; PE11.51; 平均PE16.77; 平均PEG1.94, PB1.82; ROIC12.3833%; ROE14.0067%; 股利率3.4082%; 毛利24.3367%; 净利9.5733%; 上一年度营收增-64.05%, 利润增-56.55%; 当季营收增250.46%, 利润增199.94%; 过往5年营收增-8.64%, 利润增-4.55%
Income profile:
</v>
      </c>
      <c r="D73" t="s">
        <v>252</v>
      </c>
      <c r="E73" t="s">
        <v>253</v>
      </c>
      <c r="F73">
        <v>12.91</v>
      </c>
      <c r="G73">
        <v>1.25</v>
      </c>
      <c r="H73" t="s">
        <v>2997</v>
      </c>
      <c r="I73">
        <v>5778167400</v>
      </c>
      <c r="J73">
        <v>11.51</v>
      </c>
      <c r="K73">
        <v>1.82</v>
      </c>
      <c r="L73" t="s">
        <v>1762</v>
      </c>
      <c r="M73" t="s">
        <v>2173</v>
      </c>
      <c r="N73" t="s">
        <v>2998</v>
      </c>
      <c r="O73" t="s">
        <v>2999</v>
      </c>
      <c r="P73">
        <v>42.68</v>
      </c>
      <c r="Q73" t="s">
        <v>3000</v>
      </c>
      <c r="R73">
        <v>122811608</v>
      </c>
      <c r="S73" s="5">
        <v>1.7030000000000001</v>
      </c>
      <c r="T73" t="s">
        <v>571</v>
      </c>
      <c r="U73">
        <v>447573000</v>
      </c>
      <c r="V73">
        <v>447573000</v>
      </c>
      <c r="W73">
        <v>1.45</v>
      </c>
      <c r="X73">
        <v>0.25</v>
      </c>
      <c r="Y73">
        <v>10.66</v>
      </c>
      <c r="Z73" t="s">
        <v>1320</v>
      </c>
      <c r="AA73" t="s">
        <v>1577</v>
      </c>
      <c r="AB73" t="s">
        <v>3001</v>
      </c>
      <c r="AC73" t="s">
        <v>3002</v>
      </c>
      <c r="AD73" t="s">
        <v>41</v>
      </c>
      <c r="AE73">
        <v>446384</v>
      </c>
      <c r="AF73" t="s">
        <v>3003</v>
      </c>
      <c r="AG73">
        <v>2.87</v>
      </c>
      <c r="AH73" t="s">
        <v>3004</v>
      </c>
      <c r="AI73" t="s">
        <v>3005</v>
      </c>
      <c r="AJ73" t="s">
        <v>3006</v>
      </c>
      <c r="AK73" t="s">
        <v>3007</v>
      </c>
      <c r="AL73" t="s">
        <v>3008</v>
      </c>
      <c r="AM73" t="s">
        <v>41</v>
      </c>
      <c r="AN73" t="s">
        <v>3009</v>
      </c>
      <c r="AO73" t="s">
        <v>89</v>
      </c>
      <c r="AP73" t="s">
        <v>1293</v>
      </c>
      <c r="AQ73" t="s">
        <v>384</v>
      </c>
      <c r="AR73" t="s">
        <v>41</v>
      </c>
      <c r="AS73" t="s">
        <v>3010</v>
      </c>
      <c r="AT73" t="s">
        <v>3011</v>
      </c>
      <c r="AU73" t="s">
        <v>449</v>
      </c>
      <c r="AV73" t="s">
        <v>3012</v>
      </c>
      <c r="AW73" t="s">
        <v>3013</v>
      </c>
      <c r="AX73" t="s">
        <v>1318</v>
      </c>
      <c r="AY73" t="s">
        <v>819</v>
      </c>
      <c r="AZ73" t="s">
        <v>508</v>
      </c>
      <c r="BA73" t="s">
        <v>254</v>
      </c>
      <c r="BB73" t="s">
        <v>509</v>
      </c>
      <c r="BC73" t="s">
        <v>1316</v>
      </c>
      <c r="BD73" t="s">
        <v>369</v>
      </c>
      <c r="BE73" t="s">
        <v>297</v>
      </c>
      <c r="BF73" t="s">
        <v>255</v>
      </c>
      <c r="BG73" t="s">
        <v>102</v>
      </c>
      <c r="BH73" t="s">
        <v>3014</v>
      </c>
      <c r="BI73" t="s">
        <v>245</v>
      </c>
      <c r="BJ73" t="s">
        <v>1318</v>
      </c>
      <c r="BK73" t="s">
        <v>868</v>
      </c>
      <c r="BL73" t="s">
        <v>3015</v>
      </c>
      <c r="BM73" t="s">
        <v>1316</v>
      </c>
      <c r="BN73">
        <v>8.41</v>
      </c>
      <c r="BO73">
        <v>15.03</v>
      </c>
      <c r="BP73">
        <v>13.71</v>
      </c>
      <c r="BQ73">
        <v>9.84</v>
      </c>
      <c r="BR73">
        <v>16.899999999999999</v>
      </c>
      <c r="BS73">
        <v>15.28</v>
      </c>
      <c r="BT73" t="s">
        <v>3016</v>
      </c>
      <c r="BU73" t="s">
        <v>1777</v>
      </c>
      <c r="BV73">
        <v>25.97</v>
      </c>
      <c r="BW73">
        <v>24.28</v>
      </c>
      <c r="BX73">
        <v>22.76</v>
      </c>
      <c r="BY73">
        <v>9.7899999999999991</v>
      </c>
      <c r="BZ73">
        <v>10.94</v>
      </c>
      <c r="CA73">
        <v>7.99</v>
      </c>
      <c r="CB73">
        <v>-2.12</v>
      </c>
      <c r="CC73">
        <v>-15.84</v>
      </c>
      <c r="CD73" t="s">
        <v>3017</v>
      </c>
      <c r="CE73" t="s">
        <v>3018</v>
      </c>
      <c r="CF73" s="8">
        <v>2.5045592705167175</v>
      </c>
      <c r="CG73" s="9">
        <v>1.9993993952922673</v>
      </c>
      <c r="CH73" s="8">
        <v>-0.64046823978424072</v>
      </c>
      <c r="CI73" s="8">
        <v>-0.1116299107670784</v>
      </c>
      <c r="CJ73" s="8">
        <v>0.22868315875530243</v>
      </c>
      <c r="CK73" s="8">
        <v>0.13026824593544006</v>
      </c>
      <c r="CL73" s="8">
        <v>-3.8810182362794876E-2</v>
      </c>
      <c r="CM73" s="9">
        <v>-0.56550216674804688</v>
      </c>
      <c r="CN73" s="9">
        <v>0.21808511018753052</v>
      </c>
      <c r="CO73" s="9">
        <v>3.0136985704302788E-2</v>
      </c>
      <c r="CP73" s="9">
        <v>9.28143709897995E-2</v>
      </c>
      <c r="CQ73" s="9">
        <v>-2.9850746504962444E-3</v>
      </c>
      <c r="CR73">
        <v>16.772619448476053</v>
      </c>
      <c r="CS73">
        <v>1.9414689697722218</v>
      </c>
      <c r="CT73">
        <v>3.4082106893880715</v>
      </c>
      <c r="CU73" s="8">
        <v>-8.6391385644674301E-2</v>
      </c>
      <c r="CV73" s="9">
        <v>-4.5490154903382062E-2</v>
      </c>
      <c r="CW73">
        <v>0.06</v>
      </c>
      <c r="CX73">
        <v>21.036017085427137</v>
      </c>
      <c r="CY73" t="s">
        <v>3019</v>
      </c>
      <c r="CZ73">
        <v>-8.6391385644674301E-2</v>
      </c>
      <c r="DA73">
        <v>7.0120056951423786</v>
      </c>
      <c r="DB73" t="s">
        <v>3020</v>
      </c>
      <c r="DC73">
        <v>-8.2071816362440583E-2</v>
      </c>
      <c r="DD73">
        <v>3.5060028475711893</v>
      </c>
      <c r="DE73" t="s">
        <v>3021</v>
      </c>
      <c r="DF73">
        <v>-7.6024419367313384E-2</v>
      </c>
      <c r="DG73">
        <v>2.1036017085427137</v>
      </c>
      <c r="DH73" t="s">
        <v>3022</v>
      </c>
      <c r="DI73">
        <v>-6.9113108515739444E-2</v>
      </c>
      <c r="DJ73">
        <v>1.0518008542713568</v>
      </c>
      <c r="DK73" t="s">
        <v>3023</v>
      </c>
      <c r="DL73">
        <v>-6.0473969951272008E-2</v>
      </c>
      <c r="DM73">
        <v>199000000</v>
      </c>
      <c r="DN73">
        <v>-8.6391385644674301E-2</v>
      </c>
      <c r="DO73">
        <v>4186167400</v>
      </c>
      <c r="DP73">
        <v>1658410700</v>
      </c>
      <c r="DQ73">
        <v>4143</v>
      </c>
      <c r="DR73">
        <v>2.5909506561613918</v>
      </c>
      <c r="DS73">
        <v>2.0448895501956494</v>
      </c>
      <c r="DT73" s="10">
        <v>-0.64</v>
      </c>
      <c r="DU73">
        <v>-1.6666666666666663E-2</v>
      </c>
      <c r="DV73">
        <v>-0.65666666666666673</v>
      </c>
      <c r="DW73">
        <v>-2.1583999999999999</v>
      </c>
      <c r="DX73">
        <v>0.34435279818961689</v>
      </c>
      <c r="DY73">
        <v>-2.0244494832332349</v>
      </c>
      <c r="DZ73">
        <v>2004</v>
      </c>
      <c r="EA73">
        <v>-2.0148610753272851</v>
      </c>
      <c r="EB73">
        <v>2</v>
      </c>
      <c r="EC73">
        <v>2.2813485174485504E-2</v>
      </c>
      <c r="ED73">
        <v>0.14780091739224663</v>
      </c>
      <c r="EE73" s="11">
        <v>1.1201099999999999</v>
      </c>
      <c r="EF73">
        <v>3.7100000000000089E-3</v>
      </c>
      <c r="EG73">
        <v>19.154352798189617</v>
      </c>
      <c r="EH73">
        <v>-1</v>
      </c>
      <c r="EI73">
        <v>0</v>
      </c>
      <c r="EJ73">
        <v>0</v>
      </c>
      <c r="EK73" s="13">
        <v>45470</v>
      </c>
      <c r="EL73" s="14">
        <v>-2.4500000000000002</v>
      </c>
      <c r="EM73" s="14">
        <v>-5.26</v>
      </c>
      <c r="EN73" s="14">
        <v>-1.45</v>
      </c>
      <c r="EO73" s="14">
        <v>1.92</v>
      </c>
      <c r="EP73" s="14">
        <v>-3.36</v>
      </c>
    </row>
    <row r="74" spans="1:146" ht="168" x14ac:dyDescent="0.25">
      <c r="A74" s="7" t="s">
        <v>591</v>
      </c>
      <c r="B74" s="7" t="s">
        <v>592</v>
      </c>
      <c r="C74" s="7" t="str">
        <f>"公司聚焦健康家具的研发、设计和制造，为国际知名家具品牌提供 ODM 为主的产品解决方案，与国内外多家知名采购商、零售商、品牌商建立了长期战略合作关系，同时大力推进自主品牌业务发展，加快布局国内线上线下销售渠道"&amp;CHAR(10)&amp;Basic_Fundamental_Information_Constructure(F74)&amp;CHAR(10)&amp;Basic_Fundamental_Information_Concatenate("办公椅 16.40亿 74.17% 73.52% 20.03%
沙发 4.74亿 21.45% 16.80% 15.83%
其他 2.09亿 9.46% 3.14% 6.71%
按摩椅椅身 1.87亿 8.44% 6.77% 16.22%")</f>
        <v>公司聚焦健康家具的研发、设计和制造，为国际知名家具品牌提供 ODM 为主的产品解决方案，与国内外多家知名采购商、零售商、品牌商建立了长期战略合作关系，同时大力推进自主品牌业务发展，加快布局国内线上线下销售渠道
市值36.035993亿, 利润3813.27万; PE12.48; 平均PE20.19; 平均PEG18.94, PB1.66; ROIC11.3333%; ROE14.9667%; 股利率3.6765%; 毛利18.9533%; 净利6.9267%; 上一年度营收增-59.16%, 利润增-88.62%; 当季营收增127.32%, 利润增28.29%; 过往5年营收增1.07%, 利润增15.34%
Income profile:
办公椅 16.40亿 74.17% 73.52% 20.03%
沙发 4.74亿 21.45% 16.80% 15.83%
其他 2.09亿 9.46% 3.14% 6.71%
按摩椅椅身 1.87亿 8.44% 6.77% 16.22%</v>
      </c>
      <c r="D74" t="s">
        <v>257</v>
      </c>
      <c r="E74" t="s">
        <v>25</v>
      </c>
      <c r="F74">
        <v>10.88</v>
      </c>
      <c r="G74">
        <v>6.04</v>
      </c>
      <c r="H74" t="s">
        <v>3024</v>
      </c>
      <c r="I74">
        <v>3603599300</v>
      </c>
      <c r="J74">
        <v>12.48</v>
      </c>
      <c r="K74">
        <v>1.66</v>
      </c>
      <c r="L74" t="s">
        <v>1762</v>
      </c>
      <c r="M74" t="s">
        <v>997</v>
      </c>
      <c r="N74" t="s">
        <v>1689</v>
      </c>
      <c r="O74" t="s">
        <v>406</v>
      </c>
      <c r="P74">
        <v>22.96</v>
      </c>
      <c r="Q74" t="s">
        <v>3025</v>
      </c>
      <c r="R74">
        <v>42692637</v>
      </c>
      <c r="S74" s="5">
        <v>-0.17469999999999999</v>
      </c>
      <c r="T74" t="s">
        <v>3026</v>
      </c>
      <c r="U74">
        <v>300818030</v>
      </c>
      <c r="V74">
        <v>331213170</v>
      </c>
      <c r="W74">
        <v>1.6</v>
      </c>
      <c r="X74">
        <v>0.25</v>
      </c>
      <c r="Y74">
        <v>5.17</v>
      </c>
      <c r="Z74" t="s">
        <v>1475</v>
      </c>
      <c r="AA74" t="s">
        <v>3027</v>
      </c>
      <c r="AB74" t="s">
        <v>3028</v>
      </c>
      <c r="AC74" t="s">
        <v>3029</v>
      </c>
      <c r="AD74" t="s">
        <v>41</v>
      </c>
      <c r="AE74">
        <v>-2327935</v>
      </c>
      <c r="AF74" t="s">
        <v>3030</v>
      </c>
      <c r="AG74" t="s">
        <v>3031</v>
      </c>
      <c r="AH74" t="s">
        <v>3032</v>
      </c>
      <c r="AI74" t="s">
        <v>1276</v>
      </c>
      <c r="AJ74" t="s">
        <v>3033</v>
      </c>
      <c r="AK74" t="s">
        <v>3034</v>
      </c>
      <c r="AL74" t="s">
        <v>3035</v>
      </c>
      <c r="AM74" t="s">
        <v>41</v>
      </c>
      <c r="AN74" t="s">
        <v>957</v>
      </c>
      <c r="AO74" t="s">
        <v>431</v>
      </c>
      <c r="AP74" t="s">
        <v>3036</v>
      </c>
      <c r="AQ74" t="s">
        <v>1316</v>
      </c>
      <c r="AR74" t="s">
        <v>3037</v>
      </c>
      <c r="AS74" t="s">
        <v>532</v>
      </c>
      <c r="AT74" t="s">
        <v>41</v>
      </c>
      <c r="AU74" t="s">
        <v>3038</v>
      </c>
      <c r="AV74" t="s">
        <v>3039</v>
      </c>
      <c r="AW74" t="s">
        <v>362</v>
      </c>
      <c r="AX74" t="s">
        <v>1220</v>
      </c>
      <c r="AY74" t="s">
        <v>820</v>
      </c>
      <c r="AZ74" t="s">
        <v>510</v>
      </c>
      <c r="BA74" t="s">
        <v>258</v>
      </c>
      <c r="BB74" t="s">
        <v>511</v>
      </c>
      <c r="BC74" t="s">
        <v>102</v>
      </c>
      <c r="BD74" t="s">
        <v>259</v>
      </c>
      <c r="BE74" t="s">
        <v>209</v>
      </c>
      <c r="BF74" t="s">
        <v>259</v>
      </c>
      <c r="BG74" t="s">
        <v>64</v>
      </c>
      <c r="BH74" t="s">
        <v>1576</v>
      </c>
      <c r="BI74" t="s">
        <v>1255</v>
      </c>
      <c r="BJ74" t="s">
        <v>1220</v>
      </c>
      <c r="BK74" t="s">
        <v>92</v>
      </c>
      <c r="BL74" t="s">
        <v>3040</v>
      </c>
      <c r="BM74" t="s">
        <v>102</v>
      </c>
      <c r="BN74">
        <v>8.02</v>
      </c>
      <c r="BO74">
        <v>16</v>
      </c>
      <c r="BP74">
        <v>9.98</v>
      </c>
      <c r="BQ74">
        <v>11.2</v>
      </c>
      <c r="BR74">
        <v>20.98</v>
      </c>
      <c r="BS74">
        <v>12.72</v>
      </c>
      <c r="BT74" t="s">
        <v>2349</v>
      </c>
      <c r="BU74" t="s">
        <v>1868</v>
      </c>
      <c r="BV74">
        <v>22.88</v>
      </c>
      <c r="BW74">
        <v>19.34</v>
      </c>
      <c r="BX74">
        <v>14.64</v>
      </c>
      <c r="BY74">
        <v>8.5500000000000007</v>
      </c>
      <c r="BZ74">
        <v>8.32</v>
      </c>
      <c r="CA74">
        <v>3.91</v>
      </c>
      <c r="CB74">
        <v>4.21</v>
      </c>
      <c r="CC74">
        <v>1.97</v>
      </c>
      <c r="CD74" t="s">
        <v>3041</v>
      </c>
      <c r="CE74" t="s">
        <v>3042</v>
      </c>
      <c r="CF74" s="8">
        <v>1.273209549071618</v>
      </c>
      <c r="CG74" s="9">
        <v>0.28288946316690955</v>
      </c>
      <c r="CH74" s="8">
        <v>-0.59161531925201416</v>
      </c>
      <c r="CI74" s="8">
        <v>-0.12964150309562683</v>
      </c>
      <c r="CJ74" s="8">
        <v>0.35672673583030701</v>
      </c>
      <c r="CK74" s="8">
        <v>0.40163278579711914</v>
      </c>
      <c r="CL74" s="8">
        <v>1.6175780445337296E-2</v>
      </c>
      <c r="CM74" s="9">
        <v>-0.88617104291915894</v>
      </c>
      <c r="CN74" s="9">
        <v>0.85082870721817017</v>
      </c>
      <c r="CO74" s="9">
        <v>-0.21982759237289429</v>
      </c>
      <c r="CP74" s="9">
        <v>0.28176796436309814</v>
      </c>
      <c r="CQ74" s="9">
        <v>0.74038463830947876</v>
      </c>
      <c r="CR74">
        <v>20.18573030213717</v>
      </c>
      <c r="CS74">
        <v>18.943605754406477</v>
      </c>
      <c r="CT74">
        <v>3.6764705882352939</v>
      </c>
      <c r="CU74" s="8">
        <v>1.0655695945024491E-2</v>
      </c>
      <c r="CV74" s="9">
        <v>0.15339653491973876</v>
      </c>
      <c r="CW74">
        <v>0.06</v>
      </c>
      <c r="CX74">
        <v>71.968475208833098</v>
      </c>
      <c r="CY74">
        <v>36357575.90260645</v>
      </c>
      <c r="CZ74">
        <v>1.0655695945024491E-2</v>
      </c>
      <c r="DA74">
        <v>25.167813183246359</v>
      </c>
      <c r="DB74">
        <v>103966096.73429278</v>
      </c>
      <c r="DC74">
        <v>1.0122911147773266E-2</v>
      </c>
      <c r="DD74">
        <v>13.525597433240042</v>
      </c>
      <c r="DE74">
        <v>193455358.47233894</v>
      </c>
      <c r="DF74">
        <v>9.3770124316215515E-3</v>
      </c>
      <c r="DG74">
        <v>8.9313292263155066</v>
      </c>
      <c r="DH74">
        <v>292968631.39815539</v>
      </c>
      <c r="DI74">
        <v>8.5245567560195933E-3</v>
      </c>
      <c r="DJ74">
        <v>5.6070210219357275</v>
      </c>
      <c r="DK74">
        <v>466664792.18882328</v>
      </c>
      <c r="DL74">
        <v>7.4589871615171428E-3</v>
      </c>
      <c r="DM74">
        <v>38132700</v>
      </c>
      <c r="DN74">
        <v>1.0655695945024491E-2</v>
      </c>
      <c r="DO74">
        <v>2616599300</v>
      </c>
      <c r="DP74">
        <v>698725600</v>
      </c>
      <c r="DQ74">
        <v>4204</v>
      </c>
      <c r="DR74">
        <v>1.2625538531265934</v>
      </c>
      <c r="DS74">
        <v>0.12949292824717079</v>
      </c>
      <c r="DT74" s="10">
        <v>-0.35666666666666669</v>
      </c>
      <c r="DU74">
        <v>0.36999999999999994</v>
      </c>
      <c r="DV74">
        <v>1.3333333333333253E-2</v>
      </c>
      <c r="DW74">
        <v>4.4679334916864608</v>
      </c>
      <c r="DX74">
        <v>0.69799623618703976</v>
      </c>
      <c r="DY74">
        <v>4.0879697352229138</v>
      </c>
      <c r="DZ74">
        <v>3049</v>
      </c>
      <c r="EA74">
        <v>4.0354805526994966</v>
      </c>
      <c r="EB74">
        <v>4</v>
      </c>
      <c r="EC74">
        <v>4.9048774238053393E-2</v>
      </c>
      <c r="ED74">
        <v>0.26090297073633878</v>
      </c>
      <c r="EE74" s="11">
        <v>-1.0185</v>
      </c>
      <c r="EF74">
        <v>-1.0113000000000001</v>
      </c>
      <c r="EG74">
        <v>51.18799623618704</v>
      </c>
      <c r="EH74" t="s">
        <v>1093</v>
      </c>
      <c r="EI74">
        <v>0</v>
      </c>
      <c r="EJ74">
        <v>0</v>
      </c>
      <c r="EK74" s="13">
        <v>45470</v>
      </c>
      <c r="EL74" s="14">
        <v>-1.07</v>
      </c>
      <c r="EM74" s="14">
        <v>-3.96</v>
      </c>
      <c r="EN74" s="14">
        <v>1.5</v>
      </c>
      <c r="EO74" s="14">
        <v>2.95</v>
      </c>
      <c r="EP74" s="14">
        <v>-0.72</v>
      </c>
    </row>
    <row r="75" spans="1:146" ht="96" x14ac:dyDescent="0.25">
      <c r="A75" s="7"/>
      <c r="B75" s="7"/>
      <c r="C75" s="7" t="str">
        <f>""&amp;CHAR(10)&amp;Basic_Fundamental_Information_Constructure(F75)&amp;CHAR(10)&amp;Basic_Fundamental_Information_Concatenate("")</f>
        <v xml:space="preserve">
市值35.096098亿, 利润4.58亿; PE15.48; 平均PE11.67; 平均PEG.33, PB1.06; ROIC5.0133%; ROE6.11%; 股利率10.2145%; 毛利34.5867%; 净利6.46%; 上一年度营收增161.47%, 利润增1514.87%; 当季营收增-55.27%, 利润增-56.8%; 过往5年营收增35.53%, 利润增291.5%
Income profile:
</v>
      </c>
      <c r="D75" t="s">
        <v>260</v>
      </c>
      <c r="E75" t="s">
        <v>261</v>
      </c>
      <c r="F75">
        <v>9.7899999999999991</v>
      </c>
      <c r="G75">
        <v>1.77</v>
      </c>
      <c r="H75" t="s">
        <v>3043</v>
      </c>
      <c r="I75">
        <v>3509609800</v>
      </c>
      <c r="J75">
        <v>15.48</v>
      </c>
      <c r="K75">
        <v>1.06</v>
      </c>
      <c r="L75" t="s">
        <v>1762</v>
      </c>
      <c r="M75" t="s">
        <v>1142</v>
      </c>
      <c r="N75" t="s">
        <v>3044</v>
      </c>
      <c r="O75" t="s">
        <v>2021</v>
      </c>
      <c r="P75">
        <v>8.48</v>
      </c>
      <c r="Q75" t="s">
        <v>3045</v>
      </c>
      <c r="R75">
        <v>44932777</v>
      </c>
      <c r="S75" s="5">
        <v>0.87949999999999995</v>
      </c>
      <c r="T75" t="s">
        <v>1316</v>
      </c>
      <c r="U75">
        <v>358489250</v>
      </c>
      <c r="V75">
        <v>358489250</v>
      </c>
      <c r="W75">
        <v>1.53</v>
      </c>
      <c r="X75">
        <v>0.15</v>
      </c>
      <c r="Y75">
        <v>5.95</v>
      </c>
      <c r="Z75" t="s">
        <v>1401</v>
      </c>
      <c r="AA75" t="s">
        <v>346</v>
      </c>
      <c r="AB75" t="s">
        <v>3046</v>
      </c>
      <c r="AC75" t="s">
        <v>3047</v>
      </c>
      <c r="AD75" t="s">
        <v>41</v>
      </c>
      <c r="AE75">
        <v>-16603631</v>
      </c>
      <c r="AF75" t="s">
        <v>3048</v>
      </c>
      <c r="AG75" t="s">
        <v>3049</v>
      </c>
      <c r="AH75" t="s">
        <v>3050</v>
      </c>
      <c r="AI75" t="s">
        <v>3051</v>
      </c>
      <c r="AJ75" t="s">
        <v>3052</v>
      </c>
      <c r="AK75" t="s">
        <v>41</v>
      </c>
      <c r="AL75" t="s">
        <v>3053</v>
      </c>
      <c r="AM75" t="s">
        <v>41</v>
      </c>
      <c r="AN75" t="s">
        <v>3054</v>
      </c>
      <c r="AO75" t="s">
        <v>3055</v>
      </c>
      <c r="AP75" t="s">
        <v>41</v>
      </c>
      <c r="AQ75" t="s">
        <v>1815</v>
      </c>
      <c r="AR75" t="s">
        <v>41</v>
      </c>
      <c r="AS75" t="s">
        <v>3056</v>
      </c>
      <c r="AT75" t="s">
        <v>965</v>
      </c>
      <c r="AU75" t="s">
        <v>3057</v>
      </c>
      <c r="AV75" t="s">
        <v>3058</v>
      </c>
      <c r="AW75" t="s">
        <v>3059</v>
      </c>
      <c r="AX75" t="s">
        <v>1222</v>
      </c>
      <c r="AY75" t="s">
        <v>821</v>
      </c>
      <c r="AZ75" t="s">
        <v>512</v>
      </c>
      <c r="BA75" t="s">
        <v>262</v>
      </c>
      <c r="BB75" t="s">
        <v>513</v>
      </c>
      <c r="BC75" t="s">
        <v>3060</v>
      </c>
      <c r="BD75" t="s">
        <v>121</v>
      </c>
      <c r="BE75" t="s">
        <v>152</v>
      </c>
      <c r="BF75" t="s">
        <v>263</v>
      </c>
      <c r="BG75" t="s">
        <v>479</v>
      </c>
      <c r="BH75" t="s">
        <v>3061</v>
      </c>
      <c r="BI75" t="s">
        <v>3062</v>
      </c>
      <c r="BJ75" t="s">
        <v>1222</v>
      </c>
      <c r="BK75" t="s">
        <v>422</v>
      </c>
      <c r="BL75" t="s">
        <v>64</v>
      </c>
      <c r="BM75" t="s">
        <v>3060</v>
      </c>
      <c r="BN75">
        <v>3.69</v>
      </c>
      <c r="BO75">
        <v>0.61</v>
      </c>
      <c r="BP75">
        <v>10.74</v>
      </c>
      <c r="BQ75">
        <v>5.9</v>
      </c>
      <c r="BR75">
        <v>0.81</v>
      </c>
      <c r="BS75">
        <v>11.62</v>
      </c>
      <c r="BT75" t="s">
        <v>1112</v>
      </c>
      <c r="BU75" t="s">
        <v>1868</v>
      </c>
      <c r="BV75">
        <v>36.68</v>
      </c>
      <c r="BW75">
        <v>31.61</v>
      </c>
      <c r="BX75">
        <v>35.47</v>
      </c>
      <c r="BY75">
        <v>6.57</v>
      </c>
      <c r="BZ75">
        <v>0.87</v>
      </c>
      <c r="CA75">
        <v>11.94</v>
      </c>
      <c r="CB75">
        <v>-0.91</v>
      </c>
      <c r="CC75">
        <v>-15.02</v>
      </c>
      <c r="CD75" t="s">
        <v>3063</v>
      </c>
      <c r="CE75" t="s">
        <v>107</v>
      </c>
      <c r="CF75" s="8">
        <v>-0.55266272189349108</v>
      </c>
      <c r="CG75" s="9">
        <v>-0.56795406730769227</v>
      </c>
      <c r="CH75" s="8">
        <v>1.6147201061248779</v>
      </c>
      <c r="CI75" s="8">
        <v>-0.10246039181947708</v>
      </c>
      <c r="CJ75" s="8">
        <v>0.31283187866210938</v>
      </c>
      <c r="CK75" s="8">
        <v>-0.10636612772941589</v>
      </c>
      <c r="CL75" s="8">
        <v>5.7716380804777145E-2</v>
      </c>
      <c r="CM75" s="9">
        <v>15.148652076721191</v>
      </c>
      <c r="CN75" s="9">
        <v>-0.92055600881576538</v>
      </c>
      <c r="CO75" s="9">
        <v>0.30769231915473938</v>
      </c>
      <c r="CP75" s="9">
        <v>-0.30886074900627136</v>
      </c>
      <c r="CQ75" s="9">
        <v>0.34812286496162415</v>
      </c>
      <c r="CR75">
        <v>11.670421254277482</v>
      </c>
      <c r="CS75">
        <v>0.32847743595643253</v>
      </c>
      <c r="CT75">
        <v>10.214504596527069</v>
      </c>
      <c r="CU75" s="8">
        <v>0.35528836920857432</v>
      </c>
      <c r="CV75" s="9">
        <v>2.9150101006031037</v>
      </c>
      <c r="CW75">
        <v>0.06</v>
      </c>
      <c r="CX75">
        <v>3.1551421689047756</v>
      </c>
      <c r="CY75">
        <v>585586861.41276133</v>
      </c>
      <c r="CZ75">
        <v>0.35528836920857432</v>
      </c>
      <c r="DA75">
        <v>0.8295417306299292</v>
      </c>
      <c r="DB75">
        <v>2227265647.7414107</v>
      </c>
      <c r="DC75">
        <v>0.33752395074814556</v>
      </c>
      <c r="DD75">
        <v>0.29791358297485238</v>
      </c>
      <c r="DE75">
        <v>6201831355.0878325</v>
      </c>
      <c r="DF75">
        <v>0.31265376490354541</v>
      </c>
      <c r="DG75">
        <v>0.12115945343667991</v>
      </c>
      <c r="DH75">
        <v>15249406856.771549</v>
      </c>
      <c r="DI75">
        <v>0.28423069536685946</v>
      </c>
      <c r="DJ75">
        <v>2.3917589652336712E-2</v>
      </c>
      <c r="DK75">
        <v>77248996527.519714</v>
      </c>
      <c r="DL75">
        <v>0.24870185844600201</v>
      </c>
      <c r="DM75">
        <v>458000000</v>
      </c>
      <c r="DN75">
        <v>0.35528836920857432</v>
      </c>
      <c r="DO75">
        <v>1847609800</v>
      </c>
      <c r="DP75">
        <v>1701217900</v>
      </c>
      <c r="DQ75">
        <v>4212</v>
      </c>
      <c r="DR75">
        <v>-0.9079510911020654</v>
      </c>
      <c r="DS75">
        <v>-3.4829641679107959</v>
      </c>
      <c r="DT75" s="10">
        <v>2.6666666666666616E-2</v>
      </c>
      <c r="DU75">
        <v>-0.10333333333333337</v>
      </c>
      <c r="DV75">
        <v>-7.6666666666666758E-2</v>
      </c>
      <c r="DW75">
        <v>-2.1501999999999999</v>
      </c>
      <c r="DX75">
        <v>0.35288613861386109</v>
      </c>
      <c r="DY75">
        <v>-2.018457498019802</v>
      </c>
      <c r="DZ75">
        <v>1070</v>
      </c>
      <c r="EA75">
        <v>-2.01459262074364</v>
      </c>
      <c r="EB75">
        <v>2</v>
      </c>
      <c r="EC75">
        <v>3.4621679729587428E-2</v>
      </c>
      <c r="ED75">
        <v>0.28173787637983566</v>
      </c>
      <c r="EE75" s="11">
        <v>1.0577000000000001</v>
      </c>
      <c r="EF75">
        <v>1.0305</v>
      </c>
      <c r="EG75">
        <v>23.122886138613861</v>
      </c>
      <c r="EH75" t="s">
        <v>1094</v>
      </c>
      <c r="EI75">
        <v>0</v>
      </c>
      <c r="EJ75">
        <v>1</v>
      </c>
      <c r="EK75" s="13">
        <v>45470</v>
      </c>
      <c r="EL75" s="14">
        <v>-1.1200000000000001</v>
      </c>
      <c r="EM75" s="14">
        <v>-4.66</v>
      </c>
      <c r="EN75" s="14">
        <v>0.54</v>
      </c>
      <c r="EO75" s="14">
        <v>2.5499999999999998</v>
      </c>
      <c r="EP75" s="14">
        <v>-2.72</v>
      </c>
    </row>
    <row r="76" spans="1:146" ht="96" x14ac:dyDescent="0.25">
      <c r="A76" s="7"/>
      <c r="B76" s="7"/>
      <c r="C76" s="7" t="str">
        <f>""&amp;CHAR(10)&amp;Basic_Fundamental_Information_Constructure(F76)&amp;CHAR(10)&amp;Basic_Fundamental_Information_Concatenate("")</f>
        <v xml:space="preserve">
市值28.945854亿, 利润-3.10亿; PE1660; 平均PE-101.47; 平均PEG-16.95, PB2.44; ROIC-.09%; ROE-.97%; 股利率.4177%; 毛利22.4567%; 净利-1.5767%; 上一年度营收增-21.15%, 利润增-1566.59%; 当季营收增165.04%, 利润增95.66%; 过往5年营收增-5.99%, 利润增-349.61%
Income profile:
</v>
      </c>
      <c r="D76" t="s">
        <v>678</v>
      </c>
      <c r="E76" t="s">
        <v>679</v>
      </c>
      <c r="F76">
        <v>11.97</v>
      </c>
      <c r="G76">
        <v>-0.42</v>
      </c>
      <c r="H76" t="s">
        <v>3064</v>
      </c>
      <c r="I76">
        <v>2894585400</v>
      </c>
      <c r="J76">
        <v>1660</v>
      </c>
      <c r="K76">
        <v>2.44</v>
      </c>
      <c r="L76" t="s">
        <v>1762</v>
      </c>
      <c r="M76" t="s">
        <v>193</v>
      </c>
      <c r="N76" t="s">
        <v>3065</v>
      </c>
      <c r="O76" t="s">
        <v>228</v>
      </c>
      <c r="P76">
        <v>-15.1</v>
      </c>
      <c r="Q76" t="s">
        <v>1340</v>
      </c>
      <c r="R76">
        <v>-931338</v>
      </c>
      <c r="S76" s="5">
        <v>-1.4610000000000001</v>
      </c>
      <c r="T76" t="s">
        <v>3066</v>
      </c>
      <c r="U76">
        <v>241820000</v>
      </c>
      <c r="V76">
        <v>241820000</v>
      </c>
      <c r="W76">
        <v>1.19</v>
      </c>
      <c r="X76">
        <v>0.1</v>
      </c>
      <c r="Y76">
        <v>-0.66</v>
      </c>
      <c r="Z76" t="s">
        <v>214</v>
      </c>
      <c r="AA76" t="s">
        <v>100</v>
      </c>
      <c r="AB76" t="s">
        <v>3067</v>
      </c>
      <c r="AC76" t="s">
        <v>3068</v>
      </c>
      <c r="AD76" t="s">
        <v>41</v>
      </c>
      <c r="AE76">
        <v>-2936474</v>
      </c>
      <c r="AF76" t="s">
        <v>3069</v>
      </c>
      <c r="AG76" t="s">
        <v>3070</v>
      </c>
      <c r="AH76" t="s">
        <v>3071</v>
      </c>
      <c r="AI76" t="s">
        <v>899</v>
      </c>
      <c r="AJ76" t="s">
        <v>3072</v>
      </c>
      <c r="AK76" t="s">
        <v>41</v>
      </c>
      <c r="AL76" t="s">
        <v>3073</v>
      </c>
      <c r="AM76" t="s">
        <v>41</v>
      </c>
      <c r="AN76" t="s">
        <v>3074</v>
      </c>
      <c r="AO76" t="s">
        <v>256</v>
      </c>
      <c r="AP76" t="s">
        <v>41</v>
      </c>
      <c r="AQ76" t="s">
        <v>3075</v>
      </c>
      <c r="AR76" t="s">
        <v>41</v>
      </c>
      <c r="AS76" t="s">
        <v>965</v>
      </c>
      <c r="AT76" t="s">
        <v>41</v>
      </c>
      <c r="AU76" t="s">
        <v>3076</v>
      </c>
      <c r="AV76" t="s">
        <v>3077</v>
      </c>
      <c r="AW76" t="s">
        <v>3078</v>
      </c>
      <c r="AX76" t="s">
        <v>500</v>
      </c>
      <c r="AY76" t="s">
        <v>822</v>
      </c>
      <c r="AZ76" t="s">
        <v>178</v>
      </c>
      <c r="BA76" t="s">
        <v>423</v>
      </c>
      <c r="BB76" t="s">
        <v>365</v>
      </c>
      <c r="BC76" t="s">
        <v>3079</v>
      </c>
      <c r="BD76" t="s">
        <v>823</v>
      </c>
      <c r="BE76" t="s">
        <v>824</v>
      </c>
      <c r="BF76" t="s">
        <v>680</v>
      </c>
      <c r="BG76" t="s">
        <v>681</v>
      </c>
      <c r="BH76" t="s">
        <v>3080</v>
      </c>
      <c r="BI76" t="s">
        <v>3081</v>
      </c>
      <c r="BJ76" t="s">
        <v>500</v>
      </c>
      <c r="BK76" t="s">
        <v>3082</v>
      </c>
      <c r="BL76" t="s">
        <v>3083</v>
      </c>
      <c r="BM76" t="s">
        <v>3079</v>
      </c>
      <c r="BN76">
        <v>-0.09</v>
      </c>
      <c r="BO76" t="s">
        <v>41</v>
      </c>
      <c r="BP76" t="s">
        <v>41</v>
      </c>
      <c r="BQ76">
        <v>0.27</v>
      </c>
      <c r="BR76">
        <v>-1.55</v>
      </c>
      <c r="BS76">
        <v>-1.63</v>
      </c>
      <c r="BT76" t="s">
        <v>3084</v>
      </c>
      <c r="BU76" t="s">
        <v>1777</v>
      </c>
      <c r="BV76">
        <v>25.29</v>
      </c>
      <c r="BW76">
        <v>20.47</v>
      </c>
      <c r="BX76">
        <v>21.61</v>
      </c>
      <c r="BY76">
        <v>0.71</v>
      </c>
      <c r="BZ76">
        <v>-2.78</v>
      </c>
      <c r="CA76">
        <v>-2.66</v>
      </c>
      <c r="CB76">
        <v>13.68</v>
      </c>
      <c r="CC76">
        <v>-13.39</v>
      </c>
      <c r="CD76" t="s">
        <v>3085</v>
      </c>
      <c r="CE76" t="s">
        <v>3086</v>
      </c>
      <c r="CF76" s="8">
        <v>1.6503613450397181</v>
      </c>
      <c r="CG76" s="9">
        <v>0.95656903297410478</v>
      </c>
      <c r="CH76" s="8">
        <v>-0.21153846383094788</v>
      </c>
      <c r="CI76" s="8">
        <v>-0.15394242107868195</v>
      </c>
      <c r="CJ76" s="8">
        <v>0.15797100961208344</v>
      </c>
      <c r="CK76" s="8">
        <v>-0.12325286120176315</v>
      </c>
      <c r="CL76" s="8">
        <v>3.145478293299675E-2</v>
      </c>
      <c r="CM76" s="9">
        <v>-15.665860176086426</v>
      </c>
      <c r="CN76" s="9">
        <v>9.0665102005004883E-2</v>
      </c>
      <c r="CO76" s="9">
        <v>-1.5028442144393921</v>
      </c>
      <c r="CP76" s="9">
        <v>-0.40903940796852112</v>
      </c>
      <c r="CQ76" s="9">
        <v>6.6464366391301155E-3</v>
      </c>
      <c r="CR76">
        <v>-101.47034707595591</v>
      </c>
      <c r="CS76">
        <v>-16.950827044005496</v>
      </c>
      <c r="CT76">
        <v>0.41771094402673348</v>
      </c>
      <c r="CU76" s="8">
        <v>-5.9861590713262559E-2</v>
      </c>
      <c r="CV76" s="9">
        <v>-3.496086451970041</v>
      </c>
      <c r="CW76">
        <v>0.06</v>
      </c>
      <c r="CX76" t="e">
        <v>#VALUE!</v>
      </c>
      <c r="CY76" t="s">
        <v>852</v>
      </c>
      <c r="CZ76">
        <v>-5.9861590713262559E-2</v>
      </c>
      <c r="DA76" t="e">
        <v>#VALUE!</v>
      </c>
      <c r="DB76" t="s">
        <v>853</v>
      </c>
      <c r="DC76">
        <v>-5.6868511177599432E-2</v>
      </c>
      <c r="DD76" t="e">
        <v>#VALUE!</v>
      </c>
      <c r="DE76" t="s">
        <v>853</v>
      </c>
      <c r="DF76">
        <v>-5.2678199827671052E-2</v>
      </c>
      <c r="DG76" t="e">
        <v>#VALUE!</v>
      </c>
      <c r="DH76" t="s">
        <v>853</v>
      </c>
      <c r="DI76">
        <v>-4.7889272570610049E-2</v>
      </c>
      <c r="DJ76" t="e">
        <v>#VALUE!</v>
      </c>
      <c r="DK76" t="s">
        <v>853</v>
      </c>
      <c r="DL76">
        <v>-4.1903113499283787E-2</v>
      </c>
      <c r="DM76">
        <v>-310000000</v>
      </c>
      <c r="DN76">
        <v>-5.9861590713262559E-2</v>
      </c>
      <c r="DO76">
        <v>1986585400</v>
      </c>
      <c r="DP76">
        <v>634799200</v>
      </c>
      <c r="DQ76">
        <v>4216</v>
      </c>
      <c r="DR76">
        <v>1.7102229357529806</v>
      </c>
      <c r="DS76">
        <v>4.4526554849441453</v>
      </c>
      <c r="DT76" s="10">
        <v>-0.62333333333333341</v>
      </c>
      <c r="DU76">
        <v>-1.9850000000000001</v>
      </c>
      <c r="DV76">
        <v>-2.6083333333333334</v>
      </c>
      <c r="DW76">
        <v>5.9788011695906436</v>
      </c>
      <c r="DX76">
        <v>0.67298481990102932</v>
      </c>
      <c r="DY76">
        <v>5.3748659896545901</v>
      </c>
      <c r="DZ76">
        <v>4496</v>
      </c>
      <c r="EA76">
        <v>5.0450426061933307</v>
      </c>
      <c r="EB76">
        <v>5</v>
      </c>
      <c r="EC76">
        <v>0.15144735753866512</v>
      </c>
      <c r="ED76">
        <v>0.39543958316102884</v>
      </c>
      <c r="EE76" s="11">
        <v>-4.0125999999999999</v>
      </c>
      <c r="EF76">
        <v>-4.0061</v>
      </c>
      <c r="EG76">
        <v>29.382984819901029</v>
      </c>
      <c r="EH76" t="s">
        <v>1739</v>
      </c>
      <c r="EI76">
        <v>1</v>
      </c>
      <c r="EJ76">
        <v>0</v>
      </c>
      <c r="EK76" s="13">
        <v>45470</v>
      </c>
      <c r="EL76" s="14">
        <v>10</v>
      </c>
      <c r="EM76" s="14">
        <v>5.19</v>
      </c>
      <c r="EN76" s="14">
        <v>-4.01</v>
      </c>
      <c r="EO76" s="14">
        <v>-1.29</v>
      </c>
      <c r="EP76" s="14">
        <v>-0.65</v>
      </c>
    </row>
    <row r="77" spans="1:146" ht="96" x14ac:dyDescent="0.25">
      <c r="A77" s="7"/>
      <c r="B77" s="7"/>
      <c r="C77" s="7" t="str">
        <f>""&amp;CHAR(10)&amp;Basic_Fundamental_Information_Constructure(F77)&amp;CHAR(10)&amp;Basic_Fundamental_Information_Concatenate("")</f>
        <v xml:space="preserve">
市值57.532031亿, 利润3.12亿; PE20.01; 平均PE19.34; 平均PEG2.44, PB1.65; ROIC7.3433%; ROE11.1767%; 股利率0%; 毛利22.6867%; 净利4.8%; 上一年度营收增-83.55%, 利润增-12.85%; 当季营收增970%, 利润增83.48%; 过往5年营收增7.93%, 利润增15.53%
Income profile:
</v>
      </c>
      <c r="D77" t="s">
        <v>265</v>
      </c>
      <c r="E77" t="s">
        <v>32</v>
      </c>
      <c r="F77">
        <v>41.37</v>
      </c>
      <c r="G77">
        <v>1.6</v>
      </c>
      <c r="H77" t="s">
        <v>3087</v>
      </c>
      <c r="I77">
        <v>5753203100</v>
      </c>
      <c r="J77">
        <v>20.010000000000002</v>
      </c>
      <c r="K77">
        <v>1.65</v>
      </c>
      <c r="L77" t="s">
        <v>1762</v>
      </c>
      <c r="M77" t="s">
        <v>3088</v>
      </c>
      <c r="N77" t="s">
        <v>3089</v>
      </c>
      <c r="O77" t="s">
        <v>3090</v>
      </c>
      <c r="P77">
        <v>38.979999999999997</v>
      </c>
      <c r="Q77" t="s">
        <v>3091</v>
      </c>
      <c r="R77">
        <v>102685674</v>
      </c>
      <c r="S77" s="5">
        <v>0.312</v>
      </c>
      <c r="T77" t="s">
        <v>505</v>
      </c>
      <c r="U77">
        <v>139067030</v>
      </c>
      <c r="V77">
        <v>139067030</v>
      </c>
      <c r="W77">
        <v>2.85</v>
      </c>
      <c r="X77">
        <v>0.24</v>
      </c>
      <c r="Y77">
        <v>4.84</v>
      </c>
      <c r="Z77" t="s">
        <v>3092</v>
      </c>
      <c r="AA77" t="s">
        <v>1258</v>
      </c>
      <c r="AB77" t="s">
        <v>736</v>
      </c>
      <c r="AC77" t="s">
        <v>3093</v>
      </c>
      <c r="AD77" t="s">
        <v>41</v>
      </c>
      <c r="AE77">
        <v>13004182</v>
      </c>
      <c r="AF77" t="s">
        <v>3094</v>
      </c>
      <c r="AG77" t="s">
        <v>3095</v>
      </c>
      <c r="AH77" t="s">
        <v>3096</v>
      </c>
      <c r="AI77" t="s">
        <v>327</v>
      </c>
      <c r="AJ77" t="s">
        <v>3097</v>
      </c>
      <c r="AK77" t="s">
        <v>3098</v>
      </c>
      <c r="AL77" t="s">
        <v>3099</v>
      </c>
      <c r="AM77" t="s">
        <v>41</v>
      </c>
      <c r="AN77" t="s">
        <v>1705</v>
      </c>
      <c r="AO77" t="s">
        <v>3100</v>
      </c>
      <c r="AP77" t="s">
        <v>898</v>
      </c>
      <c r="AQ77" t="s">
        <v>3101</v>
      </c>
      <c r="AR77" t="s">
        <v>3102</v>
      </c>
      <c r="AS77" t="s">
        <v>3103</v>
      </c>
      <c r="AT77" t="s">
        <v>3104</v>
      </c>
      <c r="AU77" t="s">
        <v>427</v>
      </c>
      <c r="AV77" t="s">
        <v>3105</v>
      </c>
      <c r="AW77" t="s">
        <v>3106</v>
      </c>
      <c r="AX77" t="s">
        <v>1223</v>
      </c>
      <c r="AY77" t="s">
        <v>825</v>
      </c>
      <c r="AZ77" t="s">
        <v>514</v>
      </c>
      <c r="BA77" t="s">
        <v>266</v>
      </c>
      <c r="BB77" t="s">
        <v>517</v>
      </c>
      <c r="BC77" t="s">
        <v>1264</v>
      </c>
      <c r="BD77" t="s">
        <v>711</v>
      </c>
      <c r="BE77" t="s">
        <v>515</v>
      </c>
      <c r="BF77" t="s">
        <v>267</v>
      </c>
      <c r="BG77" t="s">
        <v>378</v>
      </c>
      <c r="BH77" t="s">
        <v>3107</v>
      </c>
      <c r="BI77" t="s">
        <v>206</v>
      </c>
      <c r="BJ77" t="s">
        <v>1223</v>
      </c>
      <c r="BK77" t="s">
        <v>437</v>
      </c>
      <c r="BL77" t="s">
        <v>3108</v>
      </c>
      <c r="BM77" t="s">
        <v>1264</v>
      </c>
      <c r="BN77">
        <v>5.86</v>
      </c>
      <c r="BO77">
        <v>7.53</v>
      </c>
      <c r="BP77">
        <v>8.64</v>
      </c>
      <c r="BQ77">
        <v>10.54</v>
      </c>
      <c r="BR77">
        <v>11.23</v>
      </c>
      <c r="BS77">
        <v>11.76</v>
      </c>
      <c r="BT77" t="s">
        <v>1081</v>
      </c>
      <c r="BU77" t="s">
        <v>1868</v>
      </c>
      <c r="BV77">
        <v>23.78</v>
      </c>
      <c r="BW77">
        <v>21.78</v>
      </c>
      <c r="BX77">
        <v>22.5</v>
      </c>
      <c r="BY77">
        <v>3.39</v>
      </c>
      <c r="BZ77">
        <v>5.23</v>
      </c>
      <c r="CA77">
        <v>5.78</v>
      </c>
      <c r="CB77">
        <v>-1.99</v>
      </c>
      <c r="CC77">
        <v>-14.96</v>
      </c>
      <c r="CD77" t="s">
        <v>3109</v>
      </c>
      <c r="CE77" t="s">
        <v>3110</v>
      </c>
      <c r="CF77" s="8">
        <v>9.6999999999999993</v>
      </c>
      <c r="CG77" s="9">
        <v>0.83478017088885792</v>
      </c>
      <c r="CH77" s="8">
        <v>-0.83545660972595215</v>
      </c>
      <c r="CI77" s="8">
        <v>0.12755277752876282</v>
      </c>
      <c r="CJ77" s="8">
        <v>0.21821627020835876</v>
      </c>
      <c r="CK77" s="8">
        <v>0.63326448202133179</v>
      </c>
      <c r="CL77" s="8">
        <v>0.25280407071113586</v>
      </c>
      <c r="CM77" s="9">
        <v>-0.12849162518978119</v>
      </c>
      <c r="CN77" s="9">
        <v>5.917159840464592E-2</v>
      </c>
      <c r="CO77" s="9">
        <v>-6.8870522081851959E-2</v>
      </c>
      <c r="CP77" s="9">
        <v>0.49382716417312622</v>
      </c>
      <c r="CQ77" s="9">
        <v>0.42105263471603394</v>
      </c>
      <c r="CR77">
        <v>19.33849781512605</v>
      </c>
      <c r="CS77">
        <v>2.4393825973901708</v>
      </c>
      <c r="CT77">
        <v>0</v>
      </c>
      <c r="CU77" s="8">
        <v>7.9276198148727411E-2</v>
      </c>
      <c r="CV77" s="9">
        <v>0.15533785000443459</v>
      </c>
      <c r="CW77">
        <v>0.06</v>
      </c>
      <c r="CX77">
        <v>26.219362251769802</v>
      </c>
      <c r="CY77">
        <v>317673748.88905931</v>
      </c>
      <c r="CZ77">
        <v>7.9276198148727411E-2</v>
      </c>
      <c r="DA77">
        <v>8.6464982455062671</v>
      </c>
      <c r="DB77">
        <v>963303624.60072541</v>
      </c>
      <c r="DC77">
        <v>7.5312388241291037E-2</v>
      </c>
      <c r="DD77">
        <v>4.3083236211389799</v>
      </c>
      <c r="DE77">
        <v>1933281673.440778</v>
      </c>
      <c r="DF77">
        <v>6.9763054370880123E-2</v>
      </c>
      <c r="DG77">
        <v>2.6226107281434388</v>
      </c>
      <c r="DH77">
        <v>3175920471.3908458</v>
      </c>
      <c r="DI77">
        <v>6.3420958518981926E-2</v>
      </c>
      <c r="DJ77">
        <v>1.3954576865646351</v>
      </c>
      <c r="DK77">
        <v>5968796603.5752716</v>
      </c>
      <c r="DL77">
        <v>5.5493338704109184E-2</v>
      </c>
      <c r="DM77">
        <v>312000000</v>
      </c>
      <c r="DN77">
        <v>7.9276198148727411E-2</v>
      </c>
      <c r="DO77">
        <v>8329203100</v>
      </c>
      <c r="DP77">
        <v>1437482200</v>
      </c>
      <c r="DQ77">
        <v>4238</v>
      </c>
      <c r="DR77">
        <v>9.6207238018512715</v>
      </c>
      <c r="DS77">
        <v>0.67944232088442336</v>
      </c>
      <c r="DT77" s="10">
        <v>-0.3066666666666667</v>
      </c>
      <c r="DU77">
        <v>0.43666666666666659</v>
      </c>
      <c r="DV77">
        <v>0.12999999999999989</v>
      </c>
      <c r="DW77">
        <v>-2.1496</v>
      </c>
      <c r="DX77">
        <v>0.35596810478428065</v>
      </c>
      <c r="DY77">
        <v>-2.0218368284757284</v>
      </c>
      <c r="DZ77">
        <v>2056</v>
      </c>
      <c r="EA77">
        <v>-2.0130508168620107</v>
      </c>
      <c r="EB77">
        <v>2</v>
      </c>
      <c r="EC77">
        <v>2.0995630668174909E-2</v>
      </c>
      <c r="ED77">
        <v>0.14383711221847478</v>
      </c>
      <c r="EE77" s="11">
        <v>-5.0052000000000003</v>
      </c>
      <c r="EF77">
        <v>-5.0163099999999998</v>
      </c>
      <c r="EG77">
        <v>21.145968104784281</v>
      </c>
      <c r="EH77" t="s">
        <v>2238</v>
      </c>
      <c r="EI77">
        <v>0</v>
      </c>
      <c r="EJ77">
        <v>0</v>
      </c>
      <c r="EK77" s="13">
        <v>45470</v>
      </c>
      <c r="EL77" s="14">
        <v>-1.8</v>
      </c>
      <c r="EM77" s="14">
        <v>-3.87</v>
      </c>
      <c r="EN77" s="14">
        <v>-0.35</v>
      </c>
      <c r="EO77" s="14">
        <v>2.91</v>
      </c>
      <c r="EP77" s="14">
        <v>-2.15</v>
      </c>
    </row>
    <row r="78" spans="1:146" ht="96" x14ac:dyDescent="0.25">
      <c r="A78" s="7"/>
      <c r="B78" s="7"/>
      <c r="C78" s="7" t="str">
        <f>""&amp;CHAR(10)&amp;Basic_Fundamental_Information_Constructure(F78)&amp;CHAR(10)&amp;Basic_Fundamental_Information_Concatenate("")</f>
        <v xml:space="preserve">
市值11.7307148亿, 利润2.80亿; PE54.52; 平均PE18.43; 平均PEG.24, PB1.94; ROIC3.48%; ROE-1.46%; 股利率1.4864%; 毛利19.0833%; 净利-1.8%; 上一年度营收增402.08%, 利润增768.51%; 当季营收增-48.9%, 利润增3.62%; 过往5年营收增77.95%, 利润增84.51%
Income profile:
</v>
      </c>
      <c r="D78" t="s">
        <v>268</v>
      </c>
      <c r="E78" t="s">
        <v>18</v>
      </c>
      <c r="F78">
        <v>12.11</v>
      </c>
      <c r="G78">
        <v>-0.33</v>
      </c>
      <c r="H78" t="s">
        <v>3111</v>
      </c>
      <c r="I78">
        <v>1173071480</v>
      </c>
      <c r="J78">
        <v>54.52</v>
      </c>
      <c r="K78">
        <v>1.94</v>
      </c>
      <c r="L78" t="s">
        <v>1762</v>
      </c>
      <c r="M78" t="s">
        <v>1009</v>
      </c>
      <c r="N78" t="s">
        <v>3112</v>
      </c>
      <c r="O78" t="s">
        <v>709</v>
      </c>
      <c r="P78">
        <v>67.5</v>
      </c>
      <c r="Q78" t="s">
        <v>3113</v>
      </c>
      <c r="R78">
        <v>6058006</v>
      </c>
      <c r="S78" s="5">
        <v>2.6800000000000001E-2</v>
      </c>
      <c r="T78" t="s">
        <v>982</v>
      </c>
      <c r="U78">
        <v>96000000</v>
      </c>
      <c r="V78">
        <v>96868000</v>
      </c>
      <c r="W78">
        <v>2.2599999999999998</v>
      </c>
      <c r="X78">
        <v>0.26</v>
      </c>
      <c r="Y78">
        <v>1.74</v>
      </c>
      <c r="Z78" t="s">
        <v>711</v>
      </c>
      <c r="AA78" t="s">
        <v>1291</v>
      </c>
      <c r="AB78" t="s">
        <v>3114</v>
      </c>
      <c r="AC78" t="s">
        <v>3115</v>
      </c>
      <c r="AD78" t="s">
        <v>41</v>
      </c>
      <c r="AE78">
        <v>415563</v>
      </c>
      <c r="AF78" t="s">
        <v>3116</v>
      </c>
      <c r="AG78" t="s">
        <v>3117</v>
      </c>
      <c r="AH78" t="s">
        <v>3118</v>
      </c>
      <c r="AI78" t="s">
        <v>3119</v>
      </c>
      <c r="AJ78" t="s">
        <v>3120</v>
      </c>
      <c r="AK78" t="s">
        <v>41</v>
      </c>
      <c r="AL78" t="s">
        <v>3121</v>
      </c>
      <c r="AM78" t="s">
        <v>41</v>
      </c>
      <c r="AN78" t="s">
        <v>1335</v>
      </c>
      <c r="AO78" t="s">
        <v>1103</v>
      </c>
      <c r="AP78" t="s">
        <v>967</v>
      </c>
      <c r="AQ78" t="s">
        <v>985</v>
      </c>
      <c r="AR78" t="s">
        <v>3122</v>
      </c>
      <c r="AS78" t="s">
        <v>999</v>
      </c>
      <c r="AT78" t="s">
        <v>214</v>
      </c>
      <c r="AU78" t="s">
        <v>3123</v>
      </c>
      <c r="AV78" t="s">
        <v>3124</v>
      </c>
      <c r="AW78" t="s">
        <v>3125</v>
      </c>
      <c r="AX78" t="s">
        <v>1204</v>
      </c>
      <c r="AY78" t="s">
        <v>647</v>
      </c>
      <c r="AZ78" t="s">
        <v>518</v>
      </c>
      <c r="BA78" t="s">
        <v>269</v>
      </c>
      <c r="BB78" t="s">
        <v>521</v>
      </c>
      <c r="BC78" t="s">
        <v>1225</v>
      </c>
      <c r="BD78" t="s">
        <v>826</v>
      </c>
      <c r="BE78" t="s">
        <v>519</v>
      </c>
      <c r="BF78" t="s">
        <v>270</v>
      </c>
      <c r="BG78" t="s">
        <v>522</v>
      </c>
      <c r="BH78" t="s">
        <v>2169</v>
      </c>
      <c r="BI78" t="s">
        <v>1384</v>
      </c>
      <c r="BJ78" t="s">
        <v>1204</v>
      </c>
      <c r="BK78" t="s">
        <v>3126</v>
      </c>
      <c r="BL78" t="s">
        <v>3127</v>
      </c>
      <c r="BM78" t="s">
        <v>1225</v>
      </c>
      <c r="BN78">
        <v>3.48</v>
      </c>
      <c r="BO78" t="s">
        <v>41</v>
      </c>
      <c r="BP78" t="s">
        <v>41</v>
      </c>
      <c r="BQ78">
        <v>5.15</v>
      </c>
      <c r="BR78">
        <v>-7.08</v>
      </c>
      <c r="BS78">
        <v>-2.4500000000000002</v>
      </c>
      <c r="BT78" t="s">
        <v>1180</v>
      </c>
      <c r="BU78" t="s">
        <v>1868</v>
      </c>
      <c r="BV78">
        <v>25.32</v>
      </c>
      <c r="BW78">
        <v>17.940000000000001</v>
      </c>
      <c r="BX78">
        <v>13.99</v>
      </c>
      <c r="BY78">
        <v>1.93</v>
      </c>
      <c r="BZ78">
        <v>-5.83</v>
      </c>
      <c r="CA78">
        <v>-1.5</v>
      </c>
      <c r="CB78">
        <v>-2.57</v>
      </c>
      <c r="CC78">
        <v>-13.13</v>
      </c>
      <c r="CD78" t="s">
        <v>3128</v>
      </c>
      <c r="CE78" t="s">
        <v>3129</v>
      </c>
      <c r="CF78" s="8">
        <v>-0.4889543446244477</v>
      </c>
      <c r="CG78" s="9">
        <v>3.6211963121974583E-2</v>
      </c>
      <c r="CH78" s="8">
        <v>4.0207757949829102</v>
      </c>
      <c r="CI78" s="8">
        <v>-0.29285013675689697</v>
      </c>
      <c r="CJ78" s="8">
        <v>-0.12134250998497009</v>
      </c>
      <c r="CK78" s="8">
        <v>8.5981309413909912E-2</v>
      </c>
      <c r="CL78" s="8">
        <v>0.20495495200157166</v>
      </c>
      <c r="CM78" s="9">
        <v>7.6851463317871094</v>
      </c>
      <c r="CN78" s="9">
        <v>-1.7320278882980347</v>
      </c>
      <c r="CO78" s="9">
        <v>-1.3674805164337158</v>
      </c>
      <c r="CP78" s="9">
        <v>0.23762990534305573</v>
      </c>
      <c r="CQ78" s="9">
        <v>-0.59762811660766602</v>
      </c>
      <c r="CR78">
        <v>18.425876962538688</v>
      </c>
      <c r="CS78">
        <v>0.23637954075208184</v>
      </c>
      <c r="CT78">
        <v>1.4863748967795212</v>
      </c>
      <c r="CU78" s="8">
        <v>0.77950388193130493</v>
      </c>
      <c r="CV78" s="9">
        <v>0.84512794315814976</v>
      </c>
      <c r="CW78">
        <v>0.06</v>
      </c>
      <c r="CX78">
        <v>2.8529937537927701</v>
      </c>
      <c r="CY78">
        <v>470057629.18940133</v>
      </c>
      <c r="CZ78">
        <v>0.77950388193130493</v>
      </c>
      <c r="DA78">
        <v>0.54641650111011109</v>
      </c>
      <c r="DB78">
        <v>2454302674.3801684</v>
      </c>
      <c r="DC78">
        <v>0.74052868783473969</v>
      </c>
      <c r="DD78">
        <v>0.11706569219789349</v>
      </c>
      <c r="DE78">
        <v>11455717339.739367</v>
      </c>
      <c r="DF78">
        <v>0.68596341609954836</v>
      </c>
      <c r="DG78">
        <v>2.3724701087048366E-2</v>
      </c>
      <c r="DH78">
        <v>56526380462.264664</v>
      </c>
      <c r="DI78">
        <v>0.62360310554504395</v>
      </c>
      <c r="DJ78">
        <v>7.9729069165478583E-4</v>
      </c>
      <c r="DK78">
        <v>1682035792010.303</v>
      </c>
      <c r="DL78">
        <v>0.54565271735191345</v>
      </c>
      <c r="DM78">
        <v>280000000</v>
      </c>
      <c r="DN78">
        <v>0.77950388193130493</v>
      </c>
      <c r="DO78">
        <v>1341071480</v>
      </c>
      <c r="DP78">
        <v>-40564140</v>
      </c>
      <c r="DQ78">
        <v>4271</v>
      </c>
      <c r="DR78">
        <v>-1.2684582265557527</v>
      </c>
      <c r="DS78">
        <v>-0.80891598003617515</v>
      </c>
      <c r="DT78" s="10">
        <v>-0.19000000000000003</v>
      </c>
      <c r="DU78">
        <v>-1.0833333333333335</v>
      </c>
      <c r="DV78">
        <v>-1.2733333333333334</v>
      </c>
      <c r="DW78">
        <v>-8.1957349581111956</v>
      </c>
      <c r="DX78">
        <v>0.34056133034262959</v>
      </c>
      <c r="DY78">
        <v>-8.0118539694577731</v>
      </c>
      <c r="DZ78">
        <v>2042</v>
      </c>
      <c r="EA78">
        <v>-8.0071170211930429</v>
      </c>
      <c r="EB78">
        <v>8</v>
      </c>
      <c r="EC78">
        <v>5.0398480406326135E-2</v>
      </c>
      <c r="ED78">
        <v>0.83218916463641246</v>
      </c>
      <c r="EE78" s="11">
        <v>4.0593000000000004</v>
      </c>
      <c r="EF78">
        <v>4.0372000000000003</v>
      </c>
      <c r="EG78">
        <v>28.06056133034263</v>
      </c>
      <c r="EH78" t="s">
        <v>1632</v>
      </c>
      <c r="EI78">
        <v>0</v>
      </c>
      <c r="EJ78">
        <v>0</v>
      </c>
      <c r="EK78" s="13">
        <v>45470</v>
      </c>
      <c r="EL78" s="14">
        <v>0.14000000000000001</v>
      </c>
      <c r="EM78" s="14">
        <v>-2.87</v>
      </c>
      <c r="EN78" s="14">
        <v>1.77</v>
      </c>
      <c r="EO78" s="14">
        <v>1.81</v>
      </c>
      <c r="EP78" s="14">
        <v>-2.21</v>
      </c>
    </row>
    <row r="79" spans="1:146" ht="180" x14ac:dyDescent="0.25">
      <c r="A79" s="7"/>
      <c r="B79" s="7"/>
      <c r="C79" s="7" t="str">
        <f>"公司的主营业务是全屋定制家居的研发、设计、生产、销售和安装服务。志邦目前拥有三大品牌，分别是向中高端家居消费者提供厨柜、全屋定制、木门/墙板等定制产品的“ZBOM志邦”品牌，向互联网思维的刚需家居消费人群者提供全屋定制产品的“IK”品牌，以及“FLY法兰菲”配套家居成品。"&amp;CHAR(10)&amp;Basic_Fundamental_Information_Constructure(F79)&amp;CHAR(10)&amp;Basic_Fundamental_Information_Concatenate("整体厨柜 10.04亿 43.63% 46.52% 39.24%
定制衣柜 9.86亿 42.86% 45.46% 39.04%
其他 1.81亿 7.85% 5.27% 24.72%
木门墙板 1.30亿 5.67% 2.75% 17.87%")</f>
        <v>公司的主营业务是全屋定制家居的研发、设计、生产、销售和安装服务。志邦目前拥有三大品牌，分别是向中高端家居消费者提供厨柜、全屋定制、木门/墙板等定制产品的“ZBOM志邦”品牌，向互联网思维的刚需家居消费人群者提供全屋定制产品的“IK”品牌，以及“FLY法兰菲”配套家居成品。
市值56.445632亿, 利润-2.02亿; PE9.55; 平均PE18.43; 平均PEG4.53, PB1.69; ROIC14.9767%; ROE17.5933%; 股利率5.4138%; 毛利37%; 净利9.8333%; 上一年度营收增-69.83%, 利润增-137.62%; 当季营收增164.52%, 利润增271.42%; 过往5年营收增4.07%, 利润增-12.56%
Income profile:
整体厨柜 10.04亿 43.63% 46.52% 39.24%
定制衣柜 9.86亿 42.86% 45.46% 39.04%
其他 1.81亿 7.85% 5.27% 24.72%
木门墙板 1.30亿 5.67% 2.75% 17.87%</v>
      </c>
      <c r="D79" t="s">
        <v>274</v>
      </c>
      <c r="E79" t="s">
        <v>35</v>
      </c>
      <c r="F79">
        <v>12.93</v>
      </c>
      <c r="G79">
        <v>-1.07</v>
      </c>
      <c r="H79" t="s">
        <v>3130</v>
      </c>
      <c r="I79">
        <v>5644563200</v>
      </c>
      <c r="J79">
        <v>9.5500000000000007</v>
      </c>
      <c r="K79">
        <v>1.69</v>
      </c>
      <c r="L79" t="s">
        <v>1762</v>
      </c>
      <c r="M79" t="s">
        <v>3131</v>
      </c>
      <c r="N79" t="s">
        <v>3132</v>
      </c>
      <c r="O79" t="s">
        <v>2267</v>
      </c>
      <c r="P79">
        <v>1.77</v>
      </c>
      <c r="Q79" t="s">
        <v>3133</v>
      </c>
      <c r="R79">
        <v>47221343</v>
      </c>
      <c r="S79" s="5">
        <v>-8.3799999999999999E-2</v>
      </c>
      <c r="T79" t="s">
        <v>876</v>
      </c>
      <c r="U79">
        <v>434349940</v>
      </c>
      <c r="V79">
        <v>436547810</v>
      </c>
      <c r="W79">
        <v>1.7</v>
      </c>
      <c r="X79">
        <v>0.14000000000000001</v>
      </c>
      <c r="Y79">
        <v>5.76</v>
      </c>
      <c r="Z79" t="s">
        <v>822</v>
      </c>
      <c r="AA79" t="s">
        <v>858</v>
      </c>
      <c r="AB79" t="s">
        <v>241</v>
      </c>
      <c r="AC79" t="s">
        <v>3134</v>
      </c>
      <c r="AD79" t="s">
        <v>41</v>
      </c>
      <c r="AE79">
        <v>-4223467</v>
      </c>
      <c r="AF79" t="s">
        <v>3135</v>
      </c>
      <c r="AG79" t="s">
        <v>3136</v>
      </c>
      <c r="AH79" t="s">
        <v>3137</v>
      </c>
      <c r="AI79" t="s">
        <v>1616</v>
      </c>
      <c r="AJ79" t="s">
        <v>3138</v>
      </c>
      <c r="AK79" t="s">
        <v>3139</v>
      </c>
      <c r="AL79" t="s">
        <v>3140</v>
      </c>
      <c r="AM79" t="s">
        <v>41</v>
      </c>
      <c r="AN79" t="s">
        <v>369</v>
      </c>
      <c r="AO79" t="s">
        <v>295</v>
      </c>
      <c r="AP79" t="s">
        <v>972</v>
      </c>
      <c r="AQ79" t="s">
        <v>711</v>
      </c>
      <c r="AR79" t="s">
        <v>41</v>
      </c>
      <c r="AS79" t="s">
        <v>3141</v>
      </c>
      <c r="AT79" t="s">
        <v>376</v>
      </c>
      <c r="AU79" t="s">
        <v>1648</v>
      </c>
      <c r="AV79" t="s">
        <v>1004</v>
      </c>
      <c r="AW79" t="s">
        <v>298</v>
      </c>
      <c r="AX79" t="s">
        <v>1226</v>
      </c>
      <c r="AY79" t="s">
        <v>827</v>
      </c>
      <c r="AZ79" t="s">
        <v>524</v>
      </c>
      <c r="BA79" t="s">
        <v>109</v>
      </c>
      <c r="BB79" t="s">
        <v>526</v>
      </c>
      <c r="BC79" t="s">
        <v>220</v>
      </c>
      <c r="BD79" t="s">
        <v>684</v>
      </c>
      <c r="BE79" t="s">
        <v>263</v>
      </c>
      <c r="BF79" t="s">
        <v>245</v>
      </c>
      <c r="BG79" t="s">
        <v>152</v>
      </c>
      <c r="BH79" t="s">
        <v>3142</v>
      </c>
      <c r="BI79" t="s">
        <v>1682</v>
      </c>
      <c r="BJ79" t="s">
        <v>1226</v>
      </c>
      <c r="BK79" t="s">
        <v>1325</v>
      </c>
      <c r="BL79" t="s">
        <v>3143</v>
      </c>
      <c r="BM79" t="s">
        <v>220</v>
      </c>
      <c r="BN79">
        <v>10.19</v>
      </c>
      <c r="BO79">
        <v>16.510000000000002</v>
      </c>
      <c r="BP79">
        <v>18.23</v>
      </c>
      <c r="BQ79">
        <v>11.71</v>
      </c>
      <c r="BR79">
        <v>19.91</v>
      </c>
      <c r="BS79">
        <v>21.16</v>
      </c>
      <c r="BT79" t="s">
        <v>1135</v>
      </c>
      <c r="BU79" t="s">
        <v>2063</v>
      </c>
      <c r="BV79">
        <v>37.07</v>
      </c>
      <c r="BW79">
        <v>37.69</v>
      </c>
      <c r="BX79">
        <v>36.24</v>
      </c>
      <c r="BY79">
        <v>9.73</v>
      </c>
      <c r="BZ79">
        <v>9.9600000000000009</v>
      </c>
      <c r="CA79">
        <v>9.81</v>
      </c>
      <c r="CB79">
        <v>-1.1499999999999999</v>
      </c>
      <c r="CC79">
        <v>-23.63</v>
      </c>
      <c r="CD79" t="s">
        <v>3144</v>
      </c>
      <c r="CE79" t="s">
        <v>1456</v>
      </c>
      <c r="CF79" s="8">
        <v>1.6451612903225803</v>
      </c>
      <c r="CG79" s="9">
        <v>2.7141851136586395</v>
      </c>
      <c r="CH79" s="8">
        <v>-0.69827431440353394</v>
      </c>
      <c r="CI79" s="8">
        <v>4.5798614621162415E-2</v>
      </c>
      <c r="CJ79" s="8">
        <v>0.34192708134651184</v>
      </c>
      <c r="CK79" s="8">
        <v>0.29642137885093689</v>
      </c>
      <c r="CL79" s="8">
        <v>0.21742703020572662</v>
      </c>
      <c r="CM79" s="9">
        <v>-1.3761638402938843</v>
      </c>
      <c r="CN79" s="9">
        <v>6.1264820396900177E-2</v>
      </c>
      <c r="CO79" s="9">
        <v>0.28101265430450439</v>
      </c>
      <c r="CP79" s="9">
        <v>0.20060789585113525</v>
      </c>
      <c r="CQ79" s="9">
        <v>0.20512820780277252</v>
      </c>
      <c r="CR79">
        <v>18.426212840043526</v>
      </c>
      <c r="CS79">
        <v>4.5317835261356034</v>
      </c>
      <c r="CT79">
        <v>5.4137664346481049</v>
      </c>
      <c r="CU79" s="8">
        <v>4.0659958124160768E-2</v>
      </c>
      <c r="CV79" s="9">
        <v>-0.12563005238771438</v>
      </c>
      <c r="CW79">
        <v>0.06</v>
      </c>
      <c r="CX79" t="e">
        <v>#VALUE!</v>
      </c>
      <c r="CY79" t="s">
        <v>853</v>
      </c>
      <c r="CZ79">
        <v>4.0659958124160768E-2</v>
      </c>
      <c r="DA79" t="e">
        <v>#VALUE!</v>
      </c>
      <c r="DB79" t="s">
        <v>853</v>
      </c>
      <c r="DC79">
        <v>3.8626960217952727E-2</v>
      </c>
      <c r="DD79" t="e">
        <v>#VALUE!</v>
      </c>
      <c r="DE79" t="s">
        <v>853</v>
      </c>
      <c r="DF79">
        <v>3.5780763149261478E-2</v>
      </c>
      <c r="DG79" t="e">
        <v>#VALUE!</v>
      </c>
      <c r="DH79" t="s">
        <v>853</v>
      </c>
      <c r="DI79">
        <v>3.2527966499328619E-2</v>
      </c>
      <c r="DJ79" t="e">
        <v>#VALUE!</v>
      </c>
      <c r="DK79" t="s">
        <v>853</v>
      </c>
      <c r="DL79">
        <v>2.8461970686912537E-2</v>
      </c>
      <c r="DM79">
        <v>-202000000</v>
      </c>
      <c r="DN79">
        <v>4.0659958124160768E-2</v>
      </c>
      <c r="DO79">
        <v>5395563200</v>
      </c>
      <c r="DP79">
        <v>686214200</v>
      </c>
      <c r="DQ79">
        <v>4312</v>
      </c>
      <c r="DR79">
        <v>1.6045013321984196</v>
      </c>
      <c r="DS79">
        <v>2.8398151660463538</v>
      </c>
      <c r="DT79" s="10">
        <v>-0.42333333333333339</v>
      </c>
      <c r="DU79">
        <v>-0.40000000000000008</v>
      </c>
      <c r="DV79">
        <v>-0.82333333333333347</v>
      </c>
      <c r="DW79">
        <v>-3.0862916666666664</v>
      </c>
      <c r="DX79">
        <v>0.32019225806451473</v>
      </c>
      <c r="DY79">
        <v>-3.0112345069354838</v>
      </c>
      <c r="DZ79">
        <v>4510</v>
      </c>
      <c r="EA79">
        <v>-3.0013191201881195</v>
      </c>
      <c r="EB79">
        <v>3</v>
      </c>
      <c r="EC79">
        <v>4.6225864699676308E-2</v>
      </c>
      <c r="ED79">
        <v>0.35505847572571719</v>
      </c>
      <c r="EE79" s="11">
        <v>-2.1343000000000001</v>
      </c>
      <c r="EF79">
        <v>-1.0086999999999999</v>
      </c>
      <c r="EG79">
        <v>19.130192258064515</v>
      </c>
      <c r="EH79" t="s">
        <v>1093</v>
      </c>
      <c r="EI79">
        <v>0</v>
      </c>
      <c r="EJ79">
        <v>0</v>
      </c>
      <c r="EK79" s="13">
        <v>45470</v>
      </c>
      <c r="EL79" s="14">
        <v>2.2400000000000002</v>
      </c>
      <c r="EM79" s="14">
        <v>-0.15</v>
      </c>
      <c r="EN79" s="14">
        <v>-1.9</v>
      </c>
      <c r="EO79" s="14">
        <v>3.72</v>
      </c>
      <c r="EP79" s="14">
        <v>2.44</v>
      </c>
    </row>
    <row r="80" spans="1:146" ht="168" x14ac:dyDescent="0.25">
      <c r="A80" s="7"/>
      <c r="B80" s="7" t="s">
        <v>1413</v>
      </c>
      <c r="C80" s="7" t="str">
        <f>"公司专注于客餐厅、卧室及全屋定制家居产品的研究、开发、生产和销售。公司的主要产品是沙发、餐椅、床、配套产品、定制家具、红木家具、信息技术服务。"&amp;CHAR(10)&amp;Basic_Fundamental_Information_Constructure(F80)&amp;CHAR(10)&amp;Basic_Fundamental_Information_Concatenate("沙发 47.09亿 52.23% 49.30% 31.20%
床类产品 17.23亿 19.11% 19.89% 34.40%
集成产品 14.59亿 16.18% 11.52% 23.54%
信息技术服务 4.11亿 4.56% 11.10% 80.39%
定制家具 3.54亿 3.93% 3.92% 32.93%")</f>
        <v>公司专注于客餐厅、卧室及全屋定制家居产品的研究、开发、生产和销售。公司的主要产品是沙发、餐椅、床、配套产品、定制家具、红木家具、信息技术服务。
市值243.27989亿, 利润1.44亿; PE12.01; 平均PE22.07; 平均PEG6.89, PB2.44; ROIC16.95%; ROE20.26%; 股利率4.6959%; 毛利30.8433%; 净利10.01%; 上一年度营收增-94.15%, 利润增-92.05%; 当季营收增1599.22%, 利润增947.07%; 过往5年营收增-3.2%, 利润增.79%
Income profile:
沙发 47.09亿 52.23% 49.30% 31.20%
床类产品 17.23亿 19.11% 19.89% 34.40%
集成产品 14.59亿 16.18% 11.52% 23.54%
信息技术服务 4.11亿 4.56% 11.10% 80.39%
定制家具 3.54亿 3.93% 3.92% 32.93%</v>
      </c>
      <c r="D80" t="s">
        <v>276</v>
      </c>
      <c r="E80" t="s">
        <v>30</v>
      </c>
      <c r="F80">
        <v>29.6</v>
      </c>
      <c r="G80">
        <v>-0.7</v>
      </c>
      <c r="H80" t="s">
        <v>3145</v>
      </c>
      <c r="I80">
        <v>24327989000</v>
      </c>
      <c r="J80">
        <v>12.01</v>
      </c>
      <c r="K80">
        <v>2.44</v>
      </c>
      <c r="L80" t="s">
        <v>1762</v>
      </c>
      <c r="M80" t="s">
        <v>735</v>
      </c>
      <c r="N80" t="s">
        <v>3146</v>
      </c>
      <c r="O80" t="s">
        <v>3147</v>
      </c>
      <c r="P80">
        <v>10.039999999999999</v>
      </c>
      <c r="Q80" t="s">
        <v>1678</v>
      </c>
      <c r="R80">
        <v>420192210</v>
      </c>
      <c r="S80" s="5">
        <v>5.0200000000000002E-2</v>
      </c>
      <c r="T80" t="s">
        <v>1382</v>
      </c>
      <c r="U80">
        <v>821891520</v>
      </c>
      <c r="V80">
        <v>821891520</v>
      </c>
      <c r="W80">
        <v>1.56</v>
      </c>
      <c r="X80">
        <v>0.27</v>
      </c>
      <c r="Y80">
        <v>9.83</v>
      </c>
      <c r="Z80" t="s">
        <v>3148</v>
      </c>
      <c r="AA80" t="s">
        <v>1405</v>
      </c>
      <c r="AB80" t="s">
        <v>3149</v>
      </c>
      <c r="AC80" t="s">
        <v>1382</v>
      </c>
      <c r="AD80" t="s">
        <v>41</v>
      </c>
      <c r="AE80">
        <v>-8154441</v>
      </c>
      <c r="AF80" t="s">
        <v>3150</v>
      </c>
      <c r="AG80" t="s">
        <v>3151</v>
      </c>
      <c r="AH80" t="s">
        <v>3152</v>
      </c>
      <c r="AI80" t="s">
        <v>3153</v>
      </c>
      <c r="AJ80" t="s">
        <v>3154</v>
      </c>
      <c r="AK80" t="s">
        <v>41</v>
      </c>
      <c r="AL80" t="s">
        <v>3155</v>
      </c>
      <c r="AM80" t="s">
        <v>41</v>
      </c>
      <c r="AN80" t="s">
        <v>3156</v>
      </c>
      <c r="AO80" t="s">
        <v>3157</v>
      </c>
      <c r="AP80" t="s">
        <v>3158</v>
      </c>
      <c r="AQ80" t="s">
        <v>3159</v>
      </c>
      <c r="AR80" t="s">
        <v>41</v>
      </c>
      <c r="AS80" t="s">
        <v>3160</v>
      </c>
      <c r="AT80" t="s">
        <v>41</v>
      </c>
      <c r="AU80" t="s">
        <v>3161</v>
      </c>
      <c r="AV80" t="s">
        <v>3162</v>
      </c>
      <c r="AW80" t="s">
        <v>3163</v>
      </c>
      <c r="AX80" t="s">
        <v>1228</v>
      </c>
      <c r="AY80" t="s">
        <v>828</v>
      </c>
      <c r="AZ80" t="s">
        <v>528</v>
      </c>
      <c r="BA80" t="s">
        <v>277</v>
      </c>
      <c r="BB80" t="s">
        <v>529</v>
      </c>
      <c r="BC80" t="s">
        <v>1229</v>
      </c>
      <c r="BD80" t="s">
        <v>534</v>
      </c>
      <c r="BE80" t="s">
        <v>264</v>
      </c>
      <c r="BF80" t="s">
        <v>278</v>
      </c>
      <c r="BG80" t="s">
        <v>530</v>
      </c>
      <c r="BH80" t="s">
        <v>3164</v>
      </c>
      <c r="BI80" t="s">
        <v>272</v>
      </c>
      <c r="BJ80" t="s">
        <v>1228</v>
      </c>
      <c r="BK80" t="s">
        <v>3165</v>
      </c>
      <c r="BL80" t="s">
        <v>3166</v>
      </c>
      <c r="BM80" t="s">
        <v>1229</v>
      </c>
      <c r="BN80">
        <v>12.7</v>
      </c>
      <c r="BO80">
        <v>18.489999999999998</v>
      </c>
      <c r="BP80">
        <v>19.66</v>
      </c>
      <c r="BQ80">
        <v>15.99</v>
      </c>
      <c r="BR80">
        <v>21.61</v>
      </c>
      <c r="BS80">
        <v>23.18</v>
      </c>
      <c r="BT80" t="s">
        <v>3167</v>
      </c>
      <c r="BU80" t="s">
        <v>1868</v>
      </c>
      <c r="BV80">
        <v>32.83</v>
      </c>
      <c r="BW80">
        <v>30.83</v>
      </c>
      <c r="BX80">
        <v>28.87</v>
      </c>
      <c r="BY80">
        <v>10.5</v>
      </c>
      <c r="BZ80">
        <v>10.26</v>
      </c>
      <c r="CA80">
        <v>9.27</v>
      </c>
      <c r="CB80">
        <v>-8.33</v>
      </c>
      <c r="CC80">
        <v>-19.239999999999998</v>
      </c>
      <c r="CD80" t="s">
        <v>3168</v>
      </c>
      <c r="CE80" t="s">
        <v>180</v>
      </c>
      <c r="CF80" s="8">
        <v>15.9921875</v>
      </c>
      <c r="CG80" s="9">
        <v>9.4706969546701618</v>
      </c>
      <c r="CH80" s="8">
        <v>-0.94147694110870361</v>
      </c>
      <c r="CI80" s="8">
        <v>-1.8100602552294731E-2</v>
      </c>
      <c r="CJ80" s="8">
        <v>0.44812884926795959</v>
      </c>
      <c r="CK80" s="8">
        <v>0.14169828593730927</v>
      </c>
      <c r="CL80" s="8">
        <v>0.20955079793930054</v>
      </c>
      <c r="CM80" s="9">
        <v>-0.92052978277206421</v>
      </c>
      <c r="CN80" s="9">
        <v>8.8942304253578186E-2</v>
      </c>
      <c r="CO80" s="9">
        <v>0.9692307710647583</v>
      </c>
      <c r="CP80" s="9">
        <v>-0.27217912673950195</v>
      </c>
      <c r="CQ80" s="9">
        <v>0.17391297221183777</v>
      </c>
      <c r="CR80">
        <v>22.066203174603174</v>
      </c>
      <c r="CS80">
        <v>6.8870963866482748</v>
      </c>
      <c r="CT80">
        <v>4.6959459459459456</v>
      </c>
      <c r="CU80" s="8">
        <v>-3.2039922103285788E-2</v>
      </c>
      <c r="CV80" s="9">
        <v>7.8754276037216187E-3</v>
      </c>
      <c r="CW80">
        <v>0.06</v>
      </c>
      <c r="CX80">
        <v>146.84714583333334</v>
      </c>
      <c r="CY80" t="s">
        <v>3169</v>
      </c>
      <c r="CZ80">
        <v>-3.2039922103285788E-2</v>
      </c>
      <c r="DA80">
        <v>48.94904861111111</v>
      </c>
      <c r="DB80" t="s">
        <v>3170</v>
      </c>
      <c r="DC80">
        <v>-3.0437925998121496E-2</v>
      </c>
      <c r="DD80">
        <v>24.474524305555555</v>
      </c>
      <c r="DE80" t="s">
        <v>3171</v>
      </c>
      <c r="DF80">
        <v>-2.8195131450891493E-2</v>
      </c>
      <c r="DG80">
        <v>14.684714583333333</v>
      </c>
      <c r="DH80" t="s">
        <v>3172</v>
      </c>
      <c r="DI80">
        <v>-2.5631937682628631E-2</v>
      </c>
      <c r="DJ80">
        <v>7.3423572916666666</v>
      </c>
      <c r="DK80" t="s">
        <v>3173</v>
      </c>
      <c r="DL80">
        <v>-2.2427945472300051E-2</v>
      </c>
      <c r="DM80">
        <v>144000000</v>
      </c>
      <c r="DN80">
        <v>-3.2039922103285788E-2</v>
      </c>
      <c r="DO80">
        <v>21145989000</v>
      </c>
      <c r="DP80">
        <v>1243352600</v>
      </c>
      <c r="DQ80">
        <v>4321</v>
      </c>
      <c r="DR80">
        <v>16.024227422103287</v>
      </c>
      <c r="DS80">
        <v>9.4628215270664402</v>
      </c>
      <c r="DT80" s="10">
        <v>-0.54</v>
      </c>
      <c r="DU80">
        <v>-8.3333333333333329E-2</v>
      </c>
      <c r="DV80">
        <v>-0.62333333333333341</v>
      </c>
      <c r="DW80">
        <v>-9.4329521829521834</v>
      </c>
      <c r="DX80">
        <v>0.34406271186440629</v>
      </c>
      <c r="DY80">
        <v>-9.0840198747313146</v>
      </c>
      <c r="DZ80">
        <v>1336</v>
      </c>
      <c r="EA80">
        <v>-9.0620530346841459</v>
      </c>
      <c r="EB80">
        <v>9</v>
      </c>
      <c r="EC80">
        <v>2.7861827799367002E-2</v>
      </c>
      <c r="ED80">
        <v>0.14357125864980333</v>
      </c>
      <c r="EE80" s="11">
        <v>-3.0938099999999999</v>
      </c>
      <c r="EF80">
        <v>-3.1043099999999999</v>
      </c>
      <c r="EG80">
        <v>15.194062711864406</v>
      </c>
      <c r="EH80" t="s">
        <v>1520</v>
      </c>
      <c r="EI80">
        <v>0</v>
      </c>
      <c r="EJ80">
        <v>1</v>
      </c>
      <c r="EK80" s="13">
        <v>45470</v>
      </c>
      <c r="EL80" s="14">
        <v>0.83</v>
      </c>
      <c r="EM80" s="14">
        <v>-3.69</v>
      </c>
      <c r="EN80" s="14">
        <v>0.21</v>
      </c>
      <c r="EO80" s="14">
        <v>2.12</v>
      </c>
      <c r="EP80" s="14">
        <v>-1.05</v>
      </c>
    </row>
    <row r="81" spans="1:146" ht="96" x14ac:dyDescent="0.25">
      <c r="A81" s="7"/>
      <c r="B81" s="7"/>
      <c r="C81" s="7" t="str">
        <f>""&amp;CHAR(10)&amp;Basic_Fundamental_Information_Constructure(F81)&amp;CHAR(10)&amp;Basic_Fundamental_Information_Concatenate("")</f>
        <v xml:space="preserve">
市值19.216204亿, 利润1.70亿; PE; 平均PE22.52; 平均PEG9.7, PB.87; ROIC5.125%; ROE.07%; 股利率0%; 毛利33.32%; 净利-1.06%; 上一年度营收增-73.79%, 利润增359.99%; 当季营收增147.77%, 利润增-17641.55%; 过往5年营收增-2.32%, 利润增123.52%
Income profile:
</v>
      </c>
      <c r="D81" t="s">
        <v>282</v>
      </c>
      <c r="E81" t="s">
        <v>22</v>
      </c>
      <c r="F81">
        <v>2.78</v>
      </c>
      <c r="G81">
        <v>1.0900000000000001</v>
      </c>
      <c r="H81" t="s">
        <v>3174</v>
      </c>
      <c r="I81">
        <v>1921620400</v>
      </c>
      <c r="K81">
        <v>0.87</v>
      </c>
      <c r="L81" t="s">
        <v>1762</v>
      </c>
      <c r="M81" t="s">
        <v>3175</v>
      </c>
      <c r="N81" t="s">
        <v>3176</v>
      </c>
      <c r="O81" t="s">
        <v>1010</v>
      </c>
      <c r="P81">
        <v>-8.27</v>
      </c>
      <c r="Q81" t="s">
        <v>1613</v>
      </c>
      <c r="R81">
        <v>-79428144</v>
      </c>
      <c r="S81" s="5">
        <v>0.1736</v>
      </c>
      <c r="T81" t="s">
        <v>161</v>
      </c>
      <c r="U81">
        <v>569527450</v>
      </c>
      <c r="V81">
        <v>691230360</v>
      </c>
      <c r="W81">
        <v>2.94</v>
      </c>
      <c r="X81">
        <v>0.13</v>
      </c>
      <c r="Y81">
        <v>-9.32</v>
      </c>
      <c r="Z81" t="s">
        <v>2112</v>
      </c>
      <c r="AA81" t="s">
        <v>1675</v>
      </c>
      <c r="AB81" t="s">
        <v>259</v>
      </c>
      <c r="AC81" t="s">
        <v>3177</v>
      </c>
      <c r="AD81" t="s">
        <v>41</v>
      </c>
      <c r="AE81">
        <v>57719655</v>
      </c>
      <c r="AF81" t="s">
        <v>3178</v>
      </c>
      <c r="AG81" t="s">
        <v>3179</v>
      </c>
      <c r="AH81" t="s">
        <v>3180</v>
      </c>
      <c r="AI81" t="s">
        <v>3181</v>
      </c>
      <c r="AJ81" t="s">
        <v>3182</v>
      </c>
      <c r="AK81" t="s">
        <v>41</v>
      </c>
      <c r="AL81" t="s">
        <v>3183</v>
      </c>
      <c r="AM81" t="s">
        <v>41</v>
      </c>
      <c r="AN81" t="s">
        <v>3184</v>
      </c>
      <c r="AO81" t="s">
        <v>1815</v>
      </c>
      <c r="AP81" t="s">
        <v>41</v>
      </c>
      <c r="AQ81" t="s">
        <v>986</v>
      </c>
      <c r="AR81" t="s">
        <v>3185</v>
      </c>
      <c r="AS81" t="s">
        <v>1477</v>
      </c>
      <c r="AT81" t="s">
        <v>3186</v>
      </c>
      <c r="AU81" t="s">
        <v>3187</v>
      </c>
      <c r="AV81" t="s">
        <v>3188</v>
      </c>
      <c r="AW81" t="s">
        <v>1006</v>
      </c>
      <c r="AX81" t="s">
        <v>1231</v>
      </c>
      <c r="AY81" t="s">
        <v>829</v>
      </c>
      <c r="AZ81" t="s">
        <v>283</v>
      </c>
      <c r="BA81" t="s">
        <v>283</v>
      </c>
      <c r="BB81" t="s">
        <v>533</v>
      </c>
      <c r="BC81" t="s">
        <v>1232</v>
      </c>
      <c r="BD81" t="s">
        <v>527</v>
      </c>
      <c r="BE81" t="s">
        <v>64</v>
      </c>
      <c r="BF81" t="s">
        <v>284</v>
      </c>
      <c r="BG81" t="s">
        <v>536</v>
      </c>
      <c r="BH81" t="s">
        <v>3189</v>
      </c>
      <c r="BI81" t="s">
        <v>1264</v>
      </c>
      <c r="BJ81" t="s">
        <v>1231</v>
      </c>
      <c r="BK81" t="s">
        <v>3190</v>
      </c>
      <c r="BL81" t="s">
        <v>3191</v>
      </c>
      <c r="BM81" t="s">
        <v>1232</v>
      </c>
      <c r="BN81" t="s">
        <v>41</v>
      </c>
      <c r="BO81">
        <v>3.95</v>
      </c>
      <c r="BP81">
        <v>6.3</v>
      </c>
      <c r="BQ81">
        <v>-9.94</v>
      </c>
      <c r="BR81">
        <v>1.71</v>
      </c>
      <c r="BS81">
        <v>8.44</v>
      </c>
      <c r="BT81" t="s">
        <v>1081</v>
      </c>
      <c r="BU81" t="s">
        <v>1868</v>
      </c>
      <c r="BV81">
        <v>31.84</v>
      </c>
      <c r="BW81">
        <v>32.29</v>
      </c>
      <c r="BX81">
        <v>35.83</v>
      </c>
      <c r="BY81">
        <v>-7.73</v>
      </c>
      <c r="BZ81">
        <v>0.77</v>
      </c>
      <c r="CA81">
        <v>3.78</v>
      </c>
      <c r="CB81">
        <v>-0.36</v>
      </c>
      <c r="CC81">
        <v>-22.13</v>
      </c>
      <c r="CD81" t="s">
        <v>3192</v>
      </c>
      <c r="CE81" t="s">
        <v>392</v>
      </c>
      <c r="CF81" s="8">
        <v>1.4776536312849158</v>
      </c>
      <c r="CG81" s="9">
        <v>-176.41551236749117</v>
      </c>
      <c r="CH81" s="8">
        <v>-0.73789411783218384</v>
      </c>
      <c r="CI81" s="8">
        <v>-4.3366793543100357E-2</v>
      </c>
      <c r="CJ81" s="8">
        <v>0.18555733561515808</v>
      </c>
      <c r="CK81" s="8">
        <v>0</v>
      </c>
      <c r="CL81" s="8">
        <v>0.47959890961647034</v>
      </c>
      <c r="CM81" s="9">
        <v>3.5999033451080322</v>
      </c>
      <c r="CN81" s="9">
        <v>-0.79237473011016846</v>
      </c>
      <c r="CO81" s="9">
        <v>0.71153843402862549</v>
      </c>
      <c r="CP81" s="9">
        <v>0.26589527726173401</v>
      </c>
      <c r="CQ81" s="9">
        <v>2.390949010848999</v>
      </c>
      <c r="CR81">
        <v>22.516860515529391</v>
      </c>
      <c r="CS81">
        <v>9.6967939633319222</v>
      </c>
      <c r="CT81">
        <v>0</v>
      </c>
      <c r="CU81" s="8">
        <v>-2.3220933228731155E-2</v>
      </c>
      <c r="CV81" s="9">
        <v>1.2351822674274444</v>
      </c>
      <c r="CW81">
        <v>0.06</v>
      </c>
      <c r="CX81" t="e">
        <v>#VALUE!</v>
      </c>
      <c r="CY81" t="s">
        <v>905</v>
      </c>
      <c r="CZ81">
        <v>-2.3220933228731155E-2</v>
      </c>
      <c r="DA81">
        <v>8.7306282352941178</v>
      </c>
      <c r="DB81" t="s">
        <v>3193</v>
      </c>
      <c r="DC81">
        <v>-2.2059886567294597E-2</v>
      </c>
      <c r="DD81">
        <v>4.3653141176470589</v>
      </c>
      <c r="DE81" t="s">
        <v>3194</v>
      </c>
      <c r="DF81">
        <v>-2.0434421241283415E-2</v>
      </c>
      <c r="DG81">
        <v>2.6191884705882353</v>
      </c>
      <c r="DH81" t="s">
        <v>3195</v>
      </c>
      <c r="DI81">
        <v>-1.8576746582984926E-2</v>
      </c>
      <c r="DJ81">
        <v>1.3095942352941177</v>
      </c>
      <c r="DK81" t="s">
        <v>3196</v>
      </c>
      <c r="DL81">
        <v>-1.6254653260111808E-2</v>
      </c>
      <c r="DM81">
        <v>170000000</v>
      </c>
      <c r="DN81">
        <v>-2.3220933228731155E-2</v>
      </c>
      <c r="DO81">
        <v>4452620400</v>
      </c>
      <c r="DP81">
        <v>901698600</v>
      </c>
      <c r="DQ81">
        <v>4323</v>
      </c>
      <c r="DR81">
        <v>1.500874564513647</v>
      </c>
      <c r="DS81">
        <v>-177.65069463491861</v>
      </c>
      <c r="DT81" s="10">
        <v>-0.54</v>
      </c>
      <c r="DU81">
        <v>-6.6666666666667452E-3</v>
      </c>
      <c r="DV81">
        <v>-0.54666666666666675</v>
      </c>
      <c r="DW81">
        <v>-3.0693273809523811</v>
      </c>
      <c r="DX81">
        <v>0.31063229813664595</v>
      </c>
      <c r="DY81">
        <v>-3.0104429427166517</v>
      </c>
      <c r="DZ81">
        <v>2122</v>
      </c>
      <c r="EA81">
        <v>-3.0061063625904807</v>
      </c>
      <c r="EB81">
        <v>3</v>
      </c>
      <c r="EC81">
        <v>3.5084975144899597E-2</v>
      </c>
      <c r="ED81">
        <v>0.23291801014064256</v>
      </c>
      <c r="EE81" s="11">
        <v>-1.04481</v>
      </c>
      <c r="EF81">
        <v>-1.0636099999999999</v>
      </c>
      <c r="EG81">
        <v>16.150632298136646</v>
      </c>
      <c r="EH81" t="s">
        <v>1095</v>
      </c>
      <c r="EI81">
        <v>0</v>
      </c>
      <c r="EJ81">
        <v>0</v>
      </c>
      <c r="EK81" s="13">
        <v>45470</v>
      </c>
      <c r="EL81" s="14">
        <v>-1.1000000000000001</v>
      </c>
      <c r="EM81" s="14">
        <v>-4.63</v>
      </c>
      <c r="EN81" s="14">
        <v>1.26</v>
      </c>
      <c r="EO81" s="14">
        <v>2.11</v>
      </c>
      <c r="EP81" s="14">
        <v>-1.88</v>
      </c>
    </row>
    <row r="82" spans="1:146" ht="192" x14ac:dyDescent="0.25">
      <c r="A82" s="7" t="s">
        <v>1411</v>
      </c>
      <c r="B82" s="7" t="s">
        <v>1412</v>
      </c>
      <c r="C82" s="7" t="str">
        <f>"公司主要从事整体厨柜、整体衣柜、整体卫浴和定制木门等定制化整体家居产品的个性化设计、研发、生产、销售和安装服务。公司在整体厨柜领域一直保持行业龙头地位，并在整体衣柜、定制木门领域取得显著增长，在整体家居行业中具有较高的知名度与影响力。"&amp;CHAR(10)&amp;Basic_Fundamental_Information_Constructure(F82)&amp;CHAR(10)&amp;Basic_Fundamental_Information_Concatenate("衣柜及配套家具产品 87.08亿 53.52% 53.43% 31.98%
厨柜 54.50亿 33.50% 34.92% 33.39%
木门 9.36亿 5.75% 3.82% 21.27%
卫浴 7.22亿 4.44% 3.98% 28.68%
其他业务 2.66亿 1.64% 2.15% 42.10%")</f>
        <v>公司主要从事整体厨柜、整体衣柜、整体卫浴和定制木门等定制化整体家居产品的个性化设计、研发、生产、销售和安装服务。公司在整体厨柜领域一直保持行业龙头地位，并在整体衣柜、定制木门领域取得显著增长，在整体家居行业中具有较高的知名度与影响力。
市值309.81494亿, 利润1.53亿; PE9.99; 平均PE16.93; 平均PEG25.48, PB1.73; ROIC12.47%; ROE17.45%; 股利率5.4267%; 毛利32.4633%; 净利12.7467%; 上一年度营收增-71.84%, 利润增-94.31%; 当季营收增156.44%, 利润增619.33%; 过往5年营收增.66%, 利润增-7.02%
Income profile:
衣柜及配套家具产品 87.08亿 53.52% 53.43% 31.98%
厨柜 54.50亿 33.50% 34.92% 33.39%
木门 9.36亿 5.75% 3.82% 21.27%
卫浴 7.22亿 4.44% 3.98% 28.68%
其他业务 2.66亿 1.64% 2.15% 42.10%</v>
      </c>
      <c r="D82" t="s">
        <v>286</v>
      </c>
      <c r="E82" t="s">
        <v>27</v>
      </c>
      <c r="F82">
        <v>50.86</v>
      </c>
      <c r="G82">
        <v>-1.8</v>
      </c>
      <c r="H82" t="s">
        <v>3197</v>
      </c>
      <c r="I82">
        <v>30981494000</v>
      </c>
      <c r="J82">
        <v>9.99</v>
      </c>
      <c r="K82">
        <v>1.73</v>
      </c>
      <c r="L82" t="s">
        <v>1762</v>
      </c>
      <c r="M82" t="s">
        <v>3198</v>
      </c>
      <c r="N82" t="s">
        <v>3199</v>
      </c>
      <c r="O82" t="s">
        <v>3200</v>
      </c>
      <c r="P82">
        <v>1.43</v>
      </c>
      <c r="Q82" t="s">
        <v>3201</v>
      </c>
      <c r="R82">
        <v>217941310</v>
      </c>
      <c r="S82" s="5">
        <v>0.43</v>
      </c>
      <c r="T82" t="s">
        <v>279</v>
      </c>
      <c r="U82">
        <v>609152460</v>
      </c>
      <c r="V82">
        <v>609152460</v>
      </c>
      <c r="W82">
        <v>1.96</v>
      </c>
      <c r="X82">
        <v>0.1</v>
      </c>
      <c r="Y82">
        <v>6.03</v>
      </c>
      <c r="Z82" t="s">
        <v>3202</v>
      </c>
      <c r="AA82" t="s">
        <v>3203</v>
      </c>
      <c r="AB82" t="s">
        <v>140</v>
      </c>
      <c r="AC82" t="s">
        <v>1265</v>
      </c>
      <c r="AD82" t="s">
        <v>41</v>
      </c>
      <c r="AE82">
        <v>-56237454</v>
      </c>
      <c r="AF82" t="s">
        <v>3204</v>
      </c>
      <c r="AG82" t="s">
        <v>3205</v>
      </c>
      <c r="AH82" t="s">
        <v>3206</v>
      </c>
      <c r="AI82" t="s">
        <v>3207</v>
      </c>
      <c r="AJ82" t="s">
        <v>3208</v>
      </c>
      <c r="AK82" t="s">
        <v>3209</v>
      </c>
      <c r="AL82" t="s">
        <v>3210</v>
      </c>
      <c r="AM82" t="s">
        <v>41</v>
      </c>
      <c r="AN82" t="s">
        <v>3211</v>
      </c>
      <c r="AO82" t="s">
        <v>3212</v>
      </c>
      <c r="AP82" t="s">
        <v>3213</v>
      </c>
      <c r="AQ82" t="s">
        <v>3214</v>
      </c>
      <c r="AR82" t="s">
        <v>3215</v>
      </c>
      <c r="AS82" t="s">
        <v>3216</v>
      </c>
      <c r="AT82" t="s">
        <v>279</v>
      </c>
      <c r="AU82" t="s">
        <v>3217</v>
      </c>
      <c r="AV82" t="s">
        <v>3218</v>
      </c>
      <c r="AW82" t="s">
        <v>3219</v>
      </c>
      <c r="AX82" t="s">
        <v>1233</v>
      </c>
      <c r="AY82" t="s">
        <v>830</v>
      </c>
      <c r="AZ82" t="s">
        <v>537</v>
      </c>
      <c r="BA82" t="s">
        <v>287</v>
      </c>
      <c r="BB82" t="s">
        <v>539</v>
      </c>
      <c r="BC82" t="s">
        <v>1234</v>
      </c>
      <c r="BD82" t="s">
        <v>831</v>
      </c>
      <c r="BE82" t="s">
        <v>538</v>
      </c>
      <c r="BF82" t="s">
        <v>66</v>
      </c>
      <c r="BG82" t="s">
        <v>540</v>
      </c>
      <c r="BH82" t="s">
        <v>3220</v>
      </c>
      <c r="BI82" t="s">
        <v>3156</v>
      </c>
      <c r="BJ82" t="s">
        <v>1233</v>
      </c>
      <c r="BK82" t="s">
        <v>3221</v>
      </c>
      <c r="BL82" t="s">
        <v>3222</v>
      </c>
      <c r="BM82" t="s">
        <v>1234</v>
      </c>
      <c r="BN82">
        <v>8.4</v>
      </c>
      <c r="BO82">
        <v>12.49</v>
      </c>
      <c r="BP82">
        <v>16.52</v>
      </c>
      <c r="BQ82">
        <v>14.84</v>
      </c>
      <c r="BR82">
        <v>17.37</v>
      </c>
      <c r="BS82">
        <v>20.14</v>
      </c>
      <c r="BT82" t="s">
        <v>3223</v>
      </c>
      <c r="BU82" t="s">
        <v>2063</v>
      </c>
      <c r="BV82">
        <v>34.159999999999997</v>
      </c>
      <c r="BW82">
        <v>31.61</v>
      </c>
      <c r="BX82">
        <v>31.62</v>
      </c>
      <c r="BY82">
        <v>13.28</v>
      </c>
      <c r="BZ82">
        <v>11.93</v>
      </c>
      <c r="CA82">
        <v>13.03</v>
      </c>
      <c r="CB82">
        <v>-5.04</v>
      </c>
      <c r="CC82">
        <v>-31.7</v>
      </c>
      <c r="CD82" t="s">
        <v>3224</v>
      </c>
      <c r="CE82" t="s">
        <v>3225</v>
      </c>
      <c r="CF82" s="8">
        <v>1.5644475920679888</v>
      </c>
      <c r="CG82" s="9">
        <v>6.1933285364895685</v>
      </c>
      <c r="CH82" s="8">
        <v>-0.71837186813354492</v>
      </c>
      <c r="CI82" s="8">
        <v>9.969668835401535E-2</v>
      </c>
      <c r="CJ82" s="8">
        <v>0.38683852553367615</v>
      </c>
      <c r="CK82" s="8">
        <v>8.9189395308494568E-2</v>
      </c>
      <c r="CL82" s="8">
        <v>0.17586232721805573</v>
      </c>
      <c r="CM82" s="9">
        <v>-0.9430803656578064</v>
      </c>
      <c r="CN82" s="9">
        <v>8.2521112635731697E-3</v>
      </c>
      <c r="CO82" s="9">
        <v>0.29229268431663513</v>
      </c>
      <c r="CP82" s="9">
        <v>0.12180532515048981</v>
      </c>
      <c r="CQ82" s="9">
        <v>0.16984736919403076</v>
      </c>
      <c r="CR82">
        <v>16.928236408341679</v>
      </c>
      <c r="CS82">
        <v>25.482766233209315</v>
      </c>
      <c r="CT82">
        <v>5.426661423515533</v>
      </c>
      <c r="CU82" s="8">
        <v>6.6430136561393734E-3</v>
      </c>
      <c r="CV82" s="9">
        <v>-7.0176575146615502E-2</v>
      </c>
      <c r="CW82">
        <v>0.06</v>
      </c>
      <c r="CX82">
        <v>198.87679104875568</v>
      </c>
      <c r="CY82">
        <v>145298472.72583896</v>
      </c>
      <c r="CZ82">
        <v>6.6430136561393734E-3</v>
      </c>
      <c r="DA82">
        <v>69.789301786873551</v>
      </c>
      <c r="DB82">
        <v>414053347.14833111</v>
      </c>
      <c r="DC82">
        <v>6.3108629733324047E-3</v>
      </c>
      <c r="DD82">
        <v>37.668020216715007</v>
      </c>
      <c r="DE82">
        <v>767135990.52326405</v>
      </c>
      <c r="DF82">
        <v>5.8458520174026482E-3</v>
      </c>
      <c r="DG82">
        <v>24.983946761742992</v>
      </c>
      <c r="DH82">
        <v>1156602448.5870323</v>
      </c>
      <c r="DI82">
        <v>5.3144109249114993E-3</v>
      </c>
      <c r="DJ82">
        <v>15.816466373635208</v>
      </c>
      <c r="DK82">
        <v>1826987983.1166434</v>
      </c>
      <c r="DL82">
        <v>4.6501095592975609E-3</v>
      </c>
      <c r="DM82">
        <v>153000000</v>
      </c>
      <c r="DN82">
        <v>6.6430136561393734E-3</v>
      </c>
      <c r="DO82">
        <v>28896494000</v>
      </c>
      <c r="DP82">
        <v>2647336999.9999981</v>
      </c>
      <c r="DQ82">
        <v>4331</v>
      </c>
      <c r="DR82">
        <v>1.5578045784118495</v>
      </c>
      <c r="DS82">
        <v>6.2635051116361842</v>
      </c>
      <c r="DT82" s="10">
        <v>-0.54</v>
      </c>
      <c r="DU82">
        <v>-0.10000000000000002</v>
      </c>
      <c r="DV82">
        <v>-0.64</v>
      </c>
      <c r="DW82">
        <v>-8.158990536277603</v>
      </c>
      <c r="DX82">
        <v>0.45149949865262728</v>
      </c>
      <c r="DY82">
        <v>-8.028856702624898</v>
      </c>
      <c r="DZ82">
        <v>1343</v>
      </c>
      <c r="EA82">
        <v>-8.0212726416414863</v>
      </c>
      <c r="EB82">
        <v>8</v>
      </c>
      <c r="EC82">
        <v>2.2821380381522222E-2</v>
      </c>
      <c r="ED82">
        <v>0.12573798027508581</v>
      </c>
      <c r="EE82" s="11">
        <v>4.0644999999999998</v>
      </c>
      <c r="EF82">
        <v>4.0510999999999999</v>
      </c>
      <c r="EG82">
        <v>27.181499498652627</v>
      </c>
      <c r="EH82" t="s">
        <v>1632</v>
      </c>
      <c r="EI82">
        <v>0</v>
      </c>
      <c r="EJ82">
        <v>1</v>
      </c>
      <c r="EK82" s="13">
        <v>45470</v>
      </c>
      <c r="EL82" s="14">
        <v>0.22</v>
      </c>
      <c r="EM82" s="14">
        <v>-0.65</v>
      </c>
      <c r="EN82" s="14">
        <v>-2.94</v>
      </c>
      <c r="EO82" s="14">
        <v>1.66</v>
      </c>
      <c r="EP82" s="14">
        <v>-1.34</v>
      </c>
    </row>
    <row r="83" spans="1:146" ht="96" x14ac:dyDescent="0.25">
      <c r="C83" s="7" t="str">
        <f>""&amp;CHAR(10)&amp;Basic_Fundamental_Information_Constructure(F83)&amp;CHAR(10)&amp;Basic_Fundamental_Information_Concatenate("")</f>
        <v xml:space="preserve">
市值18.944947亿, 利润4676.91万; PE; 平均PE84.56; 平均PEG.55, PB1.92; ROIC3.19%; ROE-.6133%; 股利率0%; 毛利9.53%; 净利-7.5233%; 上一年度营收增815.61%, 利润增279.48%; 当季营收增-93.67%, 利润增-122.39%; 过往5年营收增154.05%, 利润增150.13%
Income profile:
</v>
      </c>
      <c r="D83" t="s">
        <v>289</v>
      </c>
      <c r="E83" t="s">
        <v>19</v>
      </c>
      <c r="F83">
        <v>5.92</v>
      </c>
      <c r="G83">
        <v>0.68</v>
      </c>
      <c r="H83" t="s">
        <v>3226</v>
      </c>
      <c r="I83">
        <v>1894494700</v>
      </c>
      <c r="K83">
        <v>1.92</v>
      </c>
      <c r="L83" t="s">
        <v>1762</v>
      </c>
      <c r="M83" t="s">
        <v>3227</v>
      </c>
      <c r="N83" t="s">
        <v>530</v>
      </c>
      <c r="O83" t="s">
        <v>3228</v>
      </c>
      <c r="P83">
        <v>6.07</v>
      </c>
      <c r="Q83" t="s">
        <v>1266</v>
      </c>
      <c r="R83">
        <v>-6137644</v>
      </c>
      <c r="S83" s="5">
        <v>0.31430000000000002</v>
      </c>
      <c r="T83" t="s">
        <v>3229</v>
      </c>
      <c r="U83">
        <v>320016000</v>
      </c>
      <c r="V83">
        <v>320016000</v>
      </c>
      <c r="W83">
        <v>1.06</v>
      </c>
      <c r="X83">
        <v>0.04</v>
      </c>
      <c r="Y83">
        <v>-16.04</v>
      </c>
      <c r="Z83" t="s">
        <v>3230</v>
      </c>
      <c r="AA83" t="s">
        <v>3231</v>
      </c>
      <c r="AB83" t="s">
        <v>3232</v>
      </c>
      <c r="AC83" t="s">
        <v>3233</v>
      </c>
      <c r="AD83" t="s">
        <v>41</v>
      </c>
      <c r="AE83">
        <v>-532276</v>
      </c>
      <c r="AF83" t="s">
        <v>3234</v>
      </c>
      <c r="AG83">
        <v>0.16</v>
      </c>
      <c r="AH83" t="s">
        <v>3235</v>
      </c>
      <c r="AI83" t="s">
        <v>141</v>
      </c>
      <c r="AJ83" t="s">
        <v>3236</v>
      </c>
      <c r="AK83" t="s">
        <v>41</v>
      </c>
      <c r="AL83" t="s">
        <v>3237</v>
      </c>
      <c r="AM83" t="s">
        <v>41</v>
      </c>
      <c r="AN83">
        <v>0</v>
      </c>
      <c r="AO83" t="s">
        <v>41</v>
      </c>
      <c r="AP83" t="s">
        <v>41</v>
      </c>
      <c r="AQ83" t="s">
        <v>3238</v>
      </c>
      <c r="AR83" t="s">
        <v>41</v>
      </c>
      <c r="AS83" t="s">
        <v>3239</v>
      </c>
      <c r="AT83" t="s">
        <v>41</v>
      </c>
      <c r="AU83" t="s">
        <v>3240</v>
      </c>
      <c r="AV83" t="s">
        <v>3241</v>
      </c>
      <c r="AW83" t="s">
        <v>41</v>
      </c>
      <c r="AX83" t="s">
        <v>356</v>
      </c>
      <c r="AY83" t="s">
        <v>325</v>
      </c>
      <c r="AZ83" t="s">
        <v>479</v>
      </c>
      <c r="BA83" t="s">
        <v>290</v>
      </c>
      <c r="BB83" t="s">
        <v>482</v>
      </c>
      <c r="BC83" t="s">
        <v>1236</v>
      </c>
      <c r="BD83" t="s">
        <v>832</v>
      </c>
      <c r="BE83" t="s">
        <v>543</v>
      </c>
      <c r="BF83" t="s">
        <v>291</v>
      </c>
      <c r="BG83" t="s">
        <v>545</v>
      </c>
      <c r="BH83" t="s">
        <v>497</v>
      </c>
      <c r="BI83" t="s">
        <v>1300</v>
      </c>
      <c r="BJ83" t="s">
        <v>356</v>
      </c>
      <c r="BK83" t="s">
        <v>3242</v>
      </c>
      <c r="BL83" t="s">
        <v>3243</v>
      </c>
      <c r="BM83" t="s">
        <v>1236</v>
      </c>
      <c r="BN83" t="s">
        <v>41</v>
      </c>
      <c r="BO83" t="s">
        <v>41</v>
      </c>
      <c r="BP83">
        <v>3.19</v>
      </c>
      <c r="BQ83">
        <v>-2.4</v>
      </c>
      <c r="BR83">
        <v>-2.4500000000000002</v>
      </c>
      <c r="BS83">
        <v>3.01</v>
      </c>
      <c r="BT83" t="s">
        <v>1081</v>
      </c>
      <c r="BU83" t="s">
        <v>1777</v>
      </c>
      <c r="BV83">
        <v>4.2300000000000004</v>
      </c>
      <c r="BW83">
        <v>5.54</v>
      </c>
      <c r="BX83">
        <v>18.82</v>
      </c>
      <c r="BY83">
        <v>-20.11</v>
      </c>
      <c r="BZ83">
        <v>-10.99</v>
      </c>
      <c r="CA83">
        <v>8.5299999999999994</v>
      </c>
      <c r="CB83">
        <v>-2.63</v>
      </c>
      <c r="CC83">
        <v>9.6300000000000008</v>
      </c>
      <c r="CD83" t="s">
        <v>3244</v>
      </c>
      <c r="CE83" t="s">
        <v>295</v>
      </c>
      <c r="CF83" s="8">
        <v>-0.93665678807947017</v>
      </c>
      <c r="CG83" s="9">
        <v>-1.2239476622419416</v>
      </c>
      <c r="CH83" s="8">
        <v>8.1561174392700195</v>
      </c>
      <c r="CI83" s="8">
        <v>-0.3730158805847168</v>
      </c>
      <c r="CJ83" s="8">
        <v>0.29010239243507385</v>
      </c>
      <c r="CK83" s="8">
        <v>-0.27654320001602173</v>
      </c>
      <c r="CL83" s="8">
        <v>-9.3959733843803406E-2</v>
      </c>
      <c r="CM83" s="9">
        <v>2.7947871685028076</v>
      </c>
      <c r="CN83" s="9">
        <v>-1.808415412902832</v>
      </c>
      <c r="CO83" s="9">
        <v>7.6135540008544922</v>
      </c>
      <c r="CP83" s="9">
        <v>-1.1118555068969727</v>
      </c>
      <c r="CQ83" s="9">
        <v>1.8522327765822411E-2</v>
      </c>
      <c r="CR83">
        <v>84.560115812049418</v>
      </c>
      <c r="CS83">
        <v>0.54889911748205844</v>
      </c>
      <c r="CT83">
        <v>0</v>
      </c>
      <c r="CU83" s="8">
        <v>1.5405402034521103</v>
      </c>
      <c r="CV83" s="9">
        <v>1.5013185154646635</v>
      </c>
      <c r="CW83">
        <v>0.06</v>
      </c>
      <c r="CX83">
        <v>8.6305681989332594</v>
      </c>
      <c r="CY83">
        <v>112093187.57478498</v>
      </c>
      <c r="CZ83">
        <v>1.5405402034521103</v>
      </c>
      <c r="DA83">
        <v>1.0200628118459825</v>
      </c>
      <c r="DB83">
        <v>948400322.76960444</v>
      </c>
      <c r="DC83">
        <v>1.4635131932795047</v>
      </c>
      <c r="DD83">
        <v>9.5236432706379603E-2</v>
      </c>
      <c r="DE83">
        <v>10158170276.942711</v>
      </c>
      <c r="DF83">
        <v>1.3556753790378571</v>
      </c>
      <c r="DG83">
        <v>6.3313749207292869E-3</v>
      </c>
      <c r="DH83">
        <v>152799022662.9267</v>
      </c>
      <c r="DI83">
        <v>1.2324321627616883</v>
      </c>
      <c r="DJ83">
        <v>1.4370460683961983E-5</v>
      </c>
      <c r="DK83">
        <v>67320590569492.93</v>
      </c>
      <c r="DL83">
        <v>1.0783781424164771</v>
      </c>
      <c r="DM83">
        <v>46769100</v>
      </c>
      <c r="DN83">
        <v>1.5405402034521103</v>
      </c>
      <c r="DO83">
        <v>967427900</v>
      </c>
      <c r="DP83">
        <v>667829690</v>
      </c>
      <c r="DQ83">
        <v>4333</v>
      </c>
      <c r="DR83">
        <v>-2.4771969915315806</v>
      </c>
      <c r="DS83">
        <v>-2.7252661777066054</v>
      </c>
      <c r="DT83" s="10">
        <v>-0.27333333333333337</v>
      </c>
      <c r="DU83">
        <v>-1.6366666666666667</v>
      </c>
      <c r="DV83">
        <v>-1.9100000000000001</v>
      </c>
      <c r="DW83">
        <v>-6.2145187601957588</v>
      </c>
      <c r="DX83">
        <v>0.34357319148936255</v>
      </c>
      <c r="DY83">
        <v>-6.0350895182395616</v>
      </c>
      <c r="DZ83">
        <v>4408</v>
      </c>
      <c r="EA83">
        <v>-6.0048205169871176</v>
      </c>
      <c r="EB83">
        <v>6</v>
      </c>
      <c r="EC83">
        <v>0.12011805659717015</v>
      </c>
      <c r="ED83">
        <v>0.7343382830858457</v>
      </c>
      <c r="EE83" s="11">
        <v>-4.0423999999999998</v>
      </c>
      <c r="EF83">
        <v>-4.0289000000000001</v>
      </c>
      <c r="EG83">
        <v>18.163573191489363</v>
      </c>
      <c r="EH83" t="s">
        <v>1739</v>
      </c>
      <c r="EI83">
        <v>0</v>
      </c>
      <c r="EJ83">
        <v>0</v>
      </c>
      <c r="EK83" s="13">
        <v>45470</v>
      </c>
      <c r="EL83" s="14">
        <v>0</v>
      </c>
      <c r="EM83" s="14">
        <v>-4.32</v>
      </c>
      <c r="EN83" s="14">
        <v>1.66</v>
      </c>
      <c r="EO83" s="14">
        <v>3.74</v>
      </c>
      <c r="EP83" s="14">
        <v>-1.35</v>
      </c>
    </row>
    <row r="84" spans="1:146" ht="96" x14ac:dyDescent="0.25">
      <c r="C84" s="7" t="str">
        <f>""&amp;CHAR(10)&amp;Basic_Fundamental_Information_Constructure(F84)&amp;CHAR(10)&amp;Basic_Fundamental_Information_Concatenate("")</f>
        <v xml:space="preserve">
市值53.59029亿, 利润4.61亿; PE16.02; 平均PE18; 平均PEG.65, PB2.28; ROIC11.8133%; ROE13.21%; 股利率2.2624%; 毛利47.6033%; 净利18.7733%; 上一年度营收增131.33%, 利润增110.5%; 当季营收增-52.21%, 利润增-35.43%; 过往5年营收增27.88%, 利润增19.7%
Income profile:
</v>
      </c>
      <c r="D84" t="s">
        <v>293</v>
      </c>
      <c r="E84" t="s">
        <v>683</v>
      </c>
      <c r="F84">
        <v>13.26</v>
      </c>
      <c r="G84">
        <v>1.38</v>
      </c>
      <c r="H84" t="s">
        <v>3245</v>
      </c>
      <c r="I84">
        <v>5359029000</v>
      </c>
      <c r="J84">
        <v>16.02</v>
      </c>
      <c r="K84">
        <v>2.2799999999999998</v>
      </c>
      <c r="L84" t="s">
        <v>1762</v>
      </c>
      <c r="M84" t="s">
        <v>381</v>
      </c>
      <c r="N84" t="s">
        <v>3246</v>
      </c>
      <c r="O84" t="s">
        <v>1455</v>
      </c>
      <c r="P84">
        <v>5.73</v>
      </c>
      <c r="Q84" t="s">
        <v>3247</v>
      </c>
      <c r="R84">
        <v>55549590</v>
      </c>
      <c r="S84" s="5">
        <v>0.1507</v>
      </c>
      <c r="T84" t="s">
        <v>2731</v>
      </c>
      <c r="U84">
        <v>401000000</v>
      </c>
      <c r="V84">
        <v>404150000</v>
      </c>
      <c r="W84">
        <v>1.1399999999999999</v>
      </c>
      <c r="X84">
        <v>0.09</v>
      </c>
      <c r="Y84">
        <v>18.98</v>
      </c>
      <c r="Z84" t="s">
        <v>295</v>
      </c>
      <c r="AA84" t="s">
        <v>168</v>
      </c>
      <c r="AB84" t="s">
        <v>3248</v>
      </c>
      <c r="AC84" t="s">
        <v>3249</v>
      </c>
      <c r="AD84" t="s">
        <v>41</v>
      </c>
      <c r="AE84">
        <v>-3397389</v>
      </c>
      <c r="AF84" t="s">
        <v>134</v>
      </c>
      <c r="AG84" t="s">
        <v>3250</v>
      </c>
      <c r="AH84" t="s">
        <v>3251</v>
      </c>
      <c r="AI84" t="s">
        <v>412</v>
      </c>
      <c r="AJ84" t="s">
        <v>3252</v>
      </c>
      <c r="AK84" t="s">
        <v>3253</v>
      </c>
      <c r="AL84" t="s">
        <v>3254</v>
      </c>
      <c r="AM84" t="s">
        <v>41</v>
      </c>
      <c r="AN84" t="s">
        <v>3255</v>
      </c>
      <c r="AO84" t="s">
        <v>41</v>
      </c>
      <c r="AP84" t="s">
        <v>3256</v>
      </c>
      <c r="AQ84" t="s">
        <v>279</v>
      </c>
      <c r="AR84" t="s">
        <v>41</v>
      </c>
      <c r="AS84" t="s">
        <v>2254</v>
      </c>
      <c r="AT84" t="s">
        <v>41</v>
      </c>
      <c r="AU84" t="s">
        <v>3257</v>
      </c>
      <c r="AV84" t="s">
        <v>3258</v>
      </c>
      <c r="AW84" t="s">
        <v>3259</v>
      </c>
      <c r="AX84" t="s">
        <v>1106</v>
      </c>
      <c r="AY84" t="s">
        <v>833</v>
      </c>
      <c r="AZ84" t="s">
        <v>546</v>
      </c>
      <c r="BA84" t="s">
        <v>294</v>
      </c>
      <c r="BB84" t="s">
        <v>547</v>
      </c>
      <c r="BC84" t="s">
        <v>83</v>
      </c>
      <c r="BD84" t="s">
        <v>502</v>
      </c>
      <c r="BE84" t="s">
        <v>306</v>
      </c>
      <c r="BF84" t="s">
        <v>193</v>
      </c>
      <c r="BG84" t="s">
        <v>223</v>
      </c>
      <c r="BH84" t="s">
        <v>1309</v>
      </c>
      <c r="BI84" t="s">
        <v>1014</v>
      </c>
      <c r="BJ84" t="s">
        <v>1106</v>
      </c>
      <c r="BK84" t="s">
        <v>154</v>
      </c>
      <c r="BL84" t="s">
        <v>3260</v>
      </c>
      <c r="BM84" t="s">
        <v>83</v>
      </c>
      <c r="BN84">
        <v>9.1199999999999992</v>
      </c>
      <c r="BO84">
        <v>9.7200000000000006</v>
      </c>
      <c r="BP84">
        <v>16.600000000000001</v>
      </c>
      <c r="BQ84">
        <v>11.15</v>
      </c>
      <c r="BR84">
        <v>11.33</v>
      </c>
      <c r="BS84">
        <v>17.149999999999999</v>
      </c>
      <c r="BT84" t="s">
        <v>1082</v>
      </c>
      <c r="BU84" t="s">
        <v>1868</v>
      </c>
      <c r="BV84">
        <v>51.35</v>
      </c>
      <c r="BW84">
        <v>46.37</v>
      </c>
      <c r="BX84">
        <v>45.09</v>
      </c>
      <c r="BY84">
        <v>19.36</v>
      </c>
      <c r="BZ84">
        <v>15.81</v>
      </c>
      <c r="CA84">
        <v>21.15</v>
      </c>
      <c r="CB84">
        <v>5.32</v>
      </c>
      <c r="CC84">
        <v>-7.85</v>
      </c>
      <c r="CD84" t="s">
        <v>3261</v>
      </c>
      <c r="CE84" t="s">
        <v>3262</v>
      </c>
      <c r="CF84" s="8">
        <v>-0.52209492635024546</v>
      </c>
      <c r="CG84" s="9">
        <v>-0.35433880551216246</v>
      </c>
      <c r="CH84" s="8">
        <v>1.3133139610290527</v>
      </c>
      <c r="CI84" s="8">
        <v>-3.0175395309925079E-2</v>
      </c>
      <c r="CJ84" s="8">
        <v>0.22844822704792023</v>
      </c>
      <c r="CK84" s="8">
        <v>-7.9365082085132599E-2</v>
      </c>
      <c r="CL84" s="8">
        <v>-3.8167938590049744E-2</v>
      </c>
      <c r="CM84" s="9">
        <v>1.1050227880477905</v>
      </c>
      <c r="CN84" s="9">
        <v>-0.27000001072883606</v>
      </c>
      <c r="CO84" s="9">
        <v>0.12781955301761627</v>
      </c>
      <c r="CP84" s="9">
        <v>-4.6594981104135513E-2</v>
      </c>
      <c r="CQ84" s="9">
        <v>6.8965516984462738E-2</v>
      </c>
      <c r="CR84">
        <v>18.003456886898096</v>
      </c>
      <c r="CS84">
        <v>0.645723186842455</v>
      </c>
      <c r="CT84">
        <v>2.2624434389140271</v>
      </c>
      <c r="CU84" s="8">
        <v>0.27881075441837311</v>
      </c>
      <c r="CV84" s="9">
        <v>0.19704257324337959</v>
      </c>
      <c r="CW84">
        <v>0.06</v>
      </c>
      <c r="CX84">
        <v>5.5200261852161034</v>
      </c>
      <c r="CY84">
        <v>556162035.64799058</v>
      </c>
      <c r="CZ84">
        <v>0.27881075441837311</v>
      </c>
      <c r="DA84">
        <v>1.5428787426817439</v>
      </c>
      <c r="DB84">
        <v>1989805754.0567644</v>
      </c>
      <c r="DC84">
        <v>0.26487021669745442</v>
      </c>
      <c r="DD84">
        <v>0.60816122079964841</v>
      </c>
      <c r="DE84">
        <v>5048051232.1442232</v>
      </c>
      <c r="DF84">
        <v>0.24535346388816834</v>
      </c>
      <c r="DG84">
        <v>0.279011433030256</v>
      </c>
      <c r="DH84">
        <v>11003237274.750265</v>
      </c>
      <c r="DI84">
        <v>0.22304860353469849</v>
      </c>
      <c r="DJ84">
        <v>7.5112635266051136E-2</v>
      </c>
      <c r="DK84">
        <v>40872337778.136368</v>
      </c>
      <c r="DL84">
        <v>0.19516752809286117</v>
      </c>
      <c r="DM84">
        <v>461000000.00000006</v>
      </c>
      <c r="DN84">
        <v>0.27881075441837311</v>
      </c>
      <c r="DO84">
        <v>3070029000</v>
      </c>
      <c r="DP84">
        <v>254354960</v>
      </c>
      <c r="DQ84">
        <v>4336</v>
      </c>
      <c r="DR84">
        <v>-0.80090568076861857</v>
      </c>
      <c r="DS84">
        <v>-0.55138137875554205</v>
      </c>
      <c r="DT84" s="10">
        <v>2.6666666666666616E-2</v>
      </c>
      <c r="DU84">
        <v>-3.666666666666666E-2</v>
      </c>
      <c r="DV84">
        <v>-1.0000000000000044E-2</v>
      </c>
      <c r="DW84">
        <v>6.403948367501898</v>
      </c>
      <c r="DX84">
        <v>0.50575813013207682</v>
      </c>
      <c r="DY84">
        <v>6.0871551444421144</v>
      </c>
      <c r="DZ84">
        <v>832</v>
      </c>
      <c r="EA84">
        <v>6.072964717793222</v>
      </c>
      <c r="EB84">
        <v>6</v>
      </c>
      <c r="EC84">
        <v>2.778077446492639E-2</v>
      </c>
      <c r="ED84">
        <v>0.12875887665470742</v>
      </c>
      <c r="EE84" s="11">
        <v>1.0842099999999999</v>
      </c>
      <c r="EF84">
        <v>1.08911</v>
      </c>
      <c r="EG84">
        <v>29.215758130132077</v>
      </c>
      <c r="EH84" t="s">
        <v>867</v>
      </c>
      <c r="EI84">
        <v>0</v>
      </c>
      <c r="EJ84">
        <v>1</v>
      </c>
      <c r="EK84" s="13">
        <v>45470</v>
      </c>
      <c r="EL84" s="14">
        <v>-0.96</v>
      </c>
      <c r="EM84" s="14">
        <v>-3.34</v>
      </c>
      <c r="EN84" s="14">
        <v>1.86</v>
      </c>
      <c r="EO84" s="14">
        <v>-0.04</v>
      </c>
      <c r="EP84" s="14">
        <v>-0.49</v>
      </c>
    </row>
    <row r="85" spans="1:146" ht="96" x14ac:dyDescent="0.25">
      <c r="C85" s="7" t="str">
        <f>""&amp;CHAR(10)&amp;Basic_Fundamental_Information_Constructure(F85)&amp;CHAR(10)&amp;Basic_Fundamental_Information_Concatenate("")</f>
        <v xml:space="preserve">
市值23.284029亿, 利润15.27亿; PE10.69; 平均PE4.59; 平均PEG.03, PB.771; ROIC9.3%; ROE7.8%; 股利率2.8075%; 毛利34.7167%; 净利8.5733%; 上一年度营收增727.17%, 利润增254.29%; 当季营收增-91.75%, 利润增-96.21%; 过往5年营收增153.55%, 利润增141.82%
Income profile:
</v>
      </c>
      <c r="D85" t="s">
        <v>296</v>
      </c>
      <c r="E85" t="s">
        <v>38</v>
      </c>
      <c r="F85">
        <v>7.48</v>
      </c>
      <c r="G85">
        <v>1.91</v>
      </c>
      <c r="H85" t="s">
        <v>3263</v>
      </c>
      <c r="I85">
        <v>2328402900</v>
      </c>
      <c r="J85">
        <v>10.69</v>
      </c>
      <c r="K85">
        <v>0.77100000000000002</v>
      </c>
      <c r="L85" t="s">
        <v>1762</v>
      </c>
      <c r="M85" t="s">
        <v>1596</v>
      </c>
      <c r="N85" t="s">
        <v>3264</v>
      </c>
      <c r="O85" t="s">
        <v>726</v>
      </c>
      <c r="P85">
        <v>15.86</v>
      </c>
      <c r="Q85" t="s">
        <v>3265</v>
      </c>
      <c r="R85">
        <v>12649807</v>
      </c>
      <c r="S85" s="5">
        <v>5.3499999999999999E-2</v>
      </c>
      <c r="T85" t="s">
        <v>3266</v>
      </c>
      <c r="U85">
        <v>311283810</v>
      </c>
      <c r="V85">
        <v>311283810</v>
      </c>
      <c r="W85">
        <v>1.41</v>
      </c>
      <c r="X85">
        <v>0.09</v>
      </c>
      <c r="Y85">
        <v>3.14</v>
      </c>
      <c r="Z85" t="s">
        <v>430</v>
      </c>
      <c r="AA85" t="s">
        <v>1725</v>
      </c>
      <c r="AB85" t="s">
        <v>3267</v>
      </c>
      <c r="AC85" t="s">
        <v>3268</v>
      </c>
      <c r="AD85" t="s">
        <v>41</v>
      </c>
      <c r="AE85">
        <v>7586224</v>
      </c>
      <c r="AF85" t="s">
        <v>3269</v>
      </c>
      <c r="AG85" t="s">
        <v>3270</v>
      </c>
      <c r="AH85" t="s">
        <v>3271</v>
      </c>
      <c r="AI85" t="s">
        <v>1369</v>
      </c>
      <c r="AJ85" t="s">
        <v>3272</v>
      </c>
      <c r="AK85" t="s">
        <v>3273</v>
      </c>
      <c r="AL85" t="s">
        <v>3274</v>
      </c>
      <c r="AM85" t="s">
        <v>41</v>
      </c>
      <c r="AN85" t="s">
        <v>3275</v>
      </c>
      <c r="AO85" t="s">
        <v>3276</v>
      </c>
      <c r="AP85" t="s">
        <v>41</v>
      </c>
      <c r="AQ85" t="s">
        <v>175</v>
      </c>
      <c r="AR85" t="s">
        <v>41</v>
      </c>
      <c r="AS85" t="s">
        <v>451</v>
      </c>
      <c r="AT85" t="s">
        <v>41</v>
      </c>
      <c r="AU85" t="s">
        <v>1620</v>
      </c>
      <c r="AV85" t="s">
        <v>1100</v>
      </c>
      <c r="AW85" t="s">
        <v>3277</v>
      </c>
      <c r="AX85" t="s">
        <v>1237</v>
      </c>
      <c r="AY85" t="s">
        <v>834</v>
      </c>
      <c r="AZ85" t="s">
        <v>548</v>
      </c>
      <c r="BA85" t="s">
        <v>195</v>
      </c>
      <c r="BB85" t="s">
        <v>549</v>
      </c>
      <c r="BC85" t="s">
        <v>966</v>
      </c>
      <c r="BD85" t="s">
        <v>835</v>
      </c>
      <c r="BE85" t="s">
        <v>280</v>
      </c>
      <c r="BF85" t="s">
        <v>297</v>
      </c>
      <c r="BG85" t="s">
        <v>470</v>
      </c>
      <c r="BH85" t="s">
        <v>3278</v>
      </c>
      <c r="BI85" t="s">
        <v>3279</v>
      </c>
      <c r="BJ85" t="s">
        <v>1237</v>
      </c>
      <c r="BK85" t="s">
        <v>404</v>
      </c>
      <c r="BL85" t="s">
        <v>255</v>
      </c>
      <c r="BM85" t="s">
        <v>966</v>
      </c>
      <c r="BN85">
        <v>5.52</v>
      </c>
      <c r="BO85">
        <v>13.08</v>
      </c>
      <c r="BP85" t="s">
        <v>41</v>
      </c>
      <c r="BQ85">
        <v>5.82</v>
      </c>
      <c r="BR85">
        <v>15.12</v>
      </c>
      <c r="BS85">
        <v>2.46</v>
      </c>
      <c r="BT85" t="s">
        <v>1084</v>
      </c>
      <c r="BU85" t="s">
        <v>2063</v>
      </c>
      <c r="BV85">
        <v>35.06</v>
      </c>
      <c r="BW85">
        <v>35.15</v>
      </c>
      <c r="BX85">
        <v>33.94</v>
      </c>
      <c r="BY85">
        <v>9.59</v>
      </c>
      <c r="BZ85">
        <v>16.079999999999998</v>
      </c>
      <c r="CA85">
        <v>0.05</v>
      </c>
      <c r="CB85">
        <v>1.77</v>
      </c>
      <c r="CC85">
        <v>-13.12</v>
      </c>
      <c r="CD85" t="s">
        <v>3280</v>
      </c>
      <c r="CE85" t="s">
        <v>3281</v>
      </c>
      <c r="CF85" s="8">
        <v>-0.91745186399016798</v>
      </c>
      <c r="CG85" s="9">
        <v>-0.96212632634730544</v>
      </c>
      <c r="CH85" s="8">
        <v>7.2716960906982422</v>
      </c>
      <c r="CI85" s="8">
        <v>-0.16256304085254669</v>
      </c>
      <c r="CJ85" s="8">
        <v>0.5442051887512207</v>
      </c>
      <c r="CK85" s="8">
        <v>-1.8876347690820694E-2</v>
      </c>
      <c r="CL85" s="8">
        <v>4.3131738901138306E-2</v>
      </c>
      <c r="CM85" s="9">
        <v>2.5429234504699707</v>
      </c>
      <c r="CN85" s="9">
        <v>5.5997099876403809</v>
      </c>
      <c r="CO85" s="9">
        <v>-0.76338440179824829</v>
      </c>
      <c r="CP85" s="9">
        <v>-0.24383561313152313</v>
      </c>
      <c r="CQ85" s="9">
        <v>-4.4502619653940201E-2</v>
      </c>
      <c r="CR85">
        <v>4.5860192175710264</v>
      </c>
      <c r="CS85">
        <v>2.9866253924709027E-2</v>
      </c>
      <c r="CT85">
        <v>2.8074866310160429</v>
      </c>
      <c r="CU85" s="8">
        <v>1.5355187259614467</v>
      </c>
      <c r="CV85" s="9">
        <v>1.418182160705328</v>
      </c>
      <c r="CW85">
        <v>0.06</v>
      </c>
      <c r="CX85">
        <v>0.18189950836088592</v>
      </c>
      <c r="CY85">
        <v>3652582164.6633291</v>
      </c>
      <c r="CZ85">
        <v>1.5355187259614467</v>
      </c>
      <c r="DA85">
        <v>2.1560936420072906E-2</v>
      </c>
      <c r="DB85">
        <v>30815122639.174934</v>
      </c>
      <c r="DC85">
        <v>1.4587427896633742</v>
      </c>
      <c r="DD85">
        <v>2.0230264698148318E-3</v>
      </c>
      <c r="DE85">
        <v>328420270279.91034</v>
      </c>
      <c r="DF85">
        <v>1.351256478846073</v>
      </c>
      <c r="DG85">
        <v>1.353783220771907E-4</v>
      </c>
      <c r="DH85">
        <v>4907749555509.835</v>
      </c>
      <c r="DI85">
        <v>1.2284149807691573</v>
      </c>
      <c r="DJ85">
        <v>3.1213284038636795E-7</v>
      </c>
      <c r="DK85">
        <v>2128590183517956.5</v>
      </c>
      <c r="DL85">
        <v>1.0748631081730127</v>
      </c>
      <c r="DM85">
        <v>1527000000</v>
      </c>
      <c r="DN85">
        <v>1.5355187259614467</v>
      </c>
      <c r="DO85">
        <v>664402900</v>
      </c>
      <c r="DP85">
        <v>1608168900</v>
      </c>
      <c r="DQ85">
        <v>4367</v>
      </c>
      <c r="DR85">
        <v>-2.4529705899516148</v>
      </c>
      <c r="DS85">
        <v>-2.3803084870526332</v>
      </c>
      <c r="DT85" s="10">
        <v>-0.1566666666666667</v>
      </c>
      <c r="DU85">
        <v>-0.17333333333333334</v>
      </c>
      <c r="DV85">
        <v>-0.33000000000000007</v>
      </c>
      <c r="DW85">
        <v>-2.1311999999999998</v>
      </c>
      <c r="DX85">
        <v>0.28391718536147981</v>
      </c>
      <c r="DY85">
        <v>-2.0149459347194263</v>
      </c>
      <c r="DZ85">
        <v>800</v>
      </c>
      <c r="EA85">
        <v>-2.0126060623563067</v>
      </c>
      <c r="EB85">
        <v>2</v>
      </c>
      <c r="EC85">
        <v>1.147088247217226E-2</v>
      </c>
      <c r="ED85">
        <v>0.10069492531590382</v>
      </c>
      <c r="EE85" s="11">
        <v>1.05741</v>
      </c>
      <c r="EF85">
        <v>1.0704100000000001</v>
      </c>
      <c r="EG85">
        <v>17.11391718536148</v>
      </c>
      <c r="EH85" t="s">
        <v>867</v>
      </c>
      <c r="EI85">
        <v>0</v>
      </c>
      <c r="EJ85">
        <v>1</v>
      </c>
      <c r="EK85" s="13">
        <v>45470</v>
      </c>
      <c r="EL85" s="14">
        <v>-1.17</v>
      </c>
      <c r="EM85" s="14">
        <v>-2.46</v>
      </c>
      <c r="EN85" s="14">
        <v>0.61</v>
      </c>
      <c r="EO85" s="14">
        <v>2.12</v>
      </c>
      <c r="EP85" s="14">
        <v>-1.3</v>
      </c>
    </row>
    <row r="86" spans="1:146" ht="180" x14ac:dyDescent="0.25">
      <c r="C86" s="7" t="str">
        <f>"公司主要从事晨光及所属品牌书写工具、学生文具、办公文具及其他产品等的设计、研发、制造和销售以及互联网和电子商务平台晨光科技；新业务主要是零售大店业务九木杂物社、晨光生活馆和办公直销业务晨光科力普。"&amp;CHAR(10)&amp;Basic_Fundamental_Information_Constructure(F86)&amp;CHAR(10)&amp;Basic_Fundamental_Information_Concatenate("办公直销 133.07亿 56.99% 9.52亿 21.62% 7.15%
办公文具 35.11亿 15.03% 9.70亿 22.04% 27.64%
学生文具 34.66亿 14.84% 11.80亿 26.79% 34.03%
书写工具 22.73亿 9.74% 9.53亿 21.66% 41.94%
其他产品 7.43亿 3.18% 3.34亿 7.58% 44.91%")</f>
        <v>公司主要从事晨光及所属品牌书写工具、学生文具、办公文具及其他产品等的设计、研发、制造和销售以及互联网和电子商务平台晨光科技；新业务主要是零售大店业务九木杂物社、晨光生活馆和办公直销业务晨光科力普。
市值276.50185亿, 利润-7619.81万; PE17.58; 平均PE28.38; 平均PEG485.81, PB3.38; ROIC18.9833%; ROE20.5533%; 股利率2.6729%; 毛利20.4767%; 净利7.51%; 上一年度营收增-96.33%, 利润增-105.94%; 当季营收增2094%, 利润增2301.83%; 过往5年营收增-.06%, 利润增-10.16%
Income profile:
办公直销 133.07亿 56.99% 9.52亿 21.62% 7.15%
办公文具 35.11亿 15.03% 9.70亿 22.04% 27.64%
学生文具 34.66亿 14.84% 11.80亿 26.79% 34.03%
书写工具 22.73亿 9.74% 9.53亿 21.66% 41.94%
其他产品 7.43亿 3.18% 3.34亿 7.58% 44.91%</v>
      </c>
      <c r="D86" t="s">
        <v>299</v>
      </c>
      <c r="E86" t="s">
        <v>836</v>
      </c>
      <c r="F86">
        <v>29.93</v>
      </c>
      <c r="G86">
        <v>-0.89</v>
      </c>
      <c r="H86" t="s">
        <v>3282</v>
      </c>
      <c r="I86">
        <v>27650185000</v>
      </c>
      <c r="J86">
        <v>17.579999999999998</v>
      </c>
      <c r="K86">
        <v>3.38</v>
      </c>
      <c r="L86" t="s">
        <v>1762</v>
      </c>
      <c r="M86" t="s">
        <v>3045</v>
      </c>
      <c r="N86" t="s">
        <v>3283</v>
      </c>
      <c r="O86" t="s">
        <v>3284</v>
      </c>
      <c r="P86">
        <v>12.37</v>
      </c>
      <c r="Q86" t="s">
        <v>3285</v>
      </c>
      <c r="R86">
        <v>379859510</v>
      </c>
      <c r="S86" s="5">
        <v>0.13880000000000001</v>
      </c>
      <c r="T86" t="s">
        <v>3286</v>
      </c>
      <c r="U86">
        <v>923828420</v>
      </c>
      <c r="V86">
        <v>923828420</v>
      </c>
      <c r="W86">
        <v>1.66</v>
      </c>
      <c r="X86">
        <v>0.37</v>
      </c>
      <c r="Y86">
        <v>7.36</v>
      </c>
      <c r="Z86" t="s">
        <v>1557</v>
      </c>
      <c r="AA86" t="s">
        <v>3287</v>
      </c>
      <c r="AB86" t="s">
        <v>2026</v>
      </c>
      <c r="AC86" t="s">
        <v>61</v>
      </c>
      <c r="AD86" t="s">
        <v>41</v>
      </c>
      <c r="AE86">
        <v>-13989709</v>
      </c>
      <c r="AF86" t="s">
        <v>3288</v>
      </c>
      <c r="AG86" t="s">
        <v>3289</v>
      </c>
      <c r="AH86" t="s">
        <v>3290</v>
      </c>
      <c r="AI86" t="s">
        <v>3291</v>
      </c>
      <c r="AJ86" t="s">
        <v>3292</v>
      </c>
      <c r="AK86" t="s">
        <v>3293</v>
      </c>
      <c r="AL86" t="s">
        <v>3294</v>
      </c>
      <c r="AM86" t="s">
        <v>41</v>
      </c>
      <c r="AN86" t="s">
        <v>3295</v>
      </c>
      <c r="AO86" t="s">
        <v>95</v>
      </c>
      <c r="AP86" t="s">
        <v>41</v>
      </c>
      <c r="AQ86" t="s">
        <v>1448</v>
      </c>
      <c r="AR86" t="s">
        <v>41</v>
      </c>
      <c r="AS86" t="s">
        <v>1174</v>
      </c>
      <c r="AT86" t="s">
        <v>3296</v>
      </c>
      <c r="AU86" t="s">
        <v>3297</v>
      </c>
      <c r="AV86" t="s">
        <v>1479</v>
      </c>
      <c r="AW86" t="s">
        <v>3298</v>
      </c>
      <c r="AX86" t="s">
        <v>1238</v>
      </c>
      <c r="AY86" t="s">
        <v>837</v>
      </c>
      <c r="AZ86" t="s">
        <v>550</v>
      </c>
      <c r="BA86" t="s">
        <v>300</v>
      </c>
      <c r="BB86" t="s">
        <v>551</v>
      </c>
      <c r="BC86" t="s">
        <v>1239</v>
      </c>
      <c r="BD86" t="s">
        <v>838</v>
      </c>
      <c r="BE86" t="s">
        <v>535</v>
      </c>
      <c r="BF86" t="s">
        <v>156</v>
      </c>
      <c r="BG86" t="s">
        <v>552</v>
      </c>
      <c r="BH86" t="s">
        <v>3265</v>
      </c>
      <c r="BI86" t="s">
        <v>721</v>
      </c>
      <c r="BJ86" t="s">
        <v>1238</v>
      </c>
      <c r="BK86" t="s">
        <v>3266</v>
      </c>
      <c r="BL86" t="s">
        <v>3299</v>
      </c>
      <c r="BM86" t="s">
        <v>1239</v>
      </c>
      <c r="BN86">
        <v>14.18</v>
      </c>
      <c r="BO86">
        <v>18.39</v>
      </c>
      <c r="BP86">
        <v>24.38</v>
      </c>
      <c r="BQ86">
        <v>15.24</v>
      </c>
      <c r="BR86">
        <v>19.600000000000001</v>
      </c>
      <c r="BS86">
        <v>26.82</v>
      </c>
      <c r="BT86" t="s">
        <v>1885</v>
      </c>
      <c r="BU86" t="s">
        <v>950</v>
      </c>
      <c r="BV86">
        <v>18.86</v>
      </c>
      <c r="BW86">
        <v>19.36</v>
      </c>
      <c r="BX86">
        <v>23.21</v>
      </c>
      <c r="BY86">
        <v>7.04</v>
      </c>
      <c r="BZ86">
        <v>6.78</v>
      </c>
      <c r="CA86">
        <v>8.7100000000000009</v>
      </c>
      <c r="CB86">
        <v>-4.32</v>
      </c>
      <c r="CC86">
        <v>-19.87</v>
      </c>
      <c r="CD86" t="s">
        <v>3300</v>
      </c>
      <c r="CE86" t="s">
        <v>3301</v>
      </c>
      <c r="CF86" s="8">
        <v>20.94</v>
      </c>
      <c r="CG86" s="9">
        <v>23.018330867382424</v>
      </c>
      <c r="CH86" s="8">
        <v>-0.96334266662597656</v>
      </c>
      <c r="CI86" s="8">
        <v>0.13568468391895294</v>
      </c>
      <c r="CJ86" s="8">
        <v>0.34015834331512451</v>
      </c>
      <c r="CK86" s="8">
        <v>0.17924779653549194</v>
      </c>
      <c r="CL86" s="8">
        <v>0.30533099174499512</v>
      </c>
      <c r="CM86" s="9">
        <v>-1.0594369173049927</v>
      </c>
      <c r="CN86" s="9">
        <v>-0.15546771883964539</v>
      </c>
      <c r="CO86" s="9">
        <v>0.20956169068813324</v>
      </c>
      <c r="CP86" s="9">
        <v>0.18396233022212982</v>
      </c>
      <c r="CQ86" s="9">
        <v>0.31350681185722351</v>
      </c>
      <c r="CR86">
        <v>28.379529932411842</v>
      </c>
      <c r="CS86">
        <v>485.80925302098194</v>
      </c>
      <c r="CT86">
        <v>2.6729034413631809</v>
      </c>
      <c r="CU86" s="8">
        <v>-5.8417022228240967E-4</v>
      </c>
      <c r="CV86" s="9">
        <v>-0.1015747606754303</v>
      </c>
      <c r="CW86">
        <v>0.06</v>
      </c>
      <c r="CX86" t="e">
        <v>#VALUE!</v>
      </c>
      <c r="CY86" t="s">
        <v>853</v>
      </c>
      <c r="CZ86">
        <v>-5.8417022228240967E-4</v>
      </c>
      <c r="DA86" t="e">
        <v>#VALUE!</v>
      </c>
      <c r="DB86" t="s">
        <v>853</v>
      </c>
      <c r="DC86">
        <v>-5.5496171116828916E-4</v>
      </c>
      <c r="DD86" t="e">
        <v>#VALUE!</v>
      </c>
      <c r="DE86" t="s">
        <v>853</v>
      </c>
      <c r="DF86">
        <v>-5.140697956085205E-4</v>
      </c>
      <c r="DG86" t="e">
        <v>#VALUE!</v>
      </c>
      <c r="DH86" t="s">
        <v>853</v>
      </c>
      <c r="DI86">
        <v>-4.6733617782592776E-4</v>
      </c>
      <c r="DJ86" t="e">
        <v>#VALUE!</v>
      </c>
      <c r="DK86" t="s">
        <v>853</v>
      </c>
      <c r="DL86">
        <v>-4.0891915559768675E-4</v>
      </c>
      <c r="DM86">
        <v>-76198100</v>
      </c>
      <c r="DN86">
        <v>-5.8417022228240967E-4</v>
      </c>
      <c r="DO86">
        <v>25866185000</v>
      </c>
      <c r="DP86">
        <v>6184774600</v>
      </c>
      <c r="DQ86">
        <v>4368</v>
      </c>
      <c r="DR86">
        <v>20.940584170222284</v>
      </c>
      <c r="DS86">
        <v>23.119905628057854</v>
      </c>
      <c r="DT86" s="10">
        <v>-0.42333333333333339</v>
      </c>
      <c r="DU86">
        <v>-0.55000000000000004</v>
      </c>
      <c r="DV86">
        <v>-0.97333333333333338</v>
      </c>
      <c r="DW86">
        <v>-8.2174131857070964</v>
      </c>
      <c r="DX86">
        <v>0.75029658939789778</v>
      </c>
      <c r="DY86">
        <v>-8.0391988558731207</v>
      </c>
      <c r="DZ86">
        <v>5041</v>
      </c>
      <c r="EA86">
        <v>-8.0005292996194211</v>
      </c>
      <c r="EB86">
        <v>8</v>
      </c>
      <c r="EC86">
        <v>1.5526692716381251E-2</v>
      </c>
      <c r="ED86">
        <v>8.6117506538714195E-2</v>
      </c>
      <c r="EE86" s="11">
        <v>3.0350000000000001</v>
      </c>
      <c r="EF86">
        <v>3.01511</v>
      </c>
      <c r="EG86">
        <v>57.180296589397898</v>
      </c>
      <c r="EH86" t="s">
        <v>2212</v>
      </c>
      <c r="EI86">
        <v>0</v>
      </c>
      <c r="EJ86">
        <v>0</v>
      </c>
      <c r="EK86" s="13">
        <v>45470</v>
      </c>
      <c r="EL86" s="14">
        <v>10.02</v>
      </c>
      <c r="EM86" s="14">
        <v>10.039999999999999</v>
      </c>
      <c r="EN86" s="14">
        <v>1.86</v>
      </c>
      <c r="EO86" s="14">
        <v>-7.3</v>
      </c>
      <c r="EP86" s="14">
        <v>-5.01</v>
      </c>
    </row>
    <row r="87" spans="1:146" ht="96" x14ac:dyDescent="0.25">
      <c r="C87" s="7" t="str">
        <f>""&amp;CHAR(10)&amp;Basic_Fundamental_Information_Constructure(F87)&amp;CHAR(10)&amp;Basic_Fundamental_Information_Concatenate("")</f>
        <v xml:space="preserve">
市值78.007328亿, 利润2.61亿; PE23.19; 平均PE32.1; 平均PEG2.28, PB3.24; ROIC10.4067%; ROE10.1667%; 股利率1.0251%; 毛利32.8033%; 净利11.17%; 上一年度营收增6.85%, 利润增-13.29%; 当季营收增3.23%, 利润增152.1%; 过往5年营收增14.08%, 利润增12.8%
Income profile:
</v>
      </c>
      <c r="D87" t="s">
        <v>301</v>
      </c>
      <c r="E87" t="s">
        <v>302</v>
      </c>
      <c r="F87">
        <v>19.12</v>
      </c>
      <c r="G87">
        <v>2.25</v>
      </c>
      <c r="H87" t="s">
        <v>1758</v>
      </c>
      <c r="I87">
        <v>7800732800</v>
      </c>
      <c r="J87">
        <v>23.19</v>
      </c>
      <c r="K87">
        <v>3.24</v>
      </c>
      <c r="L87" t="s">
        <v>59</v>
      </c>
      <c r="M87" t="s">
        <v>1283</v>
      </c>
      <c r="N87" t="s">
        <v>1688</v>
      </c>
      <c r="O87" t="s">
        <v>1689</v>
      </c>
      <c r="P87">
        <v>-11.76</v>
      </c>
      <c r="Q87" t="s">
        <v>1024</v>
      </c>
      <c r="R87">
        <v>304031260</v>
      </c>
      <c r="S87" s="5">
        <v>0.32850000000000001</v>
      </c>
      <c r="T87" t="s">
        <v>223</v>
      </c>
      <c r="U87">
        <v>401012810</v>
      </c>
      <c r="V87">
        <v>401012810</v>
      </c>
      <c r="W87">
        <v>1.68</v>
      </c>
      <c r="X87">
        <v>0.5</v>
      </c>
      <c r="Y87">
        <v>15.26</v>
      </c>
      <c r="Z87" t="s">
        <v>1690</v>
      </c>
      <c r="AA87" t="s">
        <v>1404</v>
      </c>
      <c r="AB87" t="s">
        <v>1691</v>
      </c>
      <c r="AC87" t="s">
        <v>63</v>
      </c>
      <c r="AD87" t="s">
        <v>1408</v>
      </c>
      <c r="AE87">
        <v>-8451517</v>
      </c>
      <c r="AF87" t="s">
        <v>1692</v>
      </c>
      <c r="AG87" t="s">
        <v>1693</v>
      </c>
      <c r="AH87" t="s">
        <v>1694</v>
      </c>
      <c r="AI87" t="s">
        <v>1122</v>
      </c>
      <c r="AJ87" t="s">
        <v>1695</v>
      </c>
      <c r="AK87" t="s">
        <v>1696</v>
      </c>
      <c r="AL87" t="s">
        <v>1697</v>
      </c>
      <c r="AM87" t="s">
        <v>41</v>
      </c>
      <c r="AN87" t="s">
        <v>189</v>
      </c>
      <c r="AO87" t="s">
        <v>1315</v>
      </c>
      <c r="AP87" t="s">
        <v>1698</v>
      </c>
      <c r="AQ87" t="s">
        <v>238</v>
      </c>
      <c r="AR87" t="s">
        <v>1699</v>
      </c>
      <c r="AS87" t="s">
        <v>1580</v>
      </c>
      <c r="AT87" t="s">
        <v>41</v>
      </c>
      <c r="AU87" t="s">
        <v>468</v>
      </c>
      <c r="AV87" t="s">
        <v>1700</v>
      </c>
      <c r="AW87" t="s">
        <v>1701</v>
      </c>
      <c r="AX87" t="s">
        <v>839</v>
      </c>
      <c r="AY87" t="s">
        <v>553</v>
      </c>
      <c r="AZ87" t="s">
        <v>303</v>
      </c>
      <c r="BA87" t="s">
        <v>554</v>
      </c>
      <c r="BB87" t="s">
        <v>555</v>
      </c>
      <c r="BC87" t="s">
        <v>452</v>
      </c>
      <c r="BD87" t="s">
        <v>70</v>
      </c>
      <c r="BE87" t="s">
        <v>127</v>
      </c>
      <c r="BF87" t="s">
        <v>137</v>
      </c>
      <c r="BG87" t="s">
        <v>498</v>
      </c>
      <c r="BH87" t="s">
        <v>1407</v>
      </c>
      <c r="BI87" t="s">
        <v>1120</v>
      </c>
      <c r="BJ87" t="s">
        <v>1031</v>
      </c>
      <c r="BK87" t="s">
        <v>74</v>
      </c>
      <c r="BL87" t="s">
        <v>572</v>
      </c>
      <c r="BM87" t="s">
        <v>498</v>
      </c>
      <c r="BN87">
        <v>1.96</v>
      </c>
      <c r="BO87">
        <v>13.81</v>
      </c>
      <c r="BP87">
        <v>15.45</v>
      </c>
      <c r="BQ87">
        <v>1.99</v>
      </c>
      <c r="BR87">
        <v>14.28</v>
      </c>
      <c r="BS87">
        <v>14.23</v>
      </c>
      <c r="BT87" t="s">
        <v>1241</v>
      </c>
      <c r="BU87" t="s">
        <v>843</v>
      </c>
      <c r="BV87">
        <v>34.32</v>
      </c>
      <c r="BW87">
        <v>29.54</v>
      </c>
      <c r="BX87">
        <v>34.549999999999997</v>
      </c>
      <c r="BY87">
        <v>9.74</v>
      </c>
      <c r="BZ87">
        <v>10.48</v>
      </c>
      <c r="CA87">
        <v>13.29</v>
      </c>
      <c r="CB87">
        <v>16.87</v>
      </c>
      <c r="CC87">
        <v>11.81</v>
      </c>
      <c r="CD87" t="s">
        <v>1759</v>
      </c>
      <c r="CE87" t="s">
        <v>1760</v>
      </c>
      <c r="CF87" s="8">
        <v>3.2299741602067181E-2</v>
      </c>
      <c r="CG87" s="9">
        <v>1.5209761643835615</v>
      </c>
      <c r="CH87" s="8">
        <v>6.8525359034538269E-2</v>
      </c>
      <c r="CI87" s="8">
        <v>0.46289917826652527</v>
      </c>
      <c r="CJ87" s="8">
        <v>0.1702127605676651</v>
      </c>
      <c r="CK87" s="8">
        <v>-1.1370096355676651E-2</v>
      </c>
      <c r="CL87" s="8">
        <v>1.3832852244377136E-2</v>
      </c>
      <c r="CM87" s="9">
        <v>-0.13289035856723785</v>
      </c>
      <c r="CN87" s="9">
        <v>0.11481481790542603</v>
      </c>
      <c r="CO87" s="9">
        <v>0.15384615957736969</v>
      </c>
      <c r="CP87" s="9">
        <v>-8.4745762869715691E-3</v>
      </c>
      <c r="CQ87" s="9">
        <v>0.5128205418586731</v>
      </c>
      <c r="CR87">
        <v>32.101781069958847</v>
      </c>
      <c r="CS87">
        <v>2.2796320564561623</v>
      </c>
      <c r="CT87">
        <v>1.0251046025104602</v>
      </c>
      <c r="CU87" s="8">
        <v>0.14082001075148581</v>
      </c>
      <c r="CV87" s="9">
        <v>0.12802331689745189</v>
      </c>
      <c r="CW87">
        <v>0.06</v>
      </c>
      <c r="CX87">
        <v>24.79434769150604</v>
      </c>
      <c r="CY87">
        <v>280900021.51522434</v>
      </c>
      <c r="CZ87">
        <v>0.14082001075148581</v>
      </c>
      <c r="DA87">
        <v>7.7632292917083285</v>
      </c>
      <c r="DB87">
        <v>897143770.7551446</v>
      </c>
      <c r="DC87">
        <v>0.1337790102139115</v>
      </c>
      <c r="DD87">
        <v>3.6052708152973687</v>
      </c>
      <c r="DE87">
        <v>1931819593.2600245</v>
      </c>
      <c r="DF87">
        <v>0.12392160946130752</v>
      </c>
      <c r="DG87">
        <v>2.0242249936053196</v>
      </c>
      <c r="DH87">
        <v>3440691040.7697363</v>
      </c>
      <c r="DI87">
        <v>0.11265600860118866</v>
      </c>
      <c r="DJ87">
        <v>0.8975362922910356</v>
      </c>
      <c r="DK87">
        <v>7759834181.4367676</v>
      </c>
      <c r="DL87">
        <v>9.8574007526040064E-2</v>
      </c>
      <c r="DM87">
        <v>261000000</v>
      </c>
      <c r="DN87">
        <v>0.14082001075148581</v>
      </c>
      <c r="DO87">
        <v>6964732800</v>
      </c>
      <c r="DP87">
        <v>2007633700</v>
      </c>
      <c r="DQ87">
        <v>4430</v>
      </c>
      <c r="DR87">
        <v>-0.10852026914941863</v>
      </c>
      <c r="DS87">
        <v>1.3929528474861097</v>
      </c>
      <c r="DT87" s="10">
        <v>-0.15666666666666665</v>
      </c>
      <c r="DU87">
        <v>0.83333333333333337</v>
      </c>
      <c r="DV87">
        <v>0.67666666666666675</v>
      </c>
      <c r="DW87">
        <v>5.7000592768227625</v>
      </c>
      <c r="DX87">
        <v>0.68180379417741976</v>
      </c>
      <c r="DY87">
        <v>5.2882870663447141</v>
      </c>
      <c r="DZ87">
        <v>720</v>
      </c>
      <c r="EA87">
        <v>5.2477150007137148</v>
      </c>
      <c r="EB87">
        <v>5</v>
      </c>
      <c r="EC87">
        <v>5.8260981737715559E-2</v>
      </c>
      <c r="ED87">
        <v>0.14147752536882799</v>
      </c>
      <c r="EE87" s="11">
        <v>-1.1073</v>
      </c>
      <c r="EF87">
        <v>-1.1297999999999999</v>
      </c>
      <c r="EG87">
        <v>27.41180379417742</v>
      </c>
      <c r="EH87" t="s">
        <v>1093</v>
      </c>
      <c r="EI87">
        <v>1</v>
      </c>
      <c r="EJ87">
        <v>1</v>
      </c>
      <c r="EK87" s="13">
        <v>45385</v>
      </c>
      <c r="EL87" s="14">
        <v>10.02</v>
      </c>
      <c r="EM87" s="14">
        <v>0.39</v>
      </c>
      <c r="EN87">
        <v>3.98</v>
      </c>
      <c r="EO87">
        <v>1.03</v>
      </c>
      <c r="EP87">
        <v>0.6</v>
      </c>
    </row>
    <row r="88" spans="1:146" ht="96" x14ac:dyDescent="0.25">
      <c r="C88" s="7" t="str">
        <f>""&amp;CHAR(10)&amp;Basic_Fundamental_Information_Constructure(F88)&amp;CHAR(10)&amp;Basic_Fundamental_Information_Concatenate("")</f>
        <v xml:space="preserve">
市值21.759776亿, 利润-2.87亿; PE21.3; 平均PE25.17; 平均PEG12.97, PB1.14; ROIC12.4433%; ROE12.3667%; 股利率.6116%; 毛利36.4033%; 净利21.2367%; 上一年度营收增-80.66%, 利润增-234.74%; 当季营收增484.62%, 利润增1983.58%; 过往5年营收增-1.94%, 利润增-23.58%
Income profile:
</v>
      </c>
      <c r="D88" t="s">
        <v>896</v>
      </c>
      <c r="E88" t="s">
        <v>897</v>
      </c>
      <c r="F88">
        <v>15.37</v>
      </c>
      <c r="G88">
        <v>-0.84</v>
      </c>
      <c r="H88" t="s">
        <v>3302</v>
      </c>
      <c r="I88">
        <v>2175977600</v>
      </c>
      <c r="J88">
        <v>21.3</v>
      </c>
      <c r="K88">
        <v>1.1399999999999999</v>
      </c>
      <c r="L88" t="s">
        <v>1762</v>
      </c>
      <c r="M88" t="s">
        <v>1361</v>
      </c>
      <c r="N88" t="s">
        <v>3303</v>
      </c>
      <c r="O88" t="s">
        <v>152</v>
      </c>
      <c r="P88">
        <v>13.83</v>
      </c>
      <c r="Q88" t="s">
        <v>82</v>
      </c>
      <c r="R88">
        <v>38669185</v>
      </c>
      <c r="S88" s="5">
        <v>-0.42459999999999998</v>
      </c>
      <c r="T88" t="s">
        <v>3304</v>
      </c>
      <c r="U88">
        <v>141573040</v>
      </c>
      <c r="V88">
        <v>141573040</v>
      </c>
      <c r="W88">
        <v>1.28</v>
      </c>
      <c r="X88">
        <v>0.12</v>
      </c>
      <c r="Y88">
        <v>14.98</v>
      </c>
      <c r="Z88" t="s">
        <v>1394</v>
      </c>
      <c r="AA88" t="s">
        <v>1287</v>
      </c>
      <c r="AB88" t="s">
        <v>3305</v>
      </c>
      <c r="AC88" t="s">
        <v>3306</v>
      </c>
      <c r="AD88" t="s">
        <v>41</v>
      </c>
      <c r="AE88">
        <v>-1537956</v>
      </c>
      <c r="AF88" t="s">
        <v>3307</v>
      </c>
      <c r="AG88" t="s">
        <v>3308</v>
      </c>
      <c r="AH88" t="s">
        <v>3309</v>
      </c>
      <c r="AI88" t="s">
        <v>2026</v>
      </c>
      <c r="AJ88" t="s">
        <v>3310</v>
      </c>
      <c r="AK88" t="s">
        <v>3311</v>
      </c>
      <c r="AL88" t="s">
        <v>3312</v>
      </c>
      <c r="AM88" t="s">
        <v>41</v>
      </c>
      <c r="AN88" t="s">
        <v>965</v>
      </c>
      <c r="AO88" t="s">
        <v>392</v>
      </c>
      <c r="AP88" t="s">
        <v>3313</v>
      </c>
      <c r="AQ88" t="s">
        <v>985</v>
      </c>
      <c r="AR88" t="s">
        <v>41</v>
      </c>
      <c r="AS88" t="s">
        <v>2564</v>
      </c>
      <c r="AT88" t="s">
        <v>41</v>
      </c>
      <c r="AU88" t="s">
        <v>3314</v>
      </c>
      <c r="AV88" t="s">
        <v>359</v>
      </c>
      <c r="AW88" t="s">
        <v>427</v>
      </c>
      <c r="AX88" t="s">
        <v>1242</v>
      </c>
      <c r="AY88" t="s">
        <v>725</v>
      </c>
      <c r="AZ88" t="s">
        <v>898</v>
      </c>
      <c r="BA88" t="s">
        <v>899</v>
      </c>
      <c r="BB88" t="s">
        <v>648</v>
      </c>
      <c r="BC88" t="s">
        <v>854</v>
      </c>
      <c r="BD88" t="s">
        <v>206</v>
      </c>
      <c r="BE88" t="s">
        <v>393</v>
      </c>
      <c r="BF88" t="s">
        <v>73</v>
      </c>
      <c r="BG88" t="s">
        <v>900</v>
      </c>
      <c r="BH88" t="s">
        <v>1003</v>
      </c>
      <c r="BI88" t="s">
        <v>3315</v>
      </c>
      <c r="BJ88" t="s">
        <v>1242</v>
      </c>
      <c r="BK88" t="s">
        <v>73</v>
      </c>
      <c r="BL88" t="s">
        <v>3316</v>
      </c>
      <c r="BM88" t="s">
        <v>854</v>
      </c>
      <c r="BN88">
        <v>6.58</v>
      </c>
      <c r="BO88">
        <v>12.08</v>
      </c>
      <c r="BP88">
        <v>18.670000000000002</v>
      </c>
      <c r="BQ88">
        <v>7.25</v>
      </c>
      <c r="BR88">
        <v>12.54</v>
      </c>
      <c r="BS88">
        <v>17.309999999999999</v>
      </c>
      <c r="BT88" t="s">
        <v>3317</v>
      </c>
      <c r="BU88" t="s">
        <v>950</v>
      </c>
      <c r="BV88">
        <v>33.840000000000003</v>
      </c>
      <c r="BW88">
        <v>36.61</v>
      </c>
      <c r="BX88">
        <v>38.76</v>
      </c>
      <c r="BY88">
        <v>15.57</v>
      </c>
      <c r="BZ88">
        <v>22.08</v>
      </c>
      <c r="CA88">
        <v>26.06</v>
      </c>
      <c r="CB88">
        <v>-2.84</v>
      </c>
      <c r="CC88">
        <v>-17.45</v>
      </c>
      <c r="CD88" t="s">
        <v>3318</v>
      </c>
      <c r="CE88" t="s">
        <v>3319</v>
      </c>
      <c r="CF88" s="8">
        <v>4.8462375285619759</v>
      </c>
      <c r="CG88" s="9">
        <v>19.835812813190365</v>
      </c>
      <c r="CH88" s="8">
        <v>-0.80655390024185181</v>
      </c>
      <c r="CI88" s="8">
        <v>0.12351544201374054</v>
      </c>
      <c r="CJ88" s="8">
        <v>0.44922548532485962</v>
      </c>
      <c r="CK88" s="8">
        <v>6.6055044531822205E-2</v>
      </c>
      <c r="CL88" s="8">
        <v>7.0726916193962097E-2</v>
      </c>
      <c r="CM88" s="9">
        <v>-2.3474178314208984</v>
      </c>
      <c r="CN88" s="9">
        <v>-3.1818181276321411E-2</v>
      </c>
      <c r="CO88" s="9">
        <v>0.375</v>
      </c>
      <c r="CP88" s="9">
        <v>0.22137404978275299</v>
      </c>
      <c r="CQ88" s="9">
        <v>0.60397088527679443</v>
      </c>
      <c r="CR88">
        <v>25.171703983420748</v>
      </c>
      <c r="CS88">
        <v>12.970958159944946</v>
      </c>
      <c r="CT88">
        <v>0.61158100195185428</v>
      </c>
      <c r="CU88" s="8">
        <v>-1.9406202435493469E-2</v>
      </c>
      <c r="CV88" s="9">
        <v>-0.23577821552753447</v>
      </c>
      <c r="CW88">
        <v>0.06</v>
      </c>
      <c r="CX88" t="e">
        <v>#VALUE!</v>
      </c>
      <c r="CY88" t="s">
        <v>853</v>
      </c>
      <c r="CZ88">
        <v>-1.9406202435493469E-2</v>
      </c>
      <c r="DA88" t="e">
        <v>#VALUE!</v>
      </c>
      <c r="DB88" t="s">
        <v>853</v>
      </c>
      <c r="DC88">
        <v>-1.8435892313718793E-2</v>
      </c>
      <c r="DD88" t="e">
        <v>#VALUE!</v>
      </c>
      <c r="DE88" t="s">
        <v>853</v>
      </c>
      <c r="DF88">
        <v>-1.7077458143234251E-2</v>
      </c>
      <c r="DG88" t="e">
        <v>#VALUE!</v>
      </c>
      <c r="DH88" t="s">
        <v>853</v>
      </c>
      <c r="DI88">
        <v>-1.5524961948394776E-2</v>
      </c>
      <c r="DJ88" t="e">
        <v>#VALUE!</v>
      </c>
      <c r="DK88" t="s">
        <v>853</v>
      </c>
      <c r="DL88">
        <v>-1.3584341704845427E-2</v>
      </c>
      <c r="DM88">
        <v>-287000000</v>
      </c>
      <c r="DN88">
        <v>-1.9406202435493469E-2</v>
      </c>
      <c r="DO88">
        <v>530977600</v>
      </c>
      <c r="DP88">
        <v>1052675100</v>
      </c>
      <c r="DQ88">
        <v>4449</v>
      </c>
      <c r="DR88">
        <v>4.8656437309974692</v>
      </c>
      <c r="DS88">
        <v>20.071591028717901</v>
      </c>
      <c r="DT88" s="10">
        <v>-0.64</v>
      </c>
      <c r="DU88">
        <v>-0.51999999999999991</v>
      </c>
      <c r="DV88">
        <v>-1.1599999999999999</v>
      </c>
      <c r="DW88">
        <v>-8.1627507163323774</v>
      </c>
      <c r="DX88">
        <v>0.50398310947825309</v>
      </c>
      <c r="DY88">
        <v>-8.0201783398807009</v>
      </c>
      <c r="DZ88">
        <v>4005</v>
      </c>
      <c r="EA88">
        <v>-8.0043634179194072</v>
      </c>
      <c r="EB88">
        <v>8</v>
      </c>
      <c r="EC88">
        <v>2.9367173297966901E-2</v>
      </c>
      <c r="ED88">
        <v>0.23686430693301494</v>
      </c>
      <c r="EE88" s="11">
        <v>-3.03281</v>
      </c>
      <c r="EF88">
        <v>-3.0540099999999999</v>
      </c>
      <c r="EG88">
        <v>38.123983109478253</v>
      </c>
      <c r="EH88" t="s">
        <v>1520</v>
      </c>
      <c r="EI88">
        <v>0</v>
      </c>
      <c r="EJ88">
        <v>0</v>
      </c>
      <c r="EK88" s="13">
        <v>45470</v>
      </c>
      <c r="EL88" s="14">
        <v>-1.89</v>
      </c>
      <c r="EM88" s="14">
        <v>-3.58</v>
      </c>
      <c r="EN88">
        <v>2.27</v>
      </c>
      <c r="EO88">
        <v>0.18</v>
      </c>
      <c r="EP88">
        <v>-2.12</v>
      </c>
    </row>
    <row r="89" spans="1:146" ht="96" x14ac:dyDescent="0.25">
      <c r="C89" s="7" t="str">
        <f>""&amp;CHAR(10)&amp;Basic_Fundamental_Information_Constructure(F89)&amp;CHAR(10)&amp;Basic_Fundamental_Information_Concatenate("")</f>
        <v xml:space="preserve">
市值76.097118亿, 利润1.09亿; PE16.59; 平均PE24.55; 平均PEG7.35, PB2.93; ROIC17.0733%; ROE18.7833%; 股利率2.8391%; 毛利29.4067%; 净利17.3767%; 上一年度营收增-45.29%, 利润增-75.62%; 当季营收增78.7%, 利润增232.82%; 过往5年营收增3.34%, 利润增.74%
Income profile:
</v>
      </c>
      <c r="D89" t="s">
        <v>557</v>
      </c>
      <c r="E89" t="s">
        <v>558</v>
      </c>
      <c r="F89">
        <v>19.02</v>
      </c>
      <c r="G89">
        <v>1.49</v>
      </c>
      <c r="H89" t="s">
        <v>3320</v>
      </c>
      <c r="I89">
        <v>7609711800</v>
      </c>
      <c r="J89">
        <v>16.59</v>
      </c>
      <c r="K89">
        <v>2.93</v>
      </c>
      <c r="L89" t="s">
        <v>1762</v>
      </c>
      <c r="M89" t="s">
        <v>3321</v>
      </c>
      <c r="N89" t="s">
        <v>3322</v>
      </c>
      <c r="O89" t="s">
        <v>1578</v>
      </c>
      <c r="P89">
        <v>23.14</v>
      </c>
      <c r="Q89" t="s">
        <v>1002</v>
      </c>
      <c r="R89">
        <v>121178382</v>
      </c>
      <c r="S89" s="5">
        <v>0.29349999999999998</v>
      </c>
      <c r="T89" t="s">
        <v>100</v>
      </c>
      <c r="U89">
        <v>400090000</v>
      </c>
      <c r="V89">
        <v>400090000</v>
      </c>
      <c r="W89">
        <v>1.17</v>
      </c>
      <c r="X89">
        <v>0.22</v>
      </c>
      <c r="Y89">
        <v>17.61</v>
      </c>
      <c r="Z89" t="s">
        <v>1600</v>
      </c>
      <c r="AA89" t="s">
        <v>3323</v>
      </c>
      <c r="AB89" t="s">
        <v>3324</v>
      </c>
      <c r="AC89" t="s">
        <v>3325</v>
      </c>
      <c r="AD89" t="s">
        <v>41</v>
      </c>
      <c r="AE89">
        <v>-14243115</v>
      </c>
      <c r="AF89" t="s">
        <v>3326</v>
      </c>
      <c r="AG89" t="s">
        <v>3327</v>
      </c>
      <c r="AH89" t="s">
        <v>3328</v>
      </c>
      <c r="AI89" t="s">
        <v>3329</v>
      </c>
      <c r="AJ89" t="s">
        <v>3330</v>
      </c>
      <c r="AK89" t="s">
        <v>41</v>
      </c>
      <c r="AL89" t="s">
        <v>3331</v>
      </c>
      <c r="AM89" t="s">
        <v>41</v>
      </c>
      <c r="AN89" t="s">
        <v>3332</v>
      </c>
      <c r="AO89" t="s">
        <v>3333</v>
      </c>
      <c r="AP89" t="s">
        <v>41</v>
      </c>
      <c r="AQ89" t="s">
        <v>3334</v>
      </c>
      <c r="AR89" t="s">
        <v>41</v>
      </c>
      <c r="AS89" t="s">
        <v>726</v>
      </c>
      <c r="AT89" t="s">
        <v>41</v>
      </c>
      <c r="AU89" t="s">
        <v>3335</v>
      </c>
      <c r="AV89" t="s">
        <v>520</v>
      </c>
      <c r="AW89" t="s">
        <v>3336</v>
      </c>
      <c r="AX89" t="s">
        <v>1243</v>
      </c>
      <c r="AY89" t="s">
        <v>523</v>
      </c>
      <c r="AZ89" t="s">
        <v>559</v>
      </c>
      <c r="BA89" t="s">
        <v>327</v>
      </c>
      <c r="BB89" t="s">
        <v>561</v>
      </c>
      <c r="BC89" t="s">
        <v>482</v>
      </c>
      <c r="BD89" t="s">
        <v>207</v>
      </c>
      <c r="BE89" t="s">
        <v>560</v>
      </c>
      <c r="BF89" t="s">
        <v>133</v>
      </c>
      <c r="BG89" t="s">
        <v>285</v>
      </c>
      <c r="BH89" t="s">
        <v>3337</v>
      </c>
      <c r="BI89" t="s">
        <v>617</v>
      </c>
      <c r="BJ89" t="s">
        <v>1243</v>
      </c>
      <c r="BK89" t="s">
        <v>966</v>
      </c>
      <c r="BL89" t="s">
        <v>3338</v>
      </c>
      <c r="BM89" t="s">
        <v>482</v>
      </c>
      <c r="BN89">
        <v>12.4</v>
      </c>
      <c r="BO89">
        <v>19.559999999999999</v>
      </c>
      <c r="BP89">
        <v>19.260000000000002</v>
      </c>
      <c r="BQ89">
        <v>15.05</v>
      </c>
      <c r="BR89">
        <v>21.01</v>
      </c>
      <c r="BS89">
        <v>20.29</v>
      </c>
      <c r="BT89" t="s">
        <v>3339</v>
      </c>
      <c r="BU89" t="s">
        <v>1777</v>
      </c>
      <c r="BV89">
        <v>31.58</v>
      </c>
      <c r="BW89">
        <v>28.74</v>
      </c>
      <c r="BX89">
        <v>27.9</v>
      </c>
      <c r="BY89">
        <v>17.52</v>
      </c>
      <c r="BZ89">
        <v>18.09</v>
      </c>
      <c r="CA89">
        <v>16.52</v>
      </c>
      <c r="CB89">
        <v>0.57999999999999996</v>
      </c>
      <c r="CC89">
        <v>-16.43</v>
      </c>
      <c r="CD89" t="s">
        <v>3340</v>
      </c>
      <c r="CE89" t="s">
        <v>3341</v>
      </c>
      <c r="CF89" s="8">
        <v>0.78701298701298705</v>
      </c>
      <c r="CG89" s="9">
        <v>2.3282352262614943</v>
      </c>
      <c r="CH89" s="8">
        <v>-0.45285311341285706</v>
      </c>
      <c r="CI89" s="8">
        <v>7.34143927693367E-2</v>
      </c>
      <c r="CJ89" s="8">
        <v>0.24432438611984253</v>
      </c>
      <c r="CK89" s="8">
        <v>0.190476194024086</v>
      </c>
      <c r="CL89" s="8">
        <v>0.11158798635005951</v>
      </c>
      <c r="CM89" s="9">
        <v>-0.75615215301513672</v>
      </c>
      <c r="CN89" s="9">
        <v>0.1763157844543457</v>
      </c>
      <c r="CO89" s="9">
        <v>-7.5425788760185242E-2</v>
      </c>
      <c r="CP89" s="9">
        <v>0.44210526347160339</v>
      </c>
      <c r="CQ89" s="9">
        <v>0.25</v>
      </c>
      <c r="CR89">
        <v>24.547457419354838</v>
      </c>
      <c r="CS89">
        <v>7.3517460571186488</v>
      </c>
      <c r="CT89">
        <v>2.8391167192429023</v>
      </c>
      <c r="CU89" s="8">
        <v>3.3389969170093535E-2</v>
      </c>
      <c r="CV89" s="9">
        <v>7.3686212301254271E-3</v>
      </c>
      <c r="CW89">
        <v>0.06</v>
      </c>
      <c r="CX89">
        <v>53.063393886544787</v>
      </c>
      <c r="CY89">
        <v>106263685.50900021</v>
      </c>
      <c r="CZ89">
        <v>3.3389969170093535E-2</v>
      </c>
      <c r="DA89">
        <v>18.197592333493958</v>
      </c>
      <c r="DB89">
        <v>309860320.89649308</v>
      </c>
      <c r="DC89">
        <v>3.1720470711588858E-2</v>
      </c>
      <c r="DD89">
        <v>9.5413325972756464</v>
      </c>
      <c r="DE89">
        <v>590977386.28355026</v>
      </c>
      <c r="DF89">
        <v>2.9383172869682311E-2</v>
      </c>
      <c r="DG89">
        <v>6.1396823351461762</v>
      </c>
      <c r="DH89">
        <v>918404486.12814939</v>
      </c>
      <c r="DI89">
        <v>2.671197533607483E-2</v>
      </c>
      <c r="DJ89">
        <v>3.6659535155982819</v>
      </c>
      <c r="DK89">
        <v>1538129650.5828075</v>
      </c>
      <c r="DL89">
        <v>2.3372978419065472E-2</v>
      </c>
      <c r="DM89">
        <v>109000000.00000001</v>
      </c>
      <c r="DN89">
        <v>3.3389969170093535E-2</v>
      </c>
      <c r="DO89">
        <v>5638711800</v>
      </c>
      <c r="DP89">
        <v>1745221500</v>
      </c>
      <c r="DQ89">
        <v>4456</v>
      </c>
      <c r="DR89">
        <v>0.75362301784289354</v>
      </c>
      <c r="DS89">
        <v>2.3208666050313687</v>
      </c>
      <c r="DT89" s="10">
        <v>-0.35666666666666669</v>
      </c>
      <c r="DU89">
        <v>3.3333333333333291E-2</v>
      </c>
      <c r="DV89">
        <v>-0.32333333333333342</v>
      </c>
      <c r="DW89">
        <v>-3.004863095238095</v>
      </c>
      <c r="DX89">
        <v>0.30615153666893835</v>
      </c>
      <c r="DY89">
        <v>-3.0007107488420148</v>
      </c>
      <c r="DZ89">
        <v>1824</v>
      </c>
      <c r="EA89">
        <v>-3.0004570490596598</v>
      </c>
      <c r="EB89">
        <v>3</v>
      </c>
      <c r="EC89">
        <v>7.6652753130545623E-3</v>
      </c>
      <c r="ED89">
        <v>5.2447449323902121E-2</v>
      </c>
      <c r="EE89" s="11">
        <v>3.0017</v>
      </c>
      <c r="EF89">
        <v>3.0068100000000002</v>
      </c>
      <c r="EG89">
        <v>16.146151536668938</v>
      </c>
      <c r="EH89" t="s">
        <v>2212</v>
      </c>
      <c r="EI89">
        <v>0</v>
      </c>
      <c r="EJ89">
        <v>0</v>
      </c>
      <c r="EK89" s="13">
        <v>45470</v>
      </c>
      <c r="EL89" s="14">
        <v>0</v>
      </c>
      <c r="EM89" s="14">
        <v>-4.29</v>
      </c>
      <c r="EN89">
        <v>1.52</v>
      </c>
      <c r="EO89">
        <v>3.62</v>
      </c>
      <c r="EP89">
        <v>-0.85</v>
      </c>
    </row>
    <row r="90" spans="1:146" ht="96" x14ac:dyDescent="0.25">
      <c r="C90" s="7" t="str">
        <f>""&amp;CHAR(10)&amp;Basic_Fundamental_Information_Constructure(F90)&amp;CHAR(10)&amp;Basic_Fundamental_Information_Concatenate("")</f>
        <v xml:space="preserve">
市值17.136281亿, 利润3.34亿; PE17.52; 平均PE13.75; 平均PEG.05, PB1.4; ROIC6.3733%; ROE7.5033%; 股利率2.2371%; 毛利36.68%; 净利16.34%; 上一年度营收增1418.84%, 利润增307.1%; 当季营收增-90.23%, 利润增-67.16%; 过往5年营收增289.73%, 利润增63.56%
Income profile:
</v>
      </c>
      <c r="D90" t="s">
        <v>688</v>
      </c>
      <c r="E90" t="s">
        <v>689</v>
      </c>
      <c r="F90">
        <v>8.94</v>
      </c>
      <c r="G90">
        <v>1.1299999999999999</v>
      </c>
      <c r="H90" t="s">
        <v>3342</v>
      </c>
      <c r="I90">
        <v>1713628100</v>
      </c>
      <c r="J90">
        <v>17.52</v>
      </c>
      <c r="K90">
        <v>1.4</v>
      </c>
      <c r="L90" t="s">
        <v>1762</v>
      </c>
      <c r="M90" t="s">
        <v>203</v>
      </c>
      <c r="N90" t="s">
        <v>3343</v>
      </c>
      <c r="O90" t="s">
        <v>88</v>
      </c>
      <c r="P90">
        <v>38.33</v>
      </c>
      <c r="Q90" t="s">
        <v>3344</v>
      </c>
      <c r="R90">
        <v>23300095</v>
      </c>
      <c r="S90" s="5">
        <v>0.4022</v>
      </c>
      <c r="T90" t="s">
        <v>255</v>
      </c>
      <c r="U90">
        <v>188160000</v>
      </c>
      <c r="V90">
        <v>191681000</v>
      </c>
      <c r="W90">
        <v>1.07</v>
      </c>
      <c r="X90">
        <v>0.13</v>
      </c>
      <c r="Y90">
        <v>14.14</v>
      </c>
      <c r="Z90" t="s">
        <v>168</v>
      </c>
      <c r="AA90" t="s">
        <v>3345</v>
      </c>
      <c r="AB90" t="s">
        <v>3346</v>
      </c>
      <c r="AC90" t="s">
        <v>3347</v>
      </c>
      <c r="AD90" t="s">
        <v>41</v>
      </c>
      <c r="AE90">
        <v>-3905064</v>
      </c>
      <c r="AF90" t="s">
        <v>3348</v>
      </c>
      <c r="AG90" t="s">
        <v>3349</v>
      </c>
      <c r="AH90" t="s">
        <v>3350</v>
      </c>
      <c r="AI90" t="s">
        <v>999</v>
      </c>
      <c r="AJ90" t="s">
        <v>3351</v>
      </c>
      <c r="AK90" t="s">
        <v>3352</v>
      </c>
      <c r="AL90" t="s">
        <v>3353</v>
      </c>
      <c r="AM90" t="s">
        <v>41</v>
      </c>
      <c r="AN90" t="s">
        <v>3354</v>
      </c>
      <c r="AO90" t="s">
        <v>41</v>
      </c>
      <c r="AP90" t="s">
        <v>41</v>
      </c>
      <c r="AQ90" t="s">
        <v>3355</v>
      </c>
      <c r="AR90" t="s">
        <v>41</v>
      </c>
      <c r="AS90" t="s">
        <v>3356</v>
      </c>
      <c r="AT90" t="s">
        <v>41</v>
      </c>
      <c r="AU90" t="s">
        <v>3357</v>
      </c>
      <c r="AV90" t="s">
        <v>3358</v>
      </c>
      <c r="AW90" t="s">
        <v>41</v>
      </c>
      <c r="AX90" t="s">
        <v>960</v>
      </c>
      <c r="AY90" t="s">
        <v>381</v>
      </c>
      <c r="AZ90" t="s">
        <v>62</v>
      </c>
      <c r="BA90" t="s">
        <v>621</v>
      </c>
      <c r="BB90" t="s">
        <v>611</v>
      </c>
      <c r="BC90" t="s">
        <v>1244</v>
      </c>
      <c r="BD90" t="s">
        <v>840</v>
      </c>
      <c r="BE90" t="s">
        <v>690</v>
      </c>
      <c r="BF90" t="s">
        <v>691</v>
      </c>
      <c r="BG90" t="s">
        <v>692</v>
      </c>
      <c r="BH90" t="s">
        <v>3359</v>
      </c>
      <c r="BI90" t="s">
        <v>1309</v>
      </c>
      <c r="BJ90" t="s">
        <v>960</v>
      </c>
      <c r="BK90" t="s">
        <v>3360</v>
      </c>
      <c r="BL90" t="s">
        <v>3361</v>
      </c>
      <c r="BM90" t="s">
        <v>1244</v>
      </c>
      <c r="BN90">
        <v>4.8899999999999997</v>
      </c>
      <c r="BO90">
        <v>5.67</v>
      </c>
      <c r="BP90">
        <v>8.56</v>
      </c>
      <c r="BQ90">
        <v>6.5</v>
      </c>
      <c r="BR90">
        <v>7.44</v>
      </c>
      <c r="BS90">
        <v>8.57</v>
      </c>
      <c r="BT90" t="s">
        <v>3362</v>
      </c>
      <c r="BU90" t="s">
        <v>1777</v>
      </c>
      <c r="BV90">
        <v>38.729999999999997</v>
      </c>
      <c r="BW90">
        <v>34.31</v>
      </c>
      <c r="BX90">
        <v>37</v>
      </c>
      <c r="BY90">
        <v>13.81</v>
      </c>
      <c r="BZ90">
        <v>15.98</v>
      </c>
      <c r="CA90">
        <v>19.23</v>
      </c>
      <c r="CB90">
        <v>-2.2999999999999998</v>
      </c>
      <c r="CC90">
        <v>-14.86</v>
      </c>
      <c r="CD90" t="s">
        <v>3363</v>
      </c>
      <c r="CE90" t="s">
        <v>3364</v>
      </c>
      <c r="CF90" s="8">
        <v>-0.90225118483412325</v>
      </c>
      <c r="CG90" s="9">
        <v>-0.67162985083882021</v>
      </c>
      <c r="CH90" s="8">
        <v>14.188376426696777</v>
      </c>
      <c r="CI90" s="8">
        <v>7.311827689409256E-2</v>
      </c>
      <c r="CJ90" s="8">
        <v>0.31355932354927063</v>
      </c>
      <c r="CK90" s="8">
        <v>-0.13447432219982147</v>
      </c>
      <c r="CL90" s="8">
        <v>4.6035803854465485E-2</v>
      </c>
      <c r="CM90" s="9">
        <v>3.0709514617919922</v>
      </c>
      <c r="CN90" s="9">
        <v>-8.334650844335556E-2</v>
      </c>
      <c r="CO90" s="9">
        <v>0.14987269043922424</v>
      </c>
      <c r="CP90" s="9">
        <v>-0.11933315545320511</v>
      </c>
      <c r="CQ90" s="9">
        <v>0.16000168025493622</v>
      </c>
      <c r="CR90">
        <v>13.746251481846372</v>
      </c>
      <c r="CS90">
        <v>4.7444661844932172E-2</v>
      </c>
      <c r="CT90">
        <v>2.2371364653243848</v>
      </c>
      <c r="CU90" s="8">
        <v>2.8973231017589569</v>
      </c>
      <c r="CV90" s="9">
        <v>0.63562923371791835</v>
      </c>
      <c r="CW90">
        <v>0.06</v>
      </c>
      <c r="CX90">
        <v>0.47851498433689649</v>
      </c>
      <c r="CY90">
        <v>1228024449.0448034</v>
      </c>
      <c r="CZ90">
        <v>2.8973231017589569</v>
      </c>
      <c r="DA90">
        <v>2.9111257542467517E-2</v>
      </c>
      <c r="DB90">
        <v>20185596556.341404</v>
      </c>
      <c r="DC90">
        <v>2.7524569466710092</v>
      </c>
      <c r="DD90">
        <v>8.7567468170692074E-4</v>
      </c>
      <c r="DE90">
        <v>671057542573.41089</v>
      </c>
      <c r="DF90">
        <v>2.5496443295478821</v>
      </c>
      <c r="DG90">
        <v>1.3264162494557979E-5</v>
      </c>
      <c r="DH90">
        <v>44301937664069.789</v>
      </c>
      <c r="DI90">
        <v>2.3178584814071654</v>
      </c>
      <c r="DJ90">
        <v>8.7271618375714895E-10</v>
      </c>
      <c r="DK90">
        <v>6.7333242002020608E+17</v>
      </c>
      <c r="DL90">
        <v>2.0281261712312699</v>
      </c>
      <c r="DM90">
        <v>334000000</v>
      </c>
      <c r="DN90">
        <v>2.8973231017589569</v>
      </c>
      <c r="DO90">
        <v>587628100</v>
      </c>
      <c r="DP90">
        <v>723635470</v>
      </c>
      <c r="DQ90">
        <v>4470</v>
      </c>
      <c r="DR90">
        <v>-3.7995742865930802</v>
      </c>
      <c r="DS90">
        <v>-1.3072590845567387</v>
      </c>
      <c r="DT90" s="10">
        <v>-6.6666666666666714E-3</v>
      </c>
      <c r="DU90">
        <v>-4.0000000000000036E-2</v>
      </c>
      <c r="DV90">
        <v>-4.6666666666666703E-2</v>
      </c>
      <c r="DW90">
        <v>-2.1486000000000001</v>
      </c>
      <c r="DX90">
        <v>0.2714074853773204</v>
      </c>
      <c r="DY90">
        <v>-2.0165551523270695</v>
      </c>
      <c r="DZ90">
        <v>1136</v>
      </c>
      <c r="EA90">
        <v>-2.0128747896962378</v>
      </c>
      <c r="EB90">
        <v>2</v>
      </c>
      <c r="EC90">
        <v>3.8872919068660951E-2</v>
      </c>
      <c r="ED90">
        <v>0.34892555861039959</v>
      </c>
      <c r="EE90" s="11">
        <v>1.0495000000000001</v>
      </c>
      <c r="EF90">
        <v>1.0190999999999999</v>
      </c>
      <c r="EG90">
        <v>16.11140748537732</v>
      </c>
      <c r="EH90" t="s">
        <v>1094</v>
      </c>
      <c r="EI90">
        <v>0</v>
      </c>
      <c r="EJ90">
        <v>1</v>
      </c>
      <c r="EK90" s="13">
        <v>45470</v>
      </c>
      <c r="EL90" s="14">
        <v>0.16</v>
      </c>
      <c r="EM90" s="14">
        <v>9.93</v>
      </c>
      <c r="EN90">
        <v>-1.04</v>
      </c>
      <c r="EO90">
        <v>-1.5</v>
      </c>
      <c r="EP90">
        <v>-3.04</v>
      </c>
    </row>
    <row r="91" spans="1:146" ht="96" x14ac:dyDescent="0.25">
      <c r="C91" s="7" t="str">
        <f>""&amp;CHAR(10)&amp;Basic_Fundamental_Information_Constructure(F91)&amp;CHAR(10)&amp;Basic_Fundamental_Information_Concatenate("")</f>
        <v xml:space="preserve">
市值30.726467亿, 利润1.44亿; PE55.51; 平均PE21.89; 平均PEG1.47, PB1.87; ROIC6.095%; ROE3.9133%; 股利率4.2918%; 毛利25.22%; 净利1.5233%; 上一年度营收增44.62%, 利润增435.42%; 当季营收增-33.89%, 利润增-46.02%; 过往5年营收增14.87%, 利润增63.08%
Income profile:
</v>
      </c>
      <c r="D91" t="s">
        <v>562</v>
      </c>
      <c r="E91" t="s">
        <v>563</v>
      </c>
      <c r="F91">
        <v>6.99</v>
      </c>
      <c r="G91">
        <v>1.01</v>
      </c>
      <c r="H91" t="s">
        <v>3365</v>
      </c>
      <c r="I91">
        <v>3072646700</v>
      </c>
      <c r="J91">
        <v>55.51</v>
      </c>
      <c r="K91">
        <v>1.87</v>
      </c>
      <c r="L91" t="s">
        <v>1762</v>
      </c>
      <c r="M91" t="s">
        <v>3366</v>
      </c>
      <c r="N91" t="s">
        <v>1579</v>
      </c>
      <c r="O91" t="s">
        <v>859</v>
      </c>
      <c r="P91">
        <v>10.26</v>
      </c>
      <c r="Q91" t="s">
        <v>1478</v>
      </c>
      <c r="R91">
        <v>16115170</v>
      </c>
      <c r="S91" s="5">
        <v>4.58E-2</v>
      </c>
      <c r="T91" t="s">
        <v>1382</v>
      </c>
      <c r="U91">
        <v>436000000</v>
      </c>
      <c r="V91">
        <v>439577500</v>
      </c>
      <c r="W91">
        <v>2.3199999999999998</v>
      </c>
      <c r="X91">
        <v>0.11</v>
      </c>
      <c r="Y91">
        <v>3.58</v>
      </c>
      <c r="Z91" t="s">
        <v>1617</v>
      </c>
      <c r="AA91" t="s">
        <v>102</v>
      </c>
      <c r="AB91" t="s">
        <v>3367</v>
      </c>
      <c r="AC91" t="s">
        <v>3368</v>
      </c>
      <c r="AD91" t="s">
        <v>41</v>
      </c>
      <c r="AE91">
        <v>-687079</v>
      </c>
      <c r="AF91" t="s">
        <v>3369</v>
      </c>
      <c r="AG91" t="s">
        <v>3370</v>
      </c>
      <c r="AH91" t="s">
        <v>3371</v>
      </c>
      <c r="AI91" t="s">
        <v>259</v>
      </c>
      <c r="AJ91" t="s">
        <v>3372</v>
      </c>
      <c r="AK91" t="s">
        <v>3373</v>
      </c>
      <c r="AL91" t="s">
        <v>3374</v>
      </c>
      <c r="AM91" t="s">
        <v>41</v>
      </c>
      <c r="AN91" t="s">
        <v>1705</v>
      </c>
      <c r="AO91" t="s">
        <v>3005</v>
      </c>
      <c r="AP91" t="s">
        <v>181</v>
      </c>
      <c r="AQ91" t="s">
        <v>81</v>
      </c>
      <c r="AR91" t="s">
        <v>41</v>
      </c>
      <c r="AS91" t="s">
        <v>3375</v>
      </c>
      <c r="AT91" t="s">
        <v>41</v>
      </c>
      <c r="AU91" t="s">
        <v>3376</v>
      </c>
      <c r="AV91" t="s">
        <v>2102</v>
      </c>
      <c r="AW91" t="s">
        <v>3377</v>
      </c>
      <c r="AX91" t="s">
        <v>1245</v>
      </c>
      <c r="AY91" t="s">
        <v>841</v>
      </c>
      <c r="AZ91" t="s">
        <v>564</v>
      </c>
      <c r="BA91" t="s">
        <v>565</v>
      </c>
      <c r="BB91" t="s">
        <v>516</v>
      </c>
      <c r="BC91" t="s">
        <v>3378</v>
      </c>
      <c r="BD91" t="s">
        <v>91</v>
      </c>
      <c r="BE91" t="s">
        <v>350</v>
      </c>
      <c r="BF91" t="s">
        <v>68</v>
      </c>
      <c r="BG91" t="s">
        <v>298</v>
      </c>
      <c r="BH91" t="s">
        <v>3379</v>
      </c>
      <c r="BI91" t="s">
        <v>3380</v>
      </c>
      <c r="BJ91" t="s">
        <v>1245</v>
      </c>
      <c r="BK91" t="s">
        <v>3381</v>
      </c>
      <c r="BL91" t="s">
        <v>3382</v>
      </c>
      <c r="BM91" t="s">
        <v>3378</v>
      </c>
      <c r="BN91">
        <v>4.34</v>
      </c>
      <c r="BO91" t="s">
        <v>41</v>
      </c>
      <c r="BP91">
        <v>7.85</v>
      </c>
      <c r="BQ91">
        <v>5.71</v>
      </c>
      <c r="BR91">
        <v>-2.54</v>
      </c>
      <c r="BS91">
        <v>8.57</v>
      </c>
      <c r="BT91" t="s">
        <v>3383</v>
      </c>
      <c r="BU91" t="s">
        <v>2063</v>
      </c>
      <c r="BV91">
        <v>26.75</v>
      </c>
      <c r="BW91">
        <v>24.46</v>
      </c>
      <c r="BX91">
        <v>24.45</v>
      </c>
      <c r="BY91">
        <v>1.68</v>
      </c>
      <c r="BZ91">
        <v>-2.2999999999999998</v>
      </c>
      <c r="CA91">
        <v>5.19</v>
      </c>
      <c r="CB91">
        <v>-1.96</v>
      </c>
      <c r="CC91">
        <v>-14.23</v>
      </c>
      <c r="CD91" t="s">
        <v>3384</v>
      </c>
      <c r="CE91" t="s">
        <v>3385</v>
      </c>
      <c r="CF91" s="8">
        <v>-0.33890577507598796</v>
      </c>
      <c r="CG91" s="9">
        <v>-0.46015181918375414</v>
      </c>
      <c r="CH91" s="8">
        <v>0.4462096095085144</v>
      </c>
      <c r="CI91" s="8">
        <v>-0.16710770130157471</v>
      </c>
      <c r="CJ91" s="8">
        <v>0.25118255615234375</v>
      </c>
      <c r="CK91" s="8">
        <v>8.3546862006187439E-2</v>
      </c>
      <c r="CL91" s="8">
        <v>0.12970468401908875</v>
      </c>
      <c r="CM91" s="9">
        <v>4.3541646003723145</v>
      </c>
      <c r="CN91" s="9">
        <v>-1.3110992908477783</v>
      </c>
      <c r="CO91" s="9">
        <v>-0.42500001192092896</v>
      </c>
      <c r="CP91" s="9">
        <v>0.1320754736661911</v>
      </c>
      <c r="CQ91" s="9">
        <v>0.40397351980209351</v>
      </c>
      <c r="CR91">
        <v>21.893568728332372</v>
      </c>
      <c r="CS91">
        <v>1.4722601476294965</v>
      </c>
      <c r="CT91">
        <v>4.2918454935622314</v>
      </c>
      <c r="CU91" s="8">
        <v>0.14870720207691193</v>
      </c>
      <c r="CV91" s="9">
        <v>0.63082285821437833</v>
      </c>
      <c r="CW91">
        <v>0.06</v>
      </c>
      <c r="CX91">
        <v>23.900210353212948</v>
      </c>
      <c r="CY91">
        <v>156050789.7161088</v>
      </c>
      <c r="CZ91">
        <v>0.14870720207691193</v>
      </c>
      <c r="DA91">
        <v>7.4340895667134363</v>
      </c>
      <c r="DB91">
        <v>501695152.65187383</v>
      </c>
      <c r="DC91">
        <v>0.14127184197306633</v>
      </c>
      <c r="DD91">
        <v>3.4209097164192808</v>
      </c>
      <c r="DE91">
        <v>1090249965.4109197</v>
      </c>
      <c r="DF91">
        <v>0.1308623378276825</v>
      </c>
      <c r="DG91">
        <v>1.9000180189621727</v>
      </c>
      <c r="DH91">
        <v>1962953331.3779869</v>
      </c>
      <c r="DI91">
        <v>0.11896576166152956</v>
      </c>
      <c r="DJ91">
        <v>0.82127982593614568</v>
      </c>
      <c r="DK91">
        <v>4541261799.2274647</v>
      </c>
      <c r="DL91">
        <v>0.10409504145383834</v>
      </c>
      <c r="DM91">
        <v>144000000</v>
      </c>
      <c r="DN91">
        <v>0.14870720207691193</v>
      </c>
      <c r="DO91">
        <v>3729646700</v>
      </c>
      <c r="DP91">
        <v>-140799400</v>
      </c>
      <c r="DQ91">
        <v>4496</v>
      </c>
      <c r="DR91">
        <v>-0.48761297715289986</v>
      </c>
      <c r="DS91">
        <v>-1.0909746773981324</v>
      </c>
      <c r="DT91" s="10">
        <v>-0.28999999999999998</v>
      </c>
      <c r="DU91">
        <v>-0.67</v>
      </c>
      <c r="DV91">
        <v>-0.96</v>
      </c>
      <c r="DW91">
        <v>-2.1423000000000001</v>
      </c>
      <c r="DX91">
        <v>0.24308042419553011</v>
      </c>
      <c r="DY91">
        <v>-2.0175143443630241</v>
      </c>
      <c r="DZ91">
        <v>1350</v>
      </c>
      <c r="EA91">
        <v>-2.0128872670851217</v>
      </c>
      <c r="EB91">
        <v>2</v>
      </c>
      <c r="EC91">
        <v>1.5379540581581178E-2</v>
      </c>
      <c r="ED91">
        <v>0.12495521267580802</v>
      </c>
      <c r="EE91" s="11">
        <v>3.0619100000000001</v>
      </c>
      <c r="EF91">
        <v>3.06271</v>
      </c>
      <c r="EG91">
        <v>12.12308042419553</v>
      </c>
      <c r="EH91" t="s">
        <v>2212</v>
      </c>
      <c r="EI91">
        <v>0</v>
      </c>
      <c r="EJ91">
        <v>1</v>
      </c>
      <c r="EK91" s="13">
        <v>45470</v>
      </c>
      <c r="EL91" s="14">
        <v>2.1800000000000002</v>
      </c>
      <c r="EM91" s="14">
        <v>-5.78</v>
      </c>
      <c r="EN91">
        <v>-2.1</v>
      </c>
      <c r="EO91">
        <v>4.13</v>
      </c>
      <c r="EP91">
        <v>-0.08</v>
      </c>
    </row>
    <row r="92" spans="1:146" ht="96" x14ac:dyDescent="0.25">
      <c r="C92" s="7" t="str">
        <f>""&amp;CHAR(10)&amp;Basic_Fundamental_Information_Constructure(F92)&amp;CHAR(10)&amp;Basic_Fundamental_Information_Concatenate("")</f>
        <v xml:space="preserve">
市值32.521851亿, 利润2.58亿; PE25.44; 平均PE22.02; 平均PEG.87, PB2.49; ROIC6.7967%; ROE7.4%; 股利率3.7975%; 毛利29.2133%; 净利8.1933%; 上一年度营收增110.13%, 利润增134.55%; 当季营收增-57.72%, 利润增-78.95%; 过往5年营收增25.21%, 利润增26.36%
Income profile:
</v>
      </c>
      <c r="D92" t="s">
        <v>567</v>
      </c>
      <c r="E92" t="s">
        <v>568</v>
      </c>
      <c r="F92">
        <v>7.9</v>
      </c>
      <c r="G92">
        <v>1.54</v>
      </c>
      <c r="H92" t="s">
        <v>3386</v>
      </c>
      <c r="I92">
        <v>3252185100</v>
      </c>
      <c r="J92">
        <v>25.44</v>
      </c>
      <c r="K92">
        <v>2.4900000000000002</v>
      </c>
      <c r="L92" t="s">
        <v>1762</v>
      </c>
      <c r="M92" t="s">
        <v>3387</v>
      </c>
      <c r="N92" t="s">
        <v>1703</v>
      </c>
      <c r="O92" t="s">
        <v>979</v>
      </c>
      <c r="P92">
        <v>7.15</v>
      </c>
      <c r="Q92" t="s">
        <v>3388</v>
      </c>
      <c r="R92">
        <v>13313178</v>
      </c>
      <c r="S92" s="5">
        <v>-7.9600000000000004E-2</v>
      </c>
      <c r="T92" t="s">
        <v>1291</v>
      </c>
      <c r="U92">
        <v>410269000</v>
      </c>
      <c r="V92">
        <v>411669000</v>
      </c>
      <c r="W92">
        <v>1.42</v>
      </c>
      <c r="X92">
        <v>0.14000000000000001</v>
      </c>
      <c r="Y92">
        <v>4.91</v>
      </c>
      <c r="Z92" t="s">
        <v>2068</v>
      </c>
      <c r="AA92" t="s">
        <v>250</v>
      </c>
      <c r="AB92" t="s">
        <v>3389</v>
      </c>
      <c r="AC92" t="s">
        <v>3390</v>
      </c>
      <c r="AD92" t="s">
        <v>41</v>
      </c>
      <c r="AE92">
        <v>-299007</v>
      </c>
      <c r="AF92" t="s">
        <v>3391</v>
      </c>
      <c r="AG92" t="s">
        <v>3392</v>
      </c>
      <c r="AH92" t="s">
        <v>3393</v>
      </c>
      <c r="AI92" t="s">
        <v>189</v>
      </c>
      <c r="AJ92" t="s">
        <v>3394</v>
      </c>
      <c r="AK92" t="s">
        <v>3395</v>
      </c>
      <c r="AL92" t="s">
        <v>3396</v>
      </c>
      <c r="AM92" t="s">
        <v>41</v>
      </c>
      <c r="AN92">
        <v>0</v>
      </c>
      <c r="AO92" t="s">
        <v>405</v>
      </c>
      <c r="AP92" t="s">
        <v>3397</v>
      </c>
      <c r="AQ92" t="s">
        <v>378</v>
      </c>
      <c r="AR92" t="s">
        <v>41</v>
      </c>
      <c r="AS92" t="s">
        <v>2731</v>
      </c>
      <c r="AT92" t="s">
        <v>41</v>
      </c>
      <c r="AU92" t="s">
        <v>3398</v>
      </c>
      <c r="AV92" t="s">
        <v>3399</v>
      </c>
      <c r="AW92" t="s">
        <v>3400</v>
      </c>
      <c r="AX92" t="s">
        <v>1002</v>
      </c>
      <c r="AY92" t="s">
        <v>842</v>
      </c>
      <c r="AZ92" t="s">
        <v>569</v>
      </c>
      <c r="BA92" t="s">
        <v>366</v>
      </c>
      <c r="BB92" t="s">
        <v>570</v>
      </c>
      <c r="BC92" t="s">
        <v>372</v>
      </c>
      <c r="BD92" t="s">
        <v>94</v>
      </c>
      <c r="BE92" t="s">
        <v>273</v>
      </c>
      <c r="BF92" t="s">
        <v>202</v>
      </c>
      <c r="BG92" t="s">
        <v>180</v>
      </c>
      <c r="BH92" t="s">
        <v>2049</v>
      </c>
      <c r="BI92" t="s">
        <v>2361</v>
      </c>
      <c r="BJ92" t="s">
        <v>1002</v>
      </c>
      <c r="BK92" t="s">
        <v>973</v>
      </c>
      <c r="BL92" t="s">
        <v>3401</v>
      </c>
      <c r="BM92" t="s">
        <v>372</v>
      </c>
      <c r="BN92">
        <v>4.05</v>
      </c>
      <c r="BO92">
        <v>8.1</v>
      </c>
      <c r="BP92">
        <v>8.24</v>
      </c>
      <c r="BQ92">
        <v>4.4800000000000004</v>
      </c>
      <c r="BR92">
        <v>8.66</v>
      </c>
      <c r="BS92">
        <v>9.06</v>
      </c>
      <c r="BT92" t="s">
        <v>1082</v>
      </c>
      <c r="BU92" t="s">
        <v>950</v>
      </c>
      <c r="BV92">
        <v>29.61</v>
      </c>
      <c r="BW92">
        <v>29.83</v>
      </c>
      <c r="BX92">
        <v>28.2</v>
      </c>
      <c r="BY92">
        <v>9.07</v>
      </c>
      <c r="BZ92">
        <v>8.1</v>
      </c>
      <c r="CA92">
        <v>7.41</v>
      </c>
      <c r="CB92">
        <v>-2.71</v>
      </c>
      <c r="CC92">
        <v>-14.13</v>
      </c>
      <c r="CD92" t="s">
        <v>3402</v>
      </c>
      <c r="CE92" t="s">
        <v>3403</v>
      </c>
      <c r="CF92" s="8">
        <v>-0.57722308892355689</v>
      </c>
      <c r="CG92" s="9">
        <v>-0.78950265865354974</v>
      </c>
      <c r="CH92" s="8">
        <v>1.101331353187561</v>
      </c>
      <c r="CI92" s="8">
        <v>-0.1344430148601532</v>
      </c>
      <c r="CJ92" s="8">
        <v>5.2560646086931229E-2</v>
      </c>
      <c r="CK92" s="8">
        <v>0.11244377493858337</v>
      </c>
      <c r="CL92" s="8">
        <v>0.12859560549259186</v>
      </c>
      <c r="CM92" s="9">
        <v>1.3454545736312866</v>
      </c>
      <c r="CN92" s="9">
        <v>-5.1724139600992203E-2</v>
      </c>
      <c r="CO92" s="9">
        <v>-0.15328466892242432</v>
      </c>
      <c r="CP92" s="9">
        <v>-6.8027213215827942E-2</v>
      </c>
      <c r="CQ92" s="9">
        <v>0.24576270580291748</v>
      </c>
      <c r="CR92">
        <v>22.023826862302485</v>
      </c>
      <c r="CS92">
        <v>0.87362277497110141</v>
      </c>
      <c r="CT92">
        <v>3.7974683544303796</v>
      </c>
      <c r="CU92" s="8">
        <v>0.25209767296910285</v>
      </c>
      <c r="CV92" s="9">
        <v>0.26363625153899195</v>
      </c>
      <c r="CW92">
        <v>0.06</v>
      </c>
      <c r="CX92">
        <v>8.515620327018965</v>
      </c>
      <c r="CY92">
        <v>304755848.7038005</v>
      </c>
      <c r="CZ92">
        <v>0.25209767296910285</v>
      </c>
      <c r="DA92">
        <v>2.4322919460864845</v>
      </c>
      <c r="DB92">
        <v>1066971053.4443071</v>
      </c>
      <c r="DC92">
        <v>0.23949278932064769</v>
      </c>
      <c r="DD92">
        <v>0.99015079294207364</v>
      </c>
      <c r="DE92">
        <v>2620999870.4225903</v>
      </c>
      <c r="DF92">
        <v>0.2218459522128105</v>
      </c>
      <c r="DG92">
        <v>0.47322404594570727</v>
      </c>
      <c r="DH92">
        <v>5484051628.8932285</v>
      </c>
      <c r="DI92">
        <v>0.20167813837528228</v>
      </c>
      <c r="DJ92">
        <v>0.14136407198492826</v>
      </c>
      <c r="DK92">
        <v>18358166000.457951</v>
      </c>
      <c r="DL92">
        <v>0.17646837107837199</v>
      </c>
      <c r="DM92">
        <v>258000000</v>
      </c>
      <c r="DN92">
        <v>0.25209767296910285</v>
      </c>
      <c r="DO92">
        <v>2595185100</v>
      </c>
      <c r="DP92">
        <v>596603410</v>
      </c>
      <c r="DQ92">
        <v>4504</v>
      </c>
      <c r="DR92">
        <v>-0.82932076189265969</v>
      </c>
      <c r="DS92">
        <v>-1.0531389101925417</v>
      </c>
      <c r="DT92" s="10">
        <v>-0.10666666666666669</v>
      </c>
      <c r="DU92">
        <v>-0.14000000000000004</v>
      </c>
      <c r="DV92">
        <v>-0.24666666666666673</v>
      </c>
      <c r="DW92">
        <v>-8.191790516631281</v>
      </c>
      <c r="DX92">
        <v>0.32028986175044311</v>
      </c>
      <c r="DY92">
        <v>-8.0230704547306235</v>
      </c>
      <c r="DZ92">
        <v>2019</v>
      </c>
      <c r="EA92">
        <v>-8.0139551419906763</v>
      </c>
      <c r="EB92">
        <v>8</v>
      </c>
      <c r="EC92">
        <v>1.9024264639795563E-2</v>
      </c>
      <c r="ED92">
        <v>0.15815351653877263</v>
      </c>
      <c r="EE92" s="11">
        <v>-1.0177</v>
      </c>
      <c r="EF92">
        <v>-1.01041</v>
      </c>
      <c r="EG92">
        <v>20.120289861750443</v>
      </c>
      <c r="EH92" t="s">
        <v>1095</v>
      </c>
      <c r="EI92">
        <v>0</v>
      </c>
      <c r="EJ92">
        <v>0</v>
      </c>
      <c r="EK92" s="13">
        <v>45470</v>
      </c>
      <c r="EL92" s="14">
        <v>1.84</v>
      </c>
      <c r="EM92" s="14">
        <v>-5</v>
      </c>
      <c r="EN92">
        <v>1</v>
      </c>
      <c r="EO92">
        <v>2.06</v>
      </c>
      <c r="EP92">
        <v>-2.81</v>
      </c>
    </row>
    <row r="93" spans="1:146" x14ac:dyDescent="0.25">
      <c r="S93" s="5"/>
    </row>
    <row r="94" spans="1:146" x14ac:dyDescent="0.25">
      <c r="S94" s="5"/>
    </row>
  </sheetData>
  <autoFilter ref="BU1:BU94"/>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asic_Fundamental_Tabel_Update_Buttom &quot;家居用品&quot;,&quot;&quot;'" altText="更新基本面按钮_x000a_">
                <anchor moveWithCells="1" sizeWithCells="1">
                  <from>
                    <xdr:col>147</xdr:col>
                    <xdr:colOff>266700</xdr:colOff>
                    <xdr:row>0</xdr:row>
                    <xdr:rowOff>88900</xdr:rowOff>
                  </from>
                  <to>
                    <xdr:col>147</xdr:col>
                    <xdr:colOff>1409700</xdr:colOff>
                    <xdr:row>0</xdr:row>
                    <xdr:rowOff>400050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6"/>
  <sheetViews>
    <sheetView workbookViewId="0">
      <selection activeCell="A3" sqref="A3"/>
    </sheetView>
  </sheetViews>
  <sheetFormatPr defaultRowHeight="14" x14ac:dyDescent="0.25"/>
  <sheetData>
    <row r="1" spans="1:30" x14ac:dyDescent="0.25">
      <c r="A1">
        <v>1</v>
      </c>
      <c r="B1">
        <f>A1+A1*$A$2</f>
        <v>1.1499999999999999</v>
      </c>
      <c r="C1">
        <f t="shared" ref="C1:AD1" si="0">B1+B1*$A$2</f>
        <v>1.3224999999999998</v>
      </c>
      <c r="D1">
        <f t="shared" si="0"/>
        <v>1.5208749999999998</v>
      </c>
      <c r="E1">
        <f t="shared" si="0"/>
        <v>1.7490062499999997</v>
      </c>
      <c r="F1">
        <f t="shared" si="0"/>
        <v>2.0113571874999998</v>
      </c>
      <c r="G1">
        <f t="shared" si="0"/>
        <v>2.313060765625</v>
      </c>
      <c r="H1">
        <f t="shared" si="0"/>
        <v>2.66001988046875</v>
      </c>
      <c r="I1">
        <f t="shared" si="0"/>
        <v>3.0590228625390625</v>
      </c>
      <c r="J1">
        <f t="shared" si="0"/>
        <v>3.5178762919199218</v>
      </c>
      <c r="K1">
        <f t="shared" si="0"/>
        <v>4.0455577357079102</v>
      </c>
      <c r="L1">
        <f t="shared" si="0"/>
        <v>4.6523913960640968</v>
      </c>
      <c r="M1">
        <f t="shared" si="0"/>
        <v>5.3502501054737115</v>
      </c>
      <c r="N1">
        <f t="shared" si="0"/>
        <v>6.1527876212947685</v>
      </c>
      <c r="O1">
        <f t="shared" si="0"/>
        <v>7.0757057644889834</v>
      </c>
      <c r="P1">
        <f t="shared" si="0"/>
        <v>8.1370616291623303</v>
      </c>
      <c r="Q1">
        <f t="shared" si="0"/>
        <v>9.3576208735366802</v>
      </c>
      <c r="R1">
        <f t="shared" si="0"/>
        <v>10.761264004567183</v>
      </c>
      <c r="S1">
        <f t="shared" si="0"/>
        <v>12.375453605252261</v>
      </c>
      <c r="T1">
        <f t="shared" si="0"/>
        <v>14.2317716460401</v>
      </c>
      <c r="U1">
        <f t="shared" si="0"/>
        <v>16.366537392946114</v>
      </c>
      <c r="V1">
        <f t="shared" si="0"/>
        <v>18.82151800188803</v>
      </c>
      <c r="W1">
        <f t="shared" si="0"/>
        <v>21.644745702171235</v>
      </c>
      <c r="X1">
        <f t="shared" si="0"/>
        <v>24.891457557496921</v>
      </c>
      <c r="Y1">
        <f t="shared" si="0"/>
        <v>28.625176191121458</v>
      </c>
      <c r="Z1">
        <f t="shared" si="0"/>
        <v>32.918952619789678</v>
      </c>
      <c r="AA1">
        <f t="shared" si="0"/>
        <v>37.856795512758133</v>
      </c>
      <c r="AB1">
        <f t="shared" si="0"/>
        <v>43.535314839671855</v>
      </c>
      <c r="AC1">
        <f t="shared" si="0"/>
        <v>50.065612065622631</v>
      </c>
      <c r="AD1">
        <f t="shared" si="0"/>
        <v>57.575453875466025</v>
      </c>
    </row>
    <row r="2" spans="1:30" x14ac:dyDescent="0.25">
      <c r="A2">
        <v>0.15</v>
      </c>
      <c r="B2" t="s">
        <v>2</v>
      </c>
    </row>
    <row r="3" spans="1:30" s="2"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v>0.5</v>
      </c>
      <c r="B4" t="s">
        <v>0</v>
      </c>
    </row>
    <row r="5" spans="1:30" x14ac:dyDescent="0.25">
      <c r="A5" s="1">
        <v>1</v>
      </c>
      <c r="B5" s="1">
        <f>A5*$A$4+A5</f>
        <v>1.5</v>
      </c>
      <c r="C5" s="1">
        <f t="shared" ref="C5:AD5" si="1">B5*$A$4+B5</f>
        <v>2.25</v>
      </c>
      <c r="D5" s="1">
        <f t="shared" si="1"/>
        <v>3.375</v>
      </c>
      <c r="E5" s="1">
        <f t="shared" si="1"/>
        <v>5.0625</v>
      </c>
      <c r="F5" s="1">
        <f t="shared" si="1"/>
        <v>7.59375</v>
      </c>
      <c r="G5" s="1">
        <f t="shared" si="1"/>
        <v>11.390625</v>
      </c>
      <c r="H5" s="1">
        <f t="shared" si="1"/>
        <v>17.0859375</v>
      </c>
      <c r="I5" s="1">
        <f t="shared" si="1"/>
        <v>25.62890625</v>
      </c>
      <c r="J5" s="1">
        <f t="shared" si="1"/>
        <v>38.443359375</v>
      </c>
      <c r="K5" s="1">
        <f t="shared" si="1"/>
        <v>57.6650390625</v>
      </c>
      <c r="L5" s="1">
        <f t="shared" si="1"/>
        <v>86.49755859375</v>
      </c>
      <c r="M5" s="1">
        <f t="shared" si="1"/>
        <v>129.746337890625</v>
      </c>
      <c r="N5" s="1">
        <f t="shared" si="1"/>
        <v>194.6195068359375</v>
      </c>
      <c r="O5" s="1">
        <f t="shared" si="1"/>
        <v>291.92926025390625</v>
      </c>
      <c r="P5">
        <f t="shared" si="1"/>
        <v>437.89389038085937</v>
      </c>
      <c r="Q5">
        <f t="shared" si="1"/>
        <v>656.84083557128906</v>
      </c>
      <c r="R5">
        <f t="shared" si="1"/>
        <v>985.26125335693359</v>
      </c>
      <c r="S5" s="1">
        <f t="shared" si="1"/>
        <v>1477.8918800354004</v>
      </c>
      <c r="T5">
        <f t="shared" si="1"/>
        <v>2216.8378200531006</v>
      </c>
      <c r="U5">
        <f t="shared" si="1"/>
        <v>3325.2567300796509</v>
      </c>
      <c r="V5">
        <f t="shared" si="1"/>
        <v>4987.8850951194763</v>
      </c>
      <c r="W5">
        <f t="shared" si="1"/>
        <v>7481.8276426792145</v>
      </c>
      <c r="X5">
        <f t="shared" si="1"/>
        <v>11222.741464018822</v>
      </c>
      <c r="Y5">
        <f t="shared" si="1"/>
        <v>16834.112196028233</v>
      </c>
      <c r="Z5">
        <f t="shared" si="1"/>
        <v>25251.168294042349</v>
      </c>
      <c r="AA5">
        <f t="shared" si="1"/>
        <v>37876.752441063523</v>
      </c>
      <c r="AB5">
        <f t="shared" si="1"/>
        <v>56815.128661595285</v>
      </c>
      <c r="AC5">
        <f t="shared" si="1"/>
        <v>85222.692992392927</v>
      </c>
      <c r="AD5">
        <f t="shared" si="1"/>
        <v>127834.03948858939</v>
      </c>
    </row>
    <row r="6" spans="1:30" x14ac:dyDescent="0.25">
      <c r="A6">
        <v>15</v>
      </c>
      <c r="B6" t="s">
        <v>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家用轻工</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2024-07-08T23:11:45Z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