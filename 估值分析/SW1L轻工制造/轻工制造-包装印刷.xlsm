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轻工制造\"/>
    </mc:Choice>
  </mc:AlternateContent>
  <bookViews>
    <workbookView xWindow="0" yWindow="0" windowWidth="3800" windowHeight="2950"/>
  </bookViews>
  <sheets>
    <sheet name="包装印刷" sheetId="15" r:id="rId1"/>
    <sheet name="估值-增速与年化收益" sheetId="14" r:id="rId2"/>
  </sheets>
  <functionGroups builtInGroupCount="18"/>
  <definedNames>
    <definedName name="_xlnm._FilterDatabase" localSheetId="0" hidden="1">包装印刷!$BU$1:$BU$45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2" i="15"/>
  <c r="C8" i="15"/>
  <c r="C28" i="15"/>
  <c r="C10" i="15"/>
  <c r="C37" i="15"/>
  <c r="C17" i="15"/>
  <c r="C3" i="15"/>
  <c r="C30" i="15"/>
  <c r="C12" i="15"/>
  <c r="C35" i="15"/>
  <c r="C15" i="15"/>
  <c r="C38" i="15"/>
  <c r="C2" i="15"/>
  <c r="C40" i="15"/>
  <c r="C43" i="15"/>
  <c r="C23" i="15"/>
  <c r="C41" i="15"/>
  <c r="C5" i="15"/>
  <c r="C16" i="15"/>
  <c r="C19" i="15"/>
  <c r="C42" i="15"/>
  <c r="C22" i="15"/>
  <c r="C6" i="15"/>
  <c r="C31" i="15"/>
  <c r="C13" i="15"/>
  <c r="C25" i="15"/>
  <c r="C24" i="15"/>
  <c r="C4" i="15"/>
  <c r="C29" i="15"/>
  <c r="C11" i="15"/>
  <c r="C18" i="15"/>
  <c r="C27" i="15"/>
  <c r="C9" i="15"/>
  <c r="C20" i="15"/>
  <c r="C7" i="15"/>
  <c r="C33" i="15"/>
  <c r="C14" i="15"/>
  <c r="C21" i="15"/>
  <c r="C36" i="15"/>
  <c r="C39" i="15"/>
</calcChain>
</file>

<file path=xl/sharedStrings.xml><?xml version="1.0" encoding="utf-8"?>
<sst xmlns="http://schemas.openxmlformats.org/spreadsheetml/2006/main" count="2483" uniqueCount="1747">
  <si>
    <t>&lt;-增速</t>
    <phoneticPr fontId="1" type="noConversion"/>
  </si>
  <si>
    <t>&lt;-估值</t>
    <phoneticPr fontId="1" type="noConversion"/>
  </si>
  <si>
    <t>&lt;-折合年化收益</t>
    <phoneticPr fontId="1" type="noConversion"/>
  </si>
  <si>
    <t>现价</t>
  </si>
  <si>
    <t>市净率</t>
  </si>
  <si>
    <t>珠海中富</t>
  </si>
  <si>
    <t>昇兴股份</t>
  </si>
  <si>
    <t>宝钢包装</t>
  </si>
  <si>
    <t>陕西金叶</t>
  </si>
  <si>
    <t>环球印务</t>
  </si>
  <si>
    <t>顺灏股份</t>
  </si>
  <si>
    <t>新宏泽</t>
  </si>
  <si>
    <t>英联股份</t>
  </si>
  <si>
    <t>王子新材</t>
  </si>
  <si>
    <t>翔港科技</t>
  </si>
  <si>
    <t>永吉股份</t>
  </si>
  <si>
    <t>盛通股份</t>
  </si>
  <si>
    <t>新通联</t>
  </si>
  <si>
    <t>华源控股</t>
  </si>
  <si>
    <t>海顺新材</t>
  </si>
  <si>
    <t>裕同科技</t>
  </si>
  <si>
    <t>京华激光</t>
  </si>
  <si>
    <t>东港股份</t>
  </si>
  <si>
    <t>劲嘉股份</t>
  </si>
  <si>
    <t>美盈森</t>
  </si>
  <si>
    <t>永新股份</t>
  </si>
  <si>
    <t>奥瑞金</t>
  </si>
  <si>
    <t>紫江企业</t>
  </si>
  <si>
    <t>合兴包装</t>
  </si>
  <si>
    <t>鸿博股份</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</si>
  <si>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</si>
  <si>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</si>
  <si>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</si>
  <si>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</si>
  <si>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</si>
  <si>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</si>
  <si>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</si>
  <si>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</si>
  <si>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</si>
  <si>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</si>
  <si>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</si>
  <si>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</si>
  <si>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</si>
  <si>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</si>
  <si>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</si>
  <si>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SZ000659</t>
  </si>
  <si>
    <t>包装印刷</t>
  </si>
  <si>
    <t>15.58亿</t>
  </si>
  <si>
    <t>1806.98万</t>
  </si>
  <si>
    <t>--</t>
  </si>
  <si>
    <t>0亿</t>
  </si>
  <si>
    <t>5.79亿</t>
  </si>
  <si>
    <t>1.64亿</t>
  </si>
  <si>
    <t>SZ000812</t>
  </si>
  <si>
    <t>9.13亿</t>
  </si>
  <si>
    <t>2556.29万</t>
  </si>
  <si>
    <t>1.06亿</t>
  </si>
  <si>
    <t>SZ002014</t>
  </si>
  <si>
    <t>26.00亿</t>
  </si>
  <si>
    <t>2.69亿</t>
  </si>
  <si>
    <t>2.34亿</t>
  </si>
  <si>
    <t>SZ002117</t>
  </si>
  <si>
    <t>14.96亿</t>
  </si>
  <si>
    <t>2.67亿</t>
  </si>
  <si>
    <t>1.01亿</t>
  </si>
  <si>
    <t>6.83亿</t>
  </si>
  <si>
    <t>1.12亿</t>
  </si>
  <si>
    <t>SZ002191</t>
  </si>
  <si>
    <t>39.89亿</t>
  </si>
  <si>
    <t>8.77亿</t>
  </si>
  <si>
    <t>1.21亿</t>
  </si>
  <si>
    <t>4.01亿</t>
  </si>
  <si>
    <t>SZ002228</t>
  </si>
  <si>
    <t>110.97亿</t>
  </si>
  <si>
    <t>SZ002229</t>
  </si>
  <si>
    <t>6.27亿</t>
  </si>
  <si>
    <t>3530.93万</t>
  </si>
  <si>
    <t>SZ002303</t>
  </si>
  <si>
    <t>33.92亿</t>
  </si>
  <si>
    <t>5.35亿</t>
  </si>
  <si>
    <t>5.98亿</t>
  </si>
  <si>
    <t>12.61亿</t>
  </si>
  <si>
    <t>4.12亿</t>
  </si>
  <si>
    <t>1.04亿</t>
  </si>
  <si>
    <t>SZ002565</t>
  </si>
  <si>
    <t>17.34亿</t>
  </si>
  <si>
    <t>-1.98亿</t>
  </si>
  <si>
    <t>1.73亿</t>
  </si>
  <si>
    <t>SZ002599</t>
  </si>
  <si>
    <t>19.53亿</t>
  </si>
  <si>
    <t>1.41亿</t>
  </si>
  <si>
    <t>7.04亿</t>
  </si>
  <si>
    <t>2.57亿</t>
  </si>
  <si>
    <t>SZ002701</t>
  </si>
  <si>
    <t>93.69亿</t>
  </si>
  <si>
    <t>2.85亿</t>
  </si>
  <si>
    <t>SZ002735</t>
  </si>
  <si>
    <t>13.26亿</t>
  </si>
  <si>
    <t>5505.56万</t>
  </si>
  <si>
    <t>SZ002752</t>
  </si>
  <si>
    <t>25.49亿</t>
  </si>
  <si>
    <t>5345.57万</t>
  </si>
  <si>
    <t>1.34亿</t>
  </si>
  <si>
    <t>SZ002787</t>
  </si>
  <si>
    <t>16.66亿</t>
  </si>
  <si>
    <t>6742.76万</t>
  </si>
  <si>
    <t>2.90亿</t>
  </si>
  <si>
    <t>1.31亿</t>
  </si>
  <si>
    <t>SZ002799</t>
  </si>
  <si>
    <t>12.47亿</t>
  </si>
  <si>
    <t>6656.24万</t>
  </si>
  <si>
    <t>1.11亿</t>
  </si>
  <si>
    <t>SZ002831</t>
  </si>
  <si>
    <t>98.45亿</t>
  </si>
  <si>
    <t>10.45亿</t>
  </si>
  <si>
    <t>SZ002836</t>
  </si>
  <si>
    <t>1.57亿</t>
  </si>
  <si>
    <t>4.23亿</t>
  </si>
  <si>
    <t>2627.83万</t>
  </si>
  <si>
    <t>1.58亿</t>
  </si>
  <si>
    <t>SZ002846</t>
  </si>
  <si>
    <t>11.70亿</t>
  </si>
  <si>
    <t>7974.93万</t>
  </si>
  <si>
    <t>4.74亿</t>
  </si>
  <si>
    <t>2.35亿</t>
  </si>
  <si>
    <t>1.28亿</t>
  </si>
  <si>
    <t>SZ002951</t>
  </si>
  <si>
    <t>5.85亿</t>
  </si>
  <si>
    <t>1.80亿</t>
  </si>
  <si>
    <t>1.63亿</t>
  </si>
  <si>
    <t>1.24亿</t>
  </si>
  <si>
    <t>SZ002969</t>
  </si>
  <si>
    <t>嘉美包装</t>
  </si>
  <si>
    <t>26.24亿</t>
  </si>
  <si>
    <t>1.72亿</t>
  </si>
  <si>
    <t>SZ300501</t>
  </si>
  <si>
    <t>6.21亿</t>
  </si>
  <si>
    <t>6697.62万</t>
  </si>
  <si>
    <t>1.08亿</t>
  </si>
  <si>
    <t>SZ300883</t>
  </si>
  <si>
    <t>龙利得</t>
  </si>
  <si>
    <t>8.71亿</t>
  </si>
  <si>
    <t>8599.99万</t>
  </si>
  <si>
    <t>SH600210</t>
  </si>
  <si>
    <t>92.11亿</t>
  </si>
  <si>
    <t>SH600836</t>
  </si>
  <si>
    <t>10.93亿</t>
  </si>
  <si>
    <t>-9272.98万</t>
  </si>
  <si>
    <t>SH601515</t>
  </si>
  <si>
    <t>31.73亿</t>
  </si>
  <si>
    <t>SH601968</t>
  </si>
  <si>
    <t>57.70亿</t>
  </si>
  <si>
    <t>1.15亿</t>
  </si>
  <si>
    <t>SH603022</t>
  </si>
  <si>
    <t>6.85亿</t>
  </si>
  <si>
    <t>2975.22万</t>
  </si>
  <si>
    <t>SH603058</t>
  </si>
  <si>
    <t>1.40亿</t>
  </si>
  <si>
    <t>4.70亿</t>
  </si>
  <si>
    <t>SH603429</t>
  </si>
  <si>
    <t>集友股份</t>
  </si>
  <si>
    <t>6.71亿</t>
  </si>
  <si>
    <t>2.02亿</t>
  </si>
  <si>
    <t>SH603499</t>
  </si>
  <si>
    <t>3.25亿</t>
  </si>
  <si>
    <t>1480.77万</t>
  </si>
  <si>
    <t>1.56亿</t>
  </si>
  <si>
    <t>SH603607</t>
  </si>
  <si>
    <t>8.42亿</t>
  </si>
  <si>
    <t>1.05亿</t>
  </si>
  <si>
    <t>SH603687</t>
  </si>
  <si>
    <t>大胜达</t>
  </si>
  <si>
    <t>12.66亿</t>
  </si>
  <si>
    <t>1.彩盒业务：针对茅台的申仁包装，针对五粮液的嘉美包装可以期待；2.不太确定但增速较大的就是新烟具新烟草（电子烟）的发展</t>
    <phoneticPr fontId="1" type="noConversion"/>
  </si>
  <si>
    <t>1.前面因为电子烟已经演绎过一次接近翻倍行情，所以还需要一个市场情绪触发；</t>
    <phoneticPr fontId="1" type="noConversion"/>
  </si>
  <si>
    <t>流动资产</t>
  </si>
  <si>
    <t>营业收入[20191231]</t>
  </si>
  <si>
    <t>营业收入[20181231]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</si>
  <si>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</si>
  <si>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</si>
  <si>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</si>
  <si>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</si>
  <si>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</si>
  <si>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</si>
  <si>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</si>
  <si>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</si>
  <si>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</si>
  <si>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-1.79亿</t>
  </si>
  <si>
    <t>16.19亿</t>
  </si>
  <si>
    <t>18.75亿</t>
  </si>
  <si>
    <t>2239.69万</t>
  </si>
  <si>
    <t>1.03亿</t>
  </si>
  <si>
    <t>6.05亿</t>
  </si>
  <si>
    <t>9.26亿</t>
  </si>
  <si>
    <t>2394.94万</t>
  </si>
  <si>
    <t>9.76亿</t>
  </si>
  <si>
    <t>7.74亿</t>
  </si>
  <si>
    <t>9.94亿</t>
  </si>
  <si>
    <t>2234.35万</t>
  </si>
  <si>
    <t>2717.13万</t>
  </si>
  <si>
    <t>3492.67万</t>
  </si>
  <si>
    <t>27.37亿</t>
  </si>
  <si>
    <t>3.03亿</t>
  </si>
  <si>
    <t>6.53亿</t>
  </si>
  <si>
    <t>23.32亿</t>
  </si>
  <si>
    <t>19.04亿</t>
  </si>
  <si>
    <t>2.25亿</t>
  </si>
  <si>
    <t>11.81亿</t>
  </si>
  <si>
    <t>15.46亿</t>
  </si>
  <si>
    <t>2.32亿</t>
  </si>
  <si>
    <t>2.19亿</t>
  </si>
  <si>
    <t>41.91亿</t>
  </si>
  <si>
    <t>8.24亿</t>
  </si>
  <si>
    <t>33.74亿</t>
  </si>
  <si>
    <t>7.25亿</t>
  </si>
  <si>
    <t>5.74亿</t>
  </si>
  <si>
    <t>120.07亿</t>
  </si>
  <si>
    <t>1.94亿</t>
  </si>
  <si>
    <t>9.46亿</t>
  </si>
  <si>
    <t>1.22亿</t>
  </si>
  <si>
    <t>1.38亿</t>
  </si>
  <si>
    <t>121.66亿</t>
  </si>
  <si>
    <t>2.33亿</t>
  </si>
  <si>
    <t>4.58亿</t>
  </si>
  <si>
    <t>2545.83万</t>
  </si>
  <si>
    <t>7.06亿</t>
  </si>
  <si>
    <t>514.31万</t>
  </si>
  <si>
    <t>33.65亿</t>
  </si>
  <si>
    <t>7.75亿</t>
  </si>
  <si>
    <t>32.49亿</t>
  </si>
  <si>
    <t>2.23亿</t>
  </si>
  <si>
    <t>4.84亿</t>
  </si>
  <si>
    <t>2.54亿</t>
  </si>
  <si>
    <t>15.99亿</t>
  </si>
  <si>
    <t>783.08万</t>
  </si>
  <si>
    <t>20.55亿</t>
  </si>
  <si>
    <t>20.40亿</t>
  </si>
  <si>
    <t>-3.46亿</t>
  </si>
  <si>
    <t>18.44亿</t>
  </si>
  <si>
    <t>81.75亿</t>
  </si>
  <si>
    <t>15.42亿</t>
  </si>
  <si>
    <t>8672.20万</t>
  </si>
  <si>
    <t>9.12亿</t>
  </si>
  <si>
    <t>4976.12万</t>
  </si>
  <si>
    <t>20.98亿</t>
  </si>
  <si>
    <t>4266.51万</t>
  </si>
  <si>
    <t>17.82亿</t>
  </si>
  <si>
    <t>4650.84万</t>
  </si>
  <si>
    <t>13.84亿</t>
  </si>
  <si>
    <t>5350.80万</t>
  </si>
  <si>
    <t>2.79亿</t>
  </si>
  <si>
    <t>5.55亿</t>
  </si>
  <si>
    <t>3.88亿</t>
  </si>
  <si>
    <t>2811.23万</t>
  </si>
  <si>
    <t>117.89亿</t>
  </si>
  <si>
    <t>11.20亿</t>
  </si>
  <si>
    <t>85.78亿</t>
  </si>
  <si>
    <t>2.13亿</t>
  </si>
  <si>
    <t>3213.11万</t>
  </si>
  <si>
    <t>2.80亿</t>
  </si>
  <si>
    <t>2.68亿</t>
  </si>
  <si>
    <t>4953.18万</t>
  </si>
  <si>
    <t>13.32亿</t>
  </si>
  <si>
    <t>7761.36万</t>
  </si>
  <si>
    <t>6.39亿</t>
  </si>
  <si>
    <t>8.19亿</t>
  </si>
  <si>
    <t>3.40亿</t>
  </si>
  <si>
    <t>4212.31万</t>
  </si>
  <si>
    <t>1.89亿</t>
  </si>
  <si>
    <t>5.45亿</t>
  </si>
  <si>
    <t>1.95亿</t>
  </si>
  <si>
    <t>1.81亿</t>
  </si>
  <si>
    <t>19.92亿</t>
  </si>
  <si>
    <t>3453.90万</t>
  </si>
  <si>
    <t>29.60亿</t>
  </si>
  <si>
    <t>SZ003003</t>
  </si>
  <si>
    <t>天元股份</t>
  </si>
  <si>
    <t>10.15亿</t>
  </si>
  <si>
    <t>5887.49万</t>
  </si>
  <si>
    <t>10.04亿</t>
  </si>
  <si>
    <t>10.12亿</t>
  </si>
  <si>
    <t>8269.00万</t>
  </si>
  <si>
    <t>7550.50万</t>
  </si>
  <si>
    <t>SZ003018</t>
  </si>
  <si>
    <t>金富科技</t>
  </si>
  <si>
    <t>5.14亿</t>
  </si>
  <si>
    <t>8820.90万</t>
  </si>
  <si>
    <t>5.68亿</t>
  </si>
  <si>
    <t>4.98亿</t>
  </si>
  <si>
    <t>8485.91万</t>
  </si>
  <si>
    <t>2.36亿</t>
  </si>
  <si>
    <t>7.14亿</t>
  </si>
  <si>
    <t>5.07亿</t>
  </si>
  <si>
    <t>3.76亿</t>
  </si>
  <si>
    <t>6616.51万</t>
  </si>
  <si>
    <t>6530.20万</t>
  </si>
  <si>
    <t>8.61亿</t>
  </si>
  <si>
    <t>8875.58万</t>
  </si>
  <si>
    <t>3.65亿</t>
  </si>
  <si>
    <t>84.18亿</t>
  </si>
  <si>
    <t>5.65亿</t>
  </si>
  <si>
    <t>90.10亿</t>
  </si>
  <si>
    <t>2.24亿</t>
  </si>
  <si>
    <t>21.93亿</t>
  </si>
  <si>
    <t>13.62亿</t>
  </si>
  <si>
    <t>-1180.93万</t>
  </si>
  <si>
    <t>30.69亿</t>
  </si>
  <si>
    <t>5.47亿</t>
  </si>
  <si>
    <t>33.28亿</t>
  </si>
  <si>
    <t>7.48亿</t>
  </si>
  <si>
    <t>57.86亿</t>
  </si>
  <si>
    <t>1.59亿</t>
  </si>
  <si>
    <t>49.77亿</t>
  </si>
  <si>
    <t>4189.16万</t>
  </si>
  <si>
    <t>6.81亿</t>
  </si>
  <si>
    <t>3597.04万</t>
  </si>
  <si>
    <t>1.27亿</t>
  </si>
  <si>
    <t>6.65亿</t>
  </si>
  <si>
    <t>5.99亿</t>
  </si>
  <si>
    <t>3131.35万</t>
  </si>
  <si>
    <t>4.39亿</t>
  </si>
  <si>
    <t>4.32亿</t>
  </si>
  <si>
    <t>4.64亿</t>
  </si>
  <si>
    <t>7177.73万</t>
  </si>
  <si>
    <t>6.16亿</t>
  </si>
  <si>
    <t>794.57万</t>
  </si>
  <si>
    <t>3.57亿</t>
  </si>
  <si>
    <t>3.39亿</t>
  </si>
  <si>
    <t>4806.68万</t>
  </si>
  <si>
    <t>9577.08万</t>
  </si>
  <si>
    <t>1.37亿</t>
  </si>
  <si>
    <t>13.51亿</t>
  </si>
  <si>
    <t>12.85亿</t>
  </si>
  <si>
    <t>11.75亿</t>
  </si>
  <si>
    <t>1.45亿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</si>
  <si>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</si>
  <si>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</si>
  <si>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</si>
  <si>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</si>
  <si>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</si>
  <si>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</si>
  <si>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</si>
  <si>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</si>
  <si>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</si>
  <si>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</si>
  <si>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</si>
  <si>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</si>
  <si>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</si>
  <si>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</si>
  <si>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</si>
  <si>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r>
      <t>1.将我们的技术、产品拓展到新能源领域、消费升级领域、电子防护领域,比如在奶酪棒、电子烟等产品上我们取得了突破；2.问：公司未来5年做到20亿的收入,药品包装占比多少?答：未来我们药品包装可能只占1/3,其他板块可能会异军突起。过去受限于我们自己定位做药品包装,现在我们重新定位:我们是新材料公司,产品可应用在各种物品的包装保护上；3.我们这几年主要是做已布局的三类产品,这个市场已经很大了。</t>
    </r>
    <r>
      <rPr>
        <sz val="9"/>
        <color rgb="FFFF0000"/>
        <rFont val="宋体"/>
        <family val="3"/>
        <charset val="134"/>
        <scheme val="minor"/>
      </rPr>
      <t>第一类</t>
    </r>
    <r>
      <rPr>
        <sz val="9"/>
        <color theme="1"/>
        <rFont val="宋体"/>
        <family val="2"/>
        <charset val="134"/>
        <scheme val="minor"/>
      </rPr>
      <t>高阻隔吸塑包材,就是奶酪棒、电子烟等应用。</t>
    </r>
    <r>
      <rPr>
        <sz val="9"/>
        <color rgb="FFFF0000"/>
        <rFont val="宋体"/>
        <family val="3"/>
        <charset val="134"/>
        <scheme val="minor"/>
      </rPr>
      <t>第二类</t>
    </r>
    <r>
      <rPr>
        <sz val="9"/>
        <color theme="1"/>
        <rFont val="宋体"/>
        <family val="2"/>
        <charset val="134"/>
        <scheme val="minor"/>
      </rPr>
      <t>就是锂电池用铝塑膜,铝塑膜今年年底我们要推出产品,我们已经投了两条产线,2000多万平方的产能,当然市场推广有个过程。不过我们跟竞品也做了一些对比,评估下来问题不大。</t>
    </r>
    <r>
      <rPr>
        <sz val="9"/>
        <color rgb="FFFF0000"/>
        <rFont val="宋体"/>
        <family val="3"/>
        <charset val="134"/>
        <scheme val="minor"/>
      </rPr>
      <t>第三类</t>
    </r>
    <r>
      <rPr>
        <sz val="9"/>
        <color theme="1"/>
        <rFont val="宋体"/>
        <family val="2"/>
        <charset val="134"/>
        <scheme val="minor"/>
      </rPr>
      <t>就是我们说的可回收高阻隔包材,这个市场巨大,《美国塑料公约》中很多国际巨头承诺到2025年100%的塑料包装要确保可回收或可堆肥或可重复使用</t>
    </r>
    <phoneticPr fontId="1" type="noConversion"/>
  </si>
  <si>
    <t>1.利润增幅25%，因为上游原材料涨价；公司生产所需原材料主要为铝及石油深加工的各种衍生物，其价格受行业政策和经济周期影响较大。</t>
    <phoneticPr fontId="1" type="noConversion"/>
  </si>
  <si>
    <t>销售毛利率%[20201231]</t>
  </si>
  <si>
    <t>销售净利率%[20201231]</t>
  </si>
  <si>
    <t>1.60亿</t>
  </si>
  <si>
    <t>1.26亿</t>
  </si>
  <si>
    <t>5.46亿</t>
  </si>
  <si>
    <t>1.47亿</t>
  </si>
  <si>
    <t>5000.00万</t>
  </si>
  <si>
    <t>2.52亿</t>
  </si>
  <si>
    <t>2.01亿</t>
  </si>
  <si>
    <t>SZ002374</t>
  </si>
  <si>
    <t>中锐股份</t>
  </si>
  <si>
    <t>11.73亿</t>
  </si>
  <si>
    <t>12.48亿</t>
  </si>
  <si>
    <t>3380.86万</t>
  </si>
  <si>
    <t>-7.90亿</t>
  </si>
  <si>
    <t>10.20亿</t>
  </si>
  <si>
    <t>6.59亿</t>
  </si>
  <si>
    <t>2.72亿</t>
  </si>
  <si>
    <t>1.66亿</t>
  </si>
  <si>
    <t>3.16亿</t>
  </si>
  <si>
    <t>SZ300260</t>
  </si>
  <si>
    <t>新莱应材</t>
  </si>
  <si>
    <t>13.23亿</t>
  </si>
  <si>
    <t>8256.81万</t>
  </si>
  <si>
    <t>13.87亿</t>
  </si>
  <si>
    <t>6230.18万</t>
  </si>
  <si>
    <t>3862.64万</t>
  </si>
  <si>
    <t>SZ301062</t>
  </si>
  <si>
    <t>上海艾录</t>
  </si>
  <si>
    <t>6.45亿</t>
  </si>
  <si>
    <t>5176.54万</t>
  </si>
  <si>
    <t>7.85亿</t>
  </si>
  <si>
    <t>6.33亿</t>
  </si>
  <si>
    <t>3.05亿</t>
  </si>
  <si>
    <t>2.51亿</t>
  </si>
  <si>
    <t>2.07亿</t>
  </si>
  <si>
    <t>3.87亿</t>
  </si>
  <si>
    <t>1.69亿</t>
  </si>
  <si>
    <t>流通股本</t>
  </si>
  <si>
    <t>投入资本回报率roic%[20201231]</t>
  </si>
  <si>
    <t>净资产收益率%[20201231]</t>
  </si>
  <si>
    <t>营业收入[20171231]</t>
  </si>
  <si>
    <t>净利润[20201231]</t>
  </si>
  <si>
    <t>14.46亿</t>
  </si>
  <si>
    <t>2584.97万</t>
  </si>
  <si>
    <t>12.84亿</t>
  </si>
  <si>
    <t>3123.26万</t>
  </si>
  <si>
    <t>30.24亿</t>
  </si>
  <si>
    <t>1.44亿</t>
  </si>
  <si>
    <t>12.01亿</t>
  </si>
  <si>
    <t>1.86亿</t>
  </si>
  <si>
    <t>1.54亿</t>
  </si>
  <si>
    <t>1.10亿</t>
  </si>
  <si>
    <t>50.67亿</t>
  </si>
  <si>
    <t>175.49亿</t>
  </si>
  <si>
    <t>2.18亿</t>
  </si>
  <si>
    <t>913.90万</t>
  </si>
  <si>
    <t>36.05亿</t>
  </si>
  <si>
    <t>9890.74万</t>
  </si>
  <si>
    <t>-6.62亿</t>
  </si>
  <si>
    <t>15.50亿</t>
  </si>
  <si>
    <t>-2828.86万</t>
  </si>
  <si>
    <t>24.05亿</t>
  </si>
  <si>
    <t>6760.94万</t>
  </si>
  <si>
    <t>115.50亿</t>
  </si>
  <si>
    <t>7.56亿</t>
  </si>
  <si>
    <t>17.35亿</t>
  </si>
  <si>
    <t>8442.98万</t>
  </si>
  <si>
    <t>3.20亿</t>
  </si>
  <si>
    <t>1.70亿</t>
  </si>
  <si>
    <t>32.38亿</t>
  </si>
  <si>
    <t>1470.76万</t>
  </si>
  <si>
    <t>23.48亿</t>
  </si>
  <si>
    <t>1757.99万</t>
  </si>
  <si>
    <t>29.36亿</t>
  </si>
  <si>
    <t>1.18亿</t>
  </si>
  <si>
    <t>1117.69万</t>
  </si>
  <si>
    <t>18.30亿</t>
  </si>
  <si>
    <t>3543.88万</t>
  </si>
  <si>
    <t>5573.65万</t>
  </si>
  <si>
    <t>34.52亿</t>
  </si>
  <si>
    <t>12.89亿</t>
  </si>
  <si>
    <t>2593.48万</t>
  </si>
  <si>
    <t>1.16亿</t>
  </si>
  <si>
    <t>16.64亿</t>
  </si>
  <si>
    <t>20.54亿</t>
  </si>
  <si>
    <t>8.57亿</t>
  </si>
  <si>
    <t>5141.63万</t>
  </si>
  <si>
    <t>6408.41万</t>
  </si>
  <si>
    <t>SZ301198</t>
  </si>
  <si>
    <t>喜悦智行</t>
  </si>
  <si>
    <t>3.63亿</t>
  </si>
  <si>
    <t>6072.58万</t>
  </si>
  <si>
    <t>5882.35万</t>
  </si>
  <si>
    <t>5294.84万</t>
  </si>
  <si>
    <t>6607.44万</t>
  </si>
  <si>
    <t>8.33亿</t>
  </si>
  <si>
    <t>38.05亿</t>
  </si>
  <si>
    <t>7.29亿</t>
  </si>
  <si>
    <t>4.36亿</t>
  </si>
  <si>
    <t>6.48亿</t>
  </si>
  <si>
    <t>-1842.14万</t>
  </si>
  <si>
    <t>9754.53万</t>
  </si>
  <si>
    <t>包装</t>
  </si>
  <si>
    <t xml:space="preserve">    名称</t>
  </si>
  <si>
    <t>净利润?</t>
  </si>
  <si>
    <t>扣非净利润</t>
  </si>
  <si>
    <t>营业总收入[20201231]</t>
  </si>
  <si>
    <t>投入资本回报率roic%[20211231]</t>
  </si>
  <si>
    <t>净资产收益率%[20211231]</t>
  </si>
  <si>
    <t>3.15亿</t>
  </si>
  <si>
    <t>亏损</t>
  </si>
  <si>
    <t>扭亏</t>
  </si>
  <si>
    <t>1.67亿</t>
  </si>
  <si>
    <t/>
  </si>
  <si>
    <t>1.25亿</t>
  </si>
  <si>
    <t>7.59亿</t>
  </si>
  <si>
    <t>1.78亿</t>
  </si>
  <si>
    <t>4.30亿</t>
  </si>
  <si>
    <t>2.17亿</t>
  </si>
  <si>
    <t>-1.61亿</t>
  </si>
  <si>
    <t>2.45亿</t>
  </si>
  <si>
    <t>16.44亿</t>
  </si>
  <si>
    <t>8.60亿</t>
  </si>
  <si>
    <r>
      <t>1.业绩预告显示一季度同比增速一般，主要是由哪些原因促成的答：尊敬的投资者：您好。主要原因有：第一，公司于 2021 年底完成子公司广东宝润机器设备迁入扬州工厂的搬迁工作，扬州工厂的产能正处于整合爬坡阶段；第二，新冠疫情对国内消费市场产生一定影响；</t>
    </r>
    <r>
      <rPr>
        <sz val="9"/>
        <color rgb="FFFF0000"/>
        <rFont val="宋体"/>
        <family val="3"/>
        <charset val="134"/>
        <scheme val="minor"/>
      </rPr>
      <t>2.上游铝涨价导致毛利降低，利润也在下降；</t>
    </r>
    <phoneticPr fontId="1" type="noConversion"/>
  </si>
  <si>
    <t>1.金属包装具有加固性、密封保藏性、阻隔性优异、抗氧化强、易于运输和回收利用等优点，款式新颖多样；</t>
    <phoneticPr fontId="1" type="noConversion"/>
  </si>
  <si>
    <r>
      <t>目前国内药品包装行业高度分散，各类生产企业超过1500家。除少数大型制药企业自主生产部分关联度高、成本占比较高的包装外，市场的参与者包括产品线覆盖较多的综合性包装企业、具备一定规模的专业医药包装企业及大量技术水平低及产品品种单一的小型企业。行业内千万元级别企业较多，但达到亿元级别的企业相对较少；公司已成为国内优秀的医药包装生产企业，形成以冷冲压成型复合硬片产品为核心，涵盖中高端医药包装产品的研发、设计与生产相结合的服务体系；从事直接接触药品的高阻隔包装材料研发、生产和销售。渗透到奶酪，电子烟等新领域；2021营收增20%，利润增2%；2022Q1营收增3.5%，</t>
    </r>
    <r>
      <rPr>
        <sz val="9"/>
        <color rgb="FFFF0000"/>
        <rFont val="宋体"/>
        <family val="3"/>
        <charset val="134"/>
        <scheme val="minor"/>
      </rPr>
      <t>利润增-24%</t>
    </r>
    <r>
      <rPr>
        <sz val="9"/>
        <color theme="1"/>
        <rFont val="宋体"/>
        <family val="2"/>
        <charset val="134"/>
        <scheme val="minor"/>
      </rPr>
      <t>；毛利</t>
    </r>
    <r>
      <rPr>
        <sz val="9"/>
        <color theme="1"/>
        <rFont val="宋体"/>
        <family val="3"/>
        <charset val="134"/>
        <scheme val="minor"/>
      </rPr>
      <t>31.38%，净利12.7%；</t>
    </r>
    <r>
      <rPr>
        <sz val="9"/>
        <color theme="1"/>
        <rFont val="宋体"/>
        <family val="2"/>
        <charset val="134"/>
        <scheme val="minor"/>
      </rPr>
      <t xml:space="preserve">
软包装 5.26亿 73.71%（毛利35.20%）
硬包装 1.81亿 25.37%（毛利29.07%）
其他 661.20万 0.93%</t>
    </r>
    <phoneticPr fontId="1" type="noConversion"/>
  </si>
  <si>
    <r>
      <t>公司主营业务是包装业务。其主要产品包括PET 瓶及瓶坯、瓶盖、标签、喷铝纸及纸板、彩色纸包装印刷、薄膜基材、饮料OEM等产品。2021营收增13%，利润增-2%（</t>
    </r>
    <r>
      <rPr>
        <sz val="9"/>
        <color rgb="FFFF0000"/>
        <rFont val="宋体"/>
        <family val="3"/>
        <charset val="134"/>
        <scheme val="minor"/>
      </rPr>
      <t>多年利润在</t>
    </r>
    <r>
      <rPr>
        <sz val="9"/>
        <color rgb="FFFF0000"/>
        <rFont val="宋体"/>
        <family val="2"/>
        <charset val="134"/>
        <scheme val="minor"/>
      </rPr>
      <t>4~5亿</t>
    </r>
    <r>
      <rPr>
        <sz val="9"/>
        <color rgb="FFFF0000"/>
        <rFont val="宋体"/>
        <family val="3"/>
        <charset val="134"/>
        <scheme val="minor"/>
      </rPr>
      <t>都变化不大</t>
    </r>
    <r>
      <rPr>
        <sz val="9"/>
        <color theme="1"/>
        <rFont val="宋体"/>
        <family val="2"/>
        <charset val="134"/>
        <scheme val="minor"/>
      </rPr>
      <t>），2022Q1营收增4.4%，利润-2%；毛利21%，净利6%;
2021：
彩色纸包装印刷 17.34亿 18.20% 17.66% 20.57%
PET瓶及瓶坯 15.80亿 16.58% 25.21% 32.22%
皇冠盖及标签 14.20亿 14.90% 8.89% 12.65%
快速消费品商贸 13.55亿 14.22% 6.26% 9.33%
OEM饮料 7.96亿 8.35% 11.68% 29.65%
其他业务 5.45亿 5.72% 6.32% 23.45%
塑料防盗盖 5.04亿 5.29% 5.81% 23.30%
PA/PE膜 3.84亿 4.03% 5.10% 26.80%
铝塑膜 3.65亿 3.83% 5.86% 32.44%
进出口贸易 3.41亿 3.57% 1.71% 10.14%
喷铝纸及纸板 3.23亿 3.39% 2.95% 18.46%
其他 1.30亿 1.36% 2.50% 38.78%
房地产开发 5336.90万 0.56% 0.05% 1.80%</t>
    </r>
    <phoneticPr fontId="1" type="noConversion"/>
  </si>
  <si>
    <t>1.2022 年实施的重大工程项目主要有：紫江新材料紫竹高新区新生产基地竣工验收；紫江彩印马鞍山药包项目及吹膜工厂基地动工建设；纸包装事业部湖北孝感食品城项目；纸包装北方基地天津纸包装生产基地；容器包装事业部湖南长沙东鹏合作项目基地；紫日包装清远生产基地；紫
东尼龙二期投资项目以及目前正在筹划的 PVA 水溶膜合资项目</t>
    <phoneticPr fontId="1" type="noConversion"/>
  </si>
  <si>
    <t>1.PET与PBT一起作为热塑性聚酯，成为五大工程塑料之一；</t>
    <phoneticPr fontId="1" type="noConversion"/>
  </si>
  <si>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</si>
  <si>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</si>
  <si>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</si>
  <si>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</si>
  <si>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</si>
  <si>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</si>
  <si>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</si>
  <si>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</si>
  <si>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</si>
  <si>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市销率</t>
    <phoneticPr fontId="1" type="noConversion"/>
  </si>
  <si>
    <t>N-4</t>
    <phoneticPr fontId="1" type="noConversion"/>
  </si>
  <si>
    <t>N-3</t>
    <phoneticPr fontId="1" type="noConversion"/>
  </si>
  <si>
    <t>5.70亿</t>
  </si>
  <si>
    <t>1.32亿</t>
  </si>
  <si>
    <t>1.51亿</t>
  </si>
  <si>
    <t>印刷</t>
  </si>
  <si>
    <t>2301.22万</t>
  </si>
  <si>
    <t>1484.36万</t>
  </si>
  <si>
    <t>3.79亿</t>
  </si>
  <si>
    <t>3.37亿</t>
  </si>
  <si>
    <t>3.02亿</t>
  </si>
  <si>
    <t>3.23亿</t>
  </si>
  <si>
    <t>11.22亿</t>
  </si>
  <si>
    <t>1.02亿</t>
  </si>
  <si>
    <t>3.36亿</t>
  </si>
  <si>
    <t>3.41亿</t>
  </si>
  <si>
    <t>14.29亿</t>
  </si>
  <si>
    <t>1.65亿</t>
  </si>
  <si>
    <t>3.46亿</t>
  </si>
  <si>
    <t>4.22亿</t>
  </si>
  <si>
    <t>5.16亿</t>
  </si>
  <si>
    <t>1.35亿</t>
  </si>
  <si>
    <t>SZ301296</t>
  </si>
  <si>
    <t>12.42亿</t>
  </si>
  <si>
    <t>10.14亿</t>
  </si>
  <si>
    <t>9.35亿</t>
  </si>
  <si>
    <t>8644.23万</t>
  </si>
  <si>
    <t>5.28亿</t>
  </si>
  <si>
    <t>SH600076</t>
  </si>
  <si>
    <t>康欣新材</t>
  </si>
  <si>
    <t>10.23亿</t>
  </si>
  <si>
    <t>20.13亿</t>
  </si>
  <si>
    <t>22.90亿</t>
  </si>
  <si>
    <t>3.30亿</t>
  </si>
  <si>
    <t>8.70亿</t>
  </si>
  <si>
    <t>2.58亿</t>
  </si>
  <si>
    <t>2.50亿</t>
  </si>
  <si>
    <t>1.36亿</t>
  </si>
  <si>
    <t>新巨丰</t>
  </si>
  <si>
    <t>1.75亿</t>
  </si>
  <si>
    <t>3.52亿</t>
  </si>
  <si>
    <t>3.56亿</t>
  </si>
  <si>
    <t>SZ301223</t>
  </si>
  <si>
    <t>中荣股份</t>
  </si>
  <si>
    <t>25.44亿</t>
  </si>
  <si>
    <t>2.12亿</t>
  </si>
  <si>
    <t>2.04亿</t>
  </si>
  <si>
    <t>21.77亿</t>
  </si>
  <si>
    <t>20.63亿</t>
  </si>
  <si>
    <t>18.86亿</t>
  </si>
  <si>
    <t>-1.17亿</t>
  </si>
  <si>
    <t>11.80亿</t>
  </si>
  <si>
    <t>22.17亿</t>
  </si>
  <si>
    <t>17.68亿</t>
  </si>
  <si>
    <t>934686970亿</t>
  </si>
  <si>
    <t>8.89亿</t>
  </si>
  <si>
    <t>6.87亿</t>
  </si>
  <si>
    <t>2546.15万</t>
  </si>
  <si>
    <t>9085.68万</t>
  </si>
  <si>
    <t>23605791亿</t>
  </si>
  <si>
    <t>345.38万</t>
  </si>
  <si>
    <t>45004849亿</t>
  </si>
  <si>
    <t>258103270亿</t>
  </si>
  <si>
    <t>1081047220亿</t>
  </si>
  <si>
    <t>4.78亿</t>
  </si>
  <si>
    <t>1.93亿</t>
  </si>
  <si>
    <t>19.14亿</t>
  </si>
  <si>
    <t>2.93亿</t>
  </si>
  <si>
    <t>-4.60亿</t>
  </si>
  <si>
    <t>6.23亿</t>
  </si>
  <si>
    <t>4441.67万</t>
  </si>
  <si>
    <t>1171.50万</t>
  </si>
  <si>
    <t>12.24亿</t>
  </si>
  <si>
    <t>15.33亿</t>
  </si>
  <si>
    <t>2.14亿</t>
  </si>
  <si>
    <t>8.79亿</t>
  </si>
  <si>
    <t>5.81亿</t>
  </si>
  <si>
    <t>7.89亿</t>
  </si>
  <si>
    <t>15.11亿</t>
  </si>
  <si>
    <t>1.07亿</t>
  </si>
  <si>
    <t>4.20亿</t>
  </si>
  <si>
    <t>4.02亿</t>
  </si>
  <si>
    <t>1.88亿</t>
  </si>
  <si>
    <t>1.84亿</t>
  </si>
  <si>
    <t>5.23亿</t>
  </si>
  <si>
    <t>2.30亿</t>
  </si>
  <si>
    <t>12.68亿</t>
  </si>
  <si>
    <t>-2.11亿</t>
  </si>
  <si>
    <t>10.13亿</t>
  </si>
  <si>
    <t>10.21亿</t>
  </si>
  <si>
    <t>-1.58亿</t>
  </si>
  <si>
    <t>1.62亿</t>
  </si>
  <si>
    <t>8.66亿</t>
  </si>
  <si>
    <t>13.38亿</t>
  </si>
  <si>
    <t>6.68亿</t>
  </si>
  <si>
    <t>5.17亿</t>
  </si>
  <si>
    <t>3.33亿</t>
  </si>
  <si>
    <t>3.32亿</t>
  </si>
  <si>
    <t>6.22亿</t>
  </si>
  <si>
    <t>6.89亿</t>
  </si>
  <si>
    <t>6.75亿</t>
  </si>
  <si>
    <t>14.17亿</t>
  </si>
  <si>
    <t>7.07亿</t>
  </si>
  <si>
    <t>5.49亿</t>
  </si>
  <si>
    <t>14.41亿</t>
  </si>
  <si>
    <t>6.41亿</t>
  </si>
  <si>
    <t>7.93亿</t>
  </si>
  <si>
    <t>14.81亿</t>
  </si>
  <si>
    <t>8.96亿</t>
  </si>
  <si>
    <t>1.17亿</t>
  </si>
  <si>
    <t>20.34亿</t>
  </si>
  <si>
    <t>2.39亿</t>
  </si>
  <si>
    <t>13.02亿</t>
  </si>
  <si>
    <t>4.08亿</t>
  </si>
  <si>
    <t>2.73亿</t>
  </si>
  <si>
    <t>2.09亿</t>
  </si>
  <si>
    <t>6.03亿</t>
  </si>
  <si>
    <t>5.11亿</t>
  </si>
  <si>
    <t>2.10亿</t>
  </si>
  <si>
    <t>1.85亿</t>
  </si>
  <si>
    <t>3.44亿</t>
  </si>
  <si>
    <r>
      <t>1.公司未来业绩增长主要驱动因素有：a.智能装备后发领先优势；b.公司产品线齐全，能够满足客户一站式采购需求；c.面向广阔的全球市场；d.具备完整的产业链优势，实现高效的低成本运作模式。2.增加了</t>
    </r>
    <r>
      <rPr>
        <b/>
        <sz val="9"/>
        <color rgb="FFFF0000"/>
        <rFont val="宋体"/>
        <family val="3"/>
        <charset val="134"/>
        <scheme val="minor"/>
      </rPr>
      <t>PET铜箔业务</t>
    </r>
    <r>
      <rPr>
        <sz val="9"/>
        <color theme="1"/>
        <rFont val="宋体"/>
        <family val="2"/>
        <charset val="134"/>
        <scheme val="minor"/>
      </rPr>
      <t>（子公司）</t>
    </r>
    <phoneticPr fontId="1" type="noConversion"/>
  </si>
  <si>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</si>
  <si>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</si>
  <si>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</si>
  <si>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</si>
  <si>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</si>
  <si>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</si>
  <si>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</si>
  <si>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</si>
  <si>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</si>
  <si>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</si>
  <si>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</si>
  <si>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</si>
  <si>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</si>
  <si>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</si>
  <si>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</si>
  <si>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</si>
  <si>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</si>
  <si>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</si>
  <si>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</si>
  <si>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</si>
  <si>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</si>
  <si>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</si>
  <si>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</si>
  <si>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</si>
  <si>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</si>
  <si>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</si>
  <si>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</si>
  <si>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</si>
  <si>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</si>
  <si>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</si>
  <si>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</si>
  <si>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</si>
  <si>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1年自由现金流折现</t>
    <phoneticPr fontId="1" type="noConversion"/>
  </si>
  <si>
    <t>3增速</t>
    <phoneticPr fontId="1" type="noConversion"/>
  </si>
  <si>
    <t>6年自由现金流折现</t>
    <phoneticPr fontId="1" type="noConversion"/>
  </si>
  <si>
    <t>10年自由现金流折现</t>
    <phoneticPr fontId="1" type="noConversion"/>
  </si>
  <si>
    <t>20年自由现金流折现</t>
    <phoneticPr fontId="1" type="noConversion"/>
  </si>
  <si>
    <t>原始顺序</t>
    <phoneticPr fontId="1" type="noConversion"/>
  </si>
  <si>
    <t>策略1利润单季最佳增速</t>
    <phoneticPr fontId="1" type="noConversion"/>
  </si>
  <si>
    <t>营收和利润加权</t>
    <phoneticPr fontId="1" type="noConversion"/>
  </si>
  <si>
    <t>成交量综合策略</t>
    <phoneticPr fontId="1" type="noConversion"/>
  </si>
  <si>
    <t>量价齐升策略</t>
    <phoneticPr fontId="1" type="noConversion"/>
  </si>
  <si>
    <t>基本面排序</t>
    <phoneticPr fontId="1" type="noConversion"/>
  </si>
  <si>
    <t>5日成交换手率</t>
    <phoneticPr fontId="1" type="noConversion"/>
  </si>
  <si>
    <t>价格箱体形态过滤</t>
    <phoneticPr fontId="1" type="noConversion"/>
  </si>
  <si>
    <t>价格右侧初期策略</t>
    <phoneticPr fontId="1" type="noConversion"/>
  </si>
  <si>
    <t>N日期</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</si>
  <si>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</si>
  <si>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</si>
  <si>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</si>
  <si>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</si>
  <si>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</si>
  <si>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1增速</t>
    <phoneticPr fontId="1" type="noConversion"/>
  </si>
  <si>
    <t>3年自由现金流折现</t>
    <phoneticPr fontId="1" type="noConversion"/>
  </si>
  <si>
    <t>6增速</t>
    <phoneticPr fontId="1" type="noConversion"/>
  </si>
  <si>
    <t>10增速</t>
    <phoneticPr fontId="1" type="noConversion"/>
  </si>
  <si>
    <t>承担负债现期溢价</t>
    <phoneticPr fontId="1" type="noConversion"/>
  </si>
  <si>
    <t>清算价格</t>
    <phoneticPr fontId="1" type="noConversion"/>
  </si>
  <si>
    <t>策略1营收单季最佳增速</t>
    <phoneticPr fontId="1" type="noConversion"/>
  </si>
  <si>
    <t>营收成长策略</t>
    <phoneticPr fontId="1" type="noConversion"/>
  </si>
  <si>
    <t>利润成长策略</t>
    <phoneticPr fontId="1" type="noConversion"/>
  </si>
  <si>
    <t>价格变动策略</t>
    <phoneticPr fontId="1" type="noConversion"/>
  </si>
  <si>
    <t>综合策略</t>
    <phoneticPr fontId="1" type="noConversion"/>
  </si>
  <si>
    <t>机会区域号</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</si>
  <si>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</si>
  <si>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</si>
  <si>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</si>
  <si>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</si>
  <si>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N-2</t>
    <phoneticPr fontId="1" type="noConversion"/>
  </si>
  <si>
    <t>N-1</t>
    <phoneticPr fontId="1" type="noConversion"/>
  </si>
  <si>
    <t>N</t>
    <phoneticPr fontId="1" type="noConversion"/>
  </si>
  <si>
    <t>不分配不转增</t>
  </si>
  <si>
    <t>10派3元(含税)</t>
  </si>
  <si>
    <t>10派1.5元(含税)</t>
  </si>
  <si>
    <t>10派0.2元(含税)</t>
  </si>
  <si>
    <t>10派0.3元(含税)</t>
  </si>
  <si>
    <t>10派1元(含税)</t>
  </si>
  <si>
    <t>10派1.2元(含税)</t>
  </si>
  <si>
    <t>10派0.6元(含税)</t>
  </si>
  <si>
    <t>10派2.5元(含税)</t>
  </si>
  <si>
    <t>10派0.24元(含税)</t>
  </si>
  <si>
    <t>1.82亿</t>
  </si>
  <si>
    <r>
      <t>1.问：未来战略重点？答：国产替代是公司一贯坚持的发展策略，在半导体领域，公司会抓住</t>
    </r>
    <r>
      <rPr>
        <sz val="9"/>
        <color rgb="FFFF0000"/>
        <rFont val="宋体"/>
        <family val="3"/>
        <charset val="134"/>
        <scheme val="minor"/>
      </rPr>
      <t>半导体产业链</t>
    </r>
    <r>
      <rPr>
        <sz val="9"/>
        <color theme="1"/>
        <rFont val="宋体"/>
        <family val="2"/>
        <charset val="134"/>
        <scheme val="minor"/>
      </rPr>
      <t>国产转移的契机，在半导体设备及厂务端零部件市场积极布局，预期未来该业务板块将保持高速增长；在</t>
    </r>
    <r>
      <rPr>
        <sz val="9"/>
        <color rgb="FFFF0000"/>
        <rFont val="宋体"/>
        <family val="3"/>
        <charset val="134"/>
        <scheme val="minor"/>
      </rPr>
      <t>食品安全领域</t>
    </r>
    <r>
      <rPr>
        <sz val="9"/>
        <color theme="1"/>
        <rFont val="宋体"/>
        <family val="2"/>
        <charset val="134"/>
        <scheme val="minor"/>
      </rPr>
      <t>，公司将继续坚持设备+包材的服务模式布局市场，同时不断推出碧海瓶及低温奶屋顶包等新产品，不断提升在国产品牌的市场份额；</t>
    </r>
    <r>
      <rPr>
        <sz val="9"/>
        <color rgb="FFFF0000"/>
        <rFont val="宋体"/>
        <family val="3"/>
        <charset val="134"/>
        <scheme val="minor"/>
      </rPr>
      <t>生物医药领域</t>
    </r>
    <r>
      <rPr>
        <sz val="9"/>
        <color theme="1"/>
        <rFont val="宋体"/>
        <family val="2"/>
        <charset val="134"/>
        <scheme val="minor"/>
      </rPr>
      <t>，公司将不断在高附加值的医药级泵阀领域加大研发投入，以应对该行业未来市场下行的风险。</t>
    </r>
    <phoneticPr fontId="1" type="noConversion"/>
  </si>
  <si>
    <r>
      <t>1.现有业务类别涵盖</t>
    </r>
    <r>
      <rPr>
        <b/>
        <sz val="9"/>
        <color rgb="FFFF0000"/>
        <rFont val="宋体"/>
        <family val="3"/>
        <charset val="134"/>
        <scheme val="minor"/>
      </rPr>
      <t>烟草配套产业、教育产业</t>
    </r>
    <r>
      <rPr>
        <sz val="9"/>
        <color theme="1"/>
        <rFont val="宋体"/>
        <family val="2"/>
        <charset val="134"/>
        <scheme val="minor"/>
      </rPr>
      <t>、房地产业、医养产业等四大类。烟草配套产业主要业务为烟标、烟用丝束、咀棒的生产销售；教育产业主要业务为高等学历教育及其他教育类业务；房地产业目前体量较小，以公司内部项目建设和商业开发为主；医养产业处在培育期，尚未开展具体业务。</t>
    </r>
    <phoneticPr fontId="1" type="noConversion"/>
  </si>
  <si>
    <t>3122.79万</t>
  </si>
  <si>
    <t>19.99亿</t>
  </si>
  <si>
    <t>2-0</t>
  </si>
  <si>
    <t>1.92亿</t>
  </si>
  <si>
    <t>3-1</t>
  </si>
  <si>
    <t>7.11亿</t>
  </si>
  <si>
    <t>4.37亿</t>
  </si>
  <si>
    <t>1.49亿</t>
  </si>
  <si>
    <t>-1-1</t>
  </si>
  <si>
    <t>1.97亿</t>
  </si>
  <si>
    <t>1-1</t>
  </si>
  <si>
    <t>1-0</t>
  </si>
  <si>
    <t>1.50亿</t>
  </si>
  <si>
    <r>
      <t>1.问：北京AI创新赋能中心项目情况：
　　答：2022年8月公司以全资子公司英博数科作为运营主体与英伟达在北京市共同合作成立北京AI创新赋能中心，主要业务包括：</t>
    </r>
    <r>
      <rPr>
        <b/>
        <sz val="9"/>
        <color rgb="FFFF0000"/>
        <rFont val="宋体"/>
        <family val="3"/>
        <charset val="134"/>
        <scheme val="minor"/>
      </rPr>
      <t>为市场提供100P英伟达高性能计算及AI推理训练的算力出租</t>
    </r>
    <r>
      <rPr>
        <sz val="9"/>
        <color theme="1"/>
        <rFont val="宋体"/>
        <family val="2"/>
        <charset val="134"/>
        <scheme val="minor"/>
      </rPr>
      <t>、基于英伟达软硬件技术支撑的人工智能领域客户的相关集成产品贸易、英伟达AI人才课程开发及培训服务、人工智能相关产业的投资孵化等。截止目前北京AI创新赋能中心已投入实际运营，相关产品与服务处于测试推广阶段;</t>
    </r>
    <phoneticPr fontId="1" type="noConversion"/>
  </si>
  <si>
    <t>1225.42万</t>
  </si>
  <si>
    <t>15.92亿</t>
  </si>
  <si>
    <t>12.58亿</t>
  </si>
  <si>
    <t>-7025.66万</t>
  </si>
  <si>
    <t>1.99亿</t>
  </si>
  <si>
    <t>221.24万</t>
  </si>
  <si>
    <t>2332.44万</t>
  </si>
  <si>
    <t>84.54万</t>
  </si>
  <si>
    <t>-17988667亿</t>
  </si>
  <si>
    <t>3606.32万</t>
  </si>
  <si>
    <t>143418250亿</t>
  </si>
  <si>
    <t>351400590亿</t>
  </si>
  <si>
    <t>1900.78万</t>
  </si>
  <si>
    <t>6229.88万</t>
  </si>
  <si>
    <t>172.02万</t>
  </si>
  <si>
    <t>5050.94万</t>
  </si>
  <si>
    <t>593.81万</t>
  </si>
  <si>
    <t>-835.51万</t>
  </si>
  <si>
    <t>1776.42万</t>
  </si>
  <si>
    <t>-1.86亿</t>
  </si>
  <si>
    <t>-2378.31万</t>
  </si>
  <si>
    <t>8306.36万</t>
  </si>
  <si>
    <t>3.77亿</t>
  </si>
  <si>
    <t>176.80万</t>
  </si>
  <si>
    <t>13.99亿</t>
  </si>
  <si>
    <t>22.52亿</t>
  </si>
  <si>
    <t>8.35亿</t>
  </si>
  <si>
    <t>33.79亿</t>
  </si>
  <si>
    <t>6.51亿</t>
  </si>
  <si>
    <t>1735.56万</t>
  </si>
  <si>
    <t>3782.94万</t>
  </si>
  <si>
    <t>3350019亿</t>
  </si>
  <si>
    <t>53.60万</t>
  </si>
  <si>
    <t>80774347亿</t>
  </si>
  <si>
    <t>7.03亿</t>
  </si>
  <si>
    <t>596260320亿</t>
  </si>
  <si>
    <t>2461459300亿</t>
  </si>
  <si>
    <t>5745.99万</t>
  </si>
  <si>
    <t>1.90亿</t>
  </si>
  <si>
    <t>14.31亿</t>
  </si>
  <si>
    <t>-7179.51万</t>
  </si>
  <si>
    <t>-4.28亿</t>
  </si>
  <si>
    <t>3014.55万</t>
  </si>
  <si>
    <t>33.04亿</t>
  </si>
  <si>
    <t>7795.52万</t>
  </si>
  <si>
    <t>10派5.5元(含税)</t>
  </si>
  <si>
    <t>1146.01万</t>
  </si>
  <si>
    <t>7230.52万</t>
  </si>
  <si>
    <t>-1-0</t>
  </si>
  <si>
    <t>688.01万</t>
  </si>
  <si>
    <t>6.46亿</t>
  </si>
  <si>
    <t>14.89亿</t>
  </si>
  <si>
    <t>3.04亿</t>
  </si>
  <si>
    <t>1081.63万</t>
  </si>
  <si>
    <t>2206.14万</t>
  </si>
  <si>
    <t>555999亿</t>
  </si>
  <si>
    <t>8.66万</t>
  </si>
  <si>
    <t>40407267亿</t>
  </si>
  <si>
    <t>237367100亿</t>
  </si>
  <si>
    <t>9.50万</t>
  </si>
  <si>
    <t>1147574920亿</t>
  </si>
  <si>
    <t>357.81万</t>
  </si>
  <si>
    <t>3957.00万</t>
  </si>
  <si>
    <t>7424.31万</t>
  </si>
  <si>
    <t>4.93亿</t>
  </si>
  <si>
    <t>-6811.71万</t>
  </si>
  <si>
    <t>-5.31亿</t>
  </si>
  <si>
    <t>-8277.40万</t>
  </si>
  <si>
    <t>10.65亿</t>
  </si>
  <si>
    <t>4639.97万</t>
  </si>
  <si>
    <t>10派2.6元(含税)</t>
  </si>
  <si>
    <t>6505.25万</t>
  </si>
  <si>
    <t>0163000000</t>
  </si>
  <si>
    <t>0489000000</t>
  </si>
  <si>
    <t>0978000000</t>
  </si>
  <si>
    <t>01630000000</t>
  </si>
  <si>
    <t>03260000000</t>
  </si>
  <si>
    <t>-3-0</t>
  </si>
  <si>
    <t>948.58万</t>
  </si>
  <si>
    <t>23.51亿</t>
  </si>
  <si>
    <t>72.14亿</t>
  </si>
  <si>
    <t>7.94亿</t>
  </si>
  <si>
    <t>39.45亿</t>
  </si>
  <si>
    <t>6.93亿</t>
  </si>
  <si>
    <t>5.61亿</t>
  </si>
  <si>
    <t>1366.07万</t>
  </si>
  <si>
    <t>6285.15万</t>
  </si>
  <si>
    <t>63034865亿</t>
  </si>
  <si>
    <t>14.75万</t>
  </si>
  <si>
    <t>137798280亿</t>
  </si>
  <si>
    <t>11.67亿</t>
  </si>
  <si>
    <t>1059904970亿</t>
  </si>
  <si>
    <t>3801816800亿</t>
  </si>
  <si>
    <t>8965.87万</t>
  </si>
  <si>
    <t>3.34亿</t>
  </si>
  <si>
    <t>4.11亿</t>
  </si>
  <si>
    <t>583.00万</t>
  </si>
  <si>
    <t>-3.37亿</t>
  </si>
  <si>
    <t>333.41万</t>
  </si>
  <si>
    <t>1.74亿</t>
  </si>
  <si>
    <t>51.89亿</t>
  </si>
  <si>
    <t>10.40亿</t>
  </si>
  <si>
    <t>5717.91万</t>
  </si>
  <si>
    <t>521.70万</t>
  </si>
  <si>
    <t>47.04亿</t>
  </si>
  <si>
    <t>34.70亿</t>
  </si>
  <si>
    <t>27.35亿</t>
  </si>
  <si>
    <t>124.14亿</t>
  </si>
  <si>
    <t>27.09亿</t>
  </si>
  <si>
    <t>8519.20万</t>
  </si>
  <si>
    <t>1038872亿</t>
  </si>
  <si>
    <t>110.79万</t>
  </si>
  <si>
    <t>33728292亿</t>
  </si>
  <si>
    <t>2356996100亿</t>
  </si>
  <si>
    <t>4.88亿</t>
  </si>
  <si>
    <t>4859494300亿</t>
  </si>
  <si>
    <t>6809.90万</t>
  </si>
  <si>
    <t>16.72亿</t>
  </si>
  <si>
    <t>35.11亿</t>
  </si>
  <si>
    <t>7.35亿</t>
  </si>
  <si>
    <t>-4963.17万</t>
  </si>
  <si>
    <t>-1.02亿</t>
  </si>
  <si>
    <t>153.75亿</t>
  </si>
  <si>
    <t>29.77亿</t>
  </si>
  <si>
    <t>3205.61万</t>
  </si>
  <si>
    <t>2692.44万</t>
  </si>
  <si>
    <t>2459.46万</t>
  </si>
  <si>
    <t>14.20亿</t>
  </si>
  <si>
    <t>16.46亿</t>
  </si>
  <si>
    <t>1.55亿</t>
  </si>
  <si>
    <t>6.20亿</t>
  </si>
  <si>
    <t>-5444.29万</t>
  </si>
  <si>
    <t>670.62万</t>
  </si>
  <si>
    <t>2372.18万</t>
  </si>
  <si>
    <t>3942260亿</t>
  </si>
  <si>
    <t>5.98万</t>
  </si>
  <si>
    <t>-29078691亿</t>
  </si>
  <si>
    <t>6.28亿</t>
  </si>
  <si>
    <t>275398150亿</t>
  </si>
  <si>
    <t>1875393400亿</t>
  </si>
  <si>
    <t>1810.27万</t>
  </si>
  <si>
    <t>1637.53万</t>
  </si>
  <si>
    <t>9636.96万</t>
  </si>
  <si>
    <t>450.00万</t>
  </si>
  <si>
    <t>5300.00万</t>
  </si>
  <si>
    <t>-4365.11万</t>
  </si>
  <si>
    <t>-1.10亿</t>
  </si>
  <si>
    <t>-4712.43万</t>
  </si>
  <si>
    <t>-7509.89万</t>
  </si>
  <si>
    <t>-1825.11万</t>
  </si>
  <si>
    <t>1.30亿</t>
  </si>
  <si>
    <t>1597.54万</t>
  </si>
  <si>
    <t>25.98亿</t>
  </si>
  <si>
    <t>52.05亿</t>
  </si>
  <si>
    <t>35.13亿</t>
  </si>
  <si>
    <t>1.96亿</t>
  </si>
  <si>
    <t>7.72亿</t>
  </si>
  <si>
    <t>6944.10万</t>
  </si>
  <si>
    <t>6131.39万</t>
  </si>
  <si>
    <t>436341亿</t>
  </si>
  <si>
    <t>3.09万</t>
  </si>
  <si>
    <t>67086977亿</t>
  </si>
  <si>
    <t>22.99亿</t>
  </si>
  <si>
    <t>1108158550亿</t>
  </si>
  <si>
    <t>5873.88万</t>
  </si>
  <si>
    <t>4092714600亿</t>
  </si>
  <si>
    <t>2578.89万</t>
  </si>
  <si>
    <t>5.26亿</t>
  </si>
  <si>
    <t>4.99亿</t>
  </si>
  <si>
    <t>181.09万</t>
  </si>
  <si>
    <t>24.51亿</t>
  </si>
  <si>
    <t>3500.62万</t>
  </si>
  <si>
    <t>1285.82万</t>
  </si>
  <si>
    <t>-3200.20万</t>
  </si>
  <si>
    <t>2.15亿</t>
  </si>
  <si>
    <t>41.30亿</t>
  </si>
  <si>
    <t>7.88亿</t>
  </si>
  <si>
    <t>3820.08万</t>
  </si>
  <si>
    <t>10派1.30元(含税)</t>
  </si>
  <si>
    <t>7856.87万</t>
  </si>
  <si>
    <t>5.40亿</t>
  </si>
  <si>
    <t>823.64万</t>
  </si>
  <si>
    <t>25.86亿</t>
  </si>
  <si>
    <t>10.97亿</t>
  </si>
  <si>
    <t>982.58万</t>
  </si>
  <si>
    <t>1952.23万</t>
  </si>
  <si>
    <t>-67602亿</t>
  </si>
  <si>
    <t>5.72万</t>
  </si>
  <si>
    <t>-49722697亿</t>
  </si>
  <si>
    <t>1.20亿</t>
  </si>
  <si>
    <t>1554865600亿</t>
  </si>
  <si>
    <t>2865.13万</t>
  </si>
  <si>
    <t>2223781100亿</t>
  </si>
  <si>
    <t>347.21万</t>
  </si>
  <si>
    <t>5.87亿</t>
  </si>
  <si>
    <t>19.26万</t>
  </si>
  <si>
    <t>18.08亿</t>
  </si>
  <si>
    <t>508.89万</t>
  </si>
  <si>
    <t>-519.28万</t>
  </si>
  <si>
    <t>-3975.97万</t>
  </si>
  <si>
    <t>8.41亿</t>
  </si>
  <si>
    <t>-6.87亿</t>
  </si>
  <si>
    <t>-1474.45万</t>
  </si>
  <si>
    <t>6364.51万</t>
  </si>
  <si>
    <t>-2-1</t>
  </si>
  <si>
    <t>1841.67万</t>
  </si>
  <si>
    <t>7.78亿</t>
  </si>
  <si>
    <t>20.92亿</t>
  </si>
  <si>
    <t>14.25亿</t>
  </si>
  <si>
    <t>2840.27万</t>
  </si>
  <si>
    <t>2.75亿</t>
  </si>
  <si>
    <t>1259.32万</t>
  </si>
  <si>
    <t>3806.08万</t>
  </si>
  <si>
    <t>4453039亿</t>
  </si>
  <si>
    <t>17412744亿</t>
  </si>
  <si>
    <t>298144500亿</t>
  </si>
  <si>
    <t>1610204500亿</t>
  </si>
  <si>
    <t>957.69万</t>
  </si>
  <si>
    <t>3251.89万</t>
  </si>
  <si>
    <t>3.12亿</t>
  </si>
  <si>
    <t>5.94亿</t>
  </si>
  <si>
    <t>7960.00万</t>
  </si>
  <si>
    <t>4524.86万</t>
  </si>
  <si>
    <t>-8837.44万</t>
  </si>
  <si>
    <t>-2556.95万</t>
  </si>
  <si>
    <t>14.11亿</t>
  </si>
  <si>
    <t>-5990.28万</t>
  </si>
  <si>
    <t>830.15万</t>
  </si>
  <si>
    <t>10派0.26元(含税)</t>
  </si>
  <si>
    <t>4.35亿</t>
  </si>
  <si>
    <t>028402700</t>
  </si>
  <si>
    <t>085208100</t>
  </si>
  <si>
    <t>0170416200</t>
  </si>
  <si>
    <t>0284027000</t>
  </si>
  <si>
    <t>0568054000</t>
  </si>
  <si>
    <t>3129.78万</t>
  </si>
  <si>
    <t>11.24亿</t>
  </si>
  <si>
    <t>14.47亿</t>
  </si>
  <si>
    <t>4.83亿</t>
  </si>
  <si>
    <t>23.96亿</t>
  </si>
  <si>
    <t>411.55万</t>
  </si>
  <si>
    <t>2845.30万</t>
  </si>
  <si>
    <t>4523.63万</t>
  </si>
  <si>
    <t>-103523亿</t>
  </si>
  <si>
    <t>11.69万</t>
  </si>
  <si>
    <t>-9080324亿</t>
  </si>
  <si>
    <t>500494930亿</t>
  </si>
  <si>
    <t>1241939880亿</t>
  </si>
  <si>
    <t>680.36万</t>
  </si>
  <si>
    <t>5915.97万</t>
  </si>
  <si>
    <t>2.43亿</t>
  </si>
  <si>
    <t>10.70亿</t>
  </si>
  <si>
    <t>260.00万</t>
  </si>
  <si>
    <t>-7550.36万</t>
  </si>
  <si>
    <t>-2445.13万</t>
  </si>
  <si>
    <t>-1439.03万</t>
  </si>
  <si>
    <t>22.39亿</t>
  </si>
  <si>
    <t>501.73万</t>
  </si>
  <si>
    <t>5.96亿</t>
  </si>
  <si>
    <t>-2438.03万</t>
  </si>
  <si>
    <t>4.53亿</t>
  </si>
  <si>
    <t>-4-1</t>
  </si>
  <si>
    <t>1382.97万</t>
  </si>
  <si>
    <t>74.90亿</t>
  </si>
  <si>
    <t>91.37亿</t>
  </si>
  <si>
    <t>35.51亿</t>
  </si>
  <si>
    <t>138.43亿</t>
  </si>
  <si>
    <t>32.00亿</t>
  </si>
  <si>
    <t>29.03亿</t>
  </si>
  <si>
    <t>4915.93万</t>
  </si>
  <si>
    <t>1.52亿</t>
  </si>
  <si>
    <t>46498375亿</t>
  </si>
  <si>
    <t>15.85万</t>
  </si>
  <si>
    <t>264520480亿</t>
  </si>
  <si>
    <t>14.27亿</t>
  </si>
  <si>
    <t>3364499700亿</t>
  </si>
  <si>
    <t>7846.14万</t>
  </si>
  <si>
    <t>6970750800亿</t>
  </si>
  <si>
    <t>16.26亿</t>
  </si>
  <si>
    <t>4118.62万</t>
  </si>
  <si>
    <t>23.06亿</t>
  </si>
  <si>
    <t>61.31亿</t>
  </si>
  <si>
    <t>6.09亿</t>
  </si>
  <si>
    <t>-1.21亿</t>
  </si>
  <si>
    <t>-3.11亿</t>
  </si>
  <si>
    <t>140.67亿</t>
  </si>
  <si>
    <t>139.80亿</t>
  </si>
  <si>
    <t>8.93亿</t>
  </si>
  <si>
    <t>33.52亿</t>
  </si>
  <si>
    <t>2.11亿</t>
  </si>
  <si>
    <t>6508.42万</t>
  </si>
  <si>
    <t>2-1</t>
  </si>
  <si>
    <t>1232.78万</t>
  </si>
  <si>
    <t>19.82亿</t>
  </si>
  <si>
    <t>3.80亿</t>
  </si>
  <si>
    <t>17.74亿</t>
  </si>
  <si>
    <t>6035.11万</t>
  </si>
  <si>
    <t>1888.22万</t>
  </si>
  <si>
    <t>2924.81万</t>
  </si>
  <si>
    <t>-295164亿</t>
  </si>
  <si>
    <t>18.11万</t>
  </si>
  <si>
    <t>5956017亿</t>
  </si>
  <si>
    <t>706272980亿</t>
  </si>
  <si>
    <t>3087.21万</t>
  </si>
  <si>
    <t>1898888000亿</t>
  </si>
  <si>
    <t>7790.67万</t>
  </si>
  <si>
    <t>8.80亿</t>
  </si>
  <si>
    <t>2552.61万</t>
  </si>
  <si>
    <t>-1749.03万</t>
  </si>
  <si>
    <t>-2.99亿</t>
  </si>
  <si>
    <t>-1.39亿</t>
  </si>
  <si>
    <t>17.51亿</t>
  </si>
  <si>
    <t>7028.17万</t>
  </si>
  <si>
    <t>3.59亿</t>
  </si>
  <si>
    <t>105.26万</t>
  </si>
  <si>
    <t>10派0.48元(含税)</t>
  </si>
  <si>
    <t>6696.86万</t>
  </si>
  <si>
    <t>-3-1</t>
  </si>
  <si>
    <t>627.72万</t>
  </si>
  <si>
    <t>54.47亿</t>
  </si>
  <si>
    <t>32.72亿</t>
  </si>
  <si>
    <t>16.76亿</t>
  </si>
  <si>
    <t>70.95亿</t>
  </si>
  <si>
    <t>716.64万</t>
  </si>
  <si>
    <t>5776.07万</t>
  </si>
  <si>
    <t>-3938210亿</t>
  </si>
  <si>
    <t>71.16万</t>
  </si>
  <si>
    <t>119428305亿</t>
  </si>
  <si>
    <t>8.53亿</t>
  </si>
  <si>
    <t>1600472500亿</t>
  </si>
  <si>
    <t>1120.11万</t>
  </si>
  <si>
    <t>3535682300亿</t>
  </si>
  <si>
    <t>6.86亿</t>
  </si>
  <si>
    <t>18.24亿</t>
  </si>
  <si>
    <t>7.38亿</t>
  </si>
  <si>
    <t>48.28万</t>
  </si>
  <si>
    <t>36.12亿</t>
  </si>
  <si>
    <t>3.75亿</t>
  </si>
  <si>
    <t>5997.32万</t>
  </si>
  <si>
    <t>-6094.23万</t>
  </si>
  <si>
    <t>-2.41亿</t>
  </si>
  <si>
    <t>70.52亿</t>
  </si>
  <si>
    <t>56.94亿</t>
  </si>
  <si>
    <t>15.36亿</t>
  </si>
  <si>
    <t>5336.48万</t>
  </si>
  <si>
    <t>3779.74万</t>
  </si>
  <si>
    <t>331.08万</t>
  </si>
  <si>
    <t>10.90亿</t>
  </si>
  <si>
    <t>24.11亿</t>
  </si>
  <si>
    <t>843.11万</t>
  </si>
  <si>
    <t>5.63亿</t>
  </si>
  <si>
    <t>4.96亿</t>
  </si>
  <si>
    <t>725.81万</t>
  </si>
  <si>
    <t>3115.54万</t>
  </si>
  <si>
    <t>-114263亿</t>
  </si>
  <si>
    <t>12.06万</t>
  </si>
  <si>
    <t>19475349亿</t>
  </si>
  <si>
    <t>590293380亿</t>
  </si>
  <si>
    <t>1476.86万</t>
  </si>
  <si>
    <t>1612783800亿</t>
  </si>
  <si>
    <t>7528.95万</t>
  </si>
  <si>
    <t>3.68亿</t>
  </si>
  <si>
    <t>2.65亿</t>
  </si>
  <si>
    <t>-2022.68万</t>
  </si>
  <si>
    <t>4754.19万</t>
  </si>
  <si>
    <t>-7190.22万</t>
  </si>
  <si>
    <t>22.64亿</t>
  </si>
  <si>
    <t>1094.13万</t>
  </si>
  <si>
    <t>5.34亿</t>
  </si>
  <si>
    <t>204.95万</t>
  </si>
  <si>
    <t>1693.68万</t>
  </si>
  <si>
    <t>336.36万</t>
  </si>
  <si>
    <t>7.65亿</t>
  </si>
  <si>
    <t>14.01亿</t>
  </si>
  <si>
    <t>4.50亿</t>
  </si>
  <si>
    <t>16.01亿</t>
  </si>
  <si>
    <t>-2.22亿</t>
  </si>
  <si>
    <t>788.47万</t>
  </si>
  <si>
    <t>1132.34万</t>
  </si>
  <si>
    <t>1640511亿</t>
  </si>
  <si>
    <t>22425905亿</t>
  </si>
  <si>
    <t>323385310亿</t>
  </si>
  <si>
    <t>2194.94万</t>
  </si>
  <si>
    <t>1121002830亿</t>
  </si>
  <si>
    <t>3.47亿</t>
  </si>
  <si>
    <t>6374.95万</t>
  </si>
  <si>
    <t>7.18亿</t>
  </si>
  <si>
    <t>2980.16万</t>
  </si>
  <si>
    <t>-3652.63万</t>
  </si>
  <si>
    <t>-4494.79万</t>
  </si>
  <si>
    <t>19.30亿</t>
  </si>
  <si>
    <t>8659.11万</t>
  </si>
  <si>
    <t>4.05亿</t>
  </si>
  <si>
    <t>2872.90万</t>
  </si>
  <si>
    <t>10派0.36元(含税)</t>
  </si>
  <si>
    <t>2423.59万</t>
  </si>
  <si>
    <t>-6-0</t>
  </si>
  <si>
    <t>237.44万</t>
  </si>
  <si>
    <t>105.95亿</t>
  </si>
  <si>
    <t>117.71亿</t>
  </si>
  <si>
    <t>34.76亿</t>
  </si>
  <si>
    <t>152.23亿</t>
  </si>
  <si>
    <t>14.38亿</t>
  </si>
  <si>
    <t>32.11亿</t>
  </si>
  <si>
    <t>27.08亿</t>
  </si>
  <si>
    <t>9375.95万</t>
  </si>
  <si>
    <t>-18261894亿</t>
  </si>
  <si>
    <t>257.45万</t>
  </si>
  <si>
    <t>242976730亿</t>
  </si>
  <si>
    <t>39.66亿</t>
  </si>
  <si>
    <t>4771199800亿</t>
  </si>
  <si>
    <t>206.62万</t>
  </si>
  <si>
    <t>11856223800亿</t>
  </si>
  <si>
    <t>36.33亿</t>
  </si>
  <si>
    <t>22.71亿</t>
  </si>
  <si>
    <t>78.84亿</t>
  </si>
  <si>
    <t>7.98亿</t>
  </si>
  <si>
    <t>-3.45亿</t>
  </si>
  <si>
    <t>163.62亿</t>
  </si>
  <si>
    <t>149.44亿</t>
  </si>
  <si>
    <t>14.88亿</t>
  </si>
  <si>
    <t>29.12亿</t>
  </si>
  <si>
    <t>10派6.202018元(含税)</t>
  </si>
  <si>
    <t>1282.70万</t>
  </si>
  <si>
    <t>8223.12万</t>
  </si>
  <si>
    <t>173.15万</t>
  </si>
  <si>
    <t>6778.71万</t>
  </si>
  <si>
    <t>1.77亿</t>
  </si>
  <si>
    <t>1946.99万</t>
  </si>
  <si>
    <t>5550.79万</t>
  </si>
  <si>
    <t>4534.65万</t>
  </si>
  <si>
    <t>137.50万</t>
  </si>
  <si>
    <t>512.13万</t>
  </si>
  <si>
    <t>427254亿</t>
  </si>
  <si>
    <t>9773295亿</t>
  </si>
  <si>
    <t>5306.69万</t>
  </si>
  <si>
    <t>49748184亿</t>
  </si>
  <si>
    <t>326498290亿</t>
  </si>
  <si>
    <t>17.04万</t>
  </si>
  <si>
    <t>3263.13万</t>
  </si>
  <si>
    <t>8574.08万</t>
  </si>
  <si>
    <t>3.21万</t>
  </si>
  <si>
    <t>1521.23万</t>
  </si>
  <si>
    <t>-5094.79万</t>
  </si>
  <si>
    <t>-5443.13万</t>
  </si>
  <si>
    <t>8409.65万</t>
  </si>
  <si>
    <t>3618.47万</t>
  </si>
  <si>
    <t>341.15万</t>
  </si>
  <si>
    <t>956.31万</t>
  </si>
  <si>
    <t>9903.78万</t>
  </si>
  <si>
    <t>019469900</t>
  </si>
  <si>
    <t>058409700</t>
  </si>
  <si>
    <t>0116819400</t>
  </si>
  <si>
    <t>0194699000</t>
  </si>
  <si>
    <t>0389398000</t>
  </si>
  <si>
    <t>569.67万</t>
  </si>
  <si>
    <t>14.76亿</t>
  </si>
  <si>
    <t>4.60亿</t>
  </si>
  <si>
    <t>17.47亿</t>
  </si>
  <si>
    <t>1421.19万</t>
  </si>
  <si>
    <t>4.55亿</t>
  </si>
  <si>
    <t>711.28万</t>
  </si>
  <si>
    <t>1762.66万</t>
  </si>
  <si>
    <t>90474亿</t>
  </si>
  <si>
    <t>-356796亿</t>
  </si>
  <si>
    <t>305477960亿</t>
  </si>
  <si>
    <t>1041130080亿</t>
  </si>
  <si>
    <t>3.50亿</t>
  </si>
  <si>
    <t>6.37亿</t>
  </si>
  <si>
    <t>4660.79万</t>
  </si>
  <si>
    <t>-1.42亿</t>
  </si>
  <si>
    <t>7859.11万</t>
  </si>
  <si>
    <t>19.35亿</t>
  </si>
  <si>
    <t>-4313.86万</t>
  </si>
  <si>
    <t>-373.86万</t>
  </si>
  <si>
    <t>4741.98万</t>
  </si>
  <si>
    <t>*ST金时</t>
  </si>
  <si>
    <t>78.39万</t>
  </si>
  <si>
    <t>20.90亿</t>
  </si>
  <si>
    <t>598.16万</t>
  </si>
  <si>
    <t>3390.69万</t>
  </si>
  <si>
    <t>-4457.14万</t>
  </si>
  <si>
    <t>1557.19万</t>
  </si>
  <si>
    <t>399.90万</t>
  </si>
  <si>
    <t>248.38万</t>
  </si>
  <si>
    <t>1010.24万</t>
  </si>
  <si>
    <t>737212亿</t>
  </si>
  <si>
    <t>-6776929亿</t>
  </si>
  <si>
    <t>28836289亿</t>
  </si>
  <si>
    <t>131.66万</t>
  </si>
  <si>
    <t>840418560亿</t>
  </si>
  <si>
    <t>3004.39万</t>
  </si>
  <si>
    <t>1018.00万</t>
  </si>
  <si>
    <t>5229.48万</t>
  </si>
  <si>
    <t>1.33亿</t>
  </si>
  <si>
    <t>-1463.83万</t>
  </si>
  <si>
    <t>-8444.13万</t>
  </si>
  <si>
    <t>-1527.56万</t>
  </si>
  <si>
    <t>-3658.69万</t>
  </si>
  <si>
    <t>3196.12万</t>
  </si>
  <si>
    <t>-570.09万</t>
  </si>
  <si>
    <t>417.71万</t>
  </si>
  <si>
    <t>2172.20万</t>
  </si>
  <si>
    <t>898.60万</t>
  </si>
  <si>
    <t>18.55亿</t>
  </si>
  <si>
    <t>23.44亿</t>
  </si>
  <si>
    <t>7.27亿</t>
  </si>
  <si>
    <t>31.52亿</t>
  </si>
  <si>
    <t>6.73亿</t>
  </si>
  <si>
    <t>6.08亿</t>
  </si>
  <si>
    <t>600.86万</t>
  </si>
  <si>
    <t>3741.16万</t>
  </si>
  <si>
    <t>475979亿</t>
  </si>
  <si>
    <t>1.71万</t>
  </si>
  <si>
    <t>48418827亿</t>
  </si>
  <si>
    <t>364159760亿</t>
  </si>
  <si>
    <t>1272702160亿</t>
  </si>
  <si>
    <t>3.66亿</t>
  </si>
  <si>
    <t>9.21亿</t>
  </si>
  <si>
    <t>301.90万</t>
  </si>
  <si>
    <t>2.66亿</t>
  </si>
  <si>
    <t>-3040.23万</t>
  </si>
  <si>
    <t>29.81亿</t>
  </si>
  <si>
    <t>1703.18万</t>
  </si>
  <si>
    <t>7.97亿</t>
  </si>
  <si>
    <t>2381.74万</t>
  </si>
  <si>
    <t>4360.30万</t>
  </si>
  <si>
    <t>188.77万</t>
  </si>
  <si>
    <t>3.93亿</t>
  </si>
  <si>
    <t>3.10亿</t>
  </si>
  <si>
    <t>5013.10万</t>
  </si>
  <si>
    <t>2.95亿</t>
  </si>
  <si>
    <t>2.60亿</t>
  </si>
  <si>
    <t>985.72万</t>
  </si>
  <si>
    <t>930.76万</t>
  </si>
  <si>
    <t>825915亿</t>
  </si>
  <si>
    <t>13745257亿</t>
  </si>
  <si>
    <t>9121.58万</t>
  </si>
  <si>
    <t>179421640亿</t>
  </si>
  <si>
    <t>978.92万</t>
  </si>
  <si>
    <t>885436460亿</t>
  </si>
  <si>
    <t>2089.86万</t>
  </si>
  <si>
    <t>1100.00万</t>
  </si>
  <si>
    <t>7708.64万</t>
  </si>
  <si>
    <t>4488.80万</t>
  </si>
  <si>
    <t>-2.05亿</t>
  </si>
  <si>
    <t>2986.43万</t>
  </si>
  <si>
    <t>14.54亿</t>
  </si>
  <si>
    <t>-336.25万</t>
  </si>
  <si>
    <t>690.89万</t>
  </si>
  <si>
    <t>1033.56万</t>
  </si>
  <si>
    <t>7832.59万</t>
  </si>
  <si>
    <t>243.24万</t>
  </si>
  <si>
    <t>15.09亿</t>
  </si>
  <si>
    <t>1.91亿</t>
  </si>
  <si>
    <t>7.73亿</t>
  </si>
  <si>
    <t>143.57万</t>
  </si>
  <si>
    <t>1015.51万</t>
  </si>
  <si>
    <t>19891116亿</t>
  </si>
  <si>
    <t>181752310亿</t>
  </si>
  <si>
    <t>210.89万</t>
  </si>
  <si>
    <t>570066130亿</t>
  </si>
  <si>
    <t>2.71亿</t>
  </si>
  <si>
    <t>2000.00万</t>
  </si>
  <si>
    <t>9417.83万</t>
  </si>
  <si>
    <t>-4356.30万</t>
  </si>
  <si>
    <t>-9682.98万</t>
  </si>
  <si>
    <t>1342.32万</t>
  </si>
  <si>
    <t>1948.70万</t>
  </si>
  <si>
    <t>10派2元(含税)</t>
  </si>
  <si>
    <t>1822.74万</t>
  </si>
  <si>
    <t>426.76万</t>
  </si>
  <si>
    <t>25.63亿</t>
  </si>
  <si>
    <t>18.37亿</t>
  </si>
  <si>
    <t>27.11亿</t>
  </si>
  <si>
    <t>4150.28万</t>
  </si>
  <si>
    <t>2645.54万</t>
  </si>
  <si>
    <t>29.84万</t>
  </si>
  <si>
    <t>59632694亿</t>
  </si>
  <si>
    <t>4.06亿</t>
  </si>
  <si>
    <t>746312230亿</t>
  </si>
  <si>
    <t>1739.82万</t>
  </si>
  <si>
    <t>2886818900亿</t>
  </si>
  <si>
    <t>47.95万</t>
  </si>
  <si>
    <t>21.49亿</t>
  </si>
  <si>
    <t>1151.77万</t>
  </si>
  <si>
    <t>-6032.43万</t>
  </si>
  <si>
    <t>26.20亿</t>
  </si>
  <si>
    <t>3.45亿</t>
  </si>
  <si>
    <t>5378.16万</t>
  </si>
  <si>
    <t>3739.64万</t>
  </si>
  <si>
    <t>3.55亿</t>
  </si>
  <si>
    <t>92.84万</t>
  </si>
  <si>
    <t>10.64亿</t>
  </si>
  <si>
    <t>19.41亿</t>
  </si>
  <si>
    <t>2.59亿</t>
  </si>
  <si>
    <t>8544.17万</t>
  </si>
  <si>
    <t>1044.63万</t>
  </si>
  <si>
    <t>1726.57万</t>
  </si>
  <si>
    <t>463776亿</t>
  </si>
  <si>
    <t>7.08万</t>
  </si>
  <si>
    <t>21972906亿</t>
  </si>
  <si>
    <t>6.29亿</t>
  </si>
  <si>
    <t>273392010亿</t>
  </si>
  <si>
    <t>1237149650亿</t>
  </si>
  <si>
    <t>5.25亿</t>
  </si>
  <si>
    <t>7732.85万</t>
  </si>
  <si>
    <t>6461.47万</t>
  </si>
  <si>
    <t>-2712.55万</t>
  </si>
  <si>
    <t>-1750.78万</t>
  </si>
  <si>
    <t>-3641.68万</t>
  </si>
  <si>
    <t>2668.55万</t>
  </si>
  <si>
    <t>483.14万</t>
  </si>
  <si>
    <t>3657.24万</t>
  </si>
  <si>
    <t>405.98万</t>
  </si>
  <si>
    <t>14.19亿</t>
  </si>
  <si>
    <t>8.84亿</t>
  </si>
  <si>
    <t>239.48万</t>
  </si>
  <si>
    <t>1144.52万</t>
  </si>
  <si>
    <t>4867348亿</t>
  </si>
  <si>
    <t>134937350亿</t>
  </si>
  <si>
    <t>1261527280亿</t>
  </si>
  <si>
    <t>255.06万</t>
  </si>
  <si>
    <t>3.81亿</t>
  </si>
  <si>
    <t>6090.94万</t>
  </si>
  <si>
    <t>5145.32万</t>
  </si>
  <si>
    <t>2.64亿</t>
  </si>
  <si>
    <t>3298.92万</t>
  </si>
  <si>
    <t>-1607.71万</t>
  </si>
  <si>
    <t>6837.64万</t>
  </si>
  <si>
    <t>3134.01万</t>
  </si>
  <si>
    <t>7.13亿</t>
  </si>
  <si>
    <t>-707.39万</t>
  </si>
  <si>
    <t>1379.10万</t>
  </si>
  <si>
    <t>10派0.098856元(含税)</t>
  </si>
  <si>
    <t>2334.16万</t>
  </si>
  <si>
    <t>4-0</t>
  </si>
  <si>
    <t>326.98万</t>
  </si>
  <si>
    <t>15.54亿</t>
  </si>
  <si>
    <t>12.32亿</t>
  </si>
  <si>
    <t>5581.11万</t>
  </si>
  <si>
    <t>1.98亿</t>
  </si>
  <si>
    <t>546.84万</t>
  </si>
  <si>
    <t>2302.61万</t>
  </si>
  <si>
    <t>26078791亿</t>
  </si>
  <si>
    <t>238496110亿</t>
  </si>
  <si>
    <t>6586.65万</t>
  </si>
  <si>
    <t>1166740310亿</t>
  </si>
  <si>
    <t>9411.01万</t>
  </si>
  <si>
    <t>9563.99万</t>
  </si>
  <si>
    <t>2158.66万</t>
  </si>
  <si>
    <t>-3891.90万</t>
  </si>
  <si>
    <t>10.67亿</t>
  </si>
  <si>
    <t>7527.94万</t>
  </si>
  <si>
    <t>1285.88万</t>
  </si>
  <si>
    <t>10派0.499996元(含税)</t>
  </si>
  <si>
    <t>1091.39万</t>
  </si>
  <si>
    <t>7092.28万</t>
  </si>
  <si>
    <t>1329.97万</t>
  </si>
  <si>
    <t>9.64亿</t>
  </si>
  <si>
    <t>8507.84万</t>
  </si>
  <si>
    <t>9.75亿</t>
  </si>
  <si>
    <t>2826.65万</t>
  </si>
  <si>
    <t>7927.98万</t>
  </si>
  <si>
    <t>6425.13万</t>
  </si>
  <si>
    <t>510.05万</t>
  </si>
  <si>
    <t>561.45万</t>
  </si>
  <si>
    <t>-32698亿</t>
  </si>
  <si>
    <t>2.60万</t>
  </si>
  <si>
    <t>8146709亿</t>
  </si>
  <si>
    <t>3.08亿</t>
  </si>
  <si>
    <t>204532000亿</t>
  </si>
  <si>
    <t>534.48万</t>
  </si>
  <si>
    <t>833453350亿</t>
  </si>
  <si>
    <t>577.37万</t>
  </si>
  <si>
    <t>6887.93万</t>
  </si>
  <si>
    <t>4.15亿</t>
  </si>
  <si>
    <t>-823.38万</t>
  </si>
  <si>
    <t>-2686.51万</t>
  </si>
  <si>
    <t>4.28亿</t>
  </si>
  <si>
    <t>6583.51万</t>
  </si>
  <si>
    <t>4.03亿</t>
  </si>
  <si>
    <t>3612.07万</t>
  </si>
  <si>
    <t>1297.53万</t>
  </si>
  <si>
    <t>6802.48万</t>
  </si>
  <si>
    <t>-2-0</t>
  </si>
  <si>
    <t>26.90万</t>
  </si>
  <si>
    <t>11.76亿</t>
  </si>
  <si>
    <t>28.99亿</t>
  </si>
  <si>
    <t>5.48亿</t>
  </si>
  <si>
    <t>5.12亿</t>
  </si>
  <si>
    <t>2124.97万</t>
  </si>
  <si>
    <t>3415.44万</t>
  </si>
  <si>
    <t>1066671亿</t>
  </si>
  <si>
    <t>2.98万</t>
  </si>
  <si>
    <t>38006614亿</t>
  </si>
  <si>
    <t>11.68亿</t>
  </si>
  <si>
    <t>489389180亿</t>
  </si>
  <si>
    <t>2396607500亿</t>
  </si>
  <si>
    <t>474.35万</t>
  </si>
  <si>
    <t>9.61亿</t>
  </si>
  <si>
    <t>-1.15亿</t>
  </si>
  <si>
    <t>-287.70万</t>
  </si>
  <si>
    <t>24.73亿</t>
  </si>
  <si>
    <t>25.93亿</t>
  </si>
  <si>
    <t>2853.01万</t>
  </si>
  <si>
    <t>173.19万</t>
  </si>
  <si>
    <t>1837.55万</t>
  </si>
  <si>
    <t>0115000000</t>
  </si>
  <si>
    <t>0345000000</t>
  </si>
  <si>
    <t>0690000000</t>
  </si>
  <si>
    <t>01150000000</t>
  </si>
  <si>
    <t>02300000000</t>
  </si>
  <si>
    <t>165.14万</t>
  </si>
  <si>
    <t>9.07亿</t>
  </si>
  <si>
    <t>23.92亿</t>
  </si>
  <si>
    <t>8924.94万</t>
  </si>
  <si>
    <t>798.30万</t>
  </si>
  <si>
    <t>2934.31万</t>
  </si>
  <si>
    <t>288742亿</t>
  </si>
  <si>
    <t>1000.17万</t>
  </si>
  <si>
    <t>43837157亿</t>
  </si>
  <si>
    <t>8.65亿</t>
  </si>
  <si>
    <t>331191200亿</t>
  </si>
  <si>
    <t>480.00万</t>
  </si>
  <si>
    <t>1763075100亿</t>
  </si>
  <si>
    <t>3385.96万</t>
  </si>
  <si>
    <t>8.16亿</t>
  </si>
  <si>
    <t>2567.56万</t>
  </si>
  <si>
    <t>-1.95亿</t>
  </si>
  <si>
    <t>235.22万</t>
  </si>
  <si>
    <t>16.08亿</t>
  </si>
  <si>
    <t>17.37亿</t>
  </si>
  <si>
    <t>1756.71万</t>
  </si>
  <si>
    <t>10派0.534269元(含税)</t>
  </si>
  <si>
    <t>1175.44万</t>
  </si>
  <si>
    <t>7378.22万</t>
  </si>
  <si>
    <t>4-1</t>
  </si>
  <si>
    <t>SZ301355</t>
  </si>
  <si>
    <t>南王科技</t>
  </si>
  <si>
    <t>134.40万</t>
  </si>
  <si>
    <t>15.41亿</t>
  </si>
  <si>
    <t>-2.67亿</t>
  </si>
  <si>
    <t>2.86亿</t>
  </si>
  <si>
    <t>626.75万</t>
  </si>
  <si>
    <t>1886.76万</t>
  </si>
  <si>
    <t>4604278亿</t>
  </si>
  <si>
    <t>4.17万</t>
  </si>
  <si>
    <t>16409230亿</t>
  </si>
  <si>
    <t>161266610亿</t>
  </si>
  <si>
    <t>72.12万</t>
  </si>
  <si>
    <t>887136410亿</t>
  </si>
  <si>
    <t>5161.19万</t>
  </si>
  <si>
    <t>5.64亿</t>
  </si>
  <si>
    <t>3912.21万</t>
  </si>
  <si>
    <t>-2087.74万</t>
  </si>
  <si>
    <t>1043.31万</t>
  </si>
  <si>
    <t>10.54亿</t>
  </si>
  <si>
    <t>11.95亿</t>
  </si>
  <si>
    <t>8.48亿</t>
  </si>
  <si>
    <t>6.91亿</t>
  </si>
  <si>
    <t>5.13亿</t>
  </si>
  <si>
    <t>7575.26万</t>
  </si>
  <si>
    <t>8401.52万</t>
  </si>
  <si>
    <t>6615.27万</t>
  </si>
  <si>
    <t>6400.18万</t>
  </si>
  <si>
    <t>5617.64万</t>
  </si>
  <si>
    <t>11.50亿</t>
  </si>
  <si>
    <t>7197.88万</t>
  </si>
  <si>
    <t>4769.25万</t>
  </si>
  <si>
    <t>765.02万</t>
  </si>
  <si>
    <t>5546.67万</t>
  </si>
  <si>
    <t>9176.38万</t>
  </si>
  <si>
    <t>25.56亿</t>
  </si>
  <si>
    <t>44.07亿</t>
  </si>
  <si>
    <t>5250.59万</t>
  </si>
  <si>
    <t>31.01亿</t>
  </si>
  <si>
    <t>-6082.91万</t>
  </si>
  <si>
    <t>-34418056亿</t>
  </si>
  <si>
    <t>56788123亿</t>
  </si>
  <si>
    <t>4188355000亿</t>
  </si>
  <si>
    <t>446.59万</t>
  </si>
  <si>
    <t>3892.19万</t>
  </si>
  <si>
    <t>116.76万</t>
  </si>
  <si>
    <t>327.41万</t>
  </si>
  <si>
    <t>-230.10万</t>
  </si>
  <si>
    <t>96.55万</t>
  </si>
  <si>
    <t>-1.92亿</t>
  </si>
  <si>
    <t>2.46亿</t>
  </si>
  <si>
    <t>8.12亿</t>
  </si>
  <si>
    <t>-2.97亿</t>
  </si>
  <si>
    <t>1988.74万</t>
  </si>
  <si>
    <t>6.02亿</t>
  </si>
  <si>
    <t>1034.98万</t>
  </si>
  <si>
    <t>74.39亿</t>
  </si>
  <si>
    <t>64.20亿</t>
  </si>
  <si>
    <t>22.43亿</t>
  </si>
  <si>
    <t>31.34亿</t>
  </si>
  <si>
    <t>8.01亿</t>
  </si>
  <si>
    <t>6595217亿</t>
  </si>
  <si>
    <t>152.20万</t>
  </si>
  <si>
    <t>156771780亿</t>
  </si>
  <si>
    <t>26.96亿</t>
  </si>
  <si>
    <t>1642925800亿</t>
  </si>
  <si>
    <t>8002673800亿</t>
  </si>
  <si>
    <t>11.26亿</t>
  </si>
  <si>
    <t>365.45万</t>
  </si>
  <si>
    <t>-1.49亿</t>
  </si>
  <si>
    <t>-2.34亿</t>
  </si>
  <si>
    <t>96.08亿</t>
  </si>
  <si>
    <t>91.16亿</t>
  </si>
  <si>
    <t>5.60亿</t>
  </si>
  <si>
    <t>7715.10万</t>
  </si>
  <si>
    <t>0801000000</t>
  </si>
  <si>
    <t>02403000000</t>
  </si>
  <si>
    <t>04806000000</t>
  </si>
  <si>
    <t>08010000000</t>
  </si>
  <si>
    <t>016020000000</t>
  </si>
  <si>
    <t>*ST易连</t>
  </si>
  <si>
    <t>11.32亿</t>
  </si>
  <si>
    <t>229.53亿</t>
  </si>
  <si>
    <t>10.08亿</t>
  </si>
  <si>
    <t>296.59万</t>
  </si>
  <si>
    <t>1615.90万</t>
  </si>
  <si>
    <t>-11177亿</t>
  </si>
  <si>
    <t>-10868516亿</t>
  </si>
  <si>
    <t>5777.09万</t>
  </si>
  <si>
    <t>81.91万</t>
  </si>
  <si>
    <t>1270727300亿</t>
  </si>
  <si>
    <t>82.78万</t>
  </si>
  <si>
    <t>6.98亿</t>
  </si>
  <si>
    <t>803.07万</t>
  </si>
  <si>
    <t>-218.50万</t>
  </si>
  <si>
    <t>-670.32万</t>
  </si>
  <si>
    <t>-8101.19万</t>
  </si>
  <si>
    <t>85.20亿</t>
  </si>
  <si>
    <t>-2876.67万</t>
  </si>
  <si>
    <t>24.34亿</t>
  </si>
  <si>
    <t>9820.34万</t>
  </si>
  <si>
    <t>账面净赚</t>
  </si>
  <si>
    <t>东峰集团</t>
  </si>
  <si>
    <t>1184.56万</t>
  </si>
  <si>
    <t>13.49亿</t>
  </si>
  <si>
    <t>60.69亿</t>
  </si>
  <si>
    <t>933.15万</t>
  </si>
  <si>
    <t>5011.98万</t>
  </si>
  <si>
    <t>-16599734亿</t>
  </si>
  <si>
    <t>36.80万</t>
  </si>
  <si>
    <t>1694970亿</t>
  </si>
  <si>
    <t>21.84亿</t>
  </si>
  <si>
    <t>458696090亿</t>
  </si>
  <si>
    <t>2.81亿</t>
  </si>
  <si>
    <t>3571414100亿</t>
  </si>
  <si>
    <t>6105.59万</t>
  </si>
  <si>
    <t>6.34亿</t>
  </si>
  <si>
    <t>1469.55万</t>
  </si>
  <si>
    <t>-5.57亿</t>
  </si>
  <si>
    <t>-4221.59万</t>
  </si>
  <si>
    <t>1370.57万</t>
  </si>
  <si>
    <t>37.44亿</t>
  </si>
  <si>
    <t>2.89亿</t>
  </si>
  <si>
    <t>26.31亿</t>
  </si>
  <si>
    <t>2.82亿</t>
  </si>
  <si>
    <t>10派0.25元(含税)</t>
  </si>
  <si>
    <t>5403.24万</t>
  </si>
  <si>
    <t>0546000000</t>
  </si>
  <si>
    <t>01638000000</t>
  </si>
  <si>
    <t>03276000000</t>
  </si>
  <si>
    <t>05460000000</t>
  </si>
  <si>
    <t>010920000000</t>
  </si>
  <si>
    <t>369.98万</t>
  </si>
  <si>
    <t>42.36亿</t>
  </si>
  <si>
    <t>40.41亿</t>
  </si>
  <si>
    <t>46.79亿</t>
  </si>
  <si>
    <t>6.25亿</t>
  </si>
  <si>
    <t>18.16亿</t>
  </si>
  <si>
    <t>2064.52万</t>
  </si>
  <si>
    <t>4834.95万</t>
  </si>
  <si>
    <t>-7130045亿</t>
  </si>
  <si>
    <t>119.23万</t>
  </si>
  <si>
    <t>52221336亿</t>
  </si>
  <si>
    <t>6.97亿</t>
  </si>
  <si>
    <t>1376351800亿</t>
  </si>
  <si>
    <t>895.43万</t>
  </si>
  <si>
    <t>3289627200亿</t>
  </si>
  <si>
    <t>7533.52万</t>
  </si>
  <si>
    <t>6522.98万</t>
  </si>
  <si>
    <t>6.47亿</t>
  </si>
  <si>
    <t>34.07亿</t>
  </si>
  <si>
    <t>7.20亿</t>
  </si>
  <si>
    <t>-9901.66万</t>
  </si>
  <si>
    <t>3816.58万</t>
  </si>
  <si>
    <t>85.43亿</t>
  </si>
  <si>
    <t>69.83亿</t>
  </si>
  <si>
    <t>77.60亿</t>
  </si>
  <si>
    <t>12.23亿</t>
  </si>
  <si>
    <t>10派0.98元(含税)</t>
  </si>
  <si>
    <t>1647.51万</t>
  </si>
  <si>
    <t>228.58万</t>
  </si>
  <si>
    <t>7.84亿</t>
  </si>
  <si>
    <t>5299.51万</t>
  </si>
  <si>
    <t>-1573.92万</t>
  </si>
  <si>
    <t>553.92万</t>
  </si>
  <si>
    <t>1657.86万</t>
  </si>
  <si>
    <t>203315亿</t>
  </si>
  <si>
    <t>2.64万</t>
  </si>
  <si>
    <t>11188986亿</t>
  </si>
  <si>
    <t>263391050亿</t>
  </si>
  <si>
    <t>426.81万</t>
  </si>
  <si>
    <t>538708390亿</t>
  </si>
  <si>
    <t>280.01万</t>
  </si>
  <si>
    <t>2.27亿</t>
  </si>
  <si>
    <t>1520.41万</t>
  </si>
  <si>
    <t>-1588.64万</t>
  </si>
  <si>
    <t>-37.10万</t>
  </si>
  <si>
    <t>3513.15万</t>
  </si>
  <si>
    <t>2058.78万</t>
  </si>
  <si>
    <t>8.64亿</t>
  </si>
  <si>
    <t>1347.26万</t>
  </si>
  <si>
    <t>5168.27万</t>
  </si>
  <si>
    <t>-56.48万</t>
  </si>
  <si>
    <t>10派0.78元(含税)</t>
  </si>
  <si>
    <t>955.21万</t>
  </si>
  <si>
    <t>7551.08万</t>
  </si>
  <si>
    <t>-5-0</t>
  </si>
  <si>
    <t>3405.68万</t>
  </si>
  <si>
    <t>12.38亿</t>
  </si>
  <si>
    <t>9251.38万</t>
  </si>
  <si>
    <t>283.94万</t>
  </si>
  <si>
    <t>1887.44万</t>
  </si>
  <si>
    <t>616168亿</t>
  </si>
  <si>
    <t>11.66万</t>
  </si>
  <si>
    <t>41409015亿</t>
  </si>
  <si>
    <t>341939670亿</t>
  </si>
  <si>
    <t>293.68万</t>
  </si>
  <si>
    <t>793040100亿</t>
  </si>
  <si>
    <t>4000.00万</t>
  </si>
  <si>
    <t>6400.00万</t>
  </si>
  <si>
    <t>-2229.09万</t>
  </si>
  <si>
    <t>-3927.11万</t>
  </si>
  <si>
    <t>320.44万</t>
  </si>
  <si>
    <t>3777.78万</t>
  </si>
  <si>
    <t>8.18亿</t>
  </si>
  <si>
    <t>1.00亿</t>
  </si>
  <si>
    <t>716.09万</t>
  </si>
  <si>
    <t>10派0.8元(含税)</t>
  </si>
  <si>
    <t>5695.04万</t>
  </si>
  <si>
    <t>341.91万</t>
  </si>
  <si>
    <t>3.26亿</t>
  </si>
  <si>
    <t>16.35亿</t>
  </si>
  <si>
    <t>184.46万</t>
  </si>
  <si>
    <t>1641.24万</t>
  </si>
  <si>
    <t>44239亿</t>
  </si>
  <si>
    <t>53324133亿</t>
  </si>
  <si>
    <t>10.11亿</t>
  </si>
  <si>
    <t>90729367亿</t>
  </si>
  <si>
    <t>1167414460亿</t>
  </si>
  <si>
    <t>1081.35万</t>
  </si>
  <si>
    <t>5804.05万</t>
  </si>
  <si>
    <t>49.98万</t>
  </si>
  <si>
    <t>609.87万</t>
  </si>
  <si>
    <t>8888.76万</t>
  </si>
  <si>
    <t>-4282.94万</t>
  </si>
  <si>
    <t>8.28亿</t>
  </si>
  <si>
    <t>6.63亿</t>
  </si>
  <si>
    <t>3.49亿</t>
  </si>
  <si>
    <t>5493.27万</t>
  </si>
  <si>
    <t>2246.47万</t>
  </si>
  <si>
    <t>296.77万</t>
  </si>
  <si>
    <t>7.17亿</t>
  </si>
  <si>
    <t>1.71亿</t>
  </si>
  <si>
    <t>6705.13万</t>
  </si>
  <si>
    <t>476.81万</t>
  </si>
  <si>
    <t>1855.06万</t>
  </si>
  <si>
    <t>18.00万</t>
  </si>
  <si>
    <t>3231483亿</t>
  </si>
  <si>
    <t>9458.19万</t>
  </si>
  <si>
    <t>229008170亿</t>
  </si>
  <si>
    <t>227.00万</t>
  </si>
  <si>
    <t>517242020亿</t>
  </si>
  <si>
    <t>1256.64万</t>
  </si>
  <si>
    <t>2738.52万</t>
  </si>
  <si>
    <t>174.21万</t>
  </si>
  <si>
    <t>4106.12万</t>
  </si>
  <si>
    <t>3253.92万</t>
  </si>
  <si>
    <t>-6061.55万</t>
  </si>
  <si>
    <t>5258.85万</t>
  </si>
  <si>
    <t>1366.41万</t>
  </si>
  <si>
    <t>6.94亿</t>
  </si>
  <si>
    <t>768.56万</t>
  </si>
  <si>
    <t>1609.01万</t>
  </si>
  <si>
    <t>1470.39万</t>
  </si>
  <si>
    <t>134.86万</t>
  </si>
  <si>
    <t>10.34亿</t>
  </si>
  <si>
    <t>12.74亿</t>
  </si>
  <si>
    <t>-3015.73万</t>
  </si>
  <si>
    <t>742.16万</t>
  </si>
  <si>
    <t>952.47万</t>
  </si>
  <si>
    <t>494997亿</t>
  </si>
  <si>
    <t>20056498亿</t>
  </si>
  <si>
    <t>215747440亿</t>
  </si>
  <si>
    <t>19.00万</t>
  </si>
  <si>
    <t>899362000亿</t>
  </si>
  <si>
    <t>6163.71万</t>
  </si>
  <si>
    <t>13.59万</t>
  </si>
  <si>
    <t>2573.28万</t>
  </si>
  <si>
    <t>9047.52万</t>
  </si>
  <si>
    <t>-1.52亿</t>
  </si>
  <si>
    <t>3.21亿</t>
  </si>
  <si>
    <t>9335.76万</t>
  </si>
  <si>
    <t>-1345.21万</t>
  </si>
  <si>
    <t>870.42万</t>
  </si>
  <si>
    <t>3-0</t>
  </si>
  <si>
    <t>314.74万</t>
  </si>
  <si>
    <t>35.02亿</t>
  </si>
  <si>
    <t>4.67亿</t>
  </si>
  <si>
    <t>71.84亿</t>
  </si>
  <si>
    <t>50.39亿</t>
  </si>
  <si>
    <t>3.97亿</t>
  </si>
  <si>
    <t>683.08万</t>
  </si>
  <si>
    <t>3134.28万</t>
  </si>
  <si>
    <t>20.55万</t>
  </si>
  <si>
    <t>13481943亿</t>
  </si>
  <si>
    <t>494231290亿</t>
  </si>
  <si>
    <t>435.30万</t>
  </si>
  <si>
    <t>2326764000亿</t>
  </si>
  <si>
    <t>5982.61万</t>
  </si>
  <si>
    <t>939.52万</t>
  </si>
  <si>
    <t>-1.73亿</t>
  </si>
  <si>
    <t>20.58亿</t>
  </si>
  <si>
    <t>20.14亿</t>
  </si>
  <si>
    <t>8854.99万</t>
  </si>
  <si>
    <t>8.21亿</t>
  </si>
  <si>
    <t>10派0.4873元(含税)</t>
  </si>
  <si>
    <t>1541.77万</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</si>
</sst>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9"/>
      <color theme="1"/>
      <name val="宋体"/>
      <family val="3"/>
      <charset val="134"/>
      <scheme val="minor"/>
    </font>
    <font>
      <sz val="9"/>
      <color rgb="FFFF0000"/>
      <name val="宋体"/>
      <family val="2"/>
      <charset val="134"/>
      <scheme val="minor"/>
    </font>
    <font>
      <sz val="11"/>
      <color rgb="FF000000"/>
      <name val="宋体"/>
      <family val="3"/>
      <charset val="134"/>
    </font>
    <font>
      <b/>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4">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0" fontId="6"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349250</xdr:colOff>
          <xdr:row>0</xdr:row>
          <xdr:rowOff>69850</xdr:rowOff>
        </xdr:from>
        <xdr:to>
          <xdr:col>147</xdr:col>
          <xdr:colOff>1543050</xdr:colOff>
          <xdr:row>0</xdr:row>
          <xdr:rowOff>381000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45"/>
  <sheetViews>
    <sheetView tabSelected="1" zoomScale="85" zoomScaleNormal="85" workbookViewId="0">
      <pane xSplit="5" ySplit="1" topLeftCell="DN2" activePane="bottomRight" state="frozen"/>
      <selection pane="topRight" activeCell="F1" sqref="F1"/>
      <selection pane="bottomLeft" activeCell="A2" sqref="A2"/>
      <selection pane="bottomRight" activeCell="C8" sqref="C8"/>
    </sheetView>
  </sheetViews>
  <sheetFormatPr defaultRowHeight="14" x14ac:dyDescent="0.25"/>
  <cols>
    <col min="1" max="1" width="37.08984375" customWidth="1"/>
    <col min="2" max="2" width="42.36328125" customWidth="1"/>
    <col min="3" max="3" width="44.36328125" customWidth="1"/>
    <col min="148" max="148" width="25.81640625" customWidth="1"/>
  </cols>
  <sheetData>
    <row r="1" spans="1:146" ht="38.5" customHeight="1" x14ac:dyDescent="0.25">
      <c r="A1" s="3" t="s">
        <v>30</v>
      </c>
      <c r="B1" s="4" t="s">
        <v>31</v>
      </c>
      <c r="C1" s="3" t="s">
        <v>32</v>
      </c>
      <c r="D1" t="s">
        <v>33</v>
      </c>
      <c r="E1" t="s">
        <v>456</v>
      </c>
      <c r="F1" t="s">
        <v>3</v>
      </c>
      <c r="G1" t="s">
        <v>614</v>
      </c>
      <c r="H1" t="s">
        <v>615</v>
      </c>
      <c r="I1" t="s">
        <v>34</v>
      </c>
      <c r="J1" t="s">
        <v>35</v>
      </c>
      <c r="K1" t="s">
        <v>4</v>
      </c>
      <c r="L1" t="s">
        <v>36</v>
      </c>
      <c r="M1" t="s">
        <v>37</v>
      </c>
      <c r="N1" t="s">
        <v>38</v>
      </c>
      <c r="O1" t="s">
        <v>39</v>
      </c>
      <c r="P1" t="s">
        <v>616</v>
      </c>
      <c r="Q1" t="s">
        <v>482</v>
      </c>
      <c r="R1" t="s">
        <v>457</v>
      </c>
      <c r="S1" t="s">
        <v>40</v>
      </c>
      <c r="T1" t="s">
        <v>617</v>
      </c>
      <c r="U1" t="s">
        <v>390</v>
      </c>
      <c r="V1" t="s">
        <v>41</v>
      </c>
      <c r="W1" t="s">
        <v>483</v>
      </c>
      <c r="X1" t="s">
        <v>484</v>
      </c>
      <c r="Y1" t="s">
        <v>485</v>
      </c>
      <c r="Z1" t="s">
        <v>486</v>
      </c>
      <c r="AA1" t="s">
        <v>487</v>
      </c>
      <c r="AB1" t="s">
        <v>618</v>
      </c>
      <c r="AC1" t="s">
        <v>488</v>
      </c>
      <c r="AD1" t="s">
        <v>489</v>
      </c>
      <c r="AE1" t="s">
        <v>42</v>
      </c>
      <c r="AF1" t="s">
        <v>43</v>
      </c>
      <c r="AG1" t="s">
        <v>619</v>
      </c>
      <c r="AH1" t="s">
        <v>458</v>
      </c>
      <c r="AI1" t="s">
        <v>620</v>
      </c>
      <c r="AJ1" t="s">
        <v>44</v>
      </c>
      <c r="AK1" t="s">
        <v>621</v>
      </c>
      <c r="AL1" t="s">
        <v>175</v>
      </c>
      <c r="AM1" t="s">
        <v>622</v>
      </c>
      <c r="AN1" t="s">
        <v>623</v>
      </c>
      <c r="AO1" t="s">
        <v>624</v>
      </c>
      <c r="AP1" t="s">
        <v>625</v>
      </c>
      <c r="AQ1" t="s">
        <v>626</v>
      </c>
      <c r="AR1" t="s">
        <v>627</v>
      </c>
      <c r="AS1" t="s">
        <v>628</v>
      </c>
      <c r="AT1" t="s">
        <v>629</v>
      </c>
      <c r="AU1" t="s">
        <v>630</v>
      </c>
      <c r="AV1" t="s">
        <v>631</v>
      </c>
      <c r="AW1" t="s">
        <v>632</v>
      </c>
      <c r="AX1" t="s">
        <v>459</v>
      </c>
      <c r="AY1" t="s">
        <v>176</v>
      </c>
      <c r="AZ1" t="s">
        <v>177</v>
      </c>
      <c r="BA1" t="s">
        <v>393</v>
      </c>
      <c r="BB1" t="s">
        <v>178</v>
      </c>
      <c r="BC1" t="s">
        <v>394</v>
      </c>
      <c r="BD1" t="s">
        <v>179</v>
      </c>
      <c r="BE1" t="s">
        <v>180</v>
      </c>
      <c r="BF1" t="s">
        <v>181</v>
      </c>
      <c r="BG1" t="s">
        <v>182</v>
      </c>
      <c r="BH1" t="s">
        <v>633</v>
      </c>
      <c r="BI1" t="s">
        <v>634</v>
      </c>
      <c r="BJ1" t="s">
        <v>635</v>
      </c>
      <c r="BK1" t="s">
        <v>636</v>
      </c>
      <c r="BL1" t="s">
        <v>637</v>
      </c>
      <c r="BM1" t="s">
        <v>638</v>
      </c>
      <c r="BN1" t="s">
        <v>460</v>
      </c>
      <c r="BO1" t="s">
        <v>391</v>
      </c>
      <c r="BP1" t="s">
        <v>183</v>
      </c>
      <c r="BQ1" t="s">
        <v>461</v>
      </c>
      <c r="BR1" t="s">
        <v>392</v>
      </c>
      <c r="BS1" t="s">
        <v>184</v>
      </c>
      <c r="BT1" t="s">
        <v>639</v>
      </c>
      <c r="BU1" t="s">
        <v>490</v>
      </c>
      <c r="BV1" t="s">
        <v>640</v>
      </c>
      <c r="BW1" t="s">
        <v>352</v>
      </c>
      <c r="BX1" t="s">
        <v>185</v>
      </c>
      <c r="BY1" t="s">
        <v>641</v>
      </c>
      <c r="BZ1" t="s">
        <v>353</v>
      </c>
      <c r="CA1" t="s">
        <v>186</v>
      </c>
      <c r="CB1" t="s">
        <v>642</v>
      </c>
      <c r="CC1" t="s">
        <v>643</v>
      </c>
      <c r="CD1" t="s">
        <v>644</v>
      </c>
      <c r="CE1" t="s">
        <v>645</v>
      </c>
      <c r="CF1" s="1" t="s">
        <v>335</v>
      </c>
      <c r="CG1" s="1" t="s">
        <v>336</v>
      </c>
      <c r="CH1" s="1" t="s">
        <v>337</v>
      </c>
      <c r="CI1" s="1" t="s">
        <v>338</v>
      </c>
      <c r="CJ1" s="1" t="s">
        <v>339</v>
      </c>
      <c r="CK1" s="1" t="s">
        <v>340</v>
      </c>
      <c r="CL1" s="1" t="s">
        <v>341</v>
      </c>
      <c r="CM1" s="1" t="s">
        <v>342</v>
      </c>
      <c r="CN1" s="1" t="s">
        <v>343</v>
      </c>
      <c r="CO1" s="1" t="s">
        <v>344</v>
      </c>
      <c r="CP1" s="1" t="s">
        <v>345</v>
      </c>
      <c r="CQ1" s="1" t="s">
        <v>346</v>
      </c>
      <c r="CR1" s="1" t="s">
        <v>491</v>
      </c>
      <c r="CS1" s="1" t="s">
        <v>661</v>
      </c>
      <c r="CT1" s="1" t="s">
        <v>662</v>
      </c>
      <c r="CU1" s="1" t="s">
        <v>663</v>
      </c>
      <c r="CV1" s="1" t="s">
        <v>664</v>
      </c>
      <c r="CW1" s="1" t="s">
        <v>665</v>
      </c>
      <c r="CX1">
        <v>1</v>
      </c>
      <c r="CY1" t="s">
        <v>646</v>
      </c>
      <c r="CZ1" t="s">
        <v>666</v>
      </c>
      <c r="DA1">
        <v>3</v>
      </c>
      <c r="DB1" t="s">
        <v>667</v>
      </c>
      <c r="DC1" t="s">
        <v>647</v>
      </c>
      <c r="DD1">
        <v>6</v>
      </c>
      <c r="DE1" t="s">
        <v>648</v>
      </c>
      <c r="DF1" t="s">
        <v>668</v>
      </c>
      <c r="DG1">
        <v>10</v>
      </c>
      <c r="DH1" t="s">
        <v>649</v>
      </c>
      <c r="DI1" t="s">
        <v>669</v>
      </c>
      <c r="DJ1">
        <v>20</v>
      </c>
      <c r="DK1" t="s">
        <v>650</v>
      </c>
      <c r="DL1" t="s">
        <v>347</v>
      </c>
      <c r="DM1" t="s">
        <v>348</v>
      </c>
      <c r="DN1" s="2" t="s">
        <v>349</v>
      </c>
      <c r="DO1" t="s">
        <v>670</v>
      </c>
      <c r="DP1" t="s">
        <v>671</v>
      </c>
      <c r="DQ1" s="11" t="s">
        <v>651</v>
      </c>
      <c r="DR1" s="1" t="s">
        <v>672</v>
      </c>
      <c r="DS1" s="1" t="s">
        <v>652</v>
      </c>
      <c r="DT1" t="s">
        <v>673</v>
      </c>
      <c r="DU1" t="s">
        <v>674</v>
      </c>
      <c r="DV1" t="s">
        <v>653</v>
      </c>
      <c r="DW1" t="s">
        <v>675</v>
      </c>
      <c r="DX1" t="s">
        <v>654</v>
      </c>
      <c r="DY1" t="s">
        <v>655</v>
      </c>
      <c r="DZ1" t="s">
        <v>656</v>
      </c>
      <c r="EA1" t="s">
        <v>676</v>
      </c>
      <c r="EB1" t="s">
        <v>677</v>
      </c>
      <c r="EC1" t="s">
        <v>657</v>
      </c>
      <c r="ED1" t="s">
        <v>678</v>
      </c>
      <c r="EE1" t="s">
        <v>679</v>
      </c>
      <c r="EF1" t="s">
        <v>680</v>
      </c>
      <c r="EG1" t="s">
        <v>681</v>
      </c>
      <c r="EH1" t="s">
        <v>658</v>
      </c>
      <c r="EI1" t="s">
        <v>659</v>
      </c>
      <c r="EK1" s="12" t="s">
        <v>660</v>
      </c>
      <c r="EL1" t="s">
        <v>492</v>
      </c>
      <c r="EM1" t="s">
        <v>493</v>
      </c>
      <c r="EN1" t="s">
        <v>682</v>
      </c>
      <c r="EO1" t="s">
        <v>683</v>
      </c>
      <c r="EP1" t="s">
        <v>684</v>
      </c>
    </row>
    <row r="2" spans="1:146" ht="96" x14ac:dyDescent="0.25">
      <c r="A2" s="6"/>
      <c r="B2" s="6"/>
      <c r="C2" s="6" t="str">
        <f>""&amp;CHAR(10)&amp;Basic_Fundamental_Information_Constructure(F2)&amp;CHAR(10)&amp;Basic_Fundamental_Information_Concatenate("")</f>
        <v xml:space="preserve">
市值17.614125亿, 利润-7025.66万; PE; 平均PE-28.65; 平均PEG-6.66, PB5.54; ROIC4.2%; ROE-8.5133%; 股利率0%; 毛利18.5033%; 净利-6.09%; 上一年度营收增-3.38%, 利润增62.23%; 当季营收增-15.41%, 利润增59.42%; 过往5年营收增-4.3%, 利润增-350.56%
Income profile:
</v>
      </c>
      <c r="D2" t="s">
        <v>45</v>
      </c>
      <c r="E2" t="s">
        <v>5</v>
      </c>
      <c r="F2">
        <v>1.37</v>
      </c>
      <c r="G2">
        <v>1.48</v>
      </c>
      <c r="H2" t="s">
        <v>712</v>
      </c>
      <c r="I2">
        <v>1761412500</v>
      </c>
      <c r="K2">
        <v>5.54</v>
      </c>
      <c r="L2" t="s">
        <v>46</v>
      </c>
      <c r="M2" t="s">
        <v>713</v>
      </c>
      <c r="N2" t="s">
        <v>124</v>
      </c>
      <c r="O2" t="s">
        <v>290</v>
      </c>
      <c r="P2">
        <v>-15.5</v>
      </c>
      <c r="Q2" t="s">
        <v>714</v>
      </c>
      <c r="R2">
        <v>-9651351</v>
      </c>
      <c r="S2" s="5">
        <v>0.59419999999999995</v>
      </c>
      <c r="T2" t="s">
        <v>715</v>
      </c>
      <c r="U2">
        <v>1285702520</v>
      </c>
      <c r="V2">
        <v>1285702520</v>
      </c>
      <c r="W2">
        <v>7.94</v>
      </c>
      <c r="X2">
        <v>0.13</v>
      </c>
      <c r="Y2">
        <v>-4.07</v>
      </c>
      <c r="Z2" t="s">
        <v>528</v>
      </c>
      <c r="AA2" t="s">
        <v>716</v>
      </c>
      <c r="AB2" t="s">
        <v>717</v>
      </c>
      <c r="AC2" t="s">
        <v>718</v>
      </c>
      <c r="AD2" t="s">
        <v>49</v>
      </c>
      <c r="AE2">
        <v>21609566</v>
      </c>
      <c r="AF2" t="s">
        <v>50</v>
      </c>
      <c r="AG2" t="s">
        <v>719</v>
      </c>
      <c r="AH2" t="s">
        <v>720</v>
      </c>
      <c r="AI2" t="s">
        <v>721</v>
      </c>
      <c r="AJ2" t="s">
        <v>722</v>
      </c>
      <c r="AK2" t="s">
        <v>49</v>
      </c>
      <c r="AL2" t="s">
        <v>723</v>
      </c>
      <c r="AM2" t="s">
        <v>49</v>
      </c>
      <c r="AN2" t="s">
        <v>724</v>
      </c>
      <c r="AO2" t="s">
        <v>52</v>
      </c>
      <c r="AP2" t="s">
        <v>49</v>
      </c>
      <c r="AQ2" t="s">
        <v>725</v>
      </c>
      <c r="AR2" t="s">
        <v>726</v>
      </c>
      <c r="AS2" t="s">
        <v>599</v>
      </c>
      <c r="AT2" t="s">
        <v>727</v>
      </c>
      <c r="AU2" t="s">
        <v>728</v>
      </c>
      <c r="AV2" t="s">
        <v>729</v>
      </c>
      <c r="AW2" t="s">
        <v>730</v>
      </c>
      <c r="AX2" t="s">
        <v>604</v>
      </c>
      <c r="AY2" t="s">
        <v>395</v>
      </c>
      <c r="AZ2" t="s">
        <v>81</v>
      </c>
      <c r="BA2" t="s">
        <v>47</v>
      </c>
      <c r="BB2" t="s">
        <v>188</v>
      </c>
      <c r="BC2" t="s">
        <v>731</v>
      </c>
      <c r="BD2" t="s">
        <v>396</v>
      </c>
      <c r="BE2" t="s">
        <v>187</v>
      </c>
      <c r="BF2" t="s">
        <v>48</v>
      </c>
      <c r="BG2" t="s">
        <v>190</v>
      </c>
      <c r="BH2" t="s">
        <v>714</v>
      </c>
      <c r="BI2" t="s">
        <v>250</v>
      </c>
      <c r="BJ2" t="s">
        <v>604</v>
      </c>
      <c r="BK2" t="s">
        <v>715</v>
      </c>
      <c r="BL2" t="s">
        <v>732</v>
      </c>
      <c r="BM2" t="s">
        <v>731</v>
      </c>
      <c r="BN2">
        <v>4.53</v>
      </c>
      <c r="BO2" t="s">
        <v>49</v>
      </c>
      <c r="BP2">
        <v>3.87</v>
      </c>
      <c r="BQ2">
        <v>8.11</v>
      </c>
      <c r="BR2">
        <v>-38.130000000000003</v>
      </c>
      <c r="BS2">
        <v>4.4800000000000004</v>
      </c>
      <c r="BT2" t="s">
        <v>685</v>
      </c>
      <c r="BU2" t="s">
        <v>455</v>
      </c>
      <c r="BV2">
        <v>19.940000000000001</v>
      </c>
      <c r="BW2">
        <v>14.46</v>
      </c>
      <c r="BX2">
        <v>21.11</v>
      </c>
      <c r="BY2">
        <v>-5.58</v>
      </c>
      <c r="BZ2">
        <v>-14.38</v>
      </c>
      <c r="CA2">
        <v>1.69</v>
      </c>
      <c r="CB2">
        <v>5.38</v>
      </c>
      <c r="CC2">
        <v>-20.350000000000001</v>
      </c>
      <c r="CD2" t="s">
        <v>733</v>
      </c>
      <c r="CE2" t="s">
        <v>734</v>
      </c>
      <c r="CF2" s="7">
        <v>-0.15412186379928317</v>
      </c>
      <c r="CG2" s="8">
        <v>0.59419289327295433</v>
      </c>
      <c r="CH2" s="7">
        <v>-3.3794164657592773E-2</v>
      </c>
      <c r="CI2" s="7">
        <v>-9.9585063755512238E-2</v>
      </c>
      <c r="CJ2" s="7">
        <v>0.14670902490615845</v>
      </c>
      <c r="CK2" s="7">
        <v>-0.19062905013561249</v>
      </c>
      <c r="CL2" s="7">
        <v>-3.7677615880966187E-2</v>
      </c>
      <c r="CM2" s="8">
        <v>0.62227636575698853</v>
      </c>
      <c r="CN2" s="8">
        <v>-8.1954412460327148</v>
      </c>
      <c r="CO2" s="8">
        <v>1.1444116830825806</v>
      </c>
      <c r="CP2" s="8">
        <v>-10.906030654907227</v>
      </c>
      <c r="CQ2" s="8">
        <v>-0.19320084154605865</v>
      </c>
      <c r="CR2">
        <v>-28.645495936739881</v>
      </c>
      <c r="CS2">
        <v>-6.6624600126119988</v>
      </c>
      <c r="CT2">
        <v>0</v>
      </c>
      <c r="CU2" s="7">
        <v>-4.299537390470505E-2</v>
      </c>
      <c r="CV2" s="8">
        <v>-3.505596938729286</v>
      </c>
      <c r="CW2">
        <v>0.06</v>
      </c>
      <c r="CX2" t="e">
        <v>#VALUE!</v>
      </c>
      <c r="CY2" t="s">
        <v>463</v>
      </c>
      <c r="CZ2">
        <v>-4.299537390470505E-2</v>
      </c>
      <c r="DA2" t="e">
        <v>#VALUE!</v>
      </c>
      <c r="DB2" t="s">
        <v>464</v>
      </c>
      <c r="DC2">
        <v>-4.0845605209469796E-2</v>
      </c>
      <c r="DD2" t="e">
        <v>#VALUE!</v>
      </c>
      <c r="DE2" t="s">
        <v>464</v>
      </c>
      <c r="DF2">
        <v>-3.7835929036140442E-2</v>
      </c>
      <c r="DG2" t="e">
        <v>#VALUE!</v>
      </c>
      <c r="DH2" t="s">
        <v>464</v>
      </c>
      <c r="DI2">
        <v>-3.4396299123764039E-2</v>
      </c>
      <c r="DJ2" t="e">
        <v>#VALUE!</v>
      </c>
      <c r="DK2" t="s">
        <v>464</v>
      </c>
      <c r="DL2">
        <v>-3.0096761733293533E-2</v>
      </c>
      <c r="DM2">
        <v>-70256600</v>
      </c>
      <c r="DN2">
        <v>-4.299537390470505E-2</v>
      </c>
      <c r="DO2">
        <v>3118412500</v>
      </c>
      <c r="DP2">
        <v>-1129599410</v>
      </c>
      <c r="DQ2">
        <v>202</v>
      </c>
      <c r="DR2">
        <v>-0.11112648989457811</v>
      </c>
      <c r="DS2">
        <v>4.0997898320022408</v>
      </c>
      <c r="DT2" s="9">
        <v>-0.55666666666666664</v>
      </c>
      <c r="DU2">
        <v>-1.5216666666666665</v>
      </c>
      <c r="DV2">
        <v>-2.0783333333333331</v>
      </c>
      <c r="DW2">
        <v>6.2090944422852701</v>
      </c>
      <c r="DX2">
        <v>0.39032785145888671</v>
      </c>
      <c r="DY2">
        <v>6.0460693292207077</v>
      </c>
      <c r="DZ2">
        <v>4439</v>
      </c>
      <c r="EA2">
        <v>6.0060494168115648</v>
      </c>
      <c r="EB2">
        <v>6</v>
      </c>
      <c r="EC2">
        <v>6.4605613435369177E-2</v>
      </c>
      <c r="ED2">
        <v>0.29322490555591352</v>
      </c>
      <c r="EE2" s="10">
        <v>-1.09151</v>
      </c>
      <c r="EF2">
        <v>-1.09151</v>
      </c>
      <c r="EG2">
        <v>17.220327851458887</v>
      </c>
      <c r="EH2" t="s">
        <v>706</v>
      </c>
      <c r="EI2">
        <v>0</v>
      </c>
      <c r="EJ2">
        <v>0</v>
      </c>
      <c r="EK2" s="12">
        <v>45470</v>
      </c>
      <c r="EL2" s="13">
        <v>0</v>
      </c>
      <c r="EM2" s="13">
        <v>-6.47</v>
      </c>
      <c r="EN2" s="13">
        <v>0</v>
      </c>
      <c r="EO2" s="13">
        <v>2.31</v>
      </c>
      <c r="EP2" s="13">
        <v>0</v>
      </c>
    </row>
    <row r="3" spans="1:146" ht="152" customHeight="1" x14ac:dyDescent="0.25">
      <c r="A3" s="6" t="s">
        <v>697</v>
      </c>
      <c r="B3" s="6"/>
      <c r="C3" s="6" t="str">
        <f>"公司主营业务为烟草配套产业、教育产业、房地产业、医养产业。烟草配套产业主要产品为烟标、烟用丝束、咀棒的生产销售;教育产业主要业务为高等学历教育及其他教育教学,互联网智慧校园和教育投资业务;房地产业主要业务为房地产开发、销售、租赁、物业管理等"&amp;CHAR(10)&amp;Basic_Fundamental_Information_Constructure(F3)&amp;CHAR(10)&amp;Basic_Fundamental_Information_Concatenate("烟草配套业 3.97亿 63.69% 48.44% 19.69%
教育业 1.79亿 28.64% 51.56% 46.60%")</f>
        <v>公司主营业务为烟草配套产业、教育产业、房地产业、医养产业。烟草配套产业主要产品为烟标、烟用丝束、咀棒的生产销售;教育产业主要业务为高等学历教育及其他教育教学,互联网智慧校园和教育投资业务;房地产业主要业务为房地产开发、销售、租赁、物业管理等
市值50.887451亿, 利润3123.26万; PE68.11; 平均PE3.96; 平均PEG9.06, PB2.96; ROIC3.1133%; ROE1.7767%; 股利率0%; 毛利31.3267%; 净利4.5%; 上一年度营收增38.66%, 利润增30.41%; 当季营收增3.21%, 利润增517.07%; 过往5年营收增7.52%, 利润增-.29%
Income profile:
烟草配套业 3.97亿 63.69% 48.44% 19.69%
教育业 1.79亿 28.64% 51.56% 46.60%</v>
      </c>
      <c r="D3" t="s">
        <v>53</v>
      </c>
      <c r="E3" t="s">
        <v>8</v>
      </c>
      <c r="F3">
        <v>6.62</v>
      </c>
      <c r="G3">
        <v>3.0000000000000001E-3</v>
      </c>
      <c r="H3" t="s">
        <v>698</v>
      </c>
      <c r="I3">
        <v>5088745100</v>
      </c>
      <c r="J3">
        <v>68.11</v>
      </c>
      <c r="K3">
        <v>2.96</v>
      </c>
      <c r="L3" t="s">
        <v>46</v>
      </c>
      <c r="M3" t="s">
        <v>544</v>
      </c>
      <c r="N3" t="s">
        <v>545</v>
      </c>
      <c r="O3" t="s">
        <v>546</v>
      </c>
      <c r="P3">
        <v>7.5</v>
      </c>
      <c r="Q3" t="s">
        <v>397</v>
      </c>
      <c r="R3">
        <v>57465000</v>
      </c>
      <c r="S3" s="5">
        <v>3.7120000000000002</v>
      </c>
      <c r="T3" t="s">
        <v>398</v>
      </c>
      <c r="U3">
        <v>768158180</v>
      </c>
      <c r="V3">
        <v>768692610</v>
      </c>
      <c r="W3">
        <v>2.25</v>
      </c>
      <c r="X3">
        <v>0.24</v>
      </c>
      <c r="Y3">
        <v>5.89</v>
      </c>
      <c r="Z3" t="s">
        <v>547</v>
      </c>
      <c r="AA3" t="s">
        <v>548</v>
      </c>
      <c r="AB3" t="s">
        <v>549</v>
      </c>
      <c r="AC3" t="s">
        <v>550</v>
      </c>
      <c r="AD3" t="s">
        <v>498</v>
      </c>
      <c r="AE3">
        <v>46796720</v>
      </c>
      <c r="AF3" t="s">
        <v>551</v>
      </c>
      <c r="AG3" t="s">
        <v>552</v>
      </c>
      <c r="AH3" t="s">
        <v>553</v>
      </c>
      <c r="AI3" t="s">
        <v>532</v>
      </c>
      <c r="AJ3" t="s">
        <v>554</v>
      </c>
      <c r="AK3" t="s">
        <v>49</v>
      </c>
      <c r="AL3" t="s">
        <v>555</v>
      </c>
      <c r="AM3" t="s">
        <v>49</v>
      </c>
      <c r="AN3" t="s">
        <v>556</v>
      </c>
      <c r="AO3" t="s">
        <v>264</v>
      </c>
      <c r="AP3" t="s">
        <v>557</v>
      </c>
      <c r="AQ3" t="s">
        <v>271</v>
      </c>
      <c r="AR3" t="s">
        <v>49</v>
      </c>
      <c r="AS3" t="s">
        <v>558</v>
      </c>
      <c r="AT3" t="s">
        <v>387</v>
      </c>
      <c r="AU3" t="s">
        <v>559</v>
      </c>
      <c r="AV3" t="s">
        <v>560</v>
      </c>
      <c r="AW3" t="s">
        <v>191</v>
      </c>
      <c r="AX3" t="s">
        <v>193</v>
      </c>
      <c r="AY3" t="s">
        <v>54</v>
      </c>
      <c r="AZ3" t="s">
        <v>195</v>
      </c>
      <c r="BA3" t="s">
        <v>196</v>
      </c>
      <c r="BB3" t="s">
        <v>197</v>
      </c>
      <c r="BC3" t="s">
        <v>194</v>
      </c>
      <c r="BD3" t="s">
        <v>55</v>
      </c>
      <c r="BE3" t="s">
        <v>198</v>
      </c>
      <c r="BF3" t="s">
        <v>199</v>
      </c>
      <c r="BG3" t="s">
        <v>200</v>
      </c>
      <c r="BH3" t="s">
        <v>561</v>
      </c>
      <c r="BI3" t="s">
        <v>526</v>
      </c>
      <c r="BJ3" t="s">
        <v>287</v>
      </c>
      <c r="BK3" t="s">
        <v>562</v>
      </c>
      <c r="BL3" t="s">
        <v>563</v>
      </c>
      <c r="BM3" t="s">
        <v>499</v>
      </c>
      <c r="BN3">
        <v>2.82</v>
      </c>
      <c r="BO3">
        <v>2.93</v>
      </c>
      <c r="BP3">
        <v>3.59</v>
      </c>
      <c r="BQ3">
        <v>1.91</v>
      </c>
      <c r="BR3">
        <v>1.56</v>
      </c>
      <c r="BS3">
        <v>1.86</v>
      </c>
      <c r="BT3" t="s">
        <v>685</v>
      </c>
      <c r="BU3" t="s">
        <v>455</v>
      </c>
      <c r="BV3">
        <v>27.45</v>
      </c>
      <c r="BW3">
        <v>31</v>
      </c>
      <c r="BX3">
        <v>35.53</v>
      </c>
      <c r="BY3">
        <v>7.25</v>
      </c>
      <c r="BZ3">
        <v>2.61</v>
      </c>
      <c r="CA3">
        <v>3.64</v>
      </c>
      <c r="CB3">
        <v>-1.34</v>
      </c>
      <c r="CC3">
        <v>-4.0599999999999996</v>
      </c>
      <c r="CD3" t="s">
        <v>557</v>
      </c>
      <c r="CE3" t="s">
        <v>699</v>
      </c>
      <c r="CF3" s="7">
        <v>3.2076059602649414E-2</v>
      </c>
      <c r="CG3" s="8">
        <v>5.1706514095761706</v>
      </c>
      <c r="CH3" s="7">
        <v>0.38660907745361328</v>
      </c>
      <c r="CI3" s="7">
        <v>1.4238772913813591E-2</v>
      </c>
      <c r="CJ3" s="7">
        <v>-6.4549177885055542E-2</v>
      </c>
      <c r="CK3" s="7">
        <v>0.26098191738128662</v>
      </c>
      <c r="CL3" s="7">
        <v>-0.22132796049118042</v>
      </c>
      <c r="CM3" s="8">
        <v>0.30410781502723694</v>
      </c>
      <c r="CN3" s="8">
        <v>-6.3118815422058105E-2</v>
      </c>
      <c r="CO3" s="8">
        <v>0.14408664405345917</v>
      </c>
      <c r="CP3" s="8">
        <v>-0.1776801198720932</v>
      </c>
      <c r="CQ3" s="8">
        <v>-0.22204789519309998</v>
      </c>
      <c r="CR3">
        <v>3.9631971183800623</v>
      </c>
      <c r="CS3">
        <v>9.0583220702148033</v>
      </c>
      <c r="CT3">
        <v>0</v>
      </c>
      <c r="CU3" s="7">
        <v>7.5190525874495512E-2</v>
      </c>
      <c r="CV3" s="8">
        <v>-2.930474281311035E-3</v>
      </c>
      <c r="CW3">
        <v>0.06</v>
      </c>
      <c r="CX3">
        <v>174.80154170231916</v>
      </c>
      <c r="CY3">
        <v>31680184.54568658</v>
      </c>
      <c r="CZ3">
        <v>7.5190525874495512E-2</v>
      </c>
      <c r="DA3">
        <v>57.845586342618567</v>
      </c>
      <c r="DB3">
        <v>95733234.808962196</v>
      </c>
      <c r="DC3">
        <v>7.1430999580770732E-2</v>
      </c>
      <c r="DD3">
        <v>28.955662843545312</v>
      </c>
      <c r="DE3">
        <v>191249122.14656669</v>
      </c>
      <c r="DF3">
        <v>6.6167662769556046E-2</v>
      </c>
      <c r="DG3">
        <v>17.716639284789267</v>
      </c>
      <c r="DH3">
        <v>312573113.38694274</v>
      </c>
      <c r="DI3">
        <v>6.0152420699596414E-2</v>
      </c>
      <c r="DJ3">
        <v>9.5311525019776031</v>
      </c>
      <c r="DK3">
        <v>581015265.34707975</v>
      </c>
      <c r="DL3">
        <v>5.2633368112146854E-2</v>
      </c>
      <c r="DM3">
        <v>31232600.000000004</v>
      </c>
      <c r="DN3">
        <v>7.5190525874495512E-2</v>
      </c>
      <c r="DO3">
        <v>5537745100</v>
      </c>
      <c r="DP3">
        <v>-832952780</v>
      </c>
      <c r="DQ3">
        <v>315</v>
      </c>
      <c r="DR3">
        <v>-4.3114466271846098E-2</v>
      </c>
      <c r="DS3">
        <v>5.1735818838574819</v>
      </c>
      <c r="DT3" s="9">
        <v>0.18333333333333335</v>
      </c>
      <c r="DU3">
        <v>0.54999999999999993</v>
      </c>
      <c r="DV3">
        <v>0.73333333333333328</v>
      </c>
      <c r="DW3">
        <v>-1.0406</v>
      </c>
      <c r="DX3">
        <v>0.28654827722815895</v>
      </c>
      <c r="DY3">
        <v>-1.0039198600554633</v>
      </c>
      <c r="DZ3">
        <v>2139</v>
      </c>
      <c r="EA3">
        <v>-1.002224292682635</v>
      </c>
      <c r="EB3">
        <v>1</v>
      </c>
      <c r="EC3">
        <v>0.25107565428526757</v>
      </c>
      <c r="ED3">
        <v>2.600519341534973</v>
      </c>
      <c r="EE3" s="10">
        <v>2.009207</v>
      </c>
      <c r="EF3">
        <v>2.0091800000000002</v>
      </c>
      <c r="EG3">
        <v>19.096548277228159</v>
      </c>
      <c r="EH3" t="s">
        <v>700</v>
      </c>
      <c r="EI3">
        <v>0</v>
      </c>
      <c r="EJ3">
        <v>0</v>
      </c>
      <c r="EK3" s="12">
        <v>44979</v>
      </c>
      <c r="EL3" s="13">
        <v>-3.73</v>
      </c>
      <c r="EM3" s="13">
        <v>-0.31</v>
      </c>
      <c r="EN3" s="13">
        <v>1.4E-2</v>
      </c>
      <c r="EO3" s="13">
        <v>1.0699999999999999E-2</v>
      </c>
      <c r="EP3" s="13">
        <v>3.0000000000000001E-3</v>
      </c>
    </row>
    <row r="4" spans="1:146" ht="96" x14ac:dyDescent="0.25">
      <c r="A4" s="6"/>
      <c r="B4" s="6"/>
      <c r="C4" s="6" t="str">
        <f>""&amp;CHAR(10)&amp;Basic_Fundamental_Information_Constructure(F4)&amp;CHAR(10)&amp;Basic_Fundamental_Information_Concatenate("")</f>
        <v xml:space="preserve">
市值59.534209亿, 利润4.08亿; PE14.29; 平均PE18.96; 平均PEG2.44, PB2.7; ROIC12.8767%; ROE15.3367%; 股利率5.6584%; 毛利23.0333%; 净利11.3467%; 上一年度营收增2.27%, 利润增12.4%; 当季营收增6.37%, 利润增10.86%; 过往5年营收增7.76%, 利润增12.75%
Income profile:
</v>
      </c>
      <c r="D4" t="s">
        <v>57</v>
      </c>
      <c r="E4" t="s">
        <v>25</v>
      </c>
      <c r="F4">
        <v>9.7200000000000006</v>
      </c>
      <c r="G4">
        <v>-0.51</v>
      </c>
      <c r="H4" t="s">
        <v>735</v>
      </c>
      <c r="I4">
        <v>5953420900</v>
      </c>
      <c r="J4">
        <v>14.29</v>
      </c>
      <c r="K4">
        <v>2.7</v>
      </c>
      <c r="L4" t="s">
        <v>46</v>
      </c>
      <c r="M4" t="s">
        <v>736</v>
      </c>
      <c r="N4" t="s">
        <v>737</v>
      </c>
      <c r="O4" t="s">
        <v>738</v>
      </c>
      <c r="P4">
        <v>6.34</v>
      </c>
      <c r="Q4" t="s">
        <v>739</v>
      </c>
      <c r="R4">
        <v>86423585</v>
      </c>
      <c r="S4" s="5">
        <v>0.1086</v>
      </c>
      <c r="T4" t="s">
        <v>605</v>
      </c>
      <c r="U4">
        <v>604099380</v>
      </c>
      <c r="V4">
        <v>612491870</v>
      </c>
      <c r="W4">
        <v>1.72</v>
      </c>
      <c r="X4">
        <v>0.21</v>
      </c>
      <c r="Y4">
        <v>10.49</v>
      </c>
      <c r="Z4" t="s">
        <v>309</v>
      </c>
      <c r="AA4" t="s">
        <v>740</v>
      </c>
      <c r="AB4" t="s">
        <v>741</v>
      </c>
      <c r="AC4" t="s">
        <v>742</v>
      </c>
      <c r="AD4" t="s">
        <v>49</v>
      </c>
      <c r="AE4">
        <v>-711224</v>
      </c>
      <c r="AF4" t="s">
        <v>743</v>
      </c>
      <c r="AG4" t="s">
        <v>744</v>
      </c>
      <c r="AH4" t="s">
        <v>745</v>
      </c>
      <c r="AI4" t="s">
        <v>746</v>
      </c>
      <c r="AJ4" t="s">
        <v>747</v>
      </c>
      <c r="AK4" t="s">
        <v>49</v>
      </c>
      <c r="AL4" t="s">
        <v>748</v>
      </c>
      <c r="AM4" t="s">
        <v>49</v>
      </c>
      <c r="AN4" t="s">
        <v>749</v>
      </c>
      <c r="AO4" t="s">
        <v>572</v>
      </c>
      <c r="AP4" t="s">
        <v>750</v>
      </c>
      <c r="AQ4" t="s">
        <v>209</v>
      </c>
      <c r="AR4" t="s">
        <v>49</v>
      </c>
      <c r="AS4" t="s">
        <v>751</v>
      </c>
      <c r="AT4" t="s">
        <v>166</v>
      </c>
      <c r="AU4" t="s">
        <v>752</v>
      </c>
      <c r="AV4" t="s">
        <v>753</v>
      </c>
      <c r="AW4" t="s">
        <v>754</v>
      </c>
      <c r="AX4" t="s">
        <v>755</v>
      </c>
      <c r="AY4" t="s">
        <v>399</v>
      </c>
      <c r="AZ4" t="s">
        <v>201</v>
      </c>
      <c r="BA4" t="s">
        <v>58</v>
      </c>
      <c r="BB4" t="s">
        <v>204</v>
      </c>
      <c r="BC4" t="s">
        <v>443</v>
      </c>
      <c r="BD4" t="s">
        <v>371</v>
      </c>
      <c r="BE4" t="s">
        <v>202</v>
      </c>
      <c r="BF4" t="s">
        <v>59</v>
      </c>
      <c r="BG4" t="s">
        <v>206</v>
      </c>
      <c r="BH4" t="s">
        <v>739</v>
      </c>
      <c r="BI4" t="s">
        <v>383</v>
      </c>
      <c r="BJ4" t="s">
        <v>755</v>
      </c>
      <c r="BK4" t="s">
        <v>605</v>
      </c>
      <c r="BL4" t="s">
        <v>756</v>
      </c>
      <c r="BM4" t="s">
        <v>443</v>
      </c>
      <c r="BN4">
        <v>10.199999999999999</v>
      </c>
      <c r="BO4">
        <v>14.45</v>
      </c>
      <c r="BP4">
        <v>13.98</v>
      </c>
      <c r="BQ4">
        <v>13.1</v>
      </c>
      <c r="BR4">
        <v>17.010000000000002</v>
      </c>
      <c r="BS4">
        <v>15.9</v>
      </c>
      <c r="BT4" t="s">
        <v>757</v>
      </c>
      <c r="BU4" t="s">
        <v>455</v>
      </c>
      <c r="BV4">
        <v>24.66</v>
      </c>
      <c r="BW4">
        <v>22.2</v>
      </c>
      <c r="BX4">
        <v>22.24</v>
      </c>
      <c r="BY4">
        <v>12.26</v>
      </c>
      <c r="BZ4">
        <v>11.16</v>
      </c>
      <c r="CA4">
        <v>10.62</v>
      </c>
      <c r="CB4">
        <v>2.5299999999999998</v>
      </c>
      <c r="CC4">
        <v>-3.48</v>
      </c>
      <c r="CD4" t="s">
        <v>758</v>
      </c>
      <c r="CE4" t="s">
        <v>759</v>
      </c>
      <c r="CF4" s="7">
        <v>6.3694267515923567E-2</v>
      </c>
      <c r="CG4" s="8">
        <v>0.10863143189934732</v>
      </c>
      <c r="CH4" s="7">
        <v>2.2699777036905289E-2</v>
      </c>
      <c r="CI4" s="7">
        <v>9.2592589557170868E-2</v>
      </c>
      <c r="CJ4" s="7">
        <v>0.104859359562397</v>
      </c>
      <c r="CK4" s="7">
        <v>5.2692282944917679E-2</v>
      </c>
      <c r="CL4" s="7">
        <v>0.11492281407117844</v>
      </c>
      <c r="CM4" s="8">
        <v>0.12396693974733353</v>
      </c>
      <c r="CN4" s="8">
        <v>0.14873418211936951</v>
      </c>
      <c r="CO4" s="8">
        <v>4.2904291301965714E-2</v>
      </c>
      <c r="CP4" s="8">
        <v>0.12639404833316803</v>
      </c>
      <c r="CQ4" s="8">
        <v>0.19555555284023285</v>
      </c>
      <c r="CR4">
        <v>18.959939171974522</v>
      </c>
      <c r="CS4">
        <v>2.4447603609884787</v>
      </c>
      <c r="CT4">
        <v>5.6584362139917692</v>
      </c>
      <c r="CU4" s="7">
        <v>7.7553364634513858E-2</v>
      </c>
      <c r="CV4" s="8">
        <v>0.12751100286841394</v>
      </c>
      <c r="CW4">
        <v>0.06</v>
      </c>
      <c r="CX4">
        <v>12.297389576803381</v>
      </c>
      <c r="CY4">
        <v>414756389.40649211</v>
      </c>
      <c r="CZ4">
        <v>7.7553364634513858E-2</v>
      </c>
      <c r="DA4">
        <v>4.0613114499322931</v>
      </c>
      <c r="DB4">
        <v>1255855642.4144793</v>
      </c>
      <c r="DC4">
        <v>7.3675696402788163E-2</v>
      </c>
      <c r="DD4">
        <v>2.0275718862547456</v>
      </c>
      <c r="DE4">
        <v>2515531476.1348882</v>
      </c>
      <c r="DF4">
        <v>6.824696087837219E-2</v>
      </c>
      <c r="DG4">
        <v>1.2369171510765229</v>
      </c>
      <c r="DH4">
        <v>4123494363.0306721</v>
      </c>
      <c r="DI4">
        <v>6.2042691707611092E-2</v>
      </c>
      <c r="DJ4">
        <v>0.66122177404420124</v>
      </c>
      <c r="DK4">
        <v>7713631190.3410606</v>
      </c>
      <c r="DL4">
        <v>5.4287355244159695E-2</v>
      </c>
      <c r="DM4">
        <v>408000000</v>
      </c>
      <c r="DN4">
        <v>7.7553364634513858E-2</v>
      </c>
      <c r="DO4">
        <v>5100420900</v>
      </c>
      <c r="DP4">
        <v>1030459300</v>
      </c>
      <c r="DQ4">
        <v>533</v>
      </c>
      <c r="DR4">
        <v>-1.3859097118590291E-2</v>
      </c>
      <c r="DS4">
        <v>-1.8879570969066617E-2</v>
      </c>
      <c r="DT4" s="9">
        <v>-0.44</v>
      </c>
      <c r="DU4">
        <v>9.9999999999999992E-2</v>
      </c>
      <c r="DV4">
        <v>-0.34</v>
      </c>
      <c r="DW4">
        <v>6.4209650582362725</v>
      </c>
      <c r="DX4">
        <v>0.33849620774162786</v>
      </c>
      <c r="DY4">
        <v>6.0667213653221834</v>
      </c>
      <c r="DZ4">
        <v>2542</v>
      </c>
      <c r="EA4">
        <v>6.0335304239035947</v>
      </c>
      <c r="EB4">
        <v>6</v>
      </c>
      <c r="EC4">
        <v>1.8710615701723519E-2</v>
      </c>
      <c r="ED4">
        <v>0.11805087306709883</v>
      </c>
      <c r="EE4" s="10">
        <v>-1.1102000000000001</v>
      </c>
      <c r="EF4">
        <v>-1.0987</v>
      </c>
      <c r="EG4">
        <v>18.158496207741628</v>
      </c>
      <c r="EH4" t="s">
        <v>760</v>
      </c>
      <c r="EI4">
        <v>0</v>
      </c>
      <c r="EJ4">
        <v>0</v>
      </c>
      <c r="EK4" s="12">
        <v>45470</v>
      </c>
      <c r="EL4" s="13">
        <v>0.63</v>
      </c>
      <c r="EM4" s="13">
        <v>-2.08</v>
      </c>
      <c r="EN4" s="13">
        <v>1.17</v>
      </c>
      <c r="EO4" s="13">
        <v>0.84</v>
      </c>
      <c r="EP4" s="13">
        <v>-1.1499999999999999</v>
      </c>
    </row>
    <row r="5" spans="1:146" ht="96" x14ac:dyDescent="0.25">
      <c r="A5" s="6"/>
      <c r="B5" s="6"/>
      <c r="C5" s="6" t="str">
        <f>""&amp;CHAR(10)&amp;Basic_Fundamental_Information_Constructure(F5)&amp;CHAR(10)&amp;Basic_Fundamental_Information_Concatenate("")</f>
        <v xml:space="preserve">
市值38.469483亿, 利润1.63亿; PE23.99; 平均PE19.71; 平均PEG4.66, PB2.58; ROIC9.7467%; ROE9.8567%; 股利率3.6879%; 毛利36.69%; 净利14.0433%; 上一年度营收增12.77%, 利润增20.74%; 当季营收增-.33%, 利润增-6.43%; 过往5年营收增-4.23%, 利润增-5.53%
Income profile:
</v>
      </c>
      <c r="D5" t="s">
        <v>61</v>
      </c>
      <c r="E5" t="s">
        <v>22</v>
      </c>
      <c r="F5">
        <v>7.05</v>
      </c>
      <c r="G5">
        <v>0.71</v>
      </c>
      <c r="H5" t="s">
        <v>761</v>
      </c>
      <c r="I5">
        <v>3846948300</v>
      </c>
      <c r="J5">
        <v>23.99</v>
      </c>
      <c r="K5">
        <v>2.58</v>
      </c>
      <c r="L5" t="s">
        <v>46</v>
      </c>
      <c r="M5" t="s">
        <v>762</v>
      </c>
      <c r="N5" t="s">
        <v>763</v>
      </c>
      <c r="O5" t="s">
        <v>764</v>
      </c>
      <c r="P5">
        <v>-0.23</v>
      </c>
      <c r="Q5" t="s">
        <v>401</v>
      </c>
      <c r="R5">
        <v>43417784</v>
      </c>
      <c r="S5" s="5">
        <v>-6.4299999999999996E-2</v>
      </c>
      <c r="T5" t="s">
        <v>129</v>
      </c>
      <c r="U5">
        <v>545491150</v>
      </c>
      <c r="V5">
        <v>545666420</v>
      </c>
      <c r="W5">
        <v>1.36</v>
      </c>
      <c r="X5">
        <v>0.14000000000000001</v>
      </c>
      <c r="Y5">
        <v>14.29</v>
      </c>
      <c r="Z5" t="s">
        <v>386</v>
      </c>
      <c r="AA5" t="s">
        <v>360</v>
      </c>
      <c r="AB5" t="s">
        <v>765</v>
      </c>
      <c r="AC5" t="s">
        <v>766</v>
      </c>
      <c r="AD5" t="s">
        <v>49</v>
      </c>
      <c r="AE5">
        <v>-74055</v>
      </c>
      <c r="AF5" t="s">
        <v>767</v>
      </c>
      <c r="AG5" t="s">
        <v>768</v>
      </c>
      <c r="AH5" t="s">
        <v>769</v>
      </c>
      <c r="AI5" t="s">
        <v>355</v>
      </c>
      <c r="AJ5" t="s">
        <v>770</v>
      </c>
      <c r="AK5" t="s">
        <v>771</v>
      </c>
      <c r="AL5" t="s">
        <v>772</v>
      </c>
      <c r="AM5" t="s">
        <v>49</v>
      </c>
      <c r="AN5" t="s">
        <v>773</v>
      </c>
      <c r="AO5" t="s">
        <v>774</v>
      </c>
      <c r="AP5" t="s">
        <v>775</v>
      </c>
      <c r="AQ5" t="s">
        <v>505</v>
      </c>
      <c r="AR5" t="s">
        <v>49</v>
      </c>
      <c r="AS5" t="s">
        <v>776</v>
      </c>
      <c r="AT5" t="s">
        <v>49</v>
      </c>
      <c r="AU5" t="s">
        <v>777</v>
      </c>
      <c r="AV5" t="s">
        <v>778</v>
      </c>
      <c r="AW5" t="s">
        <v>779</v>
      </c>
      <c r="AX5" t="s">
        <v>780</v>
      </c>
      <c r="AY5" t="s">
        <v>401</v>
      </c>
      <c r="AZ5" t="s">
        <v>207</v>
      </c>
      <c r="BA5" t="s">
        <v>62</v>
      </c>
      <c r="BB5" t="s">
        <v>208</v>
      </c>
      <c r="BC5" t="s">
        <v>513</v>
      </c>
      <c r="BD5" t="s">
        <v>402</v>
      </c>
      <c r="BE5" t="s">
        <v>129</v>
      </c>
      <c r="BF5" t="s">
        <v>63</v>
      </c>
      <c r="BG5" t="s">
        <v>92</v>
      </c>
      <c r="BH5" t="s">
        <v>401</v>
      </c>
      <c r="BI5" t="s">
        <v>385</v>
      </c>
      <c r="BJ5" t="s">
        <v>780</v>
      </c>
      <c r="BK5" t="s">
        <v>129</v>
      </c>
      <c r="BL5" t="s">
        <v>781</v>
      </c>
      <c r="BM5" t="s">
        <v>513</v>
      </c>
      <c r="BN5">
        <v>8.6999999999999993</v>
      </c>
      <c r="BO5">
        <v>8.67</v>
      </c>
      <c r="BP5">
        <v>11.87</v>
      </c>
      <c r="BQ5">
        <v>8.6999999999999993</v>
      </c>
      <c r="BR5">
        <v>8.75</v>
      </c>
      <c r="BS5">
        <v>12.12</v>
      </c>
      <c r="BT5" t="s">
        <v>782</v>
      </c>
      <c r="BU5" t="s">
        <v>497</v>
      </c>
      <c r="BV5">
        <v>35.99</v>
      </c>
      <c r="BW5">
        <v>35.74</v>
      </c>
      <c r="BX5">
        <v>38.340000000000003</v>
      </c>
      <c r="BY5">
        <v>13.61</v>
      </c>
      <c r="BZ5">
        <v>12.81</v>
      </c>
      <c r="CA5">
        <v>15.71</v>
      </c>
      <c r="CB5">
        <v>-0.42</v>
      </c>
      <c r="CC5">
        <v>-2.08</v>
      </c>
      <c r="CD5" t="s">
        <v>783</v>
      </c>
      <c r="CE5" t="s">
        <v>716</v>
      </c>
      <c r="CF5" s="7">
        <v>-3.2786885245901639E-3</v>
      </c>
      <c r="CG5" s="8">
        <v>-6.4265846546421632E-2</v>
      </c>
      <c r="CH5" s="7">
        <v>0.12769946455955505</v>
      </c>
      <c r="CI5" s="7">
        <v>-0.11323892325162888</v>
      </c>
      <c r="CJ5" s="7">
        <v>1.6934802755713463E-2</v>
      </c>
      <c r="CK5" s="7">
        <v>-0.21056154370307922</v>
      </c>
      <c r="CL5" s="7">
        <v>-3.2341524958610535E-2</v>
      </c>
      <c r="CM5" s="8">
        <v>0.2074074000120163</v>
      </c>
      <c r="CN5" s="8">
        <v>-0.27419355511665344</v>
      </c>
      <c r="CO5" s="8">
        <v>0.14110429584980011</v>
      </c>
      <c r="CP5" s="8">
        <v>-0.38951310515403748</v>
      </c>
      <c r="CQ5" s="8">
        <v>3.8910504430532455E-2</v>
      </c>
      <c r="CR5">
        <v>19.711092912040993</v>
      </c>
      <c r="CS5">
        <v>4.6596626552292619</v>
      </c>
      <c r="CT5">
        <v>3.687943262411348</v>
      </c>
      <c r="CU5" s="7">
        <v>-4.2301544919610023E-2</v>
      </c>
      <c r="CV5" s="8">
        <v>-5.5256891995668411E-2</v>
      </c>
      <c r="CW5">
        <v>0.06</v>
      </c>
      <c r="CX5">
        <v>18.429130674846625</v>
      </c>
      <c r="CY5" t="s">
        <v>784</v>
      </c>
      <c r="CZ5">
        <v>-4.2301544919610023E-2</v>
      </c>
      <c r="DA5">
        <v>6.1430435582822085</v>
      </c>
      <c r="DB5" t="s">
        <v>785</v>
      </c>
      <c r="DC5">
        <v>-4.0186467673629524E-2</v>
      </c>
      <c r="DD5">
        <v>3.0715217791411042</v>
      </c>
      <c r="DE5" t="s">
        <v>786</v>
      </c>
      <c r="DF5">
        <v>-3.7225359529256818E-2</v>
      </c>
      <c r="DG5">
        <v>1.8429130674846625</v>
      </c>
      <c r="DH5" t="s">
        <v>787</v>
      </c>
      <c r="DI5">
        <v>-3.3841235935688017E-2</v>
      </c>
      <c r="DJ5">
        <v>0.92145653374233127</v>
      </c>
      <c r="DK5" t="s">
        <v>788</v>
      </c>
      <c r="DL5">
        <v>-2.9611081443727014E-2</v>
      </c>
      <c r="DM5">
        <v>163000000</v>
      </c>
      <c r="DN5">
        <v>-4.2301544919610023E-2</v>
      </c>
      <c r="DO5">
        <v>3003948300</v>
      </c>
      <c r="DP5">
        <v>654574920</v>
      </c>
      <c r="DQ5">
        <v>630</v>
      </c>
      <c r="DR5">
        <v>3.9022856395019859E-2</v>
      </c>
      <c r="DS5">
        <v>-9.0089545507532204E-3</v>
      </c>
      <c r="DT5" s="9">
        <v>-0.55666666666666664</v>
      </c>
      <c r="DU5">
        <v>-0.10000000000000002</v>
      </c>
      <c r="DV5">
        <v>-0.65666666666666662</v>
      </c>
      <c r="DW5">
        <v>-2.0799999999999999E-2</v>
      </c>
      <c r="DX5">
        <v>0.43689698492462326</v>
      </c>
      <c r="DY5">
        <v>-6.7994572864321602E-3</v>
      </c>
      <c r="DZ5">
        <v>3123</v>
      </c>
      <c r="EA5">
        <v>-2.6439376963093347E-3</v>
      </c>
      <c r="EB5">
        <v>0</v>
      </c>
      <c r="EC5">
        <v>0.11921660856462452</v>
      </c>
      <c r="ED5">
        <v>0.36469167371523431</v>
      </c>
      <c r="EE5" s="10">
        <v>-3.0266000000000002</v>
      </c>
      <c r="EF5">
        <v>-3.0308000000000002</v>
      </c>
      <c r="EG5">
        <v>11.326896984924623</v>
      </c>
      <c r="EH5" t="s">
        <v>789</v>
      </c>
      <c r="EI5">
        <v>0</v>
      </c>
      <c r="EJ5">
        <v>0</v>
      </c>
      <c r="EK5" s="12">
        <v>45470</v>
      </c>
      <c r="EL5" s="13">
        <v>-0.99</v>
      </c>
      <c r="EM5" s="13">
        <v>-2.56</v>
      </c>
      <c r="EN5" s="13">
        <v>1.02</v>
      </c>
      <c r="EO5" s="13">
        <v>3.03</v>
      </c>
      <c r="EP5" s="13">
        <v>0.42</v>
      </c>
    </row>
    <row r="6" spans="1:146" ht="168" x14ac:dyDescent="0.25">
      <c r="A6" s="6" t="s">
        <v>173</v>
      </c>
      <c r="B6" s="6" t="s">
        <v>174</v>
      </c>
      <c r="C6" s="6" t="str">
        <f>"公司主营业务为高端包装印刷品和包装材料的研究生产,为知名消费品企业提供品牌设计和包装整体解决方案。公司主要产品是高技术和高附加值的烟标、中高端知名消费品牌包装及相关镭射包装材料镭射膜和镭射纸等，以及新型烟草制品。"&amp;CHAR(10)&amp;Basic_Fundamental_Information_Constructure(F6)&amp;CHAR(10)&amp;Basic_Fundamental_Information_Concatenate("包装行业 20.19亿 76.36% 91.63% 38.34%
其他行业 4.61亿 17.43% 6.54% 12.00%
新型烟草行业 1.69亿 6.40% 1.82% 9.11%")</f>
        <v>公司主营业务为高端包装印刷品和包装材料的研究生产,为知名消费品企业提供品牌设计和包装整体解决方案。公司主要产品是高技术和高附加值的烟标、中高端知名消费品牌包装及相关镭射包装材料镭射膜和镭射纸等，以及新型烟草制品。
市值53.950614亿, 利润1.18亿; PE68.15; 平均PE8.61; 平均PEG1.9, PB.77; ROIC6.9067%; ROE6.9333%; 股利率8.1301%; 毛利28.6367%; 净利9.6533%; 上一年度营收增-23.97%, 利润增-40.1%; 当季营收增-23.65%, 利润增-24.62%; 过往5年营收增4.53%, 利润增-16.42%
Income profile:
包装行业 20.19亿 76.36% 91.63% 38.34%
其他行业 4.61亿 17.43% 6.54% 12.00%
新型烟草行业 1.69亿 6.40% 1.82% 9.11%</v>
      </c>
      <c r="D6" t="s">
        <v>67</v>
      </c>
      <c r="E6" t="s">
        <v>23</v>
      </c>
      <c r="F6">
        <v>3.69</v>
      </c>
      <c r="G6">
        <v>1.1000000000000001</v>
      </c>
      <c r="H6" t="s">
        <v>790</v>
      </c>
      <c r="I6">
        <v>5395061400</v>
      </c>
      <c r="J6">
        <v>68.150000000000006</v>
      </c>
      <c r="K6">
        <v>0.77</v>
      </c>
      <c r="L6" t="s">
        <v>46</v>
      </c>
      <c r="M6" t="s">
        <v>791</v>
      </c>
      <c r="N6" t="s">
        <v>792</v>
      </c>
      <c r="O6" t="s">
        <v>793</v>
      </c>
      <c r="P6">
        <v>-23.66</v>
      </c>
      <c r="Q6" t="s">
        <v>794</v>
      </c>
      <c r="R6">
        <v>120606141</v>
      </c>
      <c r="S6" s="5">
        <v>-0.24529999999999999</v>
      </c>
      <c r="T6" t="s">
        <v>427</v>
      </c>
      <c r="U6">
        <v>1425680400</v>
      </c>
      <c r="V6">
        <v>1462076300</v>
      </c>
      <c r="W6">
        <v>1.28</v>
      </c>
      <c r="X6">
        <v>0.09</v>
      </c>
      <c r="Y6">
        <v>15.33</v>
      </c>
      <c r="Z6" t="s">
        <v>795</v>
      </c>
      <c r="AA6" t="s">
        <v>796</v>
      </c>
      <c r="AB6" t="s">
        <v>797</v>
      </c>
      <c r="AC6" t="s">
        <v>798</v>
      </c>
      <c r="AD6" t="s">
        <v>49</v>
      </c>
      <c r="AE6">
        <v>7621068</v>
      </c>
      <c r="AF6" t="s">
        <v>799</v>
      </c>
      <c r="AG6" t="s">
        <v>800</v>
      </c>
      <c r="AH6" t="s">
        <v>801</v>
      </c>
      <c r="AI6" t="s">
        <v>802</v>
      </c>
      <c r="AJ6" t="s">
        <v>803</v>
      </c>
      <c r="AK6" t="s">
        <v>259</v>
      </c>
      <c r="AL6" t="s">
        <v>804</v>
      </c>
      <c r="AM6" t="s">
        <v>49</v>
      </c>
      <c r="AN6" t="s">
        <v>805</v>
      </c>
      <c r="AO6" t="s">
        <v>806</v>
      </c>
      <c r="AP6" t="s">
        <v>384</v>
      </c>
      <c r="AQ6" t="s">
        <v>807</v>
      </c>
      <c r="AR6" t="s">
        <v>808</v>
      </c>
      <c r="AS6" t="s">
        <v>558</v>
      </c>
      <c r="AT6" t="s">
        <v>49</v>
      </c>
      <c r="AU6" t="s">
        <v>809</v>
      </c>
      <c r="AV6" t="s">
        <v>810</v>
      </c>
      <c r="AW6" t="s">
        <v>811</v>
      </c>
      <c r="AX6" t="s">
        <v>812</v>
      </c>
      <c r="AY6" t="s">
        <v>405</v>
      </c>
      <c r="AZ6" t="s">
        <v>211</v>
      </c>
      <c r="BA6" t="s">
        <v>68</v>
      </c>
      <c r="BB6" t="s">
        <v>213</v>
      </c>
      <c r="BC6" t="s">
        <v>707</v>
      </c>
      <c r="BD6" t="s">
        <v>367</v>
      </c>
      <c r="BE6" t="s">
        <v>212</v>
      </c>
      <c r="BF6" t="s">
        <v>69</v>
      </c>
      <c r="BG6" t="s">
        <v>214</v>
      </c>
      <c r="BH6" t="s">
        <v>794</v>
      </c>
      <c r="BI6" t="s">
        <v>813</v>
      </c>
      <c r="BJ6" t="s">
        <v>812</v>
      </c>
      <c r="BK6" t="s">
        <v>427</v>
      </c>
      <c r="BL6" t="s">
        <v>354</v>
      </c>
      <c r="BM6" t="s">
        <v>707</v>
      </c>
      <c r="BN6">
        <v>4.76</v>
      </c>
      <c r="BO6">
        <v>2.82</v>
      </c>
      <c r="BP6">
        <v>13.14</v>
      </c>
      <c r="BQ6">
        <v>4.8499999999999996</v>
      </c>
      <c r="BR6">
        <v>2.46</v>
      </c>
      <c r="BS6">
        <v>13.49</v>
      </c>
      <c r="BT6" t="s">
        <v>686</v>
      </c>
      <c r="BU6" t="s">
        <v>455</v>
      </c>
      <c r="BV6">
        <v>25.95</v>
      </c>
      <c r="BW6">
        <v>27.75</v>
      </c>
      <c r="BX6">
        <v>32.21</v>
      </c>
      <c r="BY6">
        <v>3.66</v>
      </c>
      <c r="BZ6">
        <v>4.47</v>
      </c>
      <c r="CA6">
        <v>20.83</v>
      </c>
      <c r="CB6">
        <v>2.2200000000000002</v>
      </c>
      <c r="CC6">
        <v>-17.45</v>
      </c>
      <c r="CD6" t="s">
        <v>814</v>
      </c>
      <c r="CE6" t="s">
        <v>500</v>
      </c>
      <c r="CF6" s="7">
        <v>-0.23653846153846153</v>
      </c>
      <c r="CG6" s="8">
        <v>-0.24621161875</v>
      </c>
      <c r="CH6" s="7">
        <v>-0.23973794281482697</v>
      </c>
      <c r="CI6" s="7">
        <v>2.4077439680695534E-2</v>
      </c>
      <c r="CJ6" s="7">
        <v>0.2090192586183548</v>
      </c>
      <c r="CK6" s="7">
        <v>5.0639290362596512E-2</v>
      </c>
      <c r="CL6" s="7">
        <v>0.1822761595249176</v>
      </c>
      <c r="CM6" s="8">
        <v>-0.40101522207260132</v>
      </c>
      <c r="CN6" s="8">
        <v>-0.80686277151107788</v>
      </c>
      <c r="CO6" s="8">
        <v>0.23786407709121704</v>
      </c>
      <c r="CP6" s="8">
        <v>-6.0433294624090195E-2</v>
      </c>
      <c r="CQ6" s="8">
        <v>0.20965516567230225</v>
      </c>
      <c r="CR6">
        <v>8.6068514756713643</v>
      </c>
      <c r="CS6">
        <v>1.901863153498095</v>
      </c>
      <c r="CT6">
        <v>8.1300813008130088</v>
      </c>
      <c r="CU6" s="7">
        <v>4.5254841074347497E-2</v>
      </c>
      <c r="CV6" s="8">
        <v>-0.16415840908885002</v>
      </c>
      <c r="CW6">
        <v>0.06</v>
      </c>
      <c r="CX6">
        <v>4.5726022232596675</v>
      </c>
      <c r="CY6">
        <v>116358557.77997452</v>
      </c>
      <c r="CZ6">
        <v>4.5254841074347497E-2</v>
      </c>
      <c r="DA6">
        <v>1.5522808822489187</v>
      </c>
      <c r="DB6">
        <v>342761033.83374685</v>
      </c>
      <c r="DC6">
        <v>4.2992099020630122E-2</v>
      </c>
      <c r="DD6">
        <v>0.803351012092275</v>
      </c>
      <c r="DE6">
        <v>662302520.3071332</v>
      </c>
      <c r="DF6">
        <v>3.9824260145425797E-2</v>
      </c>
      <c r="DG6">
        <v>0.50978871026978634</v>
      </c>
      <c r="DH6">
        <v>1043690041.1514148</v>
      </c>
      <c r="DI6">
        <v>3.6203872859478001E-2</v>
      </c>
      <c r="DJ6">
        <v>0.29598062137476372</v>
      </c>
      <c r="DK6">
        <v>1797622417.0646508</v>
      </c>
      <c r="DL6">
        <v>3.1678388752043249E-2</v>
      </c>
      <c r="DM6">
        <v>118000000</v>
      </c>
      <c r="DN6">
        <v>4.5254841074347497E-2</v>
      </c>
      <c r="DO6">
        <v>532061400</v>
      </c>
      <c r="DP6">
        <v>1887816800</v>
      </c>
      <c r="DQ6">
        <v>701</v>
      </c>
      <c r="DR6">
        <v>-0.28179330261280905</v>
      </c>
      <c r="DS6">
        <v>-8.2053209661149984E-2</v>
      </c>
      <c r="DT6" s="9">
        <v>-0.37333333333333335</v>
      </c>
      <c r="DU6">
        <v>-0.45333333333333337</v>
      </c>
      <c r="DV6">
        <v>-0.82666666666666666</v>
      </c>
      <c r="DW6">
        <v>-3.0163988095238095</v>
      </c>
      <c r="DX6">
        <v>0.34086833773086994</v>
      </c>
      <c r="DY6">
        <v>-3.0024740611336225</v>
      </c>
      <c r="DZ6">
        <v>3376</v>
      </c>
      <c r="EA6">
        <v>-3.0008395346390806</v>
      </c>
      <c r="EB6">
        <v>3</v>
      </c>
      <c r="EC6">
        <v>3.910815051170722E-2</v>
      </c>
      <c r="ED6">
        <v>0.25922039773163685</v>
      </c>
      <c r="EE6" s="10">
        <v>-3.0476999999999999</v>
      </c>
      <c r="EF6">
        <v>-3.0289000000000001</v>
      </c>
      <c r="EG6">
        <v>19.15086833773087</v>
      </c>
      <c r="EH6" t="s">
        <v>789</v>
      </c>
      <c r="EI6">
        <v>0</v>
      </c>
      <c r="EJ6">
        <v>0</v>
      </c>
      <c r="EK6" s="12">
        <v>45470</v>
      </c>
      <c r="EL6" s="13">
        <v>-0.77</v>
      </c>
      <c r="EM6" s="13">
        <v>-3.62</v>
      </c>
      <c r="EN6" s="13">
        <v>-1.88</v>
      </c>
      <c r="EO6" s="13">
        <v>1.91</v>
      </c>
      <c r="EP6" s="13">
        <v>-1.88</v>
      </c>
    </row>
    <row r="7" spans="1:146" ht="96" x14ac:dyDescent="0.25">
      <c r="A7" s="6"/>
      <c r="B7" s="6"/>
      <c r="C7" s="6" t="str">
        <f>""&amp;CHAR(10)&amp;Basic_Fundamental_Information_Constructure(F7)&amp;CHAR(10)&amp;Basic_Fundamental_Information_Concatenate("")</f>
        <v xml:space="preserve">
市值28.981185亿, 利润1.03亿; PE27.69; 平均PE13.99; 平均PEG5.02, PB.912; ROIC4.5567%; ROE4.63%; 股利率5.0633%; 毛利9.5867%; 净利.9067%; 上一年度营收增-19.26%, 利润增-21.97%; 当季营收增-8.13%, 利润增4.72%; 过往5年营收增2.78%, 利润增-12.61%
Income profile:
</v>
      </c>
      <c r="D7" t="s">
        <v>72</v>
      </c>
      <c r="E7" t="s">
        <v>28</v>
      </c>
      <c r="F7">
        <v>2.37</v>
      </c>
      <c r="G7">
        <v>1.28</v>
      </c>
      <c r="H7" t="s">
        <v>815</v>
      </c>
      <c r="I7">
        <v>2898118500</v>
      </c>
      <c r="J7">
        <v>27.69</v>
      </c>
      <c r="K7">
        <v>0.91200000000000003</v>
      </c>
      <c r="L7" t="s">
        <v>46</v>
      </c>
      <c r="M7" t="s">
        <v>816</v>
      </c>
      <c r="N7" t="s">
        <v>817</v>
      </c>
      <c r="O7" t="s">
        <v>818</v>
      </c>
      <c r="P7">
        <v>-8.11</v>
      </c>
      <c r="Q7" t="s">
        <v>819</v>
      </c>
      <c r="R7">
        <v>33569937</v>
      </c>
      <c r="S7" s="5">
        <v>4.7199999999999999E-2</v>
      </c>
      <c r="T7" t="s">
        <v>191</v>
      </c>
      <c r="U7">
        <v>1218770910</v>
      </c>
      <c r="V7">
        <v>1222834830</v>
      </c>
      <c r="W7">
        <v>2.35</v>
      </c>
      <c r="X7">
        <v>0.33</v>
      </c>
      <c r="Y7">
        <v>1.02</v>
      </c>
      <c r="Z7" t="s">
        <v>820</v>
      </c>
      <c r="AA7" t="s">
        <v>414</v>
      </c>
      <c r="AB7" t="s">
        <v>821</v>
      </c>
      <c r="AC7" t="s">
        <v>70</v>
      </c>
      <c r="AD7" t="s">
        <v>49</v>
      </c>
      <c r="AE7">
        <v>14843287</v>
      </c>
      <c r="AF7" t="s">
        <v>822</v>
      </c>
      <c r="AG7" t="s">
        <v>823</v>
      </c>
      <c r="AH7" t="s">
        <v>824</v>
      </c>
      <c r="AI7" t="s">
        <v>225</v>
      </c>
      <c r="AJ7" t="s">
        <v>825</v>
      </c>
      <c r="AK7" t="s">
        <v>826</v>
      </c>
      <c r="AL7" t="s">
        <v>827</v>
      </c>
      <c r="AM7" t="s">
        <v>49</v>
      </c>
      <c r="AN7" t="s">
        <v>828</v>
      </c>
      <c r="AO7" t="s">
        <v>252</v>
      </c>
      <c r="AP7" t="s">
        <v>829</v>
      </c>
      <c r="AQ7" t="s">
        <v>207</v>
      </c>
      <c r="AR7" t="s">
        <v>49</v>
      </c>
      <c r="AS7" t="s">
        <v>830</v>
      </c>
      <c r="AT7" t="s">
        <v>831</v>
      </c>
      <c r="AU7" t="s">
        <v>257</v>
      </c>
      <c r="AV7" t="s">
        <v>832</v>
      </c>
      <c r="AW7" t="s">
        <v>833</v>
      </c>
      <c r="AX7" t="s">
        <v>834</v>
      </c>
      <c r="AY7" t="s">
        <v>406</v>
      </c>
      <c r="AZ7" t="s">
        <v>216</v>
      </c>
      <c r="BA7" t="s">
        <v>73</v>
      </c>
      <c r="BB7" t="s">
        <v>221</v>
      </c>
      <c r="BC7" t="s">
        <v>495</v>
      </c>
      <c r="BD7" t="s">
        <v>407</v>
      </c>
      <c r="BE7" t="s">
        <v>106</v>
      </c>
      <c r="BF7" t="s">
        <v>63</v>
      </c>
      <c r="BG7" t="s">
        <v>222</v>
      </c>
      <c r="BH7" t="s">
        <v>819</v>
      </c>
      <c r="BI7" t="s">
        <v>835</v>
      </c>
      <c r="BJ7" t="s">
        <v>834</v>
      </c>
      <c r="BK7" t="s">
        <v>191</v>
      </c>
      <c r="BL7" t="s">
        <v>836</v>
      </c>
      <c r="BM7" t="s">
        <v>495</v>
      </c>
      <c r="BN7">
        <v>2.91</v>
      </c>
      <c r="BO7">
        <v>4.8099999999999996</v>
      </c>
      <c r="BP7">
        <v>5.95</v>
      </c>
      <c r="BQ7">
        <v>3.56</v>
      </c>
      <c r="BR7">
        <v>3.94</v>
      </c>
      <c r="BS7">
        <v>6.39</v>
      </c>
      <c r="BT7" t="s">
        <v>691</v>
      </c>
      <c r="BU7" t="s">
        <v>455</v>
      </c>
      <c r="BV7">
        <v>11.4</v>
      </c>
      <c r="BW7">
        <v>8.7899999999999991</v>
      </c>
      <c r="BX7">
        <v>8.57</v>
      </c>
      <c r="BY7">
        <v>0.69</v>
      </c>
      <c r="BZ7">
        <v>0.71</v>
      </c>
      <c r="CA7">
        <v>1.32</v>
      </c>
      <c r="CB7">
        <v>1.28</v>
      </c>
      <c r="CC7">
        <v>-11.24</v>
      </c>
      <c r="CD7" t="s">
        <v>837</v>
      </c>
      <c r="CE7" t="s">
        <v>60</v>
      </c>
      <c r="CF7" s="7">
        <v>-8.1289889150151159E-2</v>
      </c>
      <c r="CG7" s="8">
        <v>4.7224615595783642E-2</v>
      </c>
      <c r="CH7" s="7">
        <v>-0.19258533418178558</v>
      </c>
      <c r="CI7" s="7">
        <v>-0.12388176470994949</v>
      </c>
      <c r="CJ7" s="7">
        <v>0.46156412363052368</v>
      </c>
      <c r="CK7" s="7">
        <v>8.2004159688949585E-2</v>
      </c>
      <c r="CL7" s="7">
        <v>-8.7867803871631622E-2</v>
      </c>
      <c r="CM7" s="8">
        <v>-0.21969696879386902</v>
      </c>
      <c r="CN7" s="8">
        <v>-0.39449542760848999</v>
      </c>
      <c r="CO7" s="8">
        <v>-0.24827586114406586</v>
      </c>
      <c r="CP7" s="8">
        <v>8.6142323911190033E-2</v>
      </c>
      <c r="CQ7" s="8">
        <v>0.14592275023460388</v>
      </c>
      <c r="CR7">
        <v>13.989308930008045</v>
      </c>
      <c r="CS7">
        <v>5.0236907536590349</v>
      </c>
      <c r="CT7">
        <v>5.0632911392405058</v>
      </c>
      <c r="CU7" s="7">
        <v>2.7846676111221314E-2</v>
      </c>
      <c r="CV7" s="8">
        <v>-0.1260806366801262</v>
      </c>
      <c r="CW7">
        <v>0.06</v>
      </c>
      <c r="CX7">
        <v>41.37262458354504</v>
      </c>
      <c r="CY7">
        <v>99875667.58439225</v>
      </c>
      <c r="CZ7">
        <v>2.7846676111221314E-2</v>
      </c>
      <c r="DA7">
        <v>14.255979047010673</v>
      </c>
      <c r="DB7">
        <v>289851611.47991872</v>
      </c>
      <c r="DC7">
        <v>2.6454342305660246E-2</v>
      </c>
      <c r="DD7">
        <v>7.520054388141733</v>
      </c>
      <c r="DE7">
        <v>549479868.99082518</v>
      </c>
      <c r="DF7">
        <v>2.4505074977874755E-2</v>
      </c>
      <c r="DG7">
        <v>4.8701245299726343</v>
      </c>
      <c r="DH7">
        <v>848462595.68299341</v>
      </c>
      <c r="DI7">
        <v>2.2277340888977051E-2</v>
      </c>
      <c r="DJ7">
        <v>2.9449478788327501</v>
      </c>
      <c r="DK7">
        <v>1403121097.5583692</v>
      </c>
      <c r="DL7">
        <v>1.9492673277854918E-2</v>
      </c>
      <c r="DM7">
        <v>103000000</v>
      </c>
      <c r="DN7">
        <v>2.7846676111221314E-2</v>
      </c>
      <c r="DO7">
        <v>4132118499.9999995</v>
      </c>
      <c r="DP7">
        <v>1348494300</v>
      </c>
      <c r="DQ7">
        <v>737</v>
      </c>
      <c r="DR7">
        <v>-0.10913656526137247</v>
      </c>
      <c r="DS7">
        <v>0.17330525227590984</v>
      </c>
      <c r="DT7" s="9">
        <v>-0.47333333333333333</v>
      </c>
      <c r="DU7">
        <v>-0.45</v>
      </c>
      <c r="DV7">
        <v>-0.92333333333333334</v>
      </c>
      <c r="DW7">
        <v>-2.1124000000000001</v>
      </c>
      <c r="DX7">
        <v>0.35506153846153921</v>
      </c>
      <c r="DY7">
        <v>-2.0129329169230767</v>
      </c>
      <c r="DZ7">
        <v>3479</v>
      </c>
      <c r="EA7">
        <v>-2.0041279036206534</v>
      </c>
      <c r="EB7">
        <v>2</v>
      </c>
      <c r="EC7">
        <v>2.2018018574102932E-2</v>
      </c>
      <c r="ED7">
        <v>0.19135863181129703</v>
      </c>
      <c r="EE7" s="10">
        <v>-1.0752999999999999</v>
      </c>
      <c r="EF7">
        <v>-1.0542</v>
      </c>
      <c r="EG7">
        <v>24.115061538461539</v>
      </c>
      <c r="EH7" t="s">
        <v>760</v>
      </c>
      <c r="EI7">
        <v>0</v>
      </c>
      <c r="EJ7">
        <v>0</v>
      </c>
      <c r="EK7" s="12">
        <v>45470</v>
      </c>
      <c r="EL7" s="13">
        <v>-0.83</v>
      </c>
      <c r="EM7" s="13">
        <v>-3.78</v>
      </c>
      <c r="EN7" s="13">
        <v>0.44</v>
      </c>
      <c r="EO7" s="13">
        <v>3.04</v>
      </c>
      <c r="EP7" s="13">
        <v>-2.11</v>
      </c>
    </row>
    <row r="8" spans="1:146" ht="156" x14ac:dyDescent="0.25">
      <c r="A8" s="6" t="s">
        <v>711</v>
      </c>
      <c r="B8" s="6"/>
      <c r="C8" s="6" t="str">
        <f>"公司主要业务涵盖安全印务、彩票新渠道服务、书刊印刷与高端包装印刷等。公司在商业票据印刷领域经过多年发展，凭借优异的产品、有效的服务、良好的信誉，已成为行业龙头企业之一"&amp;CHAR(10)&amp;Basic_Fundamental_Information_Constructure(F8)&amp;CHAR(10)&amp;Basic_Fundamental_Information_Concatenate("票证产品 1.69亿 72.89% 60.34% 16.69%
包装办公用纸 4621.06万 19.88% 20.24% 20.54%
其他 1682.83万 7.24% 19.42% 54.11%")</f>
        <v>公司主要业务涵盖安全印务、彩票新渠道服务、书刊印刷与高端包装印刷等。公司在商业票据印刷领域经过多年发展，凭借优异的产品、有效的服务、良好的信誉，已成为行业龙头企业之一
市值50.432439亿, 利润-5444.29万; PE; 平均PE-555.3; 平均PEG-477.09, PB3.3; ROIC1.18%; ROE-2.0133%; 股利率0%; 毛利23.5133%; 净利-3.6733%; 上一年度营收增13.55%, 利润增27.51%; 当季营收增7.64%, 利润增-37.33%; 过往5年营收增-1.16%, 利润增-79.94%
Income profile:
票证产品 1.69亿 72.89% 60.34% 16.69%
包装办公用纸 4621.06万 19.88% 20.24% 20.54%
其他 1682.83万 7.24% 19.42% 54.11%</v>
      </c>
      <c r="D8" t="s">
        <v>74</v>
      </c>
      <c r="E8" t="s">
        <v>29</v>
      </c>
      <c r="F8">
        <v>10.119999999999999</v>
      </c>
      <c r="G8">
        <v>-0.98</v>
      </c>
      <c r="H8" t="s">
        <v>838</v>
      </c>
      <c r="I8">
        <v>5043243900</v>
      </c>
      <c r="K8">
        <v>3.3</v>
      </c>
      <c r="L8" t="s">
        <v>46</v>
      </c>
      <c r="M8" t="s">
        <v>839</v>
      </c>
      <c r="N8" t="s">
        <v>840</v>
      </c>
      <c r="O8" t="s">
        <v>841</v>
      </c>
      <c r="P8">
        <v>7.59</v>
      </c>
      <c r="Q8" t="s">
        <v>842</v>
      </c>
      <c r="R8">
        <v>-25063922</v>
      </c>
      <c r="S8" s="5">
        <v>-0.37330000000000002</v>
      </c>
      <c r="T8" t="s">
        <v>843</v>
      </c>
      <c r="U8">
        <v>493164300</v>
      </c>
      <c r="V8">
        <v>498344260</v>
      </c>
      <c r="W8">
        <v>2.06</v>
      </c>
      <c r="X8">
        <v>0.05</v>
      </c>
      <c r="Y8">
        <v>-10.4</v>
      </c>
      <c r="Z8" t="s">
        <v>811</v>
      </c>
      <c r="AA8" t="s">
        <v>107</v>
      </c>
      <c r="AB8" t="s">
        <v>844</v>
      </c>
      <c r="AC8" t="s">
        <v>845</v>
      </c>
      <c r="AD8" t="s">
        <v>49</v>
      </c>
      <c r="AE8">
        <v>5268401</v>
      </c>
      <c r="AF8" t="s">
        <v>846</v>
      </c>
      <c r="AG8" t="s">
        <v>847</v>
      </c>
      <c r="AH8" t="s">
        <v>848</v>
      </c>
      <c r="AI8" t="s">
        <v>849</v>
      </c>
      <c r="AJ8" t="s">
        <v>850</v>
      </c>
      <c r="AK8" t="s">
        <v>49</v>
      </c>
      <c r="AL8" t="s">
        <v>851</v>
      </c>
      <c r="AM8" t="s">
        <v>49</v>
      </c>
      <c r="AN8" t="s">
        <v>852</v>
      </c>
      <c r="AO8" t="s">
        <v>507</v>
      </c>
      <c r="AP8" t="s">
        <v>853</v>
      </c>
      <c r="AQ8" t="s">
        <v>854</v>
      </c>
      <c r="AR8" t="s">
        <v>855</v>
      </c>
      <c r="AS8" t="s">
        <v>593</v>
      </c>
      <c r="AT8" t="s">
        <v>856</v>
      </c>
      <c r="AU8" t="s">
        <v>857</v>
      </c>
      <c r="AV8" t="s">
        <v>858</v>
      </c>
      <c r="AW8" t="s">
        <v>859</v>
      </c>
      <c r="AX8" t="s">
        <v>356</v>
      </c>
      <c r="AY8" t="s">
        <v>215</v>
      </c>
      <c r="AZ8" t="s">
        <v>123</v>
      </c>
      <c r="BA8" t="s">
        <v>75</v>
      </c>
      <c r="BB8" t="s">
        <v>225</v>
      </c>
      <c r="BC8" t="s">
        <v>860</v>
      </c>
      <c r="BD8" t="s">
        <v>408</v>
      </c>
      <c r="BE8" t="s">
        <v>224</v>
      </c>
      <c r="BF8" t="s">
        <v>76</v>
      </c>
      <c r="BG8" t="s">
        <v>226</v>
      </c>
      <c r="BH8" t="s">
        <v>842</v>
      </c>
      <c r="BI8" t="s">
        <v>400</v>
      </c>
      <c r="BJ8" t="s">
        <v>356</v>
      </c>
      <c r="BK8" t="s">
        <v>843</v>
      </c>
      <c r="BL8" t="s">
        <v>861</v>
      </c>
      <c r="BM8" t="s">
        <v>860</v>
      </c>
      <c r="BN8" t="s">
        <v>49</v>
      </c>
      <c r="BO8" t="s">
        <v>49</v>
      </c>
      <c r="BP8">
        <v>1.18</v>
      </c>
      <c r="BQ8">
        <v>-2.0299999999999998</v>
      </c>
      <c r="BR8">
        <v>-4.55</v>
      </c>
      <c r="BS8">
        <v>0.54</v>
      </c>
      <c r="BT8" t="s">
        <v>685</v>
      </c>
      <c r="BU8" t="s">
        <v>497</v>
      </c>
      <c r="BV8">
        <v>24.95</v>
      </c>
      <c r="BW8">
        <v>20.260000000000002</v>
      </c>
      <c r="BX8">
        <v>25.33</v>
      </c>
      <c r="BY8">
        <v>-4.2699999999999996</v>
      </c>
      <c r="BZ8">
        <v>-10.41</v>
      </c>
      <c r="CA8">
        <v>3.66</v>
      </c>
      <c r="CB8">
        <v>-8.33</v>
      </c>
      <c r="CC8">
        <v>-42.24</v>
      </c>
      <c r="CD8" t="s">
        <v>862</v>
      </c>
      <c r="CE8" t="s">
        <v>585</v>
      </c>
      <c r="CF8" s="7">
        <v>7.6388888888888895E-2</v>
      </c>
      <c r="CG8" s="8">
        <v>-0.37328281583027872</v>
      </c>
      <c r="CH8" s="7">
        <v>0.13553114235401154</v>
      </c>
      <c r="CI8" s="7">
        <v>-4.8780485987663269E-2</v>
      </c>
      <c r="CJ8" s="7">
        <v>0.21097046136856079</v>
      </c>
      <c r="CK8" s="7">
        <v>-0.24401913583278656</v>
      </c>
      <c r="CL8" s="7">
        <v>-0.1118980199098587</v>
      </c>
      <c r="CM8" s="8">
        <v>0.2750505805015564</v>
      </c>
      <c r="CN8" s="8">
        <v>-9.2174081802368164</v>
      </c>
      <c r="CO8" s="8">
        <v>-0.64102083444595337</v>
      </c>
      <c r="CP8" s="8">
        <v>-0.27899163961410522</v>
      </c>
      <c r="CQ8" s="8">
        <v>5.8653731346130371</v>
      </c>
      <c r="CR8">
        <v>-555.30000495484671</v>
      </c>
      <c r="CS8">
        <v>-477.09433834742214</v>
      </c>
      <c r="CT8">
        <v>0</v>
      </c>
      <c r="CU8" s="7">
        <v>-1.1639207601547241E-2</v>
      </c>
      <c r="CV8" s="8">
        <v>-0.79939938783645625</v>
      </c>
      <c r="CW8">
        <v>0.06</v>
      </c>
      <c r="CX8" t="e">
        <v>#VALUE!</v>
      </c>
      <c r="CY8" t="s">
        <v>463</v>
      </c>
      <c r="CZ8">
        <v>-1.1639207601547241E-2</v>
      </c>
      <c r="DA8" t="e">
        <v>#VALUE!</v>
      </c>
      <c r="DB8" t="s">
        <v>464</v>
      </c>
      <c r="DC8">
        <v>-1.1057247221469878E-2</v>
      </c>
      <c r="DD8" t="e">
        <v>#VALUE!</v>
      </c>
      <c r="DE8" t="s">
        <v>464</v>
      </c>
      <c r="DF8">
        <v>-1.0242502689361572E-2</v>
      </c>
      <c r="DG8" t="e">
        <v>#VALUE!</v>
      </c>
      <c r="DH8" t="s">
        <v>464</v>
      </c>
      <c r="DI8">
        <v>-9.311366081237794E-3</v>
      </c>
      <c r="DJ8" t="e">
        <v>#VALUE!</v>
      </c>
      <c r="DK8" t="s">
        <v>464</v>
      </c>
      <c r="DL8">
        <v>-8.1474453210830678E-3</v>
      </c>
      <c r="DM8">
        <v>-54442900</v>
      </c>
      <c r="DN8">
        <v>-1.1639207601547241E-2</v>
      </c>
      <c r="DO8">
        <v>4817243900</v>
      </c>
      <c r="DP8">
        <v>458393400</v>
      </c>
      <c r="DQ8">
        <v>738</v>
      </c>
      <c r="DR8">
        <v>8.8028096490436136E-2</v>
      </c>
      <c r="DS8">
        <v>0.42611657200617753</v>
      </c>
      <c r="DT8" s="9">
        <v>-0.42333333333333334</v>
      </c>
      <c r="DU8">
        <v>-1.8833333333333335</v>
      </c>
      <c r="DV8">
        <v>-2.3066666666666666</v>
      </c>
      <c r="DW8">
        <v>-9.1972064393939394</v>
      </c>
      <c r="DX8">
        <v>0.32715994020926642</v>
      </c>
      <c r="DY8">
        <v>-9.0191605658603979</v>
      </c>
      <c r="DZ8">
        <v>4583</v>
      </c>
      <c r="EA8">
        <v>-9.0019760505300255</v>
      </c>
      <c r="EB8">
        <v>9</v>
      </c>
      <c r="EC8">
        <v>0.26086384540678764</v>
      </c>
      <c r="ED8">
        <v>2.6848909627252455</v>
      </c>
      <c r="EE8" s="10">
        <v>2.1509999999999998E-2</v>
      </c>
      <c r="EF8">
        <v>4.0509999999999997E-2</v>
      </c>
      <c r="EG8">
        <v>23.097159940209266</v>
      </c>
      <c r="EH8">
        <v>-1</v>
      </c>
      <c r="EI8">
        <v>0</v>
      </c>
      <c r="EJ8">
        <v>0</v>
      </c>
      <c r="EK8" s="12">
        <v>45470</v>
      </c>
      <c r="EL8" s="13">
        <v>-3.65</v>
      </c>
      <c r="EM8" s="13">
        <v>-7.82</v>
      </c>
      <c r="EN8" s="13">
        <v>-1.21</v>
      </c>
      <c r="EO8" s="13">
        <v>4.4400000000000004</v>
      </c>
      <c r="EP8" s="13">
        <v>-1.9</v>
      </c>
    </row>
    <row r="9" spans="1:146" ht="96" x14ac:dyDescent="0.25">
      <c r="A9" s="6"/>
      <c r="B9" s="6"/>
      <c r="C9" s="6" t="str">
        <f>""&amp;CHAR(10)&amp;Basic_Fundamental_Information_Constructure(F9)&amp;CHAR(10)&amp;Basic_Fundamental_Information_Concatenate("")</f>
        <v xml:space="preserve">
市值39.355019亿, 利润1.96亿; PE17.31; 平均PE15.14; 平均PEG7.3, PB.765; ROIC2.1467%; ROE2.6967%; 股利率5.0584%; 毛利22.2767%; 净利3.8133%; 上一年度营收增-14.94%, 利润增45.19%; 当季营收增6.85%, 利润增81.83%; 过往5年营收增2.07%, 利润增.47%
Income profile:
</v>
      </c>
      <c r="D9" t="s">
        <v>77</v>
      </c>
      <c r="E9" t="s">
        <v>24</v>
      </c>
      <c r="F9">
        <v>2.57</v>
      </c>
      <c r="G9">
        <v>1.18</v>
      </c>
      <c r="H9" t="s">
        <v>863</v>
      </c>
      <c r="I9">
        <v>3935501900</v>
      </c>
      <c r="J9">
        <v>17.309999999999999</v>
      </c>
      <c r="K9">
        <v>0.76500000000000001</v>
      </c>
      <c r="L9" t="s">
        <v>46</v>
      </c>
      <c r="M9" t="s">
        <v>864</v>
      </c>
      <c r="N9" t="s">
        <v>865</v>
      </c>
      <c r="O9" t="s">
        <v>168</v>
      </c>
      <c r="P9">
        <v>6.88</v>
      </c>
      <c r="Q9" t="s">
        <v>866</v>
      </c>
      <c r="R9">
        <v>69462028</v>
      </c>
      <c r="S9" s="5">
        <v>0.81830000000000003</v>
      </c>
      <c r="T9" t="s">
        <v>867</v>
      </c>
      <c r="U9">
        <v>952514260</v>
      </c>
      <c r="V9">
        <v>1531323700</v>
      </c>
      <c r="W9">
        <v>1.53</v>
      </c>
      <c r="X9">
        <v>0.11</v>
      </c>
      <c r="Y9">
        <v>8.36</v>
      </c>
      <c r="Z9" t="s">
        <v>868</v>
      </c>
      <c r="AA9" t="s">
        <v>192</v>
      </c>
      <c r="AB9" t="s">
        <v>869</v>
      </c>
      <c r="AC9" t="s">
        <v>870</v>
      </c>
      <c r="AD9" t="s">
        <v>49</v>
      </c>
      <c r="AE9">
        <v>-5333504</v>
      </c>
      <c r="AF9" t="s">
        <v>871</v>
      </c>
      <c r="AG9" t="s">
        <v>872</v>
      </c>
      <c r="AH9" t="s">
        <v>873</v>
      </c>
      <c r="AI9" t="s">
        <v>874</v>
      </c>
      <c r="AJ9" t="s">
        <v>875</v>
      </c>
      <c r="AK9" t="s">
        <v>876</v>
      </c>
      <c r="AL9" t="s">
        <v>877</v>
      </c>
      <c r="AM9" t="s">
        <v>49</v>
      </c>
      <c r="AN9" t="s">
        <v>878</v>
      </c>
      <c r="AO9" t="s">
        <v>600</v>
      </c>
      <c r="AP9" t="s">
        <v>879</v>
      </c>
      <c r="AQ9" t="s">
        <v>880</v>
      </c>
      <c r="AR9" t="s">
        <v>881</v>
      </c>
      <c r="AS9" t="s">
        <v>882</v>
      </c>
      <c r="AT9" t="s">
        <v>883</v>
      </c>
      <c r="AU9" t="s">
        <v>884</v>
      </c>
      <c r="AV9" t="s">
        <v>885</v>
      </c>
      <c r="AW9" t="s">
        <v>886</v>
      </c>
      <c r="AX9" t="s">
        <v>887</v>
      </c>
      <c r="AY9" t="s">
        <v>409</v>
      </c>
      <c r="AZ9" t="s">
        <v>227</v>
      </c>
      <c r="BA9" t="s">
        <v>78</v>
      </c>
      <c r="BB9" t="s">
        <v>229</v>
      </c>
      <c r="BC9" t="s">
        <v>513</v>
      </c>
      <c r="BD9" t="s">
        <v>410</v>
      </c>
      <c r="BE9" t="s">
        <v>217</v>
      </c>
      <c r="BF9" t="s">
        <v>79</v>
      </c>
      <c r="BG9" t="s">
        <v>71</v>
      </c>
      <c r="BH9" t="s">
        <v>866</v>
      </c>
      <c r="BI9" t="s">
        <v>888</v>
      </c>
      <c r="BJ9" t="s">
        <v>887</v>
      </c>
      <c r="BK9" t="s">
        <v>867</v>
      </c>
      <c r="BL9" t="s">
        <v>889</v>
      </c>
      <c r="BM9" t="s">
        <v>513</v>
      </c>
      <c r="BN9">
        <v>2.19</v>
      </c>
      <c r="BO9">
        <v>2.44</v>
      </c>
      <c r="BP9">
        <v>1.81</v>
      </c>
      <c r="BQ9">
        <v>3.24</v>
      </c>
      <c r="BR9">
        <v>2.78</v>
      </c>
      <c r="BS9">
        <v>2.0699999999999998</v>
      </c>
      <c r="BT9" t="s">
        <v>890</v>
      </c>
      <c r="BU9" t="s">
        <v>455</v>
      </c>
      <c r="BV9">
        <v>25.23</v>
      </c>
      <c r="BW9">
        <v>18.71</v>
      </c>
      <c r="BX9">
        <v>22.89</v>
      </c>
      <c r="BY9">
        <v>5.71</v>
      </c>
      <c r="BZ9">
        <v>3.17</v>
      </c>
      <c r="CA9">
        <v>2.56</v>
      </c>
      <c r="CB9">
        <v>6.64</v>
      </c>
      <c r="CC9">
        <v>-19.18</v>
      </c>
      <c r="CD9" t="s">
        <v>891</v>
      </c>
      <c r="CE9" t="s">
        <v>892</v>
      </c>
      <c r="CF9" s="7">
        <v>6.8527918781725886E-2</v>
      </c>
      <c r="CG9" s="8">
        <v>0.81833961592427384</v>
      </c>
      <c r="CH9" s="7">
        <v>-0.14939466118812561</v>
      </c>
      <c r="CI9" s="7">
        <v>0.14563106000423431</v>
      </c>
      <c r="CJ9" s="7">
        <v>7.1322441101074219E-2</v>
      </c>
      <c r="CK9" s="7">
        <v>-7.9599246382713318E-3</v>
      </c>
      <c r="CL9" s="7">
        <v>4.4013563543558121E-2</v>
      </c>
      <c r="CM9" s="8">
        <v>0.45185184478759766</v>
      </c>
      <c r="CN9" s="8">
        <v>0.36491304636001587</v>
      </c>
      <c r="CO9" s="8">
        <v>-0.49016803503036499</v>
      </c>
      <c r="CP9" s="8">
        <v>-0.63738316297531128</v>
      </c>
      <c r="CQ9" s="8">
        <v>0.33416458964347839</v>
      </c>
      <c r="CR9">
        <v>15.13744431239957</v>
      </c>
      <c r="CS9">
        <v>7.3048364851574314</v>
      </c>
      <c r="CT9">
        <v>5.0583657587548645</v>
      </c>
      <c r="CU9" s="7">
        <v>2.0722495764493941E-2</v>
      </c>
      <c r="CV9" s="8">
        <v>4.6756565570831299E-3</v>
      </c>
      <c r="CW9">
        <v>0.06</v>
      </c>
      <c r="CX9">
        <v>7.0388917686076846</v>
      </c>
      <c r="CY9">
        <v>188737367.14135924</v>
      </c>
      <c r="CZ9">
        <v>2.0722495764493941E-2</v>
      </c>
      <c r="DA9">
        <v>2.4403141701959092</v>
      </c>
      <c r="DB9">
        <v>544397896.06817198</v>
      </c>
      <c r="DC9">
        <v>1.9686370976269244E-2</v>
      </c>
      <c r="DD9">
        <v>1.2972785995077185</v>
      </c>
      <c r="DE9">
        <v>1024068307.6897513</v>
      </c>
      <c r="DF9">
        <v>1.8235796272754668E-2</v>
      </c>
      <c r="DG9">
        <v>0.84700300743553691</v>
      </c>
      <c r="DH9">
        <v>1568473651.613461</v>
      </c>
      <c r="DI9">
        <v>1.6577996611595154E-2</v>
      </c>
      <c r="DJ9">
        <v>0.52036675295995005</v>
      </c>
      <c r="DK9">
        <v>2553010722.6167231</v>
      </c>
      <c r="DL9">
        <v>1.4505747035145757E-2</v>
      </c>
      <c r="DM9">
        <v>196000000</v>
      </c>
      <c r="DN9">
        <v>2.0722495764493941E-2</v>
      </c>
      <c r="DO9">
        <v>1328501900</v>
      </c>
      <c r="DP9">
        <v>1641714600</v>
      </c>
      <c r="DQ9">
        <v>810</v>
      </c>
      <c r="DR9">
        <v>4.7805423017231945E-2</v>
      </c>
      <c r="DS9">
        <v>0.81366395936719071</v>
      </c>
      <c r="DT9" s="9">
        <v>-0.44</v>
      </c>
      <c r="DU9">
        <v>0.26999999999999996</v>
      </c>
      <c r="DV9">
        <v>-0.17000000000000004</v>
      </c>
      <c r="DW9">
        <v>7.2571649883811</v>
      </c>
      <c r="DX9">
        <v>0.39549759999999878</v>
      </c>
      <c r="DY9">
        <v>7.0374168886134782</v>
      </c>
      <c r="DZ9">
        <v>2121</v>
      </c>
      <c r="EA9">
        <v>7.0218863170382946</v>
      </c>
      <c r="EB9">
        <v>7</v>
      </c>
      <c r="EC9">
        <v>5.1307701957463335E-2</v>
      </c>
      <c r="ED9">
        <v>0.35263608863364421</v>
      </c>
      <c r="EE9" s="10">
        <v>-1.0094000000000001</v>
      </c>
      <c r="EF9">
        <v>-1.01491</v>
      </c>
      <c r="EG9">
        <v>25.145497599999999</v>
      </c>
      <c r="EH9" t="s">
        <v>706</v>
      </c>
      <c r="EI9">
        <v>1</v>
      </c>
      <c r="EJ9">
        <v>0</v>
      </c>
      <c r="EK9" s="12">
        <v>45470</v>
      </c>
      <c r="EL9" s="13">
        <v>-0.39</v>
      </c>
      <c r="EM9" s="13">
        <v>-4.71</v>
      </c>
      <c r="EN9" s="13">
        <v>0</v>
      </c>
      <c r="EO9" s="13">
        <v>1.65</v>
      </c>
      <c r="EP9" s="13">
        <v>-2.4300000000000002</v>
      </c>
    </row>
    <row r="10" spans="1:146" ht="96" x14ac:dyDescent="0.25">
      <c r="A10" s="6"/>
      <c r="B10" s="6"/>
      <c r="C10" s="6" t="str">
        <f>""&amp;CHAR(10)&amp;Basic_Fundamental_Information_Constructure(F10)&amp;CHAR(10)&amp;Basic_Fundamental_Information_Concatenate("")</f>
        <v xml:space="preserve">
市值19.800759亿, 利润-1.61亿; PE; 平均PE-4.86; 平均PEG-.7, PB1.72; ROIC0%; ROE-23.8267%; 股利率0%; 毛利11.7633%; 净利-74.5667%; 上一年度营收增-15.46%, 利润增76.56%; 当季营收增11.41%, 利润增-206.58%; 过往5年营收增-6.99%, 利润增-144.44%
Income profile:
</v>
      </c>
      <c r="D10" t="s">
        <v>361</v>
      </c>
      <c r="E10" t="s">
        <v>362</v>
      </c>
      <c r="F10">
        <v>1.82</v>
      </c>
      <c r="G10">
        <v>1.1100000000000001</v>
      </c>
      <c r="H10" t="s">
        <v>893</v>
      </c>
      <c r="I10">
        <v>1980075900</v>
      </c>
      <c r="K10">
        <v>1.72</v>
      </c>
      <c r="L10" t="s">
        <v>46</v>
      </c>
      <c r="M10" t="s">
        <v>894</v>
      </c>
      <c r="N10" t="s">
        <v>895</v>
      </c>
      <c r="O10" t="s">
        <v>370</v>
      </c>
      <c r="P10">
        <v>11.58</v>
      </c>
      <c r="Q10" t="s">
        <v>703</v>
      </c>
      <c r="R10">
        <v>-45203467</v>
      </c>
      <c r="S10" s="5">
        <v>-2.0659999999999998</v>
      </c>
      <c r="T10" t="s">
        <v>472</v>
      </c>
      <c r="U10">
        <v>1087953780</v>
      </c>
      <c r="V10">
        <v>1087953780</v>
      </c>
      <c r="W10">
        <v>3.31</v>
      </c>
      <c r="X10">
        <v>0.05</v>
      </c>
      <c r="Y10">
        <v>-29.2</v>
      </c>
      <c r="Z10" t="s">
        <v>421</v>
      </c>
      <c r="AA10" t="s">
        <v>330</v>
      </c>
      <c r="AB10" t="s">
        <v>896</v>
      </c>
      <c r="AC10" t="s">
        <v>897</v>
      </c>
      <c r="AD10" t="s">
        <v>49</v>
      </c>
      <c r="AE10">
        <v>1414468</v>
      </c>
      <c r="AF10" t="s">
        <v>898</v>
      </c>
      <c r="AG10" t="s">
        <v>899</v>
      </c>
      <c r="AH10" t="s">
        <v>900</v>
      </c>
      <c r="AI10" t="s">
        <v>901</v>
      </c>
      <c r="AJ10" t="s">
        <v>902</v>
      </c>
      <c r="AK10" t="s">
        <v>903</v>
      </c>
      <c r="AL10" t="s">
        <v>904</v>
      </c>
      <c r="AM10" t="s">
        <v>49</v>
      </c>
      <c r="AN10" t="s">
        <v>905</v>
      </c>
      <c r="AO10" t="s">
        <v>359</v>
      </c>
      <c r="AP10" t="s">
        <v>49</v>
      </c>
      <c r="AQ10" t="s">
        <v>906</v>
      </c>
      <c r="AR10" t="s">
        <v>907</v>
      </c>
      <c r="AS10" t="s">
        <v>908</v>
      </c>
      <c r="AT10" t="s">
        <v>592</v>
      </c>
      <c r="AU10" t="s">
        <v>909</v>
      </c>
      <c r="AV10" t="s">
        <v>910</v>
      </c>
      <c r="AW10" t="s">
        <v>911</v>
      </c>
      <c r="AX10" t="s">
        <v>912</v>
      </c>
      <c r="AY10" t="s">
        <v>65</v>
      </c>
      <c r="AZ10" t="s">
        <v>324</v>
      </c>
      <c r="BA10" t="s">
        <v>363</v>
      </c>
      <c r="BB10" t="s">
        <v>364</v>
      </c>
      <c r="BC10" t="s">
        <v>913</v>
      </c>
      <c r="BD10" t="s">
        <v>411</v>
      </c>
      <c r="BE10" t="s">
        <v>187</v>
      </c>
      <c r="BF10" t="s">
        <v>365</v>
      </c>
      <c r="BG10" t="s">
        <v>366</v>
      </c>
      <c r="BH10" t="s">
        <v>703</v>
      </c>
      <c r="BI10" t="s">
        <v>705</v>
      </c>
      <c r="BJ10" t="s">
        <v>912</v>
      </c>
      <c r="BK10" t="s">
        <v>472</v>
      </c>
      <c r="BL10" t="s">
        <v>914</v>
      </c>
      <c r="BM10" t="s">
        <v>913</v>
      </c>
      <c r="BN10" t="s">
        <v>49</v>
      </c>
      <c r="BO10" t="s">
        <v>49</v>
      </c>
      <c r="BP10" t="s">
        <v>49</v>
      </c>
      <c r="BQ10">
        <v>-3.06</v>
      </c>
      <c r="BR10">
        <v>-40.5</v>
      </c>
      <c r="BS10">
        <v>-27.92</v>
      </c>
      <c r="BT10" t="s">
        <v>685</v>
      </c>
      <c r="BU10" t="s">
        <v>455</v>
      </c>
      <c r="BV10">
        <v>19.96</v>
      </c>
      <c r="BW10">
        <v>21.03</v>
      </c>
      <c r="BX10">
        <v>-5.7</v>
      </c>
      <c r="BY10">
        <v>-25.14</v>
      </c>
      <c r="BZ10">
        <v>-100.15</v>
      </c>
      <c r="CA10">
        <v>-98.41</v>
      </c>
      <c r="CB10">
        <v>4</v>
      </c>
      <c r="CC10">
        <v>-26.91</v>
      </c>
      <c r="CD10" t="s">
        <v>915</v>
      </c>
      <c r="CE10" t="s">
        <v>826</v>
      </c>
      <c r="CF10" s="7">
        <v>0.11409395973154363</v>
      </c>
      <c r="CG10" s="8">
        <v>-2.0657850045779784</v>
      </c>
      <c r="CH10" s="7">
        <v>-0.15457788109779358</v>
      </c>
      <c r="CI10" s="7">
        <v>0.23133236169815063</v>
      </c>
      <c r="CJ10" s="7">
        <v>0.10876623541116714</v>
      </c>
      <c r="CK10" s="7">
        <v>-0.47485077381134033</v>
      </c>
      <c r="CL10" s="7">
        <v>-6.0096204280853271E-2</v>
      </c>
      <c r="CM10" s="8">
        <v>0.7656477689743042</v>
      </c>
      <c r="CN10" s="8">
        <v>-3.7764351814985275E-2</v>
      </c>
      <c r="CO10" s="8">
        <v>-2.6983239650726318</v>
      </c>
      <c r="CP10" s="8">
        <v>-6.2945113182067871</v>
      </c>
      <c r="CQ10" s="8">
        <v>1.0427956581115723</v>
      </c>
      <c r="CR10">
        <v>-4.8587016132970202</v>
      </c>
      <c r="CS10">
        <v>-0.69523990331547092</v>
      </c>
      <c r="CT10">
        <v>0</v>
      </c>
      <c r="CU10" s="7">
        <v>-6.9885252416133886E-2</v>
      </c>
      <c r="CV10" s="8">
        <v>-1.4444312416017056</v>
      </c>
      <c r="CW10">
        <v>0.06</v>
      </c>
      <c r="CX10" t="e">
        <v>#VALUE!</v>
      </c>
      <c r="CY10" t="s">
        <v>463</v>
      </c>
      <c r="CZ10">
        <v>-6.9885252416133886E-2</v>
      </c>
      <c r="DA10" t="e">
        <v>#VALUE!</v>
      </c>
      <c r="DB10" t="s">
        <v>464</v>
      </c>
      <c r="DC10">
        <v>-6.639098979532719E-2</v>
      </c>
      <c r="DD10" t="e">
        <v>#VALUE!</v>
      </c>
      <c r="DE10" t="s">
        <v>464</v>
      </c>
      <c r="DF10">
        <v>-6.1499022126197823E-2</v>
      </c>
      <c r="DG10" t="e">
        <v>#VALUE!</v>
      </c>
      <c r="DH10" t="s">
        <v>464</v>
      </c>
      <c r="DI10">
        <v>-5.590820193290711E-2</v>
      </c>
      <c r="DJ10" t="e">
        <v>#VALUE!</v>
      </c>
      <c r="DK10" t="s">
        <v>464</v>
      </c>
      <c r="DL10">
        <v>-4.8919676691293719E-2</v>
      </c>
      <c r="DM10">
        <v>-161000000</v>
      </c>
      <c r="DN10">
        <v>-6.9885252416133886E-2</v>
      </c>
      <c r="DO10">
        <v>3469075900</v>
      </c>
      <c r="DP10">
        <v>415781100.00000024</v>
      </c>
      <c r="DQ10">
        <v>880</v>
      </c>
      <c r="DR10">
        <v>0.18397921214767751</v>
      </c>
      <c r="DS10">
        <v>-0.62135376297627287</v>
      </c>
      <c r="DT10" s="9">
        <v>-0.57333333333333336</v>
      </c>
      <c r="DU10">
        <v>-2.0916666666666668</v>
      </c>
      <c r="DV10">
        <v>-2.665</v>
      </c>
      <c r="DW10">
        <v>6.1294079585894536</v>
      </c>
      <c r="DX10">
        <v>0.27042028688524533</v>
      </c>
      <c r="DY10">
        <v>6.0168774230844706</v>
      </c>
      <c r="DZ10">
        <v>4779</v>
      </c>
      <c r="EA10">
        <v>6.0010932342545908</v>
      </c>
      <c r="EB10">
        <v>6</v>
      </c>
      <c r="EC10">
        <v>5.8499819725797542E-2</v>
      </c>
      <c r="ED10">
        <v>0.44854846682916988</v>
      </c>
      <c r="EE10" s="10">
        <v>-2.0634100000000002</v>
      </c>
      <c r="EF10">
        <v>-2.09091</v>
      </c>
      <c r="EG10">
        <v>14.130420286885245</v>
      </c>
      <c r="EH10" t="s">
        <v>916</v>
      </c>
      <c r="EI10">
        <v>0</v>
      </c>
      <c r="EJ10">
        <v>0</v>
      </c>
      <c r="EK10" s="12">
        <v>45470</v>
      </c>
      <c r="EL10" s="13">
        <v>-2.0099999999999998</v>
      </c>
      <c r="EM10" s="13">
        <v>-8.7200000000000006</v>
      </c>
      <c r="EN10" s="13">
        <v>-1.1200000000000001</v>
      </c>
      <c r="EO10" s="13">
        <v>3.41</v>
      </c>
      <c r="EP10" s="13">
        <v>-2.75</v>
      </c>
    </row>
    <row r="11" spans="1:146" ht="96" x14ac:dyDescent="0.25">
      <c r="A11" s="6"/>
      <c r="B11" s="6"/>
      <c r="C11" s="6" t="str">
        <f>""&amp;CHAR(10)&amp;Basic_Fundamental_Information_Constructure(F11)&amp;CHAR(10)&amp;Basic_Fundamental_Information_Concatenate("")</f>
        <v xml:space="preserve">
市值25.651732亿, 利润2840.27万; PE64.66; 平均PE-103.32; 平均PEG-15, PB1.34; ROIC1.72%; ROE-1.0367%; 股利率1.0744%; 毛利21.9967%; 净利-.99%; 上一年度营收增.99%, 利润增147.41%; 当季营收增30.82%, 利润增135.72%; 过往5年营收增-6.89%, 利润增-123.53%
Income profile:
</v>
      </c>
      <c r="D11" t="s">
        <v>84</v>
      </c>
      <c r="E11" t="s">
        <v>10</v>
      </c>
      <c r="F11">
        <v>2.42</v>
      </c>
      <c r="G11">
        <v>0.41</v>
      </c>
      <c r="H11" t="s">
        <v>917</v>
      </c>
      <c r="I11">
        <v>2565173200</v>
      </c>
      <c r="J11">
        <v>64.66</v>
      </c>
      <c r="K11">
        <v>1.34</v>
      </c>
      <c r="L11" t="s">
        <v>46</v>
      </c>
      <c r="M11" t="s">
        <v>918</v>
      </c>
      <c r="N11" t="s">
        <v>919</v>
      </c>
      <c r="O11" t="s">
        <v>298</v>
      </c>
      <c r="P11">
        <v>31.04</v>
      </c>
      <c r="Q11" t="s">
        <v>920</v>
      </c>
      <c r="R11">
        <v>19568423</v>
      </c>
      <c r="S11" s="5">
        <v>1.357</v>
      </c>
      <c r="T11" t="s">
        <v>921</v>
      </c>
      <c r="U11">
        <v>1055631180</v>
      </c>
      <c r="V11">
        <v>1059988920</v>
      </c>
      <c r="W11">
        <v>1.34</v>
      </c>
      <c r="X11">
        <v>0.13</v>
      </c>
      <c r="Y11">
        <v>7.35</v>
      </c>
      <c r="Z11" t="s">
        <v>266</v>
      </c>
      <c r="AA11" t="s">
        <v>922</v>
      </c>
      <c r="AB11" t="s">
        <v>923</v>
      </c>
      <c r="AC11" t="s">
        <v>924</v>
      </c>
      <c r="AD11" t="s">
        <v>49</v>
      </c>
      <c r="AE11">
        <v>-934274</v>
      </c>
      <c r="AF11" t="s">
        <v>925</v>
      </c>
      <c r="AG11">
        <v>8919.33</v>
      </c>
      <c r="AH11" t="s">
        <v>926</v>
      </c>
      <c r="AI11" t="s">
        <v>384</v>
      </c>
      <c r="AJ11" t="s">
        <v>927</v>
      </c>
      <c r="AK11" t="s">
        <v>49</v>
      </c>
      <c r="AL11" t="s">
        <v>928</v>
      </c>
      <c r="AM11" t="s">
        <v>49</v>
      </c>
      <c r="AN11" t="s">
        <v>929</v>
      </c>
      <c r="AO11" t="s">
        <v>930</v>
      </c>
      <c r="AP11" t="s">
        <v>931</v>
      </c>
      <c r="AQ11" t="s">
        <v>750</v>
      </c>
      <c r="AR11" t="s">
        <v>49</v>
      </c>
      <c r="AS11" t="s">
        <v>932</v>
      </c>
      <c r="AT11" t="s">
        <v>933</v>
      </c>
      <c r="AU11" t="s">
        <v>934</v>
      </c>
      <c r="AV11" t="s">
        <v>935</v>
      </c>
      <c r="AW11" t="s">
        <v>936</v>
      </c>
      <c r="AX11" t="s">
        <v>937</v>
      </c>
      <c r="AY11" t="s">
        <v>412</v>
      </c>
      <c r="AZ11" t="s">
        <v>233</v>
      </c>
      <c r="BA11" t="s">
        <v>85</v>
      </c>
      <c r="BB11" t="s">
        <v>235</v>
      </c>
      <c r="BC11" t="s">
        <v>938</v>
      </c>
      <c r="BD11" t="s">
        <v>413</v>
      </c>
      <c r="BE11" t="s">
        <v>234</v>
      </c>
      <c r="BF11" t="s">
        <v>86</v>
      </c>
      <c r="BG11" t="s">
        <v>64</v>
      </c>
      <c r="BH11" t="s">
        <v>920</v>
      </c>
      <c r="BI11" t="s">
        <v>250</v>
      </c>
      <c r="BJ11" t="s">
        <v>937</v>
      </c>
      <c r="BK11" t="s">
        <v>921</v>
      </c>
      <c r="BL11" t="s">
        <v>939</v>
      </c>
      <c r="BM11" t="s">
        <v>938</v>
      </c>
      <c r="BN11">
        <v>1.72</v>
      </c>
      <c r="BO11" t="s">
        <v>49</v>
      </c>
      <c r="BP11" t="s">
        <v>49</v>
      </c>
      <c r="BQ11">
        <v>1.51</v>
      </c>
      <c r="BR11">
        <v>-3.16</v>
      </c>
      <c r="BS11">
        <v>-1.46</v>
      </c>
      <c r="BT11" t="s">
        <v>940</v>
      </c>
      <c r="BU11" t="s">
        <v>455</v>
      </c>
      <c r="BV11">
        <v>24.14</v>
      </c>
      <c r="BW11">
        <v>22.35</v>
      </c>
      <c r="BX11">
        <v>19.5</v>
      </c>
      <c r="BY11">
        <v>2.78</v>
      </c>
      <c r="BZ11">
        <v>-4.09</v>
      </c>
      <c r="CA11">
        <v>-1.66</v>
      </c>
      <c r="CB11">
        <v>1.26</v>
      </c>
      <c r="CC11">
        <v>-15.97</v>
      </c>
      <c r="CD11" t="s">
        <v>505</v>
      </c>
      <c r="CE11" t="s">
        <v>941</v>
      </c>
      <c r="CF11" s="7">
        <v>0.30824372759856633</v>
      </c>
      <c r="CG11" s="8">
        <v>1.3572153225320724</v>
      </c>
      <c r="CH11" s="7">
        <v>9.9219502881169319E-3</v>
      </c>
      <c r="CI11" s="7">
        <v>-8.9677378535270691E-2</v>
      </c>
      <c r="CJ11" s="7">
        <v>-3.0644191429018974E-2</v>
      </c>
      <c r="CK11" s="7">
        <v>-7.7854633331298828E-2</v>
      </c>
      <c r="CL11" s="7">
        <v>-0.15620440244674683</v>
      </c>
      <c r="CM11" s="8">
        <v>1.4741464853286743</v>
      </c>
      <c r="CN11" s="8">
        <v>-1.1175596714019775</v>
      </c>
      <c r="CO11" s="8">
        <v>-4.6124787330627441</v>
      </c>
      <c r="CP11" s="8">
        <v>1.0395494699478149</v>
      </c>
      <c r="CQ11" s="8">
        <v>-2.9603960514068604</v>
      </c>
      <c r="CR11">
        <v>-103.32475954615364</v>
      </c>
      <c r="CS11">
        <v>-14.998136628313935</v>
      </c>
      <c r="CT11">
        <v>1.0743801652892562</v>
      </c>
      <c r="CU11" s="7">
        <v>-6.8891731090843678E-2</v>
      </c>
      <c r="CV11" s="8">
        <v>-1.2353477001190185</v>
      </c>
      <c r="CW11">
        <v>0.06</v>
      </c>
      <c r="CX11">
        <v>44.051206399391596</v>
      </c>
      <c r="CY11" t="s">
        <v>942</v>
      </c>
      <c r="CZ11">
        <v>-6.8891731090843678E-2</v>
      </c>
      <c r="DA11">
        <v>14.683735466463867</v>
      </c>
      <c r="DB11" t="s">
        <v>943</v>
      </c>
      <c r="DC11">
        <v>-6.5447144536301488E-2</v>
      </c>
      <c r="DD11">
        <v>7.3418677332319335</v>
      </c>
      <c r="DE11" t="s">
        <v>944</v>
      </c>
      <c r="DF11">
        <v>-6.0624723359942435E-2</v>
      </c>
      <c r="DG11">
        <v>4.4051206399391596</v>
      </c>
      <c r="DH11" t="s">
        <v>945</v>
      </c>
      <c r="DI11">
        <v>-5.5113384872674948E-2</v>
      </c>
      <c r="DJ11">
        <v>2.2025603199695798</v>
      </c>
      <c r="DK11" t="s">
        <v>946</v>
      </c>
      <c r="DL11">
        <v>-4.8224211763590569E-2</v>
      </c>
      <c r="DM11">
        <v>28402700</v>
      </c>
      <c r="DN11">
        <v>-6.8891731090843678E-2</v>
      </c>
      <c r="DO11">
        <v>1251173199.9999998</v>
      </c>
      <c r="DP11">
        <v>1016204500</v>
      </c>
      <c r="DQ11">
        <v>1058</v>
      </c>
      <c r="DR11">
        <v>0.37713545868941001</v>
      </c>
      <c r="DS11">
        <v>2.592563022651091</v>
      </c>
      <c r="DT11" s="9">
        <v>-0.54</v>
      </c>
      <c r="DU11">
        <v>-1.0100000000000002</v>
      </c>
      <c r="DV11">
        <v>-1.5500000000000003</v>
      </c>
      <c r="DW11">
        <v>-2.1597</v>
      </c>
      <c r="DX11">
        <v>0.45448275862068965</v>
      </c>
      <c r="DY11">
        <v>-2.0374468965517241</v>
      </c>
      <c r="DZ11">
        <v>4058</v>
      </c>
      <c r="EA11">
        <v>-2.0077092241041905</v>
      </c>
      <c r="EB11">
        <v>2</v>
      </c>
      <c r="EC11">
        <v>9.6227420943230238E-2</v>
      </c>
      <c r="ED11">
        <v>0.41038164814024652</v>
      </c>
      <c r="EE11" s="10">
        <v>3.1000000000000194E-3</v>
      </c>
      <c r="EF11">
        <v>1.341E-2</v>
      </c>
      <c r="EG11">
        <v>22.23448275862069</v>
      </c>
      <c r="EH11">
        <v>-1</v>
      </c>
      <c r="EI11">
        <v>0</v>
      </c>
      <c r="EJ11">
        <v>0</v>
      </c>
      <c r="EK11" s="12">
        <v>45470</v>
      </c>
      <c r="EL11" s="13">
        <v>0</v>
      </c>
      <c r="EM11" s="13">
        <v>-3.33</v>
      </c>
      <c r="EN11" s="13">
        <v>0.86</v>
      </c>
      <c r="EO11" s="13">
        <v>3.42</v>
      </c>
      <c r="EP11" s="13">
        <v>-1.65</v>
      </c>
    </row>
    <row r="12" spans="1:146" ht="172.5" customHeight="1" x14ac:dyDescent="0.25">
      <c r="A12" s="6"/>
      <c r="B12" s="6"/>
      <c r="C12" s="6" t="str">
        <f>"公司主营教育培训与出版印刷两大业务。在教育培训领域，公司致力于提供满足人工智能时代人才核心素养要求的教育培训服务和产品。公司旗下拥有乐博乐博、中鸣数码、创想童年、中少童创、数萌教育等众多业内知名品牌。"&amp;CHAR(10)&amp;Basic_Fundamental_Information_Constructure(F12)&amp;CHAR(10)&amp;Basic_Fundamental_Information_Concatenate("印刷综合服务-出版综合服务 7.17亿 70.74% 67.99% 13.66%
印刷综合服务-包装印刷 1.39亿 13.72% 10.30% 10.66%
科技教育服务-学员服务 1.18亿 11.62% 8.89% 10.88%
科技教育服务-机构服务 3968.34万 3.92% 12.82% 46.49%")</f>
        <v>公司主营教育培训与出版印刷两大业务。在教育培训领域，公司致力于提供满足人工智能时代人才核心素养要求的教育培训服务和产品。公司旗下拥有乐博乐博、中鸣数码、创想童年、中少童创、数萌教育等众多业内知名品牌。
市值28.008268亿, 利润411.55万; PE137.2; 平均PE-3946.86; 平均PEG-695.66, PB1.94; ROIC2.6%; ROE1.1967%; 股利率.3839%; 毛利16.8567%; 净利1.14%; 上一年度营收增7.01%, 利润增-17.97%; 当季营收增-18.96%, 利润增66.84%; 过往5年营收增5.67%, 利润增-64.54%
Income profile:
印刷综合服务-出版综合服务 7.17亿 70.74% 67.99% 13.66%
印刷综合服务-包装印刷 1.39亿 13.72% 10.30% 10.66%
科技教育服务-学员服务 1.18亿 11.62% 8.89% 10.88%
科技教育服务-机构服务 3968.34万 3.92% 12.82% 46.49%</v>
      </c>
      <c r="D12" t="s">
        <v>88</v>
      </c>
      <c r="E12" t="s">
        <v>16</v>
      </c>
      <c r="F12">
        <v>5.21</v>
      </c>
      <c r="G12">
        <v>-4.58</v>
      </c>
      <c r="H12" t="s">
        <v>947</v>
      </c>
      <c r="I12">
        <v>2800826800</v>
      </c>
      <c r="J12">
        <v>137.19999999999999</v>
      </c>
      <c r="K12">
        <v>1.94</v>
      </c>
      <c r="L12" t="s">
        <v>46</v>
      </c>
      <c r="M12" t="s">
        <v>948</v>
      </c>
      <c r="N12" t="s">
        <v>949</v>
      </c>
      <c r="O12" t="s">
        <v>950</v>
      </c>
      <c r="P12">
        <v>-18.899999999999999</v>
      </c>
      <c r="Q12" t="s">
        <v>951</v>
      </c>
      <c r="R12">
        <v>-8085552</v>
      </c>
      <c r="S12" s="5">
        <v>0.66839999999999999</v>
      </c>
      <c r="T12" t="s">
        <v>952</v>
      </c>
      <c r="U12">
        <v>402001190</v>
      </c>
      <c r="V12">
        <v>537586720</v>
      </c>
      <c r="W12">
        <v>1.79</v>
      </c>
      <c r="X12">
        <v>0.19</v>
      </c>
      <c r="Y12">
        <v>-1.76</v>
      </c>
      <c r="Z12" t="s">
        <v>288</v>
      </c>
      <c r="AA12" t="s">
        <v>82</v>
      </c>
      <c r="AB12" t="s">
        <v>953</v>
      </c>
      <c r="AC12" t="s">
        <v>954</v>
      </c>
      <c r="AD12" t="s">
        <v>49</v>
      </c>
      <c r="AE12">
        <v>1196925</v>
      </c>
      <c r="AF12" t="s">
        <v>955</v>
      </c>
      <c r="AG12" t="s">
        <v>956</v>
      </c>
      <c r="AH12" t="s">
        <v>957</v>
      </c>
      <c r="AI12" t="s">
        <v>610</v>
      </c>
      <c r="AJ12" t="s">
        <v>958</v>
      </c>
      <c r="AK12" t="s">
        <v>49</v>
      </c>
      <c r="AL12" t="s">
        <v>959</v>
      </c>
      <c r="AM12" t="s">
        <v>49</v>
      </c>
      <c r="AN12" t="s">
        <v>960</v>
      </c>
      <c r="AO12" t="s">
        <v>961</v>
      </c>
      <c r="AP12" t="s">
        <v>507</v>
      </c>
      <c r="AQ12" t="s">
        <v>962</v>
      </c>
      <c r="AR12" t="s">
        <v>49</v>
      </c>
      <c r="AS12" t="s">
        <v>963</v>
      </c>
      <c r="AT12" t="s">
        <v>964</v>
      </c>
      <c r="AU12" t="s">
        <v>965</v>
      </c>
      <c r="AV12" t="s">
        <v>966</v>
      </c>
      <c r="AW12" t="s">
        <v>967</v>
      </c>
      <c r="AX12" t="s">
        <v>968</v>
      </c>
      <c r="AY12" t="s">
        <v>414</v>
      </c>
      <c r="AZ12" t="s">
        <v>236</v>
      </c>
      <c r="BA12" t="s">
        <v>89</v>
      </c>
      <c r="BB12" t="s">
        <v>238</v>
      </c>
      <c r="BC12" t="s">
        <v>969</v>
      </c>
      <c r="BD12" t="s">
        <v>415</v>
      </c>
      <c r="BE12" t="s">
        <v>237</v>
      </c>
      <c r="BF12" t="s">
        <v>90</v>
      </c>
      <c r="BG12" t="s">
        <v>130</v>
      </c>
      <c r="BH12" t="s">
        <v>951</v>
      </c>
      <c r="BI12" t="s">
        <v>970</v>
      </c>
      <c r="BJ12" t="s">
        <v>968</v>
      </c>
      <c r="BK12" t="s">
        <v>952</v>
      </c>
      <c r="BL12" t="s">
        <v>971</v>
      </c>
      <c r="BM12" t="s">
        <v>969</v>
      </c>
      <c r="BN12" t="s">
        <v>49</v>
      </c>
      <c r="BO12">
        <v>0.26</v>
      </c>
      <c r="BP12">
        <v>4.9400000000000004</v>
      </c>
      <c r="BQ12">
        <v>-1.55</v>
      </c>
      <c r="BR12">
        <v>0.34</v>
      </c>
      <c r="BS12">
        <v>4.8</v>
      </c>
      <c r="BT12" t="s">
        <v>688</v>
      </c>
      <c r="BU12" t="s">
        <v>497</v>
      </c>
      <c r="BV12">
        <v>15.02</v>
      </c>
      <c r="BW12">
        <v>15.62</v>
      </c>
      <c r="BX12">
        <v>19.93</v>
      </c>
      <c r="BY12">
        <v>0.25</v>
      </c>
      <c r="BZ12">
        <v>0.14000000000000001</v>
      </c>
      <c r="CA12">
        <v>3.03</v>
      </c>
      <c r="CB12">
        <v>4.2</v>
      </c>
      <c r="CC12">
        <v>-6.29</v>
      </c>
      <c r="CD12" t="s">
        <v>404</v>
      </c>
      <c r="CE12" t="s">
        <v>972</v>
      </c>
      <c r="CF12" s="7">
        <v>-0.18959731543624161</v>
      </c>
      <c r="CG12" s="8">
        <v>0.66835715721299582</v>
      </c>
      <c r="CH12" s="7">
        <v>7.0120558142662048E-2</v>
      </c>
      <c r="CI12" s="7">
        <v>-6.9022819399833679E-2</v>
      </c>
      <c r="CJ12" s="7">
        <v>0.17892153561115265</v>
      </c>
      <c r="CK12" s="7">
        <v>4.4546883553266525E-2</v>
      </c>
      <c r="CL12" s="7">
        <v>5.9110593050718307E-2</v>
      </c>
      <c r="CM12" s="8">
        <v>-0.17973810434341431</v>
      </c>
      <c r="CN12" s="8">
        <v>-0.92578989267349243</v>
      </c>
      <c r="CO12" s="8">
        <v>1.1954028606414795</v>
      </c>
      <c r="CP12" s="8">
        <v>-3.4539008140563965</v>
      </c>
      <c r="CQ12" s="8">
        <v>0.13709677755832672</v>
      </c>
      <c r="CR12">
        <v>-3946.8647658415143</v>
      </c>
      <c r="CS12">
        <v>-695.66236085845924</v>
      </c>
      <c r="CT12">
        <v>0.38387715930902111</v>
      </c>
      <c r="CU12" s="7">
        <v>5.6735350191593169E-2</v>
      </c>
      <c r="CV12" s="8">
        <v>-0.64538583457469945</v>
      </c>
      <c r="CW12">
        <v>0.06</v>
      </c>
      <c r="CX12">
        <v>603.93189929895766</v>
      </c>
      <c r="CY12">
        <v>4102824.843125945</v>
      </c>
      <c r="CZ12">
        <v>5.6735350191593169E-2</v>
      </c>
      <c r="DA12">
        <v>203.01884406481025</v>
      </c>
      <c r="DB12">
        <v>12204910.393485427</v>
      </c>
      <c r="DC12">
        <v>5.3898582682013509E-2</v>
      </c>
      <c r="DD12">
        <v>103.74157989678815</v>
      </c>
      <c r="DE12">
        <v>23884606.369646329</v>
      </c>
      <c r="DF12">
        <v>4.9927108168601991E-2</v>
      </c>
      <c r="DG12">
        <v>64.931965134268879</v>
      </c>
      <c r="DH12">
        <v>38160354.378251947</v>
      </c>
      <c r="DI12">
        <v>4.5388280153274535E-2</v>
      </c>
      <c r="DJ12">
        <v>36.647001079017699</v>
      </c>
      <c r="DK12">
        <v>67613357.902256399</v>
      </c>
      <c r="DL12">
        <v>3.9714745134115215E-2</v>
      </c>
      <c r="DM12">
        <v>4115500</v>
      </c>
      <c r="DN12">
        <v>5.6735350191593169E-2</v>
      </c>
      <c r="DO12">
        <v>2477826800</v>
      </c>
      <c r="DP12">
        <v>171939880.00000012</v>
      </c>
      <c r="DQ12">
        <v>1092</v>
      </c>
      <c r="DR12">
        <v>-0.24633266562783479</v>
      </c>
      <c r="DS12">
        <v>1.3137429917876953</v>
      </c>
      <c r="DT12" s="9">
        <v>-0.3066666666666667</v>
      </c>
      <c r="DU12">
        <v>-1.7483333333333333</v>
      </c>
      <c r="DV12">
        <v>-2.0550000000000002</v>
      </c>
      <c r="DW12">
        <v>6.400381315538608</v>
      </c>
      <c r="DX12">
        <v>0.63282560706402025</v>
      </c>
      <c r="DY12">
        <v>6.0972228360027527</v>
      </c>
      <c r="DZ12">
        <v>4419</v>
      </c>
      <c r="EA12">
        <v>6.0131469627549707</v>
      </c>
      <c r="EB12">
        <v>6</v>
      </c>
      <c r="EC12">
        <v>0.20461814979358123</v>
      </c>
      <c r="ED12">
        <v>0.84265474414992991</v>
      </c>
      <c r="EE12" s="10">
        <v>-4.0259099999999997</v>
      </c>
      <c r="EF12">
        <v>-4.0319099999999999</v>
      </c>
      <c r="EG12">
        <v>39.24282560706402</v>
      </c>
      <c r="EH12" t="s">
        <v>973</v>
      </c>
      <c r="EI12">
        <v>0</v>
      </c>
      <c r="EJ12">
        <v>0</v>
      </c>
      <c r="EK12" s="12">
        <v>45470</v>
      </c>
      <c r="EL12" s="13">
        <v>-2.4900000000000002</v>
      </c>
      <c r="EM12" s="13">
        <v>-4.32</v>
      </c>
      <c r="EN12" s="13">
        <v>0.21</v>
      </c>
      <c r="EO12" s="13">
        <v>3.07</v>
      </c>
      <c r="EP12" s="13">
        <v>-0.6</v>
      </c>
    </row>
    <row r="13" spans="1:146" ht="96" x14ac:dyDescent="0.25">
      <c r="A13" s="6"/>
      <c r="B13" s="6"/>
      <c r="C13" s="6" t="str">
        <f>""&amp;CHAR(10)&amp;Basic_Fundamental_Information_Constructure(F13)&amp;CHAR(10)&amp;Basic_Fundamental_Information_Concatenate("")</f>
        <v xml:space="preserve">
市值106.01833亿, 利润7.75亿; PE12.57; 平均PE16.32; 平均PEG1.41, PB1.18; ROIC7.07%; ROE9.22%; 股利率2.9126%; 毛利14.21%; 净利5.25%; 上一年度营收增-1.59%, 利润增37.17%; 当季营收增5.94%, 利润增32.39%; 过往5年营收增11.59%, 利润增46.56%
Income profile:
</v>
      </c>
      <c r="D13" t="s">
        <v>93</v>
      </c>
      <c r="E13" t="s">
        <v>26</v>
      </c>
      <c r="F13">
        <v>4.12</v>
      </c>
      <c r="G13">
        <v>0.73</v>
      </c>
      <c r="H13" t="s">
        <v>974</v>
      </c>
      <c r="I13">
        <v>10601833000</v>
      </c>
      <c r="J13">
        <v>12.57</v>
      </c>
      <c r="K13">
        <v>1.18</v>
      </c>
      <c r="L13" t="s">
        <v>46</v>
      </c>
      <c r="M13" t="s">
        <v>975</v>
      </c>
      <c r="N13" t="s">
        <v>976</v>
      </c>
      <c r="O13" t="s">
        <v>977</v>
      </c>
      <c r="P13">
        <v>5.95</v>
      </c>
      <c r="Q13" t="s">
        <v>978</v>
      </c>
      <c r="R13">
        <v>279335740</v>
      </c>
      <c r="S13" s="5">
        <v>0.32679999999999998</v>
      </c>
      <c r="T13" t="s">
        <v>228</v>
      </c>
      <c r="U13">
        <v>2570738500</v>
      </c>
      <c r="V13">
        <v>2573260400</v>
      </c>
      <c r="W13">
        <v>1.8</v>
      </c>
      <c r="X13">
        <v>0.22</v>
      </c>
      <c r="Y13">
        <v>7.78</v>
      </c>
      <c r="Z13" t="s">
        <v>979</v>
      </c>
      <c r="AA13" t="s">
        <v>980</v>
      </c>
      <c r="AB13" t="s">
        <v>981</v>
      </c>
      <c r="AC13" t="s">
        <v>982</v>
      </c>
      <c r="AD13" t="s">
        <v>49</v>
      </c>
      <c r="AE13">
        <v>58005087</v>
      </c>
      <c r="AF13" t="s">
        <v>983</v>
      </c>
      <c r="AG13" t="s">
        <v>984</v>
      </c>
      <c r="AH13" t="s">
        <v>985</v>
      </c>
      <c r="AI13" t="s">
        <v>986</v>
      </c>
      <c r="AJ13" t="s">
        <v>987</v>
      </c>
      <c r="AK13" t="s">
        <v>988</v>
      </c>
      <c r="AL13" t="s">
        <v>989</v>
      </c>
      <c r="AM13" t="s">
        <v>49</v>
      </c>
      <c r="AN13" t="s">
        <v>451</v>
      </c>
      <c r="AO13" t="s">
        <v>990</v>
      </c>
      <c r="AP13" t="s">
        <v>991</v>
      </c>
      <c r="AQ13" t="s">
        <v>992</v>
      </c>
      <c r="AR13" t="s">
        <v>49</v>
      </c>
      <c r="AS13" t="s">
        <v>993</v>
      </c>
      <c r="AT13" t="s">
        <v>269</v>
      </c>
      <c r="AU13" t="s">
        <v>994</v>
      </c>
      <c r="AV13" t="s">
        <v>995</v>
      </c>
      <c r="AW13" t="s">
        <v>996</v>
      </c>
      <c r="AX13" t="s">
        <v>997</v>
      </c>
      <c r="AY13" t="s">
        <v>998</v>
      </c>
      <c r="AZ13" t="s">
        <v>416</v>
      </c>
      <c r="BA13" t="s">
        <v>94</v>
      </c>
      <c r="BB13" t="s">
        <v>239</v>
      </c>
      <c r="BC13" t="s">
        <v>300</v>
      </c>
      <c r="BD13" t="s">
        <v>999</v>
      </c>
      <c r="BE13" t="s">
        <v>417</v>
      </c>
      <c r="BF13" t="s">
        <v>65</v>
      </c>
      <c r="BG13" t="s">
        <v>206</v>
      </c>
      <c r="BH13" t="s">
        <v>978</v>
      </c>
      <c r="BI13" t="s">
        <v>1000</v>
      </c>
      <c r="BJ13" t="s">
        <v>997</v>
      </c>
      <c r="BK13" t="s">
        <v>228</v>
      </c>
      <c r="BL13" t="s">
        <v>1001</v>
      </c>
      <c r="BM13" t="s">
        <v>300</v>
      </c>
      <c r="BN13">
        <v>6.33</v>
      </c>
      <c r="BO13">
        <v>5.79</v>
      </c>
      <c r="BP13">
        <v>9.09</v>
      </c>
      <c r="BQ13">
        <v>8.35</v>
      </c>
      <c r="BR13">
        <v>7.03</v>
      </c>
      <c r="BS13">
        <v>12.28</v>
      </c>
      <c r="BT13" t="s">
        <v>691</v>
      </c>
      <c r="BU13" t="s">
        <v>455</v>
      </c>
      <c r="BV13">
        <v>15.24</v>
      </c>
      <c r="BW13">
        <v>11.86</v>
      </c>
      <c r="BX13">
        <v>15.53</v>
      </c>
      <c r="BY13">
        <v>5.34</v>
      </c>
      <c r="BZ13">
        <v>3.95</v>
      </c>
      <c r="CA13">
        <v>6.46</v>
      </c>
      <c r="CB13">
        <v>-0.96</v>
      </c>
      <c r="CC13">
        <v>-9.4499999999999993</v>
      </c>
      <c r="CD13" t="s">
        <v>1002</v>
      </c>
      <c r="CE13" t="s">
        <v>512</v>
      </c>
      <c r="CF13" s="7">
        <v>5.9367541766109637E-2</v>
      </c>
      <c r="CG13" s="8">
        <v>0.32386606635071091</v>
      </c>
      <c r="CH13" s="7">
        <v>-1.5923792496323586E-2</v>
      </c>
      <c r="CI13" s="7">
        <v>6.2231803312897682E-3</v>
      </c>
      <c r="CJ13" s="7">
        <v>0.21038961410522461</v>
      </c>
      <c r="CK13" s="7">
        <v>0.23278900980949402</v>
      </c>
      <c r="CL13" s="7">
        <v>0.14605502784252167</v>
      </c>
      <c r="CM13" s="8">
        <v>0.37168142199516296</v>
      </c>
      <c r="CN13" s="8">
        <v>-0.36730122566223145</v>
      </c>
      <c r="CO13" s="8">
        <v>0.18121692538261414</v>
      </c>
      <c r="CP13" s="8">
        <v>0.10688140243291855</v>
      </c>
      <c r="CQ13" s="8">
        <v>2.0355556011199951</v>
      </c>
      <c r="CR13">
        <v>16.323068514241726</v>
      </c>
      <c r="CS13">
        <v>1.4082949028866065</v>
      </c>
      <c r="CT13">
        <v>2.9126213592233006</v>
      </c>
      <c r="CU13" s="7">
        <v>0.11590660791844129</v>
      </c>
      <c r="CV13" s="8">
        <v>0.46560682505369189</v>
      </c>
      <c r="CW13">
        <v>0.06</v>
      </c>
      <c r="CX13">
        <v>10.975739844574885</v>
      </c>
      <c r="CY13">
        <v>815875114.27999234</v>
      </c>
      <c r="CZ13">
        <v>0.11590660791844129</v>
      </c>
      <c r="DA13">
        <v>3.5091700476347998</v>
      </c>
      <c r="DB13">
        <v>2551837864.3507481</v>
      </c>
      <c r="DC13">
        <v>0.11011127752251922</v>
      </c>
      <c r="DD13">
        <v>1.6772072631442521</v>
      </c>
      <c r="DE13">
        <v>5339133210.7711124</v>
      </c>
      <c r="DF13">
        <v>0.10199781496822834</v>
      </c>
      <c r="DG13">
        <v>0.97380640488431314</v>
      </c>
      <c r="DH13">
        <v>9195701481.4087429</v>
      </c>
      <c r="DI13">
        <v>9.2725286334753035E-2</v>
      </c>
      <c r="DJ13">
        <v>0.46654045185083481</v>
      </c>
      <c r="DK13">
        <v>19194119104.731125</v>
      </c>
      <c r="DL13">
        <v>8.11346255429089E-2</v>
      </c>
      <c r="DM13">
        <v>775000000</v>
      </c>
      <c r="DN13">
        <v>0.11590660791844129</v>
      </c>
      <c r="DO13">
        <v>8954833000</v>
      </c>
      <c r="DP13">
        <v>839750800</v>
      </c>
      <c r="DQ13">
        <v>1188</v>
      </c>
      <c r="DR13">
        <v>-5.6539066152331653E-2</v>
      </c>
      <c r="DS13">
        <v>-0.14174075870298097</v>
      </c>
      <c r="DT13" s="9">
        <v>-0.19000000000000003</v>
      </c>
      <c r="DU13">
        <v>0.88500000000000012</v>
      </c>
      <c r="DV13">
        <v>0.69500000000000006</v>
      </c>
      <c r="DW13">
        <v>-2.0945</v>
      </c>
      <c r="DX13">
        <v>0.38613217054263616</v>
      </c>
      <c r="DY13">
        <v>-2.0119194901162789</v>
      </c>
      <c r="DZ13">
        <v>470</v>
      </c>
      <c r="EA13">
        <v>-2.0108231769353297</v>
      </c>
      <c r="EB13">
        <v>2</v>
      </c>
      <c r="EC13">
        <v>2.5292504404140367E-2</v>
      </c>
      <c r="ED13">
        <v>0.20052381795484048</v>
      </c>
      <c r="EE13" s="10">
        <v>2.0876100000000002</v>
      </c>
      <c r="EF13">
        <v>2.0900099999999999</v>
      </c>
      <c r="EG13">
        <v>26.126132170542636</v>
      </c>
      <c r="EH13" t="s">
        <v>1003</v>
      </c>
      <c r="EI13">
        <v>0</v>
      </c>
      <c r="EJ13">
        <v>1</v>
      </c>
      <c r="EK13" s="12">
        <v>45470</v>
      </c>
      <c r="EL13" s="13">
        <v>-0.24</v>
      </c>
      <c r="EM13" s="13">
        <v>-1.69</v>
      </c>
      <c r="EN13" s="13">
        <v>0.98</v>
      </c>
      <c r="EO13" s="13">
        <v>1.7</v>
      </c>
      <c r="EP13" s="13">
        <v>-0.24</v>
      </c>
    </row>
    <row r="14" spans="1:146" ht="96" x14ac:dyDescent="0.25">
      <c r="A14" s="6"/>
      <c r="B14" s="6"/>
      <c r="C14" s="6" t="str">
        <f>""&amp;CHAR(10)&amp;Basic_Fundamental_Information_Constructure(F14)&amp;CHAR(10)&amp;Basic_Fundamental_Information_Concatenate("")</f>
        <v xml:space="preserve">
市值34.244123亿, 利润6035.11万; PE53.21; 平均PE50.53; 平均PEG3.31, PB1.89; ROIC5.9833%; ROE6.7267%; 股利率.5479%; 毛利19.49%; 净利4.4867%; 上一年度营收增1.31%, 利润增-14.13%; 当季营收增5.85%, 利润增380.85%; 过往5年营收增15.29%, 利润增6.93%
Income profile:
</v>
      </c>
      <c r="D14" t="s">
        <v>96</v>
      </c>
      <c r="E14" t="s">
        <v>13</v>
      </c>
      <c r="F14">
        <v>8.76</v>
      </c>
      <c r="G14">
        <v>1.98</v>
      </c>
      <c r="H14" t="s">
        <v>1004</v>
      </c>
      <c r="I14">
        <v>3424412300</v>
      </c>
      <c r="J14">
        <v>53.21</v>
      </c>
      <c r="K14">
        <v>1.89</v>
      </c>
      <c r="L14" t="s">
        <v>46</v>
      </c>
      <c r="M14" t="s">
        <v>564</v>
      </c>
      <c r="N14" t="s">
        <v>1005</v>
      </c>
      <c r="O14" t="s">
        <v>1006</v>
      </c>
      <c r="P14">
        <v>5.64</v>
      </c>
      <c r="Q14" t="s">
        <v>1007</v>
      </c>
      <c r="R14">
        <v>5061419</v>
      </c>
      <c r="S14" s="5">
        <v>3.8079999999999998</v>
      </c>
      <c r="T14" t="s">
        <v>1008</v>
      </c>
      <c r="U14">
        <v>280595810</v>
      </c>
      <c r="V14">
        <v>390914640</v>
      </c>
      <c r="W14">
        <v>1.48</v>
      </c>
      <c r="X14">
        <v>0.12</v>
      </c>
      <c r="Y14">
        <v>1</v>
      </c>
      <c r="Z14" t="s">
        <v>293</v>
      </c>
      <c r="AA14" t="s">
        <v>462</v>
      </c>
      <c r="AB14" t="s">
        <v>1009</v>
      </c>
      <c r="AC14" t="s">
        <v>1010</v>
      </c>
      <c r="AD14" t="s">
        <v>49</v>
      </c>
      <c r="AE14">
        <v>228068</v>
      </c>
      <c r="AF14" t="s">
        <v>1011</v>
      </c>
      <c r="AG14" t="s">
        <v>1012</v>
      </c>
      <c r="AH14" t="s">
        <v>1013</v>
      </c>
      <c r="AI14" t="s">
        <v>494</v>
      </c>
      <c r="AJ14" t="s">
        <v>1014</v>
      </c>
      <c r="AK14" t="s">
        <v>1015</v>
      </c>
      <c r="AL14" t="s">
        <v>1016</v>
      </c>
      <c r="AM14" t="s">
        <v>49</v>
      </c>
      <c r="AN14" t="s">
        <v>1017</v>
      </c>
      <c r="AO14" t="s">
        <v>302</v>
      </c>
      <c r="AP14" t="s">
        <v>49</v>
      </c>
      <c r="AQ14" t="s">
        <v>293</v>
      </c>
      <c r="AR14" t="s">
        <v>49</v>
      </c>
      <c r="AS14" t="s">
        <v>1018</v>
      </c>
      <c r="AT14" t="s">
        <v>1019</v>
      </c>
      <c r="AU14" t="s">
        <v>1020</v>
      </c>
      <c r="AV14" t="s">
        <v>1021</v>
      </c>
      <c r="AW14" t="s">
        <v>1022</v>
      </c>
      <c r="AX14" t="s">
        <v>1023</v>
      </c>
      <c r="AY14" t="s">
        <v>418</v>
      </c>
      <c r="AZ14" t="s">
        <v>240</v>
      </c>
      <c r="BA14" t="s">
        <v>97</v>
      </c>
      <c r="BB14" t="s">
        <v>242</v>
      </c>
      <c r="BC14" t="s">
        <v>1024</v>
      </c>
      <c r="BD14" t="s">
        <v>419</v>
      </c>
      <c r="BE14" t="s">
        <v>241</v>
      </c>
      <c r="BF14" t="s">
        <v>98</v>
      </c>
      <c r="BG14" t="s">
        <v>243</v>
      </c>
      <c r="BH14" t="s">
        <v>1007</v>
      </c>
      <c r="BI14" t="s">
        <v>1025</v>
      </c>
      <c r="BJ14" t="s">
        <v>1023</v>
      </c>
      <c r="BK14" t="s">
        <v>1008</v>
      </c>
      <c r="BL14" t="s">
        <v>1026</v>
      </c>
      <c r="BM14" t="s">
        <v>1024</v>
      </c>
      <c r="BN14">
        <v>2.2200000000000002</v>
      </c>
      <c r="BO14">
        <v>6.31</v>
      </c>
      <c r="BP14">
        <v>9.42</v>
      </c>
      <c r="BQ14">
        <v>2.0099999999999998</v>
      </c>
      <c r="BR14">
        <v>7.71</v>
      </c>
      <c r="BS14">
        <v>10.46</v>
      </c>
      <c r="BT14" t="s">
        <v>1027</v>
      </c>
      <c r="BU14" t="s">
        <v>455</v>
      </c>
      <c r="BV14">
        <v>20.07</v>
      </c>
      <c r="BW14">
        <v>17.739999999999998</v>
      </c>
      <c r="BX14">
        <v>20.66</v>
      </c>
      <c r="BY14">
        <v>3.99</v>
      </c>
      <c r="BZ14">
        <v>4.04</v>
      </c>
      <c r="CA14">
        <v>5.43</v>
      </c>
      <c r="CB14">
        <v>-10.89</v>
      </c>
      <c r="CC14">
        <v>-29.13</v>
      </c>
      <c r="CD14" t="s">
        <v>1028</v>
      </c>
      <c r="CE14" t="s">
        <v>232</v>
      </c>
      <c r="CF14" s="7">
        <v>5.8495821727019497E-2</v>
      </c>
      <c r="CG14" s="8">
        <v>3.808492304769143</v>
      </c>
      <c r="CH14" s="7">
        <v>1.3135313987731934E-2</v>
      </c>
      <c r="CI14" s="7">
        <v>9.2219021171331406E-3</v>
      </c>
      <c r="CJ14" s="7">
        <v>0.12516216933727264</v>
      </c>
      <c r="CK14" s="7">
        <v>0.16289593279361725</v>
      </c>
      <c r="CL14" s="7">
        <v>0.45394736528396606</v>
      </c>
      <c r="CM14" s="8">
        <v>-0.14129704236984253</v>
      </c>
      <c r="CN14" s="8">
        <v>-0.16757239401340485</v>
      </c>
      <c r="CO14" s="8">
        <v>-2.6431586593389511E-2</v>
      </c>
      <c r="CP14" s="8">
        <v>0.57517129182815552</v>
      </c>
      <c r="CQ14" s="8">
        <v>0.1063961461186409</v>
      </c>
      <c r="CR14">
        <v>50.532225909699278</v>
      </c>
      <c r="CS14">
        <v>3.3055136651235744</v>
      </c>
      <c r="CT14">
        <v>0.54794520547945202</v>
      </c>
      <c r="CU14" s="7">
        <v>0.15287253670394421</v>
      </c>
      <c r="CV14" s="8">
        <v>6.9253282994031912E-2</v>
      </c>
      <c r="CW14">
        <v>0.06</v>
      </c>
      <c r="CX14">
        <v>40.622503553262156</v>
      </c>
      <c r="CY14">
        <v>65638797.877239056</v>
      </c>
      <c r="CZ14">
        <v>0.15287253670394421</v>
      </c>
      <c r="DA14">
        <v>12.591648910994907</v>
      </c>
      <c r="DB14">
        <v>211760375.37639049</v>
      </c>
      <c r="DC14">
        <v>0.14522890986874701</v>
      </c>
      <c r="DD14">
        <v>5.7661829516812881</v>
      </c>
      <c r="DE14">
        <v>462422424.39125776</v>
      </c>
      <c r="DF14">
        <v>0.13452783229947091</v>
      </c>
      <c r="DG14">
        <v>3.1842149485775977</v>
      </c>
      <c r="DH14">
        <v>837384518.02416718</v>
      </c>
      <c r="DI14">
        <v>0.12229802936315537</v>
      </c>
      <c r="DJ14">
        <v>1.3577434742338161</v>
      </c>
      <c r="DK14">
        <v>1963855728.7153778</v>
      </c>
      <c r="DL14">
        <v>0.10701077569276095</v>
      </c>
      <c r="DM14">
        <v>60351100</v>
      </c>
      <c r="DN14">
        <v>0.15287253670394421</v>
      </c>
      <c r="DO14">
        <v>2666412300</v>
      </c>
      <c r="DP14">
        <v>1018887999.9999999</v>
      </c>
      <c r="DQ14">
        <v>1218</v>
      </c>
      <c r="DR14">
        <v>-9.4376714976924708E-2</v>
      </c>
      <c r="DS14">
        <v>3.739239021775111</v>
      </c>
      <c r="DT14" s="9">
        <v>-0.22333333333333338</v>
      </c>
      <c r="DU14">
        <v>-3.3333333333333347E-2</v>
      </c>
      <c r="DV14">
        <v>-0.25666666666666671</v>
      </c>
      <c r="DW14">
        <v>-9.3738414006179198</v>
      </c>
      <c r="DX14">
        <v>0.48365590551181126</v>
      </c>
      <c r="DY14">
        <v>-9.0985654929977215</v>
      </c>
      <c r="DZ14">
        <v>2338</v>
      </c>
      <c r="EA14">
        <v>-9.0534684044206823</v>
      </c>
      <c r="EB14">
        <v>9</v>
      </c>
      <c r="EC14">
        <v>0.17131259141381863</v>
      </c>
      <c r="ED14">
        <v>0.64975821831589631</v>
      </c>
      <c r="EE14" s="10">
        <v>-3.05341</v>
      </c>
      <c r="EF14">
        <v>-3.0923099999999999</v>
      </c>
      <c r="EG14">
        <v>22.263655905511811</v>
      </c>
      <c r="EH14" t="s">
        <v>1029</v>
      </c>
      <c r="EI14">
        <v>0</v>
      </c>
      <c r="EJ14">
        <v>0</v>
      </c>
      <c r="EK14" s="12">
        <v>45470</v>
      </c>
      <c r="EL14" s="13">
        <v>4.97</v>
      </c>
      <c r="EM14" s="13">
        <v>-6.34</v>
      </c>
      <c r="EN14" s="13">
        <v>-1.24</v>
      </c>
      <c r="EO14" s="13">
        <v>1.74</v>
      </c>
      <c r="EP14" s="13">
        <v>-3.89</v>
      </c>
    </row>
    <row r="15" spans="1:146" ht="96" x14ac:dyDescent="0.25">
      <c r="A15" s="6"/>
      <c r="B15" s="6"/>
      <c r="C15" s="6" t="str">
        <f>""&amp;CHAR(10)&amp;Basic_Fundamental_Information_Constructure(F15)&amp;CHAR(10)&amp;Basic_Fundamental_Information_Concatenate("")</f>
        <v xml:space="preserve">
市值48.552848亿, 利润3.33亿; PE12.1; 平均PE35.4; 平均PEG1.19, PB1.51; ROIC5.9633%; ROE7.66%; 股利率2.0121%; 毛利11.2567%; 净利3.7167%; 上一年度营收增.61%, 利润增59.33%; 当季营收增9.11%, 利润增128%; 过往5年营收增29.77%, 利润增218.19%
Income profile:
</v>
      </c>
      <c r="D15" t="s">
        <v>99</v>
      </c>
      <c r="E15" t="s">
        <v>6</v>
      </c>
      <c r="F15">
        <v>4.97</v>
      </c>
      <c r="G15">
        <v>0.81</v>
      </c>
      <c r="H15" t="s">
        <v>1030</v>
      </c>
      <c r="I15">
        <v>4855284800</v>
      </c>
      <c r="J15">
        <v>12.1</v>
      </c>
      <c r="K15">
        <v>1.51</v>
      </c>
      <c r="L15" t="s">
        <v>46</v>
      </c>
      <c r="M15" t="s">
        <v>1031</v>
      </c>
      <c r="N15" t="s">
        <v>1032</v>
      </c>
      <c r="O15" t="s">
        <v>1033</v>
      </c>
      <c r="P15">
        <v>9.11</v>
      </c>
      <c r="Q15" t="s">
        <v>1034</v>
      </c>
      <c r="R15">
        <v>121669797</v>
      </c>
      <c r="S15" s="5">
        <v>1.28</v>
      </c>
      <c r="T15" t="s">
        <v>588</v>
      </c>
      <c r="U15">
        <v>976768470</v>
      </c>
      <c r="V15">
        <v>976918470</v>
      </c>
      <c r="W15">
        <v>2.27</v>
      </c>
      <c r="X15">
        <v>0.21</v>
      </c>
      <c r="Y15">
        <v>7.54</v>
      </c>
      <c r="Z15" t="s">
        <v>565</v>
      </c>
      <c r="AA15" t="s">
        <v>596</v>
      </c>
      <c r="AB15" t="s">
        <v>1035</v>
      </c>
      <c r="AC15" t="s">
        <v>1036</v>
      </c>
      <c r="AD15" t="s">
        <v>49</v>
      </c>
      <c r="AE15">
        <v>6831570</v>
      </c>
      <c r="AF15" t="s">
        <v>1037</v>
      </c>
      <c r="AG15" t="s">
        <v>1038</v>
      </c>
      <c r="AH15" t="s">
        <v>1039</v>
      </c>
      <c r="AI15" t="s">
        <v>1040</v>
      </c>
      <c r="AJ15" t="s">
        <v>1041</v>
      </c>
      <c r="AK15" t="s">
        <v>1042</v>
      </c>
      <c r="AL15" t="s">
        <v>1043</v>
      </c>
      <c r="AM15" t="s">
        <v>49</v>
      </c>
      <c r="AN15" t="s">
        <v>577</v>
      </c>
      <c r="AO15" t="s">
        <v>1044</v>
      </c>
      <c r="AP15" t="s">
        <v>1045</v>
      </c>
      <c r="AQ15" t="s">
        <v>1046</v>
      </c>
      <c r="AR15" t="s">
        <v>1047</v>
      </c>
      <c r="AS15" t="s">
        <v>1048</v>
      </c>
      <c r="AT15" t="s">
        <v>1049</v>
      </c>
      <c r="AU15" t="s">
        <v>1050</v>
      </c>
      <c r="AV15" t="s">
        <v>1051</v>
      </c>
      <c r="AW15" t="s">
        <v>1052</v>
      </c>
      <c r="AX15" t="s">
        <v>1053</v>
      </c>
      <c r="AY15" t="s">
        <v>1054</v>
      </c>
      <c r="AZ15" t="s">
        <v>422</v>
      </c>
      <c r="BA15" t="s">
        <v>100</v>
      </c>
      <c r="BB15" t="s">
        <v>244</v>
      </c>
      <c r="BC15" t="s">
        <v>607</v>
      </c>
      <c r="BD15" t="s">
        <v>421</v>
      </c>
      <c r="BE15" t="s">
        <v>423</v>
      </c>
      <c r="BF15" t="s">
        <v>101</v>
      </c>
      <c r="BG15" t="s">
        <v>245</v>
      </c>
      <c r="BH15" t="s">
        <v>1034</v>
      </c>
      <c r="BI15" t="s">
        <v>1055</v>
      </c>
      <c r="BJ15" t="s">
        <v>1053</v>
      </c>
      <c r="BK15" t="s">
        <v>588</v>
      </c>
      <c r="BL15" t="s">
        <v>1056</v>
      </c>
      <c r="BM15" t="s">
        <v>607</v>
      </c>
      <c r="BN15">
        <v>6.61</v>
      </c>
      <c r="BO15">
        <v>5.96</v>
      </c>
      <c r="BP15">
        <v>5.32</v>
      </c>
      <c r="BQ15">
        <v>9.1300000000000008</v>
      </c>
      <c r="BR15">
        <v>7.12</v>
      </c>
      <c r="BS15">
        <v>6.73</v>
      </c>
      <c r="BT15" t="s">
        <v>690</v>
      </c>
      <c r="BU15" t="s">
        <v>455</v>
      </c>
      <c r="BV15">
        <v>13.45</v>
      </c>
      <c r="BW15">
        <v>9.4700000000000006</v>
      </c>
      <c r="BX15">
        <v>10.85</v>
      </c>
      <c r="BY15">
        <v>4.72</v>
      </c>
      <c r="BZ15">
        <v>3.13</v>
      </c>
      <c r="CA15">
        <v>3.3</v>
      </c>
      <c r="CB15">
        <v>-1.78</v>
      </c>
      <c r="CC15">
        <v>-15.19</v>
      </c>
      <c r="CD15" t="s">
        <v>1057</v>
      </c>
      <c r="CE15" t="s">
        <v>59</v>
      </c>
      <c r="CF15" s="7">
        <v>9.1145833333333495E-2</v>
      </c>
      <c r="CG15" s="8">
        <v>1.2799635152759874</v>
      </c>
      <c r="CH15" s="7">
        <v>6.0975337401032448E-3</v>
      </c>
      <c r="CI15" s="7">
        <v>0.23849667608737946</v>
      </c>
      <c r="CJ15" s="7">
        <v>0.75849288702011108</v>
      </c>
      <c r="CK15" s="7">
        <v>0.27030214667320251</v>
      </c>
      <c r="CL15" s="7">
        <v>0.21496661007404327</v>
      </c>
      <c r="CM15" s="8">
        <v>0.59330141544342041</v>
      </c>
      <c r="CN15" s="8">
        <v>0.2294117659330368</v>
      </c>
      <c r="CO15" s="8">
        <v>10.558650016784668</v>
      </c>
      <c r="CP15" s="8">
        <v>-0.72486376762390137</v>
      </c>
      <c r="CQ15" s="8">
        <v>0.25291398167610168</v>
      </c>
      <c r="CR15">
        <v>35.404355027123522</v>
      </c>
      <c r="CS15">
        <v>1.1893780288366878</v>
      </c>
      <c r="CT15">
        <v>2.0120724346076462</v>
      </c>
      <c r="CU15" s="7">
        <v>0.29767117071896793</v>
      </c>
      <c r="CV15" s="8">
        <v>2.1818826824426649</v>
      </c>
      <c r="CW15">
        <v>0.06</v>
      </c>
      <c r="CX15">
        <v>17.245265868046953</v>
      </c>
      <c r="CY15">
        <v>407664622.49944937</v>
      </c>
      <c r="CZ15">
        <v>0.29767117071896793</v>
      </c>
      <c r="DA15">
        <v>4.7474158136226654</v>
      </c>
      <c r="DB15">
        <v>1480865606.8901029</v>
      </c>
      <c r="DC15">
        <v>0.28278761218301951</v>
      </c>
      <c r="DD15">
        <v>1.8290098199173728</v>
      </c>
      <c r="DE15">
        <v>3843765475.4186063</v>
      </c>
      <c r="DF15">
        <v>0.26195063023269177</v>
      </c>
      <c r="DG15">
        <v>0.81489308910798208</v>
      </c>
      <c r="DH15">
        <v>8627248032.8623962</v>
      </c>
      <c r="DI15">
        <v>0.23813693657517435</v>
      </c>
      <c r="DJ15">
        <v>0.2035260349068328</v>
      </c>
      <c r="DK15">
        <v>34542434844.850304</v>
      </c>
      <c r="DL15">
        <v>0.20836981950327754</v>
      </c>
      <c r="DM15">
        <v>333000000</v>
      </c>
      <c r="DN15">
        <v>0.29767117071896793</v>
      </c>
      <c r="DO15">
        <v>7030284800</v>
      </c>
      <c r="DP15">
        <v>-76317699.999999523</v>
      </c>
      <c r="DQ15">
        <v>1232</v>
      </c>
      <c r="DR15">
        <v>-0.20652533738563444</v>
      </c>
      <c r="DS15">
        <v>-0.90191916716667753</v>
      </c>
      <c r="DT15" s="9">
        <v>0.19333333333333327</v>
      </c>
      <c r="DU15">
        <v>1.0549999999999999</v>
      </c>
      <c r="DV15">
        <v>1.2483333333333333</v>
      </c>
      <c r="DW15">
        <v>-2.1518999999999999</v>
      </c>
      <c r="DX15">
        <v>0.33051078066914613</v>
      </c>
      <c r="DY15">
        <v>-2.021343587583643</v>
      </c>
      <c r="DZ15">
        <v>105</v>
      </c>
      <c r="EA15">
        <v>-2.0209050207154857</v>
      </c>
      <c r="EB15">
        <v>2</v>
      </c>
      <c r="EC15">
        <v>3.8690434422843901E-2</v>
      </c>
      <c r="ED15">
        <v>0.27535562921642787</v>
      </c>
      <c r="EE15" s="10">
        <v>1.0039</v>
      </c>
      <c r="EF15">
        <v>1.01711</v>
      </c>
      <c r="EG15">
        <v>19.140510780669146</v>
      </c>
      <c r="EH15" t="s">
        <v>708</v>
      </c>
      <c r="EI15">
        <v>0</v>
      </c>
      <c r="EJ15">
        <v>1</v>
      </c>
      <c r="EK15" s="12">
        <v>45470</v>
      </c>
      <c r="EL15" s="13">
        <v>1.33</v>
      </c>
      <c r="EM15" s="13">
        <v>-3.38</v>
      </c>
      <c r="EN15" s="13">
        <v>0.39</v>
      </c>
      <c r="EO15" s="13">
        <v>1.55</v>
      </c>
      <c r="EP15" s="13">
        <v>-2.1</v>
      </c>
    </row>
    <row r="16" spans="1:146" ht="96" x14ac:dyDescent="0.25">
      <c r="A16" s="6"/>
      <c r="B16" s="6"/>
      <c r="C16" s="6" t="str">
        <f>""&amp;CHAR(10)&amp;Basic_Fundamental_Information_Constructure(F16)&amp;CHAR(10)&amp;Basic_Fundamental_Information_Concatenate("")</f>
        <v xml:space="preserve">
市值22.104472亿, 利润843.11万; PE86.22; 平均PE64.89; 平均PEG5.23, PB1.4; ROIC2.06%; ROE1.12%; 股利率0%; 毛利14.09%; 净利.5333%; 上一年度营收增6.49%, 利润增-22.94%; 当季营收增8.8%, 利润增839.51%; 过往5年营收增12.4%, 利润增-25.58%
Income profile:
</v>
      </c>
      <c r="D16" t="s">
        <v>103</v>
      </c>
      <c r="E16" t="s">
        <v>18</v>
      </c>
      <c r="F16">
        <v>6.67</v>
      </c>
      <c r="G16">
        <v>2.14</v>
      </c>
      <c r="H16" t="s">
        <v>1058</v>
      </c>
      <c r="I16">
        <v>2210447200</v>
      </c>
      <c r="J16">
        <v>86.22</v>
      </c>
      <c r="K16">
        <v>1.4</v>
      </c>
      <c r="L16" t="s">
        <v>46</v>
      </c>
      <c r="M16" t="s">
        <v>1059</v>
      </c>
      <c r="N16" t="s">
        <v>474</v>
      </c>
      <c r="O16" t="s">
        <v>568</v>
      </c>
      <c r="P16">
        <v>8.8699999999999992</v>
      </c>
      <c r="Q16" t="s">
        <v>1060</v>
      </c>
      <c r="R16">
        <v>19255241</v>
      </c>
      <c r="S16" s="5">
        <v>8.3949999999999996</v>
      </c>
      <c r="T16" t="s">
        <v>1061</v>
      </c>
      <c r="U16">
        <v>247085890</v>
      </c>
      <c r="V16">
        <v>331401370</v>
      </c>
      <c r="W16">
        <v>1.6</v>
      </c>
      <c r="X16">
        <v>0.22</v>
      </c>
      <c r="Y16">
        <v>3.27</v>
      </c>
      <c r="Z16" t="s">
        <v>1062</v>
      </c>
      <c r="AA16" t="s">
        <v>1063</v>
      </c>
      <c r="AB16" t="s">
        <v>1064</v>
      </c>
      <c r="AC16" t="s">
        <v>1065</v>
      </c>
      <c r="AD16" t="s">
        <v>49</v>
      </c>
      <c r="AE16">
        <v>6822654</v>
      </c>
      <c r="AF16" t="s">
        <v>1066</v>
      </c>
      <c r="AG16" t="s">
        <v>1067</v>
      </c>
      <c r="AH16" t="s">
        <v>1068</v>
      </c>
      <c r="AI16" t="s">
        <v>606</v>
      </c>
      <c r="AJ16" t="s">
        <v>1069</v>
      </c>
      <c r="AK16" t="s">
        <v>1070</v>
      </c>
      <c r="AL16" t="s">
        <v>1071</v>
      </c>
      <c r="AM16" t="s">
        <v>49</v>
      </c>
      <c r="AN16" t="s">
        <v>1072</v>
      </c>
      <c r="AO16" t="s">
        <v>1073</v>
      </c>
      <c r="AP16" t="s">
        <v>49</v>
      </c>
      <c r="AQ16" t="s">
        <v>1074</v>
      </c>
      <c r="AR16" t="s">
        <v>49</v>
      </c>
      <c r="AS16" t="s">
        <v>193</v>
      </c>
      <c r="AT16" t="s">
        <v>49</v>
      </c>
      <c r="AU16" t="s">
        <v>1075</v>
      </c>
      <c r="AV16" t="s">
        <v>1076</v>
      </c>
      <c r="AW16" t="s">
        <v>1077</v>
      </c>
      <c r="AX16" t="s">
        <v>1078</v>
      </c>
      <c r="AY16" t="s">
        <v>424</v>
      </c>
      <c r="AZ16" t="s">
        <v>246</v>
      </c>
      <c r="BA16" t="s">
        <v>104</v>
      </c>
      <c r="BB16" t="s">
        <v>248</v>
      </c>
      <c r="BC16" t="s">
        <v>1079</v>
      </c>
      <c r="BD16" t="s">
        <v>425</v>
      </c>
      <c r="BE16" t="s">
        <v>247</v>
      </c>
      <c r="BF16" t="s">
        <v>105</v>
      </c>
      <c r="BG16" t="s">
        <v>249</v>
      </c>
      <c r="BH16" t="s">
        <v>1060</v>
      </c>
      <c r="BI16" t="s">
        <v>1080</v>
      </c>
      <c r="BJ16" t="s">
        <v>1078</v>
      </c>
      <c r="BK16" t="s">
        <v>1061</v>
      </c>
      <c r="BL16" t="s">
        <v>1081</v>
      </c>
      <c r="BM16" t="s">
        <v>1079</v>
      </c>
      <c r="BN16">
        <v>2.34</v>
      </c>
      <c r="BO16">
        <v>1.69</v>
      </c>
      <c r="BP16">
        <v>2.15</v>
      </c>
      <c r="BQ16">
        <v>1.55</v>
      </c>
      <c r="BR16">
        <v>0.7</v>
      </c>
      <c r="BS16">
        <v>1.1100000000000001</v>
      </c>
      <c r="BT16" t="s">
        <v>685</v>
      </c>
      <c r="BU16" t="s">
        <v>455</v>
      </c>
      <c r="BV16">
        <v>14.37</v>
      </c>
      <c r="BW16">
        <v>12.93</v>
      </c>
      <c r="BX16">
        <v>14.97</v>
      </c>
      <c r="BY16">
        <v>0.34</v>
      </c>
      <c r="BZ16">
        <v>0.49</v>
      </c>
      <c r="CA16">
        <v>0.77</v>
      </c>
      <c r="CB16">
        <v>-1.33</v>
      </c>
      <c r="CC16">
        <v>-11.89</v>
      </c>
      <c r="CD16" t="s">
        <v>1082</v>
      </c>
      <c r="CE16" t="s">
        <v>220</v>
      </c>
      <c r="CF16" s="7">
        <v>8.8014981273408247E-2</v>
      </c>
      <c r="CG16" s="8">
        <v>8.3950919736521108</v>
      </c>
      <c r="CH16" s="7">
        <v>6.4929358661174774E-2</v>
      </c>
      <c r="CI16" s="7">
        <v>-3.5775128751993179E-2</v>
      </c>
      <c r="CJ16" s="7">
        <v>0.3176206648349762</v>
      </c>
      <c r="CK16" s="7">
        <v>6.9627851247787476E-2</v>
      </c>
      <c r="CL16" s="7">
        <v>0.20375722646713257</v>
      </c>
      <c r="CM16" s="8">
        <v>-0.22942429780960083</v>
      </c>
      <c r="CN16" s="8">
        <v>-0.37762445211410522</v>
      </c>
      <c r="CO16" s="8">
        <v>-0.62200593948364258</v>
      </c>
      <c r="CP16" s="8">
        <v>-0.31024685502052307</v>
      </c>
      <c r="CQ16" s="8">
        <v>0.26014053821563721</v>
      </c>
      <c r="CR16">
        <v>64.887100206804135</v>
      </c>
      <c r="CS16">
        <v>5.2314808346555939</v>
      </c>
      <c r="CT16">
        <v>0</v>
      </c>
      <c r="CU16" s="7">
        <v>0.12403199449181557</v>
      </c>
      <c r="CV16" s="8">
        <v>-0.25583220124244688</v>
      </c>
      <c r="CW16">
        <v>0.06</v>
      </c>
      <c r="CX16">
        <v>185.27658990871672</v>
      </c>
      <c r="CY16">
        <v>8940402.027132025</v>
      </c>
      <c r="CZ16">
        <v>0.12403199449181557</v>
      </c>
      <c r="DA16">
        <v>58.833353043572039</v>
      </c>
      <c r="DB16">
        <v>28154900.482609469</v>
      </c>
      <c r="DC16">
        <v>0.11783039476722479</v>
      </c>
      <c r="DD16">
        <v>27.857938047698916</v>
      </c>
      <c r="DE16">
        <v>59460509.861275375</v>
      </c>
      <c r="DF16">
        <v>0.1091481551527977</v>
      </c>
      <c r="DG16">
        <v>16.000562408550753</v>
      </c>
      <c r="DH16">
        <v>103524311.06514038</v>
      </c>
      <c r="DI16">
        <v>9.9225595593452454E-2</v>
      </c>
      <c r="DJ16">
        <v>7.4784312649943629</v>
      </c>
      <c r="DK16">
        <v>221496613.56836024</v>
      </c>
      <c r="DL16">
        <v>8.6822396144270897E-2</v>
      </c>
      <c r="DM16">
        <v>8431100</v>
      </c>
      <c r="DN16">
        <v>0.12403199449181557</v>
      </c>
      <c r="DO16">
        <v>1656447199.9999998</v>
      </c>
      <c r="DP16">
        <v>686783800</v>
      </c>
      <c r="DQ16">
        <v>1261</v>
      </c>
      <c r="DR16">
        <v>-3.6017013218407321E-2</v>
      </c>
      <c r="DS16">
        <v>8.6509241748945573</v>
      </c>
      <c r="DT16" s="9">
        <v>-0.20666666666666669</v>
      </c>
      <c r="DU16">
        <v>-3.7007434154171883E-17</v>
      </c>
      <c r="DV16">
        <v>-0.20666666666666672</v>
      </c>
      <c r="DW16">
        <v>-2.1189</v>
      </c>
      <c r="DX16">
        <v>0.36273043478260703</v>
      </c>
      <c r="DY16">
        <v>-2.0145926486956522</v>
      </c>
      <c r="DZ16">
        <v>2219</v>
      </c>
      <c r="EA16">
        <v>-2.0082558409743894</v>
      </c>
      <c r="EB16">
        <v>2</v>
      </c>
      <c r="EC16">
        <v>5.1106608279863179E-2</v>
      </c>
      <c r="ED16">
        <v>0.41641348676379941</v>
      </c>
      <c r="EE16" s="10">
        <v>8.9400000000000007E-2</v>
      </c>
      <c r="EF16">
        <v>7.7699999999999991E-2</v>
      </c>
      <c r="EG16">
        <v>24.122730434782607</v>
      </c>
      <c r="EH16" t="s">
        <v>466</v>
      </c>
      <c r="EI16">
        <v>0</v>
      </c>
      <c r="EJ16">
        <v>0</v>
      </c>
      <c r="EK16" s="12">
        <v>45470</v>
      </c>
      <c r="EL16" s="13">
        <v>-1.17</v>
      </c>
      <c r="EM16" s="13">
        <v>-4.13</v>
      </c>
      <c r="EN16" s="13">
        <v>0.92</v>
      </c>
      <c r="EO16" s="13">
        <v>3.81</v>
      </c>
      <c r="EP16" s="13">
        <v>-1.17</v>
      </c>
    </row>
    <row r="17" spans="1:146" ht="96" x14ac:dyDescent="0.25">
      <c r="A17" s="6"/>
      <c r="B17" s="6"/>
      <c r="C17" s="6" t="str">
        <f>""&amp;CHAR(10)&amp;Basic_Fundamental_Information_Constructure(F17)&amp;CHAR(10)&amp;Basic_Fundamental_Information_Concatenate("")</f>
        <v xml:space="preserve">
市值19.490436亿, 利润-2.22亿; PE; 平均PE70.33; 平均PEG1.95, PB1.42; ROIC7.4733%; ROE9.6067%; 股利率.5911%; 毛利13.1867%; 净利-2.9133%; 上一年度营收增-17.05%, 利润增-356.38%; 当季营收增11.11%, 利润增-20.5%; 过往5年营收增36.06%, 利润增-36.25%
Income profile:
</v>
      </c>
      <c r="D17" t="s">
        <v>108</v>
      </c>
      <c r="E17" t="s">
        <v>9</v>
      </c>
      <c r="F17">
        <v>6.09</v>
      </c>
      <c r="G17">
        <v>2.87</v>
      </c>
      <c r="H17" t="s">
        <v>1083</v>
      </c>
      <c r="I17">
        <v>1949043600</v>
      </c>
      <c r="K17">
        <v>1.42</v>
      </c>
      <c r="L17" t="s">
        <v>46</v>
      </c>
      <c r="M17" t="s">
        <v>1084</v>
      </c>
      <c r="N17" t="s">
        <v>1085</v>
      </c>
      <c r="O17" t="s">
        <v>1086</v>
      </c>
      <c r="P17">
        <v>11.17</v>
      </c>
      <c r="Q17" t="s">
        <v>1087</v>
      </c>
      <c r="R17">
        <v>22838254</v>
      </c>
      <c r="S17" s="5">
        <v>-0.20499999999999999</v>
      </c>
      <c r="T17" t="s">
        <v>1088</v>
      </c>
      <c r="U17">
        <v>320035800</v>
      </c>
      <c r="V17">
        <v>320040000</v>
      </c>
      <c r="W17">
        <v>1.53</v>
      </c>
      <c r="X17">
        <v>0.21</v>
      </c>
      <c r="Y17">
        <v>5.38</v>
      </c>
      <c r="Z17" t="s">
        <v>511</v>
      </c>
      <c r="AA17" t="s">
        <v>388</v>
      </c>
      <c r="AB17" t="s">
        <v>1089</v>
      </c>
      <c r="AC17" t="s">
        <v>1090</v>
      </c>
      <c r="AD17" t="s">
        <v>49</v>
      </c>
      <c r="AE17">
        <v>1784591</v>
      </c>
      <c r="AF17" t="s">
        <v>1091</v>
      </c>
      <c r="AG17">
        <v>1590.31</v>
      </c>
      <c r="AH17" t="s">
        <v>1092</v>
      </c>
      <c r="AI17" t="s">
        <v>609</v>
      </c>
      <c r="AJ17" t="s">
        <v>1093</v>
      </c>
      <c r="AK17" t="s">
        <v>1094</v>
      </c>
      <c r="AL17" t="s">
        <v>1095</v>
      </c>
      <c r="AM17" t="s">
        <v>49</v>
      </c>
      <c r="AN17" t="s">
        <v>158</v>
      </c>
      <c r="AO17" t="s">
        <v>1096</v>
      </c>
      <c r="AP17" t="s">
        <v>1097</v>
      </c>
      <c r="AQ17" t="s">
        <v>566</v>
      </c>
      <c r="AR17" t="s">
        <v>49</v>
      </c>
      <c r="AS17" t="s">
        <v>1098</v>
      </c>
      <c r="AT17" t="s">
        <v>49</v>
      </c>
      <c r="AU17" t="s">
        <v>1099</v>
      </c>
      <c r="AV17" t="s">
        <v>1100</v>
      </c>
      <c r="AW17" t="s">
        <v>1101</v>
      </c>
      <c r="AX17" t="s">
        <v>1102</v>
      </c>
      <c r="AY17" t="s">
        <v>426</v>
      </c>
      <c r="AZ17" t="s">
        <v>189</v>
      </c>
      <c r="BA17" t="s">
        <v>109</v>
      </c>
      <c r="BB17" t="s">
        <v>251</v>
      </c>
      <c r="BC17" t="s">
        <v>1103</v>
      </c>
      <c r="BD17" t="s">
        <v>56</v>
      </c>
      <c r="BE17" t="s">
        <v>64</v>
      </c>
      <c r="BF17" t="s">
        <v>110</v>
      </c>
      <c r="BG17" t="s">
        <v>253</v>
      </c>
      <c r="BH17" t="s">
        <v>1087</v>
      </c>
      <c r="BI17" t="s">
        <v>1104</v>
      </c>
      <c r="BJ17" t="s">
        <v>1102</v>
      </c>
      <c r="BK17" t="s">
        <v>1088</v>
      </c>
      <c r="BL17" t="s">
        <v>1105</v>
      </c>
      <c r="BM17" t="s">
        <v>1103</v>
      </c>
      <c r="BN17">
        <v>2.0499999999999998</v>
      </c>
      <c r="BO17">
        <v>7.16</v>
      </c>
      <c r="BP17">
        <v>13.21</v>
      </c>
      <c r="BQ17">
        <v>2.71</v>
      </c>
      <c r="BR17">
        <v>11.22</v>
      </c>
      <c r="BS17">
        <v>14.89</v>
      </c>
      <c r="BT17" t="s">
        <v>1106</v>
      </c>
      <c r="BU17" t="s">
        <v>455</v>
      </c>
      <c r="BV17">
        <v>15.29</v>
      </c>
      <c r="BW17">
        <v>14.47</v>
      </c>
      <c r="BX17">
        <v>9.8000000000000007</v>
      </c>
      <c r="BY17">
        <v>-18.34</v>
      </c>
      <c r="BZ17">
        <v>5.3</v>
      </c>
      <c r="CA17">
        <v>4.3</v>
      </c>
      <c r="CB17">
        <v>3.57</v>
      </c>
      <c r="CC17">
        <v>-12.5</v>
      </c>
      <c r="CD17" t="s">
        <v>1107</v>
      </c>
      <c r="CE17" t="s">
        <v>52</v>
      </c>
      <c r="CF17" s="7">
        <v>0.1111111111111111</v>
      </c>
      <c r="CG17" s="8">
        <v>-0.20504528525183613</v>
      </c>
      <c r="CH17" s="7">
        <v>-0.17046628892421722</v>
      </c>
      <c r="CI17" s="7">
        <v>-0.34264305233955383</v>
      </c>
      <c r="CJ17" s="7">
        <v>0.56586658954620361</v>
      </c>
      <c r="CK17" s="7">
        <v>0.50360864400863647</v>
      </c>
      <c r="CL17" s="7">
        <v>1.2468469142913818</v>
      </c>
      <c r="CM17" s="8">
        <v>-3.5637738704681396</v>
      </c>
      <c r="CN17" s="8">
        <v>-0.18310278654098511</v>
      </c>
      <c r="CO17" s="8">
        <v>4.9504950642585754E-2</v>
      </c>
      <c r="CP17" s="8">
        <v>0.51737314462661743</v>
      </c>
      <c r="CQ17" s="8">
        <v>1.3677322864532471</v>
      </c>
      <c r="CR17">
        <v>70.334738713553861</v>
      </c>
      <c r="CS17">
        <v>1.9502617344110418</v>
      </c>
      <c r="CT17">
        <v>0.59113300492610832</v>
      </c>
      <c r="CU17" s="7">
        <v>0.3606425613164902</v>
      </c>
      <c r="CV17" s="8">
        <v>-0.36245325505733489</v>
      </c>
      <c r="CW17">
        <v>0.06</v>
      </c>
      <c r="CX17" t="e">
        <v>#VALUE!</v>
      </c>
      <c r="CY17" t="s">
        <v>464</v>
      </c>
      <c r="CZ17">
        <v>0.3606425613164902</v>
      </c>
      <c r="DA17" t="e">
        <v>#VALUE!</v>
      </c>
      <c r="DB17" t="s">
        <v>464</v>
      </c>
      <c r="DC17">
        <v>0.34261043325066565</v>
      </c>
      <c r="DD17" t="e">
        <v>#VALUE!</v>
      </c>
      <c r="DE17" t="s">
        <v>464</v>
      </c>
      <c r="DF17">
        <v>0.3173654539585114</v>
      </c>
      <c r="DG17" t="e">
        <v>#VALUE!</v>
      </c>
      <c r="DH17" t="s">
        <v>464</v>
      </c>
      <c r="DI17">
        <v>0.28851404905319217</v>
      </c>
      <c r="DJ17" t="e">
        <v>#VALUE!</v>
      </c>
      <c r="DK17" t="s">
        <v>464</v>
      </c>
      <c r="DL17">
        <v>0.25244979292154313</v>
      </c>
      <c r="DM17">
        <v>-222000000.00000003</v>
      </c>
      <c r="DN17">
        <v>0.3606425613164902</v>
      </c>
      <c r="DO17">
        <v>1313043600</v>
      </c>
      <c r="DP17">
        <v>403002830</v>
      </c>
      <c r="DQ17">
        <v>1272</v>
      </c>
      <c r="DR17">
        <v>-0.24953145020537909</v>
      </c>
      <c r="DS17">
        <v>0.15740796980549876</v>
      </c>
      <c r="DT17" s="9">
        <v>-0.30666666666666664</v>
      </c>
      <c r="DU17">
        <v>-0.80333333333333334</v>
      </c>
      <c r="DV17">
        <v>-1.1099999999999999</v>
      </c>
      <c r="DW17">
        <v>6.2221530802738023</v>
      </c>
      <c r="DX17">
        <v>0.30777987804878026</v>
      </c>
      <c r="DY17">
        <v>6.032829755111023</v>
      </c>
      <c r="DZ17">
        <v>3675</v>
      </c>
      <c r="EA17">
        <v>6.0092193147914514</v>
      </c>
      <c r="EB17">
        <v>6</v>
      </c>
      <c r="EC17">
        <v>7.5727721534808154E-2</v>
      </c>
      <c r="ED17">
        <v>0.5124359455068116</v>
      </c>
      <c r="EE17" s="10">
        <v>-6.0422000000000002</v>
      </c>
      <c r="EF17">
        <v>-6.0210999999999997</v>
      </c>
      <c r="EG17">
        <v>16.14777987804878</v>
      </c>
      <c r="EH17" t="s">
        <v>1108</v>
      </c>
      <c r="EI17">
        <v>0</v>
      </c>
      <c r="EJ17">
        <v>0</v>
      </c>
      <c r="EK17" s="12">
        <v>45470</v>
      </c>
      <c r="EL17" s="13">
        <v>-0.47</v>
      </c>
      <c r="EM17" s="13">
        <v>-4.57</v>
      </c>
      <c r="EN17" s="13">
        <v>0</v>
      </c>
      <c r="EO17" s="13">
        <v>1.82</v>
      </c>
      <c r="EP17" s="13">
        <v>-2.11</v>
      </c>
    </row>
    <row r="18" spans="1:146" ht="96" x14ac:dyDescent="0.25">
      <c r="A18" s="6"/>
      <c r="B18" s="6"/>
      <c r="C18" s="6" t="str">
        <f>""&amp;CHAR(10)&amp;Basic_Fundamental_Information_Constructure(F18)&amp;CHAR(10)&amp;Basic_Fundamental_Information_Concatenate("")</f>
        <v xml:space="preserve">
市值230.67431亿, 利润14.38亿; PE15.64; 平均PE19.6; 平均PEG1.54, PB2.05; ROIC8.3033%; ROE12.0067%; 股利率2.5018%; 毛利23.84%; 净利8.8833%; 上一年度营收增-6.96%, 利润增-3.36%; 当季营收增19.37%, 利润增20.8%; 过往5年营收增12.76%, 利润增10.22%
Income profile:
</v>
      </c>
      <c r="D18" t="s">
        <v>112</v>
      </c>
      <c r="E18" t="s">
        <v>20</v>
      </c>
      <c r="F18">
        <v>24.79</v>
      </c>
      <c r="G18">
        <v>1.52</v>
      </c>
      <c r="H18" t="s">
        <v>1109</v>
      </c>
      <c r="I18">
        <v>23067431000</v>
      </c>
      <c r="J18">
        <v>15.64</v>
      </c>
      <c r="K18">
        <v>2.0499999999999998</v>
      </c>
      <c r="L18" t="s">
        <v>46</v>
      </c>
      <c r="M18" t="s">
        <v>1110</v>
      </c>
      <c r="N18" t="s">
        <v>1111</v>
      </c>
      <c r="O18" t="s">
        <v>1112</v>
      </c>
      <c r="P18">
        <v>19.37</v>
      </c>
      <c r="Q18" t="s">
        <v>1113</v>
      </c>
      <c r="R18">
        <v>218655390</v>
      </c>
      <c r="S18" s="5">
        <v>0.20549999999999999</v>
      </c>
      <c r="T18" t="s">
        <v>1114</v>
      </c>
      <c r="U18">
        <v>520993270</v>
      </c>
      <c r="V18">
        <v>930513550</v>
      </c>
      <c r="W18">
        <v>1.83</v>
      </c>
      <c r="X18">
        <v>0.16</v>
      </c>
      <c r="Y18">
        <v>6.45</v>
      </c>
      <c r="Z18" t="s">
        <v>1115</v>
      </c>
      <c r="AA18" t="s">
        <v>1116</v>
      </c>
      <c r="AB18" t="s">
        <v>1117</v>
      </c>
      <c r="AC18" t="s">
        <v>603</v>
      </c>
      <c r="AD18" t="s">
        <v>49</v>
      </c>
      <c r="AE18">
        <v>-10280742</v>
      </c>
      <c r="AF18" t="s">
        <v>1118</v>
      </c>
      <c r="AG18" t="s">
        <v>1119</v>
      </c>
      <c r="AH18" t="s">
        <v>1120</v>
      </c>
      <c r="AI18" t="s">
        <v>1121</v>
      </c>
      <c r="AJ18" t="s">
        <v>1122</v>
      </c>
      <c r="AK18" t="s">
        <v>1123</v>
      </c>
      <c r="AL18" t="s">
        <v>1124</v>
      </c>
      <c r="AM18" t="s">
        <v>49</v>
      </c>
      <c r="AN18" t="s">
        <v>527</v>
      </c>
      <c r="AO18" t="s">
        <v>1125</v>
      </c>
      <c r="AP18" t="s">
        <v>584</v>
      </c>
      <c r="AQ18" t="s">
        <v>1126</v>
      </c>
      <c r="AR18" t="s">
        <v>49</v>
      </c>
      <c r="AS18" t="s">
        <v>1127</v>
      </c>
      <c r="AT18" t="s">
        <v>543</v>
      </c>
      <c r="AU18" t="s">
        <v>1128</v>
      </c>
      <c r="AV18" t="s">
        <v>1129</v>
      </c>
      <c r="AW18" t="s">
        <v>582</v>
      </c>
      <c r="AX18" t="s">
        <v>1130</v>
      </c>
      <c r="AY18" t="s">
        <v>1131</v>
      </c>
      <c r="AZ18" t="s">
        <v>254</v>
      </c>
      <c r="BA18" t="s">
        <v>113</v>
      </c>
      <c r="BB18" t="s">
        <v>256</v>
      </c>
      <c r="BC18" t="s">
        <v>1132</v>
      </c>
      <c r="BD18" t="s">
        <v>522</v>
      </c>
      <c r="BE18" t="s">
        <v>255</v>
      </c>
      <c r="BF18" t="s">
        <v>114</v>
      </c>
      <c r="BG18" t="s">
        <v>218</v>
      </c>
      <c r="BH18" t="s">
        <v>1113</v>
      </c>
      <c r="BI18" t="s">
        <v>1133</v>
      </c>
      <c r="BJ18" t="s">
        <v>1130</v>
      </c>
      <c r="BK18" t="s">
        <v>1114</v>
      </c>
      <c r="BL18" t="s">
        <v>271</v>
      </c>
      <c r="BM18" t="s">
        <v>1132</v>
      </c>
      <c r="BN18">
        <v>5.85</v>
      </c>
      <c r="BO18">
        <v>10.68</v>
      </c>
      <c r="BP18">
        <v>8.3800000000000008</v>
      </c>
      <c r="BQ18">
        <v>9.41</v>
      </c>
      <c r="BR18">
        <v>15.19</v>
      </c>
      <c r="BS18">
        <v>11.42</v>
      </c>
      <c r="BT18" t="s">
        <v>1134</v>
      </c>
      <c r="BU18" t="s">
        <v>455</v>
      </c>
      <c r="BV18">
        <v>26.23</v>
      </c>
      <c r="BW18">
        <v>23.75</v>
      </c>
      <c r="BX18">
        <v>21.54</v>
      </c>
      <c r="BY18">
        <v>9.82</v>
      </c>
      <c r="BZ18">
        <v>9.64</v>
      </c>
      <c r="CA18">
        <v>7.19</v>
      </c>
      <c r="CB18">
        <v>-3.13</v>
      </c>
      <c r="CC18">
        <v>-3.58</v>
      </c>
      <c r="CD18" t="s">
        <v>1135</v>
      </c>
      <c r="CE18" t="s">
        <v>1136</v>
      </c>
      <c r="CF18" s="7">
        <v>0.19368131868131869</v>
      </c>
      <c r="CG18" s="8">
        <v>0.20804082872928176</v>
      </c>
      <c r="CH18" s="7">
        <v>-6.96125328540802E-2</v>
      </c>
      <c r="CI18" s="7">
        <v>9.4887606799602509E-2</v>
      </c>
      <c r="CJ18" s="7">
        <v>0.26762238144874573</v>
      </c>
      <c r="CK18" s="7">
        <v>0.19746057689189911</v>
      </c>
      <c r="CL18" s="7">
        <v>0.14770346879959106</v>
      </c>
      <c r="CM18" s="8">
        <v>-3.3602152019739151E-2</v>
      </c>
      <c r="CN18" s="8">
        <v>0.45454546809196472</v>
      </c>
      <c r="CO18" s="8">
        <v>-8.660714328289032E-2</v>
      </c>
      <c r="CP18" s="8">
        <v>7.1770332753658295E-2</v>
      </c>
      <c r="CQ18" s="8">
        <v>0.10465116053819656</v>
      </c>
      <c r="CR18">
        <v>19.604049008498581</v>
      </c>
      <c r="CS18">
        <v>1.536219390696612</v>
      </c>
      <c r="CT18">
        <v>2.5018225090762405</v>
      </c>
      <c r="CU18" s="7">
        <v>0.12761230021715164</v>
      </c>
      <c r="CV18" s="8">
        <v>0.10215153321623802</v>
      </c>
      <c r="CW18">
        <v>0.06</v>
      </c>
      <c r="CX18">
        <v>14.310714780265318</v>
      </c>
      <c r="CY18">
        <v>1529723101.6153433</v>
      </c>
      <c r="CZ18">
        <v>0.12761230021715164</v>
      </c>
      <c r="DA18">
        <v>4.5306297725263471</v>
      </c>
      <c r="DB18">
        <v>4831873734.8059692</v>
      </c>
      <c r="DC18">
        <v>0.12123168520629406</v>
      </c>
      <c r="DD18">
        <v>2.1364436700576195</v>
      </c>
      <c r="DE18">
        <v>10246668941.854008</v>
      </c>
      <c r="DF18">
        <v>0.11229882419109345</v>
      </c>
      <c r="DG18">
        <v>1.2212122256730096</v>
      </c>
      <c r="DH18">
        <v>17925984149.016884</v>
      </c>
      <c r="DI18">
        <v>0.10208984017372132</v>
      </c>
      <c r="DJ18">
        <v>0.56449931619230842</v>
      </c>
      <c r="DK18">
        <v>38780261325.493317</v>
      </c>
      <c r="DL18">
        <v>8.9328610152006147E-2</v>
      </c>
      <c r="DM18">
        <v>1438000000</v>
      </c>
      <c r="DN18">
        <v>0.12761230021715164</v>
      </c>
      <c r="DO18">
        <v>21891431000</v>
      </c>
      <c r="DP18">
        <v>3972223800</v>
      </c>
      <c r="DQ18">
        <v>1302</v>
      </c>
      <c r="DR18">
        <v>6.6069018464167045E-2</v>
      </c>
      <c r="DS18">
        <v>0.10588929551304374</v>
      </c>
      <c r="DT18" s="9">
        <v>-0.19000000000000003</v>
      </c>
      <c r="DU18">
        <v>0.15</v>
      </c>
      <c r="DV18">
        <v>-4.0000000000000036E-2</v>
      </c>
      <c r="DW18">
        <v>-8.8743016759776534</v>
      </c>
      <c r="DX18">
        <v>0.37598702195760336</v>
      </c>
      <c r="DY18">
        <v>-8.1363797147282941</v>
      </c>
      <c r="DZ18">
        <v>1807</v>
      </c>
      <c r="EA18">
        <v>-8.0881530719662535</v>
      </c>
      <c r="EB18">
        <v>8</v>
      </c>
      <c r="EC18">
        <v>1.3784861058713224E-2</v>
      </c>
      <c r="ED18">
        <v>8.8371845847919156E-2</v>
      </c>
      <c r="EE18" s="10">
        <v>1.03071</v>
      </c>
      <c r="EF18">
        <v>1.0362100000000001</v>
      </c>
      <c r="EG18">
        <v>22.155987021957603</v>
      </c>
      <c r="EH18" t="s">
        <v>708</v>
      </c>
      <c r="EI18">
        <v>0</v>
      </c>
      <c r="EJ18">
        <v>0</v>
      </c>
      <c r="EK18" s="12">
        <v>45470</v>
      </c>
      <c r="EL18" s="13">
        <v>-0.69</v>
      </c>
      <c r="EM18" s="13">
        <v>-2.19</v>
      </c>
      <c r="EN18" s="13">
        <v>-0.67</v>
      </c>
      <c r="EO18" s="13">
        <v>1.1100000000000001</v>
      </c>
      <c r="EP18" s="13">
        <v>-0.55000000000000004</v>
      </c>
    </row>
    <row r="19" spans="1:146" ht="96" x14ac:dyDescent="0.25">
      <c r="A19" s="6"/>
      <c r="B19" s="6"/>
      <c r="C19" s="6" t="str">
        <f>""&amp;CHAR(10)&amp;Basic_Fundamental_Information_Constructure(F19)&amp;CHAR(10)&amp;Basic_Fundamental_Information_Concatenate("")</f>
        <v xml:space="preserve">
市值13.3632亿, 利润1946.99万; PE50.15; 平均PE36.01; 平均PEG20.45, PB3.75; ROIC8.81%; ROE8.8833%; 股利率1.7241%; 毛利29.8833%; 净利24.97%; 上一年度营收增18%, 利润增-76.85%; 当季营收增87.34%, 利润增210.39%; 过往5年营收增-1.76%, 利润增97.14%
Income profile:
</v>
      </c>
      <c r="D19" t="s">
        <v>115</v>
      </c>
      <c r="E19" t="s">
        <v>11</v>
      </c>
      <c r="F19">
        <v>5.8</v>
      </c>
      <c r="G19">
        <v>2.11</v>
      </c>
      <c r="H19" t="s">
        <v>1137</v>
      </c>
      <c r="I19">
        <v>1336320000</v>
      </c>
      <c r="J19">
        <v>50.15</v>
      </c>
      <c r="K19">
        <v>3.75</v>
      </c>
      <c r="L19" t="s">
        <v>46</v>
      </c>
      <c r="M19" t="s">
        <v>56</v>
      </c>
      <c r="N19" t="s">
        <v>533</v>
      </c>
      <c r="O19" t="s">
        <v>1138</v>
      </c>
      <c r="P19">
        <v>87.34</v>
      </c>
      <c r="Q19" t="s">
        <v>1139</v>
      </c>
      <c r="R19">
        <v>10588916</v>
      </c>
      <c r="S19" s="5">
        <v>2.1040000000000001</v>
      </c>
      <c r="T19" t="s">
        <v>1140</v>
      </c>
      <c r="U19">
        <v>230400000</v>
      </c>
      <c r="V19">
        <v>230400000</v>
      </c>
      <c r="W19">
        <v>1.37</v>
      </c>
      <c r="X19">
        <v>0.14000000000000001</v>
      </c>
      <c r="Y19">
        <v>15.62</v>
      </c>
      <c r="Z19" t="s">
        <v>1141</v>
      </c>
      <c r="AA19" t="s">
        <v>1142</v>
      </c>
      <c r="AB19" t="s">
        <v>1143</v>
      </c>
      <c r="AC19" t="s">
        <v>1144</v>
      </c>
      <c r="AD19" t="s">
        <v>49</v>
      </c>
      <c r="AE19">
        <v>-53779</v>
      </c>
      <c r="AF19" t="s">
        <v>1145</v>
      </c>
      <c r="AG19" t="s">
        <v>49</v>
      </c>
      <c r="AH19" t="s">
        <v>1146</v>
      </c>
      <c r="AI19" t="s">
        <v>1147</v>
      </c>
      <c r="AJ19" t="s">
        <v>1148</v>
      </c>
      <c r="AK19" t="s">
        <v>49</v>
      </c>
      <c r="AL19" t="s">
        <v>1149</v>
      </c>
      <c r="AM19" t="s">
        <v>49</v>
      </c>
      <c r="AN19" t="s">
        <v>1150</v>
      </c>
      <c r="AO19" t="s">
        <v>49</v>
      </c>
      <c r="AP19" t="s">
        <v>1151</v>
      </c>
      <c r="AQ19" t="s">
        <v>1152</v>
      </c>
      <c r="AR19" t="s">
        <v>1153</v>
      </c>
      <c r="AS19" t="s">
        <v>125</v>
      </c>
      <c r="AT19" t="s">
        <v>49</v>
      </c>
      <c r="AU19" t="s">
        <v>1154</v>
      </c>
      <c r="AV19" t="s">
        <v>1155</v>
      </c>
      <c r="AW19" t="s">
        <v>1156</v>
      </c>
      <c r="AX19" t="s">
        <v>710</v>
      </c>
      <c r="AY19" t="s">
        <v>400</v>
      </c>
      <c r="AZ19" t="s">
        <v>257</v>
      </c>
      <c r="BA19" t="s">
        <v>117</v>
      </c>
      <c r="BB19" t="s">
        <v>259</v>
      </c>
      <c r="BC19" t="s">
        <v>1157</v>
      </c>
      <c r="BD19" t="s">
        <v>428</v>
      </c>
      <c r="BE19" t="s">
        <v>258</v>
      </c>
      <c r="BF19" t="s">
        <v>118</v>
      </c>
      <c r="BG19" t="s">
        <v>261</v>
      </c>
      <c r="BH19" t="s">
        <v>1139</v>
      </c>
      <c r="BI19" t="s">
        <v>1158</v>
      </c>
      <c r="BJ19" t="s">
        <v>710</v>
      </c>
      <c r="BK19" t="s">
        <v>1140</v>
      </c>
      <c r="BL19" t="s">
        <v>1159</v>
      </c>
      <c r="BM19" t="s">
        <v>1157</v>
      </c>
      <c r="BN19">
        <v>2.5299999999999998</v>
      </c>
      <c r="BO19">
        <v>21.1</v>
      </c>
      <c r="BP19">
        <v>2.8</v>
      </c>
      <c r="BQ19">
        <v>2.4900000000000002</v>
      </c>
      <c r="BR19">
        <v>21.22</v>
      </c>
      <c r="BS19">
        <v>2.94</v>
      </c>
      <c r="BT19" t="s">
        <v>690</v>
      </c>
      <c r="BU19" t="s">
        <v>455</v>
      </c>
      <c r="BV19">
        <v>29.41</v>
      </c>
      <c r="BW19">
        <v>28.19</v>
      </c>
      <c r="BX19">
        <v>32.049999999999997</v>
      </c>
      <c r="BY19">
        <v>10.99</v>
      </c>
      <c r="BZ19">
        <v>56.18</v>
      </c>
      <c r="CA19">
        <v>7.74</v>
      </c>
      <c r="CB19">
        <v>-1.19</v>
      </c>
      <c r="CC19">
        <v>-16.43</v>
      </c>
      <c r="CD19" t="s">
        <v>1160</v>
      </c>
      <c r="CE19" t="s">
        <v>1161</v>
      </c>
      <c r="CF19" s="7">
        <v>0.87336360395415746</v>
      </c>
      <c r="CG19" s="8">
        <v>2.1038886120474865</v>
      </c>
      <c r="CH19" s="7">
        <v>0.18000000715255737</v>
      </c>
      <c r="CI19" s="7">
        <v>4.1666667908430099E-2</v>
      </c>
      <c r="CJ19" s="7">
        <v>-0.32394367456436157</v>
      </c>
      <c r="CK19" s="7">
        <v>-0.4964539110660553</v>
      </c>
      <c r="CL19" s="7">
        <v>0.51071429252624512</v>
      </c>
      <c r="CM19" s="8">
        <v>-0.76848143339157104</v>
      </c>
      <c r="CN19" s="8">
        <v>6.524134635925293</v>
      </c>
      <c r="CO19" s="8">
        <v>-0.65214699506759644</v>
      </c>
      <c r="CP19" s="8">
        <v>0.22272369265556335</v>
      </c>
      <c r="CQ19" s="8">
        <v>-0.46946609020233154</v>
      </c>
      <c r="CR19">
        <v>36.005739061317691</v>
      </c>
      <c r="CS19">
        <v>20.4539437334731</v>
      </c>
      <c r="CT19">
        <v>1.7241379310344829</v>
      </c>
      <c r="CU19" s="7">
        <v>-1.7603323608636857E-2</v>
      </c>
      <c r="CV19" s="8">
        <v>0.97135276198387144</v>
      </c>
      <c r="CW19">
        <v>0.06</v>
      </c>
      <c r="CX19">
        <v>55.794842295029767</v>
      </c>
      <c r="CY19" t="s">
        <v>1162</v>
      </c>
      <c r="CZ19">
        <v>-1.7603323608636857E-2</v>
      </c>
      <c r="DA19">
        <v>18.598280765009921</v>
      </c>
      <c r="DB19" t="s">
        <v>1163</v>
      </c>
      <c r="DC19">
        <v>-1.6723157428205012E-2</v>
      </c>
      <c r="DD19">
        <v>9.2991403825049606</v>
      </c>
      <c r="DE19" t="s">
        <v>1164</v>
      </c>
      <c r="DF19">
        <v>-1.5490924775600434E-2</v>
      </c>
      <c r="DG19">
        <v>5.5794842295029765</v>
      </c>
      <c r="DH19" t="s">
        <v>1165</v>
      </c>
      <c r="DI19">
        <v>-1.4082658886909486E-2</v>
      </c>
      <c r="DJ19">
        <v>2.7897421147514883</v>
      </c>
      <c r="DK19" t="s">
        <v>1166</v>
      </c>
      <c r="DL19">
        <v>-1.2322326526045799E-2</v>
      </c>
      <c r="DM19">
        <v>19469900</v>
      </c>
      <c r="DN19">
        <v>-1.7603323608636857E-2</v>
      </c>
      <c r="DO19">
        <v>1086320000</v>
      </c>
      <c r="DP19">
        <v>198498290</v>
      </c>
      <c r="DQ19">
        <v>1306</v>
      </c>
      <c r="DR19">
        <v>0.89096692756279428</v>
      </c>
      <c r="DS19">
        <v>1.1325358500636149</v>
      </c>
      <c r="DT19" s="9">
        <v>-0.42333333333333334</v>
      </c>
      <c r="DU19">
        <v>0.17333333333333331</v>
      </c>
      <c r="DV19">
        <v>-0.25</v>
      </c>
      <c r="DW19">
        <v>-3.004863095238095</v>
      </c>
      <c r="DX19">
        <v>0.31656010129465639</v>
      </c>
      <c r="DY19">
        <v>-3.000469580968796</v>
      </c>
      <c r="DZ19">
        <v>2326</v>
      </c>
      <c r="EA19">
        <v>-3.0002558343282053</v>
      </c>
      <c r="EB19">
        <v>3</v>
      </c>
      <c r="EC19">
        <v>4.150651041666667E-2</v>
      </c>
      <c r="ED19">
        <v>0.42985156250000001</v>
      </c>
      <c r="EE19" s="10">
        <v>-2.00671</v>
      </c>
      <c r="EF19">
        <v>-2.01511</v>
      </c>
      <c r="EG19">
        <v>22.096560101294656</v>
      </c>
      <c r="EH19" t="s">
        <v>916</v>
      </c>
      <c r="EI19">
        <v>0</v>
      </c>
      <c r="EJ19">
        <v>0</v>
      </c>
      <c r="EK19" s="12">
        <v>45470</v>
      </c>
      <c r="EL19" s="13">
        <v>-0.17</v>
      </c>
      <c r="EM19" s="13">
        <v>-4.2300000000000004</v>
      </c>
      <c r="EN19" s="13">
        <v>1.59</v>
      </c>
      <c r="EO19" s="13">
        <v>3.48</v>
      </c>
      <c r="EP19" s="13">
        <v>-0.84</v>
      </c>
    </row>
    <row r="20" spans="1:146" ht="72" x14ac:dyDescent="0.25">
      <c r="A20" s="6" t="s">
        <v>613</v>
      </c>
      <c r="B20" s="6" t="s">
        <v>476</v>
      </c>
      <c r="C20" s="6" t="str">
        <f>"公司是一家以快速消费品为核心领域，专业从事“安全、环保、易开启”金属包装产品研发、生产和销售的国家高新技术企业。经过多年发展，公司现已形成覆盖食品（含干粉）、饮料、日化用品等多应用领域，包括数十种外形尺寸、七百余种型号的金属易开盖及配套底盖产品体系。"&amp;CHAR(10)&amp;Basic_Fundamental_Information_Constructure(F20)&amp;CHAR(10)&amp;Basic_Fundamental_Information_Concatenate("饮料易开盖 5.92亿 32.38% 10.77% 4.52%
罐头易开盖 4.68亿 25.59% 41.12% 21.83%
干粉易开盖 4.40亿 24.05% 36.12% 20.41%
其他产品 3.29亿 17.97% 11.98% 9.06%")</f>
        <v>公司是一家以快速消费品为核心领域，专业从事“安全、环保、易开启”金属包装产品研发、生产和销售的国家高新技术企业。经过多年发展，公司现已形成覆盖食品（含干粉）、饮料、日化用品等多应用领域，包括数十种外形尺寸、七百余种型号的金属易开盖及配套底盖产品体系。
市值29.483553亿, 利润1421.19万; PE152.8; 平均PE85.88; 平均PEG4.76, PB2.04; ROIC3.81%; ROE-.2733%; 股利率.3419%; 毛利11.51%; 净利.0767%; 上一年度营收增-9.72%, 利润增132.94%; 当季营收增9.52%, 利润增135.87%; 过往5年营收增18.02%, 利润增-11.3%
Income profile:
饮料易开盖 5.92亿 32.38% 10.77% 4.52%
罐头易开盖 4.68亿 25.59% 41.12% 21.83%
干粉易开盖 4.40亿 24.05% 36.12% 20.41%
其他产品 3.29亿 17.97% 11.98% 9.06%</v>
      </c>
      <c r="D20" t="s">
        <v>120</v>
      </c>
      <c r="E20" t="s">
        <v>12</v>
      </c>
      <c r="F20">
        <v>7.02</v>
      </c>
      <c r="G20">
        <v>-1.4</v>
      </c>
      <c r="H20" t="s">
        <v>1167</v>
      </c>
      <c r="I20">
        <v>2948355300</v>
      </c>
      <c r="J20">
        <v>152.80000000000001</v>
      </c>
      <c r="K20">
        <v>2.04</v>
      </c>
      <c r="L20" t="s">
        <v>46</v>
      </c>
      <c r="M20" t="s">
        <v>713</v>
      </c>
      <c r="N20" t="s">
        <v>1168</v>
      </c>
      <c r="O20" t="s">
        <v>1169</v>
      </c>
      <c r="P20">
        <v>9.5500000000000007</v>
      </c>
      <c r="Q20" t="s">
        <v>1170</v>
      </c>
      <c r="R20">
        <v>1340980</v>
      </c>
      <c r="S20" s="5">
        <v>1.359</v>
      </c>
      <c r="T20" t="s">
        <v>1171</v>
      </c>
      <c r="U20">
        <v>257018100</v>
      </c>
      <c r="V20">
        <v>419993640</v>
      </c>
      <c r="W20">
        <v>2.2000000000000002</v>
      </c>
      <c r="X20">
        <v>0.15</v>
      </c>
      <c r="Y20">
        <v>0.17</v>
      </c>
      <c r="Z20" t="s">
        <v>1172</v>
      </c>
      <c r="AA20" t="s">
        <v>1104</v>
      </c>
      <c r="AB20" t="s">
        <v>1173</v>
      </c>
      <c r="AC20" t="s">
        <v>1174</v>
      </c>
      <c r="AD20" t="s">
        <v>49</v>
      </c>
      <c r="AE20">
        <v>9625181</v>
      </c>
      <c r="AF20" t="s">
        <v>1175</v>
      </c>
      <c r="AG20">
        <v>0</v>
      </c>
      <c r="AH20" t="s">
        <v>1176</v>
      </c>
      <c r="AI20" t="s">
        <v>130</v>
      </c>
      <c r="AJ20" t="s">
        <v>1177</v>
      </c>
      <c r="AK20" t="s">
        <v>125</v>
      </c>
      <c r="AL20" t="s">
        <v>1178</v>
      </c>
      <c r="AM20" t="s">
        <v>49</v>
      </c>
      <c r="AN20" t="s">
        <v>1179</v>
      </c>
      <c r="AO20" t="s">
        <v>1180</v>
      </c>
      <c r="AP20" t="s">
        <v>589</v>
      </c>
      <c r="AQ20" t="s">
        <v>222</v>
      </c>
      <c r="AR20" t="s">
        <v>49</v>
      </c>
      <c r="AS20" t="s">
        <v>508</v>
      </c>
      <c r="AT20" t="s">
        <v>1001</v>
      </c>
      <c r="AU20" t="s">
        <v>1181</v>
      </c>
      <c r="AV20" t="s">
        <v>1182</v>
      </c>
      <c r="AW20" t="s">
        <v>1183</v>
      </c>
      <c r="AX20" t="s">
        <v>1184</v>
      </c>
      <c r="AY20" t="s">
        <v>429</v>
      </c>
      <c r="AZ20" t="s">
        <v>262</v>
      </c>
      <c r="BA20" t="s">
        <v>121</v>
      </c>
      <c r="BB20" t="s">
        <v>265</v>
      </c>
      <c r="BC20" t="s">
        <v>1185</v>
      </c>
      <c r="BD20" t="s">
        <v>430</v>
      </c>
      <c r="BE20" t="s">
        <v>263</v>
      </c>
      <c r="BF20" t="s">
        <v>122</v>
      </c>
      <c r="BG20" t="s">
        <v>267</v>
      </c>
      <c r="BH20" t="s">
        <v>1170</v>
      </c>
      <c r="BI20" t="s">
        <v>572</v>
      </c>
      <c r="BJ20" t="s">
        <v>1184</v>
      </c>
      <c r="BK20" t="s">
        <v>1171</v>
      </c>
      <c r="BL20" t="s">
        <v>1186</v>
      </c>
      <c r="BM20" t="s">
        <v>1185</v>
      </c>
      <c r="BN20" t="s">
        <v>49</v>
      </c>
      <c r="BO20" t="s">
        <v>49</v>
      </c>
      <c r="BP20">
        <v>3.81</v>
      </c>
      <c r="BQ20">
        <v>0.45</v>
      </c>
      <c r="BR20">
        <v>-5.31</v>
      </c>
      <c r="BS20">
        <v>4.04</v>
      </c>
      <c r="BT20" t="s">
        <v>694</v>
      </c>
      <c r="BU20" t="s">
        <v>455</v>
      </c>
      <c r="BV20">
        <v>11.88</v>
      </c>
      <c r="BW20">
        <v>9.06</v>
      </c>
      <c r="BX20">
        <v>13.59</v>
      </c>
      <c r="BY20">
        <v>0.66</v>
      </c>
      <c r="BZ20">
        <v>-2.35</v>
      </c>
      <c r="CA20">
        <v>1.92</v>
      </c>
      <c r="CB20">
        <v>2.78</v>
      </c>
      <c r="CC20">
        <v>-17.57</v>
      </c>
      <c r="CD20" t="s">
        <v>1187</v>
      </c>
      <c r="CE20" t="s">
        <v>124</v>
      </c>
      <c r="CF20" s="7">
        <v>9.5238095238095094E-2</v>
      </c>
      <c r="CG20" s="8">
        <v>1.3586850692772696</v>
      </c>
      <c r="CH20" s="7">
        <v>-9.7157619893550873E-2</v>
      </c>
      <c r="CI20" s="7">
        <v>5.7377085089683533E-2</v>
      </c>
      <c r="CJ20" s="7">
        <v>0.37387385964393616</v>
      </c>
      <c r="CK20" s="7">
        <v>0.13846154510974884</v>
      </c>
      <c r="CL20" s="7">
        <v>0.4285714328289032</v>
      </c>
      <c r="CM20" s="8">
        <v>1.3294473886489868</v>
      </c>
      <c r="CN20" s="8">
        <v>-2.2172703742980957</v>
      </c>
      <c r="CO20" s="8">
        <v>-0.54339444637298584</v>
      </c>
      <c r="CP20" s="8">
        <v>-2.6780122891068459E-2</v>
      </c>
      <c r="CQ20" s="8">
        <v>0.89324373006820679</v>
      </c>
      <c r="CR20">
        <v>85.875218266576255</v>
      </c>
      <c r="CS20">
        <v>4.7648824588612433</v>
      </c>
      <c r="CT20">
        <v>0.34188034188034189</v>
      </c>
      <c r="CU20" s="7">
        <v>0.18022526055574417</v>
      </c>
      <c r="CV20" s="8">
        <v>-0.11295076496899129</v>
      </c>
      <c r="CW20">
        <v>0.06</v>
      </c>
      <c r="CX20">
        <v>193.65465249122778</v>
      </c>
      <c r="CY20">
        <v>15823814.509898284</v>
      </c>
      <c r="CZ20">
        <v>0.18022526055574417</v>
      </c>
      <c r="DA20">
        <v>58.676619485044625</v>
      </c>
      <c r="DB20">
        <v>52224469.079733476</v>
      </c>
      <c r="DC20">
        <v>0.17121399752795696</v>
      </c>
      <c r="DD20">
        <v>26.022152400627789</v>
      </c>
      <c r="DE20">
        <v>117759486.33388497</v>
      </c>
      <c r="DF20">
        <v>0.15859822928905487</v>
      </c>
      <c r="DG20">
        <v>13.827344057541069</v>
      </c>
      <c r="DH20">
        <v>221615610.86843583</v>
      </c>
      <c r="DI20">
        <v>0.14418020844459534</v>
      </c>
      <c r="DJ20">
        <v>5.3756245319229974</v>
      </c>
      <c r="DK20">
        <v>570046379.13277066</v>
      </c>
      <c r="DL20">
        <v>0.12615768238902092</v>
      </c>
      <c r="DM20">
        <v>14211900</v>
      </c>
      <c r="DN20">
        <v>0.18022526055574417</v>
      </c>
      <c r="DO20">
        <v>3064355300</v>
      </c>
      <c r="DP20">
        <v>-387869920</v>
      </c>
      <c r="DQ20">
        <v>1315</v>
      </c>
      <c r="DR20">
        <v>-8.4987165317649077E-2</v>
      </c>
      <c r="DS20">
        <v>1.471635834246261</v>
      </c>
      <c r="DT20" s="9">
        <v>-0.20666666666666669</v>
      </c>
      <c r="DU20">
        <v>-0.31666666666666671</v>
      </c>
      <c r="DV20">
        <v>-0.52333333333333343</v>
      </c>
      <c r="DW20">
        <v>6.1366093366093368</v>
      </c>
      <c r="DX20">
        <v>0.33178638297872276</v>
      </c>
      <c r="DY20">
        <v>6.0275659039155212</v>
      </c>
      <c r="DZ20">
        <v>2915</v>
      </c>
      <c r="EA20">
        <v>6.0118409313296617</v>
      </c>
      <c r="EB20">
        <v>6</v>
      </c>
      <c r="EC20">
        <v>0.11290599543364511</v>
      </c>
      <c r="ED20">
        <v>0.55953228244122932</v>
      </c>
      <c r="EE20" s="10">
        <v>1.0014000000000001</v>
      </c>
      <c r="EF20">
        <v>1.01441</v>
      </c>
      <c r="EG20">
        <v>13.201786382978723</v>
      </c>
      <c r="EH20" t="s">
        <v>708</v>
      </c>
      <c r="EI20">
        <v>0</v>
      </c>
      <c r="EJ20">
        <v>0</v>
      </c>
      <c r="EK20" s="12">
        <v>45470</v>
      </c>
      <c r="EL20" s="13">
        <v>-1.1299999999999999</v>
      </c>
      <c r="EM20" s="13">
        <v>-4.8499999999999996</v>
      </c>
      <c r="EN20" s="13">
        <v>0.75</v>
      </c>
      <c r="EO20" s="13">
        <v>3.42</v>
      </c>
      <c r="EP20" s="13">
        <v>-1.58</v>
      </c>
    </row>
    <row r="21" spans="1:146" ht="96" x14ac:dyDescent="0.25">
      <c r="A21" s="6"/>
      <c r="B21" s="6"/>
      <c r="C21" s="6" t="str">
        <f>""&amp;CHAR(10)&amp;Basic_Fundamental_Information_Constructure(F21)&amp;CHAR(10)&amp;Basic_Fundamental_Information_Concatenate("")</f>
        <v xml:space="preserve">
市值21.3435亿, 利润-4457.14万; PE; 平均PE23.78; 平均PEG.68, PB1.05; ROIC3.36%; ROE.11%; 股利率0%; 毛利28.58%; 净利-50.1433%; 上一年度营收增-81.67%, 利润增-21.82%; 当季营收增-81.28%, 利润增-6.83%; 过往5年营收增-34.9%, 利润增-52.13%
Income profile:
</v>
      </c>
      <c r="D21" t="s">
        <v>126</v>
      </c>
      <c r="E21" t="s">
        <v>1188</v>
      </c>
      <c r="F21">
        <v>5.27</v>
      </c>
      <c r="G21">
        <v>-0.75</v>
      </c>
      <c r="H21" t="s">
        <v>1189</v>
      </c>
      <c r="I21">
        <v>2134350000</v>
      </c>
      <c r="K21">
        <v>1.05</v>
      </c>
      <c r="L21" t="s">
        <v>46</v>
      </c>
      <c r="M21" t="s">
        <v>59</v>
      </c>
      <c r="N21" t="s">
        <v>1190</v>
      </c>
      <c r="O21" t="s">
        <v>1191</v>
      </c>
      <c r="P21">
        <v>-81.28</v>
      </c>
      <c r="Q21" t="s">
        <v>1192</v>
      </c>
      <c r="R21">
        <v>-6090018</v>
      </c>
      <c r="S21" s="5">
        <v>-6.83E-2</v>
      </c>
      <c r="T21" t="s">
        <v>1193</v>
      </c>
      <c r="U21">
        <v>404998500</v>
      </c>
      <c r="V21">
        <v>405000000</v>
      </c>
      <c r="W21">
        <v>1.1200000000000001</v>
      </c>
      <c r="X21">
        <v>0</v>
      </c>
      <c r="Y21">
        <v>-160.26</v>
      </c>
      <c r="Z21" t="s">
        <v>1194</v>
      </c>
      <c r="AA21" t="s">
        <v>1195</v>
      </c>
      <c r="AB21" t="s">
        <v>1196</v>
      </c>
      <c r="AC21" t="s">
        <v>1197</v>
      </c>
      <c r="AD21" t="s">
        <v>49</v>
      </c>
      <c r="AE21">
        <v>-4551203</v>
      </c>
      <c r="AF21" t="s">
        <v>1198</v>
      </c>
      <c r="AG21">
        <v>1664.7</v>
      </c>
      <c r="AH21" t="s">
        <v>1199</v>
      </c>
      <c r="AI21" t="s">
        <v>510</v>
      </c>
      <c r="AJ21" t="s">
        <v>1200</v>
      </c>
      <c r="AK21" t="s">
        <v>1201</v>
      </c>
      <c r="AL21" t="s">
        <v>1202</v>
      </c>
      <c r="AM21" t="s">
        <v>49</v>
      </c>
      <c r="AN21" t="s">
        <v>1203</v>
      </c>
      <c r="AO21" t="s">
        <v>1204</v>
      </c>
      <c r="AP21" t="s">
        <v>49</v>
      </c>
      <c r="AQ21" t="s">
        <v>1205</v>
      </c>
      <c r="AR21" t="s">
        <v>49</v>
      </c>
      <c r="AS21" t="s">
        <v>1206</v>
      </c>
      <c r="AT21" t="s">
        <v>49</v>
      </c>
      <c r="AU21" t="s">
        <v>1207</v>
      </c>
      <c r="AV21" t="s">
        <v>1208</v>
      </c>
      <c r="AW21" t="s">
        <v>1209</v>
      </c>
      <c r="AX21" t="s">
        <v>611</v>
      </c>
      <c r="AY21" t="s">
        <v>388</v>
      </c>
      <c r="AZ21" t="s">
        <v>264</v>
      </c>
      <c r="BA21" t="s">
        <v>127</v>
      </c>
      <c r="BB21" t="s">
        <v>203</v>
      </c>
      <c r="BC21" t="s">
        <v>1210</v>
      </c>
      <c r="BD21" t="s">
        <v>431</v>
      </c>
      <c r="BE21" t="s">
        <v>268</v>
      </c>
      <c r="BF21" t="s">
        <v>128</v>
      </c>
      <c r="BG21" t="s">
        <v>270</v>
      </c>
      <c r="BH21" t="s">
        <v>1192</v>
      </c>
      <c r="BI21" t="s">
        <v>1211</v>
      </c>
      <c r="BJ21" t="s">
        <v>611</v>
      </c>
      <c r="BK21" t="s">
        <v>1193</v>
      </c>
      <c r="BL21" t="s">
        <v>1212</v>
      </c>
      <c r="BM21" t="s">
        <v>1210</v>
      </c>
      <c r="BN21" t="s">
        <v>49</v>
      </c>
      <c r="BO21" t="s">
        <v>49</v>
      </c>
      <c r="BP21">
        <v>3.36</v>
      </c>
      <c r="BQ21">
        <v>-1.21</v>
      </c>
      <c r="BR21">
        <v>-2.16</v>
      </c>
      <c r="BS21">
        <v>3.7</v>
      </c>
      <c r="BT21" t="s">
        <v>685</v>
      </c>
      <c r="BU21" t="s">
        <v>455</v>
      </c>
      <c r="BV21">
        <v>28.58</v>
      </c>
      <c r="BW21">
        <v>23.79</v>
      </c>
      <c r="BX21">
        <v>33.369999999999997</v>
      </c>
      <c r="BY21">
        <v>-142.96</v>
      </c>
      <c r="BZ21">
        <v>-21.7</v>
      </c>
      <c r="CA21">
        <v>14.23</v>
      </c>
      <c r="CB21">
        <v>-9.76</v>
      </c>
      <c r="CC21">
        <v>-13.46</v>
      </c>
      <c r="CD21" t="s">
        <v>1213</v>
      </c>
      <c r="CE21" t="s">
        <v>1214</v>
      </c>
      <c r="CF21" s="7">
        <v>-0.81284807829493255</v>
      </c>
      <c r="CG21" s="8">
        <v>-6.8255538599168553E-2</v>
      </c>
      <c r="CH21" s="7">
        <v>-0.81671947240829468</v>
      </c>
      <c r="CI21" s="7">
        <v>-0.52196383476257324</v>
      </c>
      <c r="CJ21" s="7">
        <v>-0.39436620473861694</v>
      </c>
      <c r="CK21" s="7">
        <v>9.2307694256305695E-2</v>
      </c>
      <c r="CL21" s="7">
        <v>-0.10413476079702377</v>
      </c>
      <c r="CM21" s="8">
        <v>-0.2182338535785675</v>
      </c>
      <c r="CN21" s="8">
        <v>-1.6564261913299561</v>
      </c>
      <c r="CO21" s="8">
        <v>-0.70509791374206543</v>
      </c>
      <c r="CP21" s="8">
        <v>5.000000074505806E-2</v>
      </c>
      <c r="CQ21" s="8">
        <v>-7.6923079788684845E-2</v>
      </c>
      <c r="CR21">
        <v>23.777605554773661</v>
      </c>
      <c r="CS21">
        <v>0.68135494075726832</v>
      </c>
      <c r="CT21">
        <v>0</v>
      </c>
      <c r="CU21" s="7">
        <v>-0.34897531569004059</v>
      </c>
      <c r="CV21" s="8">
        <v>-0.52133620753884313</v>
      </c>
      <c r="CW21">
        <v>0.06</v>
      </c>
      <c r="CX21" t="e">
        <v>#VALUE!</v>
      </c>
      <c r="CY21" t="s">
        <v>463</v>
      </c>
      <c r="CZ21">
        <v>-0.34897531569004059</v>
      </c>
      <c r="DA21" t="e">
        <v>#VALUE!</v>
      </c>
      <c r="DB21" t="s">
        <v>464</v>
      </c>
      <c r="DC21">
        <v>-0.33152654990553854</v>
      </c>
      <c r="DD21" t="e">
        <v>#VALUE!</v>
      </c>
      <c r="DE21" t="s">
        <v>464</v>
      </c>
      <c r="DF21">
        <v>-0.3070982778072357</v>
      </c>
      <c r="DG21" t="e">
        <v>#VALUE!</v>
      </c>
      <c r="DH21" t="s">
        <v>464</v>
      </c>
      <c r="DI21">
        <v>-0.27918025255203249</v>
      </c>
      <c r="DJ21" t="e">
        <v>#VALUE!</v>
      </c>
      <c r="DK21" t="s">
        <v>464</v>
      </c>
      <c r="DL21">
        <v>-0.24428272098302839</v>
      </c>
      <c r="DM21">
        <v>-44571400</v>
      </c>
      <c r="DN21">
        <v>-0.34897531569004059</v>
      </c>
      <c r="DO21">
        <v>313350000.00000024</v>
      </c>
      <c r="DP21">
        <v>707418560</v>
      </c>
      <c r="DQ21">
        <v>1412</v>
      </c>
      <c r="DR21">
        <v>-0.46387276260489196</v>
      </c>
      <c r="DS21">
        <v>0.45308066893967458</v>
      </c>
      <c r="DT21" s="9">
        <v>-1.0566666666666666</v>
      </c>
      <c r="DU21">
        <v>-2.2449999999999997</v>
      </c>
      <c r="DV21">
        <v>-3.3016666666666663</v>
      </c>
      <c r="DW21">
        <v>-9.7251114413075772</v>
      </c>
      <c r="DX21">
        <v>0.4222981309271705</v>
      </c>
      <c r="DY21">
        <v>-9.1394375748773538</v>
      </c>
      <c r="DZ21">
        <v>4988</v>
      </c>
      <c r="EA21">
        <v>-9.0033290379912003</v>
      </c>
      <c r="EB21">
        <v>9</v>
      </c>
      <c r="EC21">
        <v>1.0313827160493828E-2</v>
      </c>
      <c r="ED21">
        <v>5.3634567901234567E-2</v>
      </c>
      <c r="EE21" s="10">
        <v>-2.0384099999999998</v>
      </c>
      <c r="EF21">
        <v>-2.0142099999999998</v>
      </c>
      <c r="EG21">
        <v>23.192298130927171</v>
      </c>
      <c r="EH21" t="s">
        <v>916</v>
      </c>
      <c r="EI21">
        <v>0</v>
      </c>
      <c r="EJ21">
        <v>0</v>
      </c>
      <c r="EK21" s="12">
        <v>45470</v>
      </c>
      <c r="EL21" s="13">
        <v>0.69</v>
      </c>
      <c r="EM21" s="13">
        <v>-3.26</v>
      </c>
      <c r="EN21" s="13">
        <v>-0.53</v>
      </c>
      <c r="EO21" s="13">
        <v>3.39</v>
      </c>
      <c r="EP21" s="13">
        <v>2.42</v>
      </c>
    </row>
    <row r="22" spans="1:146" ht="96" x14ac:dyDescent="0.25">
      <c r="A22" s="6"/>
      <c r="B22" s="6"/>
      <c r="C22" s="6" t="str">
        <f>""&amp;CHAR(10)&amp;Basic_Fundamental_Information_Constructure(F22)&amp;CHAR(10)&amp;Basic_Fundamental_Information_Concatenate("")</f>
        <v xml:space="preserve">
市值27.716249亿, 利润1.54亿; PE15.53; 平均PE23.27; 平均PEG3.89, PB1.23; ROIC3.5033%; ROE3.53%; 股利率1.0381%; 毛利11.9767%; 净利3.4067%; 上一年度营收增5.74%, 利润增804.19%; 当季营收增-8.78%, 利润增101.47%; 过往5年营收增5.99%, 利润增201.78%
Income profile:
</v>
      </c>
      <c r="D22" t="s">
        <v>131</v>
      </c>
      <c r="E22" t="s">
        <v>132</v>
      </c>
      <c r="F22">
        <v>2.89</v>
      </c>
      <c r="G22">
        <v>1.76</v>
      </c>
      <c r="H22" t="s">
        <v>1215</v>
      </c>
      <c r="I22">
        <v>2771624900</v>
      </c>
      <c r="J22">
        <v>15.53</v>
      </c>
      <c r="K22">
        <v>1.23</v>
      </c>
      <c r="L22" t="s">
        <v>46</v>
      </c>
      <c r="M22" t="s">
        <v>1216</v>
      </c>
      <c r="N22" t="s">
        <v>1217</v>
      </c>
      <c r="O22" t="s">
        <v>1218</v>
      </c>
      <c r="P22">
        <v>-8.82</v>
      </c>
      <c r="Q22" t="s">
        <v>1219</v>
      </c>
      <c r="R22">
        <v>47985293</v>
      </c>
      <c r="S22" s="5">
        <v>1.0149999999999999</v>
      </c>
      <c r="T22" t="s">
        <v>403</v>
      </c>
      <c r="U22">
        <v>576969530</v>
      </c>
      <c r="V22">
        <v>959039760</v>
      </c>
      <c r="W22">
        <v>1.74</v>
      </c>
      <c r="X22">
        <v>0.17</v>
      </c>
      <c r="Y22">
        <v>6.6</v>
      </c>
      <c r="Z22" t="s">
        <v>1220</v>
      </c>
      <c r="AA22" t="s">
        <v>1221</v>
      </c>
      <c r="AB22" t="s">
        <v>1222</v>
      </c>
      <c r="AC22" t="s">
        <v>1223</v>
      </c>
      <c r="AD22" t="s">
        <v>49</v>
      </c>
      <c r="AE22">
        <v>12507043</v>
      </c>
      <c r="AF22" t="s">
        <v>1224</v>
      </c>
      <c r="AG22" t="s">
        <v>1225</v>
      </c>
      <c r="AH22" t="s">
        <v>1226</v>
      </c>
      <c r="AI22" t="s">
        <v>606</v>
      </c>
      <c r="AJ22" t="s">
        <v>1227</v>
      </c>
      <c r="AK22" t="s">
        <v>49</v>
      </c>
      <c r="AL22" t="s">
        <v>1228</v>
      </c>
      <c r="AM22" t="s">
        <v>49</v>
      </c>
      <c r="AN22" t="s">
        <v>705</v>
      </c>
      <c r="AO22" t="s">
        <v>116</v>
      </c>
      <c r="AP22" t="s">
        <v>1229</v>
      </c>
      <c r="AQ22" t="s">
        <v>606</v>
      </c>
      <c r="AR22" t="s">
        <v>49</v>
      </c>
      <c r="AS22" t="s">
        <v>1230</v>
      </c>
      <c r="AT22" t="s">
        <v>1231</v>
      </c>
      <c r="AU22" t="s">
        <v>1232</v>
      </c>
      <c r="AV22" t="s">
        <v>1233</v>
      </c>
      <c r="AW22" t="s">
        <v>579</v>
      </c>
      <c r="AX22" t="s">
        <v>1234</v>
      </c>
      <c r="AY22" t="s">
        <v>432</v>
      </c>
      <c r="AZ22" t="s">
        <v>272</v>
      </c>
      <c r="BA22" t="s">
        <v>133</v>
      </c>
      <c r="BB22" t="s">
        <v>274</v>
      </c>
      <c r="BC22" t="s">
        <v>1235</v>
      </c>
      <c r="BD22" t="s">
        <v>52</v>
      </c>
      <c r="BE22" t="s">
        <v>273</v>
      </c>
      <c r="BF22" t="s">
        <v>134</v>
      </c>
      <c r="BG22" t="s">
        <v>87</v>
      </c>
      <c r="BH22" t="s">
        <v>1219</v>
      </c>
      <c r="BI22" t="s">
        <v>1236</v>
      </c>
      <c r="BJ22" t="s">
        <v>1234</v>
      </c>
      <c r="BK22" t="s">
        <v>403</v>
      </c>
      <c r="BL22" t="s">
        <v>1237</v>
      </c>
      <c r="BM22" t="s">
        <v>1235</v>
      </c>
      <c r="BN22">
        <v>2.5499999999999998</v>
      </c>
      <c r="BO22">
        <v>1.41</v>
      </c>
      <c r="BP22">
        <v>6.55</v>
      </c>
      <c r="BQ22">
        <v>2.4500000000000002</v>
      </c>
      <c r="BR22">
        <v>0.72</v>
      </c>
      <c r="BS22">
        <v>7.42</v>
      </c>
      <c r="BT22" t="s">
        <v>689</v>
      </c>
      <c r="BU22" t="s">
        <v>455</v>
      </c>
      <c r="BV22">
        <v>14.72</v>
      </c>
      <c r="BW22">
        <v>8.84</v>
      </c>
      <c r="BX22">
        <v>12.37</v>
      </c>
      <c r="BY22">
        <v>4.9000000000000004</v>
      </c>
      <c r="BZ22">
        <v>0.56999999999999995</v>
      </c>
      <c r="CA22">
        <v>4.75</v>
      </c>
      <c r="CB22">
        <v>1.4</v>
      </c>
      <c r="CC22">
        <v>-14.5</v>
      </c>
      <c r="CD22" t="s">
        <v>1238</v>
      </c>
      <c r="CE22" t="s">
        <v>525</v>
      </c>
      <c r="CF22" s="7">
        <v>-8.7829360100376411E-2</v>
      </c>
      <c r="CG22" s="8">
        <v>1.0147158380007897</v>
      </c>
      <c r="CH22" s="7">
        <v>5.7363323867321014E-2</v>
      </c>
      <c r="CI22" s="7">
        <v>-0.13644266128540039</v>
      </c>
      <c r="CJ22" s="7">
        <v>0.73293173313140869</v>
      </c>
      <c r="CK22" s="7">
        <v>-0.24085365235805511</v>
      </c>
      <c r="CL22" s="7">
        <v>-0.1135135143995285</v>
      </c>
      <c r="CM22" s="8">
        <v>8.0419092178344727</v>
      </c>
      <c r="CN22" s="8">
        <v>-0.89614748954772949</v>
      </c>
      <c r="CO22" s="8">
        <v>3.7482554912567139</v>
      </c>
      <c r="CP22" s="8">
        <v>-0.79919183254241943</v>
      </c>
      <c r="CQ22" s="8">
        <v>-5.780346691608429E-3</v>
      </c>
      <c r="CR22">
        <v>23.272360695399254</v>
      </c>
      <c r="CS22">
        <v>3.8853937432149888</v>
      </c>
      <c r="CT22">
        <v>1.0380622837370241</v>
      </c>
      <c r="CU22" s="7">
        <v>5.9897045791149142E-2</v>
      </c>
      <c r="CV22" s="8">
        <v>2.017809008061886</v>
      </c>
      <c r="CW22">
        <v>0.06</v>
      </c>
      <c r="CX22">
        <v>14.823679384147399</v>
      </c>
      <c r="CY22">
        <v>153985042.50173298</v>
      </c>
      <c r="CZ22">
        <v>5.9897045791149142E-2</v>
      </c>
      <c r="DA22">
        <v>4.969737693228458</v>
      </c>
      <c r="DB22">
        <v>459304905.18849766</v>
      </c>
      <c r="DC22">
        <v>5.6902193501591682E-2</v>
      </c>
      <c r="DD22">
        <v>2.5305981494915062</v>
      </c>
      <c r="DE22">
        <v>902010024.96530974</v>
      </c>
      <c r="DF22">
        <v>5.2709400296211247E-2</v>
      </c>
      <c r="DG22">
        <v>1.5778341614397653</v>
      </c>
      <c r="DH22">
        <v>1446682392.7282174</v>
      </c>
      <c r="DI22">
        <v>4.7917636632919314E-2</v>
      </c>
      <c r="DJ22">
        <v>0.88341919216783638</v>
      </c>
      <c r="DK22">
        <v>2583852513.3222775</v>
      </c>
      <c r="DL22">
        <v>4.19279320538044E-2</v>
      </c>
      <c r="DM22">
        <v>154000000</v>
      </c>
      <c r="DN22">
        <v>5.9897045791149142E-2</v>
      </c>
      <c r="DO22">
        <v>2282624900</v>
      </c>
      <c r="DP22">
        <v>351702159.99999988</v>
      </c>
      <c r="DQ22">
        <v>1428</v>
      </c>
      <c r="DR22">
        <v>-0.14772640589152555</v>
      </c>
      <c r="DS22">
        <v>-1.0030931700610963</v>
      </c>
      <c r="DT22" s="9">
        <v>-0.28999999999999998</v>
      </c>
      <c r="DU22">
        <v>0.57666666666666666</v>
      </c>
      <c r="DV22">
        <v>0.28666666666666668</v>
      </c>
      <c r="DW22">
        <v>-2.145</v>
      </c>
      <c r="DX22">
        <v>0.38213030303030138</v>
      </c>
      <c r="DY22">
        <v>-2.0191588939393941</v>
      </c>
      <c r="DZ22">
        <v>1080</v>
      </c>
      <c r="EA22">
        <v>-2.0151096560813615</v>
      </c>
      <c r="EB22">
        <v>2</v>
      </c>
      <c r="EC22">
        <v>4.5465268301285028E-2</v>
      </c>
      <c r="ED22">
        <v>0.34409418020374882</v>
      </c>
      <c r="EE22" s="10">
        <v>-3.0339100000000001</v>
      </c>
      <c r="EF22">
        <v>-3.0478100000000001</v>
      </c>
      <c r="EG22">
        <v>25.132130303030301</v>
      </c>
      <c r="EH22" t="s">
        <v>1029</v>
      </c>
      <c r="EI22">
        <v>0</v>
      </c>
      <c r="EJ22">
        <v>1</v>
      </c>
      <c r="EK22" s="12">
        <v>45470</v>
      </c>
      <c r="EL22" s="13">
        <v>0.35</v>
      </c>
      <c r="EM22" s="13">
        <v>-5.17</v>
      </c>
      <c r="EN22" s="13">
        <v>1.0900000000000001</v>
      </c>
      <c r="EO22" s="13">
        <v>3.24</v>
      </c>
      <c r="EP22" s="13">
        <v>-1.39</v>
      </c>
    </row>
    <row r="23" spans="1:146" ht="96" x14ac:dyDescent="0.25">
      <c r="A23" s="6"/>
      <c r="B23" s="6"/>
      <c r="C23" s="6" t="str">
        <f>""&amp;CHAR(10)&amp;Basic_Fundamental_Information_Constructure(F23)&amp;CHAR(10)&amp;Basic_Fundamental_Information_Concatenate("")</f>
        <v xml:space="preserve">
市值13.891388亿, 利润5013.10万; PE23; 平均PE28.76; 平均PEG3.83, PB1.1; ROIC2.13%; ROE1.45%; 股利率1.2739%; 毛利12.6333%; 净利1.6867%; 上一年度营收增-2.54%, 利润增1590.88%; 当季营收增1.64%, 利润增148.44%; 过往5年营收增7.51%, 利润增280.54%
Income profile:
</v>
      </c>
      <c r="D23" t="s">
        <v>275</v>
      </c>
      <c r="E23" t="s">
        <v>276</v>
      </c>
      <c r="F23">
        <v>7.85</v>
      </c>
      <c r="G23">
        <v>1.29</v>
      </c>
      <c r="H23" t="s">
        <v>1239</v>
      </c>
      <c r="I23">
        <v>1389138800</v>
      </c>
      <c r="J23">
        <v>23</v>
      </c>
      <c r="K23">
        <v>1.1000000000000001</v>
      </c>
      <c r="L23" t="s">
        <v>46</v>
      </c>
      <c r="M23" t="s">
        <v>1240</v>
      </c>
      <c r="N23" t="s">
        <v>578</v>
      </c>
      <c r="O23" t="s">
        <v>1241</v>
      </c>
      <c r="P23">
        <v>1.4</v>
      </c>
      <c r="Q23" t="s">
        <v>593</v>
      </c>
      <c r="R23">
        <v>17164438</v>
      </c>
      <c r="S23" s="5">
        <v>1.484</v>
      </c>
      <c r="T23" t="s">
        <v>1242</v>
      </c>
      <c r="U23">
        <v>116531170</v>
      </c>
      <c r="V23">
        <v>176960360</v>
      </c>
      <c r="W23">
        <v>1.33</v>
      </c>
      <c r="X23">
        <v>0.19</v>
      </c>
      <c r="Y23">
        <v>5.6</v>
      </c>
      <c r="Z23" t="s">
        <v>1243</v>
      </c>
      <c r="AA23" t="s">
        <v>1244</v>
      </c>
      <c r="AB23" t="s">
        <v>1245</v>
      </c>
      <c r="AC23" t="s">
        <v>1246</v>
      </c>
      <c r="AD23" t="s">
        <v>49</v>
      </c>
      <c r="AE23">
        <v>1009845</v>
      </c>
      <c r="AF23" t="s">
        <v>1247</v>
      </c>
      <c r="AG23">
        <v>3503.51</v>
      </c>
      <c r="AH23" t="s">
        <v>1248</v>
      </c>
      <c r="AI23" t="s">
        <v>1249</v>
      </c>
      <c r="AJ23" t="s">
        <v>1250</v>
      </c>
      <c r="AK23" t="s">
        <v>1251</v>
      </c>
      <c r="AL23" t="s">
        <v>1252</v>
      </c>
      <c r="AM23" t="s">
        <v>49</v>
      </c>
      <c r="AN23" t="s">
        <v>1253</v>
      </c>
      <c r="AO23" t="s">
        <v>531</v>
      </c>
      <c r="AP23" t="s">
        <v>1254</v>
      </c>
      <c r="AQ23" t="s">
        <v>1255</v>
      </c>
      <c r="AR23" t="s">
        <v>49</v>
      </c>
      <c r="AS23" t="s">
        <v>734</v>
      </c>
      <c r="AT23" t="s">
        <v>49</v>
      </c>
      <c r="AU23" t="s">
        <v>1256</v>
      </c>
      <c r="AV23" t="s">
        <v>1257</v>
      </c>
      <c r="AW23" t="s">
        <v>1258</v>
      </c>
      <c r="AX23" t="s">
        <v>1259</v>
      </c>
      <c r="AY23" t="s">
        <v>433</v>
      </c>
      <c r="AZ23" t="s">
        <v>277</v>
      </c>
      <c r="BA23" t="s">
        <v>279</v>
      </c>
      <c r="BB23" t="s">
        <v>280</v>
      </c>
      <c r="BC23" t="s">
        <v>1260</v>
      </c>
      <c r="BD23" t="s">
        <v>434</v>
      </c>
      <c r="BE23" t="s">
        <v>278</v>
      </c>
      <c r="BF23" t="s">
        <v>281</v>
      </c>
      <c r="BG23" t="s">
        <v>282</v>
      </c>
      <c r="BH23" t="s">
        <v>593</v>
      </c>
      <c r="BI23" t="s">
        <v>385</v>
      </c>
      <c r="BJ23" t="s">
        <v>1259</v>
      </c>
      <c r="BK23" t="s">
        <v>1242</v>
      </c>
      <c r="BL23" t="s">
        <v>1261</v>
      </c>
      <c r="BM23" t="s">
        <v>1260</v>
      </c>
      <c r="BN23">
        <v>2.16</v>
      </c>
      <c r="BO23" t="s">
        <v>49</v>
      </c>
      <c r="BP23">
        <v>2.1</v>
      </c>
      <c r="BQ23">
        <v>2.5</v>
      </c>
      <c r="BR23">
        <v>-0.28000000000000003</v>
      </c>
      <c r="BS23">
        <v>2.13</v>
      </c>
      <c r="BT23" t="s">
        <v>690</v>
      </c>
      <c r="BU23" t="s">
        <v>455</v>
      </c>
      <c r="BV23">
        <v>14.86</v>
      </c>
      <c r="BW23">
        <v>11.14</v>
      </c>
      <c r="BX23">
        <v>11.9</v>
      </c>
      <c r="BY23">
        <v>3.28</v>
      </c>
      <c r="BZ23">
        <v>-0.19</v>
      </c>
      <c r="CA23">
        <v>1.97</v>
      </c>
      <c r="CB23">
        <v>-1.51</v>
      </c>
      <c r="CC23">
        <v>-14.11</v>
      </c>
      <c r="CD23" t="s">
        <v>1262</v>
      </c>
      <c r="CE23" t="s">
        <v>1263</v>
      </c>
      <c r="CF23" s="7">
        <v>1.6393442622950821E-2</v>
      </c>
      <c r="CG23" s="8">
        <v>1.4843952003936951</v>
      </c>
      <c r="CH23" s="7">
        <v>-2.5447087362408638E-2</v>
      </c>
      <c r="CI23" s="7">
        <v>0.12800626456737518</v>
      </c>
      <c r="CJ23" s="7">
        <v>0.26995068788528442</v>
      </c>
      <c r="CK23" s="7">
        <v>1.0956175625324249E-2</v>
      </c>
      <c r="CL23" s="7">
        <v>-7.9051386564970016E-3</v>
      </c>
      <c r="CM23" s="8">
        <v>15.908847808837891</v>
      </c>
      <c r="CN23" s="8">
        <v>-1.1296520233154297</v>
      </c>
      <c r="CO23" s="8">
        <v>-0.55949306488037109</v>
      </c>
      <c r="CP23" s="8">
        <v>-0.28800460696220398</v>
      </c>
      <c r="CQ23" s="8">
        <v>9.5159262418746948E-2</v>
      </c>
      <c r="CR23">
        <v>28.76329764105169</v>
      </c>
      <c r="CS23">
        <v>3.8293786018927811</v>
      </c>
      <c r="CT23">
        <v>1.2738853503184715</v>
      </c>
      <c r="CU23" s="7">
        <v>7.5112180411815638E-2</v>
      </c>
      <c r="CV23" s="8">
        <v>2.8053714752197267</v>
      </c>
      <c r="CW23">
        <v>0.06</v>
      </c>
      <c r="CX23">
        <v>10.111744669290982</v>
      </c>
      <c r="CY23">
        <v>50845706.336061053</v>
      </c>
      <c r="CZ23">
        <v>7.5112180411815638E-2</v>
      </c>
      <c r="DA23">
        <v>3.3464163357782395</v>
      </c>
      <c r="DB23">
        <v>153638623.65333343</v>
      </c>
      <c r="DC23">
        <v>7.1356571391224852E-2</v>
      </c>
      <c r="DD23">
        <v>1.6752571084413297</v>
      </c>
      <c r="DE23">
        <v>306901428.68777806</v>
      </c>
      <c r="DF23">
        <v>6.6098718762397757E-2</v>
      </c>
      <c r="DG23">
        <v>1.0251130829272002</v>
      </c>
      <c r="DH23">
        <v>501543496.5788182</v>
      </c>
      <c r="DI23">
        <v>6.0089744329452514E-2</v>
      </c>
      <c r="DJ23">
        <v>0.55160339242873879</v>
      </c>
      <c r="DK23">
        <v>932080561.97083879</v>
      </c>
      <c r="DL23">
        <v>5.2578526288270942E-2</v>
      </c>
      <c r="DM23">
        <v>50131000</v>
      </c>
      <c r="DN23">
        <v>7.5112180411815638E-2</v>
      </c>
      <c r="DO23">
        <v>514138800</v>
      </c>
      <c r="DP23">
        <v>508436460</v>
      </c>
      <c r="DQ23">
        <v>1460</v>
      </c>
      <c r="DR23">
        <v>-5.8718737788864814E-2</v>
      </c>
      <c r="DS23">
        <v>-1.3209762748260316</v>
      </c>
      <c r="DT23" s="9">
        <v>-0.3066666666666667</v>
      </c>
      <c r="DU23">
        <v>-0.22666666666666666</v>
      </c>
      <c r="DV23">
        <v>-0.53333333333333333</v>
      </c>
      <c r="DW23">
        <v>-2.1410999999999998</v>
      </c>
      <c r="DX23">
        <v>0.35195634486389094</v>
      </c>
      <c r="DY23">
        <v>-2.0186190402602948</v>
      </c>
      <c r="DZ23">
        <v>2930</v>
      </c>
      <c r="EA23">
        <v>-2.0079431522049789</v>
      </c>
      <c r="EB23">
        <v>2</v>
      </c>
      <c r="EC23">
        <v>5.8406300710509403E-2</v>
      </c>
      <c r="ED23">
        <v>0.44261833554136076</v>
      </c>
      <c r="EE23" s="10">
        <v>-1.038</v>
      </c>
      <c r="EF23">
        <v>-1.0244</v>
      </c>
      <c r="EG23">
        <v>22.131956344863891</v>
      </c>
      <c r="EH23" t="s">
        <v>760</v>
      </c>
      <c r="EI23">
        <v>0</v>
      </c>
      <c r="EJ23">
        <v>0</v>
      </c>
      <c r="EK23" s="12">
        <v>45470</v>
      </c>
      <c r="EL23" s="13">
        <v>-1.84</v>
      </c>
      <c r="EM23" s="13">
        <v>-5.51</v>
      </c>
      <c r="EN23" s="13">
        <v>1.59</v>
      </c>
      <c r="EO23" s="13">
        <v>5.22</v>
      </c>
      <c r="EP23" s="13">
        <v>-1.36</v>
      </c>
    </row>
    <row r="24" spans="1:146" ht="96" x14ac:dyDescent="0.25">
      <c r="A24" s="6"/>
      <c r="B24" s="6"/>
      <c r="C24" s="6" t="str">
        <f>""&amp;CHAR(10)&amp;Basic_Fundamental_Information_Constructure(F24)&amp;CHAR(10)&amp;Basic_Fundamental_Information_Concatenate("")</f>
        <v xml:space="preserve">
市值19.786亿, 利润1.11亿; PE17.73; 平均PE19.33; 平均PEG2.67, PB1.31; ROIC7.0267%; ROE7.9033%; 股利率2.6281%; 毛利26.1%; 净利15.64%; 上一年度营收增4.74%, 利润增5.71%; 当季营收增16.46%, 利润增2.84%; 过往5年营收增7.24%, 利润增7.41%
Income profile:
</v>
      </c>
      <c r="D24" t="s">
        <v>283</v>
      </c>
      <c r="E24" t="s">
        <v>284</v>
      </c>
      <c r="F24">
        <v>7.61</v>
      </c>
      <c r="G24">
        <v>1.6</v>
      </c>
      <c r="H24" t="s">
        <v>1264</v>
      </c>
      <c r="I24">
        <v>1978600000</v>
      </c>
      <c r="J24">
        <v>17.73</v>
      </c>
      <c r="K24">
        <v>1.31</v>
      </c>
      <c r="L24" t="s">
        <v>46</v>
      </c>
      <c r="M24" t="s">
        <v>469</v>
      </c>
      <c r="N24" t="s">
        <v>1265</v>
      </c>
      <c r="O24" t="s">
        <v>1266</v>
      </c>
      <c r="P24">
        <v>16.55</v>
      </c>
      <c r="Q24" t="s">
        <v>1267</v>
      </c>
      <c r="R24">
        <v>20039891</v>
      </c>
      <c r="S24" s="5">
        <v>2.8400000000000002E-2</v>
      </c>
      <c r="T24" t="s">
        <v>111</v>
      </c>
      <c r="U24">
        <v>132688150</v>
      </c>
      <c r="V24">
        <v>260000000</v>
      </c>
      <c r="W24">
        <v>1.1100000000000001</v>
      </c>
      <c r="X24">
        <v>0.11</v>
      </c>
      <c r="Y24">
        <v>10.5</v>
      </c>
      <c r="Z24" t="s">
        <v>509</v>
      </c>
      <c r="AA24" t="s">
        <v>357</v>
      </c>
      <c r="AB24" t="s">
        <v>1268</v>
      </c>
      <c r="AC24" t="s">
        <v>1269</v>
      </c>
      <c r="AD24" t="s">
        <v>49</v>
      </c>
      <c r="AE24">
        <v>646436</v>
      </c>
      <c r="AF24" t="s">
        <v>50</v>
      </c>
      <c r="AG24">
        <v>3436.41</v>
      </c>
      <c r="AH24" t="s">
        <v>1270</v>
      </c>
      <c r="AI24" t="s">
        <v>841</v>
      </c>
      <c r="AJ24" t="s">
        <v>1271</v>
      </c>
      <c r="AK24" t="s">
        <v>1272</v>
      </c>
      <c r="AL24" t="s">
        <v>1273</v>
      </c>
      <c r="AM24" t="s">
        <v>49</v>
      </c>
      <c r="AN24" t="s">
        <v>1274</v>
      </c>
      <c r="AO24" t="s">
        <v>1275</v>
      </c>
      <c r="AP24" t="s">
        <v>49</v>
      </c>
      <c r="AQ24" t="s">
        <v>1276</v>
      </c>
      <c r="AR24" t="s">
        <v>49</v>
      </c>
      <c r="AS24" t="s">
        <v>403</v>
      </c>
      <c r="AT24" t="s">
        <v>49</v>
      </c>
      <c r="AU24" t="s">
        <v>1277</v>
      </c>
      <c r="AV24" t="s">
        <v>1278</v>
      </c>
      <c r="AW24" t="s">
        <v>1279</v>
      </c>
      <c r="AX24" t="s">
        <v>1046</v>
      </c>
      <c r="AY24" t="s">
        <v>368</v>
      </c>
      <c r="AZ24" t="s">
        <v>285</v>
      </c>
      <c r="BA24" t="s">
        <v>80</v>
      </c>
      <c r="BB24" t="s">
        <v>287</v>
      </c>
      <c r="BC24" t="s">
        <v>169</v>
      </c>
      <c r="BD24" t="s">
        <v>70</v>
      </c>
      <c r="BE24" t="s">
        <v>286</v>
      </c>
      <c r="BF24" t="s">
        <v>83</v>
      </c>
      <c r="BG24" t="s">
        <v>289</v>
      </c>
      <c r="BH24" t="s">
        <v>1267</v>
      </c>
      <c r="BI24" t="s">
        <v>52</v>
      </c>
      <c r="BJ24" t="s">
        <v>1046</v>
      </c>
      <c r="BK24" t="s">
        <v>111</v>
      </c>
      <c r="BL24" t="s">
        <v>1280</v>
      </c>
      <c r="BM24" t="s">
        <v>169</v>
      </c>
      <c r="BN24">
        <v>6.07</v>
      </c>
      <c r="BO24">
        <v>6.78</v>
      </c>
      <c r="BP24">
        <v>8.23</v>
      </c>
      <c r="BQ24">
        <v>6.54</v>
      </c>
      <c r="BR24">
        <v>7.72</v>
      </c>
      <c r="BS24">
        <v>9.4499999999999993</v>
      </c>
      <c r="BT24" t="s">
        <v>1281</v>
      </c>
      <c r="BU24" t="s">
        <v>455</v>
      </c>
      <c r="BV24">
        <v>26.21</v>
      </c>
      <c r="BW24">
        <v>23.89</v>
      </c>
      <c r="BX24">
        <v>28.2</v>
      </c>
      <c r="BY24">
        <v>14.36</v>
      </c>
      <c r="BZ24">
        <v>14.16</v>
      </c>
      <c r="CA24">
        <v>18.399999999999999</v>
      </c>
      <c r="CB24">
        <v>-5.47</v>
      </c>
      <c r="CC24">
        <v>-9.3000000000000007</v>
      </c>
      <c r="CD24" t="s">
        <v>1282</v>
      </c>
      <c r="CE24" t="s">
        <v>513</v>
      </c>
      <c r="CF24" s="7">
        <v>0.16463414634146342</v>
      </c>
      <c r="CG24" s="8">
        <v>2.8372299481705752E-2</v>
      </c>
      <c r="CH24" s="7">
        <v>4.7425474971532822E-2</v>
      </c>
      <c r="CI24" s="7">
        <v>0.11987860500812531</v>
      </c>
      <c r="CJ24" s="7">
        <v>0.28210115432739258</v>
      </c>
      <c r="CK24" s="7">
        <v>-0.14046822488307953</v>
      </c>
      <c r="CL24" s="7">
        <v>5.2816901355981827E-2</v>
      </c>
      <c r="CM24" s="8">
        <v>5.714285746216774E-2</v>
      </c>
      <c r="CN24" s="8">
        <v>-0.13223139941692352</v>
      </c>
      <c r="CO24" s="8">
        <v>0.37174209952354431</v>
      </c>
      <c r="CP24" s="8">
        <v>-0.15183654427528381</v>
      </c>
      <c r="CQ24" s="8">
        <v>0.22556090354919434</v>
      </c>
      <c r="CR24">
        <v>19.332709189746218</v>
      </c>
      <c r="CS24">
        <v>2.6720801923142004</v>
      </c>
      <c r="CT24">
        <v>2.6281208935611038</v>
      </c>
      <c r="CU24" s="7">
        <v>7.2350782155990598E-2</v>
      </c>
      <c r="CV24" s="8">
        <v>7.407558336853981E-2</v>
      </c>
      <c r="CW24">
        <v>0.06</v>
      </c>
      <c r="CX24">
        <v>5.767038539249822</v>
      </c>
      <c r="CY24">
        <v>112293336.62199524</v>
      </c>
      <c r="CZ24">
        <v>7.2350782155990598E-2</v>
      </c>
      <c r="DA24">
        <v>1.9130483841466746</v>
      </c>
      <c r="DB24">
        <v>338517313.71073788</v>
      </c>
      <c r="DC24">
        <v>6.8733243048191062E-2</v>
      </c>
      <c r="DD24">
        <v>0.96066787211083693</v>
      </c>
      <c r="DE24">
        <v>674114351.90088594</v>
      </c>
      <c r="DF24">
        <v>6.3668688297271722E-2</v>
      </c>
      <c r="DG24">
        <v>0.58987133965631466</v>
      </c>
      <c r="DH24">
        <v>1097866528.6184621</v>
      </c>
      <c r="DI24">
        <v>5.7880625724792481E-2</v>
      </c>
      <c r="DJ24">
        <v>0.31974807407917405</v>
      </c>
      <c r="DK24">
        <v>2025344489.9237931</v>
      </c>
      <c r="DL24">
        <v>5.0645547509193416E-2</v>
      </c>
      <c r="DM24">
        <v>111000000.00000001</v>
      </c>
      <c r="DN24">
        <v>7.2350782155990598E-2</v>
      </c>
      <c r="DO24">
        <v>647600000</v>
      </c>
      <c r="DP24">
        <v>416066130</v>
      </c>
      <c r="DQ24">
        <v>1474</v>
      </c>
      <c r="DR24">
        <v>9.2283364185472824E-2</v>
      </c>
      <c r="DS24">
        <v>-4.5703283886834062E-2</v>
      </c>
      <c r="DT24" s="9">
        <v>-0.3066666666666667</v>
      </c>
      <c r="DU24">
        <v>0.11666666666666668</v>
      </c>
      <c r="DV24">
        <v>-0.19</v>
      </c>
      <c r="DW24">
        <v>-8.5881720430107524</v>
      </c>
      <c r="DX24">
        <v>0.2850177777777777</v>
      </c>
      <c r="DY24">
        <v>-8.0794136821983269</v>
      </c>
      <c r="DZ24">
        <v>2166</v>
      </c>
      <c r="EA24">
        <v>-8.0457522270825592</v>
      </c>
      <c r="EB24">
        <v>8</v>
      </c>
      <c r="EC24">
        <v>7.0105384615384611E-2</v>
      </c>
      <c r="ED24">
        <v>0.51923076923076927</v>
      </c>
      <c r="EE24" s="10">
        <v>-1.0965099999999999</v>
      </c>
      <c r="EF24">
        <v>-1.1428100000000001</v>
      </c>
      <c r="EG24">
        <v>15.135017777777778</v>
      </c>
      <c r="EH24" t="s">
        <v>706</v>
      </c>
      <c r="EI24">
        <v>0</v>
      </c>
      <c r="EJ24">
        <v>0</v>
      </c>
      <c r="EK24" s="12">
        <v>45470</v>
      </c>
      <c r="EL24" s="13">
        <v>2.14</v>
      </c>
      <c r="EM24" s="13">
        <v>-6.18</v>
      </c>
      <c r="EN24" s="13">
        <v>-1.29</v>
      </c>
      <c r="EO24" s="13">
        <v>0.36</v>
      </c>
      <c r="EP24" s="13">
        <v>-4.63</v>
      </c>
    </row>
    <row r="25" spans="1:146" ht="156" x14ac:dyDescent="0.25">
      <c r="A25" s="6" t="s">
        <v>696</v>
      </c>
      <c r="B25" s="6"/>
      <c r="C25" s="6" t="str">
        <f>"公司主营业务为洁净应用材料和高纯及超高纯应用材料的研发、生产与销售。公司主要产品为高洁净真空室、泵、阀、法兰、管件、管道，产品主要应用于食品安全、生物医药和泛半导体等业务领域。"&amp;CHAR(10)&amp;Basic_Fundamental_Information_Constructure(F25)&amp;CHAR(10)&amp;Basic_Fundamental_Information_Concatenate("食品类 6.19亿 50.54% 32.95% 18.32%
泛半导体 3.17亿 25.89% 32.50% 35.27%
医药类 2.89亿 23.58% 34.55% 41.19%")</f>
        <v>公司主营业务为洁净应用材料和高纯及超高纯应用材料的研发、生产与销售。公司主要产品为高洁净真空室、泵、阀、法兰、管件、管道，产品主要应用于食品安全、生物医药和泛半导体等业务领域。
市值80.419491亿, 利润2.36亿; PE32.09; 平均PE51.63; 平均PEG2.59, PB4.4; ROIC10.6033%; ROE16.1067%; 股利率.3043%; 毛利26.65%; 净利10.0467%; 上一年度营收增3.47%, 利润增-31.59%; 当季营收增7.82%, 利润增27.36%; 过往5年营收增19.94%, 利润增54.21%
Income profile:
食品类 6.19亿 50.54% 32.95% 18.32%
泛半导体 3.17亿 25.89% 32.50% 35.27%
医药类 2.89亿 23.58% 34.55% 41.19%</v>
      </c>
      <c r="D25" t="s">
        <v>372</v>
      </c>
      <c r="E25" t="s">
        <v>373</v>
      </c>
      <c r="F25">
        <v>19.72</v>
      </c>
      <c r="G25">
        <v>-0.1</v>
      </c>
      <c r="H25" t="s">
        <v>1283</v>
      </c>
      <c r="I25">
        <v>8041949100</v>
      </c>
      <c r="J25">
        <v>32.090000000000003</v>
      </c>
      <c r="K25">
        <v>4.4000000000000004</v>
      </c>
      <c r="L25" t="s">
        <v>46</v>
      </c>
      <c r="M25" t="s">
        <v>1284</v>
      </c>
      <c r="N25" t="s">
        <v>1285</v>
      </c>
      <c r="O25" t="s">
        <v>591</v>
      </c>
      <c r="P25">
        <v>7.84</v>
      </c>
      <c r="Q25" t="s">
        <v>1286</v>
      </c>
      <c r="R25">
        <v>68498767</v>
      </c>
      <c r="S25" s="5">
        <v>0.27360000000000001</v>
      </c>
      <c r="T25" t="s">
        <v>290</v>
      </c>
      <c r="U25">
        <v>287636950</v>
      </c>
      <c r="V25">
        <v>407806750</v>
      </c>
      <c r="W25">
        <v>2.46</v>
      </c>
      <c r="X25">
        <v>0.16</v>
      </c>
      <c r="Y25">
        <v>9.92</v>
      </c>
      <c r="Z25" t="s">
        <v>561</v>
      </c>
      <c r="AA25" t="s">
        <v>285</v>
      </c>
      <c r="AB25" t="s">
        <v>1287</v>
      </c>
      <c r="AC25" t="s">
        <v>1288</v>
      </c>
      <c r="AD25" t="s">
        <v>49</v>
      </c>
      <c r="AE25">
        <v>10797605</v>
      </c>
      <c r="AF25" t="s">
        <v>50</v>
      </c>
      <c r="AG25" t="s">
        <v>1289</v>
      </c>
      <c r="AH25" t="s">
        <v>1290</v>
      </c>
      <c r="AI25" t="s">
        <v>1291</v>
      </c>
      <c r="AJ25" t="s">
        <v>1292</v>
      </c>
      <c r="AK25" t="s">
        <v>1293</v>
      </c>
      <c r="AL25" t="s">
        <v>1294</v>
      </c>
      <c r="AM25" t="s">
        <v>49</v>
      </c>
      <c r="AN25" t="s">
        <v>701</v>
      </c>
      <c r="AO25" t="s">
        <v>569</v>
      </c>
      <c r="AP25" t="s">
        <v>106</v>
      </c>
      <c r="AQ25" t="s">
        <v>595</v>
      </c>
      <c r="AR25" t="s">
        <v>1295</v>
      </c>
      <c r="AS25" t="s">
        <v>1296</v>
      </c>
      <c r="AT25" t="s">
        <v>231</v>
      </c>
      <c r="AU25" t="s">
        <v>1297</v>
      </c>
      <c r="AV25" t="s">
        <v>1298</v>
      </c>
      <c r="AW25" t="s">
        <v>862</v>
      </c>
      <c r="AX25" t="s">
        <v>1299</v>
      </c>
      <c r="AY25" t="s">
        <v>437</v>
      </c>
      <c r="AZ25" t="s">
        <v>374</v>
      </c>
      <c r="BA25" t="s">
        <v>376</v>
      </c>
      <c r="BB25" t="s">
        <v>333</v>
      </c>
      <c r="BC25" t="s">
        <v>1300</v>
      </c>
      <c r="BD25" t="s">
        <v>421</v>
      </c>
      <c r="BE25" t="s">
        <v>375</v>
      </c>
      <c r="BF25" t="s">
        <v>377</v>
      </c>
      <c r="BG25" t="s">
        <v>378</v>
      </c>
      <c r="BH25" t="s">
        <v>1286</v>
      </c>
      <c r="BI25" t="s">
        <v>264</v>
      </c>
      <c r="BJ25" t="s">
        <v>1299</v>
      </c>
      <c r="BK25" t="s">
        <v>290</v>
      </c>
      <c r="BL25" t="s">
        <v>1301</v>
      </c>
      <c r="BM25" t="s">
        <v>1300</v>
      </c>
      <c r="BN25">
        <v>6.6</v>
      </c>
      <c r="BO25">
        <v>15.55</v>
      </c>
      <c r="BP25">
        <v>9.66</v>
      </c>
      <c r="BQ25">
        <v>9.9700000000000006</v>
      </c>
      <c r="BR25">
        <v>24.07</v>
      </c>
      <c r="BS25">
        <v>14.28</v>
      </c>
      <c r="BT25" t="s">
        <v>692</v>
      </c>
      <c r="BU25" t="s">
        <v>455</v>
      </c>
      <c r="BV25">
        <v>25.58</v>
      </c>
      <c r="BW25">
        <v>29.64</v>
      </c>
      <c r="BX25">
        <v>24.73</v>
      </c>
      <c r="BY25">
        <v>8.69</v>
      </c>
      <c r="BZ25">
        <v>13.17</v>
      </c>
      <c r="CA25">
        <v>8.2799999999999994</v>
      </c>
      <c r="CB25">
        <v>-5.83</v>
      </c>
      <c r="CC25">
        <v>-11.89</v>
      </c>
      <c r="CD25" t="s">
        <v>1302</v>
      </c>
      <c r="CE25" t="s">
        <v>1303</v>
      </c>
      <c r="CF25" s="7">
        <v>7.82472613458529E-2</v>
      </c>
      <c r="CG25" s="8">
        <v>0.27364687923007125</v>
      </c>
      <c r="CH25" s="7">
        <v>3.4732848405838013E-2</v>
      </c>
      <c r="CI25" s="7">
        <v>0.27555987238883972</v>
      </c>
      <c r="CJ25" s="7">
        <v>0.55253207683563232</v>
      </c>
      <c r="CK25" s="7">
        <v>-4.6142753213644028E-2</v>
      </c>
      <c r="CL25" s="7">
        <v>0.18042552471160889</v>
      </c>
      <c r="CM25" s="8">
        <v>-0.31594201922416687</v>
      </c>
      <c r="CN25" s="8">
        <v>1.029411792755127</v>
      </c>
      <c r="CO25" s="8">
        <v>1.0589066743850708</v>
      </c>
      <c r="CP25" s="8">
        <v>0.32529228925704956</v>
      </c>
      <c r="CQ25" s="8">
        <v>0.61293309926986694</v>
      </c>
      <c r="CR25">
        <v>51.633906522690346</v>
      </c>
      <c r="CS25">
        <v>2.5891843629184104</v>
      </c>
      <c r="CT25">
        <v>0.30425963488843816</v>
      </c>
      <c r="CU25" s="7">
        <v>0.19942151382565498</v>
      </c>
      <c r="CV25" s="8">
        <v>0.54212036728858948</v>
      </c>
      <c r="CW25">
        <v>0.06</v>
      </c>
      <c r="CX25">
        <v>32.833716789854556</v>
      </c>
      <c r="CY25">
        <v>267041016.28571182</v>
      </c>
      <c r="CZ25">
        <v>0.19942151382565498</v>
      </c>
      <c r="DA25">
        <v>9.7918326916507521</v>
      </c>
      <c r="DB25">
        <v>895434938.08633077</v>
      </c>
      <c r="DC25">
        <v>0.18945043813437223</v>
      </c>
      <c r="DD25">
        <v>4.2450843549585846</v>
      </c>
      <c r="DE25">
        <v>2065435776.266345</v>
      </c>
      <c r="DF25">
        <v>0.17549093216657638</v>
      </c>
      <c r="DG25">
        <v>2.1941588491781405</v>
      </c>
      <c r="DH25">
        <v>3996041172.3536716</v>
      </c>
      <c r="DI25">
        <v>0.15953721106052399</v>
      </c>
      <c r="DJ25">
        <v>0.79721974610119317</v>
      </c>
      <c r="DK25">
        <v>10998158466.194164</v>
      </c>
      <c r="DL25">
        <v>0.13959505967795849</v>
      </c>
      <c r="DM25">
        <v>236000000</v>
      </c>
      <c r="DN25">
        <v>0.19942151382565498</v>
      </c>
      <c r="DO25">
        <v>8767949100</v>
      </c>
      <c r="DP25">
        <v>737818900</v>
      </c>
      <c r="DQ25">
        <v>1745</v>
      </c>
      <c r="DR25">
        <v>-0.12117425247980208</v>
      </c>
      <c r="DS25">
        <v>-0.26847348805851823</v>
      </c>
      <c r="DT25" s="9">
        <v>-5.6666666666666719E-2</v>
      </c>
      <c r="DU25">
        <v>0.93666666666666665</v>
      </c>
      <c r="DV25">
        <v>0.87999999999999989</v>
      </c>
      <c r="DW25">
        <v>-8.490328006728344</v>
      </c>
      <c r="DX25">
        <v>0.22534197183098648</v>
      </c>
      <c r="DY25">
        <v>-8.0516521190727204</v>
      </c>
      <c r="DZ25">
        <v>285</v>
      </c>
      <c r="EA25">
        <v>-8.0487713257389188</v>
      </c>
      <c r="EB25">
        <v>8</v>
      </c>
      <c r="EC25">
        <v>9.1701277627209463E-2</v>
      </c>
      <c r="ED25">
        <v>0.87051035815370881</v>
      </c>
      <c r="EE25" s="10">
        <v>-1.0765100000000001</v>
      </c>
      <c r="EF25">
        <v>-1.1201099999999999</v>
      </c>
      <c r="EG25">
        <v>12.105341971830986</v>
      </c>
      <c r="EH25" t="s">
        <v>706</v>
      </c>
      <c r="EI25">
        <v>0</v>
      </c>
      <c r="EJ25">
        <v>1</v>
      </c>
      <c r="EK25" s="12">
        <v>45470</v>
      </c>
      <c r="EL25" s="13">
        <v>-3.76</v>
      </c>
      <c r="EM25" s="13">
        <v>-3.11</v>
      </c>
      <c r="EN25" s="13">
        <v>-2.25</v>
      </c>
      <c r="EO25" s="13">
        <v>2.2999999999999998</v>
      </c>
      <c r="EP25" s="13">
        <v>-4.3600000000000003</v>
      </c>
    </row>
    <row r="26" spans="1:146" ht="204" x14ac:dyDescent="0.25">
      <c r="A26" s="6" t="s">
        <v>350</v>
      </c>
      <c r="B26" s="6" t="s">
        <v>351</v>
      </c>
      <c r="C26" s="6" t="s">
        <v>478</v>
      </c>
      <c r="D26" t="s">
        <v>135</v>
      </c>
      <c r="E26" t="s">
        <v>19</v>
      </c>
      <c r="F26">
        <v>10.61</v>
      </c>
      <c r="G26">
        <v>2.2200000000000002</v>
      </c>
      <c r="H26" t="s">
        <v>1304</v>
      </c>
      <c r="I26">
        <v>2053436100</v>
      </c>
      <c r="J26">
        <v>25.11</v>
      </c>
      <c r="K26">
        <v>1.21</v>
      </c>
      <c r="L26" t="s">
        <v>46</v>
      </c>
      <c r="M26" t="s">
        <v>1305</v>
      </c>
      <c r="N26" t="s">
        <v>1306</v>
      </c>
      <c r="O26" t="s">
        <v>1307</v>
      </c>
      <c r="P26">
        <v>-0.56000000000000005</v>
      </c>
      <c r="Q26" t="s">
        <v>581</v>
      </c>
      <c r="R26">
        <v>23018895</v>
      </c>
      <c r="S26" s="5">
        <v>-0.13739999999999999</v>
      </c>
      <c r="T26" t="s">
        <v>1308</v>
      </c>
      <c r="U26">
        <v>125201176</v>
      </c>
      <c r="V26">
        <v>193537810</v>
      </c>
      <c r="W26">
        <v>1.52</v>
      </c>
      <c r="X26">
        <v>0.09</v>
      </c>
      <c r="Y26">
        <v>9.68</v>
      </c>
      <c r="Z26" t="s">
        <v>577</v>
      </c>
      <c r="AA26" t="s">
        <v>575</v>
      </c>
      <c r="AB26" t="s">
        <v>1309</v>
      </c>
      <c r="AC26" t="s">
        <v>1310</v>
      </c>
      <c r="AD26" t="s">
        <v>49</v>
      </c>
      <c r="AE26">
        <v>7835489</v>
      </c>
      <c r="AF26" t="s">
        <v>1311</v>
      </c>
      <c r="AG26" t="s">
        <v>1312</v>
      </c>
      <c r="AH26" t="s">
        <v>1313</v>
      </c>
      <c r="AI26" t="s">
        <v>1314</v>
      </c>
      <c r="AJ26" t="s">
        <v>1315</v>
      </c>
      <c r="AK26" t="s">
        <v>49</v>
      </c>
      <c r="AL26" t="s">
        <v>1316</v>
      </c>
      <c r="AM26" t="s">
        <v>49</v>
      </c>
      <c r="AN26" t="s">
        <v>1317</v>
      </c>
      <c r="AO26" t="s">
        <v>601</v>
      </c>
      <c r="AP26" t="s">
        <v>1318</v>
      </c>
      <c r="AQ26" t="s">
        <v>56</v>
      </c>
      <c r="AR26" t="s">
        <v>49</v>
      </c>
      <c r="AS26" t="s">
        <v>573</v>
      </c>
      <c r="AT26" t="s">
        <v>1319</v>
      </c>
      <c r="AU26" t="s">
        <v>1320</v>
      </c>
      <c r="AV26" t="s">
        <v>1321</v>
      </c>
      <c r="AW26" t="s">
        <v>1322</v>
      </c>
      <c r="AX26" t="s">
        <v>580</v>
      </c>
      <c r="AY26" t="s">
        <v>438</v>
      </c>
      <c r="AZ26" t="s">
        <v>291</v>
      </c>
      <c r="BA26" t="s">
        <v>136</v>
      </c>
      <c r="BB26" t="s">
        <v>292</v>
      </c>
      <c r="BC26" t="s">
        <v>505</v>
      </c>
      <c r="BD26" t="s">
        <v>169</v>
      </c>
      <c r="BE26" t="s">
        <v>191</v>
      </c>
      <c r="BF26" t="s">
        <v>137</v>
      </c>
      <c r="BG26" t="s">
        <v>294</v>
      </c>
      <c r="BH26" t="s">
        <v>581</v>
      </c>
      <c r="BI26" t="s">
        <v>1244</v>
      </c>
      <c r="BJ26" t="s">
        <v>580</v>
      </c>
      <c r="BK26" t="s">
        <v>1308</v>
      </c>
      <c r="BL26" t="s">
        <v>1323</v>
      </c>
      <c r="BM26" t="s">
        <v>505</v>
      </c>
      <c r="BN26">
        <v>4</v>
      </c>
      <c r="BO26">
        <v>5.5</v>
      </c>
      <c r="BP26">
        <v>7.35</v>
      </c>
      <c r="BQ26">
        <v>4.6500000000000004</v>
      </c>
      <c r="BR26">
        <v>6.6</v>
      </c>
      <c r="BS26">
        <v>10.36</v>
      </c>
      <c r="BT26" t="s">
        <v>687</v>
      </c>
      <c r="BU26" t="s">
        <v>455</v>
      </c>
      <c r="BV26">
        <v>30.19</v>
      </c>
      <c r="BW26">
        <v>26.83</v>
      </c>
      <c r="BX26">
        <v>28.83</v>
      </c>
      <c r="BY26">
        <v>9.24</v>
      </c>
      <c r="BZ26">
        <v>10.85</v>
      </c>
      <c r="CA26">
        <v>12.72</v>
      </c>
      <c r="CB26">
        <v>-1.58</v>
      </c>
      <c r="CC26">
        <v>-8.69</v>
      </c>
      <c r="CD26" t="s">
        <v>1324</v>
      </c>
      <c r="CE26" t="s">
        <v>1325</v>
      </c>
      <c r="CF26" s="7">
        <v>-3.8461538461538464E-3</v>
      </c>
      <c r="CG26" s="8">
        <v>-0.13740064829214368</v>
      </c>
      <c r="CH26" s="7">
        <v>7.8973351046442986E-3</v>
      </c>
      <c r="CI26" s="7">
        <v>0.1820303350687027</v>
      </c>
      <c r="CJ26" s="7">
        <v>0.20028011500835419</v>
      </c>
      <c r="CK26" s="7">
        <v>0.14975845813751221</v>
      </c>
      <c r="CL26" s="7">
        <v>0.2248520702123642</v>
      </c>
      <c r="CM26" s="8">
        <v>-0.1623363196849823</v>
      </c>
      <c r="CN26" s="8">
        <v>-2.857142873108387E-2</v>
      </c>
      <c r="CO26" s="8">
        <v>1.9417475908994675E-2</v>
      </c>
      <c r="CP26" s="8">
        <v>0.53785973787307739</v>
      </c>
      <c r="CQ26" s="8">
        <v>1.2258728966116905E-2</v>
      </c>
      <c r="CR26">
        <v>23.3087643756988</v>
      </c>
      <c r="CS26">
        <v>1.5238105549584515</v>
      </c>
      <c r="CT26">
        <v>1.413760603204524</v>
      </c>
      <c r="CU26" s="7">
        <v>0.15296366270631551</v>
      </c>
      <c r="CV26" s="8">
        <v>7.5725638866424555E-2</v>
      </c>
      <c r="CW26">
        <v>0.06</v>
      </c>
      <c r="CX26">
        <v>12.658688328421055</v>
      </c>
      <c r="CY26">
        <v>92935071.113069996</v>
      </c>
      <c r="CZ26">
        <v>0.15296366270631551</v>
      </c>
      <c r="DA26">
        <v>3.9234814795376542</v>
      </c>
      <c r="DB26">
        <v>299844947.94623882</v>
      </c>
      <c r="DC26">
        <v>0.14531547957099972</v>
      </c>
      <c r="DD26">
        <v>1.7965167117248619</v>
      </c>
      <c r="DE26">
        <v>654842836.87541461</v>
      </c>
      <c r="DF26">
        <v>0.13460802318155765</v>
      </c>
      <c r="DG26">
        <v>0.99195129152072303</v>
      </c>
      <c r="DH26">
        <v>1185981721.1351681</v>
      </c>
      <c r="DI26">
        <v>0.12237093016505241</v>
      </c>
      <c r="DJ26">
        <v>0.42283958205890088</v>
      </c>
      <c r="DK26">
        <v>2782227941.5556803</v>
      </c>
      <c r="DL26">
        <v>0.10707456389442085</v>
      </c>
      <c r="DM26">
        <v>85441700</v>
      </c>
      <c r="DN26">
        <v>0.15296366270631551</v>
      </c>
      <c r="DO26">
        <v>1176436100</v>
      </c>
      <c r="DP26">
        <v>835149650</v>
      </c>
      <c r="DQ26">
        <v>1972</v>
      </c>
      <c r="DR26">
        <v>-0.15680981655246934</v>
      </c>
      <c r="DS26">
        <v>-0.21312628715856824</v>
      </c>
      <c r="DT26" s="9">
        <v>-5.6666666666666719E-2</v>
      </c>
      <c r="DU26">
        <v>-5.000000000000001E-2</v>
      </c>
      <c r="DV26">
        <v>-0.10666666666666673</v>
      </c>
      <c r="DW26">
        <v>-2.0869</v>
      </c>
      <c r="DX26">
        <v>0.3621050847086873</v>
      </c>
      <c r="DY26">
        <v>-2.0114799318611851</v>
      </c>
      <c r="DZ26">
        <v>1965</v>
      </c>
      <c r="EA26">
        <v>-2.0070654375153478</v>
      </c>
      <c r="EB26">
        <v>2</v>
      </c>
      <c r="EC26">
        <v>2.4963597552333572E-2</v>
      </c>
      <c r="ED26">
        <v>0.18896772677132184</v>
      </c>
      <c r="EE26" s="10">
        <v>1.1042000000000001</v>
      </c>
      <c r="EF26">
        <v>1.0894999999999999</v>
      </c>
      <c r="EG26">
        <v>23.132105084708687</v>
      </c>
      <c r="EH26" t="s">
        <v>709</v>
      </c>
      <c r="EI26">
        <v>0</v>
      </c>
      <c r="EJ26">
        <v>0</v>
      </c>
      <c r="EK26" s="12">
        <v>45470</v>
      </c>
      <c r="EL26" s="13">
        <v>1.32</v>
      </c>
      <c r="EM26" s="13">
        <v>-3.16</v>
      </c>
      <c r="EN26" s="13">
        <v>0.38</v>
      </c>
      <c r="EO26" s="13">
        <v>4.0199999999999996</v>
      </c>
      <c r="EP26" s="13">
        <v>-1.47</v>
      </c>
    </row>
    <row r="27" spans="1:146" ht="96" x14ac:dyDescent="0.25">
      <c r="A27" s="6"/>
      <c r="B27" s="6"/>
      <c r="C27" s="6" t="str">
        <f>""&amp;CHAR(10)&amp;Basic_Fundamental_Information_Constructure(F27)&amp;CHAR(10)&amp;Basic_Fundamental_Information_Concatenate("")</f>
        <v xml:space="preserve">
市值14.705亿, 利润1.02亿; PE; 平均PE20.77; 平均PEG8.86, PB1.04; ROIC2.4467%; ROE2.1267%; 股利率.2326%; 毛利17.8433%; 净利3.5467%; 上一年度营收增37.91%, 利润增225.46%; 当季营收增23.36%, 利润增-62.5%; 过往5年营收增2.34%, 利润增27.6%
Income profile:
</v>
      </c>
      <c r="D27" t="s">
        <v>139</v>
      </c>
      <c r="E27" t="s">
        <v>140</v>
      </c>
      <c r="F27">
        <v>4.25</v>
      </c>
      <c r="G27">
        <v>2.16</v>
      </c>
      <c r="H27" t="s">
        <v>1326</v>
      </c>
      <c r="I27">
        <v>1470500000</v>
      </c>
      <c r="K27">
        <v>1.04</v>
      </c>
      <c r="L27" t="s">
        <v>46</v>
      </c>
      <c r="M27" t="s">
        <v>214</v>
      </c>
      <c r="N27" t="s">
        <v>1327</v>
      </c>
      <c r="O27" t="s">
        <v>389</v>
      </c>
      <c r="P27">
        <v>17.38</v>
      </c>
      <c r="Q27" t="s">
        <v>1328</v>
      </c>
      <c r="R27">
        <v>5171891</v>
      </c>
      <c r="S27" s="5">
        <v>-2.98E-2</v>
      </c>
      <c r="T27" t="s">
        <v>505</v>
      </c>
      <c r="U27">
        <v>328443330</v>
      </c>
      <c r="V27">
        <v>346000000</v>
      </c>
      <c r="W27">
        <v>1.58</v>
      </c>
      <c r="X27">
        <v>0.08</v>
      </c>
      <c r="Y27">
        <v>3.21</v>
      </c>
      <c r="Z27" t="s">
        <v>134</v>
      </c>
      <c r="AA27" t="s">
        <v>400</v>
      </c>
      <c r="AB27" t="s">
        <v>1329</v>
      </c>
      <c r="AC27" t="s">
        <v>1330</v>
      </c>
      <c r="AD27" t="s">
        <v>49</v>
      </c>
      <c r="AE27">
        <v>4411702</v>
      </c>
      <c r="AF27" t="s">
        <v>50</v>
      </c>
      <c r="AG27">
        <v>1.02</v>
      </c>
      <c r="AH27" t="s">
        <v>1331</v>
      </c>
      <c r="AI27" t="s">
        <v>586</v>
      </c>
      <c r="AJ27" t="s">
        <v>1332</v>
      </c>
      <c r="AK27" t="s">
        <v>49</v>
      </c>
      <c r="AL27" t="s">
        <v>1333</v>
      </c>
      <c r="AM27" t="s">
        <v>49</v>
      </c>
      <c r="AN27" t="s">
        <v>1334</v>
      </c>
      <c r="AO27" t="s">
        <v>1335</v>
      </c>
      <c r="AP27" t="s">
        <v>1336</v>
      </c>
      <c r="AQ27" t="s">
        <v>1337</v>
      </c>
      <c r="AR27" t="s">
        <v>49</v>
      </c>
      <c r="AS27" t="s">
        <v>576</v>
      </c>
      <c r="AT27" t="s">
        <v>1338</v>
      </c>
      <c r="AU27" t="s">
        <v>1339</v>
      </c>
      <c r="AV27" t="s">
        <v>1340</v>
      </c>
      <c r="AW27" t="s">
        <v>1341</v>
      </c>
      <c r="AX27" t="s">
        <v>597</v>
      </c>
      <c r="AY27" t="s">
        <v>417</v>
      </c>
      <c r="AZ27" t="s">
        <v>291</v>
      </c>
      <c r="BA27" t="s">
        <v>141</v>
      </c>
      <c r="BB27" t="s">
        <v>296</v>
      </c>
      <c r="BC27" t="s">
        <v>1342</v>
      </c>
      <c r="BD27" t="s">
        <v>439</v>
      </c>
      <c r="BE27" t="s">
        <v>295</v>
      </c>
      <c r="BF27" t="s">
        <v>142</v>
      </c>
      <c r="BG27" t="s">
        <v>297</v>
      </c>
      <c r="BH27" t="s">
        <v>1343</v>
      </c>
      <c r="BI27" t="s">
        <v>330</v>
      </c>
      <c r="BJ27" t="s">
        <v>597</v>
      </c>
      <c r="BK27" t="s">
        <v>1344</v>
      </c>
      <c r="BL27" t="s">
        <v>1345</v>
      </c>
      <c r="BM27" t="s">
        <v>1342</v>
      </c>
      <c r="BN27">
        <v>1.63</v>
      </c>
      <c r="BO27">
        <v>2.1800000000000002</v>
      </c>
      <c r="BP27">
        <v>3.53</v>
      </c>
      <c r="BQ27">
        <v>0.5</v>
      </c>
      <c r="BR27">
        <v>2.19</v>
      </c>
      <c r="BS27">
        <v>3.69</v>
      </c>
      <c r="BT27" t="s">
        <v>1346</v>
      </c>
      <c r="BU27" t="s">
        <v>455</v>
      </c>
      <c r="BV27">
        <v>15.06</v>
      </c>
      <c r="BW27">
        <v>18.809999999999999</v>
      </c>
      <c r="BX27">
        <v>19.66</v>
      </c>
      <c r="BY27">
        <v>-1.04</v>
      </c>
      <c r="BZ27">
        <v>4.88</v>
      </c>
      <c r="CA27">
        <v>6.8</v>
      </c>
      <c r="CB27">
        <v>0.47</v>
      </c>
      <c r="CC27">
        <v>-14.31</v>
      </c>
      <c r="CD27" t="s">
        <v>1347</v>
      </c>
      <c r="CE27" t="s">
        <v>982</v>
      </c>
      <c r="CF27" s="7">
        <v>0.23357664233576642</v>
      </c>
      <c r="CG27" s="8">
        <v>-0.62498071205858896</v>
      </c>
      <c r="CH27" s="7">
        <v>0.3790951669216156</v>
      </c>
      <c r="CI27" s="7">
        <v>-0.15211640298366547</v>
      </c>
      <c r="CJ27" s="7">
        <v>5.8823529630899429E-2</v>
      </c>
      <c r="CK27" s="7">
        <v>-0.18025258183479309</v>
      </c>
      <c r="CL27" s="7">
        <v>1.1614401824772358E-2</v>
      </c>
      <c r="CM27" s="8">
        <v>2.2546164989471436</v>
      </c>
      <c r="CN27" s="8">
        <v>-0.39046370983123779</v>
      </c>
      <c r="CO27" s="8">
        <v>-0.21263819932937622</v>
      </c>
      <c r="CP27" s="8">
        <v>-0.24067357182502747</v>
      </c>
      <c r="CQ27" s="8">
        <v>-3.1050320714712143E-2</v>
      </c>
      <c r="CR27">
        <v>20.769084641964568</v>
      </c>
      <c r="CS27">
        <v>8.8632449011515302</v>
      </c>
      <c r="CT27">
        <v>0.23260235294117648</v>
      </c>
      <c r="CU27" s="7">
        <v>2.3432822711765767E-2</v>
      </c>
      <c r="CV27" s="8">
        <v>0.27595813944935799</v>
      </c>
      <c r="CW27">
        <v>0.06</v>
      </c>
      <c r="CX27">
        <v>7.8847479041565034</v>
      </c>
      <c r="CY27">
        <v>98481271.619434059</v>
      </c>
      <c r="CZ27">
        <v>2.3432822711765767E-2</v>
      </c>
      <c r="DA27">
        <v>2.7272050717743896</v>
      </c>
      <c r="DB27">
        <v>284723729.81280398</v>
      </c>
      <c r="DC27">
        <v>2.2261181576177479E-2</v>
      </c>
      <c r="DD27">
        <v>1.4455318733015767</v>
      </c>
      <c r="DE27">
        <v>537172520.60757661</v>
      </c>
      <c r="DF27">
        <v>2.0620883986353877E-2</v>
      </c>
      <c r="DG27">
        <v>0.94089501411959098</v>
      </c>
      <c r="DH27">
        <v>825278047.33515596</v>
      </c>
      <c r="DI27">
        <v>1.8746258169412614E-2</v>
      </c>
      <c r="DJ27">
        <v>0.57460465397467531</v>
      </c>
      <c r="DK27">
        <v>1351363924.0976682</v>
      </c>
      <c r="DL27">
        <v>1.6402975898236034E-2</v>
      </c>
      <c r="DM27">
        <v>102000000</v>
      </c>
      <c r="DN27">
        <v>2.3432822711765767E-2</v>
      </c>
      <c r="DO27">
        <v>776500000</v>
      </c>
      <c r="DP27">
        <v>738527280</v>
      </c>
      <c r="DQ27">
        <v>2339</v>
      </c>
      <c r="DR27">
        <v>0.21014381962400064</v>
      </c>
      <c r="DS27">
        <v>-0.90093885150794695</v>
      </c>
      <c r="DT27" s="9">
        <v>-0.54</v>
      </c>
      <c r="DU27">
        <v>-0.54</v>
      </c>
      <c r="DV27">
        <v>-1.08</v>
      </c>
      <c r="DW27">
        <v>-2.1431</v>
      </c>
      <c r="DX27">
        <v>0.36356315789473737</v>
      </c>
      <c r="DY27">
        <v>-2.021974887894737</v>
      </c>
      <c r="DZ27">
        <v>341</v>
      </c>
      <c r="EA27">
        <v>-2.0205084619119376</v>
      </c>
      <c r="EB27">
        <v>2</v>
      </c>
      <c r="EC27">
        <v>6.7461271676300574E-2</v>
      </c>
      <c r="ED27">
        <v>0.43930635838150289</v>
      </c>
      <c r="EE27" s="10">
        <v>4.0290100000000004</v>
      </c>
      <c r="EF27">
        <v>4.0090000000000003</v>
      </c>
      <c r="EG27">
        <v>21.153563157894737</v>
      </c>
      <c r="EH27" t="s">
        <v>1348</v>
      </c>
      <c r="EI27">
        <v>0</v>
      </c>
      <c r="EJ27">
        <v>1</v>
      </c>
      <c r="EK27" s="12">
        <v>45470</v>
      </c>
      <c r="EL27" s="13">
        <v>-0.36</v>
      </c>
      <c r="EM27" s="13">
        <v>0.3</v>
      </c>
      <c r="EN27" s="13">
        <v>-2.37</v>
      </c>
      <c r="EO27" s="13">
        <v>3.17</v>
      </c>
      <c r="EP27" s="13">
        <v>3.8</v>
      </c>
    </row>
    <row r="28" spans="1:146" ht="96" x14ac:dyDescent="0.25">
      <c r="A28" s="6"/>
      <c r="B28" s="6"/>
      <c r="C28" s="6" t="str">
        <f>""&amp;CHAR(10)&amp;Basic_Fundamental_Information_Constructure(F28)&amp;CHAR(10)&amp;Basic_Fundamental_Information_Concatenate("")</f>
        <v xml:space="preserve">
市值41.160672亿, 利润5581.11万; PE42.56; 平均PE46.28; 平均PEG2.43, PB3.46; ROIC8.1933%; ROE10.47%; 股利率.4864%; 毛利25.2%; 净利9.5167%; 上一年度营收增12.12%, 利润增-47.35%; 当季营收增-11.51%, 利润增121.2%; 过往5年营收增19.02%, 利润增10.68%
Income profile:
</v>
      </c>
      <c r="D28" t="s">
        <v>379</v>
      </c>
      <c r="E28" t="s">
        <v>380</v>
      </c>
      <c r="F28">
        <v>10.28</v>
      </c>
      <c r="G28">
        <v>3.32</v>
      </c>
      <c r="H28" t="s">
        <v>1349</v>
      </c>
      <c r="I28">
        <v>4116067200</v>
      </c>
      <c r="J28">
        <v>42.56</v>
      </c>
      <c r="K28">
        <v>3.46</v>
      </c>
      <c r="L28" t="s">
        <v>46</v>
      </c>
      <c r="M28" t="s">
        <v>1350</v>
      </c>
      <c r="N28" t="s">
        <v>1351</v>
      </c>
      <c r="O28" t="s">
        <v>59</v>
      </c>
      <c r="P28">
        <v>20.76</v>
      </c>
      <c r="Q28" t="s">
        <v>714</v>
      </c>
      <c r="R28">
        <v>28443844</v>
      </c>
      <c r="S28" s="5">
        <v>3.0550000000000002</v>
      </c>
      <c r="T28" t="s">
        <v>1352</v>
      </c>
      <c r="U28">
        <v>240268090</v>
      </c>
      <c r="V28">
        <v>400395640</v>
      </c>
      <c r="W28">
        <v>2.21</v>
      </c>
      <c r="X28">
        <v>0.1</v>
      </c>
      <c r="Y28">
        <v>9.52</v>
      </c>
      <c r="Z28" t="s">
        <v>473</v>
      </c>
      <c r="AA28" t="s">
        <v>1353</v>
      </c>
      <c r="AB28" t="s">
        <v>1354</v>
      </c>
      <c r="AC28" t="s">
        <v>1355</v>
      </c>
      <c r="AD28" t="s">
        <v>49</v>
      </c>
      <c r="AE28">
        <v>5951507</v>
      </c>
      <c r="AF28" t="s">
        <v>50</v>
      </c>
      <c r="AG28">
        <v>8262.3700000000008</v>
      </c>
      <c r="AH28" t="s">
        <v>1356</v>
      </c>
      <c r="AI28" t="s">
        <v>972</v>
      </c>
      <c r="AJ28" t="s">
        <v>1357</v>
      </c>
      <c r="AK28" t="s">
        <v>1358</v>
      </c>
      <c r="AL28" t="s">
        <v>1359</v>
      </c>
      <c r="AM28" t="s">
        <v>49</v>
      </c>
      <c r="AN28" t="s">
        <v>318</v>
      </c>
      <c r="AO28" t="s">
        <v>1360</v>
      </c>
      <c r="AP28" t="s">
        <v>1361</v>
      </c>
      <c r="AQ28" t="s">
        <v>152</v>
      </c>
      <c r="AR28" t="s">
        <v>49</v>
      </c>
      <c r="AS28" t="s">
        <v>519</v>
      </c>
      <c r="AT28" t="s">
        <v>321</v>
      </c>
      <c r="AU28" t="s">
        <v>1362</v>
      </c>
      <c r="AV28" t="s">
        <v>542</v>
      </c>
      <c r="AW28" t="s">
        <v>1363</v>
      </c>
      <c r="AX28" t="s">
        <v>504</v>
      </c>
      <c r="AY28" t="s">
        <v>255</v>
      </c>
      <c r="AZ28" t="s">
        <v>228</v>
      </c>
      <c r="BA28" t="s">
        <v>381</v>
      </c>
      <c r="BB28" t="s">
        <v>356</v>
      </c>
      <c r="BC28" t="s">
        <v>56</v>
      </c>
      <c r="BD28" t="s">
        <v>334</v>
      </c>
      <c r="BE28" t="s">
        <v>111</v>
      </c>
      <c r="BF28" t="s">
        <v>440</v>
      </c>
      <c r="BG28" t="s">
        <v>382</v>
      </c>
      <c r="BH28" t="s">
        <v>1364</v>
      </c>
      <c r="BI28" t="s">
        <v>764</v>
      </c>
      <c r="BJ28" t="s">
        <v>504</v>
      </c>
      <c r="BK28" t="s">
        <v>1365</v>
      </c>
      <c r="BL28" t="s">
        <v>1366</v>
      </c>
      <c r="BM28" t="s">
        <v>56</v>
      </c>
      <c r="BN28">
        <v>3.42</v>
      </c>
      <c r="BO28">
        <v>8.1</v>
      </c>
      <c r="BP28">
        <v>13.06</v>
      </c>
      <c r="BQ28">
        <v>4.62</v>
      </c>
      <c r="BR28">
        <v>10.06</v>
      </c>
      <c r="BS28">
        <v>16.73</v>
      </c>
      <c r="BT28" t="s">
        <v>1367</v>
      </c>
      <c r="BU28" t="s">
        <v>455</v>
      </c>
      <c r="BV28">
        <v>23.57</v>
      </c>
      <c r="BW28">
        <v>23.47</v>
      </c>
      <c r="BX28">
        <v>28.56</v>
      </c>
      <c r="BY28">
        <v>6.47</v>
      </c>
      <c r="BZ28">
        <v>9.35</v>
      </c>
      <c r="CA28">
        <v>12.73</v>
      </c>
      <c r="CB28">
        <v>0.69</v>
      </c>
      <c r="CC28">
        <v>-2.84</v>
      </c>
      <c r="CD28" t="s">
        <v>1368</v>
      </c>
      <c r="CE28" t="s">
        <v>1369</v>
      </c>
      <c r="CF28" s="7">
        <v>-0.11513157894736842</v>
      </c>
      <c r="CG28" s="8">
        <v>1.2120138737673807</v>
      </c>
      <c r="CH28" s="7">
        <v>0.12121212482452393</v>
      </c>
      <c r="CI28" s="7">
        <v>1.7857142956927419E-3</v>
      </c>
      <c r="CJ28" s="7">
        <v>0.44516128301620483</v>
      </c>
      <c r="CK28" s="7">
        <v>0.20155039429664612</v>
      </c>
      <c r="CL28" s="7">
        <v>0.18131868541240692</v>
      </c>
      <c r="CM28" s="8">
        <v>-0.47348019480705261</v>
      </c>
      <c r="CN28" s="8">
        <v>-0.26896551251411438</v>
      </c>
      <c r="CO28" s="8">
        <v>0.30630630254745483</v>
      </c>
      <c r="CP28" s="8">
        <v>0.73209893703460693</v>
      </c>
      <c r="CQ28" s="8">
        <v>0.23797169327735901</v>
      </c>
      <c r="CR28">
        <v>46.277359055549539</v>
      </c>
      <c r="CS28">
        <v>2.4330171789726167</v>
      </c>
      <c r="CT28">
        <v>0.48637743190661481</v>
      </c>
      <c r="CU28" s="7">
        <v>0.1902056403690949</v>
      </c>
      <c r="CV28" s="8">
        <v>0.10678624510765075</v>
      </c>
      <c r="CW28">
        <v>0.06</v>
      </c>
      <c r="CX28">
        <v>70.82020064832497</v>
      </c>
      <c r="CY28">
        <v>62666684.920003384</v>
      </c>
      <c r="CZ28">
        <v>0.1902056403690949</v>
      </c>
      <c r="DA28">
        <v>21.28169985248913</v>
      </c>
      <c r="DB28">
        <v>208539131.30820322</v>
      </c>
      <c r="DC28">
        <v>0.18069535835064016</v>
      </c>
      <c r="DD28">
        <v>9.3275623647266652</v>
      </c>
      <c r="DE28">
        <v>475801396.59886938</v>
      </c>
      <c r="DF28">
        <v>0.16738096352480353</v>
      </c>
      <c r="DG28">
        <v>4.885906868831027</v>
      </c>
      <c r="DH28">
        <v>908340522.88471591</v>
      </c>
      <c r="DI28">
        <v>0.15216451229527594</v>
      </c>
      <c r="DJ28">
        <v>1.8343363777731183</v>
      </c>
      <c r="DK28">
        <v>2419440214.8791308</v>
      </c>
      <c r="DL28">
        <v>0.13314394825836642</v>
      </c>
      <c r="DM28">
        <v>55811100</v>
      </c>
      <c r="DN28">
        <v>0.1902056403690949</v>
      </c>
      <c r="DO28">
        <v>4438067200</v>
      </c>
      <c r="DP28">
        <v>638740310</v>
      </c>
      <c r="DQ28">
        <v>2508</v>
      </c>
      <c r="DR28">
        <v>-0.30533721931646329</v>
      </c>
      <c r="DS28">
        <v>1.10522762865973</v>
      </c>
      <c r="DT28" s="9">
        <v>-9.000000000000008E-2</v>
      </c>
      <c r="DU28">
        <v>0.15</v>
      </c>
      <c r="DV28">
        <v>5.9999999999999915E-2</v>
      </c>
      <c r="DW28">
        <v>-1.0284</v>
      </c>
      <c r="DX28">
        <v>0.57388422340911482</v>
      </c>
      <c r="DY28">
        <v>-1.0043703119448188</v>
      </c>
      <c r="DZ28">
        <v>926</v>
      </c>
      <c r="EA28">
        <v>-1.0035783532636247</v>
      </c>
      <c r="EB28">
        <v>1</v>
      </c>
      <c r="EC28">
        <v>2.7257789320583016E-2</v>
      </c>
      <c r="ED28">
        <v>0.17713179893767075</v>
      </c>
      <c r="EE28" s="10">
        <v>1.0001</v>
      </c>
      <c r="EF28">
        <v>1.03281</v>
      </c>
      <c r="EG28">
        <v>42.153884223409115</v>
      </c>
      <c r="EH28" t="s">
        <v>708</v>
      </c>
      <c r="EI28">
        <v>0</v>
      </c>
      <c r="EJ28">
        <v>1</v>
      </c>
      <c r="EK28" s="12">
        <v>45470</v>
      </c>
      <c r="EL28" s="13">
        <v>-2.75</v>
      </c>
      <c r="EM28" s="13">
        <v>-2.21</v>
      </c>
      <c r="EN28" s="13">
        <v>-2.85</v>
      </c>
      <c r="EO28" s="13">
        <v>-1.34</v>
      </c>
      <c r="EP28" s="13">
        <v>-3.29</v>
      </c>
    </row>
    <row r="29" spans="1:146" ht="96" x14ac:dyDescent="0.25">
      <c r="A29" s="6"/>
      <c r="B29" s="6"/>
      <c r="C29" s="6" t="str">
        <f>""&amp;CHAR(10)&amp;Basic_Fundamental_Information_Constructure(F29)&amp;CHAR(10)&amp;Basic_Fundamental_Information_Concatenate("")</f>
        <v xml:space="preserve">
市值13.4862亿, 利润2826.65万; PE42.95; 平均PE24.32; 平均PEG.72, PB1.4; ROIC6.4867%; ROE8.4133%; 股利率1.5038%; 毛利31.8133%; 净利13.6867%; 上一年度营收增127.8%, 利润增-57.06%; 当季营收增-34.56%, 利润增-26.09%; 过往5年营收增33.69%, 利润增-10.84%
Income profile:
</v>
      </c>
      <c r="D29" t="s">
        <v>441</v>
      </c>
      <c r="E29" t="s">
        <v>442</v>
      </c>
      <c r="F29">
        <v>7.98</v>
      </c>
      <c r="G29">
        <v>-1.48</v>
      </c>
      <c r="H29" t="s">
        <v>1370</v>
      </c>
      <c r="I29">
        <v>1348620000</v>
      </c>
      <c r="J29">
        <v>42.95</v>
      </c>
      <c r="K29">
        <v>1.4</v>
      </c>
      <c r="L29" t="s">
        <v>46</v>
      </c>
      <c r="M29" t="s">
        <v>266</v>
      </c>
      <c r="N29" t="s">
        <v>1371</v>
      </c>
      <c r="O29" t="s">
        <v>1372</v>
      </c>
      <c r="P29">
        <v>-4.4400000000000004</v>
      </c>
      <c r="Q29" t="s">
        <v>1373</v>
      </c>
      <c r="R29">
        <v>9589635</v>
      </c>
      <c r="S29" s="5">
        <v>-0.32990000000000003</v>
      </c>
      <c r="T29" t="s">
        <v>1374</v>
      </c>
      <c r="U29">
        <v>77841400</v>
      </c>
      <c r="V29">
        <v>169000000</v>
      </c>
      <c r="W29">
        <v>1.44</v>
      </c>
      <c r="X29">
        <v>0.06</v>
      </c>
      <c r="Y29">
        <v>11.26</v>
      </c>
      <c r="Z29" t="s">
        <v>1375</v>
      </c>
      <c r="AA29" t="s">
        <v>1376</v>
      </c>
      <c r="AB29" t="s">
        <v>1377</v>
      </c>
      <c r="AC29" t="s">
        <v>1378</v>
      </c>
      <c r="AD29" t="s">
        <v>49</v>
      </c>
      <c r="AE29">
        <v>1178046</v>
      </c>
      <c r="AF29" t="s">
        <v>1379</v>
      </c>
      <c r="AG29" t="s">
        <v>1380</v>
      </c>
      <c r="AH29" t="s">
        <v>1381</v>
      </c>
      <c r="AI29" t="s">
        <v>1382</v>
      </c>
      <c r="AJ29" t="s">
        <v>1383</v>
      </c>
      <c r="AK29" t="s">
        <v>1384</v>
      </c>
      <c r="AL29" t="s">
        <v>1385</v>
      </c>
      <c r="AM29" t="s">
        <v>49</v>
      </c>
      <c r="AN29" t="s">
        <v>695</v>
      </c>
      <c r="AO29" t="s">
        <v>1244</v>
      </c>
      <c r="AP29" t="s">
        <v>1386</v>
      </c>
      <c r="AQ29" t="s">
        <v>1387</v>
      </c>
      <c r="AR29" t="s">
        <v>49</v>
      </c>
      <c r="AS29" t="s">
        <v>1388</v>
      </c>
      <c r="AT29" t="s">
        <v>49</v>
      </c>
      <c r="AU29" t="s">
        <v>1389</v>
      </c>
      <c r="AV29" t="s">
        <v>1390</v>
      </c>
      <c r="AW29" t="s">
        <v>316</v>
      </c>
      <c r="AX29" t="s">
        <v>1391</v>
      </c>
      <c r="AY29" t="s">
        <v>443</v>
      </c>
      <c r="AZ29" t="s">
        <v>260</v>
      </c>
      <c r="BA29" t="s">
        <v>290</v>
      </c>
      <c r="BB29" t="s">
        <v>420</v>
      </c>
      <c r="BC29" t="s">
        <v>1392</v>
      </c>
      <c r="BD29" t="s">
        <v>444</v>
      </c>
      <c r="BE29" t="s">
        <v>445</v>
      </c>
      <c r="BF29" t="s">
        <v>446</v>
      </c>
      <c r="BG29" t="s">
        <v>447</v>
      </c>
      <c r="BH29" t="s">
        <v>1393</v>
      </c>
      <c r="BI29" t="s">
        <v>862</v>
      </c>
      <c r="BJ29" t="s">
        <v>1391</v>
      </c>
      <c r="BK29" t="s">
        <v>1394</v>
      </c>
      <c r="BL29" t="s">
        <v>1395</v>
      </c>
      <c r="BM29" t="s">
        <v>1392</v>
      </c>
      <c r="BN29">
        <v>3.51</v>
      </c>
      <c r="BO29">
        <v>6.56</v>
      </c>
      <c r="BP29">
        <v>9.39</v>
      </c>
      <c r="BQ29">
        <v>4.04</v>
      </c>
      <c r="BR29">
        <v>7.11</v>
      </c>
      <c r="BS29">
        <v>14.09</v>
      </c>
      <c r="BT29" t="s">
        <v>691</v>
      </c>
      <c r="BU29" t="s">
        <v>455</v>
      </c>
      <c r="BV29">
        <v>26.34</v>
      </c>
      <c r="BW29">
        <v>32.409999999999997</v>
      </c>
      <c r="BX29">
        <v>36.69</v>
      </c>
      <c r="BY29">
        <v>8.9499999999999993</v>
      </c>
      <c r="BZ29">
        <v>15.38</v>
      </c>
      <c r="CA29">
        <v>16.73</v>
      </c>
      <c r="CB29">
        <v>-0.37</v>
      </c>
      <c r="CC29">
        <v>-8.2799999999999994</v>
      </c>
      <c r="CD29" t="s">
        <v>1396</v>
      </c>
      <c r="CE29" t="s">
        <v>316</v>
      </c>
      <c r="CF29" s="7">
        <v>-0.34555076923076922</v>
      </c>
      <c r="CG29" s="8">
        <v>-0.26093153915516404</v>
      </c>
      <c r="CH29" s="7">
        <v>1.278037428855896</v>
      </c>
      <c r="CI29" s="7">
        <v>0.17906336486339569</v>
      </c>
      <c r="CJ29" s="7">
        <v>0.35447761416435242</v>
      </c>
      <c r="CK29" s="7">
        <v>0.1355932205915451</v>
      </c>
      <c r="CL29" s="7">
        <v>-0.26249998807907104</v>
      </c>
      <c r="CM29" s="8">
        <v>-0.57064694166183472</v>
      </c>
      <c r="CN29" s="8">
        <v>8.4137223660945892E-2</v>
      </c>
      <c r="CO29" s="8">
        <v>3.233911469578743E-2</v>
      </c>
      <c r="CP29" s="8">
        <v>0.11095897108316422</v>
      </c>
      <c r="CQ29" s="8">
        <v>-0.19865484535694122</v>
      </c>
      <c r="CR29">
        <v>24.323293365240474</v>
      </c>
      <c r="CS29">
        <v>0.72190012528261349</v>
      </c>
      <c r="CT29">
        <v>1.5037593984962405</v>
      </c>
      <c r="CU29" s="7">
        <v>0.33693432807922363</v>
      </c>
      <c r="CV29" s="8">
        <v>-0.10837329551577568</v>
      </c>
      <c r="CW29">
        <v>0.06</v>
      </c>
      <c r="CX29">
        <v>20.325164557349073</v>
      </c>
      <c r="CY29">
        <v>35651371.872312613</v>
      </c>
      <c r="CZ29">
        <v>0.33693432807922363</v>
      </c>
      <c r="DA29">
        <v>5.4222646765056908</v>
      </c>
      <c r="DB29">
        <v>133637888.08387201</v>
      </c>
      <c r="DC29">
        <v>0.32008761167526245</v>
      </c>
      <c r="DD29">
        <v>1.9914763014169352</v>
      </c>
      <c r="DE29">
        <v>363860719.5498299</v>
      </c>
      <c r="DF29">
        <v>0.29650220870971677</v>
      </c>
      <c r="DG29">
        <v>0.83401522839404452</v>
      </c>
      <c r="DH29">
        <v>868833056.43628025</v>
      </c>
      <c r="DI29">
        <v>0.26954746246337891</v>
      </c>
      <c r="DJ29">
        <v>0.17760017048706128</v>
      </c>
      <c r="DK29">
        <v>4080063650.9118147</v>
      </c>
      <c r="DL29">
        <v>0.23585402965545652</v>
      </c>
      <c r="DM29">
        <v>28266500</v>
      </c>
      <c r="DN29">
        <v>0.33693432807922363</v>
      </c>
      <c r="DO29">
        <v>724620000</v>
      </c>
      <c r="DP29">
        <v>418453349.99999994</v>
      </c>
      <c r="DQ29">
        <v>2623</v>
      </c>
      <c r="DR29">
        <v>-0.68248509730999285</v>
      </c>
      <c r="DS29">
        <v>-0.15255824363938836</v>
      </c>
      <c r="DT29" s="9">
        <v>7.6666666666666661E-2</v>
      </c>
      <c r="DU29">
        <v>-0.48666666666666664</v>
      </c>
      <c r="DV29">
        <v>-0.41</v>
      </c>
      <c r="DW29">
        <v>-2.0828000000000002</v>
      </c>
      <c r="DX29">
        <v>0.77562834645669354</v>
      </c>
      <c r="DY29">
        <v>-2.044350027086614</v>
      </c>
      <c r="DZ29">
        <v>2472</v>
      </c>
      <c r="EA29">
        <v>-2.0228953760184907</v>
      </c>
      <c r="EB29">
        <v>2</v>
      </c>
      <c r="EC29">
        <v>0.40251360946745562</v>
      </c>
      <c r="ED29">
        <v>0.75147928994082835</v>
      </c>
      <c r="EE29" s="10">
        <v>-2.1297999999999999</v>
      </c>
      <c r="EF29">
        <v>-2.1417000000000002</v>
      </c>
      <c r="EG29">
        <v>24.535628346456694</v>
      </c>
      <c r="EH29" t="s">
        <v>1397</v>
      </c>
      <c r="EI29">
        <v>0</v>
      </c>
      <c r="EJ29">
        <v>0</v>
      </c>
      <c r="EK29" s="12">
        <v>45470</v>
      </c>
      <c r="EL29" s="13">
        <v>-0.8</v>
      </c>
      <c r="EM29" s="13">
        <v>-5.34</v>
      </c>
      <c r="EN29" s="13">
        <v>1.71</v>
      </c>
      <c r="EO29" s="13">
        <v>6.3</v>
      </c>
      <c r="EP29" s="13">
        <v>1.19</v>
      </c>
    </row>
    <row r="30" spans="1:146" ht="96" x14ac:dyDescent="0.25">
      <c r="C30" s="6" t="str">
        <f>""&amp;CHAR(10)&amp;Basic_Fundamental_Information_Constructure(F30)&amp;CHAR(10)&amp;Basic_Fundamental_Information_Concatenate("")</f>
        <v xml:space="preserve">
市值28.196624亿, 利润1.15亿; PE14.5; 平均PE16.6; 平均PEG2.11, PB.973; ROIC10.0233%; ROE12.2367%; 股利率2.0548%; 毛利21.7967%; 净利8.3067%; 上一年度营收增-68.26%, 利润增-46.01%; 当季营收增213.14%, 利润增44.7%; 过往5年营收增-7.86%, 利润增4.61%
Income profile:
</v>
      </c>
      <c r="D30" t="s">
        <v>534</v>
      </c>
      <c r="E30" t="s">
        <v>535</v>
      </c>
      <c r="F30">
        <v>14.6</v>
      </c>
      <c r="G30">
        <v>0.21</v>
      </c>
      <c r="H30" t="s">
        <v>1398</v>
      </c>
      <c r="I30">
        <v>2819662400</v>
      </c>
      <c r="J30">
        <v>14.5</v>
      </c>
      <c r="K30">
        <v>0.97299999999999998</v>
      </c>
      <c r="L30" t="s">
        <v>46</v>
      </c>
      <c r="M30" t="s">
        <v>1399</v>
      </c>
      <c r="N30" t="s">
        <v>1400</v>
      </c>
      <c r="O30" t="s">
        <v>1401</v>
      </c>
      <c r="P30">
        <v>-3.39</v>
      </c>
      <c r="Q30" t="s">
        <v>383</v>
      </c>
      <c r="R30">
        <v>41283922</v>
      </c>
      <c r="S30">
        <v>-0.18729999999999999</v>
      </c>
      <c r="T30" t="s">
        <v>152</v>
      </c>
      <c r="U30">
        <v>112015060</v>
      </c>
      <c r="V30">
        <v>193127560</v>
      </c>
      <c r="W30">
        <v>1.35</v>
      </c>
      <c r="X30">
        <v>0.14000000000000001</v>
      </c>
      <c r="Y30">
        <v>7.46</v>
      </c>
      <c r="Z30" t="s">
        <v>1402</v>
      </c>
      <c r="AA30" t="s">
        <v>941</v>
      </c>
      <c r="AB30" t="s">
        <v>1403</v>
      </c>
      <c r="AC30" t="s">
        <v>1404</v>
      </c>
      <c r="AD30" t="s">
        <v>49</v>
      </c>
      <c r="AE30">
        <v>-3661379</v>
      </c>
      <c r="AF30" t="s">
        <v>1405</v>
      </c>
      <c r="AG30" t="s">
        <v>1406</v>
      </c>
      <c r="AH30" t="s">
        <v>1407</v>
      </c>
      <c r="AI30" t="s">
        <v>1408</v>
      </c>
      <c r="AJ30" t="s">
        <v>1409</v>
      </c>
      <c r="AK30" t="s">
        <v>49</v>
      </c>
      <c r="AL30" t="s">
        <v>1410</v>
      </c>
      <c r="AM30" t="s">
        <v>49</v>
      </c>
      <c r="AN30" t="s">
        <v>371</v>
      </c>
      <c r="AO30" t="s">
        <v>49</v>
      </c>
      <c r="AP30" t="s">
        <v>1104</v>
      </c>
      <c r="AQ30" t="s">
        <v>1169</v>
      </c>
      <c r="AR30" t="s">
        <v>1411</v>
      </c>
      <c r="AS30" t="s">
        <v>1412</v>
      </c>
      <c r="AT30" t="s">
        <v>49</v>
      </c>
      <c r="AU30" t="s">
        <v>157</v>
      </c>
      <c r="AV30" t="s">
        <v>1413</v>
      </c>
      <c r="AW30" t="s">
        <v>1414</v>
      </c>
      <c r="AX30" t="s">
        <v>1415</v>
      </c>
      <c r="AY30" t="s">
        <v>536</v>
      </c>
      <c r="AZ30" t="s">
        <v>539</v>
      </c>
      <c r="BA30" t="s">
        <v>540</v>
      </c>
      <c r="BB30" t="s">
        <v>541</v>
      </c>
      <c r="BC30" t="s">
        <v>257</v>
      </c>
      <c r="BD30" t="s">
        <v>537</v>
      </c>
      <c r="BE30" t="s">
        <v>402</v>
      </c>
      <c r="BF30" t="s">
        <v>531</v>
      </c>
      <c r="BG30" t="s">
        <v>427</v>
      </c>
      <c r="BH30" t="s">
        <v>1416</v>
      </c>
      <c r="BI30" t="s">
        <v>531</v>
      </c>
      <c r="BJ30" t="s">
        <v>1415</v>
      </c>
      <c r="BK30" t="s">
        <v>538</v>
      </c>
      <c r="BL30" t="s">
        <v>1417</v>
      </c>
      <c r="BM30" t="s">
        <v>257</v>
      </c>
      <c r="BN30">
        <v>5.22</v>
      </c>
      <c r="BO30">
        <v>10.039999999999999</v>
      </c>
      <c r="BP30">
        <v>14.81</v>
      </c>
      <c r="BQ30">
        <v>5.65</v>
      </c>
      <c r="BR30">
        <v>13.31</v>
      </c>
      <c r="BS30">
        <v>17.75</v>
      </c>
      <c r="BT30" t="s">
        <v>686</v>
      </c>
      <c r="BU30" t="s">
        <v>455</v>
      </c>
      <c r="BV30">
        <v>20.88</v>
      </c>
      <c r="BW30">
        <v>22.41</v>
      </c>
      <c r="BX30">
        <v>22.1</v>
      </c>
      <c r="BY30">
        <v>7.87</v>
      </c>
      <c r="BZ30">
        <v>8.68</v>
      </c>
      <c r="CA30">
        <v>8.3699999999999992</v>
      </c>
      <c r="CB30">
        <v>-0.75</v>
      </c>
      <c r="CC30" s="7">
        <v>-2.54</v>
      </c>
      <c r="CD30" s="8" t="s">
        <v>1418</v>
      </c>
      <c r="CE30" s="7" t="s">
        <v>1419</v>
      </c>
      <c r="CF30" s="7">
        <v>2.1314285714285712</v>
      </c>
      <c r="CG30" s="7">
        <v>0.44703039947283729</v>
      </c>
      <c r="CH30" s="7">
        <v>-0.68257176876068115</v>
      </c>
      <c r="CI30" s="7">
        <v>-2.7908829972147942E-2</v>
      </c>
      <c r="CJ30" s="8">
        <v>0.16858065128326416</v>
      </c>
      <c r="CK30" s="8">
        <v>5.525926873087883E-2</v>
      </c>
      <c r="CL30" s="8">
        <v>9.3849450349807739E-2</v>
      </c>
      <c r="CM30" s="8">
        <v>-0.46009388566017151</v>
      </c>
      <c r="CN30" s="8">
        <v>4.7169812023639679E-3</v>
      </c>
      <c r="CO30">
        <v>0.13978494703769684</v>
      </c>
      <c r="CP30">
        <v>6.2857143580913544E-2</v>
      </c>
      <c r="CQ30">
        <v>0.48305085301399231</v>
      </c>
      <c r="CR30" s="7">
        <v>16.602526398429831</v>
      </c>
      <c r="CS30" s="8">
        <v>2.1134034061012756</v>
      </c>
      <c r="CT30">
        <v>2.0547945205479454</v>
      </c>
      <c r="CU30">
        <v>-7.8558245673775673E-2</v>
      </c>
      <c r="CV30">
        <v>4.6063207834959027E-2</v>
      </c>
      <c r="CW30">
        <v>0.06</v>
      </c>
      <c r="CX30">
        <v>9.5361947826086961</v>
      </c>
      <c r="CY30" t="s">
        <v>1420</v>
      </c>
      <c r="CZ30">
        <v>-7.8558245673775673E-2</v>
      </c>
      <c r="DA30">
        <v>3.1787315942028984</v>
      </c>
      <c r="DB30" t="s">
        <v>1421</v>
      </c>
      <c r="DC30">
        <v>-7.4630333390086886E-2</v>
      </c>
      <c r="DD30">
        <v>1.5893657971014492</v>
      </c>
      <c r="DE30" t="s">
        <v>1422</v>
      </c>
      <c r="DF30">
        <v>-6.9131256192922597E-2</v>
      </c>
      <c r="DG30">
        <v>0.95361947826086957</v>
      </c>
      <c r="DH30" t="s">
        <v>1423</v>
      </c>
      <c r="DI30">
        <v>-6.2846596539020541E-2</v>
      </c>
      <c r="DJ30">
        <v>0.47680973913043478</v>
      </c>
      <c r="DK30" t="s">
        <v>1424</v>
      </c>
      <c r="DL30">
        <v>-5.4990771971642968E-2</v>
      </c>
      <c r="DM30">
        <v>114999999.99999999</v>
      </c>
      <c r="DN30">
        <v>-7.8558245673775673E-2</v>
      </c>
      <c r="DO30">
        <v>1096662400</v>
      </c>
      <c r="DP30">
        <v>1435607500</v>
      </c>
      <c r="DQ30" s="9">
        <v>2646</v>
      </c>
      <c r="DR30">
        <v>2.2099868171023469</v>
      </c>
      <c r="DS30">
        <v>0.40096719163787825</v>
      </c>
      <c r="DT30">
        <v>-0.64</v>
      </c>
      <c r="DU30">
        <v>-6.6666666666666666E-2</v>
      </c>
      <c r="DV30">
        <v>-0.70666666666666667</v>
      </c>
      <c r="DW30">
        <v>-1.0254000000000001</v>
      </c>
      <c r="DX30">
        <v>0.27425049658512562</v>
      </c>
      <c r="DY30">
        <v>-1.0023939626132623</v>
      </c>
      <c r="DZ30">
        <v>1334</v>
      </c>
      <c r="EA30">
        <v>-1.001769002510309</v>
      </c>
      <c r="EB30" s="10">
        <v>1</v>
      </c>
      <c r="EC30">
        <v>8.9676481181660446E-3</v>
      </c>
      <c r="ED30">
        <v>9.5146958828662254E-2</v>
      </c>
      <c r="EE30">
        <v>-2.0439099999999999</v>
      </c>
      <c r="EF30">
        <v>-2.0632100000000002</v>
      </c>
      <c r="EG30">
        <v>18.094250496585126</v>
      </c>
      <c r="EH30" s="12" t="s">
        <v>916</v>
      </c>
      <c r="EI30" s="13">
        <v>0</v>
      </c>
      <c r="EJ30" s="13">
        <v>1</v>
      </c>
      <c r="EK30" s="13">
        <v>45470</v>
      </c>
      <c r="EL30" s="13">
        <v>-3.71</v>
      </c>
      <c r="EM30" s="13">
        <v>-7.75</v>
      </c>
      <c r="EN30" s="13">
        <v>1.8</v>
      </c>
      <c r="EO30" s="13">
        <v>2.09</v>
      </c>
      <c r="EP30" s="13">
        <v>-1.93</v>
      </c>
    </row>
    <row r="31" spans="1:146" ht="96" x14ac:dyDescent="0.25">
      <c r="A31" s="6"/>
      <c r="B31" s="6"/>
      <c r="C31" s="6" t="str">
        <f>""&amp;CHAR(10)&amp;Basic_Fundamental_Information_Constructure(F31)&amp;CHAR(10)&amp;Basic_Fundamental_Information_Concatenate("")</f>
        <v xml:space="preserve">
市值29.946亿, 利润8924.94万; PE16.55; 平均PE22.81; 平均PEG18.81, PB1.25; ROIC8.9967%; ROE10.03%; 股利率.7493%; 毛利22.06%; 净利11%; 上一年度营收增-63.06%, 利润增-47.5%; 当季营收增221.32%, 利润增199%; 过往5年营收增1.21%, 利润增6.71%
Income profile:
</v>
      </c>
      <c r="D31" t="s">
        <v>514</v>
      </c>
      <c r="E31" t="s">
        <v>530</v>
      </c>
      <c r="F31">
        <v>7.13</v>
      </c>
      <c r="G31">
        <v>0.99</v>
      </c>
      <c r="H31" t="s">
        <v>1425</v>
      </c>
      <c r="I31">
        <v>2994600000</v>
      </c>
      <c r="J31">
        <v>16.55</v>
      </c>
      <c r="K31">
        <v>1.25</v>
      </c>
      <c r="L31" t="s">
        <v>46</v>
      </c>
      <c r="M31" t="s">
        <v>1426</v>
      </c>
      <c r="N31" t="s">
        <v>1427</v>
      </c>
      <c r="O31" t="s">
        <v>704</v>
      </c>
      <c r="P31">
        <v>1.04</v>
      </c>
      <c r="Q31" t="s">
        <v>932</v>
      </c>
      <c r="R31">
        <v>52526403</v>
      </c>
      <c r="S31" s="5">
        <v>0.25600000000000001</v>
      </c>
      <c r="T31" t="s">
        <v>1428</v>
      </c>
      <c r="U31">
        <v>271679450</v>
      </c>
      <c r="V31">
        <v>420000000</v>
      </c>
      <c r="W31">
        <v>1.37</v>
      </c>
      <c r="X31">
        <v>0.14000000000000001</v>
      </c>
      <c r="Y31">
        <v>12.02</v>
      </c>
      <c r="Z31" t="s">
        <v>1006</v>
      </c>
      <c r="AA31" t="s">
        <v>327</v>
      </c>
      <c r="AB31" t="s">
        <v>1429</v>
      </c>
      <c r="AC31" t="s">
        <v>1430</v>
      </c>
      <c r="AD31" t="s">
        <v>49</v>
      </c>
      <c r="AE31">
        <v>-1608995</v>
      </c>
      <c r="AF31" t="s">
        <v>1431</v>
      </c>
      <c r="AG31" t="s">
        <v>1432</v>
      </c>
      <c r="AH31" t="s">
        <v>1433</v>
      </c>
      <c r="AI31" t="s">
        <v>1434</v>
      </c>
      <c r="AJ31" t="s">
        <v>1435</v>
      </c>
      <c r="AK31" t="s">
        <v>1436</v>
      </c>
      <c r="AL31" t="s">
        <v>1437</v>
      </c>
      <c r="AM31" t="s">
        <v>49</v>
      </c>
      <c r="AN31" t="s">
        <v>1438</v>
      </c>
      <c r="AO31" t="s">
        <v>841</v>
      </c>
      <c r="AP31" t="s">
        <v>95</v>
      </c>
      <c r="AQ31" t="s">
        <v>116</v>
      </c>
      <c r="AR31" t="s">
        <v>49</v>
      </c>
      <c r="AS31" t="s">
        <v>1439</v>
      </c>
      <c r="AT31" t="s">
        <v>1440</v>
      </c>
      <c r="AU31" t="s">
        <v>407</v>
      </c>
      <c r="AV31" t="s">
        <v>1441</v>
      </c>
      <c r="AW31" t="s">
        <v>1442</v>
      </c>
      <c r="AX31" t="s">
        <v>1443</v>
      </c>
      <c r="AY31" t="s">
        <v>515</v>
      </c>
      <c r="AZ31" t="s">
        <v>516</v>
      </c>
      <c r="BA31" t="s">
        <v>517</v>
      </c>
      <c r="BB31" t="s">
        <v>475</v>
      </c>
      <c r="BC31" t="s">
        <v>421</v>
      </c>
      <c r="BD31" t="s">
        <v>116</v>
      </c>
      <c r="BE31" t="s">
        <v>389</v>
      </c>
      <c r="BF31" t="s">
        <v>435</v>
      </c>
      <c r="BG31" t="s">
        <v>518</v>
      </c>
      <c r="BH31" t="s">
        <v>1444</v>
      </c>
      <c r="BI31" t="s">
        <v>529</v>
      </c>
      <c r="BJ31" t="s">
        <v>1443</v>
      </c>
      <c r="BK31" t="s">
        <v>421</v>
      </c>
      <c r="BL31" t="s">
        <v>1445</v>
      </c>
      <c r="BM31" t="s">
        <v>421</v>
      </c>
      <c r="BN31">
        <v>3.98</v>
      </c>
      <c r="BO31">
        <v>8.93</v>
      </c>
      <c r="BP31">
        <v>14.08</v>
      </c>
      <c r="BQ31">
        <v>4.5999999999999996</v>
      </c>
      <c r="BR31">
        <v>10.73</v>
      </c>
      <c r="BS31">
        <v>14.76</v>
      </c>
      <c r="BT31" t="s">
        <v>1446</v>
      </c>
      <c r="BU31" t="s">
        <v>455</v>
      </c>
      <c r="BV31">
        <v>21.66</v>
      </c>
      <c r="BW31">
        <v>17.23</v>
      </c>
      <c r="BX31">
        <v>27.29</v>
      </c>
      <c r="BY31">
        <v>9.8000000000000007</v>
      </c>
      <c r="BZ31">
        <v>10.54</v>
      </c>
      <c r="CA31">
        <v>12.66</v>
      </c>
      <c r="CB31">
        <v>-0.37</v>
      </c>
      <c r="CC31">
        <v>-16.57</v>
      </c>
      <c r="CD31" t="s">
        <v>1447</v>
      </c>
      <c r="CE31" t="s">
        <v>1448</v>
      </c>
      <c r="CF31" s="7">
        <v>2.2132352941176472</v>
      </c>
      <c r="CG31" s="8">
        <v>1.9900440596342026</v>
      </c>
      <c r="CH31" s="7">
        <v>-0.63059699535369873</v>
      </c>
      <c r="CI31" s="7">
        <v>0.29468598961830139</v>
      </c>
      <c r="CJ31" s="7">
        <v>0.2248520702123642</v>
      </c>
      <c r="CK31" s="7">
        <v>8.4491975605487823E-2</v>
      </c>
      <c r="CL31" s="7">
        <v>8.7209299206733704E-2</v>
      </c>
      <c r="CM31" s="8">
        <v>-0.47500354051589966</v>
      </c>
      <c r="CN31" s="8">
        <v>8.2802549004554749E-2</v>
      </c>
      <c r="CO31" s="8">
        <v>-7.1005918085575104E-2</v>
      </c>
      <c r="CP31" s="8">
        <v>0.45689654350280762</v>
      </c>
      <c r="CQ31" s="8">
        <v>0.34193554520606995</v>
      </c>
      <c r="CR31">
        <v>22.810447285403669</v>
      </c>
      <c r="CS31">
        <v>18.807360956695835</v>
      </c>
      <c r="CT31">
        <v>0.74932538569424967</v>
      </c>
      <c r="CU31" s="7">
        <v>1.2128467857837676E-2</v>
      </c>
      <c r="CV31" s="8">
        <v>6.7125035822391516E-2</v>
      </c>
      <c r="CW31">
        <v>0.06</v>
      </c>
      <c r="CX31">
        <v>17.714414680927941</v>
      </c>
      <c r="CY31">
        <v>85218734.414369151</v>
      </c>
      <c r="CZ31">
        <v>1.2128467857837676E-2</v>
      </c>
      <c r="DA31">
        <v>6.186986516072988</v>
      </c>
      <c r="DB31">
        <v>243996006.14584422</v>
      </c>
      <c r="DC31">
        <v>1.1522044464945792E-2</v>
      </c>
      <c r="DD31">
        <v>3.3197187598156144</v>
      </c>
      <c r="DE31">
        <v>454737316.38756263</v>
      </c>
      <c r="DF31">
        <v>1.0673051714897155E-2</v>
      </c>
      <c r="DG31">
        <v>2.1885128080979088</v>
      </c>
      <c r="DH31">
        <v>689783488.77566361</v>
      </c>
      <c r="DI31">
        <v>9.7027742862701421E-3</v>
      </c>
      <c r="DJ31">
        <v>1.3696705189152503</v>
      </c>
      <c r="DK31">
        <v>1102162877.2411418</v>
      </c>
      <c r="DL31">
        <v>8.4899275004863724E-3</v>
      </c>
      <c r="DM31">
        <v>89249400</v>
      </c>
      <c r="DN31">
        <v>1.2128467857837676E-2</v>
      </c>
      <c r="DO31">
        <v>1509600000</v>
      </c>
      <c r="DP31">
        <v>947075100</v>
      </c>
      <c r="DQ31">
        <v>2701</v>
      </c>
      <c r="DR31">
        <v>2.2011068262598097</v>
      </c>
      <c r="DS31">
        <v>1.922919023811811</v>
      </c>
      <c r="DT31" s="9">
        <v>-0.49</v>
      </c>
      <c r="DU31">
        <v>4.9999999999999968E-2</v>
      </c>
      <c r="DV31">
        <v>-0.44</v>
      </c>
      <c r="DW31">
        <v>-3.0064464285714285</v>
      </c>
      <c r="DX31">
        <v>0.31931213761584931</v>
      </c>
      <c r="DY31">
        <v>-3.0010269943157022</v>
      </c>
      <c r="DZ31">
        <v>2383</v>
      </c>
      <c r="EA31">
        <v>-3.0005480652639767</v>
      </c>
      <c r="EB31">
        <v>3</v>
      </c>
      <c r="EC31">
        <v>2.7986666666666667E-2</v>
      </c>
      <c r="ED31">
        <v>0.17567190476190475</v>
      </c>
      <c r="EE31" s="10">
        <v>4.0316099999999997</v>
      </c>
      <c r="EF31">
        <v>4.0173100000000002</v>
      </c>
      <c r="EG31">
        <v>16.159312137615849</v>
      </c>
      <c r="EH31" t="s">
        <v>1449</v>
      </c>
      <c r="EI31">
        <v>0</v>
      </c>
      <c r="EJ31">
        <v>0</v>
      </c>
      <c r="EK31" s="12">
        <v>45470</v>
      </c>
      <c r="EL31" s="13">
        <v>-1.64</v>
      </c>
      <c r="EM31" s="13">
        <v>-5.9</v>
      </c>
      <c r="EN31" s="13">
        <v>1.95</v>
      </c>
      <c r="EO31" s="13">
        <v>5.63</v>
      </c>
      <c r="EP31" s="13">
        <v>1.43</v>
      </c>
    </row>
    <row r="32" spans="1:146" ht="96" x14ac:dyDescent="0.25">
      <c r="C32" s="6" t="str">
        <f>""&amp;CHAR(10)&amp;Basic_Fundamental_Information_Constructure(F32)&amp;CHAR(10)&amp;Basic_Fundamental_Information_Concatenate("")</f>
        <v xml:space="preserve">
市值18.670872亿, 利润-2.67亿; PE25.55; 平均PE141.63; 平均PEG43.87, PB1.21; ROIC9.3433%; ROE8.28%; 股利率1.0449%; 毛利18.28%; 净利6.8133%; 上一年度营收增-70.4%, 利润增-452.46%; 当季营收增70.62%, 利润增-61.28%; 过往5年营收增3.23%, 利润增-83.6%
Income profile:
</v>
      </c>
      <c r="D32" t="s">
        <v>1450</v>
      </c>
      <c r="E32" t="s">
        <v>1451</v>
      </c>
      <c r="F32">
        <v>9.57</v>
      </c>
      <c r="G32">
        <v>2.13</v>
      </c>
      <c r="H32" t="s">
        <v>1452</v>
      </c>
      <c r="I32">
        <v>1867087200</v>
      </c>
      <c r="J32">
        <v>25.55</v>
      </c>
      <c r="K32">
        <v>1.21</v>
      </c>
      <c r="L32" t="s">
        <v>46</v>
      </c>
      <c r="M32" t="s">
        <v>317</v>
      </c>
      <c r="N32" t="s">
        <v>1453</v>
      </c>
      <c r="O32" t="s">
        <v>502</v>
      </c>
      <c r="P32" s="5">
        <v>23.05</v>
      </c>
      <c r="Q32" t="s">
        <v>931</v>
      </c>
      <c r="R32">
        <v>18468366</v>
      </c>
      <c r="S32">
        <v>6.3200000000000006E-2</v>
      </c>
      <c r="T32" t="s">
        <v>1454</v>
      </c>
      <c r="U32">
        <v>97007928</v>
      </c>
      <c r="V32">
        <v>195097930</v>
      </c>
      <c r="W32">
        <v>1.42</v>
      </c>
      <c r="X32">
        <v>0.14000000000000001</v>
      </c>
      <c r="Y32">
        <v>6.06</v>
      </c>
      <c r="Z32" t="s">
        <v>1455</v>
      </c>
      <c r="AA32" t="s">
        <v>386</v>
      </c>
      <c r="AB32" t="s">
        <v>1456</v>
      </c>
      <c r="AC32" t="s">
        <v>1457</v>
      </c>
      <c r="AD32" t="s">
        <v>49</v>
      </c>
      <c r="AE32">
        <v>-456535</v>
      </c>
      <c r="AF32" t="s">
        <v>1458</v>
      </c>
      <c r="AG32" t="s">
        <v>1459</v>
      </c>
      <c r="AH32" t="s">
        <v>1460</v>
      </c>
      <c r="AI32" t="s">
        <v>470</v>
      </c>
      <c r="AJ32" t="s">
        <v>1461</v>
      </c>
      <c r="AK32" t="s">
        <v>1462</v>
      </c>
      <c r="AL32" t="s">
        <v>1463</v>
      </c>
      <c r="AM32" t="s">
        <v>49</v>
      </c>
      <c r="AN32" t="s">
        <v>1266</v>
      </c>
      <c r="AO32" t="s">
        <v>503</v>
      </c>
      <c r="AP32" t="s">
        <v>601</v>
      </c>
      <c r="AQ32" t="s">
        <v>1464</v>
      </c>
      <c r="AR32" t="s">
        <v>49</v>
      </c>
      <c r="AS32" t="s">
        <v>1465</v>
      </c>
      <c r="AT32" t="s">
        <v>49</v>
      </c>
      <c r="AU32" t="s">
        <v>1466</v>
      </c>
      <c r="AV32" t="s">
        <v>1467</v>
      </c>
      <c r="AW32" t="s">
        <v>1468</v>
      </c>
      <c r="AX32" t="s">
        <v>1469</v>
      </c>
      <c r="AY32" t="s">
        <v>1470</v>
      </c>
      <c r="AZ32" t="s">
        <v>1471</v>
      </c>
      <c r="BA32" t="s">
        <v>1472</v>
      </c>
      <c r="BB32" t="s">
        <v>1473</v>
      </c>
      <c r="BC32" t="s">
        <v>1474</v>
      </c>
      <c r="BD32" t="s">
        <v>1475</v>
      </c>
      <c r="BE32" t="s">
        <v>1476</v>
      </c>
      <c r="BF32" t="s">
        <v>1477</v>
      </c>
      <c r="BG32" t="s">
        <v>1478</v>
      </c>
      <c r="BH32" t="s">
        <v>1479</v>
      </c>
      <c r="BI32" t="s">
        <v>1139</v>
      </c>
      <c r="BJ32" t="s">
        <v>1469</v>
      </c>
      <c r="BK32" t="s">
        <v>1480</v>
      </c>
      <c r="BL32" t="s">
        <v>1481</v>
      </c>
      <c r="BM32" t="s">
        <v>1474</v>
      </c>
      <c r="BN32">
        <v>4.3600000000000003</v>
      </c>
      <c r="BO32">
        <v>10.31</v>
      </c>
      <c r="BP32">
        <v>13.36</v>
      </c>
      <c r="BQ32">
        <v>5.57</v>
      </c>
      <c r="BR32">
        <v>10.99</v>
      </c>
      <c r="BS32" t="s">
        <v>49</v>
      </c>
      <c r="BT32" t="s">
        <v>690</v>
      </c>
      <c r="BU32" t="s">
        <v>455</v>
      </c>
      <c r="BV32">
        <v>17.829999999999998</v>
      </c>
      <c r="BW32">
        <v>18.11</v>
      </c>
      <c r="BX32">
        <v>18.899999999999999</v>
      </c>
      <c r="BY32">
        <v>6.24</v>
      </c>
      <c r="BZ32">
        <v>7.17</v>
      </c>
      <c r="CA32">
        <v>7.03</v>
      </c>
      <c r="CB32">
        <v>-0.21</v>
      </c>
      <c r="CC32" s="7">
        <v>-17.14</v>
      </c>
      <c r="CD32" s="8" t="s">
        <v>1482</v>
      </c>
      <c r="CE32" s="7" t="s">
        <v>1483</v>
      </c>
      <c r="CF32" s="7">
        <v>0.70621468926553677</v>
      </c>
      <c r="CG32" s="7">
        <v>-0.61276162918697907</v>
      </c>
      <c r="CH32" s="7">
        <v>-0.70398479700088501</v>
      </c>
      <c r="CI32" s="7">
        <v>-0.11799167841672897</v>
      </c>
      <c r="CJ32" s="8">
        <v>0.40919819474220276</v>
      </c>
      <c r="CK32" s="8">
        <v>0.22720694541931152</v>
      </c>
      <c r="CL32" s="8">
        <v>0.34697854518890381</v>
      </c>
      <c r="CM32" s="8">
        <v>-4.5246315002441406</v>
      </c>
      <c r="CN32" s="8">
        <v>-9.8346486687660217E-2</v>
      </c>
      <c r="CO32">
        <v>0.27001920342445374</v>
      </c>
      <c r="CP32">
        <v>3.3606868237257004E-2</v>
      </c>
      <c r="CQ32">
        <v>0.13930049538612366</v>
      </c>
      <c r="CR32" s="7">
        <v>141.62714684312132</v>
      </c>
      <c r="CS32" s="8">
        <v>43.872620963488103</v>
      </c>
      <c r="CT32">
        <v>1.044932079414838</v>
      </c>
      <c r="CU32">
        <v>3.228144198656082E-2</v>
      </c>
      <c r="CV32">
        <v>-0.83601028397679333</v>
      </c>
      <c r="CW32">
        <v>0.06</v>
      </c>
      <c r="CX32" t="e">
        <v>#VALUE!</v>
      </c>
      <c r="CY32" t="s">
        <v>464</v>
      </c>
      <c r="CZ32">
        <v>3.228144198656082E-2</v>
      </c>
      <c r="DA32" t="e">
        <v>#VALUE!</v>
      </c>
      <c r="DB32" t="s">
        <v>464</v>
      </c>
      <c r="DC32">
        <v>3.0667369887232777E-2</v>
      </c>
      <c r="DD32" t="e">
        <v>#VALUE!</v>
      </c>
      <c r="DE32" t="s">
        <v>464</v>
      </c>
      <c r="DF32">
        <v>2.8407668948173523E-2</v>
      </c>
      <c r="DG32" t="e">
        <v>#VALUE!</v>
      </c>
      <c r="DH32" t="s">
        <v>464</v>
      </c>
      <c r="DI32">
        <v>2.5825153589248657E-2</v>
      </c>
      <c r="DJ32" t="e">
        <v>#VALUE!</v>
      </c>
      <c r="DK32" t="s">
        <v>464</v>
      </c>
      <c r="DL32">
        <v>2.2597009390592573E-2</v>
      </c>
      <c r="DM32">
        <v>-267000000</v>
      </c>
      <c r="DN32">
        <v>3.228144198656082E-2</v>
      </c>
      <c r="DO32">
        <v>991087200</v>
      </c>
      <c r="DP32">
        <v>323136410</v>
      </c>
      <c r="DQ32" s="9">
        <v>2746</v>
      </c>
      <c r="DR32">
        <v>0.67393324727897597</v>
      </c>
      <c r="DS32">
        <v>0.22324865478981426</v>
      </c>
      <c r="DT32">
        <v>-0.42333333333333339</v>
      </c>
      <c r="DU32">
        <v>-0.6166666666666667</v>
      </c>
      <c r="DV32">
        <v>-1.04</v>
      </c>
      <c r="DW32">
        <v>-3.012892857142857</v>
      </c>
      <c r="DX32">
        <v>0.34792419595901602</v>
      </c>
      <c r="DY32">
        <v>-3.001778236955043</v>
      </c>
      <c r="DZ32">
        <v>1172</v>
      </c>
      <c r="EA32">
        <v>-3.0013703908275851</v>
      </c>
      <c r="EB32" s="10">
        <v>3</v>
      </c>
      <c r="EC32" s="10">
        <v>3.9212102352905537E-2</v>
      </c>
      <c r="ED32">
        <v>0.28430183754384275</v>
      </c>
      <c r="EE32">
        <v>5.7000000000000037E-3</v>
      </c>
      <c r="EF32">
        <v>7.9100000000000004E-3</v>
      </c>
      <c r="EG32">
        <v>21.137924195959016</v>
      </c>
      <c r="EH32" s="12">
        <v>-1</v>
      </c>
      <c r="EI32">
        <v>0</v>
      </c>
      <c r="EJ32">
        <v>1</v>
      </c>
      <c r="EK32">
        <v>45470</v>
      </c>
      <c r="EL32">
        <v>-2.54</v>
      </c>
      <c r="EM32">
        <v>-4.55</v>
      </c>
      <c r="EN32" s="13">
        <v>2.86</v>
      </c>
      <c r="EO32" s="13">
        <v>6.35</v>
      </c>
      <c r="EP32" s="13">
        <v>-1.36</v>
      </c>
    </row>
    <row r="33" spans="1:146" ht="96" x14ac:dyDescent="0.25">
      <c r="A33" s="6"/>
      <c r="B33" s="6"/>
      <c r="C33" s="6" t="str">
        <f>""&amp;CHAR(10)&amp;Basic_Fundamental_Information_Constructure(F33)&amp;CHAR(10)&amp;Basic_Fundamental_Information_Concatenate("")</f>
        <v xml:space="preserve">
市值21.243785亿, 利润-6082.91万; PE; 平均PE-16.8; 平均PEG-.1, PB.493; ROIC1.36%; ROE-2.1067%; 股利率0%; 毛利1.9833%; 净利-53.8567%; 上一年度营收增568.32%, 利润增68.32%; 当季营收增-93.53%, 利润增-269.19%; 过往5年营收增169.01%, 利润增68.32%
Income profile:
</v>
      </c>
      <c r="D33" t="s">
        <v>520</v>
      </c>
      <c r="E33" t="s">
        <v>521</v>
      </c>
      <c r="F33">
        <v>1.58</v>
      </c>
      <c r="G33">
        <v>-10.23</v>
      </c>
      <c r="H33" t="s">
        <v>1484</v>
      </c>
      <c r="I33">
        <v>2124378500</v>
      </c>
      <c r="K33">
        <v>0.49299999999999999</v>
      </c>
      <c r="L33" t="s">
        <v>46</v>
      </c>
      <c r="M33" t="s">
        <v>1485</v>
      </c>
      <c r="N33" t="s">
        <v>1486</v>
      </c>
      <c r="O33" t="s">
        <v>1487</v>
      </c>
      <c r="P33">
        <v>108.35</v>
      </c>
      <c r="Q33" t="s">
        <v>1488</v>
      </c>
      <c r="R33">
        <v>-33648256</v>
      </c>
      <c r="S33" s="5">
        <v>1.21E-2</v>
      </c>
      <c r="T33" t="s">
        <v>1489</v>
      </c>
      <c r="U33">
        <v>1344543400</v>
      </c>
      <c r="V33">
        <v>1344543400</v>
      </c>
      <c r="W33">
        <v>1.58</v>
      </c>
      <c r="X33" t="s">
        <v>49</v>
      </c>
      <c r="Y33">
        <v>-65.680000000000007</v>
      </c>
      <c r="Z33" t="s">
        <v>49</v>
      </c>
      <c r="AA33" t="s">
        <v>49</v>
      </c>
      <c r="AB33" t="s">
        <v>49</v>
      </c>
      <c r="AC33" t="s">
        <v>49</v>
      </c>
      <c r="AD33" t="s">
        <v>49</v>
      </c>
      <c r="AE33">
        <v>18777331</v>
      </c>
      <c r="AF33" t="s">
        <v>50</v>
      </c>
      <c r="AG33">
        <v>19.45</v>
      </c>
      <c r="AH33" t="s">
        <v>1490</v>
      </c>
      <c r="AI33" t="s">
        <v>128</v>
      </c>
      <c r="AJ33" t="s">
        <v>1491</v>
      </c>
      <c r="AK33" t="s">
        <v>49</v>
      </c>
      <c r="AL33" t="s">
        <v>1492</v>
      </c>
      <c r="AM33" t="s">
        <v>49</v>
      </c>
      <c r="AN33" t="s">
        <v>1493</v>
      </c>
      <c r="AO33" t="s">
        <v>49</v>
      </c>
      <c r="AP33" t="s">
        <v>49</v>
      </c>
      <c r="AQ33" t="s">
        <v>1494</v>
      </c>
      <c r="AR33" t="s">
        <v>1495</v>
      </c>
      <c r="AS33" t="s">
        <v>49</v>
      </c>
      <c r="AT33" t="s">
        <v>49</v>
      </c>
      <c r="AU33" t="s">
        <v>1496</v>
      </c>
      <c r="AV33" t="s">
        <v>1497</v>
      </c>
      <c r="AW33" t="s">
        <v>1498</v>
      </c>
      <c r="AX33" t="s">
        <v>322</v>
      </c>
      <c r="AY33" t="s">
        <v>49</v>
      </c>
      <c r="AZ33" t="s">
        <v>522</v>
      </c>
      <c r="BA33" t="s">
        <v>523</v>
      </c>
      <c r="BB33" t="s">
        <v>524</v>
      </c>
      <c r="BC33" t="s">
        <v>1499</v>
      </c>
      <c r="BD33" t="s">
        <v>49</v>
      </c>
      <c r="BE33" t="s">
        <v>49</v>
      </c>
      <c r="BF33" t="s">
        <v>49</v>
      </c>
      <c r="BG33" t="s">
        <v>49</v>
      </c>
      <c r="BH33" t="s">
        <v>1500</v>
      </c>
      <c r="BI33" t="s">
        <v>1501</v>
      </c>
      <c r="BJ33" t="s">
        <v>322</v>
      </c>
      <c r="BK33" t="s">
        <v>1502</v>
      </c>
      <c r="BL33" t="s">
        <v>1503</v>
      </c>
      <c r="BM33" t="s">
        <v>1499</v>
      </c>
      <c r="BN33" t="s">
        <v>49</v>
      </c>
      <c r="BO33" t="s">
        <v>49</v>
      </c>
      <c r="BP33">
        <v>1.36</v>
      </c>
      <c r="BQ33">
        <v>-2.88</v>
      </c>
      <c r="BR33">
        <v>-4.08</v>
      </c>
      <c r="BS33">
        <v>0.64</v>
      </c>
      <c r="BT33" t="s">
        <v>685</v>
      </c>
      <c r="BU33" t="s">
        <v>455</v>
      </c>
      <c r="BV33">
        <v>-22.18</v>
      </c>
      <c r="BW33">
        <v>10.92</v>
      </c>
      <c r="BX33">
        <v>17.21</v>
      </c>
      <c r="BY33">
        <v>-119.83</v>
      </c>
      <c r="BZ33">
        <v>-43.88</v>
      </c>
      <c r="CA33">
        <v>2.14</v>
      </c>
      <c r="CB33">
        <v>7.48</v>
      </c>
      <c r="CC33">
        <v>-15.51</v>
      </c>
      <c r="CD33" t="s">
        <v>606</v>
      </c>
      <c r="CE33" t="s">
        <v>1504</v>
      </c>
      <c r="CF33" s="7">
        <v>-0.93533756157635473</v>
      </c>
      <c r="CG33" s="8">
        <v>-2.6919384132666915</v>
      </c>
      <c r="CH33" s="7">
        <v>5.6831893920898437</v>
      </c>
      <c r="CI33" s="7" t="s">
        <v>49</v>
      </c>
      <c r="CJ33" s="7" t="s">
        <v>49</v>
      </c>
      <c r="CK33" s="7">
        <v>-0.49180325865745544</v>
      </c>
      <c r="CL33" s="7">
        <v>-0.12096067517995834</v>
      </c>
      <c r="CM33" s="8">
        <v>0.6831817626953125</v>
      </c>
      <c r="CN33" s="8" t="s">
        <v>49</v>
      </c>
      <c r="CO33" s="8" t="s">
        <v>49</v>
      </c>
      <c r="CP33" s="8" t="s">
        <v>49</v>
      </c>
      <c r="CQ33" s="8" t="s">
        <v>49</v>
      </c>
      <c r="CR33">
        <v>-16.804857510468533</v>
      </c>
      <c r="CS33">
        <v>-9.9428682950762598E-2</v>
      </c>
      <c r="CT33">
        <v>0</v>
      </c>
      <c r="CU33" s="7">
        <v>1.6901418194174767</v>
      </c>
      <c r="CV33" s="8">
        <v>0.6831817626953125</v>
      </c>
      <c r="CW33">
        <v>0.06</v>
      </c>
      <c r="CX33" t="e">
        <v>#VALUE!</v>
      </c>
      <c r="CY33" t="s">
        <v>463</v>
      </c>
      <c r="CZ33">
        <v>1.6901418194174767</v>
      </c>
      <c r="DA33" t="e">
        <v>#VALUE!</v>
      </c>
      <c r="DB33" t="s">
        <v>464</v>
      </c>
      <c r="DC33">
        <v>1.6056347284466028</v>
      </c>
      <c r="DD33" t="e">
        <v>#VALUE!</v>
      </c>
      <c r="DE33" t="s">
        <v>464</v>
      </c>
      <c r="DF33">
        <v>1.4873248010873794</v>
      </c>
      <c r="DG33" t="e">
        <v>#VALUE!</v>
      </c>
      <c r="DH33" t="s">
        <v>464</v>
      </c>
      <c r="DI33">
        <v>1.3521134555339813</v>
      </c>
      <c r="DJ33" t="e">
        <v>#VALUE!</v>
      </c>
      <c r="DK33" t="s">
        <v>464</v>
      </c>
      <c r="DL33">
        <v>1.1830992735922337</v>
      </c>
      <c r="DM33">
        <v>-60829100</v>
      </c>
      <c r="DN33">
        <v>1.6901418194174767</v>
      </c>
      <c r="DO33">
        <v>273378500</v>
      </c>
      <c r="DP33">
        <v>4188355000</v>
      </c>
      <c r="DQ33">
        <v>2901</v>
      </c>
      <c r="DR33">
        <v>-2.6254793809938315</v>
      </c>
      <c r="DS33">
        <v>-3.375120175962004</v>
      </c>
      <c r="DT33" s="9">
        <v>-0.21000000000000008</v>
      </c>
      <c r="DU33">
        <v>-2.9449999999999998</v>
      </c>
      <c r="DV33">
        <v>-3.1549999999999998</v>
      </c>
      <c r="DW33">
        <v>7.3253588516746415</v>
      </c>
      <c r="DX33">
        <v>0.95348837209302673</v>
      </c>
      <c r="DY33">
        <v>7.1475464559919883</v>
      </c>
      <c r="DZ33">
        <v>3761</v>
      </c>
      <c r="EA33">
        <v>7.0389511094194113</v>
      </c>
      <c r="EB33">
        <v>7</v>
      </c>
      <c r="EC33">
        <v>0.20304290661052668</v>
      </c>
      <c r="ED33">
        <v>0.44773564021808443</v>
      </c>
      <c r="EE33" s="10">
        <v>-2.0276000000000001</v>
      </c>
      <c r="EF33">
        <v>-2.0163000000000002</v>
      </c>
      <c r="EG33">
        <v>50.453488372093027</v>
      </c>
      <c r="EH33" t="s">
        <v>1397</v>
      </c>
      <c r="EI33">
        <v>1</v>
      </c>
      <c r="EJ33">
        <v>0</v>
      </c>
      <c r="EK33" s="12">
        <v>45470</v>
      </c>
      <c r="EL33" s="13">
        <v>0.56000000000000005</v>
      </c>
      <c r="EM33" s="13">
        <v>-4.74</v>
      </c>
      <c r="EN33" s="13">
        <v>1.75</v>
      </c>
      <c r="EO33" s="13">
        <v>2.0099999999999998</v>
      </c>
      <c r="EP33" s="13">
        <v>-1.1299999999999999</v>
      </c>
    </row>
    <row r="34" spans="1:146" ht="228" x14ac:dyDescent="0.25">
      <c r="A34" s="6" t="s">
        <v>480</v>
      </c>
      <c r="B34" s="6" t="s">
        <v>481</v>
      </c>
      <c r="C34" s="6" t="s">
        <v>479</v>
      </c>
      <c r="D34" t="s">
        <v>143</v>
      </c>
      <c r="E34" t="s">
        <v>27</v>
      </c>
      <c r="F34">
        <v>5.04</v>
      </c>
      <c r="G34">
        <v>0</v>
      </c>
      <c r="H34" t="s">
        <v>1505</v>
      </c>
      <c r="I34">
        <v>7644350200</v>
      </c>
      <c r="J34">
        <v>12.78</v>
      </c>
      <c r="K34">
        <v>1.29</v>
      </c>
      <c r="L34" t="s">
        <v>46</v>
      </c>
      <c r="M34" t="s">
        <v>1506</v>
      </c>
      <c r="N34" t="s">
        <v>1507</v>
      </c>
      <c r="O34" t="s">
        <v>1508</v>
      </c>
      <c r="P34">
        <v>0.03</v>
      </c>
      <c r="Q34" t="s">
        <v>1509</v>
      </c>
      <c r="R34">
        <v>157089450</v>
      </c>
      <c r="S34" s="5">
        <v>0.32369999999999999</v>
      </c>
      <c r="T34" t="s">
        <v>1510</v>
      </c>
      <c r="U34">
        <v>1516736200</v>
      </c>
      <c r="V34">
        <v>1516736200</v>
      </c>
      <c r="W34">
        <v>2.23</v>
      </c>
      <c r="X34" t="s">
        <v>49</v>
      </c>
      <c r="Y34">
        <v>7.31</v>
      </c>
      <c r="Z34" t="s">
        <v>49</v>
      </c>
      <c r="AA34" t="s">
        <v>49</v>
      </c>
      <c r="AB34" t="s">
        <v>49</v>
      </c>
      <c r="AC34" t="s">
        <v>49</v>
      </c>
      <c r="AD34" t="s">
        <v>49</v>
      </c>
      <c r="AE34">
        <v>17341876</v>
      </c>
      <c r="AF34" t="s">
        <v>1511</v>
      </c>
      <c r="AG34" t="s">
        <v>1512</v>
      </c>
      <c r="AH34" t="s">
        <v>1513</v>
      </c>
      <c r="AI34" t="s">
        <v>1514</v>
      </c>
      <c r="AJ34" t="s">
        <v>1515</v>
      </c>
      <c r="AK34" t="s">
        <v>49</v>
      </c>
      <c r="AL34" t="s">
        <v>1516</v>
      </c>
      <c r="AM34" t="s">
        <v>49</v>
      </c>
      <c r="AN34" t="s">
        <v>590</v>
      </c>
      <c r="AO34" t="s">
        <v>49</v>
      </c>
      <c r="AP34" t="s">
        <v>128</v>
      </c>
      <c r="AQ34" t="s">
        <v>1517</v>
      </c>
      <c r="AR34" t="s">
        <v>1518</v>
      </c>
      <c r="AS34" t="s">
        <v>49</v>
      </c>
      <c r="AT34" t="s">
        <v>49</v>
      </c>
      <c r="AU34" t="s">
        <v>1519</v>
      </c>
      <c r="AV34" t="s">
        <v>1520</v>
      </c>
      <c r="AW34" t="s">
        <v>587</v>
      </c>
      <c r="AX34" t="s">
        <v>1521</v>
      </c>
      <c r="AY34" t="s">
        <v>49</v>
      </c>
      <c r="AZ34" t="s">
        <v>299</v>
      </c>
      <c r="BA34" t="s">
        <v>144</v>
      </c>
      <c r="BB34" t="s">
        <v>301</v>
      </c>
      <c r="BC34" t="s">
        <v>608</v>
      </c>
      <c r="BD34" t="s">
        <v>49</v>
      </c>
      <c r="BE34" t="s">
        <v>49</v>
      </c>
      <c r="BF34" t="s">
        <v>49</v>
      </c>
      <c r="BG34" t="s">
        <v>49</v>
      </c>
      <c r="BH34" t="s">
        <v>1522</v>
      </c>
      <c r="BI34" t="s">
        <v>1426</v>
      </c>
      <c r="BJ34" t="s">
        <v>1521</v>
      </c>
      <c r="BK34" t="s">
        <v>1523</v>
      </c>
      <c r="BL34" t="s">
        <v>202</v>
      </c>
      <c r="BM34" t="s">
        <v>608</v>
      </c>
      <c r="BN34">
        <v>5.61</v>
      </c>
      <c r="BO34">
        <v>8.0399999999999991</v>
      </c>
      <c r="BP34">
        <v>7.74</v>
      </c>
      <c r="BQ34">
        <v>8.0399999999999991</v>
      </c>
      <c r="BR34">
        <v>10.88</v>
      </c>
      <c r="BS34">
        <v>10.16</v>
      </c>
      <c r="BT34" t="s">
        <v>693</v>
      </c>
      <c r="BU34" t="s">
        <v>455</v>
      </c>
      <c r="BV34">
        <v>21.38</v>
      </c>
      <c r="BW34">
        <v>20.58</v>
      </c>
      <c r="BX34">
        <v>21.2</v>
      </c>
      <c r="BY34">
        <v>6.74</v>
      </c>
      <c r="BZ34">
        <v>7.01</v>
      </c>
      <c r="CA34">
        <v>6.32</v>
      </c>
      <c r="CB34">
        <v>-0.59</v>
      </c>
      <c r="CC34">
        <v>-8.0299999999999994</v>
      </c>
      <c r="CD34" t="s">
        <v>1524</v>
      </c>
      <c r="CE34" t="s">
        <v>879</v>
      </c>
      <c r="CF34" s="7">
        <v>1.4729878721058434</v>
      </c>
      <c r="CG34" s="8">
        <v>-0.4815529702970297</v>
      </c>
      <c r="CH34" s="7">
        <v>-0.67381346225738525</v>
      </c>
      <c r="CI34" s="7" t="s">
        <v>49</v>
      </c>
      <c r="CJ34" s="7" t="s">
        <v>49</v>
      </c>
      <c r="CK34" s="7">
        <v>-8.6092710494995117E-2</v>
      </c>
      <c r="CL34" s="7">
        <v>2.2308539599180222E-2</v>
      </c>
      <c r="CM34" s="8">
        <v>0.32835820317268372</v>
      </c>
      <c r="CN34" s="8" t="s">
        <v>49</v>
      </c>
      <c r="CO34" s="8" t="s">
        <v>49</v>
      </c>
      <c r="CP34" s="8" t="s">
        <v>49</v>
      </c>
      <c r="CQ34" s="8" t="s">
        <v>49</v>
      </c>
      <c r="CR34">
        <v>10.889387749287749</v>
      </c>
      <c r="CS34">
        <v>0.44289951295272151</v>
      </c>
      <c r="CT34">
        <v>4.9603174603174605</v>
      </c>
      <c r="CU34" s="7">
        <v>-0.24586587771773338</v>
      </c>
      <c r="CV34" s="8">
        <v>0.32835820317268372</v>
      </c>
      <c r="CW34">
        <v>0.06</v>
      </c>
      <c r="CX34">
        <v>10.815668164794008</v>
      </c>
      <c r="CY34" t="s">
        <v>1525</v>
      </c>
      <c r="CZ34">
        <v>-0.24586587771773338</v>
      </c>
      <c r="DA34">
        <v>3.6052227215980026</v>
      </c>
      <c r="DB34" t="s">
        <v>1526</v>
      </c>
      <c r="DC34">
        <v>-0.2335725838318467</v>
      </c>
      <c r="DD34">
        <v>1.8026113607990013</v>
      </c>
      <c r="DE34" t="s">
        <v>1527</v>
      </c>
      <c r="DF34">
        <v>-0.21636197239160537</v>
      </c>
      <c r="DG34">
        <v>1.0815668164794008</v>
      </c>
      <c r="DH34" t="s">
        <v>1528</v>
      </c>
      <c r="DI34">
        <v>-0.19669270217418672</v>
      </c>
      <c r="DJ34">
        <v>0.54078340823970039</v>
      </c>
      <c r="DK34" t="s">
        <v>1529</v>
      </c>
      <c r="DL34">
        <v>-0.17210611440241336</v>
      </c>
      <c r="DM34">
        <v>801000000</v>
      </c>
      <c r="DN34">
        <v>-0.24586587771773338</v>
      </c>
      <c r="DO34">
        <v>8663350200</v>
      </c>
      <c r="DP34">
        <v>8002673800</v>
      </c>
      <c r="DQ34">
        <v>3008</v>
      </c>
      <c r="DR34">
        <v>1.7188537498235767</v>
      </c>
      <c r="DS34">
        <v>-0.80991117346971342</v>
      </c>
      <c r="DT34" s="9">
        <v>-1.1599999999999999</v>
      </c>
      <c r="DU34">
        <v>-0.16000000000000003</v>
      </c>
      <c r="DV34">
        <v>-1.3199999999999998</v>
      </c>
      <c r="DW34">
        <v>-2.0802999999999998</v>
      </c>
      <c r="DX34">
        <v>0.29667490494296589</v>
      </c>
      <c r="DY34">
        <v>-2.0117779948669203</v>
      </c>
      <c r="DZ34">
        <v>3165</v>
      </c>
      <c r="EA34">
        <v>-2.0044830137017926</v>
      </c>
      <c r="EB34">
        <v>2</v>
      </c>
      <c r="EC34">
        <v>5.086645917727816E-2</v>
      </c>
      <c r="ED34">
        <v>0.34679728749139105</v>
      </c>
      <c r="EE34" s="10">
        <v>1.0577000000000001</v>
      </c>
      <c r="EF34">
        <v>1.0194000000000001</v>
      </c>
      <c r="EG34">
        <v>15.146674904942966</v>
      </c>
      <c r="EH34" t="s">
        <v>709</v>
      </c>
      <c r="EI34">
        <v>0</v>
      </c>
      <c r="EJ34">
        <v>0</v>
      </c>
      <c r="EK34" s="12">
        <v>45470</v>
      </c>
      <c r="EL34" s="13">
        <v>-0.52</v>
      </c>
      <c r="EM34" s="13">
        <v>-6.22</v>
      </c>
      <c r="EN34" s="13">
        <v>0.55000000000000004</v>
      </c>
      <c r="EO34" s="13">
        <v>0.55000000000000004</v>
      </c>
      <c r="EP34" s="13">
        <v>-3.83</v>
      </c>
    </row>
    <row r="35" spans="1:146" ht="96" x14ac:dyDescent="0.25">
      <c r="A35" s="6"/>
      <c r="B35" s="6"/>
      <c r="C35" s="6" t="str">
        <f>""&amp;CHAR(10)&amp;Basic_Fundamental_Information_Constructure(F35)&amp;CHAR(10)&amp;Basic_Fundamental_Information_Concatenate("")</f>
        <v xml:space="preserve">
市值3.0102888亿, 利润10.08亿; PE; 平均PE1.43; 平均PEG0, PB.272; ROIC13.28%; ROE3.6067%; 股利率0%; 毛利24.7567%; 净利1.3167%; 上一年度营收增4365.56%, 利润增1344.26%; 当季营收增-98.57%, 利润增-100.36%; 过往5年营收增869.23%, 利润增172.28%
Income profile:
</v>
      </c>
      <c r="D35" t="s">
        <v>145</v>
      </c>
      <c r="E35" t="s">
        <v>1530</v>
      </c>
      <c r="F35" t="s">
        <v>49</v>
      </c>
      <c r="G35" t="s">
        <v>49</v>
      </c>
      <c r="H35" t="s">
        <v>49</v>
      </c>
      <c r="I35">
        <v>301028880</v>
      </c>
      <c r="K35">
        <v>0.27200000000000002</v>
      </c>
      <c r="L35" t="s">
        <v>46</v>
      </c>
      <c r="M35" t="s">
        <v>309</v>
      </c>
      <c r="N35" t="s">
        <v>1531</v>
      </c>
      <c r="O35" t="s">
        <v>219</v>
      </c>
      <c r="P35">
        <v>-4.07</v>
      </c>
      <c r="Q35" t="s">
        <v>1532</v>
      </c>
      <c r="R35">
        <v>-8643829</v>
      </c>
      <c r="S35" s="5">
        <v>-8.0169999999999995</v>
      </c>
      <c r="T35" t="s">
        <v>1533</v>
      </c>
      <c r="U35">
        <v>665243070</v>
      </c>
      <c r="V35">
        <v>668953070</v>
      </c>
      <c r="W35">
        <v>1.65</v>
      </c>
      <c r="X35">
        <v>0.06</v>
      </c>
      <c r="Y35">
        <v>-6.76</v>
      </c>
      <c r="Z35" t="s">
        <v>529</v>
      </c>
      <c r="AA35" t="s">
        <v>571</v>
      </c>
      <c r="AB35" t="s">
        <v>1534</v>
      </c>
      <c r="AC35" t="s">
        <v>1535</v>
      </c>
      <c r="AD35" t="s">
        <v>49</v>
      </c>
      <c r="AE35">
        <v>6744307</v>
      </c>
      <c r="AF35" t="s">
        <v>1536</v>
      </c>
      <c r="AG35">
        <v>0.01</v>
      </c>
      <c r="AH35" t="s">
        <v>1537</v>
      </c>
      <c r="AI35" t="s">
        <v>1538</v>
      </c>
      <c r="AJ35" t="s">
        <v>49</v>
      </c>
      <c r="AK35" t="s">
        <v>1539</v>
      </c>
      <c r="AL35" t="s">
        <v>1540</v>
      </c>
      <c r="AM35" t="s">
        <v>49</v>
      </c>
      <c r="AN35">
        <v>0</v>
      </c>
      <c r="AO35" t="s">
        <v>826</v>
      </c>
      <c r="AP35" t="s">
        <v>49</v>
      </c>
      <c r="AQ35" t="s">
        <v>169</v>
      </c>
      <c r="AR35" t="s">
        <v>1541</v>
      </c>
      <c r="AS35" t="s">
        <v>1542</v>
      </c>
      <c r="AT35" t="s">
        <v>49</v>
      </c>
      <c r="AU35" t="s">
        <v>1543</v>
      </c>
      <c r="AV35" t="s">
        <v>1544</v>
      </c>
      <c r="AW35" t="s">
        <v>1545</v>
      </c>
      <c r="AX35" t="s">
        <v>285</v>
      </c>
      <c r="AY35" t="s">
        <v>448</v>
      </c>
      <c r="AZ35" t="s">
        <v>303</v>
      </c>
      <c r="BA35" t="s">
        <v>146</v>
      </c>
      <c r="BB35" t="s">
        <v>304</v>
      </c>
      <c r="BC35" t="s">
        <v>1546</v>
      </c>
      <c r="BD35" t="s">
        <v>387</v>
      </c>
      <c r="BE35" t="s">
        <v>124</v>
      </c>
      <c r="BF35" t="s">
        <v>147</v>
      </c>
      <c r="BG35" t="s">
        <v>305</v>
      </c>
      <c r="BH35" t="s">
        <v>512</v>
      </c>
      <c r="BI35" t="s">
        <v>1547</v>
      </c>
      <c r="BJ35" t="s">
        <v>285</v>
      </c>
      <c r="BK35" t="s">
        <v>1548</v>
      </c>
      <c r="BL35" t="s">
        <v>1549</v>
      </c>
      <c r="BM35" t="s">
        <v>1546</v>
      </c>
      <c r="BN35" t="s">
        <v>49</v>
      </c>
      <c r="BO35" t="s">
        <v>49</v>
      </c>
      <c r="BP35">
        <v>13.28</v>
      </c>
      <c r="BQ35">
        <v>-0.87</v>
      </c>
      <c r="BR35">
        <v>-6.88</v>
      </c>
      <c r="BS35">
        <v>18.57</v>
      </c>
      <c r="BT35" t="s">
        <v>685</v>
      </c>
      <c r="BU35" t="s">
        <v>497</v>
      </c>
      <c r="BV35">
        <v>18.07</v>
      </c>
      <c r="BW35">
        <v>26.24</v>
      </c>
      <c r="BX35">
        <v>29.96</v>
      </c>
      <c r="BY35">
        <v>-5.17</v>
      </c>
      <c r="BZ35">
        <v>-15.85</v>
      </c>
      <c r="CA35">
        <v>24.97</v>
      </c>
      <c r="CB35">
        <v>0</v>
      </c>
      <c r="CC35">
        <v>-50.55</v>
      </c>
      <c r="CD35" t="s">
        <v>49</v>
      </c>
      <c r="CE35" t="s">
        <v>1550</v>
      </c>
      <c r="CF35" s="7">
        <v>-0.9856807511737089</v>
      </c>
      <c r="CG35" s="8">
        <v>-1.0035512855382087</v>
      </c>
      <c r="CH35" s="7">
        <v>43.655643463134766</v>
      </c>
      <c r="CI35" s="7">
        <v>-0.38295316696166992</v>
      </c>
      <c r="CJ35" s="7">
        <v>-0.62015503644943237</v>
      </c>
      <c r="CK35" s="7">
        <v>1.0064043998718262</v>
      </c>
      <c r="CL35" s="7">
        <v>-0.1975037157535553</v>
      </c>
      <c r="CM35" s="8">
        <v>13.44261646270752</v>
      </c>
      <c r="CN35" s="8">
        <v>-1.3913618326187134</v>
      </c>
      <c r="CO35" s="8">
        <v>-0.11914893984794617</v>
      </c>
      <c r="CP35" s="8">
        <v>3.5342445373535156</v>
      </c>
      <c r="CQ35" s="8">
        <v>-6.8522686958312988</v>
      </c>
      <c r="CR35">
        <v>1.4284271489004301</v>
      </c>
      <c r="CS35">
        <v>1.6433271449500101E-3</v>
      </c>
      <c r="CT35">
        <v>0</v>
      </c>
      <c r="CU35" s="7">
        <v>8.6922871887683861</v>
      </c>
      <c r="CV35" s="8">
        <v>1.7228163063526154</v>
      </c>
      <c r="CW35">
        <v>0.06</v>
      </c>
      <c r="CX35" t="s">
        <v>1551</v>
      </c>
      <c r="CY35">
        <v>9216816496.4891815</v>
      </c>
      <c r="CZ35">
        <v>8.6922871887683861</v>
      </c>
      <c r="DA35" t="s">
        <v>1551</v>
      </c>
      <c r="DB35">
        <v>757194160386.02637</v>
      </c>
      <c r="DC35">
        <v>8.2576728293299659</v>
      </c>
      <c r="DD35" t="s">
        <v>1551</v>
      </c>
      <c r="DE35">
        <v>339049566360910.12</v>
      </c>
      <c r="DF35">
        <v>7.64921272611618</v>
      </c>
      <c r="DG35" t="s">
        <v>1551</v>
      </c>
      <c r="DH35">
        <v>6.5808277552181286E+17</v>
      </c>
      <c r="DI35">
        <v>6.9538297510147089</v>
      </c>
      <c r="DJ35" t="s">
        <v>1551</v>
      </c>
      <c r="DK35">
        <v>3.750060673268879E+25</v>
      </c>
      <c r="DL35">
        <v>6.0846010321378703</v>
      </c>
      <c r="DM35">
        <v>1008000000</v>
      </c>
      <c r="DN35">
        <v>8.6922871887683861</v>
      </c>
      <c r="DO35">
        <v>-82971120</v>
      </c>
      <c r="DP35">
        <v>572727300</v>
      </c>
      <c r="DQ35">
        <v>3506</v>
      </c>
      <c r="DR35">
        <v>-9.6779679399420946</v>
      </c>
      <c r="DS35">
        <v>-2.7263675918908241</v>
      </c>
      <c r="DT35" s="9">
        <v>-0.42333333333333339</v>
      </c>
      <c r="DU35">
        <v>-1.5533333333333335</v>
      </c>
      <c r="DV35">
        <v>-1.9766666666666668</v>
      </c>
      <c r="DW35">
        <v>-3.3907440476190476</v>
      </c>
      <c r="DX35" t="e">
        <v>#VALUE!</v>
      </c>
      <c r="DY35">
        <v>-3</v>
      </c>
      <c r="DZ35">
        <v>2721</v>
      </c>
      <c r="EA35">
        <v>-3</v>
      </c>
      <c r="EB35">
        <v>3</v>
      </c>
      <c r="EC35">
        <v>0</v>
      </c>
      <c r="ED35">
        <v>0.14680162840122701</v>
      </c>
      <c r="EE35" s="10">
        <v>-3.00651</v>
      </c>
      <c r="EF35">
        <v>-3.02481</v>
      </c>
      <c r="EG35" t="e">
        <v>#VALUE!</v>
      </c>
      <c r="EH35" t="s">
        <v>1029</v>
      </c>
      <c r="EI35">
        <v>0</v>
      </c>
      <c r="EJ35">
        <v>0</v>
      </c>
      <c r="EK35" s="12">
        <v>45470</v>
      </c>
      <c r="EL35" s="13">
        <v>-0.69</v>
      </c>
      <c r="EM35" s="13">
        <v>-2.25</v>
      </c>
      <c r="EN35" s="13">
        <v>1.42</v>
      </c>
      <c r="EO35" s="13">
        <v>0.26</v>
      </c>
      <c r="EP35" s="13">
        <v>-1.83</v>
      </c>
    </row>
    <row r="36" spans="1:146" ht="96" x14ac:dyDescent="0.25">
      <c r="A36" s="6"/>
      <c r="B36" s="6"/>
      <c r="C36" s="6" t="str">
        <f>""&amp;CHAR(10)&amp;Basic_Fundamental_Information_Constructure(F36)&amp;CHAR(10)&amp;Basic_Fundamental_Information_Concatenate("")</f>
        <v xml:space="preserve">
市值66.346692亿, 利润5.46亿; PE; 平均PE11.97; 平均PEG1.28, PB1.17; ROIC7.2867%; ROE8.5833%; 股利率.6944%; 毛利28.08%; 净利11.46%; 上一年度营收增-61.35%, 利润增88.93%; 当季营收增25.89%, 利润增-89.91%; 过往5年营收增-9.38%, 利润增11.42%
Income profile:
</v>
      </c>
      <c r="D36" t="s">
        <v>148</v>
      </c>
      <c r="E36" t="s">
        <v>1552</v>
      </c>
      <c r="F36">
        <v>3.6</v>
      </c>
      <c r="G36">
        <v>0.84</v>
      </c>
      <c r="H36" t="s">
        <v>1553</v>
      </c>
      <c r="I36">
        <v>6634669200</v>
      </c>
      <c r="K36">
        <v>1.17</v>
      </c>
      <c r="L36" t="s">
        <v>46</v>
      </c>
      <c r="M36" t="s">
        <v>1554</v>
      </c>
      <c r="N36" t="s">
        <v>1555</v>
      </c>
      <c r="O36" t="s">
        <v>1303</v>
      </c>
      <c r="P36">
        <v>-61.25</v>
      </c>
      <c r="Q36" t="s">
        <v>949</v>
      </c>
      <c r="R36">
        <v>12212703</v>
      </c>
      <c r="S36" s="5">
        <v>-0.94569999999999999</v>
      </c>
      <c r="T36" t="s">
        <v>356</v>
      </c>
      <c r="U36">
        <v>1842963700</v>
      </c>
      <c r="V36">
        <v>1842963700</v>
      </c>
      <c r="W36">
        <v>1.21</v>
      </c>
      <c r="X36">
        <v>0.05</v>
      </c>
      <c r="Y36">
        <v>3.78</v>
      </c>
      <c r="Z36" t="s">
        <v>501</v>
      </c>
      <c r="AA36" t="s">
        <v>1244</v>
      </c>
      <c r="AB36" t="s">
        <v>1556</v>
      </c>
      <c r="AC36" t="s">
        <v>1557</v>
      </c>
      <c r="AD36" t="s">
        <v>49</v>
      </c>
      <c r="AE36">
        <v>-6336673</v>
      </c>
      <c r="AF36" t="s">
        <v>1558</v>
      </c>
      <c r="AG36" t="s">
        <v>1559</v>
      </c>
      <c r="AH36" t="s">
        <v>1560</v>
      </c>
      <c r="AI36" t="s">
        <v>1561</v>
      </c>
      <c r="AJ36" t="s">
        <v>1562</v>
      </c>
      <c r="AK36" t="s">
        <v>1563</v>
      </c>
      <c r="AL36" t="s">
        <v>1564</v>
      </c>
      <c r="AM36" t="s">
        <v>49</v>
      </c>
      <c r="AN36" t="s">
        <v>605</v>
      </c>
      <c r="AO36" t="s">
        <v>1565</v>
      </c>
      <c r="AP36" t="s">
        <v>1266</v>
      </c>
      <c r="AQ36" t="s">
        <v>369</v>
      </c>
      <c r="AR36">
        <v>2405.64</v>
      </c>
      <c r="AS36" t="s">
        <v>1566</v>
      </c>
      <c r="AT36" t="s">
        <v>1567</v>
      </c>
      <c r="AU36" t="s">
        <v>1568</v>
      </c>
      <c r="AV36" t="s">
        <v>1569</v>
      </c>
      <c r="AW36" t="s">
        <v>1570</v>
      </c>
      <c r="AX36" t="s">
        <v>1571</v>
      </c>
      <c r="AY36" t="s">
        <v>449</v>
      </c>
      <c r="AZ36" t="s">
        <v>306</v>
      </c>
      <c r="BA36" t="s">
        <v>149</v>
      </c>
      <c r="BB36" t="s">
        <v>308</v>
      </c>
      <c r="BC36" t="s">
        <v>1572</v>
      </c>
      <c r="BD36" t="s">
        <v>383</v>
      </c>
      <c r="BE36" t="s">
        <v>307</v>
      </c>
      <c r="BF36" t="s">
        <v>82</v>
      </c>
      <c r="BG36" t="s">
        <v>309</v>
      </c>
      <c r="BH36" t="s">
        <v>1573</v>
      </c>
      <c r="BI36" t="s">
        <v>1574</v>
      </c>
      <c r="BJ36" t="s">
        <v>1571</v>
      </c>
      <c r="BK36" t="s">
        <v>496</v>
      </c>
      <c r="BL36" t="s">
        <v>70</v>
      </c>
      <c r="BM36" t="s">
        <v>1572</v>
      </c>
      <c r="BN36">
        <v>3.81</v>
      </c>
      <c r="BO36">
        <v>4.47</v>
      </c>
      <c r="BP36">
        <v>13.58</v>
      </c>
      <c r="BQ36">
        <v>4.17</v>
      </c>
      <c r="BR36">
        <v>5.04</v>
      </c>
      <c r="BS36">
        <v>16.54</v>
      </c>
      <c r="BT36" t="s">
        <v>1575</v>
      </c>
      <c r="BU36" t="s">
        <v>455</v>
      </c>
      <c r="BV36">
        <v>23.05</v>
      </c>
      <c r="BW36">
        <v>29.57</v>
      </c>
      <c r="BX36">
        <v>31.62</v>
      </c>
      <c r="BY36">
        <v>5.66</v>
      </c>
      <c r="BZ36">
        <v>8.1199999999999992</v>
      </c>
      <c r="CA36">
        <v>20.6</v>
      </c>
      <c r="CB36">
        <v>-1.37</v>
      </c>
      <c r="CC36">
        <v>-11.98</v>
      </c>
      <c r="CD36" t="s">
        <v>1576</v>
      </c>
      <c r="CE36" t="s">
        <v>51</v>
      </c>
      <c r="CF36" s="7">
        <v>0.25886524822695034</v>
      </c>
      <c r="CG36" s="8">
        <v>-0.89906857024793385</v>
      </c>
      <c r="CH36" s="7">
        <v>-0.61351495981216431</v>
      </c>
      <c r="CI36" s="7">
        <v>-1.6031520441174507E-2</v>
      </c>
      <c r="CJ36" s="7">
        <v>0.23981752991676331</v>
      </c>
      <c r="CK36" s="7">
        <v>-3.2776553183794022E-2</v>
      </c>
      <c r="CL36" s="7">
        <v>-4.6574536710977554E-2</v>
      </c>
      <c r="CM36" s="8">
        <v>0.88927334547042847</v>
      </c>
      <c r="CN36" s="8">
        <v>-0.63184714317321777</v>
      </c>
      <c r="CO36" s="8">
        <v>0.43510055541992188</v>
      </c>
      <c r="CP36" s="8">
        <v>0.3276698887348175</v>
      </c>
      <c r="CQ36" s="8">
        <v>-0.44919785857200623</v>
      </c>
      <c r="CR36">
        <v>11.965138322813345</v>
      </c>
      <c r="CS36">
        <v>1.2753834416949632</v>
      </c>
      <c r="CT36">
        <v>0.69444444444444442</v>
      </c>
      <c r="CU36" s="7">
        <v>-9.3816008046269411E-2</v>
      </c>
      <c r="CV36" s="8">
        <v>0.11419975757598877</v>
      </c>
      <c r="CW36">
        <v>0.06</v>
      </c>
      <c r="CX36">
        <v>3.5067201465201467</v>
      </c>
      <c r="CY36" t="s">
        <v>1577</v>
      </c>
      <c r="CZ36">
        <v>-9.3816008046269411E-2</v>
      </c>
      <c r="DA36">
        <v>1.1689067155067154</v>
      </c>
      <c r="DB36" t="s">
        <v>1578</v>
      </c>
      <c r="DC36">
        <v>-8.9125207643955942E-2</v>
      </c>
      <c r="DD36">
        <v>0.58445335775335772</v>
      </c>
      <c r="DE36" t="s">
        <v>1579</v>
      </c>
      <c r="DF36">
        <v>-8.2558087080717088E-2</v>
      </c>
      <c r="DG36">
        <v>0.35067201465201464</v>
      </c>
      <c r="DH36" t="s">
        <v>1580</v>
      </c>
      <c r="DI36">
        <v>-7.5052806437015535E-2</v>
      </c>
      <c r="DJ36">
        <v>0.17533600732600732</v>
      </c>
      <c r="DK36" t="s">
        <v>1581</v>
      </c>
      <c r="DL36">
        <v>-6.5671205632388582E-2</v>
      </c>
      <c r="DM36">
        <v>546000000</v>
      </c>
      <c r="DN36">
        <v>-9.3816008046269411E-2</v>
      </c>
      <c r="DO36">
        <v>1914669200</v>
      </c>
      <c r="DP36">
        <v>2937414100</v>
      </c>
      <c r="DQ36">
        <v>3730</v>
      </c>
      <c r="DR36">
        <v>0.35268125627321978</v>
      </c>
      <c r="DS36">
        <v>-1.0132683278239227</v>
      </c>
      <c r="DT36" s="9">
        <v>-0.64</v>
      </c>
      <c r="DU36">
        <v>-0.25666666666666665</v>
      </c>
      <c r="DV36">
        <v>-0.89666666666666672</v>
      </c>
      <c r="DW36">
        <v>-2.1198000000000001</v>
      </c>
      <c r="DX36">
        <v>0.37332020725388548</v>
      </c>
      <c r="DY36">
        <v>-2.0111797608290156</v>
      </c>
      <c r="DZ36">
        <v>2654</v>
      </c>
      <c r="EA36">
        <v>-2.0053732862223215</v>
      </c>
      <c r="EB36">
        <v>2</v>
      </c>
      <c r="EC36">
        <v>2.931821174774088E-2</v>
      </c>
      <c r="ED36">
        <v>0.31416788078897051</v>
      </c>
      <c r="EE36" s="10">
        <v>1.0981099999999999</v>
      </c>
      <c r="EF36">
        <v>1.1124099999999999</v>
      </c>
      <c r="EG36">
        <v>28.093320207253885</v>
      </c>
      <c r="EH36" t="s">
        <v>708</v>
      </c>
      <c r="EI36">
        <v>0</v>
      </c>
      <c r="EJ36">
        <v>0</v>
      </c>
      <c r="EK36" s="12">
        <v>45470</v>
      </c>
      <c r="EL36" s="13">
        <v>0.25</v>
      </c>
      <c r="EM36" s="13">
        <v>-6.35</v>
      </c>
      <c r="EN36" s="13">
        <v>4.21</v>
      </c>
      <c r="EO36" s="13">
        <v>0.39</v>
      </c>
      <c r="EP36" s="13">
        <v>-1.43</v>
      </c>
    </row>
    <row r="37" spans="1:146" ht="156" x14ac:dyDescent="0.25">
      <c r="A37" s="6" t="s">
        <v>477</v>
      </c>
      <c r="B37" s="6"/>
      <c r="C37" s="6" t="str">
        <f>"公司主要从事生产食品、饮料等快速消费品金属包装，产品包括金属两片罐及配套易拉盖、印铁产品和新材料包装。公司是国内快速消费品高端金属包装领域的领导者和行业标准制定者之一"&amp;CHAR(10)&amp;Basic_Fundamental_Information_Constructure(F37)&amp;CHAR(10)&amp;Basic_Fundamental_Information_Concatenate("金属饮料罐 59.17亿 84.91% 82.62% 9.25%
包装彩印铁 10.31亿 14.79% 16.34% 10.50%
其他业务 2053.02万 0.29% 1.03% 33.36%")</f>
        <v>公司主要从事生产食品、饮料等快速消费品金属包装，产品包括金属两片罐及配套易拉盖、印铁产品和新材料包装。公司是国内快速消费品高端金属包装领域的领导者和行业标准制定者之一
市值52.34641亿, 利润6.25亿; PE24.56; 平均PE21.11; 平均PEG7.53, PB1.36; ROIC6.17%; ROE6.9867%; 股利率2.1212%; 毛利8.85%; 净利3.5233%; 上一年度营收增-45.23%, 利润增133.21%; 当季营收增62.06%, 利润增-65.52%; 过往5年营收增2.8%, 利润增86.21%
Income profile:
金属饮料罐 59.17亿 84.91% 82.62% 9.25%
包装彩印铁 10.31亿 14.79% 16.34% 10.50%
其他业务 2053.02万 0.29% 1.03% 33.36%</v>
      </c>
      <c r="D37" t="s">
        <v>150</v>
      </c>
      <c r="E37" t="s">
        <v>7</v>
      </c>
      <c r="F37">
        <v>4.62</v>
      </c>
      <c r="G37">
        <v>2.21</v>
      </c>
      <c r="H37" t="s">
        <v>1582</v>
      </c>
      <c r="I37">
        <v>5234641000</v>
      </c>
      <c r="J37">
        <v>24.56</v>
      </c>
      <c r="K37">
        <v>1.36</v>
      </c>
      <c r="L37" t="s">
        <v>46</v>
      </c>
      <c r="M37" t="s">
        <v>1583</v>
      </c>
      <c r="N37" t="s">
        <v>1584</v>
      </c>
      <c r="O37" t="s">
        <v>1005</v>
      </c>
      <c r="P37">
        <v>12.65</v>
      </c>
      <c r="Q37" t="s">
        <v>1585</v>
      </c>
      <c r="R37">
        <v>55863936</v>
      </c>
      <c r="S37" s="5">
        <v>-8.9200000000000002E-2</v>
      </c>
      <c r="T37" t="s">
        <v>1586</v>
      </c>
      <c r="U37">
        <v>1133039170</v>
      </c>
      <c r="V37">
        <v>1133039170</v>
      </c>
      <c r="W37">
        <v>2.04</v>
      </c>
      <c r="X37">
        <v>0.24</v>
      </c>
      <c r="Y37">
        <v>3.1</v>
      </c>
      <c r="Z37" t="s">
        <v>205</v>
      </c>
      <c r="AA37" t="s">
        <v>1587</v>
      </c>
      <c r="AB37" t="s">
        <v>1588</v>
      </c>
      <c r="AC37" t="s">
        <v>1589</v>
      </c>
      <c r="AD37" t="s">
        <v>49</v>
      </c>
      <c r="AE37">
        <v>6007436</v>
      </c>
      <c r="AF37" t="s">
        <v>1590</v>
      </c>
      <c r="AG37" t="s">
        <v>1591</v>
      </c>
      <c r="AH37" t="s">
        <v>1592</v>
      </c>
      <c r="AI37" t="s">
        <v>1593</v>
      </c>
      <c r="AJ37" t="s">
        <v>1594</v>
      </c>
      <c r="AK37" t="s">
        <v>1595</v>
      </c>
      <c r="AL37" t="s">
        <v>1596</v>
      </c>
      <c r="AM37" t="s">
        <v>49</v>
      </c>
      <c r="AN37" t="s">
        <v>1597</v>
      </c>
      <c r="AO37" t="s">
        <v>1598</v>
      </c>
      <c r="AP37" t="s">
        <v>602</v>
      </c>
      <c r="AQ37" t="s">
        <v>1599</v>
      </c>
      <c r="AR37" t="s">
        <v>49</v>
      </c>
      <c r="AS37" t="s">
        <v>1600</v>
      </c>
      <c r="AT37" t="s">
        <v>1601</v>
      </c>
      <c r="AU37" t="s">
        <v>63</v>
      </c>
      <c r="AV37" t="s">
        <v>1602</v>
      </c>
      <c r="AW37" t="s">
        <v>1603</v>
      </c>
      <c r="AX37" t="s">
        <v>1604</v>
      </c>
      <c r="AY37" t="s">
        <v>1605</v>
      </c>
      <c r="AZ37" t="s">
        <v>310</v>
      </c>
      <c r="BA37" t="s">
        <v>151</v>
      </c>
      <c r="BB37" t="s">
        <v>312</v>
      </c>
      <c r="BC37" t="s">
        <v>260</v>
      </c>
      <c r="BD37" t="s">
        <v>1232</v>
      </c>
      <c r="BE37" t="s">
        <v>311</v>
      </c>
      <c r="BF37" t="s">
        <v>125</v>
      </c>
      <c r="BG37" t="s">
        <v>313</v>
      </c>
      <c r="BH37" t="s">
        <v>1606</v>
      </c>
      <c r="BI37" t="s">
        <v>1607</v>
      </c>
      <c r="BJ37" t="s">
        <v>1604</v>
      </c>
      <c r="BK37" t="s">
        <v>210</v>
      </c>
      <c r="BL37" t="s">
        <v>583</v>
      </c>
      <c r="BM37" t="s">
        <v>260</v>
      </c>
      <c r="BN37">
        <v>4.66</v>
      </c>
      <c r="BO37">
        <v>6.61</v>
      </c>
      <c r="BP37">
        <v>7.24</v>
      </c>
      <c r="BQ37">
        <v>5.29</v>
      </c>
      <c r="BR37">
        <v>7.31</v>
      </c>
      <c r="BS37">
        <v>8.36</v>
      </c>
      <c r="BT37" t="s">
        <v>1608</v>
      </c>
      <c r="BU37" t="s">
        <v>455</v>
      </c>
      <c r="BV37">
        <v>9.02</v>
      </c>
      <c r="BW37">
        <v>8.02</v>
      </c>
      <c r="BX37">
        <v>9.51</v>
      </c>
      <c r="BY37">
        <v>3.13</v>
      </c>
      <c r="BZ37">
        <v>3.28</v>
      </c>
      <c r="CA37">
        <v>4.16</v>
      </c>
      <c r="CB37">
        <v>-1.28</v>
      </c>
      <c r="CC37">
        <v>-14.95</v>
      </c>
      <c r="CD37" t="s">
        <v>1609</v>
      </c>
      <c r="CE37" t="s">
        <v>107</v>
      </c>
      <c r="CF37" s="7">
        <v>0.62060506950122651</v>
      </c>
      <c r="CG37" s="8">
        <v>-0.6551608888888889</v>
      </c>
      <c r="CH37" s="7">
        <v>-0.45230013132095337</v>
      </c>
      <c r="CI37" s="7">
        <v>0.22339968383312225</v>
      </c>
      <c r="CJ37" s="7">
        <v>0.20687870681285858</v>
      </c>
      <c r="CK37" s="7">
        <v>2.7729636058211327E-3</v>
      </c>
      <c r="CL37" s="7">
        <v>0.15933291614055634</v>
      </c>
      <c r="CM37" s="8">
        <v>1.3320895433425903</v>
      </c>
      <c r="CN37" s="8">
        <v>7.5187971815466881E-3</v>
      </c>
      <c r="CO37" s="8">
        <v>0.67295598983764648</v>
      </c>
      <c r="CP37" s="8">
        <v>0.2421875</v>
      </c>
      <c r="CQ37" s="8">
        <v>2.0555052757263184</v>
      </c>
      <c r="CR37">
        <v>21.108961163568637</v>
      </c>
      <c r="CS37">
        <v>7.5343865849112257</v>
      </c>
      <c r="CT37">
        <v>2.1212121212121211</v>
      </c>
      <c r="CU37" s="7">
        <v>2.8016827814280987E-2</v>
      </c>
      <c r="CV37" s="8">
        <v>0.86205142121762035</v>
      </c>
      <c r="CW37">
        <v>0.06</v>
      </c>
      <c r="CX37">
        <v>8.9577046667407441</v>
      </c>
      <c r="CY37">
        <v>606141997.53200519</v>
      </c>
      <c r="CZ37">
        <v>2.8016827814280987E-2</v>
      </c>
      <c r="DA37">
        <v>3.0861518633923186</v>
      </c>
      <c r="DB37">
        <v>1759356389.5561843</v>
      </c>
      <c r="DC37">
        <v>2.6615986423566936E-2</v>
      </c>
      <c r="DD37">
        <v>1.6276487331882958</v>
      </c>
      <c r="DE37">
        <v>3335880088.4292936</v>
      </c>
      <c r="DF37">
        <v>2.4654808476567269E-2</v>
      </c>
      <c r="DG37">
        <v>1.0538888337576533</v>
      </c>
      <c r="DH37">
        <v>5152005435.5643473</v>
      </c>
      <c r="DI37">
        <v>2.2413462251424793E-2</v>
      </c>
      <c r="DJ37">
        <v>0.63703812657309511</v>
      </c>
      <c r="DK37">
        <v>8523259085.3052988</v>
      </c>
      <c r="DL37">
        <v>1.961177946999669E-2</v>
      </c>
      <c r="DM37">
        <v>625000000</v>
      </c>
      <c r="DN37">
        <v>2.8016827814280987E-2</v>
      </c>
      <c r="DO37">
        <v>5429641000</v>
      </c>
      <c r="DP37">
        <v>-117372800</v>
      </c>
      <c r="DQ37">
        <v>3830</v>
      </c>
      <c r="DR37">
        <v>0.59258824168694557</v>
      </c>
      <c r="DS37">
        <v>-1.5172123101065091</v>
      </c>
      <c r="DT37" s="9">
        <v>-0.22333333333333338</v>
      </c>
      <c r="DU37">
        <v>0.84833333333333349</v>
      </c>
      <c r="DV37">
        <v>0.62500000000000011</v>
      </c>
      <c r="DW37">
        <v>-2.1495000000000002</v>
      </c>
      <c r="DX37">
        <v>0.40576412213740443</v>
      </c>
      <c r="DY37">
        <v>-2.0188017362595421</v>
      </c>
      <c r="DZ37">
        <v>1443</v>
      </c>
      <c r="EA37">
        <v>-2.0134923614214757</v>
      </c>
      <c r="EB37">
        <v>2</v>
      </c>
      <c r="EC37">
        <v>1.4540627046459479E-2</v>
      </c>
      <c r="ED37">
        <v>0.11561824468963416</v>
      </c>
      <c r="EE37" s="10">
        <v>0.12411</v>
      </c>
      <c r="EF37">
        <v>-1.0021100000000001</v>
      </c>
      <c r="EG37">
        <v>28.125764122137404</v>
      </c>
      <c r="EH37" t="s">
        <v>706</v>
      </c>
      <c r="EI37">
        <v>0</v>
      </c>
      <c r="EJ37">
        <v>1</v>
      </c>
      <c r="EK37" s="12">
        <v>45470</v>
      </c>
      <c r="EL37" s="13">
        <v>1.44</v>
      </c>
      <c r="EM37" s="13">
        <v>-1.73</v>
      </c>
      <c r="EN37" s="13">
        <v>1.07</v>
      </c>
      <c r="EO37" s="13">
        <v>0.21</v>
      </c>
      <c r="EP37" s="13">
        <v>-2.8</v>
      </c>
    </row>
    <row r="38" spans="1:146" ht="96" x14ac:dyDescent="0.25">
      <c r="A38" s="6"/>
      <c r="B38" s="6"/>
      <c r="C38" s="6" t="str">
        <f>""&amp;CHAR(10)&amp;Basic_Fundamental_Information_Constructure(F38)&amp;CHAR(10)&amp;Basic_Fundamental_Information_Concatenate("")</f>
        <v xml:space="preserve">
市值14.02亿, 利润-1573.92万; PE26.43; 平均PE61.39; 平均PEG4.09, PB1.8; ROIC3.7533%; ROE4.1%; 股利率1.1127%; 毛利18.1233%; 净利4.39%; 上一年度营收增-93.32%, 利润增-144.8%; 当季营收增1451.3%, 利润增2251.33%; 过往5年营收增-15.01%, 利润增-20.2%
Income profile:
</v>
      </c>
      <c r="D38" t="s">
        <v>153</v>
      </c>
      <c r="E38" t="s">
        <v>17</v>
      </c>
      <c r="F38">
        <v>7.01</v>
      </c>
      <c r="G38">
        <v>0</v>
      </c>
      <c r="H38" t="s">
        <v>1610</v>
      </c>
      <c r="I38">
        <v>1402000000</v>
      </c>
      <c r="J38">
        <v>26.43</v>
      </c>
      <c r="K38">
        <v>1.8</v>
      </c>
      <c r="L38" t="s">
        <v>46</v>
      </c>
      <c r="M38" t="s">
        <v>1232</v>
      </c>
      <c r="N38" t="s">
        <v>1611</v>
      </c>
      <c r="O38" t="s">
        <v>607</v>
      </c>
      <c r="P38">
        <v>7.87</v>
      </c>
      <c r="Q38" t="s">
        <v>1612</v>
      </c>
      <c r="R38">
        <v>12150725</v>
      </c>
      <c r="S38" s="5">
        <v>0.12740000000000001</v>
      </c>
      <c r="T38" t="s">
        <v>1613</v>
      </c>
      <c r="U38">
        <v>200000000</v>
      </c>
      <c r="V38">
        <v>200000000</v>
      </c>
      <c r="W38">
        <v>1.33</v>
      </c>
      <c r="X38">
        <v>0.2</v>
      </c>
      <c r="Y38">
        <v>5.89</v>
      </c>
      <c r="Z38" t="s">
        <v>217</v>
      </c>
      <c r="AA38" t="s">
        <v>465</v>
      </c>
      <c r="AB38" t="s">
        <v>1614</v>
      </c>
      <c r="AC38" t="s">
        <v>1615</v>
      </c>
      <c r="AD38" t="s">
        <v>49</v>
      </c>
      <c r="AE38">
        <v>-1006217</v>
      </c>
      <c r="AF38" t="s">
        <v>1616</v>
      </c>
      <c r="AG38" t="s">
        <v>1617</v>
      </c>
      <c r="AH38" t="s">
        <v>1618</v>
      </c>
      <c r="AI38" t="s">
        <v>403</v>
      </c>
      <c r="AJ38" t="s">
        <v>1619</v>
      </c>
      <c r="AK38" t="s">
        <v>1620</v>
      </c>
      <c r="AL38" t="s">
        <v>1621</v>
      </c>
      <c r="AM38" t="s">
        <v>49</v>
      </c>
      <c r="AN38" t="s">
        <v>1622</v>
      </c>
      <c r="AO38" t="s">
        <v>358</v>
      </c>
      <c r="AP38" t="s">
        <v>49</v>
      </c>
      <c r="AQ38" t="s">
        <v>90</v>
      </c>
      <c r="AR38" t="s">
        <v>49</v>
      </c>
      <c r="AS38" t="s">
        <v>1623</v>
      </c>
      <c r="AT38" t="s">
        <v>49</v>
      </c>
      <c r="AU38" t="s">
        <v>1624</v>
      </c>
      <c r="AV38" t="s">
        <v>1625</v>
      </c>
      <c r="AW38" t="s">
        <v>1626</v>
      </c>
      <c r="AX38" t="s">
        <v>598</v>
      </c>
      <c r="AY38" t="s">
        <v>450</v>
      </c>
      <c r="AZ38" t="s">
        <v>314</v>
      </c>
      <c r="BA38" t="s">
        <v>154</v>
      </c>
      <c r="BB38" t="s">
        <v>317</v>
      </c>
      <c r="BC38" t="s">
        <v>1627</v>
      </c>
      <c r="BD38" t="s">
        <v>1628</v>
      </c>
      <c r="BE38" t="s">
        <v>315</v>
      </c>
      <c r="BF38" t="s">
        <v>155</v>
      </c>
      <c r="BG38" t="s">
        <v>319</v>
      </c>
      <c r="BH38" t="s">
        <v>1629</v>
      </c>
      <c r="BI38" t="s">
        <v>1630</v>
      </c>
      <c r="BJ38" t="s">
        <v>598</v>
      </c>
      <c r="BK38" t="s">
        <v>1631</v>
      </c>
      <c r="BL38" t="s">
        <v>1632</v>
      </c>
      <c r="BM38" t="s">
        <v>1627</v>
      </c>
      <c r="BN38">
        <v>3.89</v>
      </c>
      <c r="BO38">
        <v>4.49</v>
      </c>
      <c r="BP38">
        <v>2.88</v>
      </c>
      <c r="BQ38">
        <v>4.2699999999999996</v>
      </c>
      <c r="BR38">
        <v>5</v>
      </c>
      <c r="BS38">
        <v>3.03</v>
      </c>
      <c r="BT38" t="s">
        <v>1633</v>
      </c>
      <c r="BU38" t="s">
        <v>455</v>
      </c>
      <c r="BV38">
        <v>20.329999999999998</v>
      </c>
      <c r="BW38">
        <v>17.829999999999998</v>
      </c>
      <c r="BX38">
        <v>16.21</v>
      </c>
      <c r="BY38">
        <v>5.96</v>
      </c>
      <c r="BZ38">
        <v>4.38</v>
      </c>
      <c r="CA38">
        <v>2.83</v>
      </c>
      <c r="CB38">
        <v>-3.71</v>
      </c>
      <c r="CC38">
        <v>-11.51</v>
      </c>
      <c r="CD38" t="s">
        <v>1634</v>
      </c>
      <c r="CE38" t="s">
        <v>1635</v>
      </c>
      <c r="CF38" s="7">
        <v>14.512967059068034</v>
      </c>
      <c r="CG38" s="8">
        <v>22.513323300283286</v>
      </c>
      <c r="CH38" s="7">
        <v>-0.93317139148712158</v>
      </c>
      <c r="CI38" s="7">
        <v>8.7791495025157928E-2</v>
      </c>
      <c r="CJ38" s="7">
        <v>7.0484578609466553E-2</v>
      </c>
      <c r="CK38" s="7">
        <v>-5.8394158259034157E-3</v>
      </c>
      <c r="CL38" s="7">
        <v>3.0075188726186752E-2</v>
      </c>
      <c r="CM38" s="8">
        <v>-1.4480081796646118</v>
      </c>
      <c r="CN38" s="8">
        <v>0.70642322301864624</v>
      </c>
      <c r="CO38" s="8">
        <v>-0.42764607071876526</v>
      </c>
      <c r="CP38" s="8">
        <v>0.20899966359138489</v>
      </c>
      <c r="CQ38" s="8">
        <v>-4.9860283732414246E-2</v>
      </c>
      <c r="CR38">
        <v>61.394200101885765</v>
      </c>
      <c r="CS38">
        <v>4.0893505261292624</v>
      </c>
      <c r="CT38">
        <v>1.1126961483594866</v>
      </c>
      <c r="CU38" s="7">
        <v>-0.15013190899044276</v>
      </c>
      <c r="CV38" s="8">
        <v>-0.20201832950115203</v>
      </c>
      <c r="CW38">
        <v>0.06</v>
      </c>
      <c r="CX38" t="e">
        <v>#VALUE!</v>
      </c>
      <c r="CY38" t="s">
        <v>464</v>
      </c>
      <c r="CZ38">
        <v>-0.15013190899044276</v>
      </c>
      <c r="DA38" t="e">
        <v>#VALUE!</v>
      </c>
      <c r="DB38" t="s">
        <v>464</v>
      </c>
      <c r="DC38">
        <v>-0.14262531354092062</v>
      </c>
      <c r="DD38" t="e">
        <v>#VALUE!</v>
      </c>
      <c r="DE38" t="s">
        <v>464</v>
      </c>
      <c r="DF38">
        <v>-0.13211607991158963</v>
      </c>
      <c r="DG38" t="e">
        <v>#VALUE!</v>
      </c>
      <c r="DH38" t="s">
        <v>464</v>
      </c>
      <c r="DI38">
        <v>-0.12010552719235422</v>
      </c>
      <c r="DJ38" t="e">
        <v>#VALUE!</v>
      </c>
      <c r="DK38" t="s">
        <v>464</v>
      </c>
      <c r="DL38">
        <v>-0.10509233629330993</v>
      </c>
      <c r="DM38">
        <v>-15739200</v>
      </c>
      <c r="DN38">
        <v>-0.15013190899044276</v>
      </c>
      <c r="DO38">
        <v>884000000</v>
      </c>
      <c r="DP38">
        <v>311708390</v>
      </c>
      <c r="DQ38">
        <v>3865</v>
      </c>
      <c r="DR38">
        <v>14.663098968058476</v>
      </c>
      <c r="DS38">
        <v>22.715341629784437</v>
      </c>
      <c r="DT38" s="9">
        <v>-0.77333333333333332</v>
      </c>
      <c r="DU38">
        <v>-0.68666666666666665</v>
      </c>
      <c r="DV38">
        <v>-1.46</v>
      </c>
      <c r="DW38">
        <v>-8.3223284100781925</v>
      </c>
      <c r="DX38">
        <v>0.43649978546115292</v>
      </c>
      <c r="DY38">
        <v>-8.0407744747229266</v>
      </c>
      <c r="DZ38">
        <v>4730</v>
      </c>
      <c r="EA38">
        <v>-8.0030321527191219</v>
      </c>
      <c r="EB38">
        <v>8</v>
      </c>
      <c r="EC38">
        <v>4.7760499999999997E-2</v>
      </c>
      <c r="ED38">
        <v>0.377554</v>
      </c>
      <c r="EE38" s="10">
        <v>-5.0391000000000004</v>
      </c>
      <c r="EF38">
        <v>-5.0275999999999996</v>
      </c>
      <c r="EG38">
        <v>31.126499785461153</v>
      </c>
      <c r="EH38" t="s">
        <v>1636</v>
      </c>
      <c r="EI38">
        <v>0</v>
      </c>
      <c r="EJ38">
        <v>0</v>
      </c>
      <c r="EK38" s="12">
        <v>45470</v>
      </c>
      <c r="EL38" s="13">
        <v>-0.76</v>
      </c>
      <c r="EM38" s="13">
        <v>-5.38</v>
      </c>
      <c r="EN38" s="13">
        <v>0.41</v>
      </c>
      <c r="EO38" s="13">
        <v>5.67</v>
      </c>
      <c r="EP38" s="13">
        <v>-1.1499999999999999</v>
      </c>
    </row>
    <row r="39" spans="1:146" ht="96" x14ac:dyDescent="0.25">
      <c r="A39" s="6"/>
      <c r="B39" s="6"/>
      <c r="C39" s="6" t="str">
        <f>""&amp;CHAR(10)&amp;Basic_Fundamental_Information_Constructure(F39)&amp;CHAR(10)&amp;Basic_Fundamental_Information_Concatenate("")</f>
        <v xml:space="preserve">
市值36.958778亿, 利润9251.38万; PE33.68; 平均PE32.64; 平均PEG1.42, PB3.39; ROIC5.7933%; ROE7.0033%; 股利率.9091%; 毛利31.83%; 净利17.1267%; 上一年度营收增63.4%, 利润增144.89%; 当季营收增.45%, 利润增465.48%; 过往5年营收增22.94%, 利润增19.51%
Income profile:
</v>
      </c>
      <c r="D39" t="s">
        <v>156</v>
      </c>
      <c r="E39" t="s">
        <v>15</v>
      </c>
      <c r="F39">
        <v>8.8000000000000007</v>
      </c>
      <c r="G39">
        <v>10</v>
      </c>
      <c r="H39" t="s">
        <v>1637</v>
      </c>
      <c r="I39">
        <v>3695877800</v>
      </c>
      <c r="J39">
        <v>33.68</v>
      </c>
      <c r="K39">
        <v>3.39</v>
      </c>
      <c r="L39" t="s">
        <v>46</v>
      </c>
      <c r="M39" t="s">
        <v>594</v>
      </c>
      <c r="N39" t="s">
        <v>1638</v>
      </c>
      <c r="O39" t="s">
        <v>302</v>
      </c>
      <c r="P39">
        <v>29.04</v>
      </c>
      <c r="Q39" t="s">
        <v>1364</v>
      </c>
      <c r="R39">
        <v>40493153</v>
      </c>
      <c r="S39" s="5">
        <v>0.31019999999999998</v>
      </c>
      <c r="T39" t="s">
        <v>1639</v>
      </c>
      <c r="U39">
        <v>417534520</v>
      </c>
      <c r="V39">
        <v>419986120</v>
      </c>
      <c r="W39">
        <v>1.55</v>
      </c>
      <c r="X39">
        <v>0.12</v>
      </c>
      <c r="Y39">
        <v>19.329999999999998</v>
      </c>
      <c r="Z39" t="s">
        <v>465</v>
      </c>
      <c r="AA39" t="s">
        <v>102</v>
      </c>
      <c r="AB39" t="s">
        <v>1640</v>
      </c>
      <c r="AC39" t="s">
        <v>1641</v>
      </c>
      <c r="AD39" t="s">
        <v>49</v>
      </c>
      <c r="AE39">
        <v>1107342</v>
      </c>
      <c r="AF39" t="s">
        <v>1642</v>
      </c>
      <c r="AG39" t="s">
        <v>1643</v>
      </c>
      <c r="AH39" t="s">
        <v>1644</v>
      </c>
      <c r="AI39" t="s">
        <v>70</v>
      </c>
      <c r="AJ39" t="s">
        <v>1645</v>
      </c>
      <c r="AK39" t="s">
        <v>1646</v>
      </c>
      <c r="AL39" t="s">
        <v>1647</v>
      </c>
      <c r="AM39" t="s">
        <v>49</v>
      </c>
      <c r="AN39" t="s">
        <v>471</v>
      </c>
      <c r="AO39" t="s">
        <v>1648</v>
      </c>
      <c r="AP39" t="s">
        <v>1649</v>
      </c>
      <c r="AQ39" t="s">
        <v>705</v>
      </c>
      <c r="AR39" t="s">
        <v>49</v>
      </c>
      <c r="AS39" t="s">
        <v>612</v>
      </c>
      <c r="AT39" t="s">
        <v>166</v>
      </c>
      <c r="AU39" t="s">
        <v>1650</v>
      </c>
      <c r="AV39" t="s">
        <v>1651</v>
      </c>
      <c r="AW39" t="s">
        <v>1652</v>
      </c>
      <c r="AX39" t="s">
        <v>203</v>
      </c>
      <c r="AY39" t="s">
        <v>451</v>
      </c>
      <c r="AZ39" t="s">
        <v>320</v>
      </c>
      <c r="BA39" t="s">
        <v>158</v>
      </c>
      <c r="BB39" t="s">
        <v>321</v>
      </c>
      <c r="BC39" t="s">
        <v>1653</v>
      </c>
      <c r="BD39" t="s">
        <v>220</v>
      </c>
      <c r="BE39" t="s">
        <v>119</v>
      </c>
      <c r="BF39" t="s">
        <v>90</v>
      </c>
      <c r="BG39" t="s">
        <v>66</v>
      </c>
      <c r="BH39" t="s">
        <v>1654</v>
      </c>
      <c r="BI39" t="s">
        <v>230</v>
      </c>
      <c r="BJ39" t="s">
        <v>203</v>
      </c>
      <c r="BK39" t="s">
        <v>1655</v>
      </c>
      <c r="BL39" t="s">
        <v>1656</v>
      </c>
      <c r="BM39" t="s">
        <v>1653</v>
      </c>
      <c r="BN39">
        <v>4.46</v>
      </c>
      <c r="BO39">
        <v>2.46</v>
      </c>
      <c r="BP39">
        <v>10.46</v>
      </c>
      <c r="BQ39">
        <v>5.82</v>
      </c>
      <c r="BR39">
        <v>3.41</v>
      </c>
      <c r="BS39">
        <v>11.78</v>
      </c>
      <c r="BT39" t="s">
        <v>1657</v>
      </c>
      <c r="BU39" t="s">
        <v>455</v>
      </c>
      <c r="BV39">
        <v>34.369999999999997</v>
      </c>
      <c r="BW39">
        <v>33.01</v>
      </c>
      <c r="BX39">
        <v>28.11</v>
      </c>
      <c r="BY39">
        <v>12.51</v>
      </c>
      <c r="BZ39">
        <v>5.0199999999999996</v>
      </c>
      <c r="CA39">
        <v>33.85</v>
      </c>
      <c r="CB39">
        <v>10.69</v>
      </c>
      <c r="CC39">
        <v>5.64</v>
      </c>
      <c r="CD39" t="s">
        <v>1658</v>
      </c>
      <c r="CE39" t="s">
        <v>1096</v>
      </c>
      <c r="CF39" s="7">
        <v>4.4843049327355595E-3</v>
      </c>
      <c r="CG39" s="8">
        <v>4.6547575025485619</v>
      </c>
      <c r="CH39" s="7">
        <v>0.63399696350097656</v>
      </c>
      <c r="CI39" s="7">
        <v>0.49770641326904297</v>
      </c>
      <c r="CJ39" s="7">
        <v>-6.8337130360305309E-3</v>
      </c>
      <c r="CK39" s="7">
        <v>-6.5957449376583099E-2</v>
      </c>
      <c r="CL39" s="7">
        <v>8.7962962687015533E-2</v>
      </c>
      <c r="CM39" s="8">
        <v>1.4488933086395264</v>
      </c>
      <c r="CN39" s="8">
        <v>-0.72624784708023071</v>
      </c>
      <c r="CO39" s="8">
        <v>-0.12658227980136871</v>
      </c>
      <c r="CP39" s="8">
        <v>0.12056737393140793</v>
      </c>
      <c r="CQ39" s="8">
        <v>0.2589285671710968</v>
      </c>
      <c r="CR39">
        <v>32.644694561216419</v>
      </c>
      <c r="CS39">
        <v>1.423201723022034</v>
      </c>
      <c r="CT39">
        <v>0.90909090909090906</v>
      </c>
      <c r="CU39" s="7">
        <v>0.22937503540888429</v>
      </c>
      <c r="CV39" s="8">
        <v>0.19511182457208634</v>
      </c>
      <c r="CW39">
        <v>0.06</v>
      </c>
      <c r="CX39">
        <v>29.496596110948463</v>
      </c>
      <c r="CY39">
        <v>107296373.72717965</v>
      </c>
      <c r="CZ39">
        <v>0.22937503540888429</v>
      </c>
      <c r="DA39">
        <v>8.5827426309063455</v>
      </c>
      <c r="DB39">
        <v>368749004.38040817</v>
      </c>
      <c r="DC39">
        <v>0.21790628363844006</v>
      </c>
      <c r="DD39">
        <v>3.590473348827588</v>
      </c>
      <c r="DE39">
        <v>881465336.88474262</v>
      </c>
      <c r="DF39">
        <v>0.20185003115981817</v>
      </c>
      <c r="DG39">
        <v>1.7756891119659339</v>
      </c>
      <c r="DH39">
        <v>1782337785.7490165</v>
      </c>
      <c r="DI39">
        <v>0.18350002832710743</v>
      </c>
      <c r="DJ39">
        <v>0.57815988708420851</v>
      </c>
      <c r="DK39">
        <v>5474052888.6588736</v>
      </c>
      <c r="DL39">
        <v>0.16056252478621899</v>
      </c>
      <c r="DM39">
        <v>92513799.999999985</v>
      </c>
      <c r="DN39">
        <v>0.22937503540888429</v>
      </c>
      <c r="DO39">
        <v>3164877800</v>
      </c>
      <c r="DP39">
        <v>449040100</v>
      </c>
      <c r="DQ39">
        <v>3894</v>
      </c>
      <c r="DR39">
        <v>-0.22489073047614874</v>
      </c>
      <c r="DS39">
        <v>4.4596456779764759</v>
      </c>
      <c r="DT39" s="9">
        <v>4.33333333333333E-2</v>
      </c>
      <c r="DU39">
        <v>0.35333333333333328</v>
      </c>
      <c r="DV39">
        <v>0.39666666666666656</v>
      </c>
      <c r="DW39">
        <v>5.527595884003742</v>
      </c>
      <c r="DX39">
        <v>1.6441221902017378</v>
      </c>
      <c r="DY39">
        <v>5.0865901920241114</v>
      </c>
      <c r="DZ39">
        <v>715</v>
      </c>
      <c r="EA39">
        <v>5.0744743432379584</v>
      </c>
      <c r="EB39">
        <v>5</v>
      </c>
      <c r="EC39">
        <v>0.13560067175553325</v>
      </c>
      <c r="ED39">
        <v>0.82621778072094387</v>
      </c>
      <c r="EE39" s="10">
        <v>3.0143</v>
      </c>
      <c r="EF39">
        <v>3.0171100000000002</v>
      </c>
      <c r="EG39">
        <v>148.16412219020174</v>
      </c>
      <c r="EH39" t="s">
        <v>702</v>
      </c>
      <c r="EI39">
        <v>1</v>
      </c>
      <c r="EJ39">
        <v>1</v>
      </c>
      <c r="EK39" s="12">
        <v>45470</v>
      </c>
      <c r="EL39" s="13">
        <v>-1.25</v>
      </c>
      <c r="EM39" s="13">
        <v>-4.8</v>
      </c>
      <c r="EN39" s="13">
        <v>2.52</v>
      </c>
      <c r="EO39" s="13">
        <v>3.04</v>
      </c>
      <c r="EP39" s="13">
        <v>-3.14</v>
      </c>
    </row>
    <row r="40" spans="1:146" ht="96" x14ac:dyDescent="0.25">
      <c r="A40" s="6"/>
      <c r="B40" s="6"/>
      <c r="C40" s="6" t="str">
        <f>""&amp;CHAR(10)&amp;Basic_Fundamental_Information_Constructure(F40)&amp;CHAR(10)&amp;Basic_Fundamental_Information_Concatenate("")</f>
        <v xml:space="preserve">
市值21.608801亿, 利润2.93亿; PE27.36; 平均PE13.15; 平均PEG.36, PB1.45; ROIC9.3833%; ROE10.5533%; 股利率3.6408%; 毛利37.9867%; 净利18.89%; 上一年度营收增97.46%, 利润增75.45%; 当季营收增-46.13%, 利润增-105.87%; 过往5年营收增36.49%, 利润增39.88%
Income profile:
</v>
      </c>
      <c r="D40" t="s">
        <v>159</v>
      </c>
      <c r="E40" t="s">
        <v>160</v>
      </c>
      <c r="F40">
        <v>4.12</v>
      </c>
      <c r="G40">
        <v>1.73</v>
      </c>
      <c r="H40" t="s">
        <v>1659</v>
      </c>
      <c r="I40">
        <v>2160880100</v>
      </c>
      <c r="J40">
        <v>27.36</v>
      </c>
      <c r="K40">
        <v>1.45</v>
      </c>
      <c r="L40" t="s">
        <v>46</v>
      </c>
      <c r="M40" t="s">
        <v>1660</v>
      </c>
      <c r="N40" t="s">
        <v>570</v>
      </c>
      <c r="O40" t="s">
        <v>574</v>
      </c>
      <c r="P40">
        <v>33.03</v>
      </c>
      <c r="Q40" t="s">
        <v>1661</v>
      </c>
      <c r="R40">
        <v>-3226172</v>
      </c>
      <c r="S40" s="5">
        <v>-1.0940000000000001</v>
      </c>
      <c r="T40" t="s">
        <v>559</v>
      </c>
      <c r="U40">
        <v>524485470</v>
      </c>
      <c r="V40">
        <v>524485470</v>
      </c>
      <c r="W40">
        <v>1.1599999999999999</v>
      </c>
      <c r="X40">
        <v>0.1</v>
      </c>
      <c r="Y40">
        <v>-1.46</v>
      </c>
      <c r="Z40" t="s">
        <v>467</v>
      </c>
      <c r="AA40" t="s">
        <v>64</v>
      </c>
      <c r="AB40" t="s">
        <v>1662</v>
      </c>
      <c r="AC40" t="s">
        <v>1663</v>
      </c>
      <c r="AD40" t="s">
        <v>49</v>
      </c>
      <c r="AE40">
        <v>-2242483</v>
      </c>
      <c r="AF40" t="s">
        <v>1664</v>
      </c>
      <c r="AG40" t="s">
        <v>49</v>
      </c>
      <c r="AH40" t="s">
        <v>1665</v>
      </c>
      <c r="AI40" t="s">
        <v>1666</v>
      </c>
      <c r="AJ40" t="s">
        <v>1667</v>
      </c>
      <c r="AK40" t="s">
        <v>49</v>
      </c>
      <c r="AL40" t="s">
        <v>1668</v>
      </c>
      <c r="AM40" t="s">
        <v>49</v>
      </c>
      <c r="AN40" t="s">
        <v>1669</v>
      </c>
      <c r="AO40" t="s">
        <v>49</v>
      </c>
      <c r="AP40" t="s">
        <v>355</v>
      </c>
      <c r="AQ40" t="s">
        <v>1670</v>
      </c>
      <c r="AR40" t="s">
        <v>1671</v>
      </c>
      <c r="AS40" t="s">
        <v>407</v>
      </c>
      <c r="AT40" t="s">
        <v>49</v>
      </c>
      <c r="AU40" t="s">
        <v>1672</v>
      </c>
      <c r="AV40" t="s">
        <v>1673</v>
      </c>
      <c r="AW40" t="s">
        <v>1674</v>
      </c>
      <c r="AX40" t="s">
        <v>1675</v>
      </c>
      <c r="AY40" t="s">
        <v>91</v>
      </c>
      <c r="AZ40" t="s">
        <v>322</v>
      </c>
      <c r="BA40" t="s">
        <v>161</v>
      </c>
      <c r="BB40" t="s">
        <v>223</v>
      </c>
      <c r="BC40" t="s">
        <v>465</v>
      </c>
      <c r="BD40" t="s">
        <v>330</v>
      </c>
      <c r="BE40" t="s">
        <v>323</v>
      </c>
      <c r="BF40" t="s">
        <v>162</v>
      </c>
      <c r="BG40" t="s">
        <v>152</v>
      </c>
      <c r="BH40" t="s">
        <v>1676</v>
      </c>
      <c r="BI40" t="s">
        <v>1677</v>
      </c>
      <c r="BJ40" t="s">
        <v>1675</v>
      </c>
      <c r="BK40" t="s">
        <v>601</v>
      </c>
      <c r="BL40" t="s">
        <v>1678</v>
      </c>
      <c r="BM40" t="s">
        <v>465</v>
      </c>
      <c r="BN40">
        <v>7.38</v>
      </c>
      <c r="BO40">
        <v>11.07</v>
      </c>
      <c r="BP40">
        <v>9.6999999999999993</v>
      </c>
      <c r="BQ40">
        <v>8.25</v>
      </c>
      <c r="BR40">
        <v>12.41</v>
      </c>
      <c r="BS40">
        <v>11</v>
      </c>
      <c r="BT40" t="s">
        <v>687</v>
      </c>
      <c r="BU40" t="s">
        <v>455</v>
      </c>
      <c r="BV40">
        <v>40.97</v>
      </c>
      <c r="BW40">
        <v>36.31</v>
      </c>
      <c r="BX40">
        <v>36.68</v>
      </c>
      <c r="BY40">
        <v>17.46</v>
      </c>
      <c r="BZ40">
        <v>19.559999999999999</v>
      </c>
      <c r="CA40">
        <v>19.649999999999999</v>
      </c>
      <c r="CB40">
        <v>-0.72</v>
      </c>
      <c r="CC40">
        <v>-24.4</v>
      </c>
      <c r="CD40" t="s">
        <v>1679</v>
      </c>
      <c r="CE40" t="s">
        <v>421</v>
      </c>
      <c r="CF40" s="7">
        <v>-0.46131805157593125</v>
      </c>
      <c r="CG40" s="8">
        <v>-1.0587295363235376</v>
      </c>
      <c r="CH40" s="7">
        <v>0.97463774681091309</v>
      </c>
      <c r="CI40" s="7">
        <v>0.17613635957241058</v>
      </c>
      <c r="CJ40" s="7">
        <v>0.51724135875701904</v>
      </c>
      <c r="CK40" s="7">
        <v>-0.30849477648735046</v>
      </c>
      <c r="CL40" s="7">
        <v>0.46506550908088684</v>
      </c>
      <c r="CM40" s="8">
        <v>0.75449103116989136</v>
      </c>
      <c r="CN40" s="8">
        <v>0.21897810697555542</v>
      </c>
      <c r="CO40" s="8">
        <v>0.90868157148361206</v>
      </c>
      <c r="CP40" s="8">
        <v>-0.64466685056686401</v>
      </c>
      <c r="CQ40" s="8">
        <v>0.75652176141738892</v>
      </c>
      <c r="CR40">
        <v>13.152342420544681</v>
      </c>
      <c r="CS40">
        <v>0.36041987045829299</v>
      </c>
      <c r="CT40">
        <v>3.6407766990291259</v>
      </c>
      <c r="CU40" s="7">
        <v>0.3649172395467758</v>
      </c>
      <c r="CV40" s="8">
        <v>0.39880112409591673</v>
      </c>
      <c r="CW40">
        <v>0.06</v>
      </c>
      <c r="CX40">
        <v>2.586594726403121</v>
      </c>
      <c r="CY40">
        <v>377283727.53509939</v>
      </c>
      <c r="CZ40">
        <v>0.3649172395467758</v>
      </c>
      <c r="DA40">
        <v>0.67490214946848115</v>
      </c>
      <c r="DB40">
        <v>1445957907.7775259</v>
      </c>
      <c r="DC40">
        <v>0.346671377569437</v>
      </c>
      <c r="DD40">
        <v>0.23953808897261905</v>
      </c>
      <c r="DE40">
        <v>4074008038.4942465</v>
      </c>
      <c r="DF40">
        <v>0.32112717080116271</v>
      </c>
      <c r="DG40">
        <v>9.5923704135700547E-2</v>
      </c>
      <c r="DH40">
        <v>10173503085.529829</v>
      </c>
      <c r="DI40">
        <v>0.29193379163742067</v>
      </c>
      <c r="DJ40">
        <v>1.81932939772179E-2</v>
      </c>
      <c r="DK40">
        <v>53639549892.505531</v>
      </c>
      <c r="DL40">
        <v>0.25544206768274302</v>
      </c>
      <c r="DM40">
        <v>293000000</v>
      </c>
      <c r="DN40">
        <v>0.3649172395467758</v>
      </c>
      <c r="DO40">
        <v>975880100</v>
      </c>
      <c r="DP40">
        <v>949414460</v>
      </c>
      <c r="DQ40">
        <v>4146</v>
      </c>
      <c r="DR40">
        <v>-0.82623529112270711</v>
      </c>
      <c r="DS40">
        <v>-1.4575306604194544</v>
      </c>
      <c r="DT40" s="9">
        <v>0.16</v>
      </c>
      <c r="DU40">
        <v>-0.18166666666666662</v>
      </c>
      <c r="DV40">
        <v>-2.1666666666666612E-2</v>
      </c>
      <c r="DW40">
        <v>-3.0950000000000002</v>
      </c>
      <c r="DX40">
        <v>0.30214529411764535</v>
      </c>
      <c r="DY40">
        <v>-3.0125538029411763</v>
      </c>
      <c r="DZ40">
        <v>632</v>
      </c>
      <c r="EA40">
        <v>-3.0110011603856335</v>
      </c>
      <c r="EB40">
        <v>3</v>
      </c>
      <c r="EC40">
        <v>4.2831882454246059E-2</v>
      </c>
      <c r="ED40">
        <v>0.3241271869743122</v>
      </c>
      <c r="EE40" s="10">
        <v>1.0470999999999999</v>
      </c>
      <c r="EF40">
        <v>1.0040100000000001</v>
      </c>
      <c r="EG40">
        <v>17.132145294117645</v>
      </c>
      <c r="EH40" t="s">
        <v>708</v>
      </c>
      <c r="EI40">
        <v>0</v>
      </c>
      <c r="EJ40">
        <v>1</v>
      </c>
      <c r="EK40" s="12">
        <v>45470</v>
      </c>
      <c r="EL40" s="13">
        <v>0.47</v>
      </c>
      <c r="EM40" s="13">
        <v>-4.1399999999999997</v>
      </c>
      <c r="EN40" s="13">
        <v>0.56999999999999995</v>
      </c>
      <c r="EO40" s="13">
        <v>6.23</v>
      </c>
      <c r="EP40" s="13">
        <v>-5.1100000000000003</v>
      </c>
    </row>
    <row r="41" spans="1:146" ht="96" x14ac:dyDescent="0.25">
      <c r="A41" s="6"/>
      <c r="B41" s="6"/>
      <c r="C41" s="6" t="str">
        <f>""&amp;CHAR(10)&amp;Basic_Fundamental_Information_Constructure(F41)&amp;CHAR(10)&amp;Basic_Fundamental_Information_Concatenate("")</f>
        <v xml:space="preserve">
市值28.292575亿, 利润6705.13万; PE334; 平均PE127.53; 平均PEG8.75, PB4.14; ROIC8.095%; ROE.1933%; 股利率.2292%; 毛利16.7333%; 净利1.0867%; 上一年度营收增-3.32%, 利润增390.71%; 当季营收增13.25%, 利润增-6.77%; 过往5年营收增14.57%, 利润增23.5%
Income profile:
</v>
      </c>
      <c r="D41" t="s">
        <v>163</v>
      </c>
      <c r="E41" t="s">
        <v>14</v>
      </c>
      <c r="F41">
        <v>13.09</v>
      </c>
      <c r="G41">
        <v>1.24</v>
      </c>
      <c r="H41" t="s">
        <v>1680</v>
      </c>
      <c r="I41">
        <v>2829257500</v>
      </c>
      <c r="J41">
        <v>334</v>
      </c>
      <c r="K41">
        <v>4.1399999999999997</v>
      </c>
      <c r="L41" t="s">
        <v>46</v>
      </c>
      <c r="M41" t="s">
        <v>79</v>
      </c>
      <c r="N41" t="s">
        <v>1681</v>
      </c>
      <c r="O41" t="s">
        <v>1682</v>
      </c>
      <c r="P41">
        <v>10.95</v>
      </c>
      <c r="Q41" t="s">
        <v>597</v>
      </c>
      <c r="R41">
        <v>15000000</v>
      </c>
      <c r="S41" s="5">
        <v>0.19020000000000001</v>
      </c>
      <c r="T41" t="s">
        <v>1683</v>
      </c>
      <c r="U41">
        <v>216138850</v>
      </c>
      <c r="V41">
        <v>216138850</v>
      </c>
      <c r="W41">
        <v>1.72</v>
      </c>
      <c r="X41">
        <v>0.14000000000000001</v>
      </c>
      <c r="Y41">
        <v>5.37</v>
      </c>
      <c r="Z41" t="s">
        <v>389</v>
      </c>
      <c r="AA41" t="s">
        <v>1206</v>
      </c>
      <c r="AB41" t="s">
        <v>1684</v>
      </c>
      <c r="AC41" t="s">
        <v>1685</v>
      </c>
      <c r="AD41" t="s">
        <v>49</v>
      </c>
      <c r="AE41">
        <v>3844733</v>
      </c>
      <c r="AF41" t="s">
        <v>50</v>
      </c>
      <c r="AG41" t="s">
        <v>1686</v>
      </c>
      <c r="AH41" t="s">
        <v>1687</v>
      </c>
      <c r="AI41" t="s">
        <v>1688</v>
      </c>
      <c r="AJ41" t="s">
        <v>1689</v>
      </c>
      <c r="AK41" t="s">
        <v>1690</v>
      </c>
      <c r="AL41" t="s">
        <v>1691</v>
      </c>
      <c r="AM41" t="s">
        <v>49</v>
      </c>
      <c r="AN41" t="s">
        <v>1692</v>
      </c>
      <c r="AO41" t="s">
        <v>66</v>
      </c>
      <c r="AP41" t="s">
        <v>1693</v>
      </c>
      <c r="AQ41" t="s">
        <v>427</v>
      </c>
      <c r="AR41" t="s">
        <v>1694</v>
      </c>
      <c r="AS41" t="s">
        <v>506</v>
      </c>
      <c r="AT41" t="s">
        <v>1695</v>
      </c>
      <c r="AU41" t="s">
        <v>1696</v>
      </c>
      <c r="AV41" t="s">
        <v>1697</v>
      </c>
      <c r="AW41" t="s">
        <v>1698</v>
      </c>
      <c r="AX41" t="s">
        <v>1676</v>
      </c>
      <c r="AY41" t="s">
        <v>452</v>
      </c>
      <c r="AZ41" t="s">
        <v>231</v>
      </c>
      <c r="BA41" t="s">
        <v>164</v>
      </c>
      <c r="BB41" t="s">
        <v>326</v>
      </c>
      <c r="BC41" t="s">
        <v>1699</v>
      </c>
      <c r="BD41" t="s">
        <v>453</v>
      </c>
      <c r="BE41" t="s">
        <v>325</v>
      </c>
      <c r="BF41" t="s">
        <v>165</v>
      </c>
      <c r="BG41" t="s">
        <v>328</v>
      </c>
      <c r="BH41" t="s">
        <v>1700</v>
      </c>
      <c r="BI41" t="s">
        <v>496</v>
      </c>
      <c r="BJ41" t="s">
        <v>1676</v>
      </c>
      <c r="BK41" t="s">
        <v>1701</v>
      </c>
      <c r="BL41" t="s">
        <v>1702</v>
      </c>
      <c r="BM41" t="s">
        <v>1699</v>
      </c>
      <c r="BN41">
        <v>3.51</v>
      </c>
      <c r="BO41">
        <v>12.68</v>
      </c>
      <c r="BP41" t="s">
        <v>49</v>
      </c>
      <c r="BQ41">
        <v>1.39</v>
      </c>
      <c r="BR41">
        <v>2.2999999999999998</v>
      </c>
      <c r="BS41">
        <v>-3.11</v>
      </c>
      <c r="BT41" t="s">
        <v>689</v>
      </c>
      <c r="BU41" t="s">
        <v>455</v>
      </c>
      <c r="BV41">
        <v>19.46</v>
      </c>
      <c r="BW41">
        <v>16.77</v>
      </c>
      <c r="BX41">
        <v>13.97</v>
      </c>
      <c r="BY41">
        <v>2.83</v>
      </c>
      <c r="BZ41">
        <v>2.72</v>
      </c>
      <c r="CA41">
        <v>-2.29</v>
      </c>
      <c r="CB41">
        <v>-2.89</v>
      </c>
      <c r="CC41">
        <v>-22.13</v>
      </c>
      <c r="CD41" t="s">
        <v>1703</v>
      </c>
      <c r="CE41" t="s">
        <v>862</v>
      </c>
      <c r="CF41" s="7">
        <v>0.13245033112582782</v>
      </c>
      <c r="CG41" s="8">
        <v>-6.7749734308674273E-2</v>
      </c>
      <c r="CH41" s="7">
        <v>-3.3182505518198013E-2</v>
      </c>
      <c r="CI41" s="7">
        <v>2.3148147389292717E-2</v>
      </c>
      <c r="CJ41" s="7">
        <v>0.33884298801422119</v>
      </c>
      <c r="CK41" s="7">
        <v>0.48923078179359436</v>
      </c>
      <c r="CL41" s="7">
        <v>-8.9635856449604034E-2</v>
      </c>
      <c r="CM41" s="8">
        <v>3.9071142673492432</v>
      </c>
      <c r="CN41" s="8">
        <v>1.7417514324188232</v>
      </c>
      <c r="CO41" s="8">
        <v>-3.318411111831665</v>
      </c>
      <c r="CP41" s="8">
        <v>-0.46340754628181458</v>
      </c>
      <c r="CQ41" s="8">
        <v>-0.69193500280380249</v>
      </c>
      <c r="CR41">
        <v>127.52617677152399</v>
      </c>
      <c r="CS41">
        <v>8.7538134497008269</v>
      </c>
      <c r="CT41">
        <v>0.22918258212375858</v>
      </c>
      <c r="CU41" s="7">
        <v>0.14568071104586125</v>
      </c>
      <c r="CV41" s="8">
        <v>0.23502240777015687</v>
      </c>
      <c r="CW41">
        <v>0.06</v>
      </c>
      <c r="CX41">
        <v>36.528450389208757</v>
      </c>
      <c r="CY41">
        <v>72471114.208065435</v>
      </c>
      <c r="CZ41">
        <v>0.14568071104586125</v>
      </c>
      <c r="DA41">
        <v>11.390834017219394</v>
      </c>
      <c r="DB41">
        <v>232402429.53221607</v>
      </c>
      <c r="DC41">
        <v>0.13839667549356818</v>
      </c>
      <c r="DD41">
        <v>5.2601575239366669</v>
      </c>
      <c r="DE41">
        <v>503265821.974626</v>
      </c>
      <c r="DF41">
        <v>0.12819902572035791</v>
      </c>
      <c r="DG41">
        <v>2.9337651911906115</v>
      </c>
      <c r="DH41">
        <v>902341301.1883415</v>
      </c>
      <c r="DI41">
        <v>0.11654456883668901</v>
      </c>
      <c r="DJ41">
        <v>1.2806354234332786</v>
      </c>
      <c r="DK41">
        <v>2067143740.9586248</v>
      </c>
      <c r="DL41">
        <v>0.10197649773210286</v>
      </c>
      <c r="DM41">
        <v>67051300</v>
      </c>
      <c r="DN41">
        <v>0.14568071104586125</v>
      </c>
      <c r="DO41">
        <v>2647257500</v>
      </c>
      <c r="DP41">
        <v>181242020</v>
      </c>
      <c r="DQ41">
        <v>4157</v>
      </c>
      <c r="DR41">
        <v>-1.3230379920033425E-2</v>
      </c>
      <c r="DS41">
        <v>-0.30277214207883113</v>
      </c>
      <c r="DT41" s="9">
        <v>-0.19000000000000003</v>
      </c>
      <c r="DU41">
        <v>-0.40000000000000008</v>
      </c>
      <c r="DV41">
        <v>-0.59000000000000008</v>
      </c>
      <c r="DW41">
        <v>-8.1305919566199734</v>
      </c>
      <c r="DX41">
        <v>0.36310692307692349</v>
      </c>
      <c r="DY41">
        <v>-8.0147708543918803</v>
      </c>
      <c r="DZ41">
        <v>2337</v>
      </c>
      <c r="EA41">
        <v>-8.0080155732345766</v>
      </c>
      <c r="EB41">
        <v>8</v>
      </c>
      <c r="EC41">
        <v>6.802987986657652E-2</v>
      </c>
      <c r="ED41">
        <v>0.60146521553159005</v>
      </c>
      <c r="EE41" s="10">
        <v>-3.0752100000000002</v>
      </c>
      <c r="EF41">
        <v>-3.0857100000000002</v>
      </c>
      <c r="EG41">
        <v>25.113106923076923</v>
      </c>
      <c r="EH41" t="s">
        <v>1029</v>
      </c>
      <c r="EI41">
        <v>0</v>
      </c>
      <c r="EJ41">
        <v>0</v>
      </c>
      <c r="EK41" s="12">
        <v>45470</v>
      </c>
      <c r="EL41" s="13">
        <v>-3.17</v>
      </c>
      <c r="EM41" s="13">
        <v>-5.22</v>
      </c>
      <c r="EN41" s="13">
        <v>1.42</v>
      </c>
      <c r="EO41" s="13">
        <v>3.57</v>
      </c>
      <c r="EP41" s="13">
        <v>-1.05</v>
      </c>
    </row>
    <row r="42" spans="1:146" ht="96" x14ac:dyDescent="0.25">
      <c r="C42" s="6" t="str">
        <f>""&amp;CHAR(10)&amp;Basic_Fundamental_Information_Constructure(F42)&amp;CHAR(10)&amp;Basic_Fundamental_Information_Concatenate("")</f>
        <v xml:space="preserve">
市值21.618384亿, 利润-3015.73万; PE24.35; 平均PE25.16; 平均PEG1.32, PB2.09; ROIC9.37%; ROE10.0733%; 股利率2.4773%; 毛利31.69%; 净利13.0367%; 上一年度营收增44.94%, 利润增-123.93%; 当季营收增-41.43%, 利润增269.23%; 过往5年营收增19.11%, 利润增-19.03%
Income profile:
</v>
      </c>
      <c r="D42" t="s">
        <v>167</v>
      </c>
      <c r="E42" t="s">
        <v>21</v>
      </c>
      <c r="F42">
        <v>12.11</v>
      </c>
      <c r="G42">
        <v>1.0900000000000001</v>
      </c>
      <c r="H42" t="s">
        <v>1704</v>
      </c>
      <c r="I42">
        <v>2161838400</v>
      </c>
      <c r="J42">
        <v>24.35</v>
      </c>
      <c r="K42">
        <v>2.09</v>
      </c>
      <c r="L42" t="s">
        <v>46</v>
      </c>
      <c r="M42" t="s">
        <v>970</v>
      </c>
      <c r="N42" t="s">
        <v>1705</v>
      </c>
      <c r="O42" t="s">
        <v>574</v>
      </c>
      <c r="P42">
        <v>-4.88</v>
      </c>
      <c r="Q42" t="s">
        <v>1706</v>
      </c>
      <c r="R42">
        <v>22764923</v>
      </c>
      <c r="S42" s="5">
        <v>-0.1673</v>
      </c>
      <c r="T42" t="s">
        <v>1707</v>
      </c>
      <c r="U42">
        <v>178516800</v>
      </c>
      <c r="V42">
        <v>178516800</v>
      </c>
      <c r="W42">
        <v>1.36</v>
      </c>
      <c r="X42">
        <v>0.13</v>
      </c>
      <c r="Y42">
        <v>11.99</v>
      </c>
      <c r="Z42" t="s">
        <v>1682</v>
      </c>
      <c r="AA42" t="s">
        <v>220</v>
      </c>
      <c r="AB42" t="s">
        <v>1708</v>
      </c>
      <c r="AC42" t="s">
        <v>1709</v>
      </c>
      <c r="AD42" t="s">
        <v>49</v>
      </c>
      <c r="AE42">
        <v>-1371381</v>
      </c>
      <c r="AF42" t="s">
        <v>1710</v>
      </c>
      <c r="AG42">
        <v>384</v>
      </c>
      <c r="AH42" t="s">
        <v>1711</v>
      </c>
      <c r="AI42" t="s">
        <v>610</v>
      </c>
      <c r="AJ42" t="s">
        <v>1712</v>
      </c>
      <c r="AK42" t="s">
        <v>1713</v>
      </c>
      <c r="AL42" t="s">
        <v>1714</v>
      </c>
      <c r="AM42" t="s">
        <v>49</v>
      </c>
      <c r="AN42" t="s">
        <v>404</v>
      </c>
      <c r="AO42" t="s">
        <v>157</v>
      </c>
      <c r="AP42" t="s">
        <v>1715</v>
      </c>
      <c r="AQ42" t="s">
        <v>157</v>
      </c>
      <c r="AR42" t="s">
        <v>1716</v>
      </c>
      <c r="AS42" t="s">
        <v>1025</v>
      </c>
      <c r="AT42" t="s">
        <v>49</v>
      </c>
      <c r="AU42" t="s">
        <v>1717</v>
      </c>
      <c r="AV42" t="s">
        <v>1718</v>
      </c>
      <c r="AW42" t="s">
        <v>1719</v>
      </c>
      <c r="AX42" t="s">
        <v>567</v>
      </c>
      <c r="AY42" t="s">
        <v>69</v>
      </c>
      <c r="AZ42" t="s">
        <v>91</v>
      </c>
      <c r="BA42" t="s">
        <v>161</v>
      </c>
      <c r="BB42" t="s">
        <v>251</v>
      </c>
      <c r="BC42" t="s">
        <v>355</v>
      </c>
      <c r="BD42" t="s">
        <v>111</v>
      </c>
      <c r="BE42" t="s">
        <v>138</v>
      </c>
      <c r="BF42" t="s">
        <v>169</v>
      </c>
      <c r="BG42" t="s">
        <v>329</v>
      </c>
      <c r="BH42" t="s">
        <v>468</v>
      </c>
      <c r="BI42" t="s">
        <v>1720</v>
      </c>
      <c r="BJ42" t="s">
        <v>567</v>
      </c>
      <c r="BK42" t="s">
        <v>1721</v>
      </c>
      <c r="BL42" t="s">
        <v>1722</v>
      </c>
      <c r="BM42" t="s">
        <v>355</v>
      </c>
      <c r="BN42">
        <v>4.68</v>
      </c>
      <c r="BO42">
        <v>11.79</v>
      </c>
      <c r="BP42">
        <v>11.64</v>
      </c>
      <c r="BQ42">
        <v>5.79</v>
      </c>
      <c r="BR42">
        <v>12.54</v>
      </c>
      <c r="BS42">
        <v>11.89</v>
      </c>
      <c r="BT42" t="s">
        <v>686</v>
      </c>
      <c r="BU42" t="s">
        <v>455</v>
      </c>
      <c r="BV42">
        <v>31.34</v>
      </c>
      <c r="BW42">
        <v>32.840000000000003</v>
      </c>
      <c r="BX42">
        <v>30.89</v>
      </c>
      <c r="BY42">
        <v>12.32</v>
      </c>
      <c r="BZ42">
        <v>14.2</v>
      </c>
      <c r="CA42">
        <v>12.59</v>
      </c>
      <c r="CB42">
        <v>-3.2</v>
      </c>
      <c r="CC42">
        <v>-8.8800000000000008</v>
      </c>
      <c r="CD42" t="s">
        <v>1723</v>
      </c>
      <c r="CE42" t="s">
        <v>66</v>
      </c>
      <c r="CF42" s="7">
        <v>-0.41433021806853582</v>
      </c>
      <c r="CG42" s="8">
        <v>2.692295106340274</v>
      </c>
      <c r="CH42" s="7">
        <v>0.44937428832054138</v>
      </c>
      <c r="CI42" s="7">
        <v>2.2805016487836838E-3</v>
      </c>
      <c r="CJ42" s="7">
        <v>0.24573864042758942</v>
      </c>
      <c r="CK42" s="7">
        <v>4.9180328845977783E-2</v>
      </c>
      <c r="CL42" s="7">
        <v>0.20900900661945343</v>
      </c>
      <c r="CM42" s="8">
        <v>-1.2393436431884766</v>
      </c>
      <c r="CN42" s="8">
        <v>0.13513512909412384</v>
      </c>
      <c r="CO42" s="8">
        <v>2.777777798473835E-2</v>
      </c>
      <c r="CP42" s="8">
        <v>2.857142873108387E-2</v>
      </c>
      <c r="CQ42" s="8">
        <v>9.6367575228214264E-2</v>
      </c>
      <c r="CR42">
        <v>25.156498811609861</v>
      </c>
      <c r="CS42">
        <v>1.3162909436163754</v>
      </c>
      <c r="CT42">
        <v>2.4772914946325351</v>
      </c>
      <c r="CU42" s="7">
        <v>0.19111655317246914</v>
      </c>
      <c r="CV42" s="8">
        <v>-0.19029834643006324</v>
      </c>
      <c r="CW42">
        <v>0.06</v>
      </c>
      <c r="CX42" t="e">
        <v>#VALUE!</v>
      </c>
      <c r="CY42" t="s">
        <v>464</v>
      </c>
      <c r="CZ42">
        <v>0.19111655317246914</v>
      </c>
      <c r="DA42" t="e">
        <v>#VALUE!</v>
      </c>
      <c r="DB42" t="s">
        <v>464</v>
      </c>
      <c r="DC42">
        <v>0.18156072551384567</v>
      </c>
      <c r="DD42" t="e">
        <v>#VALUE!</v>
      </c>
      <c r="DE42" t="s">
        <v>464</v>
      </c>
      <c r="DF42">
        <v>0.16818256679177285</v>
      </c>
      <c r="DG42" t="e">
        <v>#VALUE!</v>
      </c>
      <c r="DH42" t="s">
        <v>464</v>
      </c>
      <c r="DI42">
        <v>0.15289324253797532</v>
      </c>
      <c r="DJ42" t="e">
        <v>#VALUE!</v>
      </c>
      <c r="DK42" t="s">
        <v>464</v>
      </c>
      <c r="DL42">
        <v>0.13378158722072839</v>
      </c>
      <c r="DM42">
        <v>-30157300</v>
      </c>
      <c r="DN42">
        <v>0.19111655317246914</v>
      </c>
      <c r="DO42">
        <v>1723838400</v>
      </c>
      <c r="DP42">
        <v>540362000</v>
      </c>
      <c r="DQ42">
        <v>4209</v>
      </c>
      <c r="DR42">
        <v>-0.60544677124100499</v>
      </c>
      <c r="DS42">
        <v>2.8825934527703372</v>
      </c>
      <c r="DT42" s="9">
        <v>-4.0000000000000036E-2</v>
      </c>
      <c r="DU42">
        <v>-0.97000000000000008</v>
      </c>
      <c r="DV42">
        <v>-1.0100000000000002</v>
      </c>
      <c r="DW42">
        <v>-8.3603603603603602</v>
      </c>
      <c r="DX42">
        <v>0.25771607142857206</v>
      </c>
      <c r="DY42">
        <v>-8.028005791505791</v>
      </c>
      <c r="DZ42">
        <v>4633</v>
      </c>
      <c r="EA42">
        <v>-8.0026142392462347</v>
      </c>
      <c r="EB42">
        <v>8</v>
      </c>
      <c r="EC42">
        <v>4.8758436180796429E-2</v>
      </c>
      <c r="ED42">
        <v>0.62739193173975794</v>
      </c>
      <c r="EE42" s="10">
        <v>3.0163000000000002</v>
      </c>
      <c r="EF42">
        <v>3.0163000000000002</v>
      </c>
      <c r="EG42">
        <v>18.077716071428572</v>
      </c>
      <c r="EH42" t="s">
        <v>1724</v>
      </c>
      <c r="EI42">
        <v>0</v>
      </c>
      <c r="EJ42">
        <v>0</v>
      </c>
      <c r="EK42" s="12">
        <v>45470</v>
      </c>
      <c r="EL42" s="13">
        <v>-3.63</v>
      </c>
      <c r="EM42" s="13">
        <v>-5.0199999999999996</v>
      </c>
      <c r="EN42">
        <v>0.44</v>
      </c>
      <c r="EO42">
        <v>2.19</v>
      </c>
      <c r="EP42">
        <v>0</v>
      </c>
    </row>
    <row r="43" spans="1:146" ht="96" x14ac:dyDescent="0.25">
      <c r="C43" s="6" t="str">
        <f>""&amp;CHAR(10)&amp;Basic_Fundamental_Information_Constructure(F43)&amp;CHAR(10)&amp;Basic_Fundamental_Information_Concatenate("")</f>
        <v xml:space="preserve">
市值39.272275亿, 利润50.39亿; PE45.37; 平均PE4.09; 平均PEG.07, PB1.22; ROIC4.3233%; ROE4.7067%; 股利率.6825%; 毛利15.0433%; 净利6.0733%; 上一年度营收增249.08%, 利润增4699.05%; 当季营收增-61.82%, 利润增-97.83%; 过往5年营收增60.23%, 利润增956.01%
Income profile:
</v>
      </c>
      <c r="D43" t="s">
        <v>170</v>
      </c>
      <c r="E43" t="s">
        <v>171</v>
      </c>
      <c r="F43">
        <v>7.14</v>
      </c>
      <c r="G43">
        <v>1.1299999999999999</v>
      </c>
      <c r="H43" t="s">
        <v>1725</v>
      </c>
      <c r="I43">
        <v>3927227500</v>
      </c>
      <c r="J43">
        <v>45.37</v>
      </c>
      <c r="K43">
        <v>1.22</v>
      </c>
      <c r="L43" t="s">
        <v>46</v>
      </c>
      <c r="M43" t="s">
        <v>475</v>
      </c>
      <c r="N43" t="s">
        <v>1726</v>
      </c>
      <c r="O43" t="s">
        <v>1727</v>
      </c>
      <c r="P43">
        <v>4.5599999999999996</v>
      </c>
      <c r="Q43" t="s">
        <v>1728</v>
      </c>
      <c r="R43">
        <v>17783515</v>
      </c>
      <c r="S43" s="5">
        <v>-0.1007</v>
      </c>
      <c r="T43" t="s">
        <v>1729</v>
      </c>
      <c r="U43">
        <v>546502450</v>
      </c>
      <c r="V43">
        <v>550031860</v>
      </c>
      <c r="W43">
        <v>1.24</v>
      </c>
      <c r="X43">
        <v>0.11</v>
      </c>
      <c r="Y43">
        <v>4.5999999999999996</v>
      </c>
      <c r="Z43" t="s">
        <v>972</v>
      </c>
      <c r="AA43" t="s">
        <v>1730</v>
      </c>
      <c r="AB43" t="s">
        <v>1731</v>
      </c>
      <c r="AC43" t="s">
        <v>1732</v>
      </c>
      <c r="AD43" t="s">
        <v>49</v>
      </c>
      <c r="AE43">
        <v>-3166670</v>
      </c>
      <c r="AF43" t="s">
        <v>50</v>
      </c>
      <c r="AG43" t="s">
        <v>1733</v>
      </c>
      <c r="AH43" t="s">
        <v>1734</v>
      </c>
      <c r="AI43" t="s">
        <v>332</v>
      </c>
      <c r="AJ43" t="s">
        <v>1735</v>
      </c>
      <c r="AK43" t="s">
        <v>1736</v>
      </c>
      <c r="AL43" t="s">
        <v>1737</v>
      </c>
      <c r="AM43" t="s">
        <v>49</v>
      </c>
      <c r="AN43" t="s">
        <v>230</v>
      </c>
      <c r="AO43" t="s">
        <v>1738</v>
      </c>
      <c r="AP43" t="s">
        <v>710</v>
      </c>
      <c r="AQ43" t="s">
        <v>60</v>
      </c>
      <c r="AR43" t="s">
        <v>49</v>
      </c>
      <c r="AS43" t="s">
        <v>154</v>
      </c>
      <c r="AT43" t="s">
        <v>49</v>
      </c>
      <c r="AU43" t="s">
        <v>1739</v>
      </c>
      <c r="AV43" t="s">
        <v>833</v>
      </c>
      <c r="AW43" t="s">
        <v>1740</v>
      </c>
      <c r="AX43" t="s">
        <v>1741</v>
      </c>
      <c r="AY43" t="s">
        <v>436</v>
      </c>
      <c r="AZ43" t="s">
        <v>331</v>
      </c>
      <c r="BA43" t="s">
        <v>172</v>
      </c>
      <c r="BB43" t="s">
        <v>332</v>
      </c>
      <c r="BC43" t="s">
        <v>169</v>
      </c>
      <c r="BD43" t="s">
        <v>454</v>
      </c>
      <c r="BE43" t="s">
        <v>250</v>
      </c>
      <c r="BF43" t="s">
        <v>56</v>
      </c>
      <c r="BG43" t="s">
        <v>90</v>
      </c>
      <c r="BH43" t="s">
        <v>1742</v>
      </c>
      <c r="BI43" t="s">
        <v>1607</v>
      </c>
      <c r="BJ43" t="s">
        <v>1741</v>
      </c>
      <c r="BK43" t="s">
        <v>1743</v>
      </c>
      <c r="BL43" t="s">
        <v>1744</v>
      </c>
      <c r="BM43" t="s">
        <v>169</v>
      </c>
      <c r="BN43">
        <v>3.01</v>
      </c>
      <c r="BO43">
        <v>5.54</v>
      </c>
      <c r="BP43">
        <v>4.42</v>
      </c>
      <c r="BQ43">
        <v>3.54</v>
      </c>
      <c r="BR43">
        <v>5.3</v>
      </c>
      <c r="BS43">
        <v>5.28</v>
      </c>
      <c r="BT43" t="s">
        <v>1745</v>
      </c>
      <c r="BU43" t="s">
        <v>455</v>
      </c>
      <c r="BV43">
        <v>16.95</v>
      </c>
      <c r="BW43">
        <v>15.95</v>
      </c>
      <c r="BX43">
        <v>12.23</v>
      </c>
      <c r="BY43">
        <v>6.36</v>
      </c>
      <c r="BZ43">
        <v>6.18</v>
      </c>
      <c r="CA43">
        <v>5.68</v>
      </c>
      <c r="CB43">
        <v>-0.28000000000000003</v>
      </c>
      <c r="CC43">
        <v>-11.54</v>
      </c>
      <c r="CD43" t="s">
        <v>1746</v>
      </c>
      <c r="CE43" t="s">
        <v>574</v>
      </c>
      <c r="CF43" s="7">
        <v>-0.61815208503679475</v>
      </c>
      <c r="CG43" s="8">
        <v>-0.97833920219244819</v>
      </c>
      <c r="CH43" s="7">
        <v>2.4907677173614502</v>
      </c>
      <c r="CI43" s="7">
        <v>0.23677884042263031</v>
      </c>
      <c r="CJ43" s="7">
        <v>0.23168018460273743</v>
      </c>
      <c r="CK43" s="7">
        <v>6.7140653729438782E-2</v>
      </c>
      <c r="CL43" s="7">
        <v>-1.4785943552851677E-2</v>
      </c>
      <c r="CM43" s="8">
        <v>46.990478515625</v>
      </c>
      <c r="CN43" s="8">
        <v>7.6422996819019318E-2</v>
      </c>
      <c r="CO43" s="8">
        <v>-0.65037530660629272</v>
      </c>
      <c r="CP43" s="8">
        <v>1.6320754289627075</v>
      </c>
      <c r="CQ43" s="8">
        <v>-0.24822695553302765</v>
      </c>
      <c r="CR43">
        <v>4.0855101736262043</v>
      </c>
      <c r="CS43">
        <v>6.7829979663154891E-2</v>
      </c>
      <c r="CT43">
        <v>0.68249299719887957</v>
      </c>
      <c r="CU43" s="7">
        <v>0.60231629051268099</v>
      </c>
      <c r="CV43" s="8">
        <v>9.560074935853482</v>
      </c>
      <c r="CW43">
        <v>0.06</v>
      </c>
      <c r="CX43">
        <v>0.16873037369357438</v>
      </c>
      <c r="CY43">
        <v>7617048856.5032072</v>
      </c>
      <c r="CZ43">
        <v>0.60231629051268099</v>
      </c>
      <c r="DA43">
        <v>3.6719678263411527E-2</v>
      </c>
      <c r="DB43">
        <v>35001055586.062546</v>
      </c>
      <c r="DC43">
        <v>0.57220047598704693</v>
      </c>
      <c r="DD43">
        <v>9.7403412879937864E-3</v>
      </c>
      <c r="DE43">
        <v>131948918626.1067</v>
      </c>
      <c r="DF43">
        <v>0.53003833565115932</v>
      </c>
      <c r="DG43">
        <v>2.6394036059732696E-3</v>
      </c>
      <c r="DH43">
        <v>486938601239.83466</v>
      </c>
      <c r="DI43">
        <v>0.48185303241014482</v>
      </c>
      <c r="DJ43">
        <v>1.8355703658479549E-4</v>
      </c>
      <c r="DK43">
        <v>7001788239299.0117</v>
      </c>
      <c r="DL43">
        <v>0.42162140335887666</v>
      </c>
      <c r="DM43">
        <v>5039000000</v>
      </c>
      <c r="DN43">
        <v>0.60231629051268099</v>
      </c>
      <c r="DO43">
        <v>1285227499.9999995</v>
      </c>
      <c r="DP43">
        <v>1641764000</v>
      </c>
      <c r="DQ43">
        <v>4256</v>
      </c>
      <c r="DR43">
        <v>-1.2204683755494758</v>
      </c>
      <c r="DS43">
        <v>-10.53841413804593</v>
      </c>
      <c r="DT43" s="9">
        <v>0.14333333333333331</v>
      </c>
      <c r="DU43">
        <v>-0.27333333333333337</v>
      </c>
      <c r="DV43">
        <v>-0.13000000000000006</v>
      </c>
      <c r="DW43">
        <v>-2.1154000000000002</v>
      </c>
      <c r="DX43">
        <v>0.3320090425531923</v>
      </c>
      <c r="DY43">
        <v>-2.0094638435106384</v>
      </c>
      <c r="DZ43">
        <v>402</v>
      </c>
      <c r="EA43">
        <v>-2.0087193297941459</v>
      </c>
      <c r="EB43">
        <v>2</v>
      </c>
      <c r="EC43">
        <v>2.8030558084398964E-2</v>
      </c>
      <c r="ED43">
        <v>0.34179838237006854</v>
      </c>
      <c r="EE43" s="10">
        <v>1.0105</v>
      </c>
      <c r="EF43">
        <v>1.0194099999999999</v>
      </c>
      <c r="EG43">
        <v>25.082009042553192</v>
      </c>
      <c r="EH43" t="s">
        <v>708</v>
      </c>
      <c r="EI43">
        <v>0</v>
      </c>
      <c r="EJ43">
        <v>1</v>
      </c>
      <c r="EK43" s="12">
        <v>45470</v>
      </c>
      <c r="EL43" s="13">
        <v>-0.55000000000000004</v>
      </c>
      <c r="EM43" s="13">
        <v>-3.2</v>
      </c>
      <c r="EN43">
        <v>-2.99</v>
      </c>
      <c r="EO43">
        <v>1.9</v>
      </c>
      <c r="EP43">
        <v>-2.99</v>
      </c>
    </row>
    <row r="44" spans="1:146" x14ac:dyDescent="0.25">
      <c r="S44" s="5"/>
    </row>
    <row r="45" spans="1:146" x14ac:dyDescent="0.25">
      <c r="S45" s="5"/>
    </row>
  </sheetData>
  <autoFilter ref="BU1:BU45"/>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包装印刷&quot;,&quot;&quot;'" altText="更新基本面按钮_x000a_">
                <anchor moveWithCells="1" sizeWithCells="1">
                  <from>
                    <xdr:col>147</xdr:col>
                    <xdr:colOff>349250</xdr:colOff>
                    <xdr:row>0</xdr:row>
                    <xdr:rowOff>69850</xdr:rowOff>
                  </from>
                  <to>
                    <xdr:col>147</xdr:col>
                    <xdr:colOff>1543050</xdr:colOff>
                    <xdr:row>0</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包装印刷</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2024-07-09T13:30:23Z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