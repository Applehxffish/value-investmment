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轻工制造\"/>
    </mc:Choice>
  </mc:AlternateContent>
  <bookViews>
    <workbookView xWindow="-110" yWindow="-110" windowWidth="23260" windowHeight="13180"/>
  </bookViews>
  <sheets>
    <sheet name="造纸" sheetId="15" r:id="rId1"/>
    <sheet name="估值-增速与年化收益" sheetId="1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24" i="15"/>
  <c r="C13" i="15"/>
  <c r="C10" i="15"/>
  <c r="C12" i="15"/>
  <c r="C20" i="15"/>
  <c r="C16" i="15"/>
  <c r="C18" i="15"/>
  <c r="C22" i="15"/>
  <c r="C15" i="15"/>
  <c r="C19" i="15"/>
  <c r="C17" i="15"/>
  <c r="C23" i="15"/>
  <c r="C11" i="15"/>
  <c r="C14" i="15"/>
  <c r="C21" i="15"/>
  <c r="C8" i="15"/>
  <c r="C7" i="15"/>
  <c r="C6" i="15"/>
  <c r="C5" i="15"/>
  <c r="C4" i="15"/>
  <c r="C3" i="15"/>
  <c r="C2" i="15"/>
</calcChain>
</file>

<file path=xl/sharedStrings.xml><?xml version="1.0" encoding="utf-8"?>
<sst xmlns="http://schemas.openxmlformats.org/spreadsheetml/2006/main" count="1449" uniqueCount="1107">
  <si>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</si>
  <si>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</si>
  <si>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</si>
  <si>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</si>
  <si>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</si>
  <si>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美利云</t>
  </si>
  <si>
    <t>民丰特纸</t>
  </si>
  <si>
    <t>凯恩股份</t>
  </si>
  <si>
    <t>齐峰新材</t>
  </si>
  <si>
    <t>冠豪高新</t>
  </si>
  <si>
    <t>恒丰纸业</t>
  </si>
  <si>
    <t>仙鹤股份</t>
  </si>
  <si>
    <t>青山纸业</t>
  </si>
  <si>
    <t>荣晟环保</t>
  </si>
  <si>
    <t>岳阳林纸</t>
  </si>
  <si>
    <t>景兴纸业</t>
  </si>
  <si>
    <t>太阳纸业</t>
  </si>
  <si>
    <t>博汇纸业</t>
  </si>
  <si>
    <t>宜宾纸业</t>
  </si>
  <si>
    <t>晨鸣纸业</t>
  </si>
  <si>
    <t>总市值</t>
  </si>
  <si>
    <t>TTM市盈率</t>
  </si>
  <si>
    <t>所属行业</t>
  </si>
  <si>
    <t>SZ000815</t>
  </si>
  <si>
    <t>造纸</t>
  </si>
  <si>
    <t>SZ002012</t>
  </si>
  <si>
    <t>SH600103</t>
  </si>
  <si>
    <t>SH600963</t>
  </si>
  <si>
    <t>SH603863</t>
  </si>
  <si>
    <t>SH600433</t>
  </si>
  <si>
    <t>SZ002521</t>
  </si>
  <si>
    <t>SZ002067</t>
  </si>
  <si>
    <t>SH603733</t>
  </si>
  <si>
    <t>SH600356</t>
  </si>
  <si>
    <t>SZ000488</t>
  </si>
  <si>
    <t>SZ002078</t>
  </si>
  <si>
    <t>SH603165</t>
  </si>
  <si>
    <t>SH600308</t>
  </si>
  <si>
    <t>SH600567</t>
  </si>
  <si>
    <t>SH600966</t>
  </si>
  <si>
    <t>SH600793</t>
  </si>
  <si>
    <t>SH600235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</si>
  <si>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</si>
  <si>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</si>
  <si>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</si>
  <si>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</si>
  <si>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</si>
  <si>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</si>
  <si>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</si>
  <si>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</si>
  <si>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</si>
  <si>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</si>
  <si>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</si>
  <si>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</si>
  <si>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303.95亿</t>
  </si>
  <si>
    <t>16.57亿</t>
  </si>
  <si>
    <t>--</t>
  </si>
  <si>
    <t>10.44亿</t>
  </si>
  <si>
    <t>5093.62万</t>
  </si>
  <si>
    <t>6.38亿</t>
  </si>
  <si>
    <t>11.52亿</t>
  </si>
  <si>
    <t>4639.26万</t>
  </si>
  <si>
    <t>52.51亿</t>
  </si>
  <si>
    <t>1.89亿</t>
  </si>
  <si>
    <t>19.25亿</t>
  </si>
  <si>
    <t>1.01亿</t>
  </si>
  <si>
    <t>1.65亿</t>
  </si>
  <si>
    <t>227.63亿</t>
  </si>
  <si>
    <t>21.78亿</t>
  </si>
  <si>
    <t>26.70亿</t>
  </si>
  <si>
    <t>13.99亿</t>
  </si>
  <si>
    <t>135.39亿</t>
  </si>
  <si>
    <t>6.80亿</t>
  </si>
  <si>
    <t>2.60亿</t>
  </si>
  <si>
    <t>17.56亿</t>
  </si>
  <si>
    <t>0亿</t>
  </si>
  <si>
    <t>1.60亿</t>
  </si>
  <si>
    <t>25.95亿</t>
  </si>
  <si>
    <t>1.70亿</t>
  </si>
  <si>
    <t>232.41亿</t>
  </si>
  <si>
    <t>13.62亿</t>
  </si>
  <si>
    <t>16.01亿</t>
  </si>
  <si>
    <t>1235.29万</t>
  </si>
  <si>
    <t>71.06亿</t>
  </si>
  <si>
    <t>3.13亿</t>
  </si>
  <si>
    <t>1.57亿</t>
  </si>
  <si>
    <t>97.40亿</t>
  </si>
  <si>
    <t>1.34亿</t>
  </si>
  <si>
    <t>16.76亿</t>
  </si>
  <si>
    <t>2.49亿</t>
  </si>
  <si>
    <t>1.09亿</t>
  </si>
  <si>
    <t>45.67亿</t>
  </si>
  <si>
    <t>4.40亿</t>
  </si>
  <si>
    <t>5.83亿</t>
  </si>
  <si>
    <t>1.82亿</t>
  </si>
  <si>
    <t>19.53亿</t>
  </si>
  <si>
    <t>3.66亿</t>
  </si>
  <si>
    <t>1.32亿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</si>
  <si>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</si>
  <si>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</si>
  <si>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</si>
  <si>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</si>
  <si>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</si>
  <si>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</si>
  <si>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</si>
  <si>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</si>
  <si>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</si>
  <si>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</si>
  <si>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</si>
  <si>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销售毛利率%[20201231]</t>
  </si>
  <si>
    <t>销售毛利率%[20191231]</t>
  </si>
  <si>
    <t>销售净利率%[20201231]</t>
  </si>
  <si>
    <t>销售净利率%[20191231]</t>
  </si>
  <si>
    <t>307.37亿</t>
  </si>
  <si>
    <t>17.12亿</t>
  </si>
  <si>
    <t>288.76亿</t>
  </si>
  <si>
    <t>25.10亿</t>
  </si>
  <si>
    <t>11.62亿</t>
  </si>
  <si>
    <t>4853.22万</t>
  </si>
  <si>
    <t>10.49亿</t>
  </si>
  <si>
    <t>4424.43万</t>
  </si>
  <si>
    <t>15.50亿</t>
  </si>
  <si>
    <t>9258.73万</t>
  </si>
  <si>
    <t>11.28亿</t>
  </si>
  <si>
    <t>2480.79万</t>
  </si>
  <si>
    <t>48.75亿</t>
  </si>
  <si>
    <t>3.12亿</t>
  </si>
  <si>
    <t>1.71亿</t>
  </si>
  <si>
    <t>59.38亿</t>
  </si>
  <si>
    <t>3.35亿</t>
  </si>
  <si>
    <t>215.89亿</t>
  </si>
  <si>
    <t>217.68亿</t>
  </si>
  <si>
    <t>22.38亿</t>
  </si>
  <si>
    <t>28.11亿</t>
  </si>
  <si>
    <t>32.68亿</t>
  </si>
  <si>
    <t>36.79亿</t>
  </si>
  <si>
    <t>1.37亿</t>
  </si>
  <si>
    <t>5835.35万</t>
  </si>
  <si>
    <t>24.95亿</t>
  </si>
  <si>
    <t>28.61亿</t>
  </si>
  <si>
    <t>13.53亿</t>
  </si>
  <si>
    <t>15.18亿</t>
  </si>
  <si>
    <t>16.10亿</t>
  </si>
  <si>
    <t>123.08亿</t>
  </si>
  <si>
    <t>6.96亿</t>
  </si>
  <si>
    <t>147.63亿</t>
  </si>
  <si>
    <t>7.19亿</t>
  </si>
  <si>
    <t>16.11亿</t>
  </si>
  <si>
    <t>9899.42万</t>
  </si>
  <si>
    <t>6679.46万</t>
  </si>
  <si>
    <t>25.50亿</t>
  </si>
  <si>
    <t>山鹰国际</t>
  </si>
  <si>
    <t>249.69亿</t>
  </si>
  <si>
    <t>13.81亿</t>
  </si>
  <si>
    <t>243.67亿</t>
  </si>
  <si>
    <t>32.04亿</t>
  </si>
  <si>
    <t>18.67亿</t>
  </si>
  <si>
    <t>-9956.46万</t>
  </si>
  <si>
    <t>12.93亿</t>
  </si>
  <si>
    <t>1.74亿</t>
  </si>
  <si>
    <t>71.16亿</t>
  </si>
  <si>
    <t>4.14亿</t>
  </si>
  <si>
    <t>3.18亿</t>
  </si>
  <si>
    <t>70.13亿</t>
  </si>
  <si>
    <t>139.82亿</t>
  </si>
  <si>
    <t>8.34亿</t>
  </si>
  <si>
    <t>1.25亿</t>
  </si>
  <si>
    <t>83.39亿</t>
  </si>
  <si>
    <t>2.56亿</t>
  </si>
  <si>
    <t>8.56亿</t>
  </si>
  <si>
    <t>16.95亿</t>
  </si>
  <si>
    <t>2.32亿</t>
  </si>
  <si>
    <t>20.89亿</t>
  </si>
  <si>
    <t>20.34亿</t>
  </si>
  <si>
    <t>2.08亿</t>
  </si>
  <si>
    <t>48.43亿</t>
  </si>
  <si>
    <t>7.17亿</t>
  </si>
  <si>
    <t>40.98亿</t>
  </si>
  <si>
    <t>2.92亿</t>
  </si>
  <si>
    <t>4.99亿</t>
  </si>
  <si>
    <t>7661.34万</t>
  </si>
  <si>
    <t>6.01亿</t>
  </si>
  <si>
    <t>3.75亿</t>
  </si>
  <si>
    <t>9003.91万</t>
  </si>
  <si>
    <t>9490.81万</t>
  </si>
  <si>
    <t>SH605007</t>
  </si>
  <si>
    <t>五洲特纸</t>
  </si>
  <si>
    <t>26.35亿</t>
  </si>
  <si>
    <t>3.39亿</t>
  </si>
  <si>
    <t>23.76亿</t>
  </si>
  <si>
    <t>21.49亿</t>
  </si>
  <si>
    <t>1.99亿</t>
  </si>
  <si>
    <t>2.20亿</t>
  </si>
  <si>
    <t>SH605377</t>
  </si>
  <si>
    <t>华旺科技</t>
  </si>
  <si>
    <t>16.12亿</t>
  </si>
  <si>
    <t>16.54亿</t>
  </si>
  <si>
    <t>18.30亿</t>
  </si>
  <si>
    <t>SH605500</t>
  </si>
  <si>
    <t>森林包装</t>
  </si>
  <si>
    <t>21.89亿</t>
  </si>
  <si>
    <t>20.46亿</t>
  </si>
  <si>
    <t>24.76亿</t>
  </si>
  <si>
    <t>2.69亿</t>
  </si>
  <si>
    <t>1.16亿</t>
  </si>
  <si>
    <t>SZ002235</t>
  </si>
  <si>
    <t>安妮股份</t>
  </si>
  <si>
    <t>-6.23亿</t>
  </si>
  <si>
    <t>4.33亿</t>
  </si>
  <si>
    <t>7.15亿</t>
  </si>
  <si>
    <t>4.31亿</t>
  </si>
  <si>
    <t>2405.76万</t>
  </si>
  <si>
    <t>7552.52万</t>
  </si>
  <si>
    <t>1.39亿</t>
  </si>
  <si>
    <t>华泰股份</t>
  </si>
  <si>
    <t>2.82亿</t>
  </si>
  <si>
    <r>
      <t>1.，2020年全国纸及纸板生产企业约2,500家，全国纸及纸板生产量11,260万吨，较上年增长4.60％。消费量11,827万吨，较上年增长10.49％；2.2021年以来，随着国家“禁废令”、“限塑令”等政策的实施落地，在“碳达峰、碳中和”规则框架下，</t>
    </r>
    <r>
      <rPr>
        <b/>
        <sz val="9"/>
        <color rgb="FFFF0000"/>
        <rFont val="宋体"/>
        <family val="3"/>
        <charset val="134"/>
        <scheme val="minor"/>
      </rPr>
      <t>我国造纸行业在竞争格局天平倾向龙头企业、优势造纸公司</t>
    </r>
    <r>
      <rPr>
        <sz val="9"/>
        <color theme="1"/>
        <rFont val="宋体"/>
        <family val="2"/>
        <charset val="134"/>
        <scheme val="minor"/>
      </rPr>
      <t>对产能和成本把控能力提升的影响下，周期属性将逐渐弱化，造纸行业将直面产能天花板和碳排放成本，行业规模化、集约化发展成为趋势。3；2021H1营收大增51.64%原因：是本报告期造纸行业整体市场行情较好，部分产品价格同比上涨，同时 2020 年下半年以来公司新上的项目陆续投产，致使产品销售收入及销售量同比增长。</t>
    </r>
    <phoneticPr fontId="1" type="noConversion"/>
  </si>
  <si>
    <r>
      <t>1.工业包装纸的终端需求广泛分布于制造业和消费行业。1-4 月份，以白纸板为代表的纸制品市场景气度提升，产销两旺。5 月以来，造纸行业进入传统淡季，在大宗商品保供稳价的政策下，纸制品市场价格随原材料价格回调。受全球新冠疫情持续演变影响，年中下游客户刚需谨慎补库，纸制品市场面临进一步挑战。</t>
    </r>
    <r>
      <rPr>
        <b/>
        <sz val="9"/>
        <color rgb="FFFF0000"/>
        <rFont val="宋体"/>
        <family val="3"/>
        <charset val="134"/>
        <scheme val="minor"/>
      </rPr>
      <t>下半年是白纸板行业的传统旺季</t>
    </r>
    <r>
      <rPr>
        <sz val="9"/>
        <color theme="1"/>
        <rFont val="宋体"/>
        <family val="2"/>
        <charset val="134"/>
        <scheme val="minor"/>
      </rPr>
      <t>，伴随疫情反复和经济持续稳定恢复，纸制品市场挑战仍与机遇并存</t>
    </r>
    <phoneticPr fontId="1" type="noConversion"/>
  </si>
  <si>
    <t xml:space="preserve">1.本公司生产所需的商品木浆大部分依赖进口，且国际市场商品木浆价格波动较大，若该等原材料的市场价格未来发生较大波动，将会增加本公司成本管理压力，进而影响本公司经营业绩。
</t>
    <phoneticPr fontId="1" type="noConversion"/>
  </si>
  <si>
    <r>
      <t>1.预计</t>
    </r>
    <r>
      <rPr>
        <sz val="9"/>
        <color rgb="FFFF0000"/>
        <rFont val="宋体"/>
        <family val="3"/>
        <charset val="134"/>
        <scheme val="minor"/>
      </rPr>
      <t>2021年年利润4.5亿，增速75%</t>
    </r>
    <r>
      <rPr>
        <sz val="9"/>
        <color theme="1"/>
        <rFont val="宋体"/>
        <family val="2"/>
        <charset val="134"/>
        <scheme val="minor"/>
      </rPr>
      <t>左右；装饰原纸行业整体增速较快，主要是得益于一带一路、旧城改造、消费升级、全屋定制的长足发展，以及产品应用领域的不断拓宽，下游产业需求不断增长，装饰原纸产业链的产品以其超强的表现力和可塑性、卓越的性价比、出色的环保性能，已逐渐成为建材行业发展的重要支柱。</t>
    </r>
    <r>
      <rPr>
        <sz val="9"/>
        <color theme="1"/>
        <rFont val="宋体"/>
        <family val="3"/>
        <charset val="134"/>
        <scheme val="minor"/>
      </rPr>
      <t>2.截止2021年第三季度，公司的产能利用率和产销率均维持在100%左右，现有的产能已被充分地消化；3.公司目前拥有的产能是22万吨，公司首次公开发行股票募投项目“12万吨/年装饰原纸生产线新建项目”第二条5万吨/年装饰原纸生产线将于2022年初投产，本次非公开发行募投项目“年产18万吨特种纸生产线扩建项目（一期）”8万吨预计2023年9月达到预定可使用状态，届时公司的总产能将达到35万吨左右；</t>
    </r>
    <phoneticPr fontId="1" type="noConversion"/>
  </si>
  <si>
    <t>流通股本</t>
  </si>
  <si>
    <t>净利润[20201231]</t>
  </si>
  <si>
    <t>投入资本回报率roic%[20201231]</t>
  </si>
  <si>
    <t>净资产收益率%[20201231]</t>
  </si>
  <si>
    <t>330.20亿</t>
  </si>
  <si>
    <t>20.66亿</t>
  </si>
  <si>
    <t>1.66亿</t>
  </si>
  <si>
    <t>12.32亿</t>
  </si>
  <si>
    <t>-1728.02万</t>
  </si>
  <si>
    <t>9405.11万</t>
  </si>
  <si>
    <t>62.25亿</t>
  </si>
  <si>
    <t>4.41亿</t>
  </si>
  <si>
    <t>3.94亿</t>
  </si>
  <si>
    <t>2260.60万</t>
  </si>
  <si>
    <t>37.02亿</t>
  </si>
  <si>
    <t>1.12亿</t>
  </si>
  <si>
    <t>149.03亿</t>
  </si>
  <si>
    <t>8.08亿</t>
  </si>
  <si>
    <t>20.22亿</t>
  </si>
  <si>
    <t>18.44亿</t>
  </si>
  <si>
    <t>73.98亿</t>
  </si>
  <si>
    <t>64.98亿</t>
  </si>
  <si>
    <t>330.33亿</t>
  </si>
  <si>
    <t>15.16亿</t>
  </si>
  <si>
    <t>21.17亿</t>
  </si>
  <si>
    <t>2832.42万</t>
  </si>
  <si>
    <t>78.38亿</t>
  </si>
  <si>
    <t>2.98亿</t>
  </si>
  <si>
    <t>162.76亿</t>
  </si>
  <si>
    <t>17.06亿</t>
  </si>
  <si>
    <t>24.15亿</t>
  </si>
  <si>
    <t>2.84亿</t>
  </si>
  <si>
    <t>60.17亿</t>
  </si>
  <si>
    <t>10.17亿</t>
  </si>
  <si>
    <t>松炀资源</t>
  </si>
  <si>
    <t>5.97亿</t>
  </si>
  <si>
    <t>887.38万</t>
  </si>
  <si>
    <t>36.90亿</t>
  </si>
  <si>
    <t>3.90亿</t>
  </si>
  <si>
    <t>29.40亿</t>
  </si>
  <si>
    <t>4.49亿</t>
  </si>
  <si>
    <t xml:space="preserve">    名称</t>
  </si>
  <si>
    <t>LY营业总收入[20211231]</t>
  </si>
  <si>
    <t>净利润?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</si>
  <si>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</si>
  <si>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</si>
  <si>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</si>
  <si>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</si>
  <si>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</si>
  <si>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</si>
  <si>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</si>
  <si>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</si>
  <si>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</si>
  <si>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</si>
  <si>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</si>
  <si>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细分行业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</si>
  <si>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</si>
  <si>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</si>
  <si>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</si>
  <si>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</si>
  <si>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</si>
  <si>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</si>
  <si>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</si>
  <si>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</si>
  <si>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</si>
  <si>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</si>
  <si>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</si>
  <si>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</si>
  <si>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市销率</t>
    <phoneticPr fontId="1" type="noConversion"/>
  </si>
  <si>
    <t>过往利润增速均值</t>
    <phoneticPr fontId="1" type="noConversion"/>
  </si>
  <si>
    <t>折现率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</si>
  <si>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</si>
  <si>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</si>
  <si>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</si>
  <si>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20增速</t>
  </si>
  <si>
    <t>当期自由现金流估计值</t>
  </si>
  <si>
    <t>自由现金流估计增速</t>
  </si>
  <si>
    <t>原始顺序</t>
    <phoneticPr fontId="1" type="noConversion"/>
  </si>
  <si>
    <t>营收成长策略</t>
    <phoneticPr fontId="1" type="noConversion"/>
  </si>
  <si>
    <t>营收和利润加权</t>
    <phoneticPr fontId="1" type="noConversion"/>
  </si>
  <si>
    <t>价格变动策略</t>
    <phoneticPr fontId="1" type="noConversion"/>
  </si>
  <si>
    <t>量价齐升策略</t>
    <phoneticPr fontId="1" type="noConversion"/>
  </si>
  <si>
    <t>5日成交换手率</t>
    <phoneticPr fontId="1" type="noConversion"/>
  </si>
  <si>
    <t>价格右侧初期策略</t>
    <phoneticPr fontId="1" type="noConversion"/>
  </si>
  <si>
    <t>7.43亿</t>
  </si>
  <si>
    <t>2.27亿</t>
  </si>
  <si>
    <t>1.81亿</t>
  </si>
  <si>
    <t>扭亏</t>
  </si>
  <si>
    <t>2.65亿</t>
  </si>
  <si>
    <t>3.20亿</t>
  </si>
  <si>
    <t>1.07亿</t>
  </si>
  <si>
    <t>2.61亿</t>
  </si>
  <si>
    <t>5.86亿</t>
  </si>
  <si>
    <t/>
  </si>
  <si>
    <t>2.73亿</t>
  </si>
  <si>
    <t>1.76亿</t>
  </si>
  <si>
    <t>1.73亿</t>
  </si>
  <si>
    <t>1.18亿</t>
  </si>
  <si>
    <t>1.68亿</t>
  </si>
  <si>
    <t>10.18亿</t>
  </si>
  <si>
    <t>12.65亿</t>
  </si>
  <si>
    <t>3.61亿</t>
  </si>
  <si>
    <t>1.11亿</t>
  </si>
  <si>
    <t>1.47亿</t>
  </si>
  <si>
    <t>4.85亿</t>
  </si>
  <si>
    <t>1.36亿</t>
  </si>
  <si>
    <t>5.42亿</t>
  </si>
  <si>
    <t>3.95亿</t>
  </si>
  <si>
    <t>2.95亿</t>
  </si>
  <si>
    <t>1.54亿</t>
  </si>
  <si>
    <t>5.93亿</t>
  </si>
  <si>
    <t>7.60亿</t>
  </si>
  <si>
    <t>6.67亿</t>
  </si>
  <si>
    <t>3.04亿</t>
  </si>
  <si>
    <t>11.00亿</t>
  </si>
  <si>
    <t>2.78亿</t>
  </si>
  <si>
    <t>1.06亿</t>
  </si>
  <si>
    <t>2.52亿</t>
  </si>
  <si>
    <t>8.84亿</t>
  </si>
  <si>
    <t>3.54亿</t>
  </si>
  <si>
    <t>10.25亿</t>
  </si>
  <si>
    <t>2.71亿</t>
  </si>
  <si>
    <t>4.88亿</t>
  </si>
  <si>
    <t>42.88亿</t>
  </si>
  <si>
    <t>2.09亿</t>
  </si>
  <si>
    <t>2.14亿</t>
  </si>
  <si>
    <t>2.39亿</t>
  </si>
  <si>
    <t>1.报告期内受新冠疫情反复影响，废纸等原材料价格及物流成本上涨导致成本上升。同时包装产品需求低迷导致业绩下滑。按照往年经历，随着疫情的影响程度降低，经营状况也会得以恢复。</t>
    <phoneticPr fontId="1" type="noConversion"/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</si>
  <si>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</si>
  <si>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</si>
  <si>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</si>
  <si>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</si>
  <si>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</si>
  <si>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</si>
  <si>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</si>
  <si>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</si>
  <si>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</si>
  <si>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</si>
  <si>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</si>
  <si>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</si>
  <si>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</si>
  <si>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</si>
  <si>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</si>
  <si>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</si>
  <si>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</si>
  <si>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</si>
  <si>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</si>
  <si>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</si>
  <si>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</si>
  <si>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</si>
  <si>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</si>
  <si>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</si>
  <si>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</si>
  <si>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</si>
  <si>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</si>
  <si>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</si>
  <si>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</si>
  <si>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</si>
  <si>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</si>
  <si>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</si>
  <si>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扣非对比净利润</t>
    <phoneticPr fontId="1" type="noConversion"/>
  </si>
  <si>
    <t>过往营收增速均值</t>
    <phoneticPr fontId="1" type="noConversion"/>
  </si>
  <si>
    <t>6年自由现金流折现</t>
    <phoneticPr fontId="1" type="noConversion"/>
  </si>
  <si>
    <t>10年自由现金流折现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</si>
  <si>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</si>
  <si>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</si>
  <si>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</si>
  <si>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策略1利润单季最佳增速</t>
    <phoneticPr fontId="1" type="noConversion"/>
  </si>
  <si>
    <t>利润成长策略</t>
    <phoneticPr fontId="1" type="noConversion"/>
  </si>
  <si>
    <t>成交量综合策略</t>
    <phoneticPr fontId="1" type="noConversion"/>
  </si>
  <si>
    <t>机会区域号</t>
    <phoneticPr fontId="1" type="noConversion"/>
  </si>
  <si>
    <t>昨日价格累计指数</t>
    <phoneticPr fontId="1" type="noConversion"/>
  </si>
  <si>
    <t>成交量异动策略</t>
    <phoneticPr fontId="1" type="noConversion"/>
  </si>
  <si>
    <t>N-4</t>
    <phoneticPr fontId="1" type="noConversion"/>
  </si>
  <si>
    <t>N-1</t>
    <phoneticPr fontId="1" type="noConversion"/>
  </si>
  <si>
    <t>股利率</t>
    <phoneticPr fontId="1" type="noConversion"/>
  </si>
  <si>
    <t>1年自由现金流折现</t>
    <phoneticPr fontId="1" type="noConversion"/>
  </si>
  <si>
    <t>6增速</t>
    <phoneticPr fontId="1" type="noConversion"/>
  </si>
  <si>
    <t>10增速</t>
    <phoneticPr fontId="1" type="noConversion"/>
  </si>
  <si>
    <t>策略1营收单季最佳增速</t>
    <phoneticPr fontId="1" type="noConversion"/>
  </si>
  <si>
    <t>基本面排序</t>
    <phoneticPr fontId="1" type="noConversion"/>
  </si>
  <si>
    <t>综合策略</t>
    <phoneticPr fontId="1" type="noConversion"/>
  </si>
  <si>
    <t>30日成交换手率</t>
    <phoneticPr fontId="1" type="noConversion"/>
  </si>
  <si>
    <t>今日价格累积指数</t>
    <phoneticPr fontId="1" type="noConversion"/>
  </si>
  <si>
    <t>价格箱体形态过滤</t>
    <phoneticPr fontId="1" type="noConversion"/>
  </si>
  <si>
    <t>N日期</t>
    <phoneticPr fontId="1" type="noConversion"/>
  </si>
  <si>
    <t>N-3</t>
    <phoneticPr fontId="1" type="noConversion"/>
  </si>
  <si>
    <t>N-2</t>
    <phoneticPr fontId="1" type="noConversion"/>
  </si>
  <si>
    <t>N</t>
    <phoneticPr fontId="1" type="noConversion"/>
  </si>
  <si>
    <t>不分配不转增</t>
  </si>
  <si>
    <t>10派2元(含税)</t>
  </si>
  <si>
    <t>10派3.5元(含税)</t>
  </si>
  <si>
    <t>10派3元(含税)</t>
  </si>
  <si>
    <t>1.特种纸是造纸工业中的高技术产品，一般需要经过特殊工艺、添加特殊原料、采用特殊工序，从而生产满足特定用途的纸张。因而特种纸具有对生产设备要求高、生产技术难度大、资金投入多、附加值高的显著特点。</t>
    <phoneticPr fontId="1" type="noConversion"/>
  </si>
  <si>
    <t>1.10亿</t>
  </si>
  <si>
    <t>3.82亿</t>
  </si>
  <si>
    <t>2-1</t>
  </si>
  <si>
    <t>1-0</t>
  </si>
  <si>
    <t>754.58万</t>
  </si>
  <si>
    <t>583.89亿</t>
  </si>
  <si>
    <t>208.67亿</t>
  </si>
  <si>
    <t>67.62亿</t>
  </si>
  <si>
    <t>266.09亿</t>
  </si>
  <si>
    <t>-12.81亿</t>
  </si>
  <si>
    <t>69.43亿</t>
  </si>
  <si>
    <t>59.25亿</t>
  </si>
  <si>
    <t>4930.16万</t>
  </si>
  <si>
    <t>1.87亿</t>
  </si>
  <si>
    <t>175353650亿</t>
  </si>
  <si>
    <t>157.62万</t>
  </si>
  <si>
    <t>-226480580亿</t>
  </si>
  <si>
    <t>132.35亿</t>
  </si>
  <si>
    <t>2595192700亿</t>
  </si>
  <si>
    <t>4.47亿</t>
  </si>
  <si>
    <t>29633098000亿</t>
  </si>
  <si>
    <t>9.84亿</t>
  </si>
  <si>
    <t>341.57亿</t>
  </si>
  <si>
    <t>48.64亿</t>
  </si>
  <si>
    <t>40.13亿</t>
  </si>
  <si>
    <t>1272.65万</t>
  </si>
  <si>
    <t>509.25亿</t>
  </si>
  <si>
    <t>45.23亿</t>
  </si>
  <si>
    <t>4.73亿</t>
  </si>
  <si>
    <t>5.78亿</t>
  </si>
  <si>
    <t>-10.09亿</t>
  </si>
  <si>
    <t>320.04亿</t>
  </si>
  <si>
    <t>61.56亿</t>
  </si>
  <si>
    <t>-2.75亿</t>
  </si>
  <si>
    <t>4893.89万</t>
  </si>
  <si>
    <t>3.72亿</t>
  </si>
  <si>
    <t>-1-0</t>
  </si>
  <si>
    <t>849.84万</t>
  </si>
  <si>
    <t>8.92亿</t>
  </si>
  <si>
    <t>19.06亿</t>
  </si>
  <si>
    <t>2.36亿</t>
  </si>
  <si>
    <t>10.82亿</t>
  </si>
  <si>
    <t>-1776.69万</t>
  </si>
  <si>
    <t>2.24亿</t>
  </si>
  <si>
    <t>223.55万</t>
  </si>
  <si>
    <t>1338.58万</t>
  </si>
  <si>
    <t>10.25万</t>
  </si>
  <si>
    <t>6732277亿</t>
  </si>
  <si>
    <t>1.41亿</t>
  </si>
  <si>
    <t>228375180亿</t>
  </si>
  <si>
    <t>8737.79万</t>
  </si>
  <si>
    <t>1215569210亿</t>
  </si>
  <si>
    <t>2.45亿</t>
  </si>
  <si>
    <t>5410.01万</t>
  </si>
  <si>
    <t>7457.31万</t>
  </si>
  <si>
    <t>3.57万</t>
  </si>
  <si>
    <t>6.05亿</t>
  </si>
  <si>
    <t>-4424.18万</t>
  </si>
  <si>
    <t>-562.93万</t>
  </si>
  <si>
    <t>-8261.99万</t>
  </si>
  <si>
    <t>-2.32亿</t>
  </si>
  <si>
    <t>-684.22万</t>
  </si>
  <si>
    <t>4106.13万</t>
  </si>
  <si>
    <t>-2-1</t>
  </si>
  <si>
    <t>897.59万</t>
  </si>
  <si>
    <t>2.63亿</t>
  </si>
  <si>
    <t>17.08亿</t>
  </si>
  <si>
    <t>1.40亿</t>
  </si>
  <si>
    <t>8.26亿</t>
  </si>
  <si>
    <t>4746.65万</t>
  </si>
  <si>
    <t>1.33亿</t>
  </si>
  <si>
    <t>1.14亿</t>
  </si>
  <si>
    <t>302.91万</t>
  </si>
  <si>
    <t>1573.65万</t>
  </si>
  <si>
    <t>2256813亿</t>
  </si>
  <si>
    <t>15.00万</t>
  </si>
  <si>
    <t>4681344亿</t>
  </si>
  <si>
    <t>6.18亿</t>
  </si>
  <si>
    <t>133908683亿</t>
  </si>
  <si>
    <t>1301283860亿</t>
  </si>
  <si>
    <t>2772.90万</t>
  </si>
  <si>
    <t>3911.42万</t>
  </si>
  <si>
    <t>2.10亿</t>
  </si>
  <si>
    <t>1494.01万</t>
  </si>
  <si>
    <t>70.99万</t>
  </si>
  <si>
    <t>-2.57亿</t>
  </si>
  <si>
    <t>-990.48万</t>
  </si>
  <si>
    <t>13.92亿</t>
  </si>
  <si>
    <t>5341.88万</t>
  </si>
  <si>
    <t>2.85亿</t>
  </si>
  <si>
    <t>4938.99万</t>
  </si>
  <si>
    <t>10派0.31元(含税)</t>
  </si>
  <si>
    <t>7501.78万</t>
  </si>
  <si>
    <t>账面净赚</t>
  </si>
  <si>
    <t>047466500</t>
  </si>
  <si>
    <t>0142399500</t>
  </si>
  <si>
    <t>0284799000</t>
  </si>
  <si>
    <t>0474665000</t>
  </si>
  <si>
    <t>0949330000</t>
  </si>
  <si>
    <t>-1-1</t>
  </si>
  <si>
    <t>1093.18万</t>
  </si>
  <si>
    <t>26.04亿</t>
  </si>
  <si>
    <t>56.04亿</t>
  </si>
  <si>
    <t>54.57亿</t>
  </si>
  <si>
    <t>9157.36万</t>
  </si>
  <si>
    <t>12.70亿</t>
  </si>
  <si>
    <t>11.59亿</t>
  </si>
  <si>
    <t>796.58万</t>
  </si>
  <si>
    <t>3839.64万</t>
  </si>
  <si>
    <t>375136亿</t>
  </si>
  <si>
    <t>27.59万</t>
  </si>
  <si>
    <t>20400598亿</t>
  </si>
  <si>
    <t>12.02亿</t>
  </si>
  <si>
    <t>448204620亿</t>
  </si>
  <si>
    <t>3054248800亿</t>
  </si>
  <si>
    <t>4469.81万</t>
  </si>
  <si>
    <t>4.56亿</t>
  </si>
  <si>
    <t>9900.00万</t>
  </si>
  <si>
    <t>422.37万</t>
  </si>
  <si>
    <t>13.28亿</t>
  </si>
  <si>
    <t>-1.26亿</t>
  </si>
  <si>
    <t>-4162.65万</t>
  </si>
  <si>
    <t>62.27亿</t>
  </si>
  <si>
    <t>12.74亿</t>
  </si>
  <si>
    <t>1060.07万</t>
  </si>
  <si>
    <t>10派0.25元(含税)</t>
  </si>
  <si>
    <t>6063.35万</t>
  </si>
  <si>
    <t>5.31亿</t>
  </si>
  <si>
    <t>091573600</t>
  </si>
  <si>
    <t>0274720800</t>
  </si>
  <si>
    <t>0549441600</t>
  </si>
  <si>
    <t>0915736000</t>
  </si>
  <si>
    <t>01831472000</t>
  </si>
  <si>
    <t>1382.06万</t>
  </si>
  <si>
    <t>243.95亿</t>
  </si>
  <si>
    <t>271.45亿</t>
  </si>
  <si>
    <t>101.85亿</t>
  </si>
  <si>
    <t>395.44亿</t>
  </si>
  <si>
    <t>30.86亿</t>
  </si>
  <si>
    <t>90.95亿</t>
  </si>
  <si>
    <t>83.52亿</t>
  </si>
  <si>
    <t>4352.74万</t>
  </si>
  <si>
    <t>2.43亿</t>
  </si>
  <si>
    <t>7968367亿</t>
  </si>
  <si>
    <t>224.77万</t>
  </si>
  <si>
    <t>952369910亿</t>
  </si>
  <si>
    <t>24.18亿</t>
  </si>
  <si>
    <t>3360206500亿</t>
  </si>
  <si>
    <t>1.22亿</t>
  </si>
  <si>
    <t>13426628000亿</t>
  </si>
  <si>
    <t>6.54亿</t>
  </si>
  <si>
    <t>65.12亿</t>
  </si>
  <si>
    <t>3.58亿</t>
  </si>
  <si>
    <t>39.29亿</t>
  </si>
  <si>
    <t>152.47亿</t>
  </si>
  <si>
    <t>78.96亿</t>
  </si>
  <si>
    <t>-8.63亿</t>
  </si>
  <si>
    <t>397.67亿</t>
  </si>
  <si>
    <t>321.59亿</t>
  </si>
  <si>
    <t>28.09亿</t>
  </si>
  <si>
    <t>29.29亿</t>
  </si>
  <si>
    <t>98.05亿</t>
  </si>
  <si>
    <t>5.66亿</t>
  </si>
  <si>
    <t>8431.19万</t>
  </si>
  <si>
    <t>4.08亿</t>
  </si>
  <si>
    <t>1598.44万</t>
  </si>
  <si>
    <t>4.55亿</t>
  </si>
  <si>
    <t>7.35亿</t>
  </si>
  <si>
    <t>7009.01万</t>
  </si>
  <si>
    <t>3.68亿</t>
  </si>
  <si>
    <t>-2.78亿</t>
  </si>
  <si>
    <t>7095.49万</t>
  </si>
  <si>
    <t>5560.55万</t>
  </si>
  <si>
    <t>529.92万</t>
  </si>
  <si>
    <t>705.29万</t>
  </si>
  <si>
    <t>1014805亿</t>
  </si>
  <si>
    <t>15.11万</t>
  </si>
  <si>
    <t>-344704亿</t>
  </si>
  <si>
    <t>85493802亿</t>
  </si>
  <si>
    <t>921.78万</t>
  </si>
  <si>
    <t>783822450亿</t>
  </si>
  <si>
    <t>56.20万</t>
  </si>
  <si>
    <t>6000.00万</t>
  </si>
  <si>
    <t>3339.21万</t>
  </si>
  <si>
    <t>4130.02万</t>
  </si>
  <si>
    <t>143.02万</t>
  </si>
  <si>
    <t>2.07亿</t>
  </si>
  <si>
    <t>-1265.30万</t>
  </si>
  <si>
    <t>-4893.38万</t>
  </si>
  <si>
    <t>-42.42万</t>
  </si>
  <si>
    <t>-1.38亿</t>
  </si>
  <si>
    <t>7562.44万</t>
  </si>
  <si>
    <t>534.71万</t>
  </si>
  <si>
    <t>9506.20万</t>
  </si>
  <si>
    <t>657.51万</t>
  </si>
  <si>
    <t>12.77亿</t>
  </si>
  <si>
    <t>37.87亿</t>
  </si>
  <si>
    <t>8.62亿</t>
  </si>
  <si>
    <t>36.61亿</t>
  </si>
  <si>
    <t>2.37亿</t>
  </si>
  <si>
    <t>8.06亿</t>
  </si>
  <si>
    <t>7.45亿</t>
  </si>
  <si>
    <t>397.58万</t>
  </si>
  <si>
    <t>2177.83万</t>
  </si>
  <si>
    <t>444.58万</t>
  </si>
  <si>
    <t>47686317亿</t>
  </si>
  <si>
    <t>663535660亿</t>
  </si>
  <si>
    <t>2942990400亿</t>
  </si>
  <si>
    <t>1.52亿</t>
  </si>
  <si>
    <t>2.96亿</t>
  </si>
  <si>
    <t>13.72亿</t>
  </si>
  <si>
    <t>8614.18万</t>
  </si>
  <si>
    <t>-1427.88万</t>
  </si>
  <si>
    <t>31.19亿</t>
  </si>
  <si>
    <t>848.39万</t>
  </si>
  <si>
    <t>7.96亿</t>
  </si>
  <si>
    <t>-183.22万</t>
  </si>
  <si>
    <t>2361.61万</t>
  </si>
  <si>
    <t>4-1</t>
  </si>
  <si>
    <t>SZ301469</t>
  </si>
  <si>
    <t>恒达新材</t>
  </si>
  <si>
    <t>64.72万</t>
  </si>
  <si>
    <t>3.33亿</t>
  </si>
  <si>
    <t>2.54亿</t>
  </si>
  <si>
    <t>5.02亿</t>
  </si>
  <si>
    <t>7300.74万</t>
  </si>
  <si>
    <t>2.38亿</t>
  </si>
  <si>
    <t>2.22亿</t>
  </si>
  <si>
    <t>92.60万</t>
  </si>
  <si>
    <t>678.02万</t>
  </si>
  <si>
    <t>15633709亿</t>
  </si>
  <si>
    <t>5.09亿</t>
  </si>
  <si>
    <t>147268300亿</t>
  </si>
  <si>
    <t>1092346260亿</t>
  </si>
  <si>
    <t>2.55亿</t>
  </si>
  <si>
    <t>6041.99万</t>
  </si>
  <si>
    <t>6653.71万</t>
  </si>
  <si>
    <t>-4123.02万</t>
  </si>
  <si>
    <t>-10.57万</t>
  </si>
  <si>
    <t>9.53亿</t>
  </si>
  <si>
    <t>7.58亿</t>
  </si>
  <si>
    <t>6.72亿</t>
  </si>
  <si>
    <t>5.41亿</t>
  </si>
  <si>
    <t>9745.32万</t>
  </si>
  <si>
    <t>1.04亿</t>
  </si>
  <si>
    <t>8979.20万</t>
  </si>
  <si>
    <t>3208.79万</t>
  </si>
  <si>
    <t>2741.18万</t>
  </si>
  <si>
    <t>8.69亿</t>
  </si>
  <si>
    <t>1.24亿</t>
  </si>
  <si>
    <t>8763.45万</t>
  </si>
  <si>
    <t>1671.71万</t>
  </si>
  <si>
    <t>10派5.59元(含税)</t>
  </si>
  <si>
    <t>473.11万</t>
  </si>
  <si>
    <t>4292.61万</t>
  </si>
  <si>
    <t>943.69万</t>
  </si>
  <si>
    <t>19.47亿</t>
  </si>
  <si>
    <t>42.45亿</t>
  </si>
  <si>
    <t>7261.99亿</t>
  </si>
  <si>
    <t>141.06亿</t>
  </si>
  <si>
    <t>1460737亿</t>
  </si>
  <si>
    <t>157.33万</t>
  </si>
  <si>
    <t>14523098亿</t>
  </si>
  <si>
    <t>8.48亿</t>
  </si>
  <si>
    <t>227351400亿</t>
  </si>
  <si>
    <t>3816778000亿</t>
  </si>
  <si>
    <t>4.64亿</t>
  </si>
  <si>
    <t>2.77亿</t>
  </si>
  <si>
    <t>360.71万</t>
  </si>
  <si>
    <t>-2196.12万</t>
  </si>
  <si>
    <t>-1.25亿</t>
  </si>
  <si>
    <t>2419.98万</t>
  </si>
  <si>
    <t>29.21亿</t>
  </si>
  <si>
    <t>26.73亿</t>
  </si>
  <si>
    <t>1406.57亿</t>
  </si>
  <si>
    <t>27.83亿</t>
  </si>
  <si>
    <t>10派0.1669元(含税)</t>
  </si>
  <si>
    <t>6823.30万</t>
  </si>
  <si>
    <t>4.58亿</t>
  </si>
  <si>
    <t>1606.42万</t>
  </si>
  <si>
    <t>9.80亿</t>
  </si>
  <si>
    <t>14.82亿</t>
  </si>
  <si>
    <t>3.78亿</t>
  </si>
  <si>
    <t>80.91亿</t>
  </si>
  <si>
    <t>12.26亿</t>
  </si>
  <si>
    <t>2.03万</t>
  </si>
  <si>
    <t>32389367亿</t>
  </si>
  <si>
    <t>253415570亿</t>
  </si>
  <si>
    <t>1104657360亿</t>
  </si>
  <si>
    <t>1.80亿</t>
  </si>
  <si>
    <t>9346.79万</t>
  </si>
  <si>
    <t>3936.31万</t>
  </si>
  <si>
    <t>-1.47亿</t>
  </si>
  <si>
    <t>16.71亿</t>
  </si>
  <si>
    <t>1540.28万</t>
  </si>
  <si>
    <t>16.18亿</t>
  </si>
  <si>
    <t>19.95亿</t>
  </si>
  <si>
    <t>4672.53万</t>
  </si>
  <si>
    <t>2.94亿</t>
  </si>
  <si>
    <t>10派0.15元(含税)</t>
  </si>
  <si>
    <t>3363.11万</t>
  </si>
  <si>
    <t>-8-1</t>
  </si>
  <si>
    <t>434.13万</t>
  </si>
  <si>
    <t>59.39亿</t>
  </si>
  <si>
    <t>93.71亿</t>
  </si>
  <si>
    <t>34.34亿</t>
  </si>
  <si>
    <t>1753.61亿</t>
  </si>
  <si>
    <t>168.16亿</t>
  </si>
  <si>
    <t>33.42亿</t>
  </si>
  <si>
    <t>30.94亿</t>
  </si>
  <si>
    <t>909.81万</t>
  </si>
  <si>
    <t>26812759亿</t>
  </si>
  <si>
    <t>279.76万</t>
  </si>
  <si>
    <t>115443841亿</t>
  </si>
  <si>
    <t>23.10亿</t>
  </si>
  <si>
    <t>1144709520亿</t>
  </si>
  <si>
    <t>7012203900亿</t>
  </si>
  <si>
    <t>15.24亿</t>
  </si>
  <si>
    <t>8.00亿</t>
  </si>
  <si>
    <t>18.81亿</t>
  </si>
  <si>
    <t>50.45亿</t>
  </si>
  <si>
    <t>8.58亿</t>
  </si>
  <si>
    <t>2.93亿</t>
  </si>
  <si>
    <t>-1.29亿</t>
  </si>
  <si>
    <t>-548.28万</t>
  </si>
  <si>
    <t>151.74亿</t>
  </si>
  <si>
    <t>4.27亿</t>
  </si>
  <si>
    <t>132.91亿</t>
  </si>
  <si>
    <t>419.39亿</t>
  </si>
  <si>
    <t>40.53亿</t>
  </si>
  <si>
    <t>10派0.478元(含税)</t>
  </si>
  <si>
    <t>2522.21万</t>
  </si>
  <si>
    <t>147.89万</t>
  </si>
  <si>
    <t>5.94亿</t>
  </si>
  <si>
    <t>25.83亿</t>
  </si>
  <si>
    <t>5.32亿</t>
  </si>
  <si>
    <t>5.43亿</t>
  </si>
  <si>
    <t>-1253.32万</t>
  </si>
  <si>
    <t>5.10亿</t>
  </si>
  <si>
    <t>1093.35万</t>
  </si>
  <si>
    <t>2394.30万</t>
  </si>
  <si>
    <t>40.21万</t>
  </si>
  <si>
    <t>19404045亿</t>
  </si>
  <si>
    <t>3.67亿</t>
  </si>
  <si>
    <t>494254940亿</t>
  </si>
  <si>
    <t>1948816800亿</t>
  </si>
  <si>
    <t>2944.41万</t>
  </si>
  <si>
    <t>6.15亿</t>
  </si>
  <si>
    <t>4419.38万</t>
  </si>
  <si>
    <t>2711.55万</t>
  </si>
  <si>
    <t>-3911.57万</t>
  </si>
  <si>
    <t>1801.99万</t>
  </si>
  <si>
    <t>24.56亿</t>
  </si>
  <si>
    <t>1.29亿</t>
  </si>
  <si>
    <t>26.48亿</t>
  </si>
  <si>
    <t>-248.14万</t>
  </si>
  <si>
    <t>10派1.368元(含税)</t>
  </si>
  <si>
    <t>874.89万</t>
  </si>
  <si>
    <t>6775.52万</t>
  </si>
  <si>
    <t>529.88万</t>
  </si>
  <si>
    <t>41.78亿</t>
  </si>
  <si>
    <t>62.15亿</t>
  </si>
  <si>
    <t>16.90亿</t>
  </si>
  <si>
    <t>35.65亿</t>
  </si>
  <si>
    <t>1.92亿</t>
  </si>
  <si>
    <t>16.52亿</t>
  </si>
  <si>
    <t>14.53亿</t>
  </si>
  <si>
    <t>1704.85万</t>
  </si>
  <si>
    <t>5108.44万</t>
  </si>
  <si>
    <t>-1655761亿</t>
  </si>
  <si>
    <t>144.22万</t>
  </si>
  <si>
    <t>37710666亿</t>
  </si>
  <si>
    <t>889510510亿</t>
  </si>
  <si>
    <t>4604753200亿</t>
  </si>
  <si>
    <t>9.39亿</t>
  </si>
  <si>
    <t>15.46亿</t>
  </si>
  <si>
    <t>8.39亿</t>
  </si>
  <si>
    <t>186.67万</t>
  </si>
  <si>
    <t>34.52亿</t>
  </si>
  <si>
    <t>-3.69亿</t>
  </si>
  <si>
    <t>-9904.16万</t>
  </si>
  <si>
    <t>80.86亿</t>
  </si>
  <si>
    <t>3.85亿</t>
  </si>
  <si>
    <t>74.03亿</t>
  </si>
  <si>
    <t>5.84亿</t>
  </si>
  <si>
    <t>-4623.97万</t>
  </si>
  <si>
    <t>2455.18万</t>
  </si>
  <si>
    <t>3222.48万</t>
  </si>
  <si>
    <t>2.35亿</t>
  </si>
  <si>
    <t>3230.09万</t>
  </si>
  <si>
    <t>390.25亿</t>
  </si>
  <si>
    <t>158.92亿</t>
  </si>
  <si>
    <t>66.69亿</t>
  </si>
  <si>
    <t>6.39亿</t>
  </si>
  <si>
    <t>-3.44亿</t>
  </si>
  <si>
    <t>69.08亿</t>
  </si>
  <si>
    <t>60.10亿</t>
  </si>
  <si>
    <t>8380.39万</t>
  </si>
  <si>
    <t>62915285亿</t>
  </si>
  <si>
    <t>349.23万</t>
  </si>
  <si>
    <t>-15478790亿</t>
  </si>
  <si>
    <t>51.85亿</t>
  </si>
  <si>
    <t>4067052700亿</t>
  </si>
  <si>
    <t>2.00亿</t>
  </si>
  <si>
    <t>13922733000亿</t>
  </si>
  <si>
    <t>38.03亿</t>
  </si>
  <si>
    <t>163.16亿</t>
  </si>
  <si>
    <t>58.48亿</t>
  </si>
  <si>
    <t>7.77万</t>
  </si>
  <si>
    <t>291.17亿</t>
  </si>
  <si>
    <t>69.44亿</t>
  </si>
  <si>
    <t>4.60亿</t>
  </si>
  <si>
    <t>-2.45亿</t>
  </si>
  <si>
    <t>-1.12亿</t>
  </si>
  <si>
    <t>340.14亿</t>
  </si>
  <si>
    <t>-22.56亿</t>
  </si>
  <si>
    <t>293.33亿</t>
  </si>
  <si>
    <t>1.56亿</t>
  </si>
  <si>
    <t>-2782.87万</t>
  </si>
  <si>
    <t>10派0.11元(含税)</t>
  </si>
  <si>
    <t>15.74亿</t>
  </si>
  <si>
    <t>1-1</t>
  </si>
  <si>
    <t>99.63万</t>
  </si>
  <si>
    <t>19.98亿</t>
  </si>
  <si>
    <t>5.61亿</t>
  </si>
  <si>
    <t>14.99亿</t>
  </si>
  <si>
    <t>299.62万</t>
  </si>
  <si>
    <t>1918.19万</t>
  </si>
  <si>
    <t>181639亿</t>
  </si>
  <si>
    <t>508.00万</t>
  </si>
  <si>
    <t>-26042779亿</t>
  </si>
  <si>
    <t>6302.07万</t>
  </si>
  <si>
    <t>33511594亿</t>
  </si>
  <si>
    <t>583051620亿</t>
  </si>
  <si>
    <t>827.69万</t>
  </si>
  <si>
    <t>1.45亿</t>
  </si>
  <si>
    <t>2.47亿</t>
  </si>
  <si>
    <t>7.29万</t>
  </si>
  <si>
    <t>19.31亿</t>
  </si>
  <si>
    <t>1350.00万</t>
  </si>
  <si>
    <t>998.51万</t>
  </si>
  <si>
    <t>-318.70万</t>
  </si>
  <si>
    <t>373.46万</t>
  </si>
  <si>
    <t>23.02亿</t>
  </si>
  <si>
    <t>2961.82万</t>
  </si>
  <si>
    <t>-7812.19万</t>
  </si>
  <si>
    <t>6572.40万</t>
  </si>
  <si>
    <t>535.96万</t>
  </si>
  <si>
    <t>3049.72万</t>
  </si>
  <si>
    <t>4-0</t>
  </si>
  <si>
    <t>1917.48万</t>
  </si>
  <si>
    <t>72.38亿</t>
  </si>
  <si>
    <t>85.84亿</t>
  </si>
  <si>
    <t>19.60亿</t>
  </si>
  <si>
    <t>10.46亿</t>
  </si>
  <si>
    <t>9858.94万</t>
  </si>
  <si>
    <t>20.27亿</t>
  </si>
  <si>
    <t>18.22亿</t>
  </si>
  <si>
    <t>2843.09万</t>
  </si>
  <si>
    <t>6094.90万</t>
  </si>
  <si>
    <t>140473050亿</t>
  </si>
  <si>
    <t>11.69万</t>
  </si>
  <si>
    <t>-40714104亿</t>
  </si>
  <si>
    <t>822252420亿</t>
  </si>
  <si>
    <t>9683204800亿</t>
  </si>
  <si>
    <t>25.05亿</t>
  </si>
  <si>
    <t>13.29亿</t>
  </si>
  <si>
    <t>163.26万</t>
  </si>
  <si>
    <t>56.76亿</t>
  </si>
  <si>
    <t>14.51亿</t>
  </si>
  <si>
    <t>1066.84万</t>
  </si>
  <si>
    <t>-2.00亿</t>
  </si>
  <si>
    <t>-1671.20万</t>
  </si>
  <si>
    <t>97.81亿</t>
  </si>
  <si>
    <t>6.16亿</t>
  </si>
  <si>
    <t>86.41亿</t>
  </si>
  <si>
    <t>-2.38亿</t>
  </si>
  <si>
    <t>5884.36万</t>
  </si>
  <si>
    <t>7815.61万</t>
  </si>
  <si>
    <t>5.90亿</t>
  </si>
  <si>
    <t>098589400</t>
  </si>
  <si>
    <t>0295768200</t>
  </si>
  <si>
    <t>0591536400</t>
  </si>
  <si>
    <t>0985894000</t>
  </si>
  <si>
    <t>01971788000</t>
  </si>
  <si>
    <t>2-0</t>
  </si>
  <si>
    <t>707.01万</t>
  </si>
  <si>
    <t>155.07亿</t>
  </si>
  <si>
    <t>67.69亿</t>
  </si>
  <si>
    <t>43.98亿</t>
  </si>
  <si>
    <t>100.10亿</t>
  </si>
  <si>
    <t>8.51亿</t>
  </si>
  <si>
    <t>38.13亿</t>
  </si>
  <si>
    <t>4746.67万</t>
  </si>
  <si>
    <t>1.46亿</t>
  </si>
  <si>
    <t>-241092亿</t>
  </si>
  <si>
    <t>18.57万</t>
  </si>
  <si>
    <t>94746182亿</t>
  </si>
  <si>
    <t>36.14亿</t>
  </si>
  <si>
    <t>1029624020亿</t>
  </si>
  <si>
    <t>9537231000亿</t>
  </si>
  <si>
    <t>22.35亿</t>
  </si>
  <si>
    <t>56.69亿</t>
  </si>
  <si>
    <t>45.47亿</t>
  </si>
  <si>
    <t>11.32亿</t>
  </si>
  <si>
    <t>135.85亿</t>
  </si>
  <si>
    <t>20.43亿</t>
  </si>
  <si>
    <t>4.50亿</t>
  </si>
  <si>
    <t>-1.77亿</t>
  </si>
  <si>
    <t>-4.63亿</t>
  </si>
  <si>
    <t>183.62亿</t>
  </si>
  <si>
    <t>2.28亿</t>
  </si>
  <si>
    <t>186.93亿</t>
  </si>
  <si>
    <t>25.93亿</t>
  </si>
  <si>
    <t>10派0.2941元(含税)</t>
  </si>
  <si>
    <t>3827.62万</t>
  </si>
  <si>
    <t>2.25亿</t>
  </si>
  <si>
    <t>145.73万</t>
  </si>
  <si>
    <t>13.94亿</t>
  </si>
  <si>
    <t>23.25亿</t>
  </si>
  <si>
    <t>5.48亿</t>
  </si>
  <si>
    <t>13.52亿</t>
  </si>
  <si>
    <t>5.00亿</t>
  </si>
  <si>
    <t>103.04万</t>
  </si>
  <si>
    <t>1080.89万</t>
  </si>
  <si>
    <t>4268929亿</t>
  </si>
  <si>
    <t>80096823亿</t>
  </si>
  <si>
    <t>14.13亿</t>
  </si>
  <si>
    <t>273132330亿</t>
  </si>
  <si>
    <t>3137603600亿</t>
  </si>
  <si>
    <t>742.05万</t>
  </si>
  <si>
    <t>8315.69万</t>
  </si>
  <si>
    <t>300.03万</t>
  </si>
  <si>
    <t>14.20亿</t>
  </si>
  <si>
    <t>287.80万</t>
  </si>
  <si>
    <t>-3.52亿</t>
  </si>
  <si>
    <t>5.63亿</t>
  </si>
  <si>
    <t>25.63亿</t>
  </si>
  <si>
    <t>22.91亿</t>
  </si>
  <si>
    <t>3.15亿</t>
  </si>
  <si>
    <t>3049.60万</t>
  </si>
  <si>
    <t>10派4.9元(含税)</t>
  </si>
  <si>
    <t>965.47万</t>
  </si>
  <si>
    <t>6368.05万</t>
  </si>
  <si>
    <t>0104000000</t>
  </si>
  <si>
    <t>0312000000</t>
  </si>
  <si>
    <t>0624000000</t>
  </si>
  <si>
    <t>01040000000</t>
  </si>
  <si>
    <t>02080000000</t>
  </si>
  <si>
    <t>292.99万</t>
  </si>
  <si>
    <t>115.08亿</t>
  </si>
  <si>
    <t>76.34亿</t>
  </si>
  <si>
    <t>22.09亿</t>
  </si>
  <si>
    <t>124.76亿</t>
  </si>
  <si>
    <t>19.54亿</t>
  </si>
  <si>
    <t>18.11亿</t>
  </si>
  <si>
    <t>536.87万</t>
  </si>
  <si>
    <t>3447.32万</t>
  </si>
  <si>
    <t>43134366亿</t>
  </si>
  <si>
    <t>9.00万</t>
  </si>
  <si>
    <t>236886450亿</t>
  </si>
  <si>
    <t>8.74亿</t>
  </si>
  <si>
    <t>1605647500亿</t>
  </si>
  <si>
    <t>358.72万</t>
  </si>
  <si>
    <t>8205505200亿</t>
  </si>
  <si>
    <t>56.94亿</t>
  </si>
  <si>
    <t>28.02亿</t>
  </si>
  <si>
    <t>2.41亿</t>
  </si>
  <si>
    <t>19.43亿</t>
  </si>
  <si>
    <t>57.30亿</t>
  </si>
  <si>
    <t>46.02亿</t>
  </si>
  <si>
    <t>-4.14亿</t>
  </si>
  <si>
    <t>-14.08亿</t>
  </si>
  <si>
    <t>77.38亿</t>
  </si>
  <si>
    <t>7.10亿</t>
  </si>
  <si>
    <t>85.53亿</t>
  </si>
  <si>
    <t>20.53亿</t>
  </si>
  <si>
    <t>6.64亿</t>
  </si>
  <si>
    <t>2642.13万</t>
  </si>
  <si>
    <t>1626.65万</t>
  </si>
  <si>
    <t>8617.52万</t>
  </si>
  <si>
    <t>748.62万</t>
  </si>
  <si>
    <t>8.27亿</t>
  </si>
  <si>
    <t>1.43亿</t>
  </si>
  <si>
    <t>67.59亿</t>
  </si>
  <si>
    <t>5.74亿</t>
  </si>
  <si>
    <t>76.08万</t>
  </si>
  <si>
    <t>1563.49万</t>
  </si>
  <si>
    <t>18.91万</t>
  </si>
  <si>
    <t>-23189384亿</t>
  </si>
  <si>
    <t>2004.44万</t>
  </si>
  <si>
    <t>21331263亿</t>
  </si>
  <si>
    <t>898.02万</t>
  </si>
  <si>
    <t>232177900亿</t>
  </si>
  <si>
    <t>6570.23万</t>
  </si>
  <si>
    <t>6.69亿</t>
  </si>
  <si>
    <t>1.21亿</t>
  </si>
  <si>
    <t>-2937.72万</t>
  </si>
  <si>
    <t>-616.28万</t>
  </si>
  <si>
    <t>1904.47万</t>
  </si>
  <si>
    <t>9.28亿</t>
  </si>
  <si>
    <t>-2.77亿</t>
  </si>
  <si>
    <t>6.65亿</t>
  </si>
  <si>
    <t>14.76亿</t>
  </si>
  <si>
    <t>-2.37亿</t>
  </si>
  <si>
    <t>4603.11万</t>
  </si>
  <si>
    <t>-3-0</t>
  </si>
  <si>
    <t>149.24万</t>
  </si>
  <si>
    <t>52.60亿</t>
  </si>
  <si>
    <t>25.81亿</t>
  </si>
  <si>
    <t>17.26亿</t>
  </si>
  <si>
    <t>14.16亿</t>
  </si>
  <si>
    <t>9500.95万</t>
  </si>
  <si>
    <t>15.95亿</t>
  </si>
  <si>
    <t>15.03亿</t>
  </si>
  <si>
    <t>374.27万</t>
  </si>
  <si>
    <t>2425.30万</t>
  </si>
  <si>
    <t>-5580318亿</t>
  </si>
  <si>
    <t>16.93万</t>
  </si>
  <si>
    <t>131646437亿</t>
  </si>
  <si>
    <t>4.97亿</t>
  </si>
  <si>
    <t>1051484850亿</t>
  </si>
  <si>
    <t>9407.12万</t>
  </si>
  <si>
    <t>2476935700亿</t>
  </si>
  <si>
    <t>21.08亿</t>
  </si>
  <si>
    <t>6.11亿</t>
  </si>
  <si>
    <t>34.50亿</t>
  </si>
  <si>
    <t>12.10亿</t>
  </si>
  <si>
    <t>-7.15亿</t>
  </si>
  <si>
    <t>59.62亿</t>
  </si>
  <si>
    <t>2.05亿</t>
  </si>
  <si>
    <t>65.19亿</t>
  </si>
  <si>
    <t>7654.72万</t>
  </si>
  <si>
    <t>10派2.2元(含税)</t>
  </si>
  <si>
    <t>711.82万</t>
  </si>
  <si>
    <t>5109.45万</t>
  </si>
  <si>
    <t>-2-0</t>
  </si>
  <si>
    <t>259.64万</t>
  </si>
  <si>
    <t>22.04亿</t>
  </si>
  <si>
    <t>41.62亿</t>
  </si>
  <si>
    <t>9.52亿</t>
  </si>
  <si>
    <t>9.97亿</t>
  </si>
  <si>
    <t>8.01亿</t>
  </si>
  <si>
    <t>427.23万</t>
  </si>
  <si>
    <t>902.54万</t>
  </si>
  <si>
    <t>-155849亿</t>
  </si>
  <si>
    <t>144998670亿</t>
  </si>
  <si>
    <t>17.21亿</t>
  </si>
  <si>
    <t>703532020亿</t>
  </si>
  <si>
    <t>4315973800亿</t>
  </si>
  <si>
    <t>6070.66万</t>
  </si>
  <si>
    <t>6000.95万</t>
  </si>
  <si>
    <t>6.46亿</t>
  </si>
  <si>
    <t>15.38亿</t>
  </si>
  <si>
    <t>-2.08亿</t>
  </si>
  <si>
    <t>-5509.29万</t>
  </si>
  <si>
    <t>-3.11亿</t>
  </si>
  <si>
    <t>34.36亿</t>
  </si>
  <si>
    <t>4.67亿</t>
  </si>
  <si>
    <t>39.76亿</t>
  </si>
  <si>
    <t>1091.27万</t>
  </si>
  <si>
    <t>10转4股派11元(含税)</t>
  </si>
  <si>
    <t>1369.23万</t>
  </si>
  <si>
    <t>1.08亿</t>
  </si>
  <si>
    <t>114.88万</t>
  </si>
  <si>
    <t>5.67亿</t>
  </si>
  <si>
    <t>27.07亿</t>
  </si>
  <si>
    <t>4.87亿</t>
  </si>
  <si>
    <t>53.49亿</t>
  </si>
  <si>
    <t>6.12亿</t>
  </si>
  <si>
    <t>4.68亿</t>
  </si>
  <si>
    <t>4.20亿</t>
  </si>
  <si>
    <t>712.11万</t>
  </si>
  <si>
    <t>1513.39万</t>
  </si>
  <si>
    <t>669670亿</t>
  </si>
  <si>
    <t>13.91万</t>
  </si>
  <si>
    <t>34419236亿</t>
  </si>
  <si>
    <t>4.34亿</t>
  </si>
  <si>
    <t>194099690亿</t>
  </si>
  <si>
    <t>418.82万</t>
  </si>
  <si>
    <t>1473847500亿</t>
  </si>
  <si>
    <t>7.11亿</t>
  </si>
  <si>
    <t>9807.48万</t>
  </si>
  <si>
    <t>-1.09亿</t>
  </si>
  <si>
    <t>-1.79亿</t>
  </si>
  <si>
    <t>27.01亿</t>
  </si>
  <si>
    <t>29.58亿</t>
  </si>
  <si>
    <t>23.29亿</t>
  </si>
  <si>
    <t>14.10亿</t>
  </si>
  <si>
    <t>1.95亿</t>
  </si>
  <si>
    <t>10派1.5元(含税)</t>
  </si>
  <si>
    <t>704.83万</t>
  </si>
  <si>
    <t>5329.87万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</si>
</sst>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8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412750</xdr:colOff>
          <xdr:row>0</xdr:row>
          <xdr:rowOff>63500</xdr:rowOff>
        </xdr:from>
        <xdr:to>
          <xdr:col>147</xdr:col>
          <xdr:colOff>1555750</xdr:colOff>
          <xdr:row>0</xdr:row>
          <xdr:rowOff>374650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28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24" sqref="D24:EP24"/>
    </sheetView>
  </sheetViews>
  <sheetFormatPr defaultRowHeight="14" x14ac:dyDescent="0.25"/>
  <cols>
    <col min="1" max="1" width="28.08984375" customWidth="1"/>
    <col min="2" max="2" width="31" customWidth="1"/>
    <col min="3" max="3" width="41.81640625" customWidth="1"/>
    <col min="19" max="19" width="11.7265625" customWidth="1"/>
    <col min="27" max="27" width="11.08984375" style="3" customWidth="1"/>
    <col min="148" max="148" width="28.90625" customWidth="1"/>
  </cols>
  <sheetData>
    <row r="1" spans="1:146" ht="35.5" customHeight="1" x14ac:dyDescent="0.25">
      <c r="A1" s="4" t="s">
        <v>42</v>
      </c>
      <c r="B1" s="5" t="s">
        <v>43</v>
      </c>
      <c r="C1" s="4" t="s">
        <v>44</v>
      </c>
      <c r="D1" t="s">
        <v>45</v>
      </c>
      <c r="E1" t="s">
        <v>261</v>
      </c>
      <c r="F1" t="s">
        <v>3</v>
      </c>
      <c r="G1" t="s">
        <v>348</v>
      </c>
      <c r="H1" t="s">
        <v>349</v>
      </c>
      <c r="I1" t="s">
        <v>20</v>
      </c>
      <c r="J1" t="s">
        <v>21</v>
      </c>
      <c r="K1" t="s">
        <v>4</v>
      </c>
      <c r="L1" t="s">
        <v>22</v>
      </c>
      <c r="M1" t="s">
        <v>46</v>
      </c>
      <c r="N1" t="s">
        <v>47</v>
      </c>
      <c r="O1" t="s">
        <v>48</v>
      </c>
      <c r="P1" t="s">
        <v>350</v>
      </c>
      <c r="Q1" t="s">
        <v>262</v>
      </c>
      <c r="R1" t="s">
        <v>263</v>
      </c>
      <c r="S1" t="s">
        <v>49</v>
      </c>
      <c r="T1" t="s">
        <v>351</v>
      </c>
      <c r="U1" t="s">
        <v>220</v>
      </c>
      <c r="V1" t="s">
        <v>50</v>
      </c>
      <c r="W1" t="s">
        <v>264</v>
      </c>
      <c r="X1" t="s">
        <v>265</v>
      </c>
      <c r="Y1" t="s">
        <v>266</v>
      </c>
      <c r="Z1" t="s">
        <v>267</v>
      </c>
      <c r="AA1" t="s">
        <v>268</v>
      </c>
      <c r="AB1" t="s">
        <v>352</v>
      </c>
      <c r="AC1" t="s">
        <v>269</v>
      </c>
      <c r="AD1" t="s">
        <v>270</v>
      </c>
      <c r="AE1" t="s">
        <v>51</v>
      </c>
      <c r="AF1" t="s">
        <v>52</v>
      </c>
      <c r="AG1" t="s">
        <v>353</v>
      </c>
      <c r="AH1" t="s">
        <v>271</v>
      </c>
      <c r="AI1" t="s">
        <v>354</v>
      </c>
      <c r="AJ1" t="s">
        <v>53</v>
      </c>
      <c r="AK1" t="s">
        <v>355</v>
      </c>
      <c r="AL1" t="s">
        <v>98</v>
      </c>
      <c r="AM1" t="s">
        <v>356</v>
      </c>
      <c r="AN1" t="s">
        <v>357</v>
      </c>
      <c r="AO1" t="s">
        <v>358</v>
      </c>
      <c r="AP1" t="s">
        <v>359</v>
      </c>
      <c r="AQ1" t="s">
        <v>360</v>
      </c>
      <c r="AR1" t="s">
        <v>361</v>
      </c>
      <c r="AS1" t="s">
        <v>362</v>
      </c>
      <c r="AT1" t="s">
        <v>363</v>
      </c>
      <c r="AU1" t="s">
        <v>364</v>
      </c>
      <c r="AV1" t="s">
        <v>365</v>
      </c>
      <c r="AW1" t="s">
        <v>366</v>
      </c>
      <c r="AX1" t="s">
        <v>272</v>
      </c>
      <c r="AY1" t="s">
        <v>99</v>
      </c>
      <c r="AZ1" t="s">
        <v>100</v>
      </c>
      <c r="BA1" t="s">
        <v>101</v>
      </c>
      <c r="BB1" t="s">
        <v>102</v>
      </c>
      <c r="BC1" t="s">
        <v>221</v>
      </c>
      <c r="BD1" t="s">
        <v>103</v>
      </c>
      <c r="BE1" t="s">
        <v>104</v>
      </c>
      <c r="BF1" t="s">
        <v>105</v>
      </c>
      <c r="BG1" t="s">
        <v>106</v>
      </c>
      <c r="BH1" t="s">
        <v>367</v>
      </c>
      <c r="BI1" t="s">
        <v>368</v>
      </c>
      <c r="BJ1" t="s">
        <v>369</v>
      </c>
      <c r="BK1" t="s">
        <v>370</v>
      </c>
      <c r="BL1" t="s">
        <v>371</v>
      </c>
      <c r="BM1" t="s">
        <v>372</v>
      </c>
      <c r="BN1" t="s">
        <v>273</v>
      </c>
      <c r="BO1" t="s">
        <v>222</v>
      </c>
      <c r="BP1" t="s">
        <v>107</v>
      </c>
      <c r="BQ1" t="s">
        <v>274</v>
      </c>
      <c r="BR1" t="s">
        <v>223</v>
      </c>
      <c r="BS1" t="s">
        <v>108</v>
      </c>
      <c r="BT1" t="s">
        <v>373</v>
      </c>
      <c r="BU1" t="s">
        <v>275</v>
      </c>
      <c r="BV1" t="s">
        <v>374</v>
      </c>
      <c r="BW1" t="s">
        <v>109</v>
      </c>
      <c r="BX1" t="s">
        <v>110</v>
      </c>
      <c r="BY1" t="s">
        <v>375</v>
      </c>
      <c r="BZ1" t="s">
        <v>111</v>
      </c>
      <c r="CA1" t="s">
        <v>112</v>
      </c>
      <c r="CB1" t="s">
        <v>376</v>
      </c>
      <c r="CC1" t="s">
        <v>377</v>
      </c>
      <c r="CD1" t="s">
        <v>378</v>
      </c>
      <c r="CE1" t="s">
        <v>379</v>
      </c>
      <c r="CF1" s="1" t="s">
        <v>276</v>
      </c>
      <c r="CG1" s="1" t="s">
        <v>277</v>
      </c>
      <c r="CH1" s="1" t="s">
        <v>278</v>
      </c>
      <c r="CI1" s="1" t="s">
        <v>279</v>
      </c>
      <c r="CJ1" s="1" t="s">
        <v>280</v>
      </c>
      <c r="CK1" s="1" t="s">
        <v>281</v>
      </c>
      <c r="CL1" s="1" t="s">
        <v>282</v>
      </c>
      <c r="CM1" s="1" t="s">
        <v>283</v>
      </c>
      <c r="CN1" s="1" t="s">
        <v>284</v>
      </c>
      <c r="CO1" s="1" t="s">
        <v>285</v>
      </c>
      <c r="CP1" s="1" t="s">
        <v>286</v>
      </c>
      <c r="CQ1" s="1" t="s">
        <v>287</v>
      </c>
      <c r="CR1" s="1" t="s">
        <v>288</v>
      </c>
      <c r="CS1" s="1" t="s">
        <v>380</v>
      </c>
      <c r="CT1" s="1" t="s">
        <v>395</v>
      </c>
      <c r="CU1" s="1" t="s">
        <v>381</v>
      </c>
      <c r="CV1" s="1" t="s">
        <v>289</v>
      </c>
      <c r="CW1" s="1" t="s">
        <v>290</v>
      </c>
      <c r="CX1">
        <v>1</v>
      </c>
      <c r="CY1" t="s">
        <v>396</v>
      </c>
      <c r="CZ1" t="s">
        <v>291</v>
      </c>
      <c r="DA1">
        <v>3</v>
      </c>
      <c r="DB1" t="s">
        <v>292</v>
      </c>
      <c r="DC1" t="s">
        <v>293</v>
      </c>
      <c r="DD1">
        <v>6</v>
      </c>
      <c r="DE1" t="s">
        <v>382</v>
      </c>
      <c r="DF1" t="s">
        <v>397</v>
      </c>
      <c r="DG1">
        <v>10</v>
      </c>
      <c r="DH1" t="s">
        <v>383</v>
      </c>
      <c r="DI1" t="s">
        <v>398</v>
      </c>
      <c r="DJ1">
        <v>20</v>
      </c>
      <c r="DK1" t="s">
        <v>384</v>
      </c>
      <c r="DL1" t="s">
        <v>294</v>
      </c>
      <c r="DM1" t="s">
        <v>295</v>
      </c>
      <c r="DN1" s="2" t="s">
        <v>296</v>
      </c>
      <c r="DO1" t="s">
        <v>385</v>
      </c>
      <c r="DP1" t="s">
        <v>386</v>
      </c>
      <c r="DQ1" s="9" t="s">
        <v>297</v>
      </c>
      <c r="DR1" s="1" t="s">
        <v>399</v>
      </c>
      <c r="DS1" s="1" t="s">
        <v>387</v>
      </c>
      <c r="DT1" t="s">
        <v>298</v>
      </c>
      <c r="DU1" t="s">
        <v>388</v>
      </c>
      <c r="DV1" t="s">
        <v>299</v>
      </c>
      <c r="DW1" t="s">
        <v>300</v>
      </c>
      <c r="DX1" t="s">
        <v>389</v>
      </c>
      <c r="DY1" t="s">
        <v>301</v>
      </c>
      <c r="DZ1" t="s">
        <v>400</v>
      </c>
      <c r="EA1" t="s">
        <v>401</v>
      </c>
      <c r="EB1" t="s">
        <v>390</v>
      </c>
      <c r="EC1" t="s">
        <v>302</v>
      </c>
      <c r="ED1" t="s">
        <v>402</v>
      </c>
      <c r="EE1" t="s">
        <v>391</v>
      </c>
      <c r="EF1" t="s">
        <v>403</v>
      </c>
      <c r="EG1" t="s">
        <v>392</v>
      </c>
      <c r="EH1" t="s">
        <v>404</v>
      </c>
      <c r="EI1" t="s">
        <v>303</v>
      </c>
      <c r="EK1" s="10" t="s">
        <v>405</v>
      </c>
      <c r="EL1" t="s">
        <v>393</v>
      </c>
      <c r="EM1" t="s">
        <v>406</v>
      </c>
      <c r="EN1" t="s">
        <v>407</v>
      </c>
      <c r="EO1" t="s">
        <v>394</v>
      </c>
      <c r="EP1" t="s">
        <v>408</v>
      </c>
    </row>
    <row r="2" spans="1:146" ht="96" x14ac:dyDescent="0.25">
      <c r="A2" s="7"/>
      <c r="B2" s="7"/>
      <c r="C2" s="7" t="str">
        <f>""&amp;CHAR(10)&amp;Basic_Fundamental_Information_Constructure(F2)&amp;CHAR(10)&amp;Basic_Fundamental_Information_Concatenate("")</f>
        <v xml:space="preserve">
市值102.305737亿, 利润-12.81亿; PE; 平均PE8.96; 平均PEG7.32, PB.613; ROIC5.06%; ROE1.84%; 股利率0%; 毛利15.4033%; 净利.7767%; 上一年度营收增-16.86%, 利润增-777.78%; 当季营收增9.84%, 利润增121.16%; 过往5年营收增-1.22%, 利润增-175.72%
Income profile:
</v>
      </c>
      <c r="D2" t="s">
        <v>34</v>
      </c>
      <c r="E2" t="s">
        <v>19</v>
      </c>
      <c r="F2">
        <v>3.46</v>
      </c>
      <c r="G2">
        <v>0.28999999999999998</v>
      </c>
      <c r="H2" t="s">
        <v>418</v>
      </c>
      <c r="I2">
        <v>10230573700</v>
      </c>
      <c r="K2">
        <v>0.61299999999999999</v>
      </c>
      <c r="L2" t="s">
        <v>24</v>
      </c>
      <c r="M2" t="s">
        <v>419</v>
      </c>
      <c r="N2" t="s">
        <v>420</v>
      </c>
      <c r="O2" t="s">
        <v>421</v>
      </c>
      <c r="P2">
        <v>9.84</v>
      </c>
      <c r="Q2" t="s">
        <v>422</v>
      </c>
      <c r="R2">
        <v>58196201</v>
      </c>
      <c r="S2" s="6">
        <v>1.2110000000000001</v>
      </c>
      <c r="T2" t="s">
        <v>423</v>
      </c>
      <c r="U2">
        <v>1685544100</v>
      </c>
      <c r="V2">
        <v>2956813200</v>
      </c>
      <c r="W2">
        <v>3.84</v>
      </c>
      <c r="X2">
        <v>0.08</v>
      </c>
      <c r="Y2">
        <v>1</v>
      </c>
      <c r="Z2" t="s">
        <v>424</v>
      </c>
      <c r="AA2" t="s">
        <v>425</v>
      </c>
      <c r="AB2" t="s">
        <v>426</v>
      </c>
      <c r="AC2" t="s">
        <v>427</v>
      </c>
      <c r="AD2" t="s">
        <v>56</v>
      </c>
      <c r="AE2">
        <v>421084500</v>
      </c>
      <c r="AF2" t="s">
        <v>428</v>
      </c>
      <c r="AG2" t="s">
        <v>429</v>
      </c>
      <c r="AH2" t="s">
        <v>430</v>
      </c>
      <c r="AI2" t="s">
        <v>431</v>
      </c>
      <c r="AJ2" t="s">
        <v>432</v>
      </c>
      <c r="AK2" t="s">
        <v>433</v>
      </c>
      <c r="AL2" t="s">
        <v>434</v>
      </c>
      <c r="AM2" t="s">
        <v>56</v>
      </c>
      <c r="AN2" t="s">
        <v>435</v>
      </c>
      <c r="AO2" t="s">
        <v>436</v>
      </c>
      <c r="AP2" t="s">
        <v>437</v>
      </c>
      <c r="AQ2" t="s">
        <v>438</v>
      </c>
      <c r="AR2" t="s">
        <v>439</v>
      </c>
      <c r="AS2" t="s">
        <v>440</v>
      </c>
      <c r="AT2" t="s">
        <v>441</v>
      </c>
      <c r="AU2" t="s">
        <v>442</v>
      </c>
      <c r="AV2" t="s">
        <v>443</v>
      </c>
      <c r="AW2" t="s">
        <v>444</v>
      </c>
      <c r="AX2" t="s">
        <v>445</v>
      </c>
      <c r="AY2" t="s">
        <v>224</v>
      </c>
      <c r="AZ2" t="s">
        <v>113</v>
      </c>
      <c r="BA2" t="s">
        <v>54</v>
      </c>
      <c r="BB2" t="s">
        <v>115</v>
      </c>
      <c r="BC2" t="s">
        <v>63</v>
      </c>
      <c r="BD2" t="s">
        <v>225</v>
      </c>
      <c r="BE2" t="s">
        <v>114</v>
      </c>
      <c r="BF2" t="s">
        <v>55</v>
      </c>
      <c r="BG2" t="s">
        <v>116</v>
      </c>
      <c r="BH2" t="s">
        <v>422</v>
      </c>
      <c r="BI2" t="s">
        <v>446</v>
      </c>
      <c r="BJ2" t="s">
        <v>445</v>
      </c>
      <c r="BK2" t="s">
        <v>423</v>
      </c>
      <c r="BL2" t="s">
        <v>447</v>
      </c>
      <c r="BM2" t="s">
        <v>63</v>
      </c>
      <c r="BN2" t="s">
        <v>56</v>
      </c>
      <c r="BO2">
        <v>4.78</v>
      </c>
      <c r="BP2">
        <v>5.34</v>
      </c>
      <c r="BQ2">
        <v>-4.63</v>
      </c>
      <c r="BR2">
        <v>0.55000000000000004</v>
      </c>
      <c r="BS2">
        <v>9.6</v>
      </c>
      <c r="BT2" t="s">
        <v>409</v>
      </c>
      <c r="BU2" t="s">
        <v>24</v>
      </c>
      <c r="BV2">
        <v>8.1300000000000008</v>
      </c>
      <c r="BW2">
        <v>14.47</v>
      </c>
      <c r="BX2">
        <v>23.61</v>
      </c>
      <c r="BY2">
        <v>-4.99</v>
      </c>
      <c r="BZ2">
        <v>0.99</v>
      </c>
      <c r="CA2">
        <v>6.33</v>
      </c>
      <c r="CB2">
        <v>0</v>
      </c>
      <c r="CC2">
        <v>-11.73</v>
      </c>
      <c r="CD2" t="s">
        <v>448</v>
      </c>
      <c r="CE2" t="s">
        <v>449</v>
      </c>
      <c r="CF2" s="11">
        <v>9.8440545808966856E-2</v>
      </c>
      <c r="CG2" s="12">
        <v>1.2116225490909092</v>
      </c>
      <c r="CH2" s="11">
        <v>-0.16857266426086426</v>
      </c>
      <c r="CI2" s="11">
        <v>-3.0769245699048042E-2</v>
      </c>
      <c r="CJ2" s="11">
        <v>7.4275292456150055E-2</v>
      </c>
      <c r="CK2" s="11">
        <v>1.1251837946474552E-2</v>
      </c>
      <c r="CL2" s="11">
        <v>5.2604295313358307E-2</v>
      </c>
      <c r="CM2" s="12">
        <v>-7.7777771949768066</v>
      </c>
      <c r="CN2" s="12">
        <v>-0.90851885080337524</v>
      </c>
      <c r="CO2" s="12">
        <v>0.20677569508552551</v>
      </c>
      <c r="CP2" s="12">
        <v>3.3192556351423264E-2</v>
      </c>
      <c r="CQ2" s="12">
        <v>-0.33984071016311646</v>
      </c>
      <c r="CR2">
        <v>8.9571636071793375</v>
      </c>
      <c r="CS2">
        <v>7.3166906926305471</v>
      </c>
      <c r="CT2">
        <v>0</v>
      </c>
      <c r="CU2" s="11">
        <v>-1.2242096848785878E-2</v>
      </c>
      <c r="CV2" s="12">
        <v>-1.75723370090127</v>
      </c>
      <c r="CW2">
        <v>0.06</v>
      </c>
      <c r="CX2" t="e">
        <v>#VALUE!</v>
      </c>
      <c r="CY2" t="s">
        <v>307</v>
      </c>
      <c r="CZ2">
        <v>-1.2242096848785878E-2</v>
      </c>
      <c r="DA2" t="e">
        <v>#VALUE!</v>
      </c>
      <c r="DB2" t="s">
        <v>307</v>
      </c>
      <c r="DC2">
        <v>-1.1629992006346583E-2</v>
      </c>
      <c r="DD2" t="e">
        <v>#VALUE!</v>
      </c>
      <c r="DE2" t="s">
        <v>307</v>
      </c>
      <c r="DF2">
        <v>-1.0773045226931573E-2</v>
      </c>
      <c r="DG2" t="e">
        <v>#VALUE!</v>
      </c>
      <c r="DH2" t="s">
        <v>307</v>
      </c>
      <c r="DI2">
        <v>-9.7936774790287028E-3</v>
      </c>
      <c r="DJ2" t="e">
        <v>#VALUE!</v>
      </c>
      <c r="DK2" t="s">
        <v>307</v>
      </c>
      <c r="DL2">
        <v>-8.5694677941501145E-3</v>
      </c>
      <c r="DM2">
        <v>-1281000000</v>
      </c>
      <c r="DN2">
        <v>-1.2242096848785878E-2</v>
      </c>
      <c r="DO2">
        <v>47752573700</v>
      </c>
      <c r="DP2">
        <v>-21291902000</v>
      </c>
      <c r="DQ2">
        <v>91</v>
      </c>
      <c r="DR2">
        <v>0.11068264265775274</v>
      </c>
      <c r="DS2">
        <v>2.9688562499921791</v>
      </c>
      <c r="DT2" s="13">
        <v>-0.60666666666666669</v>
      </c>
      <c r="DU2">
        <v>-1.4566666666666668</v>
      </c>
      <c r="DV2">
        <v>-2.0633333333333335</v>
      </c>
      <c r="DW2">
        <v>-2.1173000000000002</v>
      </c>
      <c r="DX2">
        <v>0.31155618279569836</v>
      </c>
      <c r="DY2">
        <v>-2.0154315402419356</v>
      </c>
      <c r="DZ2">
        <v>4429</v>
      </c>
      <c r="EA2">
        <v>-2.002056532075295</v>
      </c>
      <c r="EB2">
        <v>2</v>
      </c>
      <c r="EC2">
        <v>1.6551231575941287E-2</v>
      </c>
      <c r="ED2">
        <v>0.1258111266548729</v>
      </c>
      <c r="EE2" s="14">
        <v>-1.0538000000000001</v>
      </c>
      <c r="EF2">
        <v>-1.0367999999999999</v>
      </c>
      <c r="EG2">
        <v>18.131556182795698</v>
      </c>
      <c r="EH2" t="s">
        <v>450</v>
      </c>
      <c r="EI2">
        <v>0</v>
      </c>
      <c r="EJ2">
        <v>0</v>
      </c>
      <c r="EK2" s="10">
        <v>45470</v>
      </c>
      <c r="EL2" s="15">
        <v>-0.87</v>
      </c>
      <c r="EM2" s="15">
        <v>-2.0499999999999998</v>
      </c>
      <c r="EN2" s="15">
        <v>1.8</v>
      </c>
      <c r="EO2" s="15">
        <v>3.53</v>
      </c>
      <c r="EP2" s="15">
        <v>-1.7</v>
      </c>
    </row>
    <row r="3" spans="1:146" ht="96" x14ac:dyDescent="0.25">
      <c r="A3" s="7"/>
      <c r="B3" s="7"/>
      <c r="C3" s="7" t="str">
        <f>""&amp;CHAR(10)&amp;Basic_Fundamental_Information_Constructure(F3)&amp;CHAR(10)&amp;Basic_Fundamental_Information_Concatenate("")</f>
        <v xml:space="preserve">
市值49.780833亿, 利润-1776.69万; PE; 平均PE-242.17; 平均PEG-269.11, PB2.66; ROIC0%; ROE-4.43%; 股利率0%; 毛利6.14%; 净利-7.9567%; 上一年度营收增-1.64%, 利润增92.34%; 当季营收增12.92%, 利润增200.12%; 过往5年营收增.9%, 利润增-255.09%
Income profile:
</v>
      </c>
      <c r="D3" t="s">
        <v>23</v>
      </c>
      <c r="E3" t="s">
        <v>5</v>
      </c>
      <c r="F3">
        <v>7.16</v>
      </c>
      <c r="G3">
        <v>1.42</v>
      </c>
      <c r="H3" t="s">
        <v>451</v>
      </c>
      <c r="I3">
        <v>4978083300</v>
      </c>
      <c r="K3">
        <v>2.66</v>
      </c>
      <c r="L3" t="s">
        <v>24</v>
      </c>
      <c r="M3" t="s">
        <v>452</v>
      </c>
      <c r="N3" t="s">
        <v>453</v>
      </c>
      <c r="O3" t="s">
        <v>454</v>
      </c>
      <c r="P3">
        <v>12.8</v>
      </c>
      <c r="Q3" t="s">
        <v>455</v>
      </c>
      <c r="R3">
        <v>6850077</v>
      </c>
      <c r="S3" s="6">
        <v>2.0009999999999999</v>
      </c>
      <c r="T3" t="s">
        <v>456</v>
      </c>
      <c r="U3">
        <v>695263040</v>
      </c>
      <c r="V3">
        <v>695263040</v>
      </c>
      <c r="W3">
        <v>1.42</v>
      </c>
      <c r="X3">
        <v>0.09</v>
      </c>
      <c r="Y3">
        <v>3.14</v>
      </c>
      <c r="Z3" t="s">
        <v>457</v>
      </c>
      <c r="AA3" t="s">
        <v>191</v>
      </c>
      <c r="AB3" t="s">
        <v>458</v>
      </c>
      <c r="AC3" t="s">
        <v>459</v>
      </c>
      <c r="AD3" t="s">
        <v>56</v>
      </c>
      <c r="AE3">
        <v>2857946</v>
      </c>
      <c r="AF3" t="s">
        <v>75</v>
      </c>
      <c r="AG3" t="s">
        <v>460</v>
      </c>
      <c r="AH3" t="s">
        <v>461</v>
      </c>
      <c r="AI3" t="s">
        <v>462</v>
      </c>
      <c r="AJ3" t="s">
        <v>463</v>
      </c>
      <c r="AK3" t="s">
        <v>464</v>
      </c>
      <c r="AL3" t="s">
        <v>465</v>
      </c>
      <c r="AM3" t="s">
        <v>56</v>
      </c>
      <c r="AN3" t="s">
        <v>127</v>
      </c>
      <c r="AO3" t="s">
        <v>466</v>
      </c>
      <c r="AP3" t="s">
        <v>467</v>
      </c>
      <c r="AQ3" t="s">
        <v>468</v>
      </c>
      <c r="AR3" t="s">
        <v>469</v>
      </c>
      <c r="AS3" t="s">
        <v>470</v>
      </c>
      <c r="AT3" t="s">
        <v>56</v>
      </c>
      <c r="AU3" t="s">
        <v>471</v>
      </c>
      <c r="AV3" t="s">
        <v>472</v>
      </c>
      <c r="AW3" t="s">
        <v>473</v>
      </c>
      <c r="AX3" t="s">
        <v>334</v>
      </c>
      <c r="AY3" t="s">
        <v>227</v>
      </c>
      <c r="AZ3" t="s">
        <v>117</v>
      </c>
      <c r="BA3" t="s">
        <v>57</v>
      </c>
      <c r="BB3" t="s">
        <v>119</v>
      </c>
      <c r="BC3" t="s">
        <v>474</v>
      </c>
      <c r="BD3" t="s">
        <v>228</v>
      </c>
      <c r="BE3" t="s">
        <v>118</v>
      </c>
      <c r="BF3" t="s">
        <v>58</v>
      </c>
      <c r="BG3" t="s">
        <v>120</v>
      </c>
      <c r="BH3" t="s">
        <v>455</v>
      </c>
      <c r="BI3" t="s">
        <v>344</v>
      </c>
      <c r="BJ3" t="s">
        <v>334</v>
      </c>
      <c r="BK3" t="s">
        <v>456</v>
      </c>
      <c r="BL3" t="s">
        <v>475</v>
      </c>
      <c r="BM3" t="s">
        <v>474</v>
      </c>
      <c r="BN3" t="s">
        <v>56</v>
      </c>
      <c r="BO3" t="s">
        <v>56</v>
      </c>
      <c r="BP3" t="s">
        <v>56</v>
      </c>
      <c r="BQ3">
        <v>-0.86</v>
      </c>
      <c r="BR3">
        <v>-11.62</v>
      </c>
      <c r="BS3">
        <v>-0.81</v>
      </c>
      <c r="BT3" t="s">
        <v>409</v>
      </c>
      <c r="BU3" t="s">
        <v>24</v>
      </c>
      <c r="BV3">
        <v>8.42</v>
      </c>
      <c r="BW3">
        <v>2.4</v>
      </c>
      <c r="BX3">
        <v>7.6</v>
      </c>
      <c r="BY3">
        <v>-1.51</v>
      </c>
      <c r="BZ3">
        <v>-21.04</v>
      </c>
      <c r="CA3">
        <v>-1.32</v>
      </c>
      <c r="CB3">
        <v>-0.42</v>
      </c>
      <c r="CC3">
        <v>-12.68</v>
      </c>
      <c r="CD3" t="s">
        <v>476</v>
      </c>
      <c r="CE3" t="s">
        <v>314</v>
      </c>
      <c r="CF3" s="11">
        <v>0.12918660287081341</v>
      </c>
      <c r="CG3" s="12">
        <v>2.0011512379059369</v>
      </c>
      <c r="CH3" s="11">
        <v>-1.6363635659217834E-2</v>
      </c>
      <c r="CI3" s="11">
        <v>-0.1071428582072258</v>
      </c>
      <c r="CJ3" s="11">
        <v>6.0240965336561203E-2</v>
      </c>
      <c r="CK3" s="11">
        <v>0.11302682012319565</v>
      </c>
      <c r="CL3" s="11">
        <v>-4.7664442099630833E-3</v>
      </c>
      <c r="CM3" s="12">
        <v>0.92341858148574829</v>
      </c>
      <c r="CN3" s="12">
        <v>-12.42577075958252</v>
      </c>
      <c r="CO3" s="12">
        <v>-1.3560563325881958</v>
      </c>
      <c r="CP3" s="12">
        <v>-4.7196295112371445E-2</v>
      </c>
      <c r="CQ3" s="12">
        <v>0.15124885737895966</v>
      </c>
      <c r="CR3">
        <v>-242.17493091951644</v>
      </c>
      <c r="CS3">
        <v>-269.1140708359539</v>
      </c>
      <c r="CT3">
        <v>0</v>
      </c>
      <c r="CU3" s="11">
        <v>8.9989694766700271E-3</v>
      </c>
      <c r="CV3" s="12">
        <v>-2.5508711896836758</v>
      </c>
      <c r="CW3">
        <v>0.06</v>
      </c>
      <c r="CX3" t="e">
        <v>#VALUE!</v>
      </c>
      <c r="CY3" t="s">
        <v>307</v>
      </c>
      <c r="CZ3">
        <v>8.9989694766700271E-3</v>
      </c>
      <c r="DA3" t="e">
        <v>#VALUE!</v>
      </c>
      <c r="DB3" t="s">
        <v>307</v>
      </c>
      <c r="DC3">
        <v>8.5490210028365248E-3</v>
      </c>
      <c r="DD3" t="e">
        <v>#VALUE!</v>
      </c>
      <c r="DE3" t="s">
        <v>307</v>
      </c>
      <c r="DF3">
        <v>7.9190931394696237E-3</v>
      </c>
      <c r="DG3" t="e">
        <v>#VALUE!</v>
      </c>
      <c r="DH3" t="s">
        <v>307</v>
      </c>
      <c r="DI3">
        <v>7.1991755813360222E-3</v>
      </c>
      <c r="DJ3" t="e">
        <v>#VALUE!</v>
      </c>
      <c r="DK3" t="s">
        <v>307</v>
      </c>
      <c r="DL3">
        <v>6.2992786336690185E-3</v>
      </c>
      <c r="DM3">
        <v>-17766900</v>
      </c>
      <c r="DN3">
        <v>8.9989694766700271E-3</v>
      </c>
      <c r="DO3">
        <v>3964083300</v>
      </c>
      <c r="DP3">
        <v>610569210</v>
      </c>
      <c r="DQ3">
        <v>303</v>
      </c>
      <c r="DR3">
        <v>0.12018763339414337</v>
      </c>
      <c r="DS3">
        <v>4.5520224275896126</v>
      </c>
      <c r="DT3" s="13">
        <v>-0.44</v>
      </c>
      <c r="DU3">
        <v>-0.78333333333333355</v>
      </c>
      <c r="DV3">
        <v>-1.2233333333333336</v>
      </c>
      <c r="DW3">
        <v>-2.1267999999999998</v>
      </c>
      <c r="DX3">
        <v>0.41040769230769159</v>
      </c>
      <c r="DY3">
        <v>-2.0190716953846155</v>
      </c>
      <c r="DZ3">
        <v>3788</v>
      </c>
      <c r="EA3">
        <v>-2.0049340080818907</v>
      </c>
      <c r="EB3">
        <v>2</v>
      </c>
      <c r="EC3">
        <v>5.9058654980422946E-2</v>
      </c>
      <c r="ED3">
        <v>0.39265714455352035</v>
      </c>
      <c r="EE3" s="14">
        <v>-2.0171100000000002</v>
      </c>
      <c r="EF3">
        <v>-2.0335100000000002</v>
      </c>
      <c r="EG3">
        <v>26.150407692307692</v>
      </c>
      <c r="EH3" t="s">
        <v>477</v>
      </c>
      <c r="EI3">
        <v>0</v>
      </c>
      <c r="EJ3">
        <v>0</v>
      </c>
      <c r="EK3" s="10">
        <v>45470</v>
      </c>
      <c r="EL3" s="15">
        <v>0.83</v>
      </c>
      <c r="EM3" s="15">
        <v>-3.99</v>
      </c>
      <c r="EN3" s="15">
        <v>0.14000000000000001</v>
      </c>
      <c r="EO3" s="15">
        <v>4.72</v>
      </c>
      <c r="EP3" s="15">
        <v>-1.64</v>
      </c>
    </row>
    <row r="4" spans="1:146" ht="96" x14ac:dyDescent="0.25">
      <c r="A4" s="7"/>
      <c r="B4" s="7"/>
      <c r="C4" s="7" t="str">
        <f>""&amp;CHAR(10)&amp;Basic_Fundamental_Information_Constructure(F4)&amp;CHAR(10)&amp;Basic_Fundamental_Information_Concatenate("")</f>
        <v xml:space="preserve">
市值14.449627亿, 利润4746.65万; PE349.6; 平均PE24.17; 平均PEG12.26, PB.937; ROIC5.19%; ROE4.8767%; 股利率1.0032%; 毛利21.2767%; 净利6.7033%; 上一年度营收增-40.66%, 利润增-11.14%; 当季营收增-50.88%, 利润增-87.74%; 过往5年营收增-1.97%, 利润增26.76%
Income profile:
</v>
      </c>
      <c r="D4" t="s">
        <v>25</v>
      </c>
      <c r="E4" t="s">
        <v>7</v>
      </c>
      <c r="F4">
        <v>3.09</v>
      </c>
      <c r="G4">
        <v>3</v>
      </c>
      <c r="H4" t="s">
        <v>478</v>
      </c>
      <c r="I4">
        <v>1444962700</v>
      </c>
      <c r="J4">
        <v>349.6</v>
      </c>
      <c r="K4">
        <v>0.93700000000000006</v>
      </c>
      <c r="L4" t="s">
        <v>24</v>
      </c>
      <c r="M4" t="s">
        <v>479</v>
      </c>
      <c r="N4" t="s">
        <v>480</v>
      </c>
      <c r="O4" t="s">
        <v>481</v>
      </c>
      <c r="P4">
        <v>-50.88</v>
      </c>
      <c r="Q4" t="s">
        <v>482</v>
      </c>
      <c r="R4">
        <v>6056981</v>
      </c>
      <c r="S4" s="6">
        <v>-0.87739999999999996</v>
      </c>
      <c r="T4" t="s">
        <v>483</v>
      </c>
      <c r="U4">
        <v>466537640</v>
      </c>
      <c r="V4">
        <v>467625470</v>
      </c>
      <c r="W4">
        <v>1.1399999999999999</v>
      </c>
      <c r="X4">
        <v>7.0000000000000007E-2</v>
      </c>
      <c r="Y4">
        <v>7.83</v>
      </c>
      <c r="Z4" t="s">
        <v>484</v>
      </c>
      <c r="AA4" t="s">
        <v>485</v>
      </c>
      <c r="AB4" t="s">
        <v>486</v>
      </c>
      <c r="AC4" t="s">
        <v>487</v>
      </c>
      <c r="AD4" t="s">
        <v>56</v>
      </c>
      <c r="AE4">
        <v>-6710551</v>
      </c>
      <c r="AF4" t="s">
        <v>488</v>
      </c>
      <c r="AG4" t="s">
        <v>489</v>
      </c>
      <c r="AH4" t="s">
        <v>490</v>
      </c>
      <c r="AI4" t="s">
        <v>491</v>
      </c>
      <c r="AJ4" t="s">
        <v>492</v>
      </c>
      <c r="AK4" t="s">
        <v>56</v>
      </c>
      <c r="AL4" t="s">
        <v>493</v>
      </c>
      <c r="AM4" t="s">
        <v>56</v>
      </c>
      <c r="AN4">
        <v>0</v>
      </c>
      <c r="AO4" t="s">
        <v>204</v>
      </c>
      <c r="AP4" t="s">
        <v>494</v>
      </c>
      <c r="AQ4" t="s">
        <v>495</v>
      </c>
      <c r="AR4" t="s">
        <v>56</v>
      </c>
      <c r="AS4" t="s">
        <v>496</v>
      </c>
      <c r="AT4" t="s">
        <v>497</v>
      </c>
      <c r="AU4" t="s">
        <v>498</v>
      </c>
      <c r="AV4" t="s">
        <v>499</v>
      </c>
      <c r="AW4" t="s">
        <v>500</v>
      </c>
      <c r="AX4" t="s">
        <v>501</v>
      </c>
      <c r="AY4" t="s">
        <v>197</v>
      </c>
      <c r="AZ4" t="s">
        <v>121</v>
      </c>
      <c r="BA4" t="s">
        <v>60</v>
      </c>
      <c r="BB4" t="s">
        <v>123</v>
      </c>
      <c r="BC4" t="s">
        <v>502</v>
      </c>
      <c r="BD4" t="s">
        <v>229</v>
      </c>
      <c r="BE4" t="s">
        <v>122</v>
      </c>
      <c r="BF4" t="s">
        <v>61</v>
      </c>
      <c r="BG4" t="s">
        <v>124</v>
      </c>
      <c r="BH4" t="s">
        <v>482</v>
      </c>
      <c r="BI4" t="s">
        <v>503</v>
      </c>
      <c r="BJ4" t="s">
        <v>501</v>
      </c>
      <c r="BK4" t="s">
        <v>483</v>
      </c>
      <c r="BL4" t="s">
        <v>504</v>
      </c>
      <c r="BM4" t="s">
        <v>502</v>
      </c>
      <c r="BN4">
        <v>3.42</v>
      </c>
      <c r="BO4">
        <v>4.1399999999999997</v>
      </c>
      <c r="BP4">
        <v>8.01</v>
      </c>
      <c r="BQ4">
        <v>4.32</v>
      </c>
      <c r="BR4">
        <v>3.63</v>
      </c>
      <c r="BS4">
        <v>6.68</v>
      </c>
      <c r="BT4" t="s">
        <v>505</v>
      </c>
      <c r="BU4" t="s">
        <v>24</v>
      </c>
      <c r="BV4">
        <v>16.93</v>
      </c>
      <c r="BW4">
        <v>21.51</v>
      </c>
      <c r="BX4">
        <v>25.39</v>
      </c>
      <c r="BY4">
        <v>6.45</v>
      </c>
      <c r="BZ4">
        <v>5.48</v>
      </c>
      <c r="CA4">
        <v>8.18</v>
      </c>
      <c r="CB4">
        <v>-9.3800000000000008</v>
      </c>
      <c r="CC4">
        <v>-22.34</v>
      </c>
      <c r="CD4" t="s">
        <v>506</v>
      </c>
      <c r="CE4" t="s">
        <v>308</v>
      </c>
      <c r="CF4" s="11">
        <v>-0.50877192982456143</v>
      </c>
      <c r="CG4" s="12">
        <v>-0.87736397522570408</v>
      </c>
      <c r="CH4" s="11">
        <v>-0.40660920739173889</v>
      </c>
      <c r="CI4" s="11">
        <v>-0.2393442690372467</v>
      </c>
      <c r="CJ4" s="11">
        <v>0.1806451678276062</v>
      </c>
      <c r="CK4" s="11">
        <v>0.3454861044883728</v>
      </c>
      <c r="CL4" s="11">
        <v>2.1276595070958138E-2</v>
      </c>
      <c r="CM4" s="12">
        <v>-0.11142706125974655</v>
      </c>
      <c r="CN4" s="12">
        <v>-0.43202367424964905</v>
      </c>
      <c r="CO4" s="12">
        <v>1.5810031443834305E-2</v>
      </c>
      <c r="CP4" s="12">
        <v>0.99573415517807007</v>
      </c>
      <c r="CQ4" s="12">
        <v>0.87007361650466919</v>
      </c>
      <c r="CR4">
        <v>24.168361654998463</v>
      </c>
      <c r="CS4">
        <v>12.262525895337488</v>
      </c>
      <c r="CT4">
        <v>1.0032362459546926</v>
      </c>
      <c r="CU4" s="11">
        <v>-1.9709121808409689E-2</v>
      </c>
      <c r="CV4" s="12">
        <v>0.26763341352343561</v>
      </c>
      <c r="CW4">
        <v>0.06</v>
      </c>
      <c r="CX4" t="s">
        <v>507</v>
      </c>
      <c r="CY4" t="s">
        <v>508</v>
      </c>
      <c r="CZ4">
        <v>-1.9709121808409689E-2</v>
      </c>
      <c r="DA4" t="s">
        <v>507</v>
      </c>
      <c r="DB4" t="s">
        <v>509</v>
      </c>
      <c r="DC4">
        <v>-1.8723665717989203E-2</v>
      </c>
      <c r="DD4" t="s">
        <v>507</v>
      </c>
      <c r="DE4" t="s">
        <v>510</v>
      </c>
      <c r="DF4">
        <v>-1.7344027191400525E-2</v>
      </c>
      <c r="DG4" t="s">
        <v>507</v>
      </c>
      <c r="DH4" t="s">
        <v>511</v>
      </c>
      <c r="DI4">
        <v>-1.5767297446727752E-2</v>
      </c>
      <c r="DJ4" t="s">
        <v>507</v>
      </c>
      <c r="DK4" t="s">
        <v>512</v>
      </c>
      <c r="DL4">
        <v>-1.3796385265886781E-2</v>
      </c>
      <c r="DM4">
        <v>47466500</v>
      </c>
      <c r="DN4">
        <v>-1.9709121808409689E-2</v>
      </c>
      <c r="DO4">
        <v>-37299.999999761581</v>
      </c>
      <c r="DP4">
        <v>1091283860</v>
      </c>
      <c r="DQ4">
        <v>532</v>
      </c>
      <c r="DR4">
        <v>-0.48906280801615176</v>
      </c>
      <c r="DS4">
        <v>-1.1449973887491396</v>
      </c>
      <c r="DT4" s="13">
        <v>-0.50666666666666671</v>
      </c>
      <c r="DU4">
        <v>-0.15666666666666673</v>
      </c>
      <c r="DV4">
        <v>-0.66333333333333344</v>
      </c>
      <c r="DW4">
        <v>-9.4198746642793196</v>
      </c>
      <c r="DX4">
        <v>0.41308603773584907</v>
      </c>
      <c r="DY4">
        <v>-9.118860655056503</v>
      </c>
      <c r="DZ4">
        <v>3143</v>
      </c>
      <c r="EA4">
        <v>-9.0457532110559971</v>
      </c>
      <c r="EB4">
        <v>9</v>
      </c>
      <c r="EC4">
        <v>0.16042282726815543</v>
      </c>
      <c r="ED4">
        <v>0.56669282791632369</v>
      </c>
      <c r="EE4" s="14">
        <v>-1.0938099999999999</v>
      </c>
      <c r="EF4">
        <v>-1.1083099999999999</v>
      </c>
      <c r="EG4">
        <v>13.283086037735849</v>
      </c>
      <c r="EH4" t="s">
        <v>513</v>
      </c>
      <c r="EI4">
        <v>0</v>
      </c>
      <c r="EJ4">
        <v>0</v>
      </c>
      <c r="EK4" s="10">
        <v>45470</v>
      </c>
      <c r="EL4" s="15">
        <v>0</v>
      </c>
      <c r="EM4" s="15">
        <v>-3.23</v>
      </c>
      <c r="EN4" s="15">
        <v>0.61</v>
      </c>
      <c r="EO4" s="15">
        <v>3.61</v>
      </c>
      <c r="EP4" s="15">
        <v>-1.45</v>
      </c>
    </row>
    <row r="5" spans="1:146" ht="96" x14ac:dyDescent="0.25">
      <c r="A5" s="7"/>
      <c r="B5" s="7"/>
      <c r="C5" s="7" t="str">
        <f>""&amp;CHAR(10)&amp;Basic_Fundamental_Information_Constructure(F5)&amp;CHAR(10)&amp;Basic_Fundamental_Information_Concatenate("")</f>
        <v xml:space="preserve">
市值32.714932亿, 利润9157.36万; PE31.89; 平均PE13.2; 平均PEG19.58, PB.597; ROIC2.98%; ROE3.89%; 股利率.9124%; 毛利8.73%; 净利3.72%; 上一年度营收增-12.37%, 利润增-22.4%; 当季营收增-.71%, 利润增103.8%; 过往5年营收增-.67%, 利润增-6.56%
Income profile:
</v>
      </c>
      <c r="D5" t="s">
        <v>31</v>
      </c>
      <c r="E5" t="s">
        <v>15</v>
      </c>
      <c r="F5">
        <v>2.74</v>
      </c>
      <c r="G5">
        <v>-1.08</v>
      </c>
      <c r="H5" t="s">
        <v>514</v>
      </c>
      <c r="I5">
        <v>3271493200</v>
      </c>
      <c r="J5">
        <v>31.89</v>
      </c>
      <c r="K5">
        <v>0.59699999999999998</v>
      </c>
      <c r="L5" t="s">
        <v>24</v>
      </c>
      <c r="M5" t="s">
        <v>515</v>
      </c>
      <c r="N5" t="s">
        <v>516</v>
      </c>
      <c r="O5" t="s">
        <v>320</v>
      </c>
      <c r="P5">
        <v>-0.7</v>
      </c>
      <c r="Q5" t="s">
        <v>517</v>
      </c>
      <c r="R5">
        <v>21604007</v>
      </c>
      <c r="S5" s="6">
        <v>1.038</v>
      </c>
      <c r="T5" t="s">
        <v>518</v>
      </c>
      <c r="U5">
        <v>1056725620</v>
      </c>
      <c r="V5">
        <v>1193975620</v>
      </c>
      <c r="W5">
        <v>1.46</v>
      </c>
      <c r="X5">
        <v>0.15</v>
      </c>
      <c r="Y5">
        <v>1.63</v>
      </c>
      <c r="Z5" t="s">
        <v>519</v>
      </c>
      <c r="AA5" t="s">
        <v>520</v>
      </c>
      <c r="AB5" t="s">
        <v>521</v>
      </c>
      <c r="AC5" t="s">
        <v>522</v>
      </c>
      <c r="AD5" t="s">
        <v>56</v>
      </c>
      <c r="AE5">
        <v>15766703</v>
      </c>
      <c r="AF5" t="s">
        <v>523</v>
      </c>
      <c r="AG5" t="s">
        <v>524</v>
      </c>
      <c r="AH5" t="s">
        <v>525</v>
      </c>
      <c r="AI5" t="s">
        <v>526</v>
      </c>
      <c r="AJ5" t="s">
        <v>527</v>
      </c>
      <c r="AK5" t="s">
        <v>56</v>
      </c>
      <c r="AL5" t="s">
        <v>528</v>
      </c>
      <c r="AM5" t="s">
        <v>56</v>
      </c>
      <c r="AN5" t="s">
        <v>529</v>
      </c>
      <c r="AO5" t="s">
        <v>530</v>
      </c>
      <c r="AP5" t="s">
        <v>531</v>
      </c>
      <c r="AQ5" t="s">
        <v>308</v>
      </c>
      <c r="AR5" t="s">
        <v>532</v>
      </c>
      <c r="AS5" t="s">
        <v>533</v>
      </c>
      <c r="AT5" t="s">
        <v>346</v>
      </c>
      <c r="AU5" t="s">
        <v>534</v>
      </c>
      <c r="AV5" t="s">
        <v>535</v>
      </c>
      <c r="AW5" t="s">
        <v>329</v>
      </c>
      <c r="AX5" t="s">
        <v>536</v>
      </c>
      <c r="AY5" t="s">
        <v>230</v>
      </c>
      <c r="AZ5" t="s">
        <v>125</v>
      </c>
      <c r="BA5" t="s">
        <v>62</v>
      </c>
      <c r="BB5" t="s">
        <v>128</v>
      </c>
      <c r="BC5" t="s">
        <v>317</v>
      </c>
      <c r="BD5" t="s">
        <v>231</v>
      </c>
      <c r="BE5" t="s">
        <v>126</v>
      </c>
      <c r="BF5" t="s">
        <v>63</v>
      </c>
      <c r="BG5" t="s">
        <v>129</v>
      </c>
      <c r="BH5" t="s">
        <v>517</v>
      </c>
      <c r="BI5" t="s">
        <v>537</v>
      </c>
      <c r="BJ5" t="s">
        <v>536</v>
      </c>
      <c r="BK5" t="s">
        <v>518</v>
      </c>
      <c r="BL5" t="s">
        <v>538</v>
      </c>
      <c r="BM5" t="s">
        <v>317</v>
      </c>
      <c r="BN5">
        <v>0.39</v>
      </c>
      <c r="BO5">
        <v>1.75</v>
      </c>
      <c r="BP5">
        <v>6.8</v>
      </c>
      <c r="BQ5">
        <v>0.91</v>
      </c>
      <c r="BR5">
        <v>2.14</v>
      </c>
      <c r="BS5">
        <v>8.6199999999999992</v>
      </c>
      <c r="BT5" t="s">
        <v>539</v>
      </c>
      <c r="BU5" t="s">
        <v>24</v>
      </c>
      <c r="BV5">
        <v>6</v>
      </c>
      <c r="BW5">
        <v>5.28</v>
      </c>
      <c r="BX5">
        <v>14.91</v>
      </c>
      <c r="BY5">
        <v>1.67</v>
      </c>
      <c r="BZ5">
        <v>1.97</v>
      </c>
      <c r="CA5">
        <v>7.52</v>
      </c>
      <c r="CB5">
        <v>0.74</v>
      </c>
      <c r="CC5">
        <v>-7.74</v>
      </c>
      <c r="CD5" t="s">
        <v>540</v>
      </c>
      <c r="CE5" t="s">
        <v>541</v>
      </c>
      <c r="CF5" s="11">
        <v>-7.0643642072213504E-3</v>
      </c>
      <c r="CG5" s="12">
        <v>1.03797928438688</v>
      </c>
      <c r="CH5" s="11">
        <v>-0.1236550360918045</v>
      </c>
      <c r="CI5" s="11">
        <v>3.2126458245329559E-4</v>
      </c>
      <c r="CJ5" s="11">
        <v>0.27692312002182007</v>
      </c>
      <c r="CK5" s="11">
        <v>-7.1605414152145386E-2</v>
      </c>
      <c r="CL5" s="11">
        <v>-0.1156955361366272</v>
      </c>
      <c r="CM5" s="12">
        <v>-0.22395254671573639</v>
      </c>
      <c r="CN5" s="12">
        <v>-0.73242628574371338</v>
      </c>
      <c r="CO5" s="12">
        <v>0.41346153616905212</v>
      </c>
      <c r="CP5" s="12">
        <v>0.65079367160797119</v>
      </c>
      <c r="CQ5" s="12">
        <v>-0.43582090735435486</v>
      </c>
      <c r="CR5">
        <v>13.204162377160472</v>
      </c>
      <c r="CS5">
        <v>19.584003253209154</v>
      </c>
      <c r="CT5">
        <v>0.91240875912408748</v>
      </c>
      <c r="CU5" s="11">
        <v>-6.7423203552607449E-3</v>
      </c>
      <c r="CV5" s="12">
        <v>-6.5588906407356262E-2</v>
      </c>
      <c r="CW5">
        <v>0.06</v>
      </c>
      <c r="CX5">
        <v>2.9647540339137044</v>
      </c>
      <c r="CY5" t="s">
        <v>542</v>
      </c>
      <c r="CZ5">
        <v>-6.7423203552607449E-3</v>
      </c>
      <c r="DA5">
        <v>0.98825134463790143</v>
      </c>
      <c r="DB5" t="s">
        <v>543</v>
      </c>
      <c r="DC5">
        <v>-6.4052043374977071E-3</v>
      </c>
      <c r="DD5">
        <v>0.49412567231895071</v>
      </c>
      <c r="DE5" t="s">
        <v>544</v>
      </c>
      <c r="DF5">
        <v>-5.9332419126294552E-3</v>
      </c>
      <c r="DG5">
        <v>0.29647540339137046</v>
      </c>
      <c r="DH5" t="s">
        <v>545</v>
      </c>
      <c r="DI5">
        <v>-5.3938562842085966E-3</v>
      </c>
      <c r="DJ5">
        <v>0.14823770169568523</v>
      </c>
      <c r="DK5" t="s">
        <v>546</v>
      </c>
      <c r="DL5">
        <v>-4.7196242486825211E-3</v>
      </c>
      <c r="DM5">
        <v>91573600</v>
      </c>
      <c r="DN5">
        <v>-6.7423203552607449E-3</v>
      </c>
      <c r="DO5">
        <v>271493200</v>
      </c>
      <c r="DP5">
        <v>1726248800</v>
      </c>
      <c r="DQ5">
        <v>585</v>
      </c>
      <c r="DR5">
        <v>-3.2204385196060552E-4</v>
      </c>
      <c r="DS5">
        <v>1.1035681907942363</v>
      </c>
      <c r="DT5" s="13">
        <v>-0.3066666666666667</v>
      </c>
      <c r="DU5">
        <v>-0.19999999999999998</v>
      </c>
      <c r="DV5">
        <v>-0.50666666666666671</v>
      </c>
      <c r="DW5">
        <v>-2.0773999999999999</v>
      </c>
      <c r="DX5">
        <v>0.32418738229755117</v>
      </c>
      <c r="DY5">
        <v>-2.0088381033898304</v>
      </c>
      <c r="DZ5">
        <v>2884</v>
      </c>
      <c r="EA5">
        <v>-2.0038500231205014</v>
      </c>
      <c r="EB5">
        <v>2</v>
      </c>
      <c r="EC5">
        <v>5.0782862718754679E-2</v>
      </c>
      <c r="ED5">
        <v>0.44473269898090545</v>
      </c>
      <c r="EE5" s="14">
        <v>6.5599999999999992E-2</v>
      </c>
      <c r="EF5">
        <v>6.93E-2</v>
      </c>
      <c r="EG5">
        <v>21.114187382297551</v>
      </c>
      <c r="EH5" t="s">
        <v>313</v>
      </c>
      <c r="EI5">
        <v>0</v>
      </c>
      <c r="EJ5">
        <v>0</v>
      </c>
      <c r="EK5" s="10">
        <v>45470</v>
      </c>
      <c r="EL5" s="15">
        <v>-0.37</v>
      </c>
      <c r="EM5" s="15">
        <v>-3.35</v>
      </c>
      <c r="EN5" s="15">
        <v>0.77</v>
      </c>
      <c r="EO5" s="15">
        <v>2.67</v>
      </c>
      <c r="EP5" s="15">
        <v>0.37</v>
      </c>
    </row>
    <row r="6" spans="1:146" ht="200.25" customHeight="1" x14ac:dyDescent="0.25">
      <c r="A6" s="7" t="s">
        <v>216</v>
      </c>
      <c r="B6" s="7"/>
      <c r="C6" s="7" t="str">
        <f>"太阳纸业是国内重要的综合性纸、浆产品供应商，主要产品双胶纸、铜版纸、溶解浆、牛皮箱板纸、淋膜原纸等在国内市场拥有较高的市场占有率，在业界享有较高的知名度和美誉度。构建起了山东、广西和老挝三大生产基地：山东基地服务北方市场，广西基地服务南方市场，老挝基地将作为太阳纸业的原料基地。公司山东、老挝、广西三大生产基地将让太阳纸业的产业实现“一带一路”经济带、祖国沿海和内陆地区的全覆盖，补齐了战略位置布局上的短板"&amp;CHAR(10)&amp;Basic_Fundamental_Information_Constructure(F6)&amp;CHAR(10)&amp;Basic_Fundamental_Information_Concatenate("造纸业务 138.97亿 69.99% 62.00% 14.60%
制浆业务 48.78亿 24.57% 32.45% 21.78%
电及蒸汽 9.13亿 4.60% 3.91% 14.00%")</f>
        <v>太阳纸业是国内重要的综合性纸、浆产品供应商，主要产品双胶纸、铜版纸、溶解浆、牛皮箱板纸、淋膜原纸等在国内市场拥有较高的市场占有率，在业界享有较高的知名度和美誉度。构建起了山东、广西和老挝三大生产基地：山东基地服务北方市场，广西基地服务南方市场，老挝基地将作为太阳纸业的原料基地。公司山东、老挝、广西三大生产基地将让太阳纸业的产业实现“一带一路”经济带、祖国沿海和内陆地区的全覆盖，补齐了战略位置布局上的短板
市值398.22667亿, 利润30.86亿; PE11.46; 平均PE15.73; 平均PEG1.1, PB1.47; ROIC8.74%; ROE13.0833%; 股利率2.1053%; 毛利16.1433%; 净利8.0633%; 上一年度营收增-.56%, 利润增9.86%; 当季营收增3.88%, 利润增68.92%; 过往5年营收增14.29%, 利润增8.55%
Income profile:
造纸业务 138.97亿 69.99% 62.00% 14.60%
制浆业务 48.78亿 24.57% 32.45% 21.78%
电及蒸汽 9.13亿 4.60% 3.91% 14.00%</v>
      </c>
      <c r="D6" t="s">
        <v>35</v>
      </c>
      <c r="E6" t="s">
        <v>16</v>
      </c>
      <c r="F6">
        <v>14.25</v>
      </c>
      <c r="G6">
        <v>-0.14000000000000001</v>
      </c>
      <c r="H6" t="s">
        <v>547</v>
      </c>
      <c r="I6">
        <v>39822667000</v>
      </c>
      <c r="J6">
        <v>11.46</v>
      </c>
      <c r="K6">
        <v>1.47</v>
      </c>
      <c r="L6" t="s">
        <v>24</v>
      </c>
      <c r="M6" t="s">
        <v>548</v>
      </c>
      <c r="N6" t="s">
        <v>549</v>
      </c>
      <c r="O6" t="s">
        <v>550</v>
      </c>
      <c r="P6">
        <v>3.87</v>
      </c>
      <c r="Q6" t="s">
        <v>551</v>
      </c>
      <c r="R6">
        <v>956100370</v>
      </c>
      <c r="S6" s="6">
        <v>0.69040000000000001</v>
      </c>
      <c r="T6" t="s">
        <v>552</v>
      </c>
      <c r="U6">
        <v>2764881000</v>
      </c>
      <c r="V6">
        <v>2794573100</v>
      </c>
      <c r="W6">
        <v>1.88</v>
      </c>
      <c r="X6">
        <v>0.2</v>
      </c>
      <c r="Y6">
        <v>9.41</v>
      </c>
      <c r="Z6" t="s">
        <v>553</v>
      </c>
      <c r="AA6" t="s">
        <v>554</v>
      </c>
      <c r="AB6" t="s">
        <v>555</v>
      </c>
      <c r="AC6" t="s">
        <v>556</v>
      </c>
      <c r="AD6" t="s">
        <v>56</v>
      </c>
      <c r="AE6">
        <v>185131150</v>
      </c>
      <c r="AF6" t="s">
        <v>557</v>
      </c>
      <c r="AG6" t="s">
        <v>558</v>
      </c>
      <c r="AH6" t="s">
        <v>559</v>
      </c>
      <c r="AI6" t="s">
        <v>560</v>
      </c>
      <c r="AJ6" t="s">
        <v>561</v>
      </c>
      <c r="AK6" t="s">
        <v>562</v>
      </c>
      <c r="AL6" t="s">
        <v>563</v>
      </c>
      <c r="AM6" t="s">
        <v>56</v>
      </c>
      <c r="AN6" t="s">
        <v>564</v>
      </c>
      <c r="AO6" t="s">
        <v>565</v>
      </c>
      <c r="AP6" t="s">
        <v>566</v>
      </c>
      <c r="AQ6" t="s">
        <v>567</v>
      </c>
      <c r="AR6" t="s">
        <v>56</v>
      </c>
      <c r="AS6" t="s">
        <v>568</v>
      </c>
      <c r="AT6" t="s">
        <v>569</v>
      </c>
      <c r="AU6" t="s">
        <v>312</v>
      </c>
      <c r="AV6" t="s">
        <v>570</v>
      </c>
      <c r="AW6" t="s">
        <v>324</v>
      </c>
      <c r="AX6" t="s">
        <v>571</v>
      </c>
      <c r="AY6" t="s">
        <v>572</v>
      </c>
      <c r="AZ6" t="s">
        <v>130</v>
      </c>
      <c r="BA6" t="s">
        <v>67</v>
      </c>
      <c r="BB6" t="s">
        <v>131</v>
      </c>
      <c r="BC6" t="s">
        <v>573</v>
      </c>
      <c r="BD6" t="s">
        <v>574</v>
      </c>
      <c r="BE6" t="s">
        <v>95</v>
      </c>
      <c r="BF6" t="s">
        <v>68</v>
      </c>
      <c r="BG6" t="s">
        <v>132</v>
      </c>
      <c r="BH6" t="s">
        <v>551</v>
      </c>
      <c r="BI6" t="s">
        <v>575</v>
      </c>
      <c r="BJ6" t="s">
        <v>571</v>
      </c>
      <c r="BK6" t="s">
        <v>552</v>
      </c>
      <c r="BL6" t="s">
        <v>576</v>
      </c>
      <c r="BM6" t="s">
        <v>573</v>
      </c>
      <c r="BN6">
        <v>6.58</v>
      </c>
      <c r="BO6">
        <v>9.11</v>
      </c>
      <c r="BP6">
        <v>10.53</v>
      </c>
      <c r="BQ6">
        <v>8.84</v>
      </c>
      <c r="BR6">
        <v>13.43</v>
      </c>
      <c r="BS6">
        <v>16.98</v>
      </c>
      <c r="BT6" t="s">
        <v>412</v>
      </c>
      <c r="BU6" t="s">
        <v>24</v>
      </c>
      <c r="BV6">
        <v>15.89</v>
      </c>
      <c r="BW6">
        <v>15.17</v>
      </c>
      <c r="BX6">
        <v>17.37</v>
      </c>
      <c r="BY6">
        <v>7.84</v>
      </c>
      <c r="BZ6">
        <v>7.08</v>
      </c>
      <c r="CA6">
        <v>9.27</v>
      </c>
      <c r="CB6">
        <v>2.15</v>
      </c>
      <c r="CC6">
        <v>-5.5</v>
      </c>
      <c r="CD6" t="s">
        <v>577</v>
      </c>
      <c r="CE6" t="s">
        <v>578</v>
      </c>
      <c r="CF6" s="11">
        <v>3.8755736868944415E-2</v>
      </c>
      <c r="CG6" s="12">
        <v>0.68922326855123672</v>
      </c>
      <c r="CH6" s="11">
        <v>-5.6076277978718281E-3</v>
      </c>
      <c r="CI6" s="11">
        <v>0.23657447099685669</v>
      </c>
      <c r="CJ6" s="11">
        <v>0.48960119485855103</v>
      </c>
      <c r="CK6" s="11">
        <v>-5.1574908196926117E-2</v>
      </c>
      <c r="CL6" s="11">
        <v>4.5709315687417984E-2</v>
      </c>
      <c r="CM6" s="12">
        <v>9.8611675202846527E-2</v>
      </c>
      <c r="CN6" s="12">
        <v>-4.0969613939523697E-2</v>
      </c>
      <c r="CO6" s="12">
        <v>0.4997439980506897</v>
      </c>
      <c r="CP6" s="12">
        <v>-0.10330576449632645</v>
      </c>
      <c r="CQ6" s="12">
        <v>-2.680976502597332E-2</v>
      </c>
      <c r="CR6">
        <v>15.726716382544593</v>
      </c>
      <c r="CS6">
        <v>1.1002282474691605</v>
      </c>
      <c r="CT6">
        <v>2.1052631578947367</v>
      </c>
      <c r="CU6" s="11">
        <v>0.14294048910960555</v>
      </c>
      <c r="CV6" s="12">
        <v>8.5454105958342547E-2</v>
      </c>
      <c r="CW6">
        <v>0.06</v>
      </c>
      <c r="CX6">
        <v>11.141409982007325</v>
      </c>
      <c r="CY6">
        <v>3327466367.351172</v>
      </c>
      <c r="CZ6">
        <v>0.14294048910960555</v>
      </c>
      <c r="DA6">
        <v>3.4822460261992978</v>
      </c>
      <c r="DB6">
        <v>10646194071.607</v>
      </c>
      <c r="DC6">
        <v>0.13579346465412526</v>
      </c>
      <c r="DD6">
        <v>1.6131908692739245</v>
      </c>
      <c r="DE6">
        <v>22980955140.594063</v>
      </c>
      <c r="DF6">
        <v>0.12578763041645288</v>
      </c>
      <c r="DG6">
        <v>0.90312125928667542</v>
      </c>
      <c r="DH6">
        <v>41049489887.195892</v>
      </c>
      <c r="DI6">
        <v>0.11435239128768444</v>
      </c>
      <c r="DJ6">
        <v>0.39772684391752516</v>
      </c>
      <c r="DK6">
        <v>93211377524.438843</v>
      </c>
      <c r="DL6">
        <v>0.10005834237672388</v>
      </c>
      <c r="DM6">
        <v>3086000000</v>
      </c>
      <c r="DN6">
        <v>0.14294048910960555</v>
      </c>
      <c r="DO6">
        <v>37072667000</v>
      </c>
      <c r="DP6">
        <v>-1820372000</v>
      </c>
      <c r="DQ6">
        <v>594</v>
      </c>
      <c r="DR6">
        <v>-0.10418475224066114</v>
      </c>
      <c r="DS6">
        <v>0.60376916259289415</v>
      </c>
      <c r="DT6" s="13">
        <v>-0.15666666666666665</v>
      </c>
      <c r="DU6">
        <v>0.35333333333333333</v>
      </c>
      <c r="DV6">
        <v>0.19666666666666668</v>
      </c>
      <c r="DW6">
        <v>-1.0549999999999999</v>
      </c>
      <c r="DX6">
        <v>0.396646823529411</v>
      </c>
      <c r="DY6">
        <v>-1.0113655752941177</v>
      </c>
      <c r="DZ6">
        <v>1265</v>
      </c>
      <c r="EA6">
        <v>-1.0085519837584898</v>
      </c>
      <c r="EB6">
        <v>1</v>
      </c>
      <c r="EC6">
        <v>3.0169867447732892E-2</v>
      </c>
      <c r="ED6">
        <v>0.14599725446437598</v>
      </c>
      <c r="EE6" s="14">
        <v>2.0458099999999999</v>
      </c>
      <c r="EF6">
        <v>2.0621100000000001</v>
      </c>
      <c r="EG6">
        <v>19.206646823529411</v>
      </c>
      <c r="EH6" t="s">
        <v>416</v>
      </c>
      <c r="EI6">
        <v>0</v>
      </c>
      <c r="EJ6">
        <v>1</v>
      </c>
      <c r="EK6" s="10">
        <v>45470</v>
      </c>
      <c r="EL6" s="15">
        <v>1.21</v>
      </c>
      <c r="EM6" s="15">
        <v>-0.84</v>
      </c>
      <c r="EN6" s="15">
        <v>1.06</v>
      </c>
      <c r="EO6" s="15">
        <v>-0.7</v>
      </c>
      <c r="EP6" s="15">
        <v>-1.63</v>
      </c>
    </row>
    <row r="7" spans="1:146" ht="96" x14ac:dyDescent="0.25">
      <c r="A7" s="7"/>
      <c r="B7" s="7"/>
      <c r="C7" s="7" t="str">
        <f>""&amp;CHAR(10)&amp;Basic_Fundamental_Information_Constructure(F7)&amp;CHAR(10)&amp;Basic_Fundamental_Information_Concatenate("")</f>
        <v xml:space="preserve">
市值23.936335亿, 利润-2.78亿; PE; 平均PE-15.66; 平均PEG-1.54, PB3.3; ROIC1.75%; ROE-3.8367%; 股利率0%; 毛利20.0267%; 净利-36.1567%; 上一年度营收增1.94%, 利润增-101.45%; 当季营收增-7.32%, 利润增-37.3%; 过往5年营收增-10.18%, 利润增-693.21%
Income profile:
</v>
      </c>
      <c r="D7" t="s">
        <v>205</v>
      </c>
      <c r="E7" t="s">
        <v>206</v>
      </c>
      <c r="F7">
        <v>4.13</v>
      </c>
      <c r="G7">
        <v>2.74</v>
      </c>
      <c r="H7" t="s">
        <v>579</v>
      </c>
      <c r="I7">
        <v>2393633500</v>
      </c>
      <c r="K7">
        <v>3.3</v>
      </c>
      <c r="L7" t="s">
        <v>24</v>
      </c>
      <c r="M7" t="s">
        <v>580</v>
      </c>
      <c r="N7" t="s">
        <v>581</v>
      </c>
      <c r="O7" t="s">
        <v>582</v>
      </c>
      <c r="P7">
        <v>-7.32</v>
      </c>
      <c r="Q7" t="s">
        <v>583</v>
      </c>
      <c r="R7">
        <v>3352475</v>
      </c>
      <c r="S7" s="6">
        <v>-0.373</v>
      </c>
      <c r="T7" t="s">
        <v>584</v>
      </c>
      <c r="U7">
        <v>553578300</v>
      </c>
      <c r="V7">
        <v>579572280</v>
      </c>
      <c r="W7">
        <v>1.58</v>
      </c>
      <c r="X7">
        <v>0.06</v>
      </c>
      <c r="Y7">
        <v>5.05</v>
      </c>
      <c r="Z7" t="s">
        <v>585</v>
      </c>
      <c r="AA7" t="s">
        <v>586</v>
      </c>
      <c r="AB7" t="s">
        <v>587</v>
      </c>
      <c r="AC7" t="s">
        <v>588</v>
      </c>
      <c r="AD7" t="s">
        <v>56</v>
      </c>
      <c r="AE7">
        <v>-1370173</v>
      </c>
      <c r="AF7" t="s">
        <v>589</v>
      </c>
      <c r="AG7" t="s">
        <v>590</v>
      </c>
      <c r="AH7" t="s">
        <v>591</v>
      </c>
      <c r="AI7" t="s">
        <v>323</v>
      </c>
      <c r="AJ7" t="s">
        <v>592</v>
      </c>
      <c r="AK7" t="s">
        <v>593</v>
      </c>
      <c r="AL7" t="s">
        <v>594</v>
      </c>
      <c r="AM7" t="s">
        <v>56</v>
      </c>
      <c r="AN7" t="s">
        <v>595</v>
      </c>
      <c r="AO7" t="s">
        <v>596</v>
      </c>
      <c r="AP7" t="s">
        <v>597</v>
      </c>
      <c r="AQ7" t="s">
        <v>598</v>
      </c>
      <c r="AR7" t="s">
        <v>599</v>
      </c>
      <c r="AS7" t="s">
        <v>600</v>
      </c>
      <c r="AT7" t="s">
        <v>56</v>
      </c>
      <c r="AU7" t="s">
        <v>601</v>
      </c>
      <c r="AV7" t="s">
        <v>602</v>
      </c>
      <c r="AW7" t="s">
        <v>603</v>
      </c>
      <c r="AX7" t="s">
        <v>321</v>
      </c>
      <c r="AY7" t="s">
        <v>232</v>
      </c>
      <c r="AZ7" t="s">
        <v>129</v>
      </c>
      <c r="BA7" t="s">
        <v>208</v>
      </c>
      <c r="BB7" t="s">
        <v>209</v>
      </c>
      <c r="BC7" t="s">
        <v>604</v>
      </c>
      <c r="BD7" t="s">
        <v>233</v>
      </c>
      <c r="BE7" t="s">
        <v>207</v>
      </c>
      <c r="BF7" t="s">
        <v>211</v>
      </c>
      <c r="BG7" t="s">
        <v>212</v>
      </c>
      <c r="BH7" t="s">
        <v>583</v>
      </c>
      <c r="BI7" t="s">
        <v>605</v>
      </c>
      <c r="BJ7" t="s">
        <v>321</v>
      </c>
      <c r="BK7" t="s">
        <v>584</v>
      </c>
      <c r="BL7" t="s">
        <v>606</v>
      </c>
      <c r="BM7" t="s">
        <v>604</v>
      </c>
      <c r="BN7" t="s">
        <v>56</v>
      </c>
      <c r="BO7" t="s">
        <v>56</v>
      </c>
      <c r="BP7">
        <v>1.75</v>
      </c>
      <c r="BQ7">
        <v>-1.02</v>
      </c>
      <c r="BR7">
        <v>-12.33</v>
      </c>
      <c r="BS7">
        <v>1.84</v>
      </c>
      <c r="BT7" t="s">
        <v>409</v>
      </c>
      <c r="BU7" t="s">
        <v>24</v>
      </c>
      <c r="BV7">
        <v>17.84</v>
      </c>
      <c r="BW7">
        <v>18.93</v>
      </c>
      <c r="BX7">
        <v>23.31</v>
      </c>
      <c r="BY7">
        <v>-75.73</v>
      </c>
      <c r="BZ7">
        <v>-38.47</v>
      </c>
      <c r="CA7">
        <v>5.73</v>
      </c>
      <c r="CB7">
        <v>4.29</v>
      </c>
      <c r="CC7">
        <v>-16.399999999999999</v>
      </c>
      <c r="CD7" t="s">
        <v>607</v>
      </c>
      <c r="CE7" t="s">
        <v>433</v>
      </c>
      <c r="CF7" s="11">
        <v>-7.3181407059097328E-2</v>
      </c>
      <c r="CG7" s="12">
        <v>-0.37302930560490732</v>
      </c>
      <c r="CH7" s="11">
        <v>1.9390581175684929E-2</v>
      </c>
      <c r="CI7" s="11">
        <v>-8.3756342530250549E-2</v>
      </c>
      <c r="CJ7" s="11">
        <v>0.17611940205097198</v>
      </c>
      <c r="CK7" s="11">
        <v>-0.22632794082164764</v>
      </c>
      <c r="CL7" s="11">
        <v>-0.39440560340881348</v>
      </c>
      <c r="CM7" s="12">
        <v>-1.0144927501678467</v>
      </c>
      <c r="CN7" s="12">
        <v>-7.1045742034912109</v>
      </c>
      <c r="CO7" s="12">
        <v>1.0362857580184937</v>
      </c>
      <c r="CP7" s="12">
        <v>-26.896183013916016</v>
      </c>
      <c r="CQ7" s="12">
        <v>-0.68146258592605591</v>
      </c>
      <c r="CR7">
        <v>-15.66494933744265</v>
      </c>
      <c r="CS7">
        <v>-1.5388573525864702</v>
      </c>
      <c r="CT7">
        <v>0</v>
      </c>
      <c r="CU7" s="11">
        <v>-0.10179598070681095</v>
      </c>
      <c r="CV7" s="12">
        <v>-6.9320853590965275</v>
      </c>
      <c r="CW7">
        <v>0.06</v>
      </c>
      <c r="CX7" t="e">
        <v>#VALUE!</v>
      </c>
      <c r="CY7" t="s">
        <v>307</v>
      </c>
      <c r="CZ7">
        <v>-0.10179598070681095</v>
      </c>
      <c r="DA7" t="e">
        <v>#VALUE!</v>
      </c>
      <c r="DB7" t="s">
        <v>307</v>
      </c>
      <c r="DC7">
        <v>-9.6706181671470395E-2</v>
      </c>
      <c r="DD7" t="e">
        <v>#VALUE!</v>
      </c>
      <c r="DE7" t="s">
        <v>307</v>
      </c>
      <c r="DF7">
        <v>-8.9580463021993642E-2</v>
      </c>
      <c r="DG7" t="e">
        <v>#VALUE!</v>
      </c>
      <c r="DH7" t="s">
        <v>307</v>
      </c>
      <c r="DI7">
        <v>-8.1436784565448769E-2</v>
      </c>
      <c r="DJ7" t="e">
        <v>#VALUE!</v>
      </c>
      <c r="DK7" t="s">
        <v>307</v>
      </c>
      <c r="DL7">
        <v>-7.1257186494767658E-2</v>
      </c>
      <c r="DM7">
        <v>-278000000</v>
      </c>
      <c r="DN7">
        <v>-0.10179598070681095</v>
      </c>
      <c r="DO7">
        <v>2113633500</v>
      </c>
      <c r="DP7">
        <v>576822450</v>
      </c>
      <c r="DQ7">
        <v>744</v>
      </c>
      <c r="DR7">
        <v>2.8614573647713623E-2</v>
      </c>
      <c r="DS7">
        <v>6.55905605349162</v>
      </c>
      <c r="DT7" s="13">
        <v>-0.52333333333333332</v>
      </c>
      <c r="DU7">
        <v>-2.4900000000000002</v>
      </c>
      <c r="DV7">
        <v>-3.0133333333333336</v>
      </c>
      <c r="DW7">
        <v>6.2073465442242632</v>
      </c>
      <c r="DX7">
        <v>0.41266666666666724</v>
      </c>
      <c r="DY7">
        <v>6.0440956984050267</v>
      </c>
      <c r="DZ7">
        <v>4911</v>
      </c>
      <c r="EA7">
        <v>6.0017172297421917</v>
      </c>
      <c r="EB7">
        <v>6</v>
      </c>
      <c r="EC7">
        <v>0.1640209569719242</v>
      </c>
      <c r="ED7">
        <v>0.77125841836327991</v>
      </c>
      <c r="EE7" s="14">
        <v>1.0960000000000001</v>
      </c>
      <c r="EF7">
        <v>1.0789</v>
      </c>
      <c r="EG7">
        <v>20.212666666666667</v>
      </c>
      <c r="EH7" t="s">
        <v>417</v>
      </c>
      <c r="EI7">
        <v>0</v>
      </c>
      <c r="EJ7">
        <v>0</v>
      </c>
      <c r="EK7" s="10">
        <v>45470</v>
      </c>
      <c r="EL7" s="15">
        <v>-1.23</v>
      </c>
      <c r="EM7" s="15">
        <v>-3.97</v>
      </c>
      <c r="EN7" s="15">
        <v>1.03</v>
      </c>
      <c r="EO7" s="15">
        <v>4.5999999999999996</v>
      </c>
      <c r="EP7" s="15">
        <v>-1.71</v>
      </c>
    </row>
    <row r="8" spans="1:146" ht="96" x14ac:dyDescent="0.25">
      <c r="A8" s="7"/>
      <c r="B8" s="7"/>
      <c r="C8" s="7" t="str">
        <f>""&amp;CHAR(10)&amp;Basic_Fundamental_Information_Constructure(F8)&amp;CHAR(10)&amp;Basic_Fundamental_Information_Concatenate("")</f>
        <v xml:space="preserve">
市值60.104327亿, 利润2.37亿; PE20.74; 平均PE47.09; 平均PEG28.82, PB1.59; ROIC4.94%; ROE3.0933%; 股利率1.6461%; 毛利10.9%; 净利3.7633%; 上一年度营收增17.38%, 利润增2693.53%; 当季营收增8.29%, 利润增2893.4%; 过往5年营收增1.63%, 利润增550.67%
Income profile:
</v>
      </c>
      <c r="D8" t="s">
        <v>30</v>
      </c>
      <c r="E8" t="s">
        <v>8</v>
      </c>
      <c r="F8">
        <v>12.15</v>
      </c>
      <c r="G8">
        <v>1.67</v>
      </c>
      <c r="H8" t="s">
        <v>608</v>
      </c>
      <c r="I8">
        <v>6010432700</v>
      </c>
      <c r="J8">
        <v>20.74</v>
      </c>
      <c r="K8">
        <v>1.59</v>
      </c>
      <c r="L8" t="s">
        <v>24</v>
      </c>
      <c r="M8" t="s">
        <v>609</v>
      </c>
      <c r="N8" t="s">
        <v>610</v>
      </c>
      <c r="O8" t="s">
        <v>611</v>
      </c>
      <c r="P8">
        <v>8.27</v>
      </c>
      <c r="Q8" t="s">
        <v>612</v>
      </c>
      <c r="R8">
        <v>51180656</v>
      </c>
      <c r="S8" s="6">
        <v>28.93</v>
      </c>
      <c r="T8" t="s">
        <v>613</v>
      </c>
      <c r="U8">
        <v>402829780</v>
      </c>
      <c r="V8">
        <v>494685820</v>
      </c>
      <c r="W8">
        <v>1.37</v>
      </c>
      <c r="X8">
        <v>0.17</v>
      </c>
      <c r="Y8">
        <v>5.98</v>
      </c>
      <c r="Z8" t="s">
        <v>614</v>
      </c>
      <c r="AA8" t="s">
        <v>615</v>
      </c>
      <c r="AB8" t="s">
        <v>616</v>
      </c>
      <c r="AC8" t="s">
        <v>617</v>
      </c>
      <c r="AD8" t="s">
        <v>56</v>
      </c>
      <c r="AE8">
        <v>879417</v>
      </c>
      <c r="AF8" t="s">
        <v>75</v>
      </c>
      <c r="AG8" t="s">
        <v>618</v>
      </c>
      <c r="AH8" t="s">
        <v>619</v>
      </c>
      <c r="AI8" t="s">
        <v>144</v>
      </c>
      <c r="AJ8" t="s">
        <v>620</v>
      </c>
      <c r="AK8" t="s">
        <v>87</v>
      </c>
      <c r="AL8" t="s">
        <v>621</v>
      </c>
      <c r="AM8" t="s">
        <v>56</v>
      </c>
      <c r="AN8" t="s">
        <v>622</v>
      </c>
      <c r="AO8" t="s">
        <v>326</v>
      </c>
      <c r="AP8" t="s">
        <v>623</v>
      </c>
      <c r="AQ8" t="s">
        <v>327</v>
      </c>
      <c r="AR8" t="s">
        <v>56</v>
      </c>
      <c r="AS8" t="s">
        <v>624</v>
      </c>
      <c r="AT8" t="s">
        <v>56</v>
      </c>
      <c r="AU8" t="s">
        <v>625</v>
      </c>
      <c r="AV8" t="s">
        <v>323</v>
      </c>
      <c r="AW8" t="s">
        <v>626</v>
      </c>
      <c r="AX8" t="s">
        <v>627</v>
      </c>
      <c r="AY8" t="s">
        <v>234</v>
      </c>
      <c r="AZ8" t="s">
        <v>133</v>
      </c>
      <c r="BA8" t="s">
        <v>134</v>
      </c>
      <c r="BB8" t="s">
        <v>135</v>
      </c>
      <c r="BC8" t="s">
        <v>628</v>
      </c>
      <c r="BD8" t="s">
        <v>66</v>
      </c>
      <c r="BE8" t="s">
        <v>76</v>
      </c>
      <c r="BF8" t="s">
        <v>136</v>
      </c>
      <c r="BG8" t="s">
        <v>137</v>
      </c>
      <c r="BH8" t="s">
        <v>612</v>
      </c>
      <c r="BI8" t="s">
        <v>629</v>
      </c>
      <c r="BJ8" t="s">
        <v>627</v>
      </c>
      <c r="BK8" t="s">
        <v>613</v>
      </c>
      <c r="BL8" t="s">
        <v>630</v>
      </c>
      <c r="BM8" t="s">
        <v>628</v>
      </c>
      <c r="BN8">
        <v>3.96</v>
      </c>
      <c r="BO8">
        <v>6.41</v>
      </c>
      <c r="BP8">
        <v>4.45</v>
      </c>
      <c r="BQ8">
        <v>4.34</v>
      </c>
      <c r="BR8">
        <v>0.24</v>
      </c>
      <c r="BS8">
        <v>4.7</v>
      </c>
      <c r="BT8" t="s">
        <v>410</v>
      </c>
      <c r="BU8" t="s">
        <v>24</v>
      </c>
      <c r="BV8">
        <v>13.98</v>
      </c>
      <c r="BW8">
        <v>7.85</v>
      </c>
      <c r="BX8">
        <v>10.87</v>
      </c>
      <c r="BY8">
        <v>6.5</v>
      </c>
      <c r="BZ8">
        <v>0.3</v>
      </c>
      <c r="CA8">
        <v>4.49</v>
      </c>
      <c r="CB8">
        <v>3.4</v>
      </c>
      <c r="CC8">
        <v>-8.02</v>
      </c>
      <c r="CD8" t="s">
        <v>631</v>
      </c>
      <c r="CE8" t="s">
        <v>345</v>
      </c>
      <c r="CF8" s="11">
        <v>8.2914572864321454E-2</v>
      </c>
      <c r="CG8" s="12">
        <v>28.93398973911145</v>
      </c>
      <c r="CH8" s="11">
        <v>0.17377360165119171</v>
      </c>
      <c r="CI8" s="11">
        <v>-0.15748246014118195</v>
      </c>
      <c r="CJ8" s="11">
        <v>0.31696906685829163</v>
      </c>
      <c r="CK8" s="11">
        <v>-0.13984085619449615</v>
      </c>
      <c r="CL8" s="11">
        <v>-0.11171515285968781</v>
      </c>
      <c r="CM8" s="12">
        <v>26.935264587402344</v>
      </c>
      <c r="CN8" s="12">
        <v>-0.94858241081237793</v>
      </c>
      <c r="CO8" s="12">
        <v>3.125E-2</v>
      </c>
      <c r="CP8" s="12">
        <v>0.16788321733474731</v>
      </c>
      <c r="CQ8" s="12">
        <v>1.3477597236633301</v>
      </c>
      <c r="CR8">
        <v>47.089102987135391</v>
      </c>
      <c r="CS8">
        <v>28.816819320447706</v>
      </c>
      <c r="CT8">
        <v>1.6460905349794239</v>
      </c>
      <c r="CU8" s="11">
        <v>1.6340839862823486E-2</v>
      </c>
      <c r="CV8" s="12">
        <v>5.506715023517609</v>
      </c>
      <c r="CW8">
        <v>0.06</v>
      </c>
      <c r="CX8">
        <v>15.404225735563365</v>
      </c>
      <c r="CY8">
        <v>227238470.79951808</v>
      </c>
      <c r="CZ8">
        <v>1.6340839862823486E-2</v>
      </c>
      <c r="DA8">
        <v>5.3606531518856704</v>
      </c>
      <c r="DB8">
        <v>652986231.49469829</v>
      </c>
      <c r="DC8">
        <v>1.5523797869682311E-2</v>
      </c>
      <c r="DD8">
        <v>2.8632906552925252</v>
      </c>
      <c r="DE8">
        <v>1222520910.8721735</v>
      </c>
      <c r="DF8">
        <v>1.4379939079284667E-2</v>
      </c>
      <c r="DG8">
        <v>1.8787349185604982</v>
      </c>
      <c r="DH8">
        <v>1863186054.3061924</v>
      </c>
      <c r="DI8">
        <v>1.307267189025879E-2</v>
      </c>
      <c r="DJ8">
        <v>1.1652707083743878</v>
      </c>
      <c r="DK8">
        <v>3003965237.2994795</v>
      </c>
      <c r="DL8">
        <v>1.1438587903976439E-2</v>
      </c>
      <c r="DM8">
        <v>237000000</v>
      </c>
      <c r="DN8">
        <v>1.6340839862823486E-2</v>
      </c>
      <c r="DO8">
        <v>3500432700.0000005</v>
      </c>
      <c r="DP8">
        <v>1570990400</v>
      </c>
      <c r="DQ8">
        <v>1015</v>
      </c>
      <c r="DR8">
        <v>6.6573733001497964E-2</v>
      </c>
      <c r="DS8">
        <v>23.427274715593839</v>
      </c>
      <c r="DT8" s="13">
        <v>-0.28999999999999998</v>
      </c>
      <c r="DU8">
        <v>0.91666666666666663</v>
      </c>
      <c r="DV8">
        <v>0.62666666666666671</v>
      </c>
      <c r="DW8">
        <v>6.2977232924693523</v>
      </c>
      <c r="DX8">
        <v>0.49035560747663454</v>
      </c>
      <c r="DY8">
        <v>6.0328554348003998</v>
      </c>
      <c r="DZ8">
        <v>545</v>
      </c>
      <c r="EA8">
        <v>6.0293512837306897</v>
      </c>
      <c r="EB8">
        <v>6</v>
      </c>
      <c r="EC8">
        <v>4.7739593586895217E-2</v>
      </c>
      <c r="ED8">
        <v>0.43259780520897084</v>
      </c>
      <c r="EE8" s="14">
        <v>4.0397100000000004</v>
      </c>
      <c r="EF8">
        <v>4.0604100000000001</v>
      </c>
      <c r="EG8">
        <v>38.110355607476635</v>
      </c>
      <c r="EH8" t="s">
        <v>632</v>
      </c>
      <c r="EI8">
        <v>0</v>
      </c>
      <c r="EJ8">
        <v>1</v>
      </c>
      <c r="EK8" s="10">
        <v>45470</v>
      </c>
      <c r="EL8" s="15">
        <v>1.0900000000000001</v>
      </c>
      <c r="EM8" s="15">
        <v>-2.0699999999999998</v>
      </c>
      <c r="EN8" s="15">
        <v>6.78</v>
      </c>
      <c r="EO8" s="15">
        <v>-4.37</v>
      </c>
      <c r="EP8" s="15">
        <v>-2.0699999999999998</v>
      </c>
    </row>
    <row r="9" spans="1:146" x14ac:dyDescent="0.25">
      <c r="D9" t="s">
        <v>633</v>
      </c>
      <c r="E9" t="s">
        <v>634</v>
      </c>
      <c r="F9">
        <v>23.51</v>
      </c>
      <c r="G9">
        <v>1.64</v>
      </c>
      <c r="H9" t="s">
        <v>635</v>
      </c>
      <c r="I9">
        <v>2103674800</v>
      </c>
      <c r="J9">
        <v>24.13</v>
      </c>
      <c r="K9">
        <v>1.52</v>
      </c>
      <c r="L9" t="s">
        <v>24</v>
      </c>
      <c r="M9" t="s">
        <v>636</v>
      </c>
      <c r="N9" t="s">
        <v>153</v>
      </c>
      <c r="O9" t="s">
        <v>637</v>
      </c>
      <c r="P9" s="6">
        <v>27.66</v>
      </c>
      <c r="Q9" t="s">
        <v>638</v>
      </c>
      <c r="R9">
        <v>16685261</v>
      </c>
      <c r="S9">
        <v>-2.6800000000000001E-2</v>
      </c>
      <c r="T9" t="s">
        <v>639</v>
      </c>
      <c r="U9">
        <v>21959940</v>
      </c>
      <c r="V9">
        <v>89480000</v>
      </c>
      <c r="W9">
        <v>1.2</v>
      </c>
      <c r="X9">
        <v>0.15</v>
      </c>
      <c r="Y9">
        <v>6.58</v>
      </c>
      <c r="Z9" t="s">
        <v>640</v>
      </c>
      <c r="AA9" t="s">
        <v>641</v>
      </c>
      <c r="AB9" t="s">
        <v>642</v>
      </c>
      <c r="AC9" t="s">
        <v>643</v>
      </c>
      <c r="AD9" t="s">
        <v>56</v>
      </c>
      <c r="AE9">
        <v>-1928309</v>
      </c>
      <c r="AF9" t="s">
        <v>75</v>
      </c>
      <c r="AG9">
        <v>500</v>
      </c>
      <c r="AH9" t="s">
        <v>644</v>
      </c>
      <c r="AI9" t="s">
        <v>645</v>
      </c>
      <c r="AJ9" t="s">
        <v>646</v>
      </c>
      <c r="AK9" t="s">
        <v>56</v>
      </c>
      <c r="AL9" t="s">
        <v>647</v>
      </c>
      <c r="AM9" t="s">
        <v>56</v>
      </c>
      <c r="AN9" t="s">
        <v>648</v>
      </c>
      <c r="AO9" t="s">
        <v>56</v>
      </c>
      <c r="AP9" t="s">
        <v>56</v>
      </c>
      <c r="AQ9" t="s">
        <v>649</v>
      </c>
      <c r="AR9" t="s">
        <v>56</v>
      </c>
      <c r="AS9" t="s">
        <v>322</v>
      </c>
      <c r="AT9" t="s">
        <v>87</v>
      </c>
      <c r="AU9" t="s">
        <v>650</v>
      </c>
      <c r="AV9" t="s">
        <v>651</v>
      </c>
      <c r="AW9" t="s">
        <v>652</v>
      </c>
      <c r="AX9" t="s">
        <v>653</v>
      </c>
      <c r="AY9" t="s">
        <v>654</v>
      </c>
      <c r="AZ9" t="s">
        <v>655</v>
      </c>
      <c r="BA9" t="s">
        <v>93</v>
      </c>
      <c r="BB9" t="s">
        <v>656</v>
      </c>
      <c r="BC9" t="s">
        <v>657</v>
      </c>
      <c r="BD9" t="s">
        <v>658</v>
      </c>
      <c r="BE9" t="s">
        <v>659</v>
      </c>
      <c r="BF9" t="s">
        <v>660</v>
      </c>
      <c r="BG9" t="s">
        <v>661</v>
      </c>
      <c r="BH9" t="s">
        <v>662</v>
      </c>
      <c r="BI9" t="s">
        <v>663</v>
      </c>
      <c r="BJ9" t="s">
        <v>653</v>
      </c>
      <c r="BK9" t="s">
        <v>664</v>
      </c>
      <c r="BL9" t="s">
        <v>665</v>
      </c>
      <c r="BM9" t="s">
        <v>657</v>
      </c>
      <c r="BN9">
        <v>7.05</v>
      </c>
      <c r="BO9">
        <v>14.23</v>
      </c>
      <c r="BP9">
        <v>16.309999999999999</v>
      </c>
      <c r="BQ9">
        <v>10.220000000000001</v>
      </c>
      <c r="BR9">
        <v>18</v>
      </c>
      <c r="BS9" t="s">
        <v>56</v>
      </c>
      <c r="BT9" t="s">
        <v>666</v>
      </c>
      <c r="BU9" t="s">
        <v>24</v>
      </c>
      <c r="BV9">
        <v>18.350000000000001</v>
      </c>
      <c r="BW9">
        <v>18.87</v>
      </c>
      <c r="BX9">
        <v>24.49</v>
      </c>
      <c r="BY9">
        <v>10.09</v>
      </c>
      <c r="BZ9">
        <v>10.220000000000001</v>
      </c>
      <c r="CA9">
        <v>13.68</v>
      </c>
      <c r="CB9">
        <v>-3.69</v>
      </c>
      <c r="CC9" s="11">
        <v>-11.92</v>
      </c>
      <c r="CD9" s="12" t="s">
        <v>667</v>
      </c>
      <c r="CE9" s="11" t="s">
        <v>668</v>
      </c>
      <c r="CF9" s="11">
        <v>1.0483870967741935</v>
      </c>
      <c r="CG9" s="11">
        <v>-1.9045767507522237E-3</v>
      </c>
      <c r="CH9" s="11">
        <v>-0.47324240207672119</v>
      </c>
      <c r="CI9" s="11">
        <v>0.25725594162940979</v>
      </c>
      <c r="CJ9" s="12">
        <v>0.127976194024086</v>
      </c>
      <c r="CK9" s="12">
        <v>0.15265865623950958</v>
      </c>
      <c r="CL9" s="12">
        <v>7.7634014189243317E-2</v>
      </c>
      <c r="CM9" s="12">
        <v>-0.25084656476974487</v>
      </c>
      <c r="CN9" s="12">
        <v>-6.2950000166893005E-2</v>
      </c>
      <c r="CO9">
        <v>0.15823236107826233</v>
      </c>
      <c r="CP9">
        <v>1.7983133792877197</v>
      </c>
      <c r="CQ9">
        <v>0.17058712244033813</v>
      </c>
      <c r="CR9" s="11">
        <v>29.786384168298323</v>
      </c>
      <c r="CS9" s="12">
        <v>10.467346393423728</v>
      </c>
      <c r="CT9">
        <v>2.377711612079966</v>
      </c>
      <c r="CU9">
        <v>2.8456480801105501E-2</v>
      </c>
      <c r="CV9">
        <v>0.36266725957393647</v>
      </c>
      <c r="CW9">
        <v>0.06</v>
      </c>
      <c r="CX9">
        <v>14.903326582429186</v>
      </c>
      <c r="CY9">
        <v>70834843.090979829</v>
      </c>
      <c r="CZ9">
        <v>2.8456480801105501E-2</v>
      </c>
      <c r="DA9">
        <v>5.1326293705238548</v>
      </c>
      <c r="DB9">
        <v>205679140.99986026</v>
      </c>
      <c r="DC9">
        <v>2.7033656761050226E-2</v>
      </c>
      <c r="DD9">
        <v>2.7056719616389011</v>
      </c>
      <c r="DE9">
        <v>390171024.04407823</v>
      </c>
      <c r="DF9">
        <v>2.5041703104972841E-2</v>
      </c>
      <c r="DG9">
        <v>1.7510138804815472</v>
      </c>
      <c r="DH9">
        <v>602893450.34185469</v>
      </c>
      <c r="DI9">
        <v>2.2765184640884402E-2</v>
      </c>
      <c r="DJ9">
        <v>1.0573733799506815</v>
      </c>
      <c r="DK9">
        <v>998393585.47993636</v>
      </c>
      <c r="DL9">
        <v>1.9919536560773849E-2</v>
      </c>
      <c r="DM9">
        <v>73007400</v>
      </c>
      <c r="DN9">
        <v>2.8456480801105501E-2</v>
      </c>
      <c r="DO9">
        <v>1055674800</v>
      </c>
      <c r="DP9">
        <v>981346260</v>
      </c>
      <c r="DQ9" s="13">
        <v>2798</v>
      </c>
      <c r="DR9">
        <v>1.0199306159730881</v>
      </c>
      <c r="DS9">
        <v>-0.3645718363246887</v>
      </c>
      <c r="DT9">
        <v>-0.34</v>
      </c>
      <c r="DU9">
        <v>0.3</v>
      </c>
      <c r="DV9">
        <v>-4.0000000000000036E-2</v>
      </c>
      <c r="DW9">
        <v>-8.3095637583892614</v>
      </c>
      <c r="DX9">
        <v>0.26021499740251353</v>
      </c>
      <c r="DY9">
        <v>-8.0341185688267842</v>
      </c>
      <c r="DZ9">
        <v>1566</v>
      </c>
      <c r="EA9">
        <v>-8.0236626629984578</v>
      </c>
      <c r="EB9" s="14">
        <v>8</v>
      </c>
      <c r="EC9" s="14">
        <v>5.2873267769333931E-2</v>
      </c>
      <c r="ED9">
        <v>0.47972843093428696</v>
      </c>
      <c r="EE9">
        <v>-1.0136099999999999</v>
      </c>
      <c r="EF9">
        <v>-1.02251</v>
      </c>
      <c r="EG9">
        <v>15.110214997402514</v>
      </c>
      <c r="EH9" s="10" t="s">
        <v>513</v>
      </c>
      <c r="EI9">
        <v>0</v>
      </c>
      <c r="EJ9">
        <v>0</v>
      </c>
      <c r="EK9">
        <v>45470</v>
      </c>
      <c r="EL9">
        <v>-1.91</v>
      </c>
      <c r="EM9">
        <v>-5.77</v>
      </c>
      <c r="EN9" s="15">
        <v>2.97</v>
      </c>
      <c r="EO9" s="15">
        <v>3.28</v>
      </c>
      <c r="EP9" s="15">
        <v>-0.89</v>
      </c>
    </row>
    <row r="10" spans="1:146" ht="96" x14ac:dyDescent="0.25">
      <c r="C10" s="7" t="str">
        <f>""&amp;CHAR(10)&amp;Basic_Fundamental_Information_Constructure(F10)&amp;CHAR(10)&amp;Basic_Fundamental_Information_Concatenate("")</f>
        <v xml:space="preserve">
市值40.12123亿, 利润141.06亿; PE47.79; 平均PE.56; 平均PEG0, PB1.03; ROIC3.96%; ROE4.38%; 股利率.9592%; 毛利19.51%; 净利6.5367%; 上一年度营收增24761.31%, 利润增6681.73%; 当季营收增-99.53%, 利润增-99.22%; 过往5年营收增8249.36%, 利润增6681.73%
Income profile:
</v>
      </c>
      <c r="D10" t="s">
        <v>26</v>
      </c>
      <c r="E10" t="s">
        <v>12</v>
      </c>
      <c r="F10">
        <v>1.74</v>
      </c>
      <c r="G10">
        <v>1.1599999999999999</v>
      </c>
      <c r="H10" t="s">
        <v>669</v>
      </c>
      <c r="I10">
        <v>4012123000</v>
      </c>
      <c r="J10">
        <v>47.79</v>
      </c>
      <c r="K10">
        <v>1.03</v>
      </c>
      <c r="L10" t="s">
        <v>24</v>
      </c>
      <c r="M10" t="s">
        <v>670</v>
      </c>
      <c r="N10" t="s">
        <v>671</v>
      </c>
      <c r="O10" t="s">
        <v>332</v>
      </c>
      <c r="P10">
        <v>-5.19</v>
      </c>
      <c r="Q10" t="s">
        <v>672</v>
      </c>
      <c r="R10">
        <v>21667480</v>
      </c>
      <c r="S10" s="6">
        <v>-0.63660000000000005</v>
      </c>
      <c r="T10" t="s">
        <v>673</v>
      </c>
      <c r="U10">
        <v>2264891800</v>
      </c>
      <c r="V10">
        <v>2305817800</v>
      </c>
      <c r="W10">
        <v>1.47</v>
      </c>
      <c r="X10" t="s">
        <v>56</v>
      </c>
      <c r="Y10">
        <v>3.82</v>
      </c>
      <c r="Z10" t="s">
        <v>56</v>
      </c>
      <c r="AA10" t="s">
        <v>56</v>
      </c>
      <c r="AB10" t="s">
        <v>56</v>
      </c>
      <c r="AC10" t="s">
        <v>56</v>
      </c>
      <c r="AD10" t="s">
        <v>56</v>
      </c>
      <c r="AE10">
        <v>2079632</v>
      </c>
      <c r="AF10" t="s">
        <v>674</v>
      </c>
      <c r="AG10" t="s">
        <v>675</v>
      </c>
      <c r="AH10" t="s">
        <v>676</v>
      </c>
      <c r="AI10" t="s">
        <v>677</v>
      </c>
      <c r="AJ10" t="s">
        <v>678</v>
      </c>
      <c r="AK10" t="s">
        <v>56</v>
      </c>
      <c r="AL10" t="s">
        <v>679</v>
      </c>
      <c r="AM10" t="s">
        <v>56</v>
      </c>
      <c r="AN10" t="s">
        <v>656</v>
      </c>
      <c r="AO10" t="s">
        <v>56</v>
      </c>
      <c r="AP10" t="s">
        <v>680</v>
      </c>
      <c r="AQ10" t="s">
        <v>681</v>
      </c>
      <c r="AR10" t="s">
        <v>682</v>
      </c>
      <c r="AS10" t="s">
        <v>56</v>
      </c>
      <c r="AT10" t="s">
        <v>56</v>
      </c>
      <c r="AU10" t="s">
        <v>683</v>
      </c>
      <c r="AV10" t="s">
        <v>684</v>
      </c>
      <c r="AW10" t="s">
        <v>685</v>
      </c>
      <c r="AX10" t="s">
        <v>686</v>
      </c>
      <c r="AY10" t="s">
        <v>56</v>
      </c>
      <c r="AZ10" t="s">
        <v>138</v>
      </c>
      <c r="BA10" t="s">
        <v>69</v>
      </c>
      <c r="BB10" t="s">
        <v>139</v>
      </c>
      <c r="BC10" t="s">
        <v>174</v>
      </c>
      <c r="BD10" t="s">
        <v>56</v>
      </c>
      <c r="BE10" t="s">
        <v>56</v>
      </c>
      <c r="BF10" t="s">
        <v>56</v>
      </c>
      <c r="BG10" t="s">
        <v>56</v>
      </c>
      <c r="BH10" t="s">
        <v>687</v>
      </c>
      <c r="BI10" t="s">
        <v>688</v>
      </c>
      <c r="BJ10" t="s">
        <v>686</v>
      </c>
      <c r="BK10" t="s">
        <v>562</v>
      </c>
      <c r="BL10" t="s">
        <v>689</v>
      </c>
      <c r="BM10" t="s">
        <v>174</v>
      </c>
      <c r="BN10">
        <v>2.23</v>
      </c>
      <c r="BO10">
        <v>4.82</v>
      </c>
      <c r="BP10">
        <v>4.83</v>
      </c>
      <c r="BQ10">
        <v>2.35</v>
      </c>
      <c r="BR10">
        <v>5.52</v>
      </c>
      <c r="BS10">
        <v>5.27</v>
      </c>
      <c r="BT10" t="s">
        <v>690</v>
      </c>
      <c r="BU10" t="s">
        <v>24</v>
      </c>
      <c r="BV10">
        <v>17</v>
      </c>
      <c r="BW10">
        <v>21.43</v>
      </c>
      <c r="BX10">
        <v>20.100000000000001</v>
      </c>
      <c r="BY10">
        <v>4.9000000000000004</v>
      </c>
      <c r="BZ10">
        <v>7.51</v>
      </c>
      <c r="CA10">
        <v>7.2</v>
      </c>
      <c r="CB10">
        <v>1.75</v>
      </c>
      <c r="CC10">
        <v>-15.26</v>
      </c>
      <c r="CD10" t="s">
        <v>691</v>
      </c>
      <c r="CE10" t="s">
        <v>692</v>
      </c>
      <c r="CF10" s="11">
        <v>-0.99525796796462318</v>
      </c>
      <c r="CG10" s="12">
        <v>-0.99221434423284227</v>
      </c>
      <c r="CH10" s="11">
        <v>247.61314392089844</v>
      </c>
      <c r="CI10" s="11" t="s">
        <v>56</v>
      </c>
      <c r="CJ10" s="11" t="s">
        <v>56</v>
      </c>
      <c r="CK10" s="11">
        <v>-6.5543092787265778E-2</v>
      </c>
      <c r="CL10" s="11">
        <v>-6.6759809851646423E-2</v>
      </c>
      <c r="CM10" s="12">
        <v>66.817306518554687</v>
      </c>
      <c r="CN10" s="12" t="s">
        <v>56</v>
      </c>
      <c r="CO10" s="12" t="s">
        <v>56</v>
      </c>
      <c r="CP10" s="12" t="s">
        <v>56</v>
      </c>
      <c r="CQ10" s="12" t="s">
        <v>56</v>
      </c>
      <c r="CR10">
        <v>0.56058725723068326</v>
      </c>
      <c r="CS10">
        <v>6.7955230989697783E-5</v>
      </c>
      <c r="CT10">
        <v>0.95919540229885059</v>
      </c>
      <c r="CU10" s="11">
        <v>82.49361367275317</v>
      </c>
      <c r="CV10" s="12">
        <v>66.817306518554687</v>
      </c>
      <c r="CW10">
        <v>0.06</v>
      </c>
      <c r="CX10">
        <v>1.5427327887009691E-3</v>
      </c>
      <c r="CY10">
        <v>1111095202328.1663</v>
      </c>
      <c r="CZ10">
        <v>82.49361367275317</v>
      </c>
      <c r="DA10">
        <v>2.8560504343335253E-7</v>
      </c>
      <c r="DB10">
        <v>6001725247544515</v>
      </c>
      <c r="DC10">
        <v>78.368932989115507</v>
      </c>
      <c r="DD10">
        <v>1.0693124911675408E-12</v>
      </c>
      <c r="DE10">
        <v>1.6030140993942895E+21</v>
      </c>
      <c r="DF10">
        <v>72.594380032022784</v>
      </c>
      <c r="DG10">
        <v>1.1758543184719802E-19</v>
      </c>
      <c r="DH10">
        <v>1.4577681716792079E+28</v>
      </c>
      <c r="DI10">
        <v>65.994890938202545</v>
      </c>
      <c r="DJ10">
        <v>1.5971694897089741E-36</v>
      </c>
      <c r="DK10">
        <v>1.0732254848621832E+45</v>
      </c>
      <c r="DL10">
        <v>57.745529570927218</v>
      </c>
      <c r="DM10">
        <v>14106000000</v>
      </c>
      <c r="DN10">
        <v>82.49361367275317</v>
      </c>
      <c r="DO10">
        <v>1714122999.9999995</v>
      </c>
      <c r="DP10">
        <v>3816778000</v>
      </c>
      <c r="DQ10">
        <v>2920</v>
      </c>
      <c r="DR10">
        <v>-83.48887164071779</v>
      </c>
      <c r="DS10">
        <v>-67.809520862787537</v>
      </c>
      <c r="DT10" s="13">
        <v>-0.21000000000000008</v>
      </c>
      <c r="DU10">
        <v>-0.42000000000000015</v>
      </c>
      <c r="DV10">
        <v>-0.63000000000000023</v>
      </c>
      <c r="DW10">
        <v>-2.1526000000000001</v>
      </c>
      <c r="DX10">
        <v>0.30898034934497776</v>
      </c>
      <c r="DY10">
        <v>-2.0227344013100437</v>
      </c>
      <c r="DZ10">
        <v>924</v>
      </c>
      <c r="EA10">
        <v>-2.0186235232649401</v>
      </c>
      <c r="EB10">
        <v>2</v>
      </c>
      <c r="EC10">
        <v>2.9591670252523856E-2</v>
      </c>
      <c r="ED10">
        <v>0.19862800955045104</v>
      </c>
      <c r="EE10" s="14">
        <v>2.0744099999999999</v>
      </c>
      <c r="EF10">
        <v>2.1154099999999998</v>
      </c>
      <c r="EG10">
        <v>16.148980349344978</v>
      </c>
      <c r="EH10" t="s">
        <v>416</v>
      </c>
      <c r="EI10">
        <v>0</v>
      </c>
      <c r="EJ10">
        <v>1</v>
      </c>
      <c r="EK10" s="10">
        <v>45470</v>
      </c>
      <c r="EL10" s="15">
        <v>-1.64</v>
      </c>
      <c r="EM10" s="15">
        <v>5.72</v>
      </c>
      <c r="EN10" s="15">
        <v>-8.34</v>
      </c>
      <c r="EO10" s="15">
        <v>0.08</v>
      </c>
      <c r="EP10" s="15">
        <v>-4.0999999999999996</v>
      </c>
    </row>
    <row r="11" spans="1:146" ht="108" x14ac:dyDescent="0.25">
      <c r="A11" s="7"/>
      <c r="B11" s="7"/>
      <c r="C11" s="7" t="str">
        <f>""&amp;CHAR(10)&amp;Basic_Fundamental_Information_Constructure(F11)&amp;CHAR(10)&amp;Basic_Fundamental_Information_Concatenate("")</f>
        <v xml:space="preserve">
市值16.47597亿, 利润12.26亿; PE21.74; 平均PE2.65; 平均PEG.02, PB1.11; ROIC2.875%; ROE2.4267%; 股利率.3198%; 毛利14.5433%; 净利2.5433%; 上一年度营收增384.2%, 利润增7859.59%; 当季营收增-81.05%, 利润增-83.67%; 过往5年营收增124.36%, 利润增7859.59%
Income profile:
</v>
      </c>
      <c r="D11" t="s">
        <v>41</v>
      </c>
      <c r="E11" t="s">
        <v>6</v>
      </c>
      <c r="F11">
        <v>4.6900000000000004</v>
      </c>
      <c r="G11">
        <v>1.3</v>
      </c>
      <c r="H11" t="s">
        <v>693</v>
      </c>
      <c r="I11">
        <v>1647597000</v>
      </c>
      <c r="J11">
        <v>21.74</v>
      </c>
      <c r="K11">
        <v>1.1100000000000001</v>
      </c>
      <c r="L11" t="s">
        <v>24</v>
      </c>
      <c r="M11" t="s">
        <v>694</v>
      </c>
      <c r="N11" t="s">
        <v>695</v>
      </c>
      <c r="O11" t="s">
        <v>696</v>
      </c>
      <c r="P11">
        <v>-0.94</v>
      </c>
      <c r="Q11" t="s">
        <v>697</v>
      </c>
      <c r="R11">
        <v>48000000</v>
      </c>
      <c r="S11" s="6">
        <v>8.6140000000000008</v>
      </c>
      <c r="T11" t="s">
        <v>698</v>
      </c>
      <c r="U11">
        <v>351300000</v>
      </c>
      <c r="V11">
        <v>351300000</v>
      </c>
      <c r="W11">
        <v>1.73</v>
      </c>
      <c r="X11" t="s">
        <v>56</v>
      </c>
      <c r="Y11">
        <v>8.58</v>
      </c>
      <c r="Z11" t="s">
        <v>56</v>
      </c>
      <c r="AA11" t="s">
        <v>56</v>
      </c>
      <c r="AB11" t="s">
        <v>56</v>
      </c>
      <c r="AC11" t="s">
        <v>56</v>
      </c>
      <c r="AD11" t="s">
        <v>56</v>
      </c>
      <c r="AE11">
        <v>-164333</v>
      </c>
      <c r="AF11" t="s">
        <v>75</v>
      </c>
      <c r="AG11" t="s">
        <v>699</v>
      </c>
      <c r="AH11" t="s">
        <v>700</v>
      </c>
      <c r="AI11" t="s">
        <v>63</v>
      </c>
      <c r="AJ11" t="s">
        <v>701</v>
      </c>
      <c r="AK11" t="s">
        <v>56</v>
      </c>
      <c r="AL11" t="s">
        <v>702</v>
      </c>
      <c r="AM11" t="s">
        <v>56</v>
      </c>
      <c r="AN11" t="s">
        <v>703</v>
      </c>
      <c r="AO11" t="s">
        <v>56</v>
      </c>
      <c r="AP11" t="s">
        <v>56</v>
      </c>
      <c r="AQ11" t="s">
        <v>704</v>
      </c>
      <c r="AR11" t="s">
        <v>56</v>
      </c>
      <c r="AS11" t="s">
        <v>56</v>
      </c>
      <c r="AT11" t="s">
        <v>56</v>
      </c>
      <c r="AU11" t="s">
        <v>705</v>
      </c>
      <c r="AV11" t="s">
        <v>706</v>
      </c>
      <c r="AW11" t="s">
        <v>136</v>
      </c>
      <c r="AX11" t="s">
        <v>707</v>
      </c>
      <c r="AY11" t="s">
        <v>56</v>
      </c>
      <c r="AZ11" t="s">
        <v>140</v>
      </c>
      <c r="BA11" t="s">
        <v>70</v>
      </c>
      <c r="BB11" t="s">
        <v>141</v>
      </c>
      <c r="BC11" t="s">
        <v>708</v>
      </c>
      <c r="BD11" t="s">
        <v>56</v>
      </c>
      <c r="BE11" t="s">
        <v>56</v>
      </c>
      <c r="BF11" t="s">
        <v>56</v>
      </c>
      <c r="BG11" t="s">
        <v>56</v>
      </c>
      <c r="BH11" t="s">
        <v>709</v>
      </c>
      <c r="BI11" t="s">
        <v>710</v>
      </c>
      <c r="BJ11" t="s">
        <v>707</v>
      </c>
      <c r="BK11" t="s">
        <v>711</v>
      </c>
      <c r="BL11" t="s">
        <v>712</v>
      </c>
      <c r="BM11" t="s">
        <v>708</v>
      </c>
      <c r="BN11" t="s">
        <v>56</v>
      </c>
      <c r="BO11">
        <v>1.83</v>
      </c>
      <c r="BP11">
        <v>3.92</v>
      </c>
      <c r="BQ11">
        <v>1.92</v>
      </c>
      <c r="BR11">
        <v>1.1000000000000001</v>
      </c>
      <c r="BS11">
        <v>4.26</v>
      </c>
      <c r="BT11" t="s">
        <v>713</v>
      </c>
      <c r="BU11" t="s">
        <v>24</v>
      </c>
      <c r="BV11">
        <v>13.75</v>
      </c>
      <c r="BW11">
        <v>12.03</v>
      </c>
      <c r="BX11">
        <v>17.850000000000001</v>
      </c>
      <c r="BY11">
        <v>2.89</v>
      </c>
      <c r="BZ11">
        <v>0.92</v>
      </c>
      <c r="CA11">
        <v>3.82</v>
      </c>
      <c r="CB11">
        <v>1.96</v>
      </c>
      <c r="CC11">
        <v>-10.58</v>
      </c>
      <c r="CD11" t="s">
        <v>714</v>
      </c>
      <c r="CE11" t="s">
        <v>85</v>
      </c>
      <c r="CF11" s="11">
        <v>-0.81052631578947365</v>
      </c>
      <c r="CG11" s="12">
        <v>-0.83673469387755106</v>
      </c>
      <c r="CH11" s="11">
        <v>3.842010498046875</v>
      </c>
      <c r="CI11" s="11" t="s">
        <v>56</v>
      </c>
      <c r="CJ11" s="11" t="s">
        <v>56</v>
      </c>
      <c r="CK11" s="11">
        <v>-3.2880719751119614E-2</v>
      </c>
      <c r="CL11" s="11">
        <v>-7.8392580151557922E-2</v>
      </c>
      <c r="CM11" s="12">
        <v>78.595924377441406</v>
      </c>
      <c r="CN11" s="12" t="s">
        <v>56</v>
      </c>
      <c r="CO11" s="12" t="s">
        <v>56</v>
      </c>
      <c r="CP11" s="12" t="s">
        <v>56</v>
      </c>
      <c r="CQ11" s="12" t="s">
        <v>56</v>
      </c>
      <c r="CR11">
        <v>2.6544116059670562</v>
      </c>
      <c r="CS11">
        <v>2.1344936389146807E-2</v>
      </c>
      <c r="CT11">
        <v>0.3198294243070362</v>
      </c>
      <c r="CU11" s="11">
        <v>1.2435790660480659</v>
      </c>
      <c r="CV11" s="12">
        <v>78.595924377441406</v>
      </c>
      <c r="CW11">
        <v>0.06</v>
      </c>
      <c r="CX11">
        <v>0.44147476456537493</v>
      </c>
      <c r="CY11">
        <v>2594932014.1272912</v>
      </c>
      <c r="CZ11">
        <v>1.2435790660480659</v>
      </c>
      <c r="DA11">
        <v>6.2259696894818722E-2</v>
      </c>
      <c r="DB11">
        <v>18400298381.396988</v>
      </c>
      <c r="DC11">
        <v>1.1814001127456626</v>
      </c>
      <c r="DD11">
        <v>7.889723648069797E-3</v>
      </c>
      <c r="DE11">
        <v>145201156732.56409</v>
      </c>
      <c r="DF11">
        <v>1.0943495781222981</v>
      </c>
      <c r="DG11">
        <v>7.8719752207337011E-4</v>
      </c>
      <c r="DH11">
        <v>1455285322777.2554</v>
      </c>
      <c r="DI11">
        <v>0.99486325283845278</v>
      </c>
      <c r="DJ11">
        <v>4.7236925498012163E-6</v>
      </c>
      <c r="DK11">
        <v>242521499424895.75</v>
      </c>
      <c r="DL11">
        <v>0.87050534623364606</v>
      </c>
      <c r="DM11">
        <v>1226000000</v>
      </c>
      <c r="DN11">
        <v>1.2435790660480659</v>
      </c>
      <c r="DO11">
        <v>1145597000</v>
      </c>
      <c r="DP11">
        <v>1104657360</v>
      </c>
      <c r="DQ11">
        <v>3031</v>
      </c>
      <c r="DR11">
        <v>-2.0541053818375397</v>
      </c>
      <c r="DS11">
        <v>-79.432659071318952</v>
      </c>
      <c r="DT11" s="13">
        <v>-0.21000000000000008</v>
      </c>
      <c r="DU11">
        <v>-0.42000000000000015</v>
      </c>
      <c r="DV11">
        <v>-0.63000000000000023</v>
      </c>
      <c r="DW11">
        <v>-2.1057999999999999</v>
      </c>
      <c r="DX11">
        <v>1.1242108280254719</v>
      </c>
      <c r="DY11">
        <v>-2.0226635056050957</v>
      </c>
      <c r="DZ11">
        <v>4731</v>
      </c>
      <c r="EA11">
        <v>-2.0016809136251137</v>
      </c>
      <c r="EB11">
        <v>2</v>
      </c>
      <c r="EC11">
        <v>9.5733276401935671E-2</v>
      </c>
      <c r="ED11">
        <v>0.44691147167662965</v>
      </c>
      <c r="EE11" s="14">
        <v>-8.0739099999999997</v>
      </c>
      <c r="EF11">
        <v>-8.1065100000000001</v>
      </c>
      <c r="EG11">
        <v>91.214210828025472</v>
      </c>
      <c r="EH11" t="s">
        <v>715</v>
      </c>
      <c r="EI11">
        <v>0</v>
      </c>
      <c r="EJ11">
        <v>0</v>
      </c>
      <c r="EK11" s="10">
        <v>45470</v>
      </c>
      <c r="EL11" s="15">
        <v>-3.85</v>
      </c>
      <c r="EM11" s="15">
        <v>-4.8899999999999997</v>
      </c>
      <c r="EN11" s="15">
        <v>-0.93</v>
      </c>
      <c r="EO11" s="15">
        <v>1.42</v>
      </c>
      <c r="EP11" s="15">
        <v>-3.26</v>
      </c>
    </row>
    <row r="12" spans="1:146" ht="96" x14ac:dyDescent="0.25">
      <c r="A12" s="8"/>
      <c r="B12" s="8"/>
      <c r="C12" s="7" t="str">
        <f>""&amp;CHAR(10)&amp;Basic_Fundamental_Information_Constructure(F12)&amp;CHAR(10)&amp;Basic_Fundamental_Information_Concatenate("")</f>
        <v xml:space="preserve">
市值48.236472亿, 利润168.16亿; PE19.82; 平均PE1.44; 平均PEG.01, PB.517; ROIC4.2133%; ROE5.3367%; 股利率1.5031%; 毛利10.2067%; 净利3.1167%; 上一年度营收增1055.67%, 利润增3838.17%; 当季营收增-91.81%, 利润增-97.21%; 过往5年营收增212.24%, 利润增760.81%
Income profile:
</v>
      </c>
      <c r="D12" t="s">
        <v>37</v>
      </c>
      <c r="E12" t="s">
        <v>214</v>
      </c>
      <c r="F12">
        <v>3.18</v>
      </c>
      <c r="G12">
        <v>0.32</v>
      </c>
      <c r="H12" t="s">
        <v>716</v>
      </c>
      <c r="I12">
        <v>4823647200</v>
      </c>
      <c r="J12">
        <v>19.82</v>
      </c>
      <c r="K12">
        <v>0.51700000000000002</v>
      </c>
      <c r="L12" t="s">
        <v>24</v>
      </c>
      <c r="M12" t="s">
        <v>717</v>
      </c>
      <c r="N12" t="s">
        <v>718</v>
      </c>
      <c r="O12" t="s">
        <v>719</v>
      </c>
      <c r="P12">
        <v>-2.77</v>
      </c>
      <c r="Q12" t="s">
        <v>720</v>
      </c>
      <c r="R12">
        <v>112981233</v>
      </c>
      <c r="S12" s="6">
        <v>5.8200000000000002E-2</v>
      </c>
      <c r="T12" t="s">
        <v>721</v>
      </c>
      <c r="U12">
        <v>1516870200</v>
      </c>
      <c r="V12">
        <v>1516870200</v>
      </c>
      <c r="W12">
        <v>1.66</v>
      </c>
      <c r="X12">
        <v>0.22</v>
      </c>
      <c r="Y12">
        <v>3.29</v>
      </c>
      <c r="Z12" t="s">
        <v>722</v>
      </c>
      <c r="AA12" t="s">
        <v>723</v>
      </c>
      <c r="AB12" t="s">
        <v>724</v>
      </c>
      <c r="AC12" t="s">
        <v>414</v>
      </c>
      <c r="AD12" t="s">
        <v>56</v>
      </c>
      <c r="AE12">
        <v>22802534</v>
      </c>
      <c r="AF12" t="s">
        <v>725</v>
      </c>
      <c r="AG12" t="s">
        <v>726</v>
      </c>
      <c r="AH12" t="s">
        <v>727</v>
      </c>
      <c r="AI12" t="s">
        <v>728</v>
      </c>
      <c r="AJ12" t="s">
        <v>729</v>
      </c>
      <c r="AK12" t="s">
        <v>342</v>
      </c>
      <c r="AL12" t="s">
        <v>730</v>
      </c>
      <c r="AM12" t="s">
        <v>56</v>
      </c>
      <c r="AN12" t="s">
        <v>330</v>
      </c>
      <c r="AO12" t="s">
        <v>731</v>
      </c>
      <c r="AP12" t="s">
        <v>732</v>
      </c>
      <c r="AQ12" t="s">
        <v>733</v>
      </c>
      <c r="AR12" t="s">
        <v>56</v>
      </c>
      <c r="AS12" t="s">
        <v>734</v>
      </c>
      <c r="AT12" t="s">
        <v>735</v>
      </c>
      <c r="AU12" t="s">
        <v>736</v>
      </c>
      <c r="AV12" t="s">
        <v>737</v>
      </c>
      <c r="AW12" t="s">
        <v>738</v>
      </c>
      <c r="AX12" t="s">
        <v>739</v>
      </c>
      <c r="AY12" t="s">
        <v>236</v>
      </c>
      <c r="AZ12" t="s">
        <v>143</v>
      </c>
      <c r="BA12" t="s">
        <v>71</v>
      </c>
      <c r="BB12" t="s">
        <v>145</v>
      </c>
      <c r="BC12" t="s">
        <v>740</v>
      </c>
      <c r="BD12" t="s">
        <v>237</v>
      </c>
      <c r="BE12" t="s">
        <v>144</v>
      </c>
      <c r="BF12" t="s">
        <v>72</v>
      </c>
      <c r="BG12" t="s">
        <v>146</v>
      </c>
      <c r="BH12" t="s">
        <v>741</v>
      </c>
      <c r="BI12" t="s">
        <v>742</v>
      </c>
      <c r="BJ12" t="s">
        <v>739</v>
      </c>
      <c r="BK12" t="s">
        <v>613</v>
      </c>
      <c r="BL12" t="s">
        <v>743</v>
      </c>
      <c r="BM12" t="s">
        <v>740</v>
      </c>
      <c r="BN12">
        <v>1.91</v>
      </c>
      <c r="BO12">
        <v>3.67</v>
      </c>
      <c r="BP12">
        <v>7.06</v>
      </c>
      <c r="BQ12">
        <v>2.44</v>
      </c>
      <c r="BR12">
        <v>4.6100000000000003</v>
      </c>
      <c r="BS12">
        <v>8.9600000000000009</v>
      </c>
      <c r="BT12" t="s">
        <v>744</v>
      </c>
      <c r="BU12" t="s">
        <v>24</v>
      </c>
      <c r="BV12">
        <v>7.38</v>
      </c>
      <c r="BW12">
        <v>10.01</v>
      </c>
      <c r="BX12">
        <v>13.23</v>
      </c>
      <c r="BY12">
        <v>1.62</v>
      </c>
      <c r="BZ12">
        <v>2.54</v>
      </c>
      <c r="CA12">
        <v>5.19</v>
      </c>
      <c r="CB12">
        <v>1.27</v>
      </c>
      <c r="CC12">
        <v>-12.45</v>
      </c>
      <c r="CD12" t="s">
        <v>745</v>
      </c>
      <c r="CE12" t="s">
        <v>345</v>
      </c>
      <c r="CF12" s="11">
        <v>-0.91811917308471824</v>
      </c>
      <c r="CG12" s="12">
        <v>-0.9721240481125093</v>
      </c>
      <c r="CH12" s="11">
        <v>10.556676864624023</v>
      </c>
      <c r="CI12" s="11">
        <v>1.8184227868914604E-2</v>
      </c>
      <c r="CJ12" s="11">
        <v>0.21083851158618927</v>
      </c>
      <c r="CK12" s="11">
        <v>-9.0922556817531586E-2</v>
      </c>
      <c r="CL12" s="11">
        <v>-8.2909941673278809E-2</v>
      </c>
      <c r="CM12" s="12">
        <v>38.381732940673828</v>
      </c>
      <c r="CN12" s="12">
        <v>-0.47153463959693909</v>
      </c>
      <c r="CO12" s="12">
        <v>0.16091954708099365</v>
      </c>
      <c r="CP12" s="12">
        <v>2.3529412224888802E-2</v>
      </c>
      <c r="CQ12" s="12">
        <v>-5.4242003709077835E-2</v>
      </c>
      <c r="CR12">
        <v>1.4366069294152686</v>
      </c>
      <c r="CS12">
        <v>6.7688697715538523E-3</v>
      </c>
      <c r="CT12">
        <v>1.5031446540880502</v>
      </c>
      <c r="CU12" s="11">
        <v>2.1223734211176635</v>
      </c>
      <c r="CV12" s="12">
        <v>7.6080810513347386</v>
      </c>
      <c r="CW12">
        <v>0.06</v>
      </c>
      <c r="CX12">
        <v>2.8094899009805822E-2</v>
      </c>
      <c r="CY12">
        <v>49533803254.259087</v>
      </c>
      <c r="CZ12">
        <v>2.1223734211176635</v>
      </c>
      <c r="DA12">
        <v>2.4352754180775277E-3</v>
      </c>
      <c r="DB12">
        <v>571453721279.13318</v>
      </c>
      <c r="DC12">
        <v>2.0162547500617802</v>
      </c>
      <c r="DD12">
        <v>1.3339834861679923E-4</v>
      </c>
      <c r="DE12">
        <v>10432267073992.443</v>
      </c>
      <c r="DF12">
        <v>1.867688610583544</v>
      </c>
      <c r="DG12">
        <v>4.4046168029898595E-6</v>
      </c>
      <c r="DH12">
        <v>315951934582674.25</v>
      </c>
      <c r="DI12">
        <v>1.697898736894131</v>
      </c>
      <c r="DJ12">
        <v>1.8778411462873559E-9</v>
      </c>
      <c r="DK12">
        <v>7.4108888430280666E+17</v>
      </c>
      <c r="DL12">
        <v>1.4856613947823643</v>
      </c>
      <c r="DM12">
        <v>16816000000</v>
      </c>
      <c r="DN12">
        <v>2.1223734211176635</v>
      </c>
      <c r="DO12">
        <v>1391647200</v>
      </c>
      <c r="DP12">
        <v>1967203900</v>
      </c>
      <c r="DQ12">
        <v>3084</v>
      </c>
      <c r="DR12">
        <v>-3.0404925942023819</v>
      </c>
      <c r="DS12">
        <v>-8.5802050994472481</v>
      </c>
      <c r="DT12" s="13">
        <v>-6.6666666666666714E-3</v>
      </c>
      <c r="DU12">
        <v>-0.1566666666666667</v>
      </c>
      <c r="DV12">
        <v>-0.16333333333333339</v>
      </c>
      <c r="DW12">
        <v>-2.1244999999999998</v>
      </c>
      <c r="DX12">
        <v>0.3178602803738329</v>
      </c>
      <c r="DY12">
        <v>-2.0146736049065419</v>
      </c>
      <c r="DZ12">
        <v>4461</v>
      </c>
      <c r="EA12">
        <v>-2.0018636339695393</v>
      </c>
      <c r="EB12">
        <v>2</v>
      </c>
      <c r="EC12">
        <v>1.6627724639853826E-2</v>
      </c>
      <c r="ED12">
        <v>0.14107996847719734</v>
      </c>
      <c r="EE12" s="14">
        <v>2.41E-2</v>
      </c>
      <c r="EF12">
        <v>2.41E-2</v>
      </c>
      <c r="EG12">
        <v>20.117860280373833</v>
      </c>
      <c r="EH12" t="s">
        <v>313</v>
      </c>
      <c r="EI12">
        <v>0</v>
      </c>
      <c r="EJ12">
        <v>0</v>
      </c>
      <c r="EK12" s="10">
        <v>45470</v>
      </c>
      <c r="EL12" s="15">
        <v>-0.85</v>
      </c>
      <c r="EM12" s="15">
        <v>-1.71</v>
      </c>
      <c r="EN12" s="15">
        <v>0.87</v>
      </c>
      <c r="EO12" s="15">
        <v>1.72</v>
      </c>
      <c r="EP12" s="15">
        <v>0</v>
      </c>
    </row>
    <row r="13" spans="1:146" ht="96" x14ac:dyDescent="0.25">
      <c r="A13" s="7"/>
      <c r="B13" s="7"/>
      <c r="C13" s="7" t="str">
        <f>""&amp;CHAR(10)&amp;Basic_Fundamental_Information_Constructure(F13)&amp;CHAR(10)&amp;Basic_Fundamental_Information_Concatenate("")</f>
        <v xml:space="preserve">
市值17.89401亿, 利润-1253.32万; PE13.44; 平均PE20.84; 平均PEG3.18, PB.71; ROIC4.3%; ROE4.3167%; 股利率2.2838%; 毛利18.4367%; 净利5.4967%; 上一年度营收增-77.89%, 利润增-109.72%; 当季营收增291.18%, 利润增992.59%; 过往5年营收增-6.55%, 利润增-4.79%
Income profile:
</v>
      </c>
      <c r="D13" t="s">
        <v>33</v>
      </c>
      <c r="E13" t="s">
        <v>10</v>
      </c>
      <c r="F13">
        <v>5.99</v>
      </c>
      <c r="G13">
        <v>1.53</v>
      </c>
      <c r="H13" t="s">
        <v>746</v>
      </c>
      <c r="I13">
        <v>1789401000</v>
      </c>
      <c r="J13">
        <v>13.44</v>
      </c>
      <c r="K13">
        <v>0.71</v>
      </c>
      <c r="L13" t="s">
        <v>24</v>
      </c>
      <c r="M13" t="s">
        <v>747</v>
      </c>
      <c r="N13" t="s">
        <v>748</v>
      </c>
      <c r="O13" t="s">
        <v>749</v>
      </c>
      <c r="P13">
        <v>-16.11</v>
      </c>
      <c r="Q13" t="s">
        <v>750</v>
      </c>
      <c r="R13">
        <v>22148764</v>
      </c>
      <c r="S13" s="6">
        <v>-0.1187</v>
      </c>
      <c r="T13" t="s">
        <v>751</v>
      </c>
      <c r="U13">
        <v>298731380</v>
      </c>
      <c r="V13">
        <v>298731380</v>
      </c>
      <c r="W13">
        <v>1.26</v>
      </c>
      <c r="X13">
        <v>0.17</v>
      </c>
      <c r="Y13">
        <v>4.59</v>
      </c>
      <c r="Z13" t="s">
        <v>752</v>
      </c>
      <c r="AA13" t="s">
        <v>433</v>
      </c>
      <c r="AB13" t="s">
        <v>753</v>
      </c>
      <c r="AC13" t="s">
        <v>754</v>
      </c>
      <c r="AD13" t="s">
        <v>56</v>
      </c>
      <c r="AE13">
        <v>3808942</v>
      </c>
      <c r="AF13" t="s">
        <v>75</v>
      </c>
      <c r="AG13" t="s">
        <v>755</v>
      </c>
      <c r="AH13" t="s">
        <v>756</v>
      </c>
      <c r="AI13" t="s">
        <v>757</v>
      </c>
      <c r="AJ13" t="s">
        <v>758</v>
      </c>
      <c r="AK13" t="s">
        <v>56</v>
      </c>
      <c r="AL13" t="s">
        <v>759</v>
      </c>
      <c r="AM13" t="s">
        <v>56</v>
      </c>
      <c r="AN13" t="s">
        <v>760</v>
      </c>
      <c r="AO13" t="s">
        <v>309</v>
      </c>
      <c r="AP13" t="s">
        <v>56</v>
      </c>
      <c r="AQ13" t="s">
        <v>306</v>
      </c>
      <c r="AR13" t="s">
        <v>56</v>
      </c>
      <c r="AS13" t="s">
        <v>761</v>
      </c>
      <c r="AT13" t="s">
        <v>762</v>
      </c>
      <c r="AU13" t="s">
        <v>763</v>
      </c>
      <c r="AV13" t="s">
        <v>764</v>
      </c>
      <c r="AW13" t="s">
        <v>765</v>
      </c>
      <c r="AX13" t="s">
        <v>766</v>
      </c>
      <c r="AY13" t="s">
        <v>238</v>
      </c>
      <c r="AZ13" t="s">
        <v>239</v>
      </c>
      <c r="BA13" t="s">
        <v>74</v>
      </c>
      <c r="BB13" t="s">
        <v>147</v>
      </c>
      <c r="BC13" t="s">
        <v>767</v>
      </c>
      <c r="BD13" t="s">
        <v>65</v>
      </c>
      <c r="BE13" t="s">
        <v>97</v>
      </c>
      <c r="BF13" t="s">
        <v>148</v>
      </c>
      <c r="BG13" t="s">
        <v>149</v>
      </c>
      <c r="BH13" t="s">
        <v>768</v>
      </c>
      <c r="BI13" t="s">
        <v>325</v>
      </c>
      <c r="BJ13" t="s">
        <v>766</v>
      </c>
      <c r="BK13" t="s">
        <v>325</v>
      </c>
      <c r="BL13" t="s">
        <v>769</v>
      </c>
      <c r="BM13" t="s">
        <v>767</v>
      </c>
      <c r="BN13">
        <v>3.4</v>
      </c>
      <c r="BO13">
        <v>5.28</v>
      </c>
      <c r="BP13">
        <v>4.22</v>
      </c>
      <c r="BQ13">
        <v>3.04</v>
      </c>
      <c r="BR13">
        <v>5.45</v>
      </c>
      <c r="BS13">
        <v>4.46</v>
      </c>
      <c r="BT13" t="s">
        <v>770</v>
      </c>
      <c r="BU13" t="s">
        <v>24</v>
      </c>
      <c r="BV13">
        <v>17.39</v>
      </c>
      <c r="BW13">
        <v>17.420000000000002</v>
      </c>
      <c r="BX13">
        <v>20.5</v>
      </c>
      <c r="BY13">
        <v>5.64</v>
      </c>
      <c r="BZ13">
        <v>5.52</v>
      </c>
      <c r="CA13">
        <v>5.33</v>
      </c>
      <c r="CB13">
        <v>1.18</v>
      </c>
      <c r="CC13">
        <v>-9.1</v>
      </c>
      <c r="CD13" t="s">
        <v>771</v>
      </c>
      <c r="CE13" t="s">
        <v>772</v>
      </c>
      <c r="CF13" s="11">
        <v>2.9117647058823528</v>
      </c>
      <c r="CG13" s="12">
        <v>9.9259144031595063</v>
      </c>
      <c r="CH13" s="11">
        <v>-0.77890878915786743</v>
      </c>
      <c r="CI13" s="11">
        <v>0.21463897824287415</v>
      </c>
      <c r="CJ13" s="11">
        <v>9.6529282629489899E-2</v>
      </c>
      <c r="CK13" s="11">
        <v>5.0113894045352936E-2</v>
      </c>
      <c r="CL13" s="11">
        <v>9.0006165206432343E-2</v>
      </c>
      <c r="CM13" s="12">
        <v>-1.0971566438674927</v>
      </c>
      <c r="CN13" s="12">
        <v>0.2772277295589447</v>
      </c>
      <c r="CO13" s="12">
        <v>-0.23484848439693451</v>
      </c>
      <c r="CP13" s="12">
        <v>0.33341145515441895</v>
      </c>
      <c r="CQ13" s="12">
        <v>0.48206889629364014</v>
      </c>
      <c r="CR13">
        <v>20.83704864148978</v>
      </c>
      <c r="CS13">
        <v>3.180059033391053</v>
      </c>
      <c r="CT13">
        <v>2.283806343906511</v>
      </c>
      <c r="CU13" s="11">
        <v>-6.5524093806743622E-2</v>
      </c>
      <c r="CV13" s="12">
        <v>-4.7859409451484682E-2</v>
      </c>
      <c r="CW13">
        <v>0.06</v>
      </c>
      <c r="CX13" t="s">
        <v>507</v>
      </c>
      <c r="CY13" t="s">
        <v>307</v>
      </c>
      <c r="CZ13">
        <v>-6.5524093806743622E-2</v>
      </c>
      <c r="DA13" t="s">
        <v>507</v>
      </c>
      <c r="DB13" t="s">
        <v>307</v>
      </c>
      <c r="DC13">
        <v>-6.2247889116406441E-2</v>
      </c>
      <c r="DD13" t="s">
        <v>507</v>
      </c>
      <c r="DE13" t="s">
        <v>307</v>
      </c>
      <c r="DF13">
        <v>-5.7661202549934384E-2</v>
      </c>
      <c r="DG13" t="s">
        <v>507</v>
      </c>
      <c r="DH13" t="s">
        <v>307</v>
      </c>
      <c r="DI13">
        <v>-5.2419275045394897E-2</v>
      </c>
      <c r="DJ13" t="s">
        <v>507</v>
      </c>
      <c r="DK13" t="s">
        <v>307</v>
      </c>
      <c r="DL13">
        <v>-4.5866865664720535E-2</v>
      </c>
      <c r="DM13">
        <v>-12533200</v>
      </c>
      <c r="DN13">
        <v>-6.5524093806743622E-2</v>
      </c>
      <c r="DO13">
        <v>-199599000</v>
      </c>
      <c r="DP13">
        <v>1333816800</v>
      </c>
      <c r="DQ13">
        <v>3122</v>
      </c>
      <c r="DR13">
        <v>2.9772887996890964</v>
      </c>
      <c r="DS13">
        <v>9.9737738126109914</v>
      </c>
      <c r="DT13" s="13">
        <v>-0.62333333333333341</v>
      </c>
      <c r="DU13">
        <v>-0.51666666666666672</v>
      </c>
      <c r="DV13">
        <v>-1.1400000000000001</v>
      </c>
      <c r="DW13">
        <v>-2.0910000000000002</v>
      </c>
      <c r="DX13">
        <v>0.32912514463834414</v>
      </c>
      <c r="DY13">
        <v>-2.0117503881620893</v>
      </c>
      <c r="DZ13">
        <v>5072</v>
      </c>
      <c r="EA13">
        <v>-2.0000873805773307</v>
      </c>
      <c r="EB13">
        <v>2</v>
      </c>
      <c r="EC13">
        <v>2.9286846263020645E-2</v>
      </c>
      <c r="ED13">
        <v>0.2268097847638236</v>
      </c>
      <c r="EE13" s="14">
        <v>-1.0427</v>
      </c>
      <c r="EF13">
        <v>-1.0133000000000001</v>
      </c>
      <c r="EG13">
        <v>20.129125144638344</v>
      </c>
      <c r="EH13" t="s">
        <v>450</v>
      </c>
      <c r="EI13">
        <v>0</v>
      </c>
      <c r="EJ13">
        <v>0</v>
      </c>
      <c r="EK13" s="10">
        <v>45470</v>
      </c>
      <c r="EL13" s="15">
        <v>0</v>
      </c>
      <c r="EM13" s="15">
        <v>-5.71</v>
      </c>
      <c r="EN13" s="15">
        <v>1.01</v>
      </c>
      <c r="EO13" s="15">
        <v>2</v>
      </c>
      <c r="EP13" s="15">
        <v>-2.94</v>
      </c>
    </row>
    <row r="14" spans="1:146" ht="96" x14ac:dyDescent="0.25">
      <c r="A14" s="7"/>
      <c r="B14" s="7"/>
      <c r="C14" s="7" t="str">
        <f>""&amp;CHAR(10)&amp;Basic_Fundamental_Information_Constructure(F14)&amp;CHAR(10)&amp;Basic_Fundamental_Information_Concatenate("")</f>
        <v xml:space="preserve">
市值48.884205亿, 利润1.92亿; PE; 平均PE22.34; 平均PEG.94, PB1.09; ROIC5.485%; ROE2.88%; 股利率0%; 毛利13.0867%; 净利2.8867%; 上一年度营收增-55.91%, 利润增-50.13%; 当季营收增189.38%, 利润增73.23%; 过往5年营收增23.88%, 利润增42.72%
Income profile:
</v>
      </c>
      <c r="D14" t="s">
        <v>29</v>
      </c>
      <c r="E14" t="s">
        <v>9</v>
      </c>
      <c r="F14">
        <v>2.67</v>
      </c>
      <c r="G14">
        <v>0</v>
      </c>
      <c r="H14" t="s">
        <v>773</v>
      </c>
      <c r="I14">
        <v>4888420500</v>
      </c>
      <c r="K14">
        <v>1.0900000000000001</v>
      </c>
      <c r="L14" t="s">
        <v>24</v>
      </c>
      <c r="M14" t="s">
        <v>774</v>
      </c>
      <c r="N14" t="s">
        <v>775</v>
      </c>
      <c r="O14" t="s">
        <v>776</v>
      </c>
      <c r="P14">
        <v>3.97</v>
      </c>
      <c r="Q14" t="s">
        <v>777</v>
      </c>
      <c r="R14">
        <v>42530140</v>
      </c>
      <c r="S14" s="6">
        <v>4.8239999999999998</v>
      </c>
      <c r="T14" t="s">
        <v>778</v>
      </c>
      <c r="U14">
        <v>1449663300</v>
      </c>
      <c r="V14">
        <v>1830869100</v>
      </c>
      <c r="W14">
        <v>1.73</v>
      </c>
      <c r="X14">
        <v>0.16</v>
      </c>
      <c r="Y14">
        <v>2.16</v>
      </c>
      <c r="Z14" t="s">
        <v>779</v>
      </c>
      <c r="AA14" t="s">
        <v>780</v>
      </c>
      <c r="AB14" t="s">
        <v>781</v>
      </c>
      <c r="AC14" t="s">
        <v>782</v>
      </c>
      <c r="AD14" t="s">
        <v>56</v>
      </c>
      <c r="AE14">
        <v>8783053</v>
      </c>
      <c r="AF14" t="s">
        <v>783</v>
      </c>
      <c r="AG14" t="s">
        <v>784</v>
      </c>
      <c r="AH14" t="s">
        <v>785</v>
      </c>
      <c r="AI14" t="s">
        <v>169</v>
      </c>
      <c r="AJ14" t="s">
        <v>786</v>
      </c>
      <c r="AK14" t="s">
        <v>56</v>
      </c>
      <c r="AL14" t="s">
        <v>787</v>
      </c>
      <c r="AM14" t="s">
        <v>56</v>
      </c>
      <c r="AN14" t="s">
        <v>788</v>
      </c>
      <c r="AO14" t="s">
        <v>789</v>
      </c>
      <c r="AP14" t="s">
        <v>790</v>
      </c>
      <c r="AQ14" t="s">
        <v>615</v>
      </c>
      <c r="AR14" t="s">
        <v>791</v>
      </c>
      <c r="AS14" t="s">
        <v>792</v>
      </c>
      <c r="AT14" t="s">
        <v>319</v>
      </c>
      <c r="AU14" t="s">
        <v>793</v>
      </c>
      <c r="AV14" t="s">
        <v>794</v>
      </c>
      <c r="AW14" t="s">
        <v>210</v>
      </c>
      <c r="AX14" t="s">
        <v>795</v>
      </c>
      <c r="AY14" t="s">
        <v>240</v>
      </c>
      <c r="AZ14" t="s">
        <v>241</v>
      </c>
      <c r="BA14" t="s">
        <v>77</v>
      </c>
      <c r="BB14" t="s">
        <v>150</v>
      </c>
      <c r="BC14" t="s">
        <v>796</v>
      </c>
      <c r="BD14" t="s">
        <v>213</v>
      </c>
      <c r="BE14" t="s">
        <v>162</v>
      </c>
      <c r="BF14" t="s">
        <v>78</v>
      </c>
      <c r="BG14" t="s">
        <v>90</v>
      </c>
      <c r="BH14" t="s">
        <v>797</v>
      </c>
      <c r="BI14" t="s">
        <v>798</v>
      </c>
      <c r="BJ14" t="s">
        <v>795</v>
      </c>
      <c r="BK14" t="s">
        <v>799</v>
      </c>
      <c r="BL14" t="s">
        <v>800</v>
      </c>
      <c r="BM14" t="s">
        <v>796</v>
      </c>
      <c r="BN14" t="s">
        <v>56</v>
      </c>
      <c r="BO14">
        <v>5.75</v>
      </c>
      <c r="BP14">
        <v>5.22</v>
      </c>
      <c r="BQ14">
        <v>-1.59</v>
      </c>
      <c r="BR14">
        <v>7.43</v>
      </c>
      <c r="BS14">
        <v>2.8</v>
      </c>
      <c r="BT14" t="s">
        <v>409</v>
      </c>
      <c r="BU14" t="s">
        <v>24</v>
      </c>
      <c r="BV14">
        <v>6.36</v>
      </c>
      <c r="BW14">
        <v>14.22</v>
      </c>
      <c r="BX14">
        <v>18.68</v>
      </c>
      <c r="BY14">
        <v>-2.56</v>
      </c>
      <c r="BZ14">
        <v>5.86</v>
      </c>
      <c r="CA14">
        <v>5.36</v>
      </c>
      <c r="CB14">
        <v>0.75</v>
      </c>
      <c r="CC14">
        <v>-10.4</v>
      </c>
      <c r="CD14" t="s">
        <v>801</v>
      </c>
      <c r="CE14" t="s">
        <v>802</v>
      </c>
      <c r="CF14" s="11">
        <v>1.8938356164383559</v>
      </c>
      <c r="CG14" s="12">
        <v>0.73226158570858346</v>
      </c>
      <c r="CH14" s="11">
        <v>-0.55911451578140259</v>
      </c>
      <c r="CI14" s="11">
        <v>9.2998102307319641E-2</v>
      </c>
      <c r="CJ14" s="11">
        <v>0.13850419223308563</v>
      </c>
      <c r="CK14" s="11">
        <v>1.5040460824966431</v>
      </c>
      <c r="CL14" s="11">
        <v>1.7647033557295799E-2</v>
      </c>
      <c r="CM14" s="12">
        <v>-0.50129872560501099</v>
      </c>
      <c r="CN14" s="12">
        <v>1.7697842121124268</v>
      </c>
      <c r="CO14" s="12">
        <v>-0.5628930926322937</v>
      </c>
      <c r="CP14" s="12">
        <v>0.87058824300765991</v>
      </c>
      <c r="CQ14" s="12">
        <v>0.55963301658630371</v>
      </c>
      <c r="CR14">
        <v>22.338555217060165</v>
      </c>
      <c r="CS14">
        <v>0.93538701247538203</v>
      </c>
      <c r="CT14">
        <v>0</v>
      </c>
      <c r="CU14" s="11">
        <v>0.2388161789625883</v>
      </c>
      <c r="CV14" s="12">
        <v>0.42716273069381716</v>
      </c>
      <c r="CW14">
        <v>0.06</v>
      </c>
      <c r="CX14">
        <v>12.707468316189475</v>
      </c>
      <c r="CY14">
        <v>224389345.62341219</v>
      </c>
      <c r="CZ14">
        <v>0.2388161789625883</v>
      </c>
      <c r="DA14">
        <v>3.6691103662609228</v>
      </c>
      <c r="DB14">
        <v>777142199.43342686</v>
      </c>
      <c r="DC14">
        <v>0.22687537001445887</v>
      </c>
      <c r="DD14">
        <v>1.5176621905790062</v>
      </c>
      <c r="DE14">
        <v>1878824232.2305923</v>
      </c>
      <c r="DF14">
        <v>0.21015823748707771</v>
      </c>
      <c r="DG14">
        <v>0.7400329085626417</v>
      </c>
      <c r="DH14">
        <v>3853099594.6359801</v>
      </c>
      <c r="DI14">
        <v>0.19105294317007065</v>
      </c>
      <c r="DJ14">
        <v>0.23254813947222466</v>
      </c>
      <c r="DK14">
        <v>12261635403.626057</v>
      </c>
      <c r="DL14">
        <v>0.16717132527381182</v>
      </c>
      <c r="DM14">
        <v>192000000</v>
      </c>
      <c r="DN14">
        <v>0.2388161789625883</v>
      </c>
      <c r="DO14">
        <v>2851420500</v>
      </c>
      <c r="DP14">
        <v>1152753199.9999995</v>
      </c>
      <c r="DQ14">
        <v>3178</v>
      </c>
      <c r="DR14">
        <v>1.6550194374757676</v>
      </c>
      <c r="DS14">
        <v>0.3050988550147663</v>
      </c>
      <c r="DT14" s="13">
        <v>-0.37333333333333335</v>
      </c>
      <c r="DU14">
        <v>0.77333333333333332</v>
      </c>
      <c r="DV14">
        <v>0.39999999999999997</v>
      </c>
      <c r="DW14">
        <v>-2.1040000000000001</v>
      </c>
      <c r="DX14">
        <v>0.32712680851063652</v>
      </c>
      <c r="DY14">
        <v>-2.0142611880851065</v>
      </c>
      <c r="DZ14">
        <v>1323</v>
      </c>
      <c r="EA14">
        <v>-2.01056890788225</v>
      </c>
      <c r="EB14">
        <v>2</v>
      </c>
      <c r="EC14">
        <v>1.7600821380403437E-2</v>
      </c>
      <c r="ED14">
        <v>0.12835434275448748</v>
      </c>
      <c r="EE14" s="14">
        <v>1.0482</v>
      </c>
      <c r="EF14">
        <v>1.0324</v>
      </c>
      <c r="EG14">
        <v>19.137126808510637</v>
      </c>
      <c r="EH14" t="s">
        <v>417</v>
      </c>
      <c r="EI14">
        <v>0</v>
      </c>
      <c r="EJ14">
        <v>1</v>
      </c>
      <c r="EK14" s="10">
        <v>45470</v>
      </c>
      <c r="EL14" s="15">
        <v>0.53</v>
      </c>
      <c r="EM14" s="15">
        <v>-2.64</v>
      </c>
      <c r="EN14" s="15">
        <v>1.63</v>
      </c>
      <c r="EO14" s="15">
        <v>1.33</v>
      </c>
      <c r="EP14" s="15">
        <v>-1.58</v>
      </c>
    </row>
    <row r="15" spans="1:146" ht="96" x14ac:dyDescent="0.25">
      <c r="A15" s="7"/>
      <c r="B15" s="7"/>
      <c r="C15" s="7" t="str">
        <f>""&amp;CHAR(10)&amp;Basic_Fundamental_Information_Constructure(F15)&amp;CHAR(10)&amp;Basic_Fundamental_Information_Concatenate("")</f>
        <v xml:space="preserve">
市值66.611553亿, 利润-3.44亿; PE12.41; 平均PE8.22; 平均PEG.68, PB.504; ROIC5.43%; ROE-2.1167%; 股利率.7383%; 毛利9.7633%; 净利-.6233%; 上一年度营收增-98.12%, 利润增84.75%; 当季营收增5551.69%, 利润增240.37%; 过往5年营收增-12.01%, 利润增-42.08%
Income profile:
</v>
      </c>
      <c r="D15" t="s">
        <v>38</v>
      </c>
      <c r="E15" t="s">
        <v>151</v>
      </c>
      <c r="F15">
        <v>1.49</v>
      </c>
      <c r="G15">
        <v>0.68</v>
      </c>
      <c r="H15" t="s">
        <v>803</v>
      </c>
      <c r="I15">
        <v>6661155300</v>
      </c>
      <c r="J15">
        <v>12.41</v>
      </c>
      <c r="K15">
        <v>0.504</v>
      </c>
      <c r="L15" t="s">
        <v>24</v>
      </c>
      <c r="M15" t="s">
        <v>804</v>
      </c>
      <c r="N15" t="s">
        <v>805</v>
      </c>
      <c r="O15" t="s">
        <v>806</v>
      </c>
      <c r="P15">
        <v>5</v>
      </c>
      <c r="Q15" t="s">
        <v>807</v>
      </c>
      <c r="R15">
        <v>39063252</v>
      </c>
      <c r="S15" s="6">
        <v>1.1140000000000001</v>
      </c>
      <c r="T15" t="s">
        <v>808</v>
      </c>
      <c r="U15">
        <v>4470574000</v>
      </c>
      <c r="V15">
        <v>4470574000</v>
      </c>
      <c r="W15">
        <v>3.49</v>
      </c>
      <c r="X15">
        <v>0.12</v>
      </c>
      <c r="Y15">
        <v>0.41</v>
      </c>
      <c r="Z15" t="s">
        <v>809</v>
      </c>
      <c r="AA15" t="s">
        <v>810</v>
      </c>
      <c r="AB15" t="s">
        <v>811</v>
      </c>
      <c r="AC15" t="s">
        <v>328</v>
      </c>
      <c r="AD15" t="s">
        <v>56</v>
      </c>
      <c r="AE15">
        <v>273715420</v>
      </c>
      <c r="AF15" t="s">
        <v>812</v>
      </c>
      <c r="AG15" t="s">
        <v>813</v>
      </c>
      <c r="AH15" t="s">
        <v>814</v>
      </c>
      <c r="AI15" t="s">
        <v>815</v>
      </c>
      <c r="AJ15" t="s">
        <v>816</v>
      </c>
      <c r="AK15" t="s">
        <v>817</v>
      </c>
      <c r="AL15" t="s">
        <v>818</v>
      </c>
      <c r="AM15" t="s">
        <v>56</v>
      </c>
      <c r="AN15" t="s">
        <v>819</v>
      </c>
      <c r="AO15" t="s">
        <v>820</v>
      </c>
      <c r="AP15" t="s">
        <v>226</v>
      </c>
      <c r="AQ15" t="s">
        <v>821</v>
      </c>
      <c r="AR15" t="s">
        <v>822</v>
      </c>
      <c r="AS15" t="s">
        <v>823</v>
      </c>
      <c r="AT15" t="s">
        <v>824</v>
      </c>
      <c r="AU15" t="s">
        <v>825</v>
      </c>
      <c r="AV15" t="s">
        <v>826</v>
      </c>
      <c r="AW15" t="s">
        <v>827</v>
      </c>
      <c r="AX15" t="s">
        <v>828</v>
      </c>
      <c r="AY15" t="s">
        <v>242</v>
      </c>
      <c r="AZ15" t="s">
        <v>152</v>
      </c>
      <c r="BA15" t="s">
        <v>79</v>
      </c>
      <c r="BB15" t="s">
        <v>154</v>
      </c>
      <c r="BC15" t="s">
        <v>829</v>
      </c>
      <c r="BD15" t="s">
        <v>243</v>
      </c>
      <c r="BE15" t="s">
        <v>153</v>
      </c>
      <c r="BF15" t="s">
        <v>80</v>
      </c>
      <c r="BG15" t="s">
        <v>155</v>
      </c>
      <c r="BH15" t="s">
        <v>830</v>
      </c>
      <c r="BI15" t="s">
        <v>317</v>
      </c>
      <c r="BJ15" t="s">
        <v>828</v>
      </c>
      <c r="BK15" t="s">
        <v>831</v>
      </c>
      <c r="BL15" t="s">
        <v>832</v>
      </c>
      <c r="BM15" t="s">
        <v>829</v>
      </c>
      <c r="BN15" t="s">
        <v>56</v>
      </c>
      <c r="BO15" t="s">
        <v>56</v>
      </c>
      <c r="BP15">
        <v>5.43</v>
      </c>
      <c r="BQ15">
        <v>-0.86</v>
      </c>
      <c r="BR15">
        <v>-14.76</v>
      </c>
      <c r="BS15">
        <v>9.27</v>
      </c>
      <c r="BT15" t="s">
        <v>833</v>
      </c>
      <c r="BU15" t="s">
        <v>24</v>
      </c>
      <c r="BV15">
        <v>9.8699999999999992</v>
      </c>
      <c r="BW15">
        <v>7.23</v>
      </c>
      <c r="BX15">
        <v>12.19</v>
      </c>
      <c r="BY15">
        <v>0.35</v>
      </c>
      <c r="BZ15">
        <v>-6.92</v>
      </c>
      <c r="CA15">
        <v>4.7</v>
      </c>
      <c r="CB15">
        <v>-0.67</v>
      </c>
      <c r="CC15">
        <v>-18.13</v>
      </c>
      <c r="CD15" t="s">
        <v>305</v>
      </c>
      <c r="CE15" t="s">
        <v>834</v>
      </c>
      <c r="CF15" s="11">
        <v>55.516949152542374</v>
      </c>
      <c r="CG15" s="12">
        <v>2.4037038021898258</v>
      </c>
      <c r="CH15" s="11">
        <v>-0.98121362924575806</v>
      </c>
      <c r="CI15" s="11">
        <v>2.9697518795728683E-2</v>
      </c>
      <c r="CJ15" s="11">
        <v>0.32296046614646912</v>
      </c>
      <c r="CK15" s="11">
        <v>7.435135543346405E-2</v>
      </c>
      <c r="CL15" s="11">
        <v>-4.6209979802370071E-2</v>
      </c>
      <c r="CM15" s="12">
        <v>0.84751772880554199</v>
      </c>
      <c r="CN15" s="12">
        <v>-2.4881267547607422</v>
      </c>
      <c r="CO15" s="12">
        <v>9.7755298018455505E-2</v>
      </c>
      <c r="CP15" s="12">
        <v>1.3950026594102383E-2</v>
      </c>
      <c r="CQ15" s="12">
        <v>-0.57490634918212891</v>
      </c>
      <c r="CR15">
        <v>8.2185753238741519</v>
      </c>
      <c r="CS15">
        <v>0.68440872849721457</v>
      </c>
      <c r="CT15">
        <v>0.73825503355704702</v>
      </c>
      <c r="CU15" s="11">
        <v>-0.12008285373449326</v>
      </c>
      <c r="CV15" s="12">
        <v>-0.42076201010495423</v>
      </c>
      <c r="CW15">
        <v>0.06</v>
      </c>
      <c r="CX15" t="e">
        <v>#VALUE!</v>
      </c>
      <c r="CY15" t="s">
        <v>307</v>
      </c>
      <c r="CZ15">
        <v>-0.12008285373449326</v>
      </c>
      <c r="DA15" t="e">
        <v>#VALUE!</v>
      </c>
      <c r="DB15" t="s">
        <v>307</v>
      </c>
      <c r="DC15">
        <v>-0.11407871104776859</v>
      </c>
      <c r="DD15" t="e">
        <v>#VALUE!</v>
      </c>
      <c r="DE15" t="s">
        <v>307</v>
      </c>
      <c r="DF15">
        <v>-0.10567291128635407</v>
      </c>
      <c r="DG15" t="e">
        <v>#VALUE!</v>
      </c>
      <c r="DH15" t="s">
        <v>307</v>
      </c>
      <c r="DI15">
        <v>-9.606628298759462E-2</v>
      </c>
      <c r="DJ15" t="e">
        <v>#VALUE!</v>
      </c>
      <c r="DK15" t="s">
        <v>307</v>
      </c>
      <c r="DL15">
        <v>-8.4057997614145272E-2</v>
      </c>
      <c r="DM15">
        <v>-344000000</v>
      </c>
      <c r="DN15">
        <v>-0.12008285373449326</v>
      </c>
      <c r="DO15">
        <v>29794155300</v>
      </c>
      <c r="DP15">
        <v>-15194267000</v>
      </c>
      <c r="DQ15">
        <v>3276</v>
      </c>
      <c r="DR15">
        <v>55.637032006276868</v>
      </c>
      <c r="DS15">
        <v>2.8244658122947799</v>
      </c>
      <c r="DT15" s="13">
        <v>-0.64</v>
      </c>
      <c r="DU15">
        <v>-0.46</v>
      </c>
      <c r="DV15">
        <v>-1.1000000000000001</v>
      </c>
      <c r="DW15">
        <v>-3.0240892857142856</v>
      </c>
      <c r="DX15">
        <v>0.30421855146124688</v>
      </c>
      <c r="DY15">
        <v>-3.0034741218914505</v>
      </c>
      <c r="DZ15">
        <v>871</v>
      </c>
      <c r="EA15">
        <v>-3.0028819574751191</v>
      </c>
      <c r="EB15">
        <v>3</v>
      </c>
      <c r="EC15">
        <v>5.0776477472467739E-2</v>
      </c>
      <c r="ED15">
        <v>0.35208006846548118</v>
      </c>
      <c r="EE15" s="14">
        <v>2.1198100000000002</v>
      </c>
      <c r="EF15">
        <v>1.0001100000000001</v>
      </c>
      <c r="EG15">
        <v>16.144218551461247</v>
      </c>
      <c r="EH15" t="s">
        <v>835</v>
      </c>
      <c r="EI15">
        <v>0</v>
      </c>
      <c r="EJ15">
        <v>1</v>
      </c>
      <c r="EK15" s="10">
        <v>45470</v>
      </c>
      <c r="EL15" s="15">
        <v>-2.4700000000000002</v>
      </c>
      <c r="EM15" s="15">
        <v>-0.49</v>
      </c>
      <c r="EN15" s="15">
        <v>0.62</v>
      </c>
      <c r="EO15" s="15">
        <v>1.6</v>
      </c>
      <c r="EP15" s="15">
        <v>-3.03</v>
      </c>
    </row>
    <row r="16" spans="1:146" ht="96" x14ac:dyDescent="0.25">
      <c r="A16" s="7"/>
      <c r="B16" s="7"/>
      <c r="C16" s="7" t="str">
        <f>""&amp;CHAR(10)&amp;Basic_Fundamental_Information_Constructure(F16)&amp;CHAR(10)&amp;Basic_Fundamental_Information_Concatenate("")</f>
        <v xml:space="preserve">
市值15.90367亿, 利润2.52亿; PE; 平均PE24.05; 平均PEG4.34, PB2.84; ROIC4.055%; ROE-.0867%; 股利率0%; 毛利8.5233%; 净利-.6833%; 上一年度营收增-34.88%, 利润增750.83%; 当季营收增35.63%, 利润增-129.32%; 过往5年营收增5.54%, 利润增-23.01%
Income profile:
</v>
      </c>
      <c r="D16" t="s">
        <v>40</v>
      </c>
      <c r="E16" t="s">
        <v>18</v>
      </c>
      <c r="F16">
        <v>8.99</v>
      </c>
      <c r="G16">
        <v>0.9</v>
      </c>
      <c r="H16" t="s">
        <v>836</v>
      </c>
      <c r="I16">
        <v>1590367000</v>
      </c>
      <c r="K16">
        <v>2.84</v>
      </c>
      <c r="L16" t="s">
        <v>24</v>
      </c>
      <c r="M16" t="s">
        <v>837</v>
      </c>
      <c r="N16" t="s">
        <v>838</v>
      </c>
      <c r="O16" t="s">
        <v>339</v>
      </c>
      <c r="P16">
        <v>-29.78</v>
      </c>
      <c r="Q16" t="s">
        <v>839</v>
      </c>
      <c r="R16">
        <v>-19269225</v>
      </c>
      <c r="S16" s="6">
        <v>-3.9950000000000001</v>
      </c>
      <c r="T16" t="s">
        <v>337</v>
      </c>
      <c r="U16">
        <v>176904000</v>
      </c>
      <c r="V16">
        <v>176904000</v>
      </c>
      <c r="W16">
        <v>4.5199999999999996</v>
      </c>
      <c r="X16">
        <v>0.14000000000000001</v>
      </c>
      <c r="Y16">
        <v>-5.44</v>
      </c>
      <c r="Z16" t="s">
        <v>182</v>
      </c>
      <c r="AA16" t="s">
        <v>636</v>
      </c>
      <c r="AB16" t="s">
        <v>840</v>
      </c>
      <c r="AC16" t="s">
        <v>841</v>
      </c>
      <c r="AD16" t="s">
        <v>56</v>
      </c>
      <c r="AE16">
        <v>11171929</v>
      </c>
      <c r="AF16" t="s">
        <v>842</v>
      </c>
      <c r="AG16" t="s">
        <v>843</v>
      </c>
      <c r="AH16" t="s">
        <v>844</v>
      </c>
      <c r="AI16" t="s">
        <v>845</v>
      </c>
      <c r="AJ16" t="s">
        <v>846</v>
      </c>
      <c r="AK16" t="s">
        <v>56</v>
      </c>
      <c r="AL16" t="s">
        <v>847</v>
      </c>
      <c r="AM16" t="s">
        <v>56</v>
      </c>
      <c r="AN16" t="s">
        <v>848</v>
      </c>
      <c r="AO16" t="s">
        <v>310</v>
      </c>
      <c r="AP16" t="s">
        <v>849</v>
      </c>
      <c r="AQ16" t="s">
        <v>850</v>
      </c>
      <c r="AR16" t="s">
        <v>851</v>
      </c>
      <c r="AS16" t="s">
        <v>852</v>
      </c>
      <c r="AT16" t="s">
        <v>853</v>
      </c>
      <c r="AU16" t="s">
        <v>854</v>
      </c>
      <c r="AV16" t="s">
        <v>855</v>
      </c>
      <c r="AW16" t="s">
        <v>856</v>
      </c>
      <c r="AX16" t="s">
        <v>857</v>
      </c>
      <c r="AY16" t="s">
        <v>244</v>
      </c>
      <c r="AZ16" t="s">
        <v>156</v>
      </c>
      <c r="BA16" t="s">
        <v>81</v>
      </c>
      <c r="BB16" t="s">
        <v>158</v>
      </c>
      <c r="BC16" t="s">
        <v>858</v>
      </c>
      <c r="BD16" t="s">
        <v>245</v>
      </c>
      <c r="BE16" t="s">
        <v>157</v>
      </c>
      <c r="BF16" t="s">
        <v>82</v>
      </c>
      <c r="BG16" t="s">
        <v>159</v>
      </c>
      <c r="BH16" t="s">
        <v>707</v>
      </c>
      <c r="BI16" t="s">
        <v>311</v>
      </c>
      <c r="BJ16" t="s">
        <v>857</v>
      </c>
      <c r="BK16" t="s">
        <v>859</v>
      </c>
      <c r="BL16" t="s">
        <v>860</v>
      </c>
      <c r="BM16" t="s">
        <v>858</v>
      </c>
      <c r="BN16" t="s">
        <v>56</v>
      </c>
      <c r="BO16">
        <v>3.86</v>
      </c>
      <c r="BP16">
        <v>4.25</v>
      </c>
      <c r="BQ16">
        <v>-9.4700000000000006</v>
      </c>
      <c r="BR16">
        <v>4.5999999999999996</v>
      </c>
      <c r="BS16">
        <v>4.6100000000000003</v>
      </c>
      <c r="BT16" t="s">
        <v>409</v>
      </c>
      <c r="BU16" t="s">
        <v>24</v>
      </c>
      <c r="BV16">
        <v>5.61</v>
      </c>
      <c r="BW16">
        <v>8.66</v>
      </c>
      <c r="BX16">
        <v>11.3</v>
      </c>
      <c r="BY16">
        <v>-4.68</v>
      </c>
      <c r="BZ16">
        <v>1.29</v>
      </c>
      <c r="CA16">
        <v>1.34</v>
      </c>
      <c r="CB16">
        <v>0.33</v>
      </c>
      <c r="CC16">
        <v>-7.61</v>
      </c>
      <c r="CD16" t="s">
        <v>861</v>
      </c>
      <c r="CE16" t="s">
        <v>862</v>
      </c>
      <c r="CF16" s="11">
        <v>0.35632183908045978</v>
      </c>
      <c r="CG16" s="12">
        <v>-1.2931839967135292</v>
      </c>
      <c r="CH16" s="11">
        <v>-0.34882712364196777</v>
      </c>
      <c r="CI16" s="11">
        <v>8.7387837469577789E-2</v>
      </c>
      <c r="CJ16" s="11">
        <v>0.13390465080738068</v>
      </c>
      <c r="CK16" s="11">
        <v>0.16614615917205811</v>
      </c>
      <c r="CL16" s="11">
        <v>0.23820583522319794</v>
      </c>
      <c r="CM16" s="12">
        <v>7.5082817077636719</v>
      </c>
      <c r="CN16" s="12">
        <v>4.5685313642024994E-2</v>
      </c>
      <c r="CO16" s="12">
        <v>1.2844805717468262</v>
      </c>
      <c r="CP16" s="12">
        <v>-9.0600185394287109</v>
      </c>
      <c r="CQ16" s="12">
        <v>-0.92900633811950684</v>
      </c>
      <c r="CR16">
        <v>24.052088734247185</v>
      </c>
      <c r="CS16">
        <v>4.3443967564944348</v>
      </c>
      <c r="CT16">
        <v>0</v>
      </c>
      <c r="CU16" s="11">
        <v>5.536347180604935E-2</v>
      </c>
      <c r="CV16" s="12">
        <v>-0.23011545687913895</v>
      </c>
      <c r="CW16">
        <v>0.06</v>
      </c>
      <c r="CX16">
        <v>12.066139408810251</v>
      </c>
      <c r="CY16">
        <v>250897731.03313625</v>
      </c>
      <c r="CZ16">
        <v>5.536347180604935E-2</v>
      </c>
      <c r="DA16">
        <v>4.0609256870144472</v>
      </c>
      <c r="DB16">
        <v>745486924.24502122</v>
      </c>
      <c r="DC16">
        <v>5.2595298215746877E-2</v>
      </c>
      <c r="DD16">
        <v>2.0782754232136242</v>
      </c>
      <c r="DE16">
        <v>1456672665.3192103</v>
      </c>
      <c r="DF16">
        <v>4.8719855189323431E-2</v>
      </c>
      <c r="DG16">
        <v>1.3029554149871183</v>
      </c>
      <c r="DH16">
        <v>2323461697.2906399</v>
      </c>
      <c r="DI16">
        <v>4.4290777444839481E-2</v>
      </c>
      <c r="DJ16">
        <v>0.73791292995832947</v>
      </c>
      <c r="DK16">
        <v>4102607336.3031569</v>
      </c>
      <c r="DL16">
        <v>3.8754430264234543E-2</v>
      </c>
      <c r="DM16">
        <v>252000000</v>
      </c>
      <c r="DN16">
        <v>5.536347180604935E-2</v>
      </c>
      <c r="DO16">
        <v>3027367000</v>
      </c>
      <c r="DP16">
        <v>-1347948379.9999998</v>
      </c>
      <c r="DQ16">
        <v>3468</v>
      </c>
      <c r="DR16">
        <v>0.30095836727441044</v>
      </c>
      <c r="DS16">
        <v>-1.0630685398343902</v>
      </c>
      <c r="DT16" s="13">
        <v>-0.39000000000000007</v>
      </c>
      <c r="DU16">
        <v>-1.1816666666666666</v>
      </c>
      <c r="DV16">
        <v>-1.5716666666666668</v>
      </c>
      <c r="DW16">
        <v>-2.0760999999999998</v>
      </c>
      <c r="DX16">
        <v>0.39574072373857416</v>
      </c>
      <c r="DY16">
        <v>-2.0133738690765055</v>
      </c>
      <c r="DZ16">
        <v>4625</v>
      </c>
      <c r="EA16">
        <v>-2.0012693398242867</v>
      </c>
      <c r="EB16">
        <v>2</v>
      </c>
      <c r="EC16">
        <v>3.0296658074435854E-2</v>
      </c>
      <c r="ED16">
        <v>0.17239406683851127</v>
      </c>
      <c r="EE16" s="14">
        <v>4.0831999999999997</v>
      </c>
      <c r="EF16">
        <v>4.0773000000000001</v>
      </c>
      <c r="EG16">
        <v>22.175740723738574</v>
      </c>
      <c r="EH16" t="s">
        <v>863</v>
      </c>
      <c r="EI16">
        <v>0</v>
      </c>
      <c r="EJ16">
        <v>0</v>
      </c>
      <c r="EK16" s="10">
        <v>45470</v>
      </c>
      <c r="EL16" s="15">
        <v>-3.06</v>
      </c>
      <c r="EM16" s="15">
        <v>-4.3099999999999996</v>
      </c>
      <c r="EN16" s="15">
        <v>0.6</v>
      </c>
      <c r="EO16" s="15">
        <v>1.19</v>
      </c>
      <c r="EP16" s="15">
        <v>-0.59</v>
      </c>
    </row>
    <row r="17" spans="1:146" ht="96" x14ac:dyDescent="0.25">
      <c r="A17" s="7"/>
      <c r="B17" s="7"/>
      <c r="C17" s="7" t="str">
        <f>""&amp;CHAR(10)&amp;Basic_Fundamental_Information_Constructure(F17)&amp;CHAR(10)&amp;Basic_Fundamental_Information_Concatenate("")</f>
        <v xml:space="preserve">
市值68.61719亿, 利润9858.94万; PE; 平均PE19.55; 平均PEG1.85, PB.805; ROIC3.69%; ROE3.87%; 股利率0%; 毛利13.0167%; 净利2.4967%; 上一年度营收增-89.31%, 利润增-84%; 当季营收增544.74%, 利润增37.39%; 过往5年营收增-10.58%, 利润增2.5%
Income profile:
</v>
      </c>
      <c r="D17" t="s">
        <v>27</v>
      </c>
      <c r="E17" t="s">
        <v>14</v>
      </c>
      <c r="F17">
        <v>3.81</v>
      </c>
      <c r="G17">
        <v>3.25</v>
      </c>
      <c r="H17" t="s">
        <v>864</v>
      </c>
      <c r="I17">
        <v>6861719000</v>
      </c>
      <c r="K17">
        <v>0.80500000000000005</v>
      </c>
      <c r="L17" t="s">
        <v>24</v>
      </c>
      <c r="M17" t="s">
        <v>865</v>
      </c>
      <c r="N17" t="s">
        <v>866</v>
      </c>
      <c r="O17" t="s">
        <v>867</v>
      </c>
      <c r="P17">
        <v>-22.31</v>
      </c>
      <c r="Q17" t="s">
        <v>868</v>
      </c>
      <c r="R17">
        <v>80843482</v>
      </c>
      <c r="S17" s="6">
        <v>-7.5999999999999998E-2</v>
      </c>
      <c r="T17" t="s">
        <v>869</v>
      </c>
      <c r="U17">
        <v>1778832200</v>
      </c>
      <c r="V17">
        <v>1800976100</v>
      </c>
      <c r="W17">
        <v>1.84</v>
      </c>
      <c r="X17">
        <v>0.12</v>
      </c>
      <c r="Y17">
        <v>4.16</v>
      </c>
      <c r="Z17" t="s">
        <v>870</v>
      </c>
      <c r="AA17" t="s">
        <v>871</v>
      </c>
      <c r="AB17" t="s">
        <v>872</v>
      </c>
      <c r="AC17" t="s">
        <v>873</v>
      </c>
      <c r="AD17" t="s">
        <v>56</v>
      </c>
      <c r="AE17">
        <v>31167077</v>
      </c>
      <c r="AF17" t="s">
        <v>874</v>
      </c>
      <c r="AG17" t="s">
        <v>875</v>
      </c>
      <c r="AH17" t="s">
        <v>876</v>
      </c>
      <c r="AI17" t="s">
        <v>338</v>
      </c>
      <c r="AJ17" t="s">
        <v>877</v>
      </c>
      <c r="AK17" t="s">
        <v>56</v>
      </c>
      <c r="AL17" t="s">
        <v>878</v>
      </c>
      <c r="AM17" t="s">
        <v>56</v>
      </c>
      <c r="AN17" t="s">
        <v>304</v>
      </c>
      <c r="AO17" t="s">
        <v>879</v>
      </c>
      <c r="AP17" t="s">
        <v>817</v>
      </c>
      <c r="AQ17" t="s">
        <v>880</v>
      </c>
      <c r="AR17" t="s">
        <v>881</v>
      </c>
      <c r="AS17" t="s">
        <v>882</v>
      </c>
      <c r="AT17" t="s">
        <v>883</v>
      </c>
      <c r="AU17" t="s">
        <v>884</v>
      </c>
      <c r="AV17" t="s">
        <v>885</v>
      </c>
      <c r="AW17" t="s">
        <v>886</v>
      </c>
      <c r="AX17" t="s">
        <v>887</v>
      </c>
      <c r="AY17" t="s">
        <v>246</v>
      </c>
      <c r="AZ17" t="s">
        <v>160</v>
      </c>
      <c r="BA17" t="s">
        <v>83</v>
      </c>
      <c r="BB17" t="s">
        <v>163</v>
      </c>
      <c r="BC17" t="s">
        <v>888</v>
      </c>
      <c r="BD17" t="s">
        <v>247</v>
      </c>
      <c r="BE17" t="s">
        <v>161</v>
      </c>
      <c r="BF17" t="s">
        <v>84</v>
      </c>
      <c r="BG17" t="s">
        <v>96</v>
      </c>
      <c r="BH17" t="s">
        <v>889</v>
      </c>
      <c r="BI17" t="s">
        <v>333</v>
      </c>
      <c r="BJ17" t="s">
        <v>887</v>
      </c>
      <c r="BK17" t="s">
        <v>890</v>
      </c>
      <c r="BL17" t="s">
        <v>891</v>
      </c>
      <c r="BM17" t="s">
        <v>888</v>
      </c>
      <c r="BN17">
        <v>2.09</v>
      </c>
      <c r="BO17">
        <v>5.57</v>
      </c>
      <c r="BP17">
        <v>3.41</v>
      </c>
      <c r="BQ17">
        <v>1.27</v>
      </c>
      <c r="BR17">
        <v>6.89</v>
      </c>
      <c r="BS17">
        <v>3.45</v>
      </c>
      <c r="BT17" t="s">
        <v>409</v>
      </c>
      <c r="BU17" t="s">
        <v>24</v>
      </c>
      <c r="BV17">
        <v>8.5299999999999994</v>
      </c>
      <c r="BW17">
        <v>15.41</v>
      </c>
      <c r="BX17">
        <v>15.11</v>
      </c>
      <c r="BY17">
        <v>-2.71</v>
      </c>
      <c r="BZ17">
        <v>6.35</v>
      </c>
      <c r="CA17">
        <v>3.85</v>
      </c>
      <c r="CB17">
        <v>3.81</v>
      </c>
      <c r="CC17">
        <v>-21.93</v>
      </c>
      <c r="CD17" t="s">
        <v>892</v>
      </c>
      <c r="CE17" t="s">
        <v>893</v>
      </c>
      <c r="CF17" s="11">
        <v>5.4473684210526327</v>
      </c>
      <c r="CG17" s="12">
        <v>0.37387042940948551</v>
      </c>
      <c r="CH17" s="11">
        <v>-0.89305800199508667</v>
      </c>
      <c r="CI17" s="11">
        <v>0.24789486825466156</v>
      </c>
      <c r="CJ17" s="11">
        <v>0.10146147012710571</v>
      </c>
      <c r="CK17" s="11">
        <v>1.4073154889047146E-3</v>
      </c>
      <c r="CL17" s="11">
        <v>1.3261040672659874E-2</v>
      </c>
      <c r="CM17" s="12">
        <v>-0.83995223045349121</v>
      </c>
      <c r="CN17" s="12">
        <v>1.0671141147613525</v>
      </c>
      <c r="CO17" s="12">
        <v>-0.28019323945045471</v>
      </c>
      <c r="CP17" s="12">
        <v>0.32268369197845459</v>
      </c>
      <c r="CQ17" s="12">
        <v>-0.14480873942375183</v>
      </c>
      <c r="CR17">
        <v>19.552869139633774</v>
      </c>
      <c r="CS17">
        <v>1.847980917668109</v>
      </c>
      <c r="CT17">
        <v>0</v>
      </c>
      <c r="CU17" s="11">
        <v>-0.10580666149035096</v>
      </c>
      <c r="CV17" s="12">
        <v>2.4968719482421874E-2</v>
      </c>
      <c r="CW17">
        <v>0.06</v>
      </c>
      <c r="CX17">
        <v>55.946369487997693</v>
      </c>
      <c r="CY17" t="s">
        <v>894</v>
      </c>
      <c r="CZ17">
        <v>-0.10580666149035096</v>
      </c>
      <c r="DA17">
        <v>18.648789829332564</v>
      </c>
      <c r="DB17" t="s">
        <v>895</v>
      </c>
      <c r="DC17">
        <v>-0.10051632841583341</v>
      </c>
      <c r="DD17">
        <v>9.3243949146662821</v>
      </c>
      <c r="DE17" t="s">
        <v>896</v>
      </c>
      <c r="DF17">
        <v>-9.3109862111508845E-2</v>
      </c>
      <c r="DG17">
        <v>5.5946369487997698</v>
      </c>
      <c r="DH17" t="s">
        <v>897</v>
      </c>
      <c r="DI17">
        <v>-8.464532919228078E-2</v>
      </c>
      <c r="DJ17">
        <v>2.7973184743998849</v>
      </c>
      <c r="DK17" t="s">
        <v>898</v>
      </c>
      <c r="DL17">
        <v>-7.4064663043245674E-2</v>
      </c>
      <c r="DM17">
        <v>98589400</v>
      </c>
      <c r="DN17">
        <v>-0.10580666149035096</v>
      </c>
      <c r="DO17">
        <v>5515719000</v>
      </c>
      <c r="DP17">
        <v>4007204800</v>
      </c>
      <c r="DQ17">
        <v>3588</v>
      </c>
      <c r="DR17">
        <v>5.5531750825429835</v>
      </c>
      <c r="DS17">
        <v>0.34890170992706365</v>
      </c>
      <c r="DT17" s="13">
        <v>-0.62333333333333341</v>
      </c>
      <c r="DU17">
        <v>-5.000000000000001E-2</v>
      </c>
      <c r="DV17">
        <v>-0.67333333333333345</v>
      </c>
      <c r="DW17">
        <v>6.1480186480186481</v>
      </c>
      <c r="DX17">
        <v>0.45246795932203526</v>
      </c>
      <c r="DY17">
        <v>6.0196077282446367</v>
      </c>
      <c r="DZ17">
        <v>3797</v>
      </c>
      <c r="EA17">
        <v>6.0050381501340917</v>
      </c>
      <c r="EB17">
        <v>6</v>
      </c>
      <c r="EC17">
        <v>4.3396522585724483E-2</v>
      </c>
      <c r="ED17">
        <v>0.32760012750863265</v>
      </c>
      <c r="EE17" s="14">
        <v>2.0121000000000002</v>
      </c>
      <c r="EF17">
        <v>2.0283000000000002</v>
      </c>
      <c r="EG17">
        <v>32.132467959322035</v>
      </c>
      <c r="EH17" t="s">
        <v>899</v>
      </c>
      <c r="EI17">
        <v>0</v>
      </c>
      <c r="EJ17">
        <v>0</v>
      </c>
      <c r="EK17" s="10">
        <v>45470</v>
      </c>
      <c r="EL17" s="15">
        <v>-1.1599999999999999</v>
      </c>
      <c r="EM17" s="15">
        <v>-3.17</v>
      </c>
      <c r="EN17" s="15">
        <v>0.09</v>
      </c>
      <c r="EO17" s="15">
        <v>1.29</v>
      </c>
      <c r="EP17" s="15">
        <v>1.62</v>
      </c>
    </row>
    <row r="18" spans="1:146" ht="156" x14ac:dyDescent="0.25">
      <c r="A18" s="7" t="s">
        <v>217</v>
      </c>
      <c r="B18" s="7" t="s">
        <v>218</v>
      </c>
      <c r="C18" s="7" t="str">
        <f>"公司的主营业务为机制纸的生产销售。公司的主要产品为书写纸、双胶纸、胶印书刊纸等文化纸产品和牛皮箱板纸等。"&amp;CHAR(10)&amp;Basic_Fundamental_Information_Constructure(F18)&amp;CHAR(10)&amp;Basic_Fundamental_Information_Concatenate("白纸板 125.08亿 76.85% 94.51% 28.20%
箱板纸 15.90亿 9.77% 1.32% 3.11%
文化纸 15.74亿 9.67% 2.04% 4.84%
石膏护面纸 5.25亿 3.22% 1.11% 7.92%")</f>
        <v>公司的主营业务为机制纸的生产销售。公司的主要产品为书写纸、双胶纸、胶印书刊纸等文化纸产品和牛皮箱板纸等。
市值63.09905亿, 利润8.51亿; PE8.1; 平均PE9.44; 平均PEG1.07, PB.932; ROIC8.6%; ROE9.1667%; 股利率.6231%; 毛利15.1367%; 净利4.23%; 上一年度营收增-45.49%, 利润增273.25%; 当季营收增69.61%, 利润增-53.02%; 过往5年营收增8.82%, 利润增153.18%
Income profile:
白纸板 125.08亿 76.85% 94.51% 28.20%
箱板纸 15.90亿 9.77% 1.32% 3.11%
文化纸 15.74亿 9.67% 2.04% 4.84%
石膏护面纸 5.25亿 3.22% 1.11% 7.92%</v>
      </c>
      <c r="D18" t="s">
        <v>39</v>
      </c>
      <c r="E18" t="s">
        <v>17</v>
      </c>
      <c r="F18">
        <v>4.72</v>
      </c>
      <c r="G18">
        <v>1.29</v>
      </c>
      <c r="H18" t="s">
        <v>900</v>
      </c>
      <c r="I18">
        <v>6309905000</v>
      </c>
      <c r="J18">
        <v>8.1</v>
      </c>
      <c r="K18">
        <v>0.93200000000000005</v>
      </c>
      <c r="L18" t="s">
        <v>24</v>
      </c>
      <c r="M18" t="s">
        <v>901</v>
      </c>
      <c r="N18" t="s">
        <v>902</v>
      </c>
      <c r="O18" t="s">
        <v>903</v>
      </c>
      <c r="P18">
        <v>5.69</v>
      </c>
      <c r="Q18" t="s">
        <v>904</v>
      </c>
      <c r="R18">
        <v>100528282</v>
      </c>
      <c r="S18" s="6">
        <v>1.202</v>
      </c>
      <c r="T18" t="s">
        <v>905</v>
      </c>
      <c r="U18">
        <v>1336844290</v>
      </c>
      <c r="V18">
        <v>1336844290</v>
      </c>
      <c r="W18">
        <v>3.46</v>
      </c>
      <c r="X18">
        <v>0.19</v>
      </c>
      <c r="Y18">
        <v>2.29</v>
      </c>
      <c r="Z18" t="s">
        <v>343</v>
      </c>
      <c r="AA18" t="s">
        <v>906</v>
      </c>
      <c r="AB18" t="s">
        <v>907</v>
      </c>
      <c r="AC18" t="s">
        <v>908</v>
      </c>
      <c r="AD18" t="s">
        <v>56</v>
      </c>
      <c r="AE18">
        <v>92905622</v>
      </c>
      <c r="AF18" t="s">
        <v>909</v>
      </c>
      <c r="AG18" t="s">
        <v>910</v>
      </c>
      <c r="AH18" t="s">
        <v>911</v>
      </c>
      <c r="AI18" t="s">
        <v>912</v>
      </c>
      <c r="AJ18" t="s">
        <v>913</v>
      </c>
      <c r="AK18" t="s">
        <v>56</v>
      </c>
      <c r="AL18" t="s">
        <v>914</v>
      </c>
      <c r="AM18" t="s">
        <v>56</v>
      </c>
      <c r="AN18" t="s">
        <v>915</v>
      </c>
      <c r="AO18" t="s">
        <v>916</v>
      </c>
      <c r="AP18" t="s">
        <v>917</v>
      </c>
      <c r="AQ18" t="s">
        <v>918</v>
      </c>
      <c r="AR18" t="s">
        <v>56</v>
      </c>
      <c r="AS18" t="s">
        <v>919</v>
      </c>
      <c r="AT18" t="s">
        <v>920</v>
      </c>
      <c r="AU18" t="s">
        <v>921</v>
      </c>
      <c r="AV18" t="s">
        <v>922</v>
      </c>
      <c r="AW18" t="s">
        <v>923</v>
      </c>
      <c r="AX18" t="s">
        <v>924</v>
      </c>
      <c r="AY18" t="s">
        <v>248</v>
      </c>
      <c r="AZ18" t="s">
        <v>164</v>
      </c>
      <c r="BA18" t="s">
        <v>86</v>
      </c>
      <c r="BB18" t="s">
        <v>167</v>
      </c>
      <c r="BC18" t="s">
        <v>925</v>
      </c>
      <c r="BD18" t="s">
        <v>249</v>
      </c>
      <c r="BE18" t="s">
        <v>165</v>
      </c>
      <c r="BF18" t="s">
        <v>87</v>
      </c>
      <c r="BG18" t="s">
        <v>168</v>
      </c>
      <c r="BH18" t="s">
        <v>926</v>
      </c>
      <c r="BI18" t="s">
        <v>927</v>
      </c>
      <c r="BJ18" t="s">
        <v>924</v>
      </c>
      <c r="BK18" t="s">
        <v>94</v>
      </c>
      <c r="BL18" t="s">
        <v>345</v>
      </c>
      <c r="BM18" t="s">
        <v>925</v>
      </c>
      <c r="BN18" t="s">
        <v>56</v>
      </c>
      <c r="BO18">
        <v>3.76</v>
      </c>
      <c r="BP18">
        <v>13.44</v>
      </c>
      <c r="BQ18">
        <v>-1.44</v>
      </c>
      <c r="BR18">
        <v>3.35</v>
      </c>
      <c r="BS18">
        <v>25.59</v>
      </c>
      <c r="BT18" t="s">
        <v>928</v>
      </c>
      <c r="BU18" t="s">
        <v>24</v>
      </c>
      <c r="BV18">
        <v>10.83</v>
      </c>
      <c r="BW18">
        <v>11.65</v>
      </c>
      <c r="BX18">
        <v>22.93</v>
      </c>
      <c r="BY18">
        <v>0.97</v>
      </c>
      <c r="BZ18">
        <v>1.24</v>
      </c>
      <c r="CA18">
        <v>10.48</v>
      </c>
      <c r="CB18">
        <v>-0.64</v>
      </c>
      <c r="CC18">
        <v>-19.05</v>
      </c>
      <c r="CD18" t="s">
        <v>929</v>
      </c>
      <c r="CE18" t="s">
        <v>930</v>
      </c>
      <c r="CF18" s="11">
        <v>0.69610489780177398</v>
      </c>
      <c r="CG18" s="12">
        <v>-0.53024167289719626</v>
      </c>
      <c r="CH18" s="11">
        <v>-0.45485237240791321</v>
      </c>
      <c r="CI18" s="11">
        <v>0.128164142370224</v>
      </c>
      <c r="CJ18" s="11">
        <v>0.16406805813312531</v>
      </c>
      <c r="CK18" s="11">
        <v>0.43552359938621521</v>
      </c>
      <c r="CL18" s="11">
        <v>0.1680058091878891</v>
      </c>
      <c r="CM18" s="12">
        <v>2.7324562072753906</v>
      </c>
      <c r="CN18" s="12">
        <v>-0.86635404825210571</v>
      </c>
      <c r="CO18" s="12">
        <v>1.0455635786056519</v>
      </c>
      <c r="CP18" s="12">
        <v>5.2238807678222656</v>
      </c>
      <c r="CQ18" s="12">
        <v>-0.4765625</v>
      </c>
      <c r="CR18">
        <v>9.4436093788974809</v>
      </c>
      <c r="CS18">
        <v>1.0709244208888535</v>
      </c>
      <c r="CT18">
        <v>0.62309322033898307</v>
      </c>
      <c r="CU18" s="11">
        <v>8.8181847333908076E-2</v>
      </c>
      <c r="CV18" s="12">
        <v>1.5317968010902405</v>
      </c>
      <c r="CW18">
        <v>0.06</v>
      </c>
      <c r="CX18">
        <v>17.224668368876905</v>
      </c>
      <c r="CY18">
        <v>873625237.81241107</v>
      </c>
      <c r="CZ18">
        <v>8.8181847333908076E-2</v>
      </c>
      <c r="DA18">
        <v>5.637535480232196</v>
      </c>
      <c r="DB18">
        <v>2669234642.1170931</v>
      </c>
      <c r="DC18">
        <v>8.3772754967212662E-2</v>
      </c>
      <c r="DD18">
        <v>2.7809453112180864</v>
      </c>
      <c r="DE18">
        <v>5411075485.4826117</v>
      </c>
      <c r="DF18">
        <v>7.7600025653839111E-2</v>
      </c>
      <c r="DG18">
        <v>1.6738827226364372</v>
      </c>
      <c r="DH18">
        <v>8989820371.8232441</v>
      </c>
      <c r="DI18">
        <v>7.0545477867126463E-2</v>
      </c>
      <c r="DJ18">
        <v>0.86910574882920744</v>
      </c>
      <c r="DK18">
        <v>17314239400.983578</v>
      </c>
      <c r="DL18">
        <v>6.172729313373565E-2</v>
      </c>
      <c r="DM18">
        <v>851000000</v>
      </c>
      <c r="DN18">
        <v>8.8181847333908076E-2</v>
      </c>
      <c r="DO18">
        <v>15047905000</v>
      </c>
      <c r="DP18">
        <v>-4047769000</v>
      </c>
      <c r="DQ18">
        <v>3590</v>
      </c>
      <c r="DR18">
        <v>0.60792305046786588</v>
      </c>
      <c r="DS18">
        <v>-2.0620384739874367</v>
      </c>
      <c r="DT18" s="13">
        <v>-0.25666666666666677</v>
      </c>
      <c r="DU18">
        <v>0.39333333333333337</v>
      </c>
      <c r="DV18">
        <v>0.1366666666666666</v>
      </c>
      <c r="DW18">
        <v>-3.0344940476190478</v>
      </c>
      <c r="DX18">
        <v>0.39011644444444582</v>
      </c>
      <c r="DY18">
        <v>-3.0058680047354498</v>
      </c>
      <c r="DZ18">
        <v>3607</v>
      </c>
      <c r="EA18">
        <v>-3.0017259512949863</v>
      </c>
      <c r="EB18">
        <v>3</v>
      </c>
      <c r="EC18">
        <v>2.8631756358102108E-2</v>
      </c>
      <c r="ED18">
        <v>0.16830681155843513</v>
      </c>
      <c r="EE18" s="14">
        <v>0.1167</v>
      </c>
      <c r="EF18">
        <v>0.09</v>
      </c>
      <c r="EG18">
        <v>22.170116444444446</v>
      </c>
      <c r="EH18" t="s">
        <v>313</v>
      </c>
      <c r="EI18">
        <v>0</v>
      </c>
      <c r="EJ18">
        <v>0</v>
      </c>
      <c r="EK18" s="10">
        <v>45470</v>
      </c>
      <c r="EL18" s="15">
        <v>1.0900000000000001</v>
      </c>
      <c r="EM18" s="15">
        <v>-5.12</v>
      </c>
      <c r="EN18" s="15">
        <v>1.99</v>
      </c>
      <c r="EO18" s="15">
        <v>4.18</v>
      </c>
      <c r="EP18" s="15">
        <v>-2.67</v>
      </c>
    </row>
    <row r="19" spans="1:146" ht="96" x14ac:dyDescent="0.25">
      <c r="A19" s="7"/>
      <c r="B19" s="7"/>
      <c r="C19" s="7" t="str">
        <f>""&amp;CHAR(10)&amp;Basic_Fundamental_Information_Constructure(F19)&amp;CHAR(10)&amp;Basic_Fundamental_Information_Concatenate("")</f>
        <v xml:space="preserve">
市值30.599981亿, 利润1.04亿; PE10.91; 平均PE14.75; 平均PEG4.27, PB1.37; ROIC9.6833%; ROE12.1233%; 股利率4.4586%; 毛利12.5533%; 净利10.05%; 上一年度营收增-47.25%, 利润增-38.1%; 当季营收增73.97%, 利润增199.1%; 过往5年营收增-3.46%, 利润增-8.73%
Income profile:
</v>
      </c>
      <c r="D19" t="s">
        <v>36</v>
      </c>
      <c r="E19" t="s">
        <v>13</v>
      </c>
      <c r="F19">
        <v>10.99</v>
      </c>
      <c r="G19">
        <v>1.95</v>
      </c>
      <c r="H19" t="s">
        <v>931</v>
      </c>
      <c r="I19">
        <v>3059998100</v>
      </c>
      <c r="J19">
        <v>10.91</v>
      </c>
      <c r="K19">
        <v>1.37</v>
      </c>
      <c r="L19" t="s">
        <v>24</v>
      </c>
      <c r="M19" t="s">
        <v>932</v>
      </c>
      <c r="N19" t="s">
        <v>933</v>
      </c>
      <c r="O19" t="s">
        <v>934</v>
      </c>
      <c r="P19">
        <v>1.19</v>
      </c>
      <c r="Q19" t="s">
        <v>935</v>
      </c>
      <c r="R19">
        <v>91214909</v>
      </c>
      <c r="S19" s="6">
        <v>0.1188</v>
      </c>
      <c r="T19" t="s">
        <v>658</v>
      </c>
      <c r="U19">
        <v>278434770</v>
      </c>
      <c r="V19">
        <v>278434770</v>
      </c>
      <c r="W19">
        <v>1.84</v>
      </c>
      <c r="X19">
        <v>0.14000000000000001</v>
      </c>
      <c r="Y19">
        <v>16.66</v>
      </c>
      <c r="Z19" t="s">
        <v>936</v>
      </c>
      <c r="AA19" t="s">
        <v>825</v>
      </c>
      <c r="AB19" t="s">
        <v>937</v>
      </c>
      <c r="AC19" t="s">
        <v>938</v>
      </c>
      <c r="AD19" t="s">
        <v>56</v>
      </c>
      <c r="AE19">
        <v>-1838448</v>
      </c>
      <c r="AF19" t="s">
        <v>939</v>
      </c>
      <c r="AG19" t="s">
        <v>56</v>
      </c>
      <c r="AH19" t="s">
        <v>940</v>
      </c>
      <c r="AI19" t="s">
        <v>941</v>
      </c>
      <c r="AJ19" t="s">
        <v>942</v>
      </c>
      <c r="AK19" t="s">
        <v>251</v>
      </c>
      <c r="AL19" t="s">
        <v>943</v>
      </c>
      <c r="AM19" t="s">
        <v>56</v>
      </c>
      <c r="AN19" t="s">
        <v>944</v>
      </c>
      <c r="AO19" t="s">
        <v>340</v>
      </c>
      <c r="AP19" t="s">
        <v>945</v>
      </c>
      <c r="AQ19" t="s">
        <v>191</v>
      </c>
      <c r="AR19" t="s">
        <v>946</v>
      </c>
      <c r="AS19" t="s">
        <v>947</v>
      </c>
      <c r="AT19" t="s">
        <v>56</v>
      </c>
      <c r="AU19" t="s">
        <v>948</v>
      </c>
      <c r="AV19" t="s">
        <v>949</v>
      </c>
      <c r="AW19" t="s">
        <v>950</v>
      </c>
      <c r="AX19" t="s">
        <v>951</v>
      </c>
      <c r="AY19" t="s">
        <v>250</v>
      </c>
      <c r="AZ19" t="s">
        <v>170</v>
      </c>
      <c r="BA19" t="s">
        <v>88</v>
      </c>
      <c r="BB19" t="s">
        <v>172</v>
      </c>
      <c r="BC19" t="s">
        <v>318</v>
      </c>
      <c r="BD19" t="s">
        <v>251</v>
      </c>
      <c r="BE19" t="s">
        <v>171</v>
      </c>
      <c r="BF19" t="s">
        <v>89</v>
      </c>
      <c r="BG19" t="s">
        <v>174</v>
      </c>
      <c r="BH19" t="s">
        <v>952</v>
      </c>
      <c r="BI19" t="s">
        <v>953</v>
      </c>
      <c r="BJ19" t="s">
        <v>951</v>
      </c>
      <c r="BK19" t="s">
        <v>341</v>
      </c>
      <c r="BL19" t="s">
        <v>954</v>
      </c>
      <c r="BM19" t="s">
        <v>318</v>
      </c>
      <c r="BN19">
        <v>7.73</v>
      </c>
      <c r="BO19">
        <v>7.32</v>
      </c>
      <c r="BP19">
        <v>14</v>
      </c>
      <c r="BQ19">
        <v>11.39</v>
      </c>
      <c r="BR19">
        <v>8.69</v>
      </c>
      <c r="BS19">
        <v>16.29</v>
      </c>
      <c r="BT19" t="s">
        <v>955</v>
      </c>
      <c r="BU19" t="s">
        <v>24</v>
      </c>
      <c r="BV19">
        <v>14.18</v>
      </c>
      <c r="BW19">
        <v>8.0399999999999991</v>
      </c>
      <c r="BX19">
        <v>15.44</v>
      </c>
      <c r="BY19">
        <v>11.81</v>
      </c>
      <c r="BZ19">
        <v>6.56</v>
      </c>
      <c r="CA19">
        <v>11.78</v>
      </c>
      <c r="CB19">
        <v>3.48</v>
      </c>
      <c r="CC19">
        <v>-5.91</v>
      </c>
      <c r="CD19" t="s">
        <v>956</v>
      </c>
      <c r="CE19" t="s">
        <v>957</v>
      </c>
      <c r="CF19" s="11">
        <v>0.73968253968253972</v>
      </c>
      <c r="CG19" s="12">
        <v>1.9910450222980063</v>
      </c>
      <c r="CH19" s="11">
        <v>-0.47249317169189453</v>
      </c>
      <c r="CI19" s="11">
        <v>6.1283640563488007E-2</v>
      </c>
      <c r="CJ19" s="11">
        <v>0.42477875947952271</v>
      </c>
      <c r="CK19" s="11">
        <v>1.13365538418293E-2</v>
      </c>
      <c r="CL19" s="11">
        <v>-0.19770222902297974</v>
      </c>
      <c r="CM19" s="12">
        <v>-0.380952388048172</v>
      </c>
      <c r="CN19" s="12">
        <v>-0.40845069289207458</v>
      </c>
      <c r="CO19" s="12">
        <v>0.22413793206214905</v>
      </c>
      <c r="CP19" s="12">
        <v>-6.8273089826107025E-2</v>
      </c>
      <c r="CQ19" s="12">
        <v>0.19711539149284363</v>
      </c>
      <c r="CR19">
        <v>14.746978795180723</v>
      </c>
      <c r="CS19">
        <v>4.2671533662049548</v>
      </c>
      <c r="CT19">
        <v>4.4585987261146496</v>
      </c>
      <c r="CU19" s="11">
        <v>-3.455928936600685E-2</v>
      </c>
      <c r="CV19" s="12">
        <v>-8.7284569442272184E-2</v>
      </c>
      <c r="CW19">
        <v>0.06</v>
      </c>
      <c r="CX19">
        <v>20.471135576923079</v>
      </c>
      <c r="CY19" t="s">
        <v>958</v>
      </c>
      <c r="CZ19">
        <v>-3.455928936600685E-2</v>
      </c>
      <c r="DA19">
        <v>6.8237118589743586</v>
      </c>
      <c r="DB19" t="s">
        <v>959</v>
      </c>
      <c r="DC19">
        <v>-3.2831324897706508E-2</v>
      </c>
      <c r="DD19">
        <v>3.4118559294871793</v>
      </c>
      <c r="DE19" t="s">
        <v>960</v>
      </c>
      <c r="DF19">
        <v>-3.0412174642086027E-2</v>
      </c>
      <c r="DG19">
        <v>2.0471135576923079</v>
      </c>
      <c r="DH19" t="s">
        <v>961</v>
      </c>
      <c r="DI19">
        <v>-2.7647431492805481E-2</v>
      </c>
      <c r="DJ19">
        <v>1.0235567788461539</v>
      </c>
      <c r="DK19" t="s">
        <v>962</v>
      </c>
      <c r="DL19">
        <v>-2.4191502556204794E-2</v>
      </c>
      <c r="DM19">
        <v>104000000</v>
      </c>
      <c r="DN19">
        <v>-3.455928936600685E-2</v>
      </c>
      <c r="DO19">
        <v>2128998100</v>
      </c>
      <c r="DP19">
        <v>1717603600</v>
      </c>
      <c r="DQ19">
        <v>3974</v>
      </c>
      <c r="DR19">
        <v>0.77424182904854655</v>
      </c>
      <c r="DS19">
        <v>2.0783295917402786</v>
      </c>
      <c r="DT19" s="13">
        <v>-0.57333333333333336</v>
      </c>
      <c r="DU19">
        <v>0.35666666666666669</v>
      </c>
      <c r="DV19">
        <v>-0.21666666666666667</v>
      </c>
      <c r="DW19">
        <v>6.3706070287539935</v>
      </c>
      <c r="DX19">
        <v>0.32161156083887665</v>
      </c>
      <c r="DY19">
        <v>6.0561883100872507</v>
      </c>
      <c r="DZ19">
        <v>1508</v>
      </c>
      <c r="EA19">
        <v>6.0396067109460425</v>
      </c>
      <c r="EB19">
        <v>6</v>
      </c>
      <c r="EC19">
        <v>3.4674907878782524E-2</v>
      </c>
      <c r="ED19">
        <v>0.22870886419824651</v>
      </c>
      <c r="EE19" s="14">
        <v>2.0773100000000002</v>
      </c>
      <c r="EF19">
        <v>2.0979100000000002</v>
      </c>
      <c r="EG19">
        <v>17.151611560838877</v>
      </c>
      <c r="EH19" t="s">
        <v>416</v>
      </c>
      <c r="EI19">
        <v>0</v>
      </c>
      <c r="EJ19">
        <v>0</v>
      </c>
      <c r="EK19" s="10">
        <v>45470</v>
      </c>
      <c r="EL19" s="15">
        <v>1.67</v>
      </c>
      <c r="EM19" s="15">
        <v>-4.7300000000000004</v>
      </c>
      <c r="EN19" s="15">
        <v>-1.64</v>
      </c>
      <c r="EO19" s="15">
        <v>4.05</v>
      </c>
      <c r="EP19" s="15">
        <v>-2.06</v>
      </c>
    </row>
    <row r="20" spans="1:146" ht="96" x14ac:dyDescent="0.25">
      <c r="A20" s="7"/>
      <c r="B20" s="7"/>
      <c r="C20" s="7" t="str">
        <f>""&amp;CHAR(10)&amp;Basic_Fundamental_Information_Constructure(F20)&amp;CHAR(10)&amp;Basic_Fundamental_Information_Concatenate("")</f>
        <v xml:space="preserve">
市值126.863807亿, 利润1.74亿; PE15.65; 平均PE22.72; 平均PEG.86, PB1.73; ROIC8.6367%; ROE11.2667%; 股利率1.9477%; 毛利14.37%; 净利11.3233%; 上一年度营收增61.23%, 利润增-75.49%; 当季营收增7.6%, 利润增917.55%; 过往5年营收增26.31%, 利润增9.96%
Income profile:
</v>
      </c>
      <c r="D20" t="s">
        <v>32</v>
      </c>
      <c r="E20" t="s">
        <v>11</v>
      </c>
      <c r="F20">
        <v>17.97</v>
      </c>
      <c r="G20">
        <v>-0.83</v>
      </c>
      <c r="H20" t="s">
        <v>963</v>
      </c>
      <c r="I20">
        <v>12686380700</v>
      </c>
      <c r="J20">
        <v>15.65</v>
      </c>
      <c r="K20">
        <v>1.73</v>
      </c>
      <c r="L20" t="s">
        <v>24</v>
      </c>
      <c r="M20" t="s">
        <v>964</v>
      </c>
      <c r="N20" t="s">
        <v>965</v>
      </c>
      <c r="O20" t="s">
        <v>966</v>
      </c>
      <c r="P20">
        <v>20.22</v>
      </c>
      <c r="Q20" t="s">
        <v>967</v>
      </c>
      <c r="R20">
        <v>268850590</v>
      </c>
      <c r="S20" s="6">
        <v>1.2010000000000001</v>
      </c>
      <c r="T20" t="s">
        <v>159</v>
      </c>
      <c r="U20">
        <v>705975550</v>
      </c>
      <c r="V20">
        <v>705975550</v>
      </c>
      <c r="W20">
        <v>2.68</v>
      </c>
      <c r="X20">
        <v>0.11</v>
      </c>
      <c r="Y20">
        <v>12.25</v>
      </c>
      <c r="Z20" t="s">
        <v>968</v>
      </c>
      <c r="AA20" t="s">
        <v>969</v>
      </c>
      <c r="AB20" t="s">
        <v>970</v>
      </c>
      <c r="AC20" t="s">
        <v>971</v>
      </c>
      <c r="AD20" t="s">
        <v>56</v>
      </c>
      <c r="AE20">
        <v>56283610</v>
      </c>
      <c r="AF20" t="s">
        <v>972</v>
      </c>
      <c r="AG20" t="s">
        <v>973</v>
      </c>
      <c r="AH20" t="s">
        <v>974</v>
      </c>
      <c r="AI20" t="s">
        <v>975</v>
      </c>
      <c r="AJ20" t="s">
        <v>976</v>
      </c>
      <c r="AK20" t="s">
        <v>977</v>
      </c>
      <c r="AL20" t="s">
        <v>978</v>
      </c>
      <c r="AM20" t="s">
        <v>56</v>
      </c>
      <c r="AN20" t="s">
        <v>979</v>
      </c>
      <c r="AO20" t="s">
        <v>980</v>
      </c>
      <c r="AP20" t="s">
        <v>981</v>
      </c>
      <c r="AQ20" t="s">
        <v>982</v>
      </c>
      <c r="AR20" t="s">
        <v>56</v>
      </c>
      <c r="AS20" t="s">
        <v>983</v>
      </c>
      <c r="AT20" t="s">
        <v>984</v>
      </c>
      <c r="AU20" t="s">
        <v>985</v>
      </c>
      <c r="AV20" t="s">
        <v>986</v>
      </c>
      <c r="AW20" t="s">
        <v>142</v>
      </c>
      <c r="AX20" t="s">
        <v>987</v>
      </c>
      <c r="AY20" t="s">
        <v>252</v>
      </c>
      <c r="AZ20" t="s">
        <v>175</v>
      </c>
      <c r="BA20" t="s">
        <v>91</v>
      </c>
      <c r="BB20" t="s">
        <v>177</v>
      </c>
      <c r="BC20" t="s">
        <v>988</v>
      </c>
      <c r="BD20" t="s">
        <v>253</v>
      </c>
      <c r="BE20" t="s">
        <v>176</v>
      </c>
      <c r="BF20" t="s">
        <v>92</v>
      </c>
      <c r="BG20" t="s">
        <v>178</v>
      </c>
      <c r="BH20" t="s">
        <v>989</v>
      </c>
      <c r="BI20" t="s">
        <v>990</v>
      </c>
      <c r="BJ20" t="s">
        <v>987</v>
      </c>
      <c r="BK20" t="s">
        <v>991</v>
      </c>
      <c r="BL20" t="s">
        <v>992</v>
      </c>
      <c r="BM20" t="s">
        <v>988</v>
      </c>
      <c r="BN20">
        <v>4.26</v>
      </c>
      <c r="BO20">
        <v>7.92</v>
      </c>
      <c r="BP20">
        <v>13.73</v>
      </c>
      <c r="BQ20">
        <v>5.4</v>
      </c>
      <c r="BR20">
        <v>10.68</v>
      </c>
      <c r="BS20">
        <v>17.72</v>
      </c>
      <c r="BT20" t="s">
        <v>411</v>
      </c>
      <c r="BU20" t="s">
        <v>24</v>
      </c>
      <c r="BV20">
        <v>11.62</v>
      </c>
      <c r="BW20">
        <v>11.51</v>
      </c>
      <c r="BX20">
        <v>19.98</v>
      </c>
      <c r="BY20">
        <v>7.8</v>
      </c>
      <c r="BZ20">
        <v>9.24</v>
      </c>
      <c r="CA20">
        <v>16.93</v>
      </c>
      <c r="CB20">
        <v>2.2200000000000002</v>
      </c>
      <c r="CC20">
        <v>-6.99</v>
      </c>
      <c r="CD20" t="s">
        <v>993</v>
      </c>
      <c r="CE20" t="s">
        <v>994</v>
      </c>
      <c r="CF20" s="11">
        <v>7.5986361422308815E-2</v>
      </c>
      <c r="CG20" s="12">
        <v>9.1755246713825596</v>
      </c>
      <c r="CH20" s="11">
        <v>0.61230295896530151</v>
      </c>
      <c r="CI20" s="11">
        <v>0.28602293133735657</v>
      </c>
      <c r="CJ20" s="11">
        <v>0.24241176247596741</v>
      </c>
      <c r="CK20" s="11">
        <v>6.0433488339185715E-2</v>
      </c>
      <c r="CL20" s="11">
        <v>0.11444611847400665</v>
      </c>
      <c r="CM20" s="12">
        <v>-0.75492960214614868</v>
      </c>
      <c r="CN20" s="12">
        <v>-0.30186823010444641</v>
      </c>
      <c r="CO20" s="12">
        <v>0.4184100329875946</v>
      </c>
      <c r="CP20" s="12">
        <v>0.62954545021057129</v>
      </c>
      <c r="CQ20" s="12">
        <v>0.50684928894042969</v>
      </c>
      <c r="CR20">
        <v>22.721875880597015</v>
      </c>
      <c r="CS20">
        <v>0.8635443064819126</v>
      </c>
      <c r="CT20">
        <v>1.9476905954368393</v>
      </c>
      <c r="CU20" s="11">
        <v>0.26312345191836356</v>
      </c>
      <c r="CV20" s="12">
        <v>9.9601387977600098E-2</v>
      </c>
      <c r="CW20">
        <v>0.06</v>
      </c>
      <c r="CX20">
        <v>79.869531101150415</v>
      </c>
      <c r="CY20">
        <v>207342906.25829741</v>
      </c>
      <c r="CZ20">
        <v>0.26312345191836356</v>
      </c>
      <c r="DA20">
        <v>22.609405461977882</v>
      </c>
      <c r="DB20">
        <v>732455381.36106694</v>
      </c>
      <c r="DC20">
        <v>0.24996727932244536</v>
      </c>
      <c r="DD20">
        <v>9.0825232388815724</v>
      </c>
      <c r="DE20">
        <v>1823323790.5856717</v>
      </c>
      <c r="DF20">
        <v>0.23154863768815995</v>
      </c>
      <c r="DG20">
        <v>4.2685317336360038</v>
      </c>
      <c r="DH20">
        <v>3879643337.1935134</v>
      </c>
      <c r="DI20">
        <v>0.21049876153469085</v>
      </c>
      <c r="DJ20">
        <v>1.2219363766629534</v>
      </c>
      <c r="DK20">
        <v>13552571980.241364</v>
      </c>
      <c r="DL20">
        <v>0.18418641634285449</v>
      </c>
      <c r="DM20">
        <v>174000000</v>
      </c>
      <c r="DN20">
        <v>0.26312345191836356</v>
      </c>
      <c r="DO20">
        <v>16560380700</v>
      </c>
      <c r="DP20">
        <v>2475505200</v>
      </c>
      <c r="DQ20">
        <v>4287</v>
      </c>
      <c r="DR20">
        <v>-0.18713709049605476</v>
      </c>
      <c r="DS20">
        <v>9.0759232834049595</v>
      </c>
      <c r="DT20" s="13">
        <v>0.17666666666666667</v>
      </c>
      <c r="DU20">
        <v>-1.666666666666668E-2</v>
      </c>
      <c r="DV20">
        <v>0.15999999999999998</v>
      </c>
      <c r="DW20">
        <v>-2.0699000000000001</v>
      </c>
      <c r="DX20">
        <v>0.39876080357225785</v>
      </c>
      <c r="DY20">
        <v>-2.013194380169701</v>
      </c>
      <c r="DZ20">
        <v>2258</v>
      </c>
      <c r="EA20">
        <v>-2.0073640650183928</v>
      </c>
      <c r="EB20">
        <v>2</v>
      </c>
      <c r="EC20">
        <v>2.3041166227357308E-2</v>
      </c>
      <c r="ED20">
        <v>0.12206541713802978</v>
      </c>
      <c r="EE20" s="14">
        <v>-1.0524</v>
      </c>
      <c r="EF20">
        <v>-1.024</v>
      </c>
      <c r="EG20">
        <v>21.188760803572258</v>
      </c>
      <c r="EH20" t="s">
        <v>450</v>
      </c>
      <c r="EI20">
        <v>0</v>
      </c>
      <c r="EJ20">
        <v>0</v>
      </c>
      <c r="EK20" s="10">
        <v>45470</v>
      </c>
      <c r="EL20" s="15">
        <v>-0.53</v>
      </c>
      <c r="EM20" s="15">
        <v>-1.63</v>
      </c>
      <c r="EN20" s="15">
        <v>2.59</v>
      </c>
      <c r="EO20" s="15">
        <v>-2.27</v>
      </c>
      <c r="EP20" s="15">
        <v>-2.84</v>
      </c>
    </row>
    <row r="21" spans="1:146" ht="96" x14ac:dyDescent="0.25">
      <c r="A21" s="7"/>
      <c r="B21" s="7"/>
      <c r="C21" s="7" t="str">
        <f>""&amp;CHAR(10)&amp;Basic_Fundamental_Information_Constructure(F21)&amp;CHAR(10)&amp;Basic_Fundamental_Information_Concatenate("")</f>
        <v xml:space="preserve">
市值39.108615亿, 利润5.74亿; PE; 平均PE41.35; 平均PEG.3, PB6.14; ROIC.86%; ROE-15.7733%; 股利率0%; 毛利-7.2967%; 净利-21.33%; 上一年度营收增628.34%, 利润增307.22%; 当季营收增-90.31%, 利润增-116.18%; 过往5年营收增137.2%, 利润增-604.56%
Income profile:
</v>
      </c>
      <c r="D21" t="s">
        <v>28</v>
      </c>
      <c r="E21" t="s">
        <v>254</v>
      </c>
      <c r="F21">
        <v>19.11</v>
      </c>
      <c r="G21">
        <v>0</v>
      </c>
      <c r="H21" t="s">
        <v>995</v>
      </c>
      <c r="I21">
        <v>3910861500</v>
      </c>
      <c r="K21">
        <v>6.14</v>
      </c>
      <c r="L21" t="s">
        <v>24</v>
      </c>
      <c r="M21" t="s">
        <v>996</v>
      </c>
      <c r="N21" t="s">
        <v>59</v>
      </c>
      <c r="O21" t="s">
        <v>997</v>
      </c>
      <c r="P21">
        <v>19.02</v>
      </c>
      <c r="Q21" t="s">
        <v>998</v>
      </c>
      <c r="R21">
        <v>-22491398</v>
      </c>
      <c r="S21" s="6">
        <v>0.13539999999999999</v>
      </c>
      <c r="T21" t="s">
        <v>999</v>
      </c>
      <c r="U21">
        <v>204650000</v>
      </c>
      <c r="V21">
        <v>204650000</v>
      </c>
      <c r="W21">
        <v>2.29</v>
      </c>
      <c r="X21">
        <v>0.1</v>
      </c>
      <c r="Y21">
        <v>-15.74</v>
      </c>
      <c r="Z21" t="s">
        <v>315</v>
      </c>
      <c r="AA21" t="s">
        <v>323</v>
      </c>
      <c r="AB21" t="s">
        <v>1000</v>
      </c>
      <c r="AC21" t="s">
        <v>1001</v>
      </c>
      <c r="AD21" t="s">
        <v>56</v>
      </c>
      <c r="AE21">
        <v>7102897</v>
      </c>
      <c r="AF21" t="s">
        <v>75</v>
      </c>
      <c r="AG21" t="s">
        <v>1002</v>
      </c>
      <c r="AH21" t="s">
        <v>1003</v>
      </c>
      <c r="AI21" t="s">
        <v>1004</v>
      </c>
      <c r="AJ21" t="s">
        <v>1005</v>
      </c>
      <c r="AK21" t="s">
        <v>1006</v>
      </c>
      <c r="AL21" t="s">
        <v>1007</v>
      </c>
      <c r="AM21" t="s">
        <v>56</v>
      </c>
      <c r="AN21" t="s">
        <v>1008</v>
      </c>
      <c r="AO21" t="s">
        <v>335</v>
      </c>
      <c r="AP21" t="s">
        <v>56</v>
      </c>
      <c r="AQ21" t="s">
        <v>316</v>
      </c>
      <c r="AR21" t="s">
        <v>56</v>
      </c>
      <c r="AS21" t="s">
        <v>1009</v>
      </c>
      <c r="AT21" t="s">
        <v>1010</v>
      </c>
      <c r="AU21" t="s">
        <v>1011</v>
      </c>
      <c r="AV21" t="s">
        <v>1012</v>
      </c>
      <c r="AW21" t="s">
        <v>1013</v>
      </c>
      <c r="AX21" t="s">
        <v>1014</v>
      </c>
      <c r="AY21" t="s">
        <v>255</v>
      </c>
      <c r="AZ21" t="s">
        <v>179</v>
      </c>
      <c r="BA21" t="s">
        <v>93</v>
      </c>
      <c r="BB21" t="s">
        <v>181</v>
      </c>
      <c r="BC21" t="s">
        <v>1015</v>
      </c>
      <c r="BD21" t="s">
        <v>256</v>
      </c>
      <c r="BE21" t="s">
        <v>180</v>
      </c>
      <c r="BF21" t="s">
        <v>183</v>
      </c>
      <c r="BG21" t="s">
        <v>184</v>
      </c>
      <c r="BH21" t="s">
        <v>1016</v>
      </c>
      <c r="BI21" t="s">
        <v>1017</v>
      </c>
      <c r="BJ21" t="s">
        <v>1014</v>
      </c>
      <c r="BK21" t="s">
        <v>1018</v>
      </c>
      <c r="BL21" t="s">
        <v>213</v>
      </c>
      <c r="BM21" t="s">
        <v>1015</v>
      </c>
      <c r="BN21" t="s">
        <v>56</v>
      </c>
      <c r="BO21" t="s">
        <v>56</v>
      </c>
      <c r="BP21">
        <v>0.86</v>
      </c>
      <c r="BQ21">
        <v>-21.37</v>
      </c>
      <c r="BR21">
        <v>-26.7</v>
      </c>
      <c r="BS21">
        <v>0.75</v>
      </c>
      <c r="BT21" t="s">
        <v>409</v>
      </c>
      <c r="BU21" t="s">
        <v>24</v>
      </c>
      <c r="BV21">
        <v>-12.57</v>
      </c>
      <c r="BW21">
        <v>-20.190000000000001</v>
      </c>
      <c r="BX21">
        <v>10.87</v>
      </c>
      <c r="BY21">
        <v>-35.61</v>
      </c>
      <c r="BZ21">
        <v>-29.87</v>
      </c>
      <c r="CA21">
        <v>1.49</v>
      </c>
      <c r="CB21">
        <v>-0.05</v>
      </c>
      <c r="CC21">
        <v>-53.61</v>
      </c>
      <c r="CD21" t="s">
        <v>1019</v>
      </c>
      <c r="CE21" t="s">
        <v>415</v>
      </c>
      <c r="CF21" s="11">
        <v>-0.90311653116531165</v>
      </c>
      <c r="CG21" s="12">
        <v>-1.161808618705036</v>
      </c>
      <c r="CH21" s="11">
        <v>6.2834053039550781</v>
      </c>
      <c r="CI21" s="11">
        <v>0.55443888902664185</v>
      </c>
      <c r="CJ21" s="11">
        <v>0.19639278948307037</v>
      </c>
      <c r="CK21" s="11">
        <v>-0.14408233761787415</v>
      </c>
      <c r="CL21" s="11">
        <v>-2.9950082302093506E-2</v>
      </c>
      <c r="CM21" s="12">
        <v>3.072202205657959</v>
      </c>
      <c r="CN21" s="12">
        <v>-32.215488433837891</v>
      </c>
      <c r="CO21" s="12">
        <v>-0.88417428731918335</v>
      </c>
      <c r="CP21" s="12">
        <v>-0.14910970628261566</v>
      </c>
      <c r="CQ21" s="12">
        <v>-5.1302175968885422E-2</v>
      </c>
      <c r="CR21">
        <v>41.353095617748941</v>
      </c>
      <c r="CS21">
        <v>0.30139841487765223</v>
      </c>
      <c r="CT21">
        <v>0</v>
      </c>
      <c r="CU21" s="11">
        <v>1.3720409125089645</v>
      </c>
      <c r="CV21" s="12">
        <v>-6.0455744795501234</v>
      </c>
      <c r="CW21">
        <v>0.06</v>
      </c>
      <c r="CX21">
        <v>3.1918390466839961</v>
      </c>
      <c r="CY21">
        <v>1284482531.8680618</v>
      </c>
      <c r="CZ21">
        <v>1.3720409125089645</v>
      </c>
      <c r="DA21">
        <v>0.41631485512452726</v>
      </c>
      <c r="DB21">
        <v>9847982721.5717716</v>
      </c>
      <c r="DC21">
        <v>1.3034388668835162</v>
      </c>
      <c r="DD21">
        <v>4.6089521357995024E-2</v>
      </c>
      <c r="DE21">
        <v>88954308467.532135</v>
      </c>
      <c r="DF21">
        <v>1.2073960030078887</v>
      </c>
      <c r="DG21">
        <v>3.8406742868393961E-3</v>
      </c>
      <c r="DH21">
        <v>1067484820061.0879</v>
      </c>
      <c r="DI21">
        <v>1.0976327300071718</v>
      </c>
      <c r="DJ21">
        <v>1.4964219715450973E-5</v>
      </c>
      <c r="DK21">
        <v>273977633178346</v>
      </c>
      <c r="DL21">
        <v>0.96042863875627515</v>
      </c>
      <c r="DM21">
        <v>574000000</v>
      </c>
      <c r="DN21">
        <v>1.3720409125089645</v>
      </c>
      <c r="DO21">
        <v>4099861500</v>
      </c>
      <c r="DP21">
        <v>-436822100</v>
      </c>
      <c r="DQ21">
        <v>4343</v>
      </c>
      <c r="DR21">
        <v>-2.2751574436742761</v>
      </c>
      <c r="DS21">
        <v>4.8837658608450871</v>
      </c>
      <c r="DT21" s="13">
        <v>0.14333333333333331</v>
      </c>
      <c r="DU21">
        <v>-1.5816666666666668</v>
      </c>
      <c r="DV21">
        <v>-1.4383333333333335</v>
      </c>
      <c r="DW21">
        <v>-3.4253511904761904</v>
      </c>
      <c r="DX21">
        <v>0.31050026178010498</v>
      </c>
      <c r="DY21">
        <v>-3.05125492980086</v>
      </c>
      <c r="DZ21">
        <v>3034</v>
      </c>
      <c r="EA21">
        <v>-3.0208229421265331</v>
      </c>
      <c r="EB21">
        <v>3</v>
      </c>
      <c r="EC21">
        <v>0.22492597117029073</v>
      </c>
      <c r="ED21">
        <v>1.866601514781334</v>
      </c>
      <c r="EE21" s="14">
        <v>-3.0539000000000001</v>
      </c>
      <c r="EF21">
        <v>-3.0255000000000001</v>
      </c>
      <c r="EG21">
        <v>19.120500261780105</v>
      </c>
      <c r="EH21" t="s">
        <v>1020</v>
      </c>
      <c r="EI21">
        <v>0</v>
      </c>
      <c r="EJ21">
        <v>0</v>
      </c>
      <c r="EK21" s="10">
        <v>45470</v>
      </c>
      <c r="EL21" s="15">
        <v>-0.95</v>
      </c>
      <c r="EM21" s="15">
        <v>-1.72</v>
      </c>
      <c r="EN21" s="15">
        <v>0.19</v>
      </c>
      <c r="EO21" s="15">
        <v>2.92</v>
      </c>
      <c r="EP21" s="15">
        <v>-2.84</v>
      </c>
    </row>
    <row r="22" spans="1:146" ht="132" x14ac:dyDescent="0.25">
      <c r="A22" s="7" t="s">
        <v>413</v>
      </c>
      <c r="B22" s="7"/>
      <c r="C22" s="7" t="str">
        <f>"公司为国内大型特种纸研发和生产企业之一。主营业务为特种纸的研发、生产和销售。公司生产的产品按下游应用可划分为食品包装纸、格拉辛纸、描图纸，转移印花纸以及文化纸五大系列。"&amp;CHAR(10)&amp;Basic_Fundamental_Information_Constructure(F22)&amp;CHAR(10)&amp;Basic_Fundamental_Information_Concatenate("")</f>
        <v xml:space="preserve">公司为国内大型特种纸研发和生产企业之一。主营业务为特种纸的研发、生产和销售。公司生产的产品按下游应用可划分为食品包装纸、格拉辛纸、描图纸，转移印花纸以及文化纸五大系列。
市值51.012275亿, 利润9500.95万; PE11.69; 平均PE21.97; 平均PEG2.35, PB2.12; ROIC7.4233%; ROE11.9533%; 股利率1.7419%; 毛利11.8833%; 净利6.0733%; 上一年度营收增-76.25%, 利润增-53.65%; 当季营收增360.27%, 利润增74.82%; 过往5年营收增9.36%, 利润增.98%
Income profile:
</v>
      </c>
      <c r="D22" t="s">
        <v>185</v>
      </c>
      <c r="E22" t="s">
        <v>186</v>
      </c>
      <c r="F22">
        <v>12.63</v>
      </c>
      <c r="G22">
        <v>1.36</v>
      </c>
      <c r="H22" t="s">
        <v>1021</v>
      </c>
      <c r="I22">
        <v>5101227500</v>
      </c>
      <c r="J22">
        <v>11.69</v>
      </c>
      <c r="K22">
        <v>2.12</v>
      </c>
      <c r="L22" t="s">
        <v>24</v>
      </c>
      <c r="M22" t="s">
        <v>1022</v>
      </c>
      <c r="N22" t="s">
        <v>1023</v>
      </c>
      <c r="O22" t="s">
        <v>1024</v>
      </c>
      <c r="P22">
        <v>37.17</v>
      </c>
      <c r="Q22" t="s">
        <v>1025</v>
      </c>
      <c r="R22">
        <v>133822620</v>
      </c>
      <c r="S22" s="6">
        <v>5.4880000000000004</v>
      </c>
      <c r="T22" t="s">
        <v>1026</v>
      </c>
      <c r="U22">
        <v>400558660</v>
      </c>
      <c r="V22">
        <v>403897660</v>
      </c>
      <c r="W22">
        <v>3.18</v>
      </c>
      <c r="X22">
        <v>0.22</v>
      </c>
      <c r="Y22">
        <v>7.82</v>
      </c>
      <c r="Z22" t="s">
        <v>1027</v>
      </c>
      <c r="AA22" t="s">
        <v>1028</v>
      </c>
      <c r="AB22" t="s">
        <v>1029</v>
      </c>
      <c r="AC22" t="s">
        <v>1030</v>
      </c>
      <c r="AD22" t="s">
        <v>56</v>
      </c>
      <c r="AE22">
        <v>29947225</v>
      </c>
      <c r="AF22" t="s">
        <v>1031</v>
      </c>
      <c r="AG22" t="s">
        <v>1032</v>
      </c>
      <c r="AH22" t="s">
        <v>1033</v>
      </c>
      <c r="AI22" t="s">
        <v>1034</v>
      </c>
      <c r="AJ22" t="s">
        <v>1035</v>
      </c>
      <c r="AK22" t="s">
        <v>1036</v>
      </c>
      <c r="AL22" t="s">
        <v>1037</v>
      </c>
      <c r="AM22" t="s">
        <v>56</v>
      </c>
      <c r="AN22" t="s">
        <v>1038</v>
      </c>
      <c r="AO22" t="s">
        <v>173</v>
      </c>
      <c r="AP22" t="s">
        <v>247</v>
      </c>
      <c r="AQ22" t="s">
        <v>1039</v>
      </c>
      <c r="AR22" t="s">
        <v>56</v>
      </c>
      <c r="AS22" t="s">
        <v>1040</v>
      </c>
      <c r="AT22" t="s">
        <v>1041</v>
      </c>
      <c r="AU22" t="s">
        <v>316</v>
      </c>
      <c r="AV22" t="s">
        <v>1042</v>
      </c>
      <c r="AW22" t="s">
        <v>576</v>
      </c>
      <c r="AX22" t="s">
        <v>1043</v>
      </c>
      <c r="AY22" t="s">
        <v>257</v>
      </c>
      <c r="AZ22" t="s">
        <v>187</v>
      </c>
      <c r="BA22" t="s">
        <v>189</v>
      </c>
      <c r="BB22" t="s">
        <v>190</v>
      </c>
      <c r="BC22" t="s">
        <v>1044</v>
      </c>
      <c r="BD22" t="s">
        <v>258</v>
      </c>
      <c r="BE22" t="s">
        <v>188</v>
      </c>
      <c r="BF22" t="s">
        <v>191</v>
      </c>
      <c r="BG22" t="s">
        <v>66</v>
      </c>
      <c r="BH22" t="s">
        <v>1045</v>
      </c>
      <c r="BI22" t="s">
        <v>182</v>
      </c>
      <c r="BJ22" t="s">
        <v>1043</v>
      </c>
      <c r="BK22" t="s">
        <v>314</v>
      </c>
      <c r="BL22" t="s">
        <v>1046</v>
      </c>
      <c r="BM22" t="s">
        <v>1044</v>
      </c>
      <c r="BN22">
        <v>3.06</v>
      </c>
      <c r="BO22">
        <v>6.23</v>
      </c>
      <c r="BP22">
        <v>12.98</v>
      </c>
      <c r="BQ22">
        <v>4.79</v>
      </c>
      <c r="BR22">
        <v>9.5500000000000007</v>
      </c>
      <c r="BS22">
        <v>21.52</v>
      </c>
      <c r="BT22" t="s">
        <v>1047</v>
      </c>
      <c r="BU22" t="s">
        <v>24</v>
      </c>
      <c r="BV22">
        <v>9.59</v>
      </c>
      <c r="BW22">
        <v>8.7799999999999994</v>
      </c>
      <c r="BX22">
        <v>17.28</v>
      </c>
      <c r="BY22">
        <v>4.21</v>
      </c>
      <c r="BZ22">
        <v>3.44</v>
      </c>
      <c r="CA22">
        <v>10.57</v>
      </c>
      <c r="CB22">
        <v>0</v>
      </c>
      <c r="CC22">
        <v>-14.55</v>
      </c>
      <c r="CD22" t="s">
        <v>1048</v>
      </c>
      <c r="CE22" t="s">
        <v>1049</v>
      </c>
      <c r="CF22" s="11">
        <v>3.6026666666666673</v>
      </c>
      <c r="CG22" s="12">
        <v>0.74823664353496933</v>
      </c>
      <c r="CH22" s="11">
        <v>-0.76249581575393677</v>
      </c>
      <c r="CI22" s="11">
        <v>0.61571818590164185</v>
      </c>
      <c r="CJ22" s="11">
        <v>0.40037941932678223</v>
      </c>
      <c r="CK22" s="11">
        <v>0.10900676250457764</v>
      </c>
      <c r="CL22" s="11">
        <v>0.10563056170940399</v>
      </c>
      <c r="CM22" s="12">
        <v>-0.53653901815414429</v>
      </c>
      <c r="CN22" s="12">
        <v>-0.47435897588729858</v>
      </c>
      <c r="CO22" s="12">
        <v>0.15044248104095459</v>
      </c>
      <c r="CP22" s="12">
        <v>0.7035176157951355</v>
      </c>
      <c r="CQ22" s="12">
        <v>0.20606060326099396</v>
      </c>
      <c r="CR22">
        <v>21.972115050184509</v>
      </c>
      <c r="CS22">
        <v>2.3462494276805654</v>
      </c>
      <c r="CT22">
        <v>1.7418844022169437</v>
      </c>
      <c r="CU22" s="11">
        <v>9.3647822737693787E-2</v>
      </c>
      <c r="CV22" s="12">
        <v>9.8245412111282356E-3</v>
      </c>
      <c r="CW22">
        <v>0.06</v>
      </c>
      <c r="CX22">
        <v>79.369498517786326</v>
      </c>
      <c r="CY22">
        <v>98025408.315468788</v>
      </c>
      <c r="CZ22">
        <v>9.3647822737693787E-2</v>
      </c>
      <c r="DA22">
        <v>25.857250563324456</v>
      </c>
      <c r="DB22">
        <v>300891522.89978427</v>
      </c>
      <c r="DC22">
        <v>8.8965431600809095E-2</v>
      </c>
      <c r="DD22">
        <v>12.676400793018583</v>
      </c>
      <c r="DE22">
        <v>613756824.75146198</v>
      </c>
      <c r="DF22">
        <v>8.2410084009170534E-2</v>
      </c>
      <c r="DG22">
        <v>7.5769208732842932</v>
      </c>
      <c r="DH22">
        <v>1026832354.4769422</v>
      </c>
      <c r="DI22">
        <v>7.4918258190155032E-2</v>
      </c>
      <c r="DJ22">
        <v>3.8740890256776974</v>
      </c>
      <c r="DK22">
        <v>2008272770.3034647</v>
      </c>
      <c r="DL22">
        <v>6.5553475916385648E-2</v>
      </c>
      <c r="DM22">
        <v>95009500</v>
      </c>
      <c r="DN22">
        <v>9.3647822737693787E-2</v>
      </c>
      <c r="DO22">
        <v>7780227500</v>
      </c>
      <c r="DP22">
        <v>-973064300</v>
      </c>
      <c r="DQ22">
        <v>4431</v>
      </c>
      <c r="DR22">
        <v>3.5090188439289736</v>
      </c>
      <c r="DS22">
        <v>0.73841210232384114</v>
      </c>
      <c r="DT22" s="13">
        <v>-0.34</v>
      </c>
      <c r="DU22">
        <v>0.59</v>
      </c>
      <c r="DV22">
        <v>0.24999999999999994</v>
      </c>
      <c r="DW22">
        <v>-2.1455000000000002</v>
      </c>
      <c r="DX22">
        <v>0.39931440761725967</v>
      </c>
      <c r="DY22">
        <v>-2.0202702463083111</v>
      </c>
      <c r="DZ22">
        <v>3075</v>
      </c>
      <c r="EA22">
        <v>-2.0080723975024291</v>
      </c>
      <c r="EB22">
        <v>2</v>
      </c>
      <c r="EC22">
        <v>1.7623771328608342E-2</v>
      </c>
      <c r="ED22">
        <v>0.12650358013958288</v>
      </c>
      <c r="EE22" s="14">
        <v>-2.0428999999999999</v>
      </c>
      <c r="EF22">
        <v>-2.0238</v>
      </c>
      <c r="EG22">
        <v>26.13931440761726</v>
      </c>
      <c r="EH22" t="s">
        <v>1050</v>
      </c>
      <c r="EI22">
        <v>0</v>
      </c>
      <c r="EJ22">
        <v>0</v>
      </c>
      <c r="EK22" s="10">
        <v>45470</v>
      </c>
      <c r="EL22" s="15">
        <v>1.53</v>
      </c>
      <c r="EM22" s="15">
        <v>-3.37</v>
      </c>
      <c r="EN22" s="15">
        <v>-1.1100000000000001</v>
      </c>
      <c r="EO22" s="15">
        <v>2.17</v>
      </c>
      <c r="EP22" s="15">
        <v>-1.91</v>
      </c>
    </row>
    <row r="23" spans="1:146" ht="252" x14ac:dyDescent="0.25">
      <c r="A23" s="7" t="s">
        <v>219</v>
      </c>
      <c r="B23" s="7"/>
      <c r="C23" s="7" t="str">
        <f>"公司是国内高档装饰原纸研发、生产的领军企业。目前，装饰原纸的应用领域已从传统家装领域中的地板、木门、墙板、衣柜、橱柜等一系列应用中，扩展到室外装修、广告、飞机、高铁、医院、实验室等公共场所，已逐步成为装饰材料行业中应用最广泛的材料之一；"&amp;CHAR(10)&amp;Basic_Fundamental_Information_Constructure(F23)&amp;CHAR(10)&amp;Basic_Fundamental_Information_Concatenate("装饰原纸 13.06亿 80.99% 利润比例95.61% 毛利28.99%
木浆贸易 2.96亿 18.35% 利润比例3.57% 毛利4.78%
其他业务 1061.15万 0.66% 利润比例0.81% 毛利30.30%")</f>
        <v>公司是国内高档装饰原纸研发、生产的领军企业。目前，装饰原纸的应用领域已从传统家装领域中的地板、木门、墙板、衣柜、橱柜等一系列应用中，扩展到室外装修、广告、飞机、高铁、医院、实验室等公共场所，已逐步成为装饰材料行业中应用最广泛的材料之一；
市值61.206157亿, 利润1.06亿; PE10.11; 平均PE23.27; 平均PEG9.99, PB1.47; ROIC13.2267%; ROE14.5667%; 股利率8.3523%; 毛利19.7933%; 净利14.3067%; 上一年度营收增-70.98%, 利润增-77.3%; 当季营收增395.83%, 利润增1245.63%; 过往5年营收增2.33%, 利润增17.65%
Income profile:
装饰原纸 13.06亿 80.99% 利润比例95.61% 毛利28.99%
木浆贸易 2.96亿 18.35% 利润比例3.57% 毛利4.78%
其他业务 1061.15万 0.66% 利润比例0.81% 毛利30.30%</v>
      </c>
      <c r="D23" t="s">
        <v>193</v>
      </c>
      <c r="E23" t="s">
        <v>194</v>
      </c>
      <c r="F23">
        <v>13.17</v>
      </c>
      <c r="G23">
        <v>1.23</v>
      </c>
      <c r="H23" t="s">
        <v>1051</v>
      </c>
      <c r="I23">
        <v>6120615700</v>
      </c>
      <c r="J23">
        <v>10.11</v>
      </c>
      <c r="K23">
        <v>1.47</v>
      </c>
      <c r="L23" t="s">
        <v>24</v>
      </c>
      <c r="M23" t="s">
        <v>1052</v>
      </c>
      <c r="N23" t="s">
        <v>1053</v>
      </c>
      <c r="O23" t="s">
        <v>1054</v>
      </c>
      <c r="P23">
        <v>4.1500000000000004</v>
      </c>
      <c r="Q23" t="s">
        <v>1055</v>
      </c>
      <c r="R23">
        <v>146844100</v>
      </c>
      <c r="S23" s="6">
        <v>0.3659</v>
      </c>
      <c r="T23" t="s">
        <v>336</v>
      </c>
      <c r="U23">
        <v>463809670</v>
      </c>
      <c r="V23">
        <v>464739230</v>
      </c>
      <c r="W23">
        <v>1.39</v>
      </c>
      <c r="X23">
        <v>0.16</v>
      </c>
      <c r="Y23">
        <v>15.42</v>
      </c>
      <c r="Z23" t="s">
        <v>1056</v>
      </c>
      <c r="AA23" t="s">
        <v>331</v>
      </c>
      <c r="AB23" t="s">
        <v>1057</v>
      </c>
      <c r="AC23" t="s">
        <v>1058</v>
      </c>
      <c r="AD23" t="s">
        <v>56</v>
      </c>
      <c r="AE23">
        <v>-3237125</v>
      </c>
      <c r="AF23" t="s">
        <v>1059</v>
      </c>
      <c r="AG23">
        <v>672.61</v>
      </c>
      <c r="AH23" t="s">
        <v>1060</v>
      </c>
      <c r="AI23" t="s">
        <v>1061</v>
      </c>
      <c r="AJ23" t="s">
        <v>1062</v>
      </c>
      <c r="AK23" t="s">
        <v>56</v>
      </c>
      <c r="AL23" t="s">
        <v>1063</v>
      </c>
      <c r="AM23" t="s">
        <v>56</v>
      </c>
      <c r="AN23" t="s">
        <v>1064</v>
      </c>
      <c r="AO23" t="s">
        <v>1065</v>
      </c>
      <c r="AP23" t="s">
        <v>144</v>
      </c>
      <c r="AQ23" t="s">
        <v>1066</v>
      </c>
      <c r="AR23" t="s">
        <v>56</v>
      </c>
      <c r="AS23" t="s">
        <v>1067</v>
      </c>
      <c r="AT23" t="s">
        <v>56</v>
      </c>
      <c r="AU23" t="s">
        <v>1068</v>
      </c>
      <c r="AV23" t="s">
        <v>1069</v>
      </c>
      <c r="AW23" t="s">
        <v>1070</v>
      </c>
      <c r="AX23" t="s">
        <v>1071</v>
      </c>
      <c r="AY23" t="s">
        <v>259</v>
      </c>
      <c r="AZ23" t="s">
        <v>195</v>
      </c>
      <c r="BA23" t="s">
        <v>196</v>
      </c>
      <c r="BB23" t="s">
        <v>64</v>
      </c>
      <c r="BC23" t="s">
        <v>1072</v>
      </c>
      <c r="BD23" t="s">
        <v>260</v>
      </c>
      <c r="BE23" t="s">
        <v>73</v>
      </c>
      <c r="BF23" t="s">
        <v>127</v>
      </c>
      <c r="BG23" t="s">
        <v>166</v>
      </c>
      <c r="BH23" t="s">
        <v>1073</v>
      </c>
      <c r="BI23" t="s">
        <v>778</v>
      </c>
      <c r="BJ23" t="s">
        <v>1071</v>
      </c>
      <c r="BK23" t="s">
        <v>576</v>
      </c>
      <c r="BL23" t="s">
        <v>1074</v>
      </c>
      <c r="BM23" t="s">
        <v>1072</v>
      </c>
      <c r="BN23">
        <v>8.75</v>
      </c>
      <c r="BO23">
        <v>13.33</v>
      </c>
      <c r="BP23">
        <v>17.600000000000001</v>
      </c>
      <c r="BQ23">
        <v>10.63</v>
      </c>
      <c r="BR23">
        <v>14.17</v>
      </c>
      <c r="BS23">
        <v>18.899999999999999</v>
      </c>
      <c r="BT23" t="s">
        <v>1075</v>
      </c>
      <c r="BU23" t="s">
        <v>24</v>
      </c>
      <c r="BV23">
        <v>19.05</v>
      </c>
      <c r="BW23">
        <v>18.47</v>
      </c>
      <c r="BX23">
        <v>21.86</v>
      </c>
      <c r="BY23">
        <v>14.21</v>
      </c>
      <c r="BZ23">
        <v>13.54</v>
      </c>
      <c r="CA23">
        <v>15.17</v>
      </c>
      <c r="CB23">
        <v>-0.6</v>
      </c>
      <c r="CC23">
        <v>-17.28</v>
      </c>
      <c r="CD23" t="s">
        <v>1076</v>
      </c>
      <c r="CE23" t="s">
        <v>1077</v>
      </c>
      <c r="CF23" s="11">
        <v>3.9583333333333335</v>
      </c>
      <c r="CG23" s="12">
        <v>12.456257388180743</v>
      </c>
      <c r="CH23" s="11">
        <v>-0.70983701944351196</v>
      </c>
      <c r="CI23" s="11">
        <v>0.16870748996734619</v>
      </c>
      <c r="CJ23" s="11">
        <v>0.82382136583328247</v>
      </c>
      <c r="CK23" s="11">
        <v>-2.5392986834049225E-2</v>
      </c>
      <c r="CL23" s="11">
        <v>-0.14077919721603394</v>
      </c>
      <c r="CM23" s="12">
        <v>-0.77301925420761108</v>
      </c>
      <c r="CN23" s="12">
        <v>4.0089085698127747E-2</v>
      </c>
      <c r="CO23" s="12">
        <v>0.72692304849624634</v>
      </c>
      <c r="CP23" s="12">
        <v>0.52046781778335571</v>
      </c>
      <c r="CQ23" s="12">
        <v>0.36800000071525574</v>
      </c>
      <c r="CR23">
        <v>23.272303041825094</v>
      </c>
      <c r="CS23">
        <v>9.986428289582312</v>
      </c>
      <c r="CT23">
        <v>8.3523158694001527</v>
      </c>
      <c r="CU23" s="11">
        <v>2.3303930461406708E-2</v>
      </c>
      <c r="CV23" s="12">
        <v>0.17649213969707489</v>
      </c>
      <c r="CW23">
        <v>0.06</v>
      </c>
      <c r="CX23">
        <v>40.678195168497801</v>
      </c>
      <c r="CY23">
        <v>102330393.04614067</v>
      </c>
      <c r="CZ23">
        <v>2.3303930461406708E-2</v>
      </c>
      <c r="DA23">
        <v>14.071479034487917</v>
      </c>
      <c r="DB23">
        <v>295819344.2066614</v>
      </c>
      <c r="DC23">
        <v>2.2138733938336371E-2</v>
      </c>
      <c r="DD23">
        <v>7.4595123871242448</v>
      </c>
      <c r="DE23">
        <v>558027855.43798149</v>
      </c>
      <c r="DF23">
        <v>2.0507458806037902E-2</v>
      </c>
      <c r="DG23">
        <v>4.856101263166634</v>
      </c>
      <c r="DH23">
        <v>857192936.14680195</v>
      </c>
      <c r="DI23">
        <v>1.8643144369125366E-2</v>
      </c>
      <c r="DJ23">
        <v>2.9664692088257563</v>
      </c>
      <c r="DK23">
        <v>1403222284.4638004</v>
      </c>
      <c r="DL23">
        <v>1.6312751322984695E-2</v>
      </c>
      <c r="DM23">
        <v>106000000</v>
      </c>
      <c r="DN23">
        <v>2.3303930461406708E-2</v>
      </c>
      <c r="DO23">
        <v>4162615700.0000005</v>
      </c>
      <c r="DP23">
        <v>2777973800</v>
      </c>
      <c r="DQ23">
        <v>4521</v>
      </c>
      <c r="DR23">
        <v>3.9350294028719266</v>
      </c>
      <c r="DS23">
        <v>12.279765248483669</v>
      </c>
      <c r="DT23" s="13">
        <v>-0.35666666666666669</v>
      </c>
      <c r="DU23">
        <v>0.36999999999999994</v>
      </c>
      <c r="DV23">
        <v>1.3333333333333253E-2</v>
      </c>
      <c r="DW23">
        <v>-3.0144761904761905</v>
      </c>
      <c r="DX23">
        <v>0.35678055555555543</v>
      </c>
      <c r="DY23">
        <v>-3.0018352994708994</v>
      </c>
      <c r="DZ23">
        <v>2516</v>
      </c>
      <c r="EA23">
        <v>-3.0009316569134077</v>
      </c>
      <c r="EB23">
        <v>3</v>
      </c>
      <c r="EC23">
        <v>2.9462328798883622E-2</v>
      </c>
      <c r="ED23">
        <v>0.23238838692399608</v>
      </c>
      <c r="EE23" s="14">
        <v>-2.0180099999999999</v>
      </c>
      <c r="EF23">
        <v>-2.0272100000000002</v>
      </c>
      <c r="EG23">
        <v>23.126780555555555</v>
      </c>
      <c r="EH23" t="s">
        <v>477</v>
      </c>
      <c r="EI23">
        <v>0</v>
      </c>
      <c r="EJ23">
        <v>0</v>
      </c>
      <c r="EK23" s="10">
        <v>45470</v>
      </c>
      <c r="EL23" s="15">
        <v>0.13</v>
      </c>
      <c r="EM23" s="15">
        <v>-4.83</v>
      </c>
      <c r="EN23" s="15">
        <v>0.95</v>
      </c>
      <c r="EO23" s="15">
        <v>2.35</v>
      </c>
      <c r="EP23" s="15">
        <v>-0.92</v>
      </c>
    </row>
    <row r="24" spans="1:146" ht="144" x14ac:dyDescent="0.25">
      <c r="A24" s="7"/>
      <c r="B24" s="7" t="s">
        <v>347</v>
      </c>
      <c r="C24" s="7" t="str">
        <f>"公司主要从事包装用纸及其制品研发、生产、销售。主要产品原纸、瓦楞纸板、水印纸箱、胶印纸箱、数码印刷纸箱等。"&amp;CHAR(10)&amp;Basic_Fundamental_Information_Constructure(F24)&amp;CHAR(10)&amp;Basic_Fundamental_Information_Concatenate("原纸 20.91亿 70.75% 60.39% 12.17%
瓦楞纸箱 5.12亿 17.32% 25.80% 21.24%
瓦楞纸板 3.07亿 10.37% 9.96% 13.69%")</f>
        <v>公司主要从事包装用纸及其制品研发、生产、销售。主要产品原纸、瓦楞纸板、水印纸箱、胶印纸箱、数码印刷纸箱等。
市值25.40272亿, 利润6.12亿; PE14.29; 平均PE9; 平均PEG.39, PB1.02; ROIC7.15%; ROE7.68%; 股利率2.447%; 毛利11.9267%; 净利7.18%; 上一年度营收增98.04%, 利润增334.04%; 当季营收增-65.46%, 利润增-81.53%; 过往5年营收增22.82%, 利润增60.97%
Income profile:
原纸 20.91亿 70.75% 60.39% 12.17%
瓦楞纸箱 5.12亿 17.32% 25.80% 21.24%
瓦楞纸板 3.07亿 10.37% 9.96% 13.69%</v>
      </c>
      <c r="D24" t="s">
        <v>198</v>
      </c>
      <c r="E24" t="s">
        <v>199</v>
      </c>
      <c r="F24">
        <v>6.13</v>
      </c>
      <c r="G24">
        <v>0.16</v>
      </c>
      <c r="H24" t="s">
        <v>1078</v>
      </c>
      <c r="I24">
        <v>2540272000</v>
      </c>
      <c r="J24">
        <v>14.29</v>
      </c>
      <c r="K24">
        <v>1.02</v>
      </c>
      <c r="L24" t="s">
        <v>24</v>
      </c>
      <c r="M24" t="s">
        <v>1079</v>
      </c>
      <c r="N24" t="s">
        <v>1080</v>
      </c>
      <c r="O24" t="s">
        <v>1081</v>
      </c>
      <c r="P24">
        <v>7.82</v>
      </c>
      <c r="Q24" t="s">
        <v>1082</v>
      </c>
      <c r="R24">
        <v>36013452</v>
      </c>
      <c r="S24" s="6">
        <v>1.3120000000000001</v>
      </c>
      <c r="T24" t="s">
        <v>1083</v>
      </c>
      <c r="U24">
        <v>414400000</v>
      </c>
      <c r="V24">
        <v>414400000</v>
      </c>
      <c r="W24">
        <v>1.25</v>
      </c>
      <c r="X24">
        <v>0.15</v>
      </c>
      <c r="Y24">
        <v>7.36</v>
      </c>
      <c r="Z24" t="s">
        <v>1084</v>
      </c>
      <c r="AA24" t="s">
        <v>1085</v>
      </c>
      <c r="AB24" t="s">
        <v>1086</v>
      </c>
      <c r="AC24" t="s">
        <v>1087</v>
      </c>
      <c r="AD24" t="s">
        <v>56</v>
      </c>
      <c r="AE24">
        <v>203236</v>
      </c>
      <c r="AF24" t="s">
        <v>1088</v>
      </c>
      <c r="AG24" t="s">
        <v>1089</v>
      </c>
      <c r="AH24" t="s">
        <v>1090</v>
      </c>
      <c r="AI24" t="s">
        <v>1091</v>
      </c>
      <c r="AJ24" t="s">
        <v>1092</v>
      </c>
      <c r="AK24" t="s">
        <v>1093</v>
      </c>
      <c r="AL24" t="s">
        <v>1094</v>
      </c>
      <c r="AM24" t="s">
        <v>56</v>
      </c>
      <c r="AN24" t="s">
        <v>1095</v>
      </c>
      <c r="AO24" t="s">
        <v>56</v>
      </c>
      <c r="AP24" t="s">
        <v>1096</v>
      </c>
      <c r="AQ24" t="s">
        <v>235</v>
      </c>
      <c r="AR24" t="s">
        <v>56</v>
      </c>
      <c r="AS24" t="s">
        <v>503</v>
      </c>
      <c r="AT24" t="s">
        <v>339</v>
      </c>
      <c r="AU24" t="s">
        <v>1097</v>
      </c>
      <c r="AV24" t="s">
        <v>1098</v>
      </c>
      <c r="AW24" t="s">
        <v>925</v>
      </c>
      <c r="AX24" t="s">
        <v>1099</v>
      </c>
      <c r="AY24" t="s">
        <v>1100</v>
      </c>
      <c r="AZ24" t="s">
        <v>200</v>
      </c>
      <c r="BA24" t="s">
        <v>201</v>
      </c>
      <c r="BB24" t="s">
        <v>202</v>
      </c>
      <c r="BC24" t="s">
        <v>462</v>
      </c>
      <c r="BD24" t="s">
        <v>215</v>
      </c>
      <c r="BE24" t="s">
        <v>192</v>
      </c>
      <c r="BF24" t="s">
        <v>78</v>
      </c>
      <c r="BG24" t="s">
        <v>203</v>
      </c>
      <c r="BH24" t="s">
        <v>1101</v>
      </c>
      <c r="BI24" t="s">
        <v>1102</v>
      </c>
      <c r="BJ24" t="s">
        <v>1099</v>
      </c>
      <c r="BK24" t="s">
        <v>85</v>
      </c>
      <c r="BL24" t="s">
        <v>1103</v>
      </c>
      <c r="BM24" t="s">
        <v>462</v>
      </c>
      <c r="BN24">
        <v>3.47</v>
      </c>
      <c r="BO24">
        <v>5.59</v>
      </c>
      <c r="BP24">
        <v>12.39</v>
      </c>
      <c r="BQ24">
        <v>3.98</v>
      </c>
      <c r="BR24">
        <v>6.09</v>
      </c>
      <c r="BS24">
        <v>12.97</v>
      </c>
      <c r="BT24" t="s">
        <v>1104</v>
      </c>
      <c r="BU24" t="s">
        <v>24</v>
      </c>
      <c r="BV24">
        <v>12.17</v>
      </c>
      <c r="BW24">
        <v>9.35</v>
      </c>
      <c r="BX24">
        <v>14.26</v>
      </c>
      <c r="BY24">
        <v>6.78</v>
      </c>
      <c r="BZ24">
        <v>5.21</v>
      </c>
      <c r="CA24">
        <v>9.5500000000000007</v>
      </c>
      <c r="CB24">
        <v>-0.33</v>
      </c>
      <c r="CC24">
        <v>-11.8</v>
      </c>
      <c r="CD24" t="s">
        <v>1105</v>
      </c>
      <c r="CE24" t="s">
        <v>1106</v>
      </c>
      <c r="CF24" s="11">
        <v>-0.65460992907801419</v>
      </c>
      <c r="CG24" s="12">
        <v>-0.81531563076923075</v>
      </c>
      <c r="CH24" s="11">
        <v>0.98037773370742798</v>
      </c>
      <c r="CI24" s="11">
        <v>-8.6883090436458588E-2</v>
      </c>
      <c r="CJ24" s="11">
        <v>0.35130205750465393</v>
      </c>
      <c r="CK24" s="11">
        <v>6.9892443716526031E-2</v>
      </c>
      <c r="CL24" s="11">
        <v>-0.17366720736026764</v>
      </c>
      <c r="CM24" s="12">
        <v>3.3404254913330078</v>
      </c>
      <c r="CN24" s="12">
        <v>-0.5</v>
      </c>
      <c r="CO24" s="12">
        <v>0.28181818127632141</v>
      </c>
      <c r="CP24" s="12">
        <v>0.29411765933036804</v>
      </c>
      <c r="CQ24" s="12">
        <v>-0.36802974343299866</v>
      </c>
      <c r="CR24">
        <v>8.9974214876033063</v>
      </c>
      <c r="CS24">
        <v>0.39427031132370621</v>
      </c>
      <c r="CT24">
        <v>2.4469820554649266</v>
      </c>
      <c r="CU24" s="11">
        <v>0.22820438742637633</v>
      </c>
      <c r="CV24" s="12">
        <v>0.60966631770133972</v>
      </c>
      <c r="CW24">
        <v>0.06</v>
      </c>
      <c r="CX24">
        <v>0.56446758839559119</v>
      </c>
      <c r="CY24">
        <v>709114231.23107767</v>
      </c>
      <c r="CZ24">
        <v>0.22820438742637633</v>
      </c>
      <c r="DA24">
        <v>0.16440289030384236</v>
      </c>
      <c r="DB24">
        <v>2434701721.2424579</v>
      </c>
      <c r="DC24">
        <v>0.2167941680550575</v>
      </c>
      <c r="DD24">
        <v>6.8872078300412282E-2</v>
      </c>
      <c r="DE24">
        <v>5811818227.0332899</v>
      </c>
      <c r="DF24">
        <v>0.20081986093521118</v>
      </c>
      <c r="DG24">
        <v>3.4120587787206828E-2</v>
      </c>
      <c r="DH24">
        <v>11731099197.244133</v>
      </c>
      <c r="DI24">
        <v>0.18256350994110107</v>
      </c>
      <c r="DJ24">
        <v>1.1158261870359107E-2</v>
      </c>
      <c r="DK24">
        <v>35872253640.442482</v>
      </c>
      <c r="DL24">
        <v>0.15974307119846343</v>
      </c>
      <c r="DM24">
        <v>612000000</v>
      </c>
      <c r="DN24">
        <v>0.22820438742637633</v>
      </c>
      <c r="DO24">
        <v>400272000</v>
      </c>
      <c r="DP24">
        <v>1188847500</v>
      </c>
      <c r="DQ24">
        <v>4529</v>
      </c>
      <c r="DR24">
        <v>-0.88281431650439046</v>
      </c>
      <c r="DS24">
        <v>-1.4249819484705704</v>
      </c>
      <c r="DT24" s="13">
        <v>-7.333333333333332E-2</v>
      </c>
      <c r="DU24">
        <v>-0.14000000000000004</v>
      </c>
      <c r="DV24">
        <v>-0.21333333333333337</v>
      </c>
      <c r="DW24">
        <v>-2.1179999999999999</v>
      </c>
      <c r="DX24">
        <v>0.32224149932362295</v>
      </c>
      <c r="DY24">
        <v>-2.0156044969201874</v>
      </c>
      <c r="DZ24">
        <v>1425</v>
      </c>
      <c r="EA24">
        <v>-2.011252949344597</v>
      </c>
      <c r="EB24">
        <v>2</v>
      </c>
      <c r="EC24">
        <v>1.7008445945945947E-2</v>
      </c>
      <c r="ED24">
        <v>0.12861655405405406</v>
      </c>
      <c r="EE24" s="14">
        <v>-1.028</v>
      </c>
      <c r="EF24">
        <v>-1.0019</v>
      </c>
      <c r="EG24">
        <v>19.132241499323623</v>
      </c>
      <c r="EH24" t="s">
        <v>450</v>
      </c>
      <c r="EI24">
        <v>0</v>
      </c>
      <c r="EJ24">
        <v>1</v>
      </c>
      <c r="EK24" s="10">
        <v>45470</v>
      </c>
      <c r="EL24" s="15">
        <v>1.46</v>
      </c>
      <c r="EM24" s="15">
        <v>-4.09</v>
      </c>
      <c r="EN24">
        <v>0.6</v>
      </c>
      <c r="EO24">
        <v>2.99</v>
      </c>
      <c r="EP24">
        <v>-2.61</v>
      </c>
    </row>
    <row r="25" spans="1:146" x14ac:dyDescent="0.25">
      <c r="C25" s="7"/>
      <c r="Q25" s="6"/>
      <c r="AA25"/>
    </row>
    <row r="26" spans="1:146" x14ac:dyDescent="0.25">
      <c r="A26" s="7"/>
      <c r="B26" s="7"/>
      <c r="C26" s="7"/>
      <c r="Q26" s="6"/>
      <c r="AA26"/>
    </row>
    <row r="27" spans="1:146" x14ac:dyDescent="0.25">
      <c r="Q27" s="6"/>
      <c r="AA27"/>
    </row>
    <row r="28" spans="1:146" x14ac:dyDescent="0.25">
      <c r="Q28" s="6"/>
      <c r="AA28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造纸&quot;,&quot;&quot;'" altText="更新基本面按钮_x000a_">
                <anchor moveWithCells="1" sizeWithCells="1">
                  <from>
                    <xdr:col>147</xdr:col>
                    <xdr:colOff>412750</xdr:colOff>
                    <xdr:row>0</xdr:row>
                    <xdr:rowOff>63500</xdr:rowOff>
                  </from>
                  <to>
                    <xdr:col>147</xdr:col>
                    <xdr:colOff>1555750</xdr:colOff>
                    <xdr:row>0</xdr:row>
                    <xdr:rowOff>374650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造纸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2024-07-09T13:27:17Z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