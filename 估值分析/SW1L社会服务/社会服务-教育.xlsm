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004Investment\value-investment\估值分析\New-社会服务\"/>
    </mc:Choice>
  </mc:AlternateContent>
  <bookViews>
    <workbookView xWindow="-110" yWindow="-110" windowWidth="23260" windowHeight="13180"/>
  </bookViews>
  <sheets>
    <sheet name="教育" sheetId="15" r:id="rId1"/>
    <sheet name="估值-增速与年化收益" sheetId="14" r:id="rId2"/>
  </sheets>
  <functionGroups builtInGroupCount="18"/>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21" i="15"/>
  <c r="C20" i="15"/>
  <c r="C19" i="15"/>
  <c r="C18" i="15"/>
  <c r="C17" i="15"/>
  <c r="C16" i="15"/>
  <c r="C15" i="15"/>
  <c r="C14" i="15"/>
  <c r="C13" i="15"/>
  <c r="C12" i="15"/>
  <c r="C11" i="15"/>
  <c r="C10" i="15"/>
  <c r="C9" i="15"/>
  <c r="C8" i="15"/>
  <c r="C7" i="15"/>
  <c r="C6" i="15"/>
  <c r="C5" i="15"/>
  <c r="C4" i="15"/>
  <c r="C3" i="15"/>
  <c r="C2" i="15"/>
</calcChain>
</file>

<file path=xl/sharedStrings.xml><?xml version="1.0" encoding="utf-8"?>
<sst xmlns="http://schemas.openxmlformats.org/spreadsheetml/2006/main" count="1314" uniqueCount="941">
  <si>
    <t>&lt;-增速</t>
    <phoneticPr fontId="1" type="noConversion"/>
  </si>
  <si>
    <t>&lt;-估值</t>
    <phoneticPr fontId="1" type="noConversion"/>
  </si>
  <si>
    <t>&lt;-折合年化收益</t>
    <phoneticPr fontId="1" type="noConversion"/>
  </si>
  <si>
    <t>现价</t>
  </si>
  <si>
    <t>市净率</t>
  </si>
  <si>
    <t>--</t>
  </si>
  <si>
    <t>预期多</t>
    <phoneticPr fontId="1" type="noConversion"/>
  </si>
  <si>
    <t>预期空</t>
    <phoneticPr fontId="1" type="noConversion"/>
  </si>
  <si>
    <t>已知和基本信息</t>
    <phoneticPr fontId="1" type="noConversion"/>
  </si>
  <si>
    <t>代码</t>
  </si>
  <si>
    <t>总市值</t>
  </si>
  <si>
    <t>TTM市盈率</t>
  </si>
  <si>
    <t>所属行业</t>
  </si>
  <si>
    <t>负债合计</t>
  </si>
  <si>
    <t>所有者权益合计</t>
  </si>
  <si>
    <t>主营业务收入</t>
  </si>
  <si>
    <t>净利润增长率</t>
  </si>
  <si>
    <t>总股本</t>
  </si>
  <si>
    <t>财务费用</t>
  </si>
  <si>
    <t>投资收益</t>
  </si>
  <si>
    <t>应收账款</t>
  </si>
  <si>
    <t>2.03亿</t>
  </si>
  <si>
    <t>3.40亿</t>
  </si>
  <si>
    <t>1.30亿</t>
  </si>
  <si>
    <t>2.23亿</t>
  </si>
  <si>
    <t>流动资产</t>
  </si>
  <si>
    <t>营业收入[20191231]</t>
  </si>
  <si>
    <t>营业收入[20181231]</t>
  </si>
  <si>
    <t>营业收入[20171231]</t>
  </si>
  <si>
    <t>营业收入[20161231]</t>
  </si>
  <si>
    <t>净利润[20191231]</t>
  </si>
  <si>
    <t>净利润[20181231]</t>
  </si>
  <si>
    <t>净利润[20171231]</t>
  </si>
  <si>
    <t>净利润[20161231]</t>
  </si>
  <si>
    <t>投入资本回报率roic%[20191231]</t>
  </si>
  <si>
    <t>净资产收益率%[20191231]</t>
  </si>
  <si>
    <t>销售毛利率%[20191231]</t>
  </si>
  <si>
    <t>销售净利率%[20191231]</t>
  </si>
  <si>
    <t>1.14亿</t>
  </si>
  <si>
    <t>1.77亿</t>
  </si>
  <si>
    <t>1.37亿</t>
  </si>
  <si>
    <t>2.13亿</t>
  </si>
  <si>
    <t>2.06亿</t>
  </si>
  <si>
    <t>7.18亿</t>
  </si>
  <si>
    <t>1.56亿</t>
  </si>
  <si>
    <t>1.84亿</t>
  </si>
  <si>
    <t>1.79亿</t>
  </si>
  <si>
    <t>1.52亿</t>
  </si>
  <si>
    <t>1.03亿</t>
  </si>
  <si>
    <t>1.19亿</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</si>
  <si>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</si>
  <si>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</si>
  <si>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</si>
  <si>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</si>
  <si>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</si>
  <si>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</si>
  <si>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</si>
  <si>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</si>
  <si>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</si>
  <si>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</si>
  <si>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</si>
  <si>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</si>
  <si>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</si>
  <si>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销售毛利率%[20201231]</t>
  </si>
  <si>
    <t>销售净利率%[20201231]</t>
  </si>
  <si>
    <t>8.48亿</t>
  </si>
  <si>
    <t>8.40亿</t>
  </si>
  <si>
    <t>1.20亿</t>
  </si>
  <si>
    <t>8.71亿</t>
  </si>
  <si>
    <t>-1.30亿</t>
  </si>
  <si>
    <t>2.44亿</t>
  </si>
  <si>
    <t>5.40亿</t>
  </si>
  <si>
    <t>7.93亿</t>
  </si>
  <si>
    <t>9.59亿</t>
  </si>
  <si>
    <t>1.08亿</t>
  </si>
  <si>
    <t>3.79亿</t>
  </si>
  <si>
    <t>4.38亿</t>
  </si>
  <si>
    <t>1.60亿</t>
  </si>
  <si>
    <t>SZ000526</t>
  </si>
  <si>
    <t>学大教育</t>
  </si>
  <si>
    <t>教育</t>
  </si>
  <si>
    <t>24.30亿</t>
  </si>
  <si>
    <t>4368.77万</t>
  </si>
  <si>
    <t>1.85亿</t>
  </si>
  <si>
    <t>5.17万</t>
  </si>
  <si>
    <t>29.92亿</t>
  </si>
  <si>
    <t>28.93亿</t>
  </si>
  <si>
    <t>28.12亿</t>
  </si>
  <si>
    <t>1386.50万</t>
  </si>
  <si>
    <t>1295.08万</t>
  </si>
  <si>
    <t>2438.09万</t>
  </si>
  <si>
    <t>6.92亿</t>
  </si>
  <si>
    <t>14.89亿</t>
  </si>
  <si>
    <t>1.23亿</t>
  </si>
  <si>
    <t>1.13亿</t>
  </si>
  <si>
    <t>SZ002607</t>
  </si>
  <si>
    <t>中公教育</t>
  </si>
  <si>
    <t>112.02亿</t>
  </si>
  <si>
    <t>23.04亿</t>
  </si>
  <si>
    <t>5.43亿</t>
  </si>
  <si>
    <t>91.76亿</t>
  </si>
  <si>
    <t>62.37亿</t>
  </si>
  <si>
    <t>40.31亿</t>
  </si>
  <si>
    <t>18.05亿</t>
  </si>
  <si>
    <t>11.53亿</t>
  </si>
  <si>
    <t>5.25亿</t>
  </si>
  <si>
    <t>1.16亿</t>
  </si>
  <si>
    <t>SZ002621</t>
  </si>
  <si>
    <t>美吉姆</t>
  </si>
  <si>
    <t>3.56亿</t>
  </si>
  <si>
    <t>-4.78亿</t>
  </si>
  <si>
    <t>6.30亿</t>
  </si>
  <si>
    <t>2.65亿</t>
  </si>
  <si>
    <t>3155.15万</t>
  </si>
  <si>
    <t>1835.44万</t>
  </si>
  <si>
    <t>1.27亿</t>
  </si>
  <si>
    <t>8.50亿</t>
  </si>
  <si>
    <t>2.38亿</t>
  </si>
  <si>
    <t>SZ002659</t>
  </si>
  <si>
    <t>凯文教育</t>
  </si>
  <si>
    <t>3.21亿</t>
  </si>
  <si>
    <t>1.71亿</t>
  </si>
  <si>
    <t>7.95亿</t>
  </si>
  <si>
    <t>2.42亿</t>
  </si>
  <si>
    <t>6.20亿</t>
  </si>
  <si>
    <t>3795.43万</t>
  </si>
  <si>
    <t>-9795.42万</t>
  </si>
  <si>
    <t>2325.91万</t>
  </si>
  <si>
    <t>SZ003032</t>
  </si>
  <si>
    <t>传智教育</t>
  </si>
  <si>
    <t>6.40亿</t>
  </si>
  <si>
    <t>6506.80万</t>
  </si>
  <si>
    <t>1.64亿</t>
  </si>
  <si>
    <t>9.24亿</t>
  </si>
  <si>
    <t>7.91亿</t>
  </si>
  <si>
    <t>6.99亿</t>
  </si>
  <si>
    <t>1.80亿</t>
  </si>
  <si>
    <t>1.70亿</t>
  </si>
  <si>
    <t>SZ300010</t>
  </si>
  <si>
    <t>13.86亿</t>
  </si>
  <si>
    <t>-25.67亿</t>
  </si>
  <si>
    <t>19.79亿</t>
  </si>
  <si>
    <t>19.52亿</t>
  </si>
  <si>
    <t>21.61亿</t>
  </si>
  <si>
    <t>2248.59万</t>
  </si>
  <si>
    <t>-13.95亿</t>
  </si>
  <si>
    <t>SZ300089</t>
  </si>
  <si>
    <t>2.71亿</t>
  </si>
  <si>
    <t>3.77亿</t>
  </si>
  <si>
    <t>-1.72亿</t>
  </si>
  <si>
    <t>-16.70亿</t>
  </si>
  <si>
    <t>7346.18万</t>
  </si>
  <si>
    <t>SZ300192</t>
  </si>
  <si>
    <t>科德教育</t>
  </si>
  <si>
    <t>9.83亿</t>
  </si>
  <si>
    <t>8.49亿</t>
  </si>
  <si>
    <t>4.72亿</t>
  </si>
  <si>
    <t>4.90亿</t>
  </si>
  <si>
    <t>8052.13万</t>
  </si>
  <si>
    <t>2800.16万</t>
  </si>
  <si>
    <t>576.48万</t>
  </si>
  <si>
    <t>SZ300282</t>
  </si>
  <si>
    <t>3.57亿</t>
  </si>
  <si>
    <t>-7.14亿</t>
  </si>
  <si>
    <t>1.07亿</t>
  </si>
  <si>
    <t>6.82亿</t>
  </si>
  <si>
    <t>12.99亿</t>
  </si>
  <si>
    <t>1205.76万</t>
  </si>
  <si>
    <t>2227.85万</t>
  </si>
  <si>
    <t>SZ300338</t>
  </si>
  <si>
    <t>-7.66亿</t>
  </si>
  <si>
    <t>14.54亿</t>
  </si>
  <si>
    <t>9.81亿</t>
  </si>
  <si>
    <t>-6.35亿</t>
  </si>
  <si>
    <t>9859.88万</t>
  </si>
  <si>
    <t>-1.63亿</t>
  </si>
  <si>
    <t>SZ300359</t>
  </si>
  <si>
    <t>全通教育</t>
  </si>
  <si>
    <t>3.35亿</t>
  </si>
  <si>
    <t>10.31亿</t>
  </si>
  <si>
    <t>4.39亿</t>
  </si>
  <si>
    <t>-7.05亿</t>
  </si>
  <si>
    <t>-6.57亿</t>
  </si>
  <si>
    <t>6629.16万</t>
  </si>
  <si>
    <t>SZ300688</t>
  </si>
  <si>
    <t>创业黑马</t>
  </si>
  <si>
    <t>732.86万</t>
  </si>
  <si>
    <t>1634.16万</t>
  </si>
  <si>
    <t>1344.48万</t>
  </si>
  <si>
    <t>4717.28万</t>
  </si>
  <si>
    <t>SH600455</t>
  </si>
  <si>
    <t>博通股份</t>
  </si>
  <si>
    <t>2894.67万</t>
  </si>
  <si>
    <t>1.54亿</t>
  </si>
  <si>
    <t>1748.16万</t>
  </si>
  <si>
    <t>316.53万</t>
  </si>
  <si>
    <t>439.45万</t>
  </si>
  <si>
    <t>SH600636</t>
  </si>
  <si>
    <t>国新文化</t>
  </si>
  <si>
    <t>1.18亿</t>
  </si>
  <si>
    <t>1.61亿</t>
  </si>
  <si>
    <t>12.48亿</t>
  </si>
  <si>
    <t>16.64亿</t>
  </si>
  <si>
    <t>52.43亿</t>
  </si>
  <si>
    <t>4780.72万</t>
  </si>
  <si>
    <t>SH600661</t>
  </si>
  <si>
    <t>昂立教育</t>
  </si>
  <si>
    <t>18.09亿</t>
  </si>
  <si>
    <t>-2.48亿</t>
  </si>
  <si>
    <t>23.91亿</t>
  </si>
  <si>
    <t>20.95亿</t>
  </si>
  <si>
    <t>17.24亿</t>
  </si>
  <si>
    <t>5415.47万</t>
  </si>
  <si>
    <t>-2.67亿</t>
  </si>
  <si>
    <t>3.93亿</t>
  </si>
  <si>
    <t>SH600730</t>
  </si>
  <si>
    <t>中国高科</t>
  </si>
  <si>
    <t>1861.91万</t>
  </si>
  <si>
    <t>9916.76万</t>
  </si>
  <si>
    <t>2.89亿</t>
  </si>
  <si>
    <t>-7717.48万</t>
  </si>
  <si>
    <t>183.35万</t>
  </si>
  <si>
    <t>4950.88万</t>
  </si>
  <si>
    <t>SH600880</t>
  </si>
  <si>
    <t>博瑞传播</t>
  </si>
  <si>
    <t>5.46亿</t>
  </si>
  <si>
    <t>6604.50万</t>
  </si>
  <si>
    <t>-8.41亿</t>
  </si>
  <si>
    <t>3480.17万</t>
  </si>
  <si>
    <t>SH603377</t>
  </si>
  <si>
    <t>东方时尚</t>
  </si>
  <si>
    <t>11.14亿</t>
  </si>
  <si>
    <t>10.51亿</t>
  </si>
  <si>
    <t>11.73亿</t>
  </si>
  <si>
    <t>2.35亿</t>
  </si>
  <si>
    <t>SH605098</t>
  </si>
  <si>
    <t>行动教育</t>
  </si>
  <si>
    <t>3.47亿</t>
  </si>
  <si>
    <t>2.61亿</t>
  </si>
  <si>
    <t>9952.60万</t>
  </si>
  <si>
    <t>流通股本</t>
  </si>
  <si>
    <t>净利润[20201231]</t>
  </si>
  <si>
    <t>投入资本回报率roic%[20201231]</t>
  </si>
  <si>
    <t>净资产收益率%[20201231]</t>
  </si>
  <si>
    <t>25.29亿</t>
  </si>
  <si>
    <t>-5.36亿</t>
  </si>
  <si>
    <t>SZ002093</t>
  </si>
  <si>
    <t>国脉科技</t>
  </si>
  <si>
    <t>4.80亿</t>
  </si>
  <si>
    <t>9781.11万</t>
  </si>
  <si>
    <t>4.36亿</t>
  </si>
  <si>
    <t>5.24亿</t>
  </si>
  <si>
    <t>15.16亿</t>
  </si>
  <si>
    <t>8086.68万</t>
  </si>
  <si>
    <t>1.63亿</t>
  </si>
  <si>
    <t>69.12亿</t>
  </si>
  <si>
    <t>-23.70亿</t>
  </si>
  <si>
    <t>3.36亿</t>
  </si>
  <si>
    <t>-1.98亿</t>
  </si>
  <si>
    <t>2.84亿</t>
  </si>
  <si>
    <t>5.35亿</t>
  </si>
  <si>
    <t>-1.21亿</t>
  </si>
  <si>
    <t>6.64亿</t>
  </si>
  <si>
    <t>7684.46万</t>
  </si>
  <si>
    <t>1.04亿</t>
  </si>
  <si>
    <t>11.22亿</t>
  </si>
  <si>
    <t>-5.92亿</t>
  </si>
  <si>
    <t>7577.12万</t>
  </si>
  <si>
    <t>-4.01亿</t>
  </si>
  <si>
    <t>-2.17亿</t>
  </si>
  <si>
    <t>8.58亿</t>
  </si>
  <si>
    <t>-4.47亿</t>
  </si>
  <si>
    <t>9.31亿</t>
  </si>
  <si>
    <t>-4.61亿</t>
  </si>
  <si>
    <t>1142.55万</t>
  </si>
  <si>
    <t>3552.13万</t>
  </si>
  <si>
    <t>4.44亿</t>
  </si>
  <si>
    <t>-4.28亿</t>
  </si>
  <si>
    <t>15.87亿</t>
  </si>
  <si>
    <t>-2.03亿</t>
  </si>
  <si>
    <t>1397.95万</t>
  </si>
  <si>
    <t>8470.27万</t>
  </si>
  <si>
    <t>11.99亿</t>
  </si>
  <si>
    <t>2.41亿</t>
  </si>
  <si>
    <t>5.55亿</t>
  </si>
  <si>
    <t xml:space="preserve">    名称</t>
  </si>
  <si>
    <t>LY营业总收入[20211231]</t>
  </si>
  <si>
    <t>净利润?</t>
  </si>
  <si>
    <t>权益乘数[20220630]</t>
  </si>
  <si>
    <t>总资产周转率[20220630]</t>
  </si>
  <si>
    <t>净利润／营业总收入%[20220630]</t>
  </si>
  <si>
    <t>营业总成本[20220630]</t>
  </si>
  <si>
    <t>营业成本[20220630]</t>
  </si>
  <si>
    <t>管理费用[20220630]</t>
  </si>
  <si>
    <t>研发费用总额[20220630]</t>
  </si>
  <si>
    <t>扣非净利润</t>
  </si>
  <si>
    <t>营业总收入[20201231]</t>
  </si>
  <si>
    <t>投入资本回报率roic%[20211231]</t>
  </si>
  <si>
    <t>净资产收益率%[20211231]</t>
  </si>
  <si>
    <t>细分行业</t>
  </si>
  <si>
    <t>单季营收增速</t>
  </si>
  <si>
    <t>单季利润增速</t>
  </si>
  <si>
    <t>3年自由现金流折现</t>
    <phoneticPr fontId="1" type="noConversion"/>
  </si>
  <si>
    <t>价格变动策略</t>
    <phoneticPr fontId="1" type="noConversion"/>
  </si>
  <si>
    <t>昨日价格累计指数</t>
    <phoneticPr fontId="1" type="noConversion"/>
  </si>
  <si>
    <t>N-3</t>
    <phoneticPr fontId="1" type="noConversion"/>
  </si>
  <si>
    <t>N-2</t>
    <phoneticPr fontId="1" type="noConversion"/>
  </si>
  <si>
    <t>4.65亿</t>
  </si>
  <si>
    <t>1.11亿</t>
  </si>
  <si>
    <t>扭亏</t>
  </si>
  <si>
    <t/>
  </si>
  <si>
    <t>亏损</t>
  </si>
  <si>
    <t>1-1</t>
  </si>
  <si>
    <t>1.57亿</t>
  </si>
  <si>
    <t>2-0</t>
  </si>
  <si>
    <t>*ST文化</t>
  </si>
  <si>
    <t>1-0</t>
  </si>
  <si>
    <t>2.00亿</t>
  </si>
  <si>
    <t>2.98亿</t>
  </si>
  <si>
    <t>2.48亿</t>
  </si>
  <si>
    <t>ST开元</t>
  </si>
  <si>
    <t>5.37亿</t>
  </si>
  <si>
    <t>-1.22亿</t>
  </si>
  <si>
    <t>-3-0</t>
  </si>
  <si>
    <t>1.97亿</t>
  </si>
  <si>
    <t>1.76亿</t>
  </si>
  <si>
    <t>1.38亿</t>
  </si>
  <si>
    <t>涨幅</t>
  </si>
  <si>
    <t>成交量[20221212]</t>
  </si>
  <si>
    <t>营业收入(同比增长率) %[20220930]</t>
  </si>
  <si>
    <t>LY净利润[20211231]</t>
  </si>
  <si>
    <t>销售费用[20220930]</t>
  </si>
  <si>
    <t>其他收入[20220930]</t>
  </si>
  <si>
    <t>货币资金[20220930]</t>
  </si>
  <si>
    <t>应收票据[20220930]</t>
  </si>
  <si>
    <t>固定资产[20220930]</t>
  </si>
  <si>
    <t>在建工程[20220930]</t>
  </si>
  <si>
    <t>短期借款[20220930]</t>
  </si>
  <si>
    <t>应付票据[20220930]</t>
  </si>
  <si>
    <t>应付账款[20220930]</t>
  </si>
  <si>
    <t>预收款项[20220930]</t>
  </si>
  <si>
    <t>流动负债[20220930]</t>
  </si>
  <si>
    <t>长期借款[20220930]</t>
  </si>
  <si>
    <t>经营活动产生的现金流量净额[20220930]</t>
  </si>
  <si>
    <t>投资活动产生的现金流量净额[20220930]</t>
  </si>
  <si>
    <t>筹资活动产生的现金流量净额[20220930]</t>
  </si>
  <si>
    <t>CYLQ营业收入[20220630]</t>
  </si>
  <si>
    <t>LYCQ营业收入[20210930]</t>
  </si>
  <si>
    <t>LYLQ营业收入[20210630]</t>
  </si>
  <si>
    <t>CYLQ净利润[20220630]</t>
  </si>
  <si>
    <t>LYCQ净利润[20210930]</t>
  </si>
  <si>
    <t>LYLQ净利润[20210630]</t>
  </si>
  <si>
    <t>分红明细[20211231]</t>
  </si>
  <si>
    <t>销售毛利率%[20220630]</t>
  </si>
  <si>
    <t>销售净利率%[20220630]</t>
  </si>
  <si>
    <t>区间涨跌幅:前复权%[20221206-20221212]</t>
  </si>
  <si>
    <t>指数@区间涨跌幅:不复权%[20221101-20221212]</t>
  </si>
  <si>
    <t>指数@区间成交量[20221206-20221212]</t>
  </si>
  <si>
    <t>指数@区间成交量[20221101-20221212]</t>
  </si>
  <si>
    <t>N-4</t>
    <phoneticPr fontId="1" type="noConversion"/>
  </si>
  <si>
    <t>市销率</t>
    <phoneticPr fontId="1" type="noConversion"/>
  </si>
  <si>
    <t>扣非对比净利润</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</si>
  <si>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</si>
  <si>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</si>
  <si>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</si>
  <si>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</si>
  <si>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</si>
  <si>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</si>
  <si>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</si>
  <si>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</si>
  <si>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</si>
  <si>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</si>
  <si>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</si>
  <si>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</si>
  <si>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</si>
  <si>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</si>
  <si>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</si>
  <si>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</si>
  <si>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</si>
  <si>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</si>
  <si>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</si>
  <si>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</si>
  <si>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</si>
  <si>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</si>
  <si>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</si>
  <si>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</si>
  <si>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</si>
  <si>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</si>
  <si>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</si>
  <si>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</si>
  <si>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</si>
  <si>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</si>
  <si>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</si>
  <si>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</si>
  <si>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N-1</t>
    <phoneticPr fontId="1" type="noConversion"/>
  </si>
  <si>
    <t>N</t>
    <phoneticPr fontId="1" type="noConversion"/>
  </si>
  <si>
    <t>2.83亿</t>
  </si>
  <si>
    <t>不分配不转增</t>
  </si>
  <si>
    <t>10派0.1元(含税)</t>
  </si>
  <si>
    <t>4.57亿</t>
  </si>
  <si>
    <t>1.06亿</t>
  </si>
  <si>
    <t>2.12亿</t>
  </si>
  <si>
    <t>4.69亿</t>
  </si>
  <si>
    <t>3.91亿</t>
  </si>
  <si>
    <t>4.06亿</t>
  </si>
  <si>
    <t>-2-1</t>
  </si>
  <si>
    <t>2.97亿</t>
  </si>
  <si>
    <t>2.37亿</t>
  </si>
  <si>
    <t>1.86亿</t>
  </si>
  <si>
    <t>33.54万</t>
  </si>
  <si>
    <t>600.00万</t>
  </si>
  <si>
    <t>1.05亿</t>
  </si>
  <si>
    <t>1.K12相关；</t>
    <phoneticPr fontId="1" type="noConversion"/>
  </si>
  <si>
    <t>1.K12相关-语文；</t>
    <phoneticPr fontId="1" type="noConversion"/>
  </si>
  <si>
    <t>1.K12相关</t>
    <phoneticPr fontId="1" type="noConversion"/>
  </si>
  <si>
    <t>1213.23万</t>
  </si>
  <si>
    <t>29.46亿</t>
  </si>
  <si>
    <t>4.27亿</t>
  </si>
  <si>
    <t>518718890亿</t>
  </si>
  <si>
    <t>17.98亿</t>
  </si>
  <si>
    <t>1088.89万</t>
  </si>
  <si>
    <t>3.61亿</t>
  </si>
  <si>
    <t>2993.83万</t>
  </si>
  <si>
    <t>7434.87万</t>
  </si>
  <si>
    <t>2352.15万</t>
  </si>
  <si>
    <t>-11598604亿</t>
  </si>
  <si>
    <t>89.06万</t>
  </si>
  <si>
    <t>1088.93万</t>
  </si>
  <si>
    <t>11.03亿</t>
  </si>
  <si>
    <t>26739109亿</t>
  </si>
  <si>
    <t>1203875090亿</t>
  </si>
  <si>
    <t>5322.55万</t>
  </si>
  <si>
    <t>10.76亿</t>
  </si>
  <si>
    <t>26.66亿</t>
  </si>
  <si>
    <t>3.44亿</t>
  </si>
  <si>
    <t>-4771.72万</t>
  </si>
  <si>
    <t>-6542.98万</t>
  </si>
  <si>
    <t>4.97亿</t>
  </si>
  <si>
    <t>117.10万</t>
  </si>
  <si>
    <t>5222.09万</t>
  </si>
  <si>
    <t>1.32亿</t>
  </si>
  <si>
    <t>010888900</t>
  </si>
  <si>
    <t>032666700</t>
  </si>
  <si>
    <t>065333400</t>
  </si>
  <si>
    <t>0108889000</t>
  </si>
  <si>
    <t>0217778000</t>
  </si>
  <si>
    <t>2746.08万</t>
  </si>
  <si>
    <t>7.00亿</t>
  </si>
  <si>
    <t>35.79亿</t>
  </si>
  <si>
    <t>103425163亿</t>
  </si>
  <si>
    <t>5.15亿</t>
  </si>
  <si>
    <t>7158.63万</t>
  </si>
  <si>
    <t>6937.56万</t>
  </si>
  <si>
    <t>2999.72万</t>
  </si>
  <si>
    <t>238.51万</t>
  </si>
  <si>
    <t>2651.01万</t>
  </si>
  <si>
    <t>3405.26万</t>
  </si>
  <si>
    <t>11408447亿</t>
  </si>
  <si>
    <t>3063.04万</t>
  </si>
  <si>
    <t>3.50亿</t>
  </si>
  <si>
    <t>204621950亿</t>
  </si>
  <si>
    <t>2234870600亿</t>
  </si>
  <si>
    <t>1694.34万</t>
  </si>
  <si>
    <t>5.65亿</t>
  </si>
  <si>
    <t>8100.00万</t>
  </si>
  <si>
    <t>-6120.76万</t>
  </si>
  <si>
    <t>-549.16万</t>
  </si>
  <si>
    <t>1435.36万</t>
  </si>
  <si>
    <t>10.62亿</t>
  </si>
  <si>
    <t>071586300</t>
  </si>
  <si>
    <t>0214758900</t>
  </si>
  <si>
    <t>0429517800</t>
  </si>
  <si>
    <t>0715863000</t>
  </si>
  <si>
    <t>01431726000</t>
  </si>
  <si>
    <t>4.71亿</t>
  </si>
  <si>
    <t>76.13亿</t>
  </si>
  <si>
    <t>8.04亿</t>
  </si>
  <si>
    <t>888585680亿</t>
  </si>
  <si>
    <t>48.25亿</t>
  </si>
  <si>
    <t>-11.02亿</t>
  </si>
  <si>
    <t>8.65亿</t>
  </si>
  <si>
    <t>4.21亿</t>
  </si>
  <si>
    <t>1.89亿</t>
  </si>
  <si>
    <t>1.43亿</t>
  </si>
  <si>
    <t>5.92亿</t>
  </si>
  <si>
    <t>2089亿</t>
  </si>
  <si>
    <t>2288.35万</t>
  </si>
  <si>
    <t>8.09亿</t>
  </si>
  <si>
    <t>38193525亿</t>
  </si>
  <si>
    <t>1052290360亿</t>
  </si>
  <si>
    <t>3.25亿</t>
  </si>
  <si>
    <t>2.81亿</t>
  </si>
  <si>
    <t>69.69亿</t>
  </si>
  <si>
    <t>-4.94亿</t>
  </si>
  <si>
    <t>-141.89万</t>
  </si>
  <si>
    <t>9.19亿</t>
  </si>
  <si>
    <t>12.13亿</t>
  </si>
  <si>
    <t>-4.64亿</t>
  </si>
  <si>
    <t>16.27亿</t>
  </si>
  <si>
    <t>45.46亿</t>
  </si>
  <si>
    <t>7755.71万</t>
  </si>
  <si>
    <t>13.67亿</t>
  </si>
  <si>
    <t>13.08亿</t>
  </si>
  <si>
    <t>29536302亿</t>
  </si>
  <si>
    <t>-4.40亿</t>
  </si>
  <si>
    <t>3149.54万</t>
  </si>
  <si>
    <t>1401.73万</t>
  </si>
  <si>
    <t>364.46万</t>
  </si>
  <si>
    <t>1167.87万</t>
  </si>
  <si>
    <t>0亿</t>
  </si>
  <si>
    <t>4.27万</t>
  </si>
  <si>
    <t>-1276.09万</t>
  </si>
  <si>
    <t>2.87亿</t>
  </si>
  <si>
    <t>213448400亿</t>
  </si>
  <si>
    <t>1187729140亿</t>
  </si>
  <si>
    <t>780.01万</t>
  </si>
  <si>
    <t>9.62亿</t>
  </si>
  <si>
    <t>-1981.36万</t>
  </si>
  <si>
    <t>-28.14万</t>
  </si>
  <si>
    <t>-450.11万</t>
  </si>
  <si>
    <t>4468.56万</t>
  </si>
  <si>
    <t>-1167.71万</t>
  </si>
  <si>
    <t>1.51亿</t>
  </si>
  <si>
    <t>2957.65万</t>
  </si>
  <si>
    <t>5.32亿</t>
  </si>
  <si>
    <t>13.57亿</t>
  </si>
  <si>
    <t>139948830亿</t>
  </si>
  <si>
    <t>8.03亿</t>
  </si>
  <si>
    <t>1.81亿</t>
  </si>
  <si>
    <t>1.28亿</t>
  </si>
  <si>
    <t>6667.76万</t>
  </si>
  <si>
    <t>2613.14万</t>
  </si>
  <si>
    <t>1839.63万</t>
  </si>
  <si>
    <t>6685.10万</t>
  </si>
  <si>
    <t>2805716亿</t>
  </si>
  <si>
    <t>30.62万</t>
  </si>
  <si>
    <t>1259.00万</t>
  </si>
  <si>
    <t>6.93亿</t>
  </si>
  <si>
    <t>6076642亿</t>
  </si>
  <si>
    <t>1585263200亿</t>
  </si>
  <si>
    <t>21.78万</t>
  </si>
  <si>
    <t>290.96万</t>
  </si>
  <si>
    <t>3.52亿</t>
  </si>
  <si>
    <t>3975.98万</t>
  </si>
  <si>
    <t>-2.61亿</t>
  </si>
  <si>
    <t>-1550.12万</t>
  </si>
  <si>
    <t>1974.03万</t>
  </si>
  <si>
    <t>7076.12万</t>
  </si>
  <si>
    <t>*ST豆神</t>
  </si>
  <si>
    <t>5535.63万</t>
  </si>
  <si>
    <t>30.28亿</t>
  </si>
  <si>
    <t>-7.62亿</t>
  </si>
  <si>
    <t>156428840亿</t>
  </si>
  <si>
    <t>10.13亿</t>
  </si>
  <si>
    <t>-6.87亿</t>
  </si>
  <si>
    <t>9666.86万</t>
  </si>
  <si>
    <t>2808.76万</t>
  </si>
  <si>
    <t>4006.56万</t>
  </si>
  <si>
    <t>7399.39万</t>
  </si>
  <si>
    <t>560265亿</t>
  </si>
  <si>
    <t>204.96万</t>
  </si>
  <si>
    <t>-4694.07万</t>
  </si>
  <si>
    <t>5444.29万</t>
  </si>
  <si>
    <t>225397170亿</t>
  </si>
  <si>
    <t>112.40万</t>
  </si>
  <si>
    <t>1045252970亿</t>
  </si>
  <si>
    <t>2.73亿</t>
  </si>
  <si>
    <t>27.86亿</t>
  </si>
  <si>
    <t>-7096.63万</t>
  </si>
  <si>
    <t>38.12万</t>
  </si>
  <si>
    <t>-26.75万</t>
  </si>
  <si>
    <t>1.68亿</t>
  </si>
  <si>
    <t>-4296.97万</t>
  </si>
  <si>
    <t>3.05亿</t>
  </si>
  <si>
    <t>16.18亿</t>
  </si>
  <si>
    <t>18.89亿</t>
  </si>
  <si>
    <t>-4.35亿</t>
  </si>
  <si>
    <t>8161369亿</t>
  </si>
  <si>
    <t>7825.14万</t>
  </si>
  <si>
    <t>-1.29亿</t>
  </si>
  <si>
    <t>2870.64万</t>
  </si>
  <si>
    <t>505.91万</t>
  </si>
  <si>
    <t>251.39万</t>
  </si>
  <si>
    <t>508.22万</t>
  </si>
  <si>
    <t>-2052.71万</t>
  </si>
  <si>
    <t>250.48万</t>
  </si>
  <si>
    <t>20433464亿</t>
  </si>
  <si>
    <t>203567150亿</t>
  </si>
  <si>
    <t>3.63亿</t>
  </si>
  <si>
    <t>1330.27万</t>
  </si>
  <si>
    <t>18.71亿</t>
  </si>
  <si>
    <t>-134.13万</t>
  </si>
  <si>
    <t>-7.40万</t>
  </si>
  <si>
    <t>125.00万</t>
  </si>
  <si>
    <t>1628.22万</t>
  </si>
  <si>
    <t>-2112.77万</t>
  </si>
  <si>
    <t>10.61亿</t>
  </si>
  <si>
    <t>4200.41万</t>
  </si>
  <si>
    <t>7.77亿</t>
  </si>
  <si>
    <t>169838620亿</t>
  </si>
  <si>
    <t>7407.76万</t>
  </si>
  <si>
    <t>562.52万</t>
  </si>
  <si>
    <t>1167.31万</t>
  </si>
  <si>
    <t>1558.52万</t>
  </si>
  <si>
    <t>42072亿</t>
  </si>
  <si>
    <t>14.62万</t>
  </si>
  <si>
    <t>3572.39万</t>
  </si>
  <si>
    <t>3.43亿</t>
  </si>
  <si>
    <t>89292619亿</t>
  </si>
  <si>
    <t>6734.13万</t>
  </si>
  <si>
    <t>635274290亿</t>
  </si>
  <si>
    <t>6870.56万</t>
  </si>
  <si>
    <t>15.15万</t>
  </si>
  <si>
    <t>9867.21万</t>
  </si>
  <si>
    <t>-212.39万</t>
  </si>
  <si>
    <t>-8500.00万</t>
  </si>
  <si>
    <t>1.87亿</t>
  </si>
  <si>
    <t>1601.99万</t>
  </si>
  <si>
    <t>9.97亿</t>
  </si>
  <si>
    <t>7-0</t>
  </si>
  <si>
    <t>*ST三盛</t>
  </si>
  <si>
    <t>1928.30万</t>
  </si>
  <si>
    <t>5.31亿</t>
  </si>
  <si>
    <t>14.21亿</t>
  </si>
  <si>
    <t>66687615亿</t>
  </si>
  <si>
    <t>2.29亿</t>
  </si>
  <si>
    <t>-2.37亿</t>
  </si>
  <si>
    <t>8035.04万</t>
  </si>
  <si>
    <t>4918.03万</t>
  </si>
  <si>
    <t>450.17万</t>
  </si>
  <si>
    <t>1621.54万</t>
  </si>
  <si>
    <t>3432.04万</t>
  </si>
  <si>
    <t>-368185亿</t>
  </si>
  <si>
    <t>-1314.25万</t>
  </si>
  <si>
    <t>5.02亿</t>
  </si>
  <si>
    <t>68400324亿</t>
  </si>
  <si>
    <t>977550060亿</t>
  </si>
  <si>
    <t>701.86万</t>
  </si>
  <si>
    <t>2.30亿</t>
  </si>
  <si>
    <t>5952.51万</t>
  </si>
  <si>
    <t>3.85亿</t>
  </si>
  <si>
    <t>-2.55亿</t>
  </si>
  <si>
    <t>-110.04万</t>
  </si>
  <si>
    <t>-336.17万</t>
  </si>
  <si>
    <t>5839.50万</t>
  </si>
  <si>
    <t>-859.81万</t>
  </si>
  <si>
    <t>6673.50万</t>
  </si>
  <si>
    <t>1997.43万</t>
  </si>
  <si>
    <t>6.88亿</t>
  </si>
  <si>
    <t>107307769亿</t>
  </si>
  <si>
    <t>6.59亿</t>
  </si>
  <si>
    <t>3377.45万</t>
  </si>
  <si>
    <t>9699.27万</t>
  </si>
  <si>
    <t>3897.03万</t>
  </si>
  <si>
    <t>1320.07万</t>
  </si>
  <si>
    <t>3741.37万</t>
  </si>
  <si>
    <t>4187.58万</t>
  </si>
  <si>
    <t>23.45万</t>
  </si>
  <si>
    <t>470.26万</t>
  </si>
  <si>
    <t>2292.92万</t>
  </si>
  <si>
    <t>39786441亿</t>
  </si>
  <si>
    <t>191541480亿</t>
  </si>
  <si>
    <t>3951.90万</t>
  </si>
  <si>
    <t>6.29亿</t>
  </si>
  <si>
    <t>3284.70万</t>
  </si>
  <si>
    <t>-3962.23万</t>
  </si>
  <si>
    <t>4445.59万</t>
  </si>
  <si>
    <t>-187.46万</t>
  </si>
  <si>
    <t>-5000.87万</t>
  </si>
  <si>
    <t>7366.36万</t>
  </si>
  <si>
    <t>3.46亿</t>
  </si>
  <si>
    <t>033774500</t>
  </si>
  <si>
    <t>0101323500</t>
  </si>
  <si>
    <t>0202647000</t>
  </si>
  <si>
    <t>0337745000</t>
  </si>
  <si>
    <t>0675490000</t>
  </si>
  <si>
    <t>6605.67万</t>
  </si>
  <si>
    <t>104562512亿</t>
  </si>
  <si>
    <t>6.05亿</t>
  </si>
  <si>
    <t>1258.68万</t>
  </si>
  <si>
    <t>7566.87万</t>
  </si>
  <si>
    <t>733.15万</t>
  </si>
  <si>
    <t>1790.64万</t>
  </si>
  <si>
    <t>3386.13万</t>
  </si>
  <si>
    <t>329236亿</t>
  </si>
  <si>
    <t>-418.29万</t>
  </si>
  <si>
    <t>4.08亿</t>
  </si>
  <si>
    <t>222200500亿</t>
  </si>
  <si>
    <t>858216660亿</t>
  </si>
  <si>
    <t>15.22万</t>
  </si>
  <si>
    <t>1001.04万</t>
  </si>
  <si>
    <t>7015.07万</t>
  </si>
  <si>
    <t>-5255.21万</t>
  </si>
  <si>
    <t>-2392.57万</t>
  </si>
  <si>
    <t>-3757.48万</t>
  </si>
  <si>
    <t>7.24亿</t>
  </si>
  <si>
    <t>919.65万</t>
  </si>
  <si>
    <t>5658.65万</t>
  </si>
  <si>
    <t>247.57万</t>
  </si>
  <si>
    <t>2.15亿</t>
  </si>
  <si>
    <t>9.28亿</t>
  </si>
  <si>
    <t>开始亏损</t>
  </si>
  <si>
    <t>037760400</t>
  </si>
  <si>
    <t>075520800</t>
  </si>
  <si>
    <t>0125868000</t>
  </si>
  <si>
    <t>0251736000</t>
  </si>
  <si>
    <t>3803.99万</t>
  </si>
  <si>
    <t>2.27亿</t>
  </si>
  <si>
    <t>48356540亿</t>
  </si>
  <si>
    <t>-8352.68万</t>
  </si>
  <si>
    <t>5853.69万</t>
  </si>
  <si>
    <t>2671.28万</t>
  </si>
  <si>
    <t>1629.53万</t>
  </si>
  <si>
    <t>1388.94万</t>
  </si>
  <si>
    <t>3187.54万</t>
  </si>
  <si>
    <t>-407137亿</t>
  </si>
  <si>
    <t>1.89万</t>
  </si>
  <si>
    <t>-1102.89万</t>
  </si>
  <si>
    <t>24847724亿</t>
  </si>
  <si>
    <t>516289800亿</t>
  </si>
  <si>
    <t>3560.97万</t>
  </si>
  <si>
    <t>2.11亿</t>
  </si>
  <si>
    <t>-1125.91万</t>
  </si>
  <si>
    <t>-347.94万</t>
  </si>
  <si>
    <t>-2135.89万</t>
  </si>
  <si>
    <t>9937.34万</t>
  </si>
  <si>
    <t>-1947.62万</t>
  </si>
  <si>
    <t>9060.16万</t>
  </si>
  <si>
    <t>200.34万</t>
  </si>
  <si>
    <t>63493098亿</t>
  </si>
  <si>
    <t>2684.60万</t>
  </si>
  <si>
    <t>6325.55万</t>
  </si>
  <si>
    <t>3914.08万</t>
  </si>
  <si>
    <t>4.92万</t>
  </si>
  <si>
    <t>2241.92万</t>
  </si>
  <si>
    <t>-7.84亿</t>
  </si>
  <si>
    <t>43.25万</t>
  </si>
  <si>
    <t>2.49亿</t>
  </si>
  <si>
    <t>2623496亿</t>
  </si>
  <si>
    <t>254197110亿</t>
  </si>
  <si>
    <t>755.52万</t>
  </si>
  <si>
    <t>976.70万</t>
  </si>
  <si>
    <t>5.33亿</t>
  </si>
  <si>
    <t>-4289.58万</t>
  </si>
  <si>
    <t>-638.42万</t>
  </si>
  <si>
    <t>5827.99万</t>
  </si>
  <si>
    <t>61.37万</t>
  </si>
  <si>
    <t>712.27万</t>
  </si>
  <si>
    <t>4386.94万</t>
  </si>
  <si>
    <t>4316.79万</t>
  </si>
  <si>
    <t>9194.97万</t>
  </si>
  <si>
    <t>26.90亿</t>
  </si>
  <si>
    <t>57460245亿</t>
  </si>
  <si>
    <t>1.34亿</t>
  </si>
  <si>
    <t>6688.59万</t>
  </si>
  <si>
    <t>1727.43万</t>
  </si>
  <si>
    <t>1813.78万</t>
  </si>
  <si>
    <t>1456.57万</t>
  </si>
  <si>
    <t>9606.43万</t>
  </si>
  <si>
    <t>4495455亿</t>
  </si>
  <si>
    <t>287.11万</t>
  </si>
  <si>
    <t>50315497亿</t>
  </si>
  <si>
    <t>2930.00万</t>
  </si>
  <si>
    <t>1463603000亿</t>
  </si>
  <si>
    <t>3333.36万</t>
  </si>
  <si>
    <t>130.13万</t>
  </si>
  <si>
    <t>8493.96万</t>
  </si>
  <si>
    <t>-5068.99万</t>
  </si>
  <si>
    <t>-2.50亿</t>
  </si>
  <si>
    <t>-156.00万</t>
  </si>
  <si>
    <t>4454.15万</t>
  </si>
  <si>
    <t>208.16万</t>
  </si>
  <si>
    <t>10派1元(含税)</t>
  </si>
  <si>
    <t>1.93亿</t>
  </si>
  <si>
    <t>6.37亿</t>
  </si>
  <si>
    <t>0134000000</t>
  </si>
  <si>
    <t>0402000000</t>
  </si>
  <si>
    <t>0804000000</t>
  </si>
  <si>
    <t>01340000000</t>
  </si>
  <si>
    <t>02680000000</t>
  </si>
  <si>
    <t>1371.03万</t>
  </si>
  <si>
    <t>8.20亿</t>
  </si>
  <si>
    <t>189278160亿</t>
  </si>
  <si>
    <t>7.60亿</t>
  </si>
  <si>
    <t>9962.41万</t>
  </si>
  <si>
    <t>5175.91万</t>
  </si>
  <si>
    <t>5041.60万</t>
  </si>
  <si>
    <t>1490.31万</t>
  </si>
  <si>
    <t>1659250亿</t>
  </si>
  <si>
    <t>79.75万</t>
  </si>
  <si>
    <t>-2328.87万</t>
  </si>
  <si>
    <t>4.02亿</t>
  </si>
  <si>
    <t>16912603亿</t>
  </si>
  <si>
    <t>723208060亿</t>
  </si>
  <si>
    <t>2592.47万</t>
  </si>
  <si>
    <t>193.43万</t>
  </si>
  <si>
    <t>7.52亿</t>
  </si>
  <si>
    <t>1194.51万</t>
  </si>
  <si>
    <t>1058.43万</t>
  </si>
  <si>
    <t>-2118.66万</t>
  </si>
  <si>
    <t>7302.11万</t>
  </si>
  <si>
    <t>3647.44万</t>
  </si>
  <si>
    <t>0504000000</t>
  </si>
  <si>
    <t>01008000000</t>
  </si>
  <si>
    <t>01680000000</t>
  </si>
  <si>
    <t>03360000000</t>
  </si>
  <si>
    <t>3205.87万</t>
  </si>
  <si>
    <t>17.75亿</t>
  </si>
  <si>
    <t>28665998亿</t>
  </si>
  <si>
    <t>-8651.06万</t>
  </si>
  <si>
    <t>2651.92万</t>
  </si>
  <si>
    <t>588.29万</t>
  </si>
  <si>
    <t>603.83万</t>
  </si>
  <si>
    <t>982.65万</t>
  </si>
  <si>
    <t>2945.55万</t>
  </si>
  <si>
    <t>1543686亿</t>
  </si>
  <si>
    <t>72.91万</t>
  </si>
  <si>
    <t>-10.19万</t>
  </si>
  <si>
    <t>8047.41万</t>
  </si>
  <si>
    <t>12634276亿</t>
  </si>
  <si>
    <t>1176321730亿</t>
  </si>
  <si>
    <t>570.48万</t>
  </si>
  <si>
    <t>606.89万</t>
  </si>
  <si>
    <t>9502.26万</t>
  </si>
  <si>
    <t>-5326.79万</t>
  </si>
  <si>
    <t>-571.48万</t>
  </si>
  <si>
    <t>-26.44万</t>
  </si>
  <si>
    <t>2762.73万</t>
  </si>
  <si>
    <t>108.50万</t>
  </si>
  <si>
    <t>8803.87万</t>
  </si>
  <si>
    <t>3-0</t>
  </si>
  <si>
    <t>8388.86万</t>
  </si>
  <si>
    <t>6.45亿</t>
  </si>
  <si>
    <t>32.17亿</t>
  </si>
  <si>
    <t>135140530亿</t>
  </si>
  <si>
    <t>5.07亿</t>
  </si>
  <si>
    <t>4024.64万</t>
  </si>
  <si>
    <t>7644.66万</t>
  </si>
  <si>
    <t>751.04万</t>
  </si>
  <si>
    <t>1960.71万</t>
  </si>
  <si>
    <t>4248.94万</t>
  </si>
  <si>
    <t>86735亿</t>
  </si>
  <si>
    <t>26.31万</t>
  </si>
  <si>
    <t>857.69万</t>
  </si>
  <si>
    <t>5.09亿</t>
  </si>
  <si>
    <t>359793380亿</t>
  </si>
  <si>
    <t>976152120亿</t>
  </si>
  <si>
    <t>18.00万</t>
  </si>
  <si>
    <t>7542.33万</t>
  </si>
  <si>
    <t>16.13万</t>
  </si>
  <si>
    <t>-1025.46万</t>
  </si>
  <si>
    <t>-95.43万</t>
  </si>
  <si>
    <t>4.83亿</t>
  </si>
  <si>
    <t>7860.46万</t>
  </si>
  <si>
    <t>4.68亿</t>
  </si>
  <si>
    <t>717.19万</t>
  </si>
  <si>
    <t>10派0.12元(含税)</t>
  </si>
  <si>
    <t>17.51亿</t>
  </si>
  <si>
    <t>040246400</t>
  </si>
  <si>
    <t>0120739200</t>
  </si>
  <si>
    <t>0241478400</t>
  </si>
  <si>
    <t>0402464000</t>
  </si>
  <si>
    <t>0804928000</t>
  </si>
  <si>
    <t>786.47万</t>
  </si>
  <si>
    <t>26.99亿</t>
  </si>
  <si>
    <t>23.42亿</t>
  </si>
  <si>
    <t>203591740亿</t>
  </si>
  <si>
    <t>10.00亿</t>
  </si>
  <si>
    <t>-4318.34万</t>
  </si>
  <si>
    <t>2.34亿</t>
  </si>
  <si>
    <t>1033.00万</t>
  </si>
  <si>
    <t>6746.40万</t>
  </si>
  <si>
    <t>2046.80万</t>
  </si>
  <si>
    <t>-176745亿</t>
  </si>
  <si>
    <t>1.07万</t>
  </si>
  <si>
    <t>-2903.87万</t>
  </si>
  <si>
    <t>27833914亿</t>
  </si>
  <si>
    <t>915537870亿</t>
  </si>
  <si>
    <t>6.28亿</t>
  </si>
  <si>
    <t>4187.49万</t>
  </si>
  <si>
    <t>1.66万</t>
  </si>
  <si>
    <t>18.64亿</t>
  </si>
  <si>
    <t>7343.95万</t>
  </si>
  <si>
    <t>-1085.81万</t>
  </si>
  <si>
    <t>-6807.19万</t>
  </si>
  <si>
    <t>789.49万</t>
  </si>
  <si>
    <t>3987.90万</t>
  </si>
  <si>
    <t>195.79万</t>
  </si>
  <si>
    <t>8.94亿</t>
  </si>
  <si>
    <t>10.87亿</t>
  </si>
  <si>
    <t>109936683亿</t>
  </si>
  <si>
    <t>4.51亿</t>
  </si>
  <si>
    <t>9412.03万</t>
  </si>
  <si>
    <t>2453.95万</t>
  </si>
  <si>
    <t>3947.78万</t>
  </si>
  <si>
    <t>2479.75万</t>
  </si>
  <si>
    <t>2818.87万</t>
  </si>
  <si>
    <t>2916620亿</t>
  </si>
  <si>
    <t>6.01万</t>
  </si>
  <si>
    <t>1529.32万</t>
  </si>
  <si>
    <t>14.80亿</t>
  </si>
  <si>
    <t>4840亿</t>
  </si>
  <si>
    <t>1729190400亿</t>
  </si>
  <si>
    <t>132.95万</t>
  </si>
  <si>
    <t>2194.99万</t>
  </si>
  <si>
    <t>8.75亿</t>
  </si>
  <si>
    <t>3510.54万</t>
  </si>
  <si>
    <t>1.39亿</t>
  </si>
  <si>
    <t>-177.75万</t>
  </si>
  <si>
    <t>9813.73万</t>
  </si>
  <si>
    <t>796.80万</t>
  </si>
  <si>
    <t>10派20.0元(含税)</t>
  </si>
  <si>
    <t>720.11万</t>
  </si>
  <si>
    <t>3501.75万</t>
  </si>
  <si>
    <t>1.问：请问公司能否展望一下未来三年的预期？答：我们对2023-2025年的业绩发展很有信心;</t>
    <phoneticPr fontId="1" type="noConversion"/>
  </si>
  <si>
    <t>1.问：请问贵公司如何看待行业竞争对手在未来市场竞争中对贵公司的影响？答：因为职业教育培训市场足够大，目前整体参培率并不高，我们希望形成良性竞争态势，共同为消费者提供更好的产品和服务。从我们自身而言，因为拥有长期培育出的稳定的线下市场、以及持续的市场拓展能力，同时在线下优势明显的基础上可以获得充分的时间机会增强线上覆盖能力，相信我们能够依托强大的研发能力和教学能力迅速完成线上市场的布局，形成全新的业务矩阵。</t>
    <phoneticPr fontId="1" type="noConversion"/>
  </si>
  <si>
    <t>2609.28万</t>
  </si>
  <si>
    <t>9.30亿</t>
  </si>
  <si>
    <t>22.38亿</t>
  </si>
  <si>
    <t>68233241亿</t>
  </si>
  <si>
    <t>1.72亿</t>
  </si>
  <si>
    <t>-9659.44万</t>
  </si>
  <si>
    <t>8234.33万</t>
  </si>
  <si>
    <t>5425.22万</t>
  </si>
  <si>
    <t>102.24万</t>
  </si>
  <si>
    <t>1246.44万</t>
  </si>
  <si>
    <t>672019亿</t>
  </si>
  <si>
    <t>-1117.45万</t>
  </si>
  <si>
    <t>3.78亿</t>
  </si>
  <si>
    <t>2162117亿</t>
  </si>
  <si>
    <t>537713080亿</t>
  </si>
  <si>
    <t>3591.79万</t>
  </si>
  <si>
    <t>33.72万</t>
  </si>
  <si>
    <t>7.15亿</t>
  </si>
  <si>
    <t>-1391.11万</t>
  </si>
  <si>
    <t>-384.02万</t>
  </si>
  <si>
    <t>-4569.15万</t>
  </si>
  <si>
    <t>1048.26万</t>
  </si>
  <si>
    <t>-3817.96万</t>
  </si>
  <si>
    <t>8084.79万</t>
  </si>
  <si>
    <t>-1-0</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</si>
</sst>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sz val="11"/>
      <color rgb="FF000000"/>
      <name val="宋体"/>
      <family val="3"/>
      <charset val="134"/>
    </font>
    <font>
      <sz val="9"/>
      <color theme="1"/>
      <name val="宋体"/>
      <family val="2"/>
      <charset val="134"/>
      <scheme val="minor"/>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4">
    <xf numFmtId="0" fontId="0" fillId="0" borderId="0" xfId="0">
      <alignment vertical="center"/>
    </xf>
    <xf numFmtId="0" fontId="0" fillId="0" borderId="0" xfId="0" applyFill="1">
      <alignment vertical="center"/>
    </xf>
    <xf numFmtId="0" fontId="0" fillId="2" borderId="0" xfId="0" applyFill="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10" fontId="0" fillId="0" borderId="0" xfId="0" applyNumberFormat="1">
      <alignment vertical="center"/>
    </xf>
    <xf numFmtId="0" fontId="4" fillId="0" borderId="0" xfId="0" applyFont="1" applyFill="1">
      <alignment vertical="center"/>
    </xf>
    <xf numFmtId="14" fontId="0" fillId="0" borderId="0" xfId="0" applyNumberFormat="1">
      <alignment vertical="center"/>
    </xf>
    <xf numFmtId="0" fontId="0" fillId="4" borderId="0" xfId="0" applyFill="1">
      <alignment vertical="center"/>
    </xf>
    <xf numFmtId="0" fontId="0" fillId="5" borderId="0" xfId="0" applyFill="1">
      <alignment vertical="center"/>
    </xf>
    <xf numFmtId="0" fontId="4" fillId="0" borderId="0" xfId="0" applyFont="1">
      <alignment vertical="center"/>
    </xf>
    <xf numFmtId="0" fontId="3" fillId="0" borderId="0" xfId="0" applyFont="1">
      <alignment vertical="center"/>
    </xf>
    <xf numFmtId="0" fontId="0" fillId="0" borderId="0" xfId="0" applyNumberFormat="1">
      <alignment vertical="center"/>
    </xf>
    <xf numFmtId="0" fontId="6" fillId="0" borderId="0" xfId="0" applyFont="1" applyAlignment="1">
      <alignment vertical="center" wrapText="1"/>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361950</xdr:colOff>
          <xdr:row>0</xdr:row>
          <xdr:rowOff>158750</xdr:rowOff>
        </xdr:from>
        <xdr:to>
          <xdr:col>147</xdr:col>
          <xdr:colOff>1619250</xdr:colOff>
          <xdr:row>0</xdr:row>
          <xdr:rowOff>469900</xdr:rowOff>
        </xdr:to>
        <xdr:sp macro="" textlink="">
          <xdr:nvSpPr>
            <xdr:cNvPr id="2050" name="Button 2" descr="更新基本面按钮&#10;"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25"/>
  <sheetViews>
    <sheetView tabSelected="1" zoomScale="85" zoomScaleNormal="85" workbookViewId="0">
      <pane xSplit="5" ySplit="1" topLeftCell="CA2" activePane="bottomRight" state="frozen"/>
      <selection pane="topRight" activeCell="F1" sqref="F1"/>
      <selection pane="bottomLeft" activeCell="A2" sqref="A2"/>
      <selection pane="bottomRight" activeCell="CR15" sqref="CR15"/>
    </sheetView>
  </sheetViews>
  <sheetFormatPr defaultRowHeight="14" x14ac:dyDescent="0.25"/>
  <cols>
    <col min="1" max="1" width="30.81640625" customWidth="1"/>
    <col min="2" max="2" width="30" customWidth="1"/>
    <col min="3" max="3" width="39.453125" customWidth="1"/>
    <col min="148" max="148" width="27" customWidth="1"/>
  </cols>
  <sheetData>
    <row r="1" spans="1:146" ht="54" customHeight="1" x14ac:dyDescent="0.25">
      <c r="A1" s="3" t="s">
        <v>6</v>
      </c>
      <c r="B1" s="4" t="s">
        <v>7</v>
      </c>
      <c r="C1" s="3" t="s">
        <v>8</v>
      </c>
      <c r="D1" t="s">
        <v>9</v>
      </c>
      <c r="E1" t="s">
        <v>285</v>
      </c>
      <c r="F1" t="s">
        <v>3</v>
      </c>
      <c r="G1" t="s">
        <v>327</v>
      </c>
      <c r="H1" t="s">
        <v>328</v>
      </c>
      <c r="I1" t="s">
        <v>10</v>
      </c>
      <c r="J1" t="s">
        <v>11</v>
      </c>
      <c r="K1" t="s">
        <v>4</v>
      </c>
      <c r="L1" t="s">
        <v>12</v>
      </c>
      <c r="M1" t="s">
        <v>13</v>
      </c>
      <c r="N1" t="s">
        <v>14</v>
      </c>
      <c r="O1" t="s">
        <v>15</v>
      </c>
      <c r="P1" t="s">
        <v>329</v>
      </c>
      <c r="Q1" t="s">
        <v>286</v>
      </c>
      <c r="R1" t="s">
        <v>287</v>
      </c>
      <c r="S1" t="s">
        <v>16</v>
      </c>
      <c r="T1" t="s">
        <v>330</v>
      </c>
      <c r="U1" t="s">
        <v>240</v>
      </c>
      <c r="V1" t="s">
        <v>17</v>
      </c>
      <c r="W1" t="s">
        <v>288</v>
      </c>
      <c r="X1" t="s">
        <v>289</v>
      </c>
      <c r="Y1" t="s">
        <v>290</v>
      </c>
      <c r="Z1" t="s">
        <v>291</v>
      </c>
      <c r="AA1" t="s">
        <v>292</v>
      </c>
      <c r="AB1" t="s">
        <v>331</v>
      </c>
      <c r="AC1" t="s">
        <v>293</v>
      </c>
      <c r="AD1" t="s">
        <v>294</v>
      </c>
      <c r="AE1" t="s">
        <v>18</v>
      </c>
      <c r="AF1" t="s">
        <v>19</v>
      </c>
      <c r="AG1" t="s">
        <v>332</v>
      </c>
      <c r="AH1" t="s">
        <v>295</v>
      </c>
      <c r="AI1" t="s">
        <v>333</v>
      </c>
      <c r="AJ1" t="s">
        <v>20</v>
      </c>
      <c r="AK1" t="s">
        <v>334</v>
      </c>
      <c r="AL1" t="s">
        <v>25</v>
      </c>
      <c r="AM1" t="s">
        <v>335</v>
      </c>
      <c r="AN1" t="s">
        <v>336</v>
      </c>
      <c r="AO1" t="s">
        <v>337</v>
      </c>
      <c r="AP1" t="s">
        <v>338</v>
      </c>
      <c r="AQ1" t="s">
        <v>339</v>
      </c>
      <c r="AR1" t="s">
        <v>340</v>
      </c>
      <c r="AS1" t="s">
        <v>341</v>
      </c>
      <c r="AT1" t="s">
        <v>342</v>
      </c>
      <c r="AU1" t="s">
        <v>343</v>
      </c>
      <c r="AV1" t="s">
        <v>344</v>
      </c>
      <c r="AW1" t="s">
        <v>345</v>
      </c>
      <c r="AX1" t="s">
        <v>296</v>
      </c>
      <c r="AY1" t="s">
        <v>26</v>
      </c>
      <c r="AZ1" t="s">
        <v>27</v>
      </c>
      <c r="BA1" t="s">
        <v>28</v>
      </c>
      <c r="BB1" t="s">
        <v>29</v>
      </c>
      <c r="BC1" t="s">
        <v>241</v>
      </c>
      <c r="BD1" t="s">
        <v>30</v>
      </c>
      <c r="BE1" t="s">
        <v>31</v>
      </c>
      <c r="BF1" t="s">
        <v>32</v>
      </c>
      <c r="BG1" t="s">
        <v>33</v>
      </c>
      <c r="BH1" t="s">
        <v>346</v>
      </c>
      <c r="BI1" t="s">
        <v>347</v>
      </c>
      <c r="BJ1" t="s">
        <v>348</v>
      </c>
      <c r="BK1" t="s">
        <v>349</v>
      </c>
      <c r="BL1" t="s">
        <v>350</v>
      </c>
      <c r="BM1" t="s">
        <v>351</v>
      </c>
      <c r="BN1" t="s">
        <v>297</v>
      </c>
      <c r="BO1" t="s">
        <v>242</v>
      </c>
      <c r="BP1" t="s">
        <v>34</v>
      </c>
      <c r="BQ1" t="s">
        <v>298</v>
      </c>
      <c r="BR1" t="s">
        <v>243</v>
      </c>
      <c r="BS1" t="s">
        <v>35</v>
      </c>
      <c r="BT1" t="s">
        <v>352</v>
      </c>
      <c r="BU1" t="s">
        <v>299</v>
      </c>
      <c r="BV1" t="s">
        <v>353</v>
      </c>
      <c r="BW1" t="s">
        <v>63</v>
      </c>
      <c r="BX1" t="s">
        <v>36</v>
      </c>
      <c r="BY1" t="s">
        <v>354</v>
      </c>
      <c r="BZ1" t="s">
        <v>64</v>
      </c>
      <c r="CA1" t="s">
        <v>37</v>
      </c>
      <c r="CB1" t="s">
        <v>355</v>
      </c>
      <c r="CC1" t="s">
        <v>356</v>
      </c>
      <c r="CD1" t="s">
        <v>357</v>
      </c>
      <c r="CE1" t="s">
        <v>358</v>
      </c>
      <c r="CF1" s="1" t="s">
        <v>300</v>
      </c>
      <c r="CG1" s="1" t="s">
        <v>301</v>
      </c>
      <c r="CH1" s="1" t="s">
        <v>50</v>
      </c>
      <c r="CI1" s="1" t="s">
        <v>51</v>
      </c>
      <c r="CJ1" s="1" t="s">
        <v>52</v>
      </c>
      <c r="CK1" s="1" t="s">
        <v>53</v>
      </c>
      <c r="CL1" s="1" t="s">
        <v>54</v>
      </c>
      <c r="CM1" s="1" t="s">
        <v>55</v>
      </c>
      <c r="CN1" s="1" t="s">
        <v>56</v>
      </c>
      <c r="CO1" s="1" t="s">
        <v>57</v>
      </c>
      <c r="CP1" s="1" t="s">
        <v>58</v>
      </c>
      <c r="CQ1" s="1" t="s">
        <v>59</v>
      </c>
      <c r="CR1" s="1" t="s">
        <v>360</v>
      </c>
      <c r="CS1" s="1" t="s">
        <v>361</v>
      </c>
      <c r="CT1" s="1" t="s">
        <v>362</v>
      </c>
      <c r="CU1" s="1" t="s">
        <v>363</v>
      </c>
      <c r="CV1" s="1" t="s">
        <v>364</v>
      </c>
      <c r="CW1" s="1" t="s">
        <v>365</v>
      </c>
      <c r="CX1">
        <v>1</v>
      </c>
      <c r="CY1" t="s">
        <v>366</v>
      </c>
      <c r="CZ1" t="s">
        <v>367</v>
      </c>
      <c r="DA1">
        <v>3</v>
      </c>
      <c r="DB1" t="s">
        <v>302</v>
      </c>
      <c r="DC1" t="s">
        <v>368</v>
      </c>
      <c r="DD1">
        <v>6</v>
      </c>
      <c r="DE1" t="s">
        <v>369</v>
      </c>
      <c r="DF1" t="s">
        <v>370</v>
      </c>
      <c r="DG1">
        <v>10</v>
      </c>
      <c r="DH1" t="s">
        <v>371</v>
      </c>
      <c r="DI1" t="s">
        <v>372</v>
      </c>
      <c r="DJ1">
        <v>20</v>
      </c>
      <c r="DK1" t="s">
        <v>373</v>
      </c>
      <c r="DL1" t="s">
        <v>60</v>
      </c>
      <c r="DM1" t="s">
        <v>61</v>
      </c>
      <c r="DN1" s="2" t="s">
        <v>62</v>
      </c>
      <c r="DO1" t="s">
        <v>374</v>
      </c>
      <c r="DP1" t="s">
        <v>375</v>
      </c>
      <c r="DQ1" s="6" t="s">
        <v>376</v>
      </c>
      <c r="DR1" s="1" t="s">
        <v>377</v>
      </c>
      <c r="DS1" s="1" t="s">
        <v>378</v>
      </c>
      <c r="DT1" t="s">
        <v>379</v>
      </c>
      <c r="DU1" t="s">
        <v>380</v>
      </c>
      <c r="DV1" t="s">
        <v>381</v>
      </c>
      <c r="DW1" t="s">
        <v>303</v>
      </c>
      <c r="DX1" t="s">
        <v>382</v>
      </c>
      <c r="DY1" t="s">
        <v>383</v>
      </c>
      <c r="DZ1" t="s">
        <v>384</v>
      </c>
      <c r="EA1" t="s">
        <v>385</v>
      </c>
      <c r="EB1" t="s">
        <v>386</v>
      </c>
      <c r="EC1" t="s">
        <v>387</v>
      </c>
      <c r="ED1" t="s">
        <v>388</v>
      </c>
      <c r="EE1" t="s">
        <v>304</v>
      </c>
      <c r="EF1" t="s">
        <v>389</v>
      </c>
      <c r="EG1" t="s">
        <v>390</v>
      </c>
      <c r="EH1" t="s">
        <v>391</v>
      </c>
      <c r="EI1" t="s">
        <v>392</v>
      </c>
      <c r="EK1" s="7" t="s">
        <v>393</v>
      </c>
      <c r="EL1" t="s">
        <v>359</v>
      </c>
      <c r="EM1" t="s">
        <v>305</v>
      </c>
      <c r="EN1" t="s">
        <v>306</v>
      </c>
      <c r="EO1" t="s">
        <v>394</v>
      </c>
      <c r="EP1" t="s">
        <v>395</v>
      </c>
    </row>
    <row r="2" spans="1:146" ht="144" x14ac:dyDescent="0.25">
      <c r="A2" s="13" t="s">
        <v>412</v>
      </c>
      <c r="B2" s="13"/>
      <c r="C2" s="13" t="str">
        <f>"公司主营业务和主要服务为教育培训服务。主要产品为房屋租赁、设备租赁、教育培训服务费。"&amp;CHAR(10)&amp;Basic_Fundamental_Information_Constructure(F2)&amp;CHAR(10)&amp;Basic_Fundamental_Information_Concatenate("教育培训服务费收入 17.30亿 96.22% 93.19% 27.15%
其他 5559.36万 3.09% 6.22% 56.41%
房屋租赁收入 639.50万 0.36% 0.89% 69.82%")</f>
        <v>公司主营业务和主要服务为教育培训服务。主要产品为房屋租赁、设备租赁、教育培训服务费。
市值24.69484亿, 利润1088.89万; PE166.8; 平均PE-34.44; 平均PEG-4.62, PB5.62; ROIC2.55%; ROE-20.56%; 股利率0%; 毛利27.4967%; 净利-6.2167%; 上一年度营收增-28.9%, 利润增102.03%; 当季营收增4.37%, 利润增334.45%; 过往5年营收增-7.46%, 利润增-209.92%
Income profile:
教育培训服务费收入 17.30亿 96.22% 93.19% 27.15%
其他 5559.36万 3.09% 6.22% 56.41%
房屋租赁收入 639.50万 0.36% 0.89% 69.82%</v>
      </c>
      <c r="D2" t="s">
        <v>78</v>
      </c>
      <c r="E2" t="s">
        <v>79</v>
      </c>
      <c r="F2">
        <v>20.97</v>
      </c>
      <c r="G2">
        <v>10.02</v>
      </c>
      <c r="H2" t="s">
        <v>415</v>
      </c>
      <c r="I2">
        <v>2469484000</v>
      </c>
      <c r="J2">
        <v>166.8</v>
      </c>
      <c r="K2">
        <v>5.62</v>
      </c>
      <c r="L2" t="s">
        <v>80</v>
      </c>
      <c r="M2" t="s">
        <v>416</v>
      </c>
      <c r="N2" t="s">
        <v>417</v>
      </c>
      <c r="O2" t="s">
        <v>418</v>
      </c>
      <c r="P2">
        <v>4.46</v>
      </c>
      <c r="Q2" t="s">
        <v>419</v>
      </c>
      <c r="R2">
        <v>5087449</v>
      </c>
      <c r="S2" s="5">
        <v>3.3450000000000002</v>
      </c>
      <c r="T2" t="s">
        <v>420</v>
      </c>
      <c r="U2">
        <v>117762709</v>
      </c>
      <c r="V2">
        <v>117762709</v>
      </c>
      <c r="W2">
        <v>7.9</v>
      </c>
      <c r="X2">
        <v>0.16</v>
      </c>
      <c r="Y2">
        <v>0.89</v>
      </c>
      <c r="Z2" t="s">
        <v>157</v>
      </c>
      <c r="AA2" t="s">
        <v>421</v>
      </c>
      <c r="AB2" t="s">
        <v>422</v>
      </c>
      <c r="AC2" t="s">
        <v>423</v>
      </c>
      <c r="AD2" t="s">
        <v>424</v>
      </c>
      <c r="AE2">
        <v>17421639</v>
      </c>
      <c r="AF2" t="s">
        <v>425</v>
      </c>
      <c r="AG2" t="s">
        <v>426</v>
      </c>
      <c r="AH2" t="s">
        <v>427</v>
      </c>
      <c r="AI2" t="s">
        <v>428</v>
      </c>
      <c r="AJ2" t="s">
        <v>429</v>
      </c>
      <c r="AK2" t="s">
        <v>5</v>
      </c>
      <c r="AL2" t="s">
        <v>430</v>
      </c>
      <c r="AM2" t="s">
        <v>5</v>
      </c>
      <c r="AN2" t="s">
        <v>431</v>
      </c>
      <c r="AO2" t="s">
        <v>432</v>
      </c>
      <c r="AP2" t="s">
        <v>5</v>
      </c>
      <c r="AQ2" t="s">
        <v>84</v>
      </c>
      <c r="AR2" t="s">
        <v>48</v>
      </c>
      <c r="AS2" t="s">
        <v>433</v>
      </c>
      <c r="AT2" t="s">
        <v>5</v>
      </c>
      <c r="AU2" t="s">
        <v>434</v>
      </c>
      <c r="AV2" t="s">
        <v>435</v>
      </c>
      <c r="AW2" t="s">
        <v>436</v>
      </c>
      <c r="AX2" t="s">
        <v>244</v>
      </c>
      <c r="AY2" t="s">
        <v>81</v>
      </c>
      <c r="AZ2" t="s">
        <v>85</v>
      </c>
      <c r="BA2" t="s">
        <v>86</v>
      </c>
      <c r="BB2" t="s">
        <v>87</v>
      </c>
      <c r="BC2" t="s">
        <v>245</v>
      </c>
      <c r="BD2" t="s">
        <v>82</v>
      </c>
      <c r="BE2" t="s">
        <v>88</v>
      </c>
      <c r="BF2" t="s">
        <v>89</v>
      </c>
      <c r="BG2" t="s">
        <v>90</v>
      </c>
      <c r="BH2" t="s">
        <v>419</v>
      </c>
      <c r="BI2" t="s">
        <v>437</v>
      </c>
      <c r="BJ2" t="s">
        <v>244</v>
      </c>
      <c r="BK2" t="s">
        <v>420</v>
      </c>
      <c r="BL2" t="s">
        <v>438</v>
      </c>
      <c r="BM2" t="s">
        <v>245</v>
      </c>
      <c r="BN2">
        <v>0.56000000000000005</v>
      </c>
      <c r="BO2" t="s">
        <v>5</v>
      </c>
      <c r="BP2">
        <v>4.54</v>
      </c>
      <c r="BQ2">
        <v>1.1599999999999999</v>
      </c>
      <c r="BR2">
        <v>-99.3</v>
      </c>
      <c r="BS2">
        <v>36.46</v>
      </c>
      <c r="BT2" t="s">
        <v>397</v>
      </c>
      <c r="BU2" t="s">
        <v>80</v>
      </c>
      <c r="BV2">
        <v>30.47</v>
      </c>
      <c r="BW2">
        <v>26.19</v>
      </c>
      <c r="BX2">
        <v>25.83</v>
      </c>
      <c r="BY2">
        <v>0.89</v>
      </c>
      <c r="BZ2">
        <v>-21.3</v>
      </c>
      <c r="CA2">
        <v>1.76</v>
      </c>
      <c r="CB2">
        <v>27.01</v>
      </c>
      <c r="CC2">
        <v>20.66</v>
      </c>
      <c r="CD2" t="s">
        <v>439</v>
      </c>
      <c r="CE2" t="s">
        <v>440</v>
      </c>
      <c r="CF2" s="8">
        <v>4.3699979879275652E-2</v>
      </c>
      <c r="CG2" s="9">
        <v>3.344533731853117</v>
      </c>
      <c r="CH2" s="8">
        <v>-0.28904703259468079</v>
      </c>
      <c r="CI2" s="8">
        <v>4.0740661323070526E-2</v>
      </c>
      <c r="CJ2" s="8">
        <v>-0.18783418834209442</v>
      </c>
      <c r="CK2" s="8">
        <v>3.4220553934574127E-2</v>
      </c>
      <c r="CL2" s="8">
        <v>2.8805097565054893E-2</v>
      </c>
      <c r="CM2" s="9">
        <v>1.0203150510787964</v>
      </c>
      <c r="CN2" s="9">
        <v>-13.268898963928223</v>
      </c>
      <c r="CO2" s="9">
        <v>2.1509339809417725</v>
      </c>
      <c r="CP2" s="9">
        <v>7.059023529291153E-2</v>
      </c>
      <c r="CQ2" s="9">
        <v>-0.46881371736526489</v>
      </c>
      <c r="CR2">
        <v>-34.439759317587672</v>
      </c>
      <c r="CS2">
        <v>-4.6151679507614451</v>
      </c>
      <c r="CT2">
        <v>0</v>
      </c>
      <c r="CU2" s="8">
        <v>-7.4622981622815138E-2</v>
      </c>
      <c r="CV2" s="9">
        <v>-2.0991746827960016</v>
      </c>
      <c r="CW2">
        <v>0.06</v>
      </c>
      <c r="CX2">
        <v>458.12561415753657</v>
      </c>
      <c r="CY2" t="s">
        <v>441</v>
      </c>
      <c r="CZ2">
        <v>-7.4622981622815138E-2</v>
      </c>
      <c r="DA2">
        <v>152.70853805251218</v>
      </c>
      <c r="DB2" t="s">
        <v>442</v>
      </c>
      <c r="DC2">
        <v>-7.0891832541674374E-2</v>
      </c>
      <c r="DD2">
        <v>76.354269026256091</v>
      </c>
      <c r="DE2" t="s">
        <v>443</v>
      </c>
      <c r="DF2">
        <v>-6.5668223828077327E-2</v>
      </c>
      <c r="DG2">
        <v>45.812561415753656</v>
      </c>
      <c r="DH2" t="s">
        <v>444</v>
      </c>
      <c r="DI2">
        <v>-5.969838529825211E-2</v>
      </c>
      <c r="DJ2">
        <v>22.906280707876828</v>
      </c>
      <c r="DK2" t="s">
        <v>445</v>
      </c>
      <c r="DL2">
        <v>-5.2236087135970596E-2</v>
      </c>
      <c r="DM2">
        <v>10888900.000000002</v>
      </c>
      <c r="DN2">
        <v>-7.4622981622815138E-2</v>
      </c>
      <c r="DO2">
        <v>4988484000</v>
      </c>
      <c r="DP2">
        <v>-1462124910</v>
      </c>
      <c r="DQ2">
        <v>117</v>
      </c>
      <c r="DR2">
        <v>0.11832296150209079</v>
      </c>
      <c r="DS2">
        <v>5.4437084146491186</v>
      </c>
      <c r="DT2" s="10">
        <v>-0.3</v>
      </c>
      <c r="DU2">
        <v>0.31833333333333336</v>
      </c>
      <c r="DV2">
        <v>1.8333333333333368E-2</v>
      </c>
      <c r="DW2">
        <v>5.7649018881895593</v>
      </c>
      <c r="DX2">
        <v>0.6956128787878797</v>
      </c>
      <c r="DY2">
        <v>5.3026050379769556</v>
      </c>
      <c r="DZ2">
        <v>3805</v>
      </c>
      <c r="EA2">
        <v>5.0720920911296448</v>
      </c>
      <c r="EB2">
        <v>5</v>
      </c>
      <c r="EC2">
        <v>0.44344173502326617</v>
      </c>
      <c r="ED2">
        <v>1.1208981274369292</v>
      </c>
      <c r="EE2" s="11">
        <v>1.0837000000000001</v>
      </c>
      <c r="EF2">
        <v>2.0339</v>
      </c>
      <c r="EG2">
        <v>30.39561287878788</v>
      </c>
      <c r="EH2" t="s">
        <v>314</v>
      </c>
      <c r="EI2">
        <v>1</v>
      </c>
      <c r="EJ2">
        <v>0</v>
      </c>
      <c r="EK2" s="7">
        <v>45051</v>
      </c>
      <c r="EL2" s="12">
        <v>-1.5699999999999999E-2</v>
      </c>
      <c r="EM2" s="12">
        <v>6.3399999999999998E-2</v>
      </c>
      <c r="EN2" s="12">
        <v>10.01</v>
      </c>
      <c r="EO2" s="12">
        <v>0.26</v>
      </c>
      <c r="EP2" s="12">
        <v>10.02</v>
      </c>
    </row>
    <row r="3" spans="1:146" ht="108" x14ac:dyDescent="0.25">
      <c r="A3" s="13"/>
      <c r="B3" s="13"/>
      <c r="C3" s="13" t="str">
        <f>""&amp;CHAR(10)&amp;Basic_Fundamental_Information_Constructure(F3)&amp;CHAR(10)&amp;Basic_Fundamental_Information_Concatenate("")</f>
        <v xml:space="preserve">
市值79.69325亿, 利润7158.63万; PE79.64; 平均PE73.53; 平均PEG4.52, PB2.22; ROIC2.1833%; ROE2.1467%; 股利率.1264%; 毛利68.1667%; 净利26.74%; 上一年度营收增7.29%, 利润增-26.81%; 当季营收增-10.84%, 利润增198.44%; 过往5年营收增-16.25%, 利润增-13.64%
Income profile:
</v>
      </c>
      <c r="D3" t="s">
        <v>246</v>
      </c>
      <c r="E3" t="s">
        <v>247</v>
      </c>
      <c r="F3">
        <v>7.91</v>
      </c>
      <c r="G3">
        <v>1.1499999999999999</v>
      </c>
      <c r="H3" t="s">
        <v>446</v>
      </c>
      <c r="I3">
        <v>7969325000</v>
      </c>
      <c r="J3">
        <v>79.64</v>
      </c>
      <c r="K3">
        <v>2.2200000000000002</v>
      </c>
      <c r="L3" t="s">
        <v>80</v>
      </c>
      <c r="M3" t="s">
        <v>447</v>
      </c>
      <c r="N3" t="s">
        <v>448</v>
      </c>
      <c r="O3" t="s">
        <v>449</v>
      </c>
      <c r="P3">
        <v>-11</v>
      </c>
      <c r="Q3" t="s">
        <v>450</v>
      </c>
      <c r="R3">
        <v>42837108</v>
      </c>
      <c r="S3" s="5">
        <v>1.984</v>
      </c>
      <c r="T3" t="s">
        <v>451</v>
      </c>
      <c r="U3">
        <v>1006656250</v>
      </c>
      <c r="V3">
        <v>1007500000</v>
      </c>
      <c r="W3">
        <v>1.2</v>
      </c>
      <c r="X3">
        <v>0.02</v>
      </c>
      <c r="Y3">
        <v>40.64</v>
      </c>
      <c r="Z3" t="s">
        <v>452</v>
      </c>
      <c r="AA3" t="s">
        <v>453</v>
      </c>
      <c r="AB3" t="s">
        <v>454</v>
      </c>
      <c r="AC3" t="s">
        <v>455</v>
      </c>
      <c r="AD3" t="s">
        <v>456</v>
      </c>
      <c r="AE3">
        <v>902004</v>
      </c>
      <c r="AF3" t="s">
        <v>457</v>
      </c>
      <c r="AG3">
        <v>0.01</v>
      </c>
      <c r="AH3" t="s">
        <v>458</v>
      </c>
      <c r="AI3" t="s">
        <v>459</v>
      </c>
      <c r="AJ3" t="s">
        <v>460</v>
      </c>
      <c r="AK3" t="s">
        <v>5</v>
      </c>
      <c r="AL3" t="s">
        <v>461</v>
      </c>
      <c r="AM3" t="s">
        <v>5</v>
      </c>
      <c r="AN3" t="s">
        <v>462</v>
      </c>
      <c r="AO3" t="s">
        <v>5</v>
      </c>
      <c r="AP3" t="s">
        <v>5</v>
      </c>
      <c r="AQ3" t="s">
        <v>401</v>
      </c>
      <c r="AR3" t="s">
        <v>5</v>
      </c>
      <c r="AS3" t="s">
        <v>463</v>
      </c>
      <c r="AT3" t="s">
        <v>464</v>
      </c>
      <c r="AU3" t="s">
        <v>465</v>
      </c>
      <c r="AV3" t="s">
        <v>106</v>
      </c>
      <c r="AW3" t="s">
        <v>466</v>
      </c>
      <c r="AX3" t="s">
        <v>248</v>
      </c>
      <c r="AY3" t="s">
        <v>250</v>
      </c>
      <c r="AZ3" t="s">
        <v>251</v>
      </c>
      <c r="BA3" t="s">
        <v>154</v>
      </c>
      <c r="BB3" t="s">
        <v>252</v>
      </c>
      <c r="BC3" t="s">
        <v>249</v>
      </c>
      <c r="BD3" t="s">
        <v>253</v>
      </c>
      <c r="BE3" t="s">
        <v>164</v>
      </c>
      <c r="BF3" t="s">
        <v>23</v>
      </c>
      <c r="BG3" t="s">
        <v>254</v>
      </c>
      <c r="BH3" t="s">
        <v>450</v>
      </c>
      <c r="BI3" t="s">
        <v>106</v>
      </c>
      <c r="BJ3" t="s">
        <v>248</v>
      </c>
      <c r="BK3" t="s">
        <v>451</v>
      </c>
      <c r="BL3" t="s">
        <v>467</v>
      </c>
      <c r="BM3" t="s">
        <v>249</v>
      </c>
      <c r="BN3">
        <v>1.17</v>
      </c>
      <c r="BO3">
        <v>2.93</v>
      </c>
      <c r="BP3">
        <v>2.4500000000000002</v>
      </c>
      <c r="BQ3">
        <v>1.2</v>
      </c>
      <c r="BR3">
        <v>2.84</v>
      </c>
      <c r="BS3">
        <v>2.4</v>
      </c>
      <c r="BT3" t="s">
        <v>398</v>
      </c>
      <c r="BU3" t="s">
        <v>80</v>
      </c>
      <c r="BV3">
        <v>71</v>
      </c>
      <c r="BW3">
        <v>67.87</v>
      </c>
      <c r="BX3">
        <v>65.63</v>
      </c>
      <c r="BY3">
        <v>40.64</v>
      </c>
      <c r="BZ3">
        <v>20.79</v>
      </c>
      <c r="CA3">
        <v>18.79</v>
      </c>
      <c r="CB3">
        <v>2.59</v>
      </c>
      <c r="CC3">
        <v>-8.5500000000000007</v>
      </c>
      <c r="CD3" t="s">
        <v>74</v>
      </c>
      <c r="CE3" t="s">
        <v>468</v>
      </c>
      <c r="CF3" s="8">
        <v>-0.10840376724137919</v>
      </c>
      <c r="CG3" s="9">
        <v>1.9844156169880729</v>
      </c>
      <c r="CH3" s="8">
        <v>7.2916664183139801E-2</v>
      </c>
      <c r="CI3" s="8">
        <v>0.10091742873191833</v>
      </c>
      <c r="CJ3" s="8">
        <v>-0.16793893277645111</v>
      </c>
      <c r="CK3" s="8">
        <v>-0.46693795919418335</v>
      </c>
      <c r="CL3" s="8">
        <v>-0.35158312320709229</v>
      </c>
      <c r="CM3" s="9">
        <v>-0.26811680197715759</v>
      </c>
      <c r="CN3" s="9">
        <v>0.20953349769115448</v>
      </c>
      <c r="CO3" s="9">
        <v>-0.24423551559448242</v>
      </c>
      <c r="CP3" s="9">
        <v>-0.17692308127880096</v>
      </c>
      <c r="CQ3" s="9">
        <v>-0.20245398581027985</v>
      </c>
      <c r="CR3">
        <v>73.533111618323744</v>
      </c>
      <c r="CS3">
        <v>4.524413361905733</v>
      </c>
      <c r="CT3">
        <v>0.12642225031605564</v>
      </c>
      <c r="CU3" s="8">
        <v>-0.16252518445253372</v>
      </c>
      <c r="CV3" s="9">
        <v>-0.13643917739391326</v>
      </c>
      <c r="CW3">
        <v>0.06</v>
      </c>
      <c r="CX3">
        <v>71.107530351477862</v>
      </c>
      <c r="CY3" t="s">
        <v>469</v>
      </c>
      <c r="CZ3">
        <v>-0.16252518445253372</v>
      </c>
      <c r="DA3">
        <v>23.702510117159289</v>
      </c>
      <c r="DB3" t="s">
        <v>470</v>
      </c>
      <c r="DC3">
        <v>-0.15439892522990703</v>
      </c>
      <c r="DD3">
        <v>11.851255058579644</v>
      </c>
      <c r="DE3" t="s">
        <v>471</v>
      </c>
      <c r="DF3">
        <v>-0.14302216231822967</v>
      </c>
      <c r="DG3">
        <v>7.1107530351477868</v>
      </c>
      <c r="DH3" t="s">
        <v>472</v>
      </c>
      <c r="DI3">
        <v>-0.13002014756202698</v>
      </c>
      <c r="DJ3">
        <v>3.5553765175738934</v>
      </c>
      <c r="DK3" t="s">
        <v>473</v>
      </c>
      <c r="DL3">
        <v>-0.1137676291167736</v>
      </c>
      <c r="DM3">
        <v>71586300</v>
      </c>
      <c r="DN3">
        <v>-0.16252518445253372</v>
      </c>
      <c r="DO3">
        <v>5090325000</v>
      </c>
      <c r="DP3">
        <v>1669870600</v>
      </c>
      <c r="DQ3">
        <v>614</v>
      </c>
      <c r="DR3">
        <v>5.4121417211154529E-2</v>
      </c>
      <c r="DS3">
        <v>2.120854794381986</v>
      </c>
      <c r="DT3" s="10">
        <v>-0.56999999999999995</v>
      </c>
      <c r="DU3">
        <v>7.3333333333333403E-2</v>
      </c>
      <c r="DV3">
        <v>-0.49666666666666653</v>
      </c>
      <c r="DW3">
        <v>6.2324955116696588</v>
      </c>
      <c r="DX3">
        <v>0.44169491525423527</v>
      </c>
      <c r="DY3">
        <v>6.0236436113562366</v>
      </c>
      <c r="DZ3">
        <v>2961</v>
      </c>
      <c r="EA3">
        <v>6.0096278489486661</v>
      </c>
      <c r="EB3">
        <v>6</v>
      </c>
      <c r="EC3">
        <v>0.10719602977667494</v>
      </c>
      <c r="ED3">
        <v>1.05409429280397</v>
      </c>
      <c r="EE3" s="11">
        <v>2.0909</v>
      </c>
      <c r="EF3">
        <v>2.1023999999999998</v>
      </c>
      <c r="EG3">
        <v>34.101694915254235</v>
      </c>
      <c r="EH3" t="s">
        <v>314</v>
      </c>
      <c r="EI3">
        <v>0</v>
      </c>
      <c r="EJ3">
        <v>0</v>
      </c>
      <c r="EK3" s="7">
        <v>45051</v>
      </c>
      <c r="EL3" s="12">
        <v>-7.7999999999999996E-3</v>
      </c>
      <c r="EM3" s="12">
        <v>-2.35E-2</v>
      </c>
      <c r="EN3" s="12">
        <v>4.0199999999999996</v>
      </c>
      <c r="EO3" s="12">
        <v>0.64</v>
      </c>
      <c r="EP3" s="12">
        <v>1.1499999999999999</v>
      </c>
    </row>
    <row r="4" spans="1:146" ht="204" x14ac:dyDescent="0.25">
      <c r="A4" s="13" t="s">
        <v>914</v>
      </c>
      <c r="B4" s="13" t="s">
        <v>915</v>
      </c>
      <c r="C4" s="13" t="str">
        <f>"公司主营业务为招录考试培训、职业资格证书与学历提升以及职业技能培训。公司主要服务于大学生、大学毕业生等年轻就业人群。这个人群广泛分布于全国各地，职业能力训练和就业是这个人群的两大核心诉求，就业则是撬动整个职业教育领域的杠杆支点，也是职业教育机构竞争的终极赛场。"&amp;CHAR(10)&amp;Basic_Fundamental_Information_Constructure(F4)&amp;CHAR(10)&amp;Basic_Fundamental_Information_Concatenate("公务员招录培训 7.18亿 32.24%(-42.9%)
综合培训 6.77亿 30.38%(-20.8%)
事业单位招录培训 4.35亿 19.55%(-13.71%)
教师招录及教师资格培训 3.87亿 17.38%(-15.66%)")</f>
        <v>公司主营业务为招录考试培训、职业资格证书与学历提升以及职业技能培训。公司主要服务于大学生、大学毕业生等年轻就业人群。这个人群广泛分布于全国各地，职业能力训练和就业是这个人群的两大核心诉求，就业则是撬动整个职业教育领域的杠杆支点，也是职业教育机构竞争的终极赛场。
市值336.74001亿, 利润-11.02亿; PE; 平均PE87.28; 平均PEG7.87, PB41.87; ROIC18.36%; ROE-2.5533%; 股利率0%; 毛利46.54%; 净利-3.66%; 上一年度营收增-30.19%, 利润增53.5%; 当季营收增-26.74%, 利润增105.24%; 过往5年营收增11.09%, 利润增10.89%
Income profile:
公务员招录培训 7.18亿 32.24%(-42.9%)
综合培训 6.77亿 30.38%(-20.8%)
事业单位招录培训 4.35亿 19.55%(-13.71%)
教师招录及教师资格培训 3.87亿 17.38%(-15.66%)</v>
      </c>
      <c r="D4" t="s">
        <v>95</v>
      </c>
      <c r="E4" t="s">
        <v>96</v>
      </c>
      <c r="F4">
        <v>5.46</v>
      </c>
      <c r="G4">
        <v>3.61</v>
      </c>
      <c r="H4" t="s">
        <v>474</v>
      </c>
      <c r="I4">
        <v>33674001000</v>
      </c>
      <c r="K4">
        <v>41.87</v>
      </c>
      <c r="L4" t="s">
        <v>80</v>
      </c>
      <c r="M4" t="s">
        <v>475</v>
      </c>
      <c r="N4" t="s">
        <v>476</v>
      </c>
      <c r="O4" t="s">
        <v>477</v>
      </c>
      <c r="P4">
        <v>-26.73</v>
      </c>
      <c r="Q4" t="s">
        <v>478</v>
      </c>
      <c r="R4">
        <v>24302777</v>
      </c>
      <c r="S4" s="5">
        <v>1.052</v>
      </c>
      <c r="T4" t="s">
        <v>479</v>
      </c>
      <c r="U4">
        <v>4679174000</v>
      </c>
      <c r="V4">
        <v>6167399400</v>
      </c>
      <c r="W4">
        <v>10.47</v>
      </c>
      <c r="X4">
        <v>0.11</v>
      </c>
      <c r="Y4">
        <v>2.73</v>
      </c>
      <c r="Z4" t="s">
        <v>480</v>
      </c>
      <c r="AA4" t="s">
        <v>481</v>
      </c>
      <c r="AB4" t="s">
        <v>482</v>
      </c>
      <c r="AC4" t="s">
        <v>483</v>
      </c>
      <c r="AD4" t="s">
        <v>484</v>
      </c>
      <c r="AE4">
        <v>25281277</v>
      </c>
      <c r="AF4" t="s">
        <v>485</v>
      </c>
      <c r="AG4" t="s">
        <v>5</v>
      </c>
      <c r="AH4" t="s">
        <v>486</v>
      </c>
      <c r="AI4" t="s">
        <v>487</v>
      </c>
      <c r="AJ4" t="s">
        <v>488</v>
      </c>
      <c r="AK4" t="s">
        <v>5</v>
      </c>
      <c r="AL4" t="s">
        <v>489</v>
      </c>
      <c r="AM4" t="s">
        <v>5</v>
      </c>
      <c r="AN4" t="s">
        <v>490</v>
      </c>
      <c r="AO4" t="s">
        <v>5</v>
      </c>
      <c r="AP4" t="s">
        <v>5</v>
      </c>
      <c r="AQ4" t="s">
        <v>491</v>
      </c>
      <c r="AR4" t="s">
        <v>5</v>
      </c>
      <c r="AS4" t="s">
        <v>492</v>
      </c>
      <c r="AT4" t="s">
        <v>5</v>
      </c>
      <c r="AU4" t="s">
        <v>493</v>
      </c>
      <c r="AV4" t="s">
        <v>494</v>
      </c>
      <c r="AW4" t="s">
        <v>495</v>
      </c>
      <c r="AX4" t="s">
        <v>255</v>
      </c>
      <c r="AY4" t="s">
        <v>97</v>
      </c>
      <c r="AZ4" t="s">
        <v>100</v>
      </c>
      <c r="BA4" t="s">
        <v>101</v>
      </c>
      <c r="BB4" t="s">
        <v>102</v>
      </c>
      <c r="BC4" t="s">
        <v>256</v>
      </c>
      <c r="BD4" t="s">
        <v>98</v>
      </c>
      <c r="BE4" t="s">
        <v>103</v>
      </c>
      <c r="BF4" t="s">
        <v>104</v>
      </c>
      <c r="BG4" t="s">
        <v>105</v>
      </c>
      <c r="BH4" t="s">
        <v>478</v>
      </c>
      <c r="BI4" t="s">
        <v>496</v>
      </c>
      <c r="BJ4" t="s">
        <v>255</v>
      </c>
      <c r="BK4" t="s">
        <v>479</v>
      </c>
      <c r="BL4" t="s">
        <v>497</v>
      </c>
      <c r="BM4" t="s">
        <v>256</v>
      </c>
      <c r="BN4">
        <v>3.39</v>
      </c>
      <c r="BO4" t="s">
        <v>5</v>
      </c>
      <c r="BP4">
        <v>33.33</v>
      </c>
      <c r="BQ4">
        <v>3.07</v>
      </c>
      <c r="BR4">
        <v>-76.88</v>
      </c>
      <c r="BS4">
        <v>66.150000000000006</v>
      </c>
      <c r="BT4" t="s">
        <v>397</v>
      </c>
      <c r="BU4" t="s">
        <v>80</v>
      </c>
      <c r="BV4">
        <v>52.64</v>
      </c>
      <c r="BW4">
        <v>27.75</v>
      </c>
      <c r="BX4">
        <v>59.23</v>
      </c>
      <c r="BY4">
        <v>2.73</v>
      </c>
      <c r="BZ4">
        <v>-34.28</v>
      </c>
      <c r="CA4">
        <v>20.57</v>
      </c>
      <c r="CB4">
        <v>13.04</v>
      </c>
      <c r="CC4">
        <v>12.81</v>
      </c>
      <c r="CD4" t="s">
        <v>498</v>
      </c>
      <c r="CE4" t="s">
        <v>499</v>
      </c>
      <c r="CF4" s="8">
        <v>-0.26744791426215991</v>
      </c>
      <c r="CG4" s="9">
        <v>1.0523766745689656</v>
      </c>
      <c r="CH4" s="8">
        <v>-0.30193865299224854</v>
      </c>
      <c r="CI4" s="8">
        <v>-0.38296732306480408</v>
      </c>
      <c r="CJ4" s="8">
        <v>0.22079329192638397</v>
      </c>
      <c r="CK4" s="8">
        <v>0.47122016549110413</v>
      </c>
      <c r="CL4" s="8">
        <v>0.54725879430770874</v>
      </c>
      <c r="CM4" s="9">
        <v>0.53502106666564941</v>
      </c>
      <c r="CN4" s="9">
        <v>-2.0286457538604736</v>
      </c>
      <c r="CO4" s="9">
        <v>0.27645432949066162</v>
      </c>
      <c r="CP4" s="9">
        <v>0.56548136472702026</v>
      </c>
      <c r="CQ4" s="9">
        <v>1.196190357208252</v>
      </c>
      <c r="CR4">
        <v>87.276028509719225</v>
      </c>
      <c r="CS4">
        <v>7.8716935301061284</v>
      </c>
      <c r="CT4">
        <v>0</v>
      </c>
      <c r="CU4" s="8">
        <v>0.11087325513362885</v>
      </c>
      <c r="CV4" s="9">
        <v>0.10890027284622192</v>
      </c>
      <c r="CW4">
        <v>0.06</v>
      </c>
      <c r="CX4" t="e">
        <v>#VALUE!</v>
      </c>
      <c r="CY4" t="s">
        <v>309</v>
      </c>
      <c r="CZ4">
        <v>0.11087325513362885</v>
      </c>
      <c r="DA4" t="e">
        <v>#VALUE!</v>
      </c>
      <c r="DB4" t="s">
        <v>309</v>
      </c>
      <c r="DC4">
        <v>0.1053295923769474</v>
      </c>
      <c r="DD4" t="e">
        <v>#VALUE!</v>
      </c>
      <c r="DE4" t="s">
        <v>309</v>
      </c>
      <c r="DF4">
        <v>9.7568464517593392E-2</v>
      </c>
      <c r="DG4" t="e">
        <v>#VALUE!</v>
      </c>
      <c r="DH4" t="s">
        <v>309</v>
      </c>
      <c r="DI4">
        <v>8.8698604106903084E-2</v>
      </c>
      <c r="DJ4" t="e">
        <v>#VALUE!</v>
      </c>
      <c r="DK4" t="s">
        <v>309</v>
      </c>
      <c r="DL4">
        <v>7.7611278593540195E-2</v>
      </c>
      <c r="DM4">
        <v>-1102000000</v>
      </c>
      <c r="DN4">
        <v>0.11087325513362885</v>
      </c>
      <c r="DO4">
        <v>40483001000</v>
      </c>
      <c r="DP4">
        <v>-5916709640</v>
      </c>
      <c r="DQ4">
        <v>1113</v>
      </c>
      <c r="DR4">
        <v>-0.37832116939578875</v>
      </c>
      <c r="DS4">
        <v>0.94347640172274361</v>
      </c>
      <c r="DT4" s="10">
        <v>-0.18666666666666673</v>
      </c>
      <c r="DU4">
        <v>-7.6666666666666591E-2</v>
      </c>
      <c r="DV4">
        <v>-0.26333333333333331</v>
      </c>
      <c r="DW4">
        <v>5.9823619631901845</v>
      </c>
      <c r="DX4">
        <v>0.75789707650920379</v>
      </c>
      <c r="DY4">
        <v>5.3515844746996057</v>
      </c>
      <c r="DZ4">
        <v>2934</v>
      </c>
      <c r="EA4">
        <v>5.1450681886598373</v>
      </c>
      <c r="EB4">
        <v>5</v>
      </c>
      <c r="EC4">
        <v>0.26380649192267325</v>
      </c>
      <c r="ED4">
        <v>0.73710160558111415</v>
      </c>
      <c r="EE4" s="11">
        <v>-3.0613000000000001</v>
      </c>
      <c r="EF4">
        <v>-3.0973999999999999</v>
      </c>
      <c r="EG4">
        <v>40.357897076509204</v>
      </c>
      <c r="EH4" t="s">
        <v>323</v>
      </c>
      <c r="EI4">
        <v>1</v>
      </c>
      <c r="EJ4">
        <v>0</v>
      </c>
      <c r="EK4" s="7">
        <v>45051</v>
      </c>
      <c r="EL4" s="12">
        <v>-3.1099999999999999E-2</v>
      </c>
      <c r="EM4" s="12">
        <v>5.5599999999999997E-2</v>
      </c>
      <c r="EN4" s="12">
        <v>-0.4</v>
      </c>
      <c r="EO4" s="12">
        <v>7.11</v>
      </c>
      <c r="EP4" s="12">
        <v>3.61</v>
      </c>
    </row>
    <row r="5" spans="1:146" ht="120" x14ac:dyDescent="0.25">
      <c r="A5" s="13" t="s">
        <v>412</v>
      </c>
      <c r="B5" s="13"/>
      <c r="C5" s="13" t="str">
        <f>"公司主营业务为为中国适龄儿童和青少年提供优质的教育产品与服务。其主要产品为教育服务、教育咨询。"&amp;CHAR(10)&amp;Basic_Fundamental_Information_Constructure(F5)&amp;CHAR(10)&amp;Basic_Fundamental_Information_Concatenate("早教服务 1.54亿 100.00% 100.00% 52.65%")</f>
        <v>公司主营业务为为中国适龄儿童和青少年提供优质的教育产品与服务。其主要产品为教育服务、教育咨询。
市值36.260693亿, 利润-4.40亿; PE; 平均PE-23; 平均PEG-1.37, PB7.9; ROIC0%; ROE-23.6233%; 股利率0%; 毛利57.7567%; 净利-92.78%; 上一年度营收增-54.17%, 利润增-122.22%; 当季营收增-33.9%, 利润增-7.55%; 过往5年营收增16.84%, 利润增-41.95%
Income profile:
早教服务 1.54亿 100.00% 100.00% 52.65%</v>
      </c>
      <c r="D5" t="s">
        <v>107</v>
      </c>
      <c r="E5" t="s">
        <v>108</v>
      </c>
      <c r="F5">
        <v>4.41</v>
      </c>
      <c r="G5">
        <v>8.35</v>
      </c>
      <c r="H5" t="s">
        <v>500</v>
      </c>
      <c r="I5">
        <v>3626069300</v>
      </c>
      <c r="K5">
        <v>7.9</v>
      </c>
      <c r="L5" t="s">
        <v>80</v>
      </c>
      <c r="M5" t="s">
        <v>501</v>
      </c>
      <c r="N5" t="s">
        <v>502</v>
      </c>
      <c r="O5" t="s">
        <v>503</v>
      </c>
      <c r="P5">
        <v>-33.9</v>
      </c>
      <c r="Q5" t="s">
        <v>193</v>
      </c>
      <c r="R5">
        <v>-12558611</v>
      </c>
      <c r="S5" s="5">
        <v>-7.5499999999999998E-2</v>
      </c>
      <c r="T5" t="s">
        <v>504</v>
      </c>
      <c r="U5">
        <v>802259650</v>
      </c>
      <c r="V5">
        <v>822237930</v>
      </c>
      <c r="W5">
        <v>2.0499999999999998</v>
      </c>
      <c r="X5">
        <v>0.01</v>
      </c>
      <c r="Y5">
        <v>-44.89</v>
      </c>
      <c r="Z5" t="s">
        <v>505</v>
      </c>
      <c r="AA5" t="s">
        <v>506</v>
      </c>
      <c r="AB5" t="s">
        <v>507</v>
      </c>
      <c r="AC5" t="s">
        <v>508</v>
      </c>
      <c r="AD5" t="s">
        <v>5</v>
      </c>
      <c r="AE5">
        <v>2110343</v>
      </c>
      <c r="AF5" t="s">
        <v>509</v>
      </c>
      <c r="AG5" t="s">
        <v>510</v>
      </c>
      <c r="AH5" t="s">
        <v>511</v>
      </c>
      <c r="AI5" t="s">
        <v>512</v>
      </c>
      <c r="AJ5" t="s">
        <v>513</v>
      </c>
      <c r="AK5" t="s">
        <v>5</v>
      </c>
      <c r="AL5" t="s">
        <v>514</v>
      </c>
      <c r="AM5" t="s">
        <v>5</v>
      </c>
      <c r="AN5">
        <v>0</v>
      </c>
      <c r="AO5" t="s">
        <v>5</v>
      </c>
      <c r="AP5" t="s">
        <v>5</v>
      </c>
      <c r="AQ5" t="s">
        <v>515</v>
      </c>
      <c r="AR5" t="s">
        <v>5</v>
      </c>
      <c r="AS5" t="s">
        <v>516</v>
      </c>
      <c r="AT5" t="s">
        <v>24</v>
      </c>
      <c r="AU5" t="s">
        <v>517</v>
      </c>
      <c r="AV5" t="s">
        <v>518</v>
      </c>
      <c r="AW5" t="s">
        <v>519</v>
      </c>
      <c r="AX5" t="s">
        <v>257</v>
      </c>
      <c r="AY5" t="s">
        <v>109</v>
      </c>
      <c r="AZ5" t="s">
        <v>111</v>
      </c>
      <c r="BA5" t="s">
        <v>112</v>
      </c>
      <c r="BB5" t="s">
        <v>39</v>
      </c>
      <c r="BC5" t="s">
        <v>258</v>
      </c>
      <c r="BD5" t="s">
        <v>110</v>
      </c>
      <c r="BE5" t="s">
        <v>67</v>
      </c>
      <c r="BF5" t="s">
        <v>113</v>
      </c>
      <c r="BG5" t="s">
        <v>114</v>
      </c>
      <c r="BH5" t="s">
        <v>193</v>
      </c>
      <c r="BI5" t="s">
        <v>520</v>
      </c>
      <c r="BJ5" t="s">
        <v>257</v>
      </c>
      <c r="BK5" t="s">
        <v>504</v>
      </c>
      <c r="BL5" t="s">
        <v>521</v>
      </c>
      <c r="BM5" t="s">
        <v>258</v>
      </c>
      <c r="BN5" t="s">
        <v>5</v>
      </c>
      <c r="BO5" t="s">
        <v>5</v>
      </c>
      <c r="BP5" t="s">
        <v>5</v>
      </c>
      <c r="BQ5">
        <v>-2.67</v>
      </c>
      <c r="BR5">
        <v>-24.81</v>
      </c>
      <c r="BS5">
        <v>-43.39</v>
      </c>
      <c r="BT5" t="s">
        <v>397</v>
      </c>
      <c r="BU5" t="s">
        <v>80</v>
      </c>
      <c r="BV5">
        <v>52.54</v>
      </c>
      <c r="BW5">
        <v>64.599999999999994</v>
      </c>
      <c r="BX5">
        <v>56.13</v>
      </c>
      <c r="BY5">
        <v>-44.89</v>
      </c>
      <c r="BZ5">
        <v>-73.16</v>
      </c>
      <c r="CA5">
        <v>-160.29</v>
      </c>
      <c r="CB5">
        <v>16.98</v>
      </c>
      <c r="CC5">
        <v>3.04</v>
      </c>
      <c r="CD5" t="s">
        <v>522</v>
      </c>
      <c r="CE5" t="s">
        <v>225</v>
      </c>
      <c r="CF5" s="8">
        <v>-0.33901968419356582</v>
      </c>
      <c r="CG5" s="9">
        <v>-7.5490575570989371E-2</v>
      </c>
      <c r="CH5" s="8">
        <v>-0.54166668653488159</v>
      </c>
      <c r="CI5" s="8">
        <v>-5.6179776787757874E-2</v>
      </c>
      <c r="CJ5" s="8">
        <v>-0.43492063879966736</v>
      </c>
      <c r="CK5" s="8">
        <v>1.3773584365844727</v>
      </c>
      <c r="CL5" s="8">
        <v>0.49717512726783752</v>
      </c>
      <c r="CM5" s="9">
        <v>-1.2222222089767456</v>
      </c>
      <c r="CN5" s="9">
        <v>0.58577406406402588</v>
      </c>
      <c r="CO5" s="9">
        <v>-4.9833331108093262</v>
      </c>
      <c r="CP5" s="9">
        <v>2.8033056259155273</v>
      </c>
      <c r="CQ5" s="9">
        <v>0.71901559829711914</v>
      </c>
      <c r="CR5">
        <v>-22.996037920540886</v>
      </c>
      <c r="CS5">
        <v>-1.3659393053792672</v>
      </c>
      <c r="CT5">
        <v>0</v>
      </c>
      <c r="CU5" s="8">
        <v>0.16835329234600066</v>
      </c>
      <c r="CV5" s="9">
        <v>-0.41949200630187988</v>
      </c>
      <c r="CW5">
        <v>0.06</v>
      </c>
      <c r="CX5" t="e">
        <v>#VALUE!</v>
      </c>
      <c r="CY5" t="s">
        <v>311</v>
      </c>
      <c r="CZ5">
        <v>0.16835329234600066</v>
      </c>
      <c r="DA5" t="e">
        <v>#VALUE!</v>
      </c>
      <c r="DB5" t="s">
        <v>309</v>
      </c>
      <c r="DC5">
        <v>0.15993562772870062</v>
      </c>
      <c r="DD5" t="e">
        <v>#VALUE!</v>
      </c>
      <c r="DE5" t="s">
        <v>309</v>
      </c>
      <c r="DF5">
        <v>0.14815089726448058</v>
      </c>
      <c r="DG5" t="e">
        <v>#VALUE!</v>
      </c>
      <c r="DH5" t="s">
        <v>309</v>
      </c>
      <c r="DI5">
        <v>0.13468263387680054</v>
      </c>
      <c r="DJ5" t="e">
        <v>#VALUE!</v>
      </c>
      <c r="DK5" t="s">
        <v>309</v>
      </c>
      <c r="DL5">
        <v>0.11784730464220046</v>
      </c>
      <c r="DM5">
        <v>-440000000.00000006</v>
      </c>
      <c r="DN5">
        <v>0.16835329234600066</v>
      </c>
      <c r="DO5">
        <v>3685069300</v>
      </c>
      <c r="DP5">
        <v>225729140.00000012</v>
      </c>
      <c r="DQ5">
        <v>1125</v>
      </c>
      <c r="DR5">
        <v>-0.50737297653956648</v>
      </c>
      <c r="DS5">
        <v>0.34400143073089051</v>
      </c>
      <c r="DT5" s="10">
        <v>-0.18666666666666668</v>
      </c>
      <c r="DU5">
        <v>-1.8983333333333337</v>
      </c>
      <c r="DV5">
        <v>-2.0850000000000004</v>
      </c>
      <c r="DW5">
        <v>5.1790341578327448</v>
      </c>
      <c r="DX5">
        <v>1.3265567765567738</v>
      </c>
      <c r="DY5">
        <v>5.0495131095837813</v>
      </c>
      <c r="DZ5">
        <v>4251</v>
      </c>
      <c r="EA5">
        <v>5.0073749256316979</v>
      </c>
      <c r="EB5">
        <v>5</v>
      </c>
      <c r="EC5">
        <v>0.18364514028196194</v>
      </c>
      <c r="ED5">
        <v>0.66404136817186232</v>
      </c>
      <c r="EE5" s="11">
        <v>-3.0364</v>
      </c>
      <c r="EF5">
        <v>-3.1198999999999999</v>
      </c>
      <c r="EG5">
        <v>105.27655677655677</v>
      </c>
      <c r="EH5" t="s">
        <v>323</v>
      </c>
      <c r="EI5">
        <v>1</v>
      </c>
      <c r="EJ5">
        <v>0</v>
      </c>
      <c r="EK5" s="7">
        <v>45051</v>
      </c>
      <c r="EL5" s="12">
        <v>2.7000000000000001E-3</v>
      </c>
      <c r="EM5" s="12">
        <v>0</v>
      </c>
      <c r="EN5" s="12">
        <v>5.03</v>
      </c>
      <c r="EO5" s="12">
        <v>2.52</v>
      </c>
      <c r="EP5" s="12">
        <v>8.35</v>
      </c>
    </row>
    <row r="6" spans="1:146" ht="108" x14ac:dyDescent="0.25">
      <c r="A6" s="13" t="s">
        <v>412</v>
      </c>
      <c r="B6" s="13"/>
      <c r="C6" s="13" t="str">
        <f>""&amp;CHAR(10)&amp;Basic_Fundamental_Information_Constructure(F6)&amp;CHAR(10)&amp;Basic_Fundamental_Information_Concatenate("")</f>
        <v xml:space="preserve">
市值28.537974亿, 利润-9659.44万; PE; 平均PE-44.55; 平均PEG-3.91, PB1.27; ROIC0%; ROE-3.6867%; 股利率0%; 毛利7.2667%; 净利-33.1067%; 上一年度营收增-39.44%, 利润增20.17%; 当季营收增550.92%, 利润增72.2%; 过往5年营收增11.39%, 利润增-159.56%
Income profile:
</v>
      </c>
      <c r="D6" t="s">
        <v>118</v>
      </c>
      <c r="E6" t="s">
        <v>119</v>
      </c>
      <c r="F6">
        <v>4.7699999999999996</v>
      </c>
      <c r="G6">
        <v>2.58</v>
      </c>
      <c r="H6" t="s">
        <v>916</v>
      </c>
      <c r="I6">
        <v>2853797400</v>
      </c>
      <c r="K6">
        <v>1.27</v>
      </c>
      <c r="L6" t="s">
        <v>80</v>
      </c>
      <c r="M6" t="s">
        <v>917</v>
      </c>
      <c r="N6" t="s">
        <v>918</v>
      </c>
      <c r="O6" t="s">
        <v>919</v>
      </c>
      <c r="P6">
        <v>550.91999999999996</v>
      </c>
      <c r="Q6" t="s">
        <v>920</v>
      </c>
      <c r="R6">
        <v>-10613652</v>
      </c>
      <c r="S6" s="5">
        <v>0.72199999999999998</v>
      </c>
      <c r="T6" t="s">
        <v>921</v>
      </c>
      <c r="U6">
        <v>588291420</v>
      </c>
      <c r="V6">
        <v>598280380</v>
      </c>
      <c r="W6">
        <v>1.42</v>
      </c>
      <c r="X6">
        <v>0.02</v>
      </c>
      <c r="Y6">
        <v>-15.73</v>
      </c>
      <c r="Z6" t="s">
        <v>922</v>
      </c>
      <c r="AA6" t="s">
        <v>923</v>
      </c>
      <c r="AB6" t="s">
        <v>924</v>
      </c>
      <c r="AC6" t="s">
        <v>925</v>
      </c>
      <c r="AD6" t="s">
        <v>5</v>
      </c>
      <c r="AE6">
        <v>11880816</v>
      </c>
      <c r="AF6" t="s">
        <v>926</v>
      </c>
      <c r="AG6" t="s">
        <v>5</v>
      </c>
      <c r="AH6" t="s">
        <v>927</v>
      </c>
      <c r="AI6" t="s">
        <v>928</v>
      </c>
      <c r="AJ6" t="s">
        <v>929</v>
      </c>
      <c r="AK6" t="s">
        <v>5</v>
      </c>
      <c r="AL6" t="s">
        <v>930</v>
      </c>
      <c r="AM6" t="s">
        <v>5</v>
      </c>
      <c r="AN6">
        <v>0</v>
      </c>
      <c r="AO6" t="s">
        <v>5</v>
      </c>
      <c r="AP6" t="s">
        <v>5</v>
      </c>
      <c r="AQ6" t="s">
        <v>931</v>
      </c>
      <c r="AR6" t="s">
        <v>932</v>
      </c>
      <c r="AS6" t="s">
        <v>21</v>
      </c>
      <c r="AT6" t="s">
        <v>933</v>
      </c>
      <c r="AU6" t="s">
        <v>934</v>
      </c>
      <c r="AV6" t="s">
        <v>935</v>
      </c>
      <c r="AW6" t="s">
        <v>936</v>
      </c>
      <c r="AX6" t="s">
        <v>259</v>
      </c>
      <c r="AY6" t="s">
        <v>120</v>
      </c>
      <c r="AZ6" t="s">
        <v>122</v>
      </c>
      <c r="BA6" t="s">
        <v>123</v>
      </c>
      <c r="BB6" t="s">
        <v>124</v>
      </c>
      <c r="BC6" t="s">
        <v>261</v>
      </c>
      <c r="BD6" t="s">
        <v>69</v>
      </c>
      <c r="BE6" t="s">
        <v>125</v>
      </c>
      <c r="BF6" t="s">
        <v>126</v>
      </c>
      <c r="BG6" t="s">
        <v>127</v>
      </c>
      <c r="BH6" t="s">
        <v>920</v>
      </c>
      <c r="BI6" t="s">
        <v>937</v>
      </c>
      <c r="BJ6" t="s">
        <v>259</v>
      </c>
      <c r="BK6" t="s">
        <v>921</v>
      </c>
      <c r="BL6" t="s">
        <v>938</v>
      </c>
      <c r="BM6" t="s">
        <v>261</v>
      </c>
      <c r="BN6" t="s">
        <v>5</v>
      </c>
      <c r="BO6" t="s">
        <v>5</v>
      </c>
      <c r="BP6" t="s">
        <v>5</v>
      </c>
      <c r="BQ6">
        <v>-0.47</v>
      </c>
      <c r="BR6">
        <v>-4.9800000000000004</v>
      </c>
      <c r="BS6">
        <v>-5.61</v>
      </c>
      <c r="BT6" t="s">
        <v>397</v>
      </c>
      <c r="BU6" t="s">
        <v>80</v>
      </c>
      <c r="BV6">
        <v>20.49</v>
      </c>
      <c r="BW6">
        <v>-0.57999999999999996</v>
      </c>
      <c r="BX6">
        <v>1.89</v>
      </c>
      <c r="BY6">
        <v>-15.73</v>
      </c>
      <c r="BZ6">
        <v>-42.32</v>
      </c>
      <c r="CA6">
        <v>-41.27</v>
      </c>
      <c r="CB6">
        <v>8.16</v>
      </c>
      <c r="CC6">
        <v>3.92</v>
      </c>
      <c r="CD6" t="s">
        <v>939</v>
      </c>
      <c r="CE6" t="s">
        <v>791</v>
      </c>
      <c r="CF6" s="8">
        <v>5.5091905634098408</v>
      </c>
      <c r="CG6" s="9">
        <v>0.72200724994499677</v>
      </c>
      <c r="CH6" s="8">
        <v>-0.39436620473861694</v>
      </c>
      <c r="CI6" s="8">
        <v>-0.11526479572057724</v>
      </c>
      <c r="CJ6" s="8">
        <v>-0.59622639417648315</v>
      </c>
      <c r="CK6" s="8">
        <v>2.2851240634918213</v>
      </c>
      <c r="CL6" s="8">
        <v>-0.60967743396759033</v>
      </c>
      <c r="CM6" s="9">
        <v>0.20169916749000549</v>
      </c>
      <c r="CN6" s="9">
        <v>6.923077255487442E-2</v>
      </c>
      <c r="CO6" s="9">
        <v>-4.4251718521118164</v>
      </c>
      <c r="CP6" s="9">
        <v>1.3874697685241699</v>
      </c>
      <c r="CQ6" s="9">
        <v>-5.2114353179931641</v>
      </c>
      <c r="CR6">
        <v>-44.551694458379039</v>
      </c>
      <c r="CS6">
        <v>-3.9108616990537106</v>
      </c>
      <c r="CT6">
        <v>0</v>
      </c>
      <c r="CU6" s="8">
        <v>0.11391784697771072</v>
      </c>
      <c r="CV6" s="9">
        <v>-1.5956414923071862</v>
      </c>
      <c r="CW6">
        <v>0.06</v>
      </c>
      <c r="CX6" t="e">
        <v>#VALUE!</v>
      </c>
      <c r="CY6" t="s">
        <v>311</v>
      </c>
      <c r="CZ6">
        <v>0.11391784697771072</v>
      </c>
      <c r="DA6" t="e">
        <v>#VALUE!</v>
      </c>
      <c r="DB6" t="s">
        <v>309</v>
      </c>
      <c r="DC6">
        <v>0.10822195462882518</v>
      </c>
      <c r="DD6" t="e">
        <v>#VALUE!</v>
      </c>
      <c r="DE6" t="s">
        <v>309</v>
      </c>
      <c r="DF6">
        <v>0.10024770534038543</v>
      </c>
      <c r="DG6" t="e">
        <v>#VALUE!</v>
      </c>
      <c r="DH6" t="s">
        <v>309</v>
      </c>
      <c r="DI6">
        <v>9.1134277582168577E-2</v>
      </c>
      <c r="DJ6" t="e">
        <v>#VALUE!</v>
      </c>
      <c r="DK6" t="s">
        <v>309</v>
      </c>
      <c r="DL6">
        <v>7.9742492884397498E-2</v>
      </c>
      <c r="DM6">
        <v>-96594400</v>
      </c>
      <c r="DN6">
        <v>0.11391784697771072</v>
      </c>
      <c r="DO6">
        <v>1545797400</v>
      </c>
      <c r="DP6">
        <v>334713080</v>
      </c>
      <c r="DQ6">
        <v>1163</v>
      </c>
      <c r="DR6">
        <v>5.3952727164321299</v>
      </c>
      <c r="DS6">
        <v>2.317648742252183</v>
      </c>
      <c r="DT6" s="10">
        <v>-8.0000000000000029E-2</v>
      </c>
      <c r="DU6">
        <v>-1.9716666666666667</v>
      </c>
      <c r="DV6">
        <v>-2.0516666666666667</v>
      </c>
      <c r="DW6">
        <v>5.4803921568627452</v>
      </c>
      <c r="DX6">
        <v>0.67111418905472786</v>
      </c>
      <c r="DY6">
        <v>5.096613679055702</v>
      </c>
      <c r="DZ6">
        <v>4487</v>
      </c>
      <c r="EA6">
        <v>5.0098257755676272</v>
      </c>
      <c r="EB6">
        <v>5</v>
      </c>
      <c r="EC6">
        <v>0.13513379796944036</v>
      </c>
      <c r="ED6">
        <v>0.67192576163035789</v>
      </c>
      <c r="EE6" s="11">
        <v>-1.0087999999999999</v>
      </c>
      <c r="EF6">
        <v>-1.0346</v>
      </c>
      <c r="EG6">
        <v>47.201114189054728</v>
      </c>
      <c r="EH6" t="s">
        <v>940</v>
      </c>
      <c r="EI6">
        <v>1</v>
      </c>
      <c r="EJ6">
        <v>0</v>
      </c>
      <c r="EK6" s="7">
        <v>45051</v>
      </c>
      <c r="EL6" s="12">
        <v>-2.9499999999999998E-2</v>
      </c>
      <c r="EM6" s="12">
        <v>7.0000000000000001E-3</v>
      </c>
      <c r="EN6" s="12">
        <v>3.48</v>
      </c>
      <c r="EO6" s="12">
        <v>4.26</v>
      </c>
      <c r="EP6" s="12">
        <v>2.58</v>
      </c>
    </row>
    <row r="7" spans="1:146" ht="180" x14ac:dyDescent="0.25">
      <c r="A7" s="13"/>
      <c r="B7" s="13"/>
      <c r="C7" s="13" t="str">
        <f>"公司国内领先的从事高精尖数字化人才培养的高新技术企业，是一家以就业为导向的职业教育机构，致力于通过自主研发的优质课程内容、教学系统和自有教研团队为学员提供高水平的数字化人才教育培训服务，主要培养人工智能、大数据、智能制造、软件、互联网、区块链等数字化专业人才及数据分析、网络营销、新媒体、产品经理、设计等数字化应用人才。"&amp;CHAR(10)&amp;Basic_Fundamental_Information_Constructure(F7)&amp;CHAR(10)&amp;Basic_Fundamental_Information_Concatenate("线上/下短训 7.70亿 95.89% 100.00% 58.87%")</f>
        <v>公司国内领先的从事高精尖数字化人才培养的高新技术企业，是一家以就业为导向的职业教育机构，致力于通过自主研发的优质课程内容、教学系统和自有教研团队为学员提供高水平的数字化人才教育培训服务，主要培养人工智能、大数据、智能制造、软件、互联网、区块链等数字化专业人才及数据分析、网络营销、新媒体、产品经理、设计等数字化应用人才。
市值60.286636亿, 利润1.81亿; PE33.76; 平均PE44.66; 平均PEG9.33, PB4.44; ROIC5.5333%; ROE5.32%; 股利率0%; 毛利48.72%; 净利11.4267%; 上一年度营收增20.93%, 利润增135.54%; 当季营收增-10.86%, 利润增-11.14%; 过往5年营收增4.78%, 利润增23.95%
Income profile:
线上/下短训 7.70亿 95.89% 100.00% 58.87%</v>
      </c>
      <c r="D7" t="s">
        <v>128</v>
      </c>
      <c r="E7" t="s">
        <v>129</v>
      </c>
      <c r="F7">
        <v>14.98</v>
      </c>
      <c r="G7">
        <v>5.72</v>
      </c>
      <c r="H7" t="s">
        <v>523</v>
      </c>
      <c r="I7">
        <v>6028663600</v>
      </c>
      <c r="J7">
        <v>33.76</v>
      </c>
      <c r="K7">
        <v>4.4400000000000004</v>
      </c>
      <c r="L7" t="s">
        <v>80</v>
      </c>
      <c r="M7" t="s">
        <v>524</v>
      </c>
      <c r="N7" t="s">
        <v>525</v>
      </c>
      <c r="O7" t="s">
        <v>526</v>
      </c>
      <c r="P7">
        <v>-10.74</v>
      </c>
      <c r="Q7" t="s">
        <v>527</v>
      </c>
      <c r="R7">
        <v>17540356</v>
      </c>
      <c r="S7" s="5">
        <v>-0.1114</v>
      </c>
      <c r="T7" t="s">
        <v>528</v>
      </c>
      <c r="U7">
        <v>174087120</v>
      </c>
      <c r="V7">
        <v>402447500</v>
      </c>
      <c r="W7">
        <v>1.39</v>
      </c>
      <c r="X7">
        <v>7.0000000000000007E-2</v>
      </c>
      <c r="Y7">
        <v>12.53</v>
      </c>
      <c r="Z7" t="s">
        <v>529</v>
      </c>
      <c r="AA7" t="s">
        <v>530</v>
      </c>
      <c r="AB7" t="s">
        <v>531</v>
      </c>
      <c r="AC7" t="s">
        <v>532</v>
      </c>
      <c r="AD7" t="s">
        <v>533</v>
      </c>
      <c r="AE7">
        <v>1222038</v>
      </c>
      <c r="AF7" t="s">
        <v>534</v>
      </c>
      <c r="AG7" t="s">
        <v>535</v>
      </c>
      <c r="AH7" t="s">
        <v>536</v>
      </c>
      <c r="AI7" t="s">
        <v>537</v>
      </c>
      <c r="AJ7" t="s">
        <v>538</v>
      </c>
      <c r="AK7" t="s">
        <v>5</v>
      </c>
      <c r="AL7" t="s">
        <v>539</v>
      </c>
      <c r="AM7" t="s">
        <v>5</v>
      </c>
      <c r="AN7" t="s">
        <v>540</v>
      </c>
      <c r="AO7" t="s">
        <v>5</v>
      </c>
      <c r="AP7" t="s">
        <v>5</v>
      </c>
      <c r="AQ7" t="s">
        <v>541</v>
      </c>
      <c r="AR7" t="s">
        <v>5</v>
      </c>
      <c r="AS7" t="s">
        <v>542</v>
      </c>
      <c r="AT7" t="s">
        <v>5</v>
      </c>
      <c r="AU7" t="s">
        <v>543</v>
      </c>
      <c r="AV7" t="s">
        <v>544</v>
      </c>
      <c r="AW7" t="s">
        <v>545</v>
      </c>
      <c r="AX7" t="s">
        <v>262</v>
      </c>
      <c r="AY7" t="s">
        <v>130</v>
      </c>
      <c r="AZ7" t="s">
        <v>133</v>
      </c>
      <c r="BA7" t="s">
        <v>134</v>
      </c>
      <c r="BB7" t="s">
        <v>135</v>
      </c>
      <c r="BC7" t="s">
        <v>263</v>
      </c>
      <c r="BD7" t="s">
        <v>131</v>
      </c>
      <c r="BE7" t="s">
        <v>136</v>
      </c>
      <c r="BF7" t="s">
        <v>137</v>
      </c>
      <c r="BG7" t="s">
        <v>40</v>
      </c>
      <c r="BH7" t="s">
        <v>527</v>
      </c>
      <c r="BI7" t="s">
        <v>313</v>
      </c>
      <c r="BJ7" t="s">
        <v>262</v>
      </c>
      <c r="BK7" t="s">
        <v>528</v>
      </c>
      <c r="BL7" t="s">
        <v>546</v>
      </c>
      <c r="BM7" t="s">
        <v>263</v>
      </c>
      <c r="BN7">
        <v>1.34</v>
      </c>
      <c r="BO7">
        <v>8.25</v>
      </c>
      <c r="BP7">
        <v>7.01</v>
      </c>
      <c r="BQ7">
        <v>1.3</v>
      </c>
      <c r="BR7">
        <v>6.67</v>
      </c>
      <c r="BS7">
        <v>7.99</v>
      </c>
      <c r="BT7" t="s">
        <v>397</v>
      </c>
      <c r="BU7" t="s">
        <v>80</v>
      </c>
      <c r="BV7">
        <v>52.36</v>
      </c>
      <c r="BW7">
        <v>48.84</v>
      </c>
      <c r="BX7">
        <v>44.96</v>
      </c>
      <c r="BY7">
        <v>12.53</v>
      </c>
      <c r="BZ7">
        <v>11.58</v>
      </c>
      <c r="CA7">
        <v>10.17</v>
      </c>
      <c r="CB7">
        <v>3.88</v>
      </c>
      <c r="CC7">
        <v>-9.32</v>
      </c>
      <c r="CD7" t="s">
        <v>547</v>
      </c>
      <c r="CE7" t="s">
        <v>22</v>
      </c>
      <c r="CF7" s="8">
        <v>-0.10860617834394905</v>
      </c>
      <c r="CG7" s="9">
        <v>-0.11144430429122151</v>
      </c>
      <c r="CH7" s="8">
        <v>0.20933735370635986</v>
      </c>
      <c r="CI7" s="8">
        <v>3.7500001490116119E-2</v>
      </c>
      <c r="CJ7" s="8">
        <v>-0.30735930800437927</v>
      </c>
      <c r="CK7" s="8">
        <v>0.16814158856868744</v>
      </c>
      <c r="CL7" s="8">
        <v>0.13161659240722656</v>
      </c>
      <c r="CM7" s="9">
        <v>1.355402946472168</v>
      </c>
      <c r="CN7" s="9">
        <v>0.18098911643028259</v>
      </c>
      <c r="CO7" s="9">
        <v>-0.63851112127304077</v>
      </c>
      <c r="CP7" s="9">
        <v>5.8823529630899429E-2</v>
      </c>
      <c r="CQ7" s="9">
        <v>0.24087591469287872</v>
      </c>
      <c r="CR7">
        <v>44.661586447722875</v>
      </c>
      <c r="CS7">
        <v>9.3342021795206449</v>
      </c>
      <c r="CT7">
        <v>0</v>
      </c>
      <c r="CU7" s="8">
        <v>4.784724563360214E-2</v>
      </c>
      <c r="CV7" s="9">
        <v>0.23951607719063758</v>
      </c>
      <c r="CW7">
        <v>0.06</v>
      </c>
      <c r="CX7">
        <v>29.082954732225978</v>
      </c>
      <c r="CY7">
        <v>178924859.86762449</v>
      </c>
      <c r="CZ7">
        <v>4.784724563360214E-2</v>
      </c>
      <c r="DA7">
        <v>9.8510582491281404</v>
      </c>
      <c r="DB7">
        <v>528233969.22463089</v>
      </c>
      <c r="DC7">
        <v>4.5454883351922028E-2</v>
      </c>
      <c r="DD7">
        <v>5.0836462684854151</v>
      </c>
      <c r="DE7">
        <v>1023608513.4913098</v>
      </c>
      <c r="DF7">
        <v>4.2105576157569886E-2</v>
      </c>
      <c r="DG7">
        <v>3.2160331880247961</v>
      </c>
      <c r="DH7">
        <v>1618037904.3898969</v>
      </c>
      <c r="DI7">
        <v>3.8277796506881713E-2</v>
      </c>
      <c r="DJ7">
        <v>1.8555049930892227</v>
      </c>
      <c r="DK7">
        <v>2804446023.7945476</v>
      </c>
      <c r="DL7">
        <v>3.3493071943521496E-2</v>
      </c>
      <c r="DM7">
        <v>181000000</v>
      </c>
      <c r="DN7">
        <v>4.784724563360214E-2</v>
      </c>
      <c r="DO7">
        <v>5203663600</v>
      </c>
      <c r="DP7">
        <v>1233263200</v>
      </c>
      <c r="DQ7">
        <v>1506</v>
      </c>
      <c r="DR7">
        <v>-0.15645342397755119</v>
      </c>
      <c r="DS7">
        <v>-0.3509603814818591</v>
      </c>
      <c r="DT7" s="10">
        <v>0.15</v>
      </c>
      <c r="DU7">
        <v>0.31666666666666665</v>
      </c>
      <c r="DV7">
        <v>0.46666666666666667</v>
      </c>
      <c r="DW7">
        <v>6.2939393939393939</v>
      </c>
      <c r="DX7">
        <v>0.91812117647058411</v>
      </c>
      <c r="DY7">
        <v>6.0611750124777179</v>
      </c>
      <c r="DZ7">
        <v>2772</v>
      </c>
      <c r="EA7">
        <v>6.0272256361837773</v>
      </c>
      <c r="EB7">
        <v>6</v>
      </c>
      <c r="EC7">
        <v>0.17582715757956008</v>
      </c>
      <c r="ED7">
        <v>0.84483069220208851</v>
      </c>
      <c r="EE7" s="11">
        <v>1.0498099999999999</v>
      </c>
      <c r="EF7">
        <v>1.0074000000000001</v>
      </c>
      <c r="EG7">
        <v>71.208121176470584</v>
      </c>
      <c r="EH7" t="s">
        <v>316</v>
      </c>
      <c r="EI7">
        <v>0</v>
      </c>
      <c r="EJ7">
        <v>0</v>
      </c>
      <c r="EK7" s="7">
        <v>45051</v>
      </c>
      <c r="EL7" s="12">
        <v>-1.8700000000000001E-2</v>
      </c>
      <c r="EM7" s="12">
        <v>-4.1999999999999997E-3</v>
      </c>
      <c r="EN7" s="12">
        <v>4.1900000000000004</v>
      </c>
      <c r="EO7" s="12">
        <v>-3.47</v>
      </c>
      <c r="EP7" s="12">
        <v>5.72</v>
      </c>
    </row>
    <row r="8" spans="1:146" ht="96" x14ac:dyDescent="0.25">
      <c r="A8" s="13" t="s">
        <v>413</v>
      </c>
      <c r="B8" s="13"/>
      <c r="C8" s="13" t="str">
        <f>""&amp;CHAR(10)&amp;Basic_Fundamental_Information_Constructure(F8)&amp;CHAR(10)&amp;Basic_Fundamental_Information_Concatenate("")</f>
        <v xml:space="preserve">
市值22.055446亿, 利润-6.87亿; PE; 平均PE-2.64; 平均PEG-.2, PB; ROIC0%; ROE-131.865%; 股利率0%; 毛利33.1933%; 净利-97.7267%; 上一年度营收增-9.71%, 利润增-16.05%; 当季营收增-6.89%, 利润增-24.75%; 过往5年营收增-13.4%, 利润增-2428.15%
Income profile:
</v>
      </c>
      <c r="D8" t="s">
        <v>138</v>
      </c>
      <c r="E8" t="s">
        <v>548</v>
      </c>
      <c r="F8">
        <v>2.54</v>
      </c>
      <c r="G8">
        <v>2.0099999999999998</v>
      </c>
      <c r="H8" t="s">
        <v>549</v>
      </c>
      <c r="I8">
        <v>2205544600</v>
      </c>
      <c r="L8" t="s">
        <v>80</v>
      </c>
      <c r="M8" t="s">
        <v>550</v>
      </c>
      <c r="N8" t="s">
        <v>551</v>
      </c>
      <c r="O8" t="s">
        <v>552</v>
      </c>
      <c r="P8">
        <v>-6.76</v>
      </c>
      <c r="Q8" t="s">
        <v>553</v>
      </c>
      <c r="R8">
        <v>-53604198</v>
      </c>
      <c r="S8" s="5">
        <v>-0.2475</v>
      </c>
      <c r="T8" t="s">
        <v>554</v>
      </c>
      <c r="U8">
        <v>815493380</v>
      </c>
      <c r="V8">
        <v>868324650</v>
      </c>
      <c r="W8" t="s">
        <v>5</v>
      </c>
      <c r="X8">
        <v>7.0000000000000007E-2</v>
      </c>
      <c r="Y8">
        <v>-34.54</v>
      </c>
      <c r="Z8" t="s">
        <v>324</v>
      </c>
      <c r="AA8" t="s">
        <v>555</v>
      </c>
      <c r="AB8" t="s">
        <v>556</v>
      </c>
      <c r="AC8" t="s">
        <v>557</v>
      </c>
      <c r="AD8" t="s">
        <v>558</v>
      </c>
      <c r="AE8">
        <v>23419016</v>
      </c>
      <c r="AF8" t="s">
        <v>559</v>
      </c>
      <c r="AG8" t="s">
        <v>560</v>
      </c>
      <c r="AH8" t="s">
        <v>561</v>
      </c>
      <c r="AI8" t="s">
        <v>562</v>
      </c>
      <c r="AJ8" t="s">
        <v>563</v>
      </c>
      <c r="AK8" t="s">
        <v>564</v>
      </c>
      <c r="AL8" t="s">
        <v>565</v>
      </c>
      <c r="AM8" t="s">
        <v>5</v>
      </c>
      <c r="AN8">
        <v>0</v>
      </c>
      <c r="AO8" t="s">
        <v>403</v>
      </c>
      <c r="AP8" t="s">
        <v>5</v>
      </c>
      <c r="AQ8" t="s">
        <v>566</v>
      </c>
      <c r="AR8" t="s">
        <v>5</v>
      </c>
      <c r="AS8" t="s">
        <v>567</v>
      </c>
      <c r="AT8" t="s">
        <v>5</v>
      </c>
      <c r="AU8" t="s">
        <v>568</v>
      </c>
      <c r="AV8" t="s">
        <v>569</v>
      </c>
      <c r="AW8" t="s">
        <v>570</v>
      </c>
      <c r="AX8" t="s">
        <v>265</v>
      </c>
      <c r="AY8" t="s">
        <v>139</v>
      </c>
      <c r="AZ8" t="s">
        <v>141</v>
      </c>
      <c r="BA8" t="s">
        <v>142</v>
      </c>
      <c r="BB8" t="s">
        <v>143</v>
      </c>
      <c r="BC8" t="s">
        <v>266</v>
      </c>
      <c r="BD8" t="s">
        <v>140</v>
      </c>
      <c r="BE8" t="s">
        <v>144</v>
      </c>
      <c r="BF8" t="s">
        <v>145</v>
      </c>
      <c r="BG8" t="s">
        <v>21</v>
      </c>
      <c r="BH8" t="s">
        <v>553</v>
      </c>
      <c r="BI8" t="s">
        <v>571</v>
      </c>
      <c r="BJ8" t="s">
        <v>265</v>
      </c>
      <c r="BK8" t="s">
        <v>554</v>
      </c>
      <c r="BL8" t="s">
        <v>572</v>
      </c>
      <c r="BM8" t="s">
        <v>266</v>
      </c>
      <c r="BN8" t="s">
        <v>5</v>
      </c>
      <c r="BO8" t="s">
        <v>5</v>
      </c>
      <c r="BP8" t="s">
        <v>5</v>
      </c>
      <c r="BQ8" t="s">
        <v>5</v>
      </c>
      <c r="BR8">
        <v>-138.71</v>
      </c>
      <c r="BS8">
        <v>-125.02</v>
      </c>
      <c r="BT8" t="s">
        <v>397</v>
      </c>
      <c r="BU8" t="s">
        <v>80</v>
      </c>
      <c r="BV8">
        <v>38.200000000000003</v>
      </c>
      <c r="BW8">
        <v>28.77</v>
      </c>
      <c r="BX8">
        <v>32.61</v>
      </c>
      <c r="BY8">
        <v>-34.54</v>
      </c>
      <c r="BZ8">
        <v>-63.36</v>
      </c>
      <c r="CA8">
        <v>-195.28</v>
      </c>
      <c r="CB8">
        <v>-6.62</v>
      </c>
      <c r="CC8">
        <v>-21.6</v>
      </c>
      <c r="CD8" t="s">
        <v>573</v>
      </c>
      <c r="CE8" t="s">
        <v>574</v>
      </c>
      <c r="CF8" s="8">
        <v>-6.8875952380952385E-2</v>
      </c>
      <c r="CG8" s="9">
        <v>-0.24748829989504231</v>
      </c>
      <c r="CH8" s="8">
        <v>-9.7147949039936066E-2</v>
      </c>
      <c r="CI8" s="8">
        <v>-0.190476194024086</v>
      </c>
      <c r="CJ8" s="8">
        <v>-0.29964631795883179</v>
      </c>
      <c r="CK8" s="8">
        <v>1.3832000084221363E-2</v>
      </c>
      <c r="CL8" s="8">
        <v>-9.6714459359645844E-2</v>
      </c>
      <c r="CM8" s="9">
        <v>-0.16047297418117523</v>
      </c>
      <c r="CN8" s="9">
        <v>0.76938062906265259</v>
      </c>
      <c r="CO8" s="9">
        <v>-115.16043853759766</v>
      </c>
      <c r="CP8" s="9">
        <v>1.0161188840866089</v>
      </c>
      <c r="CQ8" s="9">
        <v>-7.8719220161437988</v>
      </c>
      <c r="CR8">
        <v>-2.6384668323432687</v>
      </c>
      <c r="CS8">
        <v>-0.19685557970626416</v>
      </c>
      <c r="CT8">
        <v>0</v>
      </c>
      <c r="CU8" s="8">
        <v>-0.13403058405965568</v>
      </c>
      <c r="CV8" s="9">
        <v>-24.281466802954675</v>
      </c>
      <c r="CW8">
        <v>0.06</v>
      </c>
      <c r="CX8" t="e">
        <v>#VALUE!</v>
      </c>
      <c r="CY8" t="s">
        <v>311</v>
      </c>
      <c r="CZ8">
        <v>-0.13403058405965568</v>
      </c>
      <c r="DA8" t="e">
        <v>#VALUE!</v>
      </c>
      <c r="DB8" t="s">
        <v>309</v>
      </c>
      <c r="DC8">
        <v>-0.1273290548566729</v>
      </c>
      <c r="DD8" t="e">
        <v>#VALUE!</v>
      </c>
      <c r="DE8" t="s">
        <v>309</v>
      </c>
      <c r="DF8">
        <v>-0.117946913972497</v>
      </c>
      <c r="DG8" t="e">
        <v>#VALUE!</v>
      </c>
      <c r="DH8" t="s">
        <v>309</v>
      </c>
      <c r="DI8">
        <v>-0.10722446724772455</v>
      </c>
      <c r="DJ8" t="e">
        <v>#VALUE!</v>
      </c>
      <c r="DK8" t="s">
        <v>309</v>
      </c>
      <c r="DL8">
        <v>-9.3821408841758963E-2</v>
      </c>
      <c r="DM8">
        <v>-687000000</v>
      </c>
      <c r="DN8">
        <v>-0.13403058405965568</v>
      </c>
      <c r="DO8">
        <v>5995544600</v>
      </c>
      <c r="DP8">
        <v>-1740747030</v>
      </c>
      <c r="DQ8">
        <v>1527</v>
      </c>
      <c r="DR8">
        <v>6.5154631678703293E-2</v>
      </c>
      <c r="DS8">
        <v>24.033978503059632</v>
      </c>
      <c r="DT8" s="10">
        <v>-0.28333333333333338</v>
      </c>
      <c r="DU8">
        <v>-2.6650000000000005</v>
      </c>
      <c r="DV8">
        <v>-2.9483333333333337</v>
      </c>
      <c r="DW8">
        <v>-9.306481481481482</v>
      </c>
      <c r="DX8">
        <v>0.4085043263288004</v>
      </c>
      <c r="DY8">
        <v>-9.0577730851989191</v>
      </c>
      <c r="DZ8">
        <v>4693</v>
      </c>
      <c r="EA8">
        <v>-9.0034929873333489</v>
      </c>
      <c r="EB8">
        <v>9</v>
      </c>
      <c r="EC8">
        <v>0.35125111327888708</v>
      </c>
      <c r="ED8">
        <v>1.8633583648696372</v>
      </c>
      <c r="EE8" s="11">
        <v>0.06</v>
      </c>
      <c r="EF8">
        <v>8.0099999999999991E-2</v>
      </c>
      <c r="EG8">
        <v>22.1885043263288</v>
      </c>
      <c r="EH8" t="s">
        <v>310</v>
      </c>
      <c r="EI8">
        <v>0</v>
      </c>
      <c r="EJ8">
        <v>0</v>
      </c>
      <c r="EK8" s="7">
        <v>45051</v>
      </c>
      <c r="EL8" s="12">
        <v>0</v>
      </c>
      <c r="EM8" s="12">
        <v>-0.19850000000000001</v>
      </c>
      <c r="EN8" s="12">
        <v>6.42</v>
      </c>
      <c r="EO8" s="12">
        <v>7.33</v>
      </c>
      <c r="EP8" s="12">
        <v>2.0099999999999998</v>
      </c>
    </row>
    <row r="9" spans="1:146" ht="96" x14ac:dyDescent="0.25">
      <c r="A9" s="13"/>
      <c r="B9" s="13"/>
      <c r="C9" s="13" t="str">
        <f>""&amp;CHAR(10)&amp;Basic_Fundamental_Information_Constructure(F9)&amp;CHAR(10)&amp;Basic_Fundamental_Information_Concatenate("")</f>
        <v xml:space="preserve">
市值3.848455亿, 利润-1.29亿; PE; 平均PE-.92; 平均PEG-.03, PB; ROIC0%; ROE-107.93%; 股利率0%; 毛利38.93%; 净利-317.81%; 上一年度营收增3.27%, 利润增67.83%; 当季营收增-49.88%, 利润增2.49%; 过往5年营收增-29.7%, 利润增-465.34%
Income profile:
</v>
      </c>
      <c r="D9" t="s">
        <v>146</v>
      </c>
      <c r="E9" t="s">
        <v>315</v>
      </c>
      <c r="F9" t="s">
        <v>5</v>
      </c>
      <c r="G9">
        <v>0</v>
      </c>
      <c r="H9">
        <v>0</v>
      </c>
      <c r="I9">
        <v>384845500</v>
      </c>
      <c r="L9" t="s">
        <v>80</v>
      </c>
      <c r="M9" t="s">
        <v>575</v>
      </c>
      <c r="N9" t="s">
        <v>576</v>
      </c>
      <c r="O9" t="s">
        <v>577</v>
      </c>
      <c r="P9">
        <v>-49.88</v>
      </c>
      <c r="Q9" t="s">
        <v>578</v>
      </c>
      <c r="R9">
        <v>-20601515</v>
      </c>
      <c r="S9" s="5">
        <v>2.4899999999999999E-2</v>
      </c>
      <c r="T9" t="s">
        <v>579</v>
      </c>
      <c r="U9">
        <v>405626230</v>
      </c>
      <c r="V9">
        <v>481056870</v>
      </c>
      <c r="W9" t="s">
        <v>5</v>
      </c>
      <c r="X9">
        <v>0.01</v>
      </c>
      <c r="Y9">
        <v>-252.65</v>
      </c>
      <c r="Z9" t="s">
        <v>580</v>
      </c>
      <c r="AA9" t="s">
        <v>581</v>
      </c>
      <c r="AB9" t="s">
        <v>582</v>
      </c>
      <c r="AC9" t="s">
        <v>583</v>
      </c>
      <c r="AD9" t="s">
        <v>5</v>
      </c>
      <c r="AE9">
        <v>15204362</v>
      </c>
      <c r="AF9" t="s">
        <v>509</v>
      </c>
      <c r="AG9">
        <v>1452.69</v>
      </c>
      <c r="AH9" t="s">
        <v>584</v>
      </c>
      <c r="AI9" t="s">
        <v>585</v>
      </c>
      <c r="AJ9" t="s">
        <v>586</v>
      </c>
      <c r="AK9" t="s">
        <v>5</v>
      </c>
      <c r="AL9" t="s">
        <v>587</v>
      </c>
      <c r="AM9" t="s">
        <v>5</v>
      </c>
      <c r="AN9">
        <v>0</v>
      </c>
      <c r="AO9" t="s">
        <v>588</v>
      </c>
      <c r="AP9" t="s">
        <v>5</v>
      </c>
      <c r="AQ9" t="s">
        <v>589</v>
      </c>
      <c r="AR9" t="s">
        <v>5</v>
      </c>
      <c r="AS9" t="s">
        <v>590</v>
      </c>
      <c r="AT9" t="s">
        <v>5</v>
      </c>
      <c r="AU9" t="s">
        <v>591</v>
      </c>
      <c r="AV9" t="s">
        <v>592</v>
      </c>
      <c r="AW9" t="s">
        <v>593</v>
      </c>
      <c r="AX9" t="s">
        <v>267</v>
      </c>
      <c r="AY9" t="s">
        <v>115</v>
      </c>
      <c r="AZ9" t="s">
        <v>147</v>
      </c>
      <c r="BA9" t="s">
        <v>148</v>
      </c>
      <c r="BB9" t="s">
        <v>71</v>
      </c>
      <c r="BC9" t="s">
        <v>268</v>
      </c>
      <c r="BD9" t="s">
        <v>269</v>
      </c>
      <c r="BE9" t="s">
        <v>149</v>
      </c>
      <c r="BF9" t="s">
        <v>150</v>
      </c>
      <c r="BG9" t="s">
        <v>151</v>
      </c>
      <c r="BH9" t="s">
        <v>578</v>
      </c>
      <c r="BI9" t="s">
        <v>594</v>
      </c>
      <c r="BJ9" t="s">
        <v>267</v>
      </c>
      <c r="BK9" t="s">
        <v>579</v>
      </c>
      <c r="BL9" t="s">
        <v>595</v>
      </c>
      <c r="BM9" t="s">
        <v>268</v>
      </c>
      <c r="BN9" t="s">
        <v>5</v>
      </c>
      <c r="BO9" t="s">
        <v>5</v>
      </c>
      <c r="BP9" t="s">
        <v>5</v>
      </c>
      <c r="BQ9" t="s">
        <v>5</v>
      </c>
      <c r="BR9" t="s">
        <v>5</v>
      </c>
      <c r="BS9">
        <v>-107.93</v>
      </c>
      <c r="BT9" t="s">
        <v>397</v>
      </c>
      <c r="BU9" t="s">
        <v>80</v>
      </c>
      <c r="BV9">
        <v>38.01</v>
      </c>
      <c r="BW9">
        <v>30.64</v>
      </c>
      <c r="BX9">
        <v>48.14</v>
      </c>
      <c r="BY9">
        <v>-252.65</v>
      </c>
      <c r="BZ9">
        <v>-529.20000000000005</v>
      </c>
      <c r="CA9">
        <v>-171.58</v>
      </c>
      <c r="CB9" t="s">
        <v>5</v>
      </c>
      <c r="CC9" t="s">
        <v>5</v>
      </c>
      <c r="CD9" t="s">
        <v>200</v>
      </c>
      <c r="CE9" t="s">
        <v>596</v>
      </c>
      <c r="CF9" s="8">
        <v>-0.49875514365380602</v>
      </c>
      <c r="CG9" s="9">
        <v>2.4904982558442236E-2</v>
      </c>
      <c r="CH9" s="8">
        <v>3.2732754945755005E-2</v>
      </c>
      <c r="CI9" s="8">
        <v>-0.40337637066841125</v>
      </c>
      <c r="CJ9" s="8">
        <v>-0.53136533498764038</v>
      </c>
      <c r="CK9" s="8">
        <v>-0.28116711974143982</v>
      </c>
      <c r="CL9" s="8">
        <v>-0.30185183882713318</v>
      </c>
      <c r="CM9" s="9">
        <v>0.67830425500869751</v>
      </c>
      <c r="CN9" s="9">
        <v>-0.84792625904083252</v>
      </c>
      <c r="CO9" s="9">
        <v>-0.2616279125213623</v>
      </c>
      <c r="CP9" s="9">
        <v>0.89700597524642944</v>
      </c>
      <c r="CQ9" s="9">
        <v>-23.732902526855469</v>
      </c>
      <c r="CR9">
        <v>-0.9179240450413354</v>
      </c>
      <c r="CS9">
        <v>-3.0905952652670342E-2</v>
      </c>
      <c r="CT9">
        <v>0</v>
      </c>
      <c r="CU9" s="8">
        <v>-0.29700558185577391</v>
      </c>
      <c r="CV9" s="9">
        <v>-4.6534292936325077</v>
      </c>
      <c r="CW9">
        <v>0.06</v>
      </c>
      <c r="CX9" t="e">
        <v>#VALUE!</v>
      </c>
      <c r="CY9" t="s">
        <v>311</v>
      </c>
      <c r="CZ9">
        <v>-0.29700558185577391</v>
      </c>
      <c r="DA9" t="e">
        <v>#VALUE!</v>
      </c>
      <c r="DB9" t="s">
        <v>309</v>
      </c>
      <c r="DC9">
        <v>-0.28215530276298523</v>
      </c>
      <c r="DD9" t="e">
        <v>#VALUE!</v>
      </c>
      <c r="DE9" t="s">
        <v>309</v>
      </c>
      <c r="DF9">
        <v>-0.26136491203308104</v>
      </c>
      <c r="DG9" t="e">
        <v>#VALUE!</v>
      </c>
      <c r="DH9" t="s">
        <v>309</v>
      </c>
      <c r="DI9">
        <v>-0.23760446548461914</v>
      </c>
      <c r="DJ9" t="e">
        <v>#VALUE!</v>
      </c>
      <c r="DK9" t="s">
        <v>309</v>
      </c>
      <c r="DL9">
        <v>-0.20790390729904173</v>
      </c>
      <c r="DM9">
        <v>-129000000</v>
      </c>
      <c r="DN9">
        <v>-0.29700558185577391</v>
      </c>
      <c r="DO9">
        <v>2708845500</v>
      </c>
      <c r="DP9">
        <v>-1667432850</v>
      </c>
      <c r="DQ9">
        <v>1601</v>
      </c>
      <c r="DR9">
        <v>-0.20174956179803211</v>
      </c>
      <c r="DS9">
        <v>4.6783342761909497</v>
      </c>
      <c r="DT9" s="10">
        <v>-0.71999999999999986</v>
      </c>
      <c r="DU9">
        <v>-2.3883333333333336</v>
      </c>
      <c r="DV9">
        <v>-3.1083333333333334</v>
      </c>
      <c r="DW9" t="e">
        <v>#VALUE!</v>
      </c>
      <c r="DX9">
        <v>0.15174363807728558</v>
      </c>
      <c r="DY9" t="e">
        <v>#VALUE!</v>
      </c>
      <c r="DZ9">
        <v>4934</v>
      </c>
      <c r="EA9" t="e">
        <v>#VALUE!</v>
      </c>
      <c r="EB9" t="e">
        <v>#VALUE!</v>
      </c>
      <c r="EC9">
        <v>0.3346797645775228</v>
      </c>
      <c r="ED9">
        <v>2.2055604361288927</v>
      </c>
      <c r="EE9" s="11">
        <v>1.1245099999999999</v>
      </c>
      <c r="EF9">
        <v>1.1245099999999999</v>
      </c>
      <c r="EG9">
        <v>0.15174363807728558</v>
      </c>
      <c r="EH9" t="s">
        <v>312</v>
      </c>
      <c r="EI9" t="e">
        <v>#VALUE!</v>
      </c>
      <c r="EJ9">
        <v>0</v>
      </c>
      <c r="EK9" s="7">
        <v>45051</v>
      </c>
      <c r="EL9" s="12">
        <v>-0.16389999999999999</v>
      </c>
      <c r="EM9" s="12">
        <v>-0.1961</v>
      </c>
      <c r="EN9" s="12">
        <v>-2.44</v>
      </c>
      <c r="EO9" s="12">
        <v>0</v>
      </c>
      <c r="EP9" s="12">
        <v>0</v>
      </c>
    </row>
    <row r="10" spans="1:146" ht="180" x14ac:dyDescent="0.25">
      <c r="A10" s="13" t="s">
        <v>412</v>
      </c>
      <c r="B10" s="13"/>
      <c r="C10" s="13" t="str">
        <f>"主要业务是教育业务及油墨业务。教育培训业务由公司控股子公司龙门教育及其子公司负责运营，胶印油墨业务由上市公司负责运营。"&amp;CHAR(10)&amp;Basic_Fundamental_Information_Constructure(F10)&amp;CHAR(10)&amp;Basic_Fundamental_Information_Concatenate("职校和复读产品 2.85亿 35.92% 60.69% 52.16%
快干亮光型胶印油墨 1.37亿 17.26% 5.07% 9.06%
K12课外培训 1.16亿 14.66% 23.92% 50.38%
高光泽型胶印油墨 1.10亿 13.88% 6.01% 13.38%
高耐磨型胶印油墨 8906.51万 11.21% 4.25% 11.72%")</f>
        <v>主要业务是教育业务及油墨业务。教育培训业务由公司控股子公司龙门教育及其子公司负责运营，胶印油墨业务由上市公司负责运营。
市值56.941796亿, 利润7407.76万; PE60.69; 平均PE-236.22; 平均PEG-13.83, PB7.34; ROIC7.505%; ROE-14.04%; 股利率0%; 毛利37.4767%; 净利-5.2933%; 上一年度营收增-7.34%, 利润增116.57%; 当季营收增-9.18%, 利润增123.22%; 过往5年营收增17.09%, 利润增47.87%
Income profile:
职校和复读产品 2.85亿 35.92% 60.69% 52.16%
快干亮光型胶印油墨 1.37亿 17.26% 5.07% 9.06%
K12课外培训 1.16亿 14.66% 23.92% 50.38%
高光泽型胶印油墨 1.10亿 13.88% 6.01% 13.38%
高耐磨型胶印油墨 8906.51万 11.21% 4.25% 11.72%</v>
      </c>
      <c r="D10" t="s">
        <v>152</v>
      </c>
      <c r="E10" t="s">
        <v>153</v>
      </c>
      <c r="F10">
        <v>17.3</v>
      </c>
      <c r="G10">
        <v>19.97</v>
      </c>
      <c r="H10" t="s">
        <v>597</v>
      </c>
      <c r="I10">
        <v>5694179600</v>
      </c>
      <c r="J10">
        <v>60.69</v>
      </c>
      <c r="K10">
        <v>7.34</v>
      </c>
      <c r="L10" t="s">
        <v>80</v>
      </c>
      <c r="M10" t="s">
        <v>406</v>
      </c>
      <c r="N10" t="s">
        <v>598</v>
      </c>
      <c r="O10" t="s">
        <v>599</v>
      </c>
      <c r="P10">
        <v>-9.2100000000000009</v>
      </c>
      <c r="Q10" t="s">
        <v>122</v>
      </c>
      <c r="R10">
        <v>35759129</v>
      </c>
      <c r="S10" s="5">
        <v>1.232</v>
      </c>
      <c r="T10" t="s">
        <v>600</v>
      </c>
      <c r="U10">
        <v>215567320</v>
      </c>
      <c r="V10">
        <v>329143330</v>
      </c>
      <c r="W10">
        <v>1.38</v>
      </c>
      <c r="X10">
        <v>0.16</v>
      </c>
      <c r="Y10">
        <v>20.5</v>
      </c>
      <c r="Z10" t="s">
        <v>529</v>
      </c>
      <c r="AA10" t="s">
        <v>400</v>
      </c>
      <c r="AB10" t="s">
        <v>601</v>
      </c>
      <c r="AC10" t="s">
        <v>602</v>
      </c>
      <c r="AD10" t="s">
        <v>603</v>
      </c>
      <c r="AE10">
        <v>-188782</v>
      </c>
      <c r="AF10" t="s">
        <v>604</v>
      </c>
      <c r="AG10" t="s">
        <v>605</v>
      </c>
      <c r="AH10" t="s">
        <v>606</v>
      </c>
      <c r="AI10" t="s">
        <v>607</v>
      </c>
      <c r="AJ10" t="s">
        <v>608</v>
      </c>
      <c r="AK10" t="s">
        <v>609</v>
      </c>
      <c r="AL10" t="s">
        <v>610</v>
      </c>
      <c r="AM10" t="s">
        <v>5</v>
      </c>
      <c r="AN10">
        <v>0</v>
      </c>
      <c r="AO10" t="s">
        <v>5</v>
      </c>
      <c r="AP10" t="s">
        <v>5</v>
      </c>
      <c r="AQ10" t="s">
        <v>611</v>
      </c>
      <c r="AR10" t="s">
        <v>612</v>
      </c>
      <c r="AS10" t="s">
        <v>112</v>
      </c>
      <c r="AT10" t="s">
        <v>5</v>
      </c>
      <c r="AU10" t="s">
        <v>613</v>
      </c>
      <c r="AV10" t="s">
        <v>614</v>
      </c>
      <c r="AW10" t="s">
        <v>615</v>
      </c>
      <c r="AX10" t="s">
        <v>270</v>
      </c>
      <c r="AY10" t="s">
        <v>155</v>
      </c>
      <c r="AZ10" t="s">
        <v>73</v>
      </c>
      <c r="BA10" t="s">
        <v>73</v>
      </c>
      <c r="BB10" t="s">
        <v>156</v>
      </c>
      <c r="BC10" t="s">
        <v>271</v>
      </c>
      <c r="BD10" t="s">
        <v>38</v>
      </c>
      <c r="BE10" t="s">
        <v>158</v>
      </c>
      <c r="BF10" t="s">
        <v>159</v>
      </c>
      <c r="BG10" t="s">
        <v>160</v>
      </c>
      <c r="BH10" t="s">
        <v>122</v>
      </c>
      <c r="BI10" t="s">
        <v>616</v>
      </c>
      <c r="BJ10" t="s">
        <v>270</v>
      </c>
      <c r="BK10" t="s">
        <v>600</v>
      </c>
      <c r="BL10" t="s">
        <v>617</v>
      </c>
      <c r="BM10" t="s">
        <v>271</v>
      </c>
      <c r="BN10">
        <v>4.46</v>
      </c>
      <c r="BO10" t="s">
        <v>5</v>
      </c>
      <c r="BP10">
        <v>10.55</v>
      </c>
      <c r="BQ10">
        <v>4.72</v>
      </c>
      <c r="BR10">
        <v>-60.6</v>
      </c>
      <c r="BS10">
        <v>13.76</v>
      </c>
      <c r="BT10" t="s">
        <v>397</v>
      </c>
      <c r="BU10" t="s">
        <v>80</v>
      </c>
      <c r="BV10">
        <v>37.32</v>
      </c>
      <c r="BW10">
        <v>32.08</v>
      </c>
      <c r="BX10">
        <v>43.03</v>
      </c>
      <c r="BY10">
        <v>20.5</v>
      </c>
      <c r="BZ10">
        <v>-52.58</v>
      </c>
      <c r="CA10">
        <v>16.2</v>
      </c>
      <c r="CB10">
        <v>26.09</v>
      </c>
      <c r="CC10">
        <v>105.95</v>
      </c>
      <c r="CD10" t="s">
        <v>254</v>
      </c>
      <c r="CE10" t="s">
        <v>618</v>
      </c>
      <c r="CF10" s="8">
        <v>-9.1772085561497324E-2</v>
      </c>
      <c r="CG10" s="9">
        <v>1.2321693019307236</v>
      </c>
      <c r="CH10" s="8">
        <v>-7.3426574468612671E-2</v>
      </c>
      <c r="CI10" s="8">
        <v>1.0600706562399864E-2</v>
      </c>
      <c r="CJ10" s="8">
        <v>-0.11470281332731247</v>
      </c>
      <c r="CK10" s="8">
        <v>0</v>
      </c>
      <c r="CL10" s="8">
        <v>1.0317796468734741</v>
      </c>
      <c r="CM10" s="9">
        <v>1.1657216548919678</v>
      </c>
      <c r="CN10" s="9">
        <v>-4.9210524559020996</v>
      </c>
      <c r="CO10" s="9">
        <v>0.41577452421188354</v>
      </c>
      <c r="CP10" s="9">
        <v>1.875596284866333</v>
      </c>
      <c r="CQ10" s="9">
        <v>3.8573410511016846</v>
      </c>
      <c r="CR10">
        <v>-236.21632706397568</v>
      </c>
      <c r="CS10">
        <v>-13.825932692216385</v>
      </c>
      <c r="CT10">
        <v>0</v>
      </c>
      <c r="CU10" s="8">
        <v>0.17085019312798977</v>
      </c>
      <c r="CV10" s="9">
        <v>0.47867621183395387</v>
      </c>
      <c r="CW10">
        <v>0.06</v>
      </c>
      <c r="CX10">
        <v>63.724086149743492</v>
      </c>
      <c r="CY10">
        <v>81824313.45892261</v>
      </c>
      <c r="CZ10">
        <v>0.17085019312798977</v>
      </c>
      <c r="DA10">
        <v>19.458942193926191</v>
      </c>
      <c r="DB10">
        <v>267958018.89105389</v>
      </c>
      <c r="DC10">
        <v>0.16230768347159027</v>
      </c>
      <c r="DD10">
        <v>8.7254346105991214</v>
      </c>
      <c r="DE10">
        <v>597583940.82354772</v>
      </c>
      <c r="DF10">
        <v>0.15034816995263101</v>
      </c>
      <c r="DG10">
        <v>4.6985903580580262</v>
      </c>
      <c r="DH10">
        <v>1109732750.1763895</v>
      </c>
      <c r="DI10">
        <v>0.13668015450239182</v>
      </c>
      <c r="DJ10">
        <v>1.8864712070003802</v>
      </c>
      <c r="DK10">
        <v>2763985785.0207567</v>
      </c>
      <c r="DL10">
        <v>0.11959513518959283</v>
      </c>
      <c r="DM10">
        <v>74077600</v>
      </c>
      <c r="DN10">
        <v>0.17085019312798977</v>
      </c>
      <c r="DO10">
        <v>5214179600</v>
      </c>
      <c r="DP10">
        <v>370274290</v>
      </c>
      <c r="DQ10">
        <v>1699</v>
      </c>
      <c r="DR10">
        <v>-0.26262227868948707</v>
      </c>
      <c r="DS10">
        <v>0.75349309009676979</v>
      </c>
      <c r="DT10" s="10">
        <v>0.19999999999999998</v>
      </c>
      <c r="DU10">
        <v>1.0874999999999999</v>
      </c>
      <c r="DV10">
        <v>1.2874999999999999</v>
      </c>
      <c r="DW10">
        <v>9.2462482302973097</v>
      </c>
      <c r="DX10">
        <v>0.5034904714142423</v>
      </c>
      <c r="DY10">
        <v>9.0402592392562298</v>
      </c>
      <c r="DZ10">
        <v>364</v>
      </c>
      <c r="EA10">
        <v>9.0373254328319526</v>
      </c>
      <c r="EB10">
        <v>9</v>
      </c>
      <c r="EC10">
        <v>0.49522498298841422</v>
      </c>
      <c r="ED10">
        <v>3.0290755094444726</v>
      </c>
      <c r="EE10" s="11">
        <v>6.0015000000000001</v>
      </c>
      <c r="EF10">
        <v>7.0511999999999997</v>
      </c>
      <c r="EG10">
        <v>34.163490471414242</v>
      </c>
      <c r="EH10" t="s">
        <v>619</v>
      </c>
      <c r="EI10">
        <v>1</v>
      </c>
      <c r="EJ10">
        <v>1</v>
      </c>
      <c r="EK10" s="7">
        <v>45051</v>
      </c>
      <c r="EL10" s="12">
        <v>-6.0499999999999998E-2</v>
      </c>
      <c r="EM10" s="12">
        <v>-7.0000000000000001E-3</v>
      </c>
      <c r="EN10" s="12">
        <v>8.67</v>
      </c>
      <c r="EO10" s="12">
        <v>3.67</v>
      </c>
      <c r="EP10" s="12">
        <v>19.97</v>
      </c>
    </row>
    <row r="11" spans="1:146" ht="108" x14ac:dyDescent="0.25">
      <c r="A11" s="13"/>
      <c r="B11" s="13"/>
      <c r="C11" s="13" t="str">
        <f>""&amp;CHAR(10)&amp;Basic_Fundamental_Information_Constructure(F11)&amp;CHAR(10)&amp;Basic_Fundamental_Information_Concatenate("")</f>
        <v xml:space="preserve">
市值11.8655146亿, 利润-2.37亿; PE; 平均PE-7.37; 平均PEG-.28, PB.886; ROIC0%; ROE-14.8067%; 股利率0%; 毛利31.1267%; 净利-86.73%; 上一年度营收增-41.73%, 利润增-45.4%; 当季营收增14.2%, 利润增-56.19%; 过往5年营收增-26.45%, 利润增-1133.5%
Income profile:
</v>
      </c>
      <c r="D11" t="s">
        <v>161</v>
      </c>
      <c r="E11" t="s">
        <v>620</v>
      </c>
      <c r="F11">
        <v>3.17</v>
      </c>
      <c r="G11">
        <v>-1.25</v>
      </c>
      <c r="H11" t="s">
        <v>621</v>
      </c>
      <c r="I11">
        <v>1186551460</v>
      </c>
      <c r="K11">
        <v>0.88600000000000001</v>
      </c>
      <c r="L11" t="s">
        <v>80</v>
      </c>
      <c r="M11" t="s">
        <v>622</v>
      </c>
      <c r="N11" t="s">
        <v>623</v>
      </c>
      <c r="O11" t="s">
        <v>624</v>
      </c>
      <c r="P11">
        <v>14.2</v>
      </c>
      <c r="Q11" t="s">
        <v>625</v>
      </c>
      <c r="R11">
        <v>-13429235</v>
      </c>
      <c r="S11" s="5">
        <v>-0.56189999999999996</v>
      </c>
      <c r="T11" t="s">
        <v>626</v>
      </c>
      <c r="U11">
        <v>374306460</v>
      </c>
      <c r="V11">
        <v>374306460</v>
      </c>
      <c r="W11">
        <v>1.37</v>
      </c>
      <c r="X11">
        <v>0.03</v>
      </c>
      <c r="Y11">
        <v>-21.5</v>
      </c>
      <c r="Z11" t="s">
        <v>627</v>
      </c>
      <c r="AA11" t="s">
        <v>628</v>
      </c>
      <c r="AB11" t="s">
        <v>629</v>
      </c>
      <c r="AC11" t="s">
        <v>630</v>
      </c>
      <c r="AD11" t="s">
        <v>631</v>
      </c>
      <c r="AE11">
        <v>4998419</v>
      </c>
      <c r="AF11" t="s">
        <v>632</v>
      </c>
      <c r="AG11">
        <v>1726.9</v>
      </c>
      <c r="AH11" t="s">
        <v>633</v>
      </c>
      <c r="AI11" t="s">
        <v>634</v>
      </c>
      <c r="AJ11" t="s">
        <v>635</v>
      </c>
      <c r="AK11" t="s">
        <v>5</v>
      </c>
      <c r="AL11" t="s">
        <v>636</v>
      </c>
      <c r="AM11" t="s">
        <v>5</v>
      </c>
      <c r="AN11" t="s">
        <v>637</v>
      </c>
      <c r="AO11" t="s">
        <v>638</v>
      </c>
      <c r="AP11" t="s">
        <v>5</v>
      </c>
      <c r="AQ11" t="s">
        <v>639</v>
      </c>
      <c r="AR11" t="s">
        <v>5</v>
      </c>
      <c r="AS11" t="s">
        <v>640</v>
      </c>
      <c r="AT11" t="s">
        <v>5</v>
      </c>
      <c r="AU11" t="s">
        <v>641</v>
      </c>
      <c r="AV11" t="s">
        <v>642</v>
      </c>
      <c r="AW11" t="s">
        <v>643</v>
      </c>
      <c r="AX11" t="s">
        <v>214</v>
      </c>
      <c r="AY11" t="s">
        <v>162</v>
      </c>
      <c r="AZ11" t="s">
        <v>165</v>
      </c>
      <c r="BA11" t="s">
        <v>72</v>
      </c>
      <c r="BB11" t="s">
        <v>166</v>
      </c>
      <c r="BC11" t="s">
        <v>175</v>
      </c>
      <c r="BD11" t="s">
        <v>163</v>
      </c>
      <c r="BE11" t="s">
        <v>167</v>
      </c>
      <c r="BF11" t="s">
        <v>38</v>
      </c>
      <c r="BG11" t="s">
        <v>168</v>
      </c>
      <c r="BH11" t="s">
        <v>625</v>
      </c>
      <c r="BI11" t="s">
        <v>644</v>
      </c>
      <c r="BJ11" t="s">
        <v>214</v>
      </c>
      <c r="BK11" t="s">
        <v>626</v>
      </c>
      <c r="BL11" t="s">
        <v>645</v>
      </c>
      <c r="BM11" t="s">
        <v>175</v>
      </c>
      <c r="BN11" t="s">
        <v>5</v>
      </c>
      <c r="BO11" t="s">
        <v>5</v>
      </c>
      <c r="BP11" t="s">
        <v>5</v>
      </c>
      <c r="BQ11">
        <v>-1</v>
      </c>
      <c r="BR11">
        <v>-9.7899999999999991</v>
      </c>
      <c r="BS11">
        <v>-33.630000000000003</v>
      </c>
      <c r="BT11" t="s">
        <v>397</v>
      </c>
      <c r="BU11" t="s">
        <v>80</v>
      </c>
      <c r="BV11">
        <v>26.25</v>
      </c>
      <c r="BW11">
        <v>31.18</v>
      </c>
      <c r="BX11">
        <v>35.950000000000003</v>
      </c>
      <c r="BY11">
        <v>-21.5</v>
      </c>
      <c r="BZ11">
        <v>-39.71</v>
      </c>
      <c r="CA11">
        <v>-198.98</v>
      </c>
      <c r="CB11">
        <v>-18.3</v>
      </c>
      <c r="CC11">
        <v>-36.729999999999997</v>
      </c>
      <c r="CD11" t="s">
        <v>646</v>
      </c>
      <c r="CE11" t="s">
        <v>45</v>
      </c>
      <c r="CF11" s="8">
        <v>0.14200899049576163</v>
      </c>
      <c r="CG11" s="9">
        <v>-0.56188402088833578</v>
      </c>
      <c r="CH11" s="8">
        <v>-0.41730278730392456</v>
      </c>
      <c r="CI11" s="8">
        <v>0.10084033757448196</v>
      </c>
      <c r="CJ11" s="8">
        <v>-0.47653958201408386</v>
      </c>
      <c r="CK11" s="8">
        <v>-0.13997477293014526</v>
      </c>
      <c r="CL11" s="8">
        <v>-0.38953045010566711</v>
      </c>
      <c r="CM11" s="9">
        <v>-0.453987717628479</v>
      </c>
      <c r="CN11" s="9">
        <v>0.77170866727828979</v>
      </c>
      <c r="CO11" s="9">
        <v>-60.215763092041016</v>
      </c>
      <c r="CP11" s="9">
        <v>-0.89423155784606934</v>
      </c>
      <c r="CQ11" s="9">
        <v>4.1170411109924316</v>
      </c>
      <c r="CR11">
        <v>-7.3724499383274029</v>
      </c>
      <c r="CS11">
        <v>-0.27873003764949106</v>
      </c>
      <c r="CT11">
        <v>0</v>
      </c>
      <c r="CU11" s="8">
        <v>-0.26450145095586775</v>
      </c>
      <c r="CV11" s="9">
        <v>-11.335046517848969</v>
      </c>
      <c r="CW11">
        <v>0.06</v>
      </c>
      <c r="CX11" t="e">
        <v>#VALUE!</v>
      </c>
      <c r="CY11" t="s">
        <v>311</v>
      </c>
      <c r="CZ11">
        <v>-0.26450145095586775</v>
      </c>
      <c r="DA11" t="e">
        <v>#VALUE!</v>
      </c>
      <c r="DB11" t="s">
        <v>309</v>
      </c>
      <c r="DC11">
        <v>-0.25127637840807432</v>
      </c>
      <c r="DD11" t="e">
        <v>#VALUE!</v>
      </c>
      <c r="DE11" t="s">
        <v>309</v>
      </c>
      <c r="DF11">
        <v>-0.23276127684116363</v>
      </c>
      <c r="DG11" t="e">
        <v>#VALUE!</v>
      </c>
      <c r="DH11" t="s">
        <v>309</v>
      </c>
      <c r="DI11">
        <v>-0.21160116076469421</v>
      </c>
      <c r="DJ11" t="e">
        <v>#VALUE!</v>
      </c>
      <c r="DK11" t="s">
        <v>309</v>
      </c>
      <c r="DL11">
        <v>-0.18515101566910741</v>
      </c>
      <c r="DM11">
        <v>-237000000</v>
      </c>
      <c r="DN11">
        <v>-0.26450145095586775</v>
      </c>
      <c r="DO11">
        <v>296551460</v>
      </c>
      <c r="DP11">
        <v>592550060</v>
      </c>
      <c r="DQ11">
        <v>1787</v>
      </c>
      <c r="DR11">
        <v>0.4065104414516294</v>
      </c>
      <c r="DS11">
        <v>10.773162496960634</v>
      </c>
      <c r="DT11" s="10">
        <v>-0.62</v>
      </c>
      <c r="DU11">
        <v>-2.1766666666666667</v>
      </c>
      <c r="DV11">
        <v>-2.7966666666666669</v>
      </c>
      <c r="DW11">
        <v>-9.4982303294309833</v>
      </c>
      <c r="DX11">
        <v>0.76269021739130383</v>
      </c>
      <c r="DY11">
        <v>-9.1807032664922641</v>
      </c>
      <c r="DZ11">
        <v>4424</v>
      </c>
      <c r="EA11">
        <v>-9.0206569700034205</v>
      </c>
      <c r="EB11">
        <v>9</v>
      </c>
      <c r="EC11">
        <v>0.17828973616966162</v>
      </c>
      <c r="ED11">
        <v>0.49157580662647393</v>
      </c>
      <c r="EE11" s="11">
        <v>-2.0496099999999999</v>
      </c>
      <c r="EF11">
        <v>-2.0621100000000001</v>
      </c>
      <c r="EG11">
        <v>40.362690217391304</v>
      </c>
      <c r="EH11" t="s">
        <v>405</v>
      </c>
      <c r="EI11">
        <v>0</v>
      </c>
      <c r="EJ11">
        <v>0</v>
      </c>
      <c r="EK11" s="7">
        <v>45051</v>
      </c>
      <c r="EL11" s="12">
        <v>-2.06E-2</v>
      </c>
      <c r="EM11" s="12">
        <v>-1.84E-2</v>
      </c>
      <c r="EN11" s="12">
        <v>0</v>
      </c>
      <c r="EO11" s="12">
        <v>-13.94</v>
      </c>
      <c r="EP11" s="12">
        <v>-1.25</v>
      </c>
    </row>
    <row r="12" spans="1:146" ht="108" x14ac:dyDescent="0.25">
      <c r="A12" s="13"/>
      <c r="B12" s="13"/>
      <c r="C12" s="13" t="str">
        <f>""&amp;CHAR(10)&amp;Basic_Fundamental_Information_Constructure(F12)&amp;CHAR(10)&amp;Basic_Fundamental_Information_Concatenate("")</f>
        <v xml:space="preserve">
市值18.018808亿, 利润3377.45万; PE20.45; 平均PE-6.89; 平均PEG-2.88, PB17.27; ROIC2.47%; ROE-81.2367%; 股利率0%; 毛利58.9%; 净利-46.0867%; 上一年度营收增-29.22%, 利润增107.33%; 当季营收增-36.88%, 利润增108.63%; 过往5年营收增-2.4%, 利润增-131.18%
Income profile:
</v>
      </c>
      <c r="D12" t="s">
        <v>169</v>
      </c>
      <c r="E12" t="s">
        <v>320</v>
      </c>
      <c r="F12">
        <v>4.66</v>
      </c>
      <c r="G12">
        <v>2.87</v>
      </c>
      <c r="H12" t="s">
        <v>647</v>
      </c>
      <c r="I12">
        <v>1801880800</v>
      </c>
      <c r="J12">
        <v>20.45</v>
      </c>
      <c r="K12">
        <v>17.27</v>
      </c>
      <c r="L12" t="s">
        <v>80</v>
      </c>
      <c r="M12" t="s">
        <v>648</v>
      </c>
      <c r="N12" t="s">
        <v>411</v>
      </c>
      <c r="O12" t="s">
        <v>649</v>
      </c>
      <c r="P12">
        <v>-36.75</v>
      </c>
      <c r="Q12" t="s">
        <v>650</v>
      </c>
      <c r="R12">
        <v>4315645</v>
      </c>
      <c r="S12" s="5">
        <v>1.0860000000000001</v>
      </c>
      <c r="T12" t="s">
        <v>651</v>
      </c>
      <c r="U12">
        <v>295821690</v>
      </c>
      <c r="V12">
        <v>386669690</v>
      </c>
      <c r="W12">
        <v>7.58</v>
      </c>
      <c r="X12">
        <v>0.13</v>
      </c>
      <c r="Y12">
        <v>3.81</v>
      </c>
      <c r="Z12" t="s">
        <v>652</v>
      </c>
      <c r="AA12" t="s">
        <v>653</v>
      </c>
      <c r="AB12" t="s">
        <v>654</v>
      </c>
      <c r="AC12" t="s">
        <v>655</v>
      </c>
      <c r="AD12" t="s">
        <v>656</v>
      </c>
      <c r="AE12">
        <v>850356</v>
      </c>
      <c r="AF12" t="s">
        <v>509</v>
      </c>
      <c r="AG12" t="s">
        <v>657</v>
      </c>
      <c r="AH12" t="s">
        <v>658</v>
      </c>
      <c r="AI12" t="s">
        <v>659</v>
      </c>
      <c r="AJ12" t="s">
        <v>660</v>
      </c>
      <c r="AK12" t="s">
        <v>5</v>
      </c>
      <c r="AL12" t="s">
        <v>661</v>
      </c>
      <c r="AM12" t="s">
        <v>5</v>
      </c>
      <c r="AN12">
        <v>0</v>
      </c>
      <c r="AO12" t="s">
        <v>662</v>
      </c>
      <c r="AP12" t="s">
        <v>5</v>
      </c>
      <c r="AQ12" t="s">
        <v>326</v>
      </c>
      <c r="AR12" t="s">
        <v>5</v>
      </c>
      <c r="AS12" t="s">
        <v>663</v>
      </c>
      <c r="AT12" t="s">
        <v>664</v>
      </c>
      <c r="AU12" t="s">
        <v>665</v>
      </c>
      <c r="AV12" t="s">
        <v>666</v>
      </c>
      <c r="AW12" t="s">
        <v>667</v>
      </c>
      <c r="AX12" t="s">
        <v>272</v>
      </c>
      <c r="AY12" t="s">
        <v>116</v>
      </c>
      <c r="AZ12" t="s">
        <v>92</v>
      </c>
      <c r="BA12" t="s">
        <v>171</v>
      </c>
      <c r="BB12" t="s">
        <v>172</v>
      </c>
      <c r="BC12" t="s">
        <v>273</v>
      </c>
      <c r="BD12" t="s">
        <v>170</v>
      </c>
      <c r="BE12" t="s">
        <v>173</v>
      </c>
      <c r="BF12" t="s">
        <v>174</v>
      </c>
      <c r="BG12" t="s">
        <v>77</v>
      </c>
      <c r="BH12" t="s">
        <v>650</v>
      </c>
      <c r="BI12" t="s">
        <v>137</v>
      </c>
      <c r="BJ12" t="s">
        <v>272</v>
      </c>
      <c r="BK12" t="s">
        <v>651</v>
      </c>
      <c r="BL12" t="s">
        <v>668</v>
      </c>
      <c r="BM12" t="s">
        <v>273</v>
      </c>
      <c r="BN12">
        <v>2.4700000000000002</v>
      </c>
      <c r="BO12" t="s">
        <v>5</v>
      </c>
      <c r="BP12" t="s">
        <v>5</v>
      </c>
      <c r="BQ12">
        <v>4.22</v>
      </c>
      <c r="BR12">
        <v>-171.8</v>
      </c>
      <c r="BS12">
        <v>-76.13</v>
      </c>
      <c r="BT12" t="s">
        <v>397</v>
      </c>
      <c r="BU12" t="s">
        <v>80</v>
      </c>
      <c r="BV12">
        <v>63.68</v>
      </c>
      <c r="BW12">
        <v>55.09</v>
      </c>
      <c r="BX12">
        <v>57.93</v>
      </c>
      <c r="BY12">
        <v>3.81</v>
      </c>
      <c r="BZ12">
        <v>-49.6</v>
      </c>
      <c r="CA12">
        <v>-92.47</v>
      </c>
      <c r="CB12">
        <v>6.88</v>
      </c>
      <c r="CC12">
        <v>3.33</v>
      </c>
      <c r="CD12" t="s">
        <v>669</v>
      </c>
      <c r="CE12" t="s">
        <v>670</v>
      </c>
      <c r="CF12" s="8">
        <v>-0.36877782941176468</v>
      </c>
      <c r="CG12" s="9">
        <v>1.0862978841681548</v>
      </c>
      <c r="CH12" s="8">
        <v>-0.29215896129608154</v>
      </c>
      <c r="CI12" s="8">
        <v>9.529411792755127E-2</v>
      </c>
      <c r="CJ12" s="8">
        <v>-0.42914706468582153</v>
      </c>
      <c r="CK12" s="8">
        <v>2.4071482941508293E-2</v>
      </c>
      <c r="CL12" s="8">
        <v>0.48216107487678528</v>
      </c>
      <c r="CM12" s="9">
        <v>1.0732635259628296</v>
      </c>
      <c r="CN12" s="9">
        <v>0.39817231893539429</v>
      </c>
      <c r="CO12" s="9">
        <v>-0.20629921555519104</v>
      </c>
      <c r="CP12" s="9">
        <v>-7.4402403831481934</v>
      </c>
      <c r="CQ12" s="9">
        <v>-0.38375750184059143</v>
      </c>
      <c r="CR12">
        <v>-6.8878063809694368</v>
      </c>
      <c r="CS12">
        <v>-2.8752061049734845</v>
      </c>
      <c r="CT12">
        <v>0</v>
      </c>
      <c r="CU12" s="8">
        <v>-2.3955870047211648E-2</v>
      </c>
      <c r="CV12" s="9">
        <v>-1.3117722511291503</v>
      </c>
      <c r="CW12">
        <v>0.06</v>
      </c>
      <c r="CX12">
        <v>70.611875823476296</v>
      </c>
      <c r="CY12" t="s">
        <v>671</v>
      </c>
      <c r="CZ12">
        <v>-2.3955870047211648E-2</v>
      </c>
      <c r="DA12">
        <v>23.537291941158763</v>
      </c>
      <c r="DB12" t="s">
        <v>672</v>
      </c>
      <c r="DC12">
        <v>-2.2758076544851066E-2</v>
      </c>
      <c r="DD12">
        <v>11.768645970579382</v>
      </c>
      <c r="DE12" t="s">
        <v>673</v>
      </c>
      <c r="DF12">
        <v>-2.1081165641546249E-2</v>
      </c>
      <c r="DG12">
        <v>7.0611875823476291</v>
      </c>
      <c r="DH12" t="s">
        <v>674</v>
      </c>
      <c r="DI12">
        <v>-1.9164696037769321E-2</v>
      </c>
      <c r="DJ12">
        <v>3.5305937911738146</v>
      </c>
      <c r="DK12" t="s">
        <v>675</v>
      </c>
      <c r="DL12">
        <v>-1.6769109033048152E-2</v>
      </c>
      <c r="DM12">
        <v>33774500</v>
      </c>
      <c r="DN12">
        <v>-2.3955870047211648E-2</v>
      </c>
      <c r="DO12">
        <v>2384880800</v>
      </c>
      <c r="DP12">
        <v>-437458520</v>
      </c>
      <c r="DQ12">
        <v>1840</v>
      </c>
      <c r="DR12">
        <v>-0.34482195936455301</v>
      </c>
      <c r="DS12">
        <v>2.3980701352973051</v>
      </c>
      <c r="DT12" s="10">
        <v>-0.42</v>
      </c>
      <c r="DU12">
        <v>-1.6733333333333336</v>
      </c>
      <c r="DV12">
        <v>-2.0933333333333337</v>
      </c>
      <c r="DW12">
        <v>5.4840116279069768</v>
      </c>
      <c r="DX12">
        <v>0.58290057803468442</v>
      </c>
      <c r="DY12">
        <v>5.103046355356903</v>
      </c>
      <c r="DZ12">
        <v>4614</v>
      </c>
      <c r="EA12">
        <v>5.0078599922704665</v>
      </c>
      <c r="EB12">
        <v>5</v>
      </c>
      <c r="EC12">
        <v>0.19050782077074621</v>
      </c>
      <c r="ED12">
        <v>0.8948205896355621</v>
      </c>
      <c r="EE12" s="11">
        <v>1.01861</v>
      </c>
      <c r="EF12">
        <v>1.0101</v>
      </c>
      <c r="EG12">
        <v>37.212900578034684</v>
      </c>
      <c r="EH12" t="s">
        <v>316</v>
      </c>
      <c r="EI12">
        <v>1</v>
      </c>
      <c r="EJ12">
        <v>0</v>
      </c>
      <c r="EK12" s="7">
        <v>45051</v>
      </c>
      <c r="EL12" s="12">
        <v>3.44E-2</v>
      </c>
      <c r="EM12" s="12">
        <v>-3.1E-2</v>
      </c>
      <c r="EN12" s="12">
        <v>2.97</v>
      </c>
      <c r="EO12" s="12">
        <v>0.67</v>
      </c>
      <c r="EP12" s="12">
        <v>2.87</v>
      </c>
    </row>
    <row r="13" spans="1:146" ht="108" x14ac:dyDescent="0.25">
      <c r="A13" s="13"/>
      <c r="B13" s="13"/>
      <c r="C13" s="13" t="str">
        <f>""&amp;CHAR(10)&amp;Basic_Fundamental_Information_Constructure(F13)&amp;CHAR(10)&amp;Basic_Fundamental_Information_Concatenate("")</f>
        <v xml:space="preserve">
市值45.47334亿, 利润1258.68万; PE675.4; 平均PE-22.41; 平均PEG-2.3, PB6.5; ROIC5.715%; ROE2.85%; 股利率0%; 毛利30.3133%; 净利4.0233%; 上一年度营收增-15.74%, 利润增36.87%; 当季营收增.54%, 利润增-236.47%; 过往5年营收增-9.76%, 利润增-207.45%
Income profile:
</v>
      </c>
      <c r="D13" t="s">
        <v>176</v>
      </c>
      <c r="E13" t="s">
        <v>177</v>
      </c>
      <c r="F13">
        <v>7.18</v>
      </c>
      <c r="G13">
        <v>7</v>
      </c>
      <c r="H13" t="s">
        <v>676</v>
      </c>
      <c r="I13">
        <v>4547334000</v>
      </c>
      <c r="J13">
        <v>675.4</v>
      </c>
      <c r="K13">
        <v>6.5</v>
      </c>
      <c r="L13" t="s">
        <v>80</v>
      </c>
      <c r="M13" t="s">
        <v>238</v>
      </c>
      <c r="N13" t="s">
        <v>527</v>
      </c>
      <c r="O13" t="s">
        <v>677</v>
      </c>
      <c r="P13">
        <v>0.55000000000000004</v>
      </c>
      <c r="Q13" t="s">
        <v>678</v>
      </c>
      <c r="R13">
        <v>-3378649</v>
      </c>
      <c r="S13" s="5">
        <v>-2.3650000000000002</v>
      </c>
      <c r="T13" t="s">
        <v>679</v>
      </c>
      <c r="U13">
        <v>633258420</v>
      </c>
      <c r="V13">
        <v>633333420</v>
      </c>
      <c r="W13">
        <v>1.33</v>
      </c>
      <c r="X13">
        <v>0.09</v>
      </c>
      <c r="Y13">
        <v>-2.4500000000000002</v>
      </c>
      <c r="Z13" t="s">
        <v>400</v>
      </c>
      <c r="AA13" t="s">
        <v>680</v>
      </c>
      <c r="AB13" t="s">
        <v>681</v>
      </c>
      <c r="AC13" t="s">
        <v>682</v>
      </c>
      <c r="AD13" t="s">
        <v>683</v>
      </c>
      <c r="AE13">
        <v>-710601</v>
      </c>
      <c r="AF13" t="s">
        <v>684</v>
      </c>
      <c r="AG13">
        <v>4633.8900000000003</v>
      </c>
      <c r="AH13" t="s">
        <v>685</v>
      </c>
      <c r="AI13" t="s">
        <v>686</v>
      </c>
      <c r="AJ13" t="s">
        <v>687</v>
      </c>
      <c r="AK13" t="s">
        <v>5</v>
      </c>
      <c r="AL13" t="s">
        <v>688</v>
      </c>
      <c r="AM13" t="s">
        <v>5</v>
      </c>
      <c r="AN13" t="s">
        <v>689</v>
      </c>
      <c r="AO13" t="s">
        <v>690</v>
      </c>
      <c r="AP13" t="s">
        <v>5</v>
      </c>
      <c r="AQ13" t="s">
        <v>691</v>
      </c>
      <c r="AR13" t="s">
        <v>5</v>
      </c>
      <c r="AS13" t="s">
        <v>117</v>
      </c>
      <c r="AT13" t="s">
        <v>5</v>
      </c>
      <c r="AU13" t="s">
        <v>692</v>
      </c>
      <c r="AV13" t="s">
        <v>693</v>
      </c>
      <c r="AW13" t="s">
        <v>694</v>
      </c>
      <c r="AX13" t="s">
        <v>43</v>
      </c>
      <c r="AY13" t="s">
        <v>695</v>
      </c>
      <c r="AZ13" t="s">
        <v>43</v>
      </c>
      <c r="BA13" t="s">
        <v>66</v>
      </c>
      <c r="BB13" t="s">
        <v>179</v>
      </c>
      <c r="BC13" t="s">
        <v>696</v>
      </c>
      <c r="BD13" t="s">
        <v>697</v>
      </c>
      <c r="BE13" t="s">
        <v>181</v>
      </c>
      <c r="BF13" t="s">
        <v>182</v>
      </c>
      <c r="BG13" t="s">
        <v>183</v>
      </c>
      <c r="BH13" t="s">
        <v>678</v>
      </c>
      <c r="BI13" t="s">
        <v>264</v>
      </c>
      <c r="BJ13" t="s">
        <v>43</v>
      </c>
      <c r="BK13" t="s">
        <v>679</v>
      </c>
      <c r="BL13" t="s">
        <v>698</v>
      </c>
      <c r="BM13" t="s">
        <v>696</v>
      </c>
      <c r="BN13" t="s">
        <v>5</v>
      </c>
      <c r="BO13">
        <v>2.73</v>
      </c>
      <c r="BP13">
        <v>8.6999999999999993</v>
      </c>
      <c r="BQ13">
        <v>-0.42</v>
      </c>
      <c r="BR13">
        <v>1.26</v>
      </c>
      <c r="BS13">
        <v>7.71</v>
      </c>
      <c r="BT13" t="s">
        <v>397</v>
      </c>
      <c r="BU13" t="s">
        <v>80</v>
      </c>
      <c r="BV13">
        <v>27.63</v>
      </c>
      <c r="BW13">
        <v>30.92</v>
      </c>
      <c r="BX13">
        <v>32.39</v>
      </c>
      <c r="BY13">
        <v>-2.4500000000000002</v>
      </c>
      <c r="BZ13">
        <v>3.22</v>
      </c>
      <c r="CA13">
        <v>11.3</v>
      </c>
      <c r="CB13">
        <v>-1.51</v>
      </c>
      <c r="CC13">
        <v>2.13</v>
      </c>
      <c r="CD13" t="s">
        <v>699</v>
      </c>
      <c r="CE13" t="s">
        <v>700</v>
      </c>
      <c r="CF13" s="8">
        <v>5.4087692307692309E-3</v>
      </c>
      <c r="CG13" s="9">
        <v>-2.3647247243203942</v>
      </c>
      <c r="CH13" s="8">
        <v>-0.15738160908222198</v>
      </c>
      <c r="CI13" s="8">
        <v>-8.287292905151844E-3</v>
      </c>
      <c r="CJ13" s="8">
        <v>8.356546051800251E-3</v>
      </c>
      <c r="CK13" s="8">
        <v>-0.14523810148239136</v>
      </c>
      <c r="CL13" s="8">
        <v>-0.18525703251361847</v>
      </c>
      <c r="CM13" s="9">
        <v>0.3686511218547821</v>
      </c>
      <c r="CN13" s="9">
        <v>-0.8374788761138916</v>
      </c>
      <c r="CO13" s="9">
        <v>1.0802645683288574</v>
      </c>
      <c r="CP13" s="9">
        <v>-7.3059357702732086E-2</v>
      </c>
      <c r="CQ13" s="9">
        <v>-10.910758018493652</v>
      </c>
      <c r="CR13">
        <v>-22.412830744051</v>
      </c>
      <c r="CS13">
        <v>-2.2973028506793196</v>
      </c>
      <c r="CT13">
        <v>0</v>
      </c>
      <c r="CU13" s="8">
        <v>-9.7561497986316678E-2</v>
      </c>
      <c r="CV13" s="9">
        <v>-2.0744761124253275</v>
      </c>
      <c r="CW13">
        <v>0.06</v>
      </c>
      <c r="CX13" t="e">
        <v>#VALUE!</v>
      </c>
      <c r="CY13" t="s">
        <v>701</v>
      </c>
      <c r="CZ13">
        <v>-9.7561497986316678E-2</v>
      </c>
      <c r="DA13">
        <v>106.0723403353778</v>
      </c>
      <c r="DB13" t="s">
        <v>702</v>
      </c>
      <c r="DC13">
        <v>-9.2683423087000838E-2</v>
      </c>
      <c r="DD13">
        <v>53.036170167688901</v>
      </c>
      <c r="DE13" t="s">
        <v>703</v>
      </c>
      <c r="DF13">
        <v>-8.5854118227958673E-2</v>
      </c>
      <c r="DG13">
        <v>31.82170210061334</v>
      </c>
      <c r="DH13" t="s">
        <v>704</v>
      </c>
      <c r="DI13">
        <v>-7.8049198389053345E-2</v>
      </c>
      <c r="DJ13">
        <v>15.91085105030667</v>
      </c>
      <c r="DK13" t="s">
        <v>705</v>
      </c>
      <c r="DL13">
        <v>-6.8293048590421665E-2</v>
      </c>
      <c r="DM13">
        <v>12586800</v>
      </c>
      <c r="DN13">
        <v>-9.7561497986316678E-2</v>
      </c>
      <c r="DO13">
        <v>4005334000</v>
      </c>
      <c r="DP13">
        <v>620216660</v>
      </c>
      <c r="DQ13">
        <v>1861</v>
      </c>
      <c r="DR13">
        <v>0.10297026721708591</v>
      </c>
      <c r="DS13">
        <v>-0.29024861189506668</v>
      </c>
      <c r="DT13" s="10">
        <v>-0.26666666666666666</v>
      </c>
      <c r="DU13">
        <v>-1.7983333333333336</v>
      </c>
      <c r="DV13">
        <v>-2.0650000000000004</v>
      </c>
      <c r="DW13">
        <v>2.1299999999999999E-2</v>
      </c>
      <c r="DX13">
        <v>0.67168103448276151</v>
      </c>
      <c r="DY13">
        <v>4.9348060344827586E-3</v>
      </c>
      <c r="DZ13">
        <v>4599</v>
      </c>
      <c r="EA13">
        <v>3.9122786579683127E-4</v>
      </c>
      <c r="EB13">
        <v>0</v>
      </c>
      <c r="EC13">
        <v>0.33947363775623907</v>
      </c>
      <c r="ED13">
        <v>1.4652629573850688</v>
      </c>
      <c r="EE13" s="11">
        <v>0.11650999999999999</v>
      </c>
      <c r="EF13">
        <v>4.6510000000000003E-2</v>
      </c>
      <c r="EG13">
        <v>44.231681034482762</v>
      </c>
      <c r="EH13">
        <v>-1</v>
      </c>
      <c r="EI13">
        <v>0</v>
      </c>
      <c r="EJ13">
        <v>0</v>
      </c>
      <c r="EK13" s="7">
        <v>45051</v>
      </c>
      <c r="EL13" s="12">
        <v>-3.6999999999999998E-2</v>
      </c>
      <c r="EM13" s="12">
        <v>-3.1300000000000001E-2</v>
      </c>
      <c r="EN13" s="12">
        <v>-3.68</v>
      </c>
      <c r="EO13" s="12">
        <v>2.44</v>
      </c>
      <c r="EP13" s="12">
        <v>7</v>
      </c>
    </row>
    <row r="14" spans="1:146" ht="108" x14ac:dyDescent="0.25">
      <c r="A14" s="13"/>
      <c r="B14" s="13"/>
      <c r="C14" s="13" t="str">
        <f>""&amp;CHAR(10)&amp;Basic_Fundamental_Information_Constructure(F14)&amp;CHAR(10)&amp;Basic_Fundamental_Information_Concatenate("")</f>
        <v xml:space="preserve">
市值44.774007亿, 利润-8352.68万; PE; 平均PE2204.44; 平均PEG84.12, PB8.35; ROIC.36%; ROE.9367%; 股利率0%; 毛利50.59%; 净利-6.39%; 上一年度营收增2.06%, 利润增-831.06%; 当季营收增-51.34%, 利润增44.47%; 过往5年营收增26.21%, 利润增-176.05%
Income profile:
</v>
      </c>
      <c r="D14" t="s">
        <v>184</v>
      </c>
      <c r="E14" t="s">
        <v>185</v>
      </c>
      <c r="F14">
        <v>26.75</v>
      </c>
      <c r="G14">
        <v>12.16</v>
      </c>
      <c r="H14" t="s">
        <v>706</v>
      </c>
      <c r="I14">
        <v>4477400700</v>
      </c>
      <c r="K14">
        <v>8.35</v>
      </c>
      <c r="L14" t="s">
        <v>80</v>
      </c>
      <c r="M14" t="s">
        <v>707</v>
      </c>
      <c r="N14" t="s">
        <v>321</v>
      </c>
      <c r="O14" t="s">
        <v>708</v>
      </c>
      <c r="P14">
        <v>-51.34</v>
      </c>
      <c r="Q14" t="s">
        <v>237</v>
      </c>
      <c r="R14">
        <v>-10815713</v>
      </c>
      <c r="S14" s="5">
        <v>0.44469999999999998</v>
      </c>
      <c r="T14" t="s">
        <v>709</v>
      </c>
      <c r="U14">
        <v>135605580</v>
      </c>
      <c r="V14">
        <v>167379460</v>
      </c>
      <c r="W14">
        <v>1.42</v>
      </c>
      <c r="X14">
        <v>0.06</v>
      </c>
      <c r="Y14">
        <v>-19.690000000000001</v>
      </c>
      <c r="Z14" t="s">
        <v>710</v>
      </c>
      <c r="AA14" t="s">
        <v>711</v>
      </c>
      <c r="AB14" t="s">
        <v>712</v>
      </c>
      <c r="AC14" t="s">
        <v>713</v>
      </c>
      <c r="AD14" t="s">
        <v>714</v>
      </c>
      <c r="AE14">
        <v>-3856739</v>
      </c>
      <c r="AF14" t="s">
        <v>715</v>
      </c>
      <c r="AG14" t="s">
        <v>716</v>
      </c>
      <c r="AH14" t="s">
        <v>717</v>
      </c>
      <c r="AI14" t="s">
        <v>399</v>
      </c>
      <c r="AJ14" t="s">
        <v>718</v>
      </c>
      <c r="AK14" t="s">
        <v>5</v>
      </c>
      <c r="AL14" t="s">
        <v>719</v>
      </c>
      <c r="AM14" t="s">
        <v>5</v>
      </c>
      <c r="AN14">
        <v>0</v>
      </c>
      <c r="AO14" t="s">
        <v>5</v>
      </c>
      <c r="AP14" t="s">
        <v>5</v>
      </c>
      <c r="AQ14" t="s">
        <v>720</v>
      </c>
      <c r="AR14" t="s">
        <v>5</v>
      </c>
      <c r="AS14" t="s">
        <v>721</v>
      </c>
      <c r="AT14" t="s">
        <v>5</v>
      </c>
      <c r="AU14" t="s">
        <v>722</v>
      </c>
      <c r="AV14" t="s">
        <v>723</v>
      </c>
      <c r="AW14" t="s">
        <v>724</v>
      </c>
      <c r="AX14" t="s">
        <v>22</v>
      </c>
      <c r="AY14" t="s">
        <v>132</v>
      </c>
      <c r="AZ14" t="s">
        <v>41</v>
      </c>
      <c r="BA14" t="s">
        <v>178</v>
      </c>
      <c r="BB14" t="s">
        <v>83</v>
      </c>
      <c r="BC14" t="s">
        <v>274</v>
      </c>
      <c r="BD14" t="s">
        <v>186</v>
      </c>
      <c r="BE14" t="s">
        <v>187</v>
      </c>
      <c r="BF14" t="s">
        <v>188</v>
      </c>
      <c r="BG14" t="s">
        <v>189</v>
      </c>
      <c r="BH14" t="s">
        <v>237</v>
      </c>
      <c r="BI14" t="s">
        <v>725</v>
      </c>
      <c r="BJ14" t="s">
        <v>22</v>
      </c>
      <c r="BK14" t="s">
        <v>709</v>
      </c>
      <c r="BL14" t="s">
        <v>726</v>
      </c>
      <c r="BM14" t="s">
        <v>274</v>
      </c>
      <c r="BN14" t="s">
        <v>5</v>
      </c>
      <c r="BO14" t="s">
        <v>5</v>
      </c>
      <c r="BP14">
        <v>0.36</v>
      </c>
      <c r="BQ14">
        <v>-1.92</v>
      </c>
      <c r="BR14">
        <v>2.77</v>
      </c>
      <c r="BS14">
        <v>1.96</v>
      </c>
      <c r="BT14" t="s">
        <v>397</v>
      </c>
      <c r="BU14" t="s">
        <v>80</v>
      </c>
      <c r="BV14">
        <v>44.76</v>
      </c>
      <c r="BW14">
        <v>46.69</v>
      </c>
      <c r="BX14">
        <v>60.32</v>
      </c>
      <c r="BY14">
        <v>-19.690000000000001</v>
      </c>
      <c r="BZ14">
        <v>-3.25</v>
      </c>
      <c r="CA14">
        <v>3.77</v>
      </c>
      <c r="CB14">
        <v>7.13</v>
      </c>
      <c r="CC14">
        <v>-1.29</v>
      </c>
      <c r="CD14" t="s">
        <v>727</v>
      </c>
      <c r="CE14" t="s">
        <v>68</v>
      </c>
      <c r="CF14" s="8">
        <v>-0.51338547337617513</v>
      </c>
      <c r="CG14" s="9">
        <v>0.44467026421991968</v>
      </c>
      <c r="CH14" s="8">
        <v>2.0588235929608345E-2</v>
      </c>
      <c r="CI14" s="8">
        <v>1.0731707811355591</v>
      </c>
      <c r="CJ14" s="8">
        <v>-0.23004694283008575</v>
      </c>
      <c r="CK14" s="8">
        <v>-0.3641791045665741</v>
      </c>
      <c r="CL14" s="8">
        <v>0.81081080436706543</v>
      </c>
      <c r="CM14" s="9">
        <v>-8.3105602264404297</v>
      </c>
      <c r="CN14" s="9">
        <v>0.5590289831161499</v>
      </c>
      <c r="CO14" s="9">
        <v>-0.5515371561050415</v>
      </c>
      <c r="CP14" s="9">
        <v>0.21545876562595367</v>
      </c>
      <c r="CQ14" s="9">
        <v>-0.71498829126358032</v>
      </c>
      <c r="CR14">
        <v>2204.4396832560619</v>
      </c>
      <c r="CS14">
        <v>84.116845019489375</v>
      </c>
      <c r="CT14">
        <v>0</v>
      </c>
      <c r="CU14" s="8">
        <v>0.26206875480711461</v>
      </c>
      <c r="CV14" s="9">
        <v>-1.7605195850133897</v>
      </c>
      <c r="CW14">
        <v>0.06</v>
      </c>
      <c r="CX14" t="e">
        <v>#VALUE!</v>
      </c>
      <c r="CY14" t="s">
        <v>311</v>
      </c>
      <c r="CZ14">
        <v>0.26206875480711461</v>
      </c>
      <c r="DA14" t="e">
        <v>#VALUE!</v>
      </c>
      <c r="DB14" t="s">
        <v>309</v>
      </c>
      <c r="DC14">
        <v>0.24896531706675887</v>
      </c>
      <c r="DD14" t="e">
        <v>#VALUE!</v>
      </c>
      <c r="DE14" t="s">
        <v>309</v>
      </c>
      <c r="DF14">
        <v>0.23062050423026087</v>
      </c>
      <c r="DG14" t="e">
        <v>#VALUE!</v>
      </c>
      <c r="DH14" t="s">
        <v>309</v>
      </c>
      <c r="DI14">
        <v>0.20965500384569169</v>
      </c>
      <c r="DJ14" t="e">
        <v>#VALUE!</v>
      </c>
      <c r="DK14" t="s">
        <v>309</v>
      </c>
      <c r="DL14">
        <v>0.18344812836498023</v>
      </c>
      <c r="DM14">
        <v>-83526800</v>
      </c>
      <c r="DN14">
        <v>0.26206875480711461</v>
      </c>
      <c r="DO14">
        <v>4167400700</v>
      </c>
      <c r="DP14">
        <v>305289800</v>
      </c>
      <c r="DQ14">
        <v>2181</v>
      </c>
      <c r="DR14">
        <v>-0.77545422818328968</v>
      </c>
      <c r="DS14">
        <v>2.2051898492333093</v>
      </c>
      <c r="DT14" s="10">
        <v>2.9999999999999988E-2</v>
      </c>
      <c r="DU14">
        <v>-1.7150000000000001</v>
      </c>
      <c r="DV14">
        <v>-1.6850000000000001</v>
      </c>
      <c r="DW14">
        <v>5.1809256661991583</v>
      </c>
      <c r="DX14">
        <v>0.82402020665901543</v>
      </c>
      <c r="DY14">
        <v>5.0188199251879562</v>
      </c>
      <c r="DZ14">
        <v>4415</v>
      </c>
      <c r="EA14">
        <v>5.0021852966184213</v>
      </c>
      <c r="EB14">
        <v>5</v>
      </c>
      <c r="EC14">
        <v>0.54129461285154101</v>
      </c>
      <c r="ED14">
        <v>5.2037448322512221</v>
      </c>
      <c r="EE14" s="11">
        <v>2.0500000000000001E-2</v>
      </c>
      <c r="EF14">
        <v>0.1421</v>
      </c>
      <c r="EG14">
        <v>72.104020206659015</v>
      </c>
      <c r="EH14" t="s">
        <v>310</v>
      </c>
      <c r="EI14">
        <v>1</v>
      </c>
      <c r="EJ14">
        <v>0</v>
      </c>
      <c r="EK14" s="7">
        <v>45051</v>
      </c>
      <c r="EL14" s="12">
        <v>-5.6500000000000002E-2</v>
      </c>
      <c r="EM14" s="12">
        <v>-4.07E-2</v>
      </c>
      <c r="EN14" s="12">
        <v>4.25</v>
      </c>
      <c r="EO14" s="12">
        <v>1.23</v>
      </c>
      <c r="EP14" s="12">
        <v>12.16</v>
      </c>
    </row>
    <row r="15" spans="1:146" ht="96" x14ac:dyDescent="0.25">
      <c r="A15" s="13"/>
      <c r="B15" s="13"/>
      <c r="C15" s="13" t="str">
        <f>""&amp;CHAR(10)&amp;Basic_Fundamental_Information_Constructure(F15)&amp;CHAR(10)&amp;Basic_Fundamental_Information_Concatenate("")</f>
        <v xml:space="preserve">
市值13.828201亿, 利润2684.60万; PE51.79; 平均PE71.31; 平均PEG7.73, PB5.74; ROIC0%; ROE12%; 股利率0%; 毛利48.6467%; 净利13.5667%; 上一年度营收增-.42%, 利润增-24.42%; 当季营收增8.95%, 利润增-23.46%; 过往5年营收增9.22%, 利润增97.64%
Income profile:
</v>
      </c>
      <c r="D15" t="s">
        <v>190</v>
      </c>
      <c r="E15" t="s">
        <v>191</v>
      </c>
      <c r="F15">
        <v>22.14</v>
      </c>
      <c r="G15">
        <v>0.64</v>
      </c>
      <c r="H15" t="s">
        <v>728</v>
      </c>
      <c r="I15">
        <v>1382820100</v>
      </c>
      <c r="J15">
        <v>51.79</v>
      </c>
      <c r="K15">
        <v>5.74</v>
      </c>
      <c r="L15" t="s">
        <v>80</v>
      </c>
      <c r="M15" t="s">
        <v>260</v>
      </c>
      <c r="N15" t="s">
        <v>237</v>
      </c>
      <c r="O15" t="s">
        <v>729</v>
      </c>
      <c r="P15">
        <v>8.9499999999999993</v>
      </c>
      <c r="Q15" t="s">
        <v>407</v>
      </c>
      <c r="R15">
        <v>469750</v>
      </c>
      <c r="S15" s="5">
        <v>-0.23449999999999999</v>
      </c>
      <c r="T15" t="s">
        <v>730</v>
      </c>
      <c r="U15">
        <v>62458000</v>
      </c>
      <c r="V15">
        <v>62458000</v>
      </c>
      <c r="W15">
        <v>2.54</v>
      </c>
      <c r="X15">
        <v>7.0000000000000007E-2</v>
      </c>
      <c r="Y15">
        <v>0.45</v>
      </c>
      <c r="Z15" t="s">
        <v>731</v>
      </c>
      <c r="AA15" t="s">
        <v>732</v>
      </c>
      <c r="AB15" t="s">
        <v>733</v>
      </c>
      <c r="AC15" t="s">
        <v>734</v>
      </c>
      <c r="AD15" t="s">
        <v>5</v>
      </c>
      <c r="AE15">
        <v>1334452</v>
      </c>
      <c r="AF15" t="s">
        <v>735</v>
      </c>
      <c r="AG15">
        <v>65</v>
      </c>
      <c r="AH15" t="s">
        <v>736</v>
      </c>
      <c r="AI15" t="s">
        <v>737</v>
      </c>
      <c r="AJ15" t="s">
        <v>738</v>
      </c>
      <c r="AK15" t="s">
        <v>5</v>
      </c>
      <c r="AL15" t="s">
        <v>739</v>
      </c>
      <c r="AM15" t="s">
        <v>5</v>
      </c>
      <c r="AN15" t="s">
        <v>740</v>
      </c>
      <c r="AO15" t="s">
        <v>5</v>
      </c>
      <c r="AP15" t="s">
        <v>5</v>
      </c>
      <c r="AQ15" t="s">
        <v>741</v>
      </c>
      <c r="AR15" t="s">
        <v>5</v>
      </c>
      <c r="AS15" t="s">
        <v>742</v>
      </c>
      <c r="AT15" t="s">
        <v>5</v>
      </c>
      <c r="AU15" t="s">
        <v>743</v>
      </c>
      <c r="AV15" t="s">
        <v>744</v>
      </c>
      <c r="AW15" t="s">
        <v>5</v>
      </c>
      <c r="AX15" t="s">
        <v>117</v>
      </c>
      <c r="AY15" t="s">
        <v>42</v>
      </c>
      <c r="AZ15" t="s">
        <v>45</v>
      </c>
      <c r="BA15" t="s">
        <v>46</v>
      </c>
      <c r="BB15" t="s">
        <v>193</v>
      </c>
      <c r="BC15" t="s">
        <v>275</v>
      </c>
      <c r="BD15" t="s">
        <v>192</v>
      </c>
      <c r="BE15" t="s">
        <v>194</v>
      </c>
      <c r="BF15" t="s">
        <v>195</v>
      </c>
      <c r="BG15" t="s">
        <v>196</v>
      </c>
      <c r="BH15" t="s">
        <v>407</v>
      </c>
      <c r="BI15" t="s">
        <v>745</v>
      </c>
      <c r="BJ15" t="s">
        <v>117</v>
      </c>
      <c r="BK15" t="s">
        <v>730</v>
      </c>
      <c r="BL15" t="s">
        <v>746</v>
      </c>
      <c r="BM15" t="s">
        <v>275</v>
      </c>
      <c r="BN15" t="s">
        <v>5</v>
      </c>
      <c r="BO15" t="s">
        <v>5</v>
      </c>
      <c r="BP15" t="s">
        <v>5</v>
      </c>
      <c r="BQ15">
        <v>0.2</v>
      </c>
      <c r="BR15">
        <v>18.12</v>
      </c>
      <c r="BS15">
        <v>17.68</v>
      </c>
      <c r="BT15" t="s">
        <v>397</v>
      </c>
      <c r="BU15" t="s">
        <v>80</v>
      </c>
      <c r="BV15">
        <v>38.35</v>
      </c>
      <c r="BW15">
        <v>52.43</v>
      </c>
      <c r="BX15">
        <v>55.16</v>
      </c>
      <c r="BY15">
        <v>0.45</v>
      </c>
      <c r="BZ15">
        <v>20.73</v>
      </c>
      <c r="CA15">
        <v>19.52</v>
      </c>
      <c r="CB15">
        <v>4.83</v>
      </c>
      <c r="CC15">
        <v>-5.34</v>
      </c>
      <c r="CD15" t="s">
        <v>747</v>
      </c>
      <c r="CE15" t="s">
        <v>748</v>
      </c>
      <c r="CF15" s="8">
        <v>8.9451045729316628E-2</v>
      </c>
      <c r="CG15" s="9">
        <v>-0.23456086035522242</v>
      </c>
      <c r="CH15" s="8">
        <v>-4.2016808874905109E-3</v>
      </c>
      <c r="CI15" s="8">
        <v>0.1553398072719574</v>
      </c>
      <c r="CJ15" s="8">
        <v>0.1195652186870575</v>
      </c>
      <c r="CK15" s="8">
        <v>2.7932960540056229E-2</v>
      </c>
      <c r="CL15" s="8">
        <v>0.16233766078948975</v>
      </c>
      <c r="CM15" s="9">
        <v>-0.24422810971736908</v>
      </c>
      <c r="CN15" s="9">
        <v>0.2271277904510498</v>
      </c>
      <c r="CO15" s="9">
        <v>0.65583813190460205</v>
      </c>
      <c r="CP15" s="9">
        <v>4.5228886604309082</v>
      </c>
      <c r="CQ15" s="9">
        <v>-0.27971327304840088</v>
      </c>
      <c r="CR15">
        <v>71.306708584216977</v>
      </c>
      <c r="CS15">
        <v>7.7343531068494853</v>
      </c>
      <c r="CT15">
        <v>0</v>
      </c>
      <c r="CU15" s="8">
        <v>9.2194793280214071E-2</v>
      </c>
      <c r="CV15" s="9">
        <v>0.97638264000415798</v>
      </c>
      <c r="CW15">
        <v>0.06</v>
      </c>
      <c r="CX15">
        <v>56.787483990654572</v>
      </c>
      <c r="CY15">
        <v>27661378.698491156</v>
      </c>
      <c r="CZ15">
        <v>9.2194793280214071E-2</v>
      </c>
      <c r="DA15">
        <v>18.523171030876341</v>
      </c>
      <c r="DB15">
        <v>84802979.866762251</v>
      </c>
      <c r="DC15">
        <v>8.7585053616203362E-2</v>
      </c>
      <c r="DD15">
        <v>9.0958792908820403</v>
      </c>
      <c r="DE15">
        <v>172695794.41040221</v>
      </c>
      <c r="DF15">
        <v>8.1131418086588386E-2</v>
      </c>
      <c r="DG15">
        <v>5.4469185993169535</v>
      </c>
      <c r="DH15">
        <v>288386923.97514105</v>
      </c>
      <c r="DI15">
        <v>7.3755834624171263E-2</v>
      </c>
      <c r="DJ15">
        <v>2.7964790064093998</v>
      </c>
      <c r="DK15">
        <v>561713532.05218184</v>
      </c>
      <c r="DL15">
        <v>6.4536355296149844E-2</v>
      </c>
      <c r="DM15">
        <v>26846000</v>
      </c>
      <c r="DN15">
        <v>9.2194793280214071E-2</v>
      </c>
      <c r="DO15">
        <v>1570820100</v>
      </c>
      <c r="DP15">
        <v>-278802890</v>
      </c>
      <c r="DQ15">
        <v>3129</v>
      </c>
      <c r="DR15">
        <v>-2.7437475508974435E-3</v>
      </c>
      <c r="DS15">
        <v>-1.2109435003593805</v>
      </c>
      <c r="DT15" s="10">
        <v>0.25</v>
      </c>
      <c r="DU15">
        <v>0.40500000000000008</v>
      </c>
      <c r="DV15">
        <v>0.65500000000000003</v>
      </c>
      <c r="DW15">
        <v>6.4749262536873156</v>
      </c>
      <c r="DX15">
        <v>0.55236146379937112</v>
      </c>
      <c r="DY15">
        <v>6.0771097217454226</v>
      </c>
      <c r="DZ15">
        <v>1292</v>
      </c>
      <c r="EA15">
        <v>6.057164624549209</v>
      </c>
      <c r="EB15">
        <v>6</v>
      </c>
      <c r="EC15">
        <v>0.11403983476896475</v>
      </c>
      <c r="ED15">
        <v>0.70238240097345406</v>
      </c>
      <c r="EE15" s="11">
        <v>5.6710000000000003E-2</v>
      </c>
      <c r="EF15">
        <v>5.0310000000000001E-2</v>
      </c>
      <c r="EG15">
        <v>39.162361463799371</v>
      </c>
      <c r="EH15">
        <v>-1</v>
      </c>
      <c r="EI15">
        <v>0</v>
      </c>
      <c r="EJ15">
        <v>1</v>
      </c>
      <c r="EK15" s="7">
        <v>45051</v>
      </c>
      <c r="EL15" s="12">
        <v>1.4E-3</v>
      </c>
      <c r="EM15" s="12">
        <v>1.23E-2</v>
      </c>
      <c r="EN15" s="12">
        <v>0</v>
      </c>
      <c r="EO15" s="12">
        <v>2.76</v>
      </c>
      <c r="EP15" s="12">
        <v>0.64</v>
      </c>
    </row>
    <row r="16" spans="1:146" ht="108" x14ac:dyDescent="0.25">
      <c r="A16" s="13"/>
      <c r="B16" s="13"/>
      <c r="C16" s="13" t="str">
        <f>""&amp;CHAR(10)&amp;Basic_Fundamental_Information_Constructure(F16)&amp;CHAR(10)&amp;Basic_Fundamental_Information_Concatenate("")</f>
        <v xml:space="preserve">
市值59.152305亿, 利润1.34亿; PE43.36; 平均PE62.07; 平均PEG1.85, PB2.2; ROIC2.2%; ROE-3.3067%; 股利率.7446%; 毛利65.1633%; 净利-21.7533%; 上一年度营收增5.63%, 利润增131.31%; 当季营收增29%, 利润增133.06%; 过往5年营收增-33.62%, 利润增149.15%
Income profile:
</v>
      </c>
      <c r="D16" t="s">
        <v>197</v>
      </c>
      <c r="E16" t="s">
        <v>198</v>
      </c>
      <c r="F16">
        <v>13.43</v>
      </c>
      <c r="G16">
        <v>9.99</v>
      </c>
      <c r="H16" t="s">
        <v>749</v>
      </c>
      <c r="I16">
        <v>5915230500</v>
      </c>
      <c r="J16">
        <v>43.36</v>
      </c>
      <c r="K16">
        <v>2.2000000000000002</v>
      </c>
      <c r="L16" t="s">
        <v>80</v>
      </c>
      <c r="M16" t="s">
        <v>750</v>
      </c>
      <c r="N16" t="s">
        <v>751</v>
      </c>
      <c r="O16" t="s">
        <v>752</v>
      </c>
      <c r="P16">
        <v>29</v>
      </c>
      <c r="Q16" t="s">
        <v>402</v>
      </c>
      <c r="R16">
        <v>4851478</v>
      </c>
      <c r="S16" s="5">
        <v>1.331</v>
      </c>
      <c r="T16" t="s">
        <v>753</v>
      </c>
      <c r="U16">
        <v>440449040</v>
      </c>
      <c r="V16">
        <v>440449040</v>
      </c>
      <c r="W16">
        <v>1.03</v>
      </c>
      <c r="X16">
        <v>0.02</v>
      </c>
      <c r="Y16">
        <v>8.44</v>
      </c>
      <c r="Z16" t="s">
        <v>754</v>
      </c>
      <c r="AA16" t="s">
        <v>755</v>
      </c>
      <c r="AB16" t="s">
        <v>756</v>
      </c>
      <c r="AC16" t="s">
        <v>757</v>
      </c>
      <c r="AD16" t="s">
        <v>758</v>
      </c>
      <c r="AE16">
        <v>-4438791</v>
      </c>
      <c r="AF16" t="s">
        <v>759</v>
      </c>
      <c r="AG16" t="s">
        <v>5</v>
      </c>
      <c r="AH16" t="s">
        <v>760</v>
      </c>
      <c r="AI16" t="s">
        <v>91</v>
      </c>
      <c r="AJ16" t="s">
        <v>761</v>
      </c>
      <c r="AK16" t="s">
        <v>762</v>
      </c>
      <c r="AL16" t="s">
        <v>763</v>
      </c>
      <c r="AM16" t="s">
        <v>5</v>
      </c>
      <c r="AN16">
        <v>0</v>
      </c>
      <c r="AO16" t="s">
        <v>5</v>
      </c>
      <c r="AP16" t="s">
        <v>5</v>
      </c>
      <c r="AQ16" t="s">
        <v>764</v>
      </c>
      <c r="AR16" t="s">
        <v>765</v>
      </c>
      <c r="AS16" t="s">
        <v>766</v>
      </c>
      <c r="AT16" t="s">
        <v>5</v>
      </c>
      <c r="AU16" t="s">
        <v>767</v>
      </c>
      <c r="AV16" t="s">
        <v>768</v>
      </c>
      <c r="AW16" t="s">
        <v>769</v>
      </c>
      <c r="AX16" t="s">
        <v>276</v>
      </c>
      <c r="AY16" t="s">
        <v>135</v>
      </c>
      <c r="AZ16" t="s">
        <v>201</v>
      </c>
      <c r="BA16" t="s">
        <v>202</v>
      </c>
      <c r="BB16" t="s">
        <v>203</v>
      </c>
      <c r="BC16" t="s">
        <v>277</v>
      </c>
      <c r="BD16" t="s">
        <v>44</v>
      </c>
      <c r="BE16" t="s">
        <v>49</v>
      </c>
      <c r="BF16" t="s">
        <v>99</v>
      </c>
      <c r="BG16" t="s">
        <v>204</v>
      </c>
      <c r="BH16" t="s">
        <v>402</v>
      </c>
      <c r="BI16" t="s">
        <v>770</v>
      </c>
      <c r="BJ16" t="s">
        <v>276</v>
      </c>
      <c r="BK16" t="s">
        <v>753</v>
      </c>
      <c r="BL16" t="s">
        <v>771</v>
      </c>
      <c r="BM16" t="s">
        <v>277</v>
      </c>
      <c r="BN16">
        <v>0.02</v>
      </c>
      <c r="BO16" t="s">
        <v>5</v>
      </c>
      <c r="BP16">
        <v>4.38</v>
      </c>
      <c r="BQ16">
        <v>0.18</v>
      </c>
      <c r="BR16">
        <v>-15.24</v>
      </c>
      <c r="BS16">
        <v>5.14</v>
      </c>
      <c r="BT16" t="s">
        <v>772</v>
      </c>
      <c r="BU16" t="s">
        <v>80</v>
      </c>
      <c r="BV16">
        <v>69.94</v>
      </c>
      <c r="BW16">
        <v>71.12</v>
      </c>
      <c r="BX16">
        <v>54.43</v>
      </c>
      <c r="BY16">
        <v>8.44</v>
      </c>
      <c r="BZ16">
        <v>-96.27</v>
      </c>
      <c r="CA16">
        <v>22.57</v>
      </c>
      <c r="CB16">
        <v>22.99</v>
      </c>
      <c r="CC16">
        <v>36.619999999999997</v>
      </c>
      <c r="CD16" t="s">
        <v>773</v>
      </c>
      <c r="CE16" t="s">
        <v>774</v>
      </c>
      <c r="CF16" s="8">
        <v>0.29003839116329716</v>
      </c>
      <c r="CG16" s="9">
        <v>1.3306485395849346</v>
      </c>
      <c r="CH16" s="8">
        <v>5.6306306272745132E-2</v>
      </c>
      <c r="CI16" s="8">
        <v>-0.36480686068534851</v>
      </c>
      <c r="CJ16" s="8">
        <v>-0.4399038553237915</v>
      </c>
      <c r="CK16" s="8">
        <v>-0.25</v>
      </c>
      <c r="CL16" s="8">
        <v>-0.6826244592666626</v>
      </c>
      <c r="CM16" s="9">
        <v>1.3130841255187988</v>
      </c>
      <c r="CN16" s="9">
        <v>-3.7435896396636963</v>
      </c>
      <c r="CO16" s="9">
        <v>0.31092438101768494</v>
      </c>
      <c r="CP16" s="9">
        <v>-0.78084713220596313</v>
      </c>
      <c r="CQ16" s="9">
        <v>10.358121871948242</v>
      </c>
      <c r="CR16">
        <v>62.068793467448465</v>
      </c>
      <c r="CS16">
        <v>1.8461548939447623</v>
      </c>
      <c r="CT16">
        <v>0.74460163812360391</v>
      </c>
      <c r="CU16" s="8">
        <v>-0.33620577380061151</v>
      </c>
      <c r="CV16" s="9">
        <v>1.4915387213230134</v>
      </c>
      <c r="CW16">
        <v>0.06</v>
      </c>
      <c r="CX16">
        <v>24.755076119402986</v>
      </c>
      <c r="CY16" t="s">
        <v>775</v>
      </c>
      <c r="CZ16">
        <v>-0.33620577380061151</v>
      </c>
      <c r="DA16">
        <v>8.2516920398009947</v>
      </c>
      <c r="DB16" t="s">
        <v>776</v>
      </c>
      <c r="DC16">
        <v>-0.31939548511058091</v>
      </c>
      <c r="DD16">
        <v>4.1258460199004974</v>
      </c>
      <c r="DE16" t="s">
        <v>777</v>
      </c>
      <c r="DF16">
        <v>-0.29586108094453811</v>
      </c>
      <c r="DG16">
        <v>2.4755076119402983</v>
      </c>
      <c r="DH16" t="s">
        <v>778</v>
      </c>
      <c r="DI16">
        <v>-0.26896461904048924</v>
      </c>
      <c r="DJ16">
        <v>1.2377538059701492</v>
      </c>
      <c r="DK16" t="s">
        <v>779</v>
      </c>
      <c r="DL16">
        <v>-0.23534404166042805</v>
      </c>
      <c r="DM16">
        <v>134000000.00000001</v>
      </c>
      <c r="DN16">
        <v>-0.33620577380061151</v>
      </c>
      <c r="DO16">
        <v>3317180200</v>
      </c>
      <c r="DP16">
        <v>1378663400</v>
      </c>
      <c r="DQ16">
        <v>3279</v>
      </c>
      <c r="DR16">
        <v>0.62624416496390867</v>
      </c>
      <c r="DS16">
        <v>-0.16089018173807879</v>
      </c>
      <c r="DT16" s="10">
        <v>-0.82</v>
      </c>
      <c r="DU16">
        <v>0.40833333333333338</v>
      </c>
      <c r="DV16">
        <v>-0.41166666666666657</v>
      </c>
      <c r="DW16">
        <v>9.6277990169306396</v>
      </c>
      <c r="DX16">
        <v>0.58298273155415958</v>
      </c>
      <c r="DY16">
        <v>9.1902122610166614</v>
      </c>
      <c r="DZ16">
        <v>3791</v>
      </c>
      <c r="EA16">
        <v>9.0458489614142259</v>
      </c>
      <c r="EB16">
        <v>9</v>
      </c>
      <c r="EC16">
        <v>0.4381891716689858</v>
      </c>
      <c r="ED16">
        <v>1.4462513075292434</v>
      </c>
      <c r="EE16" s="11">
        <v>6.7599999999999993E-2</v>
      </c>
      <c r="EF16">
        <v>1.0175000000000001</v>
      </c>
      <c r="EG16">
        <v>28.30298273155416</v>
      </c>
      <c r="EH16" t="s">
        <v>316</v>
      </c>
      <c r="EI16">
        <v>1</v>
      </c>
      <c r="EJ16">
        <v>0</v>
      </c>
      <c r="EK16" s="7">
        <v>45051</v>
      </c>
      <c r="EL16" s="12">
        <v>2.93E-2</v>
      </c>
      <c r="EM16" s="12">
        <v>2.4899999999999999E-2</v>
      </c>
      <c r="EN16" s="12">
        <v>3.3</v>
      </c>
      <c r="EO16" s="12">
        <v>2.61</v>
      </c>
      <c r="EP16" s="12">
        <v>9.99</v>
      </c>
    </row>
    <row r="17" spans="1:146" ht="108" x14ac:dyDescent="0.25">
      <c r="A17" s="13" t="s">
        <v>414</v>
      </c>
      <c r="B17" s="13"/>
      <c r="C17" s="13" t="str">
        <f>""&amp;CHAR(10)&amp;Basic_Fundamental_Information_Constructure(F17)&amp;CHAR(10)&amp;Basic_Fundamental_Information_Concatenate("")</f>
        <v xml:space="preserve">
市值28.540263亿, 利润1.68亿; PE44.1; 平均PE-45.93; 平均PEG-4.33, PB8.96; ROIC0%; ROE-26.7567%; 股利率0%; 毛利40.2967%; 净利-14.4667%; 上一年度营收增-52.11%, 利润增182.76%; 当季营收增-5.36%, 利润增-140.76%; 过往5年营收增-10.62%, 利润增-110.77%
Income profile:
</v>
      </c>
      <c r="D17" t="s">
        <v>205</v>
      </c>
      <c r="E17" t="s">
        <v>206</v>
      </c>
      <c r="F17">
        <v>9.9600000000000009</v>
      </c>
      <c r="G17">
        <v>3.64</v>
      </c>
      <c r="H17" t="s">
        <v>780</v>
      </c>
      <c r="I17">
        <v>2854026300</v>
      </c>
      <c r="J17">
        <v>44.1</v>
      </c>
      <c r="K17">
        <v>8.9600000000000009</v>
      </c>
      <c r="L17" t="s">
        <v>80</v>
      </c>
      <c r="M17" t="s">
        <v>781</v>
      </c>
      <c r="N17" t="s">
        <v>404</v>
      </c>
      <c r="O17" t="s">
        <v>782</v>
      </c>
      <c r="P17">
        <v>-5.14</v>
      </c>
      <c r="Q17" t="s">
        <v>783</v>
      </c>
      <c r="R17">
        <v>-29761360</v>
      </c>
      <c r="S17" s="5">
        <v>-1.4079999999999999</v>
      </c>
      <c r="T17" t="s">
        <v>571</v>
      </c>
      <c r="U17">
        <v>286548830</v>
      </c>
      <c r="V17">
        <v>286548830</v>
      </c>
      <c r="W17">
        <v>3.02</v>
      </c>
      <c r="X17">
        <v>0.15</v>
      </c>
      <c r="Y17">
        <v>-15.76</v>
      </c>
      <c r="Z17" t="s">
        <v>721</v>
      </c>
      <c r="AA17" t="s">
        <v>784</v>
      </c>
      <c r="AB17" t="s">
        <v>785</v>
      </c>
      <c r="AC17" t="s">
        <v>786</v>
      </c>
      <c r="AD17" t="s">
        <v>787</v>
      </c>
      <c r="AE17">
        <v>2102547</v>
      </c>
      <c r="AF17" t="s">
        <v>788</v>
      </c>
      <c r="AG17" t="s">
        <v>789</v>
      </c>
      <c r="AH17" t="s">
        <v>790</v>
      </c>
      <c r="AI17" t="s">
        <v>791</v>
      </c>
      <c r="AJ17" t="s">
        <v>792</v>
      </c>
      <c r="AK17" t="s">
        <v>5</v>
      </c>
      <c r="AL17" t="s">
        <v>793</v>
      </c>
      <c r="AM17" t="s">
        <v>5</v>
      </c>
      <c r="AN17">
        <v>0</v>
      </c>
      <c r="AO17" t="s">
        <v>5</v>
      </c>
      <c r="AP17" t="s">
        <v>5</v>
      </c>
      <c r="AQ17" t="s">
        <v>794</v>
      </c>
      <c r="AR17" t="s">
        <v>795</v>
      </c>
      <c r="AS17" t="s">
        <v>796</v>
      </c>
      <c r="AT17" t="s">
        <v>5</v>
      </c>
      <c r="AU17" t="s">
        <v>797</v>
      </c>
      <c r="AV17" t="s">
        <v>798</v>
      </c>
      <c r="AW17" t="s">
        <v>799</v>
      </c>
      <c r="AX17" t="s">
        <v>278</v>
      </c>
      <c r="AY17" t="s">
        <v>207</v>
      </c>
      <c r="AZ17" t="s">
        <v>209</v>
      </c>
      <c r="BA17" t="s">
        <v>210</v>
      </c>
      <c r="BB17" t="s">
        <v>211</v>
      </c>
      <c r="BC17" t="s">
        <v>279</v>
      </c>
      <c r="BD17" t="s">
        <v>208</v>
      </c>
      <c r="BE17" t="s">
        <v>212</v>
      </c>
      <c r="BF17" t="s">
        <v>213</v>
      </c>
      <c r="BG17" t="s">
        <v>93</v>
      </c>
      <c r="BH17" t="s">
        <v>783</v>
      </c>
      <c r="BI17" t="s">
        <v>317</v>
      </c>
      <c r="BJ17" t="s">
        <v>278</v>
      </c>
      <c r="BK17" t="s">
        <v>571</v>
      </c>
      <c r="BL17" t="s">
        <v>800</v>
      </c>
      <c r="BM17" t="s">
        <v>279</v>
      </c>
      <c r="BN17" t="s">
        <v>5</v>
      </c>
      <c r="BO17" t="s">
        <v>5</v>
      </c>
      <c r="BP17" t="s">
        <v>5</v>
      </c>
      <c r="BQ17">
        <v>-7.7</v>
      </c>
      <c r="BR17">
        <v>-39.72</v>
      </c>
      <c r="BS17">
        <v>-32.85</v>
      </c>
      <c r="BT17" t="s">
        <v>397</v>
      </c>
      <c r="BU17" t="s">
        <v>80</v>
      </c>
      <c r="BV17">
        <v>47.37</v>
      </c>
      <c r="BW17">
        <v>40.81</v>
      </c>
      <c r="BX17">
        <v>32.71</v>
      </c>
      <c r="BY17">
        <v>-15.76</v>
      </c>
      <c r="BZ17">
        <v>-11.9</v>
      </c>
      <c r="CA17">
        <v>-15.74</v>
      </c>
      <c r="CB17">
        <v>3.32</v>
      </c>
      <c r="CC17">
        <v>0.71</v>
      </c>
      <c r="CD17" t="s">
        <v>801</v>
      </c>
      <c r="CE17" t="s">
        <v>325</v>
      </c>
      <c r="CF17" s="8">
        <v>-5.3609200000000003E-2</v>
      </c>
      <c r="CG17" s="9">
        <v>-1.4075720579394175</v>
      </c>
      <c r="CH17" s="8">
        <v>-0.52110904455184937</v>
      </c>
      <c r="CI17" s="8">
        <v>-0.1227196678519249</v>
      </c>
      <c r="CJ17" s="8">
        <v>-0.24341285228729248</v>
      </c>
      <c r="CK17" s="8">
        <v>0.14128877222537994</v>
      </c>
      <c r="CL17" s="8">
        <v>0.21519725024700165</v>
      </c>
      <c r="CM17" s="9">
        <v>1.8275861740112305</v>
      </c>
      <c r="CN17" s="9">
        <v>0.18145161867141724</v>
      </c>
      <c r="CO17" s="9">
        <v>-5.5794730186462402</v>
      </c>
      <c r="CP17" s="9">
        <v>1.2028264999389648</v>
      </c>
      <c r="CQ17" s="9">
        <v>-3.170731782913208</v>
      </c>
      <c r="CR17">
        <v>-45.928318796026126</v>
      </c>
      <c r="CS17">
        <v>-4.3266923416413858</v>
      </c>
      <c r="CT17">
        <v>0</v>
      </c>
      <c r="CU17" s="8">
        <v>-0.10615110844373703</v>
      </c>
      <c r="CV17" s="9">
        <v>-1.1076681017875671</v>
      </c>
      <c r="CW17">
        <v>0.06</v>
      </c>
      <c r="CX17" t="e">
        <v>#VALUE!</v>
      </c>
      <c r="CY17" t="s">
        <v>701</v>
      </c>
      <c r="CZ17">
        <v>-0.10615110844373703</v>
      </c>
      <c r="DA17">
        <v>6.4841791666666664</v>
      </c>
      <c r="DB17" t="s">
        <v>802</v>
      </c>
      <c r="DC17">
        <v>-0.10084355302155017</v>
      </c>
      <c r="DD17">
        <v>3.2420895833333332</v>
      </c>
      <c r="DE17" t="s">
        <v>803</v>
      </c>
      <c r="DF17">
        <v>-9.3412975430488585E-2</v>
      </c>
      <c r="DG17">
        <v>1.94525375</v>
      </c>
      <c r="DH17" t="s">
        <v>804</v>
      </c>
      <c r="DI17">
        <v>-8.4920886754989627E-2</v>
      </c>
      <c r="DJ17">
        <v>0.972626875</v>
      </c>
      <c r="DK17" t="s">
        <v>805</v>
      </c>
      <c r="DL17">
        <v>-7.430577591061592E-2</v>
      </c>
      <c r="DM17">
        <v>168000000</v>
      </c>
      <c r="DN17">
        <v>-0.10615110844373703</v>
      </c>
      <c r="DO17">
        <v>3268026300</v>
      </c>
      <c r="DP17">
        <v>-28791940</v>
      </c>
      <c r="DQ17">
        <v>3300</v>
      </c>
      <c r="DR17">
        <v>5.2541908443737025E-2</v>
      </c>
      <c r="DS17">
        <v>-0.29990395615185039</v>
      </c>
      <c r="DT17" s="10">
        <v>-0.20000000000000004</v>
      </c>
      <c r="DU17">
        <v>-1.9316666666666669</v>
      </c>
      <c r="DV17">
        <v>-2.1316666666666668</v>
      </c>
      <c r="DW17">
        <v>4.2138554216867474</v>
      </c>
      <c r="DX17">
        <v>0.80724090909090618</v>
      </c>
      <c r="DY17">
        <v>4.0443195920043813</v>
      </c>
      <c r="DZ17">
        <v>4634</v>
      </c>
      <c r="EA17">
        <v>4.0032030776203369</v>
      </c>
      <c r="EB17">
        <v>4</v>
      </c>
      <c r="EC17">
        <v>0.12728860208572479</v>
      </c>
      <c r="ED17">
        <v>0.614205962732425</v>
      </c>
      <c r="EE17" s="11">
        <v>9.2299999999999993E-2</v>
      </c>
      <c r="EF17">
        <v>0.12869999999999998</v>
      </c>
      <c r="EG17">
        <v>60.207240909090906</v>
      </c>
      <c r="EH17" t="s">
        <v>310</v>
      </c>
      <c r="EI17">
        <v>0</v>
      </c>
      <c r="EJ17">
        <v>0</v>
      </c>
      <c r="EK17" s="7">
        <v>45051</v>
      </c>
      <c r="EL17" s="12">
        <v>-9.2999999999999992E-3</v>
      </c>
      <c r="EM17" s="12">
        <v>6.3E-3</v>
      </c>
      <c r="EN17" s="12">
        <v>-2.08</v>
      </c>
      <c r="EO17" s="12">
        <v>2.13</v>
      </c>
      <c r="EP17" s="12">
        <v>3.64</v>
      </c>
    </row>
    <row r="18" spans="1:146" ht="108" x14ac:dyDescent="0.25">
      <c r="A18" s="13"/>
      <c r="B18" s="13"/>
      <c r="C18" s="13" t="str">
        <f>""&amp;CHAR(10)&amp;Basic_Fundamental_Information_Constructure(F18)&amp;CHAR(10)&amp;Basic_Fundamental_Information_Concatenate("")</f>
        <v xml:space="preserve">
市值37.017994亿, 利润-8651.06万; PE; 平均PE-278.52; 平均PEG-29.19, PB2.11; ROIC1.02%; ROE.4033%; 股利率0%; 毛利83.4233%; 净利5.2133%; 上一年度营收增18.27%, 利润增-718.84%; 当季营收增3.76%, 利润增-914.35%; 过往5年营收增-9.54%, 利润增-1005.02%
Income profile:
</v>
      </c>
      <c r="D18" t="s">
        <v>215</v>
      </c>
      <c r="E18" t="s">
        <v>216</v>
      </c>
      <c r="F18">
        <v>6.31</v>
      </c>
      <c r="G18">
        <v>1.61</v>
      </c>
      <c r="H18" t="s">
        <v>806</v>
      </c>
      <c r="I18">
        <v>3701799400</v>
      </c>
      <c r="K18">
        <v>2.11</v>
      </c>
      <c r="L18" t="s">
        <v>80</v>
      </c>
      <c r="M18" t="s">
        <v>396</v>
      </c>
      <c r="N18" t="s">
        <v>807</v>
      </c>
      <c r="O18" t="s">
        <v>808</v>
      </c>
      <c r="P18">
        <v>3.76</v>
      </c>
      <c r="Q18" t="s">
        <v>93</v>
      </c>
      <c r="R18">
        <v>-8835671</v>
      </c>
      <c r="S18" s="5">
        <v>-9.1430000000000007</v>
      </c>
      <c r="T18" t="s">
        <v>809</v>
      </c>
      <c r="U18">
        <v>586656000</v>
      </c>
      <c r="V18">
        <v>586656000</v>
      </c>
      <c r="W18">
        <v>1.1599999999999999</v>
      </c>
      <c r="X18">
        <v>0.01</v>
      </c>
      <c r="Y18">
        <v>-29.27</v>
      </c>
      <c r="Z18" t="s">
        <v>810</v>
      </c>
      <c r="AA18" t="s">
        <v>811</v>
      </c>
      <c r="AB18" t="s">
        <v>812</v>
      </c>
      <c r="AC18" t="s">
        <v>813</v>
      </c>
      <c r="AD18" t="s">
        <v>814</v>
      </c>
      <c r="AE18">
        <v>-669600</v>
      </c>
      <c r="AF18" t="s">
        <v>815</v>
      </c>
      <c r="AG18" t="s">
        <v>816</v>
      </c>
      <c r="AH18" t="s">
        <v>817</v>
      </c>
      <c r="AI18" t="s">
        <v>818</v>
      </c>
      <c r="AJ18" t="s">
        <v>819</v>
      </c>
      <c r="AK18" t="s">
        <v>5</v>
      </c>
      <c r="AL18" t="s">
        <v>820</v>
      </c>
      <c r="AM18" t="s">
        <v>5</v>
      </c>
      <c r="AN18" t="s">
        <v>409</v>
      </c>
      <c r="AO18" t="s">
        <v>5</v>
      </c>
      <c r="AP18" t="s">
        <v>5</v>
      </c>
      <c r="AQ18" t="s">
        <v>821</v>
      </c>
      <c r="AR18" t="s">
        <v>822</v>
      </c>
      <c r="AS18" t="s">
        <v>823</v>
      </c>
      <c r="AT18" t="s">
        <v>5</v>
      </c>
      <c r="AU18" t="s">
        <v>824</v>
      </c>
      <c r="AV18" t="s">
        <v>825</v>
      </c>
      <c r="AW18" t="s">
        <v>826</v>
      </c>
      <c r="AX18" t="s">
        <v>264</v>
      </c>
      <c r="AY18" t="s">
        <v>48</v>
      </c>
      <c r="AZ18" t="s">
        <v>218</v>
      </c>
      <c r="BA18" t="s">
        <v>74</v>
      </c>
      <c r="BB18" t="s">
        <v>219</v>
      </c>
      <c r="BC18" t="s">
        <v>280</v>
      </c>
      <c r="BD18" t="s">
        <v>217</v>
      </c>
      <c r="BE18" t="s">
        <v>220</v>
      </c>
      <c r="BF18" t="s">
        <v>221</v>
      </c>
      <c r="BG18" t="s">
        <v>222</v>
      </c>
      <c r="BH18" t="s">
        <v>93</v>
      </c>
      <c r="BI18" t="s">
        <v>827</v>
      </c>
      <c r="BJ18" t="s">
        <v>264</v>
      </c>
      <c r="BK18" t="s">
        <v>809</v>
      </c>
      <c r="BL18" t="s">
        <v>828</v>
      </c>
      <c r="BM18" t="s">
        <v>280</v>
      </c>
      <c r="BN18" t="s">
        <v>5</v>
      </c>
      <c r="BO18">
        <v>0.69</v>
      </c>
      <c r="BP18">
        <v>1.35</v>
      </c>
      <c r="BQ18">
        <v>-0.5</v>
      </c>
      <c r="BR18">
        <v>0.73</v>
      </c>
      <c r="BS18">
        <v>0.98</v>
      </c>
      <c r="BT18" t="s">
        <v>397</v>
      </c>
      <c r="BU18" t="s">
        <v>80</v>
      </c>
      <c r="BV18">
        <v>79.48</v>
      </c>
      <c r="BW18">
        <v>81.55</v>
      </c>
      <c r="BX18">
        <v>89.24</v>
      </c>
      <c r="BY18">
        <v>-29.27</v>
      </c>
      <c r="BZ18">
        <v>14.31</v>
      </c>
      <c r="CA18">
        <v>30.6</v>
      </c>
      <c r="CB18">
        <v>4.99</v>
      </c>
      <c r="CC18">
        <v>-0.94</v>
      </c>
      <c r="CD18" t="s">
        <v>829</v>
      </c>
      <c r="CE18" t="s">
        <v>542</v>
      </c>
      <c r="CF18" s="8">
        <v>3.7596797370716646E-2</v>
      </c>
      <c r="CG18" s="9">
        <v>-9.1434755760368667</v>
      </c>
      <c r="CH18" s="8">
        <v>0.18269230425357819</v>
      </c>
      <c r="CI18" s="8">
        <v>9.7087379544973373E-3</v>
      </c>
      <c r="CJ18" s="8">
        <v>3.8645688444375992E-2</v>
      </c>
      <c r="CK18" s="8">
        <v>-8.1781484186649323E-2</v>
      </c>
      <c r="CL18" s="8">
        <v>-0.62629759311676025</v>
      </c>
      <c r="CM18" s="9">
        <v>-7.188389778137207</v>
      </c>
      <c r="CN18" s="9">
        <v>-0.2491849809885025</v>
      </c>
      <c r="CO18" s="9">
        <v>1.2412588596343994</v>
      </c>
      <c r="CP18" s="9">
        <v>-43.091522216796875</v>
      </c>
      <c r="CQ18" s="9">
        <v>-0.9629662036895752</v>
      </c>
      <c r="CR18">
        <v>-278.52449259823561</v>
      </c>
      <c r="CS18">
        <v>-29.193459788800283</v>
      </c>
      <c r="CT18">
        <v>0</v>
      </c>
      <c r="CU18" s="8">
        <v>-9.5406469330191618E-2</v>
      </c>
      <c r="CV18" s="9">
        <v>-10.050160863995552</v>
      </c>
      <c r="CW18">
        <v>0.06</v>
      </c>
      <c r="CX18" t="e">
        <v>#VALUE!</v>
      </c>
      <c r="CY18" t="s">
        <v>311</v>
      </c>
      <c r="CZ18">
        <v>-9.5406469330191618E-2</v>
      </c>
      <c r="DA18" t="e">
        <v>#VALUE!</v>
      </c>
      <c r="DB18" t="s">
        <v>309</v>
      </c>
      <c r="DC18">
        <v>-9.063614586368203E-2</v>
      </c>
      <c r="DD18" t="e">
        <v>#VALUE!</v>
      </c>
      <c r="DE18" t="s">
        <v>309</v>
      </c>
      <c r="DF18">
        <v>-8.3957693010568629E-2</v>
      </c>
      <c r="DG18" t="e">
        <v>#VALUE!</v>
      </c>
      <c r="DH18" t="s">
        <v>309</v>
      </c>
      <c r="DI18">
        <v>-7.6325175464153294E-2</v>
      </c>
      <c r="DJ18" t="e">
        <v>#VALUE!</v>
      </c>
      <c r="DK18" t="s">
        <v>309</v>
      </c>
      <c r="DL18">
        <v>-6.6784528531134132E-2</v>
      </c>
      <c r="DM18">
        <v>-86510600</v>
      </c>
      <c r="DN18">
        <v>-9.5406469330191618E-2</v>
      </c>
      <c r="DO18">
        <v>2209799400</v>
      </c>
      <c r="DP18">
        <v>1081299130</v>
      </c>
      <c r="DQ18">
        <v>3358</v>
      </c>
      <c r="DR18">
        <v>0.13300326670090826</v>
      </c>
      <c r="DS18">
        <v>0.90668528795868575</v>
      </c>
      <c r="DT18" s="10">
        <v>-3.3333333333333326E-2</v>
      </c>
      <c r="DU18">
        <v>-2.3816666666666664</v>
      </c>
      <c r="DV18">
        <v>-2.4149999999999996</v>
      </c>
      <c r="DW18">
        <v>4.188376753507014</v>
      </c>
      <c r="DX18">
        <v>0.82010995454545788</v>
      </c>
      <c r="DY18">
        <v>4.0471149012570597</v>
      </c>
      <c r="DZ18">
        <v>4744</v>
      </c>
      <c r="EA18">
        <v>4.0023675355786832</v>
      </c>
      <c r="EB18">
        <v>4</v>
      </c>
      <c r="EC18">
        <v>0.15006869443080786</v>
      </c>
      <c r="ED18">
        <v>0.60001090928925982</v>
      </c>
      <c r="EE18" s="11">
        <v>3.0171000000000001</v>
      </c>
      <c r="EF18">
        <v>3.0331999999999999</v>
      </c>
      <c r="EG18">
        <v>57.250109954545458</v>
      </c>
      <c r="EH18" t="s">
        <v>830</v>
      </c>
      <c r="EI18">
        <v>0</v>
      </c>
      <c r="EJ18">
        <v>0</v>
      </c>
      <c r="EK18" s="7">
        <v>45051</v>
      </c>
      <c r="EL18" s="12">
        <v>-8.3000000000000001E-3</v>
      </c>
      <c r="EM18" s="12">
        <v>-2.18E-2</v>
      </c>
      <c r="EN18" s="12">
        <v>3.09</v>
      </c>
      <c r="EO18" s="12">
        <v>3.33</v>
      </c>
      <c r="EP18" s="12">
        <v>1.61</v>
      </c>
    </row>
    <row r="19" spans="1:146" ht="108" x14ac:dyDescent="0.25">
      <c r="A19" s="13"/>
      <c r="B19" s="13"/>
      <c r="C19" s="13" t="str">
        <f>""&amp;CHAR(10)&amp;Basic_Fundamental_Information_Constructure(F19)&amp;CHAR(10)&amp;Basic_Fundamental_Information_Concatenate("")</f>
        <v xml:space="preserve">
市值74.018583亿, 利润4024.64万; PE175.5; 平均PE-82.76; 平均PEG-15.54, PB2.45; ROIC1.8933%; ROE1.9733%; 股利率.1773%; 毛利37.76%; 净利13.7067%; 上一年度营收增-23.64%, 利润增-48.8%; 当季营收增21.75%, 利润增26.77%; 过往5年营收增-5.33%, 利润增-487.29%
Income profile:
</v>
      </c>
      <c r="D19" t="s">
        <v>223</v>
      </c>
      <c r="E19" t="s">
        <v>224</v>
      </c>
      <c r="F19">
        <v>6.77</v>
      </c>
      <c r="G19">
        <v>-4.78</v>
      </c>
      <c r="H19" t="s">
        <v>831</v>
      </c>
      <c r="I19">
        <v>7401858300</v>
      </c>
      <c r="J19">
        <v>175.5</v>
      </c>
      <c r="K19">
        <v>2.4500000000000002</v>
      </c>
      <c r="L19" t="s">
        <v>80</v>
      </c>
      <c r="M19" t="s">
        <v>832</v>
      </c>
      <c r="N19" t="s">
        <v>833</v>
      </c>
      <c r="O19" t="s">
        <v>834</v>
      </c>
      <c r="P19">
        <v>21.45</v>
      </c>
      <c r="Q19" t="s">
        <v>835</v>
      </c>
      <c r="R19">
        <v>9091474</v>
      </c>
      <c r="S19" s="5">
        <v>0.2676</v>
      </c>
      <c r="T19" t="s">
        <v>836</v>
      </c>
      <c r="U19">
        <v>1093030180</v>
      </c>
      <c r="V19">
        <v>1093332090</v>
      </c>
      <c r="W19">
        <v>1.2</v>
      </c>
      <c r="X19">
        <v>0.04</v>
      </c>
      <c r="Y19">
        <v>7.73</v>
      </c>
      <c r="Z19" t="s">
        <v>199</v>
      </c>
      <c r="AA19" t="s">
        <v>837</v>
      </c>
      <c r="AB19" t="s">
        <v>838</v>
      </c>
      <c r="AC19" t="s">
        <v>839</v>
      </c>
      <c r="AD19" t="s">
        <v>840</v>
      </c>
      <c r="AE19">
        <v>-266098</v>
      </c>
      <c r="AF19" t="s">
        <v>841</v>
      </c>
      <c r="AG19" t="s">
        <v>842</v>
      </c>
      <c r="AH19" t="s">
        <v>843</v>
      </c>
      <c r="AI19" t="s">
        <v>844</v>
      </c>
      <c r="AJ19" t="s">
        <v>845</v>
      </c>
      <c r="AK19" t="s">
        <v>5</v>
      </c>
      <c r="AL19" t="s">
        <v>846</v>
      </c>
      <c r="AM19" t="s">
        <v>5</v>
      </c>
      <c r="AN19" t="s">
        <v>847</v>
      </c>
      <c r="AO19" t="s">
        <v>400</v>
      </c>
      <c r="AP19" t="s">
        <v>5</v>
      </c>
      <c r="AQ19" t="s">
        <v>848</v>
      </c>
      <c r="AR19" t="s">
        <v>849</v>
      </c>
      <c r="AS19" t="s">
        <v>524</v>
      </c>
      <c r="AT19" t="s">
        <v>410</v>
      </c>
      <c r="AU19" t="s">
        <v>322</v>
      </c>
      <c r="AV19" t="s">
        <v>850</v>
      </c>
      <c r="AW19" t="s">
        <v>851</v>
      </c>
      <c r="AX19" t="s">
        <v>262</v>
      </c>
      <c r="AY19" t="s">
        <v>852</v>
      </c>
      <c r="AZ19" t="s">
        <v>75</v>
      </c>
      <c r="BA19" t="s">
        <v>225</v>
      </c>
      <c r="BB19" t="s">
        <v>68</v>
      </c>
      <c r="BC19" t="s">
        <v>853</v>
      </c>
      <c r="BD19" t="s">
        <v>281</v>
      </c>
      <c r="BE19" t="s">
        <v>226</v>
      </c>
      <c r="BF19" t="s">
        <v>227</v>
      </c>
      <c r="BG19" t="s">
        <v>228</v>
      </c>
      <c r="BH19" t="s">
        <v>854</v>
      </c>
      <c r="BI19" t="s">
        <v>308</v>
      </c>
      <c r="BJ19" t="s">
        <v>262</v>
      </c>
      <c r="BK19" t="s">
        <v>836</v>
      </c>
      <c r="BL19" t="s">
        <v>855</v>
      </c>
      <c r="BM19" t="s">
        <v>853</v>
      </c>
      <c r="BN19">
        <v>0.33</v>
      </c>
      <c r="BO19">
        <v>2.76</v>
      </c>
      <c r="BP19">
        <v>2.59</v>
      </c>
      <c r="BQ19">
        <v>0.3</v>
      </c>
      <c r="BR19">
        <v>2.66</v>
      </c>
      <c r="BS19">
        <v>2.96</v>
      </c>
      <c r="BT19" t="s">
        <v>856</v>
      </c>
      <c r="BU19" t="s">
        <v>80</v>
      </c>
      <c r="BV19">
        <v>43.43</v>
      </c>
      <c r="BW19">
        <v>32.14</v>
      </c>
      <c r="BX19">
        <v>37.71</v>
      </c>
      <c r="BY19">
        <v>8.24</v>
      </c>
      <c r="BZ19">
        <v>14.16</v>
      </c>
      <c r="CA19">
        <v>18.72</v>
      </c>
      <c r="CB19">
        <v>3.36</v>
      </c>
      <c r="CC19">
        <v>19.82</v>
      </c>
      <c r="CD19" t="s">
        <v>307</v>
      </c>
      <c r="CE19" t="s">
        <v>857</v>
      </c>
      <c r="CF19" s="8">
        <v>0.2174822522522521</v>
      </c>
      <c r="CG19" s="9">
        <v>0.26765208661581991</v>
      </c>
      <c r="CH19" s="8">
        <v>-0.23644578456878662</v>
      </c>
      <c r="CI19" s="8">
        <v>0.37474119663238525</v>
      </c>
      <c r="CJ19" s="8">
        <v>0.27440634369850159</v>
      </c>
      <c r="CK19" s="8">
        <v>-0.30586081743240356</v>
      </c>
      <c r="CL19" s="8">
        <v>-0.3731343150138855</v>
      </c>
      <c r="CM19" s="9">
        <v>-0.48798924684524536</v>
      </c>
      <c r="CN19" s="9">
        <v>-7.1994207799434662E-2</v>
      </c>
      <c r="CO19" s="9">
        <v>0.28249987959861755</v>
      </c>
      <c r="CP19" s="9">
        <v>1.0785315036773682</v>
      </c>
      <c r="CQ19" s="9">
        <v>-25.165487289428711</v>
      </c>
      <c r="CR19">
        <v>-82.764038213968107</v>
      </c>
      <c r="CS19">
        <v>-15.540010653761449</v>
      </c>
      <c r="CT19">
        <v>0.17725258493353027</v>
      </c>
      <c r="CU19" s="8">
        <v>-5.3258675336837771E-2</v>
      </c>
      <c r="CV19" s="9">
        <v>-4.872887872159481</v>
      </c>
      <c r="CW19">
        <v>0.06</v>
      </c>
      <c r="CX19">
        <v>120.00721306750417</v>
      </c>
      <c r="CY19" t="s">
        <v>858</v>
      </c>
      <c r="CZ19">
        <v>-5.3258675336837771E-2</v>
      </c>
      <c r="DA19">
        <v>40.002404355834727</v>
      </c>
      <c r="DB19" t="s">
        <v>859</v>
      </c>
      <c r="DC19">
        <v>-5.0595741569995883E-2</v>
      </c>
      <c r="DD19">
        <v>20.001202177917364</v>
      </c>
      <c r="DE19" t="s">
        <v>860</v>
      </c>
      <c r="DF19">
        <v>-4.6867634296417236E-2</v>
      </c>
      <c r="DG19">
        <v>12.000721306750417</v>
      </c>
      <c r="DH19" t="s">
        <v>861</v>
      </c>
      <c r="DI19">
        <v>-4.260694026947022E-2</v>
      </c>
      <c r="DJ19">
        <v>6.0003606533752087</v>
      </c>
      <c r="DK19" t="s">
        <v>862</v>
      </c>
      <c r="DL19">
        <v>-3.7281072735786437E-2</v>
      </c>
      <c r="DM19">
        <v>40246400</v>
      </c>
      <c r="DN19">
        <v>-5.3258675336837771E-2</v>
      </c>
      <c r="DO19">
        <v>4829858300</v>
      </c>
      <c r="DP19">
        <v>444152120</v>
      </c>
      <c r="DQ19">
        <v>3491</v>
      </c>
      <c r="DR19">
        <v>0.27074092758908985</v>
      </c>
      <c r="DS19">
        <v>5.1405399587753013</v>
      </c>
      <c r="DT19" s="10">
        <v>-9.9999999999999964E-2</v>
      </c>
      <c r="DU19">
        <v>-0.85666666666666658</v>
      </c>
      <c r="DV19">
        <v>-0.95666666666666655</v>
      </c>
      <c r="DW19">
        <v>8.1695257315842582</v>
      </c>
      <c r="DX19">
        <v>0.4855625259874341</v>
      </c>
      <c r="DY19">
        <v>8.0450196814993831</v>
      </c>
      <c r="DZ19">
        <v>3882</v>
      </c>
      <c r="EA19">
        <v>8.0100314125142766</v>
      </c>
      <c r="EB19">
        <v>8</v>
      </c>
      <c r="EC19">
        <v>0.42530536170396321</v>
      </c>
      <c r="ED19">
        <v>1.6015262114916979</v>
      </c>
      <c r="EE19" s="11">
        <v>1.0235000000000001</v>
      </c>
      <c r="EF19">
        <v>1.0243100000000001</v>
      </c>
      <c r="EG19">
        <v>22.265562525987434</v>
      </c>
      <c r="EH19" t="s">
        <v>312</v>
      </c>
      <c r="EI19">
        <v>0</v>
      </c>
      <c r="EJ19">
        <v>0</v>
      </c>
      <c r="EK19" s="7">
        <v>45051</v>
      </c>
      <c r="EL19" s="12">
        <v>-3.6600000000000001E-2</v>
      </c>
      <c r="EM19" s="12">
        <v>-3.6499999999999998E-2</v>
      </c>
      <c r="EN19" s="12">
        <v>10.029999999999999</v>
      </c>
      <c r="EO19" s="12">
        <v>6.28</v>
      </c>
      <c r="EP19" s="12">
        <v>-4.78</v>
      </c>
    </row>
    <row r="20" spans="1:146" ht="108" x14ac:dyDescent="0.25">
      <c r="A20" s="13"/>
      <c r="B20" s="13"/>
      <c r="C20" s="13" t="str">
        <f>""&amp;CHAR(10)&amp;Basic_Fundamental_Information_Constructure(F20)&amp;CHAR(10)&amp;Basic_Fundamental_Information_Concatenate("")</f>
        <v xml:space="preserve">
市值56.578499亿, 利润-4318.34万; PE; 平均PE34.93; 平均PEG50.05, PB2.72; ROIC5.22%; ROE4.3567%; 股利率0%; 毛利43.7033%; 净利5.2867%; 上一年度营收增-16.6%, 利润增-128.41%; 当季营收增-17.91%, 利润增-404.92%; 过往5年营收增-.7%, 利润增-32.74%
Income profile:
</v>
      </c>
      <c r="D20" t="s">
        <v>229</v>
      </c>
      <c r="E20" t="s">
        <v>230</v>
      </c>
      <c r="F20">
        <v>7.85</v>
      </c>
      <c r="G20">
        <v>0.51</v>
      </c>
      <c r="H20" t="s">
        <v>863</v>
      </c>
      <c r="I20">
        <v>5657849900</v>
      </c>
      <c r="K20">
        <v>2.72</v>
      </c>
      <c r="L20" t="s">
        <v>80</v>
      </c>
      <c r="M20" t="s">
        <v>864</v>
      </c>
      <c r="N20" t="s">
        <v>865</v>
      </c>
      <c r="O20" t="s">
        <v>866</v>
      </c>
      <c r="P20">
        <v>-18.059999999999999</v>
      </c>
      <c r="Q20" t="s">
        <v>867</v>
      </c>
      <c r="R20">
        <v>-24073466</v>
      </c>
      <c r="S20" s="5">
        <v>-4.0490000000000004</v>
      </c>
      <c r="T20" t="s">
        <v>868</v>
      </c>
      <c r="U20">
        <v>720745210</v>
      </c>
      <c r="V20">
        <v>720745210</v>
      </c>
      <c r="W20">
        <v>2.15</v>
      </c>
      <c r="X20">
        <v>0.04</v>
      </c>
      <c r="Y20">
        <v>-12.85</v>
      </c>
      <c r="Z20" t="s">
        <v>869</v>
      </c>
      <c r="AA20" t="s">
        <v>440</v>
      </c>
      <c r="AB20" t="s">
        <v>870</v>
      </c>
      <c r="AC20" t="s">
        <v>871</v>
      </c>
      <c r="AD20" t="s">
        <v>872</v>
      </c>
      <c r="AE20">
        <v>19526351</v>
      </c>
      <c r="AF20" t="s">
        <v>873</v>
      </c>
      <c r="AG20" t="s">
        <v>874</v>
      </c>
      <c r="AH20" t="s">
        <v>875</v>
      </c>
      <c r="AI20" t="s">
        <v>408</v>
      </c>
      <c r="AJ20" t="s">
        <v>876</v>
      </c>
      <c r="AK20" t="s">
        <v>5</v>
      </c>
      <c r="AL20" t="s">
        <v>877</v>
      </c>
      <c r="AM20" t="s">
        <v>5</v>
      </c>
      <c r="AN20" t="s">
        <v>878</v>
      </c>
      <c r="AO20" t="s">
        <v>403</v>
      </c>
      <c r="AP20" t="s">
        <v>879</v>
      </c>
      <c r="AQ20" t="s">
        <v>147</v>
      </c>
      <c r="AR20" t="s">
        <v>880</v>
      </c>
      <c r="AS20" t="s">
        <v>881</v>
      </c>
      <c r="AT20" t="s">
        <v>318</v>
      </c>
      <c r="AU20" t="s">
        <v>882</v>
      </c>
      <c r="AV20" t="s">
        <v>883</v>
      </c>
      <c r="AW20" t="s">
        <v>884</v>
      </c>
      <c r="AX20" t="s">
        <v>282</v>
      </c>
      <c r="AY20" t="s">
        <v>65</v>
      </c>
      <c r="AZ20" t="s">
        <v>231</v>
      </c>
      <c r="BA20" t="s">
        <v>232</v>
      </c>
      <c r="BB20" t="s">
        <v>233</v>
      </c>
      <c r="BC20" t="s">
        <v>47</v>
      </c>
      <c r="BD20" t="s">
        <v>200</v>
      </c>
      <c r="BE20" t="s">
        <v>70</v>
      </c>
      <c r="BF20" t="s">
        <v>24</v>
      </c>
      <c r="BG20" t="s">
        <v>234</v>
      </c>
      <c r="BH20" t="s">
        <v>867</v>
      </c>
      <c r="BI20" t="s">
        <v>319</v>
      </c>
      <c r="BJ20" t="s">
        <v>282</v>
      </c>
      <c r="BK20" t="s">
        <v>868</v>
      </c>
      <c r="BL20" t="s">
        <v>885</v>
      </c>
      <c r="BM20" t="s">
        <v>47</v>
      </c>
      <c r="BN20" t="s">
        <v>5</v>
      </c>
      <c r="BO20">
        <v>5.26</v>
      </c>
      <c r="BP20">
        <v>5.18</v>
      </c>
      <c r="BQ20">
        <v>-1.1399999999999999</v>
      </c>
      <c r="BR20">
        <v>5.98</v>
      </c>
      <c r="BS20">
        <v>8.23</v>
      </c>
      <c r="BT20" t="s">
        <v>397</v>
      </c>
      <c r="BU20" t="s">
        <v>80</v>
      </c>
      <c r="BV20">
        <v>35.28</v>
      </c>
      <c r="BW20">
        <v>51.28</v>
      </c>
      <c r="BX20">
        <v>44.55</v>
      </c>
      <c r="BY20">
        <v>-12.85</v>
      </c>
      <c r="BZ20">
        <v>12.42</v>
      </c>
      <c r="CA20">
        <v>16.29</v>
      </c>
      <c r="CB20">
        <v>2.48</v>
      </c>
      <c r="CC20">
        <v>-0.38</v>
      </c>
      <c r="CD20" t="s">
        <v>886</v>
      </c>
      <c r="CE20" t="s">
        <v>283</v>
      </c>
      <c r="CF20" s="8">
        <v>-0.17906556451612904</v>
      </c>
      <c r="CG20" s="9">
        <v>-4.04924267565137</v>
      </c>
      <c r="CH20" s="8">
        <v>-0.16597168147563934</v>
      </c>
      <c r="CI20" s="8">
        <v>0.41391515731811523</v>
      </c>
      <c r="CJ20" s="8">
        <v>-0.23877917230129242</v>
      </c>
      <c r="CK20" s="8">
        <v>5.9942912310361862E-2</v>
      </c>
      <c r="CL20" s="8">
        <v>-0.10400677472352982</v>
      </c>
      <c r="CM20" s="9">
        <v>-1.2841012477874756</v>
      </c>
      <c r="CN20" s="9">
        <v>-5.590062215924263E-2</v>
      </c>
      <c r="CO20" s="9">
        <v>-0.3401639461517334</v>
      </c>
      <c r="CP20" s="9">
        <v>9.4170406460762024E-2</v>
      </c>
      <c r="CQ20" s="9">
        <v>-5.106382817029953E-2</v>
      </c>
      <c r="CR20">
        <v>34.931590384440845</v>
      </c>
      <c r="CS20">
        <v>50.045890999043657</v>
      </c>
      <c r="CT20">
        <v>0</v>
      </c>
      <c r="CU20" s="8">
        <v>-6.9799117743968965E-3</v>
      </c>
      <c r="CV20" s="9">
        <v>-0.3274118475615978</v>
      </c>
      <c r="CW20">
        <v>0.06</v>
      </c>
      <c r="CX20" t="e">
        <v>#VALUE!</v>
      </c>
      <c r="CY20" t="s">
        <v>311</v>
      </c>
      <c r="CZ20">
        <v>-6.9799117743968965E-3</v>
      </c>
      <c r="DA20" t="e">
        <v>#VALUE!</v>
      </c>
      <c r="DB20" t="s">
        <v>309</v>
      </c>
      <c r="DC20">
        <v>-6.6309161856770516E-3</v>
      </c>
      <c r="DD20" t="e">
        <v>#VALUE!</v>
      </c>
      <c r="DE20" t="s">
        <v>309</v>
      </c>
      <c r="DF20">
        <v>-6.142322361469269E-3</v>
      </c>
      <c r="DG20" t="e">
        <v>#VALUE!</v>
      </c>
      <c r="DH20" t="s">
        <v>309</v>
      </c>
      <c r="DI20">
        <v>-5.5839294195175176E-3</v>
      </c>
      <c r="DJ20" t="e">
        <v>#VALUE!</v>
      </c>
      <c r="DK20" t="s">
        <v>309</v>
      </c>
      <c r="DL20">
        <v>-4.8859382420778277E-3</v>
      </c>
      <c r="DM20">
        <v>-43183400</v>
      </c>
      <c r="DN20">
        <v>-6.9799117743968965E-3</v>
      </c>
      <c r="DO20">
        <v>6014849900</v>
      </c>
      <c r="DP20">
        <v>-948462130</v>
      </c>
      <c r="DQ20">
        <v>4053</v>
      </c>
      <c r="DR20">
        <v>-0.17208565274173215</v>
      </c>
      <c r="DS20">
        <v>-3.7218308280897721</v>
      </c>
      <c r="DT20" s="10">
        <v>-0.37000000000000005</v>
      </c>
      <c r="DU20">
        <v>-1.781666666666667</v>
      </c>
      <c r="DV20">
        <v>-2.1516666666666668</v>
      </c>
      <c r="DW20">
        <v>-3.8E-3</v>
      </c>
      <c r="DX20">
        <v>0.40547302904564275</v>
      </c>
      <c r="DY20">
        <v>-6.2879751037344398E-4</v>
      </c>
      <c r="DZ20">
        <v>4540</v>
      </c>
      <c r="EA20">
        <v>-5.7277851295278682E-5</v>
      </c>
      <c r="EB20">
        <v>0</v>
      </c>
      <c r="EC20">
        <v>5.5330232440948167E-2</v>
      </c>
      <c r="ED20">
        <v>0.33437613827499457</v>
      </c>
      <c r="EE20" s="11">
        <v>5.5799999999999995E-2</v>
      </c>
      <c r="EF20">
        <v>6.0900000000000003E-2</v>
      </c>
      <c r="EG20">
        <v>24.165473029045643</v>
      </c>
      <c r="EH20" t="s">
        <v>310</v>
      </c>
      <c r="EI20">
        <v>0</v>
      </c>
      <c r="EJ20">
        <v>0</v>
      </c>
      <c r="EK20" s="7">
        <v>45051</v>
      </c>
      <c r="EL20" s="12">
        <v>-1.9599999999999999E-2</v>
      </c>
      <c r="EM20" s="12">
        <v>2.2599999999999999E-2</v>
      </c>
      <c r="EN20" s="12">
        <v>4.82</v>
      </c>
      <c r="EO20" s="12">
        <v>-2.98</v>
      </c>
      <c r="EP20" s="12">
        <v>0.51</v>
      </c>
    </row>
    <row r="21" spans="1:146" ht="108" x14ac:dyDescent="0.25">
      <c r="A21" s="13"/>
      <c r="B21" s="13"/>
      <c r="C21" s="13" t="str">
        <f>""&amp;CHAR(10)&amp;Basic_Fundamental_Information_Constructure(F21)&amp;CHAR(10)&amp;Basic_Fundamental_Information_Concatenate("")</f>
        <v xml:space="preserve">
市值40.689886亿, 利润1.11亿; PE33.7; 平均PE33.93; 平均PEG4.19, PB3.75; ROIC14.94%; ROE15.93%; 股利率5.8038%; 毛利78.51%; 净利25.0167%; 上一年度营收增-18.74%, 利润增-35.09%; 当季营收增12.02%, 利润增123.97%; 过往5年营收增8.1%, 利润增6.67%
Income profile:
</v>
      </c>
      <c r="D21" t="s">
        <v>235</v>
      </c>
      <c r="E21" t="s">
        <v>236</v>
      </c>
      <c r="F21">
        <v>34.46</v>
      </c>
      <c r="G21">
        <v>2.04</v>
      </c>
      <c r="H21" t="s">
        <v>887</v>
      </c>
      <c r="I21">
        <v>4068988600</v>
      </c>
      <c r="J21">
        <v>33.700000000000003</v>
      </c>
      <c r="K21">
        <v>3.75</v>
      </c>
      <c r="L21" t="s">
        <v>80</v>
      </c>
      <c r="M21" t="s">
        <v>888</v>
      </c>
      <c r="N21" t="s">
        <v>889</v>
      </c>
      <c r="O21" t="s">
        <v>890</v>
      </c>
      <c r="P21">
        <v>12.02</v>
      </c>
      <c r="Q21" t="s">
        <v>891</v>
      </c>
      <c r="R21">
        <v>17845691</v>
      </c>
      <c r="S21" s="5">
        <v>1.24</v>
      </c>
      <c r="T21" t="s">
        <v>308</v>
      </c>
      <c r="U21">
        <v>43955898</v>
      </c>
      <c r="V21">
        <v>118078600</v>
      </c>
      <c r="W21">
        <v>1.82</v>
      </c>
      <c r="X21">
        <v>0.06</v>
      </c>
      <c r="Y21">
        <v>15.26</v>
      </c>
      <c r="Z21" t="s">
        <v>892</v>
      </c>
      <c r="AA21" t="s">
        <v>893</v>
      </c>
      <c r="AB21" t="s">
        <v>894</v>
      </c>
      <c r="AC21" t="s">
        <v>895</v>
      </c>
      <c r="AD21" t="s">
        <v>896</v>
      </c>
      <c r="AE21">
        <v>-3297444</v>
      </c>
      <c r="AF21" t="s">
        <v>897</v>
      </c>
      <c r="AG21" t="s">
        <v>898</v>
      </c>
      <c r="AH21" t="s">
        <v>899</v>
      </c>
      <c r="AI21" t="s">
        <v>900</v>
      </c>
      <c r="AJ21" t="s">
        <v>901</v>
      </c>
      <c r="AK21" t="s">
        <v>5</v>
      </c>
      <c r="AL21" t="s">
        <v>902</v>
      </c>
      <c r="AM21" t="s">
        <v>5</v>
      </c>
      <c r="AN21" t="s">
        <v>903</v>
      </c>
      <c r="AO21" t="s">
        <v>5</v>
      </c>
      <c r="AP21" t="s">
        <v>5</v>
      </c>
      <c r="AQ21" t="s">
        <v>904</v>
      </c>
      <c r="AR21" t="s">
        <v>5</v>
      </c>
      <c r="AS21" t="s">
        <v>905</v>
      </c>
      <c r="AT21" t="s">
        <v>5</v>
      </c>
      <c r="AU21" t="s">
        <v>906</v>
      </c>
      <c r="AV21" t="s">
        <v>907</v>
      </c>
      <c r="AW21" t="s">
        <v>908</v>
      </c>
      <c r="AX21" t="s">
        <v>284</v>
      </c>
      <c r="AY21" t="s">
        <v>75</v>
      </c>
      <c r="AZ21" t="s">
        <v>180</v>
      </c>
      <c r="BA21" t="s">
        <v>76</v>
      </c>
      <c r="BB21" t="s">
        <v>237</v>
      </c>
      <c r="BC21" t="s">
        <v>121</v>
      </c>
      <c r="BD21" t="s">
        <v>164</v>
      </c>
      <c r="BE21" t="s">
        <v>199</v>
      </c>
      <c r="BF21" t="s">
        <v>94</v>
      </c>
      <c r="BG21" t="s">
        <v>239</v>
      </c>
      <c r="BH21" t="s">
        <v>891</v>
      </c>
      <c r="BI21" t="s">
        <v>909</v>
      </c>
      <c r="BJ21" t="s">
        <v>284</v>
      </c>
      <c r="BK21" t="s">
        <v>308</v>
      </c>
      <c r="BL21" t="s">
        <v>910</v>
      </c>
      <c r="BM21" t="s">
        <v>121</v>
      </c>
      <c r="BN21">
        <v>1.28</v>
      </c>
      <c r="BO21">
        <v>20.43</v>
      </c>
      <c r="BP21">
        <v>23.11</v>
      </c>
      <c r="BQ21">
        <v>1.74</v>
      </c>
      <c r="BR21">
        <v>19.46</v>
      </c>
      <c r="BS21">
        <v>26.59</v>
      </c>
      <c r="BT21" t="s">
        <v>911</v>
      </c>
      <c r="BU21" t="s">
        <v>80</v>
      </c>
      <c r="BV21">
        <v>77.680000000000007</v>
      </c>
      <c r="BW21">
        <v>79.05</v>
      </c>
      <c r="BX21">
        <v>78.8</v>
      </c>
      <c r="BY21">
        <v>15.26</v>
      </c>
      <c r="BZ21">
        <v>31.15</v>
      </c>
      <c r="CA21">
        <v>28.64</v>
      </c>
      <c r="CB21">
        <v>-2.0699999999999998</v>
      </c>
      <c r="CC21">
        <v>-1.06</v>
      </c>
      <c r="CD21" t="s">
        <v>912</v>
      </c>
      <c r="CE21" t="s">
        <v>913</v>
      </c>
      <c r="CF21" s="8">
        <v>0.12023341787475303</v>
      </c>
      <c r="CG21" s="9">
        <v>1.2396700552208835</v>
      </c>
      <c r="CH21" s="8">
        <v>-0.18738739192485809</v>
      </c>
      <c r="CI21" s="8">
        <v>0.4643799364566803</v>
      </c>
      <c r="CJ21" s="8">
        <v>-0.13667425513267517</v>
      </c>
      <c r="CK21" s="8">
        <v>2.2831049282103777E-3</v>
      </c>
      <c r="CL21" s="8">
        <v>0.26224783062934875</v>
      </c>
      <c r="CM21" s="9">
        <v>-0.35087719559669495</v>
      </c>
      <c r="CN21" s="9">
        <v>0.59813082218170166</v>
      </c>
      <c r="CO21" s="9">
        <v>-9.3220338225364685E-2</v>
      </c>
      <c r="CP21" s="9">
        <v>4.4247787445783615E-2</v>
      </c>
      <c r="CQ21" s="9">
        <v>0.13538171350955963</v>
      </c>
      <c r="CR21">
        <v>33.930575962508648</v>
      </c>
      <c r="CS21">
        <v>4.1905200591821714</v>
      </c>
      <c r="CT21">
        <v>5.8038305281485778</v>
      </c>
      <c r="CU21" s="8">
        <v>8.096984499134123E-2</v>
      </c>
      <c r="CV21" s="9">
        <v>6.6732557862997061E-2</v>
      </c>
      <c r="CW21">
        <v>0.06</v>
      </c>
      <c r="CX21">
        <v>34.241422515801702</v>
      </c>
      <c r="CY21">
        <v>113195898.86230083</v>
      </c>
      <c r="CZ21">
        <v>8.096984499134123E-2</v>
      </c>
      <c r="DA21">
        <v>11.275756846142272</v>
      </c>
      <c r="DB21">
        <v>343745315.9808138</v>
      </c>
      <c r="DC21">
        <v>7.6921352741774168E-2</v>
      </c>
      <c r="DD21">
        <v>5.6077071083443224</v>
      </c>
      <c r="DE21">
        <v>691189558.42620444</v>
      </c>
      <c r="DF21">
        <v>7.1253463592380287E-2</v>
      </c>
      <c r="DG21">
        <v>3.4063200573723704</v>
      </c>
      <c r="DH21">
        <v>1137881506.939172</v>
      </c>
      <c r="DI21">
        <v>6.4775875993072982E-2</v>
      </c>
      <c r="DJ21">
        <v>1.804131420144379</v>
      </c>
      <c r="DK21">
        <v>2148395929.8762264</v>
      </c>
      <c r="DL21">
        <v>5.6678891493938857E-2</v>
      </c>
      <c r="DM21">
        <v>111000000.00000001</v>
      </c>
      <c r="DN21">
        <v>8.096984499134123E-2</v>
      </c>
      <c r="DO21">
        <v>3875988600</v>
      </c>
      <c r="DP21">
        <v>854190400</v>
      </c>
      <c r="DQ21">
        <v>4383</v>
      </c>
      <c r="DR21">
        <v>3.9263572883411799E-2</v>
      </c>
      <c r="DS21">
        <v>1.1729374973578863</v>
      </c>
      <c r="DT21" s="10">
        <v>8.3333333333333329E-2</v>
      </c>
      <c r="DU21">
        <v>-1.6666666666666663E-2</v>
      </c>
      <c r="DV21">
        <v>6.6666666666666666E-2</v>
      </c>
      <c r="DW21">
        <v>-1.06E-2</v>
      </c>
      <c r="DX21">
        <v>0.57564289283929326</v>
      </c>
      <c r="DY21">
        <v>-2.179814664096523E-3</v>
      </c>
      <c r="DZ21">
        <v>3141</v>
      </c>
      <c r="EA21">
        <v>-8.0908436180879945E-4</v>
      </c>
      <c r="EB21">
        <v>0</v>
      </c>
      <c r="EC21">
        <v>6.0985648542580956E-2</v>
      </c>
      <c r="ED21">
        <v>0.29656093483493201</v>
      </c>
      <c r="EE21" s="11">
        <v>1.0838099999999999</v>
      </c>
      <c r="EF21">
        <v>1.06341</v>
      </c>
      <c r="EG21">
        <v>37.205642892839293</v>
      </c>
      <c r="EH21" t="s">
        <v>312</v>
      </c>
      <c r="EI21">
        <v>0</v>
      </c>
      <c r="EJ21">
        <v>0</v>
      </c>
      <c r="EK21" s="7">
        <v>45051</v>
      </c>
      <c r="EL21" s="12">
        <v>-3.5200000000000002E-2</v>
      </c>
      <c r="EM21" s="12">
        <v>1.15E-2</v>
      </c>
      <c r="EN21" s="12">
        <v>2.88</v>
      </c>
      <c r="EO21" s="12">
        <v>-4.42</v>
      </c>
      <c r="EP21" s="12">
        <v>2.04</v>
      </c>
    </row>
    <row r="22" spans="1:146" x14ac:dyDescent="0.25">
      <c r="Q22" s="5"/>
    </row>
    <row r="23" spans="1:146" x14ac:dyDescent="0.25">
      <c r="Q23" s="5"/>
    </row>
    <row r="24" spans="1:146" x14ac:dyDescent="0.25">
      <c r="Q24" s="5"/>
    </row>
    <row r="25" spans="1:146" x14ac:dyDescent="0.25">
      <c r="Q25" s="5"/>
    </row>
  </sheetData>
  <phoneticPr fontId="1"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asic_Fundamental_Tabel_Update_Buttom &quot;教育&quot;,&quot;&quot;'" altText="更新基本面按钮_x000a_">
                <anchor moveWithCells="1" sizeWithCells="1">
                  <from>
                    <xdr:col>147</xdr:col>
                    <xdr:colOff>361950</xdr:colOff>
                    <xdr:row>0</xdr:row>
                    <xdr:rowOff>158750</xdr:rowOff>
                  </from>
                  <to>
                    <xdr:col>147</xdr:col>
                    <xdr:colOff>1619250</xdr:colOff>
                    <xdr:row>0</xdr:row>
                    <xdr:rowOff>469900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workbookViewId="0">
      <selection activeCell="A3" sqref="A3"/>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0.5</v>
      </c>
      <c r="B4" t="s">
        <v>0</v>
      </c>
    </row>
    <row r="5" spans="1:30" x14ac:dyDescent="0.25">
      <c r="A5" s="1">
        <v>1</v>
      </c>
      <c r="B5" s="1">
        <f>A5*$A$4+A5</f>
        <v>1.5</v>
      </c>
      <c r="C5" s="1">
        <f t="shared" ref="C5:AD5" si="1">B5*$A$4+B5</f>
        <v>2.25</v>
      </c>
      <c r="D5" s="1">
        <f t="shared" si="1"/>
        <v>3.375</v>
      </c>
      <c r="E5" s="1">
        <f t="shared" si="1"/>
        <v>5.0625</v>
      </c>
      <c r="F5" s="1">
        <f t="shared" si="1"/>
        <v>7.59375</v>
      </c>
      <c r="G5" s="1">
        <f t="shared" si="1"/>
        <v>11.390625</v>
      </c>
      <c r="H5" s="1">
        <f t="shared" si="1"/>
        <v>17.0859375</v>
      </c>
      <c r="I5" s="1">
        <f t="shared" si="1"/>
        <v>25.62890625</v>
      </c>
      <c r="J5" s="1">
        <f t="shared" si="1"/>
        <v>38.443359375</v>
      </c>
      <c r="K5" s="1">
        <f t="shared" si="1"/>
        <v>57.6650390625</v>
      </c>
      <c r="L5" s="1">
        <f t="shared" si="1"/>
        <v>86.49755859375</v>
      </c>
      <c r="M5" s="1">
        <f t="shared" si="1"/>
        <v>129.746337890625</v>
      </c>
      <c r="N5" s="1">
        <f t="shared" si="1"/>
        <v>194.6195068359375</v>
      </c>
      <c r="O5" s="1">
        <f t="shared" si="1"/>
        <v>291.92926025390625</v>
      </c>
      <c r="P5">
        <f t="shared" si="1"/>
        <v>437.89389038085937</v>
      </c>
      <c r="Q5">
        <f t="shared" si="1"/>
        <v>656.84083557128906</v>
      </c>
      <c r="R5">
        <f t="shared" si="1"/>
        <v>985.26125335693359</v>
      </c>
      <c r="S5" s="1">
        <f t="shared" si="1"/>
        <v>1477.8918800354004</v>
      </c>
      <c r="T5">
        <f t="shared" si="1"/>
        <v>2216.8378200531006</v>
      </c>
      <c r="U5">
        <f t="shared" si="1"/>
        <v>3325.2567300796509</v>
      </c>
      <c r="V5">
        <f t="shared" si="1"/>
        <v>4987.8850951194763</v>
      </c>
      <c r="W5">
        <f t="shared" si="1"/>
        <v>7481.8276426792145</v>
      </c>
      <c r="X5">
        <f t="shared" si="1"/>
        <v>11222.741464018822</v>
      </c>
      <c r="Y5">
        <f t="shared" si="1"/>
        <v>16834.112196028233</v>
      </c>
      <c r="Z5">
        <f t="shared" si="1"/>
        <v>25251.168294042349</v>
      </c>
      <c r="AA5">
        <f t="shared" si="1"/>
        <v>37876.752441063523</v>
      </c>
      <c r="AB5">
        <f t="shared" si="1"/>
        <v>56815.128661595285</v>
      </c>
      <c r="AC5">
        <f t="shared" si="1"/>
        <v>85222.692992392927</v>
      </c>
      <c r="AD5">
        <f t="shared" si="1"/>
        <v>127834.03948858939</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教育</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2023-05-07T05:50:55Z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