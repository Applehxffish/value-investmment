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New-社会服务\"/>
    </mc:Choice>
  </mc:AlternateContent>
  <bookViews>
    <workbookView xWindow="-110" yWindow="-110" windowWidth="23260" windowHeight="13180"/>
  </bookViews>
  <sheets>
    <sheet name="专业服务及其他社会服务"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7" i="15"/>
  <c r="C26" i="15"/>
  <c r="C23" i="15"/>
  <c r="C30" i="15"/>
  <c r="C29" i="15"/>
  <c r="C25" i="15"/>
  <c r="C24" i="15"/>
  <c r="C31" i="15"/>
  <c r="C22" i="15"/>
  <c r="C21" i="15"/>
  <c r="C20" i="15"/>
  <c r="C19" i="15"/>
  <c r="C18" i="15"/>
  <c r="C17" i="15"/>
  <c r="C16" i="15"/>
  <c r="C14" i="15"/>
  <c r="C13" i="15"/>
  <c r="C12" i="15"/>
  <c r="C11" i="15"/>
  <c r="C10" i="15"/>
  <c r="C9" i="15"/>
  <c r="C8" i="15"/>
  <c r="C7" i="15"/>
  <c r="C6" i="15"/>
  <c r="C5" i="15"/>
  <c r="C4" i="15"/>
  <c r="C3" i="15"/>
  <c r="C2" i="15"/>
</calcChain>
</file>

<file path=xl/sharedStrings.xml><?xml version="1.0" encoding="utf-8"?>
<sst xmlns="http://schemas.openxmlformats.org/spreadsheetml/2006/main" count="1784" uniqueCount="1322">
  <si>
    <t>&lt;-增速</t>
    <phoneticPr fontId="1" type="noConversion"/>
  </si>
  <si>
    <t>&lt;-估值</t>
    <phoneticPr fontId="1" type="noConversion"/>
  </si>
  <si>
    <t>&lt;-折合年化收益</t>
    <phoneticPr fontId="1" type="noConversion"/>
  </si>
  <si>
    <t>现价</t>
  </si>
  <si>
    <t>市净率</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</si>
  <si>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</si>
  <si>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</si>
  <si>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</si>
  <si>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</si>
  <si>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</si>
  <si>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</si>
  <si>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</si>
  <si>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</si>
  <si>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</si>
  <si>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</si>
  <si>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</si>
  <si>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</si>
  <si>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</si>
  <si>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</si>
  <si>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</si>
  <si>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</si>
  <si>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1.26亿</t>
  </si>
  <si>
    <t>2.03亿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</si>
  <si>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</si>
  <si>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</si>
  <si>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</si>
  <si>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</si>
  <si>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</si>
  <si>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</si>
  <si>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</si>
  <si>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</si>
  <si>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</si>
  <si>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</si>
  <si>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</si>
  <si>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</si>
  <si>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</si>
  <si>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2.13亿</t>
  </si>
  <si>
    <t>5.73亿</t>
  </si>
  <si>
    <t>1.92亿</t>
  </si>
  <si>
    <t>1.15亿</t>
  </si>
  <si>
    <t>1.84亿</t>
  </si>
  <si>
    <t>1.52亿</t>
  </si>
  <si>
    <t>1.03亿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</si>
  <si>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</si>
  <si>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</si>
  <si>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</si>
  <si>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</si>
  <si>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</si>
  <si>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</si>
  <si>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</si>
  <si>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</si>
  <si>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</si>
  <si>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</si>
  <si>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</si>
  <si>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</si>
  <si>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</si>
  <si>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</si>
  <si>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</si>
  <si>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1.20亿</t>
  </si>
  <si>
    <t>1.62亿</t>
  </si>
  <si>
    <t>2.44亿</t>
  </si>
  <si>
    <t>1.47亿</t>
  </si>
  <si>
    <t>3.18亿</t>
  </si>
  <si>
    <t>1.08亿</t>
  </si>
  <si>
    <t>2.00亿</t>
  </si>
  <si>
    <t>1.36亿</t>
  </si>
  <si>
    <t>1.25亿</t>
  </si>
  <si>
    <t>1.23亿</t>
  </si>
  <si>
    <t>11.85亿</t>
  </si>
  <si>
    <t>1.16亿</t>
  </si>
  <si>
    <t>1.27亿</t>
  </si>
  <si>
    <t>1.38亿</t>
  </si>
  <si>
    <t>1.64亿</t>
  </si>
  <si>
    <t>1.39亿</t>
  </si>
  <si>
    <t>1.33亿</t>
  </si>
  <si>
    <t>7.02亿</t>
  </si>
  <si>
    <t>1.81亿</t>
  </si>
  <si>
    <t>4.95亿</t>
  </si>
  <si>
    <t>1.22亿</t>
  </si>
  <si>
    <t>2.82亿</t>
  </si>
  <si>
    <t>1.67亿</t>
  </si>
  <si>
    <t>1.18亿</t>
  </si>
  <si>
    <t>2.87亿</t>
  </si>
  <si>
    <t>19.96亿</t>
  </si>
  <si>
    <t>3.92亿</t>
  </si>
  <si>
    <t>5.46亿</t>
  </si>
  <si>
    <t>2.35亿</t>
  </si>
  <si>
    <t>2.98亿</t>
  </si>
  <si>
    <t>1.82亿</t>
  </si>
  <si>
    <t>2.61亿</t>
  </si>
  <si>
    <t>专业服务</t>
  </si>
  <si>
    <t>4.67亿</t>
  </si>
  <si>
    <t>1.34亿</t>
  </si>
  <si>
    <t>SZ002858</t>
  </si>
  <si>
    <t>其他社会服务</t>
  </si>
  <si>
    <t>-5098.20万</t>
  </si>
  <si>
    <t>0亿</t>
  </si>
  <si>
    <t>4.40亿</t>
  </si>
  <si>
    <t>3.75亿</t>
  </si>
  <si>
    <t>2.20亿</t>
  </si>
  <si>
    <t>2452.58万</t>
  </si>
  <si>
    <t>3832.24万</t>
  </si>
  <si>
    <t>1.63亿</t>
  </si>
  <si>
    <t>SZ002967</t>
  </si>
  <si>
    <t>广电计量</t>
  </si>
  <si>
    <t>18.40亿</t>
  </si>
  <si>
    <t>15.88亿</t>
  </si>
  <si>
    <t>12.28亿</t>
  </si>
  <si>
    <t>5.90亿</t>
  </si>
  <si>
    <t>1.69亿</t>
  </si>
  <si>
    <t>3.09亿</t>
  </si>
  <si>
    <t>SZ003008</t>
  </si>
  <si>
    <t>开普检测</t>
  </si>
  <si>
    <t>1.65亿</t>
  </si>
  <si>
    <t>7425.97万</t>
  </si>
  <si>
    <t>1.17亿</t>
  </si>
  <si>
    <t>1.90亿</t>
  </si>
  <si>
    <t>1.05亿</t>
  </si>
  <si>
    <t>SZ300012</t>
  </si>
  <si>
    <t>华测检测</t>
  </si>
  <si>
    <t>35.68亿</t>
  </si>
  <si>
    <t>5.78亿</t>
  </si>
  <si>
    <t>4.91亿</t>
  </si>
  <si>
    <t>31.83亿</t>
  </si>
  <si>
    <t>26.81亿</t>
  </si>
  <si>
    <t>4.76亿</t>
  </si>
  <si>
    <t>2.70亿</t>
  </si>
  <si>
    <t>1.00亿</t>
  </si>
  <si>
    <t>SZ300215</t>
  </si>
  <si>
    <t>电科院</t>
  </si>
  <si>
    <t>8663.18万</t>
  </si>
  <si>
    <t>8.06亿</t>
  </si>
  <si>
    <t>7.09亿</t>
  </si>
  <si>
    <t>1.28亿</t>
  </si>
  <si>
    <t>3.13亿</t>
  </si>
  <si>
    <t>SZ300416</t>
  </si>
  <si>
    <t>苏试试验</t>
  </si>
  <si>
    <t>7.88亿</t>
  </si>
  <si>
    <t>6.29亿</t>
  </si>
  <si>
    <t>8729.82万</t>
  </si>
  <si>
    <t>7195.79万</t>
  </si>
  <si>
    <t>SZ300572</t>
  </si>
  <si>
    <t>安车检测</t>
  </si>
  <si>
    <t>9.15亿</t>
  </si>
  <si>
    <t>1.89亿</t>
  </si>
  <si>
    <t>2.56亿</t>
  </si>
  <si>
    <t>5.28亿</t>
  </si>
  <si>
    <t>9.73亿</t>
  </si>
  <si>
    <t>SZ300662</t>
  </si>
  <si>
    <t>科锐国际</t>
  </si>
  <si>
    <t>39.32亿</t>
  </si>
  <si>
    <t>1.86亿</t>
  </si>
  <si>
    <t>35.86亿</t>
  </si>
  <si>
    <t>21.97亿</t>
  </si>
  <si>
    <t>SZ300795</t>
  </si>
  <si>
    <t>9435.33万</t>
  </si>
  <si>
    <t>-6462.95万</t>
  </si>
  <si>
    <t>4.26亿</t>
  </si>
  <si>
    <t>4.37亿</t>
  </si>
  <si>
    <t>6611.66万</t>
  </si>
  <si>
    <t>6837.45万</t>
  </si>
  <si>
    <t>SZ300797</t>
  </si>
  <si>
    <t>钢研纳克</t>
  </si>
  <si>
    <t>3.49亿</t>
  </si>
  <si>
    <t>5.85亿</t>
  </si>
  <si>
    <t>7721.97万</t>
  </si>
  <si>
    <t>5.06亿</t>
  </si>
  <si>
    <t>6913.58万</t>
  </si>
  <si>
    <t>6422.75万</t>
  </si>
  <si>
    <t>SZ300860</t>
  </si>
  <si>
    <t>锋尚文化</t>
  </si>
  <si>
    <t>9.84亿</t>
  </si>
  <si>
    <t>9.12亿</t>
  </si>
  <si>
    <t>2.54亿</t>
  </si>
  <si>
    <t>SZ300887</t>
  </si>
  <si>
    <t>谱尼测试</t>
  </si>
  <si>
    <t>14.26亿</t>
  </si>
  <si>
    <t>4.25亿</t>
  </si>
  <si>
    <t>2.67亿</t>
  </si>
  <si>
    <t>12.87亿</t>
  </si>
  <si>
    <t>12.51亿</t>
  </si>
  <si>
    <t>1.01亿</t>
  </si>
  <si>
    <t>SZ300938</t>
  </si>
  <si>
    <t>信测标准</t>
  </si>
  <si>
    <t>6025.18万</t>
  </si>
  <si>
    <t>2.37亿</t>
  </si>
  <si>
    <t>3.01亿</t>
  </si>
  <si>
    <t>7465.35万</t>
  </si>
  <si>
    <t>6698.04万</t>
  </si>
  <si>
    <t>2.19亿</t>
  </si>
  <si>
    <t>2.58亿</t>
  </si>
  <si>
    <t>SZ300962</t>
  </si>
  <si>
    <t>中金辐照</t>
  </si>
  <si>
    <t>6153.82万</t>
  </si>
  <si>
    <t>2.53亿</t>
  </si>
  <si>
    <t>2.14亿</t>
  </si>
  <si>
    <t>5830.93万</t>
  </si>
  <si>
    <t>5250.11万</t>
  </si>
  <si>
    <t>1.78亿</t>
  </si>
  <si>
    <t>2.88亿</t>
  </si>
  <si>
    <t>SH600158</t>
  </si>
  <si>
    <t>中体产业</t>
  </si>
  <si>
    <t>5395.60万</t>
  </si>
  <si>
    <t>22.44亿</t>
  </si>
  <si>
    <t>14.50亿</t>
  </si>
  <si>
    <t>10.92亿</t>
  </si>
  <si>
    <t>8390.65万</t>
  </si>
  <si>
    <t>5811.48万</t>
  </si>
  <si>
    <t>SH600662</t>
  </si>
  <si>
    <t>38.36亿</t>
  </si>
  <si>
    <t>40.97亿</t>
  </si>
  <si>
    <t>9326.40万</t>
  </si>
  <si>
    <t>7107.82万</t>
  </si>
  <si>
    <t>SH600826</t>
  </si>
  <si>
    <t>兰生股份</t>
  </si>
  <si>
    <t>29.82亿</t>
  </si>
  <si>
    <t>53.75亿</t>
  </si>
  <si>
    <t>33.06亿</t>
  </si>
  <si>
    <t>2.29亿</t>
  </si>
  <si>
    <t>SH603060</t>
  </si>
  <si>
    <t>国检集团</t>
  </si>
  <si>
    <t>14.73亿</t>
  </si>
  <si>
    <t>2.31亿</t>
  </si>
  <si>
    <t>1.44亿</t>
  </si>
  <si>
    <t>11.32亿</t>
  </si>
  <si>
    <t>9.85亿</t>
  </si>
  <si>
    <t>2.01亿</t>
  </si>
  <si>
    <t>SH603183</t>
  </si>
  <si>
    <t>建研院</t>
  </si>
  <si>
    <t>7.86亿</t>
  </si>
  <si>
    <t>6.11亿</t>
  </si>
  <si>
    <t>8080.31万</t>
  </si>
  <si>
    <t>6459.58万</t>
  </si>
  <si>
    <t>1.2021年预计非经常性损益对公司净利润的影响额约为10,000万元，主要是报告期收到多项政府补助及理财收益，上年同期非经常性损益为9,830.69万元</t>
    <phoneticPr fontId="1" type="noConversion"/>
  </si>
  <si>
    <t>流通股本</t>
  </si>
  <si>
    <t>净利润[20201231]</t>
  </si>
  <si>
    <t>投入资本回报率roic%[20201231]</t>
  </si>
  <si>
    <t>净资产收益率%[20201231]</t>
  </si>
  <si>
    <t>1.30亿</t>
  </si>
  <si>
    <t>3.45亿</t>
  </si>
  <si>
    <t>2.81亿</t>
  </si>
  <si>
    <t>318.33万</t>
  </si>
  <si>
    <t>22.47亿</t>
  </si>
  <si>
    <t>6425.18万</t>
  </si>
  <si>
    <t>43.29亿</t>
  </si>
  <si>
    <t>7.46亿</t>
  </si>
  <si>
    <t>3.61亿</t>
  </si>
  <si>
    <t>8.63亿</t>
  </si>
  <si>
    <t>1.93亿</t>
  </si>
  <si>
    <t>15.02亿</t>
  </si>
  <si>
    <t>4.73亿</t>
  </si>
  <si>
    <t>1025.60万</t>
  </si>
  <si>
    <t>70.10亿</t>
  </si>
  <si>
    <t>米奥会展</t>
  </si>
  <si>
    <t>-5764.50万</t>
  </si>
  <si>
    <t>8419.20万</t>
  </si>
  <si>
    <t>9216.42万</t>
  </si>
  <si>
    <t>20.07亿</t>
  </si>
  <si>
    <t>3.95亿</t>
  </si>
  <si>
    <t>8005.57万</t>
  </si>
  <si>
    <t>8711.97万</t>
  </si>
  <si>
    <t>SZ301169</t>
  </si>
  <si>
    <t>零点有数</t>
  </si>
  <si>
    <t>3.91亿</t>
  </si>
  <si>
    <t>4461.50万</t>
  </si>
  <si>
    <t>3.78亿</t>
  </si>
  <si>
    <t>3.81亿</t>
  </si>
  <si>
    <t>5075.77万</t>
  </si>
  <si>
    <t>3734.93万</t>
  </si>
  <si>
    <t>3576.14万</t>
  </si>
  <si>
    <t>SZ301228</t>
  </si>
  <si>
    <t>实朴检测</t>
  </si>
  <si>
    <t>5043.22万</t>
  </si>
  <si>
    <t>3.60亿</t>
  </si>
  <si>
    <t>4781.79万</t>
  </si>
  <si>
    <t>7032.88万</t>
  </si>
  <si>
    <t>2329.45万</t>
  </si>
  <si>
    <t>15.15亿</t>
  </si>
  <si>
    <t>5491.97万</t>
  </si>
  <si>
    <t>外服控股</t>
  </si>
  <si>
    <t>114.54亿</t>
  </si>
  <si>
    <t>5.32亿</t>
  </si>
  <si>
    <t>218.76亿</t>
  </si>
  <si>
    <t>4.93亿</t>
  </si>
  <si>
    <t>9.25亿</t>
  </si>
  <si>
    <t>22.17亿</t>
  </si>
  <si>
    <t>9.03亿</t>
  </si>
  <si>
    <t xml:space="preserve">    名称</t>
  </si>
  <si>
    <t>净利润?</t>
  </si>
  <si>
    <t>研发费用总额[20220630]</t>
  </si>
  <si>
    <t>扣非净利润</t>
  </si>
  <si>
    <t>营业总收入[20201231]</t>
  </si>
  <si>
    <t>投入资本回报率roic%[20211231]</t>
  </si>
  <si>
    <t>净资产收益率%[20211231]</t>
  </si>
  <si>
    <t>单季营收增速</t>
  </si>
  <si>
    <t>单季利润增速</t>
  </si>
  <si>
    <t>扭亏</t>
  </si>
  <si>
    <t>力盛体育</t>
  </si>
  <si>
    <t>1.32亿</t>
  </si>
  <si>
    <t>1-1</t>
  </si>
  <si>
    <t>9.06亿</t>
  </si>
  <si>
    <t>SZ301289</t>
  </si>
  <si>
    <t>国缆检测</t>
  </si>
  <si>
    <t>7321.47万</t>
  </si>
  <si>
    <t>5567.69万</t>
  </si>
  <si>
    <t>5386.05万</t>
  </si>
  <si>
    <t>5603.47万</t>
  </si>
  <si>
    <t>SZ301306</t>
  </si>
  <si>
    <t>西测测试</t>
  </si>
  <si>
    <t>2.46亿</t>
  </si>
  <si>
    <t>2.02亿</t>
  </si>
  <si>
    <t>4972.34万</t>
  </si>
  <si>
    <t>3335.77万</t>
  </si>
  <si>
    <t>1532.26万</t>
  </si>
  <si>
    <t/>
  </si>
  <si>
    <r>
      <t>1.问：公司如何防止竞争对手在</t>
    </r>
    <r>
      <rPr>
        <b/>
        <sz val="9"/>
        <color rgb="FFFF0000"/>
        <rFont val="宋体"/>
        <family val="3"/>
        <charset val="134"/>
        <scheme val="minor"/>
      </rPr>
      <t>选址上形成的竞争</t>
    </r>
    <r>
      <rPr>
        <sz val="9"/>
        <color theme="1"/>
        <rFont val="宋体"/>
        <family val="2"/>
        <charset val="134"/>
        <scheme val="minor"/>
      </rPr>
      <t>？答：机动车检测行业普遍存在企业规模小、人才分散、技术分散、资源分散的特点，机动车检测行业亟待市场整合。机动车检测站选址需考虑的因素较多，包括市场需求与竞争情况、交通便利情况、建站规模与场地租金情况与产业配套情况等因素。自2018年切入机动车检测运营服务业务以来，公司已积累了机动车检测站运营管理经验。公司在充分考虑上述因素的前提下，对单站的建设可行性进行审慎分析，谨慎选址，并明确具体实施场地并推进场地租赁、建筑安装等环节</t>
    </r>
    <phoneticPr fontId="1" type="noConversion"/>
  </si>
  <si>
    <r>
      <t>1.问：每家检测站的功能和定位是有差异的吗？答：检测站一般包括：（1）安检系统，主要检测机动车行驶安全性项目，包括车辆外观、底盘、制动、侧滑、灯光、车速表、轮重等方面的检测；（2）环检系统，采用工况法等方法检测机动车行驶尾气污染物排放情况；（3）综检系统，检测营运车辆的安全、燃油经济性、动力性能等，除包括安全性项目之外，还包括底盘输出功率、燃油消耗量、滑行距离、悬架特性、车轮动不平衡量、前轮定位参数、转向轮最大转角、发动机综合参数、客车防雨密封性等。；2.研发项目里：</t>
    </r>
    <r>
      <rPr>
        <b/>
        <sz val="9"/>
        <color theme="1"/>
        <rFont val="宋体"/>
        <family val="3"/>
        <charset val="134"/>
        <scheme val="minor"/>
      </rPr>
      <t>新能源汽车换电站运营平台研究开发项目，汽车 ADAS 标定测试仪研究开发项目，基于智能网联汽车的OTA安全测试仪研究开发项目，机动车检测数据建模分析及监管研发系统，新能源电动汽车安全性能检测研究开发项目</t>
    </r>
    <phoneticPr fontId="1" type="noConversion"/>
  </si>
  <si>
    <r>
      <t>1.2019年底上市；2.问：1、公司通常一季度业绩数据表现不佳，而在三、四季度才集中体现的原因是什么？答：导致公司</t>
    </r>
    <r>
      <rPr>
        <b/>
        <sz val="9"/>
        <color theme="1"/>
        <rFont val="宋体"/>
        <family val="3"/>
        <charset val="134"/>
        <scheme val="minor"/>
      </rPr>
      <t>销售收入季节性波动较大的主要原因是客户结构差异</t>
    </r>
    <r>
      <rPr>
        <sz val="9"/>
        <color theme="1"/>
        <rFont val="宋体"/>
        <family val="2"/>
        <charset val="134"/>
        <scheme val="minor"/>
      </rPr>
      <t>。公司</t>
    </r>
    <r>
      <rPr>
        <sz val="9"/>
        <color rgb="FFFF0000"/>
        <rFont val="宋体"/>
        <family val="3"/>
        <charset val="134"/>
        <scheme val="minor"/>
      </rPr>
      <t>主要客户为大型装备企业、乘用车整车制造企业、电子电器设备制造企业以及政府部门</t>
    </r>
    <r>
      <rPr>
        <sz val="9"/>
        <color theme="1"/>
        <rFont val="宋体"/>
        <family val="2"/>
        <charset val="134"/>
        <scheme val="minor"/>
      </rPr>
      <t>等，这些客户一般在上半年进行采购立项、履行招标等程序，因此大额订单多在上半年完成签订，而由于检测业务周期较长，实际合同履行完成时间基本集中在下半年，导致公司四季度收入明显提升。公司销售收入具有各季度的不均衡性，而费用发生则相对均衡，导致公司上半年营业收入及利润较低，存在季节性波动；3.问：公司环保和食品业务板块毛利率较低的原因是什么？答：公司环保和食品业务板块是公司后期培育的化学类业务板块。首先，公司的起家业务类型是以物理类为主，而化学类业务是后期培育的业务，其次，公司环保和食品业务板块在业务结构方面也与同行机构有所差异;</t>
    </r>
    <phoneticPr fontId="1" type="noConversion"/>
  </si>
  <si>
    <t>公司主营业务为建筑及装饰装修材料、建设工程（含水利工程、轨道交通）、环境安全、食品及农产品、新材料等检验领域。
市值91.42亿，利润2.53亿，pe38.29，pb5.86；毛利45.24%，净利18.9；2021营收增50%，利润增9.5%；2022Q1营收增15%,利润增-99%；过往5年营收增28%，利润增17.5%；
2021：
检验检测 15.71亿 70.88% 75.71% 47.61%
检测仪器与智能制造 3.71亿 16.74% 11.71% 31.18%
科研及技术服务 1.64亿 7.39% 7.06% 42.61%
认证服务 9313.43万 4.20% 4.41% 46.76%
计量校准服务 1320.17万 0.60% 0.86% 64.41%
其他业务 450.05万 0.20% 0.25% 55.44%</t>
    <phoneticPr fontId="1" type="noConversion"/>
  </si>
  <si>
    <t>1.2022年第一季度，公司实现营业收入40,842.08万元，较去年同期增加5,363.98万元，增幅为15.12%，虽有增长但未达预期，利润端表现不尽理想，实现利润总额-3,109.09万元，较去年同期减少1,496.51万元。主要原因：第一，工程检测业务，公司对房地产业务的客户进行了主动选择和调整，将寻求更多优质的地产商作为技术服务对象，同时业务领域向既有房屋灾害普查及水利交通等公共服务设施建设转型；第二，食品农产品及环境板块，公司进行了大量市场推广工作，但受到国内疫情多点散发的影响，业绩未达预期；第三个原因是股权激励、利息支出等成本费用的增加。</t>
    <phoneticPr fontId="1" type="noConversion"/>
  </si>
  <si>
    <t>公司主要从事可靠性检测、理化检测、电磁兼容检测和产品安全检测等检测服务。电子电气产品检测属于公司传统业务，主要包括电磁兼容（EMC）、产品安全（SAFETY）、有毒有害物质和环境可靠性四大类检测业务。日用消费品领域，公司主要为玩具、鞋材、服装、纺织品、皮革、食品及食品接触材料等领域提供物理、化学性能的检测认证服务。在新能源领域，公司主要为光伏产品、电池、充电桩等新能源产品提供检测服务。
市值38.18亿，利润8005万，pe42.21，pb3.67；毛利60.6%，净利22.23%；2021营收增37.6%，利润增32.8%；2022Q1营收增49.6%,利润增87%；过往5年营收增16.38%，利润增20.4%；
2021：
技术服务业 3.61亿 91.36% 93.63% 60.11%
试验机制造业 3409.89万 8.64% 6.37% 43.22%</t>
    <phoneticPr fontId="1" type="noConversion"/>
  </si>
  <si>
    <r>
      <t>1.公司一季度生产经营同比上年同期稳定增长。目前公司生产经营情况稳中求进，在优势检测业务类型电子电气领域与汽车领域有良好增长，正积极努力开拓食品、农产品、环境等检测领域的业务;2.问：公司认为检测行业目前下游需求和市场竞争情况如何答：汽车领域检测业务主要包括</t>
    </r>
    <r>
      <rPr>
        <sz val="9"/>
        <color rgb="FFFF0000"/>
        <rFont val="宋体"/>
        <family val="3"/>
        <charset val="134"/>
        <scheme val="minor"/>
      </rPr>
      <t>可靠性检测、理化检测和电磁兼容检测等</t>
    </r>
    <r>
      <rPr>
        <sz val="9"/>
        <color theme="1"/>
        <rFont val="宋体"/>
        <family val="2"/>
        <charset val="134"/>
        <scheme val="minor"/>
      </rPr>
      <t>。近年来，我国汽车行业已经进入成熟期，行业规模庞大。我国汽车行业研发投入保持持续较快增长，汽车领域检测行业受益于汽车行业研发投入增长和新能源汽车快速增长，进入持续发展阶段。电子电气产品领域中，检测业务主要涵盖产品的电磁兼容、产品安全、理化检测等。我国电子电气产品销量增速有所放缓，但5G时代将带来新一轮电子电器的革新，推动电子电气产品检测业务保持较快速度发展。</t>
    </r>
    <phoneticPr fontId="1" type="noConversion"/>
  </si>
  <si>
    <t>1.检测行业中，下游客户对检测机构的服务半径有一定要求，检测实验室与客户距离较近可以有效节约各方物流、时间成本。</t>
    <phoneticPr fontId="1" type="noConversion"/>
  </si>
  <si>
    <t>1.生命科学板块实现营业收入20.87亿元，同比增长17.09%。2021年公司的环境检测业务营业收入保持稳定，毛利率稳步提高；食品检测中化妆品功效测试和宠物食品检测两个细分领域增速较快，食品检测增速快于公司整体增速。医药及医学服务板块受益于国内制药行业的蓬勃发展，实现营业收入3.69亿元，同比增长78.13%。贸易保障板块拓展了海关进出口货物消毒及环境消毒服务，实现营业收入5.74亿元，同比增长19.58%。消费品测试板块的车载电子产品可靠性、汽车电子EMC方面取得较大的成效，实现营业收入4.95亿元，同比增长23.27%。工业测试板块，计量业务继续对实验室进行能力扩充，建工领域进一步加强轨道交通、阻燃测试的团队及能力，实现营业收入8.03亿元，同比增长15.40%。</t>
    <phoneticPr fontId="1" type="noConversion"/>
  </si>
  <si>
    <t>LY营业总收入[20211231]</t>
  </si>
  <si>
    <t>权益乘数[20220630]</t>
  </si>
  <si>
    <t>总资产周转率[20220630]</t>
  </si>
  <si>
    <t>净利润／营业总收入%[20220630]</t>
  </si>
  <si>
    <t>营业总成本[20220630]</t>
  </si>
  <si>
    <t>营业成本[20220630]</t>
  </si>
  <si>
    <t>管理费用[20220630]</t>
  </si>
  <si>
    <t>细分行业</t>
  </si>
  <si>
    <t>扣非对比净利润</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</si>
  <si>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</si>
  <si>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</si>
  <si>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</si>
  <si>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</si>
  <si>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</si>
  <si>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</si>
  <si>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</si>
  <si>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</si>
  <si>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成交量综合策略</t>
    <phoneticPr fontId="1" type="noConversion"/>
  </si>
  <si>
    <t>综合策略</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</si>
  <si>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</si>
  <si>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</si>
  <si>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</si>
  <si>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</si>
  <si>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价格箱体形态过滤</t>
    <phoneticPr fontId="1" type="noConversion"/>
  </si>
  <si>
    <t>价格右侧初期策略</t>
    <phoneticPr fontId="1" type="noConversion"/>
  </si>
  <si>
    <t>N日期</t>
    <phoneticPr fontId="1" type="noConversion"/>
  </si>
  <si>
    <t>N-2</t>
    <phoneticPr fontId="1" type="noConversion"/>
  </si>
  <si>
    <t>N-1</t>
    <phoneticPr fontId="1" type="noConversion"/>
  </si>
  <si>
    <t>1.61亿</t>
  </si>
  <si>
    <t>4.00亿</t>
  </si>
  <si>
    <t>1.68亿</t>
  </si>
  <si>
    <t>体育</t>
  </si>
  <si>
    <t>1.09亿</t>
  </si>
  <si>
    <t>2.04亿</t>
  </si>
  <si>
    <t>1.14亿</t>
  </si>
  <si>
    <t>SZ301115</t>
  </si>
  <si>
    <t>10.96亿</t>
  </si>
  <si>
    <t>7.71亿</t>
  </si>
  <si>
    <t>6.56亿</t>
  </si>
  <si>
    <t>5.61亿</t>
  </si>
  <si>
    <t>7951.72万</t>
  </si>
  <si>
    <t>2015.75万</t>
  </si>
  <si>
    <t>1.79亿</t>
  </si>
  <si>
    <t>1.73亿</t>
  </si>
  <si>
    <t>建科股份</t>
  </si>
  <si>
    <t>1.31亿</t>
  </si>
  <si>
    <t>2.38亿</t>
  </si>
  <si>
    <t>9.95亿</t>
  </si>
  <si>
    <t>2.10亿</t>
  </si>
  <si>
    <t>7.45亿</t>
  </si>
  <si>
    <t>7.78万</t>
  </si>
  <si>
    <t>6.26亿</t>
  </si>
  <si>
    <t>1.13亿</t>
  </si>
  <si>
    <t>3-1</t>
  </si>
  <si>
    <t>2.09亿</t>
  </si>
  <si>
    <t>7.35亿</t>
  </si>
  <si>
    <t>1.41亿</t>
  </si>
  <si>
    <t>1.19亿</t>
  </si>
  <si>
    <t>4.87亿</t>
  </si>
  <si>
    <t>-5620.22万</t>
  </si>
  <si>
    <t>3.22亿</t>
  </si>
  <si>
    <t>8.84亿</t>
  </si>
  <si>
    <r>
      <t>1.</t>
    </r>
    <r>
      <rPr>
        <sz val="9"/>
        <color rgb="FFFF0000"/>
        <rFont val="宋体"/>
        <family val="3"/>
        <charset val="134"/>
        <scheme val="minor"/>
      </rPr>
      <t>国家体育总局</t>
    </r>
    <r>
      <rPr>
        <sz val="9"/>
        <color theme="1"/>
        <rFont val="宋体"/>
        <family val="2"/>
        <charset val="134"/>
        <scheme val="minor"/>
      </rPr>
      <t>为实控人，20%份额。</t>
    </r>
    <phoneticPr fontId="1" type="noConversion"/>
  </si>
  <si>
    <r>
      <t>1.公司业务分为</t>
    </r>
    <r>
      <rPr>
        <sz val="9"/>
        <color rgb="FFFF0000"/>
        <rFont val="宋体"/>
        <family val="3"/>
        <charset val="134"/>
        <scheme val="minor"/>
      </rPr>
      <t>空间、IP、数字化三大板块</t>
    </r>
    <r>
      <rPr>
        <sz val="9"/>
        <color theme="1"/>
        <rFont val="宋体"/>
        <family val="2"/>
        <charset val="134"/>
        <scheme val="minor"/>
      </rPr>
      <t>。空间业务包括赛车场馆经营、赛卡联盟卡丁车场馆业务及综合场馆业务；IP业务涵盖赛事运营、赛车俱乐部运营、技术研发/服务、培训、用品销售等业务。数字化业务作为公司的战略布局，以打造全民健身服务的数字化平台为目标，通过推动广大市民积极、科学的参与运动，构建全民健身的激励与服务平台，实现产业化发展；加大与行业的合作，重点投入人工智能及物联网技术研发，将运动行为数字化、运动设备数字化、运动空间数字化作为基础，为客户提供全方位、多维度的线上+线下运动服务。</t>
    </r>
    <phoneticPr fontId="1" type="noConversion"/>
  </si>
  <si>
    <r>
      <t>1.问：市场上其实还有一些其他竞品也在做类似的事情，它们是什么情况？答：公司有拥有一个</t>
    </r>
    <r>
      <rPr>
        <b/>
        <sz val="9"/>
        <color rgb="FFFF0000"/>
        <rFont val="宋体"/>
        <family val="3"/>
        <charset val="134"/>
        <scheme val="minor"/>
      </rPr>
      <t>完整的运动银行闭环在推广和落地</t>
    </r>
    <r>
      <rPr>
        <sz val="9"/>
        <color theme="1"/>
        <rFont val="宋体"/>
        <family val="2"/>
        <charset val="134"/>
        <scheme val="minor"/>
      </rPr>
      <t>。我们在市场选择体育类App作为数据载体时，注重App更适合去做运动银行。悦动圈的优势：1）悦动圈它拥有服务大型的企事业单位的经验，有ToB业务能力的基因；2）悦动圈的财务状况比较良好，是一家盈利的公司；3）悦动圈的创始人拥有很好的技术背景，对产品有很高的要求，对领先的技术有很高的敏锐度，</t>
    </r>
    <r>
      <rPr>
        <sz val="9"/>
        <color rgb="FFFF0000"/>
        <rFont val="宋体"/>
        <family val="3"/>
        <charset val="134"/>
        <scheme val="minor"/>
      </rPr>
      <t>悦动圈是较早做AI研发投入的平台</t>
    </r>
    <r>
      <rPr>
        <sz val="9"/>
        <color theme="1"/>
        <rFont val="宋体"/>
        <family val="2"/>
        <charset val="134"/>
        <scheme val="minor"/>
      </rPr>
      <t>，在技术上有领先优势。</t>
    </r>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</si>
  <si>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</si>
  <si>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</si>
  <si>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</si>
  <si>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</si>
  <si>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</si>
  <si>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</si>
  <si>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</si>
  <si>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</si>
  <si>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</si>
  <si>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</si>
  <si>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</si>
  <si>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</si>
  <si>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</si>
  <si>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</si>
  <si>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</si>
  <si>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</si>
  <si>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</si>
  <si>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</si>
  <si>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</si>
  <si>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</si>
  <si>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</si>
  <si>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</si>
  <si>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</si>
  <si>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</si>
  <si>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</si>
  <si>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</si>
  <si>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</si>
  <si>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</si>
  <si>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</si>
  <si>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</si>
  <si>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</si>
  <si>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</si>
  <si>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</si>
  <si>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股利率</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</si>
  <si>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</si>
  <si>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</si>
  <si>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</si>
  <si>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</si>
  <si>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</si>
  <si>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</si>
  <si>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</si>
  <si>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</si>
  <si>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</si>
  <si>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</si>
  <si>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</si>
  <si>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</si>
  <si>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</si>
  <si>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量价齐升策略</t>
    <phoneticPr fontId="1" type="noConversion"/>
  </si>
  <si>
    <t>基本面排序</t>
    <phoneticPr fontId="1" type="noConversion"/>
  </si>
  <si>
    <t>机会区域号</t>
    <phoneticPr fontId="1" type="noConversion"/>
  </si>
  <si>
    <t>成交量异动策略</t>
    <phoneticPr fontId="1" type="noConversion"/>
  </si>
  <si>
    <t>N-4</t>
    <phoneticPr fontId="1" type="noConversion"/>
  </si>
  <si>
    <t>N-3</t>
    <phoneticPr fontId="1" type="noConversion"/>
  </si>
  <si>
    <t>N</t>
    <phoneticPr fontId="1" type="noConversion"/>
  </si>
  <si>
    <t>不分配不转增</t>
  </si>
  <si>
    <t>10派1.5元(含税)</t>
  </si>
  <si>
    <t>10派0.6元(含税)</t>
  </si>
  <si>
    <t>2.50亿</t>
  </si>
  <si>
    <t>3.62亿</t>
  </si>
  <si>
    <t>SZ002057</t>
  </si>
  <si>
    <t>中钢天源</t>
  </si>
  <si>
    <t>27.62亿</t>
  </si>
  <si>
    <t>3.90亿</t>
  </si>
  <si>
    <t>3.74亿</t>
  </si>
  <si>
    <t>3.04亿</t>
  </si>
  <si>
    <t>1.94亿</t>
  </si>
  <si>
    <t>26.14亿</t>
  </si>
  <si>
    <t>16.72亿</t>
  </si>
  <si>
    <t>13.81亿</t>
  </si>
  <si>
    <t>12.79亿</t>
  </si>
  <si>
    <t>2.16亿</t>
  </si>
  <si>
    <t>1.37亿</t>
  </si>
  <si>
    <t>26.04亿</t>
  </si>
  <si>
    <t>1.45亿</t>
  </si>
  <si>
    <t>3.66亿</t>
  </si>
  <si>
    <t>-1-0</t>
  </si>
  <si>
    <t>1.56亿</t>
  </si>
  <si>
    <t>6900.92万</t>
  </si>
  <si>
    <t>1.11亿</t>
  </si>
  <si>
    <t>51.31亿</t>
  </si>
  <si>
    <t>4.05亿</t>
  </si>
  <si>
    <t>6.53亿</t>
  </si>
  <si>
    <t>3312.29万</t>
  </si>
  <si>
    <t>3.20亿</t>
  </si>
  <si>
    <t>18.05亿</t>
  </si>
  <si>
    <t>1.12亿</t>
  </si>
  <si>
    <t>-1-1</t>
  </si>
  <si>
    <t>4.48亿</t>
  </si>
  <si>
    <t>-3140.55万</t>
  </si>
  <si>
    <t>2.12亿</t>
  </si>
  <si>
    <t>2.57亿</t>
  </si>
  <si>
    <t>90.92亿</t>
  </si>
  <si>
    <t>2.91亿</t>
  </si>
  <si>
    <t>3.35亿</t>
  </si>
  <si>
    <t>3.48亿</t>
  </si>
  <si>
    <t>5038.50万</t>
  </si>
  <si>
    <t>2.24亿</t>
  </si>
  <si>
    <t>6.77亿</t>
  </si>
  <si>
    <t>8.15亿</t>
  </si>
  <si>
    <t>5.76亿</t>
  </si>
  <si>
    <t>4.77亿</t>
  </si>
  <si>
    <t>1471.45万</t>
  </si>
  <si>
    <t>1.99亿</t>
  </si>
  <si>
    <t>37.62亿</t>
  </si>
  <si>
    <t>3.21亿</t>
  </si>
  <si>
    <t>5.45亿</t>
  </si>
  <si>
    <t>11.52亿</t>
  </si>
  <si>
    <t>7.54亿</t>
  </si>
  <si>
    <t>10派3.5元(含税)</t>
  </si>
  <si>
    <t>3.25亿</t>
  </si>
  <si>
    <t>-1057.64万</t>
  </si>
  <si>
    <t>3.51亿</t>
  </si>
  <si>
    <t>1.75亿</t>
  </si>
  <si>
    <t>2.11亿</t>
  </si>
  <si>
    <t>7360.85万</t>
  </si>
  <si>
    <t>6466.72万</t>
  </si>
  <si>
    <t>6704.78万</t>
  </si>
  <si>
    <t>SZ301508</t>
  </si>
  <si>
    <t>中机认检</t>
  </si>
  <si>
    <t>4.45亿</t>
  </si>
  <si>
    <t>6.38亿</t>
  </si>
  <si>
    <t>40.49亿</t>
  </si>
  <si>
    <t>33.33亿</t>
  </si>
  <si>
    <t>9.93亿</t>
  </si>
  <si>
    <t>14.31亿</t>
  </si>
  <si>
    <t>1164.80万</t>
  </si>
  <si>
    <t>10.26亿</t>
  </si>
  <si>
    <t>4197.45万</t>
  </si>
  <si>
    <t>3136.20万</t>
  </si>
  <si>
    <t>23594696亿</t>
  </si>
  <si>
    <t>11.67万</t>
  </si>
  <si>
    <t>-37403105亿</t>
  </si>
  <si>
    <t>25.41亿</t>
  </si>
  <si>
    <t>199510230亿</t>
  </si>
  <si>
    <t>6038864400亿</t>
  </si>
  <si>
    <t>5400.00万</t>
  </si>
  <si>
    <t>850.15万</t>
  </si>
  <si>
    <t>37.76亿</t>
  </si>
  <si>
    <t>-1.87亿</t>
  </si>
  <si>
    <t>-1202.11万</t>
  </si>
  <si>
    <t>-8441.52万</t>
  </si>
  <si>
    <t>8.32亿</t>
  </si>
  <si>
    <t>-4900.12万</t>
  </si>
  <si>
    <t>-4257.64万</t>
  </si>
  <si>
    <t>10派0.04元(含税)</t>
  </si>
  <si>
    <t>SH600654</t>
  </si>
  <si>
    <t>25.42亿</t>
  </si>
  <si>
    <t>-3.36亿</t>
  </si>
  <si>
    <t>7.16亿</t>
  </si>
  <si>
    <t>13.72万</t>
  </si>
  <si>
    <t>1.53亿</t>
  </si>
  <si>
    <t>25.20亿</t>
  </si>
  <si>
    <t>30.14亿</t>
  </si>
  <si>
    <t>28.94亿</t>
  </si>
  <si>
    <t>36.26亿</t>
  </si>
  <si>
    <t>-14.96亿</t>
  </si>
  <si>
    <t>-1.82亿</t>
  </si>
  <si>
    <t>6685.75万</t>
  </si>
  <si>
    <t>-19.81亿</t>
  </si>
  <si>
    <t>-7.35亿</t>
  </si>
  <si>
    <t>146.64亿</t>
  </si>
  <si>
    <t>7.73亿</t>
  </si>
  <si>
    <t>SH600861</t>
  </si>
  <si>
    <t>北京人力</t>
  </si>
  <si>
    <t>6.97亿</t>
  </si>
  <si>
    <t>7.04亿</t>
  </si>
  <si>
    <t>21.56亿</t>
  </si>
  <si>
    <t>19.19亿</t>
  </si>
  <si>
    <t>-6354.92万</t>
  </si>
  <si>
    <t>-7439.95万</t>
  </si>
  <si>
    <t>989.01万</t>
  </si>
  <si>
    <t>4044.07万</t>
  </si>
  <si>
    <t>2.25亿</t>
  </si>
  <si>
    <t>24.28亿</t>
  </si>
  <si>
    <t>1.95亿</t>
  </si>
  <si>
    <t>SH603373</t>
  </si>
  <si>
    <t>安邦护卫</t>
  </si>
  <si>
    <t>23.79亿</t>
  </si>
  <si>
    <t>SH688334</t>
  </si>
  <si>
    <t>西高院</t>
  </si>
  <si>
    <t>5.21亿</t>
  </si>
  <si>
    <t>4.47亿</t>
  </si>
  <si>
    <t>8155.85万</t>
  </si>
  <si>
    <t>6511.99万</t>
  </si>
  <si>
    <t>9501.40万</t>
  </si>
  <si>
    <t>2.45亿</t>
  </si>
  <si>
    <t>1.76亿</t>
  </si>
  <si>
    <t>3.37亿</t>
  </si>
  <si>
    <t>2.52亿</t>
  </si>
  <si>
    <t>-2-1</t>
  </si>
  <si>
    <r>
      <t>1.谱尼测试从不安于现状，早已从最初 的单一性检测公司，逐步发展成为</t>
    </r>
    <r>
      <rPr>
        <sz val="9"/>
        <color rgb="FFFF0000"/>
        <rFont val="宋体"/>
        <family val="3"/>
        <charset val="134"/>
        <scheme val="minor"/>
      </rPr>
      <t>国内头部的综合性第三方</t>
    </r>
    <r>
      <rPr>
        <sz val="9"/>
        <color theme="1"/>
        <rFont val="宋体"/>
        <family val="2"/>
        <charset val="134"/>
        <scheme val="minor"/>
      </rPr>
      <t>检测企业；2.在</t>
    </r>
    <r>
      <rPr>
        <b/>
        <sz val="9"/>
        <color rgb="FFFF0000"/>
        <rFont val="宋体"/>
        <family val="3"/>
        <charset val="134"/>
        <scheme val="minor"/>
      </rPr>
      <t>低空飞行器检测</t>
    </r>
    <r>
      <rPr>
        <sz val="9"/>
        <color theme="1"/>
        <rFont val="宋体"/>
        <family val="2"/>
        <charset val="134"/>
        <scheme val="minor"/>
      </rPr>
      <t>领域，公司目前可为客户提供气候环境、力学环境、生物及化学环境、综合环境、电磁兼容试验、电子电气有害物质检测等服务。</t>
    </r>
    <phoneticPr fontId="1" type="noConversion"/>
  </si>
  <si>
    <r>
      <t>0.广州市人民政府国资委为实控人；</t>
    </r>
    <r>
      <rPr>
        <sz val="9"/>
        <color theme="1"/>
        <rFont val="宋体"/>
        <family val="2"/>
        <charset val="134"/>
        <scheme val="minor"/>
      </rPr>
      <t>1.公司下游客户分布较广，近年公司在特殊行业、汽车、航空航天、通信等检测领域投入相对较快，这些检测领域对公司整体业绩的贡献也较为突出；2.公司在可靠性与环境试验业务具备较大优势，另外在电磁兼容检测业务是公司重点打造的核心业务板块之一，其优势和可靠性与环境试验业务优势相似；3.公司以物理类检测为主，物理类检测营收占比高;公司</t>
    </r>
    <r>
      <rPr>
        <sz val="9"/>
        <color rgb="FFFF0000"/>
        <rFont val="宋体"/>
        <family val="3"/>
        <charset val="134"/>
        <scheme val="minor"/>
      </rPr>
      <t>物理类检测毛利率较高</t>
    </r>
    <r>
      <rPr>
        <sz val="9"/>
        <color theme="1"/>
        <rFont val="宋体"/>
        <family val="2"/>
        <charset val="134"/>
        <scheme val="minor"/>
      </rPr>
      <t>，化学检测板块毛利率水平提升空间大。</t>
    </r>
    <phoneticPr fontId="1" type="noConversion"/>
  </si>
  <si>
    <r>
      <t>0.</t>
    </r>
    <r>
      <rPr>
        <sz val="9"/>
        <color rgb="FFFF0000"/>
        <rFont val="宋体"/>
        <family val="3"/>
        <charset val="134"/>
        <scheme val="minor"/>
      </rPr>
      <t>食品检测、环境检测</t>
    </r>
    <r>
      <rPr>
        <sz val="9"/>
        <color theme="1"/>
        <rFont val="宋体"/>
        <family val="2"/>
        <charset val="134"/>
        <scheme val="minor"/>
      </rPr>
      <t>占公司营业收入的 41%和37%。同时，</t>
    </r>
    <r>
      <rPr>
        <sz val="9"/>
        <color rgb="FFFF0000"/>
        <rFont val="宋体"/>
        <family val="3"/>
        <charset val="134"/>
        <scheme val="minor"/>
      </rPr>
      <t>生物医药、汽车、日用化工品</t>
    </r>
    <r>
      <rPr>
        <sz val="9"/>
        <color theme="1"/>
        <rFont val="宋体"/>
        <family val="2"/>
        <charset val="134"/>
        <scheme val="minor"/>
      </rPr>
      <t>等行业逐渐发力，占比16%。1.谱尼测试以化学检测为主，人力成本占比较高，与以物理检测为主的公司具有明显的差异。2.预计年报业绩：</t>
    </r>
    <r>
      <rPr>
        <b/>
        <sz val="9"/>
        <color rgb="FFFF0000"/>
        <rFont val="宋体"/>
        <family val="3"/>
        <charset val="134"/>
        <scheme val="minor"/>
      </rPr>
      <t>净利润9624万元至1.283亿元，下降幅度为-70.00%至-60.00%;</t>
    </r>
    <r>
      <rPr>
        <sz val="9"/>
        <color theme="1"/>
        <rFont val="宋体"/>
        <family val="2"/>
        <charset val="134"/>
        <scheme val="minor"/>
      </rPr>
      <t>原因：</t>
    </r>
    <r>
      <rPr>
        <sz val="9"/>
        <color theme="1"/>
        <rFont val="宋体"/>
        <family val="3"/>
        <charset val="134"/>
        <scheme val="minor"/>
      </rPr>
      <t>a.</t>
    </r>
    <r>
      <rPr>
        <sz val="9"/>
        <color theme="1"/>
        <rFont val="宋体"/>
        <family val="2"/>
        <charset val="134"/>
        <scheme val="minor"/>
      </rPr>
      <t>报告期内，公司医学感染类业务的需求下降，相关业务收入较去年同期大幅下降</t>
    </r>
    <r>
      <rPr>
        <sz val="9"/>
        <color theme="1"/>
        <rFont val="宋体"/>
        <family val="3"/>
        <charset val="134"/>
        <scheme val="minor"/>
      </rPr>
      <t>;b.</t>
    </r>
    <r>
      <rPr>
        <sz val="9"/>
        <color theme="1"/>
        <rFont val="宋体"/>
        <family val="2"/>
        <charset val="134"/>
        <scheme val="minor"/>
      </rPr>
      <t>报告期内，公司生物医药、新能源汽车、特殊行业检测领域建设投入比较大，市场开拓尚需要时间</t>
    </r>
    <r>
      <rPr>
        <sz val="9"/>
        <color theme="1"/>
        <rFont val="宋体"/>
        <family val="3"/>
        <charset val="134"/>
        <scheme val="minor"/>
      </rPr>
      <t>;c.</t>
    </r>
    <r>
      <rPr>
        <sz val="9"/>
        <color theme="1"/>
        <rFont val="宋体"/>
        <family val="2"/>
        <charset val="134"/>
        <scheme val="minor"/>
      </rPr>
      <t>报告期内，公司计提信用</t>
    </r>
    <r>
      <rPr>
        <sz val="9"/>
        <color rgb="FFFF0000"/>
        <rFont val="宋体"/>
        <family val="3"/>
        <charset val="134"/>
        <scheme val="minor"/>
      </rPr>
      <t>减值损失金额共计8,472万元</t>
    </r>
    <r>
      <rPr>
        <sz val="9"/>
        <color theme="1"/>
        <rFont val="宋体"/>
        <family val="2"/>
        <charset val="134"/>
        <scheme val="minor"/>
      </rPr>
      <t>;d.报告期内，公司计提</t>
    </r>
    <r>
      <rPr>
        <sz val="9"/>
        <color rgb="FFFF0000"/>
        <rFont val="宋体"/>
        <family val="3"/>
        <charset val="134"/>
        <scheme val="minor"/>
      </rPr>
      <t>资产减值损失金额共计5,868万元</t>
    </r>
    <r>
      <rPr>
        <sz val="9"/>
        <color theme="1"/>
        <rFont val="宋体"/>
        <family val="2"/>
        <charset val="134"/>
        <scheme val="minor"/>
      </rPr>
      <t>;e.报告期内，对医学检验资产进行处置，形成</t>
    </r>
    <r>
      <rPr>
        <sz val="9"/>
        <color rgb="FFFF0000"/>
        <rFont val="宋体"/>
        <family val="3"/>
        <charset val="134"/>
        <scheme val="minor"/>
      </rPr>
      <t>资产处置损失1,400万</t>
    </r>
    <r>
      <rPr>
        <sz val="9"/>
        <color theme="1"/>
        <rFont val="宋体"/>
        <family val="2"/>
        <charset val="134"/>
        <scheme val="minor"/>
      </rPr>
      <t>元.</t>
    </r>
    <phoneticPr fontId="1" type="noConversion"/>
  </si>
  <si>
    <r>
      <t>0.公司深耕试验设备板块六十余年，环境试验设备产品线丰富，主要包括</t>
    </r>
    <r>
      <rPr>
        <sz val="9"/>
        <color rgb="FFFF0000"/>
        <rFont val="宋体"/>
        <family val="3"/>
        <charset val="134"/>
        <scheme val="minor"/>
      </rPr>
      <t>力学环境试验设备、气候环境试验设备、综合环境试验设备</t>
    </r>
    <r>
      <rPr>
        <sz val="9"/>
        <color theme="1"/>
        <rFont val="宋体"/>
        <family val="3"/>
        <charset val="134"/>
        <scheme val="minor"/>
      </rPr>
      <t>等；公司所提供的的试验服务是以环境试验设备生产制造和研发优势为依托延 伸的业务，主要包括</t>
    </r>
    <r>
      <rPr>
        <sz val="9"/>
        <color rgb="FFFF0000"/>
        <rFont val="宋体"/>
        <family val="3"/>
        <charset val="134"/>
        <scheme val="minor"/>
      </rPr>
      <t>环境与可靠性试验服务、集成电路验证与分析服务、软件测评服务</t>
    </r>
    <r>
      <rPr>
        <sz val="9"/>
        <color theme="1"/>
        <rFont val="宋体"/>
        <family val="3"/>
        <charset val="134"/>
        <scheme val="minor"/>
      </rPr>
      <t>等。</t>
    </r>
    <r>
      <rPr>
        <sz val="9"/>
        <color theme="1"/>
        <rFont val="宋体"/>
        <family val="2"/>
        <charset val="134"/>
        <scheme val="minor"/>
      </rPr>
      <t>1.收购的主打芯片失效分析验证的苏试宜特成为期待的重点；2.预计年报业绩：净利润2.969亿元至3.239亿元，</t>
    </r>
    <r>
      <rPr>
        <sz val="9"/>
        <color rgb="FFFF0000"/>
        <rFont val="宋体"/>
        <family val="3"/>
        <charset val="134"/>
        <scheme val="minor"/>
      </rPr>
      <t>增长幅度为10.00%至20.00%</t>
    </r>
    <r>
      <rPr>
        <sz val="9"/>
        <color theme="1"/>
        <rFont val="宋体"/>
        <family val="2"/>
        <charset val="134"/>
        <scheme val="minor"/>
      </rPr>
      <t>.原因：1、报告期内，公司在“双轮驱动、制造与服务融合发展”的战略指引下，深入细分行业，继续加强专项能力建设，持续大力投入集成电路、新能源、宇航、通讯、医疗器械等领域，实现全年业绩持续增长。</t>
    </r>
    <phoneticPr fontId="1" type="noConversion"/>
  </si>
  <si>
    <t>-3-1</t>
  </si>
  <si>
    <t>1.02亿</t>
  </si>
  <si>
    <t>1-0</t>
  </si>
  <si>
    <t>3.93亿</t>
  </si>
  <si>
    <t>1.57亿</t>
  </si>
  <si>
    <t>2.23亿</t>
  </si>
  <si>
    <t>1985.66万</t>
  </si>
  <si>
    <t>9377.95万</t>
  </si>
  <si>
    <t>2.55亿</t>
  </si>
  <si>
    <t>-4-1</t>
  </si>
  <si>
    <r>
      <t>0.公司是国内力学振动试验设备龙头，技术水平领先同行，</t>
    </r>
    <r>
      <rPr>
        <sz val="9"/>
        <color rgb="FFFF0000"/>
        <rFont val="宋体"/>
        <family val="3"/>
        <charset val="134"/>
        <scheme val="minor"/>
      </rPr>
      <t>液压振动试验系统</t>
    </r>
    <r>
      <rPr>
        <sz val="9"/>
        <color theme="1"/>
        <rFont val="宋体"/>
        <family val="2"/>
        <charset val="134"/>
        <scheme val="minor"/>
      </rPr>
      <t>一直是公司在研制的产品之一，具有推力大、频率低的特点，主要应用于地震、桥梁、船舶等大型试验；1.问：公司新能源汽车领域发展及</t>
    </r>
    <r>
      <rPr>
        <sz val="9"/>
        <color rgb="FFFF0000"/>
        <rFont val="宋体"/>
        <family val="3"/>
        <charset val="134"/>
        <scheme val="minor"/>
      </rPr>
      <t>evtol领域布局</t>
    </r>
    <r>
      <rPr>
        <sz val="9"/>
        <color theme="1"/>
        <rFont val="宋体"/>
        <family val="2"/>
        <charset val="134"/>
        <scheme val="minor"/>
      </rPr>
      <t>情况答：公司新能源汽车检测主要是三电检测，专项检测能力将不断完善，基础技术是相通的，应用领域也将不断拓展。</t>
    </r>
    <phoneticPr fontId="1" type="noConversion"/>
  </si>
  <si>
    <t>483.03万</t>
  </si>
  <si>
    <t>18.33亿</t>
  </si>
  <si>
    <t>35.56亿</t>
  </si>
  <si>
    <t>6.08亿</t>
  </si>
  <si>
    <t>27.71亿</t>
  </si>
  <si>
    <t>2.75亿</t>
  </si>
  <si>
    <t>5.57亿</t>
  </si>
  <si>
    <t>1448.19万</t>
  </si>
  <si>
    <t>3948.63万</t>
  </si>
  <si>
    <t>-1517320亿</t>
  </si>
  <si>
    <t>43.36万</t>
  </si>
  <si>
    <t>45357557亿</t>
  </si>
  <si>
    <t>12.61亿</t>
  </si>
  <si>
    <t>1254084830亿</t>
  </si>
  <si>
    <t>3.32亿</t>
  </si>
  <si>
    <t>3459201100亿</t>
  </si>
  <si>
    <t>2.33亿</t>
  </si>
  <si>
    <t>2.63亿</t>
  </si>
  <si>
    <t>6.85亿</t>
  </si>
  <si>
    <t>15.79亿</t>
  </si>
  <si>
    <t>1.04亿</t>
  </si>
  <si>
    <t>-3857.35万</t>
  </si>
  <si>
    <t>-2700.79万</t>
  </si>
  <si>
    <t>72.66万</t>
  </si>
  <si>
    <t>6.07亿</t>
  </si>
  <si>
    <t>5614.06万</t>
  </si>
  <si>
    <t>10派1.81元(含税)</t>
  </si>
  <si>
    <t>3225.46万</t>
  </si>
  <si>
    <t>-2-0</t>
  </si>
  <si>
    <t>407.06万</t>
  </si>
  <si>
    <t>6.95亿</t>
  </si>
  <si>
    <t>-1.93亿</t>
  </si>
  <si>
    <t>8253.91万</t>
  </si>
  <si>
    <t>6801.29万</t>
  </si>
  <si>
    <t>282.88万</t>
  </si>
  <si>
    <t>924.93万</t>
  </si>
  <si>
    <t>643371亿</t>
  </si>
  <si>
    <t>10824011亿</t>
  </si>
  <si>
    <t>85005278亿</t>
  </si>
  <si>
    <t>580.09万</t>
  </si>
  <si>
    <t>500631760亿</t>
  </si>
  <si>
    <t>1434.91万</t>
  </si>
  <si>
    <t>4005.88万</t>
  </si>
  <si>
    <t>4542.34万</t>
  </si>
  <si>
    <t>302.44万</t>
  </si>
  <si>
    <t>992.66万</t>
  </si>
  <si>
    <t>-7745.57万</t>
  </si>
  <si>
    <t>9246.91万</t>
  </si>
  <si>
    <t>1005.03万</t>
  </si>
  <si>
    <t>1931.22万</t>
  </si>
  <si>
    <t>307.30万</t>
  </si>
  <si>
    <t>23.98亿</t>
  </si>
  <si>
    <t>36.68亿</t>
  </si>
  <si>
    <t>5.88亿</t>
  </si>
  <si>
    <t>28.89亿</t>
  </si>
  <si>
    <t>6.01亿</t>
  </si>
  <si>
    <t>5401.31万</t>
  </si>
  <si>
    <t>58781亿</t>
  </si>
  <si>
    <t>208.48万</t>
  </si>
  <si>
    <t>-6055632亿</t>
  </si>
  <si>
    <t>12.46亿</t>
  </si>
  <si>
    <t>1309923070亿</t>
  </si>
  <si>
    <t>3120060900亿</t>
  </si>
  <si>
    <t>8843.08万</t>
  </si>
  <si>
    <t>2.17亿</t>
  </si>
  <si>
    <t>14.96亿</t>
  </si>
  <si>
    <t>423.39万</t>
  </si>
  <si>
    <t>-2.21亿</t>
  </si>
  <si>
    <t>175.81万</t>
  </si>
  <si>
    <t>-261.78万</t>
  </si>
  <si>
    <t>2416.40万</t>
  </si>
  <si>
    <t>2-0</t>
  </si>
  <si>
    <t>272.26万</t>
  </si>
  <si>
    <t>8777.99万</t>
  </si>
  <si>
    <t>10.81亿</t>
  </si>
  <si>
    <t>4467.74万</t>
  </si>
  <si>
    <t>1.91亿</t>
  </si>
  <si>
    <t>5879.17万</t>
  </si>
  <si>
    <t>2966.58万</t>
  </si>
  <si>
    <t>1591.90万</t>
  </si>
  <si>
    <t>269.55万</t>
  </si>
  <si>
    <t>777.72万</t>
  </si>
  <si>
    <t>3675993亿</t>
  </si>
  <si>
    <t>2.55万</t>
  </si>
  <si>
    <t>10347000亿</t>
  </si>
  <si>
    <t>4.54亿</t>
  </si>
  <si>
    <t>22504944亿</t>
  </si>
  <si>
    <t>30.28万</t>
  </si>
  <si>
    <t>708822820亿</t>
  </si>
  <si>
    <t>32.84万</t>
  </si>
  <si>
    <t>2605.79万</t>
  </si>
  <si>
    <t>6303.94万</t>
  </si>
  <si>
    <t>2323.12万</t>
  </si>
  <si>
    <t>-4.84万</t>
  </si>
  <si>
    <t>3886.82万</t>
  </si>
  <si>
    <t>1605.72万</t>
  </si>
  <si>
    <t>10转3股派3元(含税)</t>
  </si>
  <si>
    <t>1767.19万</t>
  </si>
  <si>
    <t>8127.25万</t>
  </si>
  <si>
    <t>23.30亿</t>
  </si>
  <si>
    <t>65.54亿</t>
  </si>
  <si>
    <t>11.92亿</t>
  </si>
  <si>
    <t>56.05亿</t>
  </si>
  <si>
    <t>9.10亿</t>
  </si>
  <si>
    <t>10.58亿</t>
  </si>
  <si>
    <t>6.52亿</t>
  </si>
  <si>
    <t>8230.43万</t>
  </si>
  <si>
    <t>14009872亿</t>
  </si>
  <si>
    <t>31.30万</t>
  </si>
  <si>
    <t>112611259亿</t>
  </si>
  <si>
    <t>10.80亿</t>
  </si>
  <si>
    <t>1614243100亿</t>
  </si>
  <si>
    <t>2213.90万</t>
  </si>
  <si>
    <t>3562428100亿</t>
  </si>
  <si>
    <t>6853.29万</t>
  </si>
  <si>
    <t>102.11万</t>
  </si>
  <si>
    <t>2.85万</t>
  </si>
  <si>
    <t>6.42亿</t>
  </si>
  <si>
    <t>13.79亿</t>
  </si>
  <si>
    <t>1457.64万</t>
  </si>
  <si>
    <t>-1.70亿</t>
  </si>
  <si>
    <t>-1.36亿</t>
  </si>
  <si>
    <t>-5838.04万</t>
  </si>
  <si>
    <t>11.17亿</t>
  </si>
  <si>
    <t>10派1元(含税)</t>
  </si>
  <si>
    <t>1999.03万</t>
  </si>
  <si>
    <t>8.67亿</t>
  </si>
  <si>
    <t>20.03亿</t>
  </si>
  <si>
    <t>6.21亿</t>
  </si>
  <si>
    <t>1910.11万</t>
  </si>
  <si>
    <t>9656.73万</t>
  </si>
  <si>
    <t>52.12万</t>
  </si>
  <si>
    <t>2492.06万</t>
  </si>
  <si>
    <t>5589441亿</t>
  </si>
  <si>
    <t>3.31亿</t>
  </si>
  <si>
    <t>80420309亿</t>
  </si>
  <si>
    <t>1314.86万</t>
  </si>
  <si>
    <t>434557980亿</t>
  </si>
  <si>
    <t>2.49亿</t>
  </si>
  <si>
    <t>4.04亿</t>
  </si>
  <si>
    <t>3.69亿</t>
  </si>
  <si>
    <t>6578.68万</t>
  </si>
  <si>
    <t>-308.46万</t>
  </si>
  <si>
    <t>-7646.25万</t>
  </si>
  <si>
    <t>-1134.94万</t>
  </si>
  <si>
    <t>10派0.35元(含税)</t>
  </si>
  <si>
    <t>18.23亿</t>
  </si>
  <si>
    <t>019101100</t>
  </si>
  <si>
    <t>057303300</t>
  </si>
  <si>
    <t>0114606600</t>
  </si>
  <si>
    <t>0191011000</t>
  </si>
  <si>
    <t>0382022000</t>
  </si>
  <si>
    <t>1251.30万</t>
  </si>
  <si>
    <t>18.85亿</t>
  </si>
  <si>
    <t>29.95亿</t>
  </si>
  <si>
    <t>4.42亿</t>
  </si>
  <si>
    <t>21.17亿</t>
  </si>
  <si>
    <t>3.14亿</t>
  </si>
  <si>
    <t>3588.05万</t>
  </si>
  <si>
    <t>5826.10万</t>
  </si>
  <si>
    <t>-843336亿</t>
  </si>
  <si>
    <t>13.16万</t>
  </si>
  <si>
    <t>40206477亿</t>
  </si>
  <si>
    <t>8.31亿</t>
  </si>
  <si>
    <t>1168449720亿</t>
  </si>
  <si>
    <t>8316.60万</t>
  </si>
  <si>
    <t>2674212700亿</t>
  </si>
  <si>
    <t>1.29亿</t>
  </si>
  <si>
    <t>468.14万</t>
  </si>
  <si>
    <t>13.44亿</t>
  </si>
  <si>
    <t>-6150.02万</t>
  </si>
  <si>
    <t>-1.39亿</t>
  </si>
  <si>
    <t>9805.15万</t>
  </si>
  <si>
    <t>4.38亿</t>
  </si>
  <si>
    <t>4432.86万</t>
  </si>
  <si>
    <t>3784.51万</t>
  </si>
  <si>
    <t>1009.53万</t>
  </si>
  <si>
    <t>7.49亿</t>
  </si>
  <si>
    <t>21.05亿</t>
  </si>
  <si>
    <t>4.62亿</t>
  </si>
  <si>
    <t>-5852.20万</t>
  </si>
  <si>
    <t>8184.11万</t>
  </si>
  <si>
    <t>871.08万</t>
  </si>
  <si>
    <t>2801.01万</t>
  </si>
  <si>
    <t>3119866亿</t>
  </si>
  <si>
    <t>13.20万</t>
  </si>
  <si>
    <t>-3550593亿</t>
  </si>
  <si>
    <t>8.45亿</t>
  </si>
  <si>
    <t>135339060亿</t>
  </si>
  <si>
    <t>255.96万</t>
  </si>
  <si>
    <t>1732533900亿</t>
  </si>
  <si>
    <t>31.10万</t>
  </si>
  <si>
    <t>69.50万</t>
  </si>
  <si>
    <t>4978.53万</t>
  </si>
  <si>
    <t>9559.28万</t>
  </si>
  <si>
    <t>5.20亿</t>
  </si>
  <si>
    <t>-2065.07万</t>
  </si>
  <si>
    <t>9600.72万</t>
  </si>
  <si>
    <t>-2469.93万</t>
  </si>
  <si>
    <t>419.62万</t>
  </si>
  <si>
    <t>10派0.2元(含税)</t>
  </si>
  <si>
    <t>3741.18万</t>
  </si>
  <si>
    <t>340.23万</t>
  </si>
  <si>
    <t>18.96亿</t>
  </si>
  <si>
    <t>18.88亿</t>
  </si>
  <si>
    <t>26.39亿</t>
  </si>
  <si>
    <t>97.78亿</t>
  </si>
  <si>
    <t>26.16亿</t>
  </si>
  <si>
    <t>24.73亿</t>
  </si>
  <si>
    <t>3870.28万</t>
  </si>
  <si>
    <t>6449.89万</t>
  </si>
  <si>
    <t>-431972亿</t>
  </si>
  <si>
    <t>1983.56万</t>
  </si>
  <si>
    <t>22730455亿</t>
  </si>
  <si>
    <t>6.33亿</t>
  </si>
  <si>
    <t>2100001300亿</t>
  </si>
  <si>
    <t>2879919800亿</t>
  </si>
  <si>
    <t>1.59亿</t>
  </si>
  <si>
    <t>13.98亿</t>
  </si>
  <si>
    <t>3.03亿</t>
  </si>
  <si>
    <t>-8236.11万</t>
  </si>
  <si>
    <t>-1959.35万</t>
  </si>
  <si>
    <t>-7245.21万</t>
  </si>
  <si>
    <t>23.93亿</t>
  </si>
  <si>
    <t>3330.02万</t>
  </si>
  <si>
    <t>10派0.8元(含税)</t>
  </si>
  <si>
    <t>1816.48万</t>
  </si>
  <si>
    <t>9486.39万</t>
  </si>
  <si>
    <t>112.11万</t>
  </si>
  <si>
    <t>6.84亿</t>
  </si>
  <si>
    <t>7613.09万</t>
  </si>
  <si>
    <t>8.35亿</t>
  </si>
  <si>
    <t>1.88亿</t>
  </si>
  <si>
    <t>7645.43万</t>
  </si>
  <si>
    <t>3471.26万</t>
  </si>
  <si>
    <t>3206.17万</t>
  </si>
  <si>
    <t>967.46万</t>
  </si>
  <si>
    <t>-134751亿</t>
  </si>
  <si>
    <t>1531914亿</t>
  </si>
  <si>
    <t>7.18亿</t>
  </si>
  <si>
    <t>4019039亿</t>
  </si>
  <si>
    <t>777136250亿</t>
  </si>
  <si>
    <t>604.85万</t>
  </si>
  <si>
    <t>1962.82万</t>
  </si>
  <si>
    <t>1808.84万</t>
  </si>
  <si>
    <t>-199.28万</t>
  </si>
  <si>
    <t>6785.01万</t>
  </si>
  <si>
    <t>107.13万</t>
  </si>
  <si>
    <t>10转5股派5元(含税)</t>
  </si>
  <si>
    <t>1224.75万</t>
  </si>
  <si>
    <t>8093.26万</t>
  </si>
  <si>
    <t>220.38万</t>
  </si>
  <si>
    <t>9.50亿</t>
  </si>
  <si>
    <t>3107.69万</t>
  </si>
  <si>
    <t>3299.26万</t>
  </si>
  <si>
    <t>-90812亿</t>
  </si>
  <si>
    <t>2.37万</t>
  </si>
  <si>
    <t>7039507亿</t>
  </si>
  <si>
    <t>1.10亿</t>
  </si>
  <si>
    <t>247118350亿</t>
  </si>
  <si>
    <t>8330.37万</t>
  </si>
  <si>
    <t>895527330亿</t>
  </si>
  <si>
    <t>9582.87万</t>
  </si>
  <si>
    <t>619.86万</t>
  </si>
  <si>
    <t>-1.34亿</t>
  </si>
  <si>
    <t>-2542.56万</t>
  </si>
  <si>
    <t>558.69万</t>
  </si>
  <si>
    <t>1.77亿</t>
  </si>
  <si>
    <t>984.73万</t>
  </si>
  <si>
    <t>1475.34万</t>
  </si>
  <si>
    <t>8534.92万</t>
  </si>
  <si>
    <t>134.01万</t>
  </si>
  <si>
    <t>32.97亿</t>
  </si>
  <si>
    <t>3453.53万</t>
  </si>
  <si>
    <t>45.12亿</t>
  </si>
  <si>
    <t>15.89亿</t>
  </si>
  <si>
    <t>5831.42万</t>
  </si>
  <si>
    <t>3083.22万</t>
  </si>
  <si>
    <t>342.86万</t>
  </si>
  <si>
    <t>1376.82万</t>
  </si>
  <si>
    <t>9828667亿</t>
  </si>
  <si>
    <t>-18793051亿</t>
  </si>
  <si>
    <t>7.56亿</t>
  </si>
  <si>
    <t>253213900亿</t>
  </si>
  <si>
    <t>3385993000亿</t>
  </si>
  <si>
    <t>9885.97万</t>
  </si>
  <si>
    <t>3.68亿</t>
  </si>
  <si>
    <t>1570.15万</t>
  </si>
  <si>
    <t>299.66万</t>
  </si>
  <si>
    <t>-1873.90万</t>
  </si>
  <si>
    <t>9.94亿</t>
  </si>
  <si>
    <t>3.79亿</t>
  </si>
  <si>
    <t>10转4股派6元(含税)</t>
  </si>
  <si>
    <t>960.69万</t>
  </si>
  <si>
    <t>4664.83万</t>
  </si>
  <si>
    <t>673.54万</t>
  </si>
  <si>
    <t>8.71亿</t>
  </si>
  <si>
    <t>33.70亿</t>
  </si>
  <si>
    <t>3.34亿</t>
  </si>
  <si>
    <t>81.85亿</t>
  </si>
  <si>
    <t>5.80亿</t>
  </si>
  <si>
    <t>7723.92万</t>
  </si>
  <si>
    <t>6029.53万</t>
  </si>
  <si>
    <t>3428653亿</t>
  </si>
  <si>
    <t>22.57万</t>
  </si>
  <si>
    <t>-101599516亿</t>
  </si>
  <si>
    <t>915668060亿</t>
  </si>
  <si>
    <t>2068.50万</t>
  </si>
  <si>
    <t>2132590800亿</t>
  </si>
  <si>
    <t>-5484.89万</t>
  </si>
  <si>
    <t>-5988.95万</t>
  </si>
  <si>
    <t>-1273.21万</t>
  </si>
  <si>
    <t>3.23亿</t>
  </si>
  <si>
    <t>24.68亿</t>
  </si>
  <si>
    <t>23.52亿</t>
  </si>
  <si>
    <t>3.77亿</t>
  </si>
  <si>
    <t>3828.55万</t>
  </si>
  <si>
    <t>3.08亿</t>
  </si>
  <si>
    <t>140.57万</t>
  </si>
  <si>
    <t>7.58亿</t>
  </si>
  <si>
    <t>12.50亿</t>
  </si>
  <si>
    <t>7757.91万</t>
  </si>
  <si>
    <t>2507.39万</t>
  </si>
  <si>
    <t>1377.18万</t>
  </si>
  <si>
    <t>1961239亿</t>
  </si>
  <si>
    <t>5.29万</t>
  </si>
  <si>
    <t>37868669亿</t>
  </si>
  <si>
    <t>2.26亿</t>
  </si>
  <si>
    <t>279974350亿</t>
  </si>
  <si>
    <t>1086.36万</t>
  </si>
  <si>
    <t>945698760亿</t>
  </si>
  <si>
    <t>300.00万</t>
  </si>
  <si>
    <t>5745.01万</t>
  </si>
  <si>
    <t>3633.57万</t>
  </si>
  <si>
    <t>3105.73万</t>
  </si>
  <si>
    <t>-1.94亿</t>
  </si>
  <si>
    <t>6.79亿</t>
  </si>
  <si>
    <t>2.42亿</t>
  </si>
  <si>
    <t>3175.96万</t>
  </si>
  <si>
    <t>10转4.5股派3.3元(含税)</t>
  </si>
  <si>
    <t>593.25万</t>
  </si>
  <si>
    <t>4553.93万</t>
  </si>
  <si>
    <t>207.83万</t>
  </si>
  <si>
    <t>9.81亿</t>
  </si>
  <si>
    <t>8362.14万</t>
  </si>
  <si>
    <t>10.85亿</t>
  </si>
  <si>
    <t>8252.76万</t>
  </si>
  <si>
    <t>4806.41万</t>
  </si>
  <si>
    <t>2958.96万</t>
  </si>
  <si>
    <t>246.08万</t>
  </si>
  <si>
    <t>1040.59万</t>
  </si>
  <si>
    <t>7.56万</t>
  </si>
  <si>
    <t>29131322亿</t>
  </si>
  <si>
    <t>33065114亿</t>
  </si>
  <si>
    <t>272.94万</t>
  </si>
  <si>
    <t>439531750亿</t>
  </si>
  <si>
    <t>2826.13万</t>
  </si>
  <si>
    <t>683.94万</t>
  </si>
  <si>
    <t>4527.91万</t>
  </si>
  <si>
    <t>4238.05万</t>
  </si>
  <si>
    <t>-3296.89万</t>
  </si>
  <si>
    <t>-46.20万</t>
  </si>
  <si>
    <t>2102.21万</t>
  </si>
  <si>
    <t>10派2.9元(含税)</t>
  </si>
  <si>
    <t>1188.95万</t>
  </si>
  <si>
    <t>5012.75万</t>
  </si>
  <si>
    <t>121.12万</t>
  </si>
  <si>
    <t>11.21亿</t>
  </si>
  <si>
    <t>27.34亿</t>
  </si>
  <si>
    <t>218.88亿</t>
  </si>
  <si>
    <t>-1.71亿</t>
  </si>
  <si>
    <t>2374.19万</t>
  </si>
  <si>
    <t>5032.47万</t>
  </si>
  <si>
    <t>2482025亿</t>
  </si>
  <si>
    <t>2.11万</t>
  </si>
  <si>
    <t>-3144737亿</t>
  </si>
  <si>
    <t>3.65亿</t>
  </si>
  <si>
    <t>893150040亿</t>
  </si>
  <si>
    <t>2685590100亿</t>
  </si>
  <si>
    <t>1.60亿</t>
  </si>
  <si>
    <t>3919.24万</t>
  </si>
  <si>
    <t>2.34亿</t>
  </si>
  <si>
    <t>8.18亿</t>
  </si>
  <si>
    <t>3600.00万</t>
  </si>
  <si>
    <t>-1566.77万</t>
  </si>
  <si>
    <t>4703.37万</t>
  </si>
  <si>
    <t>555.26万</t>
  </si>
  <si>
    <t>13.59亿</t>
  </si>
  <si>
    <t>51.62亿</t>
  </si>
  <si>
    <t>364.59万</t>
  </si>
  <si>
    <t>2881.36万</t>
  </si>
  <si>
    <t>920.25万</t>
  </si>
  <si>
    <t>5.74亿</t>
  </si>
  <si>
    <t>4602.20万</t>
  </si>
  <si>
    <t>10.11亿</t>
  </si>
  <si>
    <t>9315.92万</t>
  </si>
  <si>
    <t>6071.56万</t>
  </si>
  <si>
    <t>3153.01万</t>
  </si>
  <si>
    <t>702.11万</t>
  </si>
  <si>
    <t>803.00万</t>
  </si>
  <si>
    <t>-1623085亿</t>
  </si>
  <si>
    <t>-17863983亿</t>
  </si>
  <si>
    <t>4.27亿</t>
  </si>
  <si>
    <t>85272945亿</t>
  </si>
  <si>
    <t>157.06万</t>
  </si>
  <si>
    <t>602760060亿</t>
  </si>
  <si>
    <t>2868.46万</t>
  </si>
  <si>
    <t>-3278.28万</t>
  </si>
  <si>
    <t>-38.64万</t>
  </si>
  <si>
    <t>-234.44万</t>
  </si>
  <si>
    <t>-5328.20万</t>
  </si>
  <si>
    <t>2082.48万</t>
  </si>
  <si>
    <t>3997.85万</t>
  </si>
  <si>
    <t>8868.95万</t>
  </si>
  <si>
    <t>226.76万</t>
  </si>
  <si>
    <t>7628.09万</t>
  </si>
  <si>
    <t>7264.69万</t>
  </si>
  <si>
    <t>8940.84万</t>
  </si>
  <si>
    <t>5405.60万</t>
  </si>
  <si>
    <t>1718.14万</t>
  </si>
  <si>
    <t>799.87万</t>
  </si>
  <si>
    <t>271952亿</t>
  </si>
  <si>
    <t>2.79万</t>
  </si>
  <si>
    <t>-16451980亿</t>
  </si>
  <si>
    <t>337513000亿</t>
  </si>
  <si>
    <t>1040.44万</t>
  </si>
  <si>
    <t>901767640亿</t>
  </si>
  <si>
    <t>70.39万</t>
  </si>
  <si>
    <t>5799.00万</t>
  </si>
  <si>
    <t>-612.83万</t>
  </si>
  <si>
    <t>-865.76万</t>
  </si>
  <si>
    <t>-703.60万</t>
  </si>
  <si>
    <t>-1795.92万</t>
  </si>
  <si>
    <t>-9353.84万</t>
  </si>
  <si>
    <t>1461.47万</t>
  </si>
  <si>
    <t>954.57万</t>
  </si>
  <si>
    <t>7517.71万</t>
  </si>
  <si>
    <t>142.29万</t>
  </si>
  <si>
    <t>10.21亿</t>
  </si>
  <si>
    <t>6762.20万</t>
  </si>
  <si>
    <t>4.34亿</t>
  </si>
  <si>
    <t>9722.28万</t>
  </si>
  <si>
    <t>4746.23万</t>
  </si>
  <si>
    <t>2715.24万</t>
  </si>
  <si>
    <t>187.80万</t>
  </si>
  <si>
    <t>1226.30万</t>
  </si>
  <si>
    <t>15310645亿</t>
  </si>
  <si>
    <t>6.89亿</t>
  </si>
  <si>
    <t>47749823亿</t>
  </si>
  <si>
    <t>768050340亿</t>
  </si>
  <si>
    <t>371.87万</t>
  </si>
  <si>
    <t>285.95万</t>
  </si>
  <si>
    <t>1693.34万</t>
  </si>
  <si>
    <t>1603.80万</t>
  </si>
  <si>
    <t>-1836.69万</t>
  </si>
  <si>
    <t>-399.04万</t>
  </si>
  <si>
    <t>8402.19万</t>
  </si>
  <si>
    <t>7457.43万</t>
  </si>
  <si>
    <t>1799.11万</t>
  </si>
  <si>
    <t>10派4元(含税)</t>
  </si>
  <si>
    <t>991.33万</t>
  </si>
  <si>
    <t>6833.31万</t>
  </si>
  <si>
    <t>393.93万</t>
  </si>
  <si>
    <t>11.59亿</t>
  </si>
  <si>
    <t>31.89亿</t>
  </si>
  <si>
    <t>846.14万</t>
  </si>
  <si>
    <t>1463.18万</t>
  </si>
  <si>
    <t>2295509亿</t>
  </si>
  <si>
    <t>19.28万</t>
  </si>
  <si>
    <t>-37124505亿</t>
  </si>
  <si>
    <t>439821040亿</t>
  </si>
  <si>
    <t>2232.93万</t>
  </si>
  <si>
    <t>977571340亿</t>
  </si>
  <si>
    <t>8048.85万</t>
  </si>
  <si>
    <t>1.46亿</t>
  </si>
  <si>
    <t>1461.54万</t>
  </si>
  <si>
    <t>8678.31万</t>
  </si>
  <si>
    <t>-7210.40万</t>
  </si>
  <si>
    <t>7217.99万</t>
  </si>
  <si>
    <t>7085.71万</t>
  </si>
  <si>
    <t>8.23亿</t>
  </si>
  <si>
    <t>-5169.93万</t>
  </si>
  <si>
    <t>5564.81万</t>
  </si>
  <si>
    <t>2001.88万</t>
  </si>
  <si>
    <t>2.68亿</t>
  </si>
  <si>
    <t>290.87万</t>
  </si>
  <si>
    <t>11.38亿</t>
  </si>
  <si>
    <t>20.09亿</t>
  </si>
  <si>
    <t>7.67亿</t>
  </si>
  <si>
    <t>1.74亿</t>
  </si>
  <si>
    <t>364.06万</t>
  </si>
  <si>
    <t>2122.81万</t>
  </si>
  <si>
    <t>807862亿</t>
  </si>
  <si>
    <t>14.38万</t>
  </si>
  <si>
    <t>24318218亿</t>
  </si>
  <si>
    <t>5.10亿</t>
  </si>
  <si>
    <t>180941980亿</t>
  </si>
  <si>
    <t>8710.70万</t>
  </si>
  <si>
    <t>1146903170亿</t>
  </si>
  <si>
    <t>2935.06万</t>
  </si>
  <si>
    <t>4.60亿</t>
  </si>
  <si>
    <t>6.45亿</t>
  </si>
  <si>
    <t>2850.48万</t>
  </si>
  <si>
    <t>-7.68亿</t>
  </si>
  <si>
    <t>-272.76万</t>
  </si>
  <si>
    <t>5.36亿</t>
  </si>
  <si>
    <t>4.30亿</t>
  </si>
  <si>
    <t>8161.88万</t>
  </si>
  <si>
    <t>5891.07万</t>
  </si>
  <si>
    <t>4066.67万</t>
  </si>
  <si>
    <t>10派4.09元(含税)</t>
  </si>
  <si>
    <t>1606.06万</t>
  </si>
  <si>
    <t>中安消</t>
  </si>
  <si>
    <t>1104.33万</t>
  </si>
  <si>
    <t>23.45亿</t>
  </si>
  <si>
    <t>16.06亿</t>
  </si>
  <si>
    <t>6.12亿</t>
  </si>
  <si>
    <t>581.47亿</t>
  </si>
  <si>
    <t>20.24亿</t>
  </si>
  <si>
    <t>6.39亿</t>
  </si>
  <si>
    <t>5.19亿</t>
  </si>
  <si>
    <t>906.76万</t>
  </si>
  <si>
    <t>8670.22万</t>
  </si>
  <si>
    <t>32138970亿</t>
  </si>
  <si>
    <t>3.34万</t>
  </si>
  <si>
    <t>-11598317亿</t>
  </si>
  <si>
    <t>7.87亿</t>
  </si>
  <si>
    <t>561958070亿</t>
  </si>
  <si>
    <t>1297.81万</t>
  </si>
  <si>
    <t>2535736400亿</t>
  </si>
  <si>
    <t>84.00万</t>
  </si>
  <si>
    <t>546.76万</t>
  </si>
  <si>
    <t>190.00万</t>
  </si>
  <si>
    <t>7.21亿</t>
  </si>
  <si>
    <t>21.74亿</t>
  </si>
  <si>
    <t>-1581.17万</t>
  </si>
  <si>
    <t>-2.02亿</t>
  </si>
  <si>
    <t>28.58亿</t>
  </si>
  <si>
    <t>153.00亿</t>
  </si>
  <si>
    <t>9007.77万</t>
  </si>
  <si>
    <t>3.19亿</t>
  </si>
  <si>
    <t>5046.22万</t>
  </si>
  <si>
    <t>728.36万</t>
  </si>
  <si>
    <t>112.42亿</t>
  </si>
  <si>
    <t>48.91亿</t>
  </si>
  <si>
    <t>53.71亿</t>
  </si>
  <si>
    <t>106.67亿</t>
  </si>
  <si>
    <t>10.93亿</t>
  </si>
  <si>
    <t>52.16亿</t>
  </si>
  <si>
    <t>48.68亿</t>
  </si>
  <si>
    <t>1322767亿</t>
  </si>
  <si>
    <t>38.45万</t>
  </si>
  <si>
    <t>113882578亿</t>
  </si>
  <si>
    <t>89.66亿</t>
  </si>
  <si>
    <t>930865920亿</t>
  </si>
  <si>
    <t>231.34万</t>
  </si>
  <si>
    <t>12603639000亿</t>
  </si>
  <si>
    <t>422.86万</t>
  </si>
  <si>
    <t>12.98亿</t>
  </si>
  <si>
    <t>106.18亿</t>
  </si>
  <si>
    <t>-1.43亿</t>
  </si>
  <si>
    <t>-1190.31万</t>
  </si>
  <si>
    <t>-5.10亿</t>
  </si>
  <si>
    <t>191.56亿</t>
  </si>
  <si>
    <t>5.86亿</t>
  </si>
  <si>
    <t>10派1.3元(含税)</t>
  </si>
  <si>
    <t>4976.37万</t>
  </si>
  <si>
    <t>122.26万</t>
  </si>
  <si>
    <t>15.56亿</t>
  </si>
  <si>
    <t>39.34亿</t>
  </si>
  <si>
    <t>305.19亿</t>
  </si>
  <si>
    <t>3.99亿</t>
  </si>
  <si>
    <t>1.83亿</t>
  </si>
  <si>
    <t>1234.98万</t>
  </si>
  <si>
    <t>3648.11万</t>
  </si>
  <si>
    <t>8321041亿</t>
  </si>
  <si>
    <t>-3684814亿</t>
  </si>
  <si>
    <t>16.08亿</t>
  </si>
  <si>
    <t>69052060亿</t>
  </si>
  <si>
    <t>2360237200亿</t>
  </si>
  <si>
    <t>1278.25万</t>
  </si>
  <si>
    <t>6179.46万</t>
  </si>
  <si>
    <t>8.54亿</t>
  </si>
  <si>
    <t>1.96亿</t>
  </si>
  <si>
    <t>6158.38万</t>
  </si>
  <si>
    <t>-2.00亿</t>
  </si>
  <si>
    <t>14.22亿</t>
  </si>
  <si>
    <t>94.93亿</t>
  </si>
  <si>
    <t>10转4股派2.8元(含税)</t>
  </si>
  <si>
    <t>1050.64万</t>
  </si>
  <si>
    <t>5767.96万</t>
  </si>
  <si>
    <t>234.74万</t>
  </si>
  <si>
    <t>96.23亿</t>
  </si>
  <si>
    <t>69.82亿</t>
  </si>
  <si>
    <t>105.50亿</t>
  </si>
  <si>
    <t>47.80亿</t>
  </si>
  <si>
    <t>10.31亿</t>
  </si>
  <si>
    <t>102.83亿</t>
  </si>
  <si>
    <t>98.80亿</t>
  </si>
  <si>
    <t>-1900147亿</t>
  </si>
  <si>
    <t>66.55万</t>
  </si>
  <si>
    <t>185990240亿</t>
  </si>
  <si>
    <t>71.30亿</t>
  </si>
  <si>
    <t>3871269700亿</t>
  </si>
  <si>
    <t>15207173000亿</t>
  </si>
  <si>
    <t>5.05亿</t>
  </si>
  <si>
    <t>16.34亿</t>
  </si>
  <si>
    <t>577.27万</t>
  </si>
  <si>
    <t>92.07亿</t>
  </si>
  <si>
    <t>-1958.63万</t>
  </si>
  <si>
    <t>9163.80万</t>
  </si>
  <si>
    <t>323.39亿</t>
  </si>
  <si>
    <t>4.14亿</t>
  </si>
  <si>
    <t>383.12亿</t>
  </si>
  <si>
    <t>12.52亿</t>
  </si>
  <si>
    <t>5.48亿</t>
  </si>
  <si>
    <t>10派4.84元(含税)</t>
  </si>
  <si>
    <t>1105.73万</t>
  </si>
  <si>
    <t>6669.70万</t>
  </si>
  <si>
    <t>120.82万</t>
  </si>
  <si>
    <t>24.91亿</t>
  </si>
  <si>
    <t>25.31亿</t>
  </si>
  <si>
    <t>4.59亿</t>
  </si>
  <si>
    <t>3.47亿</t>
  </si>
  <si>
    <t>8479.41万</t>
  </si>
  <si>
    <t>4.94亿</t>
  </si>
  <si>
    <t>3921.49万</t>
  </si>
  <si>
    <t>7646.54万</t>
  </si>
  <si>
    <t>94168亿</t>
  </si>
  <si>
    <t>166.30万</t>
  </si>
  <si>
    <t>-33787957亿</t>
  </si>
  <si>
    <t>2.69亿</t>
  </si>
  <si>
    <t>1181179610亿</t>
  </si>
  <si>
    <t>7525.59万</t>
  </si>
  <si>
    <t>1942655400亿</t>
  </si>
  <si>
    <t>8.79亿</t>
  </si>
  <si>
    <t>2.41亿</t>
  </si>
  <si>
    <t>16.22亿</t>
  </si>
  <si>
    <t>4.85亿</t>
  </si>
  <si>
    <t>-1.22亿</t>
  </si>
  <si>
    <t>-5538.62万</t>
  </si>
  <si>
    <t>6586.79万</t>
  </si>
  <si>
    <t>26.60亿</t>
  </si>
  <si>
    <t>3189.58万</t>
  </si>
  <si>
    <t>10派1.12元(含税)</t>
  </si>
  <si>
    <t>773.06万</t>
  </si>
  <si>
    <t>6028.15万</t>
  </si>
  <si>
    <t>425.79万</t>
  </si>
  <si>
    <t>16.49亿</t>
  </si>
  <si>
    <t>118.59亿</t>
  </si>
  <si>
    <t>7.41亿</t>
  </si>
  <si>
    <t>9463.31万</t>
  </si>
  <si>
    <t>1375.45万</t>
  </si>
  <si>
    <t>5045.77万</t>
  </si>
  <si>
    <t>3152513亿</t>
  </si>
  <si>
    <t>550993090亿</t>
  </si>
  <si>
    <t>1914.54万</t>
  </si>
  <si>
    <t>915815480亿</t>
  </si>
  <si>
    <t>678.93万</t>
  </si>
  <si>
    <t>165.00万</t>
  </si>
  <si>
    <t>-2630.18万</t>
  </si>
  <si>
    <t>-3784.93万</t>
  </si>
  <si>
    <t>-392.79万</t>
  </si>
  <si>
    <t>8.92亿</t>
  </si>
  <si>
    <t>35.13亿</t>
  </si>
  <si>
    <t>10派0.45元(含税)</t>
  </si>
  <si>
    <t>2547.17万</t>
  </si>
  <si>
    <t>84.59万</t>
  </si>
  <si>
    <t>7.14亿</t>
  </si>
  <si>
    <t>26.76亿</t>
  </si>
  <si>
    <t>5.18亿</t>
  </si>
  <si>
    <t>4.57亿</t>
  </si>
  <si>
    <t>142.12万</t>
  </si>
  <si>
    <t>5557.13万</t>
  </si>
  <si>
    <t>1629938亿</t>
  </si>
  <si>
    <t>37.57万</t>
  </si>
  <si>
    <t>18932510亿</t>
  </si>
  <si>
    <t>13.51亿</t>
  </si>
  <si>
    <t>521985980亿</t>
  </si>
  <si>
    <t>2058033300亿</t>
  </si>
  <si>
    <t>7943.81万</t>
  </si>
  <si>
    <t>6763.76万</t>
  </si>
  <si>
    <t>8798.30万</t>
  </si>
  <si>
    <t>117.74万</t>
  </si>
  <si>
    <t>5.64亿</t>
  </si>
  <si>
    <t>951.85万</t>
  </si>
  <si>
    <t>-2.23亿</t>
  </si>
  <si>
    <t>-4204.42万</t>
  </si>
  <si>
    <t>735.34万</t>
  </si>
  <si>
    <t>20.64亿</t>
  </si>
  <si>
    <t>19.58亿</t>
  </si>
  <si>
    <t>18.26亿</t>
  </si>
  <si>
    <t>9063.83万</t>
  </si>
  <si>
    <t>6331.11万</t>
  </si>
  <si>
    <t>3831.57万</t>
  </si>
  <si>
    <t>24.85亿</t>
  </si>
  <si>
    <t>3553.94万</t>
  </si>
  <si>
    <t>10派5.0元(含税)</t>
  </si>
  <si>
    <t>521.79万</t>
  </si>
  <si>
    <t>4547.73万</t>
  </si>
  <si>
    <t>0195000000</t>
  </si>
  <si>
    <t>0585000000</t>
  </si>
  <si>
    <t>01170000000</t>
  </si>
  <si>
    <t>01950000000</t>
  </si>
  <si>
    <t>03900000000</t>
  </si>
  <si>
    <t>124.97万</t>
  </si>
  <si>
    <t>4.23亿</t>
  </si>
  <si>
    <t>30.60亿</t>
  </si>
  <si>
    <t>7458.54万</t>
  </si>
  <si>
    <t>304.59万</t>
  </si>
  <si>
    <t>1698.44万</t>
  </si>
  <si>
    <t>11039341亿</t>
  </si>
  <si>
    <t>2.47万</t>
  </si>
  <si>
    <t>43343141亿</t>
  </si>
  <si>
    <t>6.64亿</t>
  </si>
  <si>
    <t>71604982亿</t>
  </si>
  <si>
    <t>7669.04万</t>
  </si>
  <si>
    <t>1590023300亿</t>
  </si>
  <si>
    <t>698.79万</t>
  </si>
  <si>
    <t>3958.83万</t>
  </si>
  <si>
    <t>9535.08万</t>
  </si>
  <si>
    <t>-2.95亿</t>
  </si>
  <si>
    <t>-5.22万</t>
  </si>
  <si>
    <t>6.02亿</t>
  </si>
  <si>
    <t>3077.02万</t>
  </si>
  <si>
    <t>10派2.57元(含税)</t>
  </si>
  <si>
    <t>1111.81万</t>
  </si>
  <si>
    <t>9405.48万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</si>
</sst>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9"/>
      <color rgb="FFFF0000"/>
      <name val="宋体"/>
      <family val="3"/>
      <charset val="134"/>
      <scheme val="minor"/>
    </font>
    <font>
      <b/>
      <sz val="9"/>
      <color rgb="FFFF0000"/>
      <name val="宋体"/>
      <family val="3"/>
      <charset val="134"/>
      <scheme val="minor"/>
    </font>
    <font>
      <b/>
      <sz val="9"/>
      <color theme="1"/>
      <name val="宋体"/>
      <family val="3"/>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xf numFmtId="0" fontId="10"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381000</xdr:colOff>
          <xdr:row>0</xdr:row>
          <xdr:rowOff>76200</xdr:rowOff>
        </xdr:from>
        <xdr:to>
          <xdr:col>147</xdr:col>
          <xdr:colOff>1625600</xdr:colOff>
          <xdr:row>0</xdr:row>
          <xdr:rowOff>387350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1"/>
  <sheetViews>
    <sheetView tabSelected="1" zoomScale="85" zoomScaleNormal="85" workbookViewId="0">
      <pane xSplit="5" ySplit="1" topLeftCell="F11" activePane="bottomRight" state="frozen"/>
      <selection pane="topRight" activeCell="F1" sqref="F1"/>
      <selection pane="bottomLeft" activeCell="A2" sqref="A2"/>
      <selection pane="bottomRight" activeCell="D31" sqref="D31:EP31"/>
    </sheetView>
  </sheetViews>
  <sheetFormatPr defaultRowHeight="14" x14ac:dyDescent="0.25"/>
  <cols>
    <col min="1" max="1" width="35" customWidth="1"/>
    <col min="2" max="2" width="38" customWidth="1"/>
    <col min="3" max="3" width="47" customWidth="1"/>
    <col min="9" max="9" width="10.36328125" customWidth="1"/>
    <col min="148" max="148" width="30.7265625" customWidth="1"/>
  </cols>
  <sheetData>
    <row r="1" spans="1:146" ht="37" customHeight="1" x14ac:dyDescent="0.25">
      <c r="A1" s="3" t="s">
        <v>6</v>
      </c>
      <c r="B1" s="4" t="s">
        <v>7</v>
      </c>
      <c r="C1" s="3" t="s">
        <v>8</v>
      </c>
      <c r="D1" t="s">
        <v>9</v>
      </c>
      <c r="E1" t="s">
        <v>287</v>
      </c>
      <c r="F1" t="s">
        <v>3</v>
      </c>
      <c r="G1" t="s">
        <v>389</v>
      </c>
      <c r="H1" t="s">
        <v>390</v>
      </c>
      <c r="I1" t="s">
        <v>10</v>
      </c>
      <c r="J1" t="s">
        <v>11</v>
      </c>
      <c r="K1" t="s">
        <v>4</v>
      </c>
      <c r="L1" t="s">
        <v>12</v>
      </c>
      <c r="M1" t="s">
        <v>13</v>
      </c>
      <c r="N1" t="s">
        <v>14</v>
      </c>
      <c r="O1" t="s">
        <v>15</v>
      </c>
      <c r="P1" t="s">
        <v>391</v>
      </c>
      <c r="Q1" t="s">
        <v>324</v>
      </c>
      <c r="R1" t="s">
        <v>288</v>
      </c>
      <c r="S1" t="s">
        <v>16</v>
      </c>
      <c r="T1" t="s">
        <v>392</v>
      </c>
      <c r="U1" t="s">
        <v>234</v>
      </c>
      <c r="V1" t="s">
        <v>17</v>
      </c>
      <c r="W1" t="s">
        <v>325</v>
      </c>
      <c r="X1" t="s">
        <v>326</v>
      </c>
      <c r="Y1" t="s">
        <v>327</v>
      </c>
      <c r="Z1" t="s">
        <v>328</v>
      </c>
      <c r="AA1" t="s">
        <v>329</v>
      </c>
      <c r="AB1" t="s">
        <v>393</v>
      </c>
      <c r="AC1" t="s">
        <v>330</v>
      </c>
      <c r="AD1" t="s">
        <v>289</v>
      </c>
      <c r="AE1" t="s">
        <v>18</v>
      </c>
      <c r="AF1" t="s">
        <v>19</v>
      </c>
      <c r="AG1" t="s">
        <v>394</v>
      </c>
      <c r="AH1" t="s">
        <v>290</v>
      </c>
      <c r="AI1" t="s">
        <v>395</v>
      </c>
      <c r="AJ1" t="s">
        <v>20</v>
      </c>
      <c r="AK1" t="s">
        <v>396</v>
      </c>
      <c r="AL1" t="s">
        <v>23</v>
      </c>
      <c r="AM1" t="s">
        <v>397</v>
      </c>
      <c r="AN1" t="s">
        <v>398</v>
      </c>
      <c r="AO1" t="s">
        <v>399</v>
      </c>
      <c r="AP1" t="s">
        <v>400</v>
      </c>
      <c r="AQ1" t="s">
        <v>401</v>
      </c>
      <c r="AR1" t="s">
        <v>402</v>
      </c>
      <c r="AS1" t="s">
        <v>403</v>
      </c>
      <c r="AT1" t="s">
        <v>404</v>
      </c>
      <c r="AU1" t="s">
        <v>405</v>
      </c>
      <c r="AV1" t="s">
        <v>406</v>
      </c>
      <c r="AW1" t="s">
        <v>407</v>
      </c>
      <c r="AX1" t="s">
        <v>291</v>
      </c>
      <c r="AY1" t="s">
        <v>24</v>
      </c>
      <c r="AZ1" t="s">
        <v>25</v>
      </c>
      <c r="BA1" t="s">
        <v>26</v>
      </c>
      <c r="BB1" t="s">
        <v>27</v>
      </c>
      <c r="BC1" t="s">
        <v>235</v>
      </c>
      <c r="BD1" t="s">
        <v>28</v>
      </c>
      <c r="BE1" t="s">
        <v>29</v>
      </c>
      <c r="BF1" t="s">
        <v>30</v>
      </c>
      <c r="BG1" t="s">
        <v>31</v>
      </c>
      <c r="BH1" t="s">
        <v>408</v>
      </c>
      <c r="BI1" t="s">
        <v>409</v>
      </c>
      <c r="BJ1" t="s">
        <v>410</v>
      </c>
      <c r="BK1" t="s">
        <v>411</v>
      </c>
      <c r="BL1" t="s">
        <v>412</v>
      </c>
      <c r="BM1" t="s">
        <v>413</v>
      </c>
      <c r="BN1" t="s">
        <v>292</v>
      </c>
      <c r="BO1" t="s">
        <v>236</v>
      </c>
      <c r="BP1" t="s">
        <v>32</v>
      </c>
      <c r="BQ1" t="s">
        <v>293</v>
      </c>
      <c r="BR1" t="s">
        <v>237</v>
      </c>
      <c r="BS1" t="s">
        <v>33</v>
      </c>
      <c r="BT1" t="s">
        <v>414</v>
      </c>
      <c r="BU1" t="s">
        <v>331</v>
      </c>
      <c r="BV1" t="s">
        <v>415</v>
      </c>
      <c r="BW1" t="s">
        <v>56</v>
      </c>
      <c r="BX1" t="s">
        <v>34</v>
      </c>
      <c r="BY1" t="s">
        <v>416</v>
      </c>
      <c r="BZ1" t="s">
        <v>57</v>
      </c>
      <c r="CA1" t="s">
        <v>35</v>
      </c>
      <c r="CB1" t="s">
        <v>417</v>
      </c>
      <c r="CC1" t="s">
        <v>418</v>
      </c>
      <c r="CD1" t="s">
        <v>419</v>
      </c>
      <c r="CE1" t="s">
        <v>420</v>
      </c>
      <c r="CF1" s="1" t="s">
        <v>294</v>
      </c>
      <c r="CG1" s="1" t="s">
        <v>295</v>
      </c>
      <c r="CH1" s="1" t="s">
        <v>43</v>
      </c>
      <c r="CI1" s="1" t="s">
        <v>44</v>
      </c>
      <c r="CJ1" s="1" t="s">
        <v>45</v>
      </c>
      <c r="CK1" s="1" t="s">
        <v>46</v>
      </c>
      <c r="CL1" s="1" t="s">
        <v>47</v>
      </c>
      <c r="CM1" s="1" t="s">
        <v>48</v>
      </c>
      <c r="CN1" s="1" t="s">
        <v>49</v>
      </c>
      <c r="CO1" s="1" t="s">
        <v>50</v>
      </c>
      <c r="CP1" s="1" t="s">
        <v>51</v>
      </c>
      <c r="CQ1" s="1" t="s">
        <v>52</v>
      </c>
      <c r="CR1" s="1" t="s">
        <v>421</v>
      </c>
      <c r="CS1" s="1" t="s">
        <v>332</v>
      </c>
      <c r="CT1" s="1" t="s">
        <v>422</v>
      </c>
      <c r="CU1" s="1" t="s">
        <v>333</v>
      </c>
      <c r="CV1" s="1" t="s">
        <v>334</v>
      </c>
      <c r="CW1" s="1" t="s">
        <v>335</v>
      </c>
      <c r="CX1">
        <v>1</v>
      </c>
      <c r="CY1" t="s">
        <v>336</v>
      </c>
      <c r="CZ1" t="s">
        <v>423</v>
      </c>
      <c r="DA1">
        <v>3</v>
      </c>
      <c r="DB1" t="s">
        <v>424</v>
      </c>
      <c r="DC1" t="s">
        <v>425</v>
      </c>
      <c r="DD1">
        <v>6</v>
      </c>
      <c r="DE1" t="s">
        <v>426</v>
      </c>
      <c r="DF1" t="s">
        <v>337</v>
      </c>
      <c r="DG1">
        <v>10</v>
      </c>
      <c r="DH1" t="s">
        <v>338</v>
      </c>
      <c r="DI1" t="s">
        <v>339</v>
      </c>
      <c r="DJ1">
        <v>20</v>
      </c>
      <c r="DK1" t="s">
        <v>340</v>
      </c>
      <c r="DL1" t="s">
        <v>53</v>
      </c>
      <c r="DM1" t="s">
        <v>54</v>
      </c>
      <c r="DN1" s="2" t="s">
        <v>55</v>
      </c>
      <c r="DO1" t="s">
        <v>427</v>
      </c>
      <c r="DP1" t="s">
        <v>428</v>
      </c>
      <c r="DQ1" s="11" t="s">
        <v>429</v>
      </c>
      <c r="DR1" s="1" t="s">
        <v>430</v>
      </c>
      <c r="DS1" s="1" t="s">
        <v>431</v>
      </c>
      <c r="DT1" t="s">
        <v>432</v>
      </c>
      <c r="DU1" t="s">
        <v>433</v>
      </c>
      <c r="DV1" t="s">
        <v>434</v>
      </c>
      <c r="DW1" t="s">
        <v>435</v>
      </c>
      <c r="DX1" t="s">
        <v>341</v>
      </c>
      <c r="DY1" t="s">
        <v>436</v>
      </c>
      <c r="DZ1" t="s">
        <v>437</v>
      </c>
      <c r="EA1" t="s">
        <v>342</v>
      </c>
      <c r="EB1" t="s">
        <v>438</v>
      </c>
      <c r="EC1" t="s">
        <v>343</v>
      </c>
      <c r="ED1" t="s">
        <v>344</v>
      </c>
      <c r="EE1" t="s">
        <v>345</v>
      </c>
      <c r="EF1" t="s">
        <v>346</v>
      </c>
      <c r="EG1" t="s">
        <v>439</v>
      </c>
      <c r="EH1" t="s">
        <v>347</v>
      </c>
      <c r="EI1" t="s">
        <v>348</v>
      </c>
      <c r="EK1" s="12" t="s">
        <v>349</v>
      </c>
      <c r="EL1" t="s">
        <v>440</v>
      </c>
      <c r="EM1" t="s">
        <v>441</v>
      </c>
      <c r="EN1" t="s">
        <v>350</v>
      </c>
      <c r="EO1" t="s">
        <v>351</v>
      </c>
      <c r="EP1" t="s">
        <v>442</v>
      </c>
    </row>
    <row r="2" spans="1:146" ht="96" x14ac:dyDescent="0.25">
      <c r="C2" s="6" t="str">
        <f>""&amp;CHAR(10)&amp;Basic_Fundamental_Information_Constructure(F2)&amp;CHAR(10)&amp;Basic_Fundamental_Information_Concatenate("")</f>
        <v xml:space="preserve">
市值52.374297亿, 利润2.75亿; PE19.42; 平均PE23.93; 平均PEG1.31, PB1.67; ROIC9.8533%; ROE10.2967%; 股利率2.6232%; 毛利24.0433%; 净利12.1733%; 上一年度营收增.33%, 利润增-29.49%; 当季营收增.16%, 利润增-8.85%; 过往5年营收增18.27%, 利润增22.9%
Income profile:
</v>
      </c>
      <c r="D2" t="s">
        <v>448</v>
      </c>
      <c r="E2" t="s">
        <v>449</v>
      </c>
      <c r="F2">
        <v>6.9</v>
      </c>
      <c r="G2">
        <v>0.15</v>
      </c>
      <c r="H2" t="s">
        <v>594</v>
      </c>
      <c r="I2">
        <v>5237429700</v>
      </c>
      <c r="J2">
        <v>19.420000000000002</v>
      </c>
      <c r="K2">
        <v>1.67</v>
      </c>
      <c r="L2" t="s">
        <v>94</v>
      </c>
      <c r="M2" t="s">
        <v>595</v>
      </c>
      <c r="N2" t="s">
        <v>596</v>
      </c>
      <c r="O2" t="s">
        <v>597</v>
      </c>
      <c r="P2" s="5">
        <v>0.26</v>
      </c>
      <c r="Q2" t="s">
        <v>598</v>
      </c>
      <c r="R2">
        <v>51170358</v>
      </c>
      <c r="S2">
        <v>-8.8499999999999995E-2</v>
      </c>
      <c r="T2" t="s">
        <v>599</v>
      </c>
      <c r="U2">
        <v>746187780</v>
      </c>
      <c r="V2">
        <v>759047780</v>
      </c>
      <c r="W2">
        <v>1.5</v>
      </c>
      <c r="X2">
        <v>0.11</v>
      </c>
      <c r="Y2">
        <v>10.07</v>
      </c>
      <c r="Z2" t="s">
        <v>600</v>
      </c>
      <c r="AA2" t="s">
        <v>489</v>
      </c>
      <c r="AB2" t="s">
        <v>601</v>
      </c>
      <c r="AC2" t="s">
        <v>602</v>
      </c>
      <c r="AD2" t="s">
        <v>5</v>
      </c>
      <c r="AE2">
        <v>-2176580</v>
      </c>
      <c r="AF2" t="s">
        <v>603</v>
      </c>
      <c r="AG2" t="s">
        <v>604</v>
      </c>
      <c r="AH2" t="s">
        <v>605</v>
      </c>
      <c r="AI2" t="s">
        <v>606</v>
      </c>
      <c r="AJ2" t="s">
        <v>607</v>
      </c>
      <c r="AK2" t="s">
        <v>608</v>
      </c>
      <c r="AL2" t="s">
        <v>609</v>
      </c>
      <c r="AM2" t="s">
        <v>5</v>
      </c>
      <c r="AN2" t="s">
        <v>610</v>
      </c>
      <c r="AO2" t="s">
        <v>611</v>
      </c>
      <c r="AP2" t="s">
        <v>612</v>
      </c>
      <c r="AQ2" t="s">
        <v>199</v>
      </c>
      <c r="AR2" t="s">
        <v>5</v>
      </c>
      <c r="AS2" t="s">
        <v>613</v>
      </c>
      <c r="AT2" t="s">
        <v>614</v>
      </c>
      <c r="AU2" t="s">
        <v>615</v>
      </c>
      <c r="AV2" t="s">
        <v>616</v>
      </c>
      <c r="AW2" t="s">
        <v>617</v>
      </c>
      <c r="AX2" t="s">
        <v>450</v>
      </c>
      <c r="AY2" t="s">
        <v>455</v>
      </c>
      <c r="AZ2" t="s">
        <v>456</v>
      </c>
      <c r="BA2" t="s">
        <v>457</v>
      </c>
      <c r="BB2" t="s">
        <v>458</v>
      </c>
      <c r="BC2" t="s">
        <v>451</v>
      </c>
      <c r="BD2" t="s">
        <v>459</v>
      </c>
      <c r="BE2" t="s">
        <v>367</v>
      </c>
      <c r="BF2" t="s">
        <v>460</v>
      </c>
      <c r="BG2" t="s">
        <v>78</v>
      </c>
      <c r="BH2" t="s">
        <v>598</v>
      </c>
      <c r="BI2" t="s">
        <v>618</v>
      </c>
      <c r="BJ2" t="s">
        <v>450</v>
      </c>
      <c r="BK2" t="s">
        <v>599</v>
      </c>
      <c r="BL2" t="s">
        <v>619</v>
      </c>
      <c r="BM2" t="s">
        <v>451</v>
      </c>
      <c r="BN2">
        <v>7.55</v>
      </c>
      <c r="BO2">
        <v>12.5</v>
      </c>
      <c r="BP2">
        <v>9.51</v>
      </c>
      <c r="BQ2">
        <v>8.1199999999999992</v>
      </c>
      <c r="BR2">
        <v>13.75</v>
      </c>
      <c r="BS2">
        <v>9.02</v>
      </c>
      <c r="BT2" t="s">
        <v>620</v>
      </c>
      <c r="BU2" t="s">
        <v>90</v>
      </c>
      <c r="BV2">
        <v>25.88</v>
      </c>
      <c r="BW2">
        <v>23.73</v>
      </c>
      <c r="BX2">
        <v>22.52</v>
      </c>
      <c r="BY2">
        <v>11.6</v>
      </c>
      <c r="BZ2">
        <v>15.54</v>
      </c>
      <c r="CA2">
        <v>9.3800000000000008</v>
      </c>
      <c r="CB2">
        <v>-1.43</v>
      </c>
      <c r="CC2" s="7">
        <v>-8.7200000000000006</v>
      </c>
      <c r="CD2" s="8" t="s">
        <v>621</v>
      </c>
      <c r="CE2" s="7" t="s">
        <v>36</v>
      </c>
      <c r="CF2" s="7">
        <v>1.6474464579901153E-3</v>
      </c>
      <c r="CG2" s="7">
        <v>-8.8532042764060362E-2</v>
      </c>
      <c r="CH2" s="7">
        <v>3.2585780136287212E-3</v>
      </c>
      <c r="CI2" s="7">
        <v>5.6618109345436096E-2</v>
      </c>
      <c r="CJ2" s="8">
        <v>0.56339722871780396</v>
      </c>
      <c r="CK2" s="8">
        <v>0.21071693301200867</v>
      </c>
      <c r="CL2" s="8">
        <v>7.9749703407287598E-2</v>
      </c>
      <c r="CM2" s="8">
        <v>-0.29487180709838867</v>
      </c>
      <c r="CN2" s="8">
        <v>0.80555558204650879</v>
      </c>
      <c r="CO2">
        <v>0.24855491518974304</v>
      </c>
      <c r="CP2">
        <v>0.26277372241020203</v>
      </c>
      <c r="CQ2">
        <v>0.12295082211494446</v>
      </c>
      <c r="CR2" s="7">
        <v>23.933418278750953</v>
      </c>
      <c r="CS2" s="8">
        <v>1.3096397119165508</v>
      </c>
      <c r="CT2">
        <v>2.6231884057971016</v>
      </c>
      <c r="CU2">
        <v>0.18274811049923301</v>
      </c>
      <c r="CV2">
        <v>0.22899264693260193</v>
      </c>
      <c r="CW2">
        <v>0.06</v>
      </c>
      <c r="CX2">
        <v>11.453435355509987</v>
      </c>
      <c r="CY2">
        <v>306845028.66725379</v>
      </c>
      <c r="CZ2">
        <v>0.18274811049923301</v>
      </c>
      <c r="DA2">
        <v>3.4631005667556662</v>
      </c>
      <c r="DB2">
        <v>1014821727.5978273</v>
      </c>
      <c r="DC2">
        <v>0.17361070497427136</v>
      </c>
      <c r="DD2">
        <v>1.5312693507187214</v>
      </c>
      <c r="DE2">
        <v>2295108759.5075655</v>
      </c>
      <c r="DF2">
        <v>0.16081833723932504</v>
      </c>
      <c r="DG2">
        <v>0.81073884498324711</v>
      </c>
      <c r="DH2">
        <v>4334848048.4768448</v>
      </c>
      <c r="DI2">
        <v>0.1461984883993864</v>
      </c>
      <c r="DJ2">
        <v>0.31243870127760132</v>
      </c>
      <c r="DK2">
        <v>11248381476.523405</v>
      </c>
      <c r="DL2">
        <v>0.12792367734946311</v>
      </c>
      <c r="DM2">
        <v>275000000</v>
      </c>
      <c r="DN2">
        <v>0.18274811049923301</v>
      </c>
      <c r="DO2">
        <v>3514429700</v>
      </c>
      <c r="DP2">
        <v>1880201100</v>
      </c>
      <c r="DQ2" s="9">
        <v>575</v>
      </c>
      <c r="DR2">
        <v>-0.18110066404124289</v>
      </c>
      <c r="DS2">
        <v>-0.31752468969666231</v>
      </c>
      <c r="DT2">
        <v>-0.19000000000000003</v>
      </c>
      <c r="DU2">
        <v>0.3833333333333333</v>
      </c>
      <c r="DV2">
        <v>0.19333333333333327</v>
      </c>
      <c r="DW2">
        <v>-2.0872000000000002</v>
      </c>
      <c r="DX2">
        <v>0.32143004694835586</v>
      </c>
      <c r="DY2">
        <v>-2.0132047000938966</v>
      </c>
      <c r="DZ2">
        <v>1281</v>
      </c>
      <c r="EA2">
        <v>-2.0098944807552899</v>
      </c>
      <c r="EB2" s="10">
        <v>2</v>
      </c>
      <c r="EC2" s="10">
        <v>4.2493504163861724E-2</v>
      </c>
      <c r="ED2">
        <v>0.28061474601770131</v>
      </c>
      <c r="EE2">
        <v>-2.0158</v>
      </c>
      <c r="EF2">
        <v>-2.0001000000000002</v>
      </c>
      <c r="EG2">
        <v>17.151430046948356</v>
      </c>
      <c r="EH2" s="12" t="s">
        <v>622</v>
      </c>
      <c r="EI2">
        <v>0</v>
      </c>
      <c r="EJ2">
        <v>1</v>
      </c>
      <c r="EK2">
        <v>45470</v>
      </c>
      <c r="EL2">
        <v>0</v>
      </c>
      <c r="EM2">
        <v>-2.64</v>
      </c>
      <c r="EN2" s="13">
        <v>0.43</v>
      </c>
      <c r="EO2" s="13">
        <v>2.34</v>
      </c>
      <c r="EP2" s="13">
        <v>-1.57</v>
      </c>
    </row>
    <row r="3" spans="1:146" ht="180" x14ac:dyDescent="0.25">
      <c r="A3" s="6" t="s">
        <v>387</v>
      </c>
      <c r="B3" s="6" t="s">
        <v>388</v>
      </c>
      <c r="C3" s="6" t="str">
        <f>"公司是一家以赛事运营及服务为核心、赛车场/馆（包括卡丁车场/馆）经营、赛车队经营及运营服务为载体，汽车活动推广为延伸，汽车运动技术研发/服务、赛车培训、少儿卡丁车培训、赛车装备和用品代理及销售、娱乐卡丁车制造等为补充，为客户提供汽车运动全产业链服务的体育服务企业。"&amp;CHAR(10)&amp;Basic_Fundamental_Information_Constructure(F3)&amp;CHAR(10)&amp;Basic_Fundamental_Information_Concatenate("体育赛事经营 3758.99万 48.76% 76.37% 27.89%
体育场馆经营 2202.91万 28.58% -13.30% -8.29%
体育装备制造与销售 854.44万 11.08% 25.08% 40.28%
体育俱乐部经营 407.47万 5.29% 8.92% 30.04%")</f>
        <v>公司是一家以赛事运营及服务为核心、赛车场/馆（包括卡丁车场/馆）经营、赛车队经营及运营服务为载体，汽车活动推广为延伸，汽车运动技术研发/服务、赛车培训、少儿卡丁车培训、赛车装备和用品代理及销售、娱乐卡丁车制造等为补充，为客户提供汽车运动全产业链服务的体育服务企业。
市值16.965703亿, 利润-1.93亿; PE; 平均PE-39.86; 平均PEG-3.83, PB2.94; ROIC2.67%; ROE-3.1467%; 股利率0%; 毛利23.49%; 净利-20.13%; 上一年度营收增56.98%, 利润增-149.17%; 当季营收增13.55%, 利润增15.07%; 过往5年营收增10.42%, 利润增-584%
Income profile:
体育赛事经营 3758.99万 48.76% 76.37% 27.89%
体育场馆经营 2202.91万 28.58% -13.30% -8.29%
体育装备制造与销售 854.44万 11.08% 25.08% 40.28%
体育俱乐部经营 407.47万 5.29% 8.92% 30.04%</v>
      </c>
      <c r="D3" t="s">
        <v>93</v>
      </c>
      <c r="E3" t="s">
        <v>297</v>
      </c>
      <c r="F3">
        <v>10.35</v>
      </c>
      <c r="G3">
        <v>2.17</v>
      </c>
      <c r="H3" t="s">
        <v>623</v>
      </c>
      <c r="I3">
        <v>1696570300</v>
      </c>
      <c r="K3">
        <v>2.94</v>
      </c>
      <c r="L3" t="s">
        <v>94</v>
      </c>
      <c r="M3" t="s">
        <v>482</v>
      </c>
      <c r="N3" t="s">
        <v>624</v>
      </c>
      <c r="O3" t="s">
        <v>117</v>
      </c>
      <c r="P3">
        <v>13.42</v>
      </c>
      <c r="Q3" t="s">
        <v>469</v>
      </c>
      <c r="R3">
        <v>11564982</v>
      </c>
      <c r="S3" s="5">
        <v>0.1507</v>
      </c>
      <c r="T3" t="s">
        <v>625</v>
      </c>
      <c r="U3">
        <v>146727140</v>
      </c>
      <c r="V3">
        <v>163919840</v>
      </c>
      <c r="W3">
        <v>1.54</v>
      </c>
      <c r="X3">
        <v>0.1</v>
      </c>
      <c r="Y3">
        <v>24.13</v>
      </c>
      <c r="Z3" t="s">
        <v>626</v>
      </c>
      <c r="AA3" t="s">
        <v>627</v>
      </c>
      <c r="AB3" t="s">
        <v>628</v>
      </c>
      <c r="AC3" t="s">
        <v>629</v>
      </c>
      <c r="AD3" t="s">
        <v>5</v>
      </c>
      <c r="AE3">
        <v>-850645</v>
      </c>
      <c r="AF3" t="s">
        <v>630</v>
      </c>
      <c r="AG3">
        <v>5000.7700000000004</v>
      </c>
      <c r="AH3" t="s">
        <v>631</v>
      </c>
      <c r="AI3" t="s">
        <v>370</v>
      </c>
      <c r="AJ3" t="s">
        <v>632</v>
      </c>
      <c r="AK3" t="s">
        <v>633</v>
      </c>
      <c r="AL3" t="s">
        <v>634</v>
      </c>
      <c r="AM3" t="s">
        <v>5</v>
      </c>
      <c r="AN3" t="s">
        <v>635</v>
      </c>
      <c r="AO3" t="s">
        <v>588</v>
      </c>
      <c r="AP3" t="s">
        <v>5</v>
      </c>
      <c r="AQ3" t="s">
        <v>636</v>
      </c>
      <c r="AR3" t="s">
        <v>5</v>
      </c>
      <c r="AS3" t="s">
        <v>463</v>
      </c>
      <c r="AT3" t="s">
        <v>5</v>
      </c>
      <c r="AU3" t="s">
        <v>637</v>
      </c>
      <c r="AV3" t="s">
        <v>638</v>
      </c>
      <c r="AW3" t="s">
        <v>639</v>
      </c>
      <c r="AX3" t="s">
        <v>190</v>
      </c>
      <c r="AY3" t="s">
        <v>240</v>
      </c>
      <c r="AZ3" t="s">
        <v>64</v>
      </c>
      <c r="BA3" t="s">
        <v>97</v>
      </c>
      <c r="BB3" t="s">
        <v>98</v>
      </c>
      <c r="BC3" t="s">
        <v>640</v>
      </c>
      <c r="BD3" t="s">
        <v>241</v>
      </c>
      <c r="BE3" t="s">
        <v>95</v>
      </c>
      <c r="BF3" t="s">
        <v>100</v>
      </c>
      <c r="BG3" t="s">
        <v>101</v>
      </c>
      <c r="BH3" t="s">
        <v>469</v>
      </c>
      <c r="BI3" t="s">
        <v>641</v>
      </c>
      <c r="BJ3" t="s">
        <v>190</v>
      </c>
      <c r="BK3" t="s">
        <v>625</v>
      </c>
      <c r="BL3" t="s">
        <v>642</v>
      </c>
      <c r="BM3" t="s">
        <v>640</v>
      </c>
      <c r="BN3">
        <v>2.82</v>
      </c>
      <c r="BO3" t="s">
        <v>5</v>
      </c>
      <c r="BP3">
        <v>2.52</v>
      </c>
      <c r="BQ3">
        <v>0.5</v>
      </c>
      <c r="BR3">
        <v>-10.87</v>
      </c>
      <c r="BS3">
        <v>0.93</v>
      </c>
      <c r="BT3" t="s">
        <v>443</v>
      </c>
      <c r="BU3" t="s">
        <v>355</v>
      </c>
      <c r="BV3">
        <v>21.89</v>
      </c>
      <c r="BW3">
        <v>18.07</v>
      </c>
      <c r="BX3">
        <v>30.51</v>
      </c>
      <c r="BY3">
        <v>-41.5</v>
      </c>
      <c r="BZ3">
        <v>-24.81</v>
      </c>
      <c r="CA3">
        <v>5.92</v>
      </c>
      <c r="CB3">
        <v>-0.48</v>
      </c>
      <c r="CC3">
        <v>-11.76</v>
      </c>
      <c r="CD3" t="s">
        <v>643</v>
      </c>
      <c r="CE3" t="s">
        <v>78</v>
      </c>
      <c r="CF3" s="7">
        <v>0.13551445834338174</v>
      </c>
      <c r="CG3" s="8">
        <v>0.15071012805587894</v>
      </c>
      <c r="CH3" s="7">
        <v>0.56976741552352905</v>
      </c>
      <c r="CI3" s="7">
        <v>-8.1850536167621613E-2</v>
      </c>
      <c r="CJ3" s="7">
        <v>0.4050000011920929</v>
      </c>
      <c r="CK3" s="7">
        <v>-0.54545456171035767</v>
      </c>
      <c r="CL3" s="7">
        <v>0.17333333194255829</v>
      </c>
      <c r="CM3" s="8">
        <v>-1.4917470216751099</v>
      </c>
      <c r="CN3" s="8">
        <v>-25.331886291503906</v>
      </c>
      <c r="CO3" s="8">
        <v>1.0624396800994873</v>
      </c>
      <c r="CP3" s="8">
        <v>-3.0787088871002197</v>
      </c>
      <c r="CQ3" s="8">
        <v>-0.36001399159431458</v>
      </c>
      <c r="CR3">
        <v>-39.855813210485884</v>
      </c>
      <c r="CS3">
        <v>-3.8264349126935029</v>
      </c>
      <c r="CT3">
        <v>0</v>
      </c>
      <c r="CU3" s="7">
        <v>0.1041591301560402</v>
      </c>
      <c r="CV3" s="8">
        <v>-5.8399833023548124</v>
      </c>
      <c r="CW3">
        <v>0.06</v>
      </c>
      <c r="CX3" t="e">
        <v>#VALUE!</v>
      </c>
      <c r="CY3" t="s">
        <v>296</v>
      </c>
      <c r="CZ3">
        <v>0.1041591301560402</v>
      </c>
      <c r="DA3" t="e">
        <v>#VALUE!</v>
      </c>
      <c r="DB3" t="s">
        <v>296</v>
      </c>
      <c r="DC3">
        <v>9.8951173648238189E-2</v>
      </c>
      <c r="DD3" t="e">
        <v>#VALUE!</v>
      </c>
      <c r="DE3" t="s">
        <v>296</v>
      </c>
      <c r="DF3">
        <v>9.1660034537315374E-2</v>
      </c>
      <c r="DG3" t="e">
        <v>#VALUE!</v>
      </c>
      <c r="DH3" t="s">
        <v>296</v>
      </c>
      <c r="DI3">
        <v>8.3327304124832163E-2</v>
      </c>
      <c r="DJ3" t="e">
        <v>#VALUE!</v>
      </c>
      <c r="DK3" t="s">
        <v>296</v>
      </c>
      <c r="DL3">
        <v>7.2911391109228132E-2</v>
      </c>
      <c r="DM3">
        <v>-193000000</v>
      </c>
      <c r="DN3">
        <v>0.1041591301560402</v>
      </c>
      <c r="DO3">
        <v>1336570300</v>
      </c>
      <c r="DP3">
        <v>134631760</v>
      </c>
      <c r="DQ3">
        <v>1326</v>
      </c>
      <c r="DR3">
        <v>3.1355328187341547E-2</v>
      </c>
      <c r="DS3">
        <v>5.9906934304106914</v>
      </c>
      <c r="DT3" s="9">
        <v>-0.15666666666666665</v>
      </c>
      <c r="DU3">
        <v>-1.5099999999999998</v>
      </c>
      <c r="DV3">
        <v>-1.6666666666666665</v>
      </c>
      <c r="DW3">
        <v>-2.1175999999999999</v>
      </c>
      <c r="DX3">
        <v>0.41829672131147633</v>
      </c>
      <c r="DY3">
        <v>-2.0186156944262295</v>
      </c>
      <c r="DZ3">
        <v>4148</v>
      </c>
      <c r="EA3">
        <v>-2.0035045593029417</v>
      </c>
      <c r="EB3">
        <v>2</v>
      </c>
      <c r="EC3">
        <v>0.11781490269878253</v>
      </c>
      <c r="ED3">
        <v>0.74426622183135371</v>
      </c>
      <c r="EE3" s="10">
        <v>1.1083000000000001</v>
      </c>
      <c r="EF3">
        <v>1.099</v>
      </c>
      <c r="EG3">
        <v>26.158296721311476</v>
      </c>
      <c r="EH3" t="s">
        <v>585</v>
      </c>
      <c r="EI3">
        <v>0</v>
      </c>
      <c r="EJ3">
        <v>0</v>
      </c>
      <c r="EK3" s="12">
        <v>45470</v>
      </c>
      <c r="EL3" s="13">
        <v>-0.09</v>
      </c>
      <c r="EM3" s="13">
        <v>-4.92</v>
      </c>
      <c r="EN3" s="13">
        <v>0.4</v>
      </c>
      <c r="EO3" s="13">
        <v>6.24</v>
      </c>
      <c r="EP3" s="13">
        <v>-0.93</v>
      </c>
    </row>
    <row r="4" spans="1:146" ht="216" x14ac:dyDescent="0.25">
      <c r="A4" s="14" t="s">
        <v>580</v>
      </c>
      <c r="B4" s="6" t="s">
        <v>317</v>
      </c>
      <c r="C4" s="6" t="str">
        <f>"公司主营业务为计量服务、检测服务、检测装备研发等专业技术服务。公司主要提供计量服务、可靠性与环境试验、电磁兼容检测等专业服务。"&amp;CHAR(10)&amp;Basic_Fundamental_Information_Constructure(F4)&amp;CHAR(10)&amp;Basic_Fundamental_Information_Concatenate("计量检测业务 18.53亿 82.48% 利润占比83.45% 41.87%
EHS评价咨询 2.39亿 10.66% 利润占比12.85% 49.89%
其他 1.54亿 6.86% 利润占比3.71% 22.36%")</f>
        <v>公司主营业务为计量服务、检测服务、检测装备研发等专业技术服务。公司主要提供计量服务、可靠性与环境试验、电磁兼容检测等专业服务。
市值68.336831亿, 利润1.99亿; PE33.63; 平均PE37.58; 平均PEG2, PB1.9; ROIC4.7167%; ROE5.31%; 股利率1.2626%; 毛利41.0933%; 净利7.67%; 上一年度营收增10.94%, 利润增8.15%; 当季营收增7.89%, 利润增3156%; 过往5年营收增18.83%, 利润增12.86%
Income profile:
计量检测业务 18.53亿 82.48% 利润占比83.45% 41.87%
EHS评价咨询 2.39亿 10.66% 利润占比12.85% 49.89%
其他 1.54亿 6.86% 利润占比3.71% 22.36%</v>
      </c>
      <c r="D4" t="s">
        <v>103</v>
      </c>
      <c r="E4" t="s">
        <v>104</v>
      </c>
      <c r="F4">
        <v>11.88</v>
      </c>
      <c r="G4">
        <v>0.85</v>
      </c>
      <c r="H4" t="s">
        <v>644</v>
      </c>
      <c r="I4">
        <v>6833683100</v>
      </c>
      <c r="J4">
        <v>33.630000000000003</v>
      </c>
      <c r="K4">
        <v>1.9</v>
      </c>
      <c r="L4" t="s">
        <v>94</v>
      </c>
      <c r="M4" t="s">
        <v>645</v>
      </c>
      <c r="N4" t="s">
        <v>646</v>
      </c>
      <c r="O4" t="s">
        <v>647</v>
      </c>
      <c r="P4">
        <v>7.82</v>
      </c>
      <c r="Q4" t="s">
        <v>648</v>
      </c>
      <c r="R4">
        <v>80000000</v>
      </c>
      <c r="S4" s="5">
        <v>1.4570000000000001</v>
      </c>
      <c r="T4" t="s">
        <v>491</v>
      </c>
      <c r="U4">
        <v>506465840</v>
      </c>
      <c r="V4">
        <v>575225850</v>
      </c>
      <c r="W4">
        <v>1.62</v>
      </c>
      <c r="X4">
        <v>0.1</v>
      </c>
      <c r="Y4">
        <v>-0.56000000000000005</v>
      </c>
      <c r="Z4" t="s">
        <v>649</v>
      </c>
      <c r="AA4" t="s">
        <v>246</v>
      </c>
      <c r="AB4" t="s">
        <v>69</v>
      </c>
      <c r="AC4" t="s">
        <v>650</v>
      </c>
      <c r="AD4" t="s">
        <v>5</v>
      </c>
      <c r="AE4">
        <v>-538397</v>
      </c>
      <c r="AF4" t="s">
        <v>651</v>
      </c>
      <c r="AG4" t="s">
        <v>652</v>
      </c>
      <c r="AH4" t="s">
        <v>653</v>
      </c>
      <c r="AI4" t="s">
        <v>654</v>
      </c>
      <c r="AJ4" t="s">
        <v>655</v>
      </c>
      <c r="AK4" t="s">
        <v>367</v>
      </c>
      <c r="AL4" t="s">
        <v>656</v>
      </c>
      <c r="AM4" t="s">
        <v>5</v>
      </c>
      <c r="AN4" t="s">
        <v>363</v>
      </c>
      <c r="AO4" t="s">
        <v>132</v>
      </c>
      <c r="AP4" t="s">
        <v>657</v>
      </c>
      <c r="AQ4" t="s">
        <v>658</v>
      </c>
      <c r="AR4" t="s">
        <v>5</v>
      </c>
      <c r="AS4" t="s">
        <v>659</v>
      </c>
      <c r="AT4" t="s">
        <v>569</v>
      </c>
      <c r="AU4" t="s">
        <v>660</v>
      </c>
      <c r="AV4" t="s">
        <v>661</v>
      </c>
      <c r="AW4" t="s">
        <v>662</v>
      </c>
      <c r="AX4" t="s">
        <v>461</v>
      </c>
      <c r="AY4" t="s">
        <v>242</v>
      </c>
      <c r="AZ4" t="s">
        <v>105</v>
      </c>
      <c r="BA4" t="s">
        <v>106</v>
      </c>
      <c r="BB4" t="s">
        <v>107</v>
      </c>
      <c r="BC4" t="s">
        <v>40</v>
      </c>
      <c r="BD4" t="s">
        <v>88</v>
      </c>
      <c r="BE4" t="s">
        <v>86</v>
      </c>
      <c r="BF4" t="s">
        <v>109</v>
      </c>
      <c r="BG4" t="s">
        <v>78</v>
      </c>
      <c r="BH4" t="s">
        <v>648</v>
      </c>
      <c r="BI4" t="s">
        <v>494</v>
      </c>
      <c r="BJ4" t="s">
        <v>461</v>
      </c>
      <c r="BK4" t="s">
        <v>491</v>
      </c>
      <c r="BL4" t="s">
        <v>663</v>
      </c>
      <c r="BM4" t="s">
        <v>40</v>
      </c>
      <c r="BN4">
        <v>3.01</v>
      </c>
      <c r="BO4">
        <v>4.72</v>
      </c>
      <c r="BP4">
        <v>6.42</v>
      </c>
      <c r="BQ4">
        <v>3.78</v>
      </c>
      <c r="BR4">
        <v>5.34</v>
      </c>
      <c r="BS4">
        <v>6.81</v>
      </c>
      <c r="BT4" t="s">
        <v>444</v>
      </c>
      <c r="BU4" t="s">
        <v>90</v>
      </c>
      <c r="BV4">
        <v>42.28</v>
      </c>
      <c r="BW4">
        <v>39.619999999999997</v>
      </c>
      <c r="BX4">
        <v>41.38</v>
      </c>
      <c r="BY4">
        <v>7.14</v>
      </c>
      <c r="BZ4">
        <v>7.3</v>
      </c>
      <c r="CA4">
        <v>8.57</v>
      </c>
      <c r="CB4">
        <v>0.68</v>
      </c>
      <c r="CC4">
        <v>-15.8</v>
      </c>
      <c r="CD4" t="s">
        <v>664</v>
      </c>
      <c r="CE4" t="s">
        <v>40</v>
      </c>
      <c r="CF4" s="7">
        <v>7.8899082568807344E-2</v>
      </c>
      <c r="CG4" s="8">
        <v>31.560012224004897</v>
      </c>
      <c r="CH4" s="7">
        <v>0.10944698005914688</v>
      </c>
      <c r="CI4" s="7">
        <v>0.15887847542762756</v>
      </c>
      <c r="CJ4" s="7">
        <v>0.22119568288326263</v>
      </c>
      <c r="CK4" s="7">
        <v>0.15869016945362091</v>
      </c>
      <c r="CL4" s="7">
        <v>0.2931596040725708</v>
      </c>
      <c r="CM4" s="8">
        <v>8.1521742045879364E-2</v>
      </c>
      <c r="CN4" s="8">
        <v>1.0989011265337467E-2</v>
      </c>
      <c r="CO4" s="8">
        <v>-0.2255319207906723</v>
      </c>
      <c r="CP4" s="8">
        <v>0.39053255319595337</v>
      </c>
      <c r="CQ4" s="8">
        <v>0.38524588942527771</v>
      </c>
      <c r="CR4">
        <v>37.58212520623281</v>
      </c>
      <c r="CS4">
        <v>1.9961380116648242</v>
      </c>
      <c r="CT4">
        <v>1.2626262626262625</v>
      </c>
      <c r="CU4" s="7">
        <v>0.18827418237924576</v>
      </c>
      <c r="CV4" s="8">
        <v>0.12855145502835513</v>
      </c>
      <c r="CW4">
        <v>0.06</v>
      </c>
      <c r="CX4">
        <v>24.940118504707769</v>
      </c>
      <c r="CY4">
        <v>223081662.54100931</v>
      </c>
      <c r="CZ4">
        <v>0.18827418237924576</v>
      </c>
      <c r="DA4">
        <v>7.5065666705626217</v>
      </c>
      <c r="DB4">
        <v>741175472.64560544</v>
      </c>
      <c r="DC4">
        <v>0.17886047326028345</v>
      </c>
      <c r="DD4">
        <v>3.2975749847594242</v>
      </c>
      <c r="DE4">
        <v>1687204423.1636784</v>
      </c>
      <c r="DF4">
        <v>0.16568128049373626</v>
      </c>
      <c r="DG4">
        <v>1.7321275853286247</v>
      </c>
      <c r="DH4">
        <v>3212051552.7408109</v>
      </c>
      <c r="DI4">
        <v>0.15061934590339662</v>
      </c>
      <c r="DJ4">
        <v>0.65473753366999932</v>
      </c>
      <c r="DK4">
        <v>8497577752.7429895</v>
      </c>
      <c r="DL4">
        <v>0.13179192766547201</v>
      </c>
      <c r="DM4">
        <v>199000000</v>
      </c>
      <c r="DN4">
        <v>0.18827418237924576</v>
      </c>
      <c r="DO4">
        <v>5563683100</v>
      </c>
      <c r="DP4">
        <v>1624060900</v>
      </c>
      <c r="DQ4">
        <v>1426</v>
      </c>
      <c r="DR4">
        <v>-0.10937509981043841</v>
      </c>
      <c r="DS4">
        <v>31.431460768976542</v>
      </c>
      <c r="DT4" s="9">
        <v>5.9999999999999908E-2</v>
      </c>
      <c r="DU4">
        <v>8.3333333333333301E-2</v>
      </c>
      <c r="DV4">
        <v>0.1433333333333332</v>
      </c>
      <c r="DW4">
        <v>-2.1579999999999999</v>
      </c>
      <c r="DX4">
        <v>0.27132608695652161</v>
      </c>
      <c r="DY4">
        <v>-2.0207495217391305</v>
      </c>
      <c r="DZ4">
        <v>1392</v>
      </c>
      <c r="EA4">
        <v>-2.0150972058368075</v>
      </c>
      <c r="EB4">
        <v>2</v>
      </c>
      <c r="EC4">
        <v>4.2007847874013314E-2</v>
      </c>
      <c r="ED4">
        <v>0.31987435891485055</v>
      </c>
      <c r="EE4" s="10">
        <v>2.0419</v>
      </c>
      <c r="EF4">
        <v>2.0055000000000001</v>
      </c>
      <c r="EG4">
        <v>14.131326086956522</v>
      </c>
      <c r="EH4" t="s">
        <v>665</v>
      </c>
      <c r="EI4">
        <v>0</v>
      </c>
      <c r="EJ4">
        <v>1</v>
      </c>
      <c r="EK4" s="12">
        <v>45470</v>
      </c>
      <c r="EL4" s="13">
        <v>0.65</v>
      </c>
      <c r="EM4" s="13">
        <v>-3.81</v>
      </c>
      <c r="EN4" s="13">
        <v>-0.25</v>
      </c>
      <c r="EO4" s="13">
        <v>2.2000000000000002</v>
      </c>
      <c r="EP4" s="13">
        <v>-3.64</v>
      </c>
    </row>
    <row r="5" spans="1:146" ht="96" x14ac:dyDescent="0.25">
      <c r="A5" s="6"/>
      <c r="B5" s="6"/>
      <c r="C5" s="6" t="str">
        <f>""&amp;CHAR(10)&amp;Basic_Fundamental_Information_Constructure(F5)&amp;CHAR(10)&amp;Basic_Fundamental_Information_Concatenate("")</f>
        <v xml:space="preserve">
市值16.8272亿, 利润5879.17万; PE30.13; 平均PE21.06; 平均PEG17.08, PB1.56; ROIC5.5267%; ROE5.8333%; 股利率1.8541%; 毛利68.1567%; 净利39.9%; 上一年度营收增22.44%, 利润增-14.81%; 当季营收增14.95%, 利润增142.88%; 过往5年营收增1.23%, 利润增-9.85%
Income profile:
</v>
      </c>
      <c r="D5" t="s">
        <v>111</v>
      </c>
      <c r="E5" t="s">
        <v>112</v>
      </c>
      <c r="F5">
        <v>16.18</v>
      </c>
      <c r="G5">
        <v>2.15</v>
      </c>
      <c r="H5" t="s">
        <v>666</v>
      </c>
      <c r="I5">
        <v>1682720000</v>
      </c>
      <c r="J5">
        <v>30.13</v>
      </c>
      <c r="K5">
        <v>1.56</v>
      </c>
      <c r="L5" t="s">
        <v>94</v>
      </c>
      <c r="M5" t="s">
        <v>667</v>
      </c>
      <c r="N5" t="s">
        <v>668</v>
      </c>
      <c r="O5" t="s">
        <v>669</v>
      </c>
      <c r="P5">
        <v>14.95</v>
      </c>
      <c r="Q5" t="s">
        <v>670</v>
      </c>
      <c r="R5">
        <v>39000000</v>
      </c>
      <c r="S5" s="5">
        <v>-0.18340000000000001</v>
      </c>
      <c r="T5" t="s">
        <v>671</v>
      </c>
      <c r="U5">
        <v>77848325</v>
      </c>
      <c r="V5">
        <v>104000000</v>
      </c>
      <c r="W5">
        <v>1.06</v>
      </c>
      <c r="X5">
        <v>0.04</v>
      </c>
      <c r="Y5">
        <v>29.35</v>
      </c>
      <c r="Z5" t="s">
        <v>672</v>
      </c>
      <c r="AA5" t="s">
        <v>673</v>
      </c>
      <c r="AB5" t="s">
        <v>674</v>
      </c>
      <c r="AC5" t="s">
        <v>675</v>
      </c>
      <c r="AD5" t="s">
        <v>5</v>
      </c>
      <c r="AE5">
        <v>-338499</v>
      </c>
      <c r="AF5" t="s">
        <v>676</v>
      </c>
      <c r="AG5" t="s">
        <v>677</v>
      </c>
      <c r="AH5" t="s">
        <v>678</v>
      </c>
      <c r="AI5" t="s">
        <v>679</v>
      </c>
      <c r="AJ5" t="s">
        <v>680</v>
      </c>
      <c r="AK5" t="s">
        <v>681</v>
      </c>
      <c r="AL5" t="s">
        <v>682</v>
      </c>
      <c r="AM5" t="s">
        <v>5</v>
      </c>
      <c r="AN5" t="s">
        <v>683</v>
      </c>
      <c r="AO5" t="s">
        <v>5</v>
      </c>
      <c r="AP5" t="s">
        <v>5</v>
      </c>
      <c r="AQ5" t="s">
        <v>684</v>
      </c>
      <c r="AR5" t="s">
        <v>5</v>
      </c>
      <c r="AS5" t="s">
        <v>685</v>
      </c>
      <c r="AT5" t="s">
        <v>5</v>
      </c>
      <c r="AU5" t="s">
        <v>686</v>
      </c>
      <c r="AV5" t="s">
        <v>163</v>
      </c>
      <c r="AW5" t="s">
        <v>687</v>
      </c>
      <c r="AX5" t="s">
        <v>465</v>
      </c>
      <c r="AY5" t="s">
        <v>223</v>
      </c>
      <c r="AZ5" t="s">
        <v>113</v>
      </c>
      <c r="BA5" t="s">
        <v>22</v>
      </c>
      <c r="BB5" t="s">
        <v>116</v>
      </c>
      <c r="BC5" t="s">
        <v>466</v>
      </c>
      <c r="BD5" t="s">
        <v>243</v>
      </c>
      <c r="BE5" t="s">
        <v>114</v>
      </c>
      <c r="BF5" t="s">
        <v>63</v>
      </c>
      <c r="BG5" t="s">
        <v>117</v>
      </c>
      <c r="BH5" t="s">
        <v>670</v>
      </c>
      <c r="BI5" t="s">
        <v>688</v>
      </c>
      <c r="BJ5" t="s">
        <v>465</v>
      </c>
      <c r="BK5" t="s">
        <v>671</v>
      </c>
      <c r="BL5" t="s">
        <v>689</v>
      </c>
      <c r="BM5" t="s">
        <v>466</v>
      </c>
      <c r="BN5">
        <v>4.3099999999999996</v>
      </c>
      <c r="BO5">
        <v>6.35</v>
      </c>
      <c r="BP5">
        <v>5.92</v>
      </c>
      <c r="BQ5">
        <v>4.4400000000000004</v>
      </c>
      <c r="BR5">
        <v>6.69</v>
      </c>
      <c r="BS5">
        <v>6.37</v>
      </c>
      <c r="BT5" t="s">
        <v>690</v>
      </c>
      <c r="BU5" t="s">
        <v>90</v>
      </c>
      <c r="BV5">
        <v>66.23</v>
      </c>
      <c r="BW5">
        <v>69.8</v>
      </c>
      <c r="BX5">
        <v>68.44</v>
      </c>
      <c r="BY5">
        <v>30.81</v>
      </c>
      <c r="BZ5">
        <v>44.24</v>
      </c>
      <c r="CA5">
        <v>44.65</v>
      </c>
      <c r="CB5">
        <v>-0.55000000000000004</v>
      </c>
      <c r="CC5">
        <v>-1.48</v>
      </c>
      <c r="CD5" t="s">
        <v>691</v>
      </c>
      <c r="CE5" t="s">
        <v>352</v>
      </c>
      <c r="CF5" s="7">
        <v>0.14945894072789581</v>
      </c>
      <c r="CG5" s="8">
        <v>1.428816979299006</v>
      </c>
      <c r="CH5" s="7">
        <v>0.22435897588729858</v>
      </c>
      <c r="CI5" s="7">
        <v>8.3333335816860199E-2</v>
      </c>
      <c r="CJ5" s="7">
        <v>-0.12727272510528564</v>
      </c>
      <c r="CK5" s="7">
        <v>-0.18719211220741272</v>
      </c>
      <c r="CL5" s="7">
        <v>6.8421050906181335E-2</v>
      </c>
      <c r="CM5" s="8">
        <v>-0.14805996417999268</v>
      </c>
      <c r="CN5" s="8">
        <v>7.4043065309524536E-2</v>
      </c>
      <c r="CO5" s="8">
        <v>-0.13476887345314026</v>
      </c>
      <c r="CP5" s="8">
        <v>-0.31241023540496826</v>
      </c>
      <c r="CQ5" s="8">
        <v>2.857142873108387E-2</v>
      </c>
      <c r="CR5">
        <v>21.064174429870789</v>
      </c>
      <c r="CS5">
        <v>17.084086219558408</v>
      </c>
      <c r="CT5">
        <v>1.854140914709518</v>
      </c>
      <c r="CU5" s="7">
        <v>1.2329705059528351E-2</v>
      </c>
      <c r="CV5" s="8">
        <v>-9.8524915799498555E-2</v>
      </c>
      <c r="CW5">
        <v>0.06</v>
      </c>
      <c r="CX5">
        <v>12.280104820174518</v>
      </c>
      <c r="CY5">
        <v>56147721.057498366</v>
      </c>
      <c r="CZ5">
        <v>1.2329705059528351E-2</v>
      </c>
      <c r="DA5">
        <v>4.2882410139881353</v>
      </c>
      <c r="DB5">
        <v>160788513.92700842</v>
      </c>
      <c r="DC5">
        <v>1.1713219806551933E-2</v>
      </c>
      <c r="DD5">
        <v>2.3004199583049632</v>
      </c>
      <c r="DE5">
        <v>299727837.74143994</v>
      </c>
      <c r="DF5">
        <v>1.0850140452384948E-2</v>
      </c>
      <c r="DG5">
        <v>1.5162035052579861</v>
      </c>
      <c r="DH5">
        <v>454754192.03880537</v>
      </c>
      <c r="DI5">
        <v>9.8637640476226807E-3</v>
      </c>
      <c r="DJ5">
        <v>0.94850475828410796</v>
      </c>
      <c r="DK5">
        <v>726933517.17848992</v>
      </c>
      <c r="DL5">
        <v>8.6307935416698456E-3</v>
      </c>
      <c r="DM5">
        <v>58791700</v>
      </c>
      <c r="DN5">
        <v>1.2329705059528351E-2</v>
      </c>
      <c r="DO5">
        <v>689499900</v>
      </c>
      <c r="DP5">
        <v>645783420</v>
      </c>
      <c r="DQ5">
        <v>1465</v>
      </c>
      <c r="DR5">
        <v>0.13712923566836746</v>
      </c>
      <c r="DS5">
        <v>1.5273418950985045</v>
      </c>
      <c r="DT5" s="9">
        <v>-0.38999999999999996</v>
      </c>
      <c r="DU5">
        <v>0.32333333333333336</v>
      </c>
      <c r="DV5">
        <v>-6.6666666666666596E-2</v>
      </c>
      <c r="DW5">
        <v>-1.4800000000000001E-2</v>
      </c>
      <c r="DX5">
        <v>0.28976335403726622</v>
      </c>
      <c r="DY5">
        <v>-1.6244976397515529E-3</v>
      </c>
      <c r="DZ5">
        <v>2880</v>
      </c>
      <c r="EA5">
        <v>-7.08929498365159E-4</v>
      </c>
      <c r="EB5">
        <v>0</v>
      </c>
      <c r="EC5">
        <v>0.16992211538461538</v>
      </c>
      <c r="ED5">
        <v>1.5480769230769231</v>
      </c>
      <c r="EE5" s="10">
        <v>-3.0205099999999998</v>
      </c>
      <c r="EF5">
        <v>-3.05891</v>
      </c>
      <c r="EG5">
        <v>18.109763354037266</v>
      </c>
      <c r="EH5" t="s">
        <v>583</v>
      </c>
      <c r="EI5">
        <v>0</v>
      </c>
      <c r="EJ5">
        <v>0</v>
      </c>
      <c r="EK5" s="12">
        <v>45470</v>
      </c>
      <c r="EL5" s="13">
        <v>-6.21</v>
      </c>
      <c r="EM5" s="13">
        <v>-5.7</v>
      </c>
      <c r="EN5" s="13">
        <v>10.01</v>
      </c>
      <c r="EO5" s="13">
        <v>-1.6</v>
      </c>
      <c r="EP5" s="13">
        <v>-3.84</v>
      </c>
    </row>
    <row r="6" spans="1:146" ht="199.5" customHeight="1" x14ac:dyDescent="0.25">
      <c r="A6" s="6" t="s">
        <v>323</v>
      </c>
      <c r="B6" s="6" t="s">
        <v>233</v>
      </c>
      <c r="C6" s="6" t="str">
        <f>"公司一家集检测、校准、检验、认证及技术服务为一体的综合性第三方机构，在全球范围内提供一站式解决方案。公司的主要服务是食农及健康产品服务、环境检测服务、医学健康服务、建筑工程及工业服务、计量与数字化服务、消费品服务、汽车产业链服务、电子科技服务。"&amp;CHAR(10)&amp;Basic_Fundamental_Information_Constructure(F6)&amp;CHAR(10)&amp;Basic_Fundamental_Information_Concatenate("生命科学 20.87亿 48.22% 46.84% 49.39%
工业测试 8.03亿 18.56% 16.28% 44.59%
贸易保障 5.74亿 13.25% 17.33% 66.48%
消费品测试 4.95亿 11.44% 11.49% 51.03%
医药及医学服务 3.69亿 8.53% 8.06% 48.03%")</f>
        <v>公司一家集检测、校准、检验、认证及技术服务为一体的综合性第三方机构，在全球范围内提供一站式解决方案。公司的主要服务是食农及健康产品服务、环境检测服务、医学健康服务、建筑工程及工业服务、计量与数字化服务、消费品服务、汽车产业链服务、电子科技服务。
市值189.82302亿, 利润9.10亿; PE21.13; 平均PE29.33; 平均PEG1.84, PB3.01; ROIC15.66%; ROE16.3867%; 股利率.8865%; 毛利49.4267%; 净利17.3967%; 上一年度营收增9.24%, 利润增.78%; 当季营收增6.71%, 利润增203.12%; 过往5年营收增15.98%, 利润增29.72%
Income profile:
生命科学 20.87亿 48.22% 46.84% 49.39%
工业测试 8.03亿 18.56% 16.28% 44.59%
贸易保障 5.74亿 13.25% 17.33% 66.48%
消费品测试 4.95亿 11.44% 11.49% 51.03%
医药及医学服务 3.69亿 8.53% 8.06% 48.03%</v>
      </c>
      <c r="D6" t="s">
        <v>118</v>
      </c>
      <c r="E6" t="s">
        <v>119</v>
      </c>
      <c r="F6">
        <v>11.28</v>
      </c>
      <c r="G6">
        <v>8.4600000000000009</v>
      </c>
      <c r="H6" t="s">
        <v>692</v>
      </c>
      <c r="I6">
        <v>18982302000</v>
      </c>
      <c r="J6">
        <v>21.13</v>
      </c>
      <c r="K6">
        <v>3.01</v>
      </c>
      <c r="L6" t="s">
        <v>94</v>
      </c>
      <c r="M6" t="s">
        <v>693</v>
      </c>
      <c r="N6" t="s">
        <v>694</v>
      </c>
      <c r="O6" t="s">
        <v>695</v>
      </c>
      <c r="P6">
        <v>6.7</v>
      </c>
      <c r="Q6" t="s">
        <v>696</v>
      </c>
      <c r="R6">
        <v>436500000</v>
      </c>
      <c r="S6" s="5">
        <v>-8.1199999999999994E-2</v>
      </c>
      <c r="T6" t="s">
        <v>697</v>
      </c>
      <c r="U6">
        <v>1431769700</v>
      </c>
      <c r="V6">
        <v>1682828200</v>
      </c>
      <c r="W6">
        <v>1.29</v>
      </c>
      <c r="X6">
        <v>0.14000000000000001</v>
      </c>
      <c r="Y6">
        <v>11</v>
      </c>
      <c r="Z6" t="s">
        <v>698</v>
      </c>
      <c r="AA6" t="s">
        <v>699</v>
      </c>
      <c r="AB6" t="s">
        <v>189</v>
      </c>
      <c r="AC6" t="s">
        <v>700</v>
      </c>
      <c r="AD6" t="s">
        <v>5</v>
      </c>
      <c r="AE6">
        <v>-1738290</v>
      </c>
      <c r="AF6" t="s">
        <v>701</v>
      </c>
      <c r="AG6" t="s">
        <v>702</v>
      </c>
      <c r="AH6" t="s">
        <v>703</v>
      </c>
      <c r="AI6" t="s">
        <v>704</v>
      </c>
      <c r="AJ6" t="s">
        <v>705</v>
      </c>
      <c r="AK6" t="s">
        <v>706</v>
      </c>
      <c r="AL6" t="s">
        <v>707</v>
      </c>
      <c r="AM6" t="s">
        <v>5</v>
      </c>
      <c r="AN6" t="s">
        <v>708</v>
      </c>
      <c r="AO6" t="s">
        <v>709</v>
      </c>
      <c r="AP6" t="s">
        <v>710</v>
      </c>
      <c r="AQ6" t="s">
        <v>711</v>
      </c>
      <c r="AR6" t="s">
        <v>5</v>
      </c>
      <c r="AS6" t="s">
        <v>712</v>
      </c>
      <c r="AT6" t="s">
        <v>713</v>
      </c>
      <c r="AU6" t="s">
        <v>714</v>
      </c>
      <c r="AV6" t="s">
        <v>715</v>
      </c>
      <c r="AW6" t="s">
        <v>716</v>
      </c>
      <c r="AX6" t="s">
        <v>468</v>
      </c>
      <c r="AY6" t="s">
        <v>244</v>
      </c>
      <c r="AZ6" t="s">
        <v>120</v>
      </c>
      <c r="BA6" t="s">
        <v>123</v>
      </c>
      <c r="BB6" t="s">
        <v>124</v>
      </c>
      <c r="BC6" t="s">
        <v>286</v>
      </c>
      <c r="BD6" t="s">
        <v>245</v>
      </c>
      <c r="BE6" t="s">
        <v>121</v>
      </c>
      <c r="BF6" t="s">
        <v>125</v>
      </c>
      <c r="BG6" t="s">
        <v>126</v>
      </c>
      <c r="BH6" t="s">
        <v>696</v>
      </c>
      <c r="BI6" t="s">
        <v>717</v>
      </c>
      <c r="BJ6" t="s">
        <v>468</v>
      </c>
      <c r="BK6" t="s">
        <v>697</v>
      </c>
      <c r="BL6" t="s">
        <v>223</v>
      </c>
      <c r="BM6" t="s">
        <v>286</v>
      </c>
      <c r="BN6">
        <v>12.26</v>
      </c>
      <c r="BO6">
        <v>17.41</v>
      </c>
      <c r="BP6">
        <v>17.309999999999999</v>
      </c>
      <c r="BQ6">
        <v>12.81</v>
      </c>
      <c r="BR6">
        <v>18.18</v>
      </c>
      <c r="BS6">
        <v>18.170000000000002</v>
      </c>
      <c r="BT6" t="s">
        <v>718</v>
      </c>
      <c r="BU6" t="s">
        <v>90</v>
      </c>
      <c r="BV6">
        <v>48.06</v>
      </c>
      <c r="BW6">
        <v>49.39</v>
      </c>
      <c r="BX6">
        <v>50.83</v>
      </c>
      <c r="BY6">
        <v>16.54</v>
      </c>
      <c r="BZ6">
        <v>18.02</v>
      </c>
      <c r="CA6">
        <v>17.63</v>
      </c>
      <c r="CB6">
        <v>12.13</v>
      </c>
      <c r="CC6">
        <v>-3.84</v>
      </c>
      <c r="CD6" t="s">
        <v>478</v>
      </c>
      <c r="CE6" t="s">
        <v>569</v>
      </c>
      <c r="CF6" s="7">
        <v>6.714413607878246E-2</v>
      </c>
      <c r="CG6" s="8">
        <v>2.03125</v>
      </c>
      <c r="CH6" s="7">
        <v>9.2379733920097351E-2</v>
      </c>
      <c r="CI6" s="7">
        <v>0.18526215851306915</v>
      </c>
      <c r="CJ6" s="7">
        <v>0.21328473091125488</v>
      </c>
      <c r="CK6" s="7">
        <v>0.12095504999160767</v>
      </c>
      <c r="CL6" s="7">
        <v>0.18724361062049866</v>
      </c>
      <c r="CM6" s="8">
        <v>7.7519379556179047E-3</v>
      </c>
      <c r="CN6" s="8">
        <v>0.2104557603597641</v>
      </c>
      <c r="CO6" s="8">
        <v>0.29065743088722229</v>
      </c>
      <c r="CP6" s="8">
        <v>0.2142857164144516</v>
      </c>
      <c r="CQ6" s="8">
        <v>0.7629629373550415</v>
      </c>
      <c r="CR6">
        <v>29.331396343033738</v>
      </c>
      <c r="CS6">
        <v>1.8352188906983302</v>
      </c>
      <c r="CT6">
        <v>0.88652482269503552</v>
      </c>
      <c r="CU6" s="7">
        <v>0.15982505679130554</v>
      </c>
      <c r="CV6" s="8">
        <v>0.29722275659441949</v>
      </c>
      <c r="CW6">
        <v>0.06</v>
      </c>
      <c r="CX6">
        <v>14.822053586612952</v>
      </c>
      <c r="CY6">
        <v>995698869.50951707</v>
      </c>
      <c r="CZ6">
        <v>0.15982505679130554</v>
      </c>
      <c r="DA6">
        <v>4.5677996739701632</v>
      </c>
      <c r="DB6">
        <v>3230943354.2151442</v>
      </c>
      <c r="DC6">
        <v>0.15183380395174026</v>
      </c>
      <c r="DD6">
        <v>2.074848777302202</v>
      </c>
      <c r="DE6">
        <v>7112953079.4958992</v>
      </c>
      <c r="DF6">
        <v>0.14064604997634889</v>
      </c>
      <c r="DG6">
        <v>1.1347432528075714</v>
      </c>
      <c r="DH6">
        <v>13005851291.457468</v>
      </c>
      <c r="DI6">
        <v>0.12786004543304444</v>
      </c>
      <c r="DJ6">
        <v>0.47284481362324249</v>
      </c>
      <c r="DK6">
        <v>31211724385.665466</v>
      </c>
      <c r="DL6">
        <v>0.11187753975391387</v>
      </c>
      <c r="DM6">
        <v>910000000</v>
      </c>
      <c r="DN6">
        <v>0.15982505679130554</v>
      </c>
      <c r="DO6">
        <v>14758302000</v>
      </c>
      <c r="DP6">
        <v>2183428100</v>
      </c>
      <c r="DQ6">
        <v>1510</v>
      </c>
      <c r="DR6">
        <v>-9.2680920712523082E-2</v>
      </c>
      <c r="DS6">
        <v>1.7340272434055806</v>
      </c>
      <c r="DT6" s="9">
        <v>-5.6666666666666719E-2</v>
      </c>
      <c r="DU6">
        <v>1.04</v>
      </c>
      <c r="DV6">
        <v>0.98333333333333328</v>
      </c>
      <c r="DW6">
        <v>5.316570486397362</v>
      </c>
      <c r="DX6">
        <v>1.0269097888675658</v>
      </c>
      <c r="DY6">
        <v>5.1288156297816521</v>
      </c>
      <c r="DZ6">
        <v>655</v>
      </c>
      <c r="EA6">
        <v>5.1123040373145319</v>
      </c>
      <c r="EB6">
        <v>5</v>
      </c>
      <c r="EC6">
        <v>0.12597839755716003</v>
      </c>
      <c r="ED6">
        <v>0.30959785437396403</v>
      </c>
      <c r="EE6" s="10">
        <v>1.0802099999999999</v>
      </c>
      <c r="EF6">
        <v>1.09981</v>
      </c>
      <c r="EG6">
        <v>62.406909788867566</v>
      </c>
      <c r="EH6" t="s">
        <v>299</v>
      </c>
      <c r="EI6">
        <v>1</v>
      </c>
      <c r="EJ6">
        <v>1</v>
      </c>
      <c r="EK6" s="12">
        <v>45470</v>
      </c>
      <c r="EL6" s="13">
        <v>-1.72</v>
      </c>
      <c r="EM6" s="13">
        <v>-2.21</v>
      </c>
      <c r="EN6" s="13">
        <v>-2.16</v>
      </c>
      <c r="EO6" s="13">
        <v>3.07</v>
      </c>
      <c r="EP6" s="13">
        <v>-1.96</v>
      </c>
    </row>
    <row r="7" spans="1:146" ht="96" x14ac:dyDescent="0.25">
      <c r="A7" s="6"/>
      <c r="B7" s="6"/>
      <c r="C7" s="6" t="str">
        <f>""&amp;CHAR(10)&amp;Basic_Fundamental_Information_Constructure(F7)&amp;CHAR(10)&amp;Basic_Fundamental_Information_Concatenate("")</f>
        <v xml:space="preserve">
市值37.754347亿, 利润1910.11万; PE120.1; 平均PE36.14; 平均PEG32.72, PB1.89; ROIC4.425%; ROE3.83%; 股利率.6944%; 毛利39.57%; 净利10.2667%; 上一年度营收增-4.9%, 利润增-42.33%; 当季营收增9.85%, 利润增108.75%; 过往5年营收增-1.1%, 利润增-4.01%
Income profile:
</v>
      </c>
      <c r="D7" t="s">
        <v>128</v>
      </c>
      <c r="E7" t="s">
        <v>129</v>
      </c>
      <c r="F7">
        <v>5.04</v>
      </c>
      <c r="G7">
        <v>-1.75</v>
      </c>
      <c r="H7" t="s">
        <v>719</v>
      </c>
      <c r="I7">
        <v>3775434700</v>
      </c>
      <c r="J7">
        <v>120.1</v>
      </c>
      <c r="K7">
        <v>1.89</v>
      </c>
      <c r="L7" t="s">
        <v>94</v>
      </c>
      <c r="M7" t="s">
        <v>720</v>
      </c>
      <c r="N7" t="s">
        <v>721</v>
      </c>
      <c r="O7" t="s">
        <v>462</v>
      </c>
      <c r="P7">
        <v>9.73</v>
      </c>
      <c r="Q7" t="s">
        <v>722</v>
      </c>
      <c r="R7">
        <v>992507</v>
      </c>
      <c r="S7" s="5">
        <v>1.087</v>
      </c>
      <c r="T7" t="s">
        <v>723</v>
      </c>
      <c r="U7">
        <v>690519190</v>
      </c>
      <c r="V7">
        <v>749094190</v>
      </c>
      <c r="W7">
        <v>1.39</v>
      </c>
      <c r="X7">
        <v>0.05</v>
      </c>
      <c r="Y7">
        <v>0.73</v>
      </c>
      <c r="Z7" t="s">
        <v>380</v>
      </c>
      <c r="AA7" t="s">
        <v>724</v>
      </c>
      <c r="AB7" t="s">
        <v>725</v>
      </c>
      <c r="AC7" t="s">
        <v>726</v>
      </c>
      <c r="AD7" t="s">
        <v>5</v>
      </c>
      <c r="AE7">
        <v>4469953</v>
      </c>
      <c r="AF7" t="s">
        <v>96</v>
      </c>
      <c r="AG7">
        <v>568.47</v>
      </c>
      <c r="AH7" t="s">
        <v>727</v>
      </c>
      <c r="AI7" t="s">
        <v>728</v>
      </c>
      <c r="AJ7" t="s">
        <v>729</v>
      </c>
      <c r="AK7" t="s">
        <v>730</v>
      </c>
      <c r="AL7" t="s">
        <v>731</v>
      </c>
      <c r="AM7" t="s">
        <v>5</v>
      </c>
      <c r="AN7" t="s">
        <v>732</v>
      </c>
      <c r="AO7" t="s">
        <v>58</v>
      </c>
      <c r="AP7" t="s">
        <v>5</v>
      </c>
      <c r="AQ7" t="s">
        <v>61</v>
      </c>
      <c r="AR7" t="s">
        <v>374</v>
      </c>
      <c r="AS7" t="s">
        <v>733</v>
      </c>
      <c r="AT7" t="s">
        <v>734</v>
      </c>
      <c r="AU7" t="s">
        <v>735</v>
      </c>
      <c r="AV7" t="s">
        <v>736</v>
      </c>
      <c r="AW7" t="s">
        <v>737</v>
      </c>
      <c r="AX7" t="s">
        <v>470</v>
      </c>
      <c r="AY7" t="s">
        <v>247</v>
      </c>
      <c r="AZ7" t="s">
        <v>75</v>
      </c>
      <c r="BA7" t="s">
        <v>131</v>
      </c>
      <c r="BB7" t="s">
        <v>132</v>
      </c>
      <c r="BC7" t="s">
        <v>471</v>
      </c>
      <c r="BD7" t="s">
        <v>248</v>
      </c>
      <c r="BE7" t="s">
        <v>130</v>
      </c>
      <c r="BF7" t="s">
        <v>80</v>
      </c>
      <c r="BG7" t="s">
        <v>133</v>
      </c>
      <c r="BH7" t="s">
        <v>722</v>
      </c>
      <c r="BI7" t="s">
        <v>298</v>
      </c>
      <c r="BJ7" t="s">
        <v>470</v>
      </c>
      <c r="BK7" t="s">
        <v>723</v>
      </c>
      <c r="BL7" t="s">
        <v>738</v>
      </c>
      <c r="BM7" t="s">
        <v>471</v>
      </c>
      <c r="BN7" t="s">
        <v>5</v>
      </c>
      <c r="BO7">
        <v>2.16</v>
      </c>
      <c r="BP7">
        <v>6.69</v>
      </c>
      <c r="BQ7">
        <v>-0.4</v>
      </c>
      <c r="BR7">
        <v>1.69</v>
      </c>
      <c r="BS7">
        <v>10.199999999999999</v>
      </c>
      <c r="BT7" t="s">
        <v>739</v>
      </c>
      <c r="BU7" t="s">
        <v>90</v>
      </c>
      <c r="BV7">
        <v>32.24</v>
      </c>
      <c r="BW7">
        <v>37.520000000000003</v>
      </c>
      <c r="BX7">
        <v>48.95</v>
      </c>
      <c r="BY7">
        <v>3.19</v>
      </c>
      <c r="BZ7">
        <v>5.19</v>
      </c>
      <c r="CA7">
        <v>22.42</v>
      </c>
      <c r="CB7">
        <v>-9.19</v>
      </c>
      <c r="CC7">
        <v>-2.7</v>
      </c>
      <c r="CD7" t="s">
        <v>67</v>
      </c>
      <c r="CE7" t="s">
        <v>740</v>
      </c>
      <c r="CF7" s="7">
        <v>9.8484848484848481E-2</v>
      </c>
      <c r="CG7" s="8">
        <v>1.0874501735774578</v>
      </c>
      <c r="CH7" s="7">
        <v>-4.9004595726728439E-2</v>
      </c>
      <c r="CI7" s="7">
        <v>-0.24333719909191132</v>
      </c>
      <c r="CJ7" s="7">
        <v>0.22934472560882568</v>
      </c>
      <c r="CK7" s="7">
        <v>-0.12903225421905518</v>
      </c>
      <c r="CL7" s="7">
        <v>0.13681241869926453</v>
      </c>
      <c r="CM7" s="8">
        <v>-0.42332646250724792</v>
      </c>
      <c r="CN7" s="8">
        <v>-0.82837879657745361</v>
      </c>
      <c r="CO7" s="8">
        <v>1.2278193235397339</v>
      </c>
      <c r="CP7" s="8">
        <v>-0.4812467098236084</v>
      </c>
      <c r="CQ7" s="8">
        <v>0.3046875</v>
      </c>
      <c r="CR7">
        <v>36.136872626846554</v>
      </c>
      <c r="CS7">
        <v>32.722653328548184</v>
      </c>
      <c r="CT7">
        <v>0.69444444444444442</v>
      </c>
      <c r="CU7" s="7">
        <v>-1.1043380945920944E-2</v>
      </c>
      <c r="CV7" s="8">
        <v>-4.0089029073715213E-2</v>
      </c>
      <c r="CW7">
        <v>0.06</v>
      </c>
      <c r="CX7">
        <v>138.18234028406741</v>
      </c>
      <c r="CY7" t="s">
        <v>741</v>
      </c>
      <c r="CZ7">
        <v>-1.1043380945920944E-2</v>
      </c>
      <c r="DA7">
        <v>46.060780094689136</v>
      </c>
      <c r="DB7" t="s">
        <v>742</v>
      </c>
      <c r="DC7">
        <v>-1.0491211898624897E-2</v>
      </c>
      <c r="DD7">
        <v>23.030390047344568</v>
      </c>
      <c r="DE7" t="s">
        <v>743</v>
      </c>
      <c r="DF7">
        <v>-9.7181752324104302E-3</v>
      </c>
      <c r="DG7">
        <v>13.81823402840674</v>
      </c>
      <c r="DH7" t="s">
        <v>744</v>
      </c>
      <c r="DI7">
        <v>-8.8347047567367554E-3</v>
      </c>
      <c r="DJ7">
        <v>6.9091170142033702</v>
      </c>
      <c r="DK7" t="s">
        <v>745</v>
      </c>
      <c r="DL7">
        <v>-7.7303666621446601E-3</v>
      </c>
      <c r="DM7">
        <v>19101100</v>
      </c>
      <c r="DN7">
        <v>-1.1043380945920944E-2</v>
      </c>
      <c r="DO7">
        <v>2639434700</v>
      </c>
      <c r="DP7">
        <v>30557980</v>
      </c>
      <c r="DQ7">
        <v>1701</v>
      </c>
      <c r="DR7">
        <v>0.10952822943076942</v>
      </c>
      <c r="DS7">
        <v>1.127539202651173</v>
      </c>
      <c r="DT7" s="9">
        <v>-0.45666666666666672</v>
      </c>
      <c r="DU7">
        <v>-0.21666666666666667</v>
      </c>
      <c r="DV7">
        <v>-0.67333333333333334</v>
      </c>
      <c r="DW7">
        <v>-5.2937976060935803</v>
      </c>
      <c r="DX7">
        <v>0.2574711989478034</v>
      </c>
      <c r="DY7">
        <v>-5.0198228767311281</v>
      </c>
      <c r="DZ7">
        <v>3156</v>
      </c>
      <c r="EA7">
        <v>-5.0075800197911207</v>
      </c>
      <c r="EB7">
        <v>5</v>
      </c>
      <c r="EC7">
        <v>0.16419830996152834</v>
      </c>
      <c r="ED7">
        <v>2.4336058460151722</v>
      </c>
      <c r="EE7" s="10">
        <v>1.0243100000000001</v>
      </c>
      <c r="EF7">
        <v>1.07491</v>
      </c>
      <c r="EG7">
        <v>19.067471198947803</v>
      </c>
      <c r="EH7" t="s">
        <v>299</v>
      </c>
      <c r="EI7">
        <v>0</v>
      </c>
      <c r="EJ7">
        <v>0</v>
      </c>
      <c r="EK7" s="12">
        <v>45470</v>
      </c>
      <c r="EL7" s="13">
        <v>-0.35</v>
      </c>
      <c r="EM7" s="13">
        <v>-2.4700000000000002</v>
      </c>
      <c r="EN7" s="13">
        <v>0.36</v>
      </c>
      <c r="EO7" s="13">
        <v>3.43</v>
      </c>
      <c r="EP7" s="13">
        <v>-5.0599999999999996</v>
      </c>
    </row>
    <row r="8" spans="1:146" ht="166.9" customHeight="1" x14ac:dyDescent="0.25">
      <c r="A8" s="14" t="s">
        <v>582</v>
      </c>
      <c r="B8" s="6" t="s">
        <v>593</v>
      </c>
      <c r="C8" s="6" t="str">
        <f>"公司致力于试验设备及试验服务两大板块。主要产品设备制造、试验服务。"&amp;CHAR(10)&amp;Basic_Fundamental_Information_Constructure(F8)&amp;CHAR(10)&amp;Basic_Fundamental_Information_Concatenate("环境可靠性试验服务 4.69亿 48.31% 2.72亿 62.66% 57.97%
试验设备 3.41亿 35.13% 1.11亿 25.56% 32.52%
集成电路验证与分析服务 1.08亿 11.15% 4061.93万 9.36% 37.53%
其他业务收入 5253.42万 5.41% 1048.94万 2.42% 19.97%")</f>
        <v>公司致力于试验设备及试验服务两大板块。主要产品设备制造、试验服务。
市值58.533852亿, 利润3.14亿; PE18.75; 平均PE33.25; 平均PEG1.19, PB2.29; ROIC9.7333%; ROE13.86%; 股利率1.3032%; 毛利46.1067%; 净利16.4633%; 上一年度营收增17.29%, 利润增16.3%; 当季营收增.91%, 利润增-4.86%; 过往5年营收增27.97%, 利润增35.02%
Income profile:
环境可靠性试验服务 4.69亿 48.31% 2.72亿 62.66% 57.97%
试验设备 3.41亿 35.13% 1.11亿 25.56% 32.52%
集成电路验证与分析服务 1.08亿 11.15% 4061.93万 9.36% 37.53%
其他业务收入 5253.42万 5.41% 1048.94万 2.42% 19.97%</v>
      </c>
      <c r="D8" t="s">
        <v>135</v>
      </c>
      <c r="E8" t="s">
        <v>136</v>
      </c>
      <c r="F8">
        <v>11.51</v>
      </c>
      <c r="G8">
        <v>-2.21</v>
      </c>
      <c r="H8" t="s">
        <v>746</v>
      </c>
      <c r="I8">
        <v>5853385200</v>
      </c>
      <c r="J8">
        <v>18.75</v>
      </c>
      <c r="K8">
        <v>2.29</v>
      </c>
      <c r="L8" t="s">
        <v>94</v>
      </c>
      <c r="M8" t="s">
        <v>747</v>
      </c>
      <c r="N8" t="s">
        <v>748</v>
      </c>
      <c r="O8" t="s">
        <v>749</v>
      </c>
      <c r="P8">
        <v>1.03</v>
      </c>
      <c r="Q8" t="s">
        <v>750</v>
      </c>
      <c r="R8">
        <v>42172756</v>
      </c>
      <c r="S8" s="5">
        <v>-4.8599999999999997E-2</v>
      </c>
      <c r="T8" t="s">
        <v>751</v>
      </c>
      <c r="U8">
        <v>505148770</v>
      </c>
      <c r="V8">
        <v>508547810</v>
      </c>
      <c r="W8">
        <v>1.62</v>
      </c>
      <c r="X8">
        <v>0.09</v>
      </c>
      <c r="Y8">
        <v>10.210000000000001</v>
      </c>
      <c r="Z8" t="s">
        <v>258</v>
      </c>
      <c r="AA8" t="s">
        <v>591</v>
      </c>
      <c r="AB8" t="s">
        <v>752</v>
      </c>
      <c r="AC8" t="s">
        <v>753</v>
      </c>
      <c r="AD8" t="s">
        <v>5</v>
      </c>
      <c r="AE8">
        <v>8528246</v>
      </c>
      <c r="AF8" t="s">
        <v>754</v>
      </c>
      <c r="AG8" t="s">
        <v>755</v>
      </c>
      <c r="AH8" t="s">
        <v>756</v>
      </c>
      <c r="AI8" t="s">
        <v>757</v>
      </c>
      <c r="AJ8" t="s">
        <v>758</v>
      </c>
      <c r="AK8" t="s">
        <v>759</v>
      </c>
      <c r="AL8" t="s">
        <v>760</v>
      </c>
      <c r="AM8" t="s">
        <v>5</v>
      </c>
      <c r="AN8" t="s">
        <v>761</v>
      </c>
      <c r="AO8" t="s">
        <v>375</v>
      </c>
      <c r="AP8" t="s">
        <v>762</v>
      </c>
      <c r="AQ8" t="s">
        <v>608</v>
      </c>
      <c r="AR8" t="s">
        <v>5</v>
      </c>
      <c r="AS8" t="s">
        <v>763</v>
      </c>
      <c r="AT8" t="s">
        <v>185</v>
      </c>
      <c r="AU8" t="s">
        <v>764</v>
      </c>
      <c r="AV8" t="s">
        <v>765</v>
      </c>
      <c r="AW8" t="s">
        <v>766</v>
      </c>
      <c r="AX8" t="s">
        <v>473</v>
      </c>
      <c r="AY8" t="s">
        <v>249</v>
      </c>
      <c r="AZ8" t="s">
        <v>68</v>
      </c>
      <c r="BA8" t="s">
        <v>137</v>
      </c>
      <c r="BB8" t="s">
        <v>138</v>
      </c>
      <c r="BC8" t="s">
        <v>126</v>
      </c>
      <c r="BD8" t="s">
        <v>116</v>
      </c>
      <c r="BE8" t="s">
        <v>67</v>
      </c>
      <c r="BF8" t="s">
        <v>139</v>
      </c>
      <c r="BG8" t="s">
        <v>140</v>
      </c>
      <c r="BH8" t="s">
        <v>750</v>
      </c>
      <c r="BI8" t="s">
        <v>767</v>
      </c>
      <c r="BJ8" t="s">
        <v>473</v>
      </c>
      <c r="BK8" t="s">
        <v>751</v>
      </c>
      <c r="BL8" t="s">
        <v>768</v>
      </c>
      <c r="BM8" t="s">
        <v>126</v>
      </c>
      <c r="BN8">
        <v>7.88</v>
      </c>
      <c r="BO8">
        <v>11.07</v>
      </c>
      <c r="BP8">
        <v>10.25</v>
      </c>
      <c r="BQ8">
        <v>9.09</v>
      </c>
      <c r="BR8">
        <v>14.59</v>
      </c>
      <c r="BS8">
        <v>17.899999999999999</v>
      </c>
      <c r="BT8" t="s">
        <v>444</v>
      </c>
      <c r="BU8" t="s">
        <v>90</v>
      </c>
      <c r="BV8">
        <v>45.6</v>
      </c>
      <c r="BW8">
        <v>46.66</v>
      </c>
      <c r="BX8">
        <v>46.06</v>
      </c>
      <c r="BY8">
        <v>17.420000000000002</v>
      </c>
      <c r="BZ8">
        <v>17.260000000000002</v>
      </c>
      <c r="CA8">
        <v>14.71</v>
      </c>
      <c r="CB8">
        <v>-10.5</v>
      </c>
      <c r="CC8">
        <v>-12.8</v>
      </c>
      <c r="CD8" t="s">
        <v>769</v>
      </c>
      <c r="CE8" t="s">
        <v>62</v>
      </c>
      <c r="CF8" s="7">
        <v>9.1324200913242004E-3</v>
      </c>
      <c r="CG8" s="8">
        <v>-4.8633252572831083E-2</v>
      </c>
      <c r="CH8" s="7">
        <v>0.1728532612323761</v>
      </c>
      <c r="CI8" s="7">
        <v>0.20173098146915436</v>
      </c>
      <c r="CJ8" s="7">
        <v>0.26751062273979187</v>
      </c>
      <c r="CK8" s="7">
        <v>0.50380700826644897</v>
      </c>
      <c r="CL8" s="7">
        <v>0.2527821958065033</v>
      </c>
      <c r="CM8" s="8">
        <v>0.16296295821666718</v>
      </c>
      <c r="CN8" s="8">
        <v>0.42105263471603394</v>
      </c>
      <c r="CO8" s="8">
        <v>0.54471546411514282</v>
      </c>
      <c r="CP8" s="8">
        <v>0.40896376967430115</v>
      </c>
      <c r="CQ8" s="8">
        <v>0.21318431198596954</v>
      </c>
      <c r="CR8">
        <v>33.249806746678196</v>
      </c>
      <c r="CS8">
        <v>1.1886103327903406</v>
      </c>
      <c r="CT8">
        <v>1.3032145960034753</v>
      </c>
      <c r="CU8" s="7">
        <v>0.27973681390285493</v>
      </c>
      <c r="CV8" s="8">
        <v>0.35017582774162292</v>
      </c>
      <c r="CW8">
        <v>0.06</v>
      </c>
      <c r="CX8">
        <v>12.512495894947957</v>
      </c>
      <c r="CY8">
        <v>379091848.64669472</v>
      </c>
      <c r="CZ8">
        <v>0.27973681390285493</v>
      </c>
      <c r="DA8">
        <v>3.49469768601727</v>
      </c>
      <c r="DB8">
        <v>1357309165.5335131</v>
      </c>
      <c r="DC8">
        <v>0.26574997320771215</v>
      </c>
      <c r="DD8">
        <v>1.3759728602713228</v>
      </c>
      <c r="DE8">
        <v>3447295609.4967384</v>
      </c>
      <c r="DF8">
        <v>0.24616839623451234</v>
      </c>
      <c r="DG8">
        <v>0.63036476497722149</v>
      </c>
      <c r="DH8">
        <v>7524826042.8569546</v>
      </c>
      <c r="DI8">
        <v>0.22378945112228396</v>
      </c>
      <c r="DJ8">
        <v>0.16908137889977895</v>
      </c>
      <c r="DK8">
        <v>28053859217.765118</v>
      </c>
      <c r="DL8">
        <v>0.19581576973199843</v>
      </c>
      <c r="DM8">
        <v>314000000</v>
      </c>
      <c r="DN8">
        <v>0.27973681390285493</v>
      </c>
      <c r="DO8">
        <v>4743385200</v>
      </c>
      <c r="DP8">
        <v>1330212700</v>
      </c>
      <c r="DQ8">
        <v>1888</v>
      </c>
      <c r="DR8">
        <v>-0.27060439381153073</v>
      </c>
      <c r="DS8">
        <v>-0.398809080314454</v>
      </c>
      <c r="DT8" s="9">
        <v>0.22666666666666657</v>
      </c>
      <c r="DU8">
        <v>0.66666666666666663</v>
      </c>
      <c r="DV8">
        <v>0.8933333333333332</v>
      </c>
      <c r="DW8">
        <v>-9.8203125</v>
      </c>
      <c r="DX8">
        <v>0.60900974842767197</v>
      </c>
      <c r="DY8">
        <v>-9.0976251842570761</v>
      </c>
      <c r="DZ8">
        <v>277</v>
      </c>
      <c r="EA8">
        <v>-9.0923331732904984</v>
      </c>
      <c r="EB8">
        <v>9</v>
      </c>
      <c r="EC8">
        <v>7.4417978518086625E-2</v>
      </c>
      <c r="ED8">
        <v>0.62530993890230302</v>
      </c>
      <c r="EE8" s="10">
        <v>-3.0519099999999999</v>
      </c>
      <c r="EF8">
        <v>-3.09091</v>
      </c>
      <c r="EG8">
        <v>49.119009748427672</v>
      </c>
      <c r="EH8" t="s">
        <v>583</v>
      </c>
      <c r="EI8">
        <v>0</v>
      </c>
      <c r="EJ8">
        <v>1</v>
      </c>
      <c r="EK8" s="12">
        <v>45470</v>
      </c>
      <c r="EL8" s="13">
        <v>0</v>
      </c>
      <c r="EM8" s="13">
        <v>-4.58</v>
      </c>
      <c r="EN8" s="13">
        <v>-0.16</v>
      </c>
      <c r="EO8" s="13">
        <v>3.23</v>
      </c>
      <c r="EP8" s="13">
        <v>-3.9</v>
      </c>
    </row>
    <row r="9" spans="1:146" ht="204" x14ac:dyDescent="0.25">
      <c r="A9" s="6" t="s">
        <v>316</v>
      </c>
      <c r="B9" s="6" t="s">
        <v>315</v>
      </c>
      <c r="C9" s="6" t="str">
        <f>"公司主营业务为提供国内机动车检测领域整体解决方案，机动车检测系统，行业联网监管系统。公司主要产品包括机动车检测系统和检测行业联网监管系统两大类。"&amp;CHAR(10)&amp;Basic_Fundamental_Information_Constructure(F9)&amp;CHAR(10)&amp;Basic_Fundamental_Information_Concatenate("机动车检测系统 3.04亿 64.15% 64.60% 45.02%
检测运营服务 5723.87万 12.09% 10.55% 39.01%
检测运营增值服务 5289.30万 11.18% 17.17% 68.67%
驾考系统 3782.06万 7.99% 2.50% 13.98%
检测行业(联网)监管系统 2138.32万 4.52% 5.18% 51.29%
其他 35.80万 0.08% 0.0005% 0.30%")</f>
        <v>公司主营业务为提供国内机动车检测领域整体解决方案，机动车检测系统，行业联网监管系统。公司主要产品包括机动车检测系统和检测行业联网监管系统两大类。
市值27.249669亿, 利润-5852.20万; PE; 平均PE38.62; 平均PEG6.93, PB1.34; ROIC.77%; ROE-.14%; 股利率.1681%; 毛利43.9%; 净利-5.4167%; 上一年度营收增3.12%, 利润增-86.34%; 当季营收增12.61%, 利润增-96.32%; 过往5年营收增5.57%, 利润增-107.19%
Income profile:
机动车检测系统 3.04亿 64.15% 64.60% 45.02%
检测运营服务 5723.87万 12.09% 10.55% 39.01%
检测运营增值服务 5289.30万 11.18% 17.17% 68.67%
驾考系统 3782.06万 7.99% 2.50% 13.98%
检测行业(联网)监管系统 2138.32万 4.52% 5.18% 51.29%
其他 35.80万 0.08% 0.0005% 0.30%</v>
      </c>
      <c r="D9" t="s">
        <v>141</v>
      </c>
      <c r="E9" t="s">
        <v>142</v>
      </c>
      <c r="F9">
        <v>11.9</v>
      </c>
      <c r="G9">
        <v>-2.62</v>
      </c>
      <c r="H9" t="s">
        <v>770</v>
      </c>
      <c r="I9">
        <v>2724966900</v>
      </c>
      <c r="K9">
        <v>1.34</v>
      </c>
      <c r="L9" t="s">
        <v>94</v>
      </c>
      <c r="M9" t="s">
        <v>771</v>
      </c>
      <c r="N9" t="s">
        <v>772</v>
      </c>
      <c r="O9" t="s">
        <v>66</v>
      </c>
      <c r="P9">
        <v>12.78</v>
      </c>
      <c r="Q9" t="s">
        <v>773</v>
      </c>
      <c r="R9">
        <v>154215</v>
      </c>
      <c r="S9" s="5">
        <v>-0.96319999999999995</v>
      </c>
      <c r="T9" t="s">
        <v>774</v>
      </c>
      <c r="U9">
        <v>183596560</v>
      </c>
      <c r="V9">
        <v>228988810</v>
      </c>
      <c r="W9">
        <v>1.35</v>
      </c>
      <c r="X9">
        <v>0.04</v>
      </c>
      <c r="Y9">
        <v>-0.55000000000000004</v>
      </c>
      <c r="Z9" t="s">
        <v>761</v>
      </c>
      <c r="AA9" t="s">
        <v>775</v>
      </c>
      <c r="AB9" t="s">
        <v>776</v>
      </c>
      <c r="AC9" t="s">
        <v>777</v>
      </c>
      <c r="AD9" t="s">
        <v>5</v>
      </c>
      <c r="AE9">
        <v>-818760</v>
      </c>
      <c r="AF9" t="s">
        <v>778</v>
      </c>
      <c r="AG9" t="s">
        <v>779</v>
      </c>
      <c r="AH9" t="s">
        <v>780</v>
      </c>
      <c r="AI9" t="s">
        <v>781</v>
      </c>
      <c r="AJ9" t="s">
        <v>782</v>
      </c>
      <c r="AK9" t="s">
        <v>783</v>
      </c>
      <c r="AL9" t="s">
        <v>784</v>
      </c>
      <c r="AM9" t="s">
        <v>5</v>
      </c>
      <c r="AN9" t="s">
        <v>785</v>
      </c>
      <c r="AO9" t="s">
        <v>786</v>
      </c>
      <c r="AP9" t="s">
        <v>787</v>
      </c>
      <c r="AQ9" t="s">
        <v>788</v>
      </c>
      <c r="AR9" t="s">
        <v>5</v>
      </c>
      <c r="AS9" t="s">
        <v>789</v>
      </c>
      <c r="AT9" t="s">
        <v>5</v>
      </c>
      <c r="AU9" t="s">
        <v>790</v>
      </c>
      <c r="AV9" t="s">
        <v>791</v>
      </c>
      <c r="AW9" t="s">
        <v>792</v>
      </c>
      <c r="AX9" t="s">
        <v>476</v>
      </c>
      <c r="AY9" t="s">
        <v>250</v>
      </c>
      <c r="AZ9" t="s">
        <v>143</v>
      </c>
      <c r="BA9" t="s">
        <v>147</v>
      </c>
      <c r="BB9" t="s">
        <v>146</v>
      </c>
      <c r="BC9" t="s">
        <v>477</v>
      </c>
      <c r="BD9" t="s">
        <v>251</v>
      </c>
      <c r="BE9" t="s">
        <v>144</v>
      </c>
      <c r="BF9" t="s">
        <v>144</v>
      </c>
      <c r="BG9" t="s">
        <v>66</v>
      </c>
      <c r="BH9" t="s">
        <v>773</v>
      </c>
      <c r="BI9" t="s">
        <v>467</v>
      </c>
      <c r="BJ9" t="s">
        <v>476</v>
      </c>
      <c r="BK9" t="s">
        <v>774</v>
      </c>
      <c r="BL9" t="s">
        <v>793</v>
      </c>
      <c r="BM9" t="s">
        <v>477</v>
      </c>
      <c r="BN9">
        <v>0.91</v>
      </c>
      <c r="BO9" t="s">
        <v>5</v>
      </c>
      <c r="BP9">
        <v>0.63</v>
      </c>
      <c r="BQ9">
        <v>0.47</v>
      </c>
      <c r="BR9">
        <v>-1.47</v>
      </c>
      <c r="BS9">
        <v>0.57999999999999996</v>
      </c>
      <c r="BT9" t="s">
        <v>794</v>
      </c>
      <c r="BU9" t="s">
        <v>90</v>
      </c>
      <c r="BV9">
        <v>37.78</v>
      </c>
      <c r="BW9">
        <v>49.22</v>
      </c>
      <c r="BX9">
        <v>44.7</v>
      </c>
      <c r="BY9">
        <v>-14.97</v>
      </c>
      <c r="BZ9">
        <v>-4.79</v>
      </c>
      <c r="CA9">
        <v>3.51</v>
      </c>
      <c r="CB9">
        <v>2.41</v>
      </c>
      <c r="CC9">
        <v>-11.06</v>
      </c>
      <c r="CD9" t="s">
        <v>795</v>
      </c>
      <c r="CE9" t="s">
        <v>446</v>
      </c>
      <c r="CF9" s="7">
        <v>0.12612612612612598</v>
      </c>
      <c r="CG9" s="8">
        <v>-0.96324889185453511</v>
      </c>
      <c r="CH9" s="7">
        <v>3.125E-2</v>
      </c>
      <c r="CI9" s="7">
        <v>-5.2854124456644058E-2</v>
      </c>
      <c r="CJ9" s="7">
        <v>-0.48306012153625488</v>
      </c>
      <c r="CK9" s="7">
        <v>-5.9609454125165939E-2</v>
      </c>
      <c r="CL9" s="7">
        <v>0.84280300140380859</v>
      </c>
      <c r="CM9" s="8">
        <v>-0.86343157291412354</v>
      </c>
      <c r="CN9" s="8">
        <v>-4.0621585845947266</v>
      </c>
      <c r="CO9" s="8">
        <v>-0.94573545455932617</v>
      </c>
      <c r="CP9" s="8">
        <v>0</v>
      </c>
      <c r="CQ9" s="8">
        <v>0.51200002431869507</v>
      </c>
      <c r="CR9">
        <v>38.622019070296474</v>
      </c>
      <c r="CS9">
        <v>6.9332057510663976</v>
      </c>
      <c r="CT9">
        <v>0.16806722689075632</v>
      </c>
      <c r="CU9" s="7">
        <v>5.5705860257148743E-2</v>
      </c>
      <c r="CV9" s="8">
        <v>-1.0718651175498963</v>
      </c>
      <c r="CW9">
        <v>0.06</v>
      </c>
      <c r="CX9" t="e">
        <v>#VALUE!</v>
      </c>
      <c r="CY9" t="s">
        <v>296</v>
      </c>
      <c r="CZ9">
        <v>5.5705860257148743E-2</v>
      </c>
      <c r="DA9" t="e">
        <v>#VALUE!</v>
      </c>
      <c r="DB9" t="s">
        <v>296</v>
      </c>
      <c r="DC9">
        <v>5.2920567244291304E-2</v>
      </c>
      <c r="DD9" t="e">
        <v>#VALUE!</v>
      </c>
      <c r="DE9" t="s">
        <v>296</v>
      </c>
      <c r="DF9">
        <v>4.9021157026290896E-2</v>
      </c>
      <c r="DG9" t="e">
        <v>#VALUE!</v>
      </c>
      <c r="DH9" t="s">
        <v>296</v>
      </c>
      <c r="DI9">
        <v>4.4564688205718996E-2</v>
      </c>
      <c r="DJ9" t="e">
        <v>#VALUE!</v>
      </c>
      <c r="DK9" t="s">
        <v>296</v>
      </c>
      <c r="DL9">
        <v>3.8994102180004118E-2</v>
      </c>
      <c r="DM9">
        <v>-58522000</v>
      </c>
      <c r="DN9">
        <v>5.5705860257148743E-2</v>
      </c>
      <c r="DO9">
        <v>1368966900</v>
      </c>
      <c r="DP9">
        <v>1212533900</v>
      </c>
      <c r="DQ9">
        <v>2040</v>
      </c>
      <c r="DR9">
        <v>7.0420265868977233E-2</v>
      </c>
      <c r="DS9">
        <v>0.10861622569536122</v>
      </c>
      <c r="DT9" s="9">
        <v>-0.37333333333333335</v>
      </c>
      <c r="DU9">
        <v>-2.0733333333333337</v>
      </c>
      <c r="DV9">
        <v>-2.4466666666666672</v>
      </c>
      <c r="DW9">
        <v>-2.1105999999999998</v>
      </c>
      <c r="DX9">
        <v>0.50964719999999686</v>
      </c>
      <c r="DY9">
        <v>-2.0165509803199999</v>
      </c>
      <c r="DZ9">
        <v>4651</v>
      </c>
      <c r="EA9">
        <v>-2.0014866731833423</v>
      </c>
      <c r="EB9">
        <v>2</v>
      </c>
      <c r="EC9">
        <v>0.16337828909631</v>
      </c>
      <c r="ED9">
        <v>1.0917564050400541</v>
      </c>
      <c r="EE9" s="10">
        <v>-1.03931</v>
      </c>
      <c r="EF9">
        <v>-1.04891</v>
      </c>
      <c r="EG9">
        <v>36.149647199999997</v>
      </c>
      <c r="EH9" t="s">
        <v>475</v>
      </c>
      <c r="EI9">
        <v>0</v>
      </c>
      <c r="EJ9">
        <v>0</v>
      </c>
      <c r="EK9" s="12">
        <v>45470</v>
      </c>
      <c r="EL9" s="13">
        <v>-2.62</v>
      </c>
      <c r="EM9" s="13">
        <v>-5.03</v>
      </c>
      <c r="EN9" s="13">
        <v>-1.0900000000000001</v>
      </c>
      <c r="EO9" s="13">
        <v>5.26</v>
      </c>
      <c r="EP9" s="13">
        <v>-0.96</v>
      </c>
    </row>
    <row r="10" spans="1:146" ht="96" x14ac:dyDescent="0.25">
      <c r="A10" s="6"/>
      <c r="B10" s="6"/>
      <c r="C10" s="6" t="str">
        <f>""&amp;CHAR(10)&amp;Basic_Fundamental_Information_Constructure(F10)&amp;CHAR(10)&amp;Basic_Fundamental_Information_Concatenate("")</f>
        <v xml:space="preserve">
市值30.052331亿, 利润2.01亿; PE14.46; 平均PE15.01; 平均PEG.4, PB1.64; ROIC12.9567%; ROE12.4167%; 股利率.5239%; 毛利9.5033%; 净利3.5067%; 上一年度营收增7.55%, 利润增-30.93%; 当季营收增10.28%, 利润增22.07%; 过往5年营收增37.68%, 利润增14.26%
Income profile:
</v>
      </c>
      <c r="D10" t="s">
        <v>148</v>
      </c>
      <c r="E10" t="s">
        <v>149</v>
      </c>
      <c r="F10">
        <v>15.27</v>
      </c>
      <c r="G10">
        <v>1.94</v>
      </c>
      <c r="H10" t="s">
        <v>796</v>
      </c>
      <c r="I10">
        <v>3005233100</v>
      </c>
      <c r="J10">
        <v>14.46</v>
      </c>
      <c r="K10">
        <v>1.64</v>
      </c>
      <c r="L10" t="s">
        <v>94</v>
      </c>
      <c r="M10" t="s">
        <v>797</v>
      </c>
      <c r="N10" t="s">
        <v>798</v>
      </c>
      <c r="O10" t="s">
        <v>799</v>
      </c>
      <c r="P10">
        <v>10.3</v>
      </c>
      <c r="Q10" t="s">
        <v>800</v>
      </c>
      <c r="R10">
        <v>40650565</v>
      </c>
      <c r="S10" s="5">
        <v>0.22070000000000001</v>
      </c>
      <c r="T10" t="s">
        <v>226</v>
      </c>
      <c r="U10">
        <v>196806360</v>
      </c>
      <c r="V10">
        <v>196806360</v>
      </c>
      <c r="W10">
        <v>1.94</v>
      </c>
      <c r="X10">
        <v>0.71</v>
      </c>
      <c r="Y10">
        <v>1.49</v>
      </c>
      <c r="Z10" t="s">
        <v>801</v>
      </c>
      <c r="AA10" t="s">
        <v>802</v>
      </c>
      <c r="AB10" t="s">
        <v>803</v>
      </c>
      <c r="AC10" t="s">
        <v>804</v>
      </c>
      <c r="AD10" t="s">
        <v>5</v>
      </c>
      <c r="AE10">
        <v>7198273</v>
      </c>
      <c r="AF10" t="s">
        <v>805</v>
      </c>
      <c r="AG10" t="s">
        <v>806</v>
      </c>
      <c r="AH10" t="s">
        <v>807</v>
      </c>
      <c r="AI10" t="s">
        <v>808</v>
      </c>
      <c r="AJ10" t="s">
        <v>809</v>
      </c>
      <c r="AK10" t="s">
        <v>5</v>
      </c>
      <c r="AL10" t="s">
        <v>810</v>
      </c>
      <c r="AM10" t="s">
        <v>5</v>
      </c>
      <c r="AN10">
        <v>0</v>
      </c>
      <c r="AO10" t="s">
        <v>811</v>
      </c>
      <c r="AP10" t="s">
        <v>5</v>
      </c>
      <c r="AQ10" t="s">
        <v>92</v>
      </c>
      <c r="AR10" t="s">
        <v>5</v>
      </c>
      <c r="AS10" t="s">
        <v>812</v>
      </c>
      <c r="AT10" t="s">
        <v>813</v>
      </c>
      <c r="AU10" t="s">
        <v>814</v>
      </c>
      <c r="AV10" t="s">
        <v>815</v>
      </c>
      <c r="AW10" t="s">
        <v>816</v>
      </c>
      <c r="AX10" t="s">
        <v>480</v>
      </c>
      <c r="AY10" t="s">
        <v>252</v>
      </c>
      <c r="AZ10" t="s">
        <v>150</v>
      </c>
      <c r="BA10" t="s">
        <v>152</v>
      </c>
      <c r="BB10" t="s">
        <v>153</v>
      </c>
      <c r="BC10" t="s">
        <v>481</v>
      </c>
      <c r="BD10" t="s">
        <v>194</v>
      </c>
      <c r="BE10" t="s">
        <v>151</v>
      </c>
      <c r="BF10" t="s">
        <v>41</v>
      </c>
      <c r="BG10" t="s">
        <v>81</v>
      </c>
      <c r="BH10" t="s">
        <v>800</v>
      </c>
      <c r="BI10" t="s">
        <v>817</v>
      </c>
      <c r="BJ10" t="s">
        <v>480</v>
      </c>
      <c r="BK10" t="s">
        <v>226</v>
      </c>
      <c r="BL10" t="s">
        <v>818</v>
      </c>
      <c r="BM10" t="s">
        <v>481</v>
      </c>
      <c r="BN10">
        <v>6.84</v>
      </c>
      <c r="BO10">
        <v>15.02</v>
      </c>
      <c r="BP10">
        <v>17.010000000000002</v>
      </c>
      <c r="BQ10">
        <v>7.52</v>
      </c>
      <c r="BR10">
        <v>13.48</v>
      </c>
      <c r="BS10">
        <v>16.25</v>
      </c>
      <c r="BT10" t="s">
        <v>819</v>
      </c>
      <c r="BU10" t="s">
        <v>90</v>
      </c>
      <c r="BV10">
        <v>7.31</v>
      </c>
      <c r="BW10">
        <v>9.68</v>
      </c>
      <c r="BX10">
        <v>11.52</v>
      </c>
      <c r="BY10">
        <v>2.2799999999999998</v>
      </c>
      <c r="BZ10">
        <v>4.03</v>
      </c>
      <c r="CA10">
        <v>4.21</v>
      </c>
      <c r="CB10">
        <v>-5.33</v>
      </c>
      <c r="CC10">
        <v>-32.01</v>
      </c>
      <c r="CD10" t="s">
        <v>820</v>
      </c>
      <c r="CE10" t="s">
        <v>821</v>
      </c>
      <c r="CF10" s="7">
        <v>0.10279983284580026</v>
      </c>
      <c r="CG10" s="8">
        <v>0.220730355973838</v>
      </c>
      <c r="CH10" s="7">
        <v>7.5450964272022247E-2</v>
      </c>
      <c r="CI10" s="7">
        <v>0.29700425267219543</v>
      </c>
      <c r="CJ10" s="7">
        <v>0.78280770778656006</v>
      </c>
      <c r="CK10" s="7">
        <v>9.6486374735832214E-2</v>
      </c>
      <c r="CL10" s="7">
        <v>0.63222575187683105</v>
      </c>
      <c r="CM10" s="8">
        <v>-0.30927833914756775</v>
      </c>
      <c r="CN10" s="8">
        <v>0.15019762516021729</v>
      </c>
      <c r="CO10" s="8">
        <v>0.36021506786346436</v>
      </c>
      <c r="CP10" s="8">
        <v>0.22368420660495758</v>
      </c>
      <c r="CQ10" s="8">
        <v>0.2881355881690979</v>
      </c>
      <c r="CR10">
        <v>15.013654121565363</v>
      </c>
      <c r="CS10">
        <v>0.3984568190236728</v>
      </c>
      <c r="CT10">
        <v>0.52390307793058288</v>
      </c>
      <c r="CU10" s="7">
        <v>0.37679501026868822</v>
      </c>
      <c r="CV10" s="8">
        <v>0.14259082973003387</v>
      </c>
      <c r="CW10">
        <v>0.06</v>
      </c>
      <c r="CX10">
        <v>11.541792279447149</v>
      </c>
      <c r="CY10">
        <v>261071506.66415682</v>
      </c>
      <c r="CZ10">
        <v>0.37679501026868822</v>
      </c>
      <c r="DA10">
        <v>2.9834472162796613</v>
      </c>
      <c r="DB10">
        <v>1009983713.9929298</v>
      </c>
      <c r="DC10">
        <v>0.35795525975525377</v>
      </c>
      <c r="DD10">
        <v>1.0435962447406917</v>
      </c>
      <c r="DE10">
        <v>2887355253.7061067</v>
      </c>
      <c r="DF10">
        <v>0.33157960903644562</v>
      </c>
      <c r="DG10">
        <v>0.40998527362702503</v>
      </c>
      <c r="DH10">
        <v>7349613007.6643238</v>
      </c>
      <c r="DI10">
        <v>0.30143600821495059</v>
      </c>
      <c r="DJ10">
        <v>7.39998384404707E-2</v>
      </c>
      <c r="DK10">
        <v>40719455116.432457</v>
      </c>
      <c r="DL10">
        <v>0.26375650718808175</v>
      </c>
      <c r="DM10">
        <v>200999999.99999997</v>
      </c>
      <c r="DN10">
        <v>0.37679501026868822</v>
      </c>
      <c r="DO10">
        <v>3013233100</v>
      </c>
      <c r="DP10">
        <v>1481919800</v>
      </c>
      <c r="DQ10">
        <v>2128</v>
      </c>
      <c r="DR10">
        <v>-0.27399517742288798</v>
      </c>
      <c r="DS10">
        <v>7.813952624380413E-2</v>
      </c>
      <c r="DT10" s="9">
        <v>0.17666666666666661</v>
      </c>
      <c r="DU10">
        <v>0.55333333333333323</v>
      </c>
      <c r="DV10">
        <v>0.72999999999999987</v>
      </c>
      <c r="DW10">
        <v>-8.1665104654795382</v>
      </c>
      <c r="DX10">
        <v>0.42148273720634633</v>
      </c>
      <c r="DY10">
        <v>-8.0318838797035248</v>
      </c>
      <c r="DZ10">
        <v>430</v>
      </c>
      <c r="EA10">
        <v>-8.0292008917832671</v>
      </c>
      <c r="EB10">
        <v>8</v>
      </c>
      <c r="EC10">
        <v>9.2297830212397611E-2</v>
      </c>
      <c r="ED10">
        <v>0.48201643483472789</v>
      </c>
      <c r="EE10" s="10">
        <v>-1.11791</v>
      </c>
      <c r="EF10">
        <v>-2.0076100000000001</v>
      </c>
      <c r="EG10">
        <v>23.191482737206346</v>
      </c>
      <c r="EH10" t="s">
        <v>578</v>
      </c>
      <c r="EI10">
        <v>0</v>
      </c>
      <c r="EJ10">
        <v>1</v>
      </c>
      <c r="EK10" s="12">
        <v>45470</v>
      </c>
      <c r="EL10" s="13">
        <v>-1.92</v>
      </c>
      <c r="EM10" s="13">
        <v>-5.98</v>
      </c>
      <c r="EN10" s="13">
        <v>-0.49</v>
      </c>
      <c r="EO10" s="13">
        <v>2.2799999999999998</v>
      </c>
      <c r="EP10" s="13">
        <v>-3.97</v>
      </c>
    </row>
    <row r="11" spans="1:146" ht="96" x14ac:dyDescent="0.25">
      <c r="A11" s="6"/>
      <c r="B11" s="6"/>
      <c r="C11" s="6" t="str">
        <f>""&amp;CHAR(10)&amp;Basic_Fundamental_Information_Constructure(F11)&amp;CHAR(10)&amp;Basic_Fundamental_Information_Concatenate("")</f>
        <v xml:space="preserve">
市值37.605533亿, 利润1.88亿; PE19.59; 平均PE90.04; 平均PEG1.85, PB5.68; ROIC13.44%; ROE4.92%; 股利率3.0506%; 毛利52.0667%; 净利1.8667%; 上一年度营收增139.94%, 利润增273.13%; 当季营收增12.2%, 利润增3540.44%; 过往5年营收增48.73%, 利润增54.06%
Income profile:
</v>
      </c>
      <c r="D11" t="s">
        <v>154</v>
      </c>
      <c r="E11" t="s">
        <v>253</v>
      </c>
      <c r="F11">
        <v>16.39</v>
      </c>
      <c r="G11">
        <v>1.17</v>
      </c>
      <c r="H11" t="s">
        <v>822</v>
      </c>
      <c r="I11">
        <v>3760553300</v>
      </c>
      <c r="J11">
        <v>19.59</v>
      </c>
      <c r="K11">
        <v>5.68</v>
      </c>
      <c r="L11" t="s">
        <v>94</v>
      </c>
      <c r="M11" t="s">
        <v>144</v>
      </c>
      <c r="N11" t="s">
        <v>823</v>
      </c>
      <c r="O11" t="s">
        <v>824</v>
      </c>
      <c r="P11">
        <v>12.2</v>
      </c>
      <c r="Q11" t="s">
        <v>825</v>
      </c>
      <c r="R11">
        <v>39000000</v>
      </c>
      <c r="S11" s="5">
        <v>3.4940000000000002</v>
      </c>
      <c r="T11" t="s">
        <v>826</v>
      </c>
      <c r="U11">
        <v>133057625</v>
      </c>
      <c r="V11">
        <v>229441940</v>
      </c>
      <c r="W11">
        <v>1.33</v>
      </c>
      <c r="X11">
        <v>0.09</v>
      </c>
      <c r="Y11">
        <v>4.24</v>
      </c>
      <c r="Z11" t="s">
        <v>827</v>
      </c>
      <c r="AA11" t="s">
        <v>828</v>
      </c>
      <c r="AB11" t="s">
        <v>829</v>
      </c>
      <c r="AC11" t="s">
        <v>830</v>
      </c>
      <c r="AD11" t="s">
        <v>5</v>
      </c>
      <c r="AE11">
        <v>-3256674</v>
      </c>
      <c r="AF11" t="s">
        <v>831</v>
      </c>
      <c r="AG11">
        <v>908.65</v>
      </c>
      <c r="AH11" t="s">
        <v>832</v>
      </c>
      <c r="AI11" t="s">
        <v>833</v>
      </c>
      <c r="AJ11" t="s">
        <v>834</v>
      </c>
      <c r="AK11" t="s">
        <v>5</v>
      </c>
      <c r="AL11" t="s">
        <v>835</v>
      </c>
      <c r="AM11" t="s">
        <v>5</v>
      </c>
      <c r="AN11">
        <v>0</v>
      </c>
      <c r="AO11" t="s">
        <v>5</v>
      </c>
      <c r="AP11" t="s">
        <v>5</v>
      </c>
      <c r="AQ11" t="s">
        <v>836</v>
      </c>
      <c r="AR11" t="s">
        <v>5</v>
      </c>
      <c r="AS11" t="s">
        <v>372</v>
      </c>
      <c r="AT11" t="s">
        <v>5</v>
      </c>
      <c r="AU11" t="s">
        <v>837</v>
      </c>
      <c r="AV11" t="s">
        <v>838</v>
      </c>
      <c r="AW11" t="s">
        <v>839</v>
      </c>
      <c r="AX11" t="s">
        <v>483</v>
      </c>
      <c r="AY11" t="s">
        <v>88</v>
      </c>
      <c r="AZ11" t="s">
        <v>155</v>
      </c>
      <c r="BA11" t="s">
        <v>157</v>
      </c>
      <c r="BB11" t="s">
        <v>158</v>
      </c>
      <c r="BC11" t="s">
        <v>484</v>
      </c>
      <c r="BD11" t="s">
        <v>254</v>
      </c>
      <c r="BE11" t="s">
        <v>156</v>
      </c>
      <c r="BF11" t="s">
        <v>159</v>
      </c>
      <c r="BG11" t="s">
        <v>160</v>
      </c>
      <c r="BH11" t="s">
        <v>825</v>
      </c>
      <c r="BI11" t="s">
        <v>840</v>
      </c>
      <c r="BJ11" t="s">
        <v>483</v>
      </c>
      <c r="BK11" t="s">
        <v>826</v>
      </c>
      <c r="BL11" t="s">
        <v>841</v>
      </c>
      <c r="BM11" t="s">
        <v>484</v>
      </c>
      <c r="BN11">
        <v>17.059999999999999</v>
      </c>
      <c r="BO11">
        <v>9.82</v>
      </c>
      <c r="BP11" t="s">
        <v>5</v>
      </c>
      <c r="BQ11">
        <v>16.61</v>
      </c>
      <c r="BR11">
        <v>12.25</v>
      </c>
      <c r="BS11">
        <v>-14.1</v>
      </c>
      <c r="BT11" t="s">
        <v>842</v>
      </c>
      <c r="BU11" t="s">
        <v>90</v>
      </c>
      <c r="BV11">
        <v>50.09</v>
      </c>
      <c r="BW11">
        <v>49.34</v>
      </c>
      <c r="BX11">
        <v>56.77</v>
      </c>
      <c r="BY11">
        <v>23.62</v>
      </c>
      <c r="BZ11">
        <v>14.68</v>
      </c>
      <c r="CA11">
        <v>-32.700000000000003</v>
      </c>
      <c r="CB11">
        <v>-6.5</v>
      </c>
      <c r="CC11">
        <v>-20.67</v>
      </c>
      <c r="CD11" t="s">
        <v>843</v>
      </c>
      <c r="CE11" t="s">
        <v>844</v>
      </c>
      <c r="CF11" s="7">
        <v>0.12204550914442278</v>
      </c>
      <c r="CG11" s="8">
        <v>35.40436852422291</v>
      </c>
      <c r="CH11" s="7">
        <v>1.3994252681732178</v>
      </c>
      <c r="CI11" s="7">
        <v>0.91208791732788086</v>
      </c>
      <c r="CJ11" s="7">
        <v>0.9289204478263855</v>
      </c>
      <c r="CK11" s="7">
        <v>-0.77851343154907227</v>
      </c>
      <c r="CL11" s="7">
        <v>-2.517162449657917E-2</v>
      </c>
      <c r="CM11" s="8">
        <v>2.731269359588623</v>
      </c>
      <c r="CN11" s="8">
        <v>1.8740566968917847</v>
      </c>
      <c r="CO11" s="8">
        <v>0.10806984454393387</v>
      </c>
      <c r="CP11" s="8">
        <v>-1.9775078296661377</v>
      </c>
      <c r="CQ11" s="8">
        <v>-3.302248939871788E-2</v>
      </c>
      <c r="CR11">
        <v>90.036615089448745</v>
      </c>
      <c r="CS11">
        <v>1.8474744569233243</v>
      </c>
      <c r="CT11">
        <v>3.0506406345332517</v>
      </c>
      <c r="CU11" s="7">
        <v>0.48734971545636652</v>
      </c>
      <c r="CV11" s="8">
        <v>0.5405731163918972</v>
      </c>
      <c r="CW11">
        <v>0.06</v>
      </c>
      <c r="CX11">
        <v>12.379174871966688</v>
      </c>
      <c r="CY11">
        <v>263794100.47716689</v>
      </c>
      <c r="CZ11">
        <v>0.48734971545636652</v>
      </c>
      <c r="DA11">
        <v>2.9370423568263408</v>
      </c>
      <c r="DB11">
        <v>1111850938.210042</v>
      </c>
      <c r="DC11">
        <v>0.46298222968354819</v>
      </c>
      <c r="DD11">
        <v>0.89690957561767792</v>
      </c>
      <c r="DE11">
        <v>3640894677.42732</v>
      </c>
      <c r="DF11">
        <v>0.42886774960160251</v>
      </c>
      <c r="DG11">
        <v>0.29402379935955908</v>
      </c>
      <c r="DH11">
        <v>11106425082.299492</v>
      </c>
      <c r="DI11">
        <v>0.38987977236509325</v>
      </c>
      <c r="DJ11">
        <v>3.3251026915301705E-2</v>
      </c>
      <c r="DK11">
        <v>98209096167.710648</v>
      </c>
      <c r="DL11">
        <v>0.34114480081945653</v>
      </c>
      <c r="DM11">
        <v>188000000</v>
      </c>
      <c r="DN11">
        <v>0.48734971545636652</v>
      </c>
      <c r="DO11">
        <v>3265553300</v>
      </c>
      <c r="DP11">
        <v>567136250</v>
      </c>
      <c r="DQ11">
        <v>2252</v>
      </c>
      <c r="DR11">
        <v>-0.36530420631194371</v>
      </c>
      <c r="DS11">
        <v>34.863795407831013</v>
      </c>
      <c r="DT11" s="9">
        <v>0.22666666666666666</v>
      </c>
      <c r="DU11">
        <v>-0.1966666666666668</v>
      </c>
      <c r="DV11">
        <v>2.999999999999986E-2</v>
      </c>
      <c r="DW11">
        <v>-9.3144654088050309</v>
      </c>
      <c r="DX11">
        <v>0.25132962489775357</v>
      </c>
      <c r="DY11">
        <v>-9.0475879323577839</v>
      </c>
      <c r="DZ11">
        <v>3004</v>
      </c>
      <c r="EA11">
        <v>-9.0196125607721118</v>
      </c>
      <c r="EB11">
        <v>9</v>
      </c>
      <c r="EC11">
        <v>5.3379517275699465E-2</v>
      </c>
      <c r="ED11">
        <v>0.35273673156703611</v>
      </c>
      <c r="EE11" s="10">
        <v>-3.0235099999999999</v>
      </c>
      <c r="EF11">
        <v>-3.0680100000000001</v>
      </c>
      <c r="EG11">
        <v>10.151329624897754</v>
      </c>
      <c r="EH11" t="s">
        <v>583</v>
      </c>
      <c r="EI11">
        <v>0</v>
      </c>
      <c r="EJ11">
        <v>0</v>
      </c>
      <c r="EK11" s="12">
        <v>45470</v>
      </c>
      <c r="EL11" s="13">
        <v>4.9800000000000004</v>
      </c>
      <c r="EM11" s="13">
        <v>-3.9</v>
      </c>
      <c r="EN11" s="13">
        <v>3.83</v>
      </c>
      <c r="EO11" s="13">
        <v>2.06</v>
      </c>
      <c r="EP11" s="13">
        <v>-4.45</v>
      </c>
    </row>
    <row r="12" spans="1:146" ht="96" x14ac:dyDescent="0.25">
      <c r="A12" s="6"/>
      <c r="B12" s="6"/>
      <c r="C12" s="6" t="str">
        <f>""&amp;CHAR(10)&amp;Basic_Fundamental_Information_Constructure(F12)&amp;CHAR(10)&amp;Basic_Fundamental_Information_Concatenate("")</f>
        <v xml:space="preserve">
市值33.834353亿, 利润1.26亿; PE26.45; 平均PE37.96; 平均PEG2.8, PB3.17; ROIC9.2433%; ROE10.4733%; 股利率1.1325%; 毛利46.2733%; 净利11.3767%; 上一年度营收增16.56%, 利润增10.53%; 当季营收增15.25%, 利润增22.53%; 过往5年营收增13.54%, 利润增14.86%
Income profile:
</v>
      </c>
      <c r="D12" t="s">
        <v>161</v>
      </c>
      <c r="E12" t="s">
        <v>162</v>
      </c>
      <c r="F12">
        <v>8.83</v>
      </c>
      <c r="G12">
        <v>2.44</v>
      </c>
      <c r="H12" t="s">
        <v>845</v>
      </c>
      <c r="I12">
        <v>3383435300</v>
      </c>
      <c r="J12">
        <v>26.45</v>
      </c>
      <c r="K12">
        <v>3.17</v>
      </c>
      <c r="L12" t="s">
        <v>94</v>
      </c>
      <c r="M12" t="s">
        <v>131</v>
      </c>
      <c r="N12" t="s">
        <v>704</v>
      </c>
      <c r="O12" t="s">
        <v>357</v>
      </c>
      <c r="P12">
        <v>15.5</v>
      </c>
      <c r="Q12" t="s">
        <v>846</v>
      </c>
      <c r="R12">
        <v>12065700</v>
      </c>
      <c r="S12" s="5">
        <v>0.2253</v>
      </c>
      <c r="T12" t="s">
        <v>21</v>
      </c>
      <c r="U12">
        <v>372300000</v>
      </c>
      <c r="V12">
        <v>383175000</v>
      </c>
      <c r="W12">
        <v>1.67</v>
      </c>
      <c r="X12">
        <v>0.11</v>
      </c>
      <c r="Y12">
        <v>2.4300000000000002</v>
      </c>
      <c r="Z12" t="s">
        <v>502</v>
      </c>
      <c r="AA12" t="s">
        <v>69</v>
      </c>
      <c r="AB12" t="s">
        <v>847</v>
      </c>
      <c r="AC12" t="s">
        <v>848</v>
      </c>
      <c r="AD12" t="s">
        <v>5</v>
      </c>
      <c r="AE12">
        <v>1135412</v>
      </c>
      <c r="AF12" t="s">
        <v>849</v>
      </c>
      <c r="AG12" t="s">
        <v>850</v>
      </c>
      <c r="AH12" t="s">
        <v>851</v>
      </c>
      <c r="AI12" t="s">
        <v>852</v>
      </c>
      <c r="AJ12" t="s">
        <v>853</v>
      </c>
      <c r="AK12" t="s">
        <v>854</v>
      </c>
      <c r="AL12" t="s">
        <v>855</v>
      </c>
      <c r="AM12" t="s">
        <v>5</v>
      </c>
      <c r="AN12" t="s">
        <v>856</v>
      </c>
      <c r="AO12" t="s">
        <v>5</v>
      </c>
      <c r="AP12" t="s">
        <v>857</v>
      </c>
      <c r="AQ12" t="s">
        <v>454</v>
      </c>
      <c r="AR12" t="s">
        <v>5</v>
      </c>
      <c r="AS12" t="s">
        <v>569</v>
      </c>
      <c r="AT12" t="s">
        <v>5</v>
      </c>
      <c r="AU12" t="s">
        <v>858</v>
      </c>
      <c r="AV12" t="s">
        <v>859</v>
      </c>
      <c r="AW12" t="s">
        <v>860</v>
      </c>
      <c r="AX12" t="s">
        <v>487</v>
      </c>
      <c r="AY12" t="s">
        <v>75</v>
      </c>
      <c r="AZ12" t="s">
        <v>164</v>
      </c>
      <c r="BA12" t="s">
        <v>85</v>
      </c>
      <c r="BB12" t="s">
        <v>166</v>
      </c>
      <c r="BC12" t="s">
        <v>358</v>
      </c>
      <c r="BD12" t="s">
        <v>255</v>
      </c>
      <c r="BE12" t="s">
        <v>165</v>
      </c>
      <c r="BF12" t="s">
        <v>167</v>
      </c>
      <c r="BG12" t="s">
        <v>168</v>
      </c>
      <c r="BH12" t="s">
        <v>846</v>
      </c>
      <c r="BI12" t="s">
        <v>861</v>
      </c>
      <c r="BJ12" t="s">
        <v>487</v>
      </c>
      <c r="BK12" t="s">
        <v>21</v>
      </c>
      <c r="BL12" t="s">
        <v>862</v>
      </c>
      <c r="BM12" t="s">
        <v>358</v>
      </c>
      <c r="BN12">
        <v>6.31</v>
      </c>
      <c r="BO12">
        <v>10.58</v>
      </c>
      <c r="BP12">
        <v>10.84</v>
      </c>
      <c r="BQ12">
        <v>8.33</v>
      </c>
      <c r="BR12">
        <v>12.7</v>
      </c>
      <c r="BS12">
        <v>10.39</v>
      </c>
      <c r="BT12" t="s">
        <v>718</v>
      </c>
      <c r="BU12" t="s">
        <v>90</v>
      </c>
      <c r="BV12">
        <v>46.86</v>
      </c>
      <c r="BW12">
        <v>46.45</v>
      </c>
      <c r="BX12">
        <v>45.51</v>
      </c>
      <c r="BY12">
        <v>10.63</v>
      </c>
      <c r="BZ12">
        <v>11.5</v>
      </c>
      <c r="CA12">
        <v>12</v>
      </c>
      <c r="CB12">
        <v>-3.6</v>
      </c>
      <c r="CC12">
        <v>-13.26</v>
      </c>
      <c r="CD12" t="s">
        <v>863</v>
      </c>
      <c r="CE12" t="s">
        <v>864</v>
      </c>
      <c r="CF12" s="7">
        <v>0.15254237288135594</v>
      </c>
      <c r="CG12" s="8">
        <v>0.22528002599697378</v>
      </c>
      <c r="CH12" s="7">
        <v>0.16564416885375977</v>
      </c>
      <c r="CI12" s="7">
        <v>0.16096866130828857</v>
      </c>
      <c r="CJ12" s="7">
        <v>0.20000000298023224</v>
      </c>
      <c r="CK12" s="7">
        <v>7.1428574621677399E-2</v>
      </c>
      <c r="CL12" s="7">
        <v>7.9051382839679718E-2</v>
      </c>
      <c r="CM12" s="8">
        <v>0.10526315867900848</v>
      </c>
      <c r="CN12" s="8">
        <v>0.35404789447784424</v>
      </c>
      <c r="CO12" s="8">
        <v>9.0291783213615417E-2</v>
      </c>
      <c r="CP12" s="8">
        <v>0.11692778766155243</v>
      </c>
      <c r="CQ12" s="8">
        <v>7.6420538127422333E-2</v>
      </c>
      <c r="CR12">
        <v>37.961033705764102</v>
      </c>
      <c r="CS12">
        <v>2.803237180528928</v>
      </c>
      <c r="CT12">
        <v>1.1325028312570782</v>
      </c>
      <c r="CU12" s="7">
        <v>0.13541855812072753</v>
      </c>
      <c r="CV12" s="8">
        <v>0.14859023243188857</v>
      </c>
      <c r="CW12">
        <v>0.06</v>
      </c>
      <c r="CX12">
        <v>23.038853139757286</v>
      </c>
      <c r="CY12">
        <v>134964847.47472799</v>
      </c>
      <c r="CZ12">
        <v>0.13541855812072753</v>
      </c>
      <c r="DA12">
        <v>7.246275662594643</v>
      </c>
      <c r="DB12">
        <v>429108061.13144994</v>
      </c>
      <c r="DC12">
        <v>0.12864763021469114</v>
      </c>
      <c r="DD12">
        <v>3.3863311891811962</v>
      </c>
      <c r="DE12">
        <v>918231302.93166959</v>
      </c>
      <c r="DF12">
        <v>0.11916833114624023</v>
      </c>
      <c r="DG12">
        <v>1.915344328958678</v>
      </c>
      <c r="DH12">
        <v>1623434101.632534</v>
      </c>
      <c r="DI12">
        <v>0.10833484649658204</v>
      </c>
      <c r="DJ12">
        <v>0.86397572230309139</v>
      </c>
      <c r="DK12">
        <v>3598984577.6119838</v>
      </c>
      <c r="DL12">
        <v>9.4792990684509262E-2</v>
      </c>
      <c r="DM12">
        <v>126000000</v>
      </c>
      <c r="DN12">
        <v>0.13541855812072753</v>
      </c>
      <c r="DO12">
        <v>3109435300</v>
      </c>
      <c r="DP12">
        <v>374527330</v>
      </c>
      <c r="DQ12">
        <v>2254</v>
      </c>
      <c r="DR12">
        <v>1.7123814760628409E-2</v>
      </c>
      <c r="DS12">
        <v>7.6689793565085207E-2</v>
      </c>
      <c r="DT12" s="9">
        <v>1.0000000000000011E-2</v>
      </c>
      <c r="DU12">
        <v>0.37000000000000005</v>
      </c>
      <c r="DV12">
        <v>0.38000000000000006</v>
      </c>
      <c r="DW12">
        <v>-8.2714932126696841</v>
      </c>
      <c r="DX12">
        <v>0.3428592652303718</v>
      </c>
      <c r="DY12">
        <v>-8.0469301172571139</v>
      </c>
      <c r="DZ12">
        <v>2778</v>
      </c>
      <c r="EA12">
        <v>-8.0214170319850471</v>
      </c>
      <c r="EB12">
        <v>8</v>
      </c>
      <c r="EC12">
        <v>3.8503033861812488E-2</v>
      </c>
      <c r="ED12">
        <v>0.2227420891237685</v>
      </c>
      <c r="EE12" s="10">
        <v>1.05121</v>
      </c>
      <c r="EF12">
        <v>1.0701099999999999</v>
      </c>
      <c r="EG12">
        <v>17.172859265230372</v>
      </c>
      <c r="EH12" t="s">
        <v>299</v>
      </c>
      <c r="EI12">
        <v>0</v>
      </c>
      <c r="EJ12">
        <v>0</v>
      </c>
      <c r="EK12" s="12">
        <v>45470</v>
      </c>
      <c r="EL12" s="13">
        <v>2.73</v>
      </c>
      <c r="EM12" s="13">
        <v>7.0000000000000007E-2</v>
      </c>
      <c r="EN12" s="13">
        <v>0.77</v>
      </c>
      <c r="EO12" s="13">
        <v>2.71</v>
      </c>
      <c r="EP12" s="13">
        <v>-1.89</v>
      </c>
    </row>
    <row r="13" spans="1:146" ht="96" x14ac:dyDescent="0.25">
      <c r="A13" s="6"/>
      <c r="B13" s="6"/>
      <c r="C13" s="6" t="str">
        <f>""&amp;CHAR(10)&amp;Basic_Fundamental_Information_Constructure(F13)&amp;CHAR(10)&amp;Basic_Fundamental_Information_Concatenate("")</f>
        <v xml:space="preserve">
市值40.12714亿, 利润15.89亿; PE30.4; 平均PE10.26; 平均PEG.04, PB1.23; ROIC1.53%; ROE1.7367%; 股利率2.8571%; 毛利34.7467%; 净利13.95%; 上一年度营收增1310%, 利润增10698.87%; 当季营收增-96.53%, 利润增-101.55%; 过往5年营收增258.61%, 利润增2127.93%
Income profile:
</v>
      </c>
      <c r="D13" t="s">
        <v>169</v>
      </c>
      <c r="E13" t="s">
        <v>170</v>
      </c>
      <c r="F13">
        <v>21</v>
      </c>
      <c r="G13">
        <v>0.48</v>
      </c>
      <c r="H13" t="s">
        <v>865</v>
      </c>
      <c r="I13">
        <v>4012714000</v>
      </c>
      <c r="J13">
        <v>30.4</v>
      </c>
      <c r="K13">
        <v>1.23</v>
      </c>
      <c r="L13" t="s">
        <v>94</v>
      </c>
      <c r="M13" t="s">
        <v>586</v>
      </c>
      <c r="N13" t="s">
        <v>866</v>
      </c>
      <c r="O13" t="s">
        <v>867</v>
      </c>
      <c r="P13">
        <v>109.37</v>
      </c>
      <c r="Q13" t="s">
        <v>868</v>
      </c>
      <c r="R13">
        <v>-5864568</v>
      </c>
      <c r="S13" s="5">
        <v>-0.74370000000000003</v>
      </c>
      <c r="T13" t="s">
        <v>869</v>
      </c>
      <c r="U13">
        <v>111897529</v>
      </c>
      <c r="V13">
        <v>191081620</v>
      </c>
      <c r="W13">
        <v>1.1299999999999999</v>
      </c>
      <c r="X13">
        <v>0.01</v>
      </c>
      <c r="Y13">
        <v>-19.37</v>
      </c>
      <c r="Z13" t="s">
        <v>870</v>
      </c>
      <c r="AA13" t="s">
        <v>871</v>
      </c>
      <c r="AB13" t="s">
        <v>872</v>
      </c>
      <c r="AC13" t="s">
        <v>873</v>
      </c>
      <c r="AD13" t="s">
        <v>5</v>
      </c>
      <c r="AE13">
        <v>-587342</v>
      </c>
      <c r="AF13" t="s">
        <v>874</v>
      </c>
      <c r="AG13">
        <v>2.38</v>
      </c>
      <c r="AH13" t="s">
        <v>875</v>
      </c>
      <c r="AI13" t="s">
        <v>876</v>
      </c>
      <c r="AJ13" t="s">
        <v>877</v>
      </c>
      <c r="AK13" t="s">
        <v>5</v>
      </c>
      <c r="AL13" t="s">
        <v>878</v>
      </c>
      <c r="AM13" t="s">
        <v>5</v>
      </c>
      <c r="AN13">
        <v>0</v>
      </c>
      <c r="AO13" t="s">
        <v>5</v>
      </c>
      <c r="AP13" t="s">
        <v>5</v>
      </c>
      <c r="AQ13" t="s">
        <v>879</v>
      </c>
      <c r="AR13" t="s">
        <v>5</v>
      </c>
      <c r="AS13" t="s">
        <v>880</v>
      </c>
      <c r="AT13" t="s">
        <v>5</v>
      </c>
      <c r="AU13" t="s">
        <v>881</v>
      </c>
      <c r="AV13" t="s">
        <v>882</v>
      </c>
      <c r="AW13" t="s">
        <v>883</v>
      </c>
      <c r="AX13" t="s">
        <v>472</v>
      </c>
      <c r="AY13" t="s">
        <v>91</v>
      </c>
      <c r="AZ13" t="s">
        <v>171</v>
      </c>
      <c r="BA13" t="s">
        <v>172</v>
      </c>
      <c r="BB13" t="s">
        <v>37</v>
      </c>
      <c r="BC13" t="s">
        <v>490</v>
      </c>
      <c r="BD13" t="s">
        <v>256</v>
      </c>
      <c r="BE13" t="s">
        <v>89</v>
      </c>
      <c r="BF13" t="s">
        <v>173</v>
      </c>
      <c r="BG13" t="s">
        <v>65</v>
      </c>
      <c r="BH13" t="s">
        <v>486</v>
      </c>
      <c r="BI13" t="s">
        <v>884</v>
      </c>
      <c r="BJ13" t="s">
        <v>472</v>
      </c>
      <c r="BK13" t="s">
        <v>92</v>
      </c>
      <c r="BL13" t="s">
        <v>885</v>
      </c>
      <c r="BM13" t="s">
        <v>490</v>
      </c>
      <c r="BN13">
        <v>1.77</v>
      </c>
      <c r="BO13">
        <v>0.12</v>
      </c>
      <c r="BP13">
        <v>2.7</v>
      </c>
      <c r="BQ13">
        <v>1.83</v>
      </c>
      <c r="BR13">
        <v>0.46</v>
      </c>
      <c r="BS13">
        <v>2.92</v>
      </c>
      <c r="BT13" t="s">
        <v>886</v>
      </c>
      <c r="BU13" t="s">
        <v>90</v>
      </c>
      <c r="BV13">
        <v>37.369999999999997</v>
      </c>
      <c r="BW13">
        <v>25.71</v>
      </c>
      <c r="BX13">
        <v>41.16</v>
      </c>
      <c r="BY13">
        <v>19.559999999999999</v>
      </c>
      <c r="BZ13">
        <v>2.59</v>
      </c>
      <c r="CA13">
        <v>19.7</v>
      </c>
      <c r="CB13">
        <v>-0.19</v>
      </c>
      <c r="CC13">
        <v>-11.39</v>
      </c>
      <c r="CD13" t="s">
        <v>887</v>
      </c>
      <c r="CE13" t="s">
        <v>888</v>
      </c>
      <c r="CF13" s="7">
        <v>-0.96525623742454725</v>
      </c>
      <c r="CG13" s="8">
        <v>-1.0154737941952507</v>
      </c>
      <c r="CH13" s="7">
        <v>13.100000381469727</v>
      </c>
      <c r="CI13" s="7">
        <v>-0.31477516889572144</v>
      </c>
      <c r="CJ13" s="7">
        <v>-0.52540647983551025</v>
      </c>
      <c r="CK13" s="7">
        <v>7.8947365283966064E-2</v>
      </c>
      <c r="CL13" s="7">
        <v>0.59162300825119019</v>
      </c>
      <c r="CM13" s="8">
        <v>106.98871612548828</v>
      </c>
      <c r="CN13" s="8">
        <v>-0.84034466743469238</v>
      </c>
      <c r="CO13" s="8">
        <v>-0.64688050746917725</v>
      </c>
      <c r="CP13" s="8">
        <v>2.7559055015444756E-2</v>
      </c>
      <c r="CQ13" s="8">
        <v>0.86764705181121826</v>
      </c>
      <c r="CR13">
        <v>10.258853173792067</v>
      </c>
      <c r="CS13">
        <v>3.966954547723011E-2</v>
      </c>
      <c r="CT13">
        <v>2.8571428571428572</v>
      </c>
      <c r="CU13" s="7">
        <v>2.5860778212547304</v>
      </c>
      <c r="CV13" s="8">
        <v>21.279339411482216</v>
      </c>
      <c r="CW13">
        <v>0.06</v>
      </c>
      <c r="CX13">
        <v>0.20624422159482819</v>
      </c>
      <c r="CY13">
        <v>5375733639.5978928</v>
      </c>
      <c r="CZ13">
        <v>2.5860778212547304</v>
      </c>
      <c r="DA13">
        <v>1.4363587149110221E-2</v>
      </c>
      <c r="DB13">
        <v>77189213842.635498</v>
      </c>
      <c r="DC13">
        <v>2.4567739301919937</v>
      </c>
      <c r="DD13">
        <v>5.424707646029984E-4</v>
      </c>
      <c r="DE13">
        <v>2043822584266.6394</v>
      </c>
      <c r="DF13">
        <v>2.275748482704163</v>
      </c>
      <c r="DG13">
        <v>1.1039860551736406E-5</v>
      </c>
      <c r="DH13">
        <v>100428261281399.59</v>
      </c>
      <c r="DI13">
        <v>2.0688622570037842</v>
      </c>
      <c r="DJ13">
        <v>1.4765750613514353E-9</v>
      </c>
      <c r="DK13">
        <v>7.5086870218791962E+17</v>
      </c>
      <c r="DL13">
        <v>1.8102544748783111</v>
      </c>
      <c r="DM13">
        <v>1589000000</v>
      </c>
      <c r="DN13">
        <v>2.5860778212547304</v>
      </c>
      <c r="DO13">
        <v>1108714000</v>
      </c>
      <c r="DP13">
        <v>3017993000</v>
      </c>
      <c r="DQ13">
        <v>2317</v>
      </c>
      <c r="DR13">
        <v>-3.5513340586792776</v>
      </c>
      <c r="DS13">
        <v>-22.294813205677467</v>
      </c>
      <c r="DT13" s="9">
        <v>-0.32333333333333336</v>
      </c>
      <c r="DU13">
        <v>-0.96499999999999997</v>
      </c>
      <c r="DV13">
        <v>-1.2883333333333333</v>
      </c>
      <c r="DW13">
        <v>-2.1139000000000001</v>
      </c>
      <c r="DX13">
        <v>0.36594319621508109</v>
      </c>
      <c r="DY13">
        <v>-2.0234569300488978</v>
      </c>
      <c r="DZ13">
        <v>3755</v>
      </c>
      <c r="EA13">
        <v>-2.0062199883006371</v>
      </c>
      <c r="EB13">
        <v>2</v>
      </c>
      <c r="EC13">
        <v>5.0276421144011652E-2</v>
      </c>
      <c r="ED13">
        <v>0.24412761415776149</v>
      </c>
      <c r="EE13" s="10">
        <v>-2.0295100000000001</v>
      </c>
      <c r="EF13">
        <v>-2.02881</v>
      </c>
      <c r="EG13">
        <v>16.205943196215081</v>
      </c>
      <c r="EH13" t="s">
        <v>578</v>
      </c>
      <c r="EI13">
        <v>0</v>
      </c>
      <c r="EJ13">
        <v>0</v>
      </c>
      <c r="EK13" s="12">
        <v>45470</v>
      </c>
      <c r="EL13" s="13">
        <v>0.68</v>
      </c>
      <c r="EM13" s="13">
        <v>-2.86</v>
      </c>
      <c r="EN13" s="13">
        <v>2.46</v>
      </c>
      <c r="EO13" s="13">
        <v>0.47</v>
      </c>
      <c r="EP13" s="13">
        <v>7.0000000000000007E-2</v>
      </c>
    </row>
    <row r="14" spans="1:146" ht="168" x14ac:dyDescent="0.25">
      <c r="A14" s="6" t="s">
        <v>579</v>
      </c>
      <c r="B14" s="6" t="s">
        <v>581</v>
      </c>
      <c r="C14" s="6" t="str">
        <f>"公司的主营业务是健康与环保、电子及安规、消费品质量鉴定、安全保障等。公司已掌握众多领域成熟的检验检测技术"&amp;CHAR(10)&amp;Basic_Fundamental_Information_Constructure(F14)&amp;CHAR(10)&amp;Basic_Fundamental_Information_Concatenate("检测 14.20亿 99.54% 利润占比100.41% 毛利49.28%
计量 515.87万 0.36% 利润占比-0.14% 毛利-19.01%
认证 142.71万 0.10% 利润占比-0.26% 毛利-129.06%")</f>
        <v>公司的主营业务是健康与环保、电子及安规、消费品质量鉴定、安全保障等。公司已掌握众多领域成熟的检验检测技术
市值38.3896亿, 利润5.80亿; PE7094; 平均PE14.96; 平均PEG.29, PB1.14; ROIC8.2133%; ROE8.31%; 股利率.8535%; 毛利41.49%; 净利8.0067%; 上一年度营收增117.57%, 利润增79.57%; 当季营收增-85.8%, 利润增-125.99%; 过往5年营收增51.89%, 利润增37.88%
Income profile:
检测 14.20亿 99.54% 利润占比100.41% 毛利49.28%
计量 515.87万 0.36% 利润占比-0.14% 毛利-19.01%
认证 142.71万 0.10% 利润占比-0.26% 毛利-129.06%</v>
      </c>
      <c r="D14" t="s">
        <v>174</v>
      </c>
      <c r="E14" t="s">
        <v>175</v>
      </c>
      <c r="F14">
        <v>7.03</v>
      </c>
      <c r="G14">
        <v>1.74</v>
      </c>
      <c r="H14" t="s">
        <v>889</v>
      </c>
      <c r="I14">
        <v>3838960000</v>
      </c>
      <c r="J14">
        <v>7094</v>
      </c>
      <c r="K14">
        <v>1.1399999999999999</v>
      </c>
      <c r="L14" t="s">
        <v>94</v>
      </c>
      <c r="M14" t="s">
        <v>890</v>
      </c>
      <c r="N14" t="s">
        <v>891</v>
      </c>
      <c r="O14" t="s">
        <v>892</v>
      </c>
      <c r="P14">
        <v>-36.36</v>
      </c>
      <c r="Q14" t="s">
        <v>893</v>
      </c>
      <c r="R14">
        <v>-97979351</v>
      </c>
      <c r="S14" s="5">
        <v>-11.58</v>
      </c>
      <c r="T14" t="s">
        <v>894</v>
      </c>
      <c r="U14">
        <v>362168580</v>
      </c>
      <c r="V14">
        <v>546082500</v>
      </c>
      <c r="W14">
        <v>1.24</v>
      </c>
      <c r="X14">
        <v>0.08</v>
      </c>
      <c r="Y14">
        <v>-29.69</v>
      </c>
      <c r="Z14" t="s">
        <v>508</v>
      </c>
      <c r="AA14" t="s">
        <v>611</v>
      </c>
      <c r="AB14" t="s">
        <v>895</v>
      </c>
      <c r="AC14" t="s">
        <v>896</v>
      </c>
      <c r="AD14" t="s">
        <v>5</v>
      </c>
      <c r="AE14">
        <v>447641</v>
      </c>
      <c r="AF14" t="s">
        <v>897</v>
      </c>
      <c r="AG14" t="s">
        <v>898</v>
      </c>
      <c r="AH14" t="s">
        <v>899</v>
      </c>
      <c r="AI14" t="s">
        <v>122</v>
      </c>
      <c r="AJ14" t="s">
        <v>900</v>
      </c>
      <c r="AK14" t="s">
        <v>901</v>
      </c>
      <c r="AL14" t="s">
        <v>902</v>
      </c>
      <c r="AM14" t="s">
        <v>5</v>
      </c>
      <c r="AN14" t="s">
        <v>79</v>
      </c>
      <c r="AO14" t="s">
        <v>501</v>
      </c>
      <c r="AP14" t="s">
        <v>5</v>
      </c>
      <c r="AQ14" t="s">
        <v>59</v>
      </c>
      <c r="AR14" t="s">
        <v>5</v>
      </c>
      <c r="AS14" t="s">
        <v>537</v>
      </c>
      <c r="AT14" t="s">
        <v>5</v>
      </c>
      <c r="AU14" t="s">
        <v>903</v>
      </c>
      <c r="AV14" t="s">
        <v>904</v>
      </c>
      <c r="AW14" t="s">
        <v>905</v>
      </c>
      <c r="AX14" t="s">
        <v>492</v>
      </c>
      <c r="AY14" t="s">
        <v>257</v>
      </c>
      <c r="AZ14" t="s">
        <v>176</v>
      </c>
      <c r="BA14" t="s">
        <v>179</v>
      </c>
      <c r="BB14" t="s">
        <v>180</v>
      </c>
      <c r="BC14" t="s">
        <v>906</v>
      </c>
      <c r="BD14" t="s">
        <v>99</v>
      </c>
      <c r="BE14" t="s">
        <v>72</v>
      </c>
      <c r="BF14" t="s">
        <v>66</v>
      </c>
      <c r="BG14" t="s">
        <v>133</v>
      </c>
      <c r="BH14" t="s">
        <v>907</v>
      </c>
      <c r="BI14" t="s">
        <v>908</v>
      </c>
      <c r="BJ14" t="s">
        <v>492</v>
      </c>
      <c r="BK14" t="s">
        <v>63</v>
      </c>
      <c r="BL14" t="s">
        <v>909</v>
      </c>
      <c r="BM14" t="s">
        <v>906</v>
      </c>
      <c r="BN14">
        <v>2.87</v>
      </c>
      <c r="BO14">
        <v>11.01</v>
      </c>
      <c r="BP14">
        <v>10.76</v>
      </c>
      <c r="BQ14">
        <v>2.94</v>
      </c>
      <c r="BR14">
        <v>10.46</v>
      </c>
      <c r="BS14">
        <v>11.53</v>
      </c>
      <c r="BT14" t="s">
        <v>445</v>
      </c>
      <c r="BU14" t="s">
        <v>90</v>
      </c>
      <c r="BV14">
        <v>42.76</v>
      </c>
      <c r="BW14">
        <v>35.549999999999997</v>
      </c>
      <c r="BX14">
        <v>46.16</v>
      </c>
      <c r="BY14">
        <v>4.42</v>
      </c>
      <c r="BZ14">
        <v>8.6199999999999992</v>
      </c>
      <c r="CA14">
        <v>10.98</v>
      </c>
      <c r="CB14">
        <v>-5</v>
      </c>
      <c r="CC14">
        <v>-20.02</v>
      </c>
      <c r="CD14" t="s">
        <v>910</v>
      </c>
      <c r="CE14" t="s">
        <v>911</v>
      </c>
      <c r="CF14" s="7">
        <v>-0.85799319727891155</v>
      </c>
      <c r="CG14" s="8">
        <v>-1.259892177718833</v>
      </c>
      <c r="CH14" s="7">
        <v>1.1757044792175293</v>
      </c>
      <c r="CI14" s="7">
        <v>0.87443935871124268</v>
      </c>
      <c r="CJ14" s="7">
        <v>0.40743342041969299</v>
      </c>
      <c r="CK14" s="7">
        <v>0.10800305008888245</v>
      </c>
      <c r="CL14" s="7">
        <v>2.8776977211236954E-2</v>
      </c>
      <c r="CM14" s="8">
        <v>0.79566562175750732</v>
      </c>
      <c r="CN14" s="8">
        <v>0.46818181872367859</v>
      </c>
      <c r="CO14" s="8">
        <v>0.34146341681480408</v>
      </c>
      <c r="CP14" s="8">
        <v>0.31200000643730164</v>
      </c>
      <c r="CQ14" s="8">
        <v>-2.34375E-2</v>
      </c>
      <c r="CR14">
        <v>14.956987012987014</v>
      </c>
      <c r="CS14">
        <v>0.28825996896660666</v>
      </c>
      <c r="CT14">
        <v>0.85348506401137969</v>
      </c>
      <c r="CU14" s="7">
        <v>0.51887145712971683</v>
      </c>
      <c r="CV14" s="8">
        <v>0.37877467274665833</v>
      </c>
      <c r="CW14">
        <v>0.06</v>
      </c>
      <c r="CX14">
        <v>1.612310510081538</v>
      </c>
      <c r="CY14">
        <v>831080608.6181469</v>
      </c>
      <c r="CZ14">
        <v>0.51887145712971683</v>
      </c>
      <c r="DA14">
        <v>0.37347451686457594</v>
      </c>
      <c r="DB14">
        <v>3587821764.2513928</v>
      </c>
      <c r="DC14">
        <v>0.49292788427323098</v>
      </c>
      <c r="DD14">
        <v>0.10972046622145866</v>
      </c>
      <c r="DE14">
        <v>12212489120.265293</v>
      </c>
      <c r="DF14">
        <v>0.4566068822741508</v>
      </c>
      <c r="DG14">
        <v>3.4140665920500239E-2</v>
      </c>
      <c r="DH14">
        <v>39248209250.523193</v>
      </c>
      <c r="DI14">
        <v>0.41509716570377347</v>
      </c>
      <c r="DJ14">
        <v>3.377158459891786E-3</v>
      </c>
      <c r="DK14">
        <v>396771432526.42511</v>
      </c>
      <c r="DL14">
        <v>0.36321001999080177</v>
      </c>
      <c r="DM14">
        <v>580000000</v>
      </c>
      <c r="DN14">
        <v>0.51887145712971683</v>
      </c>
      <c r="DO14">
        <v>1339959999.9999995</v>
      </c>
      <c r="DP14">
        <v>1416590800</v>
      </c>
      <c r="DQ14">
        <v>2343</v>
      </c>
      <c r="DR14">
        <v>-1.3768646544086285</v>
      </c>
      <c r="DS14">
        <v>-1.6386668504654913</v>
      </c>
      <c r="DT14" s="9">
        <v>0.32666666666666661</v>
      </c>
      <c r="DU14">
        <v>-0.16500000000000001</v>
      </c>
      <c r="DV14">
        <v>0.1616666666666666</v>
      </c>
      <c r="DW14">
        <v>-8.2497502497502495</v>
      </c>
      <c r="DX14">
        <v>0.33430357142857314</v>
      </c>
      <c r="DY14">
        <v>-8.0310448480091345</v>
      </c>
      <c r="DZ14">
        <v>4077</v>
      </c>
      <c r="EA14">
        <v>-8.0062757980417683</v>
      </c>
      <c r="EB14">
        <v>8</v>
      </c>
      <c r="EC14">
        <v>7.0109369921211542E-2</v>
      </c>
      <c r="ED14">
        <v>0.56401734170203222</v>
      </c>
      <c r="EE14" s="10">
        <v>-3.0458099999999999</v>
      </c>
      <c r="EF14">
        <v>-3.0592100000000002</v>
      </c>
      <c r="EG14">
        <v>21.124303571428573</v>
      </c>
      <c r="EH14" t="s">
        <v>583</v>
      </c>
      <c r="EI14">
        <v>0</v>
      </c>
      <c r="EJ14">
        <v>0</v>
      </c>
      <c r="EK14" s="12">
        <v>45470</v>
      </c>
      <c r="EL14" s="13">
        <v>-1.35</v>
      </c>
      <c r="EM14" s="13">
        <v>-3.12</v>
      </c>
      <c r="EN14" s="13">
        <v>1.0900000000000001</v>
      </c>
      <c r="EO14" s="13">
        <v>4.78</v>
      </c>
      <c r="EP14" s="13">
        <v>-1.34</v>
      </c>
    </row>
    <row r="15" spans="1:146" ht="192" x14ac:dyDescent="0.25">
      <c r="A15" s="6" t="s">
        <v>321</v>
      </c>
      <c r="B15" s="6" t="s">
        <v>322</v>
      </c>
      <c r="C15" s="6" t="s">
        <v>320</v>
      </c>
      <c r="D15" t="s">
        <v>182</v>
      </c>
      <c r="E15" t="s">
        <v>183</v>
      </c>
      <c r="F15">
        <v>19.260000000000002</v>
      </c>
      <c r="G15">
        <v>2.5</v>
      </c>
      <c r="H15" t="s">
        <v>912</v>
      </c>
      <c r="I15">
        <v>3105196100</v>
      </c>
      <c r="J15">
        <v>17.940000000000001</v>
      </c>
      <c r="K15">
        <v>2.78</v>
      </c>
      <c r="L15" t="s">
        <v>94</v>
      </c>
      <c r="M15" t="s">
        <v>913</v>
      </c>
      <c r="N15" t="s">
        <v>914</v>
      </c>
      <c r="O15" t="s">
        <v>76</v>
      </c>
      <c r="P15">
        <v>20.09</v>
      </c>
      <c r="Q15" t="s">
        <v>371</v>
      </c>
      <c r="R15">
        <v>41038816</v>
      </c>
      <c r="S15" s="5">
        <v>0.30359999999999998</v>
      </c>
      <c r="T15" t="s">
        <v>78</v>
      </c>
      <c r="U15">
        <v>112719772</v>
      </c>
      <c r="V15">
        <v>161225140</v>
      </c>
      <c r="W15">
        <v>1.58</v>
      </c>
      <c r="X15">
        <v>0.09</v>
      </c>
      <c r="Y15">
        <v>24.49</v>
      </c>
      <c r="Z15" t="s">
        <v>298</v>
      </c>
      <c r="AA15" t="s">
        <v>915</v>
      </c>
      <c r="AB15" t="s">
        <v>916</v>
      </c>
      <c r="AC15" t="s">
        <v>917</v>
      </c>
      <c r="AD15" t="s">
        <v>5</v>
      </c>
      <c r="AE15">
        <v>254562</v>
      </c>
      <c r="AF15" t="s">
        <v>918</v>
      </c>
      <c r="AG15" t="s">
        <v>919</v>
      </c>
      <c r="AH15" t="s">
        <v>920</v>
      </c>
      <c r="AI15" t="s">
        <v>921</v>
      </c>
      <c r="AJ15" t="s">
        <v>922</v>
      </c>
      <c r="AK15" t="s">
        <v>923</v>
      </c>
      <c r="AL15" t="s">
        <v>924</v>
      </c>
      <c r="AM15" t="s">
        <v>5</v>
      </c>
      <c r="AN15" t="s">
        <v>485</v>
      </c>
      <c r="AO15" t="s">
        <v>925</v>
      </c>
      <c r="AP15" t="s">
        <v>5</v>
      </c>
      <c r="AQ15" t="s">
        <v>926</v>
      </c>
      <c r="AR15" t="s">
        <v>5</v>
      </c>
      <c r="AS15" t="s">
        <v>587</v>
      </c>
      <c r="AT15" t="s">
        <v>5</v>
      </c>
      <c r="AU15" t="s">
        <v>927</v>
      </c>
      <c r="AV15" t="s">
        <v>928</v>
      </c>
      <c r="AW15" t="s">
        <v>929</v>
      </c>
      <c r="AX15" t="s">
        <v>494</v>
      </c>
      <c r="AY15" t="s">
        <v>258</v>
      </c>
      <c r="AZ15" t="s">
        <v>82</v>
      </c>
      <c r="BA15" t="s">
        <v>186</v>
      </c>
      <c r="BB15" t="s">
        <v>178</v>
      </c>
      <c r="BC15" t="s">
        <v>381</v>
      </c>
      <c r="BD15" t="s">
        <v>259</v>
      </c>
      <c r="BE15" t="s">
        <v>184</v>
      </c>
      <c r="BF15" t="s">
        <v>187</v>
      </c>
      <c r="BG15" t="s">
        <v>188</v>
      </c>
      <c r="BH15" t="s">
        <v>930</v>
      </c>
      <c r="BI15" t="s">
        <v>931</v>
      </c>
      <c r="BJ15" t="s">
        <v>494</v>
      </c>
      <c r="BK15" t="s">
        <v>72</v>
      </c>
      <c r="BL15" t="s">
        <v>932</v>
      </c>
      <c r="BM15" t="s">
        <v>381</v>
      </c>
      <c r="BN15">
        <v>11.05</v>
      </c>
      <c r="BO15">
        <v>10.28</v>
      </c>
      <c r="BP15">
        <v>10.27</v>
      </c>
      <c r="BQ15">
        <v>11.16</v>
      </c>
      <c r="BR15">
        <v>11.03</v>
      </c>
      <c r="BS15">
        <v>8.5399999999999991</v>
      </c>
      <c r="BT15" t="s">
        <v>933</v>
      </c>
      <c r="BU15" t="s">
        <v>90</v>
      </c>
      <c r="BV15">
        <v>59.1</v>
      </c>
      <c r="BW15">
        <v>57.14</v>
      </c>
      <c r="BX15">
        <v>58.65</v>
      </c>
      <c r="BY15">
        <v>25.88</v>
      </c>
      <c r="BZ15">
        <v>22.58</v>
      </c>
      <c r="CA15">
        <v>20.85</v>
      </c>
      <c r="CB15">
        <v>-3.12</v>
      </c>
      <c r="CC15">
        <v>-20.16</v>
      </c>
      <c r="CD15" t="s">
        <v>934</v>
      </c>
      <c r="CE15" t="s">
        <v>935</v>
      </c>
      <c r="CF15" s="7">
        <v>-0.25206611570247933</v>
      </c>
      <c r="CG15" s="8">
        <v>0.29217043035806495</v>
      </c>
      <c r="CH15" s="7">
        <v>0.82568806409835815</v>
      </c>
      <c r="CI15" s="7">
        <v>0.37974682450294495</v>
      </c>
      <c r="CJ15" s="7">
        <v>0.37630662322044373</v>
      </c>
      <c r="CK15" s="7">
        <v>-4.6511627733707428E-2</v>
      </c>
      <c r="CL15" s="7">
        <v>0.12734082341194153</v>
      </c>
      <c r="CM15" s="8">
        <v>2.5210084393620491E-2</v>
      </c>
      <c r="CN15" s="8">
        <v>0.48646512627601624</v>
      </c>
      <c r="CO15" s="8">
        <v>0.32868555188179016</v>
      </c>
      <c r="CP15" s="8">
        <v>-0.19291397929191589</v>
      </c>
      <c r="CQ15" s="8">
        <v>0.11455745249986649</v>
      </c>
      <c r="CR15">
        <v>35.627656559606869</v>
      </c>
      <c r="CS15">
        <v>1.0714628977548999</v>
      </c>
      <c r="CT15">
        <v>1.7133956386292832</v>
      </c>
      <c r="CU15" s="7">
        <v>0.3325141414999962</v>
      </c>
      <c r="CV15" s="8">
        <v>0.15240084715187549</v>
      </c>
      <c r="CW15">
        <v>0.06</v>
      </c>
      <c r="CX15">
        <v>17.039082638336531</v>
      </c>
      <c r="CY15">
        <v>153364835.15377313</v>
      </c>
      <c r="CZ15">
        <v>0.3325141414999962</v>
      </c>
      <c r="DA15">
        <v>4.5616435517280181</v>
      </c>
      <c r="DB15">
        <v>572862844.36013913</v>
      </c>
      <c r="DC15">
        <v>0.31588843442499637</v>
      </c>
      <c r="DD15">
        <v>1.6844533057538857</v>
      </c>
      <c r="DE15">
        <v>1551361555.1548047</v>
      </c>
      <c r="DF15">
        <v>0.29261244451999663</v>
      </c>
      <c r="DG15">
        <v>0.71041070151383523</v>
      </c>
      <c r="DH15">
        <v>3678430089.0055046</v>
      </c>
      <c r="DI15">
        <v>0.26601131319999699</v>
      </c>
      <c r="DJ15">
        <v>0.15404891655939645</v>
      </c>
      <c r="DK15">
        <v>16963417584.260862</v>
      </c>
      <c r="DL15">
        <v>0.23275989904999733</v>
      </c>
      <c r="DM15">
        <v>122000000</v>
      </c>
      <c r="DN15">
        <v>0.3325141414999962</v>
      </c>
      <c r="DO15">
        <v>2613196100</v>
      </c>
      <c r="DP15">
        <v>788698760</v>
      </c>
      <c r="DQ15">
        <v>2391</v>
      </c>
      <c r="DR15">
        <v>-0.58458025720247553</v>
      </c>
      <c r="DS15">
        <v>0.13976958320618946</v>
      </c>
      <c r="DT15" s="9">
        <v>0.17666666666666667</v>
      </c>
      <c r="DU15">
        <v>0.38666666666666666</v>
      </c>
      <c r="DV15">
        <v>0.56333333333333335</v>
      </c>
      <c r="DW15">
        <v>-8.1547619047619051</v>
      </c>
      <c r="DX15">
        <v>0.44027209465231237</v>
      </c>
      <c r="DY15">
        <v>-8.020161157505715</v>
      </c>
      <c r="DZ15">
        <v>2526</v>
      </c>
      <c r="EA15">
        <v>-8.0101949962807772</v>
      </c>
      <c r="EB15">
        <v>8</v>
      </c>
      <c r="EC15">
        <v>3.6796370590839615E-2</v>
      </c>
      <c r="ED15">
        <v>0.28245781023976779</v>
      </c>
      <c r="EE15" s="10">
        <v>-2.028</v>
      </c>
      <c r="EF15">
        <v>-2.0053999999999998</v>
      </c>
      <c r="EG15">
        <v>31.130272094652312</v>
      </c>
      <c r="EH15" t="s">
        <v>622</v>
      </c>
      <c r="EI15">
        <v>0</v>
      </c>
      <c r="EJ15">
        <v>0</v>
      </c>
      <c r="EK15" s="12">
        <v>45470</v>
      </c>
      <c r="EL15" s="13">
        <v>-0.56000000000000005</v>
      </c>
      <c r="EM15" s="13">
        <v>-5.57</v>
      </c>
      <c r="EN15" s="13">
        <v>0.4</v>
      </c>
      <c r="EO15" s="13">
        <v>3.59</v>
      </c>
      <c r="EP15" s="13">
        <v>-2.2599999999999998</v>
      </c>
    </row>
    <row r="16" spans="1:146" ht="96" x14ac:dyDescent="0.25">
      <c r="A16" s="6"/>
      <c r="B16" s="6"/>
      <c r="C16" s="6" t="str">
        <f>""&amp;CHAR(10)&amp;Basic_Fundamental_Information_Constructure(F16)&amp;CHAR(10)&amp;Basic_Fundamental_Information_Concatenate("")</f>
        <v xml:space="preserve">
市值36.590663亿, 利润8252.76万; PE33.69; 平均PE48.79; 平均PEG.95, PB4.05; ROIC11.03%; ROE11.4733%; 股利率2.0924%; 毛利62.65%; 净利31.6567%; 上一年度营收增221.96%, 利润增-23.59%; 当季营收增-62.5%, 利润增207.69%; 过往5年营收增51.32%, 利润增11.71%
Income profile:
</v>
      </c>
      <c r="D16" t="s">
        <v>191</v>
      </c>
      <c r="E16" t="s">
        <v>192</v>
      </c>
      <c r="F16">
        <v>13.86</v>
      </c>
      <c r="G16">
        <v>2.5099999999999998</v>
      </c>
      <c r="H16" t="s">
        <v>936</v>
      </c>
      <c r="I16">
        <v>3659066300</v>
      </c>
      <c r="J16">
        <v>33.69</v>
      </c>
      <c r="K16">
        <v>4.05</v>
      </c>
      <c r="L16" t="s">
        <v>94</v>
      </c>
      <c r="M16" t="s">
        <v>41</v>
      </c>
      <c r="N16" t="s">
        <v>937</v>
      </c>
      <c r="O16" t="s">
        <v>938</v>
      </c>
      <c r="P16">
        <v>4.09</v>
      </c>
      <c r="Q16" t="s">
        <v>939</v>
      </c>
      <c r="R16">
        <v>64682464</v>
      </c>
      <c r="S16" s="5">
        <v>1.0800000000000001E-2</v>
      </c>
      <c r="T16" t="s">
        <v>940</v>
      </c>
      <c r="U16">
        <v>264001900</v>
      </c>
      <c r="V16">
        <v>264001900</v>
      </c>
      <c r="W16">
        <v>1.1499999999999999</v>
      </c>
      <c r="X16">
        <v>7.0000000000000007E-2</v>
      </c>
      <c r="Y16">
        <v>36.840000000000003</v>
      </c>
      <c r="Z16" t="s">
        <v>941</v>
      </c>
      <c r="AA16" t="s">
        <v>942</v>
      </c>
      <c r="AB16" t="s">
        <v>943</v>
      </c>
      <c r="AC16" t="s">
        <v>944</v>
      </c>
      <c r="AD16" t="s">
        <v>5</v>
      </c>
      <c r="AE16">
        <v>1612694</v>
      </c>
      <c r="AF16" t="s">
        <v>96</v>
      </c>
      <c r="AG16" t="s">
        <v>945</v>
      </c>
      <c r="AH16" t="s">
        <v>946</v>
      </c>
      <c r="AI16" t="s">
        <v>447</v>
      </c>
      <c r="AJ16" t="s">
        <v>947</v>
      </c>
      <c r="AK16" t="s">
        <v>948</v>
      </c>
      <c r="AL16" t="s">
        <v>949</v>
      </c>
      <c r="AM16" t="s">
        <v>5</v>
      </c>
      <c r="AN16" t="s">
        <v>950</v>
      </c>
      <c r="AO16" t="s">
        <v>5</v>
      </c>
      <c r="AP16" t="s">
        <v>5</v>
      </c>
      <c r="AQ16" t="s">
        <v>951</v>
      </c>
      <c r="AR16" t="s">
        <v>5</v>
      </c>
      <c r="AS16" t="s">
        <v>952</v>
      </c>
      <c r="AT16" t="s">
        <v>5</v>
      </c>
      <c r="AU16" t="s">
        <v>953</v>
      </c>
      <c r="AV16" t="s">
        <v>954</v>
      </c>
      <c r="AW16" t="s">
        <v>955</v>
      </c>
      <c r="AX16" t="s">
        <v>576</v>
      </c>
      <c r="AY16" t="s">
        <v>110</v>
      </c>
      <c r="AZ16" t="s">
        <v>145</v>
      </c>
      <c r="BA16" t="s">
        <v>194</v>
      </c>
      <c r="BB16" t="s">
        <v>60</v>
      </c>
      <c r="BC16" t="s">
        <v>63</v>
      </c>
      <c r="BD16" t="s">
        <v>260</v>
      </c>
      <c r="BE16" t="s">
        <v>193</v>
      </c>
      <c r="BF16" t="s">
        <v>196</v>
      </c>
      <c r="BG16" t="s">
        <v>197</v>
      </c>
      <c r="BH16" t="s">
        <v>239</v>
      </c>
      <c r="BI16" t="s">
        <v>588</v>
      </c>
      <c r="BJ16" t="s">
        <v>576</v>
      </c>
      <c r="BK16" t="s">
        <v>63</v>
      </c>
      <c r="BL16" t="s">
        <v>956</v>
      </c>
      <c r="BM16" t="s">
        <v>63</v>
      </c>
      <c r="BN16">
        <v>10.220000000000001</v>
      </c>
      <c r="BO16">
        <v>11.47</v>
      </c>
      <c r="BP16">
        <v>11.4</v>
      </c>
      <c r="BQ16">
        <v>10.72</v>
      </c>
      <c r="BR16">
        <v>12.43</v>
      </c>
      <c r="BS16">
        <v>11.27</v>
      </c>
      <c r="BT16" t="s">
        <v>957</v>
      </c>
      <c r="BU16" t="s">
        <v>90</v>
      </c>
      <c r="BV16">
        <v>63.37</v>
      </c>
      <c r="BW16">
        <v>63.59</v>
      </c>
      <c r="BX16">
        <v>60.99</v>
      </c>
      <c r="BY16">
        <v>32.78</v>
      </c>
      <c r="BZ16">
        <v>32.81</v>
      </c>
      <c r="CA16">
        <v>29.38</v>
      </c>
      <c r="CB16">
        <v>1.61</v>
      </c>
      <c r="CC16">
        <v>-0.14000000000000001</v>
      </c>
      <c r="CD16" t="s">
        <v>958</v>
      </c>
      <c r="CE16" t="s">
        <v>959</v>
      </c>
      <c r="CF16" s="7">
        <v>-0.6250161434977578</v>
      </c>
      <c r="CG16" s="8">
        <v>2.0768792841818846</v>
      </c>
      <c r="CH16" s="7">
        <v>2.2195844650268555</v>
      </c>
      <c r="CI16" s="7">
        <v>9.0614885091781616E-2</v>
      </c>
      <c r="CJ16" s="7">
        <v>0.20703125</v>
      </c>
      <c r="CK16" s="7">
        <v>1.1857707053422928E-2</v>
      </c>
      <c r="CL16" s="7">
        <v>3.6885246634483337E-2</v>
      </c>
      <c r="CM16" s="8">
        <v>-0.23585554957389832</v>
      </c>
      <c r="CN16" s="8">
        <v>0.23967374861240387</v>
      </c>
      <c r="CO16" s="8">
        <v>0.41570109128952026</v>
      </c>
      <c r="CP16" s="8">
        <v>5.5375386029481888E-2</v>
      </c>
      <c r="CQ16" s="8">
        <v>0.11063006520271301</v>
      </c>
      <c r="CR16">
        <v>48.787995179511633</v>
      </c>
      <c r="CS16">
        <v>0.95067221381015676</v>
      </c>
      <c r="CT16">
        <v>2.0923520923520922</v>
      </c>
      <c r="CU16" s="7">
        <v>0.51319471076130863</v>
      </c>
      <c r="CV16" s="8">
        <v>0.11710494831204414</v>
      </c>
      <c r="CW16">
        <v>0.06</v>
      </c>
      <c r="CX16">
        <v>24.021960308434913</v>
      </c>
      <c r="CY16">
        <v>117811630.01115564</v>
      </c>
      <c r="CZ16">
        <v>0.51319471076130863</v>
      </c>
      <c r="DA16">
        <v>5.5884068055634852</v>
      </c>
      <c r="DB16">
        <v>506417374.1221835</v>
      </c>
      <c r="DC16">
        <v>0.48753497522324318</v>
      </c>
      <c r="DD16">
        <v>1.6532585073855177</v>
      </c>
      <c r="DE16">
        <v>1711811121.7074575</v>
      </c>
      <c r="DF16">
        <v>0.45161134546995158</v>
      </c>
      <c r="DG16">
        <v>0.51928733003343008</v>
      </c>
      <c r="DH16">
        <v>5449904390.7306757</v>
      </c>
      <c r="DI16">
        <v>0.41055576860904691</v>
      </c>
      <c r="DJ16">
        <v>5.2620053072590135E-2</v>
      </c>
      <c r="DK16">
        <v>53783037734.60437</v>
      </c>
      <c r="DL16">
        <v>0.35923629753291603</v>
      </c>
      <c r="DM16">
        <v>82527600</v>
      </c>
      <c r="DN16">
        <v>0.51319471076130863</v>
      </c>
      <c r="DO16">
        <v>2830066300</v>
      </c>
      <c r="DP16">
        <v>394252650</v>
      </c>
      <c r="DQ16">
        <v>2413</v>
      </c>
      <c r="DR16">
        <v>-1.1382108542590665</v>
      </c>
      <c r="DS16">
        <v>1.9597743358698405</v>
      </c>
      <c r="DT16" s="9">
        <v>-6.6666666666666714E-3</v>
      </c>
      <c r="DU16">
        <v>0.55666666666666675</v>
      </c>
      <c r="DV16">
        <v>0.55000000000000004</v>
      </c>
      <c r="DW16">
        <v>-1.4000000000000002E-3</v>
      </c>
      <c r="DX16">
        <v>0.44718517779661848</v>
      </c>
      <c r="DY16">
        <v>-3.3205924891526611E-4</v>
      </c>
      <c r="DZ16">
        <v>3809</v>
      </c>
      <c r="EA16">
        <v>-8.45418948803838E-5</v>
      </c>
      <c r="EB16">
        <v>0</v>
      </c>
      <c r="EC16">
        <v>4.5035660728199305E-2</v>
      </c>
      <c r="ED16">
        <v>0.18987552741097696</v>
      </c>
      <c r="EE16" s="10">
        <v>4.6309999999999997E-2</v>
      </c>
      <c r="EF16">
        <v>5.7810000000000007E-2</v>
      </c>
      <c r="EG16">
        <v>21.237185177796619</v>
      </c>
      <c r="EH16">
        <v>-1</v>
      </c>
      <c r="EI16">
        <v>0</v>
      </c>
      <c r="EJ16">
        <v>0</v>
      </c>
      <c r="EK16" s="12">
        <v>45470</v>
      </c>
      <c r="EL16" s="13">
        <v>0</v>
      </c>
      <c r="EM16" s="13">
        <v>-5.0599999999999996</v>
      </c>
      <c r="EN16" s="13">
        <v>0.93</v>
      </c>
      <c r="EO16" s="13">
        <v>3.7</v>
      </c>
      <c r="EP16" s="13">
        <v>-1.1499999999999999</v>
      </c>
    </row>
    <row r="17" spans="1:146" ht="96" x14ac:dyDescent="0.25">
      <c r="A17" s="6"/>
      <c r="B17" s="6"/>
      <c r="C17" s="6" t="str">
        <f>""&amp;CHAR(10)&amp;Basic_Fundamental_Information_Constructure(F17)&amp;CHAR(10)&amp;Basic_Fundamental_Information_Concatenate("")</f>
        <v xml:space="preserve">
市值23.971091亿, 利润-1.71亿; PE30.69; 平均PE37.98; 平均PEG.1, PB.91; ROIC11.51%; ROE12.6%; 股利率2.7048%; 毛利37.5367%; 净利12.1933%; 上一年度营收增1800%, 利润增-204.91%; 当季营收增-95.64%, 利润增-97.07%; 过往5年营收增372.22%, 利润增35.4%
Income profile:
</v>
      </c>
      <c r="D17" t="s">
        <v>359</v>
      </c>
      <c r="E17" t="s">
        <v>368</v>
      </c>
      <c r="F17">
        <v>12.94</v>
      </c>
      <c r="G17">
        <v>-0.61</v>
      </c>
      <c r="H17" t="s">
        <v>960</v>
      </c>
      <c r="I17">
        <v>2397109100</v>
      </c>
      <c r="J17">
        <v>30.69</v>
      </c>
      <c r="K17">
        <v>0.91</v>
      </c>
      <c r="L17" t="s">
        <v>94</v>
      </c>
      <c r="M17" t="s">
        <v>961</v>
      </c>
      <c r="N17" t="s">
        <v>962</v>
      </c>
      <c r="O17" t="s">
        <v>561</v>
      </c>
      <c r="P17">
        <v>11.88</v>
      </c>
      <c r="Q17" t="s">
        <v>963</v>
      </c>
      <c r="R17">
        <v>3428661</v>
      </c>
      <c r="S17" s="5">
        <v>-0.86760000000000004</v>
      </c>
      <c r="T17" t="s">
        <v>964</v>
      </c>
      <c r="U17">
        <v>105552954</v>
      </c>
      <c r="V17">
        <v>185248000</v>
      </c>
      <c r="W17">
        <v>1.34</v>
      </c>
      <c r="X17">
        <v>0.06</v>
      </c>
      <c r="Y17">
        <v>0.88</v>
      </c>
      <c r="Z17" t="s">
        <v>574</v>
      </c>
      <c r="AA17" t="s">
        <v>462</v>
      </c>
      <c r="AB17" t="s">
        <v>965</v>
      </c>
      <c r="AC17" t="s">
        <v>966</v>
      </c>
      <c r="AD17" t="s">
        <v>5</v>
      </c>
      <c r="AE17">
        <v>1882019</v>
      </c>
      <c r="AF17" t="s">
        <v>967</v>
      </c>
      <c r="AG17" t="s">
        <v>968</v>
      </c>
      <c r="AH17" t="s">
        <v>969</v>
      </c>
      <c r="AI17" t="s">
        <v>970</v>
      </c>
      <c r="AJ17" t="s">
        <v>971</v>
      </c>
      <c r="AK17" t="s">
        <v>614</v>
      </c>
      <c r="AL17" t="s">
        <v>972</v>
      </c>
      <c r="AM17" t="s">
        <v>5</v>
      </c>
      <c r="AN17" t="s">
        <v>354</v>
      </c>
      <c r="AO17" t="s">
        <v>973</v>
      </c>
      <c r="AP17" t="s">
        <v>974</v>
      </c>
      <c r="AQ17" t="s">
        <v>975</v>
      </c>
      <c r="AR17" t="s">
        <v>5</v>
      </c>
      <c r="AS17" t="s">
        <v>976</v>
      </c>
      <c r="AT17" t="s">
        <v>977</v>
      </c>
      <c r="AU17" t="s">
        <v>978</v>
      </c>
      <c r="AV17" t="s">
        <v>979</v>
      </c>
      <c r="AW17" t="s">
        <v>980</v>
      </c>
      <c r="AX17" t="s">
        <v>495</v>
      </c>
      <c r="AY17" t="s">
        <v>360</v>
      </c>
      <c r="AZ17" t="s">
        <v>300</v>
      </c>
      <c r="BA17" t="s">
        <v>361</v>
      </c>
      <c r="BB17" t="s">
        <v>362</v>
      </c>
      <c r="BC17" t="s">
        <v>102</v>
      </c>
      <c r="BD17" t="s">
        <v>59</v>
      </c>
      <c r="BE17" t="s">
        <v>66</v>
      </c>
      <c r="BF17" t="s">
        <v>364</v>
      </c>
      <c r="BG17" t="s">
        <v>365</v>
      </c>
      <c r="BH17" t="s">
        <v>981</v>
      </c>
      <c r="BI17" t="s">
        <v>982</v>
      </c>
      <c r="BJ17" t="s">
        <v>495</v>
      </c>
      <c r="BK17" t="s">
        <v>181</v>
      </c>
      <c r="BL17" t="s">
        <v>115</v>
      </c>
      <c r="BM17" t="s">
        <v>102</v>
      </c>
      <c r="BN17">
        <v>2.75</v>
      </c>
      <c r="BO17">
        <v>9.34</v>
      </c>
      <c r="BP17">
        <v>22.44</v>
      </c>
      <c r="BQ17">
        <v>2.95</v>
      </c>
      <c r="BR17">
        <v>11.43</v>
      </c>
      <c r="BS17">
        <v>23.42</v>
      </c>
      <c r="BT17" t="s">
        <v>497</v>
      </c>
      <c r="BU17" t="s">
        <v>90</v>
      </c>
      <c r="BV17">
        <v>36.520000000000003</v>
      </c>
      <c r="BW17">
        <v>38.31</v>
      </c>
      <c r="BX17">
        <v>37.78</v>
      </c>
      <c r="BY17">
        <v>7.82</v>
      </c>
      <c r="BZ17">
        <v>14.07</v>
      </c>
      <c r="CA17">
        <v>14.69</v>
      </c>
      <c r="CB17">
        <v>-6.77</v>
      </c>
      <c r="CC17">
        <v>-16.3</v>
      </c>
      <c r="CD17" t="s">
        <v>983</v>
      </c>
      <c r="CE17" t="s">
        <v>984</v>
      </c>
      <c r="CF17" s="7">
        <v>-0.95641224331654395</v>
      </c>
      <c r="CG17" s="8">
        <v>-0.97069520512820517</v>
      </c>
      <c r="CH17" s="7">
        <v>18</v>
      </c>
      <c r="CI17" s="7">
        <v>5.1094889640808105E-2</v>
      </c>
      <c r="CJ17" s="7">
        <v>0.20971302688121796</v>
      </c>
      <c r="CK17" s="7">
        <v>0.1750972718000412</v>
      </c>
      <c r="CL17" s="7">
        <v>0.17530487477779388</v>
      </c>
      <c r="CM17" s="8">
        <v>-2.0490796566009521</v>
      </c>
      <c r="CN17" s="8">
        <v>6.1728395521640778E-3</v>
      </c>
      <c r="CO17" s="8">
        <v>0.29600000381469727</v>
      </c>
      <c r="CP17" s="8">
        <v>0.57198691368103027</v>
      </c>
      <c r="CQ17" s="8">
        <v>2.9447946548461914</v>
      </c>
      <c r="CR17">
        <v>37.981556729298262</v>
      </c>
      <c r="CS17">
        <v>0.10203946062755927</v>
      </c>
      <c r="CT17">
        <v>2.7047913446676972</v>
      </c>
      <c r="CU17" s="7">
        <v>3.7222420126199722</v>
      </c>
      <c r="CV17" s="8">
        <v>0.3539749510586262</v>
      </c>
      <c r="CW17">
        <v>0.06</v>
      </c>
      <c r="CX17" t="e">
        <v>#VALUE!</v>
      </c>
      <c r="CY17" t="s">
        <v>296</v>
      </c>
      <c r="CZ17">
        <v>3.7222420126199722</v>
      </c>
      <c r="DA17" t="e">
        <v>#VALUE!</v>
      </c>
      <c r="DB17" t="s">
        <v>296</v>
      </c>
      <c r="DC17">
        <v>3.5361299119889735</v>
      </c>
      <c r="DD17" t="e">
        <v>#VALUE!</v>
      </c>
      <c r="DE17" t="s">
        <v>296</v>
      </c>
      <c r="DF17">
        <v>3.2755729711055754</v>
      </c>
      <c r="DG17" t="e">
        <v>#VALUE!</v>
      </c>
      <c r="DH17" t="s">
        <v>296</v>
      </c>
      <c r="DI17">
        <v>2.9777936100959779</v>
      </c>
      <c r="DJ17" t="e">
        <v>#VALUE!</v>
      </c>
      <c r="DK17" t="s">
        <v>296</v>
      </c>
      <c r="DL17">
        <v>2.6055694088339805</v>
      </c>
      <c r="DM17">
        <v>-171000000</v>
      </c>
      <c r="DN17">
        <v>3.7222420126199722</v>
      </c>
      <c r="DO17">
        <v>784109100</v>
      </c>
      <c r="DP17">
        <v>1867590100</v>
      </c>
      <c r="DQ17">
        <v>2555</v>
      </c>
      <c r="DR17">
        <v>-4.6786542559365163</v>
      </c>
      <c r="DS17">
        <v>-1.3246701561868313</v>
      </c>
      <c r="DT17" s="9">
        <v>0.20999999999999988</v>
      </c>
      <c r="DU17">
        <v>-0.49</v>
      </c>
      <c r="DV17">
        <v>-0.28000000000000014</v>
      </c>
      <c r="DW17">
        <v>-9.4153374233128826</v>
      </c>
      <c r="DX17">
        <v>0.61653399783435758</v>
      </c>
      <c r="DY17">
        <v>-9.0525543046219994</v>
      </c>
      <c r="DZ17">
        <v>3261</v>
      </c>
      <c r="EA17">
        <v>-9.0190162249013852</v>
      </c>
      <c r="EB17">
        <v>9</v>
      </c>
      <c r="EC17">
        <v>1.9681184142338916E-2</v>
      </c>
      <c r="ED17">
        <v>0.1555406806011401</v>
      </c>
      <c r="EE17" s="10">
        <v>7.9999999999999516E-4</v>
      </c>
      <c r="EF17">
        <v>8.3099999999999997E-3</v>
      </c>
      <c r="EG17">
        <v>49.126533997834358</v>
      </c>
      <c r="EH17">
        <v>-1</v>
      </c>
      <c r="EI17">
        <v>0</v>
      </c>
      <c r="EJ17">
        <v>0</v>
      </c>
      <c r="EK17" s="12">
        <v>45470</v>
      </c>
      <c r="EL17" s="13">
        <v>-0.66</v>
      </c>
      <c r="EM17" s="13">
        <v>-5.09</v>
      </c>
      <c r="EN17" s="13">
        <v>0.86</v>
      </c>
      <c r="EO17" s="13">
        <v>4.99</v>
      </c>
      <c r="EP17" s="13">
        <v>-0.91</v>
      </c>
    </row>
    <row r="18" spans="1:146" ht="96" x14ac:dyDescent="0.25">
      <c r="A18" s="6"/>
      <c r="B18" s="6"/>
      <c r="C18" s="6" t="str">
        <f>""&amp;CHAR(10)&amp;Basic_Fundamental_Information_Constructure(F18)&amp;CHAR(10)&amp;Basic_Fundamental_Information_Concatenate("")</f>
        <v xml:space="preserve">
市值23.983605亿, 利润9315.92万; PE; 平均PE57.32; 平均PEG1.39, PB4.22; ROIC7.07%; ROE1.84%; 股利率0%; 毛利34.11%; 净利-2.8333%; 上一年度营收增211.08%, 利润增980.82%; 当季营收增-80.98%, 利润增-177.79%; 过往5年营收增41.2%, 利润增177.07%
Income profile:
</v>
      </c>
      <c r="D18" t="s">
        <v>261</v>
      </c>
      <c r="E18" t="s">
        <v>262</v>
      </c>
      <c r="F18">
        <v>33.200000000000003</v>
      </c>
      <c r="G18">
        <v>3.49</v>
      </c>
      <c r="H18" t="s">
        <v>985</v>
      </c>
      <c r="I18">
        <v>2398360500</v>
      </c>
      <c r="K18">
        <v>4.22</v>
      </c>
      <c r="L18" t="s">
        <v>94</v>
      </c>
      <c r="M18" t="s">
        <v>811</v>
      </c>
      <c r="N18" t="s">
        <v>986</v>
      </c>
      <c r="O18" t="s">
        <v>987</v>
      </c>
      <c r="P18">
        <v>0.49</v>
      </c>
      <c r="Q18" t="s">
        <v>988</v>
      </c>
      <c r="R18">
        <v>-16199165</v>
      </c>
      <c r="S18" s="5">
        <v>-0.43959999999999999</v>
      </c>
      <c r="T18" t="s">
        <v>989</v>
      </c>
      <c r="U18">
        <v>28122128</v>
      </c>
      <c r="V18">
        <v>72239774</v>
      </c>
      <c r="W18">
        <v>1.22</v>
      </c>
      <c r="X18">
        <v>0.06</v>
      </c>
      <c r="Y18">
        <v>-38.74</v>
      </c>
      <c r="Z18" t="s">
        <v>990</v>
      </c>
      <c r="AA18" t="s">
        <v>991</v>
      </c>
      <c r="AB18" t="s">
        <v>992</v>
      </c>
      <c r="AC18" t="s">
        <v>993</v>
      </c>
      <c r="AD18" t="s">
        <v>5</v>
      </c>
      <c r="AE18">
        <v>-1100510</v>
      </c>
      <c r="AF18" t="s">
        <v>994</v>
      </c>
      <c r="AG18">
        <v>214.88</v>
      </c>
      <c r="AH18" t="s">
        <v>995</v>
      </c>
      <c r="AI18" t="s">
        <v>996</v>
      </c>
      <c r="AJ18" t="s">
        <v>997</v>
      </c>
      <c r="AK18" t="s">
        <v>998</v>
      </c>
      <c r="AL18" t="s">
        <v>999</v>
      </c>
      <c r="AM18" t="s">
        <v>5</v>
      </c>
      <c r="AN18">
        <v>0</v>
      </c>
      <c r="AO18" t="s">
        <v>5</v>
      </c>
      <c r="AP18" t="s">
        <v>5</v>
      </c>
      <c r="AQ18" t="s">
        <v>1000</v>
      </c>
      <c r="AR18" t="s">
        <v>5</v>
      </c>
      <c r="AS18" t="s">
        <v>78</v>
      </c>
      <c r="AT18" t="s">
        <v>5</v>
      </c>
      <c r="AU18" t="s">
        <v>1001</v>
      </c>
      <c r="AV18" t="s">
        <v>1002</v>
      </c>
      <c r="AW18" t="s">
        <v>1003</v>
      </c>
      <c r="AX18" t="s">
        <v>498</v>
      </c>
      <c r="AY18" t="s">
        <v>263</v>
      </c>
      <c r="AZ18" t="s">
        <v>265</v>
      </c>
      <c r="BA18" t="s">
        <v>266</v>
      </c>
      <c r="BB18" t="s">
        <v>163</v>
      </c>
      <c r="BC18" t="s">
        <v>499</v>
      </c>
      <c r="BD18" t="s">
        <v>264</v>
      </c>
      <c r="BE18" t="s">
        <v>267</v>
      </c>
      <c r="BF18" t="s">
        <v>268</v>
      </c>
      <c r="BG18" t="s">
        <v>269</v>
      </c>
      <c r="BH18" t="s">
        <v>909</v>
      </c>
      <c r="BI18" t="s">
        <v>931</v>
      </c>
      <c r="BJ18" t="s">
        <v>498</v>
      </c>
      <c r="BK18" t="s">
        <v>1004</v>
      </c>
      <c r="BL18" t="s">
        <v>1005</v>
      </c>
      <c r="BM18" t="s">
        <v>499</v>
      </c>
      <c r="BN18" t="s">
        <v>5</v>
      </c>
      <c r="BO18" t="s">
        <v>5</v>
      </c>
      <c r="BP18">
        <v>7.07</v>
      </c>
      <c r="BQ18">
        <v>-4.2</v>
      </c>
      <c r="BR18">
        <v>-1.59</v>
      </c>
      <c r="BS18">
        <v>11.31</v>
      </c>
      <c r="BT18" t="s">
        <v>443</v>
      </c>
      <c r="BU18" t="s">
        <v>90</v>
      </c>
      <c r="BV18">
        <v>28.67</v>
      </c>
      <c r="BW18">
        <v>33.35</v>
      </c>
      <c r="BX18">
        <v>40.31</v>
      </c>
      <c r="BY18">
        <v>-15.9</v>
      </c>
      <c r="BZ18">
        <v>-3.62</v>
      </c>
      <c r="CA18">
        <v>11.02</v>
      </c>
      <c r="CB18">
        <v>15.28</v>
      </c>
      <c r="CC18">
        <v>10.85</v>
      </c>
      <c r="CD18" t="s">
        <v>1006</v>
      </c>
      <c r="CE18" t="s">
        <v>1007</v>
      </c>
      <c r="CF18" s="7">
        <v>-0.80982644628099176</v>
      </c>
      <c r="CG18" s="8">
        <v>-1.7778785390495948</v>
      </c>
      <c r="CH18" s="7">
        <v>2.1107692718505859</v>
      </c>
      <c r="CI18" s="7">
        <v>-0.16879795491695404</v>
      </c>
      <c r="CJ18" s="7">
        <v>3.4391533583402634E-2</v>
      </c>
      <c r="CK18" s="7">
        <v>-7.8740157186985016E-3</v>
      </c>
      <c r="CL18" s="7">
        <v>9.16905477643013E-2</v>
      </c>
      <c r="CM18" s="8">
        <v>9.8082141876220703</v>
      </c>
      <c r="CN18" s="8">
        <v>-1.2370592355728149</v>
      </c>
      <c r="CO18" s="8">
        <v>-0.12102006375789642</v>
      </c>
      <c r="CP18" s="8">
        <v>0.35900002717971802</v>
      </c>
      <c r="CQ18" s="8">
        <v>4.4402625411748886E-2</v>
      </c>
      <c r="CR18">
        <v>57.316209828324169</v>
      </c>
      <c r="CS18">
        <v>1.3910490104271669</v>
      </c>
      <c r="CT18">
        <v>0</v>
      </c>
      <c r="CU18" s="7">
        <v>0.41203587651252749</v>
      </c>
      <c r="CV18" s="8">
        <v>1.7707075081765651</v>
      </c>
      <c r="CW18">
        <v>0.06</v>
      </c>
      <c r="CX18">
        <v>15.982180945751978</v>
      </c>
      <c r="CY18">
        <v>124098238.32755266</v>
      </c>
      <c r="CZ18">
        <v>0.41203587651252749</v>
      </c>
      <c r="DA18">
        <v>4.0187503558599129</v>
      </c>
      <c r="DB18">
        <v>493526674.80526042</v>
      </c>
      <c r="DC18">
        <v>0.39143408268690111</v>
      </c>
      <c r="DD18">
        <v>1.3462493236886641</v>
      </c>
      <c r="DE18">
        <v>1473249022.3769839</v>
      </c>
      <c r="DF18">
        <v>0.36259157133102421</v>
      </c>
      <c r="DG18">
        <v>0.49947105517317797</v>
      </c>
      <c r="DH18">
        <v>3970921797.0845656</v>
      </c>
      <c r="DI18">
        <v>0.32962870121002202</v>
      </c>
      <c r="DJ18">
        <v>7.7740658219650358E-2</v>
      </c>
      <c r="DK18">
        <v>25512525175.644444</v>
      </c>
      <c r="DL18">
        <v>0.28842511355876921</v>
      </c>
      <c r="DM18">
        <v>93159200</v>
      </c>
      <c r="DN18">
        <v>0.41203587651252749</v>
      </c>
      <c r="DO18">
        <v>1983360500</v>
      </c>
      <c r="DP18">
        <v>480760060</v>
      </c>
      <c r="DQ18">
        <v>2598</v>
      </c>
      <c r="DR18">
        <v>-1.2218623227935193</v>
      </c>
      <c r="DS18">
        <v>-3.5485860472261601</v>
      </c>
      <c r="DT18" s="9">
        <v>-0.29000000000000004</v>
      </c>
      <c r="DU18">
        <v>-1.1983333333333335</v>
      </c>
      <c r="DV18">
        <v>-1.4883333333333335</v>
      </c>
      <c r="DW18">
        <v>5.710078534031414</v>
      </c>
      <c r="DX18">
        <v>0.74076923645891757</v>
      </c>
      <c r="DY18">
        <v>5.3200815586112071</v>
      </c>
      <c r="DZ18">
        <v>627</v>
      </c>
      <c r="EA18">
        <v>5.2808073634548025</v>
      </c>
      <c r="EB18">
        <v>5</v>
      </c>
      <c r="EC18">
        <v>0.55341396832166168</v>
      </c>
      <c r="ED18">
        <v>1.2277100977641486</v>
      </c>
      <c r="EE18" s="10">
        <v>-1.06111</v>
      </c>
      <c r="EF18">
        <v>-1.08921</v>
      </c>
      <c r="EG18">
        <v>29.450769236458918</v>
      </c>
      <c r="EH18" t="s">
        <v>475</v>
      </c>
      <c r="EI18">
        <v>1</v>
      </c>
      <c r="EJ18">
        <v>1</v>
      </c>
      <c r="EK18" s="12">
        <v>45470</v>
      </c>
      <c r="EL18" s="13">
        <v>0</v>
      </c>
      <c r="EM18" s="13">
        <v>-6.22</v>
      </c>
      <c r="EN18" s="13">
        <v>-0.51</v>
      </c>
      <c r="EO18" s="13">
        <v>4.75</v>
      </c>
      <c r="EP18" s="13">
        <v>-2.81</v>
      </c>
    </row>
    <row r="19" spans="1:146" ht="96" x14ac:dyDescent="0.25">
      <c r="A19" s="6"/>
      <c r="B19" s="6"/>
      <c r="C19" s="6" t="str">
        <f>""&amp;CHAR(10)&amp;Basic_Fundamental_Information_Constructure(F19)&amp;CHAR(10)&amp;Basic_Fundamental_Information_Concatenate("")</f>
        <v xml:space="preserve">
市值10.908亿, 利润7264.69万; PE; 平均PE26.54; 平均PEG.54, PB1.4; ROIC10.84%; ROE.9267%; 股利率0%; 毛利31.4033%; 净利-5.3467%; 上一年度营收增157.26%, 利润增504.51%; 当季营收增-58.09%, 利润增-211.17%; 过往5年营收增49.23%, 利润增108.85%
Income profile:
</v>
      </c>
      <c r="D19" t="s">
        <v>270</v>
      </c>
      <c r="E19" t="s">
        <v>271</v>
      </c>
      <c r="F19">
        <v>9.09</v>
      </c>
      <c r="G19">
        <v>1.45</v>
      </c>
      <c r="H19" t="s">
        <v>1008</v>
      </c>
      <c r="I19">
        <v>1090800000</v>
      </c>
      <c r="K19">
        <v>1.4</v>
      </c>
      <c r="L19" t="s">
        <v>94</v>
      </c>
      <c r="M19" t="s">
        <v>384</v>
      </c>
      <c r="N19" t="s">
        <v>385</v>
      </c>
      <c r="O19" t="s">
        <v>1009</v>
      </c>
      <c r="P19">
        <v>8.06</v>
      </c>
      <c r="Q19" t="s">
        <v>286</v>
      </c>
      <c r="R19">
        <v>-16246587</v>
      </c>
      <c r="S19" s="5">
        <v>0.19989999999999999</v>
      </c>
      <c r="T19" t="s">
        <v>1010</v>
      </c>
      <c r="U19">
        <v>54864980</v>
      </c>
      <c r="V19">
        <v>120000000</v>
      </c>
      <c r="W19">
        <v>1.36</v>
      </c>
      <c r="X19">
        <v>0.06</v>
      </c>
      <c r="Y19">
        <v>-23.63</v>
      </c>
      <c r="Z19" t="s">
        <v>1011</v>
      </c>
      <c r="AA19" t="s">
        <v>1012</v>
      </c>
      <c r="AB19" t="s">
        <v>1013</v>
      </c>
      <c r="AC19" t="s">
        <v>1014</v>
      </c>
      <c r="AD19" t="s">
        <v>5</v>
      </c>
      <c r="AE19">
        <v>121913</v>
      </c>
      <c r="AF19" t="s">
        <v>1015</v>
      </c>
      <c r="AG19" t="s">
        <v>1016</v>
      </c>
      <c r="AH19" t="s">
        <v>1017</v>
      </c>
      <c r="AI19" t="s">
        <v>384</v>
      </c>
      <c r="AJ19" t="s">
        <v>1018</v>
      </c>
      <c r="AK19" t="s">
        <v>1019</v>
      </c>
      <c r="AL19" t="s">
        <v>1020</v>
      </c>
      <c r="AM19" t="s">
        <v>5</v>
      </c>
      <c r="AN19" t="s">
        <v>1021</v>
      </c>
      <c r="AO19" t="s">
        <v>1022</v>
      </c>
      <c r="AP19" t="s">
        <v>5</v>
      </c>
      <c r="AQ19" t="s">
        <v>66</v>
      </c>
      <c r="AR19" t="s">
        <v>5</v>
      </c>
      <c r="AS19" t="s">
        <v>82</v>
      </c>
      <c r="AT19" t="s">
        <v>5</v>
      </c>
      <c r="AU19" t="s">
        <v>1023</v>
      </c>
      <c r="AV19" t="s">
        <v>1024</v>
      </c>
      <c r="AW19" t="s">
        <v>1025</v>
      </c>
      <c r="AX19" t="s">
        <v>500</v>
      </c>
      <c r="AY19" t="s">
        <v>177</v>
      </c>
      <c r="AZ19" t="s">
        <v>273</v>
      </c>
      <c r="BA19" t="s">
        <v>87</v>
      </c>
      <c r="BB19" t="s">
        <v>198</v>
      </c>
      <c r="BC19" t="s">
        <v>1026</v>
      </c>
      <c r="BD19" t="s">
        <v>272</v>
      </c>
      <c r="BE19" t="s">
        <v>274</v>
      </c>
      <c r="BF19" t="s">
        <v>275</v>
      </c>
      <c r="BG19" t="s">
        <v>276</v>
      </c>
      <c r="BH19" t="s">
        <v>452</v>
      </c>
      <c r="BI19" t="s">
        <v>88</v>
      </c>
      <c r="BJ19" t="s">
        <v>500</v>
      </c>
      <c r="BK19" t="s">
        <v>1027</v>
      </c>
      <c r="BL19" t="s">
        <v>1028</v>
      </c>
      <c r="BM19" t="s">
        <v>1026</v>
      </c>
      <c r="BN19" t="s">
        <v>5</v>
      </c>
      <c r="BO19" t="s">
        <v>5</v>
      </c>
      <c r="BP19">
        <v>10.84</v>
      </c>
      <c r="BQ19">
        <v>-7.85</v>
      </c>
      <c r="BR19">
        <v>-1.99</v>
      </c>
      <c r="BS19">
        <v>12.62</v>
      </c>
      <c r="BT19" t="s">
        <v>443</v>
      </c>
      <c r="BU19" t="s">
        <v>90</v>
      </c>
      <c r="BV19">
        <v>20.47</v>
      </c>
      <c r="BW19">
        <v>33.43</v>
      </c>
      <c r="BX19">
        <v>40.31</v>
      </c>
      <c r="BY19">
        <v>-23.53</v>
      </c>
      <c r="BZ19">
        <v>-4.5</v>
      </c>
      <c r="CA19">
        <v>11.99</v>
      </c>
      <c r="CB19">
        <v>-2.78</v>
      </c>
      <c r="CC19">
        <v>-15.99</v>
      </c>
      <c r="CD19" t="s">
        <v>1029</v>
      </c>
      <c r="CE19" t="s">
        <v>1030</v>
      </c>
      <c r="CF19" s="7">
        <v>-0.58087417582417578</v>
      </c>
      <c r="CG19" s="8">
        <v>-2.1116606567360261</v>
      </c>
      <c r="CH19" s="7">
        <v>1.5726495981216431</v>
      </c>
      <c r="CI19" s="7">
        <v>-0.17411763966083527</v>
      </c>
      <c r="CJ19" s="7">
        <v>0.1805555522441864</v>
      </c>
      <c r="CK19" s="7">
        <v>0.20805369317531586</v>
      </c>
      <c r="CL19" s="7">
        <v>0.67415732145309448</v>
      </c>
      <c r="CM19" s="8">
        <v>5.045107364654541</v>
      </c>
      <c r="CN19" s="8">
        <v>-1.3561058044433594</v>
      </c>
      <c r="CO19" s="8">
        <v>5.4671995341777802E-2</v>
      </c>
      <c r="CP19" s="8">
        <v>-0.32008081674575806</v>
      </c>
      <c r="CQ19" s="8">
        <v>2.0191161632537842</v>
      </c>
      <c r="CR19">
        <v>26.544333230181081</v>
      </c>
      <c r="CS19">
        <v>0.53923433011006694</v>
      </c>
      <c r="CT19">
        <v>0</v>
      </c>
      <c r="CU19" s="7">
        <v>0.49225970506668093</v>
      </c>
      <c r="CV19" s="8">
        <v>1.0885417804121971</v>
      </c>
      <c r="CW19">
        <v>0.06</v>
      </c>
      <c r="CX19">
        <v>5.170538936895734</v>
      </c>
      <c r="CY19">
        <v>102271737.32831006</v>
      </c>
      <c r="CZ19">
        <v>0.49225970506668093</v>
      </c>
      <c r="DA19">
        <v>1.222158003727041</v>
      </c>
      <c r="DB19">
        <v>432677279.359456</v>
      </c>
      <c r="DC19">
        <v>0.46764671981334688</v>
      </c>
      <c r="DD19">
        <v>0.3709760886267941</v>
      </c>
      <c r="DE19">
        <v>1425428797.7357442</v>
      </c>
      <c r="DF19">
        <v>0.43318854045867922</v>
      </c>
      <c r="DG19">
        <v>0.12063005529193206</v>
      </c>
      <c r="DH19">
        <v>4383650481.7996798</v>
      </c>
      <c r="DI19">
        <v>0.39380776405334478</v>
      </c>
      <c r="DJ19">
        <v>1.3360324891761963E-2</v>
      </c>
      <c r="DK19">
        <v>39579875810.210312</v>
      </c>
      <c r="DL19">
        <v>0.34458179354667662</v>
      </c>
      <c r="DM19">
        <v>72646900</v>
      </c>
      <c r="DN19">
        <v>0.49225970506668093</v>
      </c>
      <c r="DO19">
        <v>528800000</v>
      </c>
      <c r="DP19">
        <v>614767640</v>
      </c>
      <c r="DQ19">
        <v>2650</v>
      </c>
      <c r="DR19">
        <v>-1.0731338808908566</v>
      </c>
      <c r="DS19">
        <v>-3.2002024371482234</v>
      </c>
      <c r="DT19" s="9">
        <v>0.19333333333333336</v>
      </c>
      <c r="DU19">
        <v>-1.0150000000000001</v>
      </c>
      <c r="DV19">
        <v>-0.82166666666666677</v>
      </c>
      <c r="DW19">
        <v>-8.1738586616635391</v>
      </c>
      <c r="DX19">
        <v>0.43697616018834523</v>
      </c>
      <c r="DY19">
        <v>-8.0220759052735211</v>
      </c>
      <c r="DZ19">
        <v>2275</v>
      </c>
      <c r="EA19">
        <v>-8.0122475912818842</v>
      </c>
      <c r="EB19">
        <v>8</v>
      </c>
      <c r="EC19">
        <v>7.9547499999999993E-2</v>
      </c>
      <c r="ED19">
        <v>0.62647583333333334</v>
      </c>
      <c r="EE19" s="10">
        <v>-4.0869099999999996</v>
      </c>
      <c r="EF19">
        <v>-4.1008100000000001</v>
      </c>
      <c r="EG19">
        <v>31.126976160188345</v>
      </c>
      <c r="EH19" t="s">
        <v>592</v>
      </c>
      <c r="EI19">
        <v>0</v>
      </c>
      <c r="EJ19">
        <v>0</v>
      </c>
      <c r="EK19" s="12">
        <v>45470</v>
      </c>
      <c r="EL19" s="13">
        <v>-2.0099999999999998</v>
      </c>
      <c r="EM19" s="13">
        <v>-4.47</v>
      </c>
      <c r="EN19" s="13">
        <v>1.77</v>
      </c>
      <c r="EO19" s="13">
        <v>2.27</v>
      </c>
      <c r="EP19" s="13">
        <v>-1.39</v>
      </c>
    </row>
    <row r="20" spans="1:146" ht="96" x14ac:dyDescent="0.25">
      <c r="A20" s="6"/>
      <c r="B20" s="6"/>
      <c r="C20" s="6" t="str">
        <f>""&amp;CHAR(10)&amp;Basic_Fundamental_Information_Constructure(F20)&amp;CHAR(10)&amp;Basic_Fundamental_Information_Concatenate("")</f>
        <v xml:space="preserve">
市值31.6836亿, 利润9722.28万; PE40.9; 平均PE46.41; 平均PEG1.71, PB3.34; ROIC12.3633%; ROE12.6333%; 股利率.9847%; 毛利61.9233%; 净利33.1533%; 上一年度营收增107.66%, 利润增32.08%; 当季营收增-19.52%, 利润增-9.34%; 过往5年营收增27.19%, 利润增12.72%
Income profile:
</v>
      </c>
      <c r="D20" t="s">
        <v>301</v>
      </c>
      <c r="E20" t="s">
        <v>302</v>
      </c>
      <c r="F20">
        <v>40.619999999999997</v>
      </c>
      <c r="G20">
        <v>1.25</v>
      </c>
      <c r="H20" t="s">
        <v>1031</v>
      </c>
      <c r="I20">
        <v>3168360000</v>
      </c>
      <c r="J20">
        <v>40.9</v>
      </c>
      <c r="K20">
        <v>3.34</v>
      </c>
      <c r="L20" t="s">
        <v>94</v>
      </c>
      <c r="M20" t="s">
        <v>218</v>
      </c>
      <c r="N20" t="s">
        <v>1032</v>
      </c>
      <c r="O20" t="s">
        <v>1033</v>
      </c>
      <c r="P20">
        <v>14.07</v>
      </c>
      <c r="Q20" t="s">
        <v>1034</v>
      </c>
      <c r="R20">
        <v>16310581</v>
      </c>
      <c r="S20" s="5">
        <v>0.2162</v>
      </c>
      <c r="T20" t="s">
        <v>1035</v>
      </c>
      <c r="U20">
        <v>25349901</v>
      </c>
      <c r="V20">
        <v>78000000</v>
      </c>
      <c r="W20">
        <v>1.22</v>
      </c>
      <c r="X20">
        <v>0.05</v>
      </c>
      <c r="Y20">
        <v>29.43</v>
      </c>
      <c r="Z20" t="s">
        <v>1036</v>
      </c>
      <c r="AA20" t="s">
        <v>1037</v>
      </c>
      <c r="AB20" t="s">
        <v>1038</v>
      </c>
      <c r="AC20" t="s">
        <v>1039</v>
      </c>
      <c r="AD20" t="s">
        <v>5</v>
      </c>
      <c r="AE20">
        <v>-214508</v>
      </c>
      <c r="AF20" t="s">
        <v>96</v>
      </c>
      <c r="AG20" t="s">
        <v>5</v>
      </c>
      <c r="AH20" t="s">
        <v>1040</v>
      </c>
      <c r="AI20" t="s">
        <v>1041</v>
      </c>
      <c r="AJ20" t="s">
        <v>1042</v>
      </c>
      <c r="AK20" t="s">
        <v>5</v>
      </c>
      <c r="AL20" t="s">
        <v>1043</v>
      </c>
      <c r="AM20" t="s">
        <v>5</v>
      </c>
      <c r="AN20" t="s">
        <v>1044</v>
      </c>
      <c r="AO20" t="s">
        <v>1045</v>
      </c>
      <c r="AP20" t="s">
        <v>5</v>
      </c>
      <c r="AQ20" t="s">
        <v>1046</v>
      </c>
      <c r="AR20" t="s">
        <v>5</v>
      </c>
      <c r="AS20" t="s">
        <v>614</v>
      </c>
      <c r="AT20" t="s">
        <v>5</v>
      </c>
      <c r="AU20" t="s">
        <v>1047</v>
      </c>
      <c r="AV20" t="s">
        <v>1048</v>
      </c>
      <c r="AW20" t="s">
        <v>1049</v>
      </c>
      <c r="AX20" t="s">
        <v>378</v>
      </c>
      <c r="AY20" t="s">
        <v>189</v>
      </c>
      <c r="AZ20" t="s">
        <v>198</v>
      </c>
      <c r="BA20" t="s">
        <v>102</v>
      </c>
      <c r="BB20" t="s">
        <v>59</v>
      </c>
      <c r="BC20" t="s">
        <v>503</v>
      </c>
      <c r="BD20" t="s">
        <v>303</v>
      </c>
      <c r="BE20" t="s">
        <v>304</v>
      </c>
      <c r="BF20" t="s">
        <v>305</v>
      </c>
      <c r="BG20" t="s">
        <v>306</v>
      </c>
      <c r="BH20" t="s">
        <v>89</v>
      </c>
      <c r="BI20" t="s">
        <v>1050</v>
      </c>
      <c r="BJ20" t="s">
        <v>378</v>
      </c>
      <c r="BK20" t="s">
        <v>1051</v>
      </c>
      <c r="BL20" t="s">
        <v>1052</v>
      </c>
      <c r="BM20" t="s">
        <v>503</v>
      </c>
      <c r="BN20">
        <v>5.58</v>
      </c>
      <c r="BO20">
        <v>10.35</v>
      </c>
      <c r="BP20">
        <v>21.16</v>
      </c>
      <c r="BQ20">
        <v>5.76</v>
      </c>
      <c r="BR20">
        <v>11.4</v>
      </c>
      <c r="BS20">
        <v>20.74</v>
      </c>
      <c r="BT20" t="s">
        <v>1053</v>
      </c>
      <c r="BU20" t="s">
        <v>90</v>
      </c>
      <c r="BV20">
        <v>60.69</v>
      </c>
      <c r="BW20">
        <v>62.55</v>
      </c>
      <c r="BX20">
        <v>62.53</v>
      </c>
      <c r="BY20">
        <v>30.69</v>
      </c>
      <c r="BZ20">
        <v>35.270000000000003</v>
      </c>
      <c r="CA20">
        <v>33.5</v>
      </c>
      <c r="CB20">
        <v>-6.34</v>
      </c>
      <c r="CC20">
        <v>2.58</v>
      </c>
      <c r="CD20" t="s">
        <v>1054</v>
      </c>
      <c r="CE20" t="s">
        <v>1055</v>
      </c>
      <c r="CF20" s="7">
        <v>-0.1951860169789067</v>
      </c>
      <c r="CG20" s="8">
        <v>-9.340835190733196E-2</v>
      </c>
      <c r="CH20" s="7">
        <v>1.0765550136566162</v>
      </c>
      <c r="CI20" s="7">
        <v>-4.5662101358175278E-2</v>
      </c>
      <c r="CJ20" s="7">
        <v>0.23033708333969116</v>
      </c>
      <c r="CK20" s="7">
        <v>9.2024542391300201E-2</v>
      </c>
      <c r="CL20" s="7">
        <v>6.1728395521640778E-3</v>
      </c>
      <c r="CM20" s="8">
        <v>0.32080948352813721</v>
      </c>
      <c r="CN20" s="8">
        <v>5.3785918280482292E-3</v>
      </c>
      <c r="CO20" s="8">
        <v>0.31499245762825012</v>
      </c>
      <c r="CP20" s="8">
        <v>3.3724159002304077E-2</v>
      </c>
      <c r="CQ20" s="8">
        <v>-3.8800958544015884E-2</v>
      </c>
      <c r="CR20">
        <v>46.409472628284739</v>
      </c>
      <c r="CS20">
        <v>1.7069493153377047</v>
      </c>
      <c r="CT20">
        <v>0.98473658296405719</v>
      </c>
      <c r="CU20" s="7">
        <v>0.27188547551631925</v>
      </c>
      <c r="CV20" s="8">
        <v>0.12722074668854474</v>
      </c>
      <c r="CW20">
        <v>0.06</v>
      </c>
      <c r="CX20">
        <v>20.370513010408054</v>
      </c>
      <c r="CY20">
        <v>116656855.8575736</v>
      </c>
      <c r="CZ20">
        <v>0.27188547551631925</v>
      </c>
      <c r="DA20">
        <v>5.7256593247673964</v>
      </c>
      <c r="DB20">
        <v>415036918.05773634</v>
      </c>
      <c r="DC20">
        <v>0.2582912017405033</v>
      </c>
      <c r="DD20">
        <v>2.2758785186810746</v>
      </c>
      <c r="DE20">
        <v>1044150634.7962531</v>
      </c>
      <c r="DF20">
        <v>0.23925921845436093</v>
      </c>
      <c r="DG20">
        <v>1.0553261774904366</v>
      </c>
      <c r="DH20">
        <v>2251777744.8210173</v>
      </c>
      <c r="DI20">
        <v>0.21750838041305542</v>
      </c>
      <c r="DJ20">
        <v>0.29194729968131722</v>
      </c>
      <c r="DK20">
        <v>8139688233.4379482</v>
      </c>
      <c r="DL20">
        <v>0.19031983286142345</v>
      </c>
      <c r="DM20">
        <v>97222800</v>
      </c>
      <c r="DN20">
        <v>0.27188547551631925</v>
      </c>
      <c r="DO20">
        <v>2376360000</v>
      </c>
      <c r="DP20">
        <v>664050340</v>
      </c>
      <c r="DQ20">
        <v>2695</v>
      </c>
      <c r="DR20">
        <v>-0.46707149249522595</v>
      </c>
      <c r="DS20">
        <v>-0.2206290985958767</v>
      </c>
      <c r="DT20" s="9">
        <v>2.6666666666666616E-2</v>
      </c>
      <c r="DU20">
        <v>0.3</v>
      </c>
      <c r="DV20">
        <v>0.32666666666666661</v>
      </c>
      <c r="DW20">
        <v>-5.4069400630914828</v>
      </c>
      <c r="DX20">
        <v>0.30507316980654042</v>
      </c>
      <c r="DY20">
        <v>-5.0590360848739548</v>
      </c>
      <c r="DZ20">
        <v>3092</v>
      </c>
      <c r="EA20">
        <v>-5.0233140546527677</v>
      </c>
      <c r="EB20">
        <v>5</v>
      </c>
      <c r="EC20">
        <v>0.12709358974358975</v>
      </c>
      <c r="ED20">
        <v>0.87606538461538463</v>
      </c>
      <c r="EE20" s="10">
        <v>-4.0066100000000002</v>
      </c>
      <c r="EF20">
        <v>-4.0138100000000003</v>
      </c>
      <c r="EG20">
        <v>16.14507316980654</v>
      </c>
      <c r="EH20" t="s">
        <v>592</v>
      </c>
      <c r="EI20">
        <v>0</v>
      </c>
      <c r="EJ20">
        <v>0</v>
      </c>
      <c r="EK20" s="12">
        <v>45470</v>
      </c>
      <c r="EL20" s="13">
        <v>-0.98</v>
      </c>
      <c r="EM20" s="13">
        <v>-6.33</v>
      </c>
      <c r="EN20" s="13">
        <v>1.74</v>
      </c>
      <c r="EO20" s="13">
        <v>5.03</v>
      </c>
      <c r="EP20" s="13">
        <v>-0.72</v>
      </c>
    </row>
    <row r="21" spans="1:146" ht="96" x14ac:dyDescent="0.25">
      <c r="A21" s="6"/>
      <c r="B21" s="6"/>
      <c r="C21" s="6" t="str">
        <f>""&amp;CHAR(10)&amp;Basic_Fundamental_Information_Constructure(F21)&amp;CHAR(10)&amp;Basic_Fundamental_Information_Concatenate("")</f>
        <v xml:space="preserve">
市值28.62004亿, 利润1.36亿; PE; 平均PE46.9; 平均PEG.22, PB2.51; ROIC12.81%; ROE9.4067%; 股利率0%; 毛利48.2133%; 净利10.8033%; 上一年度营收增949.01%, 利润增110.31%; 当季营收增-86.76%, 利润增-164.66%; 过往5年营收增208.74%, 利润增61.67%
Income profile:
</v>
      </c>
      <c r="D21" t="s">
        <v>307</v>
      </c>
      <c r="E21" t="s">
        <v>308</v>
      </c>
      <c r="F21">
        <v>33.909999999999997</v>
      </c>
      <c r="G21">
        <v>-1.42</v>
      </c>
      <c r="H21" t="s">
        <v>1056</v>
      </c>
      <c r="I21">
        <v>2862004000</v>
      </c>
      <c r="K21">
        <v>2.5099999999999998</v>
      </c>
      <c r="L21" t="s">
        <v>94</v>
      </c>
      <c r="M21" t="s">
        <v>576</v>
      </c>
      <c r="N21" t="s">
        <v>1057</v>
      </c>
      <c r="O21" t="s">
        <v>356</v>
      </c>
      <c r="P21">
        <v>120.88</v>
      </c>
      <c r="Q21" t="s">
        <v>1058</v>
      </c>
      <c r="R21">
        <v>-35983163</v>
      </c>
      <c r="S21" s="5">
        <v>-5.125</v>
      </c>
      <c r="T21" t="s">
        <v>65</v>
      </c>
      <c r="U21">
        <v>39280000</v>
      </c>
      <c r="V21">
        <v>84400000</v>
      </c>
      <c r="W21">
        <v>1.33</v>
      </c>
      <c r="X21">
        <v>7.0000000000000007E-2</v>
      </c>
      <c r="Y21">
        <v>-33.03</v>
      </c>
      <c r="Z21" t="s">
        <v>369</v>
      </c>
      <c r="AA21" t="s">
        <v>181</v>
      </c>
      <c r="AB21" t="s">
        <v>1059</v>
      </c>
      <c r="AC21" t="s">
        <v>1060</v>
      </c>
      <c r="AD21" t="s">
        <v>5</v>
      </c>
      <c r="AE21">
        <v>2439835</v>
      </c>
      <c r="AF21" t="s">
        <v>1061</v>
      </c>
      <c r="AG21" t="s">
        <v>1062</v>
      </c>
      <c r="AH21" t="s">
        <v>1063</v>
      </c>
      <c r="AI21" t="s">
        <v>384</v>
      </c>
      <c r="AJ21" t="s">
        <v>1064</v>
      </c>
      <c r="AK21" t="s">
        <v>1065</v>
      </c>
      <c r="AL21" t="s">
        <v>1066</v>
      </c>
      <c r="AM21" t="s">
        <v>5</v>
      </c>
      <c r="AN21" t="s">
        <v>1067</v>
      </c>
      <c r="AO21" t="s">
        <v>1068</v>
      </c>
      <c r="AP21" t="s">
        <v>1069</v>
      </c>
      <c r="AQ21" t="s">
        <v>1070</v>
      </c>
      <c r="AR21" t="s">
        <v>5</v>
      </c>
      <c r="AS21" t="s">
        <v>134</v>
      </c>
      <c r="AT21" t="s">
        <v>5</v>
      </c>
      <c r="AU21" t="s">
        <v>1071</v>
      </c>
      <c r="AV21" t="s">
        <v>1072</v>
      </c>
      <c r="AW21" t="s">
        <v>1073</v>
      </c>
      <c r="AX21" t="s">
        <v>453</v>
      </c>
      <c r="AY21" t="s">
        <v>309</v>
      </c>
      <c r="AZ21" t="s">
        <v>310</v>
      </c>
      <c r="BA21" t="s">
        <v>113</v>
      </c>
      <c r="BB21" t="s">
        <v>238</v>
      </c>
      <c r="BC21" t="s">
        <v>504</v>
      </c>
      <c r="BD21" t="s">
        <v>505</v>
      </c>
      <c r="BE21" t="s">
        <v>311</v>
      </c>
      <c r="BF21" t="s">
        <v>312</v>
      </c>
      <c r="BG21" t="s">
        <v>313</v>
      </c>
      <c r="BH21" t="s">
        <v>481</v>
      </c>
      <c r="BI21" t="s">
        <v>1074</v>
      </c>
      <c r="BJ21" t="s">
        <v>453</v>
      </c>
      <c r="BK21" t="s">
        <v>1075</v>
      </c>
      <c r="BL21" t="s">
        <v>1076</v>
      </c>
      <c r="BM21" t="s">
        <v>504</v>
      </c>
      <c r="BN21" t="s">
        <v>5</v>
      </c>
      <c r="BO21">
        <v>7.59</v>
      </c>
      <c r="BP21">
        <v>18.03</v>
      </c>
      <c r="BQ21">
        <v>-1.31</v>
      </c>
      <c r="BR21">
        <v>8.89</v>
      </c>
      <c r="BS21">
        <v>20.64</v>
      </c>
      <c r="BT21" t="s">
        <v>443</v>
      </c>
      <c r="BU21" t="s">
        <v>90</v>
      </c>
      <c r="BV21">
        <v>32.75</v>
      </c>
      <c r="BW21">
        <v>52.64</v>
      </c>
      <c r="BX21">
        <v>59.25</v>
      </c>
      <c r="BY21">
        <v>-16.73</v>
      </c>
      <c r="BZ21">
        <v>21.63</v>
      </c>
      <c r="CA21">
        <v>27.51</v>
      </c>
      <c r="CB21">
        <v>-12.38</v>
      </c>
      <c r="CC21">
        <v>21.63</v>
      </c>
      <c r="CD21" t="s">
        <v>1077</v>
      </c>
      <c r="CE21" t="s">
        <v>1078</v>
      </c>
      <c r="CF21" s="7">
        <v>-0.86755771567436213</v>
      </c>
      <c r="CG21" s="8">
        <v>-1.646619794745912</v>
      </c>
      <c r="CH21" s="7">
        <v>9.4901313781738281</v>
      </c>
      <c r="CI21" s="7">
        <v>0.23577235639095306</v>
      </c>
      <c r="CJ21" s="7">
        <v>0.21782177686691284</v>
      </c>
      <c r="CK21" s="7">
        <v>0.22424241900444031</v>
      </c>
      <c r="CL21" s="7">
        <v>0.26923078298568726</v>
      </c>
      <c r="CM21" s="8">
        <v>1.103075385093689</v>
      </c>
      <c r="CN21" s="8">
        <v>-3.5506013780832291E-2</v>
      </c>
      <c r="CO21" s="8">
        <v>0.34841543436050415</v>
      </c>
      <c r="CP21" s="8">
        <v>0.49061235785484314</v>
      </c>
      <c r="CQ21" s="8">
        <v>1.1770260334014893</v>
      </c>
      <c r="CR21">
        <v>46.902886959884867</v>
      </c>
      <c r="CS21">
        <v>0.22469097431080629</v>
      </c>
      <c r="CT21">
        <v>0</v>
      </c>
      <c r="CU21" s="7">
        <v>2.0874397426843645</v>
      </c>
      <c r="CV21" s="8">
        <v>0.61672463938593869</v>
      </c>
      <c r="CW21">
        <v>0.06</v>
      </c>
      <c r="CX21">
        <v>5.1499081768787356</v>
      </c>
      <c r="CY21">
        <v>396124344.34440905</v>
      </c>
      <c r="CZ21">
        <v>2.0874397426843645</v>
      </c>
      <c r="DA21">
        <v>0.45424277462380802</v>
      </c>
      <c r="DB21">
        <v>4490999337.7208433</v>
      </c>
      <c r="DC21">
        <v>1.9830677555501461</v>
      </c>
      <c r="DD21">
        <v>2.5634601245264541E-2</v>
      </c>
      <c r="DE21">
        <v>79580094906.951141</v>
      </c>
      <c r="DF21">
        <v>1.8369469735622408</v>
      </c>
      <c r="DG21">
        <v>8.7997080359947385E-4</v>
      </c>
      <c r="DH21">
        <v>2318263278344.5449</v>
      </c>
      <c r="DI21">
        <v>1.6699517941474917</v>
      </c>
      <c r="DJ21">
        <v>4.1171622044998602E-7</v>
      </c>
      <c r="DK21">
        <v>4954878867221636</v>
      </c>
      <c r="DL21">
        <v>1.461207819879055</v>
      </c>
      <c r="DM21">
        <v>136000000</v>
      </c>
      <c r="DN21">
        <v>2.0874397426843645</v>
      </c>
      <c r="DO21">
        <v>2040004000</v>
      </c>
      <c r="DP21">
        <v>664571340</v>
      </c>
      <c r="DQ21">
        <v>2710</v>
      </c>
      <c r="DR21">
        <v>-2.9549974583587266</v>
      </c>
      <c r="DS21">
        <v>-2.2633444341318505</v>
      </c>
      <c r="DT21" s="9">
        <v>0.35999999999999993</v>
      </c>
      <c r="DU21">
        <v>-0.11500000000000003</v>
      </c>
      <c r="DV21">
        <v>0.24499999999999988</v>
      </c>
      <c r="DW21">
        <v>-7.3640105851220232</v>
      </c>
      <c r="DX21">
        <v>0.31469701492537339</v>
      </c>
      <c r="DY21">
        <v>-7.0271905041098535</v>
      </c>
      <c r="DZ21">
        <v>537</v>
      </c>
      <c r="EA21">
        <v>-7.0243331067112251</v>
      </c>
      <c r="EB21">
        <v>7</v>
      </c>
      <c r="EC21">
        <v>0.23718957345971564</v>
      </c>
      <c r="ED21">
        <v>3.175355450236967</v>
      </c>
      <c r="EE21" s="10">
        <v>-1.0144</v>
      </c>
      <c r="EF21">
        <v>-1.0072000000000001</v>
      </c>
      <c r="EG21">
        <v>24.074697014925373</v>
      </c>
      <c r="EH21" t="s">
        <v>464</v>
      </c>
      <c r="EI21">
        <v>0</v>
      </c>
      <c r="EJ21">
        <v>1</v>
      </c>
      <c r="EK21" s="12">
        <v>45470</v>
      </c>
      <c r="EL21" s="13">
        <v>0.57999999999999996</v>
      </c>
      <c r="EM21" s="13">
        <v>-4.13</v>
      </c>
      <c r="EN21" s="13">
        <v>0.27</v>
      </c>
      <c r="EO21" s="13">
        <v>2.62</v>
      </c>
      <c r="EP21" s="13">
        <v>-0.72</v>
      </c>
    </row>
    <row r="22" spans="1:146" x14ac:dyDescent="0.25">
      <c r="C22" s="6" t="str">
        <f>""&amp;CHAR(10)&amp;Basic_Fundamental_Information_Constructure(F22)&amp;CHAR(10)&amp;Basic_Fundamental_Information_Concatenate("")</f>
        <v xml:space="preserve">
市值79.491556亿, 利润1.74亿; PE55.59; 平均PE74.5; 平均PEG3.41, PB4.13; ROIC12.55%; ROE14.36%; 股利率1.1633%; 毛利44.1467%; 净利19.83%; 上一年度营收增20.22%, 利润增48.72%; 当季营收增-21.03%, 利润增-33.45%; 过往5年营收增21.87%, 利润增31.74%
Income profile:
</v>
      </c>
      <c r="D22" t="s">
        <v>506</v>
      </c>
      <c r="E22" t="s">
        <v>507</v>
      </c>
      <c r="F22">
        <v>35.159999999999997</v>
      </c>
      <c r="G22">
        <v>1.1499999999999999</v>
      </c>
      <c r="H22" t="s">
        <v>1079</v>
      </c>
      <c r="I22">
        <v>7949155600</v>
      </c>
      <c r="J22">
        <v>55.59</v>
      </c>
      <c r="K22">
        <v>4.13</v>
      </c>
      <c r="L22" t="s">
        <v>94</v>
      </c>
      <c r="M22" t="s">
        <v>1080</v>
      </c>
      <c r="N22" t="s">
        <v>1081</v>
      </c>
      <c r="O22" t="s">
        <v>109</v>
      </c>
      <c r="P22" s="5">
        <v>13.44</v>
      </c>
      <c r="Q22" t="s">
        <v>1082</v>
      </c>
      <c r="R22">
        <v>27063668</v>
      </c>
      <c r="S22">
        <v>0.15310000000000001</v>
      </c>
      <c r="T22" t="s">
        <v>1083</v>
      </c>
      <c r="U22">
        <v>45217040</v>
      </c>
      <c r="V22">
        <v>226085200</v>
      </c>
      <c r="W22">
        <v>1.35</v>
      </c>
      <c r="X22">
        <v>0.06</v>
      </c>
      <c r="Y22">
        <v>16.14</v>
      </c>
      <c r="Z22" t="s">
        <v>460</v>
      </c>
      <c r="AA22" t="s">
        <v>181</v>
      </c>
      <c r="AB22" t="s">
        <v>1084</v>
      </c>
      <c r="AC22" t="s">
        <v>1085</v>
      </c>
      <c r="AD22" t="s">
        <v>5</v>
      </c>
      <c r="AE22">
        <v>-1229975</v>
      </c>
      <c r="AF22" t="s">
        <v>1086</v>
      </c>
      <c r="AG22" t="s">
        <v>1087</v>
      </c>
      <c r="AH22" t="s">
        <v>1088</v>
      </c>
      <c r="AI22" t="s">
        <v>1089</v>
      </c>
      <c r="AJ22" t="s">
        <v>1090</v>
      </c>
      <c r="AK22" t="s">
        <v>1091</v>
      </c>
      <c r="AL22" t="s">
        <v>1092</v>
      </c>
      <c r="AM22" t="s">
        <v>5</v>
      </c>
      <c r="AN22" t="s">
        <v>1093</v>
      </c>
      <c r="AO22" t="s">
        <v>5</v>
      </c>
      <c r="AP22" t="s">
        <v>5</v>
      </c>
      <c r="AQ22" t="s">
        <v>1094</v>
      </c>
      <c r="AR22" t="s">
        <v>5</v>
      </c>
      <c r="AS22" t="s">
        <v>1095</v>
      </c>
      <c r="AT22" t="s">
        <v>5</v>
      </c>
      <c r="AU22" t="s">
        <v>1096</v>
      </c>
      <c r="AV22" t="s">
        <v>1097</v>
      </c>
      <c r="AW22" t="s">
        <v>1098</v>
      </c>
      <c r="AX22" t="s">
        <v>509</v>
      </c>
      <c r="AY22" t="s">
        <v>1099</v>
      </c>
      <c r="AZ22" t="s">
        <v>1100</v>
      </c>
      <c r="BA22" t="s">
        <v>483</v>
      </c>
      <c r="BB22" t="s">
        <v>5</v>
      </c>
      <c r="BC22" t="s">
        <v>115</v>
      </c>
      <c r="BD22" t="s">
        <v>584</v>
      </c>
      <c r="BE22" t="s">
        <v>1101</v>
      </c>
      <c r="BF22" t="s">
        <v>1102</v>
      </c>
      <c r="BG22" t="s">
        <v>5</v>
      </c>
      <c r="BH22" t="s">
        <v>496</v>
      </c>
      <c r="BI22" t="s">
        <v>195</v>
      </c>
      <c r="BJ22" t="s">
        <v>509</v>
      </c>
      <c r="BK22" t="s">
        <v>73</v>
      </c>
      <c r="BL22" t="s">
        <v>1103</v>
      </c>
      <c r="BM22" t="s">
        <v>115</v>
      </c>
      <c r="BN22">
        <v>11.46</v>
      </c>
      <c r="BO22">
        <v>13.75</v>
      </c>
      <c r="BP22">
        <v>12.44</v>
      </c>
      <c r="BQ22" t="s">
        <v>5</v>
      </c>
      <c r="BR22">
        <v>14.36</v>
      </c>
      <c r="BS22" t="s">
        <v>5</v>
      </c>
      <c r="BT22" t="s">
        <v>1104</v>
      </c>
      <c r="BU22" t="s">
        <v>90</v>
      </c>
      <c r="BV22">
        <v>45.05</v>
      </c>
      <c r="BW22">
        <v>42.72</v>
      </c>
      <c r="BX22">
        <v>44.67</v>
      </c>
      <c r="BY22">
        <v>19.89</v>
      </c>
      <c r="BZ22">
        <v>19.75</v>
      </c>
      <c r="CA22">
        <v>19.850000000000001</v>
      </c>
      <c r="CB22">
        <v>-4.87</v>
      </c>
      <c r="CC22" s="7">
        <v>-10.24</v>
      </c>
      <c r="CD22" s="8" t="s">
        <v>1105</v>
      </c>
      <c r="CE22" s="7" t="s">
        <v>354</v>
      </c>
      <c r="CF22" s="7">
        <v>-0.2102803738317757</v>
      </c>
      <c r="CG22" s="7">
        <v>-0.33450051270449777</v>
      </c>
      <c r="CH22" s="7">
        <v>0.20219436287879944</v>
      </c>
      <c r="CI22" s="7">
        <v>0.19029851257801056</v>
      </c>
      <c r="CJ22" s="8">
        <v>0.24651162326335907</v>
      </c>
      <c r="CK22" s="8">
        <v>0.23563218116760254</v>
      </c>
      <c r="CL22" s="8" t="s">
        <v>5</v>
      </c>
      <c r="CM22" s="8">
        <v>0.48717948794364929</v>
      </c>
      <c r="CN22" s="8">
        <v>0.14705882966518402</v>
      </c>
      <c r="CO22">
        <v>0.24971207976341248</v>
      </c>
      <c r="CP22">
        <v>0.38546648621559143</v>
      </c>
      <c r="CQ22" t="s">
        <v>5</v>
      </c>
      <c r="CR22" s="7">
        <v>74.495933214564516</v>
      </c>
      <c r="CS22" s="8">
        <v>3.4069430165733916</v>
      </c>
      <c r="CT22">
        <v>1.1632536973833902</v>
      </c>
      <c r="CU22">
        <v>0.2186591699719429</v>
      </c>
      <c r="CV22">
        <v>0.3173542208969593</v>
      </c>
      <c r="CW22">
        <v>0.06</v>
      </c>
      <c r="CX22">
        <v>35.382984467881506</v>
      </c>
      <c r="CY22">
        <v>200044052.42935663</v>
      </c>
      <c r="CZ22">
        <v>0.2186591699719429</v>
      </c>
      <c r="DA22">
        <v>10.386364718067535</v>
      </c>
      <c r="DB22">
        <v>681485369.72587144</v>
      </c>
      <c r="DC22">
        <v>0.20772621147334575</v>
      </c>
      <c r="DD22">
        <v>4.4009714890255474</v>
      </c>
      <c r="DE22">
        <v>1608316622.2845101</v>
      </c>
      <c r="DF22">
        <v>0.19242006957530974</v>
      </c>
      <c r="DG22">
        <v>2.2114469186833059</v>
      </c>
      <c r="DH22">
        <v>3200689801.867064</v>
      </c>
      <c r="DI22">
        <v>0.17492733597755433</v>
      </c>
      <c r="DJ22">
        <v>0.74925676043938017</v>
      </c>
      <c r="DK22">
        <v>9446902548.9329166</v>
      </c>
      <c r="DL22">
        <v>0.15306141898036002</v>
      </c>
      <c r="DM22">
        <v>174000000</v>
      </c>
      <c r="DN22">
        <v>0.2186591699719429</v>
      </c>
      <c r="DO22">
        <v>7078155600</v>
      </c>
      <c r="DP22">
        <v>501903170</v>
      </c>
      <c r="DQ22" s="9">
        <v>2810</v>
      </c>
      <c r="DR22">
        <v>-0.42893954380371857</v>
      </c>
      <c r="DS22">
        <v>-0.65185473360145707</v>
      </c>
      <c r="DT22">
        <v>0.15199999999999997</v>
      </c>
      <c r="DU22">
        <v>0.23599999999999999</v>
      </c>
      <c r="DV22">
        <v>0.38799999999999996</v>
      </c>
      <c r="DW22">
        <v>-8.4755859375</v>
      </c>
      <c r="DX22">
        <v>0.31559880952381048</v>
      </c>
      <c r="DY22">
        <v>-8.0454654494512656</v>
      </c>
      <c r="DZ22">
        <v>1664</v>
      </c>
      <c r="EA22">
        <v>-8.0306602619978591</v>
      </c>
      <c r="EB22" s="10">
        <v>8</v>
      </c>
      <c r="EC22" s="10">
        <v>7.1037821139995017E-2</v>
      </c>
      <c r="ED22">
        <v>0.74308269625787093</v>
      </c>
      <c r="EE22">
        <v>0.11850000000000001</v>
      </c>
      <c r="EF22">
        <v>9.9899999999999989E-2</v>
      </c>
      <c r="EG22">
        <v>22.095598809523811</v>
      </c>
      <c r="EH22" s="12" t="s">
        <v>314</v>
      </c>
      <c r="EI22">
        <v>0</v>
      </c>
      <c r="EJ22">
        <v>0</v>
      </c>
      <c r="EK22">
        <v>45470</v>
      </c>
      <c r="EL22">
        <v>1.17</v>
      </c>
      <c r="EM22">
        <v>-6.63</v>
      </c>
      <c r="EN22" s="13">
        <v>13.06</v>
      </c>
      <c r="EO22" s="13">
        <v>1.57</v>
      </c>
      <c r="EP22" s="13">
        <v>-1.86</v>
      </c>
    </row>
    <row r="23" spans="1:146" ht="180" x14ac:dyDescent="0.25">
      <c r="A23" s="6" t="s">
        <v>386</v>
      </c>
      <c r="B23" s="6"/>
      <c r="C23" s="6" t="str">
        <f>"公司的主营业务为复合型城市体育地产开发、赛事管理与运营、体育场馆运营管理、休闲健身、体育经纪、体育彩票、体育设施涉设计及建设。"&amp;CHAR(10)&amp;Basic_Fundamental_Information_Constructure(F23)&amp;CHAR(10)&amp;Basic_Fundamental_Information_Concatenate("彩票相关 1.82亿 37.36% 43.52% 27.65%
房地产 7587.44万 15.59% 15.36% 23.39%
经纪 7243.04万 14.88% 10.55% 16.82%
赛事管理及运营 5044.84万 10.37% 3.31% 7.57%
体育场馆运营管理 4530.50万 9.31% 5.42% 13.82%
认证及检测 2543.79万 5.23% 14.12% 64.12%")</f>
        <v>公司的主营业务为复合型城市体育地产开发、赛事管理与运营、体育场馆运营管理、休闲健身、体育经纪、体育彩票、体育设施涉设计及建设。
市值78.488169亿, 利润1164.80万; PE521.4; 平均PE119.06; 平均PEG12.71, PB3.16; ROIC2.38%; ROE.7767%; 股利率.0489%; 毛利29.7033%; 净利2.32%; 上一年度营收增-5.54%, 利润增-78.79%; 当季营收增16.81%, 利润增-27.86%; 过往5年营收增9.37%, 利润增-6.71%
Income profile:
彩票相关 1.82亿 37.36% 43.52% 27.65%
房地产 7587.44万 15.59% 15.36% 23.39%
经纪 7243.04万 14.88% 10.55% 16.82%
赛事管理及运营 5044.84万 10.37% 3.31% 7.57%
体育场馆运营管理 4530.50万 9.31% 5.42% 13.82%
认证及检测 2543.79万 5.23% 14.12% 64.12%</v>
      </c>
      <c r="D23" t="s">
        <v>200</v>
      </c>
      <c r="E23" t="s">
        <v>201</v>
      </c>
      <c r="F23">
        <v>8.18</v>
      </c>
      <c r="G23">
        <v>-3.76</v>
      </c>
      <c r="H23" t="s">
        <v>589</v>
      </c>
      <c r="I23">
        <v>7848816900</v>
      </c>
      <c r="J23">
        <v>521.4</v>
      </c>
      <c r="K23">
        <v>3.16</v>
      </c>
      <c r="L23" t="s">
        <v>94</v>
      </c>
      <c r="M23" t="s">
        <v>510</v>
      </c>
      <c r="N23" t="s">
        <v>511</v>
      </c>
      <c r="O23" t="s">
        <v>512</v>
      </c>
      <c r="P23">
        <v>19.239999999999998</v>
      </c>
      <c r="Q23" t="s">
        <v>513</v>
      </c>
      <c r="R23">
        <v>-39171321</v>
      </c>
      <c r="S23" s="5">
        <v>0.08</v>
      </c>
      <c r="T23" t="s">
        <v>514</v>
      </c>
      <c r="U23">
        <v>959513070</v>
      </c>
      <c r="V23">
        <v>959513070</v>
      </c>
      <c r="W23">
        <v>2.21</v>
      </c>
      <c r="X23">
        <v>0.14000000000000001</v>
      </c>
      <c r="Y23">
        <v>0.18</v>
      </c>
      <c r="Z23" t="s">
        <v>515</v>
      </c>
      <c r="AA23" t="s">
        <v>373</v>
      </c>
      <c r="AB23" t="s">
        <v>516</v>
      </c>
      <c r="AC23" t="s">
        <v>38</v>
      </c>
      <c r="AD23" t="s">
        <v>517</v>
      </c>
      <c r="AE23">
        <v>-12629599</v>
      </c>
      <c r="AF23" t="s">
        <v>518</v>
      </c>
      <c r="AG23" t="s">
        <v>519</v>
      </c>
      <c r="AH23" t="s">
        <v>520</v>
      </c>
      <c r="AI23" t="s">
        <v>521</v>
      </c>
      <c r="AJ23" t="s">
        <v>522</v>
      </c>
      <c r="AK23" t="s">
        <v>5</v>
      </c>
      <c r="AL23" t="s">
        <v>523</v>
      </c>
      <c r="AM23" t="s">
        <v>5</v>
      </c>
      <c r="AN23" t="s">
        <v>462</v>
      </c>
      <c r="AO23" t="s">
        <v>524</v>
      </c>
      <c r="AP23" t="s">
        <v>5</v>
      </c>
      <c r="AQ23" t="s">
        <v>384</v>
      </c>
      <c r="AR23" t="s">
        <v>525</v>
      </c>
      <c r="AS23" t="s">
        <v>526</v>
      </c>
      <c r="AT23" t="s">
        <v>352</v>
      </c>
      <c r="AU23" t="s">
        <v>527</v>
      </c>
      <c r="AV23" t="s">
        <v>528</v>
      </c>
      <c r="AW23" t="s">
        <v>529</v>
      </c>
      <c r="AX23" t="s">
        <v>277</v>
      </c>
      <c r="AY23" t="s">
        <v>83</v>
      </c>
      <c r="AZ23" t="s">
        <v>203</v>
      </c>
      <c r="BA23" t="s">
        <v>204</v>
      </c>
      <c r="BB23" t="s">
        <v>205</v>
      </c>
      <c r="BC23" t="s">
        <v>278</v>
      </c>
      <c r="BD23" t="s">
        <v>202</v>
      </c>
      <c r="BE23" t="s">
        <v>74</v>
      </c>
      <c r="BF23" t="s">
        <v>206</v>
      </c>
      <c r="BG23" t="s">
        <v>207</v>
      </c>
      <c r="BH23" t="s">
        <v>108</v>
      </c>
      <c r="BI23" t="s">
        <v>530</v>
      </c>
      <c r="BJ23" t="s">
        <v>382</v>
      </c>
      <c r="BK23" t="s">
        <v>531</v>
      </c>
      <c r="BL23" t="s">
        <v>532</v>
      </c>
      <c r="BM23" t="s">
        <v>383</v>
      </c>
      <c r="BN23" t="s">
        <v>5</v>
      </c>
      <c r="BO23">
        <v>1.77</v>
      </c>
      <c r="BP23">
        <v>2.99</v>
      </c>
      <c r="BQ23">
        <v>-2.0299999999999998</v>
      </c>
      <c r="BR23">
        <v>2.19</v>
      </c>
      <c r="BS23">
        <v>2.17</v>
      </c>
      <c r="BT23" t="s">
        <v>533</v>
      </c>
      <c r="BU23" t="s">
        <v>355</v>
      </c>
      <c r="BV23">
        <v>22.39</v>
      </c>
      <c r="BW23">
        <v>30.2</v>
      </c>
      <c r="BX23">
        <v>36.520000000000003</v>
      </c>
      <c r="BY23">
        <v>-5.55</v>
      </c>
      <c r="BZ23">
        <v>6.06</v>
      </c>
      <c r="CA23">
        <v>6.45</v>
      </c>
      <c r="CB23">
        <v>-2.5</v>
      </c>
      <c r="CC23">
        <v>4.47</v>
      </c>
      <c r="CD23" t="s">
        <v>590</v>
      </c>
      <c r="CE23" t="s">
        <v>84</v>
      </c>
      <c r="CF23" s="7">
        <v>0.1681159420289855</v>
      </c>
      <c r="CG23" s="8">
        <v>-0.27858334923454037</v>
      </c>
      <c r="CH23" s="7">
        <v>-5.5445540696382523E-2</v>
      </c>
      <c r="CI23" s="7">
        <v>-0.24098193645477295</v>
      </c>
      <c r="CJ23" s="7">
        <v>-0.11051693558692932</v>
      </c>
      <c r="CK23" s="7">
        <v>0.54758620262145996</v>
      </c>
      <c r="CL23" s="7">
        <v>0.32783883810043335</v>
      </c>
      <c r="CM23" s="8">
        <v>-0.78790855407714844</v>
      </c>
      <c r="CN23" s="8">
        <v>1.7860850319266319E-2</v>
      </c>
      <c r="CO23" s="8">
        <v>-0.59431576728820801</v>
      </c>
      <c r="CP23" s="8">
        <v>0.5850977897644043</v>
      </c>
      <c r="CQ23" s="8">
        <v>0.443805992603302</v>
      </c>
      <c r="CR23">
        <v>119.05826492560898</v>
      </c>
      <c r="CS23">
        <v>12.706850381199096</v>
      </c>
      <c r="CT23">
        <v>4.8899755501222497E-2</v>
      </c>
      <c r="CU23" s="7">
        <v>9.3696125596761701E-2</v>
      </c>
      <c r="CV23" s="8">
        <v>-6.709193773567676E-2</v>
      </c>
      <c r="CW23">
        <v>0.06</v>
      </c>
      <c r="CX23">
        <v>712.64938164746309</v>
      </c>
      <c r="CY23">
        <v>12018275.915991584</v>
      </c>
      <c r="CZ23">
        <v>9.3696125596761701E-2</v>
      </c>
      <c r="DA23">
        <v>232.15972010526875</v>
      </c>
      <c r="DB23">
        <v>36891916.031413347</v>
      </c>
      <c r="DC23">
        <v>8.9011319316923618E-2</v>
      </c>
      <c r="DD23">
        <v>113.80902088146489</v>
      </c>
      <c r="DE23">
        <v>75256045.906242207</v>
      </c>
      <c r="DF23">
        <v>8.2452590525150291E-2</v>
      </c>
      <c r="DG23">
        <v>68.021552566168126</v>
      </c>
      <c r="DH23">
        <v>125913281.55393916</v>
      </c>
      <c r="DI23">
        <v>7.4956900477409369E-2</v>
      </c>
      <c r="DJ23">
        <v>34.774745049651145</v>
      </c>
      <c r="DK23">
        <v>246294168.01679531</v>
      </c>
      <c r="DL23">
        <v>6.5587287917733189E-2</v>
      </c>
      <c r="DM23">
        <v>11648000</v>
      </c>
      <c r="DN23">
        <v>9.3696125596761701E-2</v>
      </c>
      <c r="DO23">
        <v>8564816900</v>
      </c>
      <c r="DP23">
        <v>2262864400</v>
      </c>
      <c r="DQ23">
        <v>2967</v>
      </c>
      <c r="DR23">
        <v>7.4419816432223798E-2</v>
      </c>
      <c r="DS23">
        <v>-0.21149141149886361</v>
      </c>
      <c r="DT23" s="9">
        <v>-0.37333333333333335</v>
      </c>
      <c r="DU23">
        <v>-0.70833333333333337</v>
      </c>
      <c r="DV23">
        <v>-1.0816666666666668</v>
      </c>
      <c r="DW23">
        <v>-6.3586800573888089</v>
      </c>
      <c r="DX23">
        <v>0.49923342857142772</v>
      </c>
      <c r="DY23">
        <v>-6.0858082598893217</v>
      </c>
      <c r="DZ23">
        <v>3900</v>
      </c>
      <c r="EA23">
        <v>-6.0203953956265472</v>
      </c>
      <c r="EB23">
        <v>6</v>
      </c>
      <c r="EC23">
        <v>9.7736552978897925E-2</v>
      </c>
      <c r="ED23">
        <v>0.40854055276182949</v>
      </c>
      <c r="EE23" s="10">
        <v>1.0615000000000001</v>
      </c>
      <c r="EF23">
        <v>1.0239</v>
      </c>
      <c r="EG23">
        <v>26.239233428571428</v>
      </c>
      <c r="EH23" t="s">
        <v>585</v>
      </c>
      <c r="EI23">
        <v>0</v>
      </c>
      <c r="EJ23">
        <v>0</v>
      </c>
      <c r="EK23" s="12">
        <v>45394</v>
      </c>
      <c r="EL23" s="13">
        <v>-0.83</v>
      </c>
      <c r="EM23" s="13">
        <v>0.36</v>
      </c>
      <c r="EN23" s="13">
        <v>0.48</v>
      </c>
      <c r="EO23" s="13">
        <v>1.31</v>
      </c>
      <c r="EP23" s="13">
        <v>-3.76</v>
      </c>
    </row>
    <row r="24" spans="1:146" ht="96" x14ac:dyDescent="0.25">
      <c r="C24" s="6" t="str">
        <f>""&amp;CHAR(10)&amp;Basic_Fundamental_Information_Constructure(F24)&amp;CHAR(10)&amp;Basic_Fundamental_Information_Concatenate("")</f>
        <v xml:space="preserve">
市值63.852036亿, 利润20.24亿; PE54.57; 平均PE-20.12; 平均PEG-.05, PB3.98; ROIC2.43%; ROE11.46%; 股利率0%; 毛利13.79%; 净利-23.14%; 上一年度营收增2187.45%, 利润增702.38%; 当季营收增-96%, 利润增-93.8%; 过往5年营收增431.18%, 利润增-42.18%
Income profile:
</v>
      </c>
      <c r="D24" t="s">
        <v>534</v>
      </c>
      <c r="E24" t="s">
        <v>1106</v>
      </c>
      <c r="F24">
        <v>2.23</v>
      </c>
      <c r="G24">
        <v>3.24</v>
      </c>
      <c r="H24" t="s">
        <v>1107</v>
      </c>
      <c r="I24">
        <v>6385203600</v>
      </c>
      <c r="J24">
        <v>54.57</v>
      </c>
      <c r="K24">
        <v>3.98</v>
      </c>
      <c r="L24" t="s">
        <v>94</v>
      </c>
      <c r="M24" t="s">
        <v>1108</v>
      </c>
      <c r="N24" t="s">
        <v>1109</v>
      </c>
      <c r="O24" t="s">
        <v>1110</v>
      </c>
      <c r="P24" s="5">
        <v>-6.44</v>
      </c>
      <c r="Q24" t="s">
        <v>1111</v>
      </c>
      <c r="R24">
        <v>19790412</v>
      </c>
      <c r="S24">
        <v>3.7730000000000001</v>
      </c>
      <c r="T24" t="s">
        <v>1112</v>
      </c>
      <c r="U24">
        <v>2282022200</v>
      </c>
      <c r="V24">
        <v>2863320000</v>
      </c>
      <c r="W24">
        <v>2.4</v>
      </c>
      <c r="X24">
        <v>0.16</v>
      </c>
      <c r="Y24">
        <v>3.24</v>
      </c>
      <c r="Z24" t="s">
        <v>1113</v>
      </c>
      <c r="AA24" t="s">
        <v>1114</v>
      </c>
      <c r="AB24" t="s">
        <v>1115</v>
      </c>
      <c r="AC24" t="s">
        <v>1116</v>
      </c>
      <c r="AD24" t="s">
        <v>5</v>
      </c>
      <c r="AE24">
        <v>6031582</v>
      </c>
      <c r="AF24" t="s">
        <v>1117</v>
      </c>
      <c r="AG24" t="s">
        <v>1118</v>
      </c>
      <c r="AH24" t="s">
        <v>1119</v>
      </c>
      <c r="AI24" t="s">
        <v>1120</v>
      </c>
      <c r="AJ24" t="s">
        <v>1121</v>
      </c>
      <c r="AK24" t="s">
        <v>1122</v>
      </c>
      <c r="AL24" t="s">
        <v>1123</v>
      </c>
      <c r="AM24" t="s">
        <v>5</v>
      </c>
      <c r="AN24" t="s">
        <v>1124</v>
      </c>
      <c r="AO24" t="s">
        <v>1125</v>
      </c>
      <c r="AP24" t="s">
        <v>1126</v>
      </c>
      <c r="AQ24" t="s">
        <v>1127</v>
      </c>
      <c r="AR24" t="s">
        <v>538</v>
      </c>
      <c r="AS24" t="s">
        <v>1128</v>
      </c>
      <c r="AT24" t="s">
        <v>5</v>
      </c>
      <c r="AU24" t="s">
        <v>73</v>
      </c>
      <c r="AV24" t="s">
        <v>1129</v>
      </c>
      <c r="AW24" t="s">
        <v>1130</v>
      </c>
      <c r="AX24" t="s">
        <v>535</v>
      </c>
      <c r="AY24" t="s">
        <v>540</v>
      </c>
      <c r="AZ24" t="s">
        <v>541</v>
      </c>
      <c r="BA24" t="s">
        <v>542</v>
      </c>
      <c r="BB24" t="s">
        <v>543</v>
      </c>
      <c r="BC24" t="s">
        <v>536</v>
      </c>
      <c r="BD24" t="s">
        <v>544</v>
      </c>
      <c r="BE24" t="s">
        <v>545</v>
      </c>
      <c r="BF24" t="s">
        <v>546</v>
      </c>
      <c r="BG24" t="s">
        <v>547</v>
      </c>
      <c r="BH24" t="s">
        <v>1131</v>
      </c>
      <c r="BI24" t="s">
        <v>1132</v>
      </c>
      <c r="BJ24" t="s">
        <v>535</v>
      </c>
      <c r="BK24" t="s">
        <v>1133</v>
      </c>
      <c r="BL24" t="s">
        <v>1134</v>
      </c>
      <c r="BM24" t="s">
        <v>536</v>
      </c>
      <c r="BN24">
        <v>2.4300000000000002</v>
      </c>
      <c r="BO24" t="s">
        <v>5</v>
      </c>
      <c r="BP24" t="s">
        <v>5</v>
      </c>
      <c r="BQ24">
        <v>2.08</v>
      </c>
      <c r="BR24">
        <v>20.84</v>
      </c>
      <c r="BS24" t="s">
        <v>5</v>
      </c>
      <c r="BT24" t="s">
        <v>443</v>
      </c>
      <c r="BU24" t="s">
        <v>90</v>
      </c>
      <c r="BV24">
        <v>16.32</v>
      </c>
      <c r="BW24">
        <v>11</v>
      </c>
      <c r="BX24">
        <v>14.05</v>
      </c>
      <c r="BY24">
        <v>3.15</v>
      </c>
      <c r="BZ24">
        <v>-13.23</v>
      </c>
      <c r="CA24">
        <v>-59.34</v>
      </c>
      <c r="CB24">
        <v>-2.19</v>
      </c>
      <c r="CC24" s="7">
        <v>-2.19</v>
      </c>
      <c r="CD24" s="8" t="s">
        <v>1135</v>
      </c>
      <c r="CE24" s="7" t="s">
        <v>190</v>
      </c>
      <c r="CF24" s="7">
        <v>-0.96</v>
      </c>
      <c r="CG24" s="7">
        <v>-0.93796109090909086</v>
      </c>
      <c r="CH24" s="7">
        <v>21.874507904052734</v>
      </c>
      <c r="CI24" s="7">
        <v>8.7302094325423241E-3</v>
      </c>
      <c r="CJ24" s="8">
        <v>-0.16390182077884674</v>
      </c>
      <c r="CK24" s="8">
        <v>4.1465099900960922E-2</v>
      </c>
      <c r="CL24" s="8">
        <v>-0.20187528431415558</v>
      </c>
      <c r="CM24" s="8">
        <v>7.0238094329833984</v>
      </c>
      <c r="CN24" s="8">
        <v>0.77540105581283569</v>
      </c>
      <c r="CO24">
        <v>-7.219780445098877</v>
      </c>
      <c r="CP24">
        <v>-3.72220778465271</v>
      </c>
      <c r="CQ24">
        <v>1.0337493419647217</v>
      </c>
      <c r="CR24" s="7">
        <v>-20.119934091067236</v>
      </c>
      <c r="CS24" s="8">
        <v>-4.6662653765781839E-2</v>
      </c>
      <c r="CT24">
        <v>0</v>
      </c>
      <c r="CU24">
        <v>4.3117852216586474</v>
      </c>
      <c r="CV24">
        <v>-0.42180567979812622</v>
      </c>
      <c r="CW24">
        <v>0.06</v>
      </c>
      <c r="CX24">
        <v>0.70241078834400572</v>
      </c>
      <c r="CY24">
        <v>10142503102.487829</v>
      </c>
      <c r="CZ24">
        <v>4.3117852216586474</v>
      </c>
      <c r="DA24">
        <v>2.5313776853630433E-2</v>
      </c>
      <c r="DB24">
        <v>281435822129.33453</v>
      </c>
      <c r="DC24">
        <v>4.0961959605757148</v>
      </c>
      <c r="DD24">
        <v>3.2026371335607472E-4</v>
      </c>
      <c r="DE24">
        <v>22244804212580.859</v>
      </c>
      <c r="DF24">
        <v>3.7943709950596096</v>
      </c>
      <c r="DG24">
        <v>1.5789375373584001E-6</v>
      </c>
      <c r="DH24">
        <v>4512023706725575</v>
      </c>
      <c r="DI24">
        <v>3.4494281773269182</v>
      </c>
      <c r="DJ24">
        <v>6.9008518502493795E-12</v>
      </c>
      <c r="DK24">
        <v>1.0323658230313334E+21</v>
      </c>
      <c r="DL24">
        <v>3.0182496551610529</v>
      </c>
      <c r="DM24">
        <v>2023999999.9999998</v>
      </c>
      <c r="DN24">
        <v>4.3117852216586474</v>
      </c>
      <c r="DO24">
        <v>7124203600</v>
      </c>
      <c r="DP24">
        <v>361736400</v>
      </c>
      <c r="DQ24" s="9">
        <v>3351</v>
      </c>
      <c r="DR24">
        <v>-5.2717852216586474</v>
      </c>
      <c r="DS24">
        <v>-0.51615541111096463</v>
      </c>
      <c r="DT24">
        <v>-0.37333333333333335</v>
      </c>
      <c r="DU24">
        <v>-1.3900000000000003</v>
      </c>
      <c r="DV24">
        <v>-1.7633333333333336</v>
      </c>
      <c r="DW24">
        <v>-2.1899999999999999E-2</v>
      </c>
      <c r="DX24">
        <v>0.47558992248062171</v>
      </c>
      <c r="DY24">
        <v>-4.2834193023255814E-3</v>
      </c>
      <c r="DZ24">
        <v>5058</v>
      </c>
      <c r="EA24">
        <v>-4.3588611295681063E-5</v>
      </c>
      <c r="EB24" s="10">
        <v>0</v>
      </c>
      <c r="EC24" s="10">
        <v>1.7623667630582679E-2</v>
      </c>
      <c r="ED24">
        <v>9.0105192573655762E-2</v>
      </c>
      <c r="EE24">
        <v>1.0344</v>
      </c>
      <c r="EF24">
        <v>1.0053099999999999</v>
      </c>
      <c r="EG24">
        <v>28.195589922480622</v>
      </c>
      <c r="EH24" s="12" t="s">
        <v>299</v>
      </c>
      <c r="EI24">
        <v>0</v>
      </c>
      <c r="EJ24">
        <v>0</v>
      </c>
      <c r="EK24">
        <v>45470</v>
      </c>
      <c r="EL24">
        <v>0.83</v>
      </c>
      <c r="EM24">
        <v>3.28</v>
      </c>
      <c r="EN24" s="13">
        <v>-1.59</v>
      </c>
      <c r="EO24" s="13">
        <v>1.61</v>
      </c>
      <c r="EP24" s="13">
        <v>-3.97</v>
      </c>
    </row>
    <row r="25" spans="1:146" ht="96" x14ac:dyDescent="0.25">
      <c r="A25" s="6"/>
      <c r="B25" s="6"/>
      <c r="C25" s="6" t="str">
        <f>""&amp;CHAR(10)&amp;Basic_Fundamental_Information_Constructure(F25)&amp;CHAR(10)&amp;Basic_Fundamental_Information_Concatenate("")</f>
        <v xml:space="preserve">
市值90.198639亿, 利润10.93亿; PE15.11; 平均PE19.13; 平均PEG.23, PB2.03; ROIC12.72%; ROE14.4033%; 股利率3.2911%; 毛利12.3767%; 净利4.3133%; 上一年度营收增-27.26%, 利润增100.18%; 当季营收增168.15%, 利润增-55.37%; 过往5年营收增83.41%, 利润增114.11%
Income profile:
</v>
      </c>
      <c r="D25" t="s">
        <v>208</v>
      </c>
      <c r="E25" t="s">
        <v>279</v>
      </c>
      <c r="F25">
        <v>3.95</v>
      </c>
      <c r="G25">
        <v>1.02</v>
      </c>
      <c r="H25" t="s">
        <v>1136</v>
      </c>
      <c r="I25">
        <v>9019863900</v>
      </c>
      <c r="J25">
        <v>15.11</v>
      </c>
      <c r="K25">
        <v>2.0299999999999998</v>
      </c>
      <c r="L25" t="s">
        <v>94</v>
      </c>
      <c r="M25" t="s">
        <v>1137</v>
      </c>
      <c r="N25" t="s">
        <v>1138</v>
      </c>
      <c r="O25" t="s">
        <v>1139</v>
      </c>
      <c r="P25">
        <v>15.77</v>
      </c>
      <c r="Q25" t="s">
        <v>1140</v>
      </c>
      <c r="R25">
        <v>193692770</v>
      </c>
      <c r="S25" s="5">
        <v>5.9900000000000002E-2</v>
      </c>
      <c r="T25" t="s">
        <v>1141</v>
      </c>
      <c r="U25">
        <v>1053362190</v>
      </c>
      <c r="V25">
        <v>2283509900</v>
      </c>
      <c r="W25">
        <v>3.19</v>
      </c>
      <c r="X25">
        <v>0.34</v>
      </c>
      <c r="Y25">
        <v>4.17</v>
      </c>
      <c r="Z25" t="s">
        <v>1142</v>
      </c>
      <c r="AA25" t="s">
        <v>1143</v>
      </c>
      <c r="AB25" t="s">
        <v>670</v>
      </c>
      <c r="AC25" t="s">
        <v>238</v>
      </c>
      <c r="AD25" t="s">
        <v>5</v>
      </c>
      <c r="AE25">
        <v>-31584300</v>
      </c>
      <c r="AF25" t="s">
        <v>1144</v>
      </c>
      <c r="AG25" t="s">
        <v>1145</v>
      </c>
      <c r="AH25" t="s">
        <v>1146</v>
      </c>
      <c r="AI25" t="s">
        <v>1147</v>
      </c>
      <c r="AJ25" t="s">
        <v>1148</v>
      </c>
      <c r="AK25" t="s">
        <v>1149</v>
      </c>
      <c r="AL25" t="s">
        <v>1150</v>
      </c>
      <c r="AM25" t="s">
        <v>5</v>
      </c>
      <c r="AN25" t="s">
        <v>1151</v>
      </c>
      <c r="AO25" t="s">
        <v>379</v>
      </c>
      <c r="AP25" t="s">
        <v>5</v>
      </c>
      <c r="AQ25" t="s">
        <v>1152</v>
      </c>
      <c r="AR25" t="s">
        <v>5</v>
      </c>
      <c r="AS25" t="s">
        <v>1153</v>
      </c>
      <c r="AT25" t="s">
        <v>5</v>
      </c>
      <c r="AU25" t="s">
        <v>1154</v>
      </c>
      <c r="AV25" t="s">
        <v>1155</v>
      </c>
      <c r="AW25" t="s">
        <v>1156</v>
      </c>
      <c r="AX25" t="s">
        <v>549</v>
      </c>
      <c r="AY25" t="s">
        <v>280</v>
      </c>
      <c r="AZ25" t="s">
        <v>282</v>
      </c>
      <c r="BA25" t="s">
        <v>209</v>
      </c>
      <c r="BB25" t="s">
        <v>210</v>
      </c>
      <c r="BC25" t="s">
        <v>85</v>
      </c>
      <c r="BD25" t="s">
        <v>281</v>
      </c>
      <c r="BE25" t="s">
        <v>283</v>
      </c>
      <c r="BF25" t="s">
        <v>211</v>
      </c>
      <c r="BG25" t="s">
        <v>212</v>
      </c>
      <c r="BH25" t="s">
        <v>1157</v>
      </c>
      <c r="BI25" t="s">
        <v>721</v>
      </c>
      <c r="BJ25" t="s">
        <v>549</v>
      </c>
      <c r="BK25" t="s">
        <v>1158</v>
      </c>
      <c r="BL25" t="s">
        <v>1034</v>
      </c>
      <c r="BM25" t="s">
        <v>85</v>
      </c>
      <c r="BN25">
        <v>9.89</v>
      </c>
      <c r="BO25">
        <v>12.37</v>
      </c>
      <c r="BP25">
        <v>15.9</v>
      </c>
      <c r="BQ25">
        <v>11.73</v>
      </c>
      <c r="BR25">
        <v>14.21</v>
      </c>
      <c r="BS25">
        <v>17.27</v>
      </c>
      <c r="BT25" t="s">
        <v>1159</v>
      </c>
      <c r="BU25" t="s">
        <v>90</v>
      </c>
      <c r="BV25">
        <v>10.050000000000001</v>
      </c>
      <c r="BW25">
        <v>11.93</v>
      </c>
      <c r="BX25">
        <v>15.15</v>
      </c>
      <c r="BY25">
        <v>3.65</v>
      </c>
      <c r="BZ25">
        <v>4.17</v>
      </c>
      <c r="CA25">
        <v>5.12</v>
      </c>
      <c r="CB25">
        <v>-1.5</v>
      </c>
      <c r="CC25">
        <v>-14.32</v>
      </c>
      <c r="CD25" t="s">
        <v>1160</v>
      </c>
      <c r="CE25" t="s">
        <v>658</v>
      </c>
      <c r="CF25" s="7">
        <v>1.6814777833250125</v>
      </c>
      <c r="CG25" s="8">
        <v>-0.55370329493087556</v>
      </c>
      <c r="CH25" s="7">
        <v>-0.27257227897644043</v>
      </c>
      <c r="CI25" s="7">
        <v>0.28025138378143311</v>
      </c>
      <c r="CJ25" s="7">
        <v>-0.47641250491142273</v>
      </c>
      <c r="CK25" s="7">
        <v>4.7028155326843262</v>
      </c>
      <c r="CL25" s="7">
        <v>-6.3705138862133026E-2</v>
      </c>
      <c r="CM25" s="8">
        <v>1.0018314123153687</v>
      </c>
      <c r="CN25" s="8">
        <v>2.6315789669752121E-2</v>
      </c>
      <c r="CO25" s="8">
        <v>7.9107508063316345E-2</v>
      </c>
      <c r="CP25" s="8">
        <v>4.2860698699951172</v>
      </c>
      <c r="CQ25" s="8">
        <v>0.31213226914405823</v>
      </c>
      <c r="CR25">
        <v>19.134595311698845</v>
      </c>
      <c r="CS25">
        <v>0.22941085830528379</v>
      </c>
      <c r="CT25">
        <v>3.2911392405063289</v>
      </c>
      <c r="CU25" s="7">
        <v>0.83407539874315262</v>
      </c>
      <c r="CV25" s="8">
        <v>1.1410913698375225</v>
      </c>
      <c r="CW25">
        <v>0.06</v>
      </c>
      <c r="CX25">
        <v>8.1276837158787547</v>
      </c>
      <c r="CY25">
        <v>1891173972.4776092</v>
      </c>
      <c r="CZ25">
        <v>0.83407539874315262</v>
      </c>
      <c r="DA25">
        <v>1.4984901209627006</v>
      </c>
      <c r="DB25">
        <v>10257567724.320419</v>
      </c>
      <c r="DC25">
        <v>0.79237162880599499</v>
      </c>
      <c r="DD25">
        <v>0.30096913473946652</v>
      </c>
      <c r="DE25">
        <v>51071229989.433189</v>
      </c>
      <c r="DF25">
        <v>0.73398635089397435</v>
      </c>
      <c r="DG25">
        <v>5.5870898076584338E-2</v>
      </c>
      <c r="DH25">
        <v>275113957877.15063</v>
      </c>
      <c r="DI25">
        <v>0.66726031899452209</v>
      </c>
      <c r="DJ25">
        <v>1.5119408139340641E-3</v>
      </c>
      <c r="DK25">
        <v>10166313230215.059</v>
      </c>
      <c r="DL25">
        <v>0.58385277912020683</v>
      </c>
      <c r="DM25">
        <v>1093000000</v>
      </c>
      <c r="DN25">
        <v>0.83407539874315262</v>
      </c>
      <c r="DO25">
        <v>15370863900</v>
      </c>
      <c r="DP25">
        <v>1985639000</v>
      </c>
      <c r="DQ25">
        <v>3357</v>
      </c>
      <c r="DR25">
        <v>0.8474023845818599</v>
      </c>
      <c r="DS25">
        <v>-1.694794664768398</v>
      </c>
      <c r="DT25" s="9">
        <v>-0.15500000000000003</v>
      </c>
      <c r="DU25">
        <v>0.69666666666666666</v>
      </c>
      <c r="DV25">
        <v>0.54166666666666663</v>
      </c>
      <c r="DW25">
        <v>-2.1432000000000002</v>
      </c>
      <c r="DX25">
        <v>0.39932580645161242</v>
      </c>
      <c r="DY25">
        <v>-2.0328394554838711</v>
      </c>
      <c r="DZ25">
        <v>4527</v>
      </c>
      <c r="EA25">
        <v>-2.0037466541188058</v>
      </c>
      <c r="EB25">
        <v>2</v>
      </c>
      <c r="EC25">
        <v>2.1792635976747899E-2</v>
      </c>
      <c r="ED25">
        <v>9.5029147892023588E-2</v>
      </c>
      <c r="EE25" s="10">
        <v>1.022</v>
      </c>
      <c r="EF25">
        <v>1.0080100000000001</v>
      </c>
      <c r="EG25">
        <v>17.229325806451612</v>
      </c>
      <c r="EH25" t="s">
        <v>299</v>
      </c>
      <c r="EI25">
        <v>0</v>
      </c>
      <c r="EJ25">
        <v>0</v>
      </c>
      <c r="EK25" s="12">
        <v>45470</v>
      </c>
      <c r="EL25" s="13">
        <v>0</v>
      </c>
      <c r="EM25" s="13">
        <v>1.08</v>
      </c>
      <c r="EN25" s="13">
        <v>3.02</v>
      </c>
      <c r="EO25" s="13">
        <v>-2.16</v>
      </c>
      <c r="EP25" s="13">
        <v>-3</v>
      </c>
    </row>
    <row r="26" spans="1:146" ht="192" x14ac:dyDescent="0.25">
      <c r="A26" s="6"/>
      <c r="B26" s="6"/>
      <c r="C26" s="6" t="str">
        <f>"公司主营业务为展览组织、展馆运营、会议活动赛事、会展服务。公司主要经营有展览、传播、会议论坛、节事活动等策划组织、会展场馆管理、展览运输、广告搭建等服务。"&amp;CHAR(10)&amp;Basic_Fundamental_Information_Constructure(F26)&amp;CHAR(10)&amp;Basic_Fundamental_Information_Concatenate("会展配套服务 2.34亿 30.33% 35.89% 25.23%
会展组织 2.18亿 28.17% 24.60% 18.62%
应急工程项目管理服务费 1.27亿 16.41%
赛事活动 9801.71万 12.68% 26.41% 44.41%
货运代理服务 3735.59万 4.83% 0.33% 1.44%
国内贸易业务 3018.22万 3.90% 1.65% 9.03%
展馆运营服务 2443.15万 3.16% 8.71% 58.79%")</f>
        <v>公司主营业务为展览组织、展馆运营、会议活动赛事、会展服务。公司主要经营有展览、传播、会议论坛、节事活动等策划组织、会展场馆管理、展览运输、广告搭建等服务。
市值40.086578亿, 利润3.99亿; PE14.37; 平均PE18.3; 平均PEG.02, PB1.05; ROIC4.4133%; ROE4.3167%; 股利率5.1376%; 毛利33.0933%; 净利16.75%; 上一年度营收增3848.12%, 利润增246.96%; 当季营收增-98.14%, 利润增-102.51%; 过往5年营收增756.15%, 利润增42.1%
Income profile:
会展配套服务 2.34亿 30.33% 35.89% 25.23%
会展组织 2.18亿 28.17% 24.60% 18.62%
应急工程项目管理服务费 1.27亿 16.41%
赛事活动 9801.71万 12.68% 26.41% 44.41%
货运代理服务 3735.59万 4.83% 0.33% 1.44%
国内贸易业务 3018.22万 3.90% 1.65% 9.03%
展馆运营服务 2443.15万 3.16% 8.71% 58.79%</v>
      </c>
      <c r="D26" t="s">
        <v>213</v>
      </c>
      <c r="E26" t="s">
        <v>214</v>
      </c>
      <c r="F26">
        <v>5.45</v>
      </c>
      <c r="G26">
        <v>0.93</v>
      </c>
      <c r="H26" t="s">
        <v>1161</v>
      </c>
      <c r="I26">
        <v>4008657800</v>
      </c>
      <c r="J26">
        <v>14.37</v>
      </c>
      <c r="K26">
        <v>1.05</v>
      </c>
      <c r="L26" t="s">
        <v>94</v>
      </c>
      <c r="M26" t="s">
        <v>1162</v>
      </c>
      <c r="N26" t="s">
        <v>1163</v>
      </c>
      <c r="O26" t="s">
        <v>861</v>
      </c>
      <c r="P26">
        <v>228.72</v>
      </c>
      <c r="Q26" t="s">
        <v>1164</v>
      </c>
      <c r="R26">
        <v>-5236807</v>
      </c>
      <c r="S26" s="5">
        <v>0.41249999999999998</v>
      </c>
      <c r="T26" t="s">
        <v>1165</v>
      </c>
      <c r="U26">
        <v>735533550</v>
      </c>
      <c r="V26">
        <v>735533550</v>
      </c>
      <c r="W26">
        <v>1.36</v>
      </c>
      <c r="X26">
        <v>0.03</v>
      </c>
      <c r="Y26">
        <v>-0.36</v>
      </c>
      <c r="Z26" t="s">
        <v>1166</v>
      </c>
      <c r="AA26" t="s">
        <v>369</v>
      </c>
      <c r="AB26" t="s">
        <v>1167</v>
      </c>
      <c r="AC26" t="s">
        <v>1168</v>
      </c>
      <c r="AD26" t="s">
        <v>5</v>
      </c>
      <c r="AE26">
        <v>1706123</v>
      </c>
      <c r="AF26" t="s">
        <v>1169</v>
      </c>
      <c r="AG26">
        <v>24.12</v>
      </c>
      <c r="AH26" t="s">
        <v>1170</v>
      </c>
      <c r="AI26" t="s">
        <v>1171</v>
      </c>
      <c r="AJ26" t="s">
        <v>1172</v>
      </c>
      <c r="AK26" t="s">
        <v>5</v>
      </c>
      <c r="AL26" t="s">
        <v>1173</v>
      </c>
      <c r="AM26" t="s">
        <v>5</v>
      </c>
      <c r="AN26" t="s">
        <v>1174</v>
      </c>
      <c r="AO26" t="s">
        <v>5</v>
      </c>
      <c r="AP26" t="s">
        <v>5</v>
      </c>
      <c r="AQ26" t="s">
        <v>151</v>
      </c>
      <c r="AR26" t="s">
        <v>1175</v>
      </c>
      <c r="AS26" t="s">
        <v>1176</v>
      </c>
      <c r="AT26" t="s">
        <v>1177</v>
      </c>
      <c r="AU26" t="s">
        <v>1178</v>
      </c>
      <c r="AV26" t="s">
        <v>384</v>
      </c>
      <c r="AW26" t="s">
        <v>1179</v>
      </c>
      <c r="AX26" t="s">
        <v>550</v>
      </c>
      <c r="AY26" t="s">
        <v>284</v>
      </c>
      <c r="AZ26" t="s">
        <v>215</v>
      </c>
      <c r="BA26" t="s">
        <v>216</v>
      </c>
      <c r="BB26" t="s">
        <v>217</v>
      </c>
      <c r="BC26" t="s">
        <v>39</v>
      </c>
      <c r="BD26" t="s">
        <v>58</v>
      </c>
      <c r="BE26" t="s">
        <v>71</v>
      </c>
      <c r="BF26" t="s">
        <v>134</v>
      </c>
      <c r="BG26" t="s">
        <v>218</v>
      </c>
      <c r="BH26" t="s">
        <v>1180</v>
      </c>
      <c r="BI26" t="s">
        <v>1181</v>
      </c>
      <c r="BJ26" t="s">
        <v>550</v>
      </c>
      <c r="BK26" t="s">
        <v>599</v>
      </c>
      <c r="BL26" t="s">
        <v>378</v>
      </c>
      <c r="BM26" t="s">
        <v>39</v>
      </c>
      <c r="BN26">
        <v>6.5</v>
      </c>
      <c r="BO26">
        <v>3.11</v>
      </c>
      <c r="BP26">
        <v>3.63</v>
      </c>
      <c r="BQ26">
        <v>6.56</v>
      </c>
      <c r="BR26">
        <v>3.17</v>
      </c>
      <c r="BS26">
        <v>3.22</v>
      </c>
      <c r="BT26" t="s">
        <v>1182</v>
      </c>
      <c r="BU26" t="s">
        <v>90</v>
      </c>
      <c r="BV26">
        <v>31.9</v>
      </c>
      <c r="BW26">
        <v>37.729999999999997</v>
      </c>
      <c r="BX26">
        <v>29.65</v>
      </c>
      <c r="BY26">
        <v>22.17</v>
      </c>
      <c r="BZ26">
        <v>14.17</v>
      </c>
      <c r="CA26">
        <v>13.91</v>
      </c>
      <c r="CB26">
        <v>1.3</v>
      </c>
      <c r="CC26">
        <v>-7.96</v>
      </c>
      <c r="CD26" t="s">
        <v>1183</v>
      </c>
      <c r="CE26" t="s">
        <v>1184</v>
      </c>
      <c r="CF26" s="7">
        <v>-0.98135468239755608</v>
      </c>
      <c r="CG26" s="8">
        <v>-1.0250564928229664</v>
      </c>
      <c r="CH26" s="7">
        <v>38.481243133544922</v>
      </c>
      <c r="CI26" s="7">
        <v>-0.1643243283033371</v>
      </c>
      <c r="CJ26" s="7">
        <v>-0.68980550765991211</v>
      </c>
      <c r="CK26" s="7">
        <v>-0.44520929455757141</v>
      </c>
      <c r="CL26" s="7">
        <v>0.62583190202713013</v>
      </c>
      <c r="CM26" s="8">
        <v>2.4695651531219482</v>
      </c>
      <c r="CN26" s="8">
        <v>-4.1666667908430099E-2</v>
      </c>
      <c r="CO26" s="8">
        <v>-0.1304347813129425</v>
      </c>
      <c r="CP26" s="8">
        <v>-0.55910545587539673</v>
      </c>
      <c r="CQ26" s="8">
        <v>0.36681222915649414</v>
      </c>
      <c r="CR26">
        <v>18.304373515981734</v>
      </c>
      <c r="CS26">
        <v>2.4207180194485294E-2</v>
      </c>
      <c r="CT26">
        <v>5.137614678899082</v>
      </c>
      <c r="CU26" s="7">
        <v>7.5615471810102459</v>
      </c>
      <c r="CV26" s="8">
        <v>0.42103409543633463</v>
      </c>
      <c r="CW26">
        <v>0.06</v>
      </c>
      <c r="CX26">
        <v>0.50599187994806805</v>
      </c>
      <c r="CY26">
        <v>3222695589.8331022</v>
      </c>
      <c r="CZ26">
        <v>7.5615471810102459</v>
      </c>
      <c r="DA26">
        <v>7.7480787807404075E-3</v>
      </c>
      <c r="DB26">
        <v>210459630851.1171</v>
      </c>
      <c r="DC26">
        <v>7.1834698219597337</v>
      </c>
      <c r="DD26">
        <v>2.4837301808705357E-5</v>
      </c>
      <c r="DE26">
        <v>65653580753625.25</v>
      </c>
      <c r="DF26">
        <v>6.6541615192890164</v>
      </c>
      <c r="DG26">
        <v>2.0523735401906053E-8</v>
      </c>
      <c r="DH26">
        <v>7.9452291118923664E+16</v>
      </c>
      <c r="DI26">
        <v>6.0492377448081971</v>
      </c>
      <c r="DJ26">
        <v>1.1485031056943984E-15</v>
      </c>
      <c r="DK26">
        <v>1.4198113979100515E+24</v>
      </c>
      <c r="DL26">
        <v>5.2930830267071718</v>
      </c>
      <c r="DM26">
        <v>399000000</v>
      </c>
      <c r="DN26">
        <v>7.5615471810102459</v>
      </c>
      <c r="DO26">
        <v>1630657799.9999995</v>
      </c>
      <c r="DP26">
        <v>1506237200</v>
      </c>
      <c r="DQ26">
        <v>3497</v>
      </c>
      <c r="DR26">
        <v>-8.5429018634078027</v>
      </c>
      <c r="DS26">
        <v>-1.4460905882593011</v>
      </c>
      <c r="DT26" s="9">
        <v>-0.47333333333333338</v>
      </c>
      <c r="DU26">
        <v>-0.6150000000000001</v>
      </c>
      <c r="DV26">
        <v>-1.0883333333333334</v>
      </c>
      <c r="DW26">
        <v>-2.0796000000000001</v>
      </c>
      <c r="DX26">
        <v>0.31215105513907837</v>
      </c>
      <c r="DY26">
        <v>-2.0144992239890707</v>
      </c>
      <c r="DZ26">
        <v>3909</v>
      </c>
      <c r="EA26">
        <v>-2.0034077432506603</v>
      </c>
      <c r="EB26">
        <v>2</v>
      </c>
      <c r="EC26">
        <v>1.4284052712483342E-2</v>
      </c>
      <c r="ED26">
        <v>7.8418720668826047E-2</v>
      </c>
      <c r="EE26" s="10">
        <v>2.1412</v>
      </c>
      <c r="EF26">
        <v>2.1385999999999998</v>
      </c>
      <c r="EG26">
        <v>13.182151055139078</v>
      </c>
      <c r="EH26" t="s">
        <v>665</v>
      </c>
      <c r="EI26">
        <v>0</v>
      </c>
      <c r="EJ26">
        <v>0</v>
      </c>
      <c r="EK26" s="12">
        <v>45470</v>
      </c>
      <c r="EL26" s="13">
        <v>-0.26</v>
      </c>
      <c r="EM26" s="13">
        <v>-4.2300000000000004</v>
      </c>
      <c r="EN26">
        <v>0.28000000000000003</v>
      </c>
      <c r="EO26">
        <v>6.61</v>
      </c>
      <c r="EP26">
        <v>-0.26</v>
      </c>
    </row>
    <row r="27" spans="1:146" ht="96" x14ac:dyDescent="0.25">
      <c r="C27" s="6" t="str">
        <f>""&amp;CHAR(10)&amp;Basic_Fundamental_Information_Constructure(F27)&amp;CHAR(10)&amp;Basic_Fundamental_Information_Concatenate("")</f>
        <v xml:space="preserve">
市值95.956106亿, 利润10.31亿; PE19.24; 平均PE42.42; 平均PEG.05, PB1.54; ROIC8.1%; ROE-2.2533%; 股利率2.8555%; 毛利39.2933%; 净利-17.0567%; 上一年度营收增-85.22%, 利润增149.03%; 当季营收增742.65%, 利润增-36.92%; 过往5年营收增879.71%, 利润增-2.55%
Income profile:
</v>
      </c>
      <c r="D27" t="s">
        <v>551</v>
      </c>
      <c r="E27" t="s">
        <v>552</v>
      </c>
      <c r="F27">
        <v>16.95</v>
      </c>
      <c r="G27">
        <v>3.1</v>
      </c>
      <c r="H27" t="s">
        <v>1185</v>
      </c>
      <c r="I27">
        <v>9595610600</v>
      </c>
      <c r="J27">
        <v>19.239999999999998</v>
      </c>
      <c r="K27">
        <v>1.54</v>
      </c>
      <c r="L27" t="s">
        <v>94</v>
      </c>
      <c r="M27" t="s">
        <v>1186</v>
      </c>
      <c r="N27" t="s">
        <v>1187</v>
      </c>
      <c r="O27" t="s">
        <v>1188</v>
      </c>
      <c r="P27" s="5">
        <v>12.87</v>
      </c>
      <c r="Q27" t="s">
        <v>1189</v>
      </c>
      <c r="R27">
        <v>210691940</v>
      </c>
      <c r="S27">
        <v>-0.18920000000000001</v>
      </c>
      <c r="T27" t="s">
        <v>1190</v>
      </c>
      <c r="U27">
        <v>316804950</v>
      </c>
      <c r="V27">
        <v>566112720</v>
      </c>
      <c r="W27">
        <v>2.35</v>
      </c>
      <c r="X27">
        <v>0.64</v>
      </c>
      <c r="Y27">
        <v>2.33</v>
      </c>
      <c r="Z27" t="s">
        <v>1191</v>
      </c>
      <c r="AA27" t="s">
        <v>1192</v>
      </c>
      <c r="AB27" t="s">
        <v>298</v>
      </c>
      <c r="AC27" t="s">
        <v>588</v>
      </c>
      <c r="AD27" t="s">
        <v>5</v>
      </c>
      <c r="AE27">
        <v>-26941429</v>
      </c>
      <c r="AF27" t="s">
        <v>1193</v>
      </c>
      <c r="AG27" t="s">
        <v>1194</v>
      </c>
      <c r="AH27" t="s">
        <v>1195</v>
      </c>
      <c r="AI27" t="s">
        <v>1196</v>
      </c>
      <c r="AJ27" t="s">
        <v>1197</v>
      </c>
      <c r="AK27" t="s">
        <v>5</v>
      </c>
      <c r="AL27" t="s">
        <v>1198</v>
      </c>
      <c r="AM27" t="s">
        <v>5</v>
      </c>
      <c r="AN27">
        <v>0</v>
      </c>
      <c r="AO27" t="s">
        <v>1199</v>
      </c>
      <c r="AP27" t="s">
        <v>5</v>
      </c>
      <c r="AQ27" t="s">
        <v>1200</v>
      </c>
      <c r="AR27" t="s">
        <v>1201</v>
      </c>
      <c r="AS27" t="s">
        <v>1202</v>
      </c>
      <c r="AT27" t="s">
        <v>5</v>
      </c>
      <c r="AU27" t="s">
        <v>548</v>
      </c>
      <c r="AV27" t="s">
        <v>1203</v>
      </c>
      <c r="AW27" t="s">
        <v>1204</v>
      </c>
      <c r="AX27" t="s">
        <v>1205</v>
      </c>
      <c r="AY27" t="s">
        <v>553</v>
      </c>
      <c r="AZ27" t="s">
        <v>554</v>
      </c>
      <c r="BA27" t="s">
        <v>555</v>
      </c>
      <c r="BB27" t="s">
        <v>556</v>
      </c>
      <c r="BC27" t="s">
        <v>1206</v>
      </c>
      <c r="BD27" t="s">
        <v>557</v>
      </c>
      <c r="BE27" t="s">
        <v>558</v>
      </c>
      <c r="BF27" t="s">
        <v>559</v>
      </c>
      <c r="BG27" t="s">
        <v>560</v>
      </c>
      <c r="BH27" t="s">
        <v>1207</v>
      </c>
      <c r="BI27" t="s">
        <v>1208</v>
      </c>
      <c r="BJ27" t="s">
        <v>1205</v>
      </c>
      <c r="BK27" t="s">
        <v>1209</v>
      </c>
      <c r="BL27" t="s">
        <v>892</v>
      </c>
      <c r="BM27" t="s">
        <v>1206</v>
      </c>
      <c r="BN27">
        <v>8.1</v>
      </c>
      <c r="BO27" t="s">
        <v>5</v>
      </c>
      <c r="BP27" t="s">
        <v>5</v>
      </c>
      <c r="BQ27">
        <v>6.38</v>
      </c>
      <c r="BR27">
        <v>-10.29</v>
      </c>
      <c r="BS27">
        <v>-2.85</v>
      </c>
      <c r="BT27" t="s">
        <v>1210</v>
      </c>
      <c r="BU27" t="s">
        <v>90</v>
      </c>
      <c r="BV27">
        <v>6.9</v>
      </c>
      <c r="BW27">
        <v>52.36</v>
      </c>
      <c r="BX27">
        <v>58.62</v>
      </c>
      <c r="BY27">
        <v>2.27</v>
      </c>
      <c r="BZ27">
        <v>-44.82</v>
      </c>
      <c r="CA27">
        <v>-8.6199999999999992</v>
      </c>
      <c r="CB27">
        <v>3.86</v>
      </c>
      <c r="CC27" s="7">
        <v>-17.36</v>
      </c>
      <c r="CD27" s="8" t="s">
        <v>1211</v>
      </c>
      <c r="CE27" s="7" t="s">
        <v>1212</v>
      </c>
      <c r="CF27" s="7">
        <v>7.4265175718849843</v>
      </c>
      <c r="CG27" s="7">
        <v>-0.36918580838323356</v>
      </c>
      <c r="CH27" s="7">
        <v>-0.85219079256057739</v>
      </c>
      <c r="CI27" s="7">
        <v>45.397415161132813</v>
      </c>
      <c r="CJ27" s="8">
        <v>-9.943181648850441E-3</v>
      </c>
      <c r="CK27" s="8">
        <v>-0.67346936464309692</v>
      </c>
      <c r="CL27" s="8">
        <v>0.12350178509950638</v>
      </c>
      <c r="CM27" s="8">
        <v>1.4903382062911987</v>
      </c>
      <c r="CN27" s="8">
        <v>7.5146369934082031</v>
      </c>
      <c r="CO27">
        <v>0.14583839476108551</v>
      </c>
      <c r="CP27">
        <v>-8.5226240158081055</v>
      </c>
      <c r="CQ27">
        <v>-0.75544190406799316</v>
      </c>
      <c r="CR27" s="7">
        <v>42.415222360748679</v>
      </c>
      <c r="CS27" s="8">
        <v>4.8215209671293911E-2</v>
      </c>
      <c r="CT27">
        <v>2.8554572271386429</v>
      </c>
      <c r="CU27">
        <v>8.7970627214759585</v>
      </c>
      <c r="CV27">
        <v>-2.5450465083122254E-2</v>
      </c>
      <c r="CW27">
        <v>0.06</v>
      </c>
      <c r="CX27">
        <v>1.2841402285989725</v>
      </c>
      <c r="CY27">
        <v>9529029873.4355774</v>
      </c>
      <c r="CZ27">
        <v>8.7970627214759585</v>
      </c>
      <c r="DA27">
        <v>1.5321401776585222E-2</v>
      </c>
      <c r="DB27">
        <v>798661296037.57776</v>
      </c>
      <c r="DC27">
        <v>8.3572095854021597</v>
      </c>
      <c r="DD27">
        <v>3.3159505618736318E-5</v>
      </c>
      <c r="DE27">
        <v>369022709225371.37</v>
      </c>
      <c r="DF27">
        <v>7.7414151948988437</v>
      </c>
      <c r="DG27">
        <v>1.6396464584817863E-8</v>
      </c>
      <c r="DH27">
        <v>7.462956746987008E+17</v>
      </c>
      <c r="DI27">
        <v>7.0376501771807671</v>
      </c>
      <c r="DJ27">
        <v>2.6010524034067971E-16</v>
      </c>
      <c r="DK27">
        <v>4.7044844555891206E+25</v>
      </c>
      <c r="DL27">
        <v>6.1579439050331706</v>
      </c>
      <c r="DM27">
        <v>1031000000</v>
      </c>
      <c r="DN27">
        <v>8.7970627214759585</v>
      </c>
      <c r="DO27">
        <v>12236610600</v>
      </c>
      <c r="DP27">
        <v>6000173000</v>
      </c>
      <c r="DQ27" s="9">
        <v>3526</v>
      </c>
      <c r="DR27">
        <v>-1.3705451495909742</v>
      </c>
      <c r="DS27">
        <v>-0.3437353433001113</v>
      </c>
      <c r="DT27">
        <v>-0.69000000000000006</v>
      </c>
      <c r="DU27">
        <v>-0.77</v>
      </c>
      <c r="DV27">
        <v>-1.46</v>
      </c>
      <c r="DW27">
        <v>6.1819038642789819</v>
      </c>
      <c r="DX27">
        <v>0.42578406824894643</v>
      </c>
      <c r="DY27">
        <v>6.0301567626503738</v>
      </c>
      <c r="DZ27">
        <v>4568</v>
      </c>
      <c r="EA27">
        <v>6.003198623357437</v>
      </c>
      <c r="EB27" s="10">
        <v>6</v>
      </c>
      <c r="EC27" s="10">
        <v>1.953197589342278E-2</v>
      </c>
      <c r="ED27">
        <v>0.11781575937739043</v>
      </c>
      <c r="EE27">
        <v>2.0609999999999993E-2</v>
      </c>
      <c r="EF27">
        <v>4.9910000000000003E-2</v>
      </c>
      <c r="EG27">
        <v>26.165784068248946</v>
      </c>
      <c r="EH27" s="12">
        <v>-1</v>
      </c>
      <c r="EI27">
        <v>0</v>
      </c>
      <c r="EJ27">
        <v>0</v>
      </c>
      <c r="EK27">
        <v>45470</v>
      </c>
      <c r="EL27">
        <v>-1.46</v>
      </c>
      <c r="EM27">
        <v>-4.21</v>
      </c>
      <c r="EN27">
        <v>1.03</v>
      </c>
      <c r="EO27">
        <v>4.8600000000000003</v>
      </c>
      <c r="EP27">
        <v>-2.93</v>
      </c>
    </row>
    <row r="28" spans="1:146" ht="144" x14ac:dyDescent="0.25">
      <c r="A28" s="6"/>
      <c r="B28" s="6" t="s">
        <v>319</v>
      </c>
      <c r="C28" s="6" t="s">
        <v>318</v>
      </c>
      <c r="D28" t="s">
        <v>219</v>
      </c>
      <c r="E28" t="s">
        <v>220</v>
      </c>
      <c r="F28">
        <v>5.78</v>
      </c>
      <c r="G28">
        <v>0.52</v>
      </c>
      <c r="H28" t="s">
        <v>1213</v>
      </c>
      <c r="I28">
        <v>4646707000</v>
      </c>
      <c r="J28">
        <v>18.3</v>
      </c>
      <c r="K28">
        <v>2.4700000000000002</v>
      </c>
      <c r="L28" t="s">
        <v>94</v>
      </c>
      <c r="M28" t="s">
        <v>1214</v>
      </c>
      <c r="N28" t="s">
        <v>1215</v>
      </c>
      <c r="O28" t="s">
        <v>1216</v>
      </c>
      <c r="P28">
        <v>-2.09</v>
      </c>
      <c r="Q28" t="s">
        <v>1217</v>
      </c>
      <c r="R28">
        <v>-27334265</v>
      </c>
      <c r="S28" s="5">
        <v>-0.13109999999999999</v>
      </c>
      <c r="T28" t="s">
        <v>1218</v>
      </c>
      <c r="U28">
        <v>803928550</v>
      </c>
      <c r="V28">
        <v>803928550</v>
      </c>
      <c r="W28">
        <v>1.98</v>
      </c>
      <c r="X28">
        <v>0.09</v>
      </c>
      <c r="Y28">
        <v>-7.73</v>
      </c>
      <c r="Z28" t="s">
        <v>1219</v>
      </c>
      <c r="AA28" t="s">
        <v>493</v>
      </c>
      <c r="AB28" t="s">
        <v>1220</v>
      </c>
      <c r="AC28" t="s">
        <v>1221</v>
      </c>
      <c r="AD28" t="s">
        <v>5</v>
      </c>
      <c r="AE28">
        <v>11962199</v>
      </c>
      <c r="AF28" t="s">
        <v>1222</v>
      </c>
      <c r="AG28" t="s">
        <v>1223</v>
      </c>
      <c r="AH28" t="s">
        <v>1224</v>
      </c>
      <c r="AI28" t="s">
        <v>1225</v>
      </c>
      <c r="AJ28" t="s">
        <v>1226</v>
      </c>
      <c r="AK28" t="s">
        <v>1227</v>
      </c>
      <c r="AL28" t="s">
        <v>1228</v>
      </c>
      <c r="AM28" t="s">
        <v>5</v>
      </c>
      <c r="AN28" t="s">
        <v>84</v>
      </c>
      <c r="AO28" t="s">
        <v>1229</v>
      </c>
      <c r="AP28" t="s">
        <v>5</v>
      </c>
      <c r="AQ28" t="s">
        <v>1230</v>
      </c>
      <c r="AR28" t="s">
        <v>5</v>
      </c>
      <c r="AS28" t="s">
        <v>1231</v>
      </c>
      <c r="AT28" t="s">
        <v>1232</v>
      </c>
      <c r="AU28" t="s">
        <v>1233</v>
      </c>
      <c r="AV28" t="s">
        <v>1234</v>
      </c>
      <c r="AW28" t="s">
        <v>1235</v>
      </c>
      <c r="AX28" t="s">
        <v>562</v>
      </c>
      <c r="AY28" t="s">
        <v>285</v>
      </c>
      <c r="AZ28" t="s">
        <v>221</v>
      </c>
      <c r="BA28" t="s">
        <v>224</v>
      </c>
      <c r="BB28" t="s">
        <v>225</v>
      </c>
      <c r="BC28" t="s">
        <v>173</v>
      </c>
      <c r="BD28" t="s">
        <v>194</v>
      </c>
      <c r="BE28" t="s">
        <v>222</v>
      </c>
      <c r="BF28" t="s">
        <v>36</v>
      </c>
      <c r="BG28" t="s">
        <v>226</v>
      </c>
      <c r="BH28" t="s">
        <v>1236</v>
      </c>
      <c r="BI28" t="s">
        <v>584</v>
      </c>
      <c r="BJ28" t="s">
        <v>562</v>
      </c>
      <c r="BK28" t="s">
        <v>479</v>
      </c>
      <c r="BL28" t="s">
        <v>1237</v>
      </c>
      <c r="BM28" t="s">
        <v>173</v>
      </c>
      <c r="BN28">
        <v>3.18</v>
      </c>
      <c r="BO28">
        <v>12.42</v>
      </c>
      <c r="BP28">
        <v>16.2</v>
      </c>
      <c r="BQ28">
        <v>4.1900000000000004</v>
      </c>
      <c r="BR28">
        <v>15.2</v>
      </c>
      <c r="BS28">
        <v>17.149999999999999</v>
      </c>
      <c r="BT28" t="s">
        <v>1238</v>
      </c>
      <c r="BU28" t="s">
        <v>90</v>
      </c>
      <c r="BV28">
        <v>45</v>
      </c>
      <c r="BW28">
        <v>44.58</v>
      </c>
      <c r="BX28">
        <v>44.57</v>
      </c>
      <c r="BY28">
        <v>13.35</v>
      </c>
      <c r="BZ28">
        <v>14.06</v>
      </c>
      <c r="CA28">
        <v>15.83</v>
      </c>
      <c r="CB28">
        <v>-1.03</v>
      </c>
      <c r="CC28">
        <v>-17.52</v>
      </c>
      <c r="CD28" t="s">
        <v>1239</v>
      </c>
      <c r="CE28" t="s">
        <v>1240</v>
      </c>
      <c r="CF28" s="7">
        <v>3.5</v>
      </c>
      <c r="CG28" s="8">
        <v>-1.8569863430294897</v>
      </c>
      <c r="CH28" s="7">
        <v>-0.85708397626876831</v>
      </c>
      <c r="CI28" s="7">
        <v>9.5173686742782593E-2</v>
      </c>
      <c r="CJ28" s="7">
        <v>0.50509166717529297</v>
      </c>
      <c r="CK28" s="7">
        <v>0.30123668909072876</v>
      </c>
      <c r="CL28" s="7">
        <v>0.14923857152462006</v>
      </c>
      <c r="CM28" s="8">
        <v>-0.66616499423980713</v>
      </c>
      <c r="CN28" s="8">
        <v>3.9525693282485008E-3</v>
      </c>
      <c r="CO28" s="8">
        <v>9.5238097012042999E-2</v>
      </c>
      <c r="CP28" s="8">
        <v>8.4507040679454803E-2</v>
      </c>
      <c r="CQ28" s="8">
        <v>5.9701491147279739E-2</v>
      </c>
      <c r="CR28">
        <v>22.542347186164616</v>
      </c>
      <c r="CS28">
        <v>5.8201844739651198</v>
      </c>
      <c r="CT28">
        <v>1.9377162629757787</v>
      </c>
      <c r="CU28" s="7">
        <v>3.8731327652931212E-2</v>
      </c>
      <c r="CV28" s="8">
        <v>-8.4553159214556223E-2</v>
      </c>
      <c r="CW28">
        <v>0.06</v>
      </c>
      <c r="CX28">
        <v>55.440557792309193</v>
      </c>
      <c r="CY28">
        <v>83092724.594467372</v>
      </c>
      <c r="CZ28">
        <v>3.8731327652931212E-2</v>
      </c>
      <c r="DA28">
        <v>18.926003586898879</v>
      </c>
      <c r="DB28">
        <v>243406220.38077253</v>
      </c>
      <c r="DC28">
        <v>3.6794761270284651E-2</v>
      </c>
      <c r="DD28">
        <v>9.8653275391522151</v>
      </c>
      <c r="DE28">
        <v>466959356.56647044</v>
      </c>
      <c r="DF28">
        <v>3.408356833457947E-2</v>
      </c>
      <c r="DG28">
        <v>6.3087032712721705</v>
      </c>
      <c r="DH28">
        <v>730214562.63087845</v>
      </c>
      <c r="DI28">
        <v>3.0985062122344972E-2</v>
      </c>
      <c r="DJ28">
        <v>3.7202421360169802</v>
      </c>
      <c r="DK28">
        <v>1238281496.6264803</v>
      </c>
      <c r="DL28">
        <v>2.7111929357051846E-2</v>
      </c>
      <c r="DM28">
        <v>84794100</v>
      </c>
      <c r="DN28">
        <v>3.8731327652931212E-2</v>
      </c>
      <c r="DO28">
        <v>4606707000</v>
      </c>
      <c r="DP28">
        <v>320655400</v>
      </c>
      <c r="DQ28">
        <v>3896</v>
      </c>
      <c r="DR28">
        <v>3.4612686723470687</v>
      </c>
      <c r="DS28">
        <v>-1.7724331838149334</v>
      </c>
      <c r="DT28" s="9">
        <v>-0.52333333333333332</v>
      </c>
      <c r="DU28">
        <v>-1.2316666666666667</v>
      </c>
      <c r="DV28">
        <v>-1.7549999999999999</v>
      </c>
      <c r="DW28">
        <v>-3.0171904761904762</v>
      </c>
      <c r="DX28">
        <v>0.30824166618282717</v>
      </c>
      <c r="DY28">
        <v>-3.0022045353091427</v>
      </c>
      <c r="DZ28">
        <v>2137</v>
      </c>
      <c r="EA28">
        <v>-3.0012825995056911</v>
      </c>
      <c r="EB28">
        <v>3</v>
      </c>
      <c r="EC28">
        <v>9.6160286881215983E-3</v>
      </c>
      <c r="ED28">
        <v>7.4983653709026751E-2</v>
      </c>
      <c r="EE28" s="10">
        <v>1.00041</v>
      </c>
      <c r="EF28">
        <v>1.01891</v>
      </c>
      <c r="EG28">
        <v>18.128241666182827</v>
      </c>
      <c r="EH28" t="s">
        <v>299</v>
      </c>
      <c r="EI28">
        <v>0</v>
      </c>
      <c r="EJ28">
        <v>0</v>
      </c>
      <c r="EK28" s="12">
        <v>45470</v>
      </c>
      <c r="EL28" s="13">
        <v>-1.9</v>
      </c>
      <c r="EM28" s="13">
        <v>-3.52</v>
      </c>
      <c r="EN28">
        <v>3.91</v>
      </c>
      <c r="EO28">
        <v>1.63</v>
      </c>
      <c r="EP28">
        <v>-1.85</v>
      </c>
    </row>
    <row r="29" spans="1:146" ht="96" x14ac:dyDescent="0.25">
      <c r="A29" s="6"/>
      <c r="B29" s="6"/>
      <c r="C29" s="6" t="str">
        <f>""&amp;CHAR(10)&amp;Basic_Fundamental_Information_Constructure(F29)&amp;CHAR(10)&amp;Basic_Fundamental_Information_Concatenate("")</f>
        <v xml:space="preserve">
市值15.883195亿, 利润7.41亿; PE14.41; 平均PE7.59; 平均PEG.03, PB1; ROIC7.0033%; ROE6.5167%; 股利率1.4196%; 毛利51.77%; 净利15.1333%; 上一年度营收增1371.34%, 利润增619.42%; 当季营收增-94.99%, 利润增-99.5%; 过往5年营收增285.51%, 利润增137.05%
Income profile:
</v>
      </c>
      <c r="D29" t="s">
        <v>227</v>
      </c>
      <c r="E29" t="s">
        <v>228</v>
      </c>
      <c r="F29">
        <v>3.17</v>
      </c>
      <c r="G29">
        <v>1.28</v>
      </c>
      <c r="H29" t="s">
        <v>1241</v>
      </c>
      <c r="I29">
        <v>1588319500</v>
      </c>
      <c r="J29">
        <v>14.41</v>
      </c>
      <c r="K29">
        <v>1</v>
      </c>
      <c r="L29" t="s">
        <v>94</v>
      </c>
      <c r="M29" t="s">
        <v>1219</v>
      </c>
      <c r="N29" t="s">
        <v>1242</v>
      </c>
      <c r="O29" t="s">
        <v>575</v>
      </c>
      <c r="P29">
        <v>7.49</v>
      </c>
      <c r="Q29" t="s">
        <v>1243</v>
      </c>
      <c r="R29">
        <v>3402588</v>
      </c>
      <c r="S29" s="5">
        <v>-0.35799999999999998</v>
      </c>
      <c r="T29" t="s">
        <v>1244</v>
      </c>
      <c r="U29">
        <v>501047150</v>
      </c>
      <c r="V29">
        <v>501047150</v>
      </c>
      <c r="W29">
        <v>1.22</v>
      </c>
      <c r="X29">
        <v>0.09</v>
      </c>
      <c r="Y29">
        <v>5.17</v>
      </c>
      <c r="Z29" t="s">
        <v>366</v>
      </c>
      <c r="AA29" t="s">
        <v>1245</v>
      </c>
      <c r="AB29" t="s">
        <v>1246</v>
      </c>
      <c r="AC29" t="s">
        <v>1247</v>
      </c>
      <c r="AD29" t="s">
        <v>5</v>
      </c>
      <c r="AE29">
        <v>-122564</v>
      </c>
      <c r="AF29" t="s">
        <v>96</v>
      </c>
      <c r="AG29">
        <v>1792.69</v>
      </c>
      <c r="AH29" t="s">
        <v>1248</v>
      </c>
      <c r="AI29" t="s">
        <v>502</v>
      </c>
      <c r="AJ29" t="s">
        <v>1249</v>
      </c>
      <c r="AK29" t="s">
        <v>1250</v>
      </c>
      <c r="AL29" t="s">
        <v>1251</v>
      </c>
      <c r="AM29" t="s">
        <v>5</v>
      </c>
      <c r="AN29" t="s">
        <v>1252</v>
      </c>
      <c r="AO29" t="s">
        <v>5</v>
      </c>
      <c r="AP29" t="s">
        <v>5</v>
      </c>
      <c r="AQ29" t="s">
        <v>577</v>
      </c>
      <c r="AR29" t="s">
        <v>1253</v>
      </c>
      <c r="AS29" t="s">
        <v>273</v>
      </c>
      <c r="AT29" t="s">
        <v>5</v>
      </c>
      <c r="AU29" t="s">
        <v>1254</v>
      </c>
      <c r="AV29" t="s">
        <v>1255</v>
      </c>
      <c r="AW29" t="s">
        <v>1256</v>
      </c>
      <c r="AX29" t="s">
        <v>131</v>
      </c>
      <c r="AY29" t="s">
        <v>286</v>
      </c>
      <c r="AZ29" t="s">
        <v>229</v>
      </c>
      <c r="BA29" t="s">
        <v>230</v>
      </c>
      <c r="BB29" t="s">
        <v>77</v>
      </c>
      <c r="BC29" t="s">
        <v>42</v>
      </c>
      <c r="BD29" t="s">
        <v>73</v>
      </c>
      <c r="BE29" t="s">
        <v>70</v>
      </c>
      <c r="BF29" t="s">
        <v>231</v>
      </c>
      <c r="BG29" t="s">
        <v>232</v>
      </c>
      <c r="BH29" t="s">
        <v>1257</v>
      </c>
      <c r="BI29" t="s">
        <v>1258</v>
      </c>
      <c r="BJ29" t="s">
        <v>131</v>
      </c>
      <c r="BK29" t="s">
        <v>474</v>
      </c>
      <c r="BL29" t="s">
        <v>486</v>
      </c>
      <c r="BM29" t="s">
        <v>42</v>
      </c>
      <c r="BN29">
        <v>2.39</v>
      </c>
      <c r="BO29">
        <v>7.72</v>
      </c>
      <c r="BP29">
        <v>10.9</v>
      </c>
      <c r="BQ29">
        <v>2.0699999999999998</v>
      </c>
      <c r="BR29">
        <v>7.13</v>
      </c>
      <c r="BS29">
        <v>10.35</v>
      </c>
      <c r="BT29" t="s">
        <v>1259</v>
      </c>
      <c r="BU29" t="s">
        <v>90</v>
      </c>
      <c r="BV29">
        <v>51.77</v>
      </c>
      <c r="BW29">
        <v>53.01</v>
      </c>
      <c r="BX29">
        <v>50.53</v>
      </c>
      <c r="BY29">
        <v>14.16</v>
      </c>
      <c r="BZ29">
        <v>14.46</v>
      </c>
      <c r="CA29">
        <v>16.78</v>
      </c>
      <c r="CB29">
        <v>-1.25</v>
      </c>
      <c r="CC29">
        <v>-12.07</v>
      </c>
      <c r="CD29" t="s">
        <v>1260</v>
      </c>
      <c r="CE29" t="s">
        <v>502</v>
      </c>
      <c r="CF29" s="7">
        <v>-0.94990037005408479</v>
      </c>
      <c r="CG29" s="8">
        <v>-0.99497402067946827</v>
      </c>
      <c r="CH29" s="7">
        <v>13.713400840759277</v>
      </c>
      <c r="CI29" s="7">
        <v>-0.10741971433162689</v>
      </c>
      <c r="CJ29" s="7">
        <v>0.14885495603084564</v>
      </c>
      <c r="CK29" s="7">
        <v>0.28641572594642639</v>
      </c>
      <c r="CL29" s="7">
        <v>0.23434343934059143</v>
      </c>
      <c r="CM29" s="8">
        <v>6.1941747665405273</v>
      </c>
      <c r="CN29" s="8">
        <v>-0.25899279117584229</v>
      </c>
      <c r="CO29" s="8">
        <v>9.4488188624382019E-2</v>
      </c>
      <c r="CP29" s="8">
        <v>0.57172179222106934</v>
      </c>
      <c r="CQ29" s="8">
        <v>0.25090336799621582</v>
      </c>
      <c r="CR29">
        <v>7.5911465272113912</v>
      </c>
      <c r="CS29">
        <v>2.6587845884780987E-2</v>
      </c>
      <c r="CT29">
        <v>1.4195583596214512</v>
      </c>
      <c r="CU29" s="7">
        <v>2.8551190495491028</v>
      </c>
      <c r="CV29" s="8">
        <v>1.3704590648412704</v>
      </c>
      <c r="CW29">
        <v>0.06</v>
      </c>
      <c r="CX29">
        <v>0.16078965250999794</v>
      </c>
      <c r="CY29">
        <v>2694946429.9206462</v>
      </c>
      <c r="CZ29">
        <v>2.8551190495491028</v>
      </c>
      <c r="DA29">
        <v>9.9579130812469559E-3</v>
      </c>
      <c r="DB29">
        <v>43515091612.522774</v>
      </c>
      <c r="DC29">
        <v>2.7123630970716475</v>
      </c>
      <c r="DD29">
        <v>3.0863471995292607E-4</v>
      </c>
      <c r="DE29">
        <v>1403988184045.1765</v>
      </c>
      <c r="DF29">
        <v>2.5125047636032103</v>
      </c>
      <c r="DG29">
        <v>4.8599769775573882E-6</v>
      </c>
      <c r="DH29">
        <v>89160813312697.109</v>
      </c>
      <c r="DI29">
        <v>2.2840952396392824</v>
      </c>
      <c r="DJ29">
        <v>3.5103726609803266E-10</v>
      </c>
      <c r="DK29">
        <v>1.2343974325477711E+18</v>
      </c>
      <c r="DL29">
        <v>1.9985833346843718</v>
      </c>
      <c r="DM29">
        <v>741000000</v>
      </c>
      <c r="DN29">
        <v>2.8551190495491028</v>
      </c>
      <c r="DO29">
        <v>433319500.00000024</v>
      </c>
      <c r="DP29">
        <v>555815480</v>
      </c>
      <c r="DQ29">
        <v>3990</v>
      </c>
      <c r="DR29">
        <v>-3.8050194196031875</v>
      </c>
      <c r="DS29">
        <v>-2.3654330855207388</v>
      </c>
      <c r="DT29" s="9">
        <v>7.6666666666666591E-2</v>
      </c>
      <c r="DU29">
        <v>-7.3333333333333403E-2</v>
      </c>
      <c r="DV29">
        <v>3.3333333333331883E-3</v>
      </c>
      <c r="DW29">
        <v>-2.1206999999999998</v>
      </c>
      <c r="DX29">
        <v>0.3207189573459715</v>
      </c>
      <c r="DY29">
        <v>-2.0145707781516586</v>
      </c>
      <c r="DZ29">
        <v>1721</v>
      </c>
      <c r="EA29">
        <v>-2.0096634769385462</v>
      </c>
      <c r="EB29">
        <v>2</v>
      </c>
      <c r="EC29">
        <v>5.0836932212866594E-2</v>
      </c>
      <c r="ED29">
        <v>0.42111805246272732</v>
      </c>
      <c r="EE29" s="10">
        <v>-1.1172</v>
      </c>
      <c r="EF29">
        <v>-1.1095999999999999</v>
      </c>
      <c r="EG29">
        <v>20.120718957345971</v>
      </c>
      <c r="EH29" t="s">
        <v>464</v>
      </c>
      <c r="EI29">
        <v>0</v>
      </c>
      <c r="EJ29">
        <v>0</v>
      </c>
      <c r="EK29" s="12">
        <v>45470</v>
      </c>
      <c r="EL29" s="13">
        <v>0.19</v>
      </c>
      <c r="EM29" s="13">
        <v>-3.87</v>
      </c>
      <c r="EN29">
        <v>1.57</v>
      </c>
      <c r="EO29">
        <v>2.3199999999999998</v>
      </c>
      <c r="EP29">
        <v>-0.76</v>
      </c>
    </row>
    <row r="30" spans="1:146" ht="96" x14ac:dyDescent="0.25">
      <c r="C30" s="6" t="str">
        <f>""&amp;CHAR(10)&amp;Basic_Fundamental_Information_Constructure(F30)&amp;CHAR(10)&amp;Basic_Fundamental_Information_Concatenate("")</f>
        <v xml:space="preserve">
市值28亿, 利润1.95亿; PE23.3; 平均PE27.09; 平均PEG3.56, PB1.61; ROIC10.8833%; ROE8.55%; 股利率1.9201%; 毛利23.7633%; 净利10.2567%; 上一年度营收增-65.41%, 利润增72.57%; 当季营收增295.39%, 利润增-44.45%; 过往5年营收增-7.61%, 利润增45.51%
Income profile:
</v>
      </c>
      <c r="D30" t="s">
        <v>564</v>
      </c>
      <c r="E30" t="s">
        <v>565</v>
      </c>
      <c r="F30">
        <v>26.04</v>
      </c>
      <c r="G30">
        <v>0.35</v>
      </c>
      <c r="H30" t="s">
        <v>1261</v>
      </c>
      <c r="I30">
        <v>2800000000</v>
      </c>
      <c r="J30">
        <v>23.3</v>
      </c>
      <c r="K30">
        <v>1.61</v>
      </c>
      <c r="L30" t="s">
        <v>94</v>
      </c>
      <c r="M30" t="s">
        <v>1262</v>
      </c>
      <c r="N30" t="s">
        <v>1263</v>
      </c>
      <c r="O30" t="s">
        <v>649</v>
      </c>
      <c r="P30" s="5">
        <v>9.5500000000000007</v>
      </c>
      <c r="Q30" t="s">
        <v>1074</v>
      </c>
      <c r="R30">
        <v>19741307</v>
      </c>
      <c r="S30">
        <v>0.1089</v>
      </c>
      <c r="T30" t="s">
        <v>563</v>
      </c>
      <c r="U30">
        <v>26881721</v>
      </c>
      <c r="V30">
        <v>107526882</v>
      </c>
      <c r="W30">
        <v>1.24</v>
      </c>
      <c r="X30">
        <v>0.18</v>
      </c>
      <c r="Y30">
        <v>7.74</v>
      </c>
      <c r="Z30" t="s">
        <v>1264</v>
      </c>
      <c r="AA30" t="s">
        <v>1265</v>
      </c>
      <c r="AB30" t="s">
        <v>1266</v>
      </c>
      <c r="AC30" t="s">
        <v>1267</v>
      </c>
      <c r="AD30" t="s">
        <v>5</v>
      </c>
      <c r="AE30">
        <v>-5333839</v>
      </c>
      <c r="AF30" t="s">
        <v>1268</v>
      </c>
      <c r="AG30" t="s">
        <v>1269</v>
      </c>
      <c r="AH30" t="s">
        <v>1270</v>
      </c>
      <c r="AI30" t="s">
        <v>1271</v>
      </c>
      <c r="AJ30" t="s">
        <v>1272</v>
      </c>
      <c r="AK30" t="s">
        <v>5</v>
      </c>
      <c r="AL30" t="s">
        <v>1273</v>
      </c>
      <c r="AM30" t="s">
        <v>5</v>
      </c>
      <c r="AN30" t="s">
        <v>1274</v>
      </c>
      <c r="AO30" t="s">
        <v>1275</v>
      </c>
      <c r="AP30" t="s">
        <v>5</v>
      </c>
      <c r="AQ30" t="s">
        <v>1276</v>
      </c>
      <c r="AR30" t="s">
        <v>1277</v>
      </c>
      <c r="AS30" t="s">
        <v>1278</v>
      </c>
      <c r="AT30" t="s">
        <v>1279</v>
      </c>
      <c r="AU30" t="s">
        <v>1280</v>
      </c>
      <c r="AV30" t="s">
        <v>1281</v>
      </c>
      <c r="AW30" t="s">
        <v>1282</v>
      </c>
      <c r="AX30" t="s">
        <v>566</v>
      </c>
      <c r="AY30" t="s">
        <v>153</v>
      </c>
      <c r="AZ30" t="s">
        <v>1283</v>
      </c>
      <c r="BA30" t="s">
        <v>1284</v>
      </c>
      <c r="BB30" t="s">
        <v>1285</v>
      </c>
      <c r="BC30" t="s">
        <v>376</v>
      </c>
      <c r="BD30" t="s">
        <v>1286</v>
      </c>
      <c r="BE30" t="s">
        <v>58</v>
      </c>
      <c r="BF30" t="s">
        <v>1287</v>
      </c>
      <c r="BG30" t="s">
        <v>1288</v>
      </c>
      <c r="BH30" t="s">
        <v>1289</v>
      </c>
      <c r="BI30" t="s">
        <v>41</v>
      </c>
      <c r="BJ30" t="s">
        <v>566</v>
      </c>
      <c r="BK30" t="s">
        <v>81</v>
      </c>
      <c r="BL30" t="s">
        <v>1290</v>
      </c>
      <c r="BM30" t="s">
        <v>376</v>
      </c>
      <c r="BN30">
        <v>7.72</v>
      </c>
      <c r="BO30">
        <v>12.49</v>
      </c>
      <c r="BP30">
        <v>12.44</v>
      </c>
      <c r="BQ30">
        <v>6.45</v>
      </c>
      <c r="BR30">
        <v>10.65</v>
      </c>
      <c r="BS30" t="s">
        <v>5</v>
      </c>
      <c r="BT30" t="s">
        <v>1291</v>
      </c>
      <c r="BU30" t="s">
        <v>90</v>
      </c>
      <c r="BV30">
        <v>24.65</v>
      </c>
      <c r="BW30">
        <v>22.9</v>
      </c>
      <c r="BX30">
        <v>23.74</v>
      </c>
      <c r="BY30">
        <v>10.56</v>
      </c>
      <c r="BZ30">
        <v>10.43</v>
      </c>
      <c r="CA30">
        <v>9.7799999999999994</v>
      </c>
      <c r="CB30">
        <v>-5.27</v>
      </c>
      <c r="CC30" s="7">
        <v>-23.86</v>
      </c>
      <c r="CD30" s="8" t="s">
        <v>1292</v>
      </c>
      <c r="CE30" s="7" t="s">
        <v>1293</v>
      </c>
      <c r="CF30" s="7">
        <v>2.9539473684210527</v>
      </c>
      <c r="CG30" s="7">
        <v>-0.44452334592030252</v>
      </c>
      <c r="CH30" s="7">
        <v>-0.65405631065368652</v>
      </c>
      <c r="CI30" s="7">
        <v>8.2840293645858765E-2</v>
      </c>
      <c r="CJ30" s="8">
        <v>6.4437955617904663E-2</v>
      </c>
      <c r="CK30" s="8">
        <v>5.413687601685524E-2</v>
      </c>
      <c r="CL30" s="8">
        <v>7.2289153933525085E-2</v>
      </c>
      <c r="CM30" s="8">
        <v>0.72566372156143188</v>
      </c>
      <c r="CN30" s="8">
        <v>0.24671353399753571</v>
      </c>
      <c r="CO30">
        <v>-0.24468080699443817</v>
      </c>
      <c r="CP30">
        <v>0.89540225267410278</v>
      </c>
      <c r="CQ30">
        <v>0.65235400199890137</v>
      </c>
      <c r="CR30" s="7">
        <v>27.085193089212982</v>
      </c>
      <c r="CS30" s="8">
        <v>3.5605427144298285</v>
      </c>
      <c r="CT30">
        <v>1.9201228878648233</v>
      </c>
      <c r="CU30">
        <v>-7.6070406287908551E-2</v>
      </c>
      <c r="CV30">
        <v>0.4550905406475067</v>
      </c>
      <c r="CW30">
        <v>0.06</v>
      </c>
      <c r="CX30">
        <v>4.2974358974358973</v>
      </c>
      <c r="CY30" t="s">
        <v>1294</v>
      </c>
      <c r="CZ30">
        <v>-7.6070406287908551E-2</v>
      </c>
      <c r="DA30">
        <v>1.4324786324786325</v>
      </c>
      <c r="DB30" t="s">
        <v>1295</v>
      </c>
      <c r="DC30">
        <v>-7.226688597351312E-2</v>
      </c>
      <c r="DD30">
        <v>0.71623931623931625</v>
      </c>
      <c r="DE30" t="s">
        <v>1296</v>
      </c>
      <c r="DF30">
        <v>-6.694195753335952E-2</v>
      </c>
      <c r="DG30">
        <v>0.42974358974358973</v>
      </c>
      <c r="DH30" t="s">
        <v>1297</v>
      </c>
      <c r="DI30">
        <v>-6.0856325030326841E-2</v>
      </c>
      <c r="DJ30">
        <v>0.21487179487179486</v>
      </c>
      <c r="DK30" t="s">
        <v>1298</v>
      </c>
      <c r="DL30">
        <v>-5.3249284401535986E-2</v>
      </c>
      <c r="DM30">
        <v>195000000</v>
      </c>
      <c r="DN30">
        <v>-7.6070406287908551E-2</v>
      </c>
      <c r="DO30">
        <v>838000000</v>
      </c>
      <c r="DP30">
        <v>1494033300</v>
      </c>
      <c r="DQ30" s="9">
        <v>4124</v>
      </c>
      <c r="DR30">
        <v>3.0300177747089614</v>
      </c>
      <c r="DS30">
        <v>-0.89961388656780916</v>
      </c>
      <c r="DT30">
        <v>-0.77333333333333332</v>
      </c>
      <c r="DU30">
        <v>0.56333333333333324</v>
      </c>
      <c r="DV30">
        <v>-0.21000000000000008</v>
      </c>
      <c r="DW30">
        <v>-8.2208717518860013</v>
      </c>
      <c r="DX30">
        <v>0.30473636297669288</v>
      </c>
      <c r="DY30">
        <v>-8.0253420214956908</v>
      </c>
      <c r="DZ30">
        <v>26</v>
      </c>
      <c r="EA30">
        <v>-8.0252130797033452</v>
      </c>
      <c r="EB30" s="10">
        <v>8</v>
      </c>
      <c r="EC30" s="10">
        <v>4.8526469873831177E-2</v>
      </c>
      <c r="ED30">
        <v>0.4229388889003588</v>
      </c>
      <c r="EE30">
        <v>3.0104099999999998</v>
      </c>
      <c r="EF30">
        <v>3.0373100000000002</v>
      </c>
      <c r="EG30">
        <v>19.114736362976693</v>
      </c>
      <c r="EH30" s="12" t="s">
        <v>377</v>
      </c>
      <c r="EI30">
        <v>0</v>
      </c>
      <c r="EJ30">
        <v>1</v>
      </c>
      <c r="EK30">
        <v>45470</v>
      </c>
      <c r="EL30">
        <v>1.18</v>
      </c>
      <c r="EM30">
        <v>-5.52</v>
      </c>
      <c r="EN30">
        <v>-3.35</v>
      </c>
      <c r="EO30">
        <v>2.4700000000000002</v>
      </c>
      <c r="EP30">
        <v>-2.69</v>
      </c>
    </row>
    <row r="31" spans="1:146" ht="96" x14ac:dyDescent="0.25">
      <c r="C31" s="6" t="str">
        <f>""&amp;CHAR(10)&amp;Basic_Fundamental_Information_Constructure(F31)&amp;CHAR(10)&amp;Basic_Fundamental_Information_Concatenate("")</f>
        <v xml:space="preserve">
市值47.48692亿, 利润1.00亿; PE27.27; 平均PE50.34; 平均PEG4.69, PB1.55; ROIC6.0367%; ROE6.425%; 股利率1.7133%; 毛利45.0533%; 净利23.4067%; 上一年度营收增10.56%, 利润增-23.08%; 当季营收增-11.56%, 利润增51.43%; 过往5年营收增10.73%, 利润增7.52%
Income profile:
</v>
      </c>
      <c r="D31" t="s">
        <v>567</v>
      </c>
      <c r="E31" t="s">
        <v>568</v>
      </c>
      <c r="F31">
        <v>15</v>
      </c>
      <c r="G31">
        <v>1.01</v>
      </c>
      <c r="H31" t="s">
        <v>1299</v>
      </c>
      <c r="I31">
        <v>4748692000</v>
      </c>
      <c r="J31">
        <v>27.27</v>
      </c>
      <c r="K31">
        <v>1.55</v>
      </c>
      <c r="L31" t="s">
        <v>94</v>
      </c>
      <c r="M31" t="s">
        <v>1300</v>
      </c>
      <c r="N31" t="s">
        <v>1301</v>
      </c>
      <c r="O31" t="s">
        <v>539</v>
      </c>
      <c r="P31" s="5">
        <v>12.84</v>
      </c>
      <c r="Q31" t="s">
        <v>488</v>
      </c>
      <c r="R31">
        <v>46596452</v>
      </c>
      <c r="S31">
        <v>0.33789999999999998</v>
      </c>
      <c r="T31" t="s">
        <v>127</v>
      </c>
      <c r="U31">
        <v>75979072</v>
      </c>
      <c r="V31">
        <v>316579470</v>
      </c>
      <c r="W31">
        <v>1.1399999999999999</v>
      </c>
      <c r="X31">
        <v>0.04</v>
      </c>
      <c r="Y31">
        <v>30.44</v>
      </c>
      <c r="Z31" t="s">
        <v>376</v>
      </c>
      <c r="AA31" t="s">
        <v>1302</v>
      </c>
      <c r="AB31" t="s">
        <v>1303</v>
      </c>
      <c r="AC31" t="s">
        <v>1304</v>
      </c>
      <c r="AD31" t="s">
        <v>5</v>
      </c>
      <c r="AE31">
        <v>-2195221</v>
      </c>
      <c r="AF31" t="s">
        <v>1305</v>
      </c>
      <c r="AG31" t="s">
        <v>1306</v>
      </c>
      <c r="AH31" t="s">
        <v>1307</v>
      </c>
      <c r="AI31" t="s">
        <v>1308</v>
      </c>
      <c r="AJ31" t="s">
        <v>1309</v>
      </c>
      <c r="AK31" t="s">
        <v>1310</v>
      </c>
      <c r="AL31" t="s">
        <v>1311</v>
      </c>
      <c r="AM31" t="s">
        <v>5</v>
      </c>
      <c r="AN31" t="s">
        <v>1312</v>
      </c>
      <c r="AO31" t="s">
        <v>5</v>
      </c>
      <c r="AP31" t="s">
        <v>925</v>
      </c>
      <c r="AQ31" t="s">
        <v>1313</v>
      </c>
      <c r="AR31" t="s">
        <v>5</v>
      </c>
      <c r="AS31" t="s">
        <v>87</v>
      </c>
      <c r="AT31" t="s">
        <v>5</v>
      </c>
      <c r="AU31" t="s">
        <v>1314</v>
      </c>
      <c r="AV31" t="s">
        <v>1315</v>
      </c>
      <c r="AW31" t="s">
        <v>1316</v>
      </c>
      <c r="AX31" t="s">
        <v>569</v>
      </c>
      <c r="AY31" t="s">
        <v>570</v>
      </c>
      <c r="AZ31" t="s">
        <v>239</v>
      </c>
      <c r="BA31" t="s">
        <v>353</v>
      </c>
      <c r="BB31" t="s">
        <v>5</v>
      </c>
      <c r="BC31" t="s">
        <v>238</v>
      </c>
      <c r="BD31" t="s">
        <v>571</v>
      </c>
      <c r="BE31" t="s">
        <v>572</v>
      </c>
      <c r="BF31" t="s">
        <v>573</v>
      </c>
      <c r="BG31" t="s">
        <v>5</v>
      </c>
      <c r="BH31" t="s">
        <v>1317</v>
      </c>
      <c r="BI31" t="s">
        <v>367</v>
      </c>
      <c r="BJ31" t="s">
        <v>569</v>
      </c>
      <c r="BK31" t="s">
        <v>59</v>
      </c>
      <c r="BL31" t="s">
        <v>1318</v>
      </c>
      <c r="BM31" t="s">
        <v>238</v>
      </c>
      <c r="BN31">
        <v>4.92</v>
      </c>
      <c r="BO31">
        <v>6.83</v>
      </c>
      <c r="BP31">
        <v>6.36</v>
      </c>
      <c r="BQ31">
        <v>5.54</v>
      </c>
      <c r="BR31">
        <v>7.31</v>
      </c>
      <c r="BS31" t="s">
        <v>5</v>
      </c>
      <c r="BT31" t="s">
        <v>1319</v>
      </c>
      <c r="BU31" t="s">
        <v>90</v>
      </c>
      <c r="BV31">
        <v>47.67</v>
      </c>
      <c r="BW31">
        <v>48.18</v>
      </c>
      <c r="BX31">
        <v>39.31</v>
      </c>
      <c r="BY31">
        <v>26.97</v>
      </c>
      <c r="BZ31">
        <v>25.01</v>
      </c>
      <c r="CA31">
        <v>18.239999999999998</v>
      </c>
      <c r="CB31">
        <v>-6.83</v>
      </c>
      <c r="CC31" s="7">
        <v>-1.85</v>
      </c>
      <c r="CD31" s="8" t="s">
        <v>1320</v>
      </c>
      <c r="CE31" s="7" t="s">
        <v>1321</v>
      </c>
      <c r="CF31" s="7">
        <v>-0.11560693641618497</v>
      </c>
      <c r="CG31" s="7">
        <v>0.51433698838486586</v>
      </c>
      <c r="CH31" s="7">
        <v>0.10556621849536896</v>
      </c>
      <c r="CI31" s="7">
        <v>0.16554810106754303</v>
      </c>
      <c r="CJ31" s="8">
        <v>0.29565218091011047</v>
      </c>
      <c r="CK31" s="8">
        <v>-0.13750000298023224</v>
      </c>
      <c r="CL31" s="8" t="s">
        <v>5</v>
      </c>
      <c r="CM31" s="8">
        <v>-0.23076923191547394</v>
      </c>
      <c r="CN31" s="8">
        <v>0.59394800662994385</v>
      </c>
      <c r="CO31">
        <v>0.2524358332157135</v>
      </c>
      <c r="CP31">
        <v>-0.31462836265563965</v>
      </c>
      <c r="CQ31" t="s">
        <v>5</v>
      </c>
      <c r="CR31" s="7">
        <v>50.336744878653967</v>
      </c>
      <c r="CS31" s="8">
        <v>4.690489024664628</v>
      </c>
      <c r="CT31">
        <v>1.7133333333333332</v>
      </c>
      <c r="CU31">
        <v>0.10731662437319756</v>
      </c>
      <c r="CV31">
        <v>7.5246561318635941E-2</v>
      </c>
      <c r="CW31">
        <v>0.06</v>
      </c>
      <c r="CX31">
        <v>20.214575223839475</v>
      </c>
      <c r="CY31">
        <v>104463832.4880375</v>
      </c>
      <c r="CZ31">
        <v>0.10731662437319756</v>
      </c>
      <c r="DA31">
        <v>6.5099640706789383</v>
      </c>
      <c r="DB31">
        <v>324378441.581747</v>
      </c>
      <c r="DC31">
        <v>0.10195079315453767</v>
      </c>
      <c r="DD31">
        <v>3.1421916529230676</v>
      </c>
      <c r="DE31">
        <v>672044303.22878909</v>
      </c>
      <c r="DF31">
        <v>9.4438629448413844E-2</v>
      </c>
      <c r="DG31">
        <v>1.8451502078015996</v>
      </c>
      <c r="DH31">
        <v>1144455335.4363334</v>
      </c>
      <c r="DI31">
        <v>8.585329949855805E-2</v>
      </c>
      <c r="DJ31">
        <v>0.90690047573012633</v>
      </c>
      <c r="DK31">
        <v>2328471598.0548158</v>
      </c>
      <c r="DL31">
        <v>7.5121637061238283E-2</v>
      </c>
      <c r="DM31">
        <v>100000000</v>
      </c>
      <c r="DN31">
        <v>0.10731662437319756</v>
      </c>
      <c r="DO31">
        <v>2111692000</v>
      </c>
      <c r="DP31">
        <v>1292023300</v>
      </c>
      <c r="DQ31" s="9">
        <v>4832</v>
      </c>
      <c r="DR31">
        <v>-0.22292356078938252</v>
      </c>
      <c r="DS31">
        <v>0.43909042706622992</v>
      </c>
      <c r="DT31">
        <v>-0.188</v>
      </c>
      <c r="DU31">
        <v>0.26400000000000001</v>
      </c>
      <c r="DV31">
        <v>7.6000000000000012E-2</v>
      </c>
      <c r="DW31">
        <v>-5.2708638360175692</v>
      </c>
      <c r="DX31">
        <v>0.2382087463904029</v>
      </c>
      <c r="DY31">
        <v>-5.0320184744981322</v>
      </c>
      <c r="DZ31">
        <v>3094</v>
      </c>
      <c r="EA31">
        <v>-5.0126319461033724</v>
      </c>
      <c r="EB31" s="10">
        <v>5</v>
      </c>
      <c r="EC31" s="10">
        <v>3.5119459894224977E-2</v>
      </c>
      <c r="ED31">
        <v>0.29709696588979695</v>
      </c>
      <c r="EE31">
        <v>-4.0188100000000002</v>
      </c>
      <c r="EF31">
        <v>-4.0322100000000001</v>
      </c>
      <c r="EG31">
        <v>12.118208746390403</v>
      </c>
      <c r="EH31" s="12" t="s">
        <v>592</v>
      </c>
      <c r="EI31">
        <v>0</v>
      </c>
      <c r="EJ31">
        <v>0</v>
      </c>
      <c r="EK31">
        <v>45470</v>
      </c>
      <c r="EL31">
        <v>-3.69</v>
      </c>
      <c r="EM31">
        <v>-4.45</v>
      </c>
      <c r="EN31">
        <v>1.68</v>
      </c>
      <c r="EO31">
        <v>4.71</v>
      </c>
      <c r="EP31">
        <v>-1.34</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其他社会服务&quot;,&quot;&quot;'" altText="更新基本面按钮_x000a_">
                <anchor moveWithCells="1" sizeWithCells="1">
                  <from>
                    <xdr:col>147</xdr:col>
                    <xdr:colOff>381000</xdr:colOff>
                    <xdr:row>0</xdr:row>
                    <xdr:rowOff>76200</xdr:rowOff>
                  </from>
                  <to>
                    <xdr:col>147</xdr:col>
                    <xdr:colOff>1625600</xdr:colOff>
                    <xdr:row>0</xdr:row>
                    <xdr:rowOff>387350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专业服务及其他社会服务</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2024-07-10T22:16:22Z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