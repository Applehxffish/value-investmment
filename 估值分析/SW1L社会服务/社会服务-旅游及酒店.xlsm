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社会服务\"/>
    </mc:Choice>
  </mc:AlternateContent>
  <bookViews>
    <workbookView xWindow="-110" yWindow="-110" windowWidth="23260" windowHeight="13180"/>
  </bookViews>
  <sheets>
    <sheet name="景点及旅游" sheetId="15" r:id="rId1"/>
    <sheet name="估值-增速与年化收益" sheetId="14" r:id="rId2"/>
  </sheets>
  <functionGroups builtInGroupCount="18"/>
  <definedNames>
    <definedName name="_xlnm._FilterDatabase" localSheetId="0" hidden="1">景点及旅游!$BU$1:$BU$38</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15" l="1"/>
  <c r="C26" i="15"/>
  <c r="C24" i="15"/>
  <c r="C17" i="15"/>
  <c r="C15" i="15"/>
  <c r="C14" i="15"/>
  <c r="C2" i="15"/>
  <c r="C6" i="15"/>
  <c r="C21" i="15"/>
  <c r="C25" i="15"/>
  <c r="C30" i="15"/>
  <c r="C31" i="15"/>
  <c r="C7" i="15"/>
  <c r="C35" i="15"/>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1" i="15"/>
  <c r="C12" i="15"/>
  <c r="C23" i="15"/>
  <c r="C16" i="15"/>
  <c r="C8" i="15"/>
  <c r="C19" i="15"/>
  <c r="C34" i="15"/>
  <c r="C13" i="15"/>
  <c r="C3" i="15"/>
  <c r="C32" i="15"/>
  <c r="C28" i="15"/>
  <c r="C29" i="15"/>
  <c r="C22" i="15"/>
  <c r="C33" i="15"/>
  <c r="C27" i="15"/>
  <c r="C4" i="15"/>
  <c r="C10" i="15"/>
  <c r="C18" i="15"/>
  <c r="C9" i="15"/>
  <c r="C20" i="15"/>
</calcChain>
</file>

<file path=xl/sharedStrings.xml><?xml version="1.0" encoding="utf-8"?>
<sst xmlns="http://schemas.openxmlformats.org/spreadsheetml/2006/main" count="2083" uniqueCount="1432">
  <si>
    <t>&lt;-增速</t>
    <phoneticPr fontId="1" type="noConversion"/>
  </si>
  <si>
    <t>&lt;-估值</t>
    <phoneticPr fontId="1" type="noConversion"/>
  </si>
  <si>
    <t>&lt;-折合年化收益</t>
    <phoneticPr fontId="1" type="noConversion"/>
  </si>
  <si>
    <t>现价</t>
  </si>
  <si>
    <t>市净率</t>
  </si>
  <si>
    <t>众信旅游</t>
  </si>
  <si>
    <t>张家界</t>
  </si>
  <si>
    <t>长白山</t>
  </si>
  <si>
    <t>天目湖</t>
  </si>
  <si>
    <t>宋城演艺</t>
  </si>
  <si>
    <t>岭南控股</t>
  </si>
  <si>
    <t>桂林旅游</t>
  </si>
  <si>
    <t>三特索道</t>
  </si>
  <si>
    <t>九华旅游</t>
  </si>
  <si>
    <t>峨眉山Ａ</t>
  </si>
  <si>
    <t>曲江文旅</t>
  </si>
  <si>
    <t>中青旅</t>
  </si>
  <si>
    <t>黄山旅游</t>
  </si>
  <si>
    <t>云南旅游</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</si>
  <si>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</si>
  <si>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</si>
  <si>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</si>
  <si>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</si>
  <si>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</si>
  <si>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</si>
  <si>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</si>
  <si>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</si>
  <si>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</si>
  <si>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</si>
  <si>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</si>
  <si>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</si>
  <si>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</si>
  <si>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</si>
  <si>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</si>
  <si>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</si>
  <si>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SZ000430</t>
  </si>
  <si>
    <t>4.25亿</t>
  </si>
  <si>
    <t>1105.59万</t>
  </si>
  <si>
    <t>SZ000524</t>
  </si>
  <si>
    <t>79.72亿</t>
  </si>
  <si>
    <t>2.59亿</t>
  </si>
  <si>
    <t>5.56亿</t>
  </si>
  <si>
    <t>SZ000796</t>
  </si>
  <si>
    <t>60.36亿</t>
  </si>
  <si>
    <t>1.26亿</t>
  </si>
  <si>
    <t>SZ000888</t>
  </si>
  <si>
    <t>11.08亿</t>
  </si>
  <si>
    <t>2.26亿</t>
  </si>
  <si>
    <t>SZ000978</t>
  </si>
  <si>
    <t>6.06亿</t>
  </si>
  <si>
    <t>5501.86万</t>
  </si>
  <si>
    <t>SZ002033</t>
  </si>
  <si>
    <t>丽江股份</t>
  </si>
  <si>
    <t>7.23亿</t>
  </si>
  <si>
    <t>2.03亿</t>
  </si>
  <si>
    <t>SZ002059</t>
  </si>
  <si>
    <t>28.79亿</t>
  </si>
  <si>
    <t>9470.04万</t>
  </si>
  <si>
    <t>SZ002159</t>
  </si>
  <si>
    <t>6.77亿</t>
  </si>
  <si>
    <t>1140.58万</t>
  </si>
  <si>
    <t>SZ002707</t>
  </si>
  <si>
    <t>6861.17万</t>
  </si>
  <si>
    <t>SZ300144</t>
  </si>
  <si>
    <t>26.12亿</t>
  </si>
  <si>
    <t>13.40亿</t>
  </si>
  <si>
    <t>SZ300859</t>
  </si>
  <si>
    <t>2.41亿</t>
  </si>
  <si>
    <t>7355.04万</t>
  </si>
  <si>
    <t>SH600054</t>
  </si>
  <si>
    <t>16.07亿</t>
  </si>
  <si>
    <t>3.40亿</t>
  </si>
  <si>
    <t>SH600138</t>
  </si>
  <si>
    <t>140.54亿</t>
  </si>
  <si>
    <t>0亿</t>
  </si>
  <si>
    <t>2.05亿</t>
  </si>
  <si>
    <t>SH600593</t>
  </si>
  <si>
    <t>3.19亿</t>
  </si>
  <si>
    <t>SH600706</t>
  </si>
  <si>
    <t>13.05亿</t>
  </si>
  <si>
    <t>4502.67万</t>
  </si>
  <si>
    <t>SH600749</t>
  </si>
  <si>
    <t>西藏旅游</t>
  </si>
  <si>
    <t>1.88亿</t>
  </si>
  <si>
    <t>2084.24万</t>
  </si>
  <si>
    <t>16.15亿</t>
  </si>
  <si>
    <t>SH603099</t>
  </si>
  <si>
    <t>4.67亿</t>
  </si>
  <si>
    <t>7525.94万</t>
  </si>
  <si>
    <t>SH603136</t>
  </si>
  <si>
    <t>5.03亿</t>
  </si>
  <si>
    <t>1.24亿</t>
  </si>
  <si>
    <t>SH603199</t>
  </si>
  <si>
    <t>5.37亿</t>
  </si>
  <si>
    <t>1.17亿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</si>
  <si>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</si>
  <si>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</si>
  <si>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</si>
  <si>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</si>
  <si>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</si>
  <si>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</si>
  <si>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</si>
  <si>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</si>
  <si>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</si>
  <si>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</si>
  <si>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</si>
  <si>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</si>
  <si>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</si>
  <si>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1.69亿</t>
  </si>
  <si>
    <t>-9220.55万</t>
  </si>
  <si>
    <t>4.68亿</t>
  </si>
  <si>
    <t>5.50亿</t>
  </si>
  <si>
    <t>2640.39万</t>
  </si>
  <si>
    <t>1.14亿</t>
  </si>
  <si>
    <t>18.78亿</t>
  </si>
  <si>
    <t>-2.40亿</t>
  </si>
  <si>
    <t>3.58亿</t>
  </si>
  <si>
    <t>14.63亿</t>
  </si>
  <si>
    <t>70.78亿</t>
  </si>
  <si>
    <t>1.37亿</t>
  </si>
  <si>
    <t>-6.98亿</t>
  </si>
  <si>
    <t>81.80亿</t>
  </si>
  <si>
    <t>1.94亿</t>
  </si>
  <si>
    <t>2.13亿</t>
  </si>
  <si>
    <t>-3852.23万</t>
  </si>
  <si>
    <t>1.49亿</t>
  </si>
  <si>
    <t>10.72亿</t>
  </si>
  <si>
    <t>2.09亿</t>
  </si>
  <si>
    <t>1.97亿</t>
  </si>
  <si>
    <t>1.91亿</t>
  </si>
  <si>
    <t>2.55亿</t>
  </si>
  <si>
    <t>-2.66亿</t>
  </si>
  <si>
    <t>5.73亿</t>
  </si>
  <si>
    <t>8040.22万</t>
  </si>
  <si>
    <t>4.31亿</t>
  </si>
  <si>
    <t>7048.98万</t>
  </si>
  <si>
    <t>6.78亿</t>
  </si>
  <si>
    <t>7.80亿</t>
  </si>
  <si>
    <t>1.92亿</t>
  </si>
  <si>
    <t>18.12亿</t>
  </si>
  <si>
    <t>1.59亿</t>
  </si>
  <si>
    <t>29.53亿</t>
  </si>
  <si>
    <t>5.97亿</t>
  </si>
  <si>
    <t>4.05亿</t>
  </si>
  <si>
    <t>2852.11万</t>
  </si>
  <si>
    <t>6.48亿</t>
  </si>
  <si>
    <t>5.39亿</t>
  </si>
  <si>
    <t>1.35亿</t>
  </si>
  <si>
    <t>SZ002485</t>
  </si>
  <si>
    <t>15.26亿</t>
  </si>
  <si>
    <t>-1990.95万</t>
  </si>
  <si>
    <t>35.85亿</t>
  </si>
  <si>
    <t>17.20亿</t>
  </si>
  <si>
    <t>4499.13万</t>
  </si>
  <si>
    <t>-14.80亿</t>
  </si>
  <si>
    <t>126.22亿</t>
  </si>
  <si>
    <t>121.71亿</t>
  </si>
  <si>
    <t>2356.61万</t>
  </si>
  <si>
    <t>9.03亿</t>
  </si>
  <si>
    <t>-17.52亿</t>
  </si>
  <si>
    <t>32.11亿</t>
  </si>
  <si>
    <t>12.87亿</t>
  </si>
  <si>
    <t>5118.71万</t>
  </si>
  <si>
    <t>-4325.66万</t>
  </si>
  <si>
    <t>1.74亿</t>
  </si>
  <si>
    <t>5098.96万</t>
  </si>
  <si>
    <t>7.41亿</t>
  </si>
  <si>
    <t>16.21亿</t>
  </si>
  <si>
    <t>71.51亿</t>
  </si>
  <si>
    <t>122.65亿</t>
  </si>
  <si>
    <t>-1.98亿</t>
  </si>
  <si>
    <t>-6998.06万</t>
  </si>
  <si>
    <t>4232.79万</t>
  </si>
  <si>
    <t>2.88亿</t>
  </si>
  <si>
    <t>13.45亿</t>
  </si>
  <si>
    <t>7609.76万</t>
  </si>
  <si>
    <t>474.30万</t>
  </si>
  <si>
    <t>1.79亿</t>
  </si>
  <si>
    <t>1.42亿</t>
  </si>
  <si>
    <t>2126.53万</t>
  </si>
  <si>
    <t>1.48亿</t>
  </si>
  <si>
    <t>-5578.54万</t>
  </si>
  <si>
    <t>4.64亿</t>
  </si>
  <si>
    <t>3.07亿</t>
  </si>
  <si>
    <t>6762.99万</t>
  </si>
  <si>
    <t>3.74亿</t>
  </si>
  <si>
    <t>5488.50万</t>
  </si>
  <si>
    <t>4.89亿</t>
  </si>
  <si>
    <t>4.22亿</t>
  </si>
  <si>
    <t>1.03亿</t>
  </si>
  <si>
    <t>3.41亿</t>
  </si>
  <si>
    <t>5454.96万</t>
  </si>
  <si>
    <t>4.85亿</t>
  </si>
  <si>
    <t>4.46亿</t>
  </si>
  <si>
    <t>4.01亿</t>
  </si>
  <si>
    <t>9208.61万</t>
  </si>
  <si>
    <t>5584.61万</t>
  </si>
  <si>
    <t>3.38亿</t>
  </si>
  <si>
    <t>5026.18万</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</si>
  <si>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</si>
  <si>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</si>
  <si>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</si>
  <si>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</si>
  <si>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</si>
  <si>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</si>
  <si>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</si>
  <si>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</si>
  <si>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</si>
  <si>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</si>
  <si>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</si>
  <si>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</si>
  <si>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</si>
  <si>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</si>
  <si>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</si>
  <si>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-2.13亿</t>
  </si>
  <si>
    <t>1.32亿</t>
  </si>
  <si>
    <t>1.29亿</t>
  </si>
  <si>
    <t>2.27亿</t>
  </si>
  <si>
    <t>2.52亿</t>
  </si>
  <si>
    <t>1.41亿</t>
  </si>
  <si>
    <t>3.15亿</t>
  </si>
  <si>
    <t>流通股本</t>
  </si>
  <si>
    <t>净利润[20201231]</t>
  </si>
  <si>
    <t>投入资本回报率roic%[20201231]</t>
  </si>
  <si>
    <t>净资产收益率%[20201231]</t>
  </si>
  <si>
    <t>1.99亿</t>
  </si>
  <si>
    <t>-1.35亿</t>
  </si>
  <si>
    <t>1.11亿</t>
  </si>
  <si>
    <t>-1.28亿</t>
  </si>
  <si>
    <t>9.40亿</t>
  </si>
  <si>
    <t>-6.90亿</t>
  </si>
  <si>
    <t>2.93亿</t>
  </si>
  <si>
    <t>1.93亿</t>
  </si>
  <si>
    <t>6.29亿</t>
  </si>
  <si>
    <t>1808.46万</t>
  </si>
  <si>
    <t>2.39亿</t>
  </si>
  <si>
    <t>-3780.32万</t>
  </si>
  <si>
    <t>14.18亿</t>
  </si>
  <si>
    <t>-3.26亿</t>
  </si>
  <si>
    <t>4.19亿</t>
  </si>
  <si>
    <t>4.35亿</t>
  </si>
  <si>
    <t>-4.43亿</t>
  </si>
  <si>
    <t>-4.64亿</t>
  </si>
  <si>
    <t>11.85亿</t>
  </si>
  <si>
    <t>2695.10万</t>
  </si>
  <si>
    <t>13.65亿</t>
  </si>
  <si>
    <t>740.56万</t>
  </si>
  <si>
    <t>11.21亿</t>
  </si>
  <si>
    <t>-7159.86万</t>
  </si>
  <si>
    <t>-806.39万</t>
  </si>
  <si>
    <t>4.26亿</t>
  </si>
  <si>
    <t>-5161.74万</t>
  </si>
  <si>
    <t>5150.05万</t>
  </si>
  <si>
    <t>6052.33万</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</si>
  <si>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</si>
  <si>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</si>
  <si>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</si>
  <si>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</si>
  <si>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</si>
  <si>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</si>
  <si>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</si>
  <si>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</si>
  <si>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</si>
  <si>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</si>
  <si>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</si>
  <si>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</si>
  <si>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</si>
  <si>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</si>
  <si>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</si>
  <si>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</si>
  <si>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</si>
  <si>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市销率</t>
    <phoneticPr fontId="1" type="noConversion"/>
  </si>
  <si>
    <t>扣非对比净利润</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</si>
  <si>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</si>
  <si>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</si>
  <si>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</si>
  <si>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</si>
  <si>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</si>
  <si>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</si>
  <si>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</si>
  <si>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</si>
  <si>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</si>
  <si>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</si>
  <si>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</si>
  <si>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</si>
  <si>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</si>
  <si>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</si>
  <si>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</si>
  <si>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</si>
  <si>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</si>
  <si>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</si>
  <si>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</si>
  <si>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</si>
  <si>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</si>
  <si>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</si>
  <si>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</si>
  <si>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</si>
  <si>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</si>
  <si>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</si>
  <si>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</si>
  <si>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</si>
  <si>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</si>
  <si>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</si>
  <si>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</si>
  <si>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N日期</t>
    <phoneticPr fontId="1" type="noConversion"/>
  </si>
  <si>
    <t>N-2</t>
    <phoneticPr fontId="1" type="noConversion"/>
  </si>
  <si>
    <t>1.82亿</t>
  </si>
  <si>
    <t>自然景点</t>
  </si>
  <si>
    <t>亏损</t>
  </si>
  <si>
    <t>扭亏</t>
  </si>
  <si>
    <t>1-0</t>
  </si>
  <si>
    <t>旅游综合</t>
  </si>
  <si>
    <t>ST凯撒</t>
  </si>
  <si>
    <t>3.82亿</t>
  </si>
  <si>
    <t>-1.69亿</t>
  </si>
  <si>
    <t>1-1</t>
  </si>
  <si>
    <t>开始亏损</t>
  </si>
  <si>
    <t>1.38亿</t>
  </si>
  <si>
    <t/>
  </si>
  <si>
    <t>1.40亿</t>
  </si>
  <si>
    <t>2.38亿</t>
  </si>
  <si>
    <t>人工景点</t>
  </si>
  <si>
    <t>-1-0</t>
  </si>
  <si>
    <t>9.59亿</t>
  </si>
  <si>
    <t>3.71亿</t>
  </si>
  <si>
    <t>01890000000</t>
  </si>
  <si>
    <t>西域旅游</t>
  </si>
  <si>
    <t>6.00亿</t>
  </si>
  <si>
    <t>3.48亿</t>
  </si>
  <si>
    <t>3-1</t>
  </si>
  <si>
    <t>大连圣亚</t>
  </si>
  <si>
    <t>1.05亿</t>
  </si>
  <si>
    <t>4.28亿</t>
  </si>
  <si>
    <t>1.80亿</t>
  </si>
  <si>
    <t>1.33亿</t>
  </si>
  <si>
    <t>2.78亿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</si>
  <si>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</si>
  <si>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</si>
  <si>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</si>
  <si>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</si>
  <si>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</si>
  <si>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</si>
  <si>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</si>
  <si>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</si>
  <si>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</si>
  <si>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</si>
  <si>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</si>
  <si>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</si>
  <si>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</si>
  <si>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</si>
  <si>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</si>
  <si>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</si>
  <si>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</si>
  <si>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</si>
  <si>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</si>
  <si>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</si>
  <si>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</si>
  <si>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</si>
  <si>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</si>
  <si>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</si>
  <si>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</si>
  <si>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</si>
  <si>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</si>
  <si>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</si>
  <si>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</si>
  <si>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</si>
  <si>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</si>
  <si>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</si>
  <si>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股利率</t>
    <phoneticPr fontId="1" type="noConversion"/>
  </si>
  <si>
    <t>6增速</t>
    <phoneticPr fontId="1" type="noConversion"/>
  </si>
  <si>
    <t>价格右侧初期策略</t>
    <phoneticPr fontId="1" type="noConversion"/>
  </si>
  <si>
    <t>N-4</t>
    <phoneticPr fontId="1" type="noConversion"/>
  </si>
  <si>
    <t>N-3</t>
    <phoneticPr fontId="1" type="noConversion"/>
  </si>
  <si>
    <t>N-1</t>
    <phoneticPr fontId="1" type="noConversion"/>
  </si>
  <si>
    <t>N</t>
    <phoneticPr fontId="1" type="noConversion"/>
  </si>
  <si>
    <t>1.58亿</t>
  </si>
  <si>
    <t>不分配不转增</t>
  </si>
  <si>
    <t>13.86亿</t>
  </si>
  <si>
    <t>2-0</t>
  </si>
  <si>
    <t>2.89亿</t>
  </si>
  <si>
    <t>2.44亿</t>
  </si>
  <si>
    <t>1.90亿</t>
  </si>
  <si>
    <t>1.06亿</t>
  </si>
  <si>
    <t>2.32亿</t>
  </si>
  <si>
    <t>2.34亿</t>
  </si>
  <si>
    <t>1.72亿</t>
  </si>
  <si>
    <t>1.51亿</t>
  </si>
  <si>
    <t>7.02亿</t>
  </si>
  <si>
    <t>12.10亿</t>
  </si>
  <si>
    <t>1.39亿</t>
  </si>
  <si>
    <t>-5.13亿</t>
  </si>
  <si>
    <t>14.77亿</t>
  </si>
  <si>
    <t>4.74亿</t>
  </si>
  <si>
    <t>2.96亿</t>
  </si>
  <si>
    <t>4.37亿</t>
  </si>
  <si>
    <t>3.23亿</t>
  </si>
  <si>
    <t>1.61亿</t>
  </si>
  <si>
    <t>3.97亿</t>
  </si>
  <si>
    <t>1.12亿</t>
  </si>
  <si>
    <t>10派1元(含税)</t>
  </si>
  <si>
    <t>1.57亿</t>
  </si>
  <si>
    <t>8.23亿</t>
  </si>
  <si>
    <t>6.30亿</t>
  </si>
  <si>
    <t>2.23亿</t>
  </si>
  <si>
    <t>1.95亿</t>
  </si>
  <si>
    <t>4.49亿</t>
  </si>
  <si>
    <t>-1-1</t>
  </si>
  <si>
    <t>3000.00万</t>
  </si>
  <si>
    <t>2.82亿</t>
  </si>
  <si>
    <t>1.53亿</t>
  </si>
  <si>
    <t>2.63亿</t>
  </si>
  <si>
    <t>1.52亿</t>
  </si>
  <si>
    <t>1.19亿</t>
  </si>
  <si>
    <t>3.13亿</t>
  </si>
  <si>
    <t>1.60亿</t>
  </si>
  <si>
    <t>3.14亿</t>
  </si>
  <si>
    <r>
      <t>1.</t>
    </r>
    <r>
      <rPr>
        <sz val="9"/>
        <color rgb="FFFF0000"/>
        <rFont val="宋体"/>
        <family val="3"/>
        <charset val="134"/>
        <scheme val="minor"/>
      </rPr>
      <t>乌镇</t>
    </r>
    <r>
      <rPr>
        <sz val="9"/>
        <color theme="1"/>
        <rFont val="宋体"/>
        <family val="2"/>
        <charset val="134"/>
        <scheme val="minor"/>
      </rPr>
      <t>，古北古镇；</t>
    </r>
    <phoneticPr fontId="1" type="noConversion"/>
  </si>
  <si>
    <r>
      <t>1.</t>
    </r>
    <r>
      <rPr>
        <b/>
        <sz val="9"/>
        <color rgb="FFFF0000"/>
        <rFont val="宋体"/>
        <family val="3"/>
        <charset val="134"/>
        <scheme val="minor"/>
      </rPr>
      <t>企鹅饲养</t>
    </r>
    <r>
      <rPr>
        <sz val="9"/>
        <color theme="1"/>
        <rFont val="宋体"/>
        <family val="2"/>
        <charset val="134"/>
        <scheme val="minor"/>
      </rPr>
      <t>繁育技术始终保持国际领先，是“国家级南极企鹅种源繁育基地”，大连圣亚极地世界是国内成功繁育企鹅数量最多的单体场馆。</t>
    </r>
    <phoneticPr fontId="1" type="noConversion"/>
  </si>
  <si>
    <t>1.黄山市国资委；</t>
    <phoneticPr fontId="1" type="noConversion"/>
  </si>
  <si>
    <t>SZ000428</t>
  </si>
  <si>
    <t>华天酒店</t>
  </si>
  <si>
    <t>848.74万</t>
  </si>
  <si>
    <t>旅游及酒店</t>
  </si>
  <si>
    <t>36.02亿</t>
  </si>
  <si>
    <t>12.15亿</t>
  </si>
  <si>
    <t>6.88亿</t>
  </si>
  <si>
    <t>-1.26亿</t>
  </si>
  <si>
    <t>1.15亿</t>
  </si>
  <si>
    <t>465.89万</t>
  </si>
  <si>
    <t>4751.01万</t>
  </si>
  <si>
    <t>-3033836亿</t>
  </si>
  <si>
    <t>5.08万</t>
  </si>
  <si>
    <t>-52092343亿</t>
  </si>
  <si>
    <t>32775936亿</t>
  </si>
  <si>
    <t>970549810亿</t>
  </si>
  <si>
    <t>2.98亿</t>
  </si>
  <si>
    <t>15.13亿</t>
  </si>
  <si>
    <t>7279.91万</t>
  </si>
  <si>
    <t>552.31万</t>
  </si>
  <si>
    <t>29.92亿</t>
  </si>
  <si>
    <t>3.00亿</t>
  </si>
  <si>
    <t>3066.89万</t>
  </si>
  <si>
    <t>-1760.41万</t>
  </si>
  <si>
    <t>-5048.73万</t>
  </si>
  <si>
    <t>5.94亿</t>
  </si>
  <si>
    <t>5.15亿</t>
  </si>
  <si>
    <t>11.11亿</t>
  </si>
  <si>
    <t>9.58亿</t>
  </si>
  <si>
    <t>-3.11亿</t>
  </si>
  <si>
    <t>8422.99万</t>
  </si>
  <si>
    <t>5023.45万</t>
  </si>
  <si>
    <t>-4.78亿</t>
  </si>
  <si>
    <t>-4383.84万</t>
  </si>
  <si>
    <t>酒店</t>
  </si>
  <si>
    <t>6567.22万</t>
  </si>
  <si>
    <t>2.71亿</t>
  </si>
  <si>
    <t>341.97万</t>
  </si>
  <si>
    <t>18.17亿</t>
  </si>
  <si>
    <t>5861.47万</t>
  </si>
  <si>
    <t>4.20亿</t>
  </si>
  <si>
    <t>-2.39亿</t>
  </si>
  <si>
    <t>6542.48万</t>
  </si>
  <si>
    <t>579.01万</t>
  </si>
  <si>
    <t>1308.26万</t>
  </si>
  <si>
    <t>1.45万</t>
  </si>
  <si>
    <t>-46561305亿</t>
  </si>
  <si>
    <t>3197.61万</t>
  </si>
  <si>
    <t>12346724亿</t>
  </si>
  <si>
    <t>62651386亿</t>
  </si>
  <si>
    <t>3680.21万</t>
  </si>
  <si>
    <t>5006.32万</t>
  </si>
  <si>
    <t>148.68万</t>
  </si>
  <si>
    <t>5.32亿</t>
  </si>
  <si>
    <t>9.55亿</t>
  </si>
  <si>
    <t>-1750.65万</t>
  </si>
  <si>
    <t>-3020.01万</t>
  </si>
  <si>
    <t>-1274.22万</t>
  </si>
  <si>
    <t>-2.60亿</t>
  </si>
  <si>
    <t>6404.74万</t>
  </si>
  <si>
    <t>-3004.77万</t>
  </si>
  <si>
    <t>3863.29万</t>
  </si>
  <si>
    <t>560.64万</t>
  </si>
  <si>
    <t>21.44亿</t>
  </si>
  <si>
    <t>9.01亿</t>
  </si>
  <si>
    <t>34.04亿</t>
  </si>
  <si>
    <t>6883.78万</t>
  </si>
  <si>
    <t>8.72亿</t>
  </si>
  <si>
    <t>7.14亿</t>
  </si>
  <si>
    <t>6858.31万</t>
  </si>
  <si>
    <t>8133.38万</t>
  </si>
  <si>
    <t>-81735亿</t>
  </si>
  <si>
    <t>4.97万</t>
  </si>
  <si>
    <t>24048786亿</t>
  </si>
  <si>
    <t>13.15亿</t>
  </si>
  <si>
    <t>134679980亿</t>
  </si>
  <si>
    <t>1693172900亿</t>
  </si>
  <si>
    <t>1570.49万</t>
  </si>
  <si>
    <t>10.53亿</t>
  </si>
  <si>
    <t>-1633.32万</t>
  </si>
  <si>
    <t>-1772.59万</t>
  </si>
  <si>
    <t>-318.18万</t>
  </si>
  <si>
    <t>10.35亿</t>
  </si>
  <si>
    <t>-1.78亿</t>
  </si>
  <si>
    <t>4.77亿</t>
  </si>
  <si>
    <t>870.84万</t>
  </si>
  <si>
    <t>3080.04万</t>
  </si>
  <si>
    <t>SZ000558</t>
  </si>
  <si>
    <t>莱茵体育</t>
  </si>
  <si>
    <t>778.64万</t>
  </si>
  <si>
    <t>7.26亿</t>
  </si>
  <si>
    <t>13.12亿</t>
  </si>
  <si>
    <t>9387.97万</t>
  </si>
  <si>
    <t>5619.35万</t>
  </si>
  <si>
    <t>5064.87万</t>
  </si>
  <si>
    <t>3548.67万</t>
  </si>
  <si>
    <t>164.29万</t>
  </si>
  <si>
    <t>1193.79万</t>
  </si>
  <si>
    <t>-103676亿</t>
  </si>
  <si>
    <t>436.25万</t>
  </si>
  <si>
    <t>21824374亿</t>
  </si>
  <si>
    <t>36734951亿</t>
  </si>
  <si>
    <t>364193810亿</t>
  </si>
  <si>
    <t>3117.32万</t>
  </si>
  <si>
    <t>7389.96万</t>
  </si>
  <si>
    <t>626.88万</t>
  </si>
  <si>
    <t>3.51亿</t>
  </si>
  <si>
    <t>5254.72万</t>
  </si>
  <si>
    <t>-4254.17万</t>
  </si>
  <si>
    <t>-805.09万</t>
  </si>
  <si>
    <t>2.69亿</t>
  </si>
  <si>
    <t>-1687.29万</t>
  </si>
  <si>
    <t>-9419.73万</t>
  </si>
  <si>
    <t>-7172.00万</t>
  </si>
  <si>
    <t>2602.95万</t>
  </si>
  <si>
    <t>-6112.34万</t>
  </si>
  <si>
    <t>3740.75万</t>
  </si>
  <si>
    <t>5732.99万</t>
  </si>
  <si>
    <t>SZ000610</t>
  </si>
  <si>
    <t>西安旅游</t>
  </si>
  <si>
    <t>571.37万</t>
  </si>
  <si>
    <t>17.68亿</t>
  </si>
  <si>
    <t>4.45亿</t>
  </si>
  <si>
    <t>1.31亿</t>
  </si>
  <si>
    <t>-1.54亿</t>
  </si>
  <si>
    <t>1.64亿</t>
  </si>
  <si>
    <t>1.27亿</t>
  </si>
  <si>
    <t>1581.18万</t>
  </si>
  <si>
    <t>1124.74万</t>
  </si>
  <si>
    <t>-30220290亿</t>
  </si>
  <si>
    <t>1.76亿</t>
  </si>
  <si>
    <t>94648544亿</t>
  </si>
  <si>
    <t>58.77万</t>
  </si>
  <si>
    <t>790249240亿</t>
  </si>
  <si>
    <t>932.63万</t>
  </si>
  <si>
    <t>6.08亿</t>
  </si>
  <si>
    <t>195.33万</t>
  </si>
  <si>
    <t>10.60亿</t>
  </si>
  <si>
    <t>2.01亿</t>
  </si>
  <si>
    <t>-1859.79万</t>
  </si>
  <si>
    <t>-3747.22万</t>
  </si>
  <si>
    <t>5299.39万</t>
  </si>
  <si>
    <t>3.96亿</t>
  </si>
  <si>
    <t>5.61亿</t>
  </si>
  <si>
    <t>2.99亿</t>
  </si>
  <si>
    <t>8.64亿</t>
  </si>
  <si>
    <t>8.86亿</t>
  </si>
  <si>
    <t>-1.67亿</t>
  </si>
  <si>
    <t>-7306.83万</t>
  </si>
  <si>
    <t>3757.63万</t>
  </si>
  <si>
    <t>-3020.22万</t>
  </si>
  <si>
    <t>9627.10万</t>
  </si>
  <si>
    <t>-2941.23万</t>
  </si>
  <si>
    <t>5138.24万</t>
  </si>
  <si>
    <t>6-0</t>
  </si>
  <si>
    <t>SZ000721</t>
  </si>
  <si>
    <t>西安饮食</t>
  </si>
  <si>
    <t>1997.93万</t>
  </si>
  <si>
    <t>11.22亿</t>
  </si>
  <si>
    <t>-1.18亿</t>
  </si>
  <si>
    <t>1433.58万</t>
  </si>
  <si>
    <t>1577.03万</t>
  </si>
  <si>
    <t>7.88万</t>
  </si>
  <si>
    <t>-30172625亿</t>
  </si>
  <si>
    <t>7101.53万</t>
  </si>
  <si>
    <t>62823980亿</t>
  </si>
  <si>
    <t>222376990亿</t>
  </si>
  <si>
    <t>1.67亿</t>
  </si>
  <si>
    <t>4.04亿</t>
  </si>
  <si>
    <t>4091.38万</t>
  </si>
  <si>
    <t>266.49万</t>
  </si>
  <si>
    <t>8.74亿</t>
  </si>
  <si>
    <t>5622.44万</t>
  </si>
  <si>
    <t>2419.66万</t>
  </si>
  <si>
    <t>-1588.12万</t>
  </si>
  <si>
    <t>76.38万</t>
  </si>
  <si>
    <t>5.19亿</t>
  </si>
  <si>
    <t>4.11亿</t>
  </si>
  <si>
    <t>5.00亿</t>
  </si>
  <si>
    <t>4.96亿</t>
  </si>
  <si>
    <t>-2.21亿</t>
  </si>
  <si>
    <t>901.24万</t>
  </si>
  <si>
    <t>-4715.08万</t>
  </si>
  <si>
    <t>946.98万</t>
  </si>
  <si>
    <t>-3112.59万</t>
  </si>
  <si>
    <t>餐饮</t>
  </si>
  <si>
    <t>9042.17万</t>
  </si>
  <si>
    <t>405.58万</t>
  </si>
  <si>
    <t>12.25亿</t>
  </si>
  <si>
    <t>10.95亿</t>
  </si>
  <si>
    <t>5.82亿</t>
  </si>
  <si>
    <t>6.07亿</t>
  </si>
  <si>
    <t>1496.97万</t>
  </si>
  <si>
    <t>2292.81万</t>
  </si>
  <si>
    <t>2302284亿</t>
  </si>
  <si>
    <t>23.60万</t>
  </si>
  <si>
    <t>-418160亿</t>
  </si>
  <si>
    <t>8.53亿</t>
  </si>
  <si>
    <t>196035030亿</t>
  </si>
  <si>
    <t>1566397100亿</t>
  </si>
  <si>
    <t>3.40万</t>
  </si>
  <si>
    <t>600.73万</t>
  </si>
  <si>
    <t>100.00万</t>
  </si>
  <si>
    <t>9.46亿</t>
  </si>
  <si>
    <t>2.18亿</t>
  </si>
  <si>
    <t>-2174.37万</t>
  </si>
  <si>
    <t>-96.78万</t>
  </si>
  <si>
    <t>-10.35亿</t>
  </si>
  <si>
    <t>7679.81万</t>
  </si>
  <si>
    <t>-4249.42万</t>
  </si>
  <si>
    <t>2755.26万</t>
  </si>
  <si>
    <t>01821000000</t>
  </si>
  <si>
    <t>03642000000</t>
  </si>
  <si>
    <t>06070000000</t>
  </si>
  <si>
    <t>012140000000</t>
  </si>
  <si>
    <t>1085.21万</t>
  </si>
  <si>
    <t>8.50亿</t>
  </si>
  <si>
    <t>24.70亿</t>
  </si>
  <si>
    <t>2.53亿</t>
  </si>
  <si>
    <t>10.45亿</t>
  </si>
  <si>
    <t>2.28亿</t>
  </si>
  <si>
    <t>1.73亿</t>
  </si>
  <si>
    <t>1.23亿</t>
  </si>
  <si>
    <t>1032.61万</t>
  </si>
  <si>
    <t>3693.43万</t>
  </si>
  <si>
    <t>-825985亿</t>
  </si>
  <si>
    <t>9.13万</t>
  </si>
  <si>
    <t>73972256亿</t>
  </si>
  <si>
    <t>36148666亿</t>
  </si>
  <si>
    <t>91.63万</t>
  </si>
  <si>
    <t>1523463100亿</t>
  </si>
  <si>
    <t>4386.97万</t>
  </si>
  <si>
    <t>62.01万</t>
  </si>
  <si>
    <t>6976.62万</t>
  </si>
  <si>
    <t>4.93亿</t>
  </si>
  <si>
    <t>4685.84万</t>
  </si>
  <si>
    <t>-3540.87万</t>
  </si>
  <si>
    <t>-562.10万</t>
  </si>
  <si>
    <t>-1.46亿</t>
  </si>
  <si>
    <t>7015.58万</t>
  </si>
  <si>
    <t>10派2元(含税)</t>
  </si>
  <si>
    <t>9302.31万</t>
  </si>
  <si>
    <t>5.66亿</t>
  </si>
  <si>
    <t>246.29万</t>
  </si>
  <si>
    <t>10.59亿</t>
  </si>
  <si>
    <t>12.66亿</t>
  </si>
  <si>
    <t>8849.62万</t>
  </si>
  <si>
    <t>1637.60万</t>
  </si>
  <si>
    <t>6694.59万</t>
  </si>
  <si>
    <t>430.90万</t>
  </si>
  <si>
    <t>2273.70万</t>
  </si>
  <si>
    <t>1892953亿</t>
  </si>
  <si>
    <t>2.72万</t>
  </si>
  <si>
    <t>-12604499亿</t>
  </si>
  <si>
    <t>4980.59万</t>
  </si>
  <si>
    <t>74238399亿</t>
  </si>
  <si>
    <t>204236090亿</t>
  </si>
  <si>
    <t>6937.11万</t>
  </si>
  <si>
    <t>6.50万</t>
  </si>
  <si>
    <t>7.05亿</t>
  </si>
  <si>
    <t>-2125.37万</t>
  </si>
  <si>
    <t>-1110.65万</t>
  </si>
  <si>
    <t>2130.54万</t>
  </si>
  <si>
    <t>-2.82亿</t>
  </si>
  <si>
    <t>8576.61万</t>
  </si>
  <si>
    <t>-1250.83万</t>
  </si>
  <si>
    <t>1846.63万</t>
  </si>
  <si>
    <t>-4-0</t>
  </si>
  <si>
    <t>617.60万</t>
  </si>
  <si>
    <t>26.99亿</t>
  </si>
  <si>
    <t>7.99亿</t>
  </si>
  <si>
    <t>1.07亿</t>
  </si>
  <si>
    <t>7513.42万</t>
  </si>
  <si>
    <t>526.54万</t>
  </si>
  <si>
    <t>2292.72万</t>
  </si>
  <si>
    <t>3407041亿</t>
  </si>
  <si>
    <t>2.93万</t>
  </si>
  <si>
    <t>55194270亿</t>
  </si>
  <si>
    <t>8.11亿</t>
  </si>
  <si>
    <t>12249660亿</t>
  </si>
  <si>
    <t>878835970亿</t>
  </si>
  <si>
    <t>2.19亿</t>
  </si>
  <si>
    <t>9306.28万</t>
  </si>
  <si>
    <t>191.08万</t>
  </si>
  <si>
    <t>2.65亿</t>
  </si>
  <si>
    <t>8315.54万</t>
  </si>
  <si>
    <t>19.65万</t>
  </si>
  <si>
    <t>3.17亿</t>
  </si>
  <si>
    <t>374.53万</t>
  </si>
  <si>
    <t>5520.30万</t>
  </si>
  <si>
    <t>10派3.5元(含税)</t>
  </si>
  <si>
    <t>5005.93万</t>
  </si>
  <si>
    <t>2-1</t>
  </si>
  <si>
    <t>291.71万</t>
  </si>
  <si>
    <t>24.34亿</t>
  </si>
  <si>
    <t>15.37亿</t>
  </si>
  <si>
    <t>7.19亿</t>
  </si>
  <si>
    <t>-4.27亿</t>
  </si>
  <si>
    <t>493.84万</t>
  </si>
  <si>
    <t>2352.97万</t>
  </si>
  <si>
    <t>1651268亿</t>
  </si>
  <si>
    <t>15.73万</t>
  </si>
  <si>
    <t>-32421532亿</t>
  </si>
  <si>
    <t>4.59亿</t>
  </si>
  <si>
    <t>294825730亿</t>
  </si>
  <si>
    <t>1047323120亿</t>
  </si>
  <si>
    <t>5.18亿</t>
  </si>
  <si>
    <t>481.03万</t>
  </si>
  <si>
    <t>4.60亿</t>
  </si>
  <si>
    <t>896.14万</t>
  </si>
  <si>
    <t>13.78亿</t>
  </si>
  <si>
    <t>4.24亿</t>
  </si>
  <si>
    <t>-1.05亿</t>
  </si>
  <si>
    <t>-2306.73万</t>
  </si>
  <si>
    <t>-1080.14万</t>
  </si>
  <si>
    <t>-2.81亿</t>
  </si>
  <si>
    <t>-2073.92万</t>
  </si>
  <si>
    <t>2206.77万</t>
  </si>
  <si>
    <t>280.44万</t>
  </si>
  <si>
    <t>3.94亿</t>
  </si>
  <si>
    <t>13.37亿</t>
  </si>
  <si>
    <t>1.28亿</t>
  </si>
  <si>
    <t>9272.94万</t>
  </si>
  <si>
    <t>5397.60万</t>
  </si>
  <si>
    <t>460.58万</t>
  </si>
  <si>
    <t>3217.35万</t>
  </si>
  <si>
    <t>-806264亿</t>
  </si>
  <si>
    <t>1.28万</t>
  </si>
  <si>
    <t>33332875亿</t>
  </si>
  <si>
    <t>7486397亿</t>
  </si>
  <si>
    <t>234607430亿</t>
  </si>
  <si>
    <t>2103.49万</t>
  </si>
  <si>
    <t>447.58万</t>
  </si>
  <si>
    <t>194.73万</t>
  </si>
  <si>
    <t>3043.26万</t>
  </si>
  <si>
    <t>4162.97万</t>
  </si>
  <si>
    <t>-1207.06万</t>
  </si>
  <si>
    <t>-3709.95万</t>
  </si>
  <si>
    <t>2.56亿</t>
  </si>
  <si>
    <t>-7676.46万</t>
  </si>
  <si>
    <t>-1.76亿</t>
  </si>
  <si>
    <t>2871.78万</t>
  </si>
  <si>
    <t>10派2.2元(含税)</t>
  </si>
  <si>
    <t>1494.93万</t>
  </si>
  <si>
    <t>8317.22万</t>
  </si>
  <si>
    <t>-2-0</t>
  </si>
  <si>
    <t>SZ002186</t>
  </si>
  <si>
    <t>全 聚 德</t>
  </si>
  <si>
    <t>279.80万</t>
  </si>
  <si>
    <t>6.93亿</t>
  </si>
  <si>
    <t>8.41亿</t>
  </si>
  <si>
    <t>14.32亿</t>
  </si>
  <si>
    <t>6003.95万</t>
  </si>
  <si>
    <t>3.53亿</t>
  </si>
  <si>
    <t>1667.70万</t>
  </si>
  <si>
    <t>4163.05万</t>
  </si>
  <si>
    <t>9142822亿</t>
  </si>
  <si>
    <t>25.51万</t>
  </si>
  <si>
    <t>12644370亿</t>
  </si>
  <si>
    <t>1.08亿</t>
  </si>
  <si>
    <t>54719057亿</t>
  </si>
  <si>
    <t>324817630亿</t>
  </si>
  <si>
    <t>1072.13万</t>
  </si>
  <si>
    <t>1.54亿</t>
  </si>
  <si>
    <t>554.47万</t>
  </si>
  <si>
    <t>4.87亿</t>
  </si>
  <si>
    <t>2359.52万</t>
  </si>
  <si>
    <t>344.78万</t>
  </si>
  <si>
    <t>-2071.64万</t>
  </si>
  <si>
    <t>9.48亿</t>
  </si>
  <si>
    <t>7.83亿</t>
  </si>
  <si>
    <t>15.66亿</t>
  </si>
  <si>
    <t>17.77亿</t>
  </si>
  <si>
    <t>-2.77亿</t>
  </si>
  <si>
    <t>-1.57亿</t>
  </si>
  <si>
    <t>-2.62亿</t>
  </si>
  <si>
    <t>4462.79万</t>
  </si>
  <si>
    <t>7304.22万</t>
  </si>
  <si>
    <t>3.20亿</t>
  </si>
  <si>
    <t>917.40万</t>
  </si>
  <si>
    <t>2126.81万</t>
  </si>
  <si>
    <t>1.02亿</t>
  </si>
  <si>
    <t>SZ002306</t>
  </si>
  <si>
    <t>中科云网</t>
  </si>
  <si>
    <t>855.23万</t>
  </si>
  <si>
    <t>5.22亿</t>
  </si>
  <si>
    <t>1.47亿</t>
  </si>
  <si>
    <t>3018.87万</t>
  </si>
  <si>
    <t>-5897.00万</t>
  </si>
  <si>
    <t>4995.69万</t>
  </si>
  <si>
    <t>2450.04万</t>
  </si>
  <si>
    <t>683.92万</t>
  </si>
  <si>
    <t>1777.18万</t>
  </si>
  <si>
    <t>29480亿</t>
  </si>
  <si>
    <t>9.30万</t>
  </si>
  <si>
    <t>-14195022亿</t>
  </si>
  <si>
    <t>2144.90万</t>
  </si>
  <si>
    <t>15631992亿</t>
  </si>
  <si>
    <t>12.52万</t>
  </si>
  <si>
    <t>113996980亿</t>
  </si>
  <si>
    <t>3.09亿</t>
  </si>
  <si>
    <t>3267.48万</t>
  </si>
  <si>
    <t>1387.51万</t>
  </si>
  <si>
    <t>1631.68万</t>
  </si>
  <si>
    <t>4.50亿</t>
  </si>
  <si>
    <t>-1958.91万</t>
  </si>
  <si>
    <t>-2751.15万</t>
  </si>
  <si>
    <t>3378.17万</t>
  </si>
  <si>
    <t>1.30亿</t>
  </si>
  <si>
    <t>2.72亿</t>
  </si>
  <si>
    <t>9308.37万</t>
  </si>
  <si>
    <t>8165.07万</t>
  </si>
  <si>
    <t>-2176.42万</t>
  </si>
  <si>
    <t>474.70万</t>
  </si>
  <si>
    <t>-1135.03万</t>
  </si>
  <si>
    <t>-3574.15万</t>
  </si>
  <si>
    <t>803.02万</t>
  </si>
  <si>
    <t>4151.48万</t>
  </si>
  <si>
    <t>-2909.19万</t>
  </si>
  <si>
    <t>5634.40万</t>
  </si>
  <si>
    <t>4.80亿</t>
  </si>
  <si>
    <t>-3-0</t>
  </si>
  <si>
    <t>ST雪发</t>
  </si>
  <si>
    <t>256.47万</t>
  </si>
  <si>
    <t>5.85亿</t>
  </si>
  <si>
    <t>13.70亿</t>
  </si>
  <si>
    <t>7.58亿</t>
  </si>
  <si>
    <t>-1062.99万</t>
  </si>
  <si>
    <t>1.78亿</t>
  </si>
  <si>
    <t>294.96万</t>
  </si>
  <si>
    <t>973.39万</t>
  </si>
  <si>
    <t>740567亿</t>
  </si>
  <si>
    <t>4.01万</t>
  </si>
  <si>
    <t>-8655204亿</t>
  </si>
  <si>
    <t>22178855亿</t>
  </si>
  <si>
    <t>7814.31万</t>
  </si>
  <si>
    <t>453296810亿</t>
  </si>
  <si>
    <t>3.10亿</t>
  </si>
  <si>
    <t>6008.34万</t>
  </si>
  <si>
    <t>202.10万</t>
  </si>
  <si>
    <t>5.55亿</t>
  </si>
  <si>
    <t>-2768.82万</t>
  </si>
  <si>
    <t>-1154.17万</t>
  </si>
  <si>
    <t>1385.67万</t>
  </si>
  <si>
    <t>17.07亿</t>
  </si>
  <si>
    <t>14.76亿</t>
  </si>
  <si>
    <t>14.47亿</t>
  </si>
  <si>
    <t>-3.49亿</t>
  </si>
  <si>
    <t>6035.40万</t>
  </si>
  <si>
    <t>791.18万</t>
  </si>
  <si>
    <t>7615.32万</t>
  </si>
  <si>
    <t>SZ002627</t>
  </si>
  <si>
    <t>三峡旅游</t>
  </si>
  <si>
    <t>171.09万</t>
  </si>
  <si>
    <t>9.07亿</t>
  </si>
  <si>
    <t>33.25亿</t>
  </si>
  <si>
    <t>16.00亿</t>
  </si>
  <si>
    <t>1.04亿</t>
  </si>
  <si>
    <t>118.06万</t>
  </si>
  <si>
    <t>2542.76万</t>
  </si>
  <si>
    <t>1867072亿</t>
  </si>
  <si>
    <t>53.67万</t>
  </si>
  <si>
    <t>7055430亿</t>
  </si>
  <si>
    <t>13.71亿</t>
  </si>
  <si>
    <t>19959840亿</t>
  </si>
  <si>
    <t>1837862300亿</t>
  </si>
  <si>
    <t>1.68亿</t>
  </si>
  <si>
    <t>3329.77万</t>
  </si>
  <si>
    <t>3.73亿</t>
  </si>
  <si>
    <t>-4077.20万</t>
  </si>
  <si>
    <t>-3364.48万</t>
  </si>
  <si>
    <t>-2782.97万</t>
  </si>
  <si>
    <t>19.07亿</t>
  </si>
  <si>
    <t>21.78亿</t>
  </si>
  <si>
    <t>19.50亿</t>
  </si>
  <si>
    <t>22.13亿</t>
  </si>
  <si>
    <t>20.19亿</t>
  </si>
  <si>
    <t>439.67万</t>
  </si>
  <si>
    <t>4829.19万</t>
  </si>
  <si>
    <t>9829.51万</t>
  </si>
  <si>
    <t>2024.22万</t>
  </si>
  <si>
    <t>1711.91万</t>
  </si>
  <si>
    <t>9660.28万</t>
  </si>
  <si>
    <t>0130000000</t>
  </si>
  <si>
    <t>0390000000</t>
  </si>
  <si>
    <t>0780000000</t>
  </si>
  <si>
    <t>01300000000</t>
  </si>
  <si>
    <t>02600000000</t>
  </si>
  <si>
    <t>1600.22万</t>
  </si>
  <si>
    <t>18.95亿</t>
  </si>
  <si>
    <t>5.47亿</t>
  </si>
  <si>
    <t>10.25亿</t>
  </si>
  <si>
    <t>32.98亿</t>
  </si>
  <si>
    <t>3227.42万</t>
  </si>
  <si>
    <t>9.98亿</t>
  </si>
  <si>
    <t>8526.47万</t>
  </si>
  <si>
    <t>2554.64万</t>
  </si>
  <si>
    <t>4882亿</t>
  </si>
  <si>
    <t>37.70万</t>
  </si>
  <si>
    <t>27835397亿</t>
  </si>
  <si>
    <t>5.67亿</t>
  </si>
  <si>
    <t>271876280亿</t>
  </si>
  <si>
    <t>1358695300亿</t>
  </si>
  <si>
    <t>1.70亿</t>
  </si>
  <si>
    <t>2.85亿</t>
  </si>
  <si>
    <t>18.15亿</t>
  </si>
  <si>
    <t>642.11万</t>
  </si>
  <si>
    <t>1.22亿</t>
  </si>
  <si>
    <t>958.05万</t>
  </si>
  <si>
    <t>-1.60亿</t>
  </si>
  <si>
    <t>5.01亿</t>
  </si>
  <si>
    <t>6.84亿</t>
  </si>
  <si>
    <t>15.61亿</t>
  </si>
  <si>
    <t>-4.63亿</t>
  </si>
  <si>
    <t>-3749.95万</t>
  </si>
  <si>
    <t>7674.24万</t>
  </si>
  <si>
    <t>4-1</t>
  </si>
  <si>
    <t>1947.73万</t>
  </si>
  <si>
    <t>15.28亿</t>
  </si>
  <si>
    <t>78.08亿</t>
  </si>
  <si>
    <t>5.60亿</t>
  </si>
  <si>
    <t>19.26亿</t>
  </si>
  <si>
    <t>-1.10亿</t>
  </si>
  <si>
    <t>2.60亿</t>
  </si>
  <si>
    <t>1.75亿</t>
  </si>
  <si>
    <t>2654.42万</t>
  </si>
  <si>
    <t>4432.77万</t>
  </si>
  <si>
    <t>10993240亿</t>
  </si>
  <si>
    <t>73.34万</t>
  </si>
  <si>
    <t>249312230亿</t>
  </si>
  <si>
    <t>32.02亿</t>
  </si>
  <si>
    <t>8217707亿</t>
  </si>
  <si>
    <t>3560781900亿</t>
  </si>
  <si>
    <t>3.37亿</t>
  </si>
  <si>
    <t>2169.47万</t>
  </si>
  <si>
    <t>7.85亿</t>
  </si>
  <si>
    <t>8925.00万</t>
  </si>
  <si>
    <t>-417.45万</t>
  </si>
  <si>
    <t>-2543.10万</t>
  </si>
  <si>
    <t>4.58亿</t>
  </si>
  <si>
    <t>-4774.60万</t>
  </si>
  <si>
    <t>6030.84万</t>
  </si>
  <si>
    <t>6.42亿</t>
  </si>
  <si>
    <t>489.00万</t>
  </si>
  <si>
    <t>5298.86万</t>
  </si>
  <si>
    <t>7.17亿</t>
  </si>
  <si>
    <t>1635.92万</t>
  </si>
  <si>
    <t>1.34亿</t>
  </si>
  <si>
    <t>2843.46万</t>
  </si>
  <si>
    <t>1961.82万</t>
  </si>
  <si>
    <t>30.23万</t>
  </si>
  <si>
    <t>905.05万</t>
  </si>
  <si>
    <t>-365012亿</t>
  </si>
  <si>
    <t>-12062168亿</t>
  </si>
  <si>
    <t>2.87亿</t>
  </si>
  <si>
    <t>3464992亿</t>
  </si>
  <si>
    <t>300723580亿</t>
  </si>
  <si>
    <t>358.24万</t>
  </si>
  <si>
    <t>504.39万</t>
  </si>
  <si>
    <t>175.45万</t>
  </si>
  <si>
    <t>2795.35万</t>
  </si>
  <si>
    <t>-1110.76万</t>
  </si>
  <si>
    <t>-1447.22万</t>
  </si>
  <si>
    <t>-930.11万</t>
  </si>
  <si>
    <t>3.05亿</t>
  </si>
  <si>
    <t>1649.45万</t>
  </si>
  <si>
    <t>-336.33万</t>
  </si>
  <si>
    <t>10派3元(含税)</t>
  </si>
  <si>
    <t>3443.69万</t>
  </si>
  <si>
    <t>SZ301073</t>
  </si>
  <si>
    <t>君亭酒店</t>
  </si>
  <si>
    <t>606.73万</t>
  </si>
  <si>
    <t>14.49亿</t>
  </si>
  <si>
    <t>9.82亿</t>
  </si>
  <si>
    <t>3.34亿</t>
  </si>
  <si>
    <t>1885.07万</t>
  </si>
  <si>
    <t>1.55亿</t>
  </si>
  <si>
    <t>1219.16万</t>
  </si>
  <si>
    <t>1974.06万</t>
  </si>
  <si>
    <t>-10571亿</t>
  </si>
  <si>
    <t>22.86万</t>
  </si>
  <si>
    <t>4670373亿</t>
  </si>
  <si>
    <t>4.53亿</t>
  </si>
  <si>
    <t>73860595亿</t>
  </si>
  <si>
    <t>619271310亿</t>
  </si>
  <si>
    <t>606.29万</t>
  </si>
  <si>
    <t>6175.82万</t>
  </si>
  <si>
    <t>177.63万</t>
  </si>
  <si>
    <t>2.94亿</t>
  </si>
  <si>
    <t>5093.32万</t>
  </si>
  <si>
    <t>-5593.40万</t>
  </si>
  <si>
    <t>-2881.18万</t>
  </si>
  <si>
    <t>3.42亿</t>
  </si>
  <si>
    <t>2974.59万</t>
  </si>
  <si>
    <t>3691.76万</t>
  </si>
  <si>
    <t>3506.60万</t>
  </si>
  <si>
    <t>7225.38万</t>
  </si>
  <si>
    <t>6020.69万</t>
  </si>
  <si>
    <t>5.34亿</t>
  </si>
  <si>
    <t>7808.52万</t>
  </si>
  <si>
    <t>3051.99万</t>
  </si>
  <si>
    <t>-241.72万</t>
  </si>
  <si>
    <t>10派1.5元(含税)</t>
  </si>
  <si>
    <t>4587.64万</t>
  </si>
  <si>
    <t>1.86亿</t>
  </si>
  <si>
    <t>213.60万</t>
  </si>
  <si>
    <t>9.63亿</t>
  </si>
  <si>
    <t>47.13亿</t>
  </si>
  <si>
    <t>3.36亿</t>
  </si>
  <si>
    <t>12.37亿</t>
  </si>
  <si>
    <t>1.89亿</t>
  </si>
  <si>
    <t>-2648569亿</t>
  </si>
  <si>
    <t>89.20万</t>
  </si>
  <si>
    <t>22450415亿</t>
  </si>
  <si>
    <t>11.02亿</t>
  </si>
  <si>
    <t>29691733亿</t>
  </si>
  <si>
    <t>2457545700亿</t>
  </si>
  <si>
    <t>95.75万</t>
  </si>
  <si>
    <t>-2393.55万</t>
  </si>
  <si>
    <t>-7.79亿</t>
  </si>
  <si>
    <t>-6201.12万</t>
  </si>
  <si>
    <t>8.00亿</t>
  </si>
  <si>
    <t>-1.30亿</t>
  </si>
  <si>
    <t>19.29亿</t>
  </si>
  <si>
    <t>4.23亿</t>
  </si>
  <si>
    <t>3043.80万</t>
  </si>
  <si>
    <t>10派2.09元(含税)</t>
  </si>
  <si>
    <t>1560.85万</t>
  </si>
  <si>
    <t>0189000000</t>
  </si>
  <si>
    <t>0567000000</t>
  </si>
  <si>
    <t>01134000000</t>
  </si>
  <si>
    <t>03780000000</t>
  </si>
  <si>
    <t>4-0</t>
  </si>
  <si>
    <t>641.86万</t>
  </si>
  <si>
    <t>89.39亿</t>
  </si>
  <si>
    <t>83.08亿</t>
  </si>
  <si>
    <t>19.22亿</t>
  </si>
  <si>
    <t>281.05亿</t>
  </si>
  <si>
    <t>13.79亿</t>
  </si>
  <si>
    <t>-16025184亿</t>
  </si>
  <si>
    <t>37.57万</t>
  </si>
  <si>
    <t>-28062800亿</t>
  </si>
  <si>
    <t>10.43亿</t>
  </si>
  <si>
    <t>2105743600亿</t>
  </si>
  <si>
    <t>5919844800亿</t>
  </si>
  <si>
    <t>1698.57万</t>
  </si>
  <si>
    <t>9.76亿</t>
  </si>
  <si>
    <t>1902.47万</t>
  </si>
  <si>
    <t>2952.97万</t>
  </si>
  <si>
    <t>-8912.15万</t>
  </si>
  <si>
    <t>-1.22亿</t>
  </si>
  <si>
    <t>64.17亿</t>
  </si>
  <si>
    <t>-3.34亿</t>
  </si>
  <si>
    <t>96.35亿</t>
  </si>
  <si>
    <t>65.71亿</t>
  </si>
  <si>
    <t>10派0.85元(含税)</t>
  </si>
  <si>
    <t>3633.51万</t>
  </si>
  <si>
    <t>SH600250</t>
  </si>
  <si>
    <t>南京商旅</t>
  </si>
  <si>
    <t>1176.83万</t>
  </si>
  <si>
    <t>8.93亿</t>
  </si>
  <si>
    <t>8.21亿</t>
  </si>
  <si>
    <t>2.07亿</t>
  </si>
  <si>
    <t>43.43亿</t>
  </si>
  <si>
    <t>16348024亿</t>
  </si>
  <si>
    <t>5.26万</t>
  </si>
  <si>
    <t>5763773亿</t>
  </si>
  <si>
    <t>3.93亿</t>
  </si>
  <si>
    <t>112118199亿</t>
  </si>
  <si>
    <t>708763930亿</t>
  </si>
  <si>
    <t>70.52万</t>
  </si>
  <si>
    <t>9000.00万</t>
  </si>
  <si>
    <t>170.98万</t>
  </si>
  <si>
    <t>-7677.19万</t>
  </si>
  <si>
    <t>8.22亿</t>
  </si>
  <si>
    <t>9.68亿</t>
  </si>
  <si>
    <t>10.12亿</t>
  </si>
  <si>
    <t>4221.41万</t>
  </si>
  <si>
    <t>8.56亿</t>
  </si>
  <si>
    <t>15.25亿</t>
  </si>
  <si>
    <t>3413.93万</t>
  </si>
  <si>
    <t>9134.18万</t>
  </si>
  <si>
    <t>3.55亿</t>
  </si>
  <si>
    <t>SH600258</t>
  </si>
  <si>
    <t>首旅酒店</t>
  </si>
  <si>
    <t>912.60万</t>
  </si>
  <si>
    <t>139.67亿</t>
  </si>
  <si>
    <t>114.11亿</t>
  </si>
  <si>
    <t>18.45亿</t>
  </si>
  <si>
    <t>208.05亿</t>
  </si>
  <si>
    <t>-1841934亿</t>
  </si>
  <si>
    <t>603.56万</t>
  </si>
  <si>
    <t>97386085亿</t>
  </si>
  <si>
    <t>15.97亿</t>
  </si>
  <si>
    <t>364589470亿</t>
  </si>
  <si>
    <t>3361733200亿</t>
  </si>
  <si>
    <t>1.20亿</t>
  </si>
  <si>
    <t>1424.42万</t>
  </si>
  <si>
    <t>5.96亿</t>
  </si>
  <si>
    <t>2902.42万</t>
  </si>
  <si>
    <t>-2.14亿</t>
  </si>
  <si>
    <t>50.90亿</t>
  </si>
  <si>
    <t>52.82亿</t>
  </si>
  <si>
    <t>83.11亿</t>
  </si>
  <si>
    <t>85.39亿</t>
  </si>
  <si>
    <t>-5.77亿</t>
  </si>
  <si>
    <t>77.93亿</t>
  </si>
  <si>
    <t>61.99亿</t>
  </si>
  <si>
    <t>7.95亿</t>
  </si>
  <si>
    <t>565.96万</t>
  </si>
  <si>
    <t>5326.87万</t>
  </si>
  <si>
    <t>3.08亿</t>
  </si>
  <si>
    <t>SH600576</t>
  </si>
  <si>
    <t>祥源文旅</t>
  </si>
  <si>
    <t>439.92万</t>
  </si>
  <si>
    <t>9.23亿</t>
  </si>
  <si>
    <t>28.34亿</t>
  </si>
  <si>
    <t>179.06亿</t>
  </si>
  <si>
    <t>7352.02万</t>
  </si>
  <si>
    <t>1286.60万</t>
  </si>
  <si>
    <t>1800.17万</t>
  </si>
  <si>
    <t>-10175亿</t>
  </si>
  <si>
    <t>122.25万</t>
  </si>
  <si>
    <t>12946242亿</t>
  </si>
  <si>
    <t>69827467亿</t>
  </si>
  <si>
    <t>700738710亿</t>
  </si>
  <si>
    <t>2749.31万</t>
  </si>
  <si>
    <t>4724.71万</t>
  </si>
  <si>
    <t>3.35亿</t>
  </si>
  <si>
    <t>-2655.60万</t>
  </si>
  <si>
    <t>-4941.35万</t>
  </si>
  <si>
    <t>-2043.77万</t>
  </si>
  <si>
    <t>4.41亿</t>
  </si>
  <si>
    <t>7.21亿</t>
  </si>
  <si>
    <t>1964.41万</t>
  </si>
  <si>
    <t>3381.80万</t>
  </si>
  <si>
    <t>1895.02万</t>
  </si>
  <si>
    <t>-8.53亿</t>
  </si>
  <si>
    <t>1426.77万</t>
  </si>
  <si>
    <t>7.22亿</t>
  </si>
  <si>
    <t>39.85亿</t>
  </si>
  <si>
    <t>1.01亿</t>
  </si>
  <si>
    <t>2885.71万</t>
  </si>
  <si>
    <t>328.13万</t>
  </si>
  <si>
    <t>17.62亿</t>
  </si>
  <si>
    <t>9152.73万</t>
  </si>
  <si>
    <t>28.21亿</t>
  </si>
  <si>
    <t>7501.65万</t>
  </si>
  <si>
    <t>4377.22万</t>
  </si>
  <si>
    <t>656.87万</t>
  </si>
  <si>
    <t>1562.16万</t>
  </si>
  <si>
    <t>59.75万</t>
  </si>
  <si>
    <t>-625710亿</t>
  </si>
  <si>
    <t>2512535亿</t>
  </si>
  <si>
    <t>177281250亿</t>
  </si>
  <si>
    <t>525.20万</t>
  </si>
  <si>
    <t>1830.74万</t>
  </si>
  <si>
    <t>275.32万</t>
  </si>
  <si>
    <t>10.15亿</t>
  </si>
  <si>
    <t>4.29亿</t>
  </si>
  <si>
    <t>3861.89万</t>
  </si>
  <si>
    <t>-1280.84万</t>
  </si>
  <si>
    <t>887.02万</t>
  </si>
  <si>
    <t>-7664.22万</t>
  </si>
  <si>
    <t>3437.68万</t>
  </si>
  <si>
    <t>4399.99万</t>
  </si>
  <si>
    <t>2637.58万</t>
  </si>
  <si>
    <t>557.50万</t>
  </si>
  <si>
    <t>28.20亿</t>
  </si>
  <si>
    <t>114.65亿</t>
  </si>
  <si>
    <t>6.61亿</t>
  </si>
  <si>
    <t>3.98亿</t>
  </si>
  <si>
    <t>1884.56万</t>
  </si>
  <si>
    <t>4488.48万</t>
  </si>
  <si>
    <t>1429515亿</t>
  </si>
  <si>
    <t>9.52万</t>
  </si>
  <si>
    <t>1002639亿</t>
  </si>
  <si>
    <t>1140144820亿</t>
  </si>
  <si>
    <t>1710529200亿</t>
  </si>
  <si>
    <t>290.81万</t>
  </si>
  <si>
    <t>1848.13万</t>
  </si>
  <si>
    <t>11.40亿</t>
  </si>
  <si>
    <t>876.74万</t>
  </si>
  <si>
    <t>21.20亿</t>
  </si>
  <si>
    <t>7.62亿</t>
  </si>
  <si>
    <t>2706.91万</t>
  </si>
  <si>
    <t>-1115.75万</t>
  </si>
  <si>
    <t>-2606.99万</t>
  </si>
  <si>
    <t>8.91亿</t>
  </si>
  <si>
    <t>-2.48亿</t>
  </si>
  <si>
    <t>15.04亿</t>
  </si>
  <si>
    <t>22.62亿</t>
  </si>
  <si>
    <t>-1.95亿</t>
  </si>
  <si>
    <t>-4.60亿</t>
  </si>
  <si>
    <t>4446.03万</t>
  </si>
  <si>
    <t>934.97万</t>
  </si>
  <si>
    <t>5.20亿</t>
  </si>
  <si>
    <t>10.03亿</t>
  </si>
  <si>
    <t>2289.45万</t>
  </si>
  <si>
    <t>43.90亿</t>
  </si>
  <si>
    <t>7.08亿</t>
  </si>
  <si>
    <t>4534.14万</t>
  </si>
  <si>
    <t>2752.13万</t>
  </si>
  <si>
    <t>281.93万</t>
  </si>
  <si>
    <t>1336.99万</t>
  </si>
  <si>
    <t>114740亿</t>
  </si>
  <si>
    <t>-21874223亿</t>
  </si>
  <si>
    <t>4.55亿</t>
  </si>
  <si>
    <t>30416408亿</t>
  </si>
  <si>
    <t>846062530亿</t>
  </si>
  <si>
    <t>1054.61万</t>
  </si>
  <si>
    <t>4002.57万</t>
  </si>
  <si>
    <t>3.57亿</t>
  </si>
  <si>
    <t>-1559.39万</t>
  </si>
  <si>
    <t>4464.87万</t>
  </si>
  <si>
    <t>3730.80万</t>
  </si>
  <si>
    <t>1.21亿</t>
  </si>
  <si>
    <t>-2938.06万</t>
  </si>
  <si>
    <t>1450.26万</t>
  </si>
  <si>
    <t>2.43亿</t>
  </si>
  <si>
    <t>7296.34万</t>
  </si>
  <si>
    <t>3.75亿</t>
  </si>
  <si>
    <t>SH600754</t>
  </si>
  <si>
    <t>锦江酒店</t>
  </si>
  <si>
    <t>599.81万</t>
  </si>
  <si>
    <t>332.26亿</t>
  </si>
  <si>
    <t>176.32亿</t>
  </si>
  <si>
    <t>32.06亿</t>
  </si>
  <si>
    <t>4682.47亿</t>
  </si>
  <si>
    <t>19.15亿</t>
  </si>
  <si>
    <t>31.71亿</t>
  </si>
  <si>
    <t>20.72亿</t>
  </si>
  <si>
    <t>2.40亿</t>
  </si>
  <si>
    <t>130495754亿</t>
  </si>
  <si>
    <t>493.52万</t>
  </si>
  <si>
    <t>62319447亿</t>
  </si>
  <si>
    <t>105.57亿</t>
  </si>
  <si>
    <t>1618799900亿</t>
  </si>
  <si>
    <t>14144670000亿</t>
  </si>
  <si>
    <t>7.67亿</t>
  </si>
  <si>
    <t>4.97亿</t>
  </si>
  <si>
    <t>16.74亿</t>
  </si>
  <si>
    <t>926.90万</t>
  </si>
  <si>
    <t>157.49亿</t>
  </si>
  <si>
    <t>66.69亿</t>
  </si>
  <si>
    <t>10.19亿</t>
  </si>
  <si>
    <t>-3.33亿</t>
  </si>
  <si>
    <t>113.10亿</t>
  </si>
  <si>
    <t>114.00亿</t>
  </si>
  <si>
    <t>98.98亿</t>
  </si>
  <si>
    <t>150.99亿</t>
  </si>
  <si>
    <t>146.97亿</t>
  </si>
  <si>
    <t>9563.02万</t>
  </si>
  <si>
    <t>1.10亿</t>
  </si>
  <si>
    <t>10.92亿</t>
  </si>
  <si>
    <t>10.82亿</t>
  </si>
  <si>
    <t>146.49亿</t>
  </si>
  <si>
    <t>1235.68亿</t>
  </si>
  <si>
    <t>10.02亿</t>
  </si>
  <si>
    <t>7.39亿</t>
  </si>
  <si>
    <t>10派5元(含税)</t>
  </si>
  <si>
    <t>4316.94万</t>
  </si>
  <si>
    <t>SH601007</t>
  </si>
  <si>
    <t>金陵饭店</t>
  </si>
  <si>
    <t>245.25万</t>
  </si>
  <si>
    <t>11.86亿</t>
  </si>
  <si>
    <t>24.01亿</t>
  </si>
  <si>
    <t>25.22亿</t>
  </si>
  <si>
    <t>5.26亿</t>
  </si>
  <si>
    <t>4.43亿</t>
  </si>
  <si>
    <t>2197.76万</t>
  </si>
  <si>
    <t>4688.07万</t>
  </si>
  <si>
    <t>2896334亿</t>
  </si>
  <si>
    <t>3.04万</t>
  </si>
  <si>
    <t>4514078亿</t>
  </si>
  <si>
    <t>5.02亿</t>
  </si>
  <si>
    <t>93953092亿</t>
  </si>
  <si>
    <t>1923968600亿</t>
  </si>
  <si>
    <t>9.48万</t>
  </si>
  <si>
    <t>5952.34万</t>
  </si>
  <si>
    <t>1865.82万</t>
  </si>
  <si>
    <t>12.43亿</t>
  </si>
  <si>
    <t>9444.45万</t>
  </si>
  <si>
    <t>5694.69万</t>
  </si>
  <si>
    <t>3205.84万</t>
  </si>
  <si>
    <t>14.15亿</t>
  </si>
  <si>
    <t>13.74亿</t>
  </si>
  <si>
    <t>12.11亿</t>
  </si>
  <si>
    <t>10.36亿</t>
  </si>
  <si>
    <t>4167.29万</t>
  </si>
  <si>
    <t>2803.86万</t>
  </si>
  <si>
    <t>4339.91万</t>
  </si>
  <si>
    <t>7385.86万</t>
  </si>
  <si>
    <t>7741.56万</t>
  </si>
  <si>
    <t>5953.51万</t>
  </si>
  <si>
    <t>3487.33万</t>
  </si>
  <si>
    <t>10派1.2元(含税)</t>
  </si>
  <si>
    <t>1760.85万</t>
  </si>
  <si>
    <t>581.05万</t>
  </si>
  <si>
    <t>10.51亿</t>
  </si>
  <si>
    <t>74.11亿</t>
  </si>
  <si>
    <t>7.44亿</t>
  </si>
  <si>
    <t>9180.35万</t>
  </si>
  <si>
    <t>463.40万</t>
  </si>
  <si>
    <t>1264.97万</t>
  </si>
  <si>
    <t>1.29万</t>
  </si>
  <si>
    <t>11610805亿</t>
  </si>
  <si>
    <t>46360730亿</t>
  </si>
  <si>
    <t>319960900亿</t>
  </si>
  <si>
    <t>5709.52万</t>
  </si>
  <si>
    <t>2894.88万</t>
  </si>
  <si>
    <t>1.50万</t>
  </si>
  <si>
    <t>9864.62万</t>
  </si>
  <si>
    <t>5836.96万</t>
  </si>
  <si>
    <t>-1045.23万</t>
  </si>
  <si>
    <t>-758.36万</t>
  </si>
  <si>
    <t>-116.39万</t>
  </si>
  <si>
    <t>-5738.56万</t>
  </si>
  <si>
    <t>6.20亿</t>
  </si>
  <si>
    <t>15.60亿</t>
  </si>
  <si>
    <t>10派0.78元(含税)</t>
  </si>
  <si>
    <t>5519.44万</t>
  </si>
  <si>
    <t>3.33亿</t>
  </si>
  <si>
    <t>330.19万</t>
  </si>
  <si>
    <t>2.92亿</t>
  </si>
  <si>
    <t>14.62亿</t>
  </si>
  <si>
    <t>22.10亿</t>
  </si>
  <si>
    <t>8948.44万</t>
  </si>
  <si>
    <t>6593.33万</t>
  </si>
  <si>
    <t>512.80万</t>
  </si>
  <si>
    <t>1812.27万</t>
  </si>
  <si>
    <t>3.19万</t>
  </si>
  <si>
    <t>9347062亿</t>
  </si>
  <si>
    <t>5.44亿</t>
  </si>
  <si>
    <t>21530565亿</t>
  </si>
  <si>
    <t>590629740亿</t>
  </si>
  <si>
    <t>539.04万</t>
  </si>
  <si>
    <t>6500.00万</t>
  </si>
  <si>
    <t>200.00万</t>
  </si>
  <si>
    <t>2841.69万</t>
  </si>
  <si>
    <t>1858.47万</t>
  </si>
  <si>
    <t>-4007.97万</t>
  </si>
  <si>
    <t>1166.86万</t>
  </si>
  <si>
    <t>3.69亿</t>
  </si>
  <si>
    <t>2030.69万</t>
  </si>
  <si>
    <t>4.71亿</t>
  </si>
  <si>
    <t>6523.60万</t>
  </si>
  <si>
    <t>10转4.5股派5.36元(含税)</t>
  </si>
  <si>
    <t>2007.98万</t>
  </si>
  <si>
    <t>211.69万</t>
  </si>
  <si>
    <t>14.70亿</t>
  </si>
  <si>
    <t>5.41亿</t>
  </si>
  <si>
    <t>3897.41万</t>
  </si>
  <si>
    <t>1.13亿</t>
  </si>
  <si>
    <t>8169.85万</t>
  </si>
  <si>
    <t>750.16万</t>
  </si>
  <si>
    <t>2064.44万</t>
  </si>
  <si>
    <t>1158662亿</t>
  </si>
  <si>
    <t>49020349亿</t>
  </si>
  <si>
    <t>8433.30万</t>
  </si>
  <si>
    <t>15445362亿</t>
  </si>
  <si>
    <t>387322820亿</t>
  </si>
  <si>
    <t>3161.26万</t>
  </si>
  <si>
    <t>-1705.47万</t>
  </si>
  <si>
    <t>-7662.39万</t>
  </si>
  <si>
    <t>-49.19万</t>
  </si>
  <si>
    <t>3.32亿</t>
  </si>
  <si>
    <t>-1369.94万</t>
  </si>
  <si>
    <t>7.24亿</t>
  </si>
  <si>
    <t>1095.00万</t>
  </si>
  <si>
    <t>10派7.9元(含税)</t>
  </si>
  <si>
    <t>1134.38万</t>
  </si>
  <si>
    <t>5661.66万</t>
  </si>
  <si>
    <t>SH605108</t>
  </si>
  <si>
    <t>同庆楼</t>
  </si>
  <si>
    <t>230.09万</t>
  </si>
  <si>
    <t>17.43亿</t>
  </si>
  <si>
    <t>23.07亿</t>
  </si>
  <si>
    <t>6.91亿</t>
  </si>
  <si>
    <t>5.21亿</t>
  </si>
  <si>
    <t>3199.55万</t>
  </si>
  <si>
    <t>3786.11万</t>
  </si>
  <si>
    <t>172973亿</t>
  </si>
  <si>
    <t>92.23万</t>
  </si>
  <si>
    <t>64498590亿</t>
  </si>
  <si>
    <t>6408.97万</t>
  </si>
  <si>
    <t>66158394亿</t>
  </si>
  <si>
    <t>559337210亿</t>
  </si>
  <si>
    <t>6.62亿</t>
  </si>
  <si>
    <t>10.74亿</t>
  </si>
  <si>
    <t>4.17亿</t>
  </si>
  <si>
    <t>-5.22亿</t>
  </si>
  <si>
    <t>2.75亿</t>
  </si>
  <si>
    <t>16.70亿</t>
  </si>
  <si>
    <t>16.08亿</t>
  </si>
  <si>
    <t>12.96亿</t>
  </si>
  <si>
    <t>14.89亿</t>
  </si>
  <si>
    <t>9359.85万</t>
  </si>
  <si>
    <t>1.44亿</t>
  </si>
  <si>
    <t>1.85亿</t>
  </si>
  <si>
    <t>1.98亿</t>
  </si>
  <si>
    <t>2.00亿</t>
  </si>
  <si>
    <t>3.04亿</t>
  </si>
  <si>
    <t>6495.27万</t>
  </si>
  <si>
    <t>10派4.1元(含税)</t>
  </si>
  <si>
    <t>1115.74万</t>
  </si>
  <si>
    <t>6155.06万</t>
  </si>
  <si>
    <t>-2-1</t>
  </si>
  <si>
    <t>1.公司以餐饮为核心延伸出三大业务板块，分
别为：餐饮业务、酒店业务（餐饮+住宿业务，其中住宿为配套业务，收入占比不足 30%）、食
品业务（餐饮零售化）。</t>
    <phoneticPr fontId="1" type="noConversion"/>
  </si>
  <si>
    <t>1.最大涨幅是2020.6~2021.6月；最近2022年11月底涨幅为15%左右；</t>
    <phoneticPr fontId="1" type="noConversion"/>
  </si>
  <si>
    <t>1.北京市国资委控股；</t>
    <phoneticPr fontId="1" type="noConversion"/>
  </si>
  <si>
    <r>
      <t>1.君亭是一家具备东方文化特色的酒店管理公司，君亭品牌序列中，我们在君亭品牌上延伸出来了Pagoda、夜泊君亭、寓君亭等。直营是君亭很有特色的模式，创造了70%以上的盈利。2.君澜有度假品牌和商务品牌。近几年度假酒店发展很迅速，君澜也是伴随中国</t>
    </r>
    <r>
      <rPr>
        <sz val="9"/>
        <color rgb="FFFF0000"/>
        <rFont val="宋体"/>
        <family val="3"/>
        <charset val="134"/>
        <scheme val="minor"/>
      </rPr>
      <t>休闲度假市场</t>
    </r>
    <r>
      <rPr>
        <sz val="9"/>
        <color theme="1"/>
        <rFont val="宋体"/>
        <family val="2"/>
        <charset val="134"/>
        <scheme val="minor"/>
      </rPr>
      <t>的发展获取了很优质的项目，市占率在高星级市场中领先。3.</t>
    </r>
    <r>
      <rPr>
        <b/>
        <sz val="9"/>
        <color rgb="FFFF0000"/>
        <rFont val="宋体"/>
        <family val="3"/>
        <charset val="134"/>
        <scheme val="minor"/>
      </rPr>
      <t>君亭</t>
    </r>
    <r>
      <rPr>
        <sz val="9"/>
        <color theme="1"/>
        <rFont val="宋体"/>
        <family val="2"/>
        <charset val="134"/>
        <scheme val="minor"/>
      </rPr>
      <t>的特色在于“小而美”，</t>
    </r>
    <r>
      <rPr>
        <b/>
        <sz val="9"/>
        <color rgb="FFFF0000"/>
        <rFont val="宋体"/>
        <family val="3"/>
        <charset val="134"/>
        <scheme val="minor"/>
      </rPr>
      <t>君澜</t>
    </r>
    <r>
      <rPr>
        <sz val="9"/>
        <color theme="1"/>
        <rFont val="宋体"/>
        <family val="2"/>
        <charset val="134"/>
        <scheme val="minor"/>
      </rPr>
      <t>的特色在于度假产品的服务品质和市场占有率，</t>
    </r>
    <r>
      <rPr>
        <b/>
        <sz val="9"/>
        <color rgb="FFFF0000"/>
        <rFont val="宋体"/>
        <family val="3"/>
        <charset val="134"/>
        <scheme val="minor"/>
      </rPr>
      <t>景澜</t>
    </r>
    <r>
      <rPr>
        <sz val="9"/>
        <color theme="1"/>
        <rFont val="宋体"/>
        <family val="2"/>
        <charset val="134"/>
        <scheme val="minor"/>
      </rPr>
      <t>的特色在于非标生活方式打造，品牌定位层次分明，这里涵盖了商务和度假，有全服务的酒店，也有非全服务的酒店品类，现在形成的矩阵非常健康，符合未来市场发展。</t>
    </r>
    <phoneticPr fontId="1" type="noConversion"/>
  </si>
  <si>
    <t>1.中端酒店在君亭的档位上非常符合商务公司的差旅标准，现在基于疫情期间很多公司的交流和会议减少出差的情况受到了很大影响，疫情后商务的恢复会非常快。也有很多在学校附近，也受到培训市场的影响。</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</si>
</sst>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4"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4" fillId="0" borderId="0" xfId="0" applyFont="1">
      <alignment vertical="center"/>
    </xf>
    <xf numFmtId="0" fontId="3" fillId="0" borderId="0" xfId="0" applyFont="1">
      <alignment vertical="center"/>
    </xf>
    <xf numFmtId="0" fontId="0" fillId="0" borderId="0" xfId="0" applyNumberFormat="1">
      <alignment vertical="center"/>
    </xf>
    <xf numFmtId="9" fontId="0" fillId="0" borderId="0" xfId="0" applyNumberFormat="1">
      <alignment vertical="center"/>
    </xf>
    <xf numFmtId="0" fontId="6"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304800</xdr:colOff>
          <xdr:row>0</xdr:row>
          <xdr:rowOff>133350</xdr:rowOff>
        </xdr:from>
        <xdr:to>
          <xdr:col>147</xdr:col>
          <xdr:colOff>1409700</xdr:colOff>
          <xdr:row>0</xdr:row>
          <xdr:rowOff>444500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8"/>
  <sheetViews>
    <sheetView tabSelected="1" zoomScale="85" zoomScaleNormal="85" workbookViewId="0">
      <pane xSplit="5" ySplit="1" topLeftCell="F2" activePane="bottomRight" state="frozen"/>
      <selection pane="topRight" activeCell="F1" sqref="F1"/>
      <selection pane="bottomLeft" activeCell="A2" sqref="A2"/>
      <selection pane="bottomRight" activeCell="C6" sqref="C6"/>
    </sheetView>
  </sheetViews>
  <sheetFormatPr defaultRowHeight="14" x14ac:dyDescent="0.25"/>
  <cols>
    <col min="1" max="1" width="33.26953125" customWidth="1"/>
    <col min="2" max="2" width="34.26953125" customWidth="1"/>
    <col min="3" max="3" width="42.1796875" customWidth="1"/>
    <col min="148" max="148" width="22.36328125" customWidth="1"/>
  </cols>
  <sheetData>
    <row r="1" spans="1:146" ht="49.5" customHeight="1" x14ac:dyDescent="0.25">
      <c r="A1" s="3" t="s">
        <v>20</v>
      </c>
      <c r="B1" s="4" t="s">
        <v>21</v>
      </c>
      <c r="C1" s="3" t="s">
        <v>22</v>
      </c>
      <c r="D1" t="s">
        <v>23</v>
      </c>
      <c r="E1" t="s">
        <v>254</v>
      </c>
      <c r="F1" t="s">
        <v>3</v>
      </c>
      <c r="G1" t="s">
        <v>336</v>
      </c>
      <c r="H1" t="s">
        <v>337</v>
      </c>
      <c r="I1" t="s">
        <v>24</v>
      </c>
      <c r="J1" t="s">
        <v>25</v>
      </c>
      <c r="K1" t="s">
        <v>4</v>
      </c>
      <c r="L1" t="s">
        <v>26</v>
      </c>
      <c r="M1" t="s">
        <v>27</v>
      </c>
      <c r="N1" t="s">
        <v>28</v>
      </c>
      <c r="O1" t="s">
        <v>29</v>
      </c>
      <c r="P1" t="s">
        <v>338</v>
      </c>
      <c r="Q1" t="s">
        <v>255</v>
      </c>
      <c r="R1" t="s">
        <v>256</v>
      </c>
      <c r="S1" t="s">
        <v>30</v>
      </c>
      <c r="T1" t="s">
        <v>339</v>
      </c>
      <c r="U1" t="s">
        <v>221</v>
      </c>
      <c r="V1" t="s">
        <v>31</v>
      </c>
      <c r="W1" t="s">
        <v>257</v>
      </c>
      <c r="X1" t="s">
        <v>258</v>
      </c>
      <c r="Y1" t="s">
        <v>259</v>
      </c>
      <c r="Z1" t="s">
        <v>260</v>
      </c>
      <c r="AA1" t="s">
        <v>261</v>
      </c>
      <c r="AB1" t="s">
        <v>340</v>
      </c>
      <c r="AC1" t="s">
        <v>262</v>
      </c>
      <c r="AD1" t="s">
        <v>263</v>
      </c>
      <c r="AE1" t="s">
        <v>32</v>
      </c>
      <c r="AF1" t="s">
        <v>33</v>
      </c>
      <c r="AG1" t="s">
        <v>341</v>
      </c>
      <c r="AH1" t="s">
        <v>264</v>
      </c>
      <c r="AI1" t="s">
        <v>342</v>
      </c>
      <c r="AJ1" t="s">
        <v>34</v>
      </c>
      <c r="AK1" t="s">
        <v>343</v>
      </c>
      <c r="AL1" t="s">
        <v>95</v>
      </c>
      <c r="AM1" t="s">
        <v>344</v>
      </c>
      <c r="AN1" t="s">
        <v>345</v>
      </c>
      <c r="AO1" t="s">
        <v>346</v>
      </c>
      <c r="AP1" t="s">
        <v>347</v>
      </c>
      <c r="AQ1" t="s">
        <v>348</v>
      </c>
      <c r="AR1" t="s">
        <v>349</v>
      </c>
      <c r="AS1" t="s">
        <v>350</v>
      </c>
      <c r="AT1" t="s">
        <v>351</v>
      </c>
      <c r="AU1" t="s">
        <v>352</v>
      </c>
      <c r="AV1" t="s">
        <v>353</v>
      </c>
      <c r="AW1" t="s">
        <v>354</v>
      </c>
      <c r="AX1" t="s">
        <v>265</v>
      </c>
      <c r="AY1" t="s">
        <v>96</v>
      </c>
      <c r="AZ1" t="s">
        <v>97</v>
      </c>
      <c r="BA1" t="s">
        <v>98</v>
      </c>
      <c r="BB1" t="s">
        <v>99</v>
      </c>
      <c r="BC1" t="s">
        <v>222</v>
      </c>
      <c r="BD1" t="s">
        <v>100</v>
      </c>
      <c r="BE1" t="s">
        <v>101</v>
      </c>
      <c r="BF1" t="s">
        <v>102</v>
      </c>
      <c r="BG1" t="s">
        <v>103</v>
      </c>
      <c r="BH1" t="s">
        <v>355</v>
      </c>
      <c r="BI1" t="s">
        <v>356</v>
      </c>
      <c r="BJ1" t="s">
        <v>357</v>
      </c>
      <c r="BK1" t="s">
        <v>358</v>
      </c>
      <c r="BL1" t="s">
        <v>359</v>
      </c>
      <c r="BM1" t="s">
        <v>360</v>
      </c>
      <c r="BN1" t="s">
        <v>266</v>
      </c>
      <c r="BO1" t="s">
        <v>223</v>
      </c>
      <c r="BP1" t="s">
        <v>104</v>
      </c>
      <c r="BQ1" t="s">
        <v>267</v>
      </c>
      <c r="BR1" t="s">
        <v>224</v>
      </c>
      <c r="BS1" t="s">
        <v>105</v>
      </c>
      <c r="BT1" t="s">
        <v>361</v>
      </c>
      <c r="BU1" t="s">
        <v>268</v>
      </c>
      <c r="BV1" t="s">
        <v>362</v>
      </c>
      <c r="BW1" t="s">
        <v>212</v>
      </c>
      <c r="BX1" t="s">
        <v>106</v>
      </c>
      <c r="BY1" t="s">
        <v>363</v>
      </c>
      <c r="BZ1" t="s">
        <v>213</v>
      </c>
      <c r="CA1" t="s">
        <v>107</v>
      </c>
      <c r="CB1" t="s">
        <v>364</v>
      </c>
      <c r="CC1" t="s">
        <v>365</v>
      </c>
      <c r="CD1" t="s">
        <v>366</v>
      </c>
      <c r="CE1" t="s">
        <v>367</v>
      </c>
      <c r="CF1" s="1" t="s">
        <v>269</v>
      </c>
      <c r="CG1" s="1" t="s">
        <v>270</v>
      </c>
      <c r="CH1" s="1" t="s">
        <v>199</v>
      </c>
      <c r="CI1" s="1" t="s">
        <v>200</v>
      </c>
      <c r="CJ1" s="1" t="s">
        <v>201</v>
      </c>
      <c r="CK1" s="1" t="s">
        <v>202</v>
      </c>
      <c r="CL1" s="1" t="s">
        <v>203</v>
      </c>
      <c r="CM1" s="1" t="s">
        <v>204</v>
      </c>
      <c r="CN1" s="1" t="s">
        <v>205</v>
      </c>
      <c r="CO1" s="1" t="s">
        <v>206</v>
      </c>
      <c r="CP1" s="1" t="s">
        <v>207</v>
      </c>
      <c r="CQ1" s="1" t="s">
        <v>208</v>
      </c>
      <c r="CR1" s="1" t="s">
        <v>271</v>
      </c>
      <c r="CS1" s="1" t="s">
        <v>272</v>
      </c>
      <c r="CT1" s="1" t="s">
        <v>368</v>
      </c>
      <c r="CU1" s="1" t="s">
        <v>273</v>
      </c>
      <c r="CV1" s="1" t="s">
        <v>274</v>
      </c>
      <c r="CW1" s="1" t="s">
        <v>275</v>
      </c>
      <c r="CX1">
        <v>1</v>
      </c>
      <c r="CY1" t="s">
        <v>276</v>
      </c>
      <c r="CZ1" t="s">
        <v>277</v>
      </c>
      <c r="DA1">
        <v>3</v>
      </c>
      <c r="DB1" t="s">
        <v>278</v>
      </c>
      <c r="DC1" t="s">
        <v>279</v>
      </c>
      <c r="DD1">
        <v>6</v>
      </c>
      <c r="DE1" t="s">
        <v>280</v>
      </c>
      <c r="DF1" t="s">
        <v>369</v>
      </c>
      <c r="DG1">
        <v>10</v>
      </c>
      <c r="DH1" t="s">
        <v>281</v>
      </c>
      <c r="DI1" t="s">
        <v>282</v>
      </c>
      <c r="DJ1">
        <v>20</v>
      </c>
      <c r="DK1" t="s">
        <v>283</v>
      </c>
      <c r="DL1" t="s">
        <v>209</v>
      </c>
      <c r="DM1" t="s">
        <v>210</v>
      </c>
      <c r="DN1" s="2" t="s">
        <v>211</v>
      </c>
      <c r="DO1" t="s">
        <v>284</v>
      </c>
      <c r="DP1" t="s">
        <v>285</v>
      </c>
      <c r="DQ1" s="6" t="s">
        <v>286</v>
      </c>
      <c r="DR1" s="1" t="s">
        <v>287</v>
      </c>
      <c r="DS1" s="1" t="s">
        <v>288</v>
      </c>
      <c r="DT1" t="s">
        <v>289</v>
      </c>
      <c r="DU1" t="s">
        <v>290</v>
      </c>
      <c r="DV1" t="s">
        <v>291</v>
      </c>
      <c r="DW1" t="s">
        <v>292</v>
      </c>
      <c r="DX1" t="s">
        <v>293</v>
      </c>
      <c r="DY1" t="s">
        <v>294</v>
      </c>
      <c r="DZ1" t="s">
        <v>295</v>
      </c>
      <c r="EA1" t="s">
        <v>296</v>
      </c>
      <c r="EB1" t="s">
        <v>297</v>
      </c>
      <c r="EC1" t="s">
        <v>298</v>
      </c>
      <c r="ED1" t="s">
        <v>299</v>
      </c>
      <c r="EE1" t="s">
        <v>300</v>
      </c>
      <c r="EF1" t="s">
        <v>301</v>
      </c>
      <c r="EG1" t="s">
        <v>302</v>
      </c>
      <c r="EH1" t="s">
        <v>303</v>
      </c>
      <c r="EI1" t="s">
        <v>370</v>
      </c>
      <c r="EK1" s="7" t="s">
        <v>304</v>
      </c>
      <c r="EL1" t="s">
        <v>371</v>
      </c>
      <c r="EM1" t="s">
        <v>372</v>
      </c>
      <c r="EN1" t="s">
        <v>305</v>
      </c>
      <c r="EO1" t="s">
        <v>373</v>
      </c>
      <c r="EP1" t="s">
        <v>374</v>
      </c>
    </row>
    <row r="2" spans="1:146" ht="168" x14ac:dyDescent="0.25">
      <c r="A2" s="14"/>
      <c r="B2" s="14"/>
      <c r="C2" s="14" t="str">
        <f>"公司的主营业务为酒店服务业，房地产，餐饮，主要产品或提供的劳务为住宿、餐饮及商品房销售。公司经过多年的积累，形成优质品牌，服务文化及管理文化等核心竞争力，公司是湖南省首家五星级酒店"&amp;CHAR(10)&amp;Basic_Fundamental_Information_Constructure(F2)&amp;CHAR(10)&amp;Basic_Fundamental_Information_Concatenate("客房 7806.55万 34.87% -45.00% -11.50%
餐饮 7763.65万 34.68% 26.78% 6.88%
其他 6263.35万 27.98% 115.80% 36.87%
娱乐 554.49万 2.48% 2.41% 8.68%")</f>
        <v>公司的主营业务为酒店服务业，房地产，餐饮，主要产品或提供的劳务为住宿、餐饮及商品房销售。公司经过多年的积累，形成优质品牌，服务文化及管理文化等核心竞争力，公司是湖南省首家五星级酒店
市值29.345069亿, 利润-1.26亿; PE; 平均PE-13.61; 平均PEG-26.07, PB1.74; ROIC8.6%; ROE-5.74%; 股利率0%; 毛利15.4967%; 净利-34.3733%; 上一年度营收增45.15%, 利润增59.49%; 当季营收增5.26%, 利润增-6.9%; 过往5年营收增.52%, 利润增-260.8%
Income profile:
客房 7806.55万 34.87% -45.00% -11.50%
餐饮 7763.65万 34.68% 26.78% 6.88%
其他 6263.35万 27.98% 115.80% 36.87%
娱乐 554.49万 2.48% 2.41% 8.68%</v>
      </c>
      <c r="D2" t="s">
        <v>419</v>
      </c>
      <c r="E2" t="s">
        <v>420</v>
      </c>
      <c r="F2">
        <v>2.88</v>
      </c>
      <c r="G2">
        <v>1.05</v>
      </c>
      <c r="H2" t="s">
        <v>421</v>
      </c>
      <c r="I2">
        <v>2934506900</v>
      </c>
      <c r="K2">
        <v>1.74</v>
      </c>
      <c r="L2" t="s">
        <v>422</v>
      </c>
      <c r="M2" t="s">
        <v>423</v>
      </c>
      <c r="N2" t="s">
        <v>424</v>
      </c>
      <c r="O2" t="s">
        <v>319</v>
      </c>
      <c r="P2" s="5">
        <v>4.9000000000000004</v>
      </c>
      <c r="Q2" t="s">
        <v>425</v>
      </c>
      <c r="R2">
        <v>-46862891</v>
      </c>
      <c r="S2">
        <v>-6.9000000000000006E-2</v>
      </c>
      <c r="T2" t="s">
        <v>426</v>
      </c>
      <c r="U2">
        <v>1018888500</v>
      </c>
      <c r="V2">
        <v>1018926000</v>
      </c>
      <c r="W2">
        <v>3.92</v>
      </c>
      <c r="X2">
        <v>0.03</v>
      </c>
      <c r="Y2">
        <v>-42.55</v>
      </c>
      <c r="Z2" t="s">
        <v>75</v>
      </c>
      <c r="AA2" t="s">
        <v>427</v>
      </c>
      <c r="AB2" t="s">
        <v>428</v>
      </c>
      <c r="AC2" t="s">
        <v>429</v>
      </c>
      <c r="AD2" t="s">
        <v>19</v>
      </c>
      <c r="AE2">
        <v>28656596</v>
      </c>
      <c r="AF2" t="s">
        <v>430</v>
      </c>
      <c r="AG2" t="s">
        <v>431</v>
      </c>
      <c r="AH2" t="s">
        <v>432</v>
      </c>
      <c r="AI2" t="s">
        <v>215</v>
      </c>
      <c r="AJ2" t="s">
        <v>433</v>
      </c>
      <c r="AK2" t="s">
        <v>19</v>
      </c>
      <c r="AL2" t="s">
        <v>434</v>
      </c>
      <c r="AM2" t="s">
        <v>19</v>
      </c>
      <c r="AN2" t="s">
        <v>435</v>
      </c>
      <c r="AO2" t="s">
        <v>436</v>
      </c>
      <c r="AP2" t="s">
        <v>19</v>
      </c>
      <c r="AQ2" t="s">
        <v>437</v>
      </c>
      <c r="AR2" t="s">
        <v>438</v>
      </c>
      <c r="AS2" t="s">
        <v>439</v>
      </c>
      <c r="AT2" t="s">
        <v>440</v>
      </c>
      <c r="AU2" t="s">
        <v>441</v>
      </c>
      <c r="AV2" t="s">
        <v>442</v>
      </c>
      <c r="AW2" t="s">
        <v>443</v>
      </c>
      <c r="AX2" t="s">
        <v>392</v>
      </c>
      <c r="AY2" t="s">
        <v>444</v>
      </c>
      <c r="AZ2" t="s">
        <v>445</v>
      </c>
      <c r="BA2" t="s">
        <v>446</v>
      </c>
      <c r="BB2" t="s">
        <v>447</v>
      </c>
      <c r="BC2" t="s">
        <v>448</v>
      </c>
      <c r="BD2" t="s">
        <v>449</v>
      </c>
      <c r="BE2" t="s">
        <v>390</v>
      </c>
      <c r="BF2" t="s">
        <v>450</v>
      </c>
      <c r="BG2" t="s">
        <v>451</v>
      </c>
      <c r="BH2" t="s">
        <v>425</v>
      </c>
      <c r="BI2" t="s">
        <v>334</v>
      </c>
      <c r="BJ2" t="s">
        <v>392</v>
      </c>
      <c r="BK2" t="s">
        <v>426</v>
      </c>
      <c r="BL2" t="s">
        <v>452</v>
      </c>
      <c r="BM2" t="s">
        <v>448</v>
      </c>
      <c r="BN2" t="s">
        <v>19</v>
      </c>
      <c r="BO2" t="s">
        <v>19</v>
      </c>
      <c r="BP2">
        <v>8.6</v>
      </c>
      <c r="BQ2">
        <v>-5.44</v>
      </c>
      <c r="BR2">
        <v>-15.85</v>
      </c>
      <c r="BS2">
        <v>4.07</v>
      </c>
      <c r="BT2" t="s">
        <v>376</v>
      </c>
      <c r="BU2" t="s">
        <v>453</v>
      </c>
      <c r="BV2">
        <v>21.5</v>
      </c>
      <c r="BW2">
        <v>6.29</v>
      </c>
      <c r="BX2">
        <v>18.7</v>
      </c>
      <c r="BY2">
        <v>-24.51</v>
      </c>
      <c r="BZ2">
        <v>-79.8</v>
      </c>
      <c r="CA2">
        <v>1.19</v>
      </c>
      <c r="CB2">
        <v>3.6</v>
      </c>
      <c r="CC2" s="8">
        <v>-7.99</v>
      </c>
      <c r="CD2" s="9" t="s">
        <v>454</v>
      </c>
      <c r="CE2" s="8" t="s">
        <v>455</v>
      </c>
      <c r="CF2" s="8">
        <v>5.2631578947368418E-2</v>
      </c>
      <c r="CG2" s="8">
        <v>-6.8991819956932737E-2</v>
      </c>
      <c r="CH2" s="8">
        <v>0.45147678256034851</v>
      </c>
      <c r="CI2" s="8">
        <v>-0.20202019810676575</v>
      </c>
      <c r="CJ2" s="9">
        <v>0.1533980518579483</v>
      </c>
      <c r="CK2" s="9">
        <v>-0.53645366430282593</v>
      </c>
      <c r="CL2" s="9">
        <v>0.15970778465270996</v>
      </c>
      <c r="CM2" s="9">
        <v>0.59485530853271484</v>
      </c>
      <c r="CN2" s="9">
        <v>-4.6922750473022461</v>
      </c>
      <c r="CO2">
        <v>1.1641907691955566</v>
      </c>
      <c r="CP2">
        <v>-11.212104797363281</v>
      </c>
      <c r="CQ2">
        <v>1.1050931215286255</v>
      </c>
      <c r="CR2" s="8">
        <v>-13.611563067920203</v>
      </c>
      <c r="CS2" s="9">
        <v>-26.067045712743745</v>
      </c>
      <c r="CT2">
        <v>0</v>
      </c>
      <c r="CU2">
        <v>5.2217513322830198E-3</v>
      </c>
      <c r="CV2">
        <v>-2.6080481290817259</v>
      </c>
      <c r="CW2">
        <v>0.06</v>
      </c>
      <c r="CX2" t="e">
        <v>#VALUE!</v>
      </c>
      <c r="CY2" t="s">
        <v>308</v>
      </c>
      <c r="CZ2">
        <v>5.2217513322830198E-3</v>
      </c>
      <c r="DA2" t="e">
        <v>#VALUE!</v>
      </c>
      <c r="DB2" t="s">
        <v>309</v>
      </c>
      <c r="DC2">
        <v>4.9606637656688683E-3</v>
      </c>
      <c r="DD2" t="e">
        <v>#VALUE!</v>
      </c>
      <c r="DE2" t="s">
        <v>309</v>
      </c>
      <c r="DF2">
        <v>4.5951411724090572E-3</v>
      </c>
      <c r="DG2" t="e">
        <v>#VALUE!</v>
      </c>
      <c r="DH2" t="s">
        <v>309</v>
      </c>
      <c r="DI2">
        <v>4.1774010658264162E-3</v>
      </c>
      <c r="DJ2" t="e">
        <v>#VALUE!</v>
      </c>
      <c r="DK2" t="s">
        <v>309</v>
      </c>
      <c r="DL2">
        <v>3.6552259325981135E-3</v>
      </c>
      <c r="DM2">
        <v>-126000000</v>
      </c>
      <c r="DN2">
        <v>5.2217513322830198E-3</v>
      </c>
      <c r="DO2">
        <v>5321506900</v>
      </c>
      <c r="DP2">
        <v>-2021450190</v>
      </c>
      <c r="DQ2" s="10">
        <v>88</v>
      </c>
      <c r="DR2">
        <v>4.7409827615085401E-2</v>
      </c>
      <c r="DS2">
        <v>2.5390563091247933</v>
      </c>
      <c r="DT2">
        <v>-0.3066666666666667</v>
      </c>
      <c r="DU2">
        <v>-2.0483333333333333</v>
      </c>
      <c r="DV2">
        <v>-2.355</v>
      </c>
      <c r="DW2">
        <v>6.3106125970664362</v>
      </c>
      <c r="DX2">
        <v>0.3823328413284125</v>
      </c>
      <c r="DY2">
        <v>6.0752716331995069</v>
      </c>
      <c r="DZ2">
        <v>4606</v>
      </c>
      <c r="EA2">
        <v>6.0074240514936497</v>
      </c>
      <c r="EB2" s="11">
        <v>6</v>
      </c>
      <c r="EC2" s="11">
        <v>6.445237436280947E-2</v>
      </c>
      <c r="ED2">
        <v>0.26596632140116161</v>
      </c>
      <c r="EE2">
        <v>1.0458000000000001</v>
      </c>
      <c r="EF2">
        <v>1.0387</v>
      </c>
      <c r="EG2">
        <v>14.242332841328412</v>
      </c>
      <c r="EH2" s="7" t="s">
        <v>310</v>
      </c>
      <c r="EI2">
        <v>0</v>
      </c>
      <c r="EJ2">
        <v>0</v>
      </c>
      <c r="EK2">
        <v>45470</v>
      </c>
      <c r="EL2">
        <v>-0.36</v>
      </c>
      <c r="EM2">
        <v>-3.93</v>
      </c>
      <c r="EN2" s="12">
        <v>3.72</v>
      </c>
      <c r="EO2" s="12">
        <v>0.36</v>
      </c>
      <c r="EP2" s="12">
        <v>-0.71</v>
      </c>
    </row>
    <row r="3" spans="1:146" ht="96" x14ac:dyDescent="0.25">
      <c r="A3" s="14"/>
      <c r="B3" s="14"/>
      <c r="C3" s="14" t="str">
        <f>""&amp;CHAR(10)&amp;Basic_Fundamental_Information_Constructure(F3)&amp;CHAR(10)&amp;Basic_Fundamental_Information_Concatenate("")</f>
        <v xml:space="preserve">
市值24.208098亿, 利润-2.39亿; PE; 平均PE-21.09; 平均PEG-.79, PB2.94; ROIC0%; ROE-11.4267%; 股利率0%; 毛利-37.18%; 净利-107.11%; 上一年度营收增218.18%, 利润增8.08%; 当季营收增-8.48%, 利润增-54.69%; 过往5年营收增26.57%, 利润增-224.61%
Income profile:
</v>
      </c>
      <c r="D3" t="s">
        <v>35</v>
      </c>
      <c r="E3" t="s">
        <v>6</v>
      </c>
      <c r="F3">
        <v>5.98</v>
      </c>
      <c r="G3">
        <v>0.5</v>
      </c>
      <c r="H3" t="s">
        <v>456</v>
      </c>
      <c r="I3">
        <v>2420809800</v>
      </c>
      <c r="K3">
        <v>2.94</v>
      </c>
      <c r="L3" t="s">
        <v>422</v>
      </c>
      <c r="M3" t="s">
        <v>457</v>
      </c>
      <c r="N3" t="s">
        <v>401</v>
      </c>
      <c r="O3" t="s">
        <v>458</v>
      </c>
      <c r="P3">
        <v>-8.48</v>
      </c>
      <c r="Q3" t="s">
        <v>459</v>
      </c>
      <c r="R3">
        <v>-46481935</v>
      </c>
      <c r="S3" s="5">
        <v>-0.54690000000000005</v>
      </c>
      <c r="T3" t="s">
        <v>460</v>
      </c>
      <c r="U3">
        <v>331738800</v>
      </c>
      <c r="V3">
        <v>404817690</v>
      </c>
      <c r="W3">
        <v>3.14</v>
      </c>
      <c r="X3">
        <v>0.02</v>
      </c>
      <c r="Y3">
        <v>-79.3</v>
      </c>
      <c r="Z3" t="s">
        <v>331</v>
      </c>
      <c r="AA3" t="s">
        <v>461</v>
      </c>
      <c r="AB3" t="s">
        <v>462</v>
      </c>
      <c r="AC3" t="s">
        <v>463</v>
      </c>
      <c r="AD3" t="s">
        <v>19</v>
      </c>
      <c r="AE3">
        <v>15287175</v>
      </c>
      <c r="AF3" t="s">
        <v>74</v>
      </c>
      <c r="AG3" t="s">
        <v>464</v>
      </c>
      <c r="AH3" t="s">
        <v>465</v>
      </c>
      <c r="AI3" t="s">
        <v>466</v>
      </c>
      <c r="AJ3" t="s">
        <v>467</v>
      </c>
      <c r="AK3" t="s">
        <v>19</v>
      </c>
      <c r="AL3" t="s">
        <v>468</v>
      </c>
      <c r="AM3" t="s">
        <v>19</v>
      </c>
      <c r="AN3" t="s">
        <v>469</v>
      </c>
      <c r="AO3" t="s">
        <v>470</v>
      </c>
      <c r="AP3" t="s">
        <v>19</v>
      </c>
      <c r="AQ3" t="s">
        <v>108</v>
      </c>
      <c r="AR3" t="s">
        <v>471</v>
      </c>
      <c r="AS3" t="s">
        <v>472</v>
      </c>
      <c r="AT3" t="s">
        <v>473</v>
      </c>
      <c r="AU3" t="s">
        <v>474</v>
      </c>
      <c r="AV3" t="s">
        <v>475</v>
      </c>
      <c r="AW3" t="s">
        <v>476</v>
      </c>
      <c r="AX3" t="s">
        <v>215</v>
      </c>
      <c r="AY3" t="s">
        <v>225</v>
      </c>
      <c r="AZ3" t="s">
        <v>108</v>
      </c>
      <c r="BA3" t="s">
        <v>36</v>
      </c>
      <c r="BB3" t="s">
        <v>110</v>
      </c>
      <c r="BC3" t="s">
        <v>477</v>
      </c>
      <c r="BD3" t="s">
        <v>226</v>
      </c>
      <c r="BE3" t="s">
        <v>109</v>
      </c>
      <c r="BF3" t="s">
        <v>37</v>
      </c>
      <c r="BG3" t="s">
        <v>112</v>
      </c>
      <c r="BH3" t="s">
        <v>459</v>
      </c>
      <c r="BI3" t="s">
        <v>478</v>
      </c>
      <c r="BJ3" t="s">
        <v>215</v>
      </c>
      <c r="BK3" t="s">
        <v>460</v>
      </c>
      <c r="BL3" t="s">
        <v>479</v>
      </c>
      <c r="BM3" t="s">
        <v>477</v>
      </c>
      <c r="BN3" t="s">
        <v>19</v>
      </c>
      <c r="BO3" t="s">
        <v>19</v>
      </c>
      <c r="BP3" t="s">
        <v>19</v>
      </c>
      <c r="BQ3">
        <v>-3.88</v>
      </c>
      <c r="BR3">
        <v>-21.01</v>
      </c>
      <c r="BS3">
        <v>-9.39</v>
      </c>
      <c r="BT3" t="s">
        <v>376</v>
      </c>
      <c r="BU3" t="s">
        <v>307</v>
      </c>
      <c r="BV3">
        <v>10.84</v>
      </c>
      <c r="BW3">
        <v>-100.4</v>
      </c>
      <c r="BX3">
        <v>-21.98</v>
      </c>
      <c r="BY3">
        <v>-56.99</v>
      </c>
      <c r="BZ3">
        <v>-196.31</v>
      </c>
      <c r="CA3">
        <v>-68.03</v>
      </c>
      <c r="CB3">
        <v>1.7</v>
      </c>
      <c r="CC3">
        <v>-2.92</v>
      </c>
      <c r="CD3" t="s">
        <v>480</v>
      </c>
      <c r="CE3" t="s">
        <v>380</v>
      </c>
      <c r="CF3" s="8">
        <v>-8.4823115380171565E-2</v>
      </c>
      <c r="CG3" s="9">
        <v>-0.54693820159280082</v>
      </c>
      <c r="CH3" s="8">
        <v>2.1818182468414307</v>
      </c>
      <c r="CI3" s="8">
        <v>-0.33668342232704163</v>
      </c>
      <c r="CJ3" s="8">
        <v>0.17751479148864746</v>
      </c>
      <c r="CK3" s="8">
        <v>-0.60235291719436646</v>
      </c>
      <c r="CL3" s="8">
        <v>-9.1880343854427338E-2</v>
      </c>
      <c r="CM3" s="9">
        <v>8.0769233405590057E-2</v>
      </c>
      <c r="CN3" s="9">
        <v>-0.92592591047286987</v>
      </c>
      <c r="CO3" s="9">
        <v>-0.46412083506584167</v>
      </c>
      <c r="CP3" s="9">
        <v>-9.3399372100830078</v>
      </c>
      <c r="CQ3" s="9">
        <v>-0.58127778768539429</v>
      </c>
      <c r="CR3">
        <v>-21.088855872348823</v>
      </c>
      <c r="CS3">
        <v>-0.79375926808260455</v>
      </c>
      <c r="CT3">
        <v>0</v>
      </c>
      <c r="CU3" s="8">
        <v>0.26568327099084854</v>
      </c>
      <c r="CV3" s="9">
        <v>-2.2460985019803048</v>
      </c>
      <c r="CW3">
        <v>0.06</v>
      </c>
      <c r="CX3" t="e">
        <v>#VALUE!</v>
      </c>
      <c r="CY3" t="s">
        <v>308</v>
      </c>
      <c r="CZ3">
        <v>0.26568327099084854</v>
      </c>
      <c r="DA3" t="e">
        <v>#VALUE!</v>
      </c>
      <c r="DB3" t="s">
        <v>309</v>
      </c>
      <c r="DC3">
        <v>0.25239910744130611</v>
      </c>
      <c r="DD3" t="e">
        <v>#VALUE!</v>
      </c>
      <c r="DE3" t="s">
        <v>309</v>
      </c>
      <c r="DF3">
        <v>0.23380127847194671</v>
      </c>
      <c r="DG3" t="e">
        <v>#VALUE!</v>
      </c>
      <c r="DH3" t="s">
        <v>309</v>
      </c>
      <c r="DI3">
        <v>0.21254661679267883</v>
      </c>
      <c r="DJ3" t="e">
        <v>#VALUE!</v>
      </c>
      <c r="DK3" t="s">
        <v>309</v>
      </c>
      <c r="DL3">
        <v>0.18597828969359398</v>
      </c>
      <c r="DM3">
        <v>-239000000</v>
      </c>
      <c r="DN3">
        <v>0.26568327099084854</v>
      </c>
      <c r="DO3">
        <v>3414809800</v>
      </c>
      <c r="DP3">
        <v>-469348614</v>
      </c>
      <c r="DQ3">
        <v>90</v>
      </c>
      <c r="DR3">
        <v>-0.35050638637102011</v>
      </c>
      <c r="DS3">
        <v>1.699160300387504</v>
      </c>
      <c r="DT3" s="10">
        <v>-0.39000000000000007</v>
      </c>
      <c r="DU3">
        <v>-3.331666666666667</v>
      </c>
      <c r="DV3">
        <v>-3.7216666666666671</v>
      </c>
      <c r="DW3">
        <v>-1.0291999999999999</v>
      </c>
      <c r="DX3">
        <v>0.24833155737704984</v>
      </c>
      <c r="DY3">
        <v>-1.0046232814754099</v>
      </c>
      <c r="DZ3">
        <v>5048</v>
      </c>
      <c r="EA3">
        <v>-1.0000560946088992</v>
      </c>
      <c r="EB3">
        <v>1</v>
      </c>
      <c r="EC3">
        <v>9.543283545736353E-2</v>
      </c>
      <c r="ED3">
        <v>0.60274045830358847</v>
      </c>
      <c r="EE3" s="11">
        <v>2.1095000000000002</v>
      </c>
      <c r="EF3">
        <v>2.1027</v>
      </c>
      <c r="EG3">
        <v>9.1583315573770498</v>
      </c>
      <c r="EH3" t="s">
        <v>378</v>
      </c>
      <c r="EI3">
        <v>0</v>
      </c>
      <c r="EJ3">
        <v>0</v>
      </c>
      <c r="EK3" s="7">
        <v>45470</v>
      </c>
      <c r="EL3" s="12">
        <v>-0.34</v>
      </c>
      <c r="EM3" s="12">
        <v>-5.22</v>
      </c>
      <c r="EN3" s="12">
        <v>5.33</v>
      </c>
      <c r="EO3" s="12">
        <v>-0.67</v>
      </c>
      <c r="EP3" s="12">
        <v>-0.68</v>
      </c>
    </row>
    <row r="4" spans="1:146" ht="180" x14ac:dyDescent="0.25">
      <c r="A4" s="14"/>
      <c r="B4" s="14"/>
      <c r="C4" s="14" t="str">
        <f>"公司是一家集商旅出行、住宿、会展、景区、汽车服务等业务为一体的综合性旅游集团。目前，公司旗下业务构成主要包括商旅出行、住宿、会展、景区及汽车服务等业务，形成了覆盖旅行社、酒店、餐饮、会展、景区、旅游交通、旅游手信的完整旅游产业链。"&amp;CHAR(10)&amp;Basic_Fundamental_Information_Constructure(F4)&amp;CHAR(10)&amp;Basic_Fundamental_Information_Concatenate("酒店经营 2.22亿 59.26% 14.49% 3.38%
旅行社运营 8710.80万 23.28% 36.42% 21.64%
酒店管理 5647.54万 15.09% 36.22% 33.20%
汽车服务 886.75万 2.37% 12.87% 75.14%")</f>
        <v>公司是一家集商旅出行、住宿、会展、景区、汽车服务等业务为一体的综合性旅游集团。目前，公司旗下业务构成主要包括商旅出行、住宿、会展、景区及汽车服务等业务，形成了覆盖旅行社、酒店、餐饮、会展、景区、旅游交通、旅游手信的完整旅游产业链。
市值54.756042亿, 利润6883.78万; PE65; 平均PE-2496.06; 平均PEG-109.32, PB2.59; ROIC2.87%; ROE-3.72%; 股利率0%; 毛利18.2733%; 净利-8.5067%; 上一年度营收增228.89%, 利润增138.67%; 当季营收增88.89%, 利润增176.89%; 过往5年营收增22.83%, 利润增-4.01%
Income profile:
酒店经营 2.22亿 59.26% 14.49% 3.38%
旅行社运营 8710.80万 23.28% 36.42% 21.64%
酒店管理 5647.54万 15.09% 36.22% 33.20%
汽车服务 886.75万 2.37% 12.87% 75.14%</v>
      </c>
      <c r="D4" t="s">
        <v>38</v>
      </c>
      <c r="E4" t="s">
        <v>10</v>
      </c>
      <c r="F4">
        <v>8.17</v>
      </c>
      <c r="G4">
        <v>2.38</v>
      </c>
      <c r="H4" t="s">
        <v>481</v>
      </c>
      <c r="I4">
        <v>5475604200</v>
      </c>
      <c r="J4">
        <v>65</v>
      </c>
      <c r="K4">
        <v>2.59</v>
      </c>
      <c r="L4" t="s">
        <v>422</v>
      </c>
      <c r="M4" t="s">
        <v>388</v>
      </c>
      <c r="N4" t="s">
        <v>482</v>
      </c>
      <c r="O4" t="s">
        <v>483</v>
      </c>
      <c r="P4">
        <v>89.02</v>
      </c>
      <c r="Q4" t="s">
        <v>484</v>
      </c>
      <c r="R4">
        <v>24112453</v>
      </c>
      <c r="S4" s="5">
        <v>1.7689999999999999</v>
      </c>
      <c r="T4" t="s">
        <v>485</v>
      </c>
      <c r="U4">
        <v>670058200</v>
      </c>
      <c r="V4">
        <v>670208600</v>
      </c>
      <c r="W4">
        <v>1.57</v>
      </c>
      <c r="X4">
        <v>0.27</v>
      </c>
      <c r="Y4">
        <v>2.73</v>
      </c>
      <c r="Z4" t="s">
        <v>486</v>
      </c>
      <c r="AA4" t="s">
        <v>487</v>
      </c>
      <c r="AB4" t="s">
        <v>488</v>
      </c>
      <c r="AC4" t="s">
        <v>489</v>
      </c>
      <c r="AD4" t="s">
        <v>19</v>
      </c>
      <c r="AE4">
        <v>-3561426</v>
      </c>
      <c r="AF4" t="s">
        <v>490</v>
      </c>
      <c r="AG4" t="s">
        <v>491</v>
      </c>
      <c r="AH4" t="s">
        <v>492</v>
      </c>
      <c r="AI4" t="s">
        <v>493</v>
      </c>
      <c r="AJ4" t="s">
        <v>494</v>
      </c>
      <c r="AK4" t="s">
        <v>19</v>
      </c>
      <c r="AL4" t="s">
        <v>495</v>
      </c>
      <c r="AM4" t="s">
        <v>19</v>
      </c>
      <c r="AN4" t="s">
        <v>496</v>
      </c>
      <c r="AO4" t="s">
        <v>19</v>
      </c>
      <c r="AP4" t="s">
        <v>19</v>
      </c>
      <c r="AQ4" t="s">
        <v>185</v>
      </c>
      <c r="AR4" t="s">
        <v>19</v>
      </c>
      <c r="AS4" t="s">
        <v>497</v>
      </c>
      <c r="AT4" t="s">
        <v>19</v>
      </c>
      <c r="AU4" t="s">
        <v>498</v>
      </c>
      <c r="AV4" t="s">
        <v>499</v>
      </c>
      <c r="AW4" t="s">
        <v>500</v>
      </c>
      <c r="AX4" t="s">
        <v>501</v>
      </c>
      <c r="AY4" t="s">
        <v>149</v>
      </c>
      <c r="AZ4" t="s">
        <v>114</v>
      </c>
      <c r="BA4" t="s">
        <v>39</v>
      </c>
      <c r="BB4" t="s">
        <v>118</v>
      </c>
      <c r="BC4" t="s">
        <v>502</v>
      </c>
      <c r="BD4" t="s">
        <v>228</v>
      </c>
      <c r="BE4" t="s">
        <v>115</v>
      </c>
      <c r="BF4" t="s">
        <v>40</v>
      </c>
      <c r="BG4" t="s">
        <v>75</v>
      </c>
      <c r="BH4" t="s">
        <v>484</v>
      </c>
      <c r="BI4" t="s">
        <v>503</v>
      </c>
      <c r="BJ4" t="s">
        <v>501</v>
      </c>
      <c r="BK4" t="s">
        <v>485</v>
      </c>
      <c r="BL4" t="s">
        <v>504</v>
      </c>
      <c r="BM4" t="s">
        <v>502</v>
      </c>
      <c r="BN4">
        <v>2.87</v>
      </c>
      <c r="BO4" t="s">
        <v>19</v>
      </c>
      <c r="BP4" t="s">
        <v>19</v>
      </c>
      <c r="BQ4">
        <v>2.77</v>
      </c>
      <c r="BR4">
        <v>-8.34</v>
      </c>
      <c r="BS4">
        <v>-5.59</v>
      </c>
      <c r="BT4" t="s">
        <v>376</v>
      </c>
      <c r="BU4" t="s">
        <v>311</v>
      </c>
      <c r="BV4">
        <v>20.87</v>
      </c>
      <c r="BW4">
        <v>14.49</v>
      </c>
      <c r="BX4">
        <v>19.46</v>
      </c>
      <c r="BY4">
        <v>2.39</v>
      </c>
      <c r="BZ4">
        <v>-18.43</v>
      </c>
      <c r="CA4">
        <v>-9.48</v>
      </c>
      <c r="CB4">
        <v>1.36</v>
      </c>
      <c r="CC4">
        <v>-10.91</v>
      </c>
      <c r="CD4" t="s">
        <v>505</v>
      </c>
      <c r="CE4" t="s">
        <v>320</v>
      </c>
      <c r="CF4" s="8">
        <v>0.88888888888888917</v>
      </c>
      <c r="CG4" s="9">
        <v>1.768872927288595</v>
      </c>
      <c r="CH4" s="8">
        <v>2.2888889312744141</v>
      </c>
      <c r="CI4" s="8">
        <v>-0.32175621390342712</v>
      </c>
      <c r="CJ4" s="8">
        <v>-0.18743343651294708</v>
      </c>
      <c r="CK4" s="8">
        <v>-0.76442545652389526</v>
      </c>
      <c r="CL4" s="8">
        <v>0.12630681693553925</v>
      </c>
      <c r="CM4" s="9">
        <v>1.3867291212081909</v>
      </c>
      <c r="CN4" s="9">
        <v>-0.390625</v>
      </c>
      <c r="CO4" s="9">
        <v>0.46666666865348816</v>
      </c>
      <c r="CP4" s="9">
        <v>-1.9266408681869507</v>
      </c>
      <c r="CQ4" s="9">
        <v>0.26341462135314941</v>
      </c>
      <c r="CR4">
        <v>-2496.0588047590768</v>
      </c>
      <c r="CS4">
        <v>-109.32468169672714</v>
      </c>
      <c r="CT4">
        <v>0</v>
      </c>
      <c r="CU4" s="8">
        <v>0.22831612825393677</v>
      </c>
      <c r="CV4" s="9">
        <v>-4.009109139442444E-2</v>
      </c>
      <c r="CW4">
        <v>0.06</v>
      </c>
      <c r="CX4">
        <v>56.934827817815425</v>
      </c>
      <c r="CY4">
        <v>79768471.673130989</v>
      </c>
      <c r="CZ4">
        <v>0.22831612825393677</v>
      </c>
      <c r="DA4">
        <v>16.580923392550687</v>
      </c>
      <c r="DB4">
        <v>273905384.66876984</v>
      </c>
      <c r="DC4">
        <v>0.21690032184123992</v>
      </c>
      <c r="DD4">
        <v>6.9451945307660621</v>
      </c>
      <c r="DE4">
        <v>653920373.2712518</v>
      </c>
      <c r="DF4">
        <v>0.20091819286346435</v>
      </c>
      <c r="DG4">
        <v>3.4402135262995754</v>
      </c>
      <c r="DH4">
        <v>1320151835.1348157</v>
      </c>
      <c r="DI4">
        <v>0.18265290260314943</v>
      </c>
      <c r="DJ4">
        <v>1.1245643303125734</v>
      </c>
      <c r="DK4">
        <v>4038545486.0885172</v>
      </c>
      <c r="DL4">
        <v>0.15982128977775573</v>
      </c>
      <c r="DM4">
        <v>68837800</v>
      </c>
      <c r="DN4">
        <v>0.22831612825393677</v>
      </c>
      <c r="DO4">
        <v>4541604200</v>
      </c>
      <c r="DP4">
        <v>640172900.00000012</v>
      </c>
      <c r="DQ4">
        <v>110</v>
      </c>
      <c r="DR4">
        <v>0.66057276063495241</v>
      </c>
      <c r="DS4">
        <v>1.8089640186830194</v>
      </c>
      <c r="DT4" s="10">
        <v>-0.65666666666666673</v>
      </c>
      <c r="DU4">
        <v>-1.0666666666666667</v>
      </c>
      <c r="DV4">
        <v>-1.7233333333333334</v>
      </c>
      <c r="DW4">
        <v>-2.1091000000000002</v>
      </c>
      <c r="DX4">
        <v>0.34941344537815167</v>
      </c>
      <c r="DY4">
        <v>-2.0141190068907564</v>
      </c>
      <c r="DZ4">
        <v>4201</v>
      </c>
      <c r="EA4">
        <v>-2.0025115806778273</v>
      </c>
      <c r="EB4">
        <v>2</v>
      </c>
      <c r="EC4">
        <v>4.5956438040335501E-2</v>
      </c>
      <c r="ED4">
        <v>0.35511331845040484</v>
      </c>
      <c r="EE4" s="11">
        <v>-1.0939099999999999</v>
      </c>
      <c r="EF4">
        <v>-1.1001099999999999</v>
      </c>
      <c r="EG4">
        <v>22.129413445378152</v>
      </c>
      <c r="EH4" t="s">
        <v>406</v>
      </c>
      <c r="EI4">
        <v>0</v>
      </c>
      <c r="EJ4">
        <v>0</v>
      </c>
      <c r="EK4" s="7">
        <v>45470</v>
      </c>
      <c r="EL4" s="12">
        <v>0.5</v>
      </c>
      <c r="EM4" s="12">
        <v>-4.12</v>
      </c>
      <c r="EN4" s="12">
        <v>2.4700000000000002</v>
      </c>
      <c r="EO4" s="12">
        <v>1.78</v>
      </c>
      <c r="EP4" s="12">
        <v>-0.62</v>
      </c>
    </row>
    <row r="5" spans="1:146" ht="96" x14ac:dyDescent="0.25">
      <c r="A5" s="14"/>
      <c r="B5" s="14"/>
      <c r="C5" s="14" t="str">
        <f>""&amp;CHAR(10)&amp;Basic_Fundamental_Information_Constructure(F5)&amp;CHAR(10)&amp;Basic_Fundamental_Information_Concatenate("")</f>
        <v xml:space="preserve">
市值28.234004亿, 利润5619.35万; PE62.39; 平均PE-104.77; 平均PEG-70.82, PB2.54; ROIC0%; ROE-4.4%; 股利率0%; 毛利24.4933%; 净利-26.9133%; 上一年度营收增-5.2%, 利润增433.04%; 当季营收增-45.42%, 利润增-29.24%; 过往5年营收增1.48%, 利润增50.17%
Income profile:
</v>
      </c>
      <c r="D5" t="s">
        <v>506</v>
      </c>
      <c r="E5" t="s">
        <v>507</v>
      </c>
      <c r="F5">
        <v>2.19</v>
      </c>
      <c r="G5">
        <v>1.39</v>
      </c>
      <c r="H5" t="s">
        <v>508</v>
      </c>
      <c r="I5">
        <v>2823400400</v>
      </c>
      <c r="J5">
        <v>62.39</v>
      </c>
      <c r="K5">
        <v>2.54</v>
      </c>
      <c r="L5" t="s">
        <v>422</v>
      </c>
      <c r="M5" t="s">
        <v>509</v>
      </c>
      <c r="N5" t="s">
        <v>510</v>
      </c>
      <c r="O5" t="s">
        <v>511</v>
      </c>
      <c r="P5" s="5">
        <v>-45.36</v>
      </c>
      <c r="Q5" t="s">
        <v>130</v>
      </c>
      <c r="R5">
        <v>26469889</v>
      </c>
      <c r="S5">
        <v>-0.29239999999999999</v>
      </c>
      <c r="T5" t="s">
        <v>512</v>
      </c>
      <c r="U5">
        <v>1288684610</v>
      </c>
      <c r="V5">
        <v>1289223950</v>
      </c>
      <c r="W5">
        <v>1.53</v>
      </c>
      <c r="X5">
        <v>0.05</v>
      </c>
      <c r="Y5">
        <v>43.16</v>
      </c>
      <c r="Z5" t="s">
        <v>513</v>
      </c>
      <c r="AA5" t="s">
        <v>514</v>
      </c>
      <c r="AB5" t="s">
        <v>515</v>
      </c>
      <c r="AC5" t="s">
        <v>516</v>
      </c>
      <c r="AD5" t="s">
        <v>19</v>
      </c>
      <c r="AE5">
        <v>1036033</v>
      </c>
      <c r="AF5" t="s">
        <v>517</v>
      </c>
      <c r="AG5" t="s">
        <v>518</v>
      </c>
      <c r="AH5" t="s">
        <v>519</v>
      </c>
      <c r="AI5" t="s">
        <v>225</v>
      </c>
      <c r="AJ5" t="s">
        <v>520</v>
      </c>
      <c r="AK5" t="s">
        <v>19</v>
      </c>
      <c r="AL5" t="s">
        <v>521</v>
      </c>
      <c r="AM5" t="s">
        <v>19</v>
      </c>
      <c r="AN5" t="s">
        <v>227</v>
      </c>
      <c r="AO5" t="s">
        <v>522</v>
      </c>
      <c r="AP5" t="s">
        <v>19</v>
      </c>
      <c r="AQ5" t="s">
        <v>523</v>
      </c>
      <c r="AR5" t="s">
        <v>524</v>
      </c>
      <c r="AS5" t="s">
        <v>220</v>
      </c>
      <c r="AT5" t="s">
        <v>525</v>
      </c>
      <c r="AU5" t="s">
        <v>526</v>
      </c>
      <c r="AV5" t="s">
        <v>527</v>
      </c>
      <c r="AW5" t="s">
        <v>528</v>
      </c>
      <c r="AX5" t="s">
        <v>529</v>
      </c>
      <c r="AY5" t="s">
        <v>219</v>
      </c>
      <c r="AZ5" t="s">
        <v>319</v>
      </c>
      <c r="BA5" t="s">
        <v>317</v>
      </c>
      <c r="BB5" t="s">
        <v>387</v>
      </c>
      <c r="BC5" t="s">
        <v>530</v>
      </c>
      <c r="BD5" t="s">
        <v>531</v>
      </c>
      <c r="BE5" t="s">
        <v>532</v>
      </c>
      <c r="BF5" t="s">
        <v>533</v>
      </c>
      <c r="BG5" t="s">
        <v>534</v>
      </c>
      <c r="BH5" t="s">
        <v>130</v>
      </c>
      <c r="BI5" t="s">
        <v>385</v>
      </c>
      <c r="BJ5" t="s">
        <v>529</v>
      </c>
      <c r="BK5" t="s">
        <v>512</v>
      </c>
      <c r="BL5" t="s">
        <v>535</v>
      </c>
      <c r="BM5" t="s">
        <v>530</v>
      </c>
      <c r="BN5" t="s">
        <v>19</v>
      </c>
      <c r="BO5" t="s">
        <v>19</v>
      </c>
      <c r="BP5" t="s">
        <v>19</v>
      </c>
      <c r="BQ5">
        <v>-1.88</v>
      </c>
      <c r="BR5">
        <v>-3.27</v>
      </c>
      <c r="BS5">
        <v>-8.0500000000000007</v>
      </c>
      <c r="BT5" t="s">
        <v>376</v>
      </c>
      <c r="BU5" t="s">
        <v>307</v>
      </c>
      <c r="BV5">
        <v>36.159999999999997</v>
      </c>
      <c r="BW5">
        <v>28.91</v>
      </c>
      <c r="BX5">
        <v>8.41</v>
      </c>
      <c r="BY5">
        <v>24.55</v>
      </c>
      <c r="BZ5">
        <v>-31.3</v>
      </c>
      <c r="CA5">
        <v>-73.989999999999995</v>
      </c>
      <c r="CB5">
        <v>2.34</v>
      </c>
      <c r="CC5" s="8">
        <v>-14.45</v>
      </c>
      <c r="CD5" s="9" t="s">
        <v>536</v>
      </c>
      <c r="CE5" s="8" t="s">
        <v>394</v>
      </c>
      <c r="CF5" s="8">
        <v>-0.4541877906976744</v>
      </c>
      <c r="CG5" s="8">
        <v>-0.29239085744837268</v>
      </c>
      <c r="CH5" s="8">
        <v>-5.2044611424207687E-2</v>
      </c>
      <c r="CI5" s="8">
        <v>0.90780138969421387</v>
      </c>
      <c r="CJ5" s="9">
        <v>7.1428571827709675E-3</v>
      </c>
      <c r="CK5" s="9">
        <v>1.4492753893136978E-2</v>
      </c>
      <c r="CL5" s="9">
        <v>-0.80341881513595581</v>
      </c>
      <c r="CM5" s="9">
        <v>4.3303995132446289</v>
      </c>
      <c r="CN5" s="9">
        <v>0.8208770751953125</v>
      </c>
      <c r="CO5">
        <v>-0.31340345740318298</v>
      </c>
      <c r="CP5">
        <v>-3.7553353309631348</v>
      </c>
      <c r="CQ5">
        <v>1.425851583480835</v>
      </c>
      <c r="CR5" s="8">
        <v>-104.77048387475834</v>
      </c>
      <c r="CS5" s="9">
        <v>-70.816156305621732</v>
      </c>
      <c r="CT5">
        <v>0</v>
      </c>
      <c r="CU5">
        <v>1.4794714841991663E-2</v>
      </c>
      <c r="CV5">
        <v>0.5016778767108917</v>
      </c>
      <c r="CW5">
        <v>0.06</v>
      </c>
      <c r="CX5">
        <v>41.589653018665039</v>
      </c>
      <c r="CY5">
        <v>53797044.158937223</v>
      </c>
      <c r="CZ5">
        <v>1.4794714841991663E-2</v>
      </c>
      <c r="DA5">
        <v>14.492419493055131</v>
      </c>
      <c r="DB5">
        <v>154384186.92421773</v>
      </c>
      <c r="DC5">
        <v>1.4054979099892079E-2</v>
      </c>
      <c r="DD5">
        <v>7.7537898681766393</v>
      </c>
      <c r="DE5">
        <v>288555717.66044533</v>
      </c>
      <c r="DF5">
        <v>1.3019349060952663E-2</v>
      </c>
      <c r="DG5">
        <v>5.0964494525628101</v>
      </c>
      <c r="DH5">
        <v>439011594.41008419</v>
      </c>
      <c r="DI5">
        <v>1.1835771873593331E-2</v>
      </c>
      <c r="DJ5">
        <v>3.1715438167296894</v>
      </c>
      <c r="DK5">
        <v>705460977.14238</v>
      </c>
      <c r="DL5">
        <v>1.0356300389394163E-2</v>
      </c>
      <c r="DM5">
        <v>56193500</v>
      </c>
      <c r="DN5">
        <v>1.4794714841991663E-2</v>
      </c>
      <c r="DO5">
        <v>2237400400</v>
      </c>
      <c r="DP5">
        <v>49193810</v>
      </c>
      <c r="DQ5" s="10">
        <v>138</v>
      </c>
      <c r="DR5">
        <v>-0.46898250553966608</v>
      </c>
      <c r="DS5">
        <v>-0.79406873415926438</v>
      </c>
      <c r="DT5">
        <v>-0.34</v>
      </c>
      <c r="DU5">
        <v>-1.0366666666666668</v>
      </c>
      <c r="DV5">
        <v>-1.3766666666666669</v>
      </c>
      <c r="DW5">
        <v>-2.1444999999999999</v>
      </c>
      <c r="DX5">
        <v>0.2811897025171618</v>
      </c>
      <c r="DY5">
        <v>-2.0189569120137301</v>
      </c>
      <c r="DZ5">
        <v>3924</v>
      </c>
      <c r="EA5">
        <v>-2.0043997842755936</v>
      </c>
      <c r="EB5" s="11">
        <v>2</v>
      </c>
      <c r="EC5" s="11">
        <v>4.4468534733627933E-2</v>
      </c>
      <c r="ED5">
        <v>0.33896360674962639</v>
      </c>
      <c r="EE5">
        <v>1.0575000000000001</v>
      </c>
      <c r="EF5">
        <v>1.0392999999999999</v>
      </c>
      <c r="EG5">
        <v>15.131189702517162</v>
      </c>
      <c r="EH5" s="7" t="s">
        <v>310</v>
      </c>
      <c r="EI5">
        <v>0</v>
      </c>
      <c r="EJ5">
        <v>0</v>
      </c>
      <c r="EK5">
        <v>45470</v>
      </c>
      <c r="EL5">
        <v>-0.89</v>
      </c>
      <c r="EM5">
        <v>-4.04</v>
      </c>
      <c r="EN5" s="12">
        <v>0.47</v>
      </c>
      <c r="EO5" s="12">
        <v>2.33</v>
      </c>
      <c r="EP5" s="12">
        <v>-1.82</v>
      </c>
    </row>
    <row r="6" spans="1:146" ht="168" x14ac:dyDescent="0.25">
      <c r="A6" s="14"/>
      <c r="B6" s="14"/>
      <c r="C6" s="14" t="str">
        <f>"公司是一家以旅游业为主、多元化经营、具有五十年历史、国有控股的旅游企业,主要从事旅游饭店、餐饮、服务经营和石油开发、开采及旅游景区、景点的开发经营和房地产开发.公司经营领域涉及旅游、旅游服务、房地产开发、能源开发等方面。"&amp;CHAR(10)&amp;Basic_Fundamental_Information_Constructure(F6)&amp;CHAR(10)&amp;Basic_Fundamental_Information_Concatenate("商贸业 1.80亿 76.22% -38.78% 1.58%
旅行社业务 3648.59万 15.44% -11.85% 2.39%
酒店业 1970.38万 8.34% 150.63% -56.20%")</f>
        <v>公司是一家以旅游业为主、多元化经营、具有五十年历史、国有控股的旅游企业,主要从事旅游饭店、餐饮、服务经营和石油开发、开采及旅游景区、景点的开发经营和房地产开发.公司经营领域涉及旅游、旅游服务、房地产开发、能源开发等方面。
市值29.877585亿, 利润-1.54亿; PE; 平均PE-61.73; 平均PEG-10.56, PB6.4; ROIC0%; ROE-13.93%; 股利率0%; 毛利-1.3967%; 净利-30.54%; 上一年度营收增38.89%, 利润增7.78%; 当季营收增-5.76%, 利润增-2.39%; 过往5年营收增5.85%, 利润增-64.44%
Income profile:
商贸业 1.80亿 76.22% -38.78% 1.58%
旅行社业务 3648.59万 15.44% -11.85% 2.39%
酒店业 1970.38万 8.34% 150.63% -56.20%</v>
      </c>
      <c r="D6" t="s">
        <v>537</v>
      </c>
      <c r="E6" t="s">
        <v>538</v>
      </c>
      <c r="F6">
        <v>12.62</v>
      </c>
      <c r="G6">
        <v>0.56000000000000005</v>
      </c>
      <c r="H6" t="s">
        <v>539</v>
      </c>
      <c r="I6">
        <v>2987758500</v>
      </c>
      <c r="K6">
        <v>6.4</v>
      </c>
      <c r="L6" t="s">
        <v>422</v>
      </c>
      <c r="M6" t="s">
        <v>540</v>
      </c>
      <c r="N6" t="s">
        <v>541</v>
      </c>
      <c r="O6" t="s">
        <v>542</v>
      </c>
      <c r="P6" s="5">
        <v>-6.1</v>
      </c>
      <c r="Q6" t="s">
        <v>111</v>
      </c>
      <c r="R6">
        <v>-30114894</v>
      </c>
      <c r="S6">
        <v>-2.3900000000000001E-2</v>
      </c>
      <c r="T6" t="s">
        <v>543</v>
      </c>
      <c r="U6">
        <v>235488990</v>
      </c>
      <c r="V6">
        <v>236747900</v>
      </c>
      <c r="W6">
        <v>5.1100000000000003</v>
      </c>
      <c r="X6">
        <v>0.06</v>
      </c>
      <c r="Y6">
        <v>-25.31</v>
      </c>
      <c r="Z6" t="s">
        <v>544</v>
      </c>
      <c r="AA6" t="s">
        <v>545</v>
      </c>
      <c r="AB6" t="s">
        <v>546</v>
      </c>
      <c r="AC6" t="s">
        <v>547</v>
      </c>
      <c r="AD6" t="s">
        <v>19</v>
      </c>
      <c r="AE6">
        <v>7775487</v>
      </c>
      <c r="AF6" t="s">
        <v>74</v>
      </c>
      <c r="AG6">
        <v>6507.99</v>
      </c>
      <c r="AH6" t="s">
        <v>548</v>
      </c>
      <c r="AI6" t="s">
        <v>549</v>
      </c>
      <c r="AJ6" t="s">
        <v>550</v>
      </c>
      <c r="AK6" t="s">
        <v>551</v>
      </c>
      <c r="AL6" t="s">
        <v>552</v>
      </c>
      <c r="AM6" t="s">
        <v>19</v>
      </c>
      <c r="AN6" t="s">
        <v>553</v>
      </c>
      <c r="AO6" t="s">
        <v>554</v>
      </c>
      <c r="AP6" t="s">
        <v>19</v>
      </c>
      <c r="AQ6" t="s">
        <v>138</v>
      </c>
      <c r="AR6" t="s">
        <v>555</v>
      </c>
      <c r="AS6" t="s">
        <v>556</v>
      </c>
      <c r="AT6" t="s">
        <v>557</v>
      </c>
      <c r="AU6" t="s">
        <v>558</v>
      </c>
      <c r="AV6" t="s">
        <v>559</v>
      </c>
      <c r="AW6" t="s">
        <v>560</v>
      </c>
      <c r="AX6" t="s">
        <v>561</v>
      </c>
      <c r="AY6" t="s">
        <v>562</v>
      </c>
      <c r="AZ6" t="s">
        <v>563</v>
      </c>
      <c r="BA6" t="s">
        <v>564</v>
      </c>
      <c r="BB6" t="s">
        <v>565</v>
      </c>
      <c r="BC6" t="s">
        <v>566</v>
      </c>
      <c r="BD6" t="s">
        <v>567</v>
      </c>
      <c r="BE6" t="s">
        <v>568</v>
      </c>
      <c r="BF6" t="s">
        <v>569</v>
      </c>
      <c r="BG6" t="s">
        <v>570</v>
      </c>
      <c r="BH6" t="s">
        <v>111</v>
      </c>
      <c r="BI6" t="s">
        <v>389</v>
      </c>
      <c r="BJ6" t="s">
        <v>561</v>
      </c>
      <c r="BK6" t="s">
        <v>543</v>
      </c>
      <c r="BL6" t="s">
        <v>571</v>
      </c>
      <c r="BM6" t="s">
        <v>566</v>
      </c>
      <c r="BN6" t="s">
        <v>19</v>
      </c>
      <c r="BO6" t="s">
        <v>19</v>
      </c>
      <c r="BP6" t="s">
        <v>19</v>
      </c>
      <c r="BQ6">
        <v>-10.43</v>
      </c>
      <c r="BR6">
        <v>-22.8</v>
      </c>
      <c r="BS6">
        <v>-8.56</v>
      </c>
      <c r="BT6" t="s">
        <v>376</v>
      </c>
      <c r="BU6" t="s">
        <v>453</v>
      </c>
      <c r="BV6">
        <v>4.04</v>
      </c>
      <c r="BW6">
        <v>-11.64</v>
      </c>
      <c r="BX6">
        <v>3.41</v>
      </c>
      <c r="BY6">
        <v>-31.19</v>
      </c>
      <c r="BZ6">
        <v>-46.06</v>
      </c>
      <c r="CA6">
        <v>-14.37</v>
      </c>
      <c r="CB6">
        <v>-1.17</v>
      </c>
      <c r="CC6" s="8">
        <v>-4.18</v>
      </c>
      <c r="CD6" s="9" t="s">
        <v>572</v>
      </c>
      <c r="CE6" s="8" t="s">
        <v>123</v>
      </c>
      <c r="CF6" s="8">
        <v>-5.7553956834532377E-2</v>
      </c>
      <c r="CG6" s="8">
        <v>-2.3887761242745383E-2</v>
      </c>
      <c r="CH6" s="8">
        <v>0.3888888955116272</v>
      </c>
      <c r="CI6" s="8">
        <v>-0.29411765933036804</v>
      </c>
      <c r="CJ6" s="9">
        <v>0.87625420093536377</v>
      </c>
      <c r="CK6" s="9">
        <v>-0.65393519401550293</v>
      </c>
      <c r="CL6" s="9">
        <v>-2.483069896697998E-2</v>
      </c>
      <c r="CM6" s="9">
        <v>7.7844314277172089E-2</v>
      </c>
      <c r="CN6" s="9">
        <v>-1.2855327129364014</v>
      </c>
      <c r="CO6">
        <v>-2.9445316791534424</v>
      </c>
      <c r="CP6">
        <v>2.2441575527191162</v>
      </c>
      <c r="CQ6">
        <v>-1.3137205839157104</v>
      </c>
      <c r="CR6" s="8">
        <v>-61.725616273080114</v>
      </c>
      <c r="CS6" s="9">
        <v>-10.560068526752639</v>
      </c>
      <c r="CT6">
        <v>0</v>
      </c>
      <c r="CU6">
        <v>5.8451908826828006E-2</v>
      </c>
      <c r="CV6">
        <v>-0.64435662180185316</v>
      </c>
      <c r="CW6">
        <v>0.06</v>
      </c>
      <c r="CX6" t="e">
        <v>#VALUE!</v>
      </c>
      <c r="CY6" t="s">
        <v>308</v>
      </c>
      <c r="CZ6">
        <v>5.8451908826828006E-2</v>
      </c>
      <c r="DA6" t="e">
        <v>#VALUE!</v>
      </c>
      <c r="DB6" t="s">
        <v>309</v>
      </c>
      <c r="DC6">
        <v>5.5529313385486605E-2</v>
      </c>
      <c r="DD6" t="e">
        <v>#VALUE!</v>
      </c>
      <c r="DE6" t="s">
        <v>309</v>
      </c>
      <c r="DF6">
        <v>5.1437679767608643E-2</v>
      </c>
      <c r="DG6" t="e">
        <v>#VALUE!</v>
      </c>
      <c r="DH6" t="s">
        <v>309</v>
      </c>
      <c r="DI6">
        <v>4.6761527061462409E-2</v>
      </c>
      <c r="DJ6" t="e">
        <v>#VALUE!</v>
      </c>
      <c r="DK6" t="s">
        <v>309</v>
      </c>
      <c r="DL6">
        <v>4.09163361787796E-2</v>
      </c>
      <c r="DM6">
        <v>-154000000</v>
      </c>
      <c r="DN6">
        <v>5.8451908826828006E-2</v>
      </c>
      <c r="DO6">
        <v>4310758500</v>
      </c>
      <c r="DP6">
        <v>-269750760</v>
      </c>
      <c r="DQ6" s="10">
        <v>174</v>
      </c>
      <c r="DR6">
        <v>-0.11600586566136038</v>
      </c>
      <c r="DS6">
        <v>0.62046886055910777</v>
      </c>
      <c r="DT6">
        <v>-0.38999999999999996</v>
      </c>
      <c r="DU6">
        <v>-3.0633333333333339</v>
      </c>
      <c r="DV6">
        <v>-3.453333333333334</v>
      </c>
      <c r="DW6">
        <v>-1.0418000000000001</v>
      </c>
      <c r="DX6">
        <v>0.36123192488262823</v>
      </c>
      <c r="DY6">
        <v>-1.0100834944600938</v>
      </c>
      <c r="DZ6">
        <v>5020</v>
      </c>
      <c r="EA6">
        <v>-1.0001775957928392</v>
      </c>
      <c r="EB6" s="11">
        <v>1</v>
      </c>
      <c r="EC6" s="11">
        <v>0.21703423768489605</v>
      </c>
      <c r="ED6">
        <v>0.89969119050264013</v>
      </c>
      <c r="EE6">
        <v>6.0366</v>
      </c>
      <c r="EF6">
        <v>6.0366</v>
      </c>
      <c r="EG6">
        <v>12.241231924882628</v>
      </c>
      <c r="EH6" s="7" t="s">
        <v>573</v>
      </c>
      <c r="EI6">
        <v>0</v>
      </c>
      <c r="EJ6">
        <v>0</v>
      </c>
      <c r="EK6">
        <v>45470</v>
      </c>
      <c r="EL6">
        <v>1.06</v>
      </c>
      <c r="EM6">
        <v>-2.98</v>
      </c>
      <c r="EN6" s="12">
        <v>5.0599999999999996</v>
      </c>
      <c r="EO6" s="12">
        <v>-0.39</v>
      </c>
      <c r="EP6" s="12">
        <v>0</v>
      </c>
    </row>
    <row r="7" spans="1:146" ht="168" x14ac:dyDescent="0.25">
      <c r="A7" s="14"/>
      <c r="B7" s="14"/>
      <c r="C7" s="14" t="str">
        <f>"公司的主营业务为传统餐饮服务和工业化食品的生产及销售，公司的主要产品有餐饮、客房、商品、租赁。公司所属8个餐饮品牌和8个特色品种被西安市商务局认定为“西安老字号”、“西安名吃”。"&amp;CHAR(10)&amp;Basic_Fundamental_Information_Constructure(F7)&amp;CHAR(10)&amp;Basic_Fundamental_Information_Concatenate("餐饮收入 3.50亿 67.47% 52.04% 15.33%
其他收入 1.07亿 20.64% 26.09% 25.13%
租赁收入 3446.97万 6.64% 14.56% 43.59%
商品收入 2412.56万 4.65% 7.70% 32.95%")</f>
        <v>公司的主营业务为传统餐饮服务和工业化食品的生产及销售，公司的主要产品有餐饮、客房、商品、租赁。公司所属8个餐饮品牌和8个特色品种被西安市商务局认定为“西安老字号”、“西安名吃”。
市值42.699225亿, 利润-1.18亿; PE; 平均PE-47.74; 平均PEG-3.76, PB10.9; ROIC0%; ROE-26.5%; 股利率0%; 毛利17.43%; 净利-31.3333%; 上一年度营收增60.82%, 利润增46.61%; 当季营收增3.41%, 利润增3.83%; 过往5年营收增12.71%, 利润增-487.63%
Income profile:
餐饮收入 3.50亿 67.47% 52.04% 15.33%
其他收入 1.07亿 20.64% 26.09% 25.13%
租赁收入 3446.97万 6.64% 14.56% 43.59%
商品收入 2412.56万 4.65% 7.70% 32.95%</v>
      </c>
      <c r="D7" t="s">
        <v>574</v>
      </c>
      <c r="E7" t="s">
        <v>575</v>
      </c>
      <c r="F7">
        <v>7.44</v>
      </c>
      <c r="G7">
        <v>3.05</v>
      </c>
      <c r="H7" t="s">
        <v>576</v>
      </c>
      <c r="I7">
        <v>4269922500</v>
      </c>
      <c r="K7">
        <v>10.9</v>
      </c>
      <c r="L7" t="s">
        <v>422</v>
      </c>
      <c r="M7" t="s">
        <v>577</v>
      </c>
      <c r="N7" t="s">
        <v>397</v>
      </c>
      <c r="O7" t="s">
        <v>306</v>
      </c>
      <c r="P7" s="5">
        <v>3.47</v>
      </c>
      <c r="Q7" t="s">
        <v>137</v>
      </c>
      <c r="R7">
        <v>-29934931</v>
      </c>
      <c r="S7">
        <v>3.8300000000000001E-2</v>
      </c>
      <c r="T7" t="s">
        <v>578</v>
      </c>
      <c r="U7">
        <v>437501920</v>
      </c>
      <c r="V7">
        <v>573914310</v>
      </c>
      <c r="W7">
        <v>3.84</v>
      </c>
      <c r="X7">
        <v>0.12</v>
      </c>
      <c r="Y7">
        <v>-16.53</v>
      </c>
      <c r="Z7" t="s">
        <v>123</v>
      </c>
      <c r="AA7" t="s">
        <v>164</v>
      </c>
      <c r="AB7" t="s">
        <v>579</v>
      </c>
      <c r="AC7" t="s">
        <v>580</v>
      </c>
      <c r="AD7" t="s">
        <v>19</v>
      </c>
      <c r="AE7">
        <v>7261775</v>
      </c>
      <c r="AF7" t="s">
        <v>74</v>
      </c>
      <c r="AG7" t="s">
        <v>581</v>
      </c>
      <c r="AH7" t="s">
        <v>582</v>
      </c>
      <c r="AI7" t="s">
        <v>583</v>
      </c>
      <c r="AJ7" t="s">
        <v>584</v>
      </c>
      <c r="AK7" t="s">
        <v>19</v>
      </c>
      <c r="AL7" t="s">
        <v>585</v>
      </c>
      <c r="AM7" t="s">
        <v>19</v>
      </c>
      <c r="AN7" t="s">
        <v>586</v>
      </c>
      <c r="AO7" t="s">
        <v>587</v>
      </c>
      <c r="AP7" t="s">
        <v>588</v>
      </c>
      <c r="AQ7" t="s">
        <v>403</v>
      </c>
      <c r="AR7" t="s">
        <v>589</v>
      </c>
      <c r="AS7" t="s">
        <v>590</v>
      </c>
      <c r="AT7" t="s">
        <v>591</v>
      </c>
      <c r="AU7" t="s">
        <v>592</v>
      </c>
      <c r="AV7" t="s">
        <v>593</v>
      </c>
      <c r="AW7" t="s">
        <v>594</v>
      </c>
      <c r="AX7" t="s">
        <v>192</v>
      </c>
      <c r="AY7" t="s">
        <v>595</v>
      </c>
      <c r="AZ7" t="s">
        <v>596</v>
      </c>
      <c r="BA7" t="s">
        <v>597</v>
      </c>
      <c r="BB7" t="s">
        <v>598</v>
      </c>
      <c r="BC7" t="s">
        <v>599</v>
      </c>
      <c r="BD7" t="s">
        <v>314</v>
      </c>
      <c r="BE7" t="s">
        <v>600</v>
      </c>
      <c r="BF7" t="s">
        <v>601</v>
      </c>
      <c r="BG7" t="s">
        <v>602</v>
      </c>
      <c r="BH7" t="s">
        <v>137</v>
      </c>
      <c r="BI7" t="s">
        <v>549</v>
      </c>
      <c r="BJ7" t="s">
        <v>192</v>
      </c>
      <c r="BK7" t="s">
        <v>578</v>
      </c>
      <c r="BL7" t="s">
        <v>603</v>
      </c>
      <c r="BM7" t="s">
        <v>599</v>
      </c>
      <c r="BN7" t="s">
        <v>19</v>
      </c>
      <c r="BO7" t="s">
        <v>19</v>
      </c>
      <c r="BP7" t="s">
        <v>19</v>
      </c>
      <c r="BQ7">
        <v>-12.86</v>
      </c>
      <c r="BR7">
        <v>-35.58</v>
      </c>
      <c r="BS7">
        <v>-31.06</v>
      </c>
      <c r="BT7" t="s">
        <v>376</v>
      </c>
      <c r="BU7" t="s">
        <v>604</v>
      </c>
      <c r="BV7">
        <v>19.75</v>
      </c>
      <c r="BW7">
        <v>12.67</v>
      </c>
      <c r="BX7">
        <v>19.87</v>
      </c>
      <c r="BY7">
        <v>-15.28</v>
      </c>
      <c r="BZ7">
        <v>-45.7</v>
      </c>
      <c r="CA7">
        <v>-33.020000000000003</v>
      </c>
      <c r="CB7">
        <v>7.67</v>
      </c>
      <c r="CC7" s="8">
        <v>-10.039999999999999</v>
      </c>
      <c r="CD7" s="9" t="s">
        <v>605</v>
      </c>
      <c r="CE7" s="8" t="s">
        <v>408</v>
      </c>
      <c r="CF7" s="8">
        <v>3.4090909090909088E-2</v>
      </c>
      <c r="CG7" s="8">
        <v>3.8262957858246668E-2</v>
      </c>
      <c r="CH7" s="8">
        <v>0.60824739933013916</v>
      </c>
      <c r="CI7" s="8">
        <v>-6.5510600805282593E-2</v>
      </c>
      <c r="CJ7" s="9">
        <v>0.26277372241020203</v>
      </c>
      <c r="CK7" s="9">
        <v>-0.17800000309944153</v>
      </c>
      <c r="CL7" s="9">
        <v>8.0645158886909485E-3</v>
      </c>
      <c r="CM7" s="9">
        <v>0.46606335043907166</v>
      </c>
      <c r="CN7" s="9">
        <v>-0.30769231915473938</v>
      </c>
      <c r="CO7">
        <v>-19.751941680908203</v>
      </c>
      <c r="CP7">
        <v>1.1911399364471436</v>
      </c>
      <c r="CQ7">
        <v>-5.9790701866149902</v>
      </c>
      <c r="CR7" s="8">
        <v>-47.738091999420121</v>
      </c>
      <c r="CS7" s="9">
        <v>-3.7555040291377599</v>
      </c>
      <c r="CT7">
        <v>0</v>
      </c>
      <c r="CU7">
        <v>0.12711500674486159</v>
      </c>
      <c r="CV7">
        <v>-4.8763001799583439</v>
      </c>
      <c r="CW7">
        <v>0.06</v>
      </c>
      <c r="CX7" t="e">
        <v>#VALUE!</v>
      </c>
      <c r="CY7" t="s">
        <v>308</v>
      </c>
      <c r="CZ7">
        <v>0.12711500674486159</v>
      </c>
      <c r="DA7" t="e">
        <v>#VALUE!</v>
      </c>
      <c r="DB7" t="s">
        <v>309</v>
      </c>
      <c r="DC7">
        <v>0.1207592564076185</v>
      </c>
      <c r="DD7" t="e">
        <v>#VALUE!</v>
      </c>
      <c r="DE7" t="s">
        <v>309</v>
      </c>
      <c r="DF7">
        <v>0.1118612059354782</v>
      </c>
      <c r="DG7" t="e">
        <v>#VALUE!</v>
      </c>
      <c r="DH7" t="s">
        <v>309</v>
      </c>
      <c r="DI7">
        <v>0.10169200539588928</v>
      </c>
      <c r="DJ7" t="e">
        <v>#VALUE!</v>
      </c>
      <c r="DK7" t="s">
        <v>309</v>
      </c>
      <c r="DL7">
        <v>8.8980504721403106E-2</v>
      </c>
      <c r="DM7">
        <v>-118000000</v>
      </c>
      <c r="DN7">
        <v>0.12711500674486159</v>
      </c>
      <c r="DO7">
        <v>4994922500</v>
      </c>
      <c r="DP7">
        <v>-651623010</v>
      </c>
      <c r="DQ7" s="10">
        <v>245</v>
      </c>
      <c r="DR7">
        <v>-9.3024097653952503E-2</v>
      </c>
      <c r="DS7">
        <v>4.9145631378165904</v>
      </c>
      <c r="DT7">
        <v>-9.0000000000000011E-2</v>
      </c>
      <c r="DU7">
        <v>-2.7816666666666667</v>
      </c>
      <c r="DV7">
        <v>-2.8716666666666666</v>
      </c>
      <c r="DW7">
        <v>7.4330886504799549</v>
      </c>
      <c r="DX7">
        <v>0.60064431205673929</v>
      </c>
      <c r="DY7">
        <v>7.1388674123927256</v>
      </c>
      <c r="DZ7">
        <v>4860</v>
      </c>
      <c r="EA7">
        <v>7.0067939047158871</v>
      </c>
      <c r="EB7" s="11">
        <v>7</v>
      </c>
      <c r="EC7" s="11">
        <v>0.157552614431238</v>
      </c>
      <c r="ED7">
        <v>0.49136255201582268</v>
      </c>
      <c r="EE7">
        <v>-1.0156000000000001</v>
      </c>
      <c r="EF7">
        <v>-1.0084</v>
      </c>
      <c r="EG7">
        <v>28.320644312056739</v>
      </c>
      <c r="EH7" s="7" t="s">
        <v>322</v>
      </c>
      <c r="EI7">
        <v>1</v>
      </c>
      <c r="EJ7">
        <v>0</v>
      </c>
      <c r="EK7">
        <v>45470</v>
      </c>
      <c r="EL7">
        <v>-0.99</v>
      </c>
      <c r="EM7">
        <v>-4.7300000000000004</v>
      </c>
      <c r="EN7" s="12">
        <v>3.01</v>
      </c>
      <c r="EO7" s="12">
        <v>0.88</v>
      </c>
      <c r="EP7" s="12">
        <v>-0.72</v>
      </c>
    </row>
    <row r="8" spans="1:146" ht="96" x14ac:dyDescent="0.25">
      <c r="A8" s="14"/>
      <c r="B8" s="14"/>
      <c r="C8" s="14" t="str">
        <f>""&amp;CHAR(10)&amp;Basic_Fundamental_Information_Constructure(F8)&amp;CHAR(10)&amp;Basic_Fundamental_Information_Concatenate("")</f>
        <v xml:space="preserve">
市值49.877835亿, 利润6.07亿; PE7.85; 平均PE-20; 平均PEG-.84, PB4.99; ROIC0%; ROE-127.99%; 股利率0%; 毛利17.8833%; 净利-114.6033%; 上一年度营收增89.58%, 利润增158.65%; 当季营收增109.64%, 利润增66.39%; 过往5年营收增-23.8%, 利润增-115.85%
Income profile:
</v>
      </c>
      <c r="D8" t="s">
        <v>42</v>
      </c>
      <c r="E8" t="s">
        <v>312</v>
      </c>
      <c r="F8">
        <v>3.11</v>
      </c>
      <c r="G8">
        <v>0.97</v>
      </c>
      <c r="H8" t="s">
        <v>606</v>
      </c>
      <c r="I8">
        <v>4987783500</v>
      </c>
      <c r="J8">
        <v>7.85</v>
      </c>
      <c r="K8">
        <v>4.99</v>
      </c>
      <c r="L8" t="s">
        <v>422</v>
      </c>
      <c r="M8" t="s">
        <v>607</v>
      </c>
      <c r="N8" t="s">
        <v>608</v>
      </c>
      <c r="O8" t="s">
        <v>396</v>
      </c>
      <c r="P8">
        <v>109.51</v>
      </c>
      <c r="Q8" t="s">
        <v>609</v>
      </c>
      <c r="R8">
        <v>-14283572</v>
      </c>
      <c r="S8" s="5">
        <v>0.66390000000000005</v>
      </c>
      <c r="T8" t="s">
        <v>610</v>
      </c>
      <c r="U8">
        <v>969787720</v>
      </c>
      <c r="V8">
        <v>1603788900</v>
      </c>
      <c r="W8">
        <v>2.13</v>
      </c>
      <c r="X8">
        <v>7.0000000000000007E-2</v>
      </c>
      <c r="Y8">
        <v>-14.37</v>
      </c>
      <c r="Z8" t="s">
        <v>586</v>
      </c>
      <c r="AA8" t="s">
        <v>216</v>
      </c>
      <c r="AB8" t="s">
        <v>611</v>
      </c>
      <c r="AC8" t="s">
        <v>612</v>
      </c>
      <c r="AD8" t="s">
        <v>19</v>
      </c>
      <c r="AE8">
        <v>44485</v>
      </c>
      <c r="AF8" t="s">
        <v>613</v>
      </c>
      <c r="AG8" t="s">
        <v>614</v>
      </c>
      <c r="AH8" t="s">
        <v>615</v>
      </c>
      <c r="AI8" t="s">
        <v>616</v>
      </c>
      <c r="AJ8" t="s">
        <v>617</v>
      </c>
      <c r="AK8" t="s">
        <v>19</v>
      </c>
      <c r="AL8" t="s">
        <v>618</v>
      </c>
      <c r="AM8" t="s">
        <v>19</v>
      </c>
      <c r="AN8" t="s">
        <v>619</v>
      </c>
      <c r="AO8" t="s">
        <v>620</v>
      </c>
      <c r="AP8" t="s">
        <v>621</v>
      </c>
      <c r="AQ8" t="s">
        <v>324</v>
      </c>
      <c r="AR8" t="s">
        <v>19</v>
      </c>
      <c r="AS8" t="s">
        <v>622</v>
      </c>
      <c r="AT8" t="s">
        <v>623</v>
      </c>
      <c r="AU8" t="s">
        <v>624</v>
      </c>
      <c r="AV8" t="s">
        <v>625</v>
      </c>
      <c r="AW8" t="s">
        <v>332</v>
      </c>
      <c r="AX8" t="s">
        <v>183</v>
      </c>
      <c r="AY8" t="s">
        <v>229</v>
      </c>
      <c r="AZ8" t="s">
        <v>85</v>
      </c>
      <c r="BA8" t="s">
        <v>43</v>
      </c>
      <c r="BB8" t="s">
        <v>121</v>
      </c>
      <c r="BC8" t="s">
        <v>626</v>
      </c>
      <c r="BD8" t="s">
        <v>230</v>
      </c>
      <c r="BE8" t="s">
        <v>120</v>
      </c>
      <c r="BF8" t="s">
        <v>44</v>
      </c>
      <c r="BG8" t="s">
        <v>122</v>
      </c>
      <c r="BH8" t="s">
        <v>609</v>
      </c>
      <c r="BI8" t="s">
        <v>627</v>
      </c>
      <c r="BJ8" t="s">
        <v>183</v>
      </c>
      <c r="BK8" t="s">
        <v>610</v>
      </c>
      <c r="BL8" t="s">
        <v>628</v>
      </c>
      <c r="BM8" t="s">
        <v>626</v>
      </c>
      <c r="BN8" t="s">
        <v>19</v>
      </c>
      <c r="BO8" t="s">
        <v>19</v>
      </c>
      <c r="BP8" t="s">
        <v>19</v>
      </c>
      <c r="BQ8" t="s">
        <v>19</v>
      </c>
      <c r="BR8" t="s">
        <v>19</v>
      </c>
      <c r="BS8">
        <v>-127.99</v>
      </c>
      <c r="BT8" t="s">
        <v>376</v>
      </c>
      <c r="BU8" t="s">
        <v>311</v>
      </c>
      <c r="BV8">
        <v>21.04</v>
      </c>
      <c r="BW8">
        <v>15.18</v>
      </c>
      <c r="BX8">
        <v>17.43</v>
      </c>
      <c r="BY8">
        <v>79.400000000000006</v>
      </c>
      <c r="BZ8">
        <v>-346.11</v>
      </c>
      <c r="CA8">
        <v>-77.099999999999994</v>
      </c>
      <c r="CB8">
        <v>-2.81</v>
      </c>
      <c r="CC8">
        <v>-5.18</v>
      </c>
      <c r="CD8" t="s">
        <v>629</v>
      </c>
      <c r="CE8" t="s">
        <v>393</v>
      </c>
      <c r="CF8" s="8">
        <v>1.0964060308783681</v>
      </c>
      <c r="CG8" s="9">
        <v>0.66387008109341983</v>
      </c>
      <c r="CH8" s="8">
        <v>0.89576548337936401</v>
      </c>
      <c r="CI8" s="8">
        <v>-0.6734042763710022</v>
      </c>
      <c r="CJ8" s="8">
        <v>-0.41795662045478821</v>
      </c>
      <c r="CK8" s="8">
        <v>-0.73243868350982666</v>
      </c>
      <c r="CL8" s="8">
        <v>-0.26210269331932068</v>
      </c>
      <c r="CM8" s="9">
        <v>1.5864734649658203</v>
      </c>
      <c r="CN8" s="9">
        <v>-0.5</v>
      </c>
      <c r="CO8" s="9">
        <v>1.1461318470537663E-2</v>
      </c>
      <c r="CP8" s="9">
        <v>-6.5396823883056641</v>
      </c>
      <c r="CQ8" s="9">
        <v>-0.3505154550075531</v>
      </c>
      <c r="CR8">
        <v>-20.004479278074864</v>
      </c>
      <c r="CS8">
        <v>-0.84042773240556945</v>
      </c>
      <c r="CT8">
        <v>0</v>
      </c>
      <c r="CU8" s="8">
        <v>-0.23802735805511474</v>
      </c>
      <c r="CV8" s="9">
        <v>-1.1584526119753717</v>
      </c>
      <c r="CW8">
        <v>0.06</v>
      </c>
      <c r="CX8" t="e">
        <v>#VALUE!</v>
      </c>
      <c r="CY8" t="s">
        <v>316</v>
      </c>
      <c r="CZ8">
        <v>-0.23802735805511474</v>
      </c>
      <c r="DA8">
        <v>2.8104247666117517</v>
      </c>
      <c r="DB8" t="s">
        <v>630</v>
      </c>
      <c r="DC8">
        <v>-0.22612599015235899</v>
      </c>
      <c r="DD8">
        <v>1.4052123833058758</v>
      </c>
      <c r="DE8" t="s">
        <v>631</v>
      </c>
      <c r="DF8">
        <v>-0.20946407508850098</v>
      </c>
      <c r="DG8">
        <v>0.84312742998352552</v>
      </c>
      <c r="DH8" t="s">
        <v>632</v>
      </c>
      <c r="DI8">
        <v>-0.1904218864440918</v>
      </c>
      <c r="DJ8">
        <v>0.42156371499176276</v>
      </c>
      <c r="DK8" t="s">
        <v>633</v>
      </c>
      <c r="DL8">
        <v>-0.16661915063858032</v>
      </c>
      <c r="DM8">
        <v>607000000</v>
      </c>
      <c r="DN8">
        <v>-0.23802735805511474</v>
      </c>
      <c r="DO8">
        <v>5117783500</v>
      </c>
      <c r="DP8">
        <v>620397099.99999988</v>
      </c>
      <c r="DQ8">
        <v>289</v>
      </c>
      <c r="DR8">
        <v>1.3344333889334827</v>
      </c>
      <c r="DS8">
        <v>1.8223226930687915</v>
      </c>
      <c r="DT8" s="10">
        <v>-0.87333333333333318</v>
      </c>
      <c r="DU8">
        <v>-2.2983333333333333</v>
      </c>
      <c r="DV8">
        <v>-3.1716666666666664</v>
      </c>
      <c r="DW8">
        <v>-8.5424710424710426</v>
      </c>
      <c r="DX8">
        <v>0.26308310810810742</v>
      </c>
      <c r="DY8">
        <v>-8.0504948906918496</v>
      </c>
      <c r="DZ8">
        <v>4958</v>
      </c>
      <c r="EA8">
        <v>-8.0015020006624589</v>
      </c>
      <c r="EB8">
        <v>8</v>
      </c>
      <c r="EC8">
        <v>1.7179692414631378E-2</v>
      </c>
      <c r="ED8">
        <v>0.18456294341480978</v>
      </c>
      <c r="EE8" s="11">
        <v>4.3610000000000003E-2</v>
      </c>
      <c r="EF8">
        <v>5.6010000000000004E-2</v>
      </c>
      <c r="EG8">
        <v>17.093083108108107</v>
      </c>
      <c r="EH8">
        <v>-1</v>
      </c>
      <c r="EI8">
        <v>0</v>
      </c>
      <c r="EJ8">
        <v>0</v>
      </c>
      <c r="EK8" s="7">
        <v>45470</v>
      </c>
      <c r="EL8" s="12">
        <v>0.92</v>
      </c>
      <c r="EM8" s="12">
        <v>-3.95</v>
      </c>
      <c r="EN8" s="12">
        <v>0.63</v>
      </c>
      <c r="EO8" s="12">
        <v>1.57</v>
      </c>
      <c r="EP8" s="12">
        <v>-1.24</v>
      </c>
    </row>
    <row r="9" spans="1:146" ht="108" x14ac:dyDescent="0.25">
      <c r="A9" s="14"/>
      <c r="B9" s="14"/>
      <c r="C9" s="14" t="str">
        <f>""&amp;CHAR(10)&amp;Basic_Fundamental_Information_Constructure(F9)&amp;CHAR(10)&amp;Basic_Fundamental_Information_Concatenate("")</f>
        <v xml:space="preserve">
市值58.223898亿, 利润2.28亿; PE25.11; 平均PE70.35; 平均PEG3.86, PB2.27; ROIC7.95%; ROE1.82%; 股利率1.81%; 毛利28.8%; 净利-14.2533%; 上一年度营收增142.46%, 利润增256.16%; 当季营收增6.3%, 利润增6.08%; 过往5年营收增18.24%, 利润增-122.62%
Income profile:
</v>
      </c>
      <c r="D9" t="s">
        <v>45</v>
      </c>
      <c r="E9" t="s">
        <v>14</v>
      </c>
      <c r="F9">
        <v>11.05</v>
      </c>
      <c r="G9">
        <v>1.47</v>
      </c>
      <c r="H9" t="s">
        <v>634</v>
      </c>
      <c r="I9">
        <v>5822389800</v>
      </c>
      <c r="J9">
        <v>25.11</v>
      </c>
      <c r="K9">
        <v>2.27</v>
      </c>
      <c r="L9" t="s">
        <v>422</v>
      </c>
      <c r="M9" t="s">
        <v>635</v>
      </c>
      <c r="N9" t="s">
        <v>636</v>
      </c>
      <c r="O9" t="s">
        <v>637</v>
      </c>
      <c r="P9">
        <v>6.64</v>
      </c>
      <c r="Q9" t="s">
        <v>638</v>
      </c>
      <c r="R9">
        <v>74417768</v>
      </c>
      <c r="S9" s="5">
        <v>6.08E-2</v>
      </c>
      <c r="T9" t="s">
        <v>639</v>
      </c>
      <c r="U9">
        <v>526913100</v>
      </c>
      <c r="V9">
        <v>526913100</v>
      </c>
      <c r="W9">
        <v>1.33</v>
      </c>
      <c r="X9">
        <v>0.08</v>
      </c>
      <c r="Y9">
        <v>26.1</v>
      </c>
      <c r="Z9" t="s">
        <v>640</v>
      </c>
      <c r="AA9" t="s">
        <v>641</v>
      </c>
      <c r="AB9" t="s">
        <v>642</v>
      </c>
      <c r="AC9" t="s">
        <v>643</v>
      </c>
      <c r="AD9" t="s">
        <v>19</v>
      </c>
      <c r="AE9">
        <v>761658</v>
      </c>
      <c r="AF9" t="s">
        <v>644</v>
      </c>
      <c r="AG9" t="s">
        <v>645</v>
      </c>
      <c r="AH9" t="s">
        <v>646</v>
      </c>
      <c r="AI9" t="s">
        <v>377</v>
      </c>
      <c r="AJ9" t="s">
        <v>647</v>
      </c>
      <c r="AK9" t="s">
        <v>648</v>
      </c>
      <c r="AL9" t="s">
        <v>649</v>
      </c>
      <c r="AM9" t="s">
        <v>19</v>
      </c>
      <c r="AN9" t="s">
        <v>650</v>
      </c>
      <c r="AO9" t="s">
        <v>19</v>
      </c>
      <c r="AP9" t="s">
        <v>651</v>
      </c>
      <c r="AQ9" t="s">
        <v>652</v>
      </c>
      <c r="AR9" t="s">
        <v>19</v>
      </c>
      <c r="AS9" t="s">
        <v>410</v>
      </c>
      <c r="AT9" t="s">
        <v>653</v>
      </c>
      <c r="AU9" t="s">
        <v>654</v>
      </c>
      <c r="AV9" t="s">
        <v>655</v>
      </c>
      <c r="AW9" t="s">
        <v>656</v>
      </c>
      <c r="AX9" t="s">
        <v>134</v>
      </c>
      <c r="AY9" t="s">
        <v>233</v>
      </c>
      <c r="AZ9" t="s">
        <v>87</v>
      </c>
      <c r="BA9" t="s">
        <v>46</v>
      </c>
      <c r="BB9" t="s">
        <v>126</v>
      </c>
      <c r="BC9" t="s">
        <v>657</v>
      </c>
      <c r="BD9" t="s">
        <v>234</v>
      </c>
      <c r="BE9" t="s">
        <v>124</v>
      </c>
      <c r="BF9" t="s">
        <v>47</v>
      </c>
      <c r="BG9" t="s">
        <v>127</v>
      </c>
      <c r="BH9" t="s">
        <v>638</v>
      </c>
      <c r="BI9" t="s">
        <v>320</v>
      </c>
      <c r="BJ9" t="s">
        <v>134</v>
      </c>
      <c r="BK9" t="s">
        <v>639</v>
      </c>
      <c r="BL9" t="s">
        <v>658</v>
      </c>
      <c r="BM9" t="s">
        <v>657</v>
      </c>
      <c r="BN9">
        <v>7.95</v>
      </c>
      <c r="BO9" t="s">
        <v>19</v>
      </c>
      <c r="BP9" t="s">
        <v>19</v>
      </c>
      <c r="BQ9">
        <v>10.92</v>
      </c>
      <c r="BR9">
        <v>-6.2</v>
      </c>
      <c r="BS9">
        <v>0.74</v>
      </c>
      <c r="BT9" t="s">
        <v>659</v>
      </c>
      <c r="BU9" t="s">
        <v>307</v>
      </c>
      <c r="BV9">
        <v>49.71</v>
      </c>
      <c r="BW9">
        <v>3.94</v>
      </c>
      <c r="BX9">
        <v>32.75</v>
      </c>
      <c r="BY9">
        <v>8.66</v>
      </c>
      <c r="BZ9">
        <v>-47.13</v>
      </c>
      <c r="CA9">
        <v>-4.29</v>
      </c>
      <c r="CB9">
        <v>1.47</v>
      </c>
      <c r="CC9">
        <v>-3.24</v>
      </c>
      <c r="CD9" t="s">
        <v>660</v>
      </c>
      <c r="CE9" t="s">
        <v>661</v>
      </c>
      <c r="CF9" s="8">
        <v>6.3025210084033487E-2</v>
      </c>
      <c r="CG9" s="9">
        <v>6.0750044900065282E-2</v>
      </c>
      <c r="CH9" s="8">
        <v>1.4245939254760742</v>
      </c>
      <c r="CI9" s="8">
        <v>-0.31478536128997803</v>
      </c>
      <c r="CJ9" s="8">
        <v>0.34689506888389587</v>
      </c>
      <c r="CK9" s="8">
        <v>-0.57851988077163696</v>
      </c>
      <c r="CL9" s="8">
        <v>3.3582091331481934E-2</v>
      </c>
      <c r="CM9" s="9">
        <v>2.5616438388824463</v>
      </c>
      <c r="CN9" s="9">
        <v>-9.0731678009033203</v>
      </c>
      <c r="CO9" s="9">
        <v>1.4694579839706421</v>
      </c>
      <c r="CP9" s="9">
        <v>-1.1704527139663696</v>
      </c>
      <c r="CQ9" s="9">
        <v>8.1339709460735321E-2</v>
      </c>
      <c r="CR9">
        <v>70.352378342052958</v>
      </c>
      <c r="CS9">
        <v>3.8580288367665014</v>
      </c>
      <c r="CT9">
        <v>1.8099547511312215</v>
      </c>
      <c r="CU9" s="8">
        <v>0.18235316872596741</v>
      </c>
      <c r="CV9" s="9">
        <v>-1.2262357965111732</v>
      </c>
      <c r="CW9">
        <v>0.06</v>
      </c>
      <c r="CX9">
        <v>16.524188186690662</v>
      </c>
      <c r="CY9">
        <v>254317474.02784953</v>
      </c>
      <c r="CZ9">
        <v>0.18235316872596741</v>
      </c>
      <c r="DA9">
        <v>4.9979458223583366</v>
      </c>
      <c r="DB9">
        <v>840823400.12582517</v>
      </c>
      <c r="DC9">
        <v>0.17323551028966902</v>
      </c>
      <c r="DD9">
        <v>2.2109570550610491</v>
      </c>
      <c r="DE9">
        <v>1900710730.8486204</v>
      </c>
      <c r="DF9">
        <v>0.16047078847885132</v>
      </c>
      <c r="DG9">
        <v>1.1712649172218066</v>
      </c>
      <c r="DH9">
        <v>3587907174.7217531</v>
      </c>
      <c r="DI9">
        <v>0.14588253498077394</v>
      </c>
      <c r="DJ9">
        <v>0.45199743127517611</v>
      </c>
      <c r="DK9">
        <v>9297375403.5376015</v>
      </c>
      <c r="DL9">
        <v>0.12764721810817717</v>
      </c>
      <c r="DM9">
        <v>227999999.99999997</v>
      </c>
      <c r="DN9">
        <v>0.18235316872596741</v>
      </c>
      <c r="DO9">
        <v>4202389800</v>
      </c>
      <c r="DP9">
        <v>1260463100</v>
      </c>
      <c r="DQ9">
        <v>346</v>
      </c>
      <c r="DR9">
        <v>-0.11932795864193392</v>
      </c>
      <c r="DS9">
        <v>1.2869858414112385</v>
      </c>
      <c r="DT9" s="10">
        <v>-0.24</v>
      </c>
      <c r="DU9">
        <v>-0.57999999999999996</v>
      </c>
      <c r="DV9">
        <v>-0.82</v>
      </c>
      <c r="DW9">
        <v>-1.0324</v>
      </c>
      <c r="DX9">
        <v>0.29435177385159073</v>
      </c>
      <c r="DY9">
        <v>-1.0053249974727916</v>
      </c>
      <c r="DZ9">
        <v>3370</v>
      </c>
      <c r="EA9">
        <v>-1.0018132085328098</v>
      </c>
      <c r="EB9">
        <v>1</v>
      </c>
      <c r="EC9">
        <v>0.17654353251038929</v>
      </c>
      <c r="ED9">
        <v>1.0741809228125092</v>
      </c>
      <c r="EE9" s="11">
        <v>3.0030100000000002</v>
      </c>
      <c r="EF9">
        <v>3.01051</v>
      </c>
      <c r="EG9">
        <v>13.164351773851591</v>
      </c>
      <c r="EH9" t="s">
        <v>329</v>
      </c>
      <c r="EI9">
        <v>0</v>
      </c>
      <c r="EJ9">
        <v>0</v>
      </c>
      <c r="EK9" s="7">
        <v>45470</v>
      </c>
      <c r="EL9" s="12">
        <v>0</v>
      </c>
      <c r="EM9" s="12">
        <v>-5.12</v>
      </c>
      <c r="EN9" s="12">
        <v>3.56</v>
      </c>
      <c r="EO9" s="12">
        <v>-0.74</v>
      </c>
      <c r="EP9" s="12">
        <v>-0.75</v>
      </c>
    </row>
    <row r="10" spans="1:146" ht="108" x14ac:dyDescent="0.25">
      <c r="A10" s="14"/>
      <c r="B10" s="14"/>
      <c r="C10" s="14" t="str">
        <f>""&amp;CHAR(10)&amp;Basic_Fundamental_Information_Constructure(F10)&amp;CHAR(10)&amp;Basic_Fundamental_Information_Concatenate("")</f>
        <v xml:space="preserve">
市值28.649556亿, 利润1637.60万; PE174.6; 平均PE-28.22; 平均PEG-.9, PB2.22; ROIC2.21%; ROE-12.79%; 股利率0%; 毛利-17.7667%; 净利-110.77%; 上一年度营收增262.02%, 利润增105.81%; 当季营收增3.18%, 利润增.25%; 过往5年营收增31.51%, 利润增-104.34%
Income profile:
</v>
      </c>
      <c r="D10" t="s">
        <v>48</v>
      </c>
      <c r="E10" t="s">
        <v>11</v>
      </c>
      <c r="F10">
        <v>6.12</v>
      </c>
      <c r="G10">
        <v>1.1599999999999999</v>
      </c>
      <c r="H10" t="s">
        <v>662</v>
      </c>
      <c r="I10">
        <v>2864955600</v>
      </c>
      <c r="J10">
        <v>174.6</v>
      </c>
      <c r="K10">
        <v>2.2200000000000002</v>
      </c>
      <c r="L10" t="s">
        <v>422</v>
      </c>
      <c r="M10" t="s">
        <v>663</v>
      </c>
      <c r="N10" t="s">
        <v>664</v>
      </c>
      <c r="O10" t="s">
        <v>665</v>
      </c>
      <c r="P10">
        <v>3.18</v>
      </c>
      <c r="Q10" t="s">
        <v>87</v>
      </c>
      <c r="R10">
        <v>-12477651</v>
      </c>
      <c r="S10" s="5">
        <v>2.4499999999999999E-3</v>
      </c>
      <c r="T10" t="s">
        <v>666</v>
      </c>
      <c r="U10">
        <v>360080130</v>
      </c>
      <c r="V10">
        <v>468130000</v>
      </c>
      <c r="W10">
        <v>1.84</v>
      </c>
      <c r="X10">
        <v>0.04</v>
      </c>
      <c r="Y10">
        <v>-17.11</v>
      </c>
      <c r="Z10" t="s">
        <v>331</v>
      </c>
      <c r="AA10" t="s">
        <v>667</v>
      </c>
      <c r="AB10" t="s">
        <v>668</v>
      </c>
      <c r="AC10" t="s">
        <v>669</v>
      </c>
      <c r="AD10" t="s">
        <v>19</v>
      </c>
      <c r="AE10">
        <v>8539723</v>
      </c>
      <c r="AF10" t="s">
        <v>670</v>
      </c>
      <c r="AG10" t="s">
        <v>671</v>
      </c>
      <c r="AH10" t="s">
        <v>672</v>
      </c>
      <c r="AI10" t="s">
        <v>673</v>
      </c>
      <c r="AJ10" t="s">
        <v>674</v>
      </c>
      <c r="AK10" t="s">
        <v>19</v>
      </c>
      <c r="AL10" t="s">
        <v>675</v>
      </c>
      <c r="AM10" t="s">
        <v>19</v>
      </c>
      <c r="AN10" t="s">
        <v>40</v>
      </c>
      <c r="AO10" t="s">
        <v>19</v>
      </c>
      <c r="AP10" t="s">
        <v>19</v>
      </c>
      <c r="AQ10" t="s">
        <v>676</v>
      </c>
      <c r="AR10" t="s">
        <v>677</v>
      </c>
      <c r="AS10" t="s">
        <v>413</v>
      </c>
      <c r="AT10" t="s">
        <v>678</v>
      </c>
      <c r="AU10" t="s">
        <v>679</v>
      </c>
      <c r="AV10" t="s">
        <v>680</v>
      </c>
      <c r="AW10" t="s">
        <v>681</v>
      </c>
      <c r="AX10" t="s">
        <v>216</v>
      </c>
      <c r="AY10" t="s">
        <v>235</v>
      </c>
      <c r="AZ10" t="s">
        <v>130</v>
      </c>
      <c r="BA10" t="s">
        <v>49</v>
      </c>
      <c r="BB10" t="s">
        <v>132</v>
      </c>
      <c r="BC10" t="s">
        <v>682</v>
      </c>
      <c r="BD10" t="s">
        <v>214</v>
      </c>
      <c r="BE10" t="s">
        <v>131</v>
      </c>
      <c r="BF10" t="s">
        <v>50</v>
      </c>
      <c r="BG10" t="s">
        <v>133</v>
      </c>
      <c r="BH10" t="s">
        <v>87</v>
      </c>
      <c r="BI10" t="s">
        <v>683</v>
      </c>
      <c r="BJ10" t="s">
        <v>216</v>
      </c>
      <c r="BK10" t="s">
        <v>666</v>
      </c>
      <c r="BL10" t="s">
        <v>684</v>
      </c>
      <c r="BM10" t="s">
        <v>682</v>
      </c>
      <c r="BN10">
        <v>2.21</v>
      </c>
      <c r="BO10" t="s">
        <v>19</v>
      </c>
      <c r="BP10" t="s">
        <v>19</v>
      </c>
      <c r="BQ10">
        <v>2.79</v>
      </c>
      <c r="BR10">
        <v>-23.58</v>
      </c>
      <c r="BS10">
        <v>-17.579999999999998</v>
      </c>
      <c r="BT10" t="s">
        <v>376</v>
      </c>
      <c r="BU10" t="s">
        <v>307</v>
      </c>
      <c r="BV10">
        <v>29.95</v>
      </c>
      <c r="BW10">
        <v>-74.989999999999995</v>
      </c>
      <c r="BX10">
        <v>-8.26</v>
      </c>
      <c r="BY10">
        <v>0.28999999999999998</v>
      </c>
      <c r="BZ10">
        <v>-234.57</v>
      </c>
      <c r="CA10">
        <v>-98.03</v>
      </c>
      <c r="CB10">
        <v>2</v>
      </c>
      <c r="CC10">
        <v>-6.99</v>
      </c>
      <c r="CD10" t="s">
        <v>685</v>
      </c>
      <c r="CE10" t="s">
        <v>94</v>
      </c>
      <c r="CF10" s="8">
        <v>3.1831924268446561E-2</v>
      </c>
      <c r="CG10" s="9">
        <v>2.450293005444385E-3</v>
      </c>
      <c r="CH10" s="8">
        <v>2.6201550960540771</v>
      </c>
      <c r="CI10" s="8">
        <v>-0.46025103330612183</v>
      </c>
      <c r="CJ10" s="8">
        <v>-6.2745101749897003E-2</v>
      </c>
      <c r="CK10" s="8">
        <v>-0.5792078971862793</v>
      </c>
      <c r="CL10" s="8">
        <v>5.7591624557971954E-2</v>
      </c>
      <c r="CM10" s="9">
        <v>1.0580708980560303</v>
      </c>
      <c r="CN10" s="9">
        <v>-0.32394367456436157</v>
      </c>
      <c r="CO10" s="9">
        <v>0.19924812018871307</v>
      </c>
      <c r="CP10" s="9">
        <v>-5.8347282409667969</v>
      </c>
      <c r="CQ10" s="9">
        <v>-0.31570777297019958</v>
      </c>
      <c r="CR10">
        <v>-28.216748697314785</v>
      </c>
      <c r="CS10">
        <v>-0.8954612561628299</v>
      </c>
      <c r="CT10">
        <v>0</v>
      </c>
      <c r="CU10" s="8">
        <v>0.3151085376739502</v>
      </c>
      <c r="CV10" s="9">
        <v>-1.0434121340513229</v>
      </c>
      <c r="CW10">
        <v>0.06</v>
      </c>
      <c r="CX10">
        <v>130.82301696610955</v>
      </c>
      <c r="CY10">
        <v>20317186.238630764</v>
      </c>
      <c r="CZ10">
        <v>0.3151085376739502</v>
      </c>
      <c r="DA10">
        <v>35.513690209079691</v>
      </c>
      <c r="DB10">
        <v>74843126.252209276</v>
      </c>
      <c r="DC10">
        <v>0.29935311079025267</v>
      </c>
      <c r="DD10">
        <v>13.395141762043272</v>
      </c>
      <c r="DE10">
        <v>198426836.17814583</v>
      </c>
      <c r="DF10">
        <v>0.27729551315307616</v>
      </c>
      <c r="DG10">
        <v>5.8070450254047659</v>
      </c>
      <c r="DH10">
        <v>457712242.34906524</v>
      </c>
      <c r="DI10">
        <v>0.25208683013916017</v>
      </c>
      <c r="DJ10">
        <v>1.3518765448251517</v>
      </c>
      <c r="DK10">
        <v>1966123023.7142498</v>
      </c>
      <c r="DL10">
        <v>0.22057597637176513</v>
      </c>
      <c r="DM10">
        <v>16376000</v>
      </c>
      <c r="DN10">
        <v>0.3151085376739502</v>
      </c>
      <c r="DO10">
        <v>2657955600</v>
      </c>
      <c r="DP10">
        <v>-108763910</v>
      </c>
      <c r="DQ10">
        <v>413</v>
      </c>
      <c r="DR10">
        <v>-0.28327661340550364</v>
      </c>
      <c r="DS10">
        <v>1.0458624270567674</v>
      </c>
      <c r="DT10" s="10">
        <v>-0.40666666666666673</v>
      </c>
      <c r="DU10">
        <v>-2.165</v>
      </c>
      <c r="DV10">
        <v>-2.5716666666666668</v>
      </c>
      <c r="DW10">
        <v>-2.0699000000000001</v>
      </c>
      <c r="DX10">
        <v>0.30783162393162444</v>
      </c>
      <c r="DY10">
        <v>-2.0110324305128207</v>
      </c>
      <c r="DZ10">
        <v>4713</v>
      </c>
      <c r="EA10">
        <v>-2.0008571183783932</v>
      </c>
      <c r="EB10">
        <v>2</v>
      </c>
      <c r="EC10">
        <v>3.9446948497212315E-2</v>
      </c>
      <c r="ED10">
        <v>0.24993057484032213</v>
      </c>
      <c r="EE10" s="11">
        <v>-4.01</v>
      </c>
      <c r="EF10">
        <v>-4.0016999999999996</v>
      </c>
      <c r="EG10">
        <v>15.157831623931624</v>
      </c>
      <c r="EH10" t="s">
        <v>686</v>
      </c>
      <c r="EI10">
        <v>0</v>
      </c>
      <c r="EJ10">
        <v>0</v>
      </c>
      <c r="EK10" s="7">
        <v>45470</v>
      </c>
      <c r="EL10" s="12">
        <v>0</v>
      </c>
      <c r="EM10" s="12">
        <v>-3.33</v>
      </c>
      <c r="EN10" s="12">
        <v>2.58</v>
      </c>
      <c r="EO10" s="12">
        <v>0.67</v>
      </c>
      <c r="EP10" s="12">
        <v>-0.83</v>
      </c>
    </row>
    <row r="11" spans="1:146" ht="204" x14ac:dyDescent="0.25">
      <c r="A11" s="14"/>
      <c r="B11" s="14"/>
      <c r="C11" s="14" t="str">
        <f>"公司的主营业务为旅游索道、印象丽江文艺演出、酒店、其他业务；公司的主要业务有索道运输、印象丽江文艺演出、酒店经营、餐饮服务。公司是丽江地区最早从事旅游业开发和经营的企业，丽江地区唯一的A股上市公司，在区域内具有明显的竞争优势。"&amp;CHAR(10)&amp;Basic_Fundamental_Information_Constructure(F11)&amp;CHAR(10)&amp;Basic_Fundamental_Information_Concatenate("索道运输 4138.19万 52.40% -261.72% 61.73%
酒店经营 2646.48万 33.51% 225.86% -83.30%
其他业务 866.33万 10.97% 14.62% -16.47%
印象演出 179.92万 2.28% 98.40% -533.80%
餐饮服务 66.21万 0.84% 22.84% -336.80%")</f>
        <v>公司的主营业务为旅游索道、印象丽江文艺演出、酒店、其他业务；公司的主要业务有索道运输、印象丽江文艺演出、酒店经营、餐饮服务。公司是丽江地区最早从事旅游业开发和经营的企业，丽江地区唯一的A股上市公司，在区域内具有明显的竞争优势。
市值49.234368亿, 利润2.27亿; PE21.59; 平均PE44.87; 平均PEG2.49, PB1.92; ROIC4.56%; ROE2.4167%; 股利率3.9062%; 毛利46.27%; 净利7.0133%; 上一年度营收增152.05%, 利润增5960.93%; 当季营收增0%, 利润增1.11%; 过往5年营收增17.98%, 利润增1171.53%
Income profile:
索道运输 4138.19万 52.40% -261.72% 61.73%
酒店经营 2646.48万 33.51% 225.86% -83.30%
其他业务 866.33万 10.97% 14.62% -16.47%
印象演出 179.92万 2.28% 98.40% -533.80%
餐饮服务 66.21万 0.84% 22.84% -336.80%</v>
      </c>
      <c r="D11" t="s">
        <v>51</v>
      </c>
      <c r="E11" t="s">
        <v>52</v>
      </c>
      <c r="F11">
        <v>8.9600000000000009</v>
      </c>
      <c r="G11">
        <v>0.56000000000000005</v>
      </c>
      <c r="H11" t="s">
        <v>687</v>
      </c>
      <c r="I11">
        <v>4923436800</v>
      </c>
      <c r="J11">
        <v>21.59</v>
      </c>
      <c r="K11">
        <v>1.92</v>
      </c>
      <c r="L11" t="s">
        <v>422</v>
      </c>
      <c r="M11" t="s">
        <v>173</v>
      </c>
      <c r="N11" t="s">
        <v>688</v>
      </c>
      <c r="O11" t="s">
        <v>333</v>
      </c>
      <c r="P11">
        <v>-0.05</v>
      </c>
      <c r="Q11" t="s">
        <v>689</v>
      </c>
      <c r="R11">
        <v>55813359</v>
      </c>
      <c r="S11" s="5">
        <v>1.11E-2</v>
      </c>
      <c r="T11" t="s">
        <v>217</v>
      </c>
      <c r="U11">
        <v>549480180</v>
      </c>
      <c r="V11">
        <v>549490710</v>
      </c>
      <c r="W11">
        <v>1.1000000000000001</v>
      </c>
      <c r="X11">
        <v>0.06</v>
      </c>
      <c r="Y11">
        <v>34.92</v>
      </c>
      <c r="Z11" t="s">
        <v>690</v>
      </c>
      <c r="AA11" t="s">
        <v>691</v>
      </c>
      <c r="AB11" t="s">
        <v>692</v>
      </c>
      <c r="AC11" t="s">
        <v>693</v>
      </c>
      <c r="AD11" t="s">
        <v>19</v>
      </c>
      <c r="AE11">
        <v>-897925</v>
      </c>
      <c r="AF11" t="s">
        <v>694</v>
      </c>
      <c r="AG11" t="s">
        <v>695</v>
      </c>
      <c r="AH11" t="s">
        <v>696</v>
      </c>
      <c r="AI11" t="s">
        <v>697</v>
      </c>
      <c r="AJ11" t="s">
        <v>698</v>
      </c>
      <c r="AK11" t="s">
        <v>19</v>
      </c>
      <c r="AL11" t="s">
        <v>699</v>
      </c>
      <c r="AM11" t="s">
        <v>19</v>
      </c>
      <c r="AN11" t="s">
        <v>700</v>
      </c>
      <c r="AO11" t="s">
        <v>19</v>
      </c>
      <c r="AP11" t="s">
        <v>19</v>
      </c>
      <c r="AQ11" t="s">
        <v>701</v>
      </c>
      <c r="AR11" t="s">
        <v>702</v>
      </c>
      <c r="AS11" t="s">
        <v>703</v>
      </c>
      <c r="AT11" t="s">
        <v>19</v>
      </c>
      <c r="AU11" t="s">
        <v>704</v>
      </c>
      <c r="AV11" t="s">
        <v>331</v>
      </c>
      <c r="AW11" t="s">
        <v>705</v>
      </c>
      <c r="AX11" t="s">
        <v>706</v>
      </c>
      <c r="AY11" t="s">
        <v>116</v>
      </c>
      <c r="AZ11" t="s">
        <v>134</v>
      </c>
      <c r="BA11" t="s">
        <v>53</v>
      </c>
      <c r="BB11" t="s">
        <v>136</v>
      </c>
      <c r="BC11" t="s">
        <v>707</v>
      </c>
      <c r="BD11" t="s">
        <v>236</v>
      </c>
      <c r="BE11" t="s">
        <v>135</v>
      </c>
      <c r="BF11" t="s">
        <v>54</v>
      </c>
      <c r="BG11" t="s">
        <v>138</v>
      </c>
      <c r="BH11" t="s">
        <v>689</v>
      </c>
      <c r="BI11" t="s">
        <v>333</v>
      </c>
      <c r="BJ11" t="s">
        <v>706</v>
      </c>
      <c r="BK11" t="s">
        <v>217</v>
      </c>
      <c r="BL11" t="s">
        <v>708</v>
      </c>
      <c r="BM11" t="s">
        <v>707</v>
      </c>
      <c r="BN11">
        <v>9.1199999999999992</v>
      </c>
      <c r="BO11">
        <v>0</v>
      </c>
      <c r="BP11" t="s">
        <v>19</v>
      </c>
      <c r="BQ11">
        <v>8.6300000000000008</v>
      </c>
      <c r="BR11">
        <v>0.15</v>
      </c>
      <c r="BS11">
        <v>-1.53</v>
      </c>
      <c r="BT11" t="s">
        <v>709</v>
      </c>
      <c r="BU11" t="s">
        <v>307</v>
      </c>
      <c r="BV11">
        <v>58.68</v>
      </c>
      <c r="BW11">
        <v>33.99</v>
      </c>
      <c r="BX11">
        <v>46.14</v>
      </c>
      <c r="BY11">
        <v>31.52</v>
      </c>
      <c r="BZ11">
        <v>0.01</v>
      </c>
      <c r="CA11">
        <v>-10.49</v>
      </c>
      <c r="CB11">
        <v>2.2799999999999998</v>
      </c>
      <c r="CC11">
        <v>-3.34</v>
      </c>
      <c r="CD11" t="s">
        <v>710</v>
      </c>
      <c r="CE11" t="s">
        <v>67</v>
      </c>
      <c r="CF11" s="8">
        <v>0</v>
      </c>
      <c r="CG11" s="9">
        <v>1.1056627357208847E-2</v>
      </c>
      <c r="CH11" s="8">
        <v>1.5205047130584717</v>
      </c>
      <c r="CI11" s="8">
        <v>-0.11452513933181763</v>
      </c>
      <c r="CJ11" s="8">
        <v>-0.16937355697154999</v>
      </c>
      <c r="CK11" s="8">
        <v>-0.40387275815010071</v>
      </c>
      <c r="CL11" s="8">
        <v>6.6371679306030273E-2</v>
      </c>
      <c r="CM11" s="9">
        <v>59.609298706054688</v>
      </c>
      <c r="CN11" s="9">
        <v>1.0990736484527588</v>
      </c>
      <c r="CO11" s="9">
        <v>-1.5362931489944458</v>
      </c>
      <c r="CP11" s="9">
        <v>-0.6527596116065979</v>
      </c>
      <c r="CQ11" s="9">
        <v>5.7291667908430099E-2</v>
      </c>
      <c r="CR11">
        <v>44.86511179060431</v>
      </c>
      <c r="CS11">
        <v>2.4949875091801412</v>
      </c>
      <c r="CT11">
        <v>3.9062499999999996</v>
      </c>
      <c r="CU11" s="8">
        <v>0.17982098758220671</v>
      </c>
      <c r="CV11" s="9">
        <v>11.715322252362967</v>
      </c>
      <c r="CW11">
        <v>0.06</v>
      </c>
      <c r="CX11">
        <v>9.9439523954606379</v>
      </c>
      <c r="CY11">
        <v>252659777.52939707</v>
      </c>
      <c r="CZ11">
        <v>0.17982098758220671</v>
      </c>
      <c r="DA11">
        <v>3.013989337317946</v>
      </c>
      <c r="DB11">
        <v>833591801.03660822</v>
      </c>
      <c r="DC11">
        <v>0.17082993820309636</v>
      </c>
      <c r="DD11">
        <v>1.3372934445899738</v>
      </c>
      <c r="DE11">
        <v>1878747562.9706206</v>
      </c>
      <c r="DF11">
        <v>0.15824246907234191</v>
      </c>
      <c r="DG11">
        <v>0.71100535319404023</v>
      </c>
      <c r="DH11">
        <v>3533639780.2258625</v>
      </c>
      <c r="DI11">
        <v>0.14385679006576538</v>
      </c>
      <c r="DJ11">
        <v>0.27680337285778034</v>
      </c>
      <c r="DK11">
        <v>9076611943.2037144</v>
      </c>
      <c r="DL11">
        <v>0.12587469130754469</v>
      </c>
      <c r="DM11">
        <v>227000000</v>
      </c>
      <c r="DN11">
        <v>0.17982098758220671</v>
      </c>
      <c r="DO11">
        <v>2512436800</v>
      </c>
      <c r="DP11">
        <v>613835970</v>
      </c>
      <c r="DQ11">
        <v>551</v>
      </c>
      <c r="DR11">
        <v>-0.17982098758220671</v>
      </c>
      <c r="DS11">
        <v>-11.704265625005757</v>
      </c>
      <c r="DT11" s="10">
        <v>-0.35666666666666669</v>
      </c>
      <c r="DU11">
        <v>-0.31666666666666671</v>
      </c>
      <c r="DV11">
        <v>-0.67333333333333334</v>
      </c>
      <c r="DW11">
        <v>-1.0334000000000001</v>
      </c>
      <c r="DX11">
        <v>0.34771493775933615</v>
      </c>
      <c r="DY11">
        <v>-1.0069376789211619</v>
      </c>
      <c r="DZ11">
        <v>3155</v>
      </c>
      <c r="EA11">
        <v>-1.0026542391958653</v>
      </c>
      <c r="EB11">
        <v>1</v>
      </c>
      <c r="EC11">
        <v>9.1101267207956985E-2</v>
      </c>
      <c r="ED11">
        <v>0.43858794264237877</v>
      </c>
      <c r="EE11" s="11">
        <v>2.0937100000000002</v>
      </c>
      <c r="EF11">
        <v>2.10521</v>
      </c>
      <c r="EG11">
        <v>14.207714937759336</v>
      </c>
      <c r="EH11" t="s">
        <v>711</v>
      </c>
      <c r="EI11">
        <v>0</v>
      </c>
      <c r="EJ11">
        <v>0</v>
      </c>
      <c r="EK11" s="7">
        <v>45470</v>
      </c>
      <c r="EL11" s="12">
        <v>0.34</v>
      </c>
      <c r="EM11" s="12">
        <v>-4.53</v>
      </c>
      <c r="EN11" s="12">
        <v>3.08</v>
      </c>
      <c r="EO11" s="12">
        <v>0.35</v>
      </c>
      <c r="EP11" s="12">
        <v>-1.1499999999999999</v>
      </c>
    </row>
    <row r="12" spans="1:146" ht="180" x14ac:dyDescent="0.25">
      <c r="A12" s="14"/>
      <c r="B12" s="14"/>
      <c r="C12" s="14" t="str">
        <f>"公司主营业务是旅游文化科技、文旅综合体运营、旅游综合服务。公司是昆明世博会的产物,现在已升级为旅游社区开发营运商,世博园是世界上惟一保存完好并继续建设和发展的世博会会址,其所处的昆明市是全国十大热点旅游城市之一"&amp;CHAR(10)&amp;Basic_Fundamental_Information_Constructure(F12)&amp;CHAR(10)&amp;Basic_Fundamental_Information_Concatenate("旅游文化科技板块 2.06亿 65.80% 111.58% 40.29%
旅游综合服务板块 6862.62万 21.96% 11.26% 12.18%
文旅综合体运营板块 3824.38万 12.24% -22.84% -44.33%")</f>
        <v>公司主营业务是旅游文化科技、文旅综合体运营、旅游综合服务。公司是昆明世博会的产物,现在已升级为旅游社区开发营运商,世博园是世界上惟一保存完好并继续建设和发展的世博会会址,其所处的昆明市是全国十大热点旅游城市之一
市值48.596871亿, 利润-4.27亿; PE; 平均PE-159.07; 平均PEG-8.85, PB3.4; ROIC0%; ROE-11.5767%; 股利率0%; 毛利7.6267%; 净利-50.25%; 上一年度营收增33.4%, 利润增-51.96%; 当季营收增20%, 利润增-52.75%; 过往5年营收增-17.98%, 利润增-71.88%
Income profile:
旅游文化科技板块 2.06亿 65.80% 111.58% 40.29%
旅游综合服务板块 6862.62万 21.96% 11.26% 12.18%
文旅综合体运营板块 3824.38万 12.24% -22.84% -44.33%</v>
      </c>
      <c r="D12" t="s">
        <v>55</v>
      </c>
      <c r="E12" t="s">
        <v>18</v>
      </c>
      <c r="F12">
        <v>4.8</v>
      </c>
      <c r="G12">
        <v>0.84</v>
      </c>
      <c r="H12" t="s">
        <v>712</v>
      </c>
      <c r="I12">
        <v>4859687100</v>
      </c>
      <c r="K12">
        <v>3.4</v>
      </c>
      <c r="L12" t="s">
        <v>422</v>
      </c>
      <c r="M12" t="s">
        <v>713</v>
      </c>
      <c r="N12" t="s">
        <v>714</v>
      </c>
      <c r="O12" t="s">
        <v>44</v>
      </c>
      <c r="P12">
        <v>20.36</v>
      </c>
      <c r="Q12" t="s">
        <v>715</v>
      </c>
      <c r="R12">
        <v>-31678098</v>
      </c>
      <c r="S12" s="5">
        <v>-0.52749999999999997</v>
      </c>
      <c r="T12" t="s">
        <v>716</v>
      </c>
      <c r="U12">
        <v>943861050</v>
      </c>
      <c r="V12">
        <v>1012434810</v>
      </c>
      <c r="W12">
        <v>2.5</v>
      </c>
      <c r="X12">
        <v>0.03</v>
      </c>
      <c r="Y12">
        <v>-26.72</v>
      </c>
      <c r="Z12" t="s">
        <v>544</v>
      </c>
      <c r="AA12" t="s">
        <v>412</v>
      </c>
      <c r="AB12" t="s">
        <v>717</v>
      </c>
      <c r="AC12" t="s">
        <v>718</v>
      </c>
      <c r="AD12" t="s">
        <v>19</v>
      </c>
      <c r="AE12">
        <v>6078511</v>
      </c>
      <c r="AF12" t="s">
        <v>719</v>
      </c>
      <c r="AG12" t="s">
        <v>720</v>
      </c>
      <c r="AH12" t="s">
        <v>721</v>
      </c>
      <c r="AI12" t="s">
        <v>722</v>
      </c>
      <c r="AJ12" t="s">
        <v>723</v>
      </c>
      <c r="AK12" t="s">
        <v>19</v>
      </c>
      <c r="AL12" t="s">
        <v>724</v>
      </c>
      <c r="AM12" t="s">
        <v>19</v>
      </c>
      <c r="AN12" t="s">
        <v>725</v>
      </c>
      <c r="AO12" t="s">
        <v>726</v>
      </c>
      <c r="AP12" t="s">
        <v>19</v>
      </c>
      <c r="AQ12" t="s">
        <v>727</v>
      </c>
      <c r="AR12" t="s">
        <v>728</v>
      </c>
      <c r="AS12" t="s">
        <v>729</v>
      </c>
      <c r="AT12" t="s">
        <v>730</v>
      </c>
      <c r="AU12" t="s">
        <v>731</v>
      </c>
      <c r="AV12" t="s">
        <v>732</v>
      </c>
      <c r="AW12" t="s">
        <v>733</v>
      </c>
      <c r="AX12" t="s">
        <v>146</v>
      </c>
      <c r="AY12" t="s">
        <v>237</v>
      </c>
      <c r="AZ12" t="s">
        <v>139</v>
      </c>
      <c r="BA12" t="s">
        <v>56</v>
      </c>
      <c r="BB12" t="s">
        <v>141</v>
      </c>
      <c r="BC12" t="s">
        <v>734</v>
      </c>
      <c r="BD12" t="s">
        <v>238</v>
      </c>
      <c r="BE12" t="s">
        <v>140</v>
      </c>
      <c r="BF12" t="s">
        <v>57</v>
      </c>
      <c r="BG12" t="s">
        <v>142</v>
      </c>
      <c r="BH12" t="s">
        <v>715</v>
      </c>
      <c r="BI12" t="s">
        <v>331</v>
      </c>
      <c r="BJ12" t="s">
        <v>146</v>
      </c>
      <c r="BK12" t="s">
        <v>716</v>
      </c>
      <c r="BL12" t="s">
        <v>735</v>
      </c>
      <c r="BM12" t="s">
        <v>734</v>
      </c>
      <c r="BN12" t="s">
        <v>19</v>
      </c>
      <c r="BO12" t="s">
        <v>19</v>
      </c>
      <c r="BP12" t="s">
        <v>19</v>
      </c>
      <c r="BQ12">
        <v>-5.95</v>
      </c>
      <c r="BR12">
        <v>-14.42</v>
      </c>
      <c r="BS12">
        <v>-14.36</v>
      </c>
      <c r="BT12" t="s">
        <v>376</v>
      </c>
      <c r="BU12" t="s">
        <v>321</v>
      </c>
      <c r="BV12">
        <v>3.28</v>
      </c>
      <c r="BW12">
        <v>-0.84</v>
      </c>
      <c r="BX12">
        <v>20.440000000000001</v>
      </c>
      <c r="BY12">
        <v>-68.09</v>
      </c>
      <c r="BZ12">
        <v>-57.72</v>
      </c>
      <c r="CA12">
        <v>-24.94</v>
      </c>
      <c r="CB12">
        <v>1.91</v>
      </c>
      <c r="CC12">
        <v>-5.33</v>
      </c>
      <c r="CD12" t="s">
        <v>736</v>
      </c>
      <c r="CE12" t="s">
        <v>125</v>
      </c>
      <c r="CF12" s="8">
        <v>0.2</v>
      </c>
      <c r="CG12" s="9">
        <v>-0.52745033559635857</v>
      </c>
      <c r="CH12" s="8">
        <v>0.33395177125930786</v>
      </c>
      <c r="CI12" s="8">
        <v>-0.61988717317581177</v>
      </c>
      <c r="CJ12" s="8">
        <v>-0.21743929386138916</v>
      </c>
      <c r="CK12" s="8">
        <v>-0.37061479687690735</v>
      </c>
      <c r="CL12" s="8">
        <v>-2.505921944975853E-2</v>
      </c>
      <c r="CM12" s="9">
        <v>-0.51957297325134277</v>
      </c>
      <c r="CN12" s="9">
        <v>0.13803680241107941</v>
      </c>
      <c r="CO12" s="9">
        <v>-3.0503144264221191</v>
      </c>
      <c r="CP12" s="9">
        <v>0.67897915840148926</v>
      </c>
      <c r="CQ12" s="9">
        <v>-0.84137284755706787</v>
      </c>
      <c r="CR12">
        <v>-159.07357462864081</v>
      </c>
      <c r="CS12">
        <v>-8.8467717314376522</v>
      </c>
      <c r="CT12">
        <v>0</v>
      </c>
      <c r="CU12" s="8">
        <v>-0.1798097424209118</v>
      </c>
      <c r="CV12" s="9">
        <v>-0.71884885728359227</v>
      </c>
      <c r="CW12">
        <v>0.06</v>
      </c>
      <c r="CX12" t="e">
        <v>#VALUE!</v>
      </c>
      <c r="CY12" t="s">
        <v>308</v>
      </c>
      <c r="CZ12">
        <v>-0.1798097424209118</v>
      </c>
      <c r="DA12" t="e">
        <v>#VALUE!</v>
      </c>
      <c r="DB12" t="s">
        <v>309</v>
      </c>
      <c r="DC12">
        <v>-0.17081925529986619</v>
      </c>
      <c r="DD12" t="e">
        <v>#VALUE!</v>
      </c>
      <c r="DE12" t="s">
        <v>309</v>
      </c>
      <c r="DF12">
        <v>-0.15823257333040239</v>
      </c>
      <c r="DG12" t="e">
        <v>#VALUE!</v>
      </c>
      <c r="DH12" t="s">
        <v>309</v>
      </c>
      <c r="DI12">
        <v>-0.14384779393672945</v>
      </c>
      <c r="DJ12" t="e">
        <v>#VALUE!</v>
      </c>
      <c r="DK12" t="s">
        <v>309</v>
      </c>
      <c r="DL12">
        <v>-0.12586681969463825</v>
      </c>
      <c r="DM12">
        <v>-426999999.99999994</v>
      </c>
      <c r="DN12">
        <v>-0.1798097424209118</v>
      </c>
      <c r="DO12">
        <v>5756687100</v>
      </c>
      <c r="DP12">
        <v>-330676880</v>
      </c>
      <c r="DQ12">
        <v>577</v>
      </c>
      <c r="DR12">
        <v>0.37980974242091181</v>
      </c>
      <c r="DS12">
        <v>0.1913985216872337</v>
      </c>
      <c r="DT12" s="10">
        <v>-0.82333333333333325</v>
      </c>
      <c r="DU12">
        <v>-2.5483333333333333</v>
      </c>
      <c r="DV12">
        <v>-3.3716666666666666</v>
      </c>
      <c r="DW12">
        <v>-1.0532999999999999</v>
      </c>
      <c r="DX12">
        <v>0.29810536912751717</v>
      </c>
      <c r="DY12">
        <v>-1.0078940161744967</v>
      </c>
      <c r="DZ12">
        <v>5000</v>
      </c>
      <c r="EA12">
        <v>-1.0001699298980811</v>
      </c>
      <c r="EB12">
        <v>1</v>
      </c>
      <c r="EC12">
        <v>2.1796662641419846E-2</v>
      </c>
      <c r="ED12">
        <v>0.14716996939289356</v>
      </c>
      <c r="EE12" s="11">
        <v>4.7410000000000001E-2</v>
      </c>
      <c r="EF12">
        <v>5.3710000000000001E-2</v>
      </c>
      <c r="EG12">
        <v>15.148105369127517</v>
      </c>
      <c r="EH12">
        <v>-1</v>
      </c>
      <c r="EI12">
        <v>0</v>
      </c>
      <c r="EJ12">
        <v>0</v>
      </c>
      <c r="EK12" s="7">
        <v>45470</v>
      </c>
      <c r="EL12" s="12">
        <v>-0.21</v>
      </c>
      <c r="EM12" s="12">
        <v>-3.14</v>
      </c>
      <c r="EN12" s="12">
        <v>1.95</v>
      </c>
      <c r="EO12" s="12">
        <v>0.42</v>
      </c>
      <c r="EP12" s="12">
        <v>-0.63</v>
      </c>
    </row>
    <row r="13" spans="1:146" ht="96" x14ac:dyDescent="0.25">
      <c r="A13" s="14"/>
      <c r="B13" s="14"/>
      <c r="C13" s="14" t="str">
        <f>""&amp;CHAR(10)&amp;Basic_Fundamental_Information_Constructure(F13)&amp;CHAR(10)&amp;Basic_Fundamental_Information_Concatenate("")</f>
        <v xml:space="preserve">
市值23.368315亿, 利润1.28亿; PE17.62; 平均PE279.51; 平均PEG12.54, PB1.81; ROIC10.56%; ROE-2.7467%; 股利率1.6692%; 毛利45.7467%; 净利-18.1533%; 上一年度营收增180.86%, 利润增266.74%; 当季营收增-11.25%, 利润增17.67%; 过往5年营收增22.28%, 利润增-67.09%
Income profile:
</v>
      </c>
      <c r="D13" t="s">
        <v>58</v>
      </c>
      <c r="E13" t="s">
        <v>12</v>
      </c>
      <c r="F13">
        <v>13.18</v>
      </c>
      <c r="G13">
        <v>2.41</v>
      </c>
      <c r="H13" t="s">
        <v>737</v>
      </c>
      <c r="I13">
        <v>2336831500</v>
      </c>
      <c r="J13">
        <v>17.62</v>
      </c>
      <c r="K13">
        <v>1.81</v>
      </c>
      <c r="L13" t="s">
        <v>422</v>
      </c>
      <c r="M13" t="s">
        <v>738</v>
      </c>
      <c r="N13" t="s">
        <v>739</v>
      </c>
      <c r="O13" t="s">
        <v>178</v>
      </c>
      <c r="P13">
        <v>-11.37</v>
      </c>
      <c r="Q13" t="s">
        <v>715</v>
      </c>
      <c r="R13">
        <v>33791654</v>
      </c>
      <c r="S13" s="13">
        <v>0.1767</v>
      </c>
      <c r="T13" t="s">
        <v>740</v>
      </c>
      <c r="U13">
        <v>138481230</v>
      </c>
      <c r="V13">
        <v>177301330</v>
      </c>
      <c r="W13">
        <v>1.25</v>
      </c>
      <c r="X13">
        <v>0.08</v>
      </c>
      <c r="Y13">
        <v>25.07</v>
      </c>
      <c r="Z13" t="s">
        <v>741</v>
      </c>
      <c r="AA13" t="s">
        <v>742</v>
      </c>
      <c r="AB13" t="s">
        <v>743</v>
      </c>
      <c r="AC13" t="s">
        <v>744</v>
      </c>
      <c r="AD13" t="s">
        <v>19</v>
      </c>
      <c r="AE13">
        <v>603460</v>
      </c>
      <c r="AF13" t="s">
        <v>745</v>
      </c>
      <c r="AG13" t="s">
        <v>746</v>
      </c>
      <c r="AH13" t="s">
        <v>747</v>
      </c>
      <c r="AI13" t="s">
        <v>381</v>
      </c>
      <c r="AJ13" t="s">
        <v>748</v>
      </c>
      <c r="AK13" t="s">
        <v>19</v>
      </c>
      <c r="AL13" t="s">
        <v>749</v>
      </c>
      <c r="AM13" t="s">
        <v>19</v>
      </c>
      <c r="AN13" t="s">
        <v>750</v>
      </c>
      <c r="AO13" t="s">
        <v>407</v>
      </c>
      <c r="AP13" t="s">
        <v>19</v>
      </c>
      <c r="AQ13" t="s">
        <v>751</v>
      </c>
      <c r="AR13" t="s">
        <v>752</v>
      </c>
      <c r="AS13" t="s">
        <v>127</v>
      </c>
      <c r="AT13" t="s">
        <v>753</v>
      </c>
      <c r="AU13" t="s">
        <v>754</v>
      </c>
      <c r="AV13" t="s">
        <v>755</v>
      </c>
      <c r="AW13" t="s">
        <v>756</v>
      </c>
      <c r="AX13" t="s">
        <v>757</v>
      </c>
      <c r="AY13" t="s">
        <v>240</v>
      </c>
      <c r="AZ13" t="s">
        <v>143</v>
      </c>
      <c r="BA13" t="s">
        <v>59</v>
      </c>
      <c r="BB13" t="s">
        <v>145</v>
      </c>
      <c r="BC13" t="s">
        <v>758</v>
      </c>
      <c r="BD13" t="s">
        <v>759</v>
      </c>
      <c r="BE13" t="s">
        <v>144</v>
      </c>
      <c r="BF13" t="s">
        <v>60</v>
      </c>
      <c r="BG13" t="s">
        <v>147</v>
      </c>
      <c r="BH13" t="s">
        <v>715</v>
      </c>
      <c r="BI13" t="s">
        <v>414</v>
      </c>
      <c r="BJ13" t="s">
        <v>757</v>
      </c>
      <c r="BK13" t="s">
        <v>740</v>
      </c>
      <c r="BL13" t="s">
        <v>760</v>
      </c>
      <c r="BM13" t="s">
        <v>758</v>
      </c>
      <c r="BN13">
        <v>10.56</v>
      </c>
      <c r="BO13" t="s">
        <v>19</v>
      </c>
      <c r="BP13" t="s">
        <v>19</v>
      </c>
      <c r="BQ13">
        <v>11.19</v>
      </c>
      <c r="BR13">
        <v>-6.39</v>
      </c>
      <c r="BS13">
        <v>-13.04</v>
      </c>
      <c r="BT13" t="s">
        <v>761</v>
      </c>
      <c r="BU13" t="s">
        <v>307</v>
      </c>
      <c r="BV13">
        <v>62.56</v>
      </c>
      <c r="BW13">
        <v>29.13</v>
      </c>
      <c r="BX13">
        <v>45.55</v>
      </c>
      <c r="BY13">
        <v>19.559999999999999</v>
      </c>
      <c r="BZ13">
        <v>-32.97</v>
      </c>
      <c r="CA13">
        <v>-41.05</v>
      </c>
      <c r="CB13">
        <v>2.73</v>
      </c>
      <c r="CC13">
        <v>-3.58</v>
      </c>
      <c r="CD13" t="s">
        <v>762</v>
      </c>
      <c r="CE13" t="s">
        <v>763</v>
      </c>
      <c r="CF13" s="8">
        <v>-0.1125</v>
      </c>
      <c r="CG13" s="9">
        <v>0.17667975959161203</v>
      </c>
      <c r="CH13" s="8">
        <v>1.80859375</v>
      </c>
      <c r="CI13" s="8">
        <v>-0.41149425506591797</v>
      </c>
      <c r="CJ13" s="8">
        <v>7.4074074625968933E-2</v>
      </c>
      <c r="CK13" s="8">
        <v>-0.40177252888679504</v>
      </c>
      <c r="CL13" s="8">
        <v>4.4753085821866989E-2</v>
      </c>
      <c r="CM13" s="9">
        <v>2.6674354076385498</v>
      </c>
      <c r="CN13" s="9">
        <v>0.56383752822875977</v>
      </c>
      <c r="CO13" s="9">
        <v>-7.170870304107666</v>
      </c>
      <c r="CP13" s="9">
        <v>1.5005786418914795</v>
      </c>
      <c r="CQ13" s="9">
        <v>-0.91551262140274048</v>
      </c>
      <c r="CR13">
        <v>279.51248248186386</v>
      </c>
      <c r="CS13">
        <v>12.543708084677071</v>
      </c>
      <c r="CT13">
        <v>1.6691957511380882</v>
      </c>
      <c r="CU13" s="8">
        <v>0.22283082529902459</v>
      </c>
      <c r="CV13" s="9">
        <v>-0.67090626955032351</v>
      </c>
      <c r="CW13">
        <v>0.06</v>
      </c>
      <c r="CX13">
        <v>9.4393000818837045</v>
      </c>
      <c r="CY13">
        <v>147662590.22478786</v>
      </c>
      <c r="CZ13">
        <v>0.22283082529902459</v>
      </c>
      <c r="DA13">
        <v>2.7613567781680532</v>
      </c>
      <c r="DB13">
        <v>504763278.33475375</v>
      </c>
      <c r="DC13">
        <v>0.21168928403407336</v>
      </c>
      <c r="DD13">
        <v>1.1642472452257437</v>
      </c>
      <c r="DE13">
        <v>1197195445.9980197</v>
      </c>
      <c r="DF13">
        <v>0.19609112626314165</v>
      </c>
      <c r="DG13">
        <v>0.58141903341631651</v>
      </c>
      <c r="DH13">
        <v>2397292520.3533325</v>
      </c>
      <c r="DI13">
        <v>0.17826466023921969</v>
      </c>
      <c r="DJ13">
        <v>0.19397631314279115</v>
      </c>
      <c r="DK13">
        <v>7185575792.3080196</v>
      </c>
      <c r="DL13">
        <v>0.1559815777093172</v>
      </c>
      <c r="DM13">
        <v>128000000</v>
      </c>
      <c r="DN13">
        <v>0.22283082529902459</v>
      </c>
      <c r="DO13">
        <v>1393831500</v>
      </c>
      <c r="DP13">
        <v>25607430</v>
      </c>
      <c r="DQ13">
        <v>669</v>
      </c>
      <c r="DR13">
        <v>-0.33533082529902458</v>
      </c>
      <c r="DS13">
        <v>0.84758602914193548</v>
      </c>
      <c r="DT13" s="10">
        <v>-0.40666666666666673</v>
      </c>
      <c r="DU13">
        <v>-0.6166666666666667</v>
      </c>
      <c r="DV13">
        <v>-1.0233333333333334</v>
      </c>
      <c r="DW13">
        <v>6.4326465927099843</v>
      </c>
      <c r="DX13">
        <v>0.4097391436080815</v>
      </c>
      <c r="DY13">
        <v>6.0777635280586466</v>
      </c>
      <c r="DZ13">
        <v>3578</v>
      </c>
      <c r="EA13">
        <v>6.0233138405060362</v>
      </c>
      <c r="EB13">
        <v>6</v>
      </c>
      <c r="EC13">
        <v>8.4315780372318697E-2</v>
      </c>
      <c r="ED13">
        <v>0.46910082400397107</v>
      </c>
      <c r="EE13" s="11">
        <v>-2.0709</v>
      </c>
      <c r="EF13">
        <v>-2.0709</v>
      </c>
      <c r="EG13">
        <v>23.179739143608082</v>
      </c>
      <c r="EH13" t="s">
        <v>764</v>
      </c>
      <c r="EI13">
        <v>0</v>
      </c>
      <c r="EJ13">
        <v>0</v>
      </c>
      <c r="EK13" s="7">
        <v>45470</v>
      </c>
      <c r="EL13" s="12">
        <v>0.96</v>
      </c>
      <c r="EM13" s="12">
        <v>-2.4500000000000002</v>
      </c>
      <c r="EN13" s="12">
        <v>2.27</v>
      </c>
      <c r="EO13" s="12">
        <v>0.87</v>
      </c>
      <c r="EP13" s="12">
        <v>0</v>
      </c>
    </row>
    <row r="14" spans="1:146" ht="108" x14ac:dyDescent="0.25">
      <c r="A14" s="14"/>
      <c r="B14" s="14"/>
      <c r="C14" s="14" t="str">
        <f>""&amp;CHAR(10)&amp;Basic_Fundamental_Information_Constructure(F14)&amp;CHAR(10)&amp;Basic_Fundamental_Information_Concatenate("")</f>
        <v xml:space="preserve">
市值27.039792亿, 利润6003.95万; PE40.86; 平均PE-31.3; 平均PEG-4.58, PB3.3; ROIC8.37%; ROE-12.1833%; 股利率0%; 毛利2.6167%; 净利-18.4167%; 上一年度营收增99.17%, 利润增121.67%; 当季营收增11.88%, 利润增66.85%; 过往5年营收增6.84%, 利润增-128.13%
Income profile:
</v>
      </c>
      <c r="D14" t="s">
        <v>765</v>
      </c>
      <c r="E14" t="s">
        <v>766</v>
      </c>
      <c r="F14">
        <v>8.81</v>
      </c>
      <c r="G14">
        <v>1.1499999999999999</v>
      </c>
      <c r="H14" t="s">
        <v>767</v>
      </c>
      <c r="I14">
        <v>2703979200</v>
      </c>
      <c r="J14">
        <v>40.86</v>
      </c>
      <c r="K14">
        <v>3.3</v>
      </c>
      <c r="L14" t="s">
        <v>422</v>
      </c>
      <c r="M14" t="s">
        <v>768</v>
      </c>
      <c r="N14" t="s">
        <v>769</v>
      </c>
      <c r="O14" t="s">
        <v>116</v>
      </c>
      <c r="P14" s="5">
        <v>11.99</v>
      </c>
      <c r="Q14" t="s">
        <v>770</v>
      </c>
      <c r="R14">
        <v>15307128</v>
      </c>
      <c r="S14">
        <v>0.66849999999999998</v>
      </c>
      <c r="T14" t="s">
        <v>771</v>
      </c>
      <c r="U14">
        <v>306414590</v>
      </c>
      <c r="V14">
        <v>306921590</v>
      </c>
      <c r="W14">
        <v>1.79</v>
      </c>
      <c r="X14">
        <v>0.24</v>
      </c>
      <c r="Y14">
        <v>4.5999999999999996</v>
      </c>
      <c r="Z14" t="s">
        <v>772</v>
      </c>
      <c r="AA14" t="s">
        <v>379</v>
      </c>
      <c r="AB14" t="s">
        <v>773</v>
      </c>
      <c r="AC14" t="s">
        <v>774</v>
      </c>
      <c r="AD14" t="s">
        <v>19</v>
      </c>
      <c r="AE14">
        <v>2493919</v>
      </c>
      <c r="AF14" t="s">
        <v>775</v>
      </c>
      <c r="AG14" t="s">
        <v>776</v>
      </c>
      <c r="AH14" t="s">
        <v>777</v>
      </c>
      <c r="AI14" t="s">
        <v>778</v>
      </c>
      <c r="AJ14" t="s">
        <v>779</v>
      </c>
      <c r="AK14" t="s">
        <v>19</v>
      </c>
      <c r="AL14" t="s">
        <v>780</v>
      </c>
      <c r="AM14" t="s">
        <v>19</v>
      </c>
      <c r="AN14" t="s">
        <v>781</v>
      </c>
      <c r="AO14" t="s">
        <v>19</v>
      </c>
      <c r="AP14" t="s">
        <v>19</v>
      </c>
      <c r="AQ14" t="s">
        <v>782</v>
      </c>
      <c r="AR14" t="s">
        <v>783</v>
      </c>
      <c r="AS14" t="s">
        <v>784</v>
      </c>
      <c r="AT14" t="s">
        <v>19</v>
      </c>
      <c r="AU14" t="s">
        <v>785</v>
      </c>
      <c r="AV14" t="s">
        <v>786</v>
      </c>
      <c r="AW14" t="s">
        <v>787</v>
      </c>
      <c r="AX14" t="s">
        <v>715</v>
      </c>
      <c r="AY14" t="s">
        <v>788</v>
      </c>
      <c r="AZ14" t="s">
        <v>789</v>
      </c>
      <c r="BA14" t="s">
        <v>790</v>
      </c>
      <c r="BB14" t="s">
        <v>791</v>
      </c>
      <c r="BC14" t="s">
        <v>792</v>
      </c>
      <c r="BD14" t="s">
        <v>793</v>
      </c>
      <c r="BE14" t="s">
        <v>794</v>
      </c>
      <c r="BF14" t="s">
        <v>795</v>
      </c>
      <c r="BG14" t="s">
        <v>796</v>
      </c>
      <c r="BH14" t="s">
        <v>770</v>
      </c>
      <c r="BI14" t="s">
        <v>797</v>
      </c>
      <c r="BJ14" t="s">
        <v>715</v>
      </c>
      <c r="BK14" t="s">
        <v>771</v>
      </c>
      <c r="BL14" t="s">
        <v>798</v>
      </c>
      <c r="BM14" t="s">
        <v>792</v>
      </c>
      <c r="BN14">
        <v>8.3699999999999992</v>
      </c>
      <c r="BO14" t="s">
        <v>19</v>
      </c>
      <c r="BP14" t="s">
        <v>19</v>
      </c>
      <c r="BQ14">
        <v>9.14</v>
      </c>
      <c r="BR14">
        <v>-31.45</v>
      </c>
      <c r="BS14">
        <v>-14.24</v>
      </c>
      <c r="BT14" t="s">
        <v>376</v>
      </c>
      <c r="BU14" t="s">
        <v>604</v>
      </c>
      <c r="BV14">
        <v>18.14</v>
      </c>
      <c r="BW14">
        <v>-12.89</v>
      </c>
      <c r="BX14">
        <v>2.6</v>
      </c>
      <c r="BY14">
        <v>3.96</v>
      </c>
      <c r="BZ14">
        <v>-41.13</v>
      </c>
      <c r="CA14">
        <v>-18.079999999999998</v>
      </c>
      <c r="CB14">
        <v>2.8</v>
      </c>
      <c r="CC14" s="8">
        <v>-11.1</v>
      </c>
      <c r="CD14" s="9" t="s">
        <v>799</v>
      </c>
      <c r="CE14" s="8" t="s">
        <v>800</v>
      </c>
      <c r="CF14" s="8">
        <v>0.11874999999999999</v>
      </c>
      <c r="CG14" s="8">
        <v>0.66853368214519293</v>
      </c>
      <c r="CH14" s="8">
        <v>0.99165505170822144</v>
      </c>
      <c r="CI14" s="8">
        <v>-0.2415611743927002</v>
      </c>
      <c r="CJ14" s="9">
        <v>0.21072797477245331</v>
      </c>
      <c r="CK14" s="9">
        <v>-0.5</v>
      </c>
      <c r="CL14" s="9">
        <v>-0.11873941868543625</v>
      </c>
      <c r="CM14" s="9">
        <v>1.2167490720748901</v>
      </c>
      <c r="CN14" s="9">
        <v>-0.76433122158050537</v>
      </c>
      <c r="CO14">
        <v>0.40076336264610291</v>
      </c>
      <c r="CP14">
        <v>-6.8707671165466309</v>
      </c>
      <c r="CQ14">
        <v>-0.38901209831237793</v>
      </c>
      <c r="CR14" s="8">
        <v>-31.30267355907036</v>
      </c>
      <c r="CS14" s="9">
        <v>-4.5753114604156826</v>
      </c>
      <c r="CT14">
        <v>0</v>
      </c>
      <c r="CU14">
        <v>6.8416486680507663E-2</v>
      </c>
      <c r="CV14">
        <v>-1.2813196003437042</v>
      </c>
      <c r="CW14">
        <v>0.06</v>
      </c>
      <c r="CX14">
        <v>42.236267593691807</v>
      </c>
      <c r="CY14">
        <v>60516218.539673902</v>
      </c>
      <c r="CZ14">
        <v>6.8416486680507663E-2</v>
      </c>
      <c r="DA14">
        <v>14.057621509338517</v>
      </c>
      <c r="DB14">
        <v>181821597.5086579</v>
      </c>
      <c r="DC14">
        <v>6.4995662346482283E-2</v>
      </c>
      <c r="DD14">
        <v>7.0904348653103302</v>
      </c>
      <c r="DE14">
        <v>360482713.47996247</v>
      </c>
      <c r="DF14">
        <v>6.0206508278846743E-2</v>
      </c>
      <c r="DG14">
        <v>4.3749560352382835</v>
      </c>
      <c r="DH14">
        <v>584229688.11863446</v>
      </c>
      <c r="DI14">
        <v>5.473318934440613E-2</v>
      </c>
      <c r="DJ14">
        <v>2.3962257896317634</v>
      </c>
      <c r="DK14">
        <v>1066668763.4610537</v>
      </c>
      <c r="DL14">
        <v>4.7891540676355364E-2</v>
      </c>
      <c r="DM14">
        <v>60039500</v>
      </c>
      <c r="DN14">
        <v>6.8416486680507663E-2</v>
      </c>
      <c r="DO14">
        <v>2555979200</v>
      </c>
      <c r="DP14">
        <v>-162182370</v>
      </c>
      <c r="DQ14" s="10">
        <v>696</v>
      </c>
      <c r="DR14">
        <v>5.0333513319492332E-2</v>
      </c>
      <c r="DS14">
        <v>1.9498532824888972</v>
      </c>
      <c r="DT14">
        <v>-0.24</v>
      </c>
      <c r="DU14">
        <v>-1.8566666666666667</v>
      </c>
      <c r="DV14">
        <v>-2.0966666666666667</v>
      </c>
      <c r="DW14">
        <v>6.2014388489208629</v>
      </c>
      <c r="DX14">
        <v>0.35851078431372552</v>
      </c>
      <c r="DY14">
        <v>6.0420021723797435</v>
      </c>
      <c r="DZ14">
        <v>4454</v>
      </c>
      <c r="EA14">
        <v>6.0053920597027615</v>
      </c>
      <c r="EB14" s="11">
        <v>6</v>
      </c>
      <c r="EC14" s="11">
        <v>6.9294897110366196E-2</v>
      </c>
      <c r="ED14">
        <v>0.33233243708922527</v>
      </c>
      <c r="EE14">
        <v>3.0097100000000001</v>
      </c>
      <c r="EF14">
        <v>3.0236100000000001</v>
      </c>
      <c r="EG14">
        <v>15.208510784313725</v>
      </c>
      <c r="EH14" s="7" t="s">
        <v>329</v>
      </c>
      <c r="EI14">
        <v>0</v>
      </c>
      <c r="EJ14">
        <v>0</v>
      </c>
      <c r="EK14">
        <v>45470</v>
      </c>
      <c r="EL14">
        <v>0.23</v>
      </c>
      <c r="EM14">
        <v>-4.24</v>
      </c>
      <c r="EN14" s="12">
        <v>2.63</v>
      </c>
      <c r="EO14" s="12">
        <v>1.05</v>
      </c>
      <c r="EP14" s="12">
        <v>-1.39</v>
      </c>
    </row>
    <row r="15" spans="1:146" ht="108" x14ac:dyDescent="0.25">
      <c r="A15" s="14"/>
      <c r="B15" s="14"/>
      <c r="C15" s="14" t="str">
        <f>""&amp;CHAR(10)&amp;Basic_Fundamental_Information_Constructure(F15)&amp;CHAR(10)&amp;Basic_Fundamental_Information_Concatenate("")</f>
        <v xml:space="preserve">
市值23.222659亿, 利润-5897.00万; PE; 平均PE-121.11; 平均PEG-2.87, PB136.2; ROIC7.15%; ROE-8.43%; 股利率0%; 毛利27.8033%; 净利-17.3367%; 上一年度营收增46.92%, 利润增-170.95%; 当季营收增-27.28%, 利润增51.02%; 过往5年营收增42.14%, 利润增-212.89%
Income profile:
</v>
      </c>
      <c r="D15" t="s">
        <v>801</v>
      </c>
      <c r="E15" t="s">
        <v>802</v>
      </c>
      <c r="F15">
        <v>2.67</v>
      </c>
      <c r="G15">
        <v>1.52</v>
      </c>
      <c r="H15" t="s">
        <v>803</v>
      </c>
      <c r="I15">
        <v>2322265900</v>
      </c>
      <c r="K15">
        <v>136.19999999999999</v>
      </c>
      <c r="L15" t="s">
        <v>422</v>
      </c>
      <c r="M15" t="s">
        <v>804</v>
      </c>
      <c r="N15" t="s">
        <v>805</v>
      </c>
      <c r="O15" t="s">
        <v>806</v>
      </c>
      <c r="P15" s="5">
        <v>-27.28</v>
      </c>
      <c r="Q15" t="s">
        <v>129</v>
      </c>
      <c r="R15">
        <v>-14249475</v>
      </c>
      <c r="S15">
        <v>0.51019999999999999</v>
      </c>
      <c r="T15" t="s">
        <v>807</v>
      </c>
      <c r="U15">
        <v>813960390</v>
      </c>
      <c r="V15">
        <v>869762500</v>
      </c>
      <c r="W15">
        <v>4.7300000000000004</v>
      </c>
      <c r="X15">
        <v>0.04</v>
      </c>
      <c r="Y15">
        <v>-62.04</v>
      </c>
      <c r="Z15" t="s">
        <v>808</v>
      </c>
      <c r="AA15" t="s">
        <v>809</v>
      </c>
      <c r="AB15" t="s">
        <v>810</v>
      </c>
      <c r="AC15" t="s">
        <v>811</v>
      </c>
      <c r="AD15" t="s">
        <v>19</v>
      </c>
      <c r="AE15">
        <v>796609</v>
      </c>
      <c r="AF15" t="s">
        <v>812</v>
      </c>
      <c r="AG15" t="s">
        <v>813</v>
      </c>
      <c r="AH15" t="s">
        <v>814</v>
      </c>
      <c r="AI15" t="s">
        <v>815</v>
      </c>
      <c r="AJ15" t="s">
        <v>816</v>
      </c>
      <c r="AK15" t="s">
        <v>817</v>
      </c>
      <c r="AL15" t="s">
        <v>818</v>
      </c>
      <c r="AM15" t="s">
        <v>19</v>
      </c>
      <c r="AN15" t="s">
        <v>819</v>
      </c>
      <c r="AO15" t="s">
        <v>820</v>
      </c>
      <c r="AP15" t="s">
        <v>821</v>
      </c>
      <c r="AQ15" t="s">
        <v>822</v>
      </c>
      <c r="AR15" t="s">
        <v>19</v>
      </c>
      <c r="AS15" t="s">
        <v>823</v>
      </c>
      <c r="AT15" t="s">
        <v>19</v>
      </c>
      <c r="AU15" t="s">
        <v>824</v>
      </c>
      <c r="AV15" t="s">
        <v>825</v>
      </c>
      <c r="AW15" t="s">
        <v>826</v>
      </c>
      <c r="AX15" t="s">
        <v>827</v>
      </c>
      <c r="AY15" t="s">
        <v>706</v>
      </c>
      <c r="AZ15" t="s">
        <v>828</v>
      </c>
      <c r="BA15" t="s">
        <v>829</v>
      </c>
      <c r="BB15" t="s">
        <v>830</v>
      </c>
      <c r="BC15" t="s">
        <v>831</v>
      </c>
      <c r="BD15" t="s">
        <v>832</v>
      </c>
      <c r="BE15" t="s">
        <v>833</v>
      </c>
      <c r="BF15" t="s">
        <v>834</v>
      </c>
      <c r="BG15" t="s">
        <v>835</v>
      </c>
      <c r="BH15" t="s">
        <v>129</v>
      </c>
      <c r="BI15" t="s">
        <v>836</v>
      </c>
      <c r="BJ15" t="s">
        <v>827</v>
      </c>
      <c r="BK15" t="s">
        <v>807</v>
      </c>
      <c r="BL15" t="s">
        <v>837</v>
      </c>
      <c r="BM15" t="s">
        <v>831</v>
      </c>
      <c r="BN15" t="s">
        <v>19</v>
      </c>
      <c r="BO15" t="s">
        <v>19</v>
      </c>
      <c r="BP15">
        <v>7.15</v>
      </c>
      <c r="BQ15" t="s">
        <v>19</v>
      </c>
      <c r="BR15">
        <v>-27.77</v>
      </c>
      <c r="BS15">
        <v>10.91</v>
      </c>
      <c r="BT15" t="s">
        <v>376</v>
      </c>
      <c r="BU15" t="s">
        <v>604</v>
      </c>
      <c r="BV15">
        <v>0.51</v>
      </c>
      <c r="BW15">
        <v>48.88</v>
      </c>
      <c r="BX15">
        <v>34.020000000000003</v>
      </c>
      <c r="BY15">
        <v>-36.94</v>
      </c>
      <c r="BZ15">
        <v>-16.579999999999998</v>
      </c>
      <c r="CA15">
        <v>1.51</v>
      </c>
      <c r="CB15">
        <v>0.38</v>
      </c>
      <c r="CC15" s="8">
        <v>-19.09</v>
      </c>
      <c r="CD15" s="9" t="s">
        <v>838</v>
      </c>
      <c r="CE15" s="8" t="s">
        <v>839</v>
      </c>
      <c r="CF15" s="8">
        <v>-0.27282077716862407</v>
      </c>
      <c r="CG15" s="8">
        <v>0.51019098099470983</v>
      </c>
      <c r="CH15" s="8">
        <v>0.4692307710647583</v>
      </c>
      <c r="CI15" s="8">
        <v>-0.58990538120269775</v>
      </c>
      <c r="CJ15" s="9">
        <v>0.16544117033481598</v>
      </c>
      <c r="CK15" s="9">
        <v>1.9221010208129883</v>
      </c>
      <c r="CL15" s="9">
        <v>0.14002329111099243</v>
      </c>
      <c r="CM15" s="9">
        <v>-1.7094954252243042</v>
      </c>
      <c r="CN15" s="9">
        <v>-5.5848326683044434</v>
      </c>
      <c r="CO15">
        <v>1.4182268381118774</v>
      </c>
      <c r="CP15">
        <v>0.6824336051940918</v>
      </c>
      <c r="CQ15">
        <v>-5.4508852958679199</v>
      </c>
      <c r="CR15" s="8">
        <v>-121.11030623526712</v>
      </c>
      <c r="CS15" s="9">
        <v>-2.8741475849044327</v>
      </c>
      <c r="CT15">
        <v>0</v>
      </c>
      <c r="CU15">
        <v>0.42137817442417147</v>
      </c>
      <c r="CV15">
        <v>-2.1289105892181395</v>
      </c>
      <c r="CW15">
        <v>0.06</v>
      </c>
      <c r="CX15" t="e">
        <v>#VALUE!</v>
      </c>
      <c r="CY15" t="s">
        <v>308</v>
      </c>
      <c r="CZ15">
        <v>0.42137817442417147</v>
      </c>
      <c r="DA15" t="e">
        <v>#VALUE!</v>
      </c>
      <c r="DB15" t="s">
        <v>309</v>
      </c>
      <c r="DC15">
        <v>0.40030926570296288</v>
      </c>
      <c r="DD15" t="e">
        <v>#VALUE!</v>
      </c>
      <c r="DE15" t="s">
        <v>309</v>
      </c>
      <c r="DF15">
        <v>0.3708127934932709</v>
      </c>
      <c r="DG15" t="e">
        <v>#VALUE!</v>
      </c>
      <c r="DH15" t="s">
        <v>309</v>
      </c>
      <c r="DI15">
        <v>0.33710253953933722</v>
      </c>
      <c r="DJ15" t="e">
        <v>#VALUE!</v>
      </c>
      <c r="DK15" t="s">
        <v>309</v>
      </c>
      <c r="DL15">
        <v>0.29496472209691998</v>
      </c>
      <c r="DM15">
        <v>-58970000</v>
      </c>
      <c r="DN15">
        <v>0.42137817442417147</v>
      </c>
      <c r="DO15">
        <v>2697265900</v>
      </c>
      <c r="DP15">
        <v>-336003020</v>
      </c>
      <c r="DQ15" s="10">
        <v>813</v>
      </c>
      <c r="DR15">
        <v>-0.69419895159279554</v>
      </c>
      <c r="DS15">
        <v>2.6391015702128495</v>
      </c>
      <c r="DT15">
        <v>0.17500000000000004</v>
      </c>
      <c r="DU15">
        <v>-2.8983333333333334</v>
      </c>
      <c r="DV15">
        <v>-2.7233333333333336</v>
      </c>
      <c r="DW15">
        <v>-3.0349464285714287</v>
      </c>
      <c r="DX15">
        <v>0.28738333333333277</v>
      </c>
      <c r="DY15">
        <v>-3.0041021282738094</v>
      </c>
      <c r="DZ15">
        <v>4804</v>
      </c>
      <c r="EA15">
        <v>-3.0002456460375315</v>
      </c>
      <c r="EB15" s="11">
        <v>3</v>
      </c>
      <c r="EC15" s="11">
        <v>6.4780902832669837E-2</v>
      </c>
      <c r="ED15">
        <v>0.55187479340624601</v>
      </c>
      <c r="EE15">
        <v>-3.0213999999999999</v>
      </c>
      <c r="EF15">
        <v>-3.0032000000000001</v>
      </c>
      <c r="EG15">
        <v>17.117383333333333</v>
      </c>
      <c r="EH15" s="7" t="s">
        <v>840</v>
      </c>
      <c r="EI15">
        <v>0</v>
      </c>
      <c r="EJ15">
        <v>0</v>
      </c>
      <c r="EK15">
        <v>45470</v>
      </c>
      <c r="EL15">
        <v>-2.1800000000000002</v>
      </c>
      <c r="EM15">
        <v>-2.6</v>
      </c>
      <c r="EN15" s="12">
        <v>2.67</v>
      </c>
      <c r="EO15" s="12">
        <v>1.86</v>
      </c>
      <c r="EP15" s="12">
        <v>-1.82</v>
      </c>
    </row>
    <row r="16" spans="1:146" ht="96" x14ac:dyDescent="0.25">
      <c r="A16" s="14"/>
      <c r="B16" s="14"/>
      <c r="C16" s="14" t="str">
        <f>""&amp;CHAR(10)&amp;Basic_Fundamental_Information_Constructure(F16)&amp;CHAR(10)&amp;Basic_Fundamental_Information_Concatenate("")</f>
        <v xml:space="preserve">
市值16.592亿, 利润-1062.99万; PE; 平均PE-13.79; 平均PEG-6.36, PB1.21; ROIC2.96%; ROE-14.25%; 股利率0%; 毛利1.9367%; 净利-17.4967%; 上一年度营收增-55.59%, 利润增96.95%; 当季营收增-11.17%, 利润增-110.7%; 过往5年营收增2.17%, 利润增-434.12%
Income profile:
</v>
      </c>
      <c r="D16" t="s">
        <v>148</v>
      </c>
      <c r="E16" t="s">
        <v>841</v>
      </c>
      <c r="F16">
        <v>3.05</v>
      </c>
      <c r="G16">
        <v>5.17</v>
      </c>
      <c r="H16" t="s">
        <v>842</v>
      </c>
      <c r="I16">
        <v>1659200000</v>
      </c>
      <c r="K16">
        <v>1.21</v>
      </c>
      <c r="L16" t="s">
        <v>422</v>
      </c>
      <c r="M16" t="s">
        <v>843</v>
      </c>
      <c r="N16" t="s">
        <v>844</v>
      </c>
      <c r="O16" t="s">
        <v>586</v>
      </c>
      <c r="P16">
        <v>-11.04</v>
      </c>
      <c r="Q16" t="s">
        <v>845</v>
      </c>
      <c r="R16">
        <v>-6459896</v>
      </c>
      <c r="S16" s="5">
        <v>-1.107</v>
      </c>
      <c r="T16" t="s">
        <v>846</v>
      </c>
      <c r="U16">
        <v>544000000</v>
      </c>
      <c r="V16">
        <v>544000000</v>
      </c>
      <c r="W16">
        <v>1.41</v>
      </c>
      <c r="X16">
        <v>0.09</v>
      </c>
      <c r="Y16">
        <v>-3.92</v>
      </c>
      <c r="Z16" t="s">
        <v>847</v>
      </c>
      <c r="AA16" t="s">
        <v>140</v>
      </c>
      <c r="AB16" t="s">
        <v>848</v>
      </c>
      <c r="AC16" t="s">
        <v>849</v>
      </c>
      <c r="AD16" t="s">
        <v>19</v>
      </c>
      <c r="AE16">
        <v>4991050</v>
      </c>
      <c r="AF16" t="s">
        <v>850</v>
      </c>
      <c r="AG16" t="s">
        <v>851</v>
      </c>
      <c r="AH16" t="s">
        <v>852</v>
      </c>
      <c r="AI16" t="s">
        <v>125</v>
      </c>
      <c r="AJ16" t="s">
        <v>853</v>
      </c>
      <c r="AK16" t="s">
        <v>854</v>
      </c>
      <c r="AL16" t="s">
        <v>855</v>
      </c>
      <c r="AM16" t="s">
        <v>19</v>
      </c>
      <c r="AN16" t="s">
        <v>856</v>
      </c>
      <c r="AO16" t="s">
        <v>857</v>
      </c>
      <c r="AP16" t="s">
        <v>19</v>
      </c>
      <c r="AQ16" t="s">
        <v>411</v>
      </c>
      <c r="AR16" t="s">
        <v>858</v>
      </c>
      <c r="AS16" t="s">
        <v>859</v>
      </c>
      <c r="AT16" t="s">
        <v>19</v>
      </c>
      <c r="AU16" t="s">
        <v>860</v>
      </c>
      <c r="AV16" t="s">
        <v>861</v>
      </c>
      <c r="AW16" t="s">
        <v>862</v>
      </c>
      <c r="AX16" t="s">
        <v>863</v>
      </c>
      <c r="AY16" t="s">
        <v>864</v>
      </c>
      <c r="AZ16" t="s">
        <v>865</v>
      </c>
      <c r="BA16" t="s">
        <v>151</v>
      </c>
      <c r="BB16" t="s">
        <v>152</v>
      </c>
      <c r="BC16" t="s">
        <v>866</v>
      </c>
      <c r="BD16" t="s">
        <v>241</v>
      </c>
      <c r="BE16" t="s">
        <v>150</v>
      </c>
      <c r="BF16" t="s">
        <v>153</v>
      </c>
      <c r="BG16" t="s">
        <v>196</v>
      </c>
      <c r="BH16" t="s">
        <v>845</v>
      </c>
      <c r="BI16" t="s">
        <v>83</v>
      </c>
      <c r="BJ16" t="s">
        <v>863</v>
      </c>
      <c r="BK16" t="s">
        <v>846</v>
      </c>
      <c r="BL16" t="s">
        <v>867</v>
      </c>
      <c r="BM16" t="s">
        <v>866</v>
      </c>
      <c r="BN16">
        <v>2.96</v>
      </c>
      <c r="BO16" t="s">
        <v>19</v>
      </c>
      <c r="BP16" t="s">
        <v>19</v>
      </c>
      <c r="BQ16">
        <v>2.2000000000000002</v>
      </c>
      <c r="BR16">
        <v>-22.34</v>
      </c>
      <c r="BS16">
        <v>-22.61</v>
      </c>
      <c r="BT16" t="s">
        <v>376</v>
      </c>
      <c r="BU16" t="s">
        <v>321</v>
      </c>
      <c r="BV16">
        <v>2.4500000000000002</v>
      </c>
      <c r="BW16">
        <v>-5.47</v>
      </c>
      <c r="BX16">
        <v>8.83</v>
      </c>
      <c r="BY16">
        <v>-1.43</v>
      </c>
      <c r="BZ16">
        <v>-20.58</v>
      </c>
      <c r="CA16">
        <v>-30.48</v>
      </c>
      <c r="CB16">
        <v>4.0999999999999996</v>
      </c>
      <c r="CC16">
        <v>26.56</v>
      </c>
      <c r="CD16" t="s">
        <v>868</v>
      </c>
      <c r="CE16" t="s">
        <v>869</v>
      </c>
      <c r="CF16" s="8">
        <v>-0.11170212765957446</v>
      </c>
      <c r="CG16" s="9">
        <v>-1.107033436060576</v>
      </c>
      <c r="CH16" s="8">
        <v>-0.55594611167907715</v>
      </c>
      <c r="CI16" s="8">
        <v>0.15650410950183868</v>
      </c>
      <c r="CJ16" s="8">
        <v>2.0041419193148613E-2</v>
      </c>
      <c r="CK16" s="8">
        <v>-0.59637373685836792</v>
      </c>
      <c r="CL16" s="8">
        <v>1.0843023061752319</v>
      </c>
      <c r="CM16" s="9">
        <v>0.96954184770584106</v>
      </c>
      <c r="CN16" s="9">
        <v>0.21218961477279663</v>
      </c>
      <c r="CO16" s="9">
        <v>-21.25068473815918</v>
      </c>
      <c r="CP16" s="9">
        <v>-1.4425188302993774</v>
      </c>
      <c r="CQ16" s="9">
        <v>-0.19436988234519958</v>
      </c>
      <c r="CR16">
        <v>-13.794059043760443</v>
      </c>
      <c r="CS16">
        <v>-6.3550700192042546</v>
      </c>
      <c r="CT16">
        <v>0</v>
      </c>
      <c r="CU16" s="8">
        <v>2.1705597266554834E-2</v>
      </c>
      <c r="CV16" s="9">
        <v>-4.3411683976650242</v>
      </c>
      <c r="CW16">
        <v>0.06</v>
      </c>
      <c r="CX16" t="e">
        <v>#VALUE!</v>
      </c>
      <c r="CY16" t="s">
        <v>308</v>
      </c>
      <c r="CZ16">
        <v>2.1705597266554834E-2</v>
      </c>
      <c r="DA16" t="e">
        <v>#VALUE!</v>
      </c>
      <c r="DB16" t="s">
        <v>309</v>
      </c>
      <c r="DC16">
        <v>2.062031740322709E-2</v>
      </c>
      <c r="DD16" t="e">
        <v>#VALUE!</v>
      </c>
      <c r="DE16" t="s">
        <v>309</v>
      </c>
      <c r="DF16">
        <v>1.9100925594568254E-2</v>
      </c>
      <c r="DG16" t="e">
        <v>#VALUE!</v>
      </c>
      <c r="DH16" t="s">
        <v>309</v>
      </c>
      <c r="DI16">
        <v>1.7364477813243868E-2</v>
      </c>
      <c r="DJ16" t="e">
        <v>#VALUE!</v>
      </c>
      <c r="DK16" t="s">
        <v>309</v>
      </c>
      <c r="DL16">
        <v>1.5193918086588383E-2</v>
      </c>
      <c r="DM16">
        <v>-10629900</v>
      </c>
      <c r="DN16">
        <v>2.1705597266554834E-2</v>
      </c>
      <c r="DO16">
        <v>874200000</v>
      </c>
      <c r="DP16">
        <v>-101703190</v>
      </c>
      <c r="DQ16">
        <v>983</v>
      </c>
      <c r="DR16">
        <v>-0.13340772492612929</v>
      </c>
      <c r="DS16">
        <v>3.2341349616044481</v>
      </c>
      <c r="DT16" s="10">
        <v>-0.37333333333333335</v>
      </c>
      <c r="DU16">
        <v>-2.6816666666666666</v>
      </c>
      <c r="DV16">
        <v>-3.0550000000000002</v>
      </c>
      <c r="DW16">
        <v>8.1543674698795172</v>
      </c>
      <c r="DX16">
        <v>0.57389320475042749</v>
      </c>
      <c r="DY16">
        <v>8.0160377311549968</v>
      </c>
      <c r="DZ16">
        <v>4926</v>
      </c>
      <c r="EA16">
        <v>8.0005774838615498</v>
      </c>
      <c r="EB16">
        <v>8</v>
      </c>
      <c r="EC16">
        <v>1.4543749999999998E-2</v>
      </c>
      <c r="ED16">
        <v>0.13998749999999999</v>
      </c>
      <c r="EE16" s="11">
        <v>-2.0234100000000002</v>
      </c>
      <c r="EF16">
        <v>-2.0268000000000002</v>
      </c>
      <c r="EG16">
        <v>47.103893204750428</v>
      </c>
      <c r="EH16" t="s">
        <v>764</v>
      </c>
      <c r="EI16">
        <v>0</v>
      </c>
      <c r="EJ16">
        <v>0</v>
      </c>
      <c r="EK16" s="7">
        <v>45470</v>
      </c>
      <c r="EL16" s="12">
        <v>-1.45</v>
      </c>
      <c r="EM16" s="12">
        <v>-2.58</v>
      </c>
      <c r="EN16" s="12">
        <v>0.76</v>
      </c>
      <c r="EO16" s="12">
        <v>4.8899999999999997</v>
      </c>
      <c r="EP16" s="12">
        <v>5.0199999999999996</v>
      </c>
    </row>
    <row r="17" spans="1:146" ht="96" x14ac:dyDescent="0.25">
      <c r="C17" s="14" t="str">
        <f>""&amp;CHAR(10)&amp;Basic_Fundamental_Information_Constructure(F17)&amp;CHAR(10)&amp;Basic_Fundamental_Information_Concatenate("")</f>
        <v xml:space="preserve">
市值34.766776亿, 利润1.30亿; PE29.25; 平均PE41.64; 平均PEG10.89, PB1.12; ROIC1.8867%; ROE2.5333%; 股利率2.1231%; 毛利11.85%; 净利4.3433%; 上一年度营收增-16.1%, 利润增2856.76%; 当季营收增-71.95%, 利润增-53.2%; 过往5年营收增-3.82%, 利润增567.47%
Income profile:
</v>
      </c>
      <c r="D17" t="s">
        <v>870</v>
      </c>
      <c r="E17" t="s">
        <v>871</v>
      </c>
      <c r="F17">
        <v>4.71</v>
      </c>
      <c r="G17">
        <v>-0.21</v>
      </c>
      <c r="H17" t="s">
        <v>872</v>
      </c>
      <c r="I17">
        <v>3476677600</v>
      </c>
      <c r="J17">
        <v>29.25</v>
      </c>
      <c r="K17">
        <v>1.1200000000000001</v>
      </c>
      <c r="L17" t="s">
        <v>422</v>
      </c>
      <c r="M17" t="s">
        <v>873</v>
      </c>
      <c r="N17" t="s">
        <v>874</v>
      </c>
      <c r="O17" t="s">
        <v>542</v>
      </c>
      <c r="P17" s="5">
        <v>-72.040000000000006</v>
      </c>
      <c r="Q17" t="s">
        <v>875</v>
      </c>
      <c r="R17">
        <v>9474006</v>
      </c>
      <c r="S17">
        <v>-0.53200000000000003</v>
      </c>
      <c r="T17" t="s">
        <v>827</v>
      </c>
      <c r="U17">
        <v>698903820</v>
      </c>
      <c r="V17">
        <v>738148120</v>
      </c>
      <c r="W17">
        <v>1.25</v>
      </c>
      <c r="X17">
        <v>0.03</v>
      </c>
      <c r="Y17">
        <v>7.58</v>
      </c>
      <c r="Z17" t="s">
        <v>542</v>
      </c>
      <c r="AA17" t="s">
        <v>876</v>
      </c>
      <c r="AB17" t="s">
        <v>877</v>
      </c>
      <c r="AC17" t="s">
        <v>878</v>
      </c>
      <c r="AD17" t="s">
        <v>19</v>
      </c>
      <c r="AE17">
        <v>-3261710</v>
      </c>
      <c r="AF17" t="s">
        <v>879</v>
      </c>
      <c r="AG17" t="s">
        <v>880</v>
      </c>
      <c r="AH17" t="s">
        <v>881</v>
      </c>
      <c r="AI17" t="s">
        <v>882</v>
      </c>
      <c r="AJ17" t="s">
        <v>883</v>
      </c>
      <c r="AK17" t="s">
        <v>19</v>
      </c>
      <c r="AL17" t="s">
        <v>884</v>
      </c>
      <c r="AM17" t="s">
        <v>19</v>
      </c>
      <c r="AN17" t="s">
        <v>885</v>
      </c>
      <c r="AO17" t="s">
        <v>19</v>
      </c>
      <c r="AP17" t="s">
        <v>19</v>
      </c>
      <c r="AQ17" t="s">
        <v>382</v>
      </c>
      <c r="AR17" t="s">
        <v>886</v>
      </c>
      <c r="AS17" t="s">
        <v>757</v>
      </c>
      <c r="AT17" t="s">
        <v>887</v>
      </c>
      <c r="AU17" t="s">
        <v>888</v>
      </c>
      <c r="AV17" t="s">
        <v>889</v>
      </c>
      <c r="AW17" t="s">
        <v>890</v>
      </c>
      <c r="AX17" t="s">
        <v>891</v>
      </c>
      <c r="AY17" t="s">
        <v>892</v>
      </c>
      <c r="AZ17" t="s">
        <v>893</v>
      </c>
      <c r="BA17" t="s">
        <v>894</v>
      </c>
      <c r="BB17" t="s">
        <v>895</v>
      </c>
      <c r="BC17" t="s">
        <v>896</v>
      </c>
      <c r="BD17" t="s">
        <v>331</v>
      </c>
      <c r="BE17" t="s">
        <v>897</v>
      </c>
      <c r="BF17" t="s">
        <v>427</v>
      </c>
      <c r="BG17" t="s">
        <v>898</v>
      </c>
      <c r="BH17" t="s">
        <v>875</v>
      </c>
      <c r="BI17" t="s">
        <v>87</v>
      </c>
      <c r="BJ17" t="s">
        <v>891</v>
      </c>
      <c r="BK17" t="s">
        <v>827</v>
      </c>
      <c r="BL17" t="s">
        <v>899</v>
      </c>
      <c r="BM17" t="s">
        <v>896</v>
      </c>
      <c r="BN17">
        <v>2.21</v>
      </c>
      <c r="BO17">
        <v>0.09</v>
      </c>
      <c r="BP17">
        <v>3.36</v>
      </c>
      <c r="BQ17">
        <v>3.4</v>
      </c>
      <c r="BR17">
        <v>0.14000000000000001</v>
      </c>
      <c r="BS17">
        <v>4.0599999999999996</v>
      </c>
      <c r="BT17" t="s">
        <v>399</v>
      </c>
      <c r="BU17" t="s">
        <v>311</v>
      </c>
      <c r="BV17">
        <v>15.25</v>
      </c>
      <c r="BW17">
        <v>5.45</v>
      </c>
      <c r="BX17">
        <v>14.85</v>
      </c>
      <c r="BY17">
        <v>7.46</v>
      </c>
      <c r="BZ17">
        <v>0.25</v>
      </c>
      <c r="CA17">
        <v>5.32</v>
      </c>
      <c r="CB17">
        <v>-2.48</v>
      </c>
      <c r="CC17" s="8">
        <v>-2.69</v>
      </c>
      <c r="CD17" s="9" t="s">
        <v>900</v>
      </c>
      <c r="CE17" s="8" t="s">
        <v>901</v>
      </c>
      <c r="CF17" s="8">
        <v>-0.71948608137044967</v>
      </c>
      <c r="CG17" s="8">
        <v>-0.53196757269466755</v>
      </c>
      <c r="CH17" s="8">
        <v>-0.16098587214946747</v>
      </c>
      <c r="CI17" s="8">
        <v>-0.12442599982023239</v>
      </c>
      <c r="CJ17" s="9">
        <v>0.1169230118393898</v>
      </c>
      <c r="CK17" s="9">
        <v>-0.11884317547082901</v>
      </c>
      <c r="CL17" s="9">
        <v>9.6087105572223663E-2</v>
      </c>
      <c r="CM17" s="9">
        <v>28.567628860473633</v>
      </c>
      <c r="CN17" s="9">
        <v>-0.95812660455703735</v>
      </c>
      <c r="CO17">
        <v>1.174277663230896</v>
      </c>
      <c r="CP17">
        <v>-0.58007043600082397</v>
      </c>
      <c r="CQ17">
        <v>0.16994637250900269</v>
      </c>
      <c r="CR17" s="8">
        <v>41.638212181354405</v>
      </c>
      <c r="CS17" s="9">
        <v>10.886095692852848</v>
      </c>
      <c r="CT17">
        <v>2.1231422505307855</v>
      </c>
      <c r="CU17">
        <v>-3.8248986005783081E-2</v>
      </c>
      <c r="CV17">
        <v>5.6747311711311337</v>
      </c>
      <c r="CW17">
        <v>0.06</v>
      </c>
      <c r="CX17">
        <v>8.1436738461538454</v>
      </c>
      <c r="CY17" t="s">
        <v>902</v>
      </c>
      <c r="CZ17">
        <v>-3.8248986005783081E-2</v>
      </c>
      <c r="DA17">
        <v>2.7145579487179488</v>
      </c>
      <c r="DB17" t="s">
        <v>903</v>
      </c>
      <c r="DC17">
        <v>-3.6336536705493923E-2</v>
      </c>
      <c r="DD17">
        <v>1.3572789743589744</v>
      </c>
      <c r="DE17" t="s">
        <v>904</v>
      </c>
      <c r="DF17">
        <v>-3.3659107685089111E-2</v>
      </c>
      <c r="DG17">
        <v>0.8143673846153846</v>
      </c>
      <c r="DH17" t="s">
        <v>905</v>
      </c>
      <c r="DI17">
        <v>-3.0599188804626466E-2</v>
      </c>
      <c r="DJ17">
        <v>0.4071836923076923</v>
      </c>
      <c r="DK17" t="s">
        <v>906</v>
      </c>
      <c r="DL17">
        <v>-2.6774290204048156E-2</v>
      </c>
      <c r="DM17">
        <v>130000000</v>
      </c>
      <c r="DN17">
        <v>-3.8248986005783081E-2</v>
      </c>
      <c r="DO17">
        <v>1058677600</v>
      </c>
      <c r="DP17">
        <v>1581862300</v>
      </c>
      <c r="DQ17" s="10">
        <v>1117</v>
      </c>
      <c r="DR17">
        <v>-0.68123709536466659</v>
      </c>
      <c r="DS17">
        <v>-6.2066987438258012</v>
      </c>
      <c r="DT17">
        <v>-0.60666666666666669</v>
      </c>
      <c r="DU17">
        <v>2.9999999999999988E-2</v>
      </c>
      <c r="DV17">
        <v>-0.57666666666666666</v>
      </c>
      <c r="DW17">
        <v>-1.0268999999999999</v>
      </c>
      <c r="DX17">
        <v>0.28721121955057127</v>
      </c>
      <c r="DY17">
        <v>-1.0047669818059104</v>
      </c>
      <c r="DZ17">
        <v>2998</v>
      </c>
      <c r="EA17">
        <v>-1.0019702280966893</v>
      </c>
      <c r="EB17" s="11">
        <v>1</v>
      </c>
      <c r="EC17" s="11">
        <v>2.3191957733361159E-2</v>
      </c>
      <c r="ED17">
        <v>0.13087183640053165</v>
      </c>
      <c r="EE17">
        <v>1.0331999999999999</v>
      </c>
      <c r="EF17">
        <v>1.0331999999999999</v>
      </c>
      <c r="EG17">
        <v>11.177211219550571</v>
      </c>
      <c r="EH17" s="7" t="s">
        <v>310</v>
      </c>
      <c r="EI17">
        <v>0</v>
      </c>
      <c r="EJ17">
        <v>0</v>
      </c>
      <c r="EK17">
        <v>45470</v>
      </c>
      <c r="EL17">
        <v>1.05</v>
      </c>
      <c r="EM17">
        <v>-2.5</v>
      </c>
      <c r="EN17" s="12">
        <v>1.07</v>
      </c>
      <c r="EO17" s="12">
        <v>1.48</v>
      </c>
      <c r="EP17" s="12">
        <v>0</v>
      </c>
    </row>
    <row r="18" spans="1:146" ht="144" x14ac:dyDescent="0.25">
      <c r="A18" s="14"/>
      <c r="B18" s="14"/>
      <c r="C18" s="14" t="str">
        <f>"公司的主营业务为从事出境游批发、出境游零售和商务会奖旅游业务。公司的主要产品及服务为出境游批发、出境游零售、整合营销服务、国内游及单项产品。"&amp;CHAR(10)&amp;Basic_Fundamental_Information_Constructure(F18)&amp;CHAR(10)&amp;Basic_Fundamental_Information_Concatenate("整合营销服务 7671.30万 60.85% 57.40% 9.60%
旅游零售 2743.86万 21.77% 42.60% 19.92%")</f>
        <v>公司的主营业务为从事出境游批发、出境游零售和商务会奖旅游业务。公司的主要产品及服务为出境游批发、出境游零售、整合营销服务、国内游及单项产品。
市值59.454259亿, 利润3227.42万; PE60.78; 平均PE-17.49; 平均PEG-.22, PB7.62; ROIC2.13%; ROE-50.0033%; 股利率0%; 毛利10.2067%; 净利-42.2467%; 上一年度营收增558.28%, 利润增114.6%; 当季营收增642.75%, 利润增174.79%; 过往5年营收增78.28%, 利润增-366.07%
Income profile:
整合营销服务 7671.30万 60.85% 57.40% 9.60%
旅游零售 2743.86万 21.77% 42.60% 19.92%</v>
      </c>
      <c r="D18" t="s">
        <v>61</v>
      </c>
      <c r="E18" t="s">
        <v>5</v>
      </c>
      <c r="F18">
        <v>6.05</v>
      </c>
      <c r="G18">
        <v>3.07</v>
      </c>
      <c r="H18" t="s">
        <v>907</v>
      </c>
      <c r="I18">
        <v>5945425900</v>
      </c>
      <c r="J18">
        <v>60.78</v>
      </c>
      <c r="K18">
        <v>7.62</v>
      </c>
      <c r="L18" t="s">
        <v>422</v>
      </c>
      <c r="M18" t="s">
        <v>908</v>
      </c>
      <c r="N18" t="s">
        <v>909</v>
      </c>
      <c r="O18" t="s">
        <v>910</v>
      </c>
      <c r="P18">
        <v>643.38</v>
      </c>
      <c r="Q18" t="s">
        <v>911</v>
      </c>
      <c r="R18">
        <v>28045335</v>
      </c>
      <c r="S18" s="5">
        <v>1.748</v>
      </c>
      <c r="T18" t="s">
        <v>912</v>
      </c>
      <c r="U18">
        <v>814600570</v>
      </c>
      <c r="V18">
        <v>982715030</v>
      </c>
      <c r="W18">
        <v>4.34</v>
      </c>
      <c r="X18">
        <v>0.43</v>
      </c>
      <c r="Y18">
        <v>2.71</v>
      </c>
      <c r="Z18" t="s">
        <v>913</v>
      </c>
      <c r="AA18" t="s">
        <v>486</v>
      </c>
      <c r="AB18" t="s">
        <v>914</v>
      </c>
      <c r="AC18" t="s">
        <v>915</v>
      </c>
      <c r="AD18" t="s">
        <v>19</v>
      </c>
      <c r="AE18">
        <v>14089064</v>
      </c>
      <c r="AF18" t="s">
        <v>916</v>
      </c>
      <c r="AG18" t="s">
        <v>917</v>
      </c>
      <c r="AH18" t="s">
        <v>918</v>
      </c>
      <c r="AI18" t="s">
        <v>919</v>
      </c>
      <c r="AJ18" t="s">
        <v>920</v>
      </c>
      <c r="AK18" t="s">
        <v>19</v>
      </c>
      <c r="AL18" t="s">
        <v>921</v>
      </c>
      <c r="AM18" t="s">
        <v>19</v>
      </c>
      <c r="AN18" t="s">
        <v>922</v>
      </c>
      <c r="AO18" t="s">
        <v>923</v>
      </c>
      <c r="AP18" t="s">
        <v>19</v>
      </c>
      <c r="AQ18" t="s">
        <v>313</v>
      </c>
      <c r="AR18" t="s">
        <v>19</v>
      </c>
      <c r="AS18" t="s">
        <v>924</v>
      </c>
      <c r="AT18" t="s">
        <v>925</v>
      </c>
      <c r="AU18" t="s">
        <v>926</v>
      </c>
      <c r="AV18" t="s">
        <v>927</v>
      </c>
      <c r="AW18" t="s">
        <v>928</v>
      </c>
      <c r="AX18" t="s">
        <v>929</v>
      </c>
      <c r="AY18" t="s">
        <v>930</v>
      </c>
      <c r="AZ18" t="s">
        <v>931</v>
      </c>
      <c r="BA18" t="s">
        <v>155</v>
      </c>
      <c r="BB18" t="s">
        <v>156</v>
      </c>
      <c r="BC18" t="s">
        <v>599</v>
      </c>
      <c r="BD18" t="s">
        <v>932</v>
      </c>
      <c r="BE18" t="s">
        <v>154</v>
      </c>
      <c r="BF18" t="s">
        <v>62</v>
      </c>
      <c r="BG18" t="s">
        <v>157</v>
      </c>
      <c r="BH18" t="s">
        <v>911</v>
      </c>
      <c r="BI18" t="s">
        <v>317</v>
      </c>
      <c r="BJ18" t="s">
        <v>929</v>
      </c>
      <c r="BK18" t="s">
        <v>912</v>
      </c>
      <c r="BL18" t="s">
        <v>933</v>
      </c>
      <c r="BM18" t="s">
        <v>599</v>
      </c>
      <c r="BN18">
        <v>2.13</v>
      </c>
      <c r="BO18" t="s">
        <v>19</v>
      </c>
      <c r="BP18" t="s">
        <v>19</v>
      </c>
      <c r="BQ18">
        <v>1.94</v>
      </c>
      <c r="BR18">
        <v>-72.55</v>
      </c>
      <c r="BS18">
        <v>-79.400000000000006</v>
      </c>
      <c r="BT18" t="s">
        <v>376</v>
      </c>
      <c r="BU18" t="s">
        <v>311</v>
      </c>
      <c r="BV18">
        <v>11.57</v>
      </c>
      <c r="BW18">
        <v>13.09</v>
      </c>
      <c r="BX18">
        <v>5.96</v>
      </c>
      <c r="BY18">
        <v>1.03</v>
      </c>
      <c r="BZ18">
        <v>-49.62</v>
      </c>
      <c r="CA18">
        <v>-78.150000000000006</v>
      </c>
      <c r="CB18">
        <v>5.4</v>
      </c>
      <c r="CC18">
        <v>-6.78</v>
      </c>
      <c r="CD18" t="s">
        <v>934</v>
      </c>
      <c r="CE18" t="s">
        <v>71</v>
      </c>
      <c r="CF18" s="8">
        <v>6.4275362318840576</v>
      </c>
      <c r="CG18" s="9">
        <v>1.747885571807624</v>
      </c>
      <c r="CH18" s="8">
        <v>5.5828342437744141</v>
      </c>
      <c r="CI18" s="8">
        <v>-0.26754385232925415</v>
      </c>
      <c r="CJ18" s="8">
        <v>-0.56181931495666504</v>
      </c>
      <c r="CK18" s="8">
        <v>-0.8763270378112793</v>
      </c>
      <c r="CL18" s="8">
        <v>3.7055321037769318E-2</v>
      </c>
      <c r="CM18" s="9">
        <v>1.1460371017456055</v>
      </c>
      <c r="CN18" s="9">
        <v>0.5226781964302063</v>
      </c>
      <c r="CO18" s="9">
        <v>0.68716216087341309</v>
      </c>
      <c r="CP18" s="9">
        <v>-22.570667266845703</v>
      </c>
      <c r="CQ18" s="9">
        <v>1.9114574193954468</v>
      </c>
      <c r="CR18">
        <v>-17.490422093522682</v>
      </c>
      <c r="CS18">
        <v>-0.22342272947993455</v>
      </c>
      <c r="CT18">
        <v>0</v>
      </c>
      <c r="CU18" s="8">
        <v>0.78283987194299698</v>
      </c>
      <c r="CV18" s="9">
        <v>-3.6606664776802065</v>
      </c>
      <c r="CW18">
        <v>0.06</v>
      </c>
      <c r="CX18">
        <v>134.35988271143174</v>
      </c>
      <c r="CY18">
        <v>54282764.712323271</v>
      </c>
      <c r="CZ18">
        <v>0.78283987194299698</v>
      </c>
      <c r="DA18">
        <v>25.672870613259896</v>
      </c>
      <c r="DB18">
        <v>284090782.43992651</v>
      </c>
      <c r="DC18">
        <v>0.74369787834584711</v>
      </c>
      <c r="DD18">
        <v>5.4784560230767827</v>
      </c>
      <c r="DE18">
        <v>1331292223.4436233</v>
      </c>
      <c r="DF18">
        <v>0.6888990873098374</v>
      </c>
      <c r="DG18">
        <v>1.1043011156966374</v>
      </c>
      <c r="DH18">
        <v>6604562647.2078819</v>
      </c>
      <c r="DI18">
        <v>0.62627189755439761</v>
      </c>
      <c r="DJ18">
        <v>3.661902566073659E-2</v>
      </c>
      <c r="DK18">
        <v>199170397584.33847</v>
      </c>
      <c r="DL18">
        <v>0.54798791036009786</v>
      </c>
      <c r="DM18">
        <v>32274200</v>
      </c>
      <c r="DN18">
        <v>0.78283987194299698</v>
      </c>
      <c r="DO18">
        <v>7293425900</v>
      </c>
      <c r="DP18">
        <v>-456304699.99999976</v>
      </c>
      <c r="DQ18">
        <v>1193</v>
      </c>
      <c r="DR18">
        <v>5.6446963599410607</v>
      </c>
      <c r="DS18">
        <v>5.408552049487831</v>
      </c>
      <c r="DT18" s="10">
        <v>-0.65666666666666673</v>
      </c>
      <c r="DU18">
        <v>0.29333333333333317</v>
      </c>
      <c r="DV18">
        <v>-0.36333333333333356</v>
      </c>
      <c r="DW18">
        <v>6.443349753694581</v>
      </c>
      <c r="DX18">
        <v>0.48571294117647157</v>
      </c>
      <c r="DY18">
        <v>6.1000697768762677</v>
      </c>
      <c r="DZ18">
        <v>2608</v>
      </c>
      <c r="EA18">
        <v>6.0489969827288501</v>
      </c>
      <c r="EB18">
        <v>6</v>
      </c>
      <c r="EC18">
        <v>7.8092221709481741E-2</v>
      </c>
      <c r="ED18">
        <v>0.34598025838680824</v>
      </c>
      <c r="EE18" s="11">
        <v>4.06501</v>
      </c>
      <c r="EF18">
        <v>4.0804099999999996</v>
      </c>
      <c r="EG18">
        <v>26.225712941176472</v>
      </c>
      <c r="EH18" t="s">
        <v>935</v>
      </c>
      <c r="EI18">
        <v>0</v>
      </c>
      <c r="EJ18">
        <v>0</v>
      </c>
      <c r="EK18" s="7">
        <v>45470</v>
      </c>
      <c r="EL18" s="12">
        <v>0</v>
      </c>
      <c r="EM18" s="12">
        <v>-4.8600000000000003</v>
      </c>
      <c r="EN18" s="12">
        <v>1.76</v>
      </c>
      <c r="EO18" s="12">
        <v>0.87</v>
      </c>
      <c r="EP18" s="12">
        <v>-1.54</v>
      </c>
    </row>
    <row r="19" spans="1:146" ht="204" x14ac:dyDescent="0.25">
      <c r="A19" s="14"/>
      <c r="B19" s="14"/>
      <c r="C19" s="14" t="str">
        <f>"公司主要从事文化演艺业务，现场演艺和旅游休闲。公司已经开业的项目包括《宋城千古情》、《三亚千古情》、《丽江千古情》、《九寨千古情》、《桂林千古情》、《张家界千古情》、《西安千古情》等。"&amp;CHAR(10)&amp;Basic_Fundamental_Information_Constructure(F19)&amp;CHAR(10)&amp;Basic_Fundamental_Information_Concatenate("杭州宋城旅游区 4.53亿 38.27% 29.52% 39.40%
三亚千古情景区 1.43亿 12.03% 15.61% 66.26%
丽江千古情景区 1.11亿 9.41% 10.27% 55.75%
设计策划费 9905.66万 8.36% 16.04% 98.00%
桂林千古情景区 8750.56万 7.39% 7.31% 50.56%
电子商务手续费 7304.58万 6.16% 11.71% 97.01%
其他业务 5189.85万 4.38% 8.20% 95.66%")</f>
        <v>公司主要从事文化演艺业务，现场演艺和旅游休闲。公司已经开业的项目包括《宋城千古情》、《三亚千古情》、《丽江千古情》、《九寨千古情》、《桂林千古情》、《张家界千古情》、《西安千古情》等。
市值206.7554亿, 利润-1.10亿; PE253.8; 平均PE120.18; 平均PEG2.91, PB2.75; ROIC6.61%; ROE4.7933%; 股利率1.2674%; 毛利55.8567%; 净利1.1933%; 上一年度营收增320.52%, 利润增-130.39%; 当季营收增139.32%, 利润增317.33%; 过往5年营收增41.26%, 利润增-70.84%
Income profile:
杭州宋城旅游区 4.53亿 38.27% 29.52% 39.40%
三亚千古情景区 1.43亿 12.03% 15.61% 66.26%
丽江千古情景区 1.11亿 9.41% 10.27% 55.75%
设计策划费 9905.66万 8.36% 16.04% 98.00%
桂林千古情景区 8750.56万 7.39% 7.31% 50.56%
电子商务手续费 7304.58万 6.16% 11.71% 97.01%
其他业务 5189.85万 4.38% 8.20% 95.66%</v>
      </c>
      <c r="D19" t="s">
        <v>63</v>
      </c>
      <c r="E19" t="s">
        <v>9</v>
      </c>
      <c r="F19">
        <v>7.89</v>
      </c>
      <c r="G19">
        <v>0.9</v>
      </c>
      <c r="H19" t="s">
        <v>936</v>
      </c>
      <c r="I19">
        <v>20675540000</v>
      </c>
      <c r="J19">
        <v>253.8</v>
      </c>
      <c r="K19">
        <v>2.75</v>
      </c>
      <c r="L19" t="s">
        <v>422</v>
      </c>
      <c r="M19" t="s">
        <v>937</v>
      </c>
      <c r="N19" t="s">
        <v>938</v>
      </c>
      <c r="O19" t="s">
        <v>939</v>
      </c>
      <c r="P19">
        <v>138.69999999999999</v>
      </c>
      <c r="Q19" t="s">
        <v>940</v>
      </c>
      <c r="R19">
        <v>251687820</v>
      </c>
      <c r="S19" s="5">
        <v>3.173</v>
      </c>
      <c r="T19" t="s">
        <v>941</v>
      </c>
      <c r="U19">
        <v>2271880900</v>
      </c>
      <c r="V19">
        <v>2620474000</v>
      </c>
      <c r="W19">
        <v>1.2</v>
      </c>
      <c r="X19">
        <v>0.06</v>
      </c>
      <c r="Y19">
        <v>45.63</v>
      </c>
      <c r="Z19" t="s">
        <v>942</v>
      </c>
      <c r="AA19" t="s">
        <v>943</v>
      </c>
      <c r="AB19" t="s">
        <v>944</v>
      </c>
      <c r="AC19" t="s">
        <v>945</v>
      </c>
      <c r="AD19" t="s">
        <v>19</v>
      </c>
      <c r="AE19">
        <v>-1622233</v>
      </c>
      <c r="AF19" t="s">
        <v>946</v>
      </c>
      <c r="AG19" t="s">
        <v>947</v>
      </c>
      <c r="AH19" t="s">
        <v>948</v>
      </c>
      <c r="AI19" t="s">
        <v>949</v>
      </c>
      <c r="AJ19" t="s">
        <v>950</v>
      </c>
      <c r="AK19" t="s">
        <v>19</v>
      </c>
      <c r="AL19" t="s">
        <v>951</v>
      </c>
      <c r="AM19" t="s">
        <v>19</v>
      </c>
      <c r="AN19" t="s">
        <v>375</v>
      </c>
      <c r="AO19" t="s">
        <v>19</v>
      </c>
      <c r="AP19" t="s">
        <v>19</v>
      </c>
      <c r="AQ19" t="s">
        <v>952</v>
      </c>
      <c r="AR19" t="s">
        <v>953</v>
      </c>
      <c r="AS19" t="s">
        <v>954</v>
      </c>
      <c r="AT19" t="s">
        <v>955</v>
      </c>
      <c r="AU19" t="s">
        <v>328</v>
      </c>
      <c r="AV19" t="s">
        <v>956</v>
      </c>
      <c r="AW19" t="s">
        <v>957</v>
      </c>
      <c r="AX19" t="s">
        <v>958</v>
      </c>
      <c r="AY19" t="s">
        <v>243</v>
      </c>
      <c r="AZ19" t="s">
        <v>158</v>
      </c>
      <c r="BA19" t="s">
        <v>64</v>
      </c>
      <c r="BB19" t="s">
        <v>160</v>
      </c>
      <c r="BC19" t="s">
        <v>959</v>
      </c>
      <c r="BD19" t="s">
        <v>220</v>
      </c>
      <c r="BE19" t="s">
        <v>159</v>
      </c>
      <c r="BF19" t="s">
        <v>65</v>
      </c>
      <c r="BG19" t="s">
        <v>161</v>
      </c>
      <c r="BH19" t="s">
        <v>940</v>
      </c>
      <c r="BI19" t="s">
        <v>384</v>
      </c>
      <c r="BJ19" t="s">
        <v>958</v>
      </c>
      <c r="BK19" t="s">
        <v>941</v>
      </c>
      <c r="BL19" t="s">
        <v>960</v>
      </c>
      <c r="BM19" t="s">
        <v>959</v>
      </c>
      <c r="BN19">
        <v>9.4499999999999993</v>
      </c>
      <c r="BO19" t="s">
        <v>19</v>
      </c>
      <c r="BP19">
        <v>3.77</v>
      </c>
      <c r="BQ19">
        <v>10.029999999999999</v>
      </c>
      <c r="BR19">
        <v>0.13</v>
      </c>
      <c r="BS19">
        <v>4.22</v>
      </c>
      <c r="BT19" t="s">
        <v>399</v>
      </c>
      <c r="BU19" t="s">
        <v>321</v>
      </c>
      <c r="BV19">
        <v>66.349999999999994</v>
      </c>
      <c r="BW19">
        <v>50.14</v>
      </c>
      <c r="BX19">
        <v>51.08</v>
      </c>
      <c r="BY19">
        <v>-5.64</v>
      </c>
      <c r="BZ19">
        <v>-16.32</v>
      </c>
      <c r="CA19">
        <v>25.54</v>
      </c>
      <c r="CB19">
        <v>-1.74</v>
      </c>
      <c r="CC19">
        <v>-21.57</v>
      </c>
      <c r="CD19" t="s">
        <v>382</v>
      </c>
      <c r="CE19" t="s">
        <v>961</v>
      </c>
      <c r="CF19" s="8">
        <v>1.3931623931623931</v>
      </c>
      <c r="CG19" s="9">
        <v>3.1733460015520225</v>
      </c>
      <c r="CH19" s="8">
        <v>3.2052402496337891</v>
      </c>
      <c r="CI19" s="8">
        <v>-0.61350208520889282</v>
      </c>
      <c r="CJ19" s="8">
        <v>0.31229227781295776</v>
      </c>
      <c r="CK19" s="8">
        <v>-0.65428787469863892</v>
      </c>
      <c r="CL19" s="8">
        <v>-0.18654626607894897</v>
      </c>
      <c r="CM19" s="9">
        <v>-1.3038579225540161</v>
      </c>
      <c r="CN19" s="9">
        <v>-1.1515746116638184</v>
      </c>
      <c r="CO19" s="9">
        <v>1.1797945499420166</v>
      </c>
      <c r="CP19" s="9">
        <v>-2.3074626922607422</v>
      </c>
      <c r="CQ19" s="9">
        <v>4.1180990636348724E-2</v>
      </c>
      <c r="CR19">
        <v>120.17704944713219</v>
      </c>
      <c r="CS19">
        <v>2.9123997886695179</v>
      </c>
      <c r="CT19">
        <v>1.267427122940431</v>
      </c>
      <c r="CU19" s="8">
        <v>0.41263926029205322</v>
      </c>
      <c r="CV19" s="9">
        <v>-0.70838393718004222</v>
      </c>
      <c r="CW19">
        <v>0.06</v>
      </c>
      <c r="CX19" t="e">
        <v>#VALUE!</v>
      </c>
      <c r="CY19" t="s">
        <v>309</v>
      </c>
      <c r="CZ19">
        <v>0.41263926029205322</v>
      </c>
      <c r="DA19" t="e">
        <v>#VALUE!</v>
      </c>
      <c r="DB19" t="s">
        <v>309</v>
      </c>
      <c r="DC19">
        <v>0.39200729727745054</v>
      </c>
      <c r="DD19" t="e">
        <v>#VALUE!</v>
      </c>
      <c r="DE19" t="s">
        <v>309</v>
      </c>
      <c r="DF19">
        <v>0.36312254905700686</v>
      </c>
      <c r="DG19" t="e">
        <v>#VALUE!</v>
      </c>
      <c r="DH19" t="s">
        <v>309</v>
      </c>
      <c r="DI19">
        <v>0.3301114082336426</v>
      </c>
      <c r="DJ19" t="e">
        <v>#VALUE!</v>
      </c>
      <c r="DK19" t="s">
        <v>309</v>
      </c>
      <c r="DL19">
        <v>0.28884748220443723</v>
      </c>
      <c r="DM19">
        <v>-110000000.00000001</v>
      </c>
      <c r="DN19">
        <v>0.41263926029205322</v>
      </c>
      <c r="DO19">
        <v>14395540000</v>
      </c>
      <c r="DP19">
        <v>2775781900</v>
      </c>
      <c r="DQ19">
        <v>1634</v>
      </c>
      <c r="DR19">
        <v>0.98052313287033988</v>
      </c>
      <c r="DS19">
        <v>3.8817299387320645</v>
      </c>
      <c r="DT19" s="10">
        <v>-0.64</v>
      </c>
      <c r="DU19">
        <v>-1.25</v>
      </c>
      <c r="DV19">
        <v>-1.8900000000000001</v>
      </c>
      <c r="DW19">
        <v>-3.0629940476190476</v>
      </c>
      <c r="DX19">
        <v>0.38510903426791399</v>
      </c>
      <c r="DY19">
        <v>-3.010400886367008</v>
      </c>
      <c r="DZ19">
        <v>4322</v>
      </c>
      <c r="EA19">
        <v>-3.0016038940229359</v>
      </c>
      <c r="EB19">
        <v>3</v>
      </c>
      <c r="EC19">
        <v>4.0450697087626129E-2</v>
      </c>
      <c r="ED19">
        <v>0.24499384462505638</v>
      </c>
      <c r="EE19" s="11">
        <v>1.3399999999999999E-2</v>
      </c>
      <c r="EF19">
        <v>4.6100000000000012E-3</v>
      </c>
      <c r="EG19">
        <v>22.165109034267914</v>
      </c>
      <c r="EH19">
        <v>-1</v>
      </c>
      <c r="EI19">
        <v>0</v>
      </c>
      <c r="EJ19">
        <v>0</v>
      </c>
      <c r="EK19" s="7">
        <v>45470</v>
      </c>
      <c r="EL19" s="12">
        <v>0.72</v>
      </c>
      <c r="EM19" s="12">
        <v>-3.34</v>
      </c>
      <c r="EN19" s="12">
        <v>1.48</v>
      </c>
      <c r="EO19" s="12">
        <v>1.22</v>
      </c>
      <c r="EP19" s="12">
        <v>-1.8</v>
      </c>
    </row>
    <row r="20" spans="1:146" ht="168" x14ac:dyDescent="0.25">
      <c r="A20" s="14"/>
      <c r="B20" s="14"/>
      <c r="C20" s="14" t="str">
        <f>"公司的主营业务是为游客提供旅游服务。公司的主要产品及服务包括旅游运输、索道运输、游船、温泉旅游、旅行社。"&amp;CHAR(10)&amp;Basic_Fundamental_Information_Constructure(F20)&amp;CHAR(10)&amp;Basic_Fundamental_Information_Concatenate("旅游客运 1626.27万 61.93% 312.00% -5.98%
索道运输 430.54万 16.39% -212.00% 15.35%
游船 250.20万 9.53%
其他收入 157.27万 5.99%
温泉酒店 154.64万 5.89%")</f>
        <v>公司的主营业务是为游客提供旅游服务。公司的主要产品及服务包括旅游运输、索道运输、游船、温泉旅游、旅行社。
市值47.585亿, 利润1.34亿; PE44.64; 平均PE122.57; 平均PEG.91, PB6.74; ROIC10.76%; ROE7.12%; 股利率.9772%; 毛利44.0367%; 净利14.5967%; 上一年度营收增563.73%, 利润增1540.69%; 当季营收增-.82%, 利润增-256.14%; 过往5年营收增134.01%, 利润增290.78%
Income profile:
旅游客运 1626.27万 61.93% 312.00% -5.98%
索道运输 430.54万 16.39% -212.00% 15.35%
游船 250.20万 9.53%
其他收入 157.27万 5.99%
温泉酒店 154.64万 5.89%</v>
      </c>
      <c r="D20" t="s">
        <v>66</v>
      </c>
      <c r="E20" t="s">
        <v>326</v>
      </c>
      <c r="F20">
        <v>30.7</v>
      </c>
      <c r="G20">
        <v>0</v>
      </c>
      <c r="H20" t="s">
        <v>962</v>
      </c>
      <c r="I20">
        <v>4758500000</v>
      </c>
      <c r="J20">
        <v>44.64</v>
      </c>
      <c r="K20">
        <v>6.74</v>
      </c>
      <c r="L20" t="s">
        <v>422</v>
      </c>
      <c r="M20" t="s">
        <v>963</v>
      </c>
      <c r="N20" t="s">
        <v>964</v>
      </c>
      <c r="O20" t="s">
        <v>965</v>
      </c>
      <c r="P20">
        <v>44.42</v>
      </c>
      <c r="Q20" t="s">
        <v>59</v>
      </c>
      <c r="R20">
        <v>-11978141</v>
      </c>
      <c r="S20" s="5">
        <v>7.8100000000000003E-2</v>
      </c>
      <c r="T20" t="s">
        <v>966</v>
      </c>
      <c r="U20">
        <v>155000000</v>
      </c>
      <c r="V20">
        <v>155000000</v>
      </c>
      <c r="W20">
        <v>1.07</v>
      </c>
      <c r="X20">
        <v>0.02</v>
      </c>
      <c r="Y20">
        <v>-75.239999999999995</v>
      </c>
      <c r="Z20" t="s">
        <v>967</v>
      </c>
      <c r="AA20" t="s">
        <v>968</v>
      </c>
      <c r="AB20" t="s">
        <v>969</v>
      </c>
      <c r="AC20" t="s">
        <v>970</v>
      </c>
      <c r="AD20" t="s">
        <v>19</v>
      </c>
      <c r="AE20">
        <v>-1102593</v>
      </c>
      <c r="AF20" t="s">
        <v>971</v>
      </c>
      <c r="AG20">
        <v>190.65</v>
      </c>
      <c r="AH20" t="s">
        <v>972</v>
      </c>
      <c r="AI20" t="s">
        <v>973</v>
      </c>
      <c r="AJ20" t="s">
        <v>974</v>
      </c>
      <c r="AK20" t="s">
        <v>19</v>
      </c>
      <c r="AL20" t="s">
        <v>975</v>
      </c>
      <c r="AM20" t="s">
        <v>19</v>
      </c>
      <c r="AN20" t="s">
        <v>976</v>
      </c>
      <c r="AO20" t="s">
        <v>19</v>
      </c>
      <c r="AP20" t="s">
        <v>19</v>
      </c>
      <c r="AQ20" t="s">
        <v>977</v>
      </c>
      <c r="AR20" t="s">
        <v>978</v>
      </c>
      <c r="AS20" t="s">
        <v>979</v>
      </c>
      <c r="AT20" t="s">
        <v>19</v>
      </c>
      <c r="AU20" t="s">
        <v>980</v>
      </c>
      <c r="AV20" t="s">
        <v>981</v>
      </c>
      <c r="AW20" t="s">
        <v>19</v>
      </c>
      <c r="AX20" t="s">
        <v>800</v>
      </c>
      <c r="AY20" t="s">
        <v>125</v>
      </c>
      <c r="AZ20" t="s">
        <v>162</v>
      </c>
      <c r="BA20" t="s">
        <v>67</v>
      </c>
      <c r="BB20" t="s">
        <v>138</v>
      </c>
      <c r="BC20" t="s">
        <v>982</v>
      </c>
      <c r="BD20" t="s">
        <v>244</v>
      </c>
      <c r="BE20" t="s">
        <v>163</v>
      </c>
      <c r="BF20" t="s">
        <v>68</v>
      </c>
      <c r="BG20" t="s">
        <v>165</v>
      </c>
      <c r="BH20" t="s">
        <v>983</v>
      </c>
      <c r="BI20" t="s">
        <v>984</v>
      </c>
      <c r="BJ20" t="s">
        <v>800</v>
      </c>
      <c r="BK20" t="s">
        <v>382</v>
      </c>
      <c r="BL20" t="s">
        <v>985</v>
      </c>
      <c r="BM20" t="s">
        <v>982</v>
      </c>
      <c r="BN20">
        <v>17.84</v>
      </c>
      <c r="BO20" t="s">
        <v>19</v>
      </c>
      <c r="BP20">
        <v>3.68</v>
      </c>
      <c r="BQ20">
        <v>18.5</v>
      </c>
      <c r="BR20">
        <v>-1.47</v>
      </c>
      <c r="BS20">
        <v>4.33</v>
      </c>
      <c r="BT20" t="s">
        <v>986</v>
      </c>
      <c r="BU20" t="s">
        <v>307</v>
      </c>
      <c r="BV20">
        <v>59.99</v>
      </c>
      <c r="BW20">
        <v>27.19</v>
      </c>
      <c r="BX20">
        <v>44.93</v>
      </c>
      <c r="BY20">
        <v>35.06</v>
      </c>
      <c r="BZ20">
        <v>-9.3000000000000007</v>
      </c>
      <c r="CA20">
        <v>18.03</v>
      </c>
      <c r="CB20">
        <v>0.23</v>
      </c>
      <c r="CC20">
        <v>-8.74</v>
      </c>
      <c r="CD20" t="s">
        <v>987</v>
      </c>
      <c r="CE20" t="s">
        <v>83</v>
      </c>
      <c r="CF20" s="8">
        <v>-8.2027342447482492E-3</v>
      </c>
      <c r="CG20" s="9">
        <v>-2.5614250884547913</v>
      </c>
      <c r="CH20" s="8">
        <v>5.6372547149658203</v>
      </c>
      <c r="CI20" s="8">
        <v>-0.31543624401092529</v>
      </c>
      <c r="CJ20" s="8">
        <v>1.9108896255493164</v>
      </c>
      <c r="CK20" s="8">
        <v>-0.7876054048538208</v>
      </c>
      <c r="CL20" s="8">
        <v>0.2552083432674408</v>
      </c>
      <c r="CM20" s="9">
        <v>15.406898498535156</v>
      </c>
      <c r="CN20" s="9">
        <v>-1.3451114892959595</v>
      </c>
      <c r="CO20" s="9">
        <v>1.6230493783950806</v>
      </c>
      <c r="CP20" s="9">
        <v>-1.5881218910217285</v>
      </c>
      <c r="CQ20" s="9">
        <v>0.4424588680267334</v>
      </c>
      <c r="CR20">
        <v>122.57156877097437</v>
      </c>
      <c r="CS20">
        <v>0.91467073791207598</v>
      </c>
      <c r="CT20">
        <v>0.9771986970684039</v>
      </c>
      <c r="CU20" s="8">
        <v>1.3400622069835664</v>
      </c>
      <c r="CV20" s="9">
        <v>2.9078346729278564</v>
      </c>
      <c r="CW20">
        <v>0.06</v>
      </c>
      <c r="CX20">
        <v>13.841186820779223</v>
      </c>
      <c r="CY20">
        <v>295819184.65641308</v>
      </c>
      <c r="CZ20">
        <v>1.3400622069835664</v>
      </c>
      <c r="DA20">
        <v>1.8403077551930815</v>
      </c>
      <c r="DB20">
        <v>2224893411.6839681</v>
      </c>
      <c r="DC20">
        <v>1.273059096634388</v>
      </c>
      <c r="DD20">
        <v>0.21061669798915339</v>
      </c>
      <c r="DE20">
        <v>19440474753.862408</v>
      </c>
      <c r="DF20">
        <v>1.1792547421455384</v>
      </c>
      <c r="DG20">
        <v>1.834369647503967E-2</v>
      </c>
      <c r="DH20">
        <v>223209569868.94025</v>
      </c>
      <c r="DI20">
        <v>1.0720497655868531</v>
      </c>
      <c r="DJ20">
        <v>7.9450488932082802E-5</v>
      </c>
      <c r="DK20">
        <v>51535096322693.742</v>
      </c>
      <c r="DL20">
        <v>0.93804354488849639</v>
      </c>
      <c r="DM20">
        <v>134000000.00000001</v>
      </c>
      <c r="DN20">
        <v>1.3400622069835664</v>
      </c>
      <c r="DO20">
        <v>4094488600</v>
      </c>
      <c r="DP20">
        <v>272770080</v>
      </c>
      <c r="DQ20">
        <v>2316</v>
      </c>
      <c r="DR20">
        <v>-1.3482649412283145</v>
      </c>
      <c r="DS20">
        <v>-5.4692597613826477</v>
      </c>
      <c r="DT20" s="10">
        <v>-3.833333333333333E-2</v>
      </c>
      <c r="DU20">
        <v>-1.5983333333333334</v>
      </c>
      <c r="DV20">
        <v>-1.6366666666666667</v>
      </c>
      <c r="DW20">
        <v>-2.0874000000000001</v>
      </c>
      <c r="DX20">
        <v>0.34317499999999856</v>
      </c>
      <c r="DY20">
        <v>-2.016009495</v>
      </c>
      <c r="DZ20">
        <v>3304</v>
      </c>
      <c r="EA20">
        <v>-2.0056581502876711</v>
      </c>
      <c r="EB20">
        <v>2</v>
      </c>
      <c r="EC20">
        <v>0.22217354838709677</v>
      </c>
      <c r="ED20">
        <v>1.2129032258064516</v>
      </c>
      <c r="EE20" s="11">
        <v>-1.01441</v>
      </c>
      <c r="EF20">
        <v>-1.03241</v>
      </c>
      <c r="EG20">
        <v>16.183174999999999</v>
      </c>
      <c r="EH20" t="s">
        <v>406</v>
      </c>
      <c r="EI20">
        <v>0</v>
      </c>
      <c r="EJ20">
        <v>0</v>
      </c>
      <c r="EK20" s="7">
        <v>45470</v>
      </c>
      <c r="EL20" s="12">
        <v>5.46</v>
      </c>
      <c r="EM20" s="12">
        <v>-7.7</v>
      </c>
      <c r="EN20" s="12">
        <v>-0.68</v>
      </c>
      <c r="EO20" s="12">
        <v>3.37</v>
      </c>
      <c r="EP20" s="12">
        <v>-1.8</v>
      </c>
    </row>
    <row r="21" spans="1:146" ht="204" x14ac:dyDescent="0.25">
      <c r="A21" s="14" t="s">
        <v>1430</v>
      </c>
      <c r="B21" s="14" t="s">
        <v>1431</v>
      </c>
      <c r="C21" s="14" t="str">
        <f>"公司的主营业务为从事中高端精选服务连锁酒店的运营及管理。公司的主要产品为客房住宿服务、餐饮服务、其他配套服务、酒店管理。公司先后荣获“2018年中国旅游饭店业协会最佳股东投资回报奖”、“2018年及2019年中国饭店协会中国酒店集团规模50强”、“2018年中国旅游饭店协会中国饭店集团规模60强”等行业权威荣誉。"&amp;CHAR(10)&amp;Basic_Fundamental_Information_Constructure(F6)&amp;CHAR(10)&amp;Basic_Fundamental_Information_Concatenate("浙江省 6519.95万 46.42% 34.98% 26.74%
上海市 4411.72万 31.41% 50.28% 56.81%
其他地区 1701.57万 12.11% 3.82% 11.18%
安徽省 1069.68万 7.62% 6.64% 30.93%
江苏省 343.99万 2.45% 4.29% 62.14%")</f>
        <v>公司的主营业务为从事中高端精选服务连锁酒店的运营及管理。公司的主要产品为客房住宿服务、餐饮服务、其他配套服务、酒店管理。公司先后荣获“2018年中国旅游饭店业协会最佳股东投资回报奖”、“2018年及2019年中国饭店协会中国酒店集团规模50强”、“2018年中国旅游饭店协会中国饭店集团规模60强”等行业权威荣誉。
市值29.877585亿, 利润-1.54亿; PE; 平均PE-61.73; 平均PEG-10.56, PB6.4; ROIC0%; ROE-13.93%; 股利率0%; 毛利-1.3967%; 净利-30.54%; 上一年度营收增38.89%, 利润增7.78%; 当季营收增-5.76%, 利润增-2.39%; 过往5年营收增5.85%, 利润增-64.44%
Income profile:
浙江省 6519.95万 46.42% 34.98% 26.74%
上海市 4411.72万 31.41% 50.28% 56.81%
其他地区 1701.57万 12.11% 3.82% 11.18%
安徽省 1069.68万 7.62% 6.64% 30.93%
江苏省 343.99万 2.45% 4.29% 62.14%</v>
      </c>
      <c r="D21" t="s">
        <v>988</v>
      </c>
      <c r="E21" t="s">
        <v>989</v>
      </c>
      <c r="F21">
        <v>17.72</v>
      </c>
      <c r="G21">
        <v>0.23</v>
      </c>
      <c r="H21" t="s">
        <v>990</v>
      </c>
      <c r="I21">
        <v>3445672500</v>
      </c>
      <c r="J21">
        <v>110.8</v>
      </c>
      <c r="K21">
        <v>3.51</v>
      </c>
      <c r="L21" t="s">
        <v>422</v>
      </c>
      <c r="M21" t="s">
        <v>991</v>
      </c>
      <c r="N21" t="s">
        <v>992</v>
      </c>
      <c r="O21" t="s">
        <v>414</v>
      </c>
      <c r="P21" s="5">
        <v>67.28</v>
      </c>
      <c r="Q21" t="s">
        <v>993</v>
      </c>
      <c r="R21">
        <v>4659966</v>
      </c>
      <c r="S21">
        <v>0.1394</v>
      </c>
      <c r="T21" t="s">
        <v>994</v>
      </c>
      <c r="U21">
        <v>85161168</v>
      </c>
      <c r="V21">
        <v>194451050</v>
      </c>
      <c r="W21">
        <v>2.4700000000000002</v>
      </c>
      <c r="X21">
        <v>7.0000000000000007E-2</v>
      </c>
      <c r="Y21">
        <v>3.88</v>
      </c>
      <c r="Z21" t="s">
        <v>995</v>
      </c>
      <c r="AA21" t="s">
        <v>398</v>
      </c>
      <c r="AB21" t="s">
        <v>996</v>
      </c>
      <c r="AC21" t="s">
        <v>997</v>
      </c>
      <c r="AD21" t="s">
        <v>19</v>
      </c>
      <c r="AE21">
        <v>10415452</v>
      </c>
      <c r="AF21" t="s">
        <v>998</v>
      </c>
      <c r="AG21" t="s">
        <v>999</v>
      </c>
      <c r="AH21" t="s">
        <v>1000</v>
      </c>
      <c r="AI21" t="s">
        <v>1001</v>
      </c>
      <c r="AJ21" t="s">
        <v>1002</v>
      </c>
      <c r="AK21" t="s">
        <v>19</v>
      </c>
      <c r="AL21" t="s">
        <v>1003</v>
      </c>
      <c r="AM21" t="s">
        <v>19</v>
      </c>
      <c r="AN21" t="s">
        <v>1004</v>
      </c>
      <c r="AO21" t="s">
        <v>19</v>
      </c>
      <c r="AP21" t="s">
        <v>19</v>
      </c>
      <c r="AQ21" t="s">
        <v>1005</v>
      </c>
      <c r="AR21" t="s">
        <v>1006</v>
      </c>
      <c r="AS21" t="s">
        <v>1007</v>
      </c>
      <c r="AT21" t="s">
        <v>19</v>
      </c>
      <c r="AU21" t="s">
        <v>1008</v>
      </c>
      <c r="AV21" t="s">
        <v>1009</v>
      </c>
      <c r="AW21" t="s">
        <v>1010</v>
      </c>
      <c r="AX21" t="s">
        <v>1011</v>
      </c>
      <c r="AY21" t="s">
        <v>335</v>
      </c>
      <c r="AZ21" t="s">
        <v>757</v>
      </c>
      <c r="BA21" t="s">
        <v>313</v>
      </c>
      <c r="BB21" t="s">
        <v>190</v>
      </c>
      <c r="BC21" t="s">
        <v>1012</v>
      </c>
      <c r="BD21" t="s">
        <v>1013</v>
      </c>
      <c r="BE21" t="s">
        <v>1014</v>
      </c>
      <c r="BF21" t="s">
        <v>1015</v>
      </c>
      <c r="BG21" t="s">
        <v>1016</v>
      </c>
      <c r="BH21" t="s">
        <v>1017</v>
      </c>
      <c r="BI21" t="s">
        <v>1018</v>
      </c>
      <c r="BJ21" t="s">
        <v>1011</v>
      </c>
      <c r="BK21" t="s">
        <v>1019</v>
      </c>
      <c r="BL21" t="s">
        <v>1020</v>
      </c>
      <c r="BM21" t="s">
        <v>1012</v>
      </c>
      <c r="BN21">
        <v>4.79</v>
      </c>
      <c r="BO21">
        <v>6.15</v>
      </c>
      <c r="BP21">
        <v>11.66</v>
      </c>
      <c r="BQ21">
        <v>2.46</v>
      </c>
      <c r="BR21">
        <v>5.67</v>
      </c>
      <c r="BS21">
        <v>11.32</v>
      </c>
      <c r="BT21" t="s">
        <v>1021</v>
      </c>
      <c r="BU21" t="s">
        <v>453</v>
      </c>
      <c r="BV21">
        <v>39.74</v>
      </c>
      <c r="BW21">
        <v>36</v>
      </c>
      <c r="BX21">
        <v>33.270000000000003</v>
      </c>
      <c r="BY21">
        <v>7.92</v>
      </c>
      <c r="BZ21">
        <v>9.57</v>
      </c>
      <c r="CA21">
        <v>12.29</v>
      </c>
      <c r="CB21">
        <v>-2.64</v>
      </c>
      <c r="CC21" s="8">
        <v>-23.82</v>
      </c>
      <c r="CD21" s="9" t="s">
        <v>1022</v>
      </c>
      <c r="CE21" s="8" t="s">
        <v>1023</v>
      </c>
      <c r="CF21" s="8">
        <v>1.0490438649065379</v>
      </c>
      <c r="CG21" s="8">
        <v>2.9278363395664404</v>
      </c>
      <c r="CH21" s="8">
        <v>-2.3391813039779663E-2</v>
      </c>
      <c r="CI21" s="8">
        <v>0.23021583259105682</v>
      </c>
      <c r="CJ21" s="9">
        <v>8.59375E-2</v>
      </c>
      <c r="CK21" s="9">
        <v>-0.32984292507171631</v>
      </c>
      <c r="CL21" s="9">
        <v>0.12023460119962692</v>
      </c>
      <c r="CM21" s="9">
        <v>-0.36627569794654846</v>
      </c>
      <c r="CN21" s="9">
        <v>-0.19426235556602478</v>
      </c>
      <c r="CO21">
        <v>5.2803285419940948E-2</v>
      </c>
      <c r="CP21">
        <v>-0.51468294858932495</v>
      </c>
      <c r="CQ21">
        <v>0.20009168982505798</v>
      </c>
      <c r="CR21" s="8">
        <v>81.702345352075483</v>
      </c>
      <c r="CS21" s="9">
        <v>49.127603987278015</v>
      </c>
      <c r="CT21">
        <v>0.84650112866817162</v>
      </c>
      <c r="CU21">
        <v>1.6630639135837556E-2</v>
      </c>
      <c r="CV21">
        <v>-0.16446520537137985</v>
      </c>
      <c r="CW21">
        <v>0.06</v>
      </c>
      <c r="CX21">
        <v>216.41566177972066</v>
      </c>
      <c r="CY21">
        <v>18079433.197318804</v>
      </c>
      <c r="CZ21">
        <v>1.6630639135837556E-2</v>
      </c>
      <c r="DA21">
        <v>75.293632010515921</v>
      </c>
      <c r="DB21">
        <v>51965516.810950689</v>
      </c>
      <c r="DC21">
        <v>1.5799107179045677E-2</v>
      </c>
      <c r="DD21">
        <v>40.204060393542093</v>
      </c>
      <c r="DE21">
        <v>97320331.869476691</v>
      </c>
      <c r="DF21">
        <v>1.4634962439537049E-2</v>
      </c>
      <c r="DG21">
        <v>26.371113791501227</v>
      </c>
      <c r="DH21">
        <v>148369633.9462522</v>
      </c>
      <c r="DI21">
        <v>1.3304511308670046E-2</v>
      </c>
      <c r="DJ21">
        <v>16.34626469406923</v>
      </c>
      <c r="DK21">
        <v>239361870.93676516</v>
      </c>
      <c r="DL21">
        <v>1.1641447395086288E-2</v>
      </c>
      <c r="DM21">
        <v>18850700</v>
      </c>
      <c r="DN21">
        <v>1.6630639135837556E-2</v>
      </c>
      <c r="DO21">
        <v>3912672500</v>
      </c>
      <c r="DP21">
        <v>325271310</v>
      </c>
      <c r="DQ21" s="10">
        <v>2518</v>
      </c>
      <c r="DR21">
        <v>1.0324132257707004</v>
      </c>
      <c r="DS21">
        <v>3.0923015449378202</v>
      </c>
      <c r="DT21">
        <v>-0.40666666666666668</v>
      </c>
      <c r="DU21">
        <v>-0.55333333333333334</v>
      </c>
      <c r="DV21">
        <v>-0.96</v>
      </c>
      <c r="DW21">
        <v>-8.1108312342569278</v>
      </c>
      <c r="DX21">
        <v>0.39664731182795665</v>
      </c>
      <c r="DY21">
        <v>-8.027336225996045</v>
      </c>
      <c r="DZ21">
        <v>3625</v>
      </c>
      <c r="EA21">
        <v>-8.0079440891593201</v>
      </c>
      <c r="EB21" s="11">
        <v>8</v>
      </c>
      <c r="EC21" s="11">
        <v>0.2359277566256392</v>
      </c>
      <c r="ED21">
        <v>0.95653893357737074</v>
      </c>
      <c r="EE21">
        <v>-3.0743</v>
      </c>
      <c r="EF21">
        <v>-3.0920999999999998</v>
      </c>
      <c r="EG21">
        <v>15.246647311827957</v>
      </c>
      <c r="EH21" s="7" t="s">
        <v>840</v>
      </c>
      <c r="EI21">
        <v>0</v>
      </c>
      <c r="EJ21">
        <v>0</v>
      </c>
      <c r="EK21">
        <v>45470</v>
      </c>
      <c r="EL21">
        <v>-1.3</v>
      </c>
      <c r="EM21">
        <v>-5.01</v>
      </c>
      <c r="EN21" s="12">
        <v>5.72</v>
      </c>
      <c r="EO21" s="12">
        <v>6.2</v>
      </c>
      <c r="EP21" s="12">
        <v>1.78</v>
      </c>
    </row>
    <row r="22" spans="1:146" ht="180" x14ac:dyDescent="0.25">
      <c r="A22" s="14" t="s">
        <v>418</v>
      </c>
      <c r="B22" s="14"/>
      <c r="C22" s="14" t="str">
        <f>"公司属于资源垄断性旅游企业,主业包括园林门票、索道、酒店和旅行社等,门票和索道业务做为公司两大利润支柱,黄山景区曾荣获“中国十大风景区名胜”"&amp;CHAR(10)&amp;Basic_Fundamental_Information_Constructure(F22)&amp;CHAR(10)&amp;Basic_Fundamental_Information_Concatenate("徽菜业务 6106.72万 28.52% -6.76% 6.07%
旅游服务业务 5683.22万 26.54% -6.07% 5.85%
索道及缆车业务 4751.76万 22.19% -28.41% 32.75%
酒店业务 4411.84万 20.61% 73.60% -91.38%
景区业务 1753.88万 8.19% 74.74% -233.39%")</f>
        <v>公司属于资源垄断性旅游企业,主业包括园林门票、索道、酒店和旅行社等,门票和索道业务做为公司两大利润支柱,黄山景区曾荣获“中国十大风景区名胜”
市值81.325808亿, 利润1.89亿; PE21.19; 平均PE275.68; 平均PEG6466.18, PB1.8; ROIC5.17%; ROE2.4633%; 股利率1.8744%; 毛利36.67%; 净利3.69%; 上一年度营收增54.62%, 利润增245.38%; 当季营收增31.76%, 利润增-16.22%; 过往5年营收增-.04%, 利润增245.38%
Income profile:
徽菜业务 6106.72万 28.52% -6.76% 6.07%
旅游服务业务 5683.22万 26.54% -6.07% 5.85%
索道及缆车业务 4751.76万 22.19% -28.41% 32.75%
酒店业务 4411.84万 20.61% 73.60% -91.38%
景区业务 1753.88万 8.19% 74.74% -233.39%</v>
      </c>
      <c r="D22" t="s">
        <v>69</v>
      </c>
      <c r="E22" t="s">
        <v>17</v>
      </c>
      <c r="F22">
        <v>11.15</v>
      </c>
      <c r="G22">
        <v>1.0900000000000001</v>
      </c>
      <c r="H22" t="s">
        <v>1024</v>
      </c>
      <c r="I22">
        <v>8132580800</v>
      </c>
      <c r="J22">
        <v>21.19</v>
      </c>
      <c r="K22">
        <v>1.8</v>
      </c>
      <c r="L22" t="s">
        <v>422</v>
      </c>
      <c r="M22" t="s">
        <v>1025</v>
      </c>
      <c r="N22" t="s">
        <v>1026</v>
      </c>
      <c r="O22" t="s">
        <v>1027</v>
      </c>
      <c r="P22">
        <v>-0.43</v>
      </c>
      <c r="Q22" t="s">
        <v>1028</v>
      </c>
      <c r="R22">
        <v>25499905</v>
      </c>
      <c r="S22" s="5">
        <v>-0.60509999999999997</v>
      </c>
      <c r="T22" t="s">
        <v>1029</v>
      </c>
      <c r="U22">
        <v>513300000</v>
      </c>
      <c r="V22">
        <v>729379440</v>
      </c>
      <c r="W22">
        <v>1.2</v>
      </c>
      <c r="X22" t="s">
        <v>19</v>
      </c>
      <c r="Y22">
        <v>8.6300000000000008</v>
      </c>
      <c r="Z22" t="s">
        <v>19</v>
      </c>
      <c r="AA22" t="s">
        <v>19</v>
      </c>
      <c r="AB22" t="s">
        <v>19</v>
      </c>
      <c r="AC22" t="s">
        <v>19</v>
      </c>
      <c r="AD22" t="s">
        <v>19</v>
      </c>
      <c r="AE22">
        <v>-1270865</v>
      </c>
      <c r="AF22" t="s">
        <v>1030</v>
      </c>
      <c r="AG22" t="s">
        <v>1031</v>
      </c>
      <c r="AH22" t="s">
        <v>1032</v>
      </c>
      <c r="AI22" t="s">
        <v>1033</v>
      </c>
      <c r="AJ22" t="s">
        <v>1034</v>
      </c>
      <c r="AK22" t="s">
        <v>19</v>
      </c>
      <c r="AL22" t="s">
        <v>1035</v>
      </c>
      <c r="AM22" t="s">
        <v>19</v>
      </c>
      <c r="AN22" t="s">
        <v>218</v>
      </c>
      <c r="AO22" t="s">
        <v>19</v>
      </c>
      <c r="AP22" t="s">
        <v>19</v>
      </c>
      <c r="AQ22" t="s">
        <v>306</v>
      </c>
      <c r="AR22" t="s">
        <v>1036</v>
      </c>
      <c r="AS22" t="s">
        <v>19</v>
      </c>
      <c r="AT22" t="s">
        <v>19</v>
      </c>
      <c r="AU22" t="s">
        <v>1037</v>
      </c>
      <c r="AV22" t="s">
        <v>1038</v>
      </c>
      <c r="AW22" t="s">
        <v>1039</v>
      </c>
      <c r="AX22" t="s">
        <v>1040</v>
      </c>
      <c r="AY22" t="s">
        <v>19</v>
      </c>
      <c r="AZ22" t="s">
        <v>166</v>
      </c>
      <c r="BA22" t="s">
        <v>70</v>
      </c>
      <c r="BB22" t="s">
        <v>167</v>
      </c>
      <c r="BC22" t="s">
        <v>1041</v>
      </c>
      <c r="BD22" t="s">
        <v>19</v>
      </c>
      <c r="BE22" t="s">
        <v>19</v>
      </c>
      <c r="BF22" t="s">
        <v>19</v>
      </c>
      <c r="BG22" t="s">
        <v>19</v>
      </c>
      <c r="BH22" t="s">
        <v>1042</v>
      </c>
      <c r="BI22" t="s">
        <v>130</v>
      </c>
      <c r="BJ22" t="s">
        <v>1040</v>
      </c>
      <c r="BK22" t="s">
        <v>1043</v>
      </c>
      <c r="BL22" t="s">
        <v>1044</v>
      </c>
      <c r="BM22" t="s">
        <v>1041</v>
      </c>
      <c r="BN22">
        <v>9.43</v>
      </c>
      <c r="BO22" t="s">
        <v>19</v>
      </c>
      <c r="BP22">
        <v>0.91</v>
      </c>
      <c r="BQ22">
        <v>9.52</v>
      </c>
      <c r="BR22">
        <v>-3.15</v>
      </c>
      <c r="BS22">
        <v>1.02</v>
      </c>
      <c r="BT22" t="s">
        <v>1045</v>
      </c>
      <c r="BU22" t="s">
        <v>307</v>
      </c>
      <c r="BV22">
        <v>54.02</v>
      </c>
      <c r="BW22">
        <v>20.36</v>
      </c>
      <c r="BX22">
        <v>35.630000000000003</v>
      </c>
      <c r="BY22">
        <v>23.64</v>
      </c>
      <c r="BZ22">
        <v>-17.239999999999998</v>
      </c>
      <c r="CA22">
        <v>4.67</v>
      </c>
      <c r="CB22">
        <v>-0.62</v>
      </c>
      <c r="CC22">
        <v>-5.52</v>
      </c>
      <c r="CD22" t="s">
        <v>1046</v>
      </c>
      <c r="CE22" t="s">
        <v>827</v>
      </c>
      <c r="CF22" s="8">
        <v>0.31764705882352956</v>
      </c>
      <c r="CG22" s="9">
        <v>-0.16223454234838031</v>
      </c>
      <c r="CH22" s="8">
        <v>0.54624992609024048</v>
      </c>
      <c r="CI22" s="8" t="s">
        <v>19</v>
      </c>
      <c r="CJ22" s="8" t="s">
        <v>19</v>
      </c>
      <c r="CK22" s="8">
        <v>-0.53889238834381104</v>
      </c>
      <c r="CL22" s="8">
        <v>-8.6365658789873123E-3</v>
      </c>
      <c r="CM22" s="9">
        <v>2.4538462162017822</v>
      </c>
      <c r="CN22" s="9" t="s">
        <v>19</v>
      </c>
      <c r="CO22" s="9" t="s">
        <v>19</v>
      </c>
      <c r="CP22" s="9" t="s">
        <v>19</v>
      </c>
      <c r="CQ22" s="9" t="s">
        <v>19</v>
      </c>
      <c r="CR22">
        <v>275.68070508474574</v>
      </c>
      <c r="CS22">
        <v>6466.1761082633429</v>
      </c>
      <c r="CT22">
        <v>1.8744394618834079</v>
      </c>
      <c r="CU22" s="8">
        <v>-4.2634271085262299E-4</v>
      </c>
      <c r="CV22" s="9">
        <v>2.4538462162017822</v>
      </c>
      <c r="CW22">
        <v>0.06</v>
      </c>
      <c r="CX22">
        <v>23.188258201058201</v>
      </c>
      <c r="CY22" t="s">
        <v>1047</v>
      </c>
      <c r="CZ22">
        <v>-4.2634271085262299E-4</v>
      </c>
      <c r="DA22">
        <v>7.7294194003527341</v>
      </c>
      <c r="DB22" t="s">
        <v>1048</v>
      </c>
      <c r="DC22">
        <v>-4.050255753099918E-4</v>
      </c>
      <c r="DD22">
        <v>3.8647097001763671</v>
      </c>
      <c r="DE22" t="s">
        <v>1049</v>
      </c>
      <c r="DF22">
        <v>-3.751815855503082E-4</v>
      </c>
      <c r="DG22">
        <v>2.3188258201058201</v>
      </c>
      <c r="DH22" t="s">
        <v>325</v>
      </c>
      <c r="DI22">
        <v>-3.4107416868209842E-4</v>
      </c>
      <c r="DJ22">
        <v>1.15941291005291</v>
      </c>
      <c r="DK22" t="s">
        <v>1050</v>
      </c>
      <c r="DL22">
        <v>-2.9843989759683606E-4</v>
      </c>
      <c r="DM22">
        <v>189000000</v>
      </c>
      <c r="DN22">
        <v>-4.2634271085262299E-4</v>
      </c>
      <c r="DO22">
        <v>4382580800</v>
      </c>
      <c r="DP22">
        <v>2457545700</v>
      </c>
      <c r="DQ22">
        <v>2883</v>
      </c>
      <c r="DR22">
        <v>0.31807340153438218</v>
      </c>
      <c r="DS22">
        <v>-2.6160807585501624</v>
      </c>
      <c r="DT22" s="10">
        <v>-0.41000000000000003</v>
      </c>
      <c r="DU22">
        <v>0.23999999999999988</v>
      </c>
      <c r="DV22">
        <v>-0.17000000000000015</v>
      </c>
      <c r="DW22">
        <v>-1.0551999999999999</v>
      </c>
      <c r="DX22">
        <v>0.27006538461538521</v>
      </c>
      <c r="DY22">
        <v>-1.0066276092307693</v>
      </c>
      <c r="DZ22">
        <v>1698</v>
      </c>
      <c r="EA22">
        <v>-1.0044253234237543</v>
      </c>
      <c r="EB22">
        <v>1</v>
      </c>
      <c r="EC22">
        <v>2.1399698351793409E-2</v>
      </c>
      <c r="ED22">
        <v>0.17823370507948511</v>
      </c>
      <c r="EE22" s="11">
        <v>4.0514099999999997</v>
      </c>
      <c r="EF22">
        <v>4.0488</v>
      </c>
      <c r="EG22">
        <v>15.120065384615385</v>
      </c>
      <c r="EH22" t="s">
        <v>1051</v>
      </c>
      <c r="EI22">
        <v>0</v>
      </c>
      <c r="EJ22">
        <v>0</v>
      </c>
      <c r="EK22" s="7">
        <v>45470</v>
      </c>
      <c r="EL22" s="12">
        <v>-0.16</v>
      </c>
      <c r="EM22" s="12">
        <v>-3.11</v>
      </c>
      <c r="EN22">
        <v>0</v>
      </c>
      <c r="EO22">
        <v>2.4</v>
      </c>
      <c r="EP22">
        <v>10.02</v>
      </c>
    </row>
    <row r="23" spans="1:146" ht="276" x14ac:dyDescent="0.25">
      <c r="A23" s="14" t="s">
        <v>416</v>
      </c>
      <c r="B23" s="14"/>
      <c r="C23" s="14" t="str">
        <f>"公司主要从事旅游、景区经营、酒店经营管理、IT产品销售及技术服务和整合营销服务等业务。公司现有业务包括以观光旅游、度假旅游、入境旅游、高端旅游为主要内容的旅行社业务；涵盖活动管理、公关传播、体育赛事、博览会运营、目的地营销等多板块的整合营销业务；以乌镇、古北水镇为代表的景区业务；中青旅山水运营的酒店业务；以IT硬件代理和系统集成业务、云贵川三省福利彩票技术服务业务及中青旅大厦租赁业务为主的策略性投资业务。"&amp;CHAR(10)&amp;Basic_Fundamental_Information_Constructure(F23)&amp;CHAR(10)&amp;Basic_Fundamental_Information_Concatenate("IT产品销售与技术服务 41.34亿 47.87% 14.71% 5.68%
整合营销服务 17.32亿 20.05% 28.50% 26.29%
景区经营 8.64亿 10.00% 38.54% 71.26%
房地产销售 8.62亿 9.98% -2.65% -4.90%
旅游产品服务 5.04亿 5.84% 7.09% 22.45%
酒店业务 3.49亿 4.04% 5.81% 26.56%
房屋租赁 1.90亿 2.20% 8.01% 67.22%")</f>
        <v>公司主要从事旅游、景区经营、酒店经营管理、IT产品销售及技术服务和整合营销服务等业务。公司现有业务包括以观光旅游、度假旅游、入境旅游、高端旅游为主要内容的旅行社业务；涵盖活动管理、公关传播、体育赛事、博览会运营、目的地营销等多板块的整合营销业务；以乌镇、古北水镇为代表的景区业务；中青旅山水运营的酒店业务；以IT硬件代理和系统集成业务、云贵川三省福利彩票技术服务业务及中青旅大厦租赁业务为主的策略性投资业务。
市值70.357248亿, 利润13.79亿; PE41.44; 平均PE13.47; 平均PEG.13, PB1.14; ROIC2.02%; ROE-.5633%; 股利率.8745%; 毛利19.6567%; 净利-1.2333%; 上一年度营收增337.98%, 利润增512.87%; 当季营收增-70.75%, 利润增-106.46%; 过往5年营收增101.15%, 利润增512.87%
Income profile:
IT产品销售与技术服务 41.34亿 47.87% 14.71% 5.68%
整合营销服务 17.32亿 20.05% 28.50% 26.29%
景区经营 8.64亿 10.00% 38.54% 71.26%
房地产销售 8.62亿 9.98% -2.65% -4.90%
旅游产品服务 5.04亿 5.84% 7.09% 22.45%
酒店业务 3.49亿 4.04% 5.81% 26.56%
房屋租赁 1.90亿 2.20% 8.01% 67.22%</v>
      </c>
      <c r="D23" t="s">
        <v>72</v>
      </c>
      <c r="E23" t="s">
        <v>16</v>
      </c>
      <c r="F23">
        <v>9.7200000000000006</v>
      </c>
      <c r="G23">
        <v>1.25</v>
      </c>
      <c r="H23" t="s">
        <v>1052</v>
      </c>
      <c r="I23">
        <v>7035724800</v>
      </c>
      <c r="J23">
        <v>41.44</v>
      </c>
      <c r="K23">
        <v>1.1399999999999999</v>
      </c>
      <c r="L23" t="s">
        <v>422</v>
      </c>
      <c r="M23" t="s">
        <v>1053</v>
      </c>
      <c r="N23" t="s">
        <v>1054</v>
      </c>
      <c r="O23" t="s">
        <v>1055</v>
      </c>
      <c r="P23">
        <v>15.96</v>
      </c>
      <c r="Q23" t="s">
        <v>1056</v>
      </c>
      <c r="R23">
        <v>-28998996</v>
      </c>
      <c r="S23" s="5">
        <v>-5.04</v>
      </c>
      <c r="T23" t="s">
        <v>1057</v>
      </c>
      <c r="U23">
        <v>723840000</v>
      </c>
      <c r="V23">
        <v>723840000</v>
      </c>
      <c r="W23">
        <v>2.0099999999999998</v>
      </c>
      <c r="X23" t="s">
        <v>19</v>
      </c>
      <c r="Y23">
        <v>-2.58</v>
      </c>
      <c r="Z23" t="s">
        <v>19</v>
      </c>
      <c r="AA23" t="s">
        <v>19</v>
      </c>
      <c r="AB23" t="s">
        <v>19</v>
      </c>
      <c r="AC23" t="s">
        <v>19</v>
      </c>
      <c r="AD23" t="s">
        <v>19</v>
      </c>
      <c r="AE23">
        <v>55486669</v>
      </c>
      <c r="AF23" t="s">
        <v>1058</v>
      </c>
      <c r="AG23" t="s">
        <v>1059</v>
      </c>
      <c r="AH23" t="s">
        <v>1060</v>
      </c>
      <c r="AI23" t="s">
        <v>1061</v>
      </c>
      <c r="AJ23" t="s">
        <v>1062</v>
      </c>
      <c r="AK23" t="s">
        <v>19</v>
      </c>
      <c r="AL23" t="s">
        <v>1063</v>
      </c>
      <c r="AM23" t="s">
        <v>19</v>
      </c>
      <c r="AN23" t="s">
        <v>1064</v>
      </c>
      <c r="AO23" t="s">
        <v>19</v>
      </c>
      <c r="AP23" t="s">
        <v>19</v>
      </c>
      <c r="AQ23" t="s">
        <v>1065</v>
      </c>
      <c r="AR23" t="s">
        <v>1066</v>
      </c>
      <c r="AS23" t="s">
        <v>19</v>
      </c>
      <c r="AT23" t="s">
        <v>19</v>
      </c>
      <c r="AU23" t="s">
        <v>1067</v>
      </c>
      <c r="AV23" t="s">
        <v>1068</v>
      </c>
      <c r="AW23" t="s">
        <v>1069</v>
      </c>
      <c r="AX23" t="s">
        <v>1070</v>
      </c>
      <c r="AY23" t="s">
        <v>19</v>
      </c>
      <c r="AZ23" t="s">
        <v>168</v>
      </c>
      <c r="BA23" t="s">
        <v>73</v>
      </c>
      <c r="BB23" t="s">
        <v>169</v>
      </c>
      <c r="BC23" t="s">
        <v>1071</v>
      </c>
      <c r="BD23" t="s">
        <v>19</v>
      </c>
      <c r="BE23" t="s">
        <v>19</v>
      </c>
      <c r="BF23" t="s">
        <v>19</v>
      </c>
      <c r="BG23" t="s">
        <v>19</v>
      </c>
      <c r="BH23" t="s">
        <v>1072</v>
      </c>
      <c r="BI23" t="s">
        <v>1073</v>
      </c>
      <c r="BJ23" t="s">
        <v>1070</v>
      </c>
      <c r="BK23" t="s">
        <v>122</v>
      </c>
      <c r="BL23" t="s">
        <v>405</v>
      </c>
      <c r="BM23" t="s">
        <v>1071</v>
      </c>
      <c r="BN23">
        <v>3.09</v>
      </c>
      <c r="BO23" t="s">
        <v>19</v>
      </c>
      <c r="BP23">
        <v>0.95</v>
      </c>
      <c r="BQ23">
        <v>3.37</v>
      </c>
      <c r="BR23">
        <v>-5.4</v>
      </c>
      <c r="BS23">
        <v>0.34</v>
      </c>
      <c r="BT23" t="s">
        <v>1074</v>
      </c>
      <c r="BU23" t="s">
        <v>321</v>
      </c>
      <c r="BV23">
        <v>24.45</v>
      </c>
      <c r="BW23">
        <v>16.02</v>
      </c>
      <c r="BX23">
        <v>18.5</v>
      </c>
      <c r="BY23">
        <v>3.16</v>
      </c>
      <c r="BZ23">
        <v>-7.35</v>
      </c>
      <c r="CA23">
        <v>0.49</v>
      </c>
      <c r="CB23">
        <v>0.62</v>
      </c>
      <c r="CC23">
        <v>-5.81</v>
      </c>
      <c r="CD23" t="s">
        <v>1075</v>
      </c>
      <c r="CE23" t="s">
        <v>235</v>
      </c>
      <c r="CF23" s="8">
        <v>-0.70750266321716626</v>
      </c>
      <c r="CG23" s="9">
        <v>-1.0645857371937639</v>
      </c>
      <c r="CH23" s="8">
        <v>3.3797726631164551</v>
      </c>
      <c r="CI23" s="8" t="s">
        <v>19</v>
      </c>
      <c r="CJ23" s="8" t="s">
        <v>19</v>
      </c>
      <c r="CK23" s="8">
        <v>-0.49117687344551086</v>
      </c>
      <c r="CL23" s="8">
        <v>0.14586217701435089</v>
      </c>
      <c r="CM23" s="9">
        <v>5.1287426948547363</v>
      </c>
      <c r="CN23" s="9" t="s">
        <v>19</v>
      </c>
      <c r="CO23" s="9" t="s">
        <v>19</v>
      </c>
      <c r="CP23" s="9" t="s">
        <v>19</v>
      </c>
      <c r="CQ23" s="9" t="s">
        <v>19</v>
      </c>
      <c r="CR23">
        <v>13.465502009569377</v>
      </c>
      <c r="CS23">
        <v>0.13312593706096199</v>
      </c>
      <c r="CT23">
        <v>0.87448559670781889</v>
      </c>
      <c r="CU23" s="8">
        <v>1.0114859888950984</v>
      </c>
      <c r="CV23" s="9">
        <v>5.1287426948547363</v>
      </c>
      <c r="CW23">
        <v>0.06</v>
      </c>
      <c r="CX23">
        <v>2.9297763008195474</v>
      </c>
      <c r="CY23">
        <v>2616829413.8550386</v>
      </c>
      <c r="CZ23">
        <v>1.0114859888950984</v>
      </c>
      <c r="DA23">
        <v>0.47915925339894405</v>
      </c>
      <c r="DB23">
        <v>16000368866.124659</v>
      </c>
      <c r="DC23">
        <v>0.96091168945034344</v>
      </c>
      <c r="DD23">
        <v>7.8403500354091021E-2</v>
      </c>
      <c r="DE23">
        <v>97785491277.494446</v>
      </c>
      <c r="DF23">
        <v>0.89010767022768666</v>
      </c>
      <c r="DG23">
        <v>1.1026758677165557E-2</v>
      </c>
      <c r="DH23">
        <v>695283629982.43665</v>
      </c>
      <c r="DI23">
        <v>0.80918879111607878</v>
      </c>
      <c r="DJ23">
        <v>1.5147335215141196E-4</v>
      </c>
      <c r="DK23">
        <v>50614346953491.742</v>
      </c>
      <c r="DL23">
        <v>0.70804019222656889</v>
      </c>
      <c r="DM23">
        <v>1379000000</v>
      </c>
      <c r="DN23">
        <v>1.0114859888950984</v>
      </c>
      <c r="DO23">
        <v>7666724800</v>
      </c>
      <c r="DP23">
        <v>5919844800</v>
      </c>
      <c r="DQ23">
        <v>2952</v>
      </c>
      <c r="DR23">
        <v>-1.7189886521122646</v>
      </c>
      <c r="DS23">
        <v>-6.1933284320485003</v>
      </c>
      <c r="DT23" s="10">
        <v>-0.21000000000000008</v>
      </c>
      <c r="DU23">
        <v>-1.7950000000000002</v>
      </c>
      <c r="DV23">
        <v>-2.0050000000000003</v>
      </c>
      <c r="DW23">
        <v>-1.0581</v>
      </c>
      <c r="DX23">
        <v>0.36202970711296967</v>
      </c>
      <c r="DY23">
        <v>-1.0088329259832636</v>
      </c>
      <c r="DZ23">
        <v>2251</v>
      </c>
      <c r="EA23">
        <v>-1.0049419443025736</v>
      </c>
      <c r="EB23">
        <v>1</v>
      </c>
      <c r="EC23">
        <v>5.0197695623342177E-2</v>
      </c>
      <c r="ED23">
        <v>0.33018346595932802</v>
      </c>
      <c r="EE23" s="11">
        <v>-1.0621100000000001</v>
      </c>
      <c r="EF23">
        <v>-1.0802100000000001</v>
      </c>
      <c r="EG23">
        <v>21.15202970711297</v>
      </c>
      <c r="EH23" t="s">
        <v>406</v>
      </c>
      <c r="EI23">
        <v>0</v>
      </c>
      <c r="EJ23">
        <v>0</v>
      </c>
      <c r="EK23" s="7">
        <v>45470</v>
      </c>
      <c r="EL23" s="12">
        <v>0.08</v>
      </c>
      <c r="EM23" s="12">
        <v>-3.87</v>
      </c>
      <c r="EN23">
        <v>1.54</v>
      </c>
      <c r="EO23">
        <v>2.87</v>
      </c>
      <c r="EP23">
        <v>-1.81</v>
      </c>
    </row>
    <row r="24" spans="1:146" ht="96" x14ac:dyDescent="0.25">
      <c r="A24" s="14"/>
      <c r="B24" s="14"/>
      <c r="C24" s="14" t="str">
        <f>""&amp;CHAR(10)&amp;Basic_Fundamental_Information_Constructure(F24)&amp;CHAR(10)&amp;Basic_Fundamental_Information_Concatenate("")</f>
        <v xml:space="preserve">
市值22.549116亿, 利润7.14亿; PE49.86; 平均PE5.96; 平均PEG.04, PB3.86; ROIC6.975%; ROE-2.7333%; 股利率0%; 毛利19.5567%; 净利-.59%; 上一年度营收增428.35%, 利润增1591.38%; 当季营收增-86.43%, 利润增-94%; 过往5年营收增141.02%, 利润增1591.38%
Income profile:
</v>
      </c>
      <c r="D24" t="s">
        <v>1076</v>
      </c>
      <c r="E24" t="s">
        <v>1077</v>
      </c>
      <c r="F24">
        <v>7.26</v>
      </c>
      <c r="G24">
        <v>0.69</v>
      </c>
      <c r="H24" t="s">
        <v>1078</v>
      </c>
      <c r="I24">
        <v>2254911600</v>
      </c>
      <c r="J24">
        <v>49.86</v>
      </c>
      <c r="K24">
        <v>3.86</v>
      </c>
      <c r="L24" t="s">
        <v>422</v>
      </c>
      <c r="M24" t="s">
        <v>1079</v>
      </c>
      <c r="N24" t="s">
        <v>1080</v>
      </c>
      <c r="O24" t="s">
        <v>1081</v>
      </c>
      <c r="P24" s="5">
        <v>3.08</v>
      </c>
      <c r="Q24" t="s">
        <v>1082</v>
      </c>
      <c r="R24">
        <v>17593934</v>
      </c>
      <c r="S24">
        <v>1.702</v>
      </c>
      <c r="T24" t="s">
        <v>487</v>
      </c>
      <c r="U24">
        <v>284122040</v>
      </c>
      <c r="V24">
        <v>310593880</v>
      </c>
      <c r="W24">
        <v>2.19</v>
      </c>
      <c r="X24" t="s">
        <v>19</v>
      </c>
      <c r="Y24">
        <v>12.96</v>
      </c>
      <c r="Z24" t="s">
        <v>19</v>
      </c>
      <c r="AA24" t="s">
        <v>19</v>
      </c>
      <c r="AB24" t="s">
        <v>19</v>
      </c>
      <c r="AC24" t="s">
        <v>19</v>
      </c>
      <c r="AD24" t="s">
        <v>19</v>
      </c>
      <c r="AE24">
        <v>4856740</v>
      </c>
      <c r="AF24" t="s">
        <v>1083</v>
      </c>
      <c r="AG24" t="s">
        <v>1084</v>
      </c>
      <c r="AH24" t="s">
        <v>1085</v>
      </c>
      <c r="AI24" t="s">
        <v>1086</v>
      </c>
      <c r="AJ24" t="s">
        <v>1087</v>
      </c>
      <c r="AK24" t="s">
        <v>19</v>
      </c>
      <c r="AL24" t="s">
        <v>1088</v>
      </c>
      <c r="AM24" t="s">
        <v>19</v>
      </c>
      <c r="AN24" t="s">
        <v>1089</v>
      </c>
      <c r="AO24" t="s">
        <v>19</v>
      </c>
      <c r="AP24" t="s">
        <v>1090</v>
      </c>
      <c r="AQ24" t="s">
        <v>409</v>
      </c>
      <c r="AR24" t="s">
        <v>19</v>
      </c>
      <c r="AS24" t="s">
        <v>19</v>
      </c>
      <c r="AT24" t="s">
        <v>19</v>
      </c>
      <c r="AU24" t="s">
        <v>1091</v>
      </c>
      <c r="AV24" t="s">
        <v>1092</v>
      </c>
      <c r="AW24" t="s">
        <v>690</v>
      </c>
      <c r="AX24" t="s">
        <v>1093</v>
      </c>
      <c r="AY24" t="s">
        <v>19</v>
      </c>
      <c r="AZ24" t="s">
        <v>323</v>
      </c>
      <c r="BA24" t="s">
        <v>1094</v>
      </c>
      <c r="BB24" t="s">
        <v>1095</v>
      </c>
      <c r="BC24" t="s">
        <v>1096</v>
      </c>
      <c r="BD24" t="s">
        <v>19</v>
      </c>
      <c r="BE24" t="s">
        <v>19</v>
      </c>
      <c r="BF24" t="s">
        <v>19</v>
      </c>
      <c r="BG24" t="s">
        <v>19</v>
      </c>
      <c r="BH24" t="s">
        <v>1097</v>
      </c>
      <c r="BI24" t="s">
        <v>1098</v>
      </c>
      <c r="BJ24" t="s">
        <v>1093</v>
      </c>
      <c r="BK24" t="s">
        <v>1099</v>
      </c>
      <c r="BL24" t="s">
        <v>231</v>
      </c>
      <c r="BM24" t="s">
        <v>1096</v>
      </c>
      <c r="BN24">
        <v>7.81</v>
      </c>
      <c r="BO24">
        <v>6.14</v>
      </c>
      <c r="BP24" t="s">
        <v>19</v>
      </c>
      <c r="BQ24">
        <v>6.54</v>
      </c>
      <c r="BR24">
        <v>6.98</v>
      </c>
      <c r="BS24">
        <v>-21.72</v>
      </c>
      <c r="BT24" t="s">
        <v>376</v>
      </c>
      <c r="BU24" t="s">
        <v>311</v>
      </c>
      <c r="BV24">
        <v>29.36</v>
      </c>
      <c r="BW24">
        <v>12</v>
      </c>
      <c r="BX24">
        <v>17.309999999999999</v>
      </c>
      <c r="BY24">
        <v>10.71</v>
      </c>
      <c r="BZ24">
        <v>5.92</v>
      </c>
      <c r="CA24">
        <v>-18.399999999999999</v>
      </c>
      <c r="CB24">
        <v>-8.1</v>
      </c>
      <c r="CC24" s="8">
        <v>-13.47</v>
      </c>
      <c r="CD24" s="9" t="s">
        <v>1100</v>
      </c>
      <c r="CE24" s="8" t="s">
        <v>1101</v>
      </c>
      <c r="CF24" s="8">
        <v>-0.86426229508196717</v>
      </c>
      <c r="CG24" s="8">
        <v>-0.93995244368600683</v>
      </c>
      <c r="CH24" s="8">
        <v>4.2834548950195313</v>
      </c>
      <c r="CI24" s="8" t="s">
        <v>19</v>
      </c>
      <c r="CJ24" s="9" t="s">
        <v>19</v>
      </c>
      <c r="CK24" s="9">
        <v>-9.2975208535790443E-3</v>
      </c>
      <c r="CL24" s="9">
        <v>-4.3478261679410934E-2</v>
      </c>
      <c r="CM24" s="9">
        <v>15.913780212402344</v>
      </c>
      <c r="CN24" s="9" t="s">
        <v>19</v>
      </c>
      <c r="CO24" t="s">
        <v>19</v>
      </c>
      <c r="CP24" t="s">
        <v>19</v>
      </c>
      <c r="CQ24" t="s">
        <v>19</v>
      </c>
      <c r="CR24" s="8">
        <v>5.9636856810789434</v>
      </c>
      <c r="CS24" s="9">
        <v>4.2288853792840669E-2</v>
      </c>
      <c r="CT24">
        <v>0</v>
      </c>
      <c r="CU24">
        <v>1.4102263708288472</v>
      </c>
      <c r="CV24">
        <v>15.913780212402344</v>
      </c>
      <c r="CW24">
        <v>0.06</v>
      </c>
      <c r="CX24">
        <v>1.4332755892388536</v>
      </c>
      <c r="CY24">
        <v>1623492102.6149027</v>
      </c>
      <c r="CZ24">
        <v>1.4102263708288472</v>
      </c>
      <c r="DA24">
        <v>0.18274597502931009</v>
      </c>
      <c r="DB24">
        <v>12733038851.481098</v>
      </c>
      <c r="DC24">
        <v>1.3397150522874048</v>
      </c>
      <c r="DD24">
        <v>1.9452065311436378E-2</v>
      </c>
      <c r="DE24">
        <v>119622855606.59453</v>
      </c>
      <c r="DF24">
        <v>1.2409992063293855</v>
      </c>
      <c r="DG24">
        <v>1.5385056741156621E-3</v>
      </c>
      <c r="DH24">
        <v>1512449150593.8164</v>
      </c>
      <c r="DI24">
        <v>1.1281810966630779</v>
      </c>
      <c r="DJ24">
        <v>5.290198356113744E-6</v>
      </c>
      <c r="DK24">
        <v>439853374743661.37</v>
      </c>
      <c r="DL24">
        <v>0.98715845958019299</v>
      </c>
      <c r="DM24">
        <v>714000000</v>
      </c>
      <c r="DN24">
        <v>1.4102263708288472</v>
      </c>
      <c r="DO24">
        <v>2326911600</v>
      </c>
      <c r="DP24">
        <v>708763930</v>
      </c>
      <c r="DQ24" s="10">
        <v>3041</v>
      </c>
      <c r="DR24">
        <v>-2.2744886659108143</v>
      </c>
      <c r="DS24">
        <v>-16.853732656088351</v>
      </c>
      <c r="DT24">
        <v>-0.21000000000000008</v>
      </c>
      <c r="DU24">
        <v>-0.42000000000000015</v>
      </c>
      <c r="DV24">
        <v>-0.63000000000000023</v>
      </c>
      <c r="DW24">
        <v>-9.6013363028953229</v>
      </c>
      <c r="DX24">
        <v>0.39730084507042329</v>
      </c>
      <c r="DY24">
        <v>-9.1547243389064903</v>
      </c>
      <c r="DZ24">
        <v>4512</v>
      </c>
      <c r="EA24">
        <v>-9.0181066838876873</v>
      </c>
      <c r="EB24" s="11">
        <v>9</v>
      </c>
      <c r="EC24" s="11">
        <v>0.29408757184784196</v>
      </c>
      <c r="ED24">
        <v>1.142971651598544</v>
      </c>
      <c r="EE24">
        <v>-2.0746000000000002</v>
      </c>
      <c r="EF24">
        <v>-2.056</v>
      </c>
      <c r="EG24">
        <v>14.257300845070423</v>
      </c>
      <c r="EH24" s="7" t="s">
        <v>764</v>
      </c>
      <c r="EI24">
        <v>0</v>
      </c>
      <c r="EJ24">
        <v>0</v>
      </c>
      <c r="EK24">
        <v>45470</v>
      </c>
      <c r="EL24">
        <v>0.8</v>
      </c>
      <c r="EM24">
        <v>-4.2300000000000004</v>
      </c>
      <c r="EN24">
        <v>1.38</v>
      </c>
      <c r="EO24">
        <v>2.4500000000000002</v>
      </c>
      <c r="EP24">
        <v>-1.86</v>
      </c>
    </row>
    <row r="25" spans="1:146" ht="146" customHeight="1" x14ac:dyDescent="0.25">
      <c r="A25" s="14" t="s">
        <v>1429</v>
      </c>
      <c r="B25" s="14"/>
      <c r="C25" s="14" t="str">
        <f>"公司的主营业务是从事酒店投资与运营管理及景区经营业务。公司的主要服务是酒店运营、酒店管理、景区运营。"&amp;CHAR(10)&amp;Basic_Fundamental_Information_Constructure(F25)&amp;CHAR(10)&amp;Basic_Fundamental_Information_Concatenate("酒店运营 16.19亿 69.49% -127.09% -16.91%
酒店管理 5.84亿 25.06% 192.18% 70.91%
景区业务 1.27亿 5.46% 34.91% 59.16%")</f>
        <v>公司的主营业务是从事酒店投资与运营管理及景区经营业务。公司的主要服务是酒店运营、酒店管理、景区运营。
市值137.23052亿, 利润2.03亿; PE16.43; 平均PE-73.39; 平均PEG-.82, PB1.22; ROIC6.885%; ROE.5367%; 股利率1.7901%; 毛利26.65%; 净利-.8967%; 上一年度营收增308.74%, 利润增135.18%; 当季营收增-70.24%, 利润增2030.24%; 过往5年营收增89.88%, 利润增135.18%
Income profile:
酒店运营 16.19亿 69.49% -127.09% -16.91%
酒店管理 5.84亿 25.06% 192.18% 70.91%
景区业务 1.27亿 5.46% 34.91% 59.16%</v>
      </c>
      <c r="D25" t="s">
        <v>1102</v>
      </c>
      <c r="E25" t="s">
        <v>1103</v>
      </c>
      <c r="F25">
        <v>12.29</v>
      </c>
      <c r="G25">
        <v>0.24</v>
      </c>
      <c r="H25" t="s">
        <v>1104</v>
      </c>
      <c r="I25">
        <v>13723052000</v>
      </c>
      <c r="J25">
        <v>16.43</v>
      </c>
      <c r="K25">
        <v>1.22</v>
      </c>
      <c r="L25" t="s">
        <v>422</v>
      </c>
      <c r="M25" t="s">
        <v>1105</v>
      </c>
      <c r="N25" t="s">
        <v>1106</v>
      </c>
      <c r="O25" t="s">
        <v>1107</v>
      </c>
      <c r="P25" s="5">
        <v>11.47</v>
      </c>
      <c r="Q25" t="s">
        <v>1108</v>
      </c>
      <c r="R25">
        <v>120562906</v>
      </c>
      <c r="S25">
        <v>0.49830000000000002</v>
      </c>
      <c r="T25" t="s">
        <v>54</v>
      </c>
      <c r="U25">
        <v>1116603130</v>
      </c>
      <c r="V25">
        <v>1116603130</v>
      </c>
      <c r="W25">
        <v>2.25</v>
      </c>
      <c r="X25" t="s">
        <v>19</v>
      </c>
      <c r="Y25">
        <v>7.25</v>
      </c>
      <c r="Z25" t="s">
        <v>19</v>
      </c>
      <c r="AA25" t="s">
        <v>19</v>
      </c>
      <c r="AB25" t="s">
        <v>19</v>
      </c>
      <c r="AC25" t="s">
        <v>19</v>
      </c>
      <c r="AD25" t="s">
        <v>19</v>
      </c>
      <c r="AE25">
        <v>96494153</v>
      </c>
      <c r="AF25" t="s">
        <v>1109</v>
      </c>
      <c r="AG25" t="s">
        <v>1110</v>
      </c>
      <c r="AH25" t="s">
        <v>1111</v>
      </c>
      <c r="AI25" t="s">
        <v>1112</v>
      </c>
      <c r="AJ25" t="s">
        <v>1113</v>
      </c>
      <c r="AK25" t="s">
        <v>19</v>
      </c>
      <c r="AL25" t="s">
        <v>1114</v>
      </c>
      <c r="AM25" t="s">
        <v>19</v>
      </c>
      <c r="AN25" t="s">
        <v>690</v>
      </c>
      <c r="AO25" t="s">
        <v>19</v>
      </c>
      <c r="AP25" t="s">
        <v>19</v>
      </c>
      <c r="AQ25" t="s">
        <v>1115</v>
      </c>
      <c r="AR25" t="s">
        <v>1116</v>
      </c>
      <c r="AS25" t="s">
        <v>19</v>
      </c>
      <c r="AT25" t="s">
        <v>19</v>
      </c>
      <c r="AU25" t="s">
        <v>1117</v>
      </c>
      <c r="AV25" t="s">
        <v>1118</v>
      </c>
      <c r="AW25" t="s">
        <v>1119</v>
      </c>
      <c r="AX25" t="s">
        <v>1120</v>
      </c>
      <c r="AY25" t="s">
        <v>19</v>
      </c>
      <c r="AZ25" t="s">
        <v>1121</v>
      </c>
      <c r="BA25" t="s">
        <v>1122</v>
      </c>
      <c r="BB25" t="s">
        <v>1123</v>
      </c>
      <c r="BC25" t="s">
        <v>1124</v>
      </c>
      <c r="BD25" t="s">
        <v>19</v>
      </c>
      <c r="BE25" t="s">
        <v>19</v>
      </c>
      <c r="BF25" t="s">
        <v>19</v>
      </c>
      <c r="BG25" t="s">
        <v>19</v>
      </c>
      <c r="BH25" t="s">
        <v>1125</v>
      </c>
      <c r="BI25" t="s">
        <v>1126</v>
      </c>
      <c r="BJ25" t="s">
        <v>1120</v>
      </c>
      <c r="BK25" t="s">
        <v>1127</v>
      </c>
      <c r="BL25" t="s">
        <v>1128</v>
      </c>
      <c r="BM25" t="s">
        <v>1124</v>
      </c>
      <c r="BN25">
        <v>7.04</v>
      </c>
      <c r="BO25" t="s">
        <v>19</v>
      </c>
      <c r="BP25">
        <v>6.73</v>
      </c>
      <c r="BQ25">
        <v>6.34</v>
      </c>
      <c r="BR25">
        <v>-5.4</v>
      </c>
      <c r="BS25">
        <v>0.67</v>
      </c>
      <c r="BT25" t="s">
        <v>761</v>
      </c>
      <c r="BU25" t="s">
        <v>453</v>
      </c>
      <c r="BV25">
        <v>38.119999999999997</v>
      </c>
      <c r="BW25">
        <v>15.68</v>
      </c>
      <c r="BX25">
        <v>26.15</v>
      </c>
      <c r="BY25">
        <v>10.41</v>
      </c>
      <c r="BZ25">
        <v>-13.26</v>
      </c>
      <c r="CA25">
        <v>0.16</v>
      </c>
      <c r="CB25">
        <v>-0.49</v>
      </c>
      <c r="CC25" s="8">
        <v>-14.3</v>
      </c>
      <c r="CD25" s="9" t="s">
        <v>1129</v>
      </c>
      <c r="CE25" s="8" t="s">
        <v>1130</v>
      </c>
      <c r="CF25" s="8">
        <v>-0.70237135021777708</v>
      </c>
      <c r="CG25" s="8">
        <v>20.302372252456003</v>
      </c>
      <c r="CH25" s="8">
        <v>3.0874261856079102</v>
      </c>
      <c r="CI25" s="8" t="s">
        <v>19</v>
      </c>
      <c r="CJ25" s="9" t="s">
        <v>19</v>
      </c>
      <c r="CK25" s="9">
        <v>-0.36445677280426025</v>
      </c>
      <c r="CL25" s="9">
        <v>-2.6700990274548531E-2</v>
      </c>
      <c r="CM25" s="9">
        <v>1.3518197536468506</v>
      </c>
      <c r="CN25" s="9" t="s">
        <v>19</v>
      </c>
      <c r="CO25" t="s">
        <v>19</v>
      </c>
      <c r="CP25" t="s">
        <v>19</v>
      </c>
      <c r="CQ25" t="s">
        <v>19</v>
      </c>
      <c r="CR25" s="8">
        <v>-73.385304812834221</v>
      </c>
      <c r="CS25" s="9">
        <v>-0.81652076105982163</v>
      </c>
      <c r="CT25">
        <v>1.7900732302685112</v>
      </c>
      <c r="CU25">
        <v>0.89875614084303379</v>
      </c>
      <c r="CV25">
        <v>1.3518197536468506</v>
      </c>
      <c r="CW25">
        <v>0.06</v>
      </c>
      <c r="CX25">
        <v>44.768211682807014</v>
      </c>
      <c r="CY25">
        <v>363629713.76522243</v>
      </c>
      <c r="CZ25">
        <v>0.89875614084303379</v>
      </c>
      <c r="DA25">
        <v>7.8955736305481201</v>
      </c>
      <c r="DB25">
        <v>2061794717.1078296</v>
      </c>
      <c r="DC25">
        <v>0.85381833380088201</v>
      </c>
      <c r="DD25">
        <v>1.4702996849834704</v>
      </c>
      <c r="DE25">
        <v>11071927829.585989</v>
      </c>
      <c r="DF25">
        <v>0.7909054039418697</v>
      </c>
      <c r="DG25">
        <v>0.24631898217540002</v>
      </c>
      <c r="DH25">
        <v>66089311738.093872</v>
      </c>
      <c r="DI25">
        <v>0.71900491267442712</v>
      </c>
      <c r="DJ25">
        <v>5.1817326825223352E-3</v>
      </c>
      <c r="DK25">
        <v>3141623274953.6152</v>
      </c>
      <c r="DL25">
        <v>0.62912929859012356</v>
      </c>
      <c r="DM25">
        <v>202999999.99999997</v>
      </c>
      <c r="DN25">
        <v>0.89875614084303379</v>
      </c>
      <c r="DO25">
        <v>16279052000</v>
      </c>
      <c r="DP25">
        <v>3361733200</v>
      </c>
      <c r="DQ25" s="10">
        <v>3047</v>
      </c>
      <c r="DR25">
        <v>-1.6011274910608109</v>
      </c>
      <c r="DS25">
        <v>18.950552498809152</v>
      </c>
      <c r="DT25">
        <v>-0.21000000000000008</v>
      </c>
      <c r="DU25">
        <v>2.3199999999999998</v>
      </c>
      <c r="DV25">
        <v>2.11</v>
      </c>
      <c r="DW25">
        <v>-2.1429999999999998</v>
      </c>
      <c r="DX25">
        <v>0.37295032467532324</v>
      </c>
      <c r="DY25">
        <v>-2.0247318964285714</v>
      </c>
      <c r="DZ25">
        <v>4805</v>
      </c>
      <c r="EA25">
        <v>-2.0014761699433885</v>
      </c>
      <c r="EB25" s="11">
        <v>2</v>
      </c>
      <c r="EC25" s="11">
        <v>4.7706027834616582E-2</v>
      </c>
      <c r="ED25">
        <v>0.27583659021267476</v>
      </c>
      <c r="EE25">
        <v>4.1298000000000004</v>
      </c>
      <c r="EF25">
        <v>4.1018999999999997</v>
      </c>
      <c r="EG25">
        <v>20.172950324675323</v>
      </c>
      <c r="EH25" s="7" t="s">
        <v>1051</v>
      </c>
      <c r="EI25">
        <v>0</v>
      </c>
      <c r="EJ25">
        <v>0</v>
      </c>
      <c r="EK25">
        <v>45470</v>
      </c>
      <c r="EL25">
        <v>0</v>
      </c>
      <c r="EM25">
        <v>0.22</v>
      </c>
      <c r="EN25">
        <v>-0.43</v>
      </c>
      <c r="EO25">
        <v>1.75</v>
      </c>
      <c r="EP25">
        <v>-2.79</v>
      </c>
    </row>
    <row r="26" spans="1:146" ht="96" x14ac:dyDescent="0.25">
      <c r="A26" s="14"/>
      <c r="B26" s="14"/>
      <c r="C26" s="14" t="str">
        <f>""&amp;CHAR(10)&amp;Basic_Fundamental_Information_Constructure(F26)&amp;CHAR(10)&amp;Basic_Fundamental_Information_Concatenate("")</f>
        <v xml:space="preserve">
市值47.922857亿, 利润4.26亿; PE35.4; 平均PE-84.49; 平均PEG-.11, PB1.75; ROIC1.69%; ROE2.38%; 股利率0%; 毛利46.87%; 净利10.7833%; 上一年度营收增3759.05%, 利润增2068.59%; 当季营收增-96.56%, 利润增-88.06%; 过往5年营收增753.57%, 利润增-774.24%
Income profile:
</v>
      </c>
      <c r="D26" t="s">
        <v>1131</v>
      </c>
      <c r="E26" t="s">
        <v>1132</v>
      </c>
      <c r="F26">
        <v>4.49</v>
      </c>
      <c r="G26">
        <v>1.1299999999999999</v>
      </c>
      <c r="H26" t="s">
        <v>1133</v>
      </c>
      <c r="I26">
        <v>4792285700</v>
      </c>
      <c r="J26">
        <v>35.4</v>
      </c>
      <c r="K26">
        <v>1.75</v>
      </c>
      <c r="L26" t="s">
        <v>422</v>
      </c>
      <c r="M26" t="s">
        <v>1134</v>
      </c>
      <c r="N26" t="s">
        <v>1135</v>
      </c>
      <c r="O26" t="s">
        <v>119</v>
      </c>
      <c r="P26" s="5">
        <v>-13.07</v>
      </c>
      <c r="Q26" t="s">
        <v>1136</v>
      </c>
      <c r="R26">
        <v>12059586</v>
      </c>
      <c r="S26">
        <v>-0.5706</v>
      </c>
      <c r="T26" t="s">
        <v>250</v>
      </c>
      <c r="U26">
        <v>673165850</v>
      </c>
      <c r="V26">
        <v>1067324210</v>
      </c>
      <c r="W26">
        <v>1.31</v>
      </c>
      <c r="X26">
        <v>0.04</v>
      </c>
      <c r="Y26">
        <v>9.81</v>
      </c>
      <c r="Z26" t="s">
        <v>113</v>
      </c>
      <c r="AA26" t="s">
        <v>1137</v>
      </c>
      <c r="AB26" t="s">
        <v>1138</v>
      </c>
      <c r="AC26" t="s">
        <v>1139</v>
      </c>
      <c r="AD26" t="s">
        <v>19</v>
      </c>
      <c r="AE26">
        <v>4360522</v>
      </c>
      <c r="AF26" t="s">
        <v>1140</v>
      </c>
      <c r="AG26" t="s">
        <v>1141</v>
      </c>
      <c r="AH26" t="s">
        <v>1142</v>
      </c>
      <c r="AI26" t="s">
        <v>332</v>
      </c>
      <c r="AJ26" t="s">
        <v>1143</v>
      </c>
      <c r="AK26" t="s">
        <v>19</v>
      </c>
      <c r="AL26" t="s">
        <v>1144</v>
      </c>
      <c r="AM26" t="s">
        <v>19</v>
      </c>
      <c r="AN26" t="s">
        <v>1145</v>
      </c>
      <c r="AO26" t="s">
        <v>641</v>
      </c>
      <c r="AP26" t="s">
        <v>19</v>
      </c>
      <c r="AQ26" t="s">
        <v>1146</v>
      </c>
      <c r="AR26" t="s">
        <v>19</v>
      </c>
      <c r="AS26" t="s">
        <v>1147</v>
      </c>
      <c r="AT26" t="s">
        <v>782</v>
      </c>
      <c r="AU26" t="s">
        <v>1148</v>
      </c>
      <c r="AV26" t="s">
        <v>1149</v>
      </c>
      <c r="AW26" t="s">
        <v>1150</v>
      </c>
      <c r="AX26" t="s">
        <v>182</v>
      </c>
      <c r="AY26" t="s">
        <v>1151</v>
      </c>
      <c r="AZ26" t="s">
        <v>383</v>
      </c>
      <c r="BA26" t="s">
        <v>188</v>
      </c>
      <c r="BB26" t="s">
        <v>1152</v>
      </c>
      <c r="BC26" t="s">
        <v>1153</v>
      </c>
      <c r="BD26" t="s">
        <v>1154</v>
      </c>
      <c r="BE26" t="s">
        <v>1155</v>
      </c>
      <c r="BF26" t="s">
        <v>1156</v>
      </c>
      <c r="BG26" t="s">
        <v>1157</v>
      </c>
      <c r="BH26" t="s">
        <v>1158</v>
      </c>
      <c r="BI26" t="s">
        <v>1159</v>
      </c>
      <c r="BJ26" t="s">
        <v>182</v>
      </c>
      <c r="BK26" t="s">
        <v>386</v>
      </c>
      <c r="BL26" t="s">
        <v>1160</v>
      </c>
      <c r="BM26" t="s">
        <v>1153</v>
      </c>
      <c r="BN26">
        <v>3.98</v>
      </c>
      <c r="BO26">
        <v>0.43</v>
      </c>
      <c r="BP26">
        <v>0.66</v>
      </c>
      <c r="BQ26">
        <v>4.4800000000000004</v>
      </c>
      <c r="BR26">
        <v>0.91</v>
      </c>
      <c r="BS26">
        <v>1.75</v>
      </c>
      <c r="BT26" t="s">
        <v>376</v>
      </c>
      <c r="BU26" t="s">
        <v>307</v>
      </c>
      <c r="BV26">
        <v>51.96</v>
      </c>
      <c r="BW26">
        <v>43.35</v>
      </c>
      <c r="BX26">
        <v>45.3</v>
      </c>
      <c r="BY26">
        <v>21.77</v>
      </c>
      <c r="BZ26">
        <v>3.51</v>
      </c>
      <c r="CA26">
        <v>7.07</v>
      </c>
      <c r="CB26">
        <v>2.2799999999999998</v>
      </c>
      <c r="CC26" s="8">
        <v>-15.6</v>
      </c>
      <c r="CD26" s="9" t="s">
        <v>1161</v>
      </c>
      <c r="CE26" s="8" t="s">
        <v>47</v>
      </c>
      <c r="CF26" s="8">
        <v>-0.96562107904642414</v>
      </c>
      <c r="CG26" s="8">
        <v>-0.88059815841584155</v>
      </c>
      <c r="CH26" s="8">
        <v>37.590518951416016</v>
      </c>
      <c r="CI26" s="8">
        <v>5.2154194563627243E-2</v>
      </c>
      <c r="CJ26" s="9">
        <v>0.90086209774017334</v>
      </c>
      <c r="CK26" s="9">
        <v>-0.450236976146698</v>
      </c>
      <c r="CL26" s="9">
        <v>-0.41470178961753845</v>
      </c>
      <c r="CM26" s="9">
        <v>20.685901641845703</v>
      </c>
      <c r="CN26" s="9">
        <v>-0.41912296414375305</v>
      </c>
      <c r="CO26">
        <v>0.78457218408584595</v>
      </c>
      <c r="CP26">
        <v>1.0222159624099731</v>
      </c>
      <c r="CQ26">
        <v>-60.785388946533203</v>
      </c>
      <c r="CR26" s="8">
        <v>-84.490227433004264</v>
      </c>
      <c r="CS26" s="9">
        <v>-0.11211965854730885</v>
      </c>
      <c r="CT26">
        <v>0</v>
      </c>
      <c r="CU26">
        <v>7.5357192955911163</v>
      </c>
      <c r="CV26">
        <v>-7.7423644244670866</v>
      </c>
      <c r="CW26">
        <v>0.06</v>
      </c>
      <c r="CX26">
        <v>0.83992878566498241</v>
      </c>
      <c r="CY26">
        <v>3430392848.9828444</v>
      </c>
      <c r="CZ26">
        <v>7.5357192955911163</v>
      </c>
      <c r="DA26">
        <v>1.2933238534365912E-2</v>
      </c>
      <c r="DB26">
        <v>222781455112.26071</v>
      </c>
      <c r="DC26">
        <v>7.1589333308115606</v>
      </c>
      <c r="DD26">
        <v>4.1824663559584488E-5</v>
      </c>
      <c r="DE26">
        <v>68889632450844.375</v>
      </c>
      <c r="DF26">
        <v>6.6314329801201826</v>
      </c>
      <c r="DG26">
        <v>3.4959535437630859E-8</v>
      </c>
      <c r="DH26">
        <v>8.2417734215614032E+16</v>
      </c>
      <c r="DI26">
        <v>6.0285754364728934</v>
      </c>
      <c r="DJ26">
        <v>2.0121261468367645E-15</v>
      </c>
      <c r="DK26">
        <v>1.4319607667390184E+24</v>
      </c>
      <c r="DL26">
        <v>5.2750035069137811</v>
      </c>
      <c r="DM26">
        <v>426000000</v>
      </c>
      <c r="DN26">
        <v>7.5357192955911163</v>
      </c>
      <c r="DO26">
        <v>2881285700</v>
      </c>
      <c r="DP26">
        <v>365738710</v>
      </c>
      <c r="DQ26" s="10">
        <v>3284</v>
      </c>
      <c r="DR26">
        <v>-8.5013403746375396</v>
      </c>
      <c r="DS26">
        <v>6.8617662660512453</v>
      </c>
      <c r="DT26">
        <v>-9.0000000000000011E-2</v>
      </c>
      <c r="DU26">
        <v>-0.40666666666666673</v>
      </c>
      <c r="DV26">
        <v>-0.49666666666666676</v>
      </c>
      <c r="DW26">
        <v>-2.1560000000000001</v>
      </c>
      <c r="DX26">
        <v>0.29768628318584167</v>
      </c>
      <c r="DY26">
        <v>-2.0199190601769912</v>
      </c>
      <c r="DZ26">
        <v>710</v>
      </c>
      <c r="EA26">
        <v>-2.01715144124829</v>
      </c>
      <c r="EB26" s="11">
        <v>2</v>
      </c>
      <c r="EC26" s="11">
        <v>2.7036864459394207E-2</v>
      </c>
      <c r="ED26">
        <v>0.21174447078268746</v>
      </c>
      <c r="EE26">
        <v>2.0253100000000002</v>
      </c>
      <c r="EF26">
        <v>2.0359099999999999</v>
      </c>
      <c r="EG26">
        <v>17.127686283185842</v>
      </c>
      <c r="EH26" s="7" t="s">
        <v>711</v>
      </c>
      <c r="EI26">
        <v>0</v>
      </c>
      <c r="EJ26">
        <v>1</v>
      </c>
      <c r="EK26">
        <v>45470</v>
      </c>
      <c r="EL26">
        <v>-1.05</v>
      </c>
      <c r="EM26">
        <v>-2.91</v>
      </c>
      <c r="EN26">
        <v>0.82</v>
      </c>
      <c r="EO26">
        <v>1.62</v>
      </c>
      <c r="EP26">
        <v>-1.06</v>
      </c>
    </row>
    <row r="27" spans="1:146" ht="168" x14ac:dyDescent="0.25">
      <c r="A27" s="14" t="s">
        <v>417</v>
      </c>
      <c r="B27" s="14"/>
      <c r="C27" s="14" t="str">
        <f>"公司是一家主营旅游娱乐产业的上市公司。主要产品或服务为建设、经营水族馆、海洋探险人造景观、游乐园、海洋生物标本陈列馆、船舶模型陈列馆、餐饮、酒吧等。公司拥有国内水族馆行业一流的技术团队，在诸多领域拥有国内领先的优势，并能保持不断创新。"&amp;CHAR(10)&amp;Basic_Fundamental_Information_Constructure(F27)&amp;CHAR(10)&amp;Basic_Fundamental_Information_Concatenate("景区经营 1.32亿 64.69% 24.47% 11.42%
动物经营 3882.41万 18.98% 60.49% 96.25%
商业运营 2076.45万 10.15% 14.51% 43.16%")</f>
        <v>公司是一家主营旅游娱乐产业的上市公司。主要产品或服务为建设、经营水族馆、海洋探险人造景观、游乐园、海洋生物标本陈列馆、船舶模型陈列馆、餐饮、酒吧等。公司拥有国内水族馆行业一流的技术团队，在诸多领域拥有国内领先的优势，并能保持不断创新。
市值24.57504亿, 利润1.03亿; PE72.68; 平均PE-98.94; 平均PEG-.29, PB10.98; ROIC15.56%; ROE-14.0067%; 股利率0%; 毛利35.9167%; 净利-48.9933%; 上一年度营收增1696.82%, 利润增234.39%; 当季营收增-86.62%, 利润增-97.1%; 过往5年营收增336.67%, 利润增-33.67%
Income profile:
景区经营 1.32亿 64.69% 24.47% 11.42%
动物经营 3882.41万 18.98% 60.49% 96.25%
商业运营 2076.45万 10.15% 14.51% 43.16%</v>
      </c>
      <c r="D27" t="s">
        <v>76</v>
      </c>
      <c r="E27" t="s">
        <v>330</v>
      </c>
      <c r="F27">
        <v>19.079999999999998</v>
      </c>
      <c r="G27">
        <v>0.69</v>
      </c>
      <c r="H27" t="s">
        <v>1162</v>
      </c>
      <c r="I27">
        <v>2457504000</v>
      </c>
      <c r="J27">
        <v>72.680000000000007</v>
      </c>
      <c r="K27">
        <v>10.98</v>
      </c>
      <c r="L27" t="s">
        <v>422</v>
      </c>
      <c r="M27" t="s">
        <v>1163</v>
      </c>
      <c r="N27" t="s">
        <v>887</v>
      </c>
      <c r="O27" t="s">
        <v>1164</v>
      </c>
      <c r="P27">
        <v>31.8</v>
      </c>
      <c r="Q27" t="s">
        <v>1165</v>
      </c>
      <c r="R27">
        <v>1275665</v>
      </c>
      <c r="S27" s="5">
        <v>-0.30599999999999999</v>
      </c>
      <c r="T27" t="s">
        <v>189</v>
      </c>
      <c r="U27">
        <v>128800000</v>
      </c>
      <c r="V27">
        <v>128800000</v>
      </c>
      <c r="W27">
        <v>5.76</v>
      </c>
      <c r="X27">
        <v>0.04</v>
      </c>
      <c r="Y27">
        <v>14.73</v>
      </c>
      <c r="Z27" t="s">
        <v>1166</v>
      </c>
      <c r="AA27" t="s">
        <v>1167</v>
      </c>
      <c r="AB27" t="s">
        <v>1168</v>
      </c>
      <c r="AC27" t="s">
        <v>1169</v>
      </c>
      <c r="AD27" t="s">
        <v>19</v>
      </c>
      <c r="AE27">
        <v>7213354</v>
      </c>
      <c r="AF27" t="s">
        <v>74</v>
      </c>
      <c r="AG27" t="s">
        <v>1170</v>
      </c>
      <c r="AH27" t="s">
        <v>1171</v>
      </c>
      <c r="AI27" t="s">
        <v>178</v>
      </c>
      <c r="AJ27" t="s">
        <v>1172</v>
      </c>
      <c r="AK27" t="s">
        <v>19</v>
      </c>
      <c r="AL27" t="s">
        <v>1173</v>
      </c>
      <c r="AM27" t="s">
        <v>19</v>
      </c>
      <c r="AN27" t="s">
        <v>87</v>
      </c>
      <c r="AO27" t="s">
        <v>113</v>
      </c>
      <c r="AP27" t="s">
        <v>1174</v>
      </c>
      <c r="AQ27" t="s">
        <v>1175</v>
      </c>
      <c r="AR27" t="s">
        <v>1176</v>
      </c>
      <c r="AS27" t="s">
        <v>1177</v>
      </c>
      <c r="AT27" t="s">
        <v>1178</v>
      </c>
      <c r="AU27" t="s">
        <v>1179</v>
      </c>
      <c r="AV27" t="s">
        <v>1180</v>
      </c>
      <c r="AW27" t="s">
        <v>1181</v>
      </c>
      <c r="AX27" t="s">
        <v>400</v>
      </c>
      <c r="AY27" t="s">
        <v>75</v>
      </c>
      <c r="AZ27" t="s">
        <v>113</v>
      </c>
      <c r="BA27" t="s">
        <v>77</v>
      </c>
      <c r="BB27" t="s">
        <v>197</v>
      </c>
      <c r="BC27" t="s">
        <v>1182</v>
      </c>
      <c r="BD27" t="s">
        <v>170</v>
      </c>
      <c r="BE27" t="s">
        <v>171</v>
      </c>
      <c r="BF27" t="s">
        <v>172</v>
      </c>
      <c r="BG27" t="s">
        <v>198</v>
      </c>
      <c r="BH27" t="s">
        <v>110</v>
      </c>
      <c r="BI27" t="s">
        <v>930</v>
      </c>
      <c r="BJ27" t="s">
        <v>400</v>
      </c>
      <c r="BK27" t="s">
        <v>1183</v>
      </c>
      <c r="BL27" t="s">
        <v>1184</v>
      </c>
      <c r="BM27" t="s">
        <v>1182</v>
      </c>
      <c r="BN27">
        <v>15.56</v>
      </c>
      <c r="BO27" t="s">
        <v>19</v>
      </c>
      <c r="BP27" t="s">
        <v>19</v>
      </c>
      <c r="BQ27">
        <v>45.5</v>
      </c>
      <c r="BR27">
        <v>-34.299999999999997</v>
      </c>
      <c r="BS27">
        <v>-53.22</v>
      </c>
      <c r="BT27" t="s">
        <v>376</v>
      </c>
      <c r="BU27" t="s">
        <v>321</v>
      </c>
      <c r="BV27">
        <v>61.5</v>
      </c>
      <c r="BW27">
        <v>16.02</v>
      </c>
      <c r="BX27">
        <v>30.23</v>
      </c>
      <c r="BY27">
        <v>12.65</v>
      </c>
      <c r="BZ27">
        <v>-59.98</v>
      </c>
      <c r="CA27">
        <v>-99.65</v>
      </c>
      <c r="CB27">
        <v>-4.79</v>
      </c>
      <c r="CC27">
        <v>-8.84</v>
      </c>
      <c r="CD27" t="s">
        <v>1185</v>
      </c>
      <c r="CE27" t="s">
        <v>389</v>
      </c>
      <c r="CF27" s="8">
        <v>-0.8661881578947368</v>
      </c>
      <c r="CG27" s="9">
        <v>-0.97100754774442666</v>
      </c>
      <c r="CH27" s="8">
        <v>16.96815299987793</v>
      </c>
      <c r="CI27" s="8">
        <v>-0.23414634168148041</v>
      </c>
      <c r="CJ27" s="8">
        <v>0.79824560880661011</v>
      </c>
      <c r="CK27" s="8">
        <v>-0.64263319969177246</v>
      </c>
      <c r="CL27" s="8">
        <v>-5.6213017553091049E-2</v>
      </c>
      <c r="CM27" s="9">
        <v>2.343907356262207</v>
      </c>
      <c r="CN27" s="9">
        <v>0.6129181981086731</v>
      </c>
      <c r="CO27" s="9">
        <v>-1.8293555974960327</v>
      </c>
      <c r="CP27" s="9">
        <v>-2.6532971858978271</v>
      </c>
      <c r="CQ27" s="9">
        <v>-0.15785148739814758</v>
      </c>
      <c r="CR27">
        <v>-98.937913792305196</v>
      </c>
      <c r="CS27">
        <v>-0.29387372199022788</v>
      </c>
      <c r="CT27">
        <v>0</v>
      </c>
      <c r="CU27" s="8">
        <v>3.366681209951639</v>
      </c>
      <c r="CV27" s="9">
        <v>-0.33673574328422545</v>
      </c>
      <c r="CW27">
        <v>0.06</v>
      </c>
      <c r="CX27">
        <v>9.0653242285374436</v>
      </c>
      <c r="CY27">
        <v>424309589.26888561</v>
      </c>
      <c r="CZ27">
        <v>3.366681209951639</v>
      </c>
      <c r="DA27">
        <v>0.45664725400815415</v>
      </c>
      <c r="DB27">
        <v>8423359532.4134254</v>
      </c>
      <c r="DC27">
        <v>3.1983471494540567</v>
      </c>
      <c r="DD27">
        <v>1.0025355008832766E-2</v>
      </c>
      <c r="DE27">
        <v>383677585143.974</v>
      </c>
      <c r="DF27">
        <v>2.9626794647574424</v>
      </c>
      <c r="DG27">
        <v>1.0096675696918348E-4</v>
      </c>
      <c r="DH27">
        <v>38096737138680.297</v>
      </c>
      <c r="DI27">
        <v>2.6933449679613113</v>
      </c>
      <c r="DJ27">
        <v>2.4851120120838569E-9</v>
      </c>
      <c r="DK27">
        <v>1.5478191652112156E+18</v>
      </c>
      <c r="DL27">
        <v>2.3566768469661472</v>
      </c>
      <c r="DM27">
        <v>103000000</v>
      </c>
      <c r="DN27">
        <v>3.366681209951639</v>
      </c>
      <c r="DO27">
        <v>3846504000</v>
      </c>
      <c r="DP27">
        <v>-837718750</v>
      </c>
      <c r="DQ27">
        <v>3300</v>
      </c>
      <c r="DR27">
        <v>-4.2328693678463756</v>
      </c>
      <c r="DS27">
        <v>-0.63427180446020115</v>
      </c>
      <c r="DT27" s="10">
        <v>-0.25666666666666665</v>
      </c>
      <c r="DU27">
        <v>-1.6899999999999997</v>
      </c>
      <c r="DV27">
        <v>-1.9466666666666663</v>
      </c>
      <c r="DW27">
        <v>-8.5418552036199102</v>
      </c>
      <c r="DX27">
        <v>0.32975395683453301</v>
      </c>
      <c r="DY27">
        <v>-8.1028191689182592</v>
      </c>
      <c r="DZ27">
        <v>2231</v>
      </c>
      <c r="EA27">
        <v>-8.0579288429189173</v>
      </c>
      <c r="EB27">
        <v>8</v>
      </c>
      <c r="EC27">
        <v>0.20478105590062112</v>
      </c>
      <c r="ED27">
        <v>1.079192546583851</v>
      </c>
      <c r="EE27" s="11">
        <v>4.0162000000000004</v>
      </c>
      <c r="EF27">
        <v>4.0130100000000004</v>
      </c>
      <c r="EG27">
        <v>14.189753956834533</v>
      </c>
      <c r="EH27" t="s">
        <v>935</v>
      </c>
      <c r="EI27">
        <v>0</v>
      </c>
      <c r="EJ27">
        <v>0</v>
      </c>
      <c r="EK27" s="7">
        <v>45470</v>
      </c>
      <c r="EL27" s="12">
        <v>0.55000000000000004</v>
      </c>
      <c r="EM27" s="12">
        <v>-4.41</v>
      </c>
      <c r="EN27">
        <v>1.27</v>
      </c>
      <c r="EO27">
        <v>2.96</v>
      </c>
      <c r="EP27">
        <v>-2.92</v>
      </c>
    </row>
    <row r="28" spans="1:146" ht="204" x14ac:dyDescent="0.25">
      <c r="A28" s="14"/>
      <c r="B28" s="14"/>
      <c r="C28" s="14" t="str">
        <f>"公司的主营业务是景区运营管理业务、历史文化主题酒店管理(含餐饮管理)业务、旅行社业务、演出演艺业务、文化旅游商品业务及其他新型旅游业务、房地产的开发和销售。公司的主要产品是景区运营管理、酒店餐饮、旅游商品销售、旅游服务(旅行社)、园林绿化。"&amp;CHAR(10)&amp;Basic_Fundamental_Information_Constructure(F28)&amp;CHAR(10)&amp;Basic_Fundamental_Information_Concatenate("景区运营管理 9.87亿 72.29% 101.23% 33.84%
酒店餐饮 2.54亿 18.59% -8.47% -11.00%
园林绿化 5523.34万 4.05% 2.67% 15.94%
旅游服务(旅行社) 4344.39万 3.18% 1.19% 9.02%
旅游商品销售 1586.95万 1.16% 2.41% 50.18%
体育项目 994.19万 0.73% 0.97% 32.11%")</f>
        <v>公司的主营业务是景区运营管理业务、历史文化主题酒店管理(含餐饮管理)业务、旅行社业务、演出演艺业务、文化旅游商品业务及其他新型旅游业务、房地产的开发和销售。公司的主要产品是景区运营管理、酒店餐饮、旅游商品销售、旅游服务(旅行社)、园林绿化。
市值25.378449亿, 利润6.61亿; PE; 平均PE32.4; 平均PEG.14, PB3.3; ROIC2.9%; ROE-5.3033%; 股利率0%; 毛利21.1833%; 净利-14.3467%; 上一年度营收增1186.76%, 利润增366.53%; 当季营收增-82.27%, 利润增100.46%; 过往5年营收增231.34%, 利润增-654.36%
Income profile:
景区运营管理 9.87亿 72.29% 101.23% 33.84%
酒店餐饮 2.54亿 18.59% -8.47% -11.00%
园林绿化 5523.34万 4.05% 2.67% 15.94%
旅游服务(旅行社) 4344.39万 3.18% 1.19% 9.02%
旅游商品销售 1586.95万 1.16% 2.41% 50.18%
体育项目 994.19万 0.73% 0.97% 32.11%</v>
      </c>
      <c r="D28" t="s">
        <v>78</v>
      </c>
      <c r="E28" t="s">
        <v>15</v>
      </c>
      <c r="F28">
        <v>9.9499999999999993</v>
      </c>
      <c r="G28">
        <v>0.71</v>
      </c>
      <c r="H28" t="s">
        <v>1186</v>
      </c>
      <c r="I28">
        <v>2537844900</v>
      </c>
      <c r="K28">
        <v>3.3</v>
      </c>
      <c r="L28" t="s">
        <v>422</v>
      </c>
      <c r="M28" t="s">
        <v>1187</v>
      </c>
      <c r="N28" t="s">
        <v>1093</v>
      </c>
      <c r="O28" t="s">
        <v>194</v>
      </c>
      <c r="P28">
        <v>22.74</v>
      </c>
      <c r="Q28" t="s">
        <v>1188</v>
      </c>
      <c r="R28">
        <v>2115126</v>
      </c>
      <c r="S28" s="5">
        <v>-0.76819999999999999</v>
      </c>
      <c r="T28" t="s">
        <v>1189</v>
      </c>
      <c r="U28">
        <v>254030190</v>
      </c>
      <c r="V28">
        <v>255059790</v>
      </c>
      <c r="W28">
        <v>4.58</v>
      </c>
      <c r="X28">
        <v>0.11</v>
      </c>
      <c r="Y28">
        <v>0.48</v>
      </c>
      <c r="Z28" t="s">
        <v>1190</v>
      </c>
      <c r="AA28" t="s">
        <v>415</v>
      </c>
      <c r="AB28" t="s">
        <v>1191</v>
      </c>
      <c r="AC28" t="s">
        <v>1192</v>
      </c>
      <c r="AD28" t="s">
        <v>19</v>
      </c>
      <c r="AE28">
        <v>13871109</v>
      </c>
      <c r="AF28" t="s">
        <v>1193</v>
      </c>
      <c r="AG28" t="s">
        <v>1194</v>
      </c>
      <c r="AH28" t="s">
        <v>1195</v>
      </c>
      <c r="AI28" t="s">
        <v>409</v>
      </c>
      <c r="AJ28" t="s">
        <v>1196</v>
      </c>
      <c r="AK28" t="s">
        <v>19</v>
      </c>
      <c r="AL28" t="s">
        <v>1197</v>
      </c>
      <c r="AM28" t="s">
        <v>19</v>
      </c>
      <c r="AN28" t="s">
        <v>1198</v>
      </c>
      <c r="AO28" t="s">
        <v>393</v>
      </c>
      <c r="AP28" t="s">
        <v>1199</v>
      </c>
      <c r="AQ28" t="s">
        <v>1200</v>
      </c>
      <c r="AR28" t="s">
        <v>1201</v>
      </c>
      <c r="AS28" t="s">
        <v>1202</v>
      </c>
      <c r="AT28" t="s">
        <v>1203</v>
      </c>
      <c r="AU28" t="s">
        <v>1204</v>
      </c>
      <c r="AV28" t="s">
        <v>1205</v>
      </c>
      <c r="AW28" t="s">
        <v>1206</v>
      </c>
      <c r="AX28" t="s">
        <v>1207</v>
      </c>
      <c r="AY28" t="s">
        <v>245</v>
      </c>
      <c r="AZ28" t="s">
        <v>247</v>
      </c>
      <c r="BA28" t="s">
        <v>79</v>
      </c>
      <c r="BB28" t="s">
        <v>174</v>
      </c>
      <c r="BC28" t="s">
        <v>1208</v>
      </c>
      <c r="BD28" t="s">
        <v>246</v>
      </c>
      <c r="BE28" t="s">
        <v>248</v>
      </c>
      <c r="BF28" t="s">
        <v>80</v>
      </c>
      <c r="BG28" t="s">
        <v>175</v>
      </c>
      <c r="BH28" t="s">
        <v>1209</v>
      </c>
      <c r="BI28" t="s">
        <v>1210</v>
      </c>
      <c r="BJ28" t="s">
        <v>1207</v>
      </c>
      <c r="BK28" t="s">
        <v>1211</v>
      </c>
      <c r="BL28" t="s">
        <v>1212</v>
      </c>
      <c r="BM28" t="s">
        <v>1208</v>
      </c>
      <c r="BN28">
        <v>4.29</v>
      </c>
      <c r="BO28" t="s">
        <v>19</v>
      </c>
      <c r="BP28">
        <v>1.51</v>
      </c>
      <c r="BQ28">
        <v>6.28</v>
      </c>
      <c r="BR28">
        <v>-22.9</v>
      </c>
      <c r="BS28">
        <v>0.71</v>
      </c>
      <c r="BT28" t="s">
        <v>376</v>
      </c>
      <c r="BU28" t="s">
        <v>321</v>
      </c>
      <c r="BV28">
        <v>28.82</v>
      </c>
      <c r="BW28">
        <v>10.57</v>
      </c>
      <c r="BX28">
        <v>24.16</v>
      </c>
      <c r="BY28">
        <v>-13.19</v>
      </c>
      <c r="BZ28">
        <v>-30.08</v>
      </c>
      <c r="CA28">
        <v>0.23</v>
      </c>
      <c r="CB28">
        <v>4.63</v>
      </c>
      <c r="CC28">
        <v>-13.55</v>
      </c>
      <c r="CD28" t="s">
        <v>1213</v>
      </c>
      <c r="CE28" t="s">
        <v>128</v>
      </c>
      <c r="CF28" s="8">
        <v>-0.82272325375773647</v>
      </c>
      <c r="CG28" s="9">
        <v>1.0045980999999999</v>
      </c>
      <c r="CH28" s="8">
        <v>11.86756420135498</v>
      </c>
      <c r="CI28" s="8">
        <v>-0.34725272655487061</v>
      </c>
      <c r="CJ28" s="8">
        <v>0.21766281127929688</v>
      </c>
      <c r="CK28" s="8">
        <v>-0.14099617302417755</v>
      </c>
      <c r="CL28" s="8">
        <v>-2.9739778488874435E-2</v>
      </c>
      <c r="CM28" s="9">
        <v>3.6653225421905518</v>
      </c>
      <c r="CN28" s="9">
        <v>-34.488170623779297</v>
      </c>
      <c r="CO28" s="9">
        <v>1.1034321784973145</v>
      </c>
      <c r="CP28" s="9">
        <v>-2.5901365280151367</v>
      </c>
      <c r="CQ28" s="9">
        <v>-0.40830329060554504</v>
      </c>
      <c r="CR28">
        <v>32.402756317785176</v>
      </c>
      <c r="CS28">
        <v>0.14006262938732786</v>
      </c>
      <c r="CT28">
        <v>0</v>
      </c>
      <c r="CU28" s="8">
        <v>2.3134476669132709</v>
      </c>
      <c r="CV28" s="9">
        <v>-6.5435711443424225</v>
      </c>
      <c r="CW28">
        <v>0.06</v>
      </c>
      <c r="CX28">
        <v>2.1952424180452983</v>
      </c>
      <c r="CY28">
        <v>2066215950.7827094</v>
      </c>
      <c r="CZ28">
        <v>2.3134476669132709</v>
      </c>
      <c r="DA28">
        <v>0.1734036039425057</v>
      </c>
      <c r="DB28">
        <v>26157731424.682041</v>
      </c>
      <c r="DC28">
        <v>2.1977752835676072</v>
      </c>
      <c r="DD28">
        <v>8.1074438864901892E-3</v>
      </c>
      <c r="DE28">
        <v>559466702885.02271</v>
      </c>
      <c r="DF28">
        <v>2.0358339468836784</v>
      </c>
      <c r="DG28">
        <v>2.1777607640748519E-4</v>
      </c>
      <c r="DH28">
        <v>20828021951836.848</v>
      </c>
      <c r="DI28">
        <v>1.8507581335306167</v>
      </c>
      <c r="DJ28">
        <v>5.6656595354712208E-8</v>
      </c>
      <c r="DK28">
        <v>8.0058550493587808E+16</v>
      </c>
      <c r="DL28">
        <v>1.6194133668392896</v>
      </c>
      <c r="DM28">
        <v>661000000</v>
      </c>
      <c r="DN28">
        <v>2.3134476669132709</v>
      </c>
      <c r="DO28">
        <v>4535844900</v>
      </c>
      <c r="DP28">
        <v>-409470800</v>
      </c>
      <c r="DQ28">
        <v>3392</v>
      </c>
      <c r="DR28">
        <v>-3.1361709206710073</v>
      </c>
      <c r="DS28">
        <v>7.5481692443424224</v>
      </c>
      <c r="DT28" s="10">
        <v>-0.1566666666666667</v>
      </c>
      <c r="DU28">
        <v>-1.34</v>
      </c>
      <c r="DV28">
        <v>-1.4966666666666668</v>
      </c>
      <c r="DW28">
        <v>6.2546754675467549</v>
      </c>
      <c r="DX28">
        <v>0.36568680203045767</v>
      </c>
      <c r="DY28">
        <v>6.0574768918262381</v>
      </c>
      <c r="DZ28">
        <v>4208</v>
      </c>
      <c r="EA28">
        <v>6.010145627480874</v>
      </c>
      <c r="EB28">
        <v>6</v>
      </c>
      <c r="EC28">
        <v>0.17431324631765752</v>
      </c>
      <c r="ED28">
        <v>0.77236792204682669</v>
      </c>
      <c r="EE28" s="11">
        <v>1.0697000000000001</v>
      </c>
      <c r="EF28">
        <v>1.0652999999999999</v>
      </c>
      <c r="EG28">
        <v>14.225686802030458</v>
      </c>
      <c r="EH28" t="s">
        <v>310</v>
      </c>
      <c r="EI28">
        <v>0</v>
      </c>
      <c r="EJ28">
        <v>0</v>
      </c>
      <c r="EK28" s="7">
        <v>45470</v>
      </c>
      <c r="EL28" s="12">
        <v>-0.43</v>
      </c>
      <c r="EM28" s="12">
        <v>-2.62</v>
      </c>
      <c r="EN28">
        <v>-0.9</v>
      </c>
      <c r="EO28">
        <v>2.2599999999999998</v>
      </c>
      <c r="EP28">
        <v>-0.44</v>
      </c>
    </row>
    <row r="29" spans="1:146" ht="96" x14ac:dyDescent="0.25">
      <c r="A29" s="14"/>
      <c r="B29" s="14"/>
      <c r="C29" s="14" t="str">
        <f>""&amp;CHAR(10)&amp;Basic_Fundamental_Information_Constructure(F29)&amp;CHAR(10)&amp;Basic_Fundamental_Information_Concatenate("")</f>
        <v xml:space="preserve">
市值28.484172亿, 利润7.08亿; PE852; 平均PE23.82; 平均PEG.03, PB2.85; ROIC0%; ROE-.42%; 股利率0%; 毛利27.96%; 净利-7.6767%; 上一年度营收增3528.1%, 利润增2509.75%; 当季营收增-98.3%, 利润增-108.15%; 过往5年营收增701.56%, 利润增379.23%
Income profile:
</v>
      </c>
      <c r="D29" t="s">
        <v>81</v>
      </c>
      <c r="E29" t="s">
        <v>82</v>
      </c>
      <c r="F29">
        <v>12.55</v>
      </c>
      <c r="G29">
        <v>1.05</v>
      </c>
      <c r="H29" t="s">
        <v>1214</v>
      </c>
      <c r="I29">
        <v>2848417200</v>
      </c>
      <c r="J29">
        <v>852</v>
      </c>
      <c r="K29">
        <v>2.85</v>
      </c>
      <c r="L29" t="s">
        <v>422</v>
      </c>
      <c r="M29" t="s">
        <v>1215</v>
      </c>
      <c r="N29" t="s">
        <v>1216</v>
      </c>
      <c r="O29" t="s">
        <v>1217</v>
      </c>
      <c r="P29">
        <v>-9.82</v>
      </c>
      <c r="Q29" t="s">
        <v>1218</v>
      </c>
      <c r="R29">
        <v>-19798963</v>
      </c>
      <c r="S29" s="13">
        <v>-1.292</v>
      </c>
      <c r="T29" t="s">
        <v>1219</v>
      </c>
      <c r="U29">
        <v>226965520</v>
      </c>
      <c r="V29">
        <v>226965520</v>
      </c>
      <c r="W29">
        <v>1.55</v>
      </c>
      <c r="X29">
        <v>0.01</v>
      </c>
      <c r="Y29">
        <v>-89.76</v>
      </c>
      <c r="Z29" t="s">
        <v>1220</v>
      </c>
      <c r="AA29" t="s">
        <v>1221</v>
      </c>
      <c r="AB29" t="s">
        <v>1222</v>
      </c>
      <c r="AC29" t="s">
        <v>1223</v>
      </c>
      <c r="AD29" t="s">
        <v>19</v>
      </c>
      <c r="AE29">
        <v>1563132</v>
      </c>
      <c r="AF29" t="s">
        <v>1224</v>
      </c>
      <c r="AG29">
        <v>10000</v>
      </c>
      <c r="AH29" t="s">
        <v>1225</v>
      </c>
      <c r="AI29" t="s">
        <v>1226</v>
      </c>
      <c r="AJ29" t="s">
        <v>1227</v>
      </c>
      <c r="AK29" t="s">
        <v>19</v>
      </c>
      <c r="AL29" t="s">
        <v>1228</v>
      </c>
      <c r="AM29" t="s">
        <v>19</v>
      </c>
      <c r="AN29" t="s">
        <v>1229</v>
      </c>
      <c r="AO29" t="s">
        <v>333</v>
      </c>
      <c r="AP29" t="s">
        <v>19</v>
      </c>
      <c r="AQ29" t="s">
        <v>1230</v>
      </c>
      <c r="AR29" t="s">
        <v>19</v>
      </c>
      <c r="AS29" t="s">
        <v>1231</v>
      </c>
      <c r="AT29" t="s">
        <v>129</v>
      </c>
      <c r="AU29" t="s">
        <v>1232</v>
      </c>
      <c r="AV29" t="s">
        <v>1233</v>
      </c>
      <c r="AW29" t="s">
        <v>1234</v>
      </c>
      <c r="AX29" t="s">
        <v>1235</v>
      </c>
      <c r="AY29" t="s">
        <v>164</v>
      </c>
      <c r="AZ29" t="s">
        <v>44</v>
      </c>
      <c r="BA29" t="s">
        <v>83</v>
      </c>
      <c r="BB29" t="s">
        <v>177</v>
      </c>
      <c r="BC29" t="s">
        <v>1236</v>
      </c>
      <c r="BD29" t="s">
        <v>249</v>
      </c>
      <c r="BE29" t="s">
        <v>176</v>
      </c>
      <c r="BF29" t="s">
        <v>84</v>
      </c>
      <c r="BG29" t="s">
        <v>179</v>
      </c>
      <c r="BH29" t="s">
        <v>123</v>
      </c>
      <c r="BI29" t="s">
        <v>174</v>
      </c>
      <c r="BJ29" t="s">
        <v>1235</v>
      </c>
      <c r="BK29" t="s">
        <v>1237</v>
      </c>
      <c r="BL29" t="s">
        <v>1238</v>
      </c>
      <c r="BM29" t="s">
        <v>1236</v>
      </c>
      <c r="BN29" t="s">
        <v>19</v>
      </c>
      <c r="BO29" t="s">
        <v>19</v>
      </c>
      <c r="BP29" t="s">
        <v>19</v>
      </c>
      <c r="BQ29">
        <v>2.4300000000000002</v>
      </c>
      <c r="BR29">
        <v>-2.91</v>
      </c>
      <c r="BS29">
        <v>-0.78</v>
      </c>
      <c r="BT29" t="s">
        <v>376</v>
      </c>
      <c r="BU29" t="s">
        <v>307</v>
      </c>
      <c r="BV29">
        <v>35.4</v>
      </c>
      <c r="BW29">
        <v>9.82</v>
      </c>
      <c r="BX29">
        <v>38.659999999999997</v>
      </c>
      <c r="BY29">
        <v>7.29</v>
      </c>
      <c r="BZ29">
        <v>-25.47</v>
      </c>
      <c r="CA29">
        <v>-4.8499999999999996</v>
      </c>
      <c r="CB29">
        <v>-2.94</v>
      </c>
      <c r="CC29">
        <v>7.26</v>
      </c>
      <c r="CD29" t="s">
        <v>1239</v>
      </c>
      <c r="CE29" t="s">
        <v>1240</v>
      </c>
      <c r="CF29" s="8">
        <v>-0.98297806691449818</v>
      </c>
      <c r="CG29" s="9">
        <v>-1.0814772139917694</v>
      </c>
      <c r="CH29" s="8">
        <v>35.280994415283203</v>
      </c>
      <c r="CI29" s="8">
        <v>-0.30459770560264587</v>
      </c>
      <c r="CJ29" s="8">
        <v>0.380952388048172</v>
      </c>
      <c r="CK29" s="8">
        <v>-0.32978722453117371</v>
      </c>
      <c r="CL29" s="8">
        <v>5.0279330462217331E-2</v>
      </c>
      <c r="CM29" s="9">
        <v>25.0975341796875</v>
      </c>
      <c r="CN29" s="9">
        <v>-2.6434726715087891</v>
      </c>
      <c r="CO29" s="9">
        <v>-2.7001686096191406</v>
      </c>
      <c r="CP29" s="9">
        <v>-0.77243500947952271</v>
      </c>
      <c r="CQ29" s="9">
        <v>-1.9886858761310577E-2</v>
      </c>
      <c r="CR29">
        <v>23.822631028279375</v>
      </c>
      <c r="CS29">
        <v>3.3956808929555632E-2</v>
      </c>
      <c r="CT29">
        <v>0</v>
      </c>
      <c r="CU29" s="8">
        <v>7.0155682407319544</v>
      </c>
      <c r="CV29" s="9">
        <v>3.7923142060637476</v>
      </c>
      <c r="CW29">
        <v>0.06</v>
      </c>
      <c r="CX29">
        <v>0.44182068247042733</v>
      </c>
      <c r="CY29">
        <v>5353794636.262475</v>
      </c>
      <c r="CZ29">
        <v>7.0155682407319544</v>
      </c>
      <c r="DA29">
        <v>7.6348462373397796E-3</v>
      </c>
      <c r="DB29">
        <v>309818577410.43201</v>
      </c>
      <c r="DC29">
        <v>6.6647898286953566</v>
      </c>
      <c r="DD29">
        <v>2.9635744020926036E-5</v>
      </c>
      <c r="DE29">
        <v>79816359539674.797</v>
      </c>
      <c r="DF29">
        <v>6.1737000518441203</v>
      </c>
      <c r="DG29">
        <v>3.1436083622917672E-8</v>
      </c>
      <c r="DH29">
        <v>7.5245289087968736E+16</v>
      </c>
      <c r="DI29">
        <v>5.6124545925855642</v>
      </c>
      <c r="DJ29">
        <v>3.2440796591906134E-15</v>
      </c>
      <c r="DK29">
        <v>7.2914892619812037E+23</v>
      </c>
      <c r="DL29">
        <v>4.9108977685123678</v>
      </c>
      <c r="DM29">
        <v>708000000</v>
      </c>
      <c r="DN29">
        <v>7.0155682407319544</v>
      </c>
      <c r="DO29">
        <v>2365417200</v>
      </c>
      <c r="DP29">
        <v>489062530</v>
      </c>
      <c r="DQ29">
        <v>3432</v>
      </c>
      <c r="DR29">
        <v>-7.9985463076464525</v>
      </c>
      <c r="DS29">
        <v>-4.8737914200555172</v>
      </c>
      <c r="DT29" s="10">
        <v>-0.27333333333333337</v>
      </c>
      <c r="DU29">
        <v>-2.2316666666666669</v>
      </c>
      <c r="DV29">
        <v>-2.5050000000000003</v>
      </c>
      <c r="DW29">
        <v>-6.2882352941176469</v>
      </c>
      <c r="DX29">
        <v>0.33456906666666641</v>
      </c>
      <c r="DY29">
        <v>-6.0560816721568624</v>
      </c>
      <c r="DZ29">
        <v>4074</v>
      </c>
      <c r="EA29">
        <v>-6.0113699828482403</v>
      </c>
      <c r="EB29">
        <v>6</v>
      </c>
      <c r="EC29">
        <v>0.32147349958707383</v>
      </c>
      <c r="ED29">
        <v>1.6522333436373948</v>
      </c>
      <c r="EE29" s="11">
        <v>3.0272100000000002</v>
      </c>
      <c r="EF29">
        <v>3.04711</v>
      </c>
      <c r="EG29">
        <v>14.194569066666666</v>
      </c>
      <c r="EH29" t="s">
        <v>329</v>
      </c>
      <c r="EI29">
        <v>0</v>
      </c>
      <c r="EJ29">
        <v>0</v>
      </c>
      <c r="EK29" s="7">
        <v>45470</v>
      </c>
      <c r="EL29" s="12">
        <v>-1.5</v>
      </c>
      <c r="EM29" s="12">
        <v>-6.84</v>
      </c>
      <c r="EN29">
        <v>1.63</v>
      </c>
      <c r="EO29">
        <v>0.8</v>
      </c>
      <c r="EP29">
        <v>-1.99</v>
      </c>
    </row>
    <row r="30" spans="1:146" ht="216" x14ac:dyDescent="0.25">
      <c r="A30" s="14"/>
      <c r="B30" s="14" t="s">
        <v>1428</v>
      </c>
      <c r="C30" s="14" t="str">
        <f>"公司是一家酒店餐饮类公司。公司主要从事有限服务型酒店营运及管理业务、食品及餐饮业务.公司是中国最大的酒店、餐饮业上市公司之一,在同业中极具核心竞争力。"&amp;CHAR(10)&amp;Basic_Fundamental_Information_Constructure(F30)&amp;CHAR(10)&amp;Basic_Fundamental_Information_Concatenate("酒店客房 23.01亿 45.62% 0.27% 0.14%
持续加盟及劳务派遣服务 16.32亿 32.36% 79.95% 58.42%
餐饮服务 4.89亿 9.70%
前期加盟服务 2.23亿 4.42% 7.38% 39.49%
其他 1.58亿 3.13%
会员卡收益 1.44亿 2.86% 9.92% 82.06%
商品销售 4867.63万 0.97% 2.49% 60.91%")</f>
        <v>公司是一家酒店餐饮类公司。公司主要从事有限服务型酒店营运及管理业务、食品及餐饮业务.公司是中国最大的酒店、餐饮业上市公司之一,在同业中极具核心竞争力。
市值239.79687亿, 利润19.15亿; PE22.83; 平均PE32.54; 平均PEG.04, PB1.42; ROIC2.6667%; ROE2.3533%; 股利率2.2311%; 毛利36.44%; 净利4.53%; 上一年度营收增4040.11%, 利润增1407.87%; 当季营收增-97.41%, 利润增-74.31%; 过往5年营收增804.56%, 利润增267.72%
Income profile:
酒店客房 23.01亿 45.62% 0.27% 0.14%
持续加盟及劳务派遣服务 16.32亿 32.36% 79.95% 58.42%
餐饮服务 4.89亿 9.70%
前期加盟服务 2.23亿 4.42% 7.38% 39.49%
其他 1.58亿 3.13%
会员卡收益 1.44亿 2.86% 9.92% 82.06%
商品销售 4867.63万 0.97% 2.49% 60.91%</v>
      </c>
      <c r="D30" t="s">
        <v>1241</v>
      </c>
      <c r="E30" t="s">
        <v>1242</v>
      </c>
      <c r="F30">
        <v>22.41</v>
      </c>
      <c r="G30">
        <v>0.04</v>
      </c>
      <c r="H30" t="s">
        <v>1243</v>
      </c>
      <c r="I30">
        <v>23979687000</v>
      </c>
      <c r="J30">
        <v>22.83</v>
      </c>
      <c r="K30">
        <v>1.42</v>
      </c>
      <c r="L30" t="s">
        <v>422</v>
      </c>
      <c r="M30" t="s">
        <v>1244</v>
      </c>
      <c r="N30" t="s">
        <v>1245</v>
      </c>
      <c r="O30" t="s">
        <v>1246</v>
      </c>
      <c r="P30" s="5">
        <v>6.77</v>
      </c>
      <c r="Q30" t="s">
        <v>1247</v>
      </c>
      <c r="R30">
        <v>189885900</v>
      </c>
      <c r="S30">
        <v>0.34560000000000002</v>
      </c>
      <c r="T30" t="s">
        <v>1248</v>
      </c>
      <c r="U30">
        <v>914044060</v>
      </c>
      <c r="V30">
        <v>1070044060</v>
      </c>
      <c r="W30">
        <v>2.86</v>
      </c>
      <c r="X30">
        <v>0.06</v>
      </c>
      <c r="Y30">
        <v>7.94</v>
      </c>
      <c r="Z30" t="s">
        <v>1249</v>
      </c>
      <c r="AA30" t="s">
        <v>1250</v>
      </c>
      <c r="AB30" t="s">
        <v>1251</v>
      </c>
      <c r="AC30" t="s">
        <v>327</v>
      </c>
      <c r="AD30" t="s">
        <v>19</v>
      </c>
      <c r="AE30">
        <v>214207490</v>
      </c>
      <c r="AF30" t="s">
        <v>1252</v>
      </c>
      <c r="AG30" t="s">
        <v>1253</v>
      </c>
      <c r="AH30" t="s">
        <v>1254</v>
      </c>
      <c r="AI30" t="s">
        <v>1255</v>
      </c>
      <c r="AJ30" t="s">
        <v>1256</v>
      </c>
      <c r="AK30" t="s">
        <v>19</v>
      </c>
      <c r="AL30" t="s">
        <v>1257</v>
      </c>
      <c r="AM30" t="s">
        <v>19</v>
      </c>
      <c r="AN30" t="s">
        <v>1258</v>
      </c>
      <c r="AO30" t="s">
        <v>1259</v>
      </c>
      <c r="AP30" t="s">
        <v>19</v>
      </c>
      <c r="AQ30" t="s">
        <v>1260</v>
      </c>
      <c r="AR30" t="s">
        <v>1261</v>
      </c>
      <c r="AS30" t="s">
        <v>1262</v>
      </c>
      <c r="AT30" t="s">
        <v>1263</v>
      </c>
      <c r="AU30" t="s">
        <v>1264</v>
      </c>
      <c r="AV30" t="s">
        <v>1265</v>
      </c>
      <c r="AW30" t="s">
        <v>242</v>
      </c>
      <c r="AX30" t="s">
        <v>1266</v>
      </c>
      <c r="AY30" t="s">
        <v>1267</v>
      </c>
      <c r="AZ30" t="s">
        <v>1268</v>
      </c>
      <c r="BA30" t="s">
        <v>1269</v>
      </c>
      <c r="BB30" t="s">
        <v>1270</v>
      </c>
      <c r="BC30" t="s">
        <v>545</v>
      </c>
      <c r="BD30" t="s">
        <v>1271</v>
      </c>
      <c r="BE30" t="s">
        <v>1272</v>
      </c>
      <c r="BF30" t="s">
        <v>1273</v>
      </c>
      <c r="BG30" t="s">
        <v>1274</v>
      </c>
      <c r="BH30" t="s">
        <v>1275</v>
      </c>
      <c r="BI30" t="s">
        <v>1276</v>
      </c>
      <c r="BJ30" t="s">
        <v>1266</v>
      </c>
      <c r="BK30" t="s">
        <v>1277</v>
      </c>
      <c r="BL30" t="s">
        <v>1278</v>
      </c>
      <c r="BM30" t="s">
        <v>545</v>
      </c>
      <c r="BN30">
        <v>4.84</v>
      </c>
      <c r="BO30">
        <v>1.41</v>
      </c>
      <c r="BP30">
        <v>1.75</v>
      </c>
      <c r="BQ30">
        <v>5.73</v>
      </c>
      <c r="BR30">
        <v>0.68</v>
      </c>
      <c r="BS30">
        <v>0.65</v>
      </c>
      <c r="BT30" t="s">
        <v>1279</v>
      </c>
      <c r="BU30" t="s">
        <v>453</v>
      </c>
      <c r="BV30">
        <v>41.99</v>
      </c>
      <c r="BW30">
        <v>33.1</v>
      </c>
      <c r="BX30">
        <v>34.229999999999997</v>
      </c>
      <c r="BY30">
        <v>8.7200000000000006</v>
      </c>
      <c r="BZ30">
        <v>2.23</v>
      </c>
      <c r="CA30">
        <v>2.64</v>
      </c>
      <c r="CB30">
        <v>-2.48</v>
      </c>
      <c r="CC30" s="8">
        <v>-22.13</v>
      </c>
      <c r="CD30" s="9" t="s">
        <v>1280</v>
      </c>
      <c r="CE30" s="8" t="s">
        <v>220</v>
      </c>
      <c r="CF30" s="8">
        <v>-0.97405477146186714</v>
      </c>
      <c r="CG30" s="8">
        <v>-0.74305020297699598</v>
      </c>
      <c r="CH30" s="8">
        <v>40.401145935058594</v>
      </c>
      <c r="CI30" s="8">
        <v>-7.8946808353066444E-3</v>
      </c>
      <c r="CJ30" s="9">
        <v>0.15174773335456848</v>
      </c>
      <c r="CK30" s="9">
        <v>-0.34445986151695251</v>
      </c>
      <c r="CL30" s="9">
        <v>2.7352511882781982E-2</v>
      </c>
      <c r="CM30" s="9">
        <v>14.078740119934082</v>
      </c>
      <c r="CN30" s="9">
        <v>0.32803234457969666</v>
      </c>
      <c r="CO30">
        <v>-0.13063454627990723</v>
      </c>
      <c r="CP30">
        <v>-0.89926737546920776</v>
      </c>
      <c r="CQ30">
        <v>9.242144413292408E-3</v>
      </c>
      <c r="CR30" s="8">
        <v>32.539609938434019</v>
      </c>
      <c r="CS30" s="9">
        <v>4.0444090671336676E-2</v>
      </c>
      <c r="CT30">
        <v>2.2311468094600624</v>
      </c>
      <c r="CU30">
        <v>8.0455783275887374</v>
      </c>
      <c r="CV30">
        <v>2.6772225374355911</v>
      </c>
      <c r="CW30">
        <v>0.06</v>
      </c>
      <c r="CX30">
        <v>2.4216270705930274</v>
      </c>
      <c r="CY30">
        <v>16341775940.87965</v>
      </c>
      <c r="CZ30">
        <v>8.0455783275887374</v>
      </c>
      <c r="DA30">
        <v>3.3504034061790082E-2</v>
      </c>
      <c r="DB30">
        <v>1181161854331.2102</v>
      </c>
      <c r="DC30">
        <v>7.6432994112093002</v>
      </c>
      <c r="DD30">
        <v>9.151630637114465E-5</v>
      </c>
      <c r="DE30">
        <v>432422248768528.69</v>
      </c>
      <c r="DF30">
        <v>7.0801089282780891</v>
      </c>
      <c r="DG30">
        <v>6.1354411160528615E-8</v>
      </c>
      <c r="DH30">
        <v>6.4500149624871795E+17</v>
      </c>
      <c r="DI30">
        <v>6.4364626620709906</v>
      </c>
      <c r="DJ30">
        <v>2.055676355268276E-15</v>
      </c>
      <c r="DK30">
        <v>1.9250932618153036E+25</v>
      </c>
      <c r="DL30">
        <v>5.6319048293121154</v>
      </c>
      <c r="DM30">
        <v>1914999999.9999998</v>
      </c>
      <c r="DN30">
        <v>8.0455783275887374</v>
      </c>
      <c r="DO30">
        <v>39573687000</v>
      </c>
      <c r="DP30">
        <v>-1604330000</v>
      </c>
      <c r="DQ30" s="10">
        <v>3436</v>
      </c>
      <c r="DR30">
        <v>-9.0196330990506048</v>
      </c>
      <c r="DS30">
        <v>-3.420272740412587</v>
      </c>
      <c r="DT30">
        <v>-0.12333333333333336</v>
      </c>
      <c r="DU30">
        <v>-0.22333333333333336</v>
      </c>
      <c r="DV30">
        <v>-0.34666666666666673</v>
      </c>
      <c r="DW30">
        <v>-3.0693273809523811</v>
      </c>
      <c r="DX30">
        <v>0.29704571428571558</v>
      </c>
      <c r="DY30">
        <v>-3.009501020442177</v>
      </c>
      <c r="DZ30">
        <v>4772</v>
      </c>
      <c r="EA30">
        <v>-3.0006284432308132</v>
      </c>
      <c r="EB30" s="11">
        <v>3</v>
      </c>
      <c r="EC30" s="11">
        <v>4.034357239457971E-2</v>
      </c>
      <c r="ED30">
        <v>0.29438040149486927</v>
      </c>
      <c r="EE30">
        <v>1.1066</v>
      </c>
      <c r="EF30">
        <v>1.0851</v>
      </c>
      <c r="EG30">
        <v>16.137045714285716</v>
      </c>
      <c r="EH30" s="7" t="s">
        <v>310</v>
      </c>
      <c r="EI30">
        <v>0</v>
      </c>
      <c r="EJ30">
        <v>0</v>
      </c>
      <c r="EK30">
        <v>45470</v>
      </c>
      <c r="EL30">
        <v>1.48</v>
      </c>
      <c r="EM30">
        <v>-5.46</v>
      </c>
      <c r="EN30">
        <v>1.93</v>
      </c>
      <c r="EO30">
        <v>5.67</v>
      </c>
      <c r="EP30">
        <v>-2.15</v>
      </c>
    </row>
    <row r="31" spans="1:146" ht="168" x14ac:dyDescent="0.25">
      <c r="A31" s="14"/>
      <c r="B31" s="14"/>
      <c r="C31" s="14" t="str">
        <f>"公司以酒店经营与管理为核心主业，涵盖酒店物资贸易、物业管理、房屋租赁、食品研发与销售、旅游资源开发等多元化协同业务。"&amp;CHAR(10)&amp;Basic_Fundamental_Information_Constructure(F31)&amp;CHAR(10)&amp;Basic_Fundamental_Information_Concatenate("商品贸易 3.76亿 57.05% 23.06% 9.86%
酒店服务 1.77亿 26.90% 33.07% 30.00%
房屋租赁 6554.15万 9.96% 34.50% 84.54%
物业管理 3463.26万 5.26% 6.18% 28.65%
其他业务 544.84万 0.83% 3.18% 93.87%")</f>
        <v>公司以酒店经营与管理为核心主业，涵盖酒店物资贸易、物业管理、房屋租赁、食品研发与销售、旅游资源开发等多元化协同业务。
市值24.921亿, 利润1.89亿; PE43.78; 平均PE32.98; 平均PEG1.46, PB1.56; ROIC3.9933%; ROE2.6633%; 股利率1.8779%; 毛利30.0667%; 净利6.1%; 上一年度营收增78.23%, 利润增353.53%; 当季营收增-7.33%, 利润增-78.98%; 过往5年营收增22.55%, 利润增64.19%
Income profile:
商品贸易 3.76亿 57.05% 23.06% 9.86%
酒店服务 1.77亿 26.90% 33.07% 30.00%
房屋租赁 6554.15万 9.96% 34.50% 84.54%
物业管理 3463.26万 5.26% 6.18% 28.65%
其他业务 544.84万 0.83% 3.18% 93.87%</v>
      </c>
      <c r="D31" t="s">
        <v>1281</v>
      </c>
      <c r="E31" t="s">
        <v>1282</v>
      </c>
      <c r="F31">
        <v>6.39</v>
      </c>
      <c r="G31">
        <v>1.1100000000000001</v>
      </c>
      <c r="H31" t="s">
        <v>1283</v>
      </c>
      <c r="I31">
        <v>2492100000</v>
      </c>
      <c r="J31">
        <v>43.78</v>
      </c>
      <c r="K31">
        <v>1.56</v>
      </c>
      <c r="L31" t="s">
        <v>422</v>
      </c>
      <c r="M31" t="s">
        <v>1284</v>
      </c>
      <c r="N31" t="s">
        <v>1285</v>
      </c>
      <c r="O31" t="s">
        <v>41</v>
      </c>
      <c r="P31" s="5">
        <v>15.54</v>
      </c>
      <c r="Q31" t="s">
        <v>1286</v>
      </c>
      <c r="R31">
        <v>7331197</v>
      </c>
      <c r="S31">
        <v>-0.26240000000000002</v>
      </c>
      <c r="T31" t="s">
        <v>1029</v>
      </c>
      <c r="U31">
        <v>390000000</v>
      </c>
      <c r="V31">
        <v>390000000</v>
      </c>
      <c r="W31">
        <v>1.67</v>
      </c>
      <c r="X31">
        <v>0.15</v>
      </c>
      <c r="Y31">
        <v>3.51</v>
      </c>
      <c r="Z31" t="s">
        <v>1287</v>
      </c>
      <c r="AA31" t="s">
        <v>1288</v>
      </c>
      <c r="AB31" t="s">
        <v>1289</v>
      </c>
      <c r="AC31" t="s">
        <v>1290</v>
      </c>
      <c r="AD31" t="s">
        <v>19</v>
      </c>
      <c r="AE31">
        <v>4664616</v>
      </c>
      <c r="AF31" t="s">
        <v>1291</v>
      </c>
      <c r="AG31" t="s">
        <v>1292</v>
      </c>
      <c r="AH31" t="s">
        <v>1293</v>
      </c>
      <c r="AI31" t="s">
        <v>1294</v>
      </c>
      <c r="AJ31" t="s">
        <v>1295</v>
      </c>
      <c r="AK31" t="s">
        <v>19</v>
      </c>
      <c r="AL31" t="s">
        <v>1296</v>
      </c>
      <c r="AM31" t="s">
        <v>19</v>
      </c>
      <c r="AN31" t="s">
        <v>1297</v>
      </c>
      <c r="AO31" t="s">
        <v>389</v>
      </c>
      <c r="AP31" t="s">
        <v>193</v>
      </c>
      <c r="AQ31" t="s">
        <v>1298</v>
      </c>
      <c r="AR31" t="s">
        <v>1299</v>
      </c>
      <c r="AS31" t="s">
        <v>1300</v>
      </c>
      <c r="AT31" t="s">
        <v>19</v>
      </c>
      <c r="AU31" t="s">
        <v>1301</v>
      </c>
      <c r="AV31" t="s">
        <v>1302</v>
      </c>
      <c r="AW31" t="s">
        <v>1303</v>
      </c>
      <c r="AX31" t="s">
        <v>1304</v>
      </c>
      <c r="AY31" t="s">
        <v>1305</v>
      </c>
      <c r="AZ31" t="s">
        <v>1200</v>
      </c>
      <c r="BA31" t="s">
        <v>1306</v>
      </c>
      <c r="BB31" t="s">
        <v>1307</v>
      </c>
      <c r="BC31" t="s">
        <v>1308</v>
      </c>
      <c r="BD31" t="s">
        <v>1309</v>
      </c>
      <c r="BE31" t="s">
        <v>1310</v>
      </c>
      <c r="BF31" t="s">
        <v>1311</v>
      </c>
      <c r="BG31" t="s">
        <v>1312</v>
      </c>
      <c r="BH31" t="s">
        <v>139</v>
      </c>
      <c r="BI31" t="s">
        <v>327</v>
      </c>
      <c r="BJ31" t="s">
        <v>1304</v>
      </c>
      <c r="BK31" t="s">
        <v>1313</v>
      </c>
      <c r="BL31" t="s">
        <v>1314</v>
      </c>
      <c r="BM31" t="s">
        <v>1308</v>
      </c>
      <c r="BN31">
        <v>4.24</v>
      </c>
      <c r="BO31">
        <v>3.98</v>
      </c>
      <c r="BP31">
        <v>3.76</v>
      </c>
      <c r="BQ31">
        <v>3.51</v>
      </c>
      <c r="BR31">
        <v>2.66</v>
      </c>
      <c r="BS31">
        <v>1.82</v>
      </c>
      <c r="BT31" t="s">
        <v>1315</v>
      </c>
      <c r="BU31" t="s">
        <v>453</v>
      </c>
      <c r="BV31">
        <v>27.75</v>
      </c>
      <c r="BW31">
        <v>30.23</v>
      </c>
      <c r="BX31">
        <v>32.22</v>
      </c>
      <c r="BY31">
        <v>6.43</v>
      </c>
      <c r="BZ31">
        <v>5.99</v>
      </c>
      <c r="CA31">
        <v>5.88</v>
      </c>
      <c r="CB31">
        <v>0.47</v>
      </c>
      <c r="CC31" s="8">
        <v>-7.39</v>
      </c>
      <c r="CD31" s="9" t="s">
        <v>1316</v>
      </c>
      <c r="CE31" s="8" t="s">
        <v>94</v>
      </c>
      <c r="CF31" s="8">
        <v>-7.3333333333333334E-2</v>
      </c>
      <c r="CG31" s="8">
        <v>-0.78977621848233459</v>
      </c>
      <c r="CH31" s="8">
        <v>0.78233200311660767</v>
      </c>
      <c r="CI31" s="8">
        <v>2.9839931055903435E-2</v>
      </c>
      <c r="CJ31" s="9">
        <v>0.20526315271854401</v>
      </c>
      <c r="CK31" s="9">
        <v>-5.862928181886673E-2</v>
      </c>
      <c r="CL31" s="9">
        <v>0.16891898214817047</v>
      </c>
      <c r="CM31" s="9">
        <v>3.5353217124938965</v>
      </c>
      <c r="CN31" s="9">
        <v>0.48626893758773804</v>
      </c>
      <c r="CO31">
        <v>-0.35393589735031128</v>
      </c>
      <c r="CP31">
        <v>-0.41240289807319641</v>
      </c>
      <c r="CQ31">
        <v>-4.5946810394525528E-2</v>
      </c>
      <c r="CR31" s="8">
        <v>32.979932278276642</v>
      </c>
      <c r="CS31" s="9">
        <v>1.4622331907577519</v>
      </c>
      <c r="CT31">
        <v>1.8779342723004695</v>
      </c>
      <c r="CU31">
        <v>0.22554495744407177</v>
      </c>
      <c r="CV31">
        <v>0.64186100885272024</v>
      </c>
      <c r="CW31">
        <v>0.06</v>
      </c>
      <c r="CX31">
        <v>5.8443971272251725</v>
      </c>
      <c r="CY31">
        <v>218516978.26125428</v>
      </c>
      <c r="CZ31">
        <v>0.22554495744407177</v>
      </c>
      <c r="DA31">
        <v>1.7059104960654445</v>
      </c>
      <c r="DB31">
        <v>748632476.87703192</v>
      </c>
      <c r="DC31">
        <v>0.21426770957186816</v>
      </c>
      <c r="DD31">
        <v>0.71692013107562169</v>
      </c>
      <c r="DE31">
        <v>1781369980.619626</v>
      </c>
      <c r="DF31">
        <v>0.19847956255078317</v>
      </c>
      <c r="DG31">
        <v>0.35658548531248835</v>
      </c>
      <c r="DH31">
        <v>3581469388.415607</v>
      </c>
      <c r="DI31">
        <v>0.18043596595525743</v>
      </c>
      <c r="DJ31">
        <v>0.11777334209929208</v>
      </c>
      <c r="DK31">
        <v>10843710276.331511</v>
      </c>
      <c r="DL31">
        <v>0.15788147021085022</v>
      </c>
      <c r="DM31">
        <v>189000000</v>
      </c>
      <c r="DN31">
        <v>0.22554495744407177</v>
      </c>
      <c r="DO31">
        <v>1277100000</v>
      </c>
      <c r="DP31">
        <v>680968600</v>
      </c>
      <c r="DQ31" s="10">
        <v>3625</v>
      </c>
      <c r="DR31">
        <v>-0.29887829077740513</v>
      </c>
      <c r="DS31">
        <v>-1.4316372273350548</v>
      </c>
      <c r="DT31">
        <v>0.12666666666666662</v>
      </c>
      <c r="DU31">
        <v>-0.24000000000000002</v>
      </c>
      <c r="DV31">
        <v>-0.1133333333333334</v>
      </c>
      <c r="DW31">
        <v>-2.0739000000000001</v>
      </c>
      <c r="DX31">
        <v>0.310500000000001</v>
      </c>
      <c r="DY31">
        <v>-2.0111219500000002</v>
      </c>
      <c r="DZ31">
        <v>3308</v>
      </c>
      <c r="EA31">
        <v>-2.0039220653424659</v>
      </c>
      <c r="EB31" s="11">
        <v>2</v>
      </c>
      <c r="EC31" s="11">
        <v>4.5150000000000003E-2</v>
      </c>
      <c r="ED31">
        <v>0.3</v>
      </c>
      <c r="EE31">
        <v>6.2600000000000003E-2</v>
      </c>
      <c r="EF31">
        <v>6.83E-2</v>
      </c>
      <c r="EG31">
        <v>16.150500000000001</v>
      </c>
      <c r="EH31" s="7" t="s">
        <v>318</v>
      </c>
      <c r="EI31">
        <v>0</v>
      </c>
      <c r="EJ31">
        <v>0</v>
      </c>
      <c r="EK31">
        <v>45470</v>
      </c>
      <c r="EL31">
        <v>-0.14000000000000001</v>
      </c>
      <c r="EM31">
        <v>-0.56000000000000005</v>
      </c>
      <c r="EN31">
        <v>-0.14000000000000001</v>
      </c>
      <c r="EO31">
        <v>0.28000000000000003</v>
      </c>
      <c r="EP31">
        <v>0.56999999999999995</v>
      </c>
    </row>
    <row r="32" spans="1:146" ht="96" x14ac:dyDescent="0.25">
      <c r="A32" s="14"/>
      <c r="B32" s="14"/>
      <c r="C32" s="14" t="str">
        <f>""&amp;CHAR(10)&amp;Basic_Fundamental_Information_Constructure(F32)&amp;CHAR(10)&amp;Basic_Fundamental_Information_Concatenate("")</f>
        <v xml:space="preserve">
市值59.520744亿, 利润7.44亿; PE38.93; 平均PE49.46; 平均PEG.07, PB5.66; ROIC14.38%; ROE1.37%; 股利率.3495%; 毛利8.3%; 净利-11.3467%; 上一年度营收增3700.51%, 利润增1396.49%; 当季营收增-91.79%, 利润增-92.3%; 过往5年营收增732.86%, 利润增245.99%
Income profile:
</v>
      </c>
      <c r="D32" t="s">
        <v>86</v>
      </c>
      <c r="E32" t="s">
        <v>7</v>
      </c>
      <c r="F32">
        <v>22.32</v>
      </c>
      <c r="G32">
        <v>0.4</v>
      </c>
      <c r="H32" t="s">
        <v>1317</v>
      </c>
      <c r="I32">
        <v>5952074400</v>
      </c>
      <c r="J32">
        <v>38.93</v>
      </c>
      <c r="K32">
        <v>5.66</v>
      </c>
      <c r="L32" t="s">
        <v>422</v>
      </c>
      <c r="M32" t="s">
        <v>232</v>
      </c>
      <c r="N32" t="s">
        <v>1318</v>
      </c>
      <c r="O32" t="s">
        <v>740</v>
      </c>
      <c r="P32">
        <v>83.73</v>
      </c>
      <c r="Q32" t="s">
        <v>1319</v>
      </c>
      <c r="R32">
        <v>10701672</v>
      </c>
      <c r="S32" s="5">
        <v>3.5870000000000002</v>
      </c>
      <c r="T32" t="s">
        <v>1320</v>
      </c>
      <c r="U32">
        <v>266670000</v>
      </c>
      <c r="V32">
        <v>266670000</v>
      </c>
      <c r="W32">
        <v>1.1499999999999999</v>
      </c>
      <c r="X32">
        <v>0.1</v>
      </c>
      <c r="Y32">
        <v>8.3699999999999992</v>
      </c>
      <c r="Z32" t="s">
        <v>227</v>
      </c>
      <c r="AA32" t="s">
        <v>1321</v>
      </c>
      <c r="AB32" t="s">
        <v>1322</v>
      </c>
      <c r="AC32" t="s">
        <v>1323</v>
      </c>
      <c r="AD32" t="s">
        <v>19</v>
      </c>
      <c r="AE32">
        <v>497121</v>
      </c>
      <c r="AF32" t="s">
        <v>74</v>
      </c>
      <c r="AG32" t="s">
        <v>1324</v>
      </c>
      <c r="AH32" t="s">
        <v>1325</v>
      </c>
      <c r="AI32" t="s">
        <v>138</v>
      </c>
      <c r="AJ32" t="s">
        <v>1326</v>
      </c>
      <c r="AK32" t="s">
        <v>19</v>
      </c>
      <c r="AL32" t="s">
        <v>1327</v>
      </c>
      <c r="AM32" t="s">
        <v>19</v>
      </c>
      <c r="AN32" t="s">
        <v>1328</v>
      </c>
      <c r="AO32" t="s">
        <v>19</v>
      </c>
      <c r="AP32" t="s">
        <v>19</v>
      </c>
      <c r="AQ32" t="s">
        <v>1329</v>
      </c>
      <c r="AR32" t="s">
        <v>1330</v>
      </c>
      <c r="AS32" t="s">
        <v>1331</v>
      </c>
      <c r="AT32" t="s">
        <v>1332</v>
      </c>
      <c r="AU32" t="s">
        <v>1333</v>
      </c>
      <c r="AV32" t="s">
        <v>1334</v>
      </c>
      <c r="AW32" t="s">
        <v>1335</v>
      </c>
      <c r="AX32" t="s">
        <v>404</v>
      </c>
      <c r="AY32" t="s">
        <v>232</v>
      </c>
      <c r="AZ32" t="s">
        <v>180</v>
      </c>
      <c r="BA32" t="s">
        <v>87</v>
      </c>
      <c r="BB32" t="s">
        <v>182</v>
      </c>
      <c r="BC32" t="s">
        <v>1336</v>
      </c>
      <c r="BD32" t="s">
        <v>251</v>
      </c>
      <c r="BE32" t="s">
        <v>181</v>
      </c>
      <c r="BF32" t="s">
        <v>88</v>
      </c>
      <c r="BG32" t="s">
        <v>184</v>
      </c>
      <c r="BH32" t="s">
        <v>1337</v>
      </c>
      <c r="BI32" t="s">
        <v>1338</v>
      </c>
      <c r="BJ32" t="s">
        <v>404</v>
      </c>
      <c r="BK32" t="s">
        <v>317</v>
      </c>
      <c r="BL32" t="s">
        <v>389</v>
      </c>
      <c r="BM32" t="s">
        <v>1336</v>
      </c>
      <c r="BN32">
        <v>14.38</v>
      </c>
      <c r="BO32" t="s">
        <v>19</v>
      </c>
      <c r="BP32" t="s">
        <v>19</v>
      </c>
      <c r="BQ32">
        <v>15.45</v>
      </c>
      <c r="BR32">
        <v>-6.13</v>
      </c>
      <c r="BS32">
        <v>-5.21</v>
      </c>
      <c r="BT32" t="s">
        <v>1339</v>
      </c>
      <c r="BU32" t="s">
        <v>307</v>
      </c>
      <c r="BV32">
        <v>42.98</v>
      </c>
      <c r="BW32">
        <v>-9.7799999999999994</v>
      </c>
      <c r="BX32">
        <v>-8.3000000000000007</v>
      </c>
      <c r="BY32">
        <v>22.25</v>
      </c>
      <c r="BZ32">
        <v>-29.48</v>
      </c>
      <c r="CA32">
        <v>-26.81</v>
      </c>
      <c r="CB32">
        <v>0.27</v>
      </c>
      <c r="CC32">
        <v>-4.45</v>
      </c>
      <c r="CD32" t="s">
        <v>1340</v>
      </c>
      <c r="CE32" t="s">
        <v>1341</v>
      </c>
      <c r="CF32" s="8">
        <v>-0.91794871794871791</v>
      </c>
      <c r="CG32" s="9">
        <v>-0.92300955395683448</v>
      </c>
      <c r="CH32" s="8">
        <v>37.005126953125</v>
      </c>
      <c r="CI32" s="8">
        <v>1.0362694039940834E-2</v>
      </c>
      <c r="CJ32" s="8">
        <v>0.30405405163764954</v>
      </c>
      <c r="CK32" s="8">
        <v>-0.68308353424072266</v>
      </c>
      <c r="CL32" s="8">
        <v>6.4655174501240253E-3</v>
      </c>
      <c r="CM32" s="9">
        <v>13.964924812316895</v>
      </c>
      <c r="CN32" s="9">
        <v>-0.11174914240837097</v>
      </c>
      <c r="CO32" s="9">
        <v>7.4714891612529755E-2</v>
      </c>
      <c r="CP32" s="9">
        <v>-1.7412415742874146</v>
      </c>
      <c r="CQ32" s="9">
        <v>0.11281245946884155</v>
      </c>
      <c r="CR32">
        <v>49.456310607007971</v>
      </c>
      <c r="CS32">
        <v>6.7484118266361665E-2</v>
      </c>
      <c r="CT32">
        <v>0.34946236559139787</v>
      </c>
      <c r="CU32" s="8">
        <v>7.3285851364023982</v>
      </c>
      <c r="CV32" s="9">
        <v>2.459892289340496</v>
      </c>
      <c r="CW32">
        <v>0.06</v>
      </c>
      <c r="CX32">
        <v>0.8714189176549989</v>
      </c>
      <c r="CY32">
        <v>5845723907.0597973</v>
      </c>
      <c r="CZ32">
        <v>7.3285851364023982</v>
      </c>
      <c r="DA32">
        <v>1.403776429406896E-2</v>
      </c>
      <c r="DB32">
        <v>362883596938.03076</v>
      </c>
      <c r="DC32">
        <v>6.9621558795822782</v>
      </c>
      <c r="DD32">
        <v>4.8755713831849957E-5</v>
      </c>
      <c r="DE32">
        <v>104481587892827.98</v>
      </c>
      <c r="DF32">
        <v>6.4491549200341103</v>
      </c>
      <c r="DG32">
        <v>4.4733360450011171E-8</v>
      </c>
      <c r="DH32">
        <v>1.138764078699732E+17</v>
      </c>
      <c r="DI32">
        <v>5.8628681091219192</v>
      </c>
      <c r="DJ32">
        <v>3.235446282245659E-15</v>
      </c>
      <c r="DK32">
        <v>1.574458036269514E+24</v>
      </c>
      <c r="DL32">
        <v>5.1300095954816785</v>
      </c>
      <c r="DM32">
        <v>744000000</v>
      </c>
      <c r="DN32">
        <v>7.3285851364023982</v>
      </c>
      <c r="DO32">
        <v>5094074400</v>
      </c>
      <c r="DP32">
        <v>221314700</v>
      </c>
      <c r="DQ32">
        <v>3928</v>
      </c>
      <c r="DR32">
        <v>-8.2465338543511155</v>
      </c>
      <c r="DS32">
        <v>-3.3829018432973306</v>
      </c>
      <c r="DT32" s="10">
        <v>-0.24</v>
      </c>
      <c r="DU32">
        <v>-1.6233333333333333</v>
      </c>
      <c r="DV32">
        <v>-1.8633333333333333</v>
      </c>
      <c r="DW32">
        <v>-1.0445</v>
      </c>
      <c r="DX32">
        <v>0.27574894894894852</v>
      </c>
      <c r="DY32">
        <v>-1.0073758282282281</v>
      </c>
      <c r="DZ32">
        <v>2726</v>
      </c>
      <c r="EA32">
        <v>-1.0034410908994318</v>
      </c>
      <c r="EB32">
        <v>1</v>
      </c>
      <c r="EC32">
        <v>0.20697641279484003</v>
      </c>
      <c r="ED32">
        <v>1.2487343908201147</v>
      </c>
      <c r="EE32" s="11">
        <v>-3.0529000000000002</v>
      </c>
      <c r="EF32">
        <v>-3.0428999999999999</v>
      </c>
      <c r="EG32">
        <v>11.165748948948949</v>
      </c>
      <c r="EH32" t="s">
        <v>840</v>
      </c>
      <c r="EI32">
        <v>0</v>
      </c>
      <c r="EJ32">
        <v>0</v>
      </c>
      <c r="EK32" s="7">
        <v>45470</v>
      </c>
      <c r="EL32" s="12">
        <v>1.75</v>
      </c>
      <c r="EM32" s="12">
        <v>-3.57</v>
      </c>
      <c r="EN32">
        <v>-0.89</v>
      </c>
      <c r="EO32">
        <v>2.7</v>
      </c>
      <c r="EP32">
        <v>-1</v>
      </c>
    </row>
    <row r="33" spans="1:146" ht="204" x14ac:dyDescent="0.25">
      <c r="A33" s="14"/>
      <c r="B33" s="14"/>
      <c r="C33" s="14" t="str">
        <f>"公司主要从事旅游景区的开发管理和经营，所涉经营项目主要包括景区经营、水世界主题公园、温泉、酒店、旅行社等相关旅游业务。2021年，公司获“江苏省质量协会先进会员单位”、“江浙沪地区优秀智慧景区”、“2021江苏文旅自媒体联盟最具创新奖”等荣誉和奖项。"&amp;CHAR(10)&amp;Basic_Fundamental_Information_Constructure(F33)&amp;CHAR(10)&amp;Basic_Fundamental_Information_Concatenate("景区业务 4088.05万 46.09% 59.39% -12.62%
酒店业务 3220.57万 36.31% 88.36% -23.84%
旅行社业务 1638.63万 18.47% 0.94% -0.50%
温泉业务 894.29万 10.08% 23.27% -22.61%
其他业务 669.46万 7.55% -59.20% 76.84%")</f>
        <v>公司主要从事旅游景区的开发管理和经营，所涉经营项目主要包括景区经营、水世界主题公园、温泉、酒店、旅行社等相关旅游业务。2021年，公司获“江苏省质量协会先进会员单位”、“江浙沪地区优秀智慧景区”、“2021江苏文旅自媒体联盟最具创新奖”等荣誉和奖项。
市值27.417861亿, 利润1.27亿; PE19.75; 平均PE34.22; 平均PEG.36, PB2.04; ROIC5.1167%; ROE5.3633%; 股利率5.2808%; 毛利46.8667%; 净利15.6467%; 上一年度营收增498.92%, 利润增525.4%; 当季营收增-77.28%, 利润增-83.22%; 过往5年营收增95.25%, 利润增84.66%
Income profile:
景区业务 4088.05万 46.09% 59.39% -12.62%
酒店业务 3220.57万 36.31% 88.36% -23.84%
旅行社业务 1638.63万 18.47% 0.94% -0.50%
温泉业务 894.29万 10.08% 23.27% -22.61%
其他业务 669.46万 7.55% -59.20% 76.84%</v>
      </c>
      <c r="D33" t="s">
        <v>89</v>
      </c>
      <c r="E33" t="s">
        <v>8</v>
      </c>
      <c r="F33">
        <v>10.15</v>
      </c>
      <c r="G33">
        <v>-0.68</v>
      </c>
      <c r="H33" t="s">
        <v>1342</v>
      </c>
      <c r="I33">
        <v>2741786100</v>
      </c>
      <c r="J33">
        <v>19.75</v>
      </c>
      <c r="K33">
        <v>2.04</v>
      </c>
      <c r="L33" t="s">
        <v>422</v>
      </c>
      <c r="M33" t="s">
        <v>1343</v>
      </c>
      <c r="N33" t="s">
        <v>1344</v>
      </c>
      <c r="O33" t="s">
        <v>690</v>
      </c>
      <c r="P33">
        <v>-11.33</v>
      </c>
      <c r="Q33" t="s">
        <v>1345</v>
      </c>
      <c r="R33">
        <v>10946585</v>
      </c>
      <c r="S33" s="5">
        <v>-0.42820000000000003</v>
      </c>
      <c r="T33" t="s">
        <v>545</v>
      </c>
      <c r="U33">
        <v>270126710</v>
      </c>
      <c r="V33">
        <v>270126710</v>
      </c>
      <c r="W33">
        <v>1.19</v>
      </c>
      <c r="X33">
        <v>0.06</v>
      </c>
      <c r="Y33">
        <v>13.01</v>
      </c>
      <c r="Z33" t="s">
        <v>1346</v>
      </c>
      <c r="AA33" t="s">
        <v>1347</v>
      </c>
      <c r="AB33" t="s">
        <v>1348</v>
      </c>
      <c r="AC33" t="s">
        <v>1349</v>
      </c>
      <c r="AD33" t="s">
        <v>19</v>
      </c>
      <c r="AE33">
        <v>-2190565</v>
      </c>
      <c r="AF33" t="s">
        <v>74</v>
      </c>
      <c r="AG33" t="s">
        <v>1350</v>
      </c>
      <c r="AH33" t="s">
        <v>1351</v>
      </c>
      <c r="AI33" t="s">
        <v>1352</v>
      </c>
      <c r="AJ33" t="s">
        <v>1353</v>
      </c>
      <c r="AK33" t="s">
        <v>19</v>
      </c>
      <c r="AL33" t="s">
        <v>1354</v>
      </c>
      <c r="AM33" t="s">
        <v>19</v>
      </c>
      <c r="AN33" t="s">
        <v>1355</v>
      </c>
      <c r="AO33" t="s">
        <v>1356</v>
      </c>
      <c r="AP33" t="s">
        <v>1357</v>
      </c>
      <c r="AQ33" t="s">
        <v>1358</v>
      </c>
      <c r="AR33" t="s">
        <v>19</v>
      </c>
      <c r="AS33" t="s">
        <v>1023</v>
      </c>
      <c r="AT33" t="s">
        <v>19</v>
      </c>
      <c r="AU33" t="s">
        <v>1359</v>
      </c>
      <c r="AV33" t="s">
        <v>1360</v>
      </c>
      <c r="AW33" t="s">
        <v>1361</v>
      </c>
      <c r="AX33" t="s">
        <v>1362</v>
      </c>
      <c r="AY33" t="s">
        <v>239</v>
      </c>
      <c r="AZ33" t="s">
        <v>185</v>
      </c>
      <c r="BA33" t="s">
        <v>90</v>
      </c>
      <c r="BB33" t="s">
        <v>187</v>
      </c>
      <c r="BC33" t="s">
        <v>1363</v>
      </c>
      <c r="BD33" t="s">
        <v>252</v>
      </c>
      <c r="BE33" t="s">
        <v>186</v>
      </c>
      <c r="BF33" t="s">
        <v>91</v>
      </c>
      <c r="BG33" t="s">
        <v>189</v>
      </c>
      <c r="BH33" t="s">
        <v>402</v>
      </c>
      <c r="BI33" t="s">
        <v>1364</v>
      </c>
      <c r="BJ33" t="s">
        <v>1362</v>
      </c>
      <c r="BK33" t="s">
        <v>805</v>
      </c>
      <c r="BL33" t="s">
        <v>1365</v>
      </c>
      <c r="BM33" t="s">
        <v>1363</v>
      </c>
      <c r="BN33">
        <v>9.51</v>
      </c>
      <c r="BO33">
        <v>1.46</v>
      </c>
      <c r="BP33">
        <v>4.38</v>
      </c>
      <c r="BQ33">
        <v>9.6199999999999992</v>
      </c>
      <c r="BR33">
        <v>1.72</v>
      </c>
      <c r="BS33">
        <v>4.75</v>
      </c>
      <c r="BT33" t="s">
        <v>1366</v>
      </c>
      <c r="BU33" t="s">
        <v>307</v>
      </c>
      <c r="BV33">
        <v>54.34</v>
      </c>
      <c r="BW33">
        <v>36.24</v>
      </c>
      <c r="BX33">
        <v>50.02</v>
      </c>
      <c r="BY33">
        <v>26.72</v>
      </c>
      <c r="BZ33">
        <v>5.74</v>
      </c>
      <c r="CA33">
        <v>14.48</v>
      </c>
      <c r="CB33">
        <v>-7.14</v>
      </c>
      <c r="CC33">
        <v>-17.52</v>
      </c>
      <c r="CD33" t="s">
        <v>1367</v>
      </c>
      <c r="CE33" t="s">
        <v>800</v>
      </c>
      <c r="CF33" s="8">
        <v>-0.772823779193206</v>
      </c>
      <c r="CG33" s="9">
        <v>-0.83220024219755961</v>
      </c>
      <c r="CH33" s="8">
        <v>4.9891595840454102</v>
      </c>
      <c r="CI33" s="8">
        <v>-0.11933173984289169</v>
      </c>
      <c r="CJ33" s="8">
        <v>0.12032085657119751</v>
      </c>
      <c r="CK33" s="8">
        <v>-0.25646123290061951</v>
      </c>
      <c r="CL33" s="8">
        <v>2.8629856184124947E-2</v>
      </c>
      <c r="CM33" s="9">
        <v>5.2540321350097656</v>
      </c>
      <c r="CN33" s="9">
        <v>-0.60569506883621216</v>
      </c>
      <c r="CO33" s="9">
        <v>-6.1665300279855728E-2</v>
      </c>
      <c r="CP33" s="9">
        <v>-0.55737900733947754</v>
      </c>
      <c r="CQ33" s="9">
        <v>0.20388349890708923</v>
      </c>
      <c r="CR33">
        <v>34.222959630732667</v>
      </c>
      <c r="CS33">
        <v>0.35930994620888329</v>
      </c>
      <c r="CT33">
        <v>5.2807881773399012</v>
      </c>
      <c r="CU33" s="8">
        <v>0.95246346481144428</v>
      </c>
      <c r="CV33" s="9">
        <v>0.84663525149226193</v>
      </c>
      <c r="CW33">
        <v>0.06</v>
      </c>
      <c r="CX33">
        <v>6.719124250266141</v>
      </c>
      <c r="CY33">
        <v>233927226.44439003</v>
      </c>
      <c r="CZ33">
        <v>0.95246346481144428</v>
      </c>
      <c r="DA33">
        <v>1.142842787456952</v>
      </c>
      <c r="DB33">
        <v>1375330112.9873955</v>
      </c>
      <c r="DC33">
        <v>0.90484029157087198</v>
      </c>
      <c r="DD33">
        <v>0.20001989945059226</v>
      </c>
      <c r="DE33">
        <v>7858148635.7973766</v>
      </c>
      <c r="DF33">
        <v>0.83816784903407093</v>
      </c>
      <c r="DG33">
        <v>3.0809663788521551E-2</v>
      </c>
      <c r="DH33">
        <v>51016009482.894279</v>
      </c>
      <c r="DI33">
        <v>0.76197077184915551</v>
      </c>
      <c r="DJ33">
        <v>5.279704314085725E-4</v>
      </c>
      <c r="DK33">
        <v>2977034330893.5527</v>
      </c>
      <c r="DL33">
        <v>0.66672442536801091</v>
      </c>
      <c r="DM33">
        <v>127000000</v>
      </c>
      <c r="DN33">
        <v>0.95246346481144428</v>
      </c>
      <c r="DO33">
        <v>1571786100</v>
      </c>
      <c r="DP33">
        <v>404629740</v>
      </c>
      <c r="DQ33">
        <v>3959</v>
      </c>
      <c r="DR33">
        <v>-1.7252872440046503</v>
      </c>
      <c r="DS33">
        <v>-1.6788354936898215</v>
      </c>
      <c r="DT33" s="10">
        <v>-0.25666666666666665</v>
      </c>
      <c r="DU33">
        <v>-0.45666666666666672</v>
      </c>
      <c r="DV33">
        <v>-0.71333333333333337</v>
      </c>
      <c r="DW33">
        <v>-9.4075342465753433</v>
      </c>
      <c r="DX33">
        <v>0.38686078431372423</v>
      </c>
      <c r="DY33">
        <v>-9.0802275114155258</v>
      </c>
      <c r="DZ33">
        <v>3292</v>
      </c>
      <c r="EA33">
        <v>-9.0285427819478326</v>
      </c>
      <c r="EB33">
        <v>9</v>
      </c>
      <c r="EC33">
        <v>7.4334744609298356E-2</v>
      </c>
      <c r="ED33">
        <v>0.37760057122822099</v>
      </c>
      <c r="EE33" s="11">
        <v>1.0361</v>
      </c>
      <c r="EF33">
        <v>1.0104</v>
      </c>
      <c r="EG33">
        <v>19.196860784313724</v>
      </c>
      <c r="EH33" t="s">
        <v>310</v>
      </c>
      <c r="EI33">
        <v>0</v>
      </c>
      <c r="EJ33">
        <v>0</v>
      </c>
      <c r="EK33" s="7">
        <v>45470</v>
      </c>
      <c r="EL33" s="12">
        <v>-0.76</v>
      </c>
      <c r="EM33" s="12">
        <v>-4.93</v>
      </c>
      <c r="EN33">
        <v>1.38</v>
      </c>
      <c r="EO33">
        <v>2.48</v>
      </c>
      <c r="EP33">
        <v>-2.57</v>
      </c>
    </row>
    <row r="34" spans="1:146" ht="108" x14ac:dyDescent="0.25">
      <c r="A34" s="14"/>
      <c r="B34" s="14"/>
      <c r="C34" s="14" t="str">
        <f>""&amp;CHAR(10)&amp;Basic_Fundamental_Information_Constructure(F34)&amp;CHAR(10)&amp;Basic_Fundamental_Information_Concatenate("")</f>
        <v xml:space="preserve">
市值34.941676亿, 利润3897.41万; PE21.19; 平均PE60; 平均PEG7.49, PB2.38; ROIC8.115%; ROE5.08%; 股利率2.5024%; 毛利39.09%; 净利11.41%; 上一年度营收增62.95%, 利润增384.49%; 当季营收增53.85%, 利润增375.63%; 过往5年营收增8.01%, 利润增49.3%
Income profile:
</v>
      </c>
      <c r="D34" t="s">
        <v>92</v>
      </c>
      <c r="E34" t="s">
        <v>13</v>
      </c>
      <c r="F34">
        <v>31.57</v>
      </c>
      <c r="G34">
        <v>2.17</v>
      </c>
      <c r="H34" t="s">
        <v>1368</v>
      </c>
      <c r="I34">
        <v>3494167600</v>
      </c>
      <c r="J34">
        <v>21.19</v>
      </c>
      <c r="K34">
        <v>2.38</v>
      </c>
      <c r="L34" t="s">
        <v>422</v>
      </c>
      <c r="M34" t="s">
        <v>1086</v>
      </c>
      <c r="N34" t="s">
        <v>1369</v>
      </c>
      <c r="O34" t="s">
        <v>333</v>
      </c>
      <c r="P34">
        <v>-6.13</v>
      </c>
      <c r="Q34" t="s">
        <v>1370</v>
      </c>
      <c r="R34">
        <v>52081465</v>
      </c>
      <c r="S34" s="5">
        <v>-0.158</v>
      </c>
      <c r="T34" t="s">
        <v>1371</v>
      </c>
      <c r="U34">
        <v>110680000</v>
      </c>
      <c r="V34">
        <v>110680000</v>
      </c>
      <c r="W34">
        <v>1.19</v>
      </c>
      <c r="X34">
        <v>0.1</v>
      </c>
      <c r="Y34">
        <v>28.89</v>
      </c>
      <c r="Z34" t="s">
        <v>1372</v>
      </c>
      <c r="AA34" t="s">
        <v>1373</v>
      </c>
      <c r="AB34" t="s">
        <v>1374</v>
      </c>
      <c r="AC34" t="s">
        <v>1375</v>
      </c>
      <c r="AD34" t="s">
        <v>19</v>
      </c>
      <c r="AE34">
        <v>-171771</v>
      </c>
      <c r="AF34" t="s">
        <v>1376</v>
      </c>
      <c r="AG34">
        <v>5616.45</v>
      </c>
      <c r="AH34" t="s">
        <v>1377</v>
      </c>
      <c r="AI34" t="s">
        <v>1378</v>
      </c>
      <c r="AJ34" t="s">
        <v>1379</v>
      </c>
      <c r="AK34" t="s">
        <v>19</v>
      </c>
      <c r="AL34" t="s">
        <v>1380</v>
      </c>
      <c r="AM34" t="s">
        <v>19</v>
      </c>
      <c r="AN34" t="s">
        <v>1381</v>
      </c>
      <c r="AO34" t="s">
        <v>19</v>
      </c>
      <c r="AP34" t="s">
        <v>19</v>
      </c>
      <c r="AQ34" t="s">
        <v>216</v>
      </c>
      <c r="AR34" t="s">
        <v>19</v>
      </c>
      <c r="AS34" t="s">
        <v>130</v>
      </c>
      <c r="AT34" t="s">
        <v>19</v>
      </c>
      <c r="AU34" t="s">
        <v>1382</v>
      </c>
      <c r="AV34" t="s">
        <v>1383</v>
      </c>
      <c r="AW34" t="s">
        <v>1384</v>
      </c>
      <c r="AX34" t="s">
        <v>1385</v>
      </c>
      <c r="AY34" t="s">
        <v>250</v>
      </c>
      <c r="AZ34" t="s">
        <v>190</v>
      </c>
      <c r="BA34" t="s">
        <v>93</v>
      </c>
      <c r="BB34" t="s">
        <v>192</v>
      </c>
      <c r="BC34" t="s">
        <v>1386</v>
      </c>
      <c r="BD34" t="s">
        <v>253</v>
      </c>
      <c r="BE34" t="s">
        <v>191</v>
      </c>
      <c r="BF34" t="s">
        <v>94</v>
      </c>
      <c r="BG34" t="s">
        <v>195</v>
      </c>
      <c r="BH34" t="s">
        <v>1387</v>
      </c>
      <c r="BI34" t="s">
        <v>94</v>
      </c>
      <c r="BJ34" t="s">
        <v>1385</v>
      </c>
      <c r="BK34" t="s">
        <v>943</v>
      </c>
      <c r="BL34" t="s">
        <v>1388</v>
      </c>
      <c r="BM34" t="s">
        <v>1386</v>
      </c>
      <c r="BN34">
        <v>11.45</v>
      </c>
      <c r="BO34" t="s">
        <v>19</v>
      </c>
      <c r="BP34">
        <v>4.78</v>
      </c>
      <c r="BQ34">
        <v>11.5</v>
      </c>
      <c r="BR34">
        <v>-1.0900000000000001</v>
      </c>
      <c r="BS34">
        <v>4.83</v>
      </c>
      <c r="BT34" t="s">
        <v>1389</v>
      </c>
      <c r="BU34" t="s">
        <v>307</v>
      </c>
      <c r="BV34">
        <v>49.62</v>
      </c>
      <c r="BW34">
        <v>26.44</v>
      </c>
      <c r="BX34">
        <v>41.21</v>
      </c>
      <c r="BY34">
        <v>24.14</v>
      </c>
      <c r="BZ34">
        <v>-4.13</v>
      </c>
      <c r="CA34">
        <v>14.22</v>
      </c>
      <c r="CB34">
        <v>5.94</v>
      </c>
      <c r="CC34">
        <v>-6.63</v>
      </c>
      <c r="CD34" t="s">
        <v>1390</v>
      </c>
      <c r="CE34" t="s">
        <v>1391</v>
      </c>
      <c r="CF34" s="8">
        <v>0.53846153846153844</v>
      </c>
      <c r="CG34" s="9">
        <v>3.7562981735159817</v>
      </c>
      <c r="CH34" s="8">
        <v>0.62951809167861938</v>
      </c>
      <c r="CI34" s="8">
        <v>-0.22065727412700653</v>
      </c>
      <c r="CJ34" s="8">
        <v>0.2492668628692627</v>
      </c>
      <c r="CK34" s="8">
        <v>-0.36499068140983582</v>
      </c>
      <c r="CL34" s="8">
        <v>0.1072164922952652</v>
      </c>
      <c r="CM34" s="9">
        <v>3.84494948387146</v>
      </c>
      <c r="CN34" s="9">
        <v>-1.2263492345809937</v>
      </c>
      <c r="CO34" s="9">
        <v>0.10950951278209686</v>
      </c>
      <c r="CP34" s="9">
        <v>-0.53376412391662598</v>
      </c>
      <c r="CQ34" s="9">
        <v>0.27055010199546814</v>
      </c>
      <c r="CR34">
        <v>59.997091293713225</v>
      </c>
      <c r="CS34">
        <v>7.4930146228961299</v>
      </c>
      <c r="CT34">
        <v>2.5023756731073803</v>
      </c>
      <c r="CU34" s="8">
        <v>8.0070698261260981E-2</v>
      </c>
      <c r="CV34" s="9">
        <v>0.49297914803028109</v>
      </c>
      <c r="CW34">
        <v>0.06</v>
      </c>
      <c r="CX34">
        <v>60.867343860303372</v>
      </c>
      <c r="CY34">
        <v>39712059.812362455</v>
      </c>
      <c r="CZ34">
        <v>8.0070698261260981E-2</v>
      </c>
      <c r="DA34">
        <v>20.059015982841874</v>
      </c>
      <c r="DB34">
        <v>120502800.43984222</v>
      </c>
      <c r="DC34">
        <v>7.6067163348197922E-2</v>
      </c>
      <c r="DD34">
        <v>9.9859446982164197</v>
      </c>
      <c r="DE34">
        <v>242056978.38800648</v>
      </c>
      <c r="DF34">
        <v>7.0462214469909662E-2</v>
      </c>
      <c r="DG34">
        <v>6.0726866246455771</v>
      </c>
      <c r="DH34">
        <v>398039245.13247448</v>
      </c>
      <c r="DI34">
        <v>6.4056558609008787E-2</v>
      </c>
      <c r="DJ34">
        <v>3.2242355366558009</v>
      </c>
      <c r="DK34">
        <v>749687041.32177103</v>
      </c>
      <c r="DL34">
        <v>5.6049488782882684E-2</v>
      </c>
      <c r="DM34">
        <v>38974100</v>
      </c>
      <c r="DN34">
        <v>8.0070698261260981E-2</v>
      </c>
      <c r="DO34">
        <v>2417167600</v>
      </c>
      <c r="DP34">
        <v>132322820.00000003</v>
      </c>
      <c r="DQ34">
        <v>4004</v>
      </c>
      <c r="DR34">
        <v>0.45839084020027743</v>
      </c>
      <c r="DS34">
        <v>3.2633190254857007</v>
      </c>
      <c r="DT34" s="10">
        <v>-0.24</v>
      </c>
      <c r="DU34">
        <v>0.16666666666666655</v>
      </c>
      <c r="DV34">
        <v>-7.3333333333333445E-2</v>
      </c>
      <c r="DW34">
        <v>6.4725536992840098</v>
      </c>
      <c r="DX34">
        <v>0.42036173136500676</v>
      </c>
      <c r="DY34">
        <v>6.0946816773514829</v>
      </c>
      <c r="DZ34">
        <v>372</v>
      </c>
      <c r="EA34">
        <v>6.087788999469927</v>
      </c>
      <c r="EB34">
        <v>6</v>
      </c>
      <c r="EC34">
        <v>0.1024918684495844</v>
      </c>
      <c r="ED34">
        <v>0.51153415251174561</v>
      </c>
      <c r="EE34" s="11">
        <v>1.02071</v>
      </c>
      <c r="EF34">
        <v>1.0557099999999999</v>
      </c>
      <c r="EG34">
        <v>22.200361731365007</v>
      </c>
      <c r="EH34" t="s">
        <v>315</v>
      </c>
      <c r="EI34">
        <v>0</v>
      </c>
      <c r="EJ34">
        <v>1</v>
      </c>
      <c r="EK34" s="7">
        <v>45470</v>
      </c>
      <c r="EL34" s="12">
        <v>-1.44</v>
      </c>
      <c r="EM34" s="12">
        <v>2.29</v>
      </c>
      <c r="EN34">
        <v>-0.96</v>
      </c>
      <c r="EO34">
        <v>3.56</v>
      </c>
      <c r="EP34">
        <v>-3.5</v>
      </c>
    </row>
    <row r="35" spans="1:146" ht="144" x14ac:dyDescent="0.25">
      <c r="A35" s="14" t="s">
        <v>1427</v>
      </c>
      <c r="B35" s="14"/>
      <c r="C35" s="14" t="str">
        <f>"公司主营业务是餐饮服务、婚庆服务、酒店住宿以及食品销售业务。公司主要产品是臭鳜鱼(带调料包),香肠,酱肉,速冻小笼包,速冻大肉包,牛肉酱,鲜虾酱,多款名厨菜等。"&amp;CHAR(10)&amp;Basic_Fundamental_Information_Constructure(F35)&amp;CHAR(10)&amp;Basic_Fundamental_Information_Concatenate("餐饮服务 14.48亿 90.02% 73.97% 17.33%
其他业务 1.61亿 9.98% 26.03% 55.00%")</f>
        <v>公司主营业务是餐饮服务、婚庆服务、酒店住宿以及食品销售业务。公司主要产品是臭鳜鱼(带调料包),香肠,酱肉,速冻小笼包,速冻大肉包,牛肉酱,鲜虾酱,多款名厨菜等。
市值52.182亿, 利润3.23亿; PE17.53; 平均PE27.38; 平均PEG42.62, PB2.26; ROIC7.8133%; ROE7.2633%; 股利率2.0429%; 毛利22.0133%; 净利9.0733%; 上一年度营收增-11.56%, 利润增245.09%; 当季营收增84.76%, 利润增1.46%; 过往5年营收增.64%, 利润增36.07%
Income profile:
餐饮服务 14.48亿 90.02% 73.97% 17.33%
其他业务 1.61亿 9.98% 26.03% 55.00%</v>
      </c>
      <c r="D35" t="s">
        <v>1392</v>
      </c>
      <c r="E35" t="s">
        <v>1393</v>
      </c>
      <c r="F35">
        <v>20.07</v>
      </c>
      <c r="G35">
        <v>-0.2</v>
      </c>
      <c r="H35" t="s">
        <v>1394</v>
      </c>
      <c r="I35">
        <v>5218200000</v>
      </c>
      <c r="J35">
        <v>17.53</v>
      </c>
      <c r="K35">
        <v>2.2599999999999998</v>
      </c>
      <c r="L35" t="s">
        <v>422</v>
      </c>
      <c r="M35" t="s">
        <v>1395</v>
      </c>
      <c r="N35" t="s">
        <v>1396</v>
      </c>
      <c r="O35" t="s">
        <v>1397</v>
      </c>
      <c r="P35" s="5">
        <v>28.01</v>
      </c>
      <c r="Q35" t="s">
        <v>391</v>
      </c>
      <c r="R35">
        <v>65899123</v>
      </c>
      <c r="S35">
        <v>-8.8400000000000006E-2</v>
      </c>
      <c r="T35" t="s">
        <v>395</v>
      </c>
      <c r="U35">
        <v>260000000</v>
      </c>
      <c r="V35">
        <v>260000000</v>
      </c>
      <c r="W35">
        <v>1.95</v>
      </c>
      <c r="X35">
        <v>0.16</v>
      </c>
      <c r="Y35">
        <v>9.5399999999999991</v>
      </c>
      <c r="Z35" t="s">
        <v>554</v>
      </c>
      <c r="AA35" t="s">
        <v>1398</v>
      </c>
      <c r="AB35" t="s">
        <v>1399</v>
      </c>
      <c r="AC35" t="s">
        <v>1400</v>
      </c>
      <c r="AD35" t="s">
        <v>19</v>
      </c>
      <c r="AE35">
        <v>13988395</v>
      </c>
      <c r="AF35" t="s">
        <v>1401</v>
      </c>
      <c r="AG35" t="s">
        <v>1402</v>
      </c>
      <c r="AH35" t="s">
        <v>1403</v>
      </c>
      <c r="AI35" t="s">
        <v>1404</v>
      </c>
      <c r="AJ35" t="s">
        <v>1405</v>
      </c>
      <c r="AK35" t="s">
        <v>19</v>
      </c>
      <c r="AL35" t="s">
        <v>1406</v>
      </c>
      <c r="AM35" t="s">
        <v>19</v>
      </c>
      <c r="AN35" t="s">
        <v>1407</v>
      </c>
      <c r="AO35" t="s">
        <v>164</v>
      </c>
      <c r="AP35" t="s">
        <v>19</v>
      </c>
      <c r="AQ35" t="s">
        <v>1362</v>
      </c>
      <c r="AR35">
        <v>7975.66</v>
      </c>
      <c r="AS35" t="s">
        <v>1408</v>
      </c>
      <c r="AT35" t="s">
        <v>1409</v>
      </c>
      <c r="AU35" t="s">
        <v>1029</v>
      </c>
      <c r="AV35" t="s">
        <v>1410</v>
      </c>
      <c r="AW35" t="s">
        <v>1411</v>
      </c>
      <c r="AX35" t="s">
        <v>1412</v>
      </c>
      <c r="AY35" t="s">
        <v>1413</v>
      </c>
      <c r="AZ35" t="s">
        <v>1414</v>
      </c>
      <c r="BA35" t="s">
        <v>117</v>
      </c>
      <c r="BB35" t="s">
        <v>1415</v>
      </c>
      <c r="BC35" t="s">
        <v>1416</v>
      </c>
      <c r="BD35" t="s">
        <v>1417</v>
      </c>
      <c r="BE35" t="s">
        <v>1418</v>
      </c>
      <c r="BF35" t="s">
        <v>1419</v>
      </c>
      <c r="BG35" t="s">
        <v>1420</v>
      </c>
      <c r="BH35" t="s">
        <v>1285</v>
      </c>
      <c r="BI35" t="s">
        <v>185</v>
      </c>
      <c r="BJ35" t="s">
        <v>1412</v>
      </c>
      <c r="BK35" t="s">
        <v>1421</v>
      </c>
      <c r="BL35" t="s">
        <v>1422</v>
      </c>
      <c r="BM35" t="s">
        <v>1416</v>
      </c>
      <c r="BN35">
        <v>10.130000000000001</v>
      </c>
      <c r="BO35">
        <v>5.42</v>
      </c>
      <c r="BP35">
        <v>7.89</v>
      </c>
      <c r="BQ35">
        <v>9.73</v>
      </c>
      <c r="BR35">
        <v>4.74</v>
      </c>
      <c r="BS35">
        <v>7.32</v>
      </c>
      <c r="BT35" t="s">
        <v>1423</v>
      </c>
      <c r="BU35" t="s">
        <v>604</v>
      </c>
      <c r="BV35">
        <v>26.62</v>
      </c>
      <c r="BW35">
        <v>18.329999999999998</v>
      </c>
      <c r="BX35">
        <v>21.09</v>
      </c>
      <c r="BY35">
        <v>12.66</v>
      </c>
      <c r="BZ35">
        <v>5.6</v>
      </c>
      <c r="CA35">
        <v>8.9600000000000009</v>
      </c>
      <c r="CB35">
        <v>-6.04</v>
      </c>
      <c r="CC35" s="8">
        <v>-21.29</v>
      </c>
      <c r="CD35" s="9" t="s">
        <v>1424</v>
      </c>
      <c r="CE35" s="8" t="s">
        <v>1425</v>
      </c>
      <c r="CF35" s="8">
        <v>0.84759358288770048</v>
      </c>
      <c r="CG35" s="8">
        <v>1.457095701949253E-2</v>
      </c>
      <c r="CH35" s="8">
        <v>-0.11556889861822128</v>
      </c>
      <c r="CI35" s="8">
        <v>3.8557212799787521E-2</v>
      </c>
      <c r="CJ35" s="9">
        <v>0.24074074625968933</v>
      </c>
      <c r="CK35" s="9">
        <v>-0.11414904892444611</v>
      </c>
      <c r="CL35" s="9">
        <v>-1.7461298033595085E-2</v>
      </c>
      <c r="CM35" s="9">
        <v>2.4509100914001465</v>
      </c>
      <c r="CN35" s="9">
        <v>-0.3500104546546936</v>
      </c>
      <c r="CO35">
        <v>-0.22162161767482758</v>
      </c>
      <c r="CP35">
        <v>-6.5656565129756927E-2</v>
      </c>
      <c r="CQ35">
        <v>-9.9999997764825821E-3</v>
      </c>
      <c r="CR35" s="8">
        <v>27.377790369609613</v>
      </c>
      <c r="CS35" s="9">
        <v>42.619687092880561</v>
      </c>
      <c r="CT35">
        <v>2.0428500249128048</v>
      </c>
      <c r="CU35">
        <v>6.4237426966428758E-3</v>
      </c>
      <c r="CV35">
        <v>0.36072429083287716</v>
      </c>
      <c r="CW35">
        <v>0.06</v>
      </c>
      <c r="CX35">
        <v>15.176356193975687</v>
      </c>
      <c r="CY35">
        <v>306674404.61416572</v>
      </c>
      <c r="CZ35">
        <v>6.4237426966428758E-3</v>
      </c>
      <c r="DA35">
        <v>5.3266522849951254</v>
      </c>
      <c r="DB35">
        <v>873757052.45687139</v>
      </c>
      <c r="DC35">
        <v>6.1025555618107316E-3</v>
      </c>
      <c r="DD35">
        <v>2.8756794397254302</v>
      </c>
      <c r="DE35">
        <v>1618469686.052484</v>
      </c>
      <c r="DF35">
        <v>5.6528935730457306E-3</v>
      </c>
      <c r="DG35">
        <v>1.9078035468695189</v>
      </c>
      <c r="DH35">
        <v>2439559360.1013031</v>
      </c>
      <c r="DI35">
        <v>5.1389941573143014E-3</v>
      </c>
      <c r="DJ35">
        <v>1.2083110006373501</v>
      </c>
      <c r="DK35">
        <v>3851822914.4194174</v>
      </c>
      <c r="DL35">
        <v>4.4966198876500128E-3</v>
      </c>
      <c r="DM35">
        <v>323000000</v>
      </c>
      <c r="DN35">
        <v>6.4237426966428758E-3</v>
      </c>
      <c r="DO35">
        <v>4654200000</v>
      </c>
      <c r="DP35">
        <v>-514662790</v>
      </c>
      <c r="DQ35" s="10">
        <v>4458</v>
      </c>
      <c r="DR35">
        <v>0.84116984019105756</v>
      </c>
      <c r="DS35">
        <v>-0.34615333381338464</v>
      </c>
      <c r="DT35">
        <v>-0.3066666666666667</v>
      </c>
      <c r="DU35">
        <v>1.6666666666666625E-2</v>
      </c>
      <c r="DV35">
        <v>-0.29000000000000009</v>
      </c>
      <c r="DW35">
        <v>-9.2837012682010336</v>
      </c>
      <c r="DX35">
        <v>0.43127199409916273</v>
      </c>
      <c r="DY35">
        <v>-9.0514270946152635</v>
      </c>
      <c r="DZ35">
        <v>1157</v>
      </c>
      <c r="EA35">
        <v>-9.039783034249341</v>
      </c>
      <c r="EB35" s="11">
        <v>9</v>
      </c>
      <c r="EC35" s="11">
        <v>4.2913076923076922E-2</v>
      </c>
      <c r="ED35">
        <v>0.23673307692307696</v>
      </c>
      <c r="EE35">
        <v>-2.0599099999999999</v>
      </c>
      <c r="EF35">
        <v>-2.0965099999999999</v>
      </c>
      <c r="EG35">
        <v>25.181271994099163</v>
      </c>
      <c r="EH35" s="7" t="s">
        <v>1426</v>
      </c>
      <c r="EI35">
        <v>0</v>
      </c>
      <c r="EJ35">
        <v>1</v>
      </c>
      <c r="EK35">
        <v>45470</v>
      </c>
      <c r="EL35">
        <v>-1.21</v>
      </c>
      <c r="EM35">
        <v>1.26</v>
      </c>
      <c r="EN35">
        <v>-4.57</v>
      </c>
      <c r="EO35">
        <v>1.63</v>
      </c>
      <c r="EP35">
        <v>-3.66</v>
      </c>
    </row>
    <row r="36" spans="1:146" x14ac:dyDescent="0.25">
      <c r="Q36" s="5"/>
    </row>
    <row r="37" spans="1:146" x14ac:dyDescent="0.25">
      <c r="Q37" s="5"/>
    </row>
    <row r="38" spans="1:146" x14ac:dyDescent="0.25">
      <c r="Q38" s="5"/>
    </row>
  </sheetData>
  <autoFilter ref="BU1:BU38"/>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旅游及酒店&quot;,&quot;&quot;'" altText="更新基本面按钮_x000a_">
                <anchor moveWithCells="1" sizeWithCells="1">
                  <from>
                    <xdr:col>147</xdr:col>
                    <xdr:colOff>304800</xdr:colOff>
                    <xdr:row>0</xdr:row>
                    <xdr:rowOff>133350</xdr:rowOff>
                  </from>
                  <to>
                    <xdr:col>147</xdr:col>
                    <xdr:colOff>1409700</xdr:colOff>
                    <xdr:row>0</xdr:row>
                    <xdr:rowOff>444500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景点及旅游</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2024-07-10T22:27:34Z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