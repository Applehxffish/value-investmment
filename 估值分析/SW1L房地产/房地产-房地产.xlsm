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1Xiaofeng\value-investment-backup\估值分析\SW1L房地产\"/>
    </mc:Choice>
  </mc:AlternateContent>
  <bookViews>
    <workbookView xWindow="0" yWindow="0" windowWidth="3800" windowHeight="2950"/>
  </bookViews>
  <sheets>
    <sheet name="房地产开发" sheetId="15" r:id="rId1"/>
    <sheet name="估值-增速与年化收益" sheetId="14" r:id="rId2"/>
  </sheets>
  <functionGroups builtInGroupCount="18"/>
  <definedNames>
    <definedName name="_xlnm._FilterDatabase" localSheetId="0" hidden="1">房地产开发!$BU$1:$BU$110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33" i="15"/>
  <c r="C21" i="15"/>
  <c r="C16" i="15"/>
  <c r="C57" i="15"/>
  <c r="C45" i="15"/>
  <c r="C44" i="15"/>
  <c r="C41" i="15"/>
  <c r="C38" i="15"/>
  <c r="C101" i="15"/>
  <c r="C96" i="15"/>
  <c r="C88" i="15"/>
  <c r="C84" i="15"/>
  <c r="C52" i="15"/>
  <c r="C39" i="15"/>
  <c r="C42" i="15"/>
  <c r="C35" i="15"/>
  <c r="C80" i="15"/>
  <c r="C30" i="15"/>
  <c r="C71" i="15"/>
  <c r="C86" i="15"/>
  <c r="C85" i="15"/>
  <c r="C76" i="15"/>
  <c r="C67" i="15"/>
  <c r="C82" i="15"/>
  <c r="C77" i="15"/>
  <c r="C72" i="15"/>
  <c r="C64" i="15"/>
  <c r="C78" i="15"/>
  <c r="C69" i="15"/>
  <c r="C18" i="15"/>
  <c r="C14" i="15"/>
  <c r="C10" i="15"/>
  <c r="C54" i="15"/>
  <c r="C43" i="15"/>
  <c r="C100" i="15"/>
  <c r="C31" i="15"/>
  <c r="C50" i="15"/>
  <c r="C23" i="15"/>
  <c r="C37" i="15"/>
  <c r="C95" i="15"/>
  <c r="C28" i="15"/>
  <c r="C47" i="15"/>
  <c r="C15" i="15"/>
  <c r="C12" i="15"/>
  <c r="C98" i="15"/>
  <c r="C19" i="15"/>
  <c r="C11" i="15"/>
  <c r="C32" i="15"/>
  <c r="C92" i="15"/>
  <c r="C90" i="15"/>
  <c r="C62" i="15"/>
  <c r="C73" i="15"/>
  <c r="C55" i="15"/>
  <c r="C70" i="15"/>
  <c r="C59" i="15"/>
  <c r="C58" i="15"/>
  <c r="C65" i="15"/>
  <c r="C51" i="15"/>
  <c r="C66" i="15"/>
  <c r="C53" i="15"/>
  <c r="C56" i="15"/>
  <c r="C48" i="15"/>
  <c r="C60" i="15"/>
  <c r="C46" i="15"/>
  <c r="C17" i="15"/>
  <c r="C13" i="15"/>
  <c r="C89" i="15"/>
  <c r="C40" i="15"/>
  <c r="C75" i="15"/>
  <c r="C91" i="15"/>
  <c r="C63" i="15"/>
  <c r="C49" i="15"/>
  <c r="C26" i="15"/>
  <c r="C36" i="15"/>
  <c r="C20" i="15"/>
  <c r="C68" i="15"/>
  <c r="C81" i="15"/>
  <c r="C61" i="15"/>
  <c r="C74" i="15"/>
  <c r="C34" i="15"/>
  <c r="C29" i="15"/>
  <c r="C87" i="15"/>
  <c r="C22" i="15"/>
  <c r="C27" i="15"/>
  <c r="C97" i="15"/>
  <c r="C25" i="15"/>
  <c r="C83" i="15"/>
  <c r="C99" i="15"/>
  <c r="C24" i="15"/>
  <c r="C93" i="15"/>
  <c r="C79" i="15"/>
  <c r="C94" i="15"/>
  <c r="C9" i="15"/>
  <c r="C8" i="15"/>
  <c r="C7" i="15"/>
  <c r="C6" i="15"/>
  <c r="C5" i="15"/>
  <c r="C4" i="15"/>
  <c r="C3" i="15"/>
  <c r="C2" i="15"/>
</calcChain>
</file>

<file path=xl/sharedStrings.xml><?xml version="1.0" encoding="utf-8"?>
<sst xmlns="http://schemas.openxmlformats.org/spreadsheetml/2006/main" count="5773" uniqueCount="3812">
  <si>
    <t>&lt;-增速</t>
    <phoneticPr fontId="1" type="noConversion"/>
  </si>
  <si>
    <t>&lt;-估值</t>
    <phoneticPr fontId="1" type="noConversion"/>
  </si>
  <si>
    <t>&lt;-折合年化收益</t>
    <phoneticPr fontId="1" type="noConversion"/>
  </si>
  <si>
    <t>现价</t>
  </si>
  <si>
    <t>市净率</t>
  </si>
  <si>
    <t>沙河股份</t>
  </si>
  <si>
    <t>渝 开 发</t>
  </si>
  <si>
    <t>南国置业</t>
  </si>
  <si>
    <t>大名城</t>
  </si>
  <si>
    <t>华丽家族</t>
  </si>
  <si>
    <t>财信发展</t>
  </si>
  <si>
    <t>西藏城投</t>
  </si>
  <si>
    <t>亚通股份</t>
  </si>
  <si>
    <t>三湘印象</t>
  </si>
  <si>
    <t>新黄浦</t>
  </si>
  <si>
    <t>天健集团</t>
  </si>
  <si>
    <t>京投发展</t>
  </si>
  <si>
    <t>深物业A</t>
  </si>
  <si>
    <t>上实发展</t>
  </si>
  <si>
    <t>南山控股</t>
  </si>
  <si>
    <t>中国武夷</t>
  </si>
  <si>
    <t>中华企业</t>
  </si>
  <si>
    <t>栖霞建设</t>
  </si>
  <si>
    <t>深深房Ａ</t>
  </si>
  <si>
    <t>--</t>
  </si>
  <si>
    <t>香江控股</t>
  </si>
  <si>
    <t>海南高速</t>
  </si>
  <si>
    <t>新华联</t>
  </si>
  <si>
    <t>格力地产</t>
  </si>
  <si>
    <t>中国国贸</t>
  </si>
  <si>
    <t>新城控股</t>
  </si>
  <si>
    <t>万  科Ａ</t>
  </si>
  <si>
    <t>华远地产</t>
  </si>
  <si>
    <t>金 融 街</t>
  </si>
  <si>
    <t>光大嘉宝</t>
  </si>
  <si>
    <t>冠城大通</t>
  </si>
  <si>
    <t>招商蛇口</t>
  </si>
  <si>
    <t>荣安地产</t>
  </si>
  <si>
    <t>合肥城建</t>
  </si>
  <si>
    <t>苏宁环球</t>
  </si>
  <si>
    <t>滨江集团</t>
  </si>
  <si>
    <t>城投控股</t>
  </si>
  <si>
    <t>京能置业</t>
  </si>
  <si>
    <t>苏州高新</t>
  </si>
  <si>
    <t>新湖中宝</t>
  </si>
  <si>
    <t>世荣兆业</t>
  </si>
  <si>
    <t>信达地产</t>
  </si>
  <si>
    <t>中交地产</t>
  </si>
  <si>
    <t>深振业Ａ</t>
  </si>
  <si>
    <t>华夏幸福</t>
  </si>
  <si>
    <t>天保基建</t>
  </si>
  <si>
    <t>中洲控股</t>
  </si>
  <si>
    <t>华侨城Ａ</t>
  </si>
  <si>
    <t>福星股份</t>
  </si>
  <si>
    <t>卧龙地产</t>
  </si>
  <si>
    <t>华联控股</t>
  </si>
  <si>
    <t>天地源</t>
  </si>
  <si>
    <t>金地集团</t>
  </si>
  <si>
    <t>万业企业</t>
  </si>
  <si>
    <t>广宇集团</t>
  </si>
  <si>
    <t>绿地控股</t>
  </si>
  <si>
    <t>北辰实业</t>
  </si>
  <si>
    <t>荣盛发展</t>
  </si>
  <si>
    <t>津滨发展</t>
  </si>
  <si>
    <t>阳光股份</t>
  </si>
  <si>
    <t>粤宏远Ａ</t>
  </si>
  <si>
    <t>凤凰股份</t>
  </si>
  <si>
    <t>大龙地产</t>
  </si>
  <si>
    <t>预期多</t>
    <phoneticPr fontId="1" type="noConversion"/>
  </si>
  <si>
    <t>预期空</t>
    <phoneticPr fontId="1" type="noConversion"/>
  </si>
  <si>
    <t>已知和基本信息</t>
    <phoneticPr fontId="1" type="noConversion"/>
  </si>
  <si>
    <t>代码</t>
  </si>
  <si>
    <t xml:space="preserve">    名称</t>
  </si>
  <si>
    <t>总市值</t>
  </si>
  <si>
    <t>TTM市盈率</t>
  </si>
  <si>
    <t>所属行业</t>
  </si>
  <si>
    <t>负债合计</t>
  </si>
  <si>
    <t>所有者权益合计</t>
  </si>
  <si>
    <t>主营业务收入</t>
  </si>
  <si>
    <t>净利润增长率</t>
  </si>
  <si>
    <t>总股本</t>
  </si>
  <si>
    <t>财务费用</t>
  </si>
  <si>
    <t>投资收益</t>
  </si>
  <si>
    <t>应收账款</t>
  </si>
  <si>
    <t>SZ000002</t>
  </si>
  <si>
    <t>3678.94亿</t>
  </si>
  <si>
    <t>388.72亿</t>
  </si>
  <si>
    <t>5.02亿</t>
  </si>
  <si>
    <t>SZ000006</t>
  </si>
  <si>
    <t>37.31亿</t>
  </si>
  <si>
    <t>8.01亿</t>
  </si>
  <si>
    <t>SZ000011</t>
  </si>
  <si>
    <t>39.62亿</t>
  </si>
  <si>
    <t>8.18亿</t>
  </si>
  <si>
    <t>2.11亿</t>
  </si>
  <si>
    <t>SZ000014</t>
  </si>
  <si>
    <t>4.38亿</t>
  </si>
  <si>
    <t>2108.52万</t>
  </si>
  <si>
    <t>0亿</t>
  </si>
  <si>
    <t>1.50亿</t>
  </si>
  <si>
    <t>SZ000029</t>
  </si>
  <si>
    <t>25.49亿</t>
  </si>
  <si>
    <t>5.52亿</t>
  </si>
  <si>
    <t>SZ000031</t>
  </si>
  <si>
    <t>大悦城</t>
  </si>
  <si>
    <t>1.01亿</t>
  </si>
  <si>
    <t>2.44亿</t>
  </si>
  <si>
    <t>SZ000036</t>
  </si>
  <si>
    <t>31.69亿</t>
  </si>
  <si>
    <t>1.38亿</t>
  </si>
  <si>
    <t>SZ000042</t>
  </si>
  <si>
    <t>72.13亿</t>
  </si>
  <si>
    <t>7.87亿</t>
  </si>
  <si>
    <t>10.95亿</t>
  </si>
  <si>
    <t>SZ000069</t>
  </si>
  <si>
    <t>600.25亿</t>
  </si>
  <si>
    <t>123.40亿</t>
  </si>
  <si>
    <t>4.51亿</t>
  </si>
  <si>
    <t>SZ000090</t>
  </si>
  <si>
    <t>146.65亿</t>
  </si>
  <si>
    <t>12.36亿</t>
  </si>
  <si>
    <t>1.48亿</t>
  </si>
  <si>
    <t>SZ000402</t>
  </si>
  <si>
    <t>261.84亿</t>
  </si>
  <si>
    <t>34.42亿</t>
  </si>
  <si>
    <t>1.23亿</t>
  </si>
  <si>
    <t>1.28亿</t>
  </si>
  <si>
    <t>SZ000514</t>
  </si>
  <si>
    <t>8.66亿</t>
  </si>
  <si>
    <t>2.64亿</t>
  </si>
  <si>
    <t>1.18亿</t>
  </si>
  <si>
    <t>1.84亿</t>
  </si>
  <si>
    <t>SZ000517</t>
  </si>
  <si>
    <t>66.63亿</t>
  </si>
  <si>
    <t>18.89亿</t>
  </si>
  <si>
    <t>1.31亿</t>
  </si>
  <si>
    <t>1.56亿</t>
  </si>
  <si>
    <t>11.08亿</t>
  </si>
  <si>
    <t>1.04亿</t>
  </si>
  <si>
    <t>34.96亿</t>
  </si>
  <si>
    <t>12.59亿</t>
  </si>
  <si>
    <t>3.36亿</t>
  </si>
  <si>
    <t>16.15亿</t>
  </si>
  <si>
    <t>SZ000573</t>
  </si>
  <si>
    <t>9.13亿</t>
  </si>
  <si>
    <t>6514.48万</t>
  </si>
  <si>
    <t>2.38亿</t>
  </si>
  <si>
    <t>1.22亿</t>
  </si>
  <si>
    <t>SZ000608</t>
  </si>
  <si>
    <t>2.43亿</t>
  </si>
  <si>
    <t>1.16亿</t>
  </si>
  <si>
    <t>SZ000609</t>
  </si>
  <si>
    <t>30.98亿</t>
  </si>
  <si>
    <t>5.48亿</t>
  </si>
  <si>
    <t>2921.07万</t>
  </si>
  <si>
    <t>2.19亿</t>
  </si>
  <si>
    <t>1.07亿</t>
  </si>
  <si>
    <t>SZ000620</t>
  </si>
  <si>
    <t>119.88亿</t>
  </si>
  <si>
    <t>8.10亿</t>
  </si>
  <si>
    <t>1.62亿</t>
  </si>
  <si>
    <t>12.17亿</t>
  </si>
  <si>
    <t>6.08亿</t>
  </si>
  <si>
    <t>1.20亿</t>
  </si>
  <si>
    <t>5.26亿</t>
  </si>
  <si>
    <t>3.58亿</t>
  </si>
  <si>
    <t>SZ000656</t>
  </si>
  <si>
    <t>677.73亿</t>
  </si>
  <si>
    <t>56.76亿</t>
  </si>
  <si>
    <t>3.00亿</t>
  </si>
  <si>
    <t>1.66亿</t>
  </si>
  <si>
    <t>4.19亿</t>
  </si>
  <si>
    <t>2.54亿</t>
  </si>
  <si>
    <t>2.81亿</t>
  </si>
  <si>
    <t>40.20亿</t>
  </si>
  <si>
    <t>SZ000718</t>
  </si>
  <si>
    <t>39.24亿</t>
  </si>
  <si>
    <t>12.31亿</t>
  </si>
  <si>
    <t>1.12亿</t>
  </si>
  <si>
    <t>5.42亿</t>
  </si>
  <si>
    <t>1.13亿</t>
  </si>
  <si>
    <t>4.62亿</t>
  </si>
  <si>
    <t>7.41亿</t>
  </si>
  <si>
    <t>SZ000736</t>
  </si>
  <si>
    <t>140.63亿</t>
  </si>
  <si>
    <t>SZ000797</t>
  </si>
  <si>
    <t>52.26亿</t>
  </si>
  <si>
    <t>3.59亿</t>
  </si>
  <si>
    <t>2.66亿</t>
  </si>
  <si>
    <t>SZ000838</t>
  </si>
  <si>
    <t>33.94亿</t>
  </si>
  <si>
    <t>1.09亿</t>
  </si>
  <si>
    <t>12.34亿</t>
  </si>
  <si>
    <t>SZ000863</t>
  </si>
  <si>
    <t>19.88亿</t>
  </si>
  <si>
    <t>2.82亿</t>
  </si>
  <si>
    <t>2.86亿</t>
  </si>
  <si>
    <t>1.05亿</t>
  </si>
  <si>
    <t>1.45亿</t>
  </si>
  <si>
    <t>SZ000886</t>
  </si>
  <si>
    <t>1.74亿</t>
  </si>
  <si>
    <t>6236.21万</t>
  </si>
  <si>
    <t>1.10亿</t>
  </si>
  <si>
    <t>SZ000897</t>
  </si>
  <si>
    <t>12.82亿</t>
  </si>
  <si>
    <t>2.48亿</t>
  </si>
  <si>
    <t>SZ000909</t>
  </si>
  <si>
    <t>1.14亿</t>
  </si>
  <si>
    <t>8.05亿</t>
  </si>
  <si>
    <t>2.69亿</t>
  </si>
  <si>
    <t>22.81亿</t>
  </si>
  <si>
    <t>SZ000926</t>
  </si>
  <si>
    <t>95.66亿</t>
  </si>
  <si>
    <t>5.98亿</t>
  </si>
  <si>
    <t>1.00亿</t>
  </si>
  <si>
    <t>1.82亿</t>
  </si>
  <si>
    <t>8.94亿</t>
  </si>
  <si>
    <t>3.22亿</t>
  </si>
  <si>
    <t>6.24亿</t>
  </si>
  <si>
    <t>SZ000961</t>
  </si>
  <si>
    <t>718.31亿</t>
  </si>
  <si>
    <t>41.63亿</t>
  </si>
  <si>
    <t>SZ000965</t>
  </si>
  <si>
    <t>12.16亿</t>
  </si>
  <si>
    <t>1.90亿</t>
  </si>
  <si>
    <t>2.87亿</t>
  </si>
  <si>
    <t>SZ001979</t>
  </si>
  <si>
    <t>976.72亿</t>
  </si>
  <si>
    <t>160.33亿</t>
  </si>
  <si>
    <t>7.99亿</t>
  </si>
  <si>
    <t>1.51亿</t>
  </si>
  <si>
    <t>SZ002016</t>
  </si>
  <si>
    <t>27.53亿</t>
  </si>
  <si>
    <t>8.82亿</t>
  </si>
  <si>
    <t>5.70亿</t>
  </si>
  <si>
    <t>1.11亿</t>
  </si>
  <si>
    <t>SZ002133</t>
  </si>
  <si>
    <t>2.33亿</t>
  </si>
  <si>
    <t>SZ002146</t>
  </si>
  <si>
    <t>709.12亿</t>
  </si>
  <si>
    <t>91.20亿</t>
  </si>
  <si>
    <t>4.12亿</t>
  </si>
  <si>
    <t>1.27亿</t>
  </si>
  <si>
    <t>1.97亿</t>
  </si>
  <si>
    <t>3.87亿</t>
  </si>
  <si>
    <t>SZ002208</t>
  </si>
  <si>
    <t>10.21亿</t>
  </si>
  <si>
    <t>SZ002244</t>
  </si>
  <si>
    <t>249.55亿</t>
  </si>
  <si>
    <t>16.31亿</t>
  </si>
  <si>
    <t>5.77亿</t>
  </si>
  <si>
    <t>1.17亿</t>
  </si>
  <si>
    <t>SZ002305</t>
  </si>
  <si>
    <t>63.69亿</t>
  </si>
  <si>
    <t>-3.55亿</t>
  </si>
  <si>
    <t>5.22亿</t>
  </si>
  <si>
    <t>SZ002314</t>
  </si>
  <si>
    <t>4.03亿</t>
  </si>
  <si>
    <t>17.43亿</t>
  </si>
  <si>
    <t>1.55亿</t>
  </si>
  <si>
    <t>3.07亿</t>
  </si>
  <si>
    <t>2.35亿</t>
  </si>
  <si>
    <t>2.45亿</t>
  </si>
  <si>
    <t>SH600007</t>
  </si>
  <si>
    <t>35.30亿</t>
  </si>
  <si>
    <t>9.72亿</t>
  </si>
  <si>
    <t>9.12亿</t>
  </si>
  <si>
    <t>SH600048</t>
  </si>
  <si>
    <t>5.18亿</t>
  </si>
  <si>
    <t>SH600067</t>
  </si>
  <si>
    <t>77.87亿</t>
  </si>
  <si>
    <t>5.88亿</t>
  </si>
  <si>
    <t>22.90亿</t>
  </si>
  <si>
    <t>1.15亿</t>
  </si>
  <si>
    <t>2.98亿</t>
  </si>
  <si>
    <t>SH600094</t>
  </si>
  <si>
    <t>130.43亿</t>
  </si>
  <si>
    <t>6.98亿</t>
  </si>
  <si>
    <t>2.61亿</t>
  </si>
  <si>
    <t>4.97亿</t>
  </si>
  <si>
    <t>2.49亿</t>
  </si>
  <si>
    <t>SH600159</t>
  </si>
  <si>
    <t>SH600162</t>
  </si>
  <si>
    <t>49.27亿</t>
  </si>
  <si>
    <t>5.92亿</t>
  </si>
  <si>
    <t>1.42亿</t>
  </si>
  <si>
    <t>1.41亿</t>
  </si>
  <si>
    <t>SH600173</t>
  </si>
  <si>
    <t>19.21亿</t>
  </si>
  <si>
    <t>SH600185</t>
  </si>
  <si>
    <t>41.93亿</t>
  </si>
  <si>
    <t>1.86亿</t>
  </si>
  <si>
    <t>SH600208</t>
  </si>
  <si>
    <t>148.10亿</t>
  </si>
  <si>
    <t>2.28亿</t>
  </si>
  <si>
    <t>8.77亿</t>
  </si>
  <si>
    <t>1.39亿</t>
  </si>
  <si>
    <t>2.30亿</t>
  </si>
  <si>
    <t>11.83亿</t>
  </si>
  <si>
    <t>5.51亿</t>
  </si>
  <si>
    <t>3.02亿</t>
  </si>
  <si>
    <t>SH600266</t>
  </si>
  <si>
    <t>城建发展</t>
  </si>
  <si>
    <t>164.32亿</t>
  </si>
  <si>
    <t>20.88亿</t>
  </si>
  <si>
    <t>1.95亿</t>
  </si>
  <si>
    <t>SH600322</t>
  </si>
  <si>
    <t>95.64亿</t>
  </si>
  <si>
    <t>SH600325</t>
  </si>
  <si>
    <t>331.49亿</t>
  </si>
  <si>
    <t>8.34亿</t>
  </si>
  <si>
    <t>7.79亿</t>
  </si>
  <si>
    <t>SH600340</t>
  </si>
  <si>
    <t>1052.10亿</t>
  </si>
  <si>
    <t>146.12亿</t>
  </si>
  <si>
    <t>SH600376</t>
  </si>
  <si>
    <t>476.45亿</t>
  </si>
  <si>
    <t>27.58亿</t>
  </si>
  <si>
    <t>SH600383</t>
  </si>
  <si>
    <t>100.75亿</t>
  </si>
  <si>
    <t>34.59亿</t>
  </si>
  <si>
    <t>SH600503</t>
  </si>
  <si>
    <t>23.46亿</t>
  </si>
  <si>
    <t>1.61亿</t>
  </si>
  <si>
    <t>SH600510</t>
  </si>
  <si>
    <t>77.77亿</t>
  </si>
  <si>
    <t>7.81亿</t>
  </si>
  <si>
    <t>1.03亿</t>
  </si>
  <si>
    <t>SH600533</t>
  </si>
  <si>
    <t>SH600565</t>
  </si>
  <si>
    <t>196.97亿</t>
  </si>
  <si>
    <t>14.32亿</t>
  </si>
  <si>
    <t>SH600606</t>
  </si>
  <si>
    <t>147.43亿</t>
  </si>
  <si>
    <t>SH600622</t>
  </si>
  <si>
    <t>48.21亿</t>
  </si>
  <si>
    <t>11.35亿</t>
  </si>
  <si>
    <t>SH600638</t>
  </si>
  <si>
    <t>-5.53亿</t>
  </si>
  <si>
    <t>3.49亿</t>
  </si>
  <si>
    <t>1.33亿</t>
  </si>
  <si>
    <t>SH600641</t>
  </si>
  <si>
    <t>18.69亿</t>
  </si>
  <si>
    <t>5.73亿</t>
  </si>
  <si>
    <t>2.83亿</t>
  </si>
  <si>
    <t>SH600649</t>
  </si>
  <si>
    <t>36.44亿</t>
  </si>
  <si>
    <t>6.06亿</t>
  </si>
  <si>
    <t>SH600657</t>
  </si>
  <si>
    <t>194.78亿</t>
  </si>
  <si>
    <t>23.15亿</t>
  </si>
  <si>
    <t>SH600665</t>
  </si>
  <si>
    <t>55.91亿</t>
  </si>
  <si>
    <t>4.24亿</t>
  </si>
  <si>
    <t>SH600675</t>
  </si>
  <si>
    <t>132.82亿</t>
  </si>
  <si>
    <t>23.40亿</t>
  </si>
  <si>
    <t>SH600683</t>
  </si>
  <si>
    <t>43.28亿</t>
  </si>
  <si>
    <t>7680.99万</t>
  </si>
  <si>
    <t>29.48亿</t>
  </si>
  <si>
    <t>9.69亿</t>
  </si>
  <si>
    <t>SH600692</t>
  </si>
  <si>
    <t>8.60亿</t>
  </si>
  <si>
    <t>3415.49万</t>
  </si>
  <si>
    <t>SH600708</t>
  </si>
  <si>
    <t>5.83亿</t>
  </si>
  <si>
    <t>SH600716</t>
  </si>
  <si>
    <t>13.02亿</t>
  </si>
  <si>
    <t>8487.59万</t>
  </si>
  <si>
    <t>SH600736</t>
  </si>
  <si>
    <t>91.38亿</t>
  </si>
  <si>
    <t>3.53亿</t>
  </si>
  <si>
    <t>SH600743</t>
  </si>
  <si>
    <t>74.22亿</t>
  </si>
  <si>
    <t>7.57亿</t>
  </si>
  <si>
    <t>1.37亿</t>
  </si>
  <si>
    <t>18.03亿</t>
  </si>
  <si>
    <t>SH600748</t>
  </si>
  <si>
    <t>7.82亿</t>
  </si>
  <si>
    <t>1.88亿</t>
  </si>
  <si>
    <t>SH600773</t>
  </si>
  <si>
    <t>13.44亿</t>
  </si>
  <si>
    <t>1.06亿</t>
  </si>
  <si>
    <t>SH600791</t>
  </si>
  <si>
    <t>1800.82万</t>
  </si>
  <si>
    <t>3.39亿</t>
  </si>
  <si>
    <t>SH601155</t>
  </si>
  <si>
    <t>858.47亿</t>
  </si>
  <si>
    <t>126.54亿</t>
  </si>
  <si>
    <t>3.12亿</t>
  </si>
  <si>
    <t>SH601588</t>
  </si>
  <si>
    <t>201.22亿</t>
  </si>
  <si>
    <t>16.54亿</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</si>
  <si>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</si>
  <si>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</si>
  <si>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</si>
  <si>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</si>
  <si>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</si>
  <si>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</si>
  <si>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</si>
  <si>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</si>
  <si>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</si>
  <si>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</si>
  <si>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</si>
  <si>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</si>
  <si>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</si>
  <si>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4191.12亿</t>
  </si>
  <si>
    <t>415.16亿</t>
  </si>
  <si>
    <t>2976.79亿</t>
  </si>
  <si>
    <t>337.73亿</t>
  </si>
  <si>
    <t>29.35亿</t>
  </si>
  <si>
    <t>8.65亿</t>
  </si>
  <si>
    <t>5.21亿</t>
  </si>
  <si>
    <t>25.12亿</t>
  </si>
  <si>
    <t>8.74亿</t>
  </si>
  <si>
    <t>41.04亿</t>
  </si>
  <si>
    <t>3.15亿</t>
  </si>
  <si>
    <t>47.58亿</t>
  </si>
  <si>
    <t>33.77亿</t>
  </si>
  <si>
    <t>1.57亿</t>
  </si>
  <si>
    <t>3.47亿</t>
  </si>
  <si>
    <t>437.43万</t>
  </si>
  <si>
    <t>5.13亿</t>
  </si>
  <si>
    <t>1.46亿</t>
  </si>
  <si>
    <t>2.90亿</t>
  </si>
  <si>
    <t>1.34亿</t>
  </si>
  <si>
    <t>21.75亿</t>
  </si>
  <si>
    <t>5.03亿</t>
  </si>
  <si>
    <t>1.85亿</t>
  </si>
  <si>
    <t>3.01亿</t>
  </si>
  <si>
    <t>384.45亿</t>
  </si>
  <si>
    <t>-3.87亿</t>
  </si>
  <si>
    <t>2.03亿</t>
  </si>
  <si>
    <t>337.95亿</t>
  </si>
  <si>
    <t>221.69亿</t>
  </si>
  <si>
    <t>20.49亿</t>
  </si>
  <si>
    <t>20.63亿</t>
  </si>
  <si>
    <t>27.05亿</t>
  </si>
  <si>
    <t>33.35亿</t>
  </si>
  <si>
    <t>13.43亿</t>
  </si>
  <si>
    <t>13.49亿</t>
  </si>
  <si>
    <t>106.97亿</t>
  </si>
  <si>
    <t>79.42亿</t>
  </si>
  <si>
    <t>4.47亿</t>
  </si>
  <si>
    <t>481.56亿</t>
  </si>
  <si>
    <t>423.41亿</t>
  </si>
  <si>
    <t>105.75亿</t>
  </si>
  <si>
    <t>86.43亿</t>
  </si>
  <si>
    <t>171.25亿</t>
  </si>
  <si>
    <t>14.86亿</t>
  </si>
  <si>
    <t>1.43亿</t>
  </si>
  <si>
    <t>102.09亿</t>
  </si>
  <si>
    <t>181.21亿</t>
  </si>
  <si>
    <t>24.98亿</t>
  </si>
  <si>
    <t>221.13亿</t>
  </si>
  <si>
    <t>32.69亿</t>
  </si>
  <si>
    <t>30.06亿</t>
  </si>
  <si>
    <t>1.65亿</t>
  </si>
  <si>
    <t>41.64亿</t>
  </si>
  <si>
    <t>5.40亿</t>
  </si>
  <si>
    <t>10.41亿</t>
  </si>
  <si>
    <t>2518.07万</t>
  </si>
  <si>
    <t>111.78亿</t>
  </si>
  <si>
    <t>39.68亿</t>
  </si>
  <si>
    <t>42.64亿</t>
  </si>
  <si>
    <t>1.49亿</t>
  </si>
  <si>
    <t>1.35亿</t>
  </si>
  <si>
    <t>5.72亿</t>
  </si>
  <si>
    <t>2.01亿</t>
  </si>
  <si>
    <t>2.67亿</t>
  </si>
  <si>
    <t>4.11亿</t>
  </si>
  <si>
    <t>12.76亿</t>
  </si>
  <si>
    <t>8.26亿</t>
  </si>
  <si>
    <t>-1.16亿</t>
  </si>
  <si>
    <t>5.66亿</t>
  </si>
  <si>
    <t>5204.78万</t>
  </si>
  <si>
    <t>3546.54万</t>
  </si>
  <si>
    <t>5.64亿</t>
  </si>
  <si>
    <t>2.89亿</t>
  </si>
  <si>
    <t>5.34亿</t>
  </si>
  <si>
    <t>-8176.13万</t>
  </si>
  <si>
    <t>1146.40万</t>
  </si>
  <si>
    <t>-2.99亿</t>
  </si>
  <si>
    <t>18.25亿</t>
  </si>
  <si>
    <t>2949.27万</t>
  </si>
  <si>
    <t>2.71亿</t>
  </si>
  <si>
    <t>-6079.79万</t>
  </si>
  <si>
    <t>70.84亿</t>
  </si>
  <si>
    <t>-12.86亿</t>
  </si>
  <si>
    <t>1.08亿</t>
  </si>
  <si>
    <t>7.09亿</t>
  </si>
  <si>
    <t>140.01亿</t>
  </si>
  <si>
    <t>11.86亿</t>
  </si>
  <si>
    <t>10.28亿</t>
  </si>
  <si>
    <t>877.04亿</t>
  </si>
  <si>
    <t>70.30亿</t>
  </si>
  <si>
    <t>5.96亿</t>
  </si>
  <si>
    <t>412.34亿</t>
  </si>
  <si>
    <t>38.86亿</t>
  </si>
  <si>
    <t>4.28亿</t>
  </si>
  <si>
    <t>30.18亿</t>
  </si>
  <si>
    <t>14.18亿</t>
  </si>
  <si>
    <t>32.44亿</t>
  </si>
  <si>
    <t>57.68亿</t>
  </si>
  <si>
    <t>11.48亿</t>
  </si>
  <si>
    <t>2.80亿</t>
  </si>
  <si>
    <t>3.05亿</t>
  </si>
  <si>
    <t>2.14亿</t>
  </si>
  <si>
    <t>123.00亿</t>
  </si>
  <si>
    <t>89.48亿</t>
  </si>
  <si>
    <t>62.61亿</t>
  </si>
  <si>
    <t>58.20亿</t>
  </si>
  <si>
    <t>48.68亿</t>
  </si>
  <si>
    <t>2.50亿</t>
  </si>
  <si>
    <t>60.52亿</t>
  </si>
  <si>
    <t>4.48亿</t>
  </si>
  <si>
    <t>30.48亿</t>
  </si>
  <si>
    <t>1.96亿</t>
  </si>
  <si>
    <t>48.89亿</t>
  </si>
  <si>
    <t>31.40亿</t>
  </si>
  <si>
    <t>16.33亿</t>
  </si>
  <si>
    <t>-4.56亿</t>
  </si>
  <si>
    <t>2.65亿</t>
  </si>
  <si>
    <t>9275.47万</t>
  </si>
  <si>
    <t>3.51亿</t>
  </si>
  <si>
    <t>18.42亿</t>
  </si>
  <si>
    <t>9.76亿</t>
  </si>
  <si>
    <t>-1.29亿</t>
  </si>
  <si>
    <t>13.45亿</t>
  </si>
  <si>
    <t>15.02亿</t>
  </si>
  <si>
    <t>13.17亿</t>
  </si>
  <si>
    <t>15.37亿</t>
  </si>
  <si>
    <t>5852.03万</t>
  </si>
  <si>
    <t>3691.92万</t>
  </si>
  <si>
    <t>10.00亿</t>
  </si>
  <si>
    <t>75.01亿</t>
  </si>
  <si>
    <t>3.06亿</t>
  </si>
  <si>
    <t>107.35亿</t>
  </si>
  <si>
    <t>116.59亿</t>
  </si>
  <si>
    <t>8.45亿</t>
  </si>
  <si>
    <t>786.01亿</t>
  </si>
  <si>
    <t>70.78亿</t>
  </si>
  <si>
    <t>401.10亿</t>
  </si>
  <si>
    <t>21.93亿</t>
  </si>
  <si>
    <t>9610.23万</t>
  </si>
  <si>
    <t>1296.21亿</t>
  </si>
  <si>
    <t>122.53亿</t>
  </si>
  <si>
    <t>882.78亿</t>
  </si>
  <si>
    <t>152.40亿</t>
  </si>
  <si>
    <t>23.53亿</t>
  </si>
  <si>
    <t>7.96亿</t>
  </si>
  <si>
    <t>2.95亿</t>
  </si>
  <si>
    <t>38.35亿</t>
  </si>
  <si>
    <t>31.62亿</t>
  </si>
  <si>
    <t>715.11亿</t>
  </si>
  <si>
    <t>563.68亿</t>
  </si>
  <si>
    <t>75.65亿</t>
  </si>
  <si>
    <t>53.59亿</t>
  </si>
  <si>
    <t>7.68亿</t>
  </si>
  <si>
    <t>19.71亿</t>
  </si>
  <si>
    <t>285.97亿</t>
  </si>
  <si>
    <t>23.28亿</t>
  </si>
  <si>
    <t>211.15亿</t>
  </si>
  <si>
    <t>17.11亿</t>
  </si>
  <si>
    <t>10.03亿</t>
  </si>
  <si>
    <t>10.04亿</t>
  </si>
  <si>
    <t>40.25亿</t>
  </si>
  <si>
    <t>2040.56万</t>
  </si>
  <si>
    <t>40.31亿</t>
  </si>
  <si>
    <t>8434.42万</t>
  </si>
  <si>
    <t>112.32亿</t>
  </si>
  <si>
    <t>5.59亿</t>
  </si>
  <si>
    <t>72.42亿</t>
  </si>
  <si>
    <t>70.52亿</t>
  </si>
  <si>
    <t>5.08亿</t>
  </si>
  <si>
    <t>3.70亿</t>
  </si>
  <si>
    <t>31.71亿</t>
  </si>
  <si>
    <t>6.86亿</t>
  </si>
  <si>
    <t>2359.34亿</t>
  </si>
  <si>
    <t>1945.14亿</t>
  </si>
  <si>
    <t>88.92亿</t>
  </si>
  <si>
    <t>81.09亿</t>
  </si>
  <si>
    <t>3.52亿</t>
  </si>
  <si>
    <t>148.37亿</t>
  </si>
  <si>
    <t>133.83亿</t>
  </si>
  <si>
    <t>9.87亿</t>
  </si>
  <si>
    <t>49.82亿</t>
  </si>
  <si>
    <t>5.14亿</t>
  </si>
  <si>
    <t>6.11亿</t>
  </si>
  <si>
    <t>28.30亿</t>
  </si>
  <si>
    <t>15.58亿</t>
  </si>
  <si>
    <t>63.89亿</t>
  </si>
  <si>
    <t>12.23亿</t>
  </si>
  <si>
    <t>3.29亿</t>
  </si>
  <si>
    <t>30.78亿</t>
  </si>
  <si>
    <t>137.92亿</t>
  </si>
  <si>
    <t>172.27亿</t>
  </si>
  <si>
    <t>12.53亿</t>
  </si>
  <si>
    <t>5.44亿</t>
  </si>
  <si>
    <t>32.95亿</t>
  </si>
  <si>
    <t>138.91亿</t>
  </si>
  <si>
    <t>133.81亿</t>
  </si>
  <si>
    <t>-25.17亿</t>
  </si>
  <si>
    <t>34.01亿</t>
  </si>
  <si>
    <t>63.49亿</t>
  </si>
  <si>
    <t>2.18亿</t>
  </si>
  <si>
    <t>510.06亿</t>
  </si>
  <si>
    <t>29.02亿</t>
  </si>
  <si>
    <t>3.26亿</t>
  </si>
  <si>
    <t>236.99亿</t>
  </si>
  <si>
    <t>27.83亿</t>
  </si>
  <si>
    <t>22.84亿</t>
  </si>
  <si>
    <t>1012.09亿</t>
  </si>
  <si>
    <t>36.65亿</t>
  </si>
  <si>
    <t>837.99亿</t>
  </si>
  <si>
    <t>117.46亿</t>
  </si>
  <si>
    <t>442.26亿</t>
  </si>
  <si>
    <t>397.36亿</t>
  </si>
  <si>
    <t>31.67亿</t>
  </si>
  <si>
    <t>103.98亿</t>
  </si>
  <si>
    <t>2.55亿</t>
  </si>
  <si>
    <t>630.84亿</t>
  </si>
  <si>
    <t>503.12亿</t>
  </si>
  <si>
    <t>80.98亿</t>
  </si>
  <si>
    <t>9.54亿</t>
  </si>
  <si>
    <t>8.96亿</t>
  </si>
  <si>
    <t>10.80亿</t>
  </si>
  <si>
    <t>1982.55万</t>
  </si>
  <si>
    <t>2.25亿</t>
  </si>
  <si>
    <t>7.98亿</t>
  </si>
  <si>
    <t>67.58亿</t>
  </si>
  <si>
    <t>6.62亿</t>
  </si>
  <si>
    <t>4.94亿</t>
  </si>
  <si>
    <t>22.89亿</t>
  </si>
  <si>
    <t>23.31亿</t>
  </si>
  <si>
    <t>17.02亿</t>
  </si>
  <si>
    <t>212.71亿</t>
  </si>
  <si>
    <t>8.75亿</t>
  </si>
  <si>
    <t>132.46亿</t>
  </si>
  <si>
    <t>77.31亿</t>
  </si>
  <si>
    <t>10.17亿</t>
  </si>
  <si>
    <t>149.98亿</t>
  </si>
  <si>
    <t>4278.23亿</t>
  </si>
  <si>
    <t>3484.26亿</t>
  </si>
  <si>
    <t>113.75亿</t>
  </si>
  <si>
    <t>39.37亿</t>
  </si>
  <si>
    <t>20.96亿</t>
  </si>
  <si>
    <t>8.81亿</t>
  </si>
  <si>
    <t>10.66亿</t>
  </si>
  <si>
    <t>9.31亿</t>
  </si>
  <si>
    <t>26.79亿</t>
  </si>
  <si>
    <t>31.88亿</t>
  </si>
  <si>
    <t>65.65亿</t>
  </si>
  <si>
    <t>69.03亿</t>
  </si>
  <si>
    <t>258.64亿</t>
  </si>
  <si>
    <t>14.77亿</t>
  </si>
  <si>
    <t>187.54亿</t>
  </si>
  <si>
    <t>21.51亿</t>
  </si>
  <si>
    <t>4.88亿</t>
  </si>
  <si>
    <t>53.04亿</t>
  </si>
  <si>
    <t>52.67亿</t>
  </si>
  <si>
    <t>4.20亿</t>
  </si>
  <si>
    <t>115.52亿</t>
  </si>
  <si>
    <t>13.78亿</t>
  </si>
  <si>
    <t>7.37亿</t>
  </si>
  <si>
    <t>192.86亿</t>
  </si>
  <si>
    <t>25.92亿</t>
  </si>
  <si>
    <t>88.64亿</t>
  </si>
  <si>
    <t>79.75亿</t>
  </si>
  <si>
    <t>8.19亿</t>
  </si>
  <si>
    <t>5866.21万</t>
  </si>
  <si>
    <t>7.34亿</t>
  </si>
  <si>
    <t>9.25亿</t>
  </si>
  <si>
    <t>4303.06万</t>
  </si>
  <si>
    <t>149.85亿</t>
  </si>
  <si>
    <t>140.71亿</t>
  </si>
  <si>
    <t>204.94亿</t>
  </si>
  <si>
    <t>5751.48万</t>
  </si>
  <si>
    <t>1.98亿</t>
  </si>
  <si>
    <t>10.47亿</t>
  </si>
  <si>
    <t>100.41亿</t>
  </si>
  <si>
    <t>72.82亿</t>
  </si>
  <si>
    <t>4.14亿</t>
  </si>
  <si>
    <t>68.31亿</t>
  </si>
  <si>
    <t>7.50亿</t>
  </si>
  <si>
    <t>18.64亿</t>
  </si>
  <si>
    <t>11.77亿</t>
  </si>
  <si>
    <t>9.65亿</t>
  </si>
  <si>
    <t>10.16亿</t>
  </si>
  <si>
    <t>5453.54万</t>
  </si>
  <si>
    <t>22.27亿</t>
  </si>
  <si>
    <t>1454.75亿</t>
  </si>
  <si>
    <t>152.56亿</t>
  </si>
  <si>
    <t>541.33亿</t>
  </si>
  <si>
    <t>104.91亿</t>
  </si>
  <si>
    <t>179.96亿</t>
  </si>
  <si>
    <t>178.64亿</t>
  </si>
  <si>
    <t>154.57亿</t>
  </si>
  <si>
    <t>11.90亿</t>
  </si>
  <si>
    <t>14.13亿</t>
  </si>
  <si>
    <t>1.26亿</t>
  </si>
  <si>
    <t>1.73亿</t>
  </si>
  <si>
    <t>6.07亿</t>
  </si>
  <si>
    <t>2.06亿</t>
  </si>
  <si>
    <t>2.58亿</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</si>
  <si>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</si>
  <si>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</si>
  <si>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</si>
  <si>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</si>
  <si>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</si>
  <si>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</si>
  <si>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</si>
  <si>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</si>
  <si>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</si>
  <si>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</si>
  <si>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</si>
  <si>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</si>
  <si>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</si>
  <si>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</si>
  <si>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</si>
  <si>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</si>
  <si>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</si>
  <si>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12.02亿</t>
  </si>
  <si>
    <t>11.39亿</t>
  </si>
  <si>
    <t>2.36亿</t>
  </si>
  <si>
    <t>25.14亿</t>
  </si>
  <si>
    <t>4.85亿</t>
  </si>
  <si>
    <t>-1.42亿</t>
  </si>
  <si>
    <t>6.63亿</t>
  </si>
  <si>
    <t>5.01亿</t>
  </si>
  <si>
    <t>33.52亿</t>
  </si>
  <si>
    <t>-3.90亿</t>
  </si>
  <si>
    <t>3.61亿</t>
  </si>
  <si>
    <t>-1.60亿</t>
  </si>
  <si>
    <t>7.85亿</t>
  </si>
  <si>
    <t>6.60亿</t>
  </si>
  <si>
    <t>13.47亿</t>
  </si>
  <si>
    <t>SH600064</t>
  </si>
  <si>
    <t>南京高科</t>
  </si>
  <si>
    <t>20.16亿</t>
  </si>
  <si>
    <t>28.69亿</t>
  </si>
  <si>
    <t>29.09亿</t>
  </si>
  <si>
    <t>33.99亿</t>
  </si>
  <si>
    <t>SH600082</t>
  </si>
  <si>
    <t>海泰发展</t>
  </si>
  <si>
    <t>4.58亿</t>
  </si>
  <si>
    <t>3301.71万</t>
  </si>
  <si>
    <t>6.78亿</t>
  </si>
  <si>
    <t>5.12亿</t>
  </si>
  <si>
    <t>1497.70万</t>
  </si>
  <si>
    <t>1465.90万</t>
  </si>
  <si>
    <t>37.70亿</t>
  </si>
  <si>
    <t>5.37亿</t>
  </si>
  <si>
    <t>1.76亿</t>
  </si>
  <si>
    <t>27.61亿</t>
  </si>
  <si>
    <t>SH600463</t>
  </si>
  <si>
    <t>空港股份</t>
  </si>
  <si>
    <t>12.66亿</t>
  </si>
  <si>
    <t>-1727.15万</t>
  </si>
  <si>
    <t>1530.62万</t>
  </si>
  <si>
    <t>4.50亿</t>
  </si>
  <si>
    <t>SH600603</t>
  </si>
  <si>
    <t>广汇物流</t>
  </si>
  <si>
    <t>20.81亿</t>
  </si>
  <si>
    <t>5.46亿</t>
  </si>
  <si>
    <t>SH600604</t>
  </si>
  <si>
    <t>市北高新</t>
  </si>
  <si>
    <t>10.90亿</t>
  </si>
  <si>
    <t>44.18亿</t>
  </si>
  <si>
    <t>SH600639</t>
  </si>
  <si>
    <t>浦东金桥</t>
  </si>
  <si>
    <t>35.93亿</t>
  </si>
  <si>
    <t>7.08亿</t>
  </si>
  <si>
    <t>10.85亿</t>
  </si>
  <si>
    <t>9.77亿</t>
  </si>
  <si>
    <t>3.77亿</t>
  </si>
  <si>
    <t>SH600648</t>
  </si>
  <si>
    <t>外高桥</t>
  </si>
  <si>
    <t>7.22亿</t>
  </si>
  <si>
    <t>89.41亿</t>
  </si>
  <si>
    <t>77.33亿</t>
  </si>
  <si>
    <t>SH600658</t>
  </si>
  <si>
    <t>电子城</t>
  </si>
  <si>
    <t>22.54亿</t>
  </si>
  <si>
    <t>22.34亿</t>
  </si>
  <si>
    <t>4.08亿</t>
  </si>
  <si>
    <t>SH600663</t>
  </si>
  <si>
    <t>陆家嘴</t>
  </si>
  <si>
    <t>144.75亿</t>
  </si>
  <si>
    <t>40.12亿</t>
  </si>
  <si>
    <t>147.73亿</t>
  </si>
  <si>
    <t>126.39亿</t>
  </si>
  <si>
    <t>36.77亿</t>
  </si>
  <si>
    <t>33.50亿</t>
  </si>
  <si>
    <t>3.14亿</t>
  </si>
  <si>
    <t>23.80亿</t>
  </si>
  <si>
    <t>9.37亿</t>
  </si>
  <si>
    <t>5.68亿</t>
  </si>
  <si>
    <t>SH600846</t>
  </si>
  <si>
    <t>同济科技</t>
  </si>
  <si>
    <t>63.03亿</t>
  </si>
  <si>
    <t>63.51亿</t>
  </si>
  <si>
    <t>32.84亿</t>
  </si>
  <si>
    <t>36.27亿</t>
  </si>
  <si>
    <t>SH600848</t>
  </si>
  <si>
    <t>上海临港</t>
  </si>
  <si>
    <t>39.50亿</t>
  </si>
  <si>
    <t>47.99亿</t>
  </si>
  <si>
    <t>SH600895</t>
  </si>
  <si>
    <t>18.22亿</t>
  </si>
  <si>
    <t>SH601512</t>
  </si>
  <si>
    <t>中新集团</t>
  </si>
  <si>
    <t>34.14亿</t>
  </si>
  <si>
    <t>13.07亿</t>
  </si>
  <si>
    <t>53.11亿</t>
  </si>
  <si>
    <t>10.84亿</t>
  </si>
  <si>
    <t>9.78亿</t>
  </si>
  <si>
    <t>8.24亿</t>
  </si>
  <si>
    <t>司本期投资收益较上年同期减少63.03%，主要系公司下属合营企业持有的以公允价值计量且其变动计入当期损益的金融资产（已上市股票）本期公允价值上升幅度低于上年同期</t>
    <phoneticPr fontId="1" type="noConversion"/>
  </si>
  <si>
    <t>涨幅%</t>
  </si>
  <si>
    <t>净利润?</t>
  </si>
  <si>
    <t>流通股本</t>
  </si>
  <si>
    <t>研发费用总额[20220630]</t>
  </si>
  <si>
    <t>扣非净利润</t>
  </si>
  <si>
    <t>营业总收入[20201231]</t>
  </si>
  <si>
    <t>净利润[20201231]</t>
  </si>
  <si>
    <t>投入资本回报率roic%[20211231]</t>
  </si>
  <si>
    <t>投入资本回报率roic%[20201231]</t>
  </si>
  <si>
    <t>净资产收益率%[20211231]</t>
  </si>
  <si>
    <t>净资产收益率%[20201231]</t>
  </si>
  <si>
    <t>4527.98亿</t>
  </si>
  <si>
    <t>225.24亿</t>
  </si>
  <si>
    <t>2-1</t>
  </si>
  <si>
    <t>30.89亿</t>
  </si>
  <si>
    <t>1-1</t>
  </si>
  <si>
    <t>2-0</t>
  </si>
  <si>
    <t>6.42亿</t>
  </si>
  <si>
    <t>3542.35万</t>
  </si>
  <si>
    <t>-2-1</t>
  </si>
  <si>
    <t>13.21亿</t>
  </si>
  <si>
    <t>2.21亿</t>
  </si>
  <si>
    <t>426.14亿</t>
  </si>
  <si>
    <t>18.82亿</t>
  </si>
  <si>
    <t>4.06亿</t>
  </si>
  <si>
    <t>4.96亿</t>
  </si>
  <si>
    <t>86.76亿</t>
  </si>
  <si>
    <t>3.43亿</t>
  </si>
  <si>
    <t>5.25亿</t>
  </si>
  <si>
    <t>亏损</t>
  </si>
  <si>
    <t>扭亏</t>
  </si>
  <si>
    <t>1025.84亿</t>
  </si>
  <si>
    <t>37.99亿</t>
  </si>
  <si>
    <t>819.03亿</t>
  </si>
  <si>
    <t>126.86亿</t>
  </si>
  <si>
    <t>232.69亿</t>
  </si>
  <si>
    <t>19.33亿</t>
  </si>
  <si>
    <t>241.55亿</t>
  </si>
  <si>
    <t>16.43亿</t>
  </si>
  <si>
    <t>11.87亿</t>
  </si>
  <si>
    <t>181.81亿</t>
  </si>
  <si>
    <t>10.86亿</t>
  </si>
  <si>
    <t>-1-0</t>
  </si>
  <si>
    <t/>
  </si>
  <si>
    <t>12.12亿</t>
  </si>
  <si>
    <t>6426.91万</t>
  </si>
  <si>
    <t>-3.76亿</t>
  </si>
  <si>
    <t>85.99亿</t>
  </si>
  <si>
    <t>-38.93亿</t>
  </si>
  <si>
    <t>1123.10亿</t>
  </si>
  <si>
    <t>36.01亿</t>
  </si>
  <si>
    <t>10.59亿</t>
  </si>
  <si>
    <t>4.77亿</t>
  </si>
  <si>
    <t>49.11亿</t>
  </si>
  <si>
    <t>1.47亿</t>
  </si>
  <si>
    <t>145.42亿</t>
  </si>
  <si>
    <t>86.67亿</t>
  </si>
  <si>
    <t>5361.41万</t>
  </si>
  <si>
    <t>-3-1</t>
  </si>
  <si>
    <t>1.70亿</t>
  </si>
  <si>
    <t>50.55亿</t>
  </si>
  <si>
    <t>-7.40亿</t>
  </si>
  <si>
    <t>1.71亿</t>
  </si>
  <si>
    <t>13.13亿</t>
  </si>
  <si>
    <t>5137.34万</t>
  </si>
  <si>
    <t>125.44亿</t>
  </si>
  <si>
    <t>792.11亿</t>
  </si>
  <si>
    <t>-33.82亿</t>
  </si>
  <si>
    <t>25.40亿</t>
  </si>
  <si>
    <t>4951.02万</t>
  </si>
  <si>
    <t>1606.43亿</t>
  </si>
  <si>
    <t>103.72亿</t>
  </si>
  <si>
    <t>-1-1</t>
  </si>
  <si>
    <t>472.44亿</t>
  </si>
  <si>
    <t>-49.55亿</t>
  </si>
  <si>
    <t>75.57亿</t>
  </si>
  <si>
    <t>379.76亿</t>
  </si>
  <si>
    <t>30.27亿</t>
  </si>
  <si>
    <t>32.73亿</t>
  </si>
  <si>
    <t>-11.15亿</t>
  </si>
  <si>
    <t>111.80亿</t>
  </si>
  <si>
    <t>2.32亿</t>
  </si>
  <si>
    <t>12.93亿</t>
  </si>
  <si>
    <t>35.86亿</t>
  </si>
  <si>
    <t>1-0</t>
  </si>
  <si>
    <t>1006.79万</t>
  </si>
  <si>
    <t>4.42亿</t>
  </si>
  <si>
    <t>1.79亿</t>
  </si>
  <si>
    <t>开始亏损</t>
  </si>
  <si>
    <t>46.65亿</t>
  </si>
  <si>
    <t>-18.44亿</t>
  </si>
  <si>
    <t>512.41亿</t>
  </si>
  <si>
    <t>31.95亿</t>
  </si>
  <si>
    <t>431.81亿</t>
  </si>
  <si>
    <t>-390.30亿</t>
  </si>
  <si>
    <t>678.02亿</t>
  </si>
  <si>
    <t>2000.00万</t>
  </si>
  <si>
    <t>5.11亿</t>
  </si>
  <si>
    <t>94.10亿</t>
  </si>
  <si>
    <t>40.95亿</t>
  </si>
  <si>
    <t>10.13亿</t>
  </si>
  <si>
    <t>-2519.41万</t>
  </si>
  <si>
    <t>808.44万</t>
  </si>
  <si>
    <t>9630.68万</t>
  </si>
  <si>
    <t>204.63亿</t>
  </si>
  <si>
    <t>-20.54亿</t>
  </si>
  <si>
    <t>43.94亿</t>
  </si>
  <si>
    <t>11.14亿</t>
  </si>
  <si>
    <t>8.15亿</t>
  </si>
  <si>
    <t>61.79亿</t>
  </si>
  <si>
    <t>3.65亿</t>
  </si>
  <si>
    <t>46.17亿</t>
  </si>
  <si>
    <t>16.23亿</t>
  </si>
  <si>
    <t>8.80亿</t>
  </si>
  <si>
    <t>91.93亿</t>
  </si>
  <si>
    <t>7.71亿</t>
  </si>
  <si>
    <t>221.05亿</t>
  </si>
  <si>
    <t>19.65亿</t>
  </si>
  <si>
    <t>3157.50万</t>
  </si>
  <si>
    <t>138.72亿</t>
  </si>
  <si>
    <t>43.11亿</t>
  </si>
  <si>
    <t>69.42亿</t>
  </si>
  <si>
    <t>95.97亿</t>
  </si>
  <si>
    <t>67.66亿</t>
  </si>
  <si>
    <t>15.06亿</t>
  </si>
  <si>
    <t>4561.09万</t>
  </si>
  <si>
    <t>258.80亿</t>
  </si>
  <si>
    <t>7008.21万</t>
  </si>
  <si>
    <t>4.41亿</t>
  </si>
  <si>
    <t>3529.53万</t>
  </si>
  <si>
    <t>136.93亿</t>
  </si>
  <si>
    <t>-6.69亿</t>
  </si>
  <si>
    <t>5.32亿</t>
  </si>
  <si>
    <t>21.33亿</t>
  </si>
  <si>
    <t>575.04万</t>
  </si>
  <si>
    <t>-7017.58万</t>
  </si>
  <si>
    <t>61.32亿</t>
  </si>
  <si>
    <t>20.97亿</t>
  </si>
  <si>
    <t>1682.32亿</t>
  </si>
  <si>
    <t>125.98亿</t>
  </si>
  <si>
    <t>39.17亿</t>
  </si>
  <si>
    <t>15.22亿</t>
  </si>
  <si>
    <t>成交量[20220902]</t>
  </si>
  <si>
    <t>营业收入(同比增长率) %[20220630]</t>
  </si>
  <si>
    <t>LY营业总收入[20211231]</t>
  </si>
  <si>
    <t>净利润[20211231]</t>
  </si>
  <si>
    <t>权益乘数[20220630]</t>
  </si>
  <si>
    <t>总资产周转率[20220630]</t>
  </si>
  <si>
    <t>净利润／营业总收入%[20220630]</t>
  </si>
  <si>
    <t>营业总成本[20220630]</t>
  </si>
  <si>
    <t>营业成本[20220630]</t>
  </si>
  <si>
    <t>销售费用[20220630]</t>
  </si>
  <si>
    <t>管理费用[20220630]</t>
  </si>
  <si>
    <t>其他收入[20220630]</t>
  </si>
  <si>
    <t>货币资金[20220630]</t>
  </si>
  <si>
    <t>应收票据[20220630]</t>
  </si>
  <si>
    <t>固定资产[20220630]</t>
  </si>
  <si>
    <t>在建工程[20220630]</t>
  </si>
  <si>
    <t>短期借款[20220630]</t>
  </si>
  <si>
    <t>应付票据[20220630]</t>
  </si>
  <si>
    <t>应付账款[20220630]</t>
  </si>
  <si>
    <t>预收款项[20220630]</t>
  </si>
  <si>
    <t>流动负债[20220630]</t>
  </si>
  <si>
    <t>长期借款[20220630]</t>
  </si>
  <si>
    <t>经营活动产生的现金流量净额[20220630]</t>
  </si>
  <si>
    <t>投资活动产生的现金流量净额[20220630]</t>
  </si>
  <si>
    <t>筹资活动产生的现金流量净额[20220630]</t>
  </si>
  <si>
    <t>CYLQ营业收入[20220331]</t>
  </si>
  <si>
    <t>LYCQ营业收入[20210630]</t>
  </si>
  <si>
    <t>LYLQ营业收入[20210331]</t>
  </si>
  <si>
    <t>CYLQ净利润[20220331]</t>
  </si>
  <si>
    <t>LYCQ净利润[20210630]</t>
  </si>
  <si>
    <t>LYLQ净利润[20210331]</t>
  </si>
  <si>
    <t>投入资本回报率roic%[20220331]</t>
  </si>
  <si>
    <t>细分行业</t>
  </si>
  <si>
    <t>销售毛利率%[20220331]</t>
  </si>
  <si>
    <t>销售净利率%[20220331]</t>
  </si>
  <si>
    <t>区间涨跌幅:前复权%[20220829-20220902]</t>
  </si>
  <si>
    <t>区间涨跌幅:前复权%[20220725-20220902]</t>
  </si>
  <si>
    <t>区间成交量[20220829-20220902]</t>
  </si>
  <si>
    <t>指数@区间成交量[20220725-20220902]</t>
  </si>
  <si>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</si>
  <si>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</si>
  <si>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</si>
  <si>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</si>
  <si>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</si>
  <si>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</si>
  <si>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</si>
  <si>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</si>
  <si>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</si>
  <si>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</si>
  <si>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</si>
  <si>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</si>
  <si>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</si>
  <si>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</si>
  <si>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</si>
  <si>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</si>
  <si>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</si>
  <si>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</si>
  <si>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</si>
  <si>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</si>
  <si>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</si>
  <si>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</si>
  <si>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</si>
  <si>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</si>
  <si>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</si>
  <si>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</si>
  <si>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</si>
  <si>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</si>
  <si>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</si>
  <si>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</si>
  <si>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</si>
  <si>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</si>
  <si>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</si>
  <si>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</si>
  <si>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</si>
  <si>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</si>
  <si>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</si>
  <si>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</si>
  <si>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</si>
  <si>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</si>
  <si>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</si>
  <si>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</si>
  <si>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住宅开发</t>
  </si>
  <si>
    <t>4.26亿</t>
  </si>
  <si>
    <t>1.32亿</t>
  </si>
  <si>
    <t>商业地产</t>
  </si>
  <si>
    <t>15.84亿</t>
  </si>
  <si>
    <t>1.83亿</t>
  </si>
  <si>
    <t>1.24亿</t>
  </si>
  <si>
    <t>9.67亿</t>
  </si>
  <si>
    <t>3.28亿</t>
  </si>
  <si>
    <t>5.47亿</t>
  </si>
  <si>
    <t>6.31亿</t>
  </si>
  <si>
    <t>4.22亿</t>
  </si>
  <si>
    <t>1.60亿</t>
  </si>
  <si>
    <t>4.39亿</t>
  </si>
  <si>
    <t>保利发展</t>
  </si>
  <si>
    <t>2.27亿</t>
  </si>
  <si>
    <t>产业地产</t>
  </si>
  <si>
    <t>2.77亿</t>
  </si>
  <si>
    <t>-2.09亿</t>
  </si>
  <si>
    <t>首开股份</t>
  </si>
  <si>
    <t>光明地产</t>
  </si>
  <si>
    <t>张江高科</t>
  </si>
  <si>
    <t>18.86亿</t>
  </si>
  <si>
    <t>2.72亿</t>
  </si>
  <si>
    <t>6.99亿</t>
  </si>
  <si>
    <t>3.10亿</t>
  </si>
  <si>
    <t>1.公司本期实现园区综合开发销售收入，而去年同期无该类销售，因此园区综合开发销售收入较上年有较大幅度增长。</t>
    <phoneticPr fontId="1" type="noConversion"/>
  </si>
  <si>
    <t>2.23亿</t>
  </si>
  <si>
    <t>1.89亿</t>
  </si>
  <si>
    <t>84.68亿</t>
  </si>
  <si>
    <t>-1.77亿</t>
  </si>
  <si>
    <t>7.64亿</t>
  </si>
  <si>
    <t>3.48亿</t>
  </si>
  <si>
    <t>17.06亿</t>
  </si>
  <si>
    <t>6.89亿</t>
  </si>
  <si>
    <t>5000.00万</t>
  </si>
  <si>
    <t>3.50亿</t>
  </si>
  <si>
    <t>9.04亿</t>
  </si>
  <si>
    <t>15.96亿</t>
  </si>
  <si>
    <t>45.83亿</t>
  </si>
  <si>
    <t>4.34亿</t>
  </si>
  <si>
    <t>17.64亿</t>
  </si>
  <si>
    <t>8.67亿</t>
  </si>
  <si>
    <t>4.87亿</t>
  </si>
  <si>
    <t>3.16亿</t>
  </si>
  <si>
    <t>1.54亿</t>
  </si>
  <si>
    <t>14.05亿</t>
  </si>
  <si>
    <t>3.89亿</t>
  </si>
  <si>
    <t>12.63亿</t>
  </si>
  <si>
    <t>3.17亿</t>
  </si>
  <si>
    <t>-3.29亿</t>
  </si>
  <si>
    <t>8.31亿</t>
  </si>
  <si>
    <t>3.34亿</t>
  </si>
  <si>
    <t>2.13亿</t>
  </si>
  <si>
    <t>26.31亿</t>
  </si>
  <si>
    <t>21.79亿</t>
  </si>
  <si>
    <t>-2.51亿</t>
  </si>
  <si>
    <t>36.71亿</t>
  </si>
  <si>
    <t>10.29亿</t>
  </si>
  <si>
    <t>6.14亿</t>
  </si>
  <si>
    <t>15.17亿</t>
  </si>
  <si>
    <t>52.34亿</t>
  </si>
  <si>
    <t>6.93亿</t>
  </si>
  <si>
    <t>10000.00万</t>
  </si>
  <si>
    <t>14.76亿</t>
  </si>
  <si>
    <t>9.47亿</t>
  </si>
  <si>
    <t>2.70亿</t>
  </si>
  <si>
    <t>3.41亿</t>
  </si>
  <si>
    <t>8.68亿</t>
  </si>
  <si>
    <t>5.82亿</t>
  </si>
  <si>
    <t>30.02亿</t>
  </si>
  <si>
    <t>1.深圳市国资委控股；</t>
    <phoneticPr fontId="1" type="noConversion"/>
  </si>
  <si>
    <t>不分配不转增</t>
  </si>
  <si>
    <t>10派0.3元(含税)</t>
  </si>
  <si>
    <t>10派1.6元(含税)</t>
  </si>
  <si>
    <t>5.58亿</t>
  </si>
  <si>
    <t>1.63亿</t>
  </si>
  <si>
    <t>10派0.1元(含税)</t>
  </si>
  <si>
    <t>4.36亿</t>
  </si>
  <si>
    <t>10派0.5元(含税)</t>
  </si>
  <si>
    <t>3.04亿</t>
  </si>
  <si>
    <t>2.02亿</t>
  </si>
  <si>
    <t>10派1.5元(含税)</t>
  </si>
  <si>
    <t>2.74亿</t>
  </si>
  <si>
    <t>1.58亿</t>
  </si>
  <si>
    <t>2.84亿</t>
  </si>
  <si>
    <t>1.75亿</t>
  </si>
  <si>
    <t>10派0.05元(含税)</t>
  </si>
  <si>
    <t>10派1.2元(含税)</t>
  </si>
  <si>
    <t>6.18亿</t>
  </si>
  <si>
    <t>3-0</t>
  </si>
  <si>
    <t>1.30亿</t>
  </si>
  <si>
    <t>5038.38亿</t>
  </si>
  <si>
    <t>2.46亿</t>
  </si>
  <si>
    <t>37.00亿</t>
  </si>
  <si>
    <t>37.09亿</t>
  </si>
  <si>
    <t>5.38亿</t>
  </si>
  <si>
    <t>4.01亿</t>
  </si>
  <si>
    <t>10.25亿</t>
  </si>
  <si>
    <t>12.55亿</t>
  </si>
  <si>
    <t>6.34亿</t>
  </si>
  <si>
    <t>4.21亿</t>
  </si>
  <si>
    <t>2.73亿</t>
  </si>
  <si>
    <t>395.79亿</t>
  </si>
  <si>
    <t>-28.83亿</t>
  </si>
  <si>
    <t>23.44亿</t>
  </si>
  <si>
    <t>19.51亿</t>
  </si>
  <si>
    <t>70.83亿</t>
  </si>
  <si>
    <t>7.48亿</t>
  </si>
  <si>
    <t>10派0.12元(含税)</t>
  </si>
  <si>
    <t>14.01亿</t>
  </si>
  <si>
    <t>21.76亿</t>
  </si>
  <si>
    <t>40.69亿</t>
  </si>
  <si>
    <t>4.37亿</t>
  </si>
  <si>
    <t>2645.09万</t>
  </si>
  <si>
    <t>2941.52亿</t>
  </si>
  <si>
    <t>1006.51亿</t>
  </si>
  <si>
    <t>6916525600亿</t>
  </si>
  <si>
    <t>767.67亿</t>
  </si>
  <si>
    <t>-109.05亿</t>
  </si>
  <si>
    <t>70.03亿</t>
  </si>
  <si>
    <t>55.23亿</t>
  </si>
  <si>
    <t>4.46亿</t>
  </si>
  <si>
    <t>122419434亿</t>
  </si>
  <si>
    <t>1498.72万</t>
  </si>
  <si>
    <t>-3.38亿</t>
  </si>
  <si>
    <t>371.91亿</t>
  </si>
  <si>
    <t>920697240亿</t>
  </si>
  <si>
    <t>297400240000亿</t>
  </si>
  <si>
    <t>59.21亿</t>
  </si>
  <si>
    <t>44.27亿</t>
  </si>
  <si>
    <t>2278.75万</t>
  </si>
  <si>
    <t>311.48亿</t>
  </si>
  <si>
    <t>2.93亿</t>
  </si>
  <si>
    <t>1759.59亿</t>
  </si>
  <si>
    <t>1114.33亿</t>
  </si>
  <si>
    <t>-79.82亿</t>
  </si>
  <si>
    <t>-3.34亿</t>
  </si>
  <si>
    <t>38.71亿</t>
  </si>
  <si>
    <t>74.73亿</t>
  </si>
  <si>
    <t>264.64亿</t>
  </si>
  <si>
    <t>29.65亿</t>
  </si>
  <si>
    <t>99.39亿</t>
  </si>
  <si>
    <t>10派3.2元(含税)</t>
  </si>
  <si>
    <t>3.64亿</t>
  </si>
  <si>
    <t>205.06亿</t>
  </si>
  <si>
    <t>8.46亿</t>
  </si>
  <si>
    <t>3000.00万</t>
  </si>
  <si>
    <t>47.00亿</t>
  </si>
  <si>
    <t>10.88亿</t>
  </si>
  <si>
    <t>10派0.2元(含税)</t>
  </si>
  <si>
    <t>141.57亿</t>
  </si>
  <si>
    <t>9.43亿</t>
  </si>
  <si>
    <t>16.53亿</t>
  </si>
  <si>
    <t>90822905亿</t>
  </si>
  <si>
    <t>4155.20万</t>
  </si>
  <si>
    <t>7685.05万</t>
  </si>
  <si>
    <t>273.52万</t>
  </si>
  <si>
    <t>1425.93万</t>
  </si>
  <si>
    <t>146.03万</t>
  </si>
  <si>
    <t>16053058亿</t>
  </si>
  <si>
    <t>3.60万</t>
  </si>
  <si>
    <t>847.04万</t>
  </si>
  <si>
    <t>31195122亿</t>
  </si>
  <si>
    <t>1017688650亿</t>
  </si>
  <si>
    <t>98.87万</t>
  </si>
  <si>
    <t>3467.31万</t>
  </si>
  <si>
    <t>6.57亿</t>
  </si>
  <si>
    <t>-3460.17万</t>
  </si>
  <si>
    <t>-2.33亿</t>
  </si>
  <si>
    <t>5462.89万</t>
  </si>
  <si>
    <t>-629.99万</t>
  </si>
  <si>
    <t>10派0.8元(含税)</t>
  </si>
  <si>
    <t>16.78亿</t>
  </si>
  <si>
    <t>3.81亿</t>
  </si>
  <si>
    <t>-3.84亿</t>
  </si>
  <si>
    <t>-2.93亿</t>
  </si>
  <si>
    <t>52.53亿</t>
  </si>
  <si>
    <t>-34.16亿</t>
  </si>
  <si>
    <t>548.62亿</t>
  </si>
  <si>
    <t>-213.92亿</t>
  </si>
  <si>
    <t>116.42亿</t>
  </si>
  <si>
    <t>-2.94亿</t>
  </si>
  <si>
    <t>2.15亿</t>
  </si>
  <si>
    <t>3161.33万</t>
  </si>
  <si>
    <t>52.15亿</t>
  </si>
  <si>
    <t>99.06亿</t>
  </si>
  <si>
    <t>433602660亿</t>
  </si>
  <si>
    <t>22.39亿</t>
  </si>
  <si>
    <t>2.88亿</t>
  </si>
  <si>
    <t>3355.91万</t>
  </si>
  <si>
    <t>6291.94万</t>
  </si>
  <si>
    <t>379.2亿</t>
  </si>
  <si>
    <t>352.37万</t>
  </si>
  <si>
    <t>7.04亿</t>
  </si>
  <si>
    <t>87508051亿</t>
  </si>
  <si>
    <t>11478866500亿</t>
  </si>
  <si>
    <t>334.72万</t>
  </si>
  <si>
    <t>14.39亿</t>
  </si>
  <si>
    <t>1255.75万</t>
  </si>
  <si>
    <t>44.62亿</t>
  </si>
  <si>
    <t>1932.68万</t>
  </si>
  <si>
    <t>-273.72万</t>
  </si>
  <si>
    <t>-3.30亿</t>
  </si>
  <si>
    <t>29.90亿</t>
  </si>
  <si>
    <t>7915.89万</t>
  </si>
  <si>
    <t>3.42亿</t>
  </si>
  <si>
    <t>0358000000</t>
  </si>
  <si>
    <t>01074000000</t>
  </si>
  <si>
    <t>02148000000</t>
  </si>
  <si>
    <t>03580000000</t>
  </si>
  <si>
    <t>07160000000</t>
  </si>
  <si>
    <t>8.79亿</t>
  </si>
  <si>
    <t>2.42亿</t>
  </si>
  <si>
    <t>5026.35万</t>
  </si>
  <si>
    <t>1214.39亿</t>
  </si>
  <si>
    <t>188.02亿</t>
  </si>
  <si>
    <t>2688856800亿</t>
  </si>
  <si>
    <t>384.67亿</t>
  </si>
  <si>
    <t>3393.95万</t>
  </si>
  <si>
    <t>26.97亿</t>
  </si>
  <si>
    <t>23.74亿</t>
  </si>
  <si>
    <t>8704.52万</t>
  </si>
  <si>
    <t>485.89万</t>
  </si>
  <si>
    <t>-8987017亿</t>
  </si>
  <si>
    <t>107.82万</t>
  </si>
  <si>
    <t>129.57亿</t>
  </si>
  <si>
    <t>33184909亿</t>
  </si>
  <si>
    <t>131734248000亿</t>
  </si>
  <si>
    <t>22.41亿</t>
  </si>
  <si>
    <t>6.75亿</t>
  </si>
  <si>
    <t>139.40亿</t>
  </si>
  <si>
    <t>163.61万</t>
  </si>
  <si>
    <t>741.41亿</t>
  </si>
  <si>
    <t>231.72亿</t>
  </si>
  <si>
    <t>-10.50亿</t>
  </si>
  <si>
    <t>39.48亿</t>
  </si>
  <si>
    <t>-4154.41万</t>
  </si>
  <si>
    <t>9.26亿</t>
  </si>
  <si>
    <t>73.15亿</t>
  </si>
  <si>
    <t>3044.77万</t>
  </si>
  <si>
    <t>8.84亿</t>
  </si>
  <si>
    <t>6448.06万</t>
  </si>
  <si>
    <t>57.84亿</t>
  </si>
  <si>
    <t>11.57亿</t>
  </si>
  <si>
    <t>1904719500亿</t>
  </si>
  <si>
    <t>41.96亿</t>
  </si>
  <si>
    <t>-2.30亿</t>
  </si>
  <si>
    <t>18.63亿</t>
  </si>
  <si>
    <t>17.88亿</t>
  </si>
  <si>
    <t>4825.43万</t>
  </si>
  <si>
    <t>1606.59万</t>
  </si>
  <si>
    <t>69.41万</t>
  </si>
  <si>
    <t>-45414亿</t>
  </si>
  <si>
    <t>34.54万</t>
  </si>
  <si>
    <t>-538.39万</t>
  </si>
  <si>
    <t>7.70亿</t>
  </si>
  <si>
    <t>48074894亿</t>
  </si>
  <si>
    <t>6334495000亿</t>
  </si>
  <si>
    <t>526.05万</t>
  </si>
  <si>
    <t>6297.06万</t>
  </si>
  <si>
    <t>11.24亿</t>
  </si>
  <si>
    <t>2463.58万</t>
  </si>
  <si>
    <t>51.42亿</t>
  </si>
  <si>
    <t>5.60亿</t>
  </si>
  <si>
    <t>-1.27亿</t>
  </si>
  <si>
    <t>-480.13万</t>
  </si>
  <si>
    <t>-1.23亿</t>
  </si>
  <si>
    <t>1794.99万</t>
  </si>
  <si>
    <t>2.05亿</t>
  </si>
  <si>
    <t>1.69亿</t>
  </si>
  <si>
    <t>14.20亿</t>
  </si>
  <si>
    <t>2.63亿</t>
  </si>
  <si>
    <t>ST数源</t>
  </si>
  <si>
    <t>9.40亿</t>
  </si>
  <si>
    <t>2.59亿</t>
  </si>
  <si>
    <t>-1.78亿</t>
  </si>
  <si>
    <t>2699.66万</t>
  </si>
  <si>
    <t>259.00亿</t>
  </si>
  <si>
    <t>124.00亿</t>
  </si>
  <si>
    <t>1380248200亿</t>
  </si>
  <si>
    <t>151.42亿</t>
  </si>
  <si>
    <t>7454.86万</t>
  </si>
  <si>
    <t>6729.75万</t>
  </si>
  <si>
    <t>3459.56万</t>
  </si>
  <si>
    <t>205.11万</t>
  </si>
  <si>
    <t>4050.71万</t>
  </si>
  <si>
    <t>29.99亿</t>
  </si>
  <si>
    <t>332494600亿</t>
  </si>
  <si>
    <t>29732413000亿</t>
  </si>
  <si>
    <t>2353.76万</t>
  </si>
  <si>
    <t>20.45亿</t>
  </si>
  <si>
    <t>2218.30万</t>
  </si>
  <si>
    <t>198.51亿</t>
  </si>
  <si>
    <t>8.02亿</t>
  </si>
  <si>
    <t>1794.55万</t>
  </si>
  <si>
    <t>-5.30亿</t>
  </si>
  <si>
    <t>16.56亿</t>
  </si>
  <si>
    <t>3704.72万</t>
  </si>
  <si>
    <t>8316.12万</t>
  </si>
  <si>
    <t>590.36亿</t>
  </si>
  <si>
    <t>-6.48亿</t>
  </si>
  <si>
    <t>24.65亿</t>
  </si>
  <si>
    <t>2330.31万</t>
  </si>
  <si>
    <t>8.98亿</t>
  </si>
  <si>
    <t>56.58亿</t>
  </si>
  <si>
    <t>13.94亿</t>
  </si>
  <si>
    <t>11.97亿</t>
  </si>
  <si>
    <t>1.44亿</t>
  </si>
  <si>
    <t>1830.03亿</t>
  </si>
  <si>
    <t>7.19亿</t>
  </si>
  <si>
    <t>-1.59亿</t>
  </si>
  <si>
    <t>47.12亿</t>
  </si>
  <si>
    <t>73.64亿</t>
  </si>
  <si>
    <t>60.20亿</t>
  </si>
  <si>
    <t>4.64亿</t>
  </si>
  <si>
    <t>10.30亿</t>
  </si>
  <si>
    <t>40.26亿</t>
  </si>
  <si>
    <t>8.22亿</t>
  </si>
  <si>
    <t>6.53亿</t>
  </si>
  <si>
    <t>415.02亿</t>
  </si>
  <si>
    <t>5.41亿</t>
  </si>
  <si>
    <t>10派2.5元(含税)</t>
  </si>
  <si>
    <t>98.19亿</t>
  </si>
  <si>
    <t>20.75亿</t>
  </si>
  <si>
    <t>11.10亿</t>
  </si>
  <si>
    <t>121.50亿</t>
  </si>
  <si>
    <t>6.80亿</t>
  </si>
  <si>
    <t>11.16亿</t>
  </si>
  <si>
    <t>9.90亿</t>
  </si>
  <si>
    <t>2431.09亿</t>
  </si>
  <si>
    <t>2810.17亿</t>
  </si>
  <si>
    <t>335.37亿</t>
  </si>
  <si>
    <t>24.02亿</t>
  </si>
  <si>
    <t>3.46亿</t>
  </si>
  <si>
    <t>5.31亿</t>
  </si>
  <si>
    <t>29.04亿</t>
  </si>
  <si>
    <t>44.82亿</t>
  </si>
  <si>
    <t>111.40亿</t>
  </si>
  <si>
    <t>17.33亿</t>
  </si>
  <si>
    <t>1998.72万</t>
  </si>
  <si>
    <t>10.48亿</t>
  </si>
  <si>
    <t>17.55亿</t>
  </si>
  <si>
    <t>22179619亿</t>
  </si>
  <si>
    <t>4.93亿</t>
  </si>
  <si>
    <t>1016.52万</t>
  </si>
  <si>
    <t>2567.71万</t>
  </si>
  <si>
    <t>928.19万</t>
  </si>
  <si>
    <t>63.79万</t>
  </si>
  <si>
    <t>242.35万</t>
  </si>
  <si>
    <t>755289亿</t>
  </si>
  <si>
    <t>-262.66万</t>
  </si>
  <si>
    <t>156131490亿</t>
  </si>
  <si>
    <t>2456858800亿</t>
  </si>
  <si>
    <t>532.72万</t>
  </si>
  <si>
    <t>6847.08万</t>
  </si>
  <si>
    <t>1670.34万</t>
  </si>
  <si>
    <t>75.53万</t>
  </si>
  <si>
    <t>-5627.33万</t>
  </si>
  <si>
    <t>-1174.17万</t>
  </si>
  <si>
    <t>5151.86万</t>
  </si>
  <si>
    <t>73.61亿</t>
  </si>
  <si>
    <t>1.19亿</t>
  </si>
  <si>
    <t>8.21亿</t>
  </si>
  <si>
    <t>1.29亿</t>
  </si>
  <si>
    <t>-1.72亿</t>
  </si>
  <si>
    <t>60.55亿</t>
  </si>
  <si>
    <t>-10.29亿</t>
  </si>
  <si>
    <t>11.66亿</t>
  </si>
  <si>
    <t>40.47亿</t>
  </si>
  <si>
    <t>4.60亿</t>
  </si>
  <si>
    <t>128.99亿</t>
  </si>
  <si>
    <t>18.58亿</t>
  </si>
  <si>
    <t>39.43万</t>
  </si>
  <si>
    <t>7672.72万</t>
  </si>
  <si>
    <t>151.03亿</t>
  </si>
  <si>
    <t>6.38亿</t>
  </si>
  <si>
    <t>1716624900亿</t>
  </si>
  <si>
    <t>33.60亿</t>
  </si>
  <si>
    <t>-2.96亿</t>
  </si>
  <si>
    <t>18.06亿</t>
  </si>
  <si>
    <t>15.29亿</t>
  </si>
  <si>
    <t>9692.09万</t>
  </si>
  <si>
    <t>2262.04万</t>
  </si>
  <si>
    <t>7.16亿</t>
  </si>
  <si>
    <t>-1836302亿</t>
  </si>
  <si>
    <t>2196.55万</t>
  </si>
  <si>
    <t>1121792亿</t>
  </si>
  <si>
    <t>13926833000亿</t>
  </si>
  <si>
    <t>19.46亿</t>
  </si>
  <si>
    <t>15.48万</t>
  </si>
  <si>
    <t>97.45亿</t>
  </si>
  <si>
    <t>-8.45万</t>
  </si>
  <si>
    <t>-1.03亿</t>
  </si>
  <si>
    <t>5.99亿</t>
  </si>
  <si>
    <t>9.15亿</t>
  </si>
  <si>
    <t>5.15亿</t>
  </si>
  <si>
    <t>10派3.7元(含税)</t>
  </si>
  <si>
    <t>6.20亿</t>
  </si>
  <si>
    <t>319.42亿</t>
  </si>
  <si>
    <t>14.67亿</t>
  </si>
  <si>
    <t>479.21亿</t>
  </si>
  <si>
    <t>-4.61亿</t>
  </si>
  <si>
    <t>23.47亿</t>
  </si>
  <si>
    <t>989.35亿</t>
  </si>
  <si>
    <t>836.57亿</t>
  </si>
  <si>
    <t>1200.35亿</t>
  </si>
  <si>
    <t>115.45亿</t>
  </si>
  <si>
    <t>69.14亿</t>
  </si>
  <si>
    <t>10派1.0元(含税)</t>
  </si>
  <si>
    <t>227.89亿</t>
  </si>
  <si>
    <t>-34.97亿</t>
  </si>
  <si>
    <t>3.75亿</t>
  </si>
  <si>
    <t>66.50亿</t>
  </si>
  <si>
    <t>7.12亿</t>
  </si>
  <si>
    <t>43.21亿</t>
  </si>
  <si>
    <t>4.74亿</t>
  </si>
  <si>
    <t>7831.17万</t>
  </si>
  <si>
    <t>10.32亿</t>
  </si>
  <si>
    <t>9.16亿</t>
  </si>
  <si>
    <t>5442.86亿</t>
  </si>
  <si>
    <t>4557.53亿</t>
  </si>
  <si>
    <t>4355.20亿</t>
  </si>
  <si>
    <t>55.70亿</t>
  </si>
  <si>
    <t>5800.29万</t>
  </si>
  <si>
    <t>5.78亿</t>
  </si>
  <si>
    <t>11.94亿</t>
  </si>
  <si>
    <t>43.17亿</t>
  </si>
  <si>
    <t>10派0.26元(含税)</t>
  </si>
  <si>
    <t>50.53亿</t>
  </si>
  <si>
    <t>12.03亿</t>
  </si>
  <si>
    <t>13.89亿</t>
  </si>
  <si>
    <t>9.07亿</t>
  </si>
  <si>
    <t>11.58亿</t>
  </si>
  <si>
    <t>3.35亿</t>
  </si>
  <si>
    <t>-1.84亿</t>
  </si>
  <si>
    <t>12.41亿</t>
  </si>
  <si>
    <t>87.44亿</t>
  </si>
  <si>
    <t>101.51亿</t>
  </si>
  <si>
    <t>90.58亿</t>
  </si>
  <si>
    <t>7.83亿</t>
  </si>
  <si>
    <t>182.48亿</t>
  </si>
  <si>
    <t>5.50亿</t>
  </si>
  <si>
    <t>51.50亿</t>
  </si>
  <si>
    <t>7.21亿</t>
  </si>
  <si>
    <t>-2.63亿</t>
  </si>
  <si>
    <t>105.52亿</t>
  </si>
  <si>
    <t>5.65亿</t>
  </si>
  <si>
    <t>2.85亿</t>
  </si>
  <si>
    <t>-3.26亿</t>
  </si>
  <si>
    <t>55.52亿</t>
  </si>
  <si>
    <t>165.41亿</t>
  </si>
  <si>
    <t>5120.93万</t>
  </si>
  <si>
    <t>51.85亿</t>
  </si>
  <si>
    <t>-3.91亿</t>
  </si>
  <si>
    <t>SH600724</t>
  </si>
  <si>
    <t>宁波富达</t>
  </si>
  <si>
    <t>32.56亿</t>
  </si>
  <si>
    <t>3.30亿</t>
  </si>
  <si>
    <t>31.45亿</t>
  </si>
  <si>
    <t>51.63亿</t>
  </si>
  <si>
    <t>7.47亿</t>
  </si>
  <si>
    <t>-8.72亿</t>
  </si>
  <si>
    <t>7.36亿</t>
  </si>
  <si>
    <t>107.24亿</t>
  </si>
  <si>
    <t>119.80亿</t>
  </si>
  <si>
    <t>4.07亿</t>
  </si>
  <si>
    <t>109.24亿</t>
  </si>
  <si>
    <t>13.31亿</t>
  </si>
  <si>
    <t>52.48亿</t>
  </si>
  <si>
    <t>100.63亿</t>
  </si>
  <si>
    <t>65.27亿</t>
  </si>
  <si>
    <t>79.94亿</t>
  </si>
  <si>
    <t>73.16亿</t>
  </si>
  <si>
    <t>5.69亿</t>
  </si>
  <si>
    <t>7.39亿</t>
  </si>
  <si>
    <t>24.56亿</t>
  </si>
  <si>
    <t>-6.41亿</t>
  </si>
  <si>
    <t>56.59亿</t>
  </si>
  <si>
    <t>1697.05万</t>
  </si>
  <si>
    <t>17.17亿</t>
  </si>
  <si>
    <t>448.45万</t>
  </si>
  <si>
    <t>64.50亿</t>
  </si>
  <si>
    <t>36.80亿</t>
  </si>
  <si>
    <t>1009738630亿</t>
  </si>
  <si>
    <t>39.43亿</t>
  </si>
  <si>
    <t>408.16万</t>
  </si>
  <si>
    <t>3927.02万</t>
  </si>
  <si>
    <t>3806.98万</t>
  </si>
  <si>
    <t>21764271亿</t>
  </si>
  <si>
    <t>541.90万</t>
  </si>
  <si>
    <t>7384.43万</t>
  </si>
  <si>
    <t>41.39亿</t>
  </si>
  <si>
    <t>623782320亿</t>
  </si>
  <si>
    <t>483.34万</t>
  </si>
  <si>
    <t>8784983900亿</t>
  </si>
  <si>
    <t>4680.42万</t>
  </si>
  <si>
    <t>12.85亿</t>
  </si>
  <si>
    <t>936.12万</t>
  </si>
  <si>
    <t>2074.39万</t>
  </si>
  <si>
    <t>64.10亿</t>
  </si>
  <si>
    <t>3345.88万</t>
  </si>
  <si>
    <t>-1.79亿</t>
  </si>
  <si>
    <t>1322.56万</t>
  </si>
  <si>
    <t>-7885.30万</t>
  </si>
  <si>
    <t>7.10亿</t>
  </si>
  <si>
    <t>5602.16万</t>
  </si>
  <si>
    <t>10派1.7元(含税)</t>
  </si>
  <si>
    <t>3116.38万</t>
  </si>
  <si>
    <t>59.99亿</t>
  </si>
  <si>
    <t>10.09亿</t>
  </si>
  <si>
    <t>62.91亿</t>
  </si>
  <si>
    <t>SH600854</t>
  </si>
  <si>
    <t>春兰股份</t>
  </si>
  <si>
    <t>9923.32万</t>
  </si>
  <si>
    <t>3983.85万</t>
  </si>
  <si>
    <t>2695.95万</t>
  </si>
  <si>
    <t>4082.93万</t>
  </si>
  <si>
    <t>19.07亿</t>
  </si>
  <si>
    <t>7.91亿</t>
  </si>
  <si>
    <t>1154.57亿</t>
  </si>
  <si>
    <t>6.65亿</t>
  </si>
  <si>
    <t>47.42亿</t>
  </si>
  <si>
    <t>16.08亿</t>
  </si>
  <si>
    <t>4.04亿</t>
  </si>
  <si>
    <t>14.06亿</t>
  </si>
  <si>
    <t>129.89亿</t>
  </si>
  <si>
    <t>-15.76亿</t>
  </si>
  <si>
    <t>221.83亿</t>
  </si>
  <si>
    <t>2.96亿</t>
  </si>
  <si>
    <t>SZ000668</t>
  </si>
  <si>
    <t>荣丰控股</t>
  </si>
  <si>
    <t>6.39亿</t>
  </si>
  <si>
    <t>-3793.14万</t>
  </si>
  <si>
    <t>1.80亿</t>
  </si>
  <si>
    <t>2.52亿</t>
  </si>
  <si>
    <t>-2317.91万</t>
  </si>
  <si>
    <t>3664.77万</t>
  </si>
  <si>
    <t>882.81万</t>
  </si>
  <si>
    <t>245.62亿</t>
  </si>
  <si>
    <t>-9.26亿</t>
  </si>
  <si>
    <t>2.04亿</t>
  </si>
  <si>
    <t>-3191.00万</t>
  </si>
  <si>
    <t>400.00万</t>
  </si>
  <si>
    <t>12.25亿</t>
  </si>
  <si>
    <t>458.04万</t>
  </si>
  <si>
    <t>房地产</t>
  </si>
  <si>
    <t>11019.17亿</t>
  </si>
  <si>
    <t>3995.33亿</t>
  </si>
  <si>
    <t>615.94亿</t>
  </si>
  <si>
    <t>4657.39亿</t>
  </si>
  <si>
    <t>121.63亿</t>
  </si>
  <si>
    <t>618.50亿</t>
  </si>
  <si>
    <t>549.29亿</t>
  </si>
  <si>
    <t>15.26亿</t>
  </si>
  <si>
    <t>1040143210亿</t>
  </si>
  <si>
    <t>-1674616100亿</t>
  </si>
  <si>
    <t>830.66亿</t>
  </si>
  <si>
    <t>8775143500亿</t>
  </si>
  <si>
    <t>2457.39万</t>
  </si>
  <si>
    <t>1111071320000亿</t>
  </si>
  <si>
    <t>25.27亿</t>
  </si>
  <si>
    <t>19.75亿</t>
  </si>
  <si>
    <t>797.07万</t>
  </si>
  <si>
    <t>2010.12亿</t>
  </si>
  <si>
    <t>8023.74亿</t>
  </si>
  <si>
    <t>1896.02亿</t>
  </si>
  <si>
    <t>-94.21亿</t>
  </si>
  <si>
    <t>22.20亿</t>
  </si>
  <si>
    <t>-89.45亿</t>
  </si>
  <si>
    <t>226.89亿</t>
  </si>
  <si>
    <t>684.74亿</t>
  </si>
  <si>
    <t>14.46亿</t>
  </si>
  <si>
    <t>66.75亿</t>
  </si>
  <si>
    <t>1208.12万</t>
  </si>
  <si>
    <t>184.77亿</t>
  </si>
  <si>
    <t>74.13亿</t>
  </si>
  <si>
    <t>2.53亿</t>
  </si>
  <si>
    <t>28.11亿</t>
  </si>
  <si>
    <t>-8.03亿</t>
  </si>
  <si>
    <t>777.31万</t>
  </si>
  <si>
    <t>3564.96万</t>
  </si>
  <si>
    <t>5591214亿</t>
  </si>
  <si>
    <t>31.39万</t>
  </si>
  <si>
    <t>-26892454亿</t>
  </si>
  <si>
    <t>34.75亿</t>
  </si>
  <si>
    <t>44318751亿</t>
  </si>
  <si>
    <t>21614656000亿</t>
  </si>
  <si>
    <t>742.64万</t>
  </si>
  <si>
    <t>13.50亿</t>
  </si>
  <si>
    <t>39.58万</t>
  </si>
  <si>
    <t>123.31亿</t>
  </si>
  <si>
    <t>-3.19亿</t>
  </si>
  <si>
    <t>-5643.22万</t>
  </si>
  <si>
    <t>-407.74万</t>
  </si>
  <si>
    <t>-1208.59万</t>
  </si>
  <si>
    <t>9954.66万</t>
  </si>
  <si>
    <t>165.98万</t>
  </si>
  <si>
    <t>122.84亿</t>
  </si>
  <si>
    <t>355.97万</t>
  </si>
  <si>
    <t>6194.29万</t>
  </si>
  <si>
    <t>474452亿</t>
  </si>
  <si>
    <t>26.33万</t>
  </si>
  <si>
    <t>222779亿</t>
  </si>
  <si>
    <t>540104300亿</t>
  </si>
  <si>
    <t>12.85万</t>
  </si>
  <si>
    <t>15021888000亿</t>
  </si>
  <si>
    <t>4.00亿</t>
  </si>
  <si>
    <t>99.56万</t>
  </si>
  <si>
    <t>98.52亿</t>
  </si>
  <si>
    <t>17.93亿</t>
  </si>
  <si>
    <t>-122.69万</t>
  </si>
  <si>
    <t>1321.68万</t>
  </si>
  <si>
    <t>10派3.12元(含税)</t>
  </si>
  <si>
    <t>1304.08万</t>
  </si>
  <si>
    <t>0464000000</t>
  </si>
  <si>
    <t>01392000000</t>
  </si>
  <si>
    <t>02784000000</t>
  </si>
  <si>
    <t>04640000000</t>
  </si>
  <si>
    <t>09280000000</t>
  </si>
  <si>
    <t>6-1</t>
  </si>
  <si>
    <t>199.40万</t>
  </si>
  <si>
    <t>17.57亿</t>
  </si>
  <si>
    <t>35.10万</t>
  </si>
  <si>
    <t>1419.47万</t>
  </si>
  <si>
    <t>46818911亿</t>
  </si>
  <si>
    <t>5.56亿</t>
  </si>
  <si>
    <t>2187010亿</t>
  </si>
  <si>
    <t>2054426700亿</t>
  </si>
  <si>
    <t>51.84万</t>
  </si>
  <si>
    <t>6.05亿</t>
  </si>
  <si>
    <t>-3035.69万</t>
  </si>
  <si>
    <t>-42.24万</t>
  </si>
  <si>
    <t>-148.54万</t>
  </si>
  <si>
    <t>10派2.16元(含税)</t>
  </si>
  <si>
    <t>1802.26万</t>
  </si>
  <si>
    <t>179.20万</t>
  </si>
  <si>
    <t>27.09亿</t>
  </si>
  <si>
    <t>37.80亿</t>
  </si>
  <si>
    <t>5921.48万</t>
  </si>
  <si>
    <t>6342.40万</t>
  </si>
  <si>
    <t>4816.64万</t>
  </si>
  <si>
    <t>265.20万</t>
  </si>
  <si>
    <t>1385.23万</t>
  </si>
  <si>
    <t>93.77万</t>
  </si>
  <si>
    <t>-3975228亿</t>
  </si>
  <si>
    <t>7.77亿</t>
  </si>
  <si>
    <t>66143525亿</t>
  </si>
  <si>
    <t>5865332500亿</t>
  </si>
  <si>
    <t>1399.93万</t>
  </si>
  <si>
    <t>4.29亿</t>
  </si>
  <si>
    <t>609.32万</t>
  </si>
  <si>
    <t>25.11亿</t>
  </si>
  <si>
    <t>-9027.64万</t>
  </si>
  <si>
    <t>-3.32万</t>
  </si>
  <si>
    <t>-213.07万</t>
  </si>
  <si>
    <t>-3565.38万</t>
  </si>
  <si>
    <t>1555.31万</t>
  </si>
  <si>
    <t>8398.59万</t>
  </si>
  <si>
    <t>-2-0</t>
  </si>
  <si>
    <t>1018.99万</t>
  </si>
  <si>
    <t>1519.66亿</t>
  </si>
  <si>
    <t>464.65亿</t>
  </si>
  <si>
    <t>38.67亿</t>
  </si>
  <si>
    <t>367.83亿</t>
  </si>
  <si>
    <t>-14.65亿</t>
  </si>
  <si>
    <t>34.04亿</t>
  </si>
  <si>
    <t>-147063亿</t>
  </si>
  <si>
    <t>6191.78万</t>
  </si>
  <si>
    <t>-124344866亿</t>
  </si>
  <si>
    <t>289.39亿</t>
  </si>
  <si>
    <t>395477090亿</t>
  </si>
  <si>
    <t>145481080000亿</t>
  </si>
  <si>
    <t>88.55万</t>
  </si>
  <si>
    <t>20.04亿</t>
  </si>
  <si>
    <t>132.39亿</t>
  </si>
  <si>
    <t>970.79亿</t>
  </si>
  <si>
    <t>390.02亿</t>
  </si>
  <si>
    <t>-14.33亿</t>
  </si>
  <si>
    <t>-13.01亿</t>
  </si>
  <si>
    <t>13.62亿</t>
  </si>
  <si>
    <t>60.85亿</t>
  </si>
  <si>
    <t>7112.47万</t>
  </si>
  <si>
    <t>1054.17万</t>
  </si>
  <si>
    <t>60.15亿</t>
  </si>
  <si>
    <t>8162.77万</t>
  </si>
  <si>
    <t>9639.56万</t>
  </si>
  <si>
    <t>6095.68万</t>
  </si>
  <si>
    <t>894.25万</t>
  </si>
  <si>
    <t>2139.17万</t>
  </si>
  <si>
    <t>10074704亿</t>
  </si>
  <si>
    <t>118.88万</t>
  </si>
  <si>
    <t>763370亿</t>
  </si>
  <si>
    <t>21.90亿</t>
  </si>
  <si>
    <t>7586694亿</t>
  </si>
  <si>
    <t>5433491400亿</t>
  </si>
  <si>
    <t>2.47亿</t>
  </si>
  <si>
    <t>4954.10万</t>
  </si>
  <si>
    <t>12.21亿</t>
  </si>
  <si>
    <t>2971.01万</t>
  </si>
  <si>
    <t>4433.58万</t>
  </si>
  <si>
    <t>081627700</t>
  </si>
  <si>
    <t>0244883100</t>
  </si>
  <si>
    <t>0489766200</t>
  </si>
  <si>
    <t>0816277000</t>
  </si>
  <si>
    <t>01632554000</t>
  </si>
  <si>
    <t>1086.61万</t>
  </si>
  <si>
    <t>253.69亿</t>
  </si>
  <si>
    <t>17.03亿</t>
  </si>
  <si>
    <t>76.21亿</t>
  </si>
  <si>
    <t>-18.45亿</t>
  </si>
  <si>
    <t>15.42亿</t>
  </si>
  <si>
    <t>7538.51万</t>
  </si>
  <si>
    <t>4956.77万</t>
  </si>
  <si>
    <t>6004413亿</t>
  </si>
  <si>
    <t>29.27万</t>
  </si>
  <si>
    <t>110615807亿</t>
  </si>
  <si>
    <t>15.79亿</t>
  </si>
  <si>
    <t>258775230亿</t>
  </si>
  <si>
    <t>25629842000亿</t>
  </si>
  <si>
    <t>26.35亿</t>
  </si>
  <si>
    <t>2146.94万</t>
  </si>
  <si>
    <t>143.59亿</t>
  </si>
  <si>
    <t>62.72亿</t>
  </si>
  <si>
    <t>-252.85万</t>
  </si>
  <si>
    <t>-1.50亿</t>
  </si>
  <si>
    <t>7976.81万</t>
  </si>
  <si>
    <t>24.90亿</t>
  </si>
  <si>
    <t>6089.25万</t>
  </si>
  <si>
    <t>9279.78万</t>
  </si>
  <si>
    <t>4.56亿</t>
  </si>
  <si>
    <t>1207.21万</t>
  </si>
  <si>
    <t>543.71亿</t>
  </si>
  <si>
    <t>151.37亿</t>
  </si>
  <si>
    <t>27.51亿</t>
  </si>
  <si>
    <t>269.99亿</t>
  </si>
  <si>
    <t>26.04亿</t>
  </si>
  <si>
    <t>22.60亿</t>
  </si>
  <si>
    <t>2546.94万</t>
  </si>
  <si>
    <t>-3619862亿</t>
  </si>
  <si>
    <t>428.08万</t>
  </si>
  <si>
    <t>91713179亿</t>
  </si>
  <si>
    <t>93.90亿</t>
  </si>
  <si>
    <t>2500214000亿</t>
  </si>
  <si>
    <t>3687.57万</t>
  </si>
  <si>
    <t>57050434000亿</t>
  </si>
  <si>
    <t>2683.38万</t>
  </si>
  <si>
    <t>16.79亿</t>
  </si>
  <si>
    <t>11.09亿</t>
  </si>
  <si>
    <t>156.23亿</t>
  </si>
  <si>
    <t>4742.41万</t>
  </si>
  <si>
    <t>426.24亿</t>
  </si>
  <si>
    <t>81.34亿</t>
  </si>
  <si>
    <t>-13.25亿</t>
  </si>
  <si>
    <t>-5512.72万</t>
  </si>
  <si>
    <t>4816.33万</t>
  </si>
  <si>
    <t>19.52亿</t>
  </si>
  <si>
    <t>32.29亿</t>
  </si>
  <si>
    <t>7764.39万</t>
  </si>
  <si>
    <t>2178.25万</t>
  </si>
  <si>
    <t>1041.62亿</t>
  </si>
  <si>
    <t>395.57亿</t>
  </si>
  <si>
    <t>61.48亿</t>
  </si>
  <si>
    <t>125.71亿</t>
  </si>
  <si>
    <t>-19.46亿</t>
  </si>
  <si>
    <t>63.21亿</t>
  </si>
  <si>
    <t>55.33亿</t>
  </si>
  <si>
    <t>7394.44万</t>
  </si>
  <si>
    <t>10725258亿</t>
  </si>
  <si>
    <t>563.33万</t>
  </si>
  <si>
    <t>-285585300亿</t>
  </si>
  <si>
    <t>129.21亿</t>
  </si>
  <si>
    <t>528852650亿</t>
  </si>
  <si>
    <t>89621798000亿</t>
  </si>
  <si>
    <t>63.11亿</t>
  </si>
  <si>
    <t>279.44亿</t>
  </si>
  <si>
    <t>337.24亿</t>
  </si>
  <si>
    <t>711.96万</t>
  </si>
  <si>
    <t>-9.97亿</t>
  </si>
  <si>
    <t>28.35亿</t>
  </si>
  <si>
    <t>-2.11亿</t>
  </si>
  <si>
    <t>9.18亿</t>
  </si>
  <si>
    <t>1465.40万</t>
  </si>
  <si>
    <t>37.21亿</t>
  </si>
  <si>
    <t>43.07亿</t>
  </si>
  <si>
    <t>7832.56万</t>
  </si>
  <si>
    <t>13.30亿</t>
  </si>
  <si>
    <t>9377.52万</t>
  </si>
  <si>
    <t>5995.49万</t>
  </si>
  <si>
    <t>732.23万</t>
  </si>
  <si>
    <t>1041.93万</t>
  </si>
  <si>
    <t>-1375562亿</t>
  </si>
  <si>
    <t>2.29万</t>
  </si>
  <si>
    <t>-39264681亿</t>
  </si>
  <si>
    <t>7.76亿</t>
  </si>
  <si>
    <t>241267670亿</t>
  </si>
  <si>
    <t>5312287100亿</t>
  </si>
  <si>
    <t>5767.96万</t>
  </si>
  <si>
    <t>7.30亿</t>
  </si>
  <si>
    <t>791.18万</t>
  </si>
  <si>
    <t>-865.29万</t>
  </si>
  <si>
    <t>3893.57万</t>
  </si>
  <si>
    <t>4708.49万</t>
  </si>
  <si>
    <t>-2004.10万</t>
  </si>
  <si>
    <t>11.17亿</t>
  </si>
  <si>
    <t>2486.47万</t>
  </si>
  <si>
    <t>386.58亿</t>
  </si>
  <si>
    <t>98.17亿</t>
  </si>
  <si>
    <t>76.92亿</t>
  </si>
  <si>
    <t>223.33亿</t>
  </si>
  <si>
    <t>3.57亿</t>
  </si>
  <si>
    <t>71.94亿</t>
  </si>
  <si>
    <t>70.20亿</t>
  </si>
  <si>
    <t>8144.33万</t>
  </si>
  <si>
    <t>3149.82万</t>
  </si>
  <si>
    <t>9045664亿</t>
  </si>
  <si>
    <t>80.89万</t>
  </si>
  <si>
    <t>411360240亿</t>
  </si>
  <si>
    <t>41.26亿</t>
  </si>
  <si>
    <t>191574870亿</t>
  </si>
  <si>
    <t>38455932000亿</t>
  </si>
  <si>
    <t>29.63亿</t>
  </si>
  <si>
    <t>1726.41万</t>
  </si>
  <si>
    <t>291.22亿</t>
  </si>
  <si>
    <t>762.79万</t>
  </si>
  <si>
    <t>-6.14亿</t>
  </si>
  <si>
    <t>6.48亿</t>
  </si>
  <si>
    <t>582.61万</t>
  </si>
  <si>
    <t>6.81亿</t>
  </si>
  <si>
    <t>16.59亿</t>
  </si>
  <si>
    <t>6608.57万</t>
  </si>
  <si>
    <t>321.79万</t>
  </si>
  <si>
    <t>1228.59万</t>
  </si>
  <si>
    <t>-12106205亿</t>
  </si>
  <si>
    <t>-18071319亿</t>
  </si>
  <si>
    <t>24410692亿</t>
  </si>
  <si>
    <t>1327335850亿</t>
  </si>
  <si>
    <t>746.63万</t>
  </si>
  <si>
    <t>7260.94万</t>
  </si>
  <si>
    <t>8940.00万</t>
  </si>
  <si>
    <t>-2650.96万</t>
  </si>
  <si>
    <t>9834.76万</t>
  </si>
  <si>
    <t>-5444.42万</t>
  </si>
  <si>
    <t>9082.29万</t>
  </si>
  <si>
    <t>840.89万</t>
  </si>
  <si>
    <t>10派0.6元(含税)</t>
  </si>
  <si>
    <t>3723.11万</t>
  </si>
  <si>
    <t>3.94亿</t>
  </si>
  <si>
    <t>0198257100</t>
  </si>
  <si>
    <t>0396514200</t>
  </si>
  <si>
    <t>0660857000</t>
  </si>
  <si>
    <t>01321714000</t>
  </si>
  <si>
    <t>978.34万</t>
  </si>
  <si>
    <t>14.17亿</t>
  </si>
  <si>
    <t>29.06亿</t>
  </si>
  <si>
    <t>4495.27万</t>
  </si>
  <si>
    <t>3.21亿</t>
  </si>
  <si>
    <t>-2.35亿</t>
  </si>
  <si>
    <t>4936.97万</t>
  </si>
  <si>
    <t>1631.25万</t>
  </si>
  <si>
    <t>222.19万</t>
  </si>
  <si>
    <t>1377.81万</t>
  </si>
  <si>
    <t>-381731亿</t>
  </si>
  <si>
    <t>51.49万</t>
  </si>
  <si>
    <t>-15676873亿</t>
  </si>
  <si>
    <t>7307.09万</t>
  </si>
  <si>
    <t>12201412亿</t>
  </si>
  <si>
    <t>107519549亿</t>
  </si>
  <si>
    <t>5318.15万</t>
  </si>
  <si>
    <t>3294.26万</t>
  </si>
  <si>
    <t>6.52亿</t>
  </si>
  <si>
    <t>2011.39万</t>
  </si>
  <si>
    <t>-630.62万</t>
  </si>
  <si>
    <t>-2116.09万</t>
  </si>
  <si>
    <t>5566.04万</t>
  </si>
  <si>
    <t>-1181.26万</t>
  </si>
  <si>
    <t>5745.64万</t>
  </si>
  <si>
    <t>账面净赚</t>
  </si>
  <si>
    <t>*ST中迪</t>
  </si>
  <si>
    <t>630.45万</t>
  </si>
  <si>
    <t>18.72亿</t>
  </si>
  <si>
    <t>3782.88万</t>
  </si>
  <si>
    <t>5764.84万</t>
  </si>
  <si>
    <t>6731.12万</t>
  </si>
  <si>
    <t>3657.63万</t>
  </si>
  <si>
    <t>558.06万</t>
  </si>
  <si>
    <t>450.31万</t>
  </si>
  <si>
    <t>-1380473亿</t>
  </si>
  <si>
    <t>-32419450亿</t>
  </si>
  <si>
    <t>5462.50万</t>
  </si>
  <si>
    <t>950000亿</t>
  </si>
  <si>
    <t>2105746000亿</t>
  </si>
  <si>
    <t>3.90亿</t>
  </si>
  <si>
    <t>1772.45万</t>
  </si>
  <si>
    <t>400.40万</t>
  </si>
  <si>
    <t>11.44万</t>
  </si>
  <si>
    <t>76.21万</t>
  </si>
  <si>
    <t>-2564.64万</t>
  </si>
  <si>
    <t>6099.39万</t>
  </si>
  <si>
    <t>-7-0</t>
  </si>
  <si>
    <t>2856.14万</t>
  </si>
  <si>
    <t>87.94亿</t>
  </si>
  <si>
    <t>59.83亿</t>
  </si>
  <si>
    <t>38.75亿</t>
  </si>
  <si>
    <t>2247.32万</t>
  </si>
  <si>
    <t>5744.62万</t>
  </si>
  <si>
    <t>-1044800亿</t>
  </si>
  <si>
    <t>157.30万</t>
  </si>
  <si>
    <t>15091639亿</t>
  </si>
  <si>
    <t>231771460亿</t>
  </si>
  <si>
    <t>9243666200亿</t>
  </si>
  <si>
    <t>174.56万</t>
  </si>
  <si>
    <t>63.95亿</t>
  </si>
  <si>
    <t>-2.53亿</t>
  </si>
  <si>
    <t>-117.05万</t>
  </si>
  <si>
    <t>4.91亿</t>
  </si>
  <si>
    <t>-9.68亿</t>
  </si>
  <si>
    <t>0352000000</t>
  </si>
  <si>
    <t>01056000000</t>
  </si>
  <si>
    <t>02112000000</t>
  </si>
  <si>
    <t>03520000000</t>
  </si>
  <si>
    <t>07040000000</t>
  </si>
  <si>
    <t>*ST金科</t>
  </si>
  <si>
    <t>2035.91亿</t>
  </si>
  <si>
    <t>193.43亿</t>
  </si>
  <si>
    <t>75.04亿</t>
  </si>
  <si>
    <t>632.38亿</t>
  </si>
  <si>
    <t>-87.32亿</t>
  </si>
  <si>
    <t>80.81亿</t>
  </si>
  <si>
    <t>61.90亿</t>
  </si>
  <si>
    <t>-31016563亿</t>
  </si>
  <si>
    <t>1007.73万</t>
  </si>
  <si>
    <t>-877744070亿</t>
  </si>
  <si>
    <t>55.05亿</t>
  </si>
  <si>
    <t>859187490亿</t>
  </si>
  <si>
    <t>174316430000亿</t>
  </si>
  <si>
    <t>2417.91万</t>
  </si>
  <si>
    <t>54.36亿</t>
  </si>
  <si>
    <t>293.21亿</t>
  </si>
  <si>
    <t>8117.41万</t>
  </si>
  <si>
    <t>1723.43亿</t>
  </si>
  <si>
    <t>127.92亿</t>
  </si>
  <si>
    <t>-9.29亿</t>
  </si>
  <si>
    <t>774.70万</t>
  </si>
  <si>
    <t>-4.76亿</t>
  </si>
  <si>
    <t>99.51亿</t>
  </si>
  <si>
    <t>-2.95亿</t>
  </si>
  <si>
    <t>49.17亿</t>
  </si>
  <si>
    <t>1521.02万</t>
  </si>
  <si>
    <t>10.97亿</t>
  </si>
  <si>
    <t>937.70万</t>
  </si>
  <si>
    <t>-4963.40万</t>
  </si>
  <si>
    <t>1919.55万</t>
  </si>
  <si>
    <t>808.32万</t>
  </si>
  <si>
    <t>58.52万</t>
  </si>
  <si>
    <t>563.24万</t>
  </si>
  <si>
    <t>7.97万</t>
  </si>
  <si>
    <t>-7459706亿</t>
  </si>
  <si>
    <t>3795.28万</t>
  </si>
  <si>
    <t>15408768亿</t>
  </si>
  <si>
    <t>1045922320亿</t>
  </si>
  <si>
    <t>4531.09万</t>
  </si>
  <si>
    <t>7.24亿</t>
  </si>
  <si>
    <t>-2362.51万</t>
  </si>
  <si>
    <t>2554.24万</t>
  </si>
  <si>
    <t>-1155.80万</t>
  </si>
  <si>
    <t>971.98万</t>
  </si>
  <si>
    <t>-726.42万</t>
  </si>
  <si>
    <t>5150.08万</t>
  </si>
  <si>
    <t>-4-0</t>
  </si>
  <si>
    <t>1647.74万</t>
  </si>
  <si>
    <t>172.16亿</t>
  </si>
  <si>
    <t>59.09亿</t>
  </si>
  <si>
    <t>8.97亿</t>
  </si>
  <si>
    <t>94.87亿</t>
  </si>
  <si>
    <t>3901.10万</t>
  </si>
  <si>
    <t>7.58亿</t>
  </si>
  <si>
    <t>2808.72万</t>
  </si>
  <si>
    <t>5014.48万</t>
  </si>
  <si>
    <t>61363亿</t>
  </si>
  <si>
    <t>63.98万</t>
  </si>
  <si>
    <t>52761134亿</t>
  </si>
  <si>
    <t>27.99亿</t>
  </si>
  <si>
    <t>1109454170亿</t>
  </si>
  <si>
    <t>15.61万</t>
  </si>
  <si>
    <t>22024028000亿</t>
  </si>
  <si>
    <t>24.94亿</t>
  </si>
  <si>
    <t>23.05亿</t>
  </si>
  <si>
    <t>599.48万</t>
  </si>
  <si>
    <t>129.44亿</t>
  </si>
  <si>
    <t>48.34亿</t>
  </si>
  <si>
    <t>-2.56亿</t>
  </si>
  <si>
    <t>-264.58万</t>
  </si>
  <si>
    <t>6.17亿</t>
  </si>
  <si>
    <t>-9532.16万</t>
  </si>
  <si>
    <t>7.53亿</t>
  </si>
  <si>
    <t>1819.13万</t>
  </si>
  <si>
    <t>29.42亿</t>
  </si>
  <si>
    <t>40.33亿</t>
  </si>
  <si>
    <t>4518.87万</t>
  </si>
  <si>
    <t>11.05亿</t>
  </si>
  <si>
    <t>123.58万</t>
  </si>
  <si>
    <t>9114.59万</t>
  </si>
  <si>
    <t>3076.36万</t>
  </si>
  <si>
    <t>633.13万</t>
  </si>
  <si>
    <t>4749.18万</t>
  </si>
  <si>
    <t>-2095394亿</t>
  </si>
  <si>
    <t>12.72万</t>
  </si>
  <si>
    <t>-22571399亿</t>
  </si>
  <si>
    <t>4.45亿</t>
  </si>
  <si>
    <t>72764333亿</t>
  </si>
  <si>
    <t>5298929200亿</t>
  </si>
  <si>
    <t>8835.65万</t>
  </si>
  <si>
    <t>25.26亿</t>
  </si>
  <si>
    <t>2.10亿</t>
  </si>
  <si>
    <t>-6023.17万</t>
  </si>
  <si>
    <t>329.17万</t>
  </si>
  <si>
    <t>-1.97亿</t>
  </si>
  <si>
    <t>2994.37万</t>
  </si>
  <si>
    <t>7358.85万</t>
  </si>
  <si>
    <t>-4630.14万</t>
  </si>
  <si>
    <t>13.37亿</t>
  </si>
  <si>
    <t>817.25万</t>
  </si>
  <si>
    <t>30.91亿</t>
  </si>
  <si>
    <t>1847.68万</t>
  </si>
  <si>
    <t>9050.68万</t>
  </si>
  <si>
    <t>3316.43万</t>
  </si>
  <si>
    <t>991.07万</t>
  </si>
  <si>
    <t>286.73万</t>
  </si>
  <si>
    <t>2102.93万</t>
  </si>
  <si>
    <t>56862062亿</t>
  </si>
  <si>
    <t>32328608亿</t>
  </si>
  <si>
    <t>28611091亿</t>
  </si>
  <si>
    <t>1933985300亿</t>
  </si>
  <si>
    <t>6974.90万</t>
  </si>
  <si>
    <t>115.31万</t>
  </si>
  <si>
    <t>-2.36亿</t>
  </si>
  <si>
    <t>-39.07万</t>
  </si>
  <si>
    <t>2087.76万</t>
  </si>
  <si>
    <t>-103.71万</t>
  </si>
  <si>
    <t>5568.30万</t>
  </si>
  <si>
    <t>090506800</t>
  </si>
  <si>
    <t>0271520400</t>
  </si>
  <si>
    <t>0543040800</t>
  </si>
  <si>
    <t>0905068000</t>
  </si>
  <si>
    <t>01810136000</t>
  </si>
  <si>
    <t>3-1</t>
  </si>
  <si>
    <t>2688.03万</t>
  </si>
  <si>
    <t>34.47亿</t>
  </si>
  <si>
    <t>29.67亿</t>
  </si>
  <si>
    <t>10.46亿</t>
  </si>
  <si>
    <t>30.64亿</t>
  </si>
  <si>
    <t>6.58亿</t>
  </si>
  <si>
    <t>666.08万</t>
  </si>
  <si>
    <t>753.79万</t>
  </si>
  <si>
    <t>177681300亿</t>
  </si>
  <si>
    <t>52877018亿</t>
  </si>
  <si>
    <t>5404284100亿</t>
  </si>
  <si>
    <t>27.57亿</t>
  </si>
  <si>
    <t>80.00万</t>
  </si>
  <si>
    <t>-2.19亿</t>
  </si>
  <si>
    <t>-2.61万</t>
  </si>
  <si>
    <t>6953.85万</t>
  </si>
  <si>
    <t>-1083.80万</t>
  </si>
  <si>
    <t>755.40万</t>
  </si>
  <si>
    <t>18.95亿</t>
  </si>
  <si>
    <t>8919.03万</t>
  </si>
  <si>
    <t>6.73亿</t>
  </si>
  <si>
    <t>9065.62万</t>
  </si>
  <si>
    <t>4553.75万</t>
  </si>
  <si>
    <t>235.21万</t>
  </si>
  <si>
    <t>1715.44万</t>
  </si>
  <si>
    <t>-1987807亿</t>
  </si>
  <si>
    <t>25.24万</t>
  </si>
  <si>
    <t>-15067864亿</t>
  </si>
  <si>
    <t>121806916亿</t>
  </si>
  <si>
    <t>1200702970亿</t>
  </si>
  <si>
    <t>623.37万</t>
  </si>
  <si>
    <t>8.86亿</t>
  </si>
  <si>
    <t>3397.84万</t>
  </si>
  <si>
    <t>16.65亿</t>
  </si>
  <si>
    <t>578.10万</t>
  </si>
  <si>
    <t>-1.62亿</t>
  </si>
  <si>
    <t>11.74亿</t>
  </si>
  <si>
    <t>-3.61亿</t>
  </si>
  <si>
    <t>6681.59万</t>
  </si>
  <si>
    <t>4239.45万</t>
  </si>
  <si>
    <t>1427.70万</t>
  </si>
  <si>
    <t>3912.36万</t>
  </si>
  <si>
    <t>1.87亿</t>
  </si>
  <si>
    <t>ST中南</t>
  </si>
  <si>
    <t>2067.98亿</t>
  </si>
  <si>
    <t>195.81亿</t>
  </si>
  <si>
    <t>98.72亿</t>
  </si>
  <si>
    <t>684.88亿</t>
  </si>
  <si>
    <t>-52.93亿</t>
  </si>
  <si>
    <t>101.36亿</t>
  </si>
  <si>
    <t>90.18亿</t>
  </si>
  <si>
    <t>271220520亿</t>
  </si>
  <si>
    <t>2644.27万</t>
  </si>
  <si>
    <t>-621274220亿</t>
  </si>
  <si>
    <t>61.72亿</t>
  </si>
  <si>
    <t>5886605400亿</t>
  </si>
  <si>
    <t>171219240000亿</t>
  </si>
  <si>
    <t>9485.04万</t>
  </si>
  <si>
    <t>118.78亿</t>
  </si>
  <si>
    <t>42.99亿</t>
  </si>
  <si>
    <t>322.11亿</t>
  </si>
  <si>
    <t>2669.14万</t>
  </si>
  <si>
    <t>1787.46亿</t>
  </si>
  <si>
    <t>190.68亿</t>
  </si>
  <si>
    <t>2305.75万</t>
  </si>
  <si>
    <t>3994.10万</t>
  </si>
  <si>
    <t>-6.01亿</t>
  </si>
  <si>
    <t>-91.83亿</t>
  </si>
  <si>
    <t>111.30亿</t>
  </si>
  <si>
    <t>-6.66亿</t>
  </si>
  <si>
    <t>1212.55万</t>
  </si>
  <si>
    <t>69.22亿</t>
  </si>
  <si>
    <t>65.86亿</t>
  </si>
  <si>
    <t>30.63亿</t>
  </si>
  <si>
    <t>2003.65万</t>
  </si>
  <si>
    <t>2.78亿</t>
  </si>
  <si>
    <t>2.26亿</t>
  </si>
  <si>
    <t>855.41万</t>
  </si>
  <si>
    <t>632.66万</t>
  </si>
  <si>
    <t>5187407亿</t>
  </si>
  <si>
    <t>10111888亿</t>
  </si>
  <si>
    <t>9185217亿</t>
  </si>
  <si>
    <t>11804960800亿</t>
  </si>
  <si>
    <t>11.59亿</t>
  </si>
  <si>
    <t>612.97万</t>
  </si>
  <si>
    <t>60.34亿</t>
  </si>
  <si>
    <t>-294.45万</t>
  </si>
  <si>
    <t>2201.17万</t>
  </si>
  <si>
    <t>8889.84万</t>
  </si>
  <si>
    <t>SZ001914</t>
  </si>
  <si>
    <t>招商积余</t>
  </si>
  <si>
    <t>682.38万</t>
  </si>
  <si>
    <t>86.94亿</t>
  </si>
  <si>
    <t>101.12亿</t>
  </si>
  <si>
    <t>37.25亿</t>
  </si>
  <si>
    <t>156.27亿</t>
  </si>
  <si>
    <t>34.68亿</t>
  </si>
  <si>
    <t>32.90亿</t>
  </si>
  <si>
    <t>1853.53万</t>
  </si>
  <si>
    <t>3940152亿</t>
  </si>
  <si>
    <t>66.78万</t>
  </si>
  <si>
    <t>181181910亿</t>
  </si>
  <si>
    <t>22.43亿</t>
  </si>
  <si>
    <t>3654466300亿</t>
  </si>
  <si>
    <t>2057.57万</t>
  </si>
  <si>
    <t>8177005200亿</t>
  </si>
  <si>
    <t>22.50亿</t>
  </si>
  <si>
    <t>837.61万</t>
  </si>
  <si>
    <t>60.84亿</t>
  </si>
  <si>
    <t>-11.86亿</t>
  </si>
  <si>
    <t>-585.20万</t>
  </si>
  <si>
    <t>-9.12亿</t>
  </si>
  <si>
    <t>130.24亿</t>
  </si>
  <si>
    <t>105.91亿</t>
  </si>
  <si>
    <t>86.51亿</t>
  </si>
  <si>
    <t>60.78亿</t>
  </si>
  <si>
    <t>66.56亿</t>
  </si>
  <si>
    <t>5.94亿</t>
  </si>
  <si>
    <t>8.57亿</t>
  </si>
  <si>
    <t>33.06亿</t>
  </si>
  <si>
    <t>房地产服务</t>
  </si>
  <si>
    <t>4494.50万</t>
  </si>
  <si>
    <t>4207.57万</t>
  </si>
  <si>
    <t>6118.18亿</t>
  </si>
  <si>
    <t>2970.20亿</t>
  </si>
  <si>
    <t>237.47亿</t>
  </si>
  <si>
    <t>1750.08亿</t>
  </si>
  <si>
    <t>63.19亿</t>
  </si>
  <si>
    <t>222.07亿</t>
  </si>
  <si>
    <t>203.04亿</t>
  </si>
  <si>
    <t>39133034亿</t>
  </si>
  <si>
    <t>2217.87万</t>
  </si>
  <si>
    <t>291600500亿</t>
  </si>
  <si>
    <t>832.06亿</t>
  </si>
  <si>
    <t>5034852900亿</t>
  </si>
  <si>
    <t>674721690000亿</t>
  </si>
  <si>
    <t>508.39亿</t>
  </si>
  <si>
    <t>4302.53亿</t>
  </si>
  <si>
    <t>1270.79亿</t>
  </si>
  <si>
    <t>-106.11亿</t>
  </si>
  <si>
    <t>-7.00亿</t>
  </si>
  <si>
    <t>62.73亿</t>
  </si>
  <si>
    <t>150.09亿</t>
  </si>
  <si>
    <t>19.80亿</t>
  </si>
  <si>
    <t>1039.40万</t>
  </si>
  <si>
    <t>17.54亿</t>
  </si>
  <si>
    <t>48.71亿</t>
  </si>
  <si>
    <t>15.48亿</t>
  </si>
  <si>
    <t>428.74万</t>
  </si>
  <si>
    <t>2927.97万</t>
  </si>
  <si>
    <t>375294亿</t>
  </si>
  <si>
    <t>7.58万</t>
  </si>
  <si>
    <t>11545276亿</t>
  </si>
  <si>
    <t>423534810亿</t>
  </si>
  <si>
    <t>10.42万</t>
  </si>
  <si>
    <t>4190091800亿</t>
  </si>
  <si>
    <t>10.56亿</t>
  </si>
  <si>
    <t>4000.00万</t>
  </si>
  <si>
    <t>12.42亿</t>
  </si>
  <si>
    <t>-6.90亿</t>
  </si>
  <si>
    <t>-6058.67万</t>
  </si>
  <si>
    <t>8765.01万</t>
  </si>
  <si>
    <t>6088.61万</t>
  </si>
  <si>
    <t>7055.66万</t>
  </si>
  <si>
    <t>730.49万</t>
  </si>
  <si>
    <t>94.17亿</t>
  </si>
  <si>
    <t>44.81亿</t>
  </si>
  <si>
    <t>13.41亿</t>
  </si>
  <si>
    <t>92.29亿</t>
  </si>
  <si>
    <t>3801.45万</t>
  </si>
  <si>
    <t>12.61亿</t>
  </si>
  <si>
    <t>1702.19万</t>
  </si>
  <si>
    <t>2355.91万</t>
  </si>
  <si>
    <t>-1807382亿</t>
  </si>
  <si>
    <t>20.25万</t>
  </si>
  <si>
    <t>1735236亿</t>
  </si>
  <si>
    <t>18.41亿</t>
  </si>
  <si>
    <t>136251090亿</t>
  </si>
  <si>
    <t>10949234100亿</t>
  </si>
  <si>
    <t>6.10亿</t>
  </si>
  <si>
    <t>7.40亿</t>
  </si>
  <si>
    <t>383.50万</t>
  </si>
  <si>
    <t>68.66亿</t>
  </si>
  <si>
    <t>15.60亿</t>
  </si>
  <si>
    <t>-2.31亿</t>
  </si>
  <si>
    <t>5789.19万</t>
  </si>
  <si>
    <t>-9468.26万</t>
  </si>
  <si>
    <t>16.81亿</t>
  </si>
  <si>
    <t>8346.62万</t>
  </si>
  <si>
    <t>4773.84万</t>
  </si>
  <si>
    <t>7938.75万</t>
  </si>
  <si>
    <t>1794.89亿</t>
  </si>
  <si>
    <t>267.94亿</t>
  </si>
  <si>
    <t>111.14亿</t>
  </si>
  <si>
    <t>589.60亿</t>
  </si>
  <si>
    <t>3.85亿</t>
  </si>
  <si>
    <t>104.50亿</t>
  </si>
  <si>
    <t>93.61亿</t>
  </si>
  <si>
    <t>-17497760亿</t>
  </si>
  <si>
    <t>1602.92万</t>
  </si>
  <si>
    <t>51260191亿</t>
  </si>
  <si>
    <t>44.97亿</t>
  </si>
  <si>
    <t>5162838600亿</t>
  </si>
  <si>
    <t>175640510000亿</t>
  </si>
  <si>
    <t>8.87亿</t>
  </si>
  <si>
    <t>7387.86万</t>
  </si>
  <si>
    <t>279.05亿</t>
  </si>
  <si>
    <t>1427.42亿</t>
  </si>
  <si>
    <t>169.15亿</t>
  </si>
  <si>
    <t>-4.27亿</t>
  </si>
  <si>
    <t>-3928.38万</t>
  </si>
  <si>
    <t>-2.67亿</t>
  </si>
  <si>
    <t>318.92亿</t>
  </si>
  <si>
    <t>-163.07亿</t>
  </si>
  <si>
    <t>61.21亿</t>
  </si>
  <si>
    <t>-6.42亿</t>
  </si>
  <si>
    <t>6.90亿</t>
  </si>
  <si>
    <t>47.14亿</t>
  </si>
  <si>
    <t>SZ002188</t>
  </si>
  <si>
    <t>中天服务</t>
  </si>
  <si>
    <t>789.97万</t>
  </si>
  <si>
    <t>8608.11万</t>
  </si>
  <si>
    <t>3.40亿</t>
  </si>
  <si>
    <t>2021.98万</t>
  </si>
  <si>
    <t>7408.94万</t>
  </si>
  <si>
    <t>6473.14万</t>
  </si>
  <si>
    <t>79.09万</t>
  </si>
  <si>
    <t>820.83万</t>
  </si>
  <si>
    <t>8160699亿</t>
  </si>
  <si>
    <t>102229786亿</t>
  </si>
  <si>
    <t>272200590亿</t>
  </si>
  <si>
    <t>48.20万</t>
  </si>
  <si>
    <t>2192.54万</t>
  </si>
  <si>
    <t>3.03万</t>
  </si>
  <si>
    <t>-4039.02万</t>
  </si>
  <si>
    <t>98.38万</t>
  </si>
  <si>
    <t>-45.75万</t>
  </si>
  <si>
    <t>1.68亿</t>
  </si>
  <si>
    <t>2127.40万</t>
  </si>
  <si>
    <t>6162.22万</t>
  </si>
  <si>
    <t>-1.11亿</t>
  </si>
  <si>
    <t>5.16亿</t>
  </si>
  <si>
    <t>7332.99万</t>
  </si>
  <si>
    <t>804.91万</t>
  </si>
  <si>
    <t>8208.99万</t>
  </si>
  <si>
    <t>561.56万</t>
  </si>
  <si>
    <t>266.88亿</t>
  </si>
  <si>
    <t>106.38亿</t>
  </si>
  <si>
    <t>3.97亿</t>
  </si>
  <si>
    <t>78.97亿</t>
  </si>
  <si>
    <t>3.33亿</t>
  </si>
  <si>
    <t>2273.14万</t>
  </si>
  <si>
    <t>4078.52万</t>
  </si>
  <si>
    <t>-5010905亿</t>
  </si>
  <si>
    <t>42.51万</t>
  </si>
  <si>
    <t>-66301946亿</t>
  </si>
  <si>
    <t>39.82亿</t>
  </si>
  <si>
    <t>324021260亿</t>
  </si>
  <si>
    <t>881.78万</t>
  </si>
  <si>
    <t>35189969000亿</t>
  </si>
  <si>
    <t>1317.39万</t>
  </si>
  <si>
    <t>13.03亿</t>
  </si>
  <si>
    <t>5594.56万</t>
  </si>
  <si>
    <t>192.32亿</t>
  </si>
  <si>
    <t>77.70亿</t>
  </si>
  <si>
    <t>-8.22亿</t>
  </si>
  <si>
    <t>8926.05万</t>
  </si>
  <si>
    <t>3.98亿</t>
  </si>
  <si>
    <t>10.08亿</t>
  </si>
  <si>
    <t>2917.42万</t>
  </si>
  <si>
    <t>10派0.85元(含税)</t>
  </si>
  <si>
    <t>4270.99万</t>
  </si>
  <si>
    <t>3.73亿</t>
  </si>
  <si>
    <t>5589.93万</t>
  </si>
  <si>
    <t>2315.77亿</t>
  </si>
  <si>
    <t>580.85亿</t>
  </si>
  <si>
    <t>137.01亿</t>
  </si>
  <si>
    <t>704.43亿</t>
  </si>
  <si>
    <t>25.29亿</t>
  </si>
  <si>
    <t>126.04亿</t>
  </si>
  <si>
    <t>120.46亿</t>
  </si>
  <si>
    <t>35798740亿</t>
  </si>
  <si>
    <t>106.93万</t>
  </si>
  <si>
    <t>648294890亿</t>
  </si>
  <si>
    <t>287.59亿</t>
  </si>
  <si>
    <t>477255700亿</t>
  </si>
  <si>
    <t>250291240000亿</t>
  </si>
  <si>
    <t>1898.27万</t>
  </si>
  <si>
    <t>49.46亿</t>
  </si>
  <si>
    <t>2150.15万</t>
  </si>
  <si>
    <t>1946.25亿</t>
  </si>
  <si>
    <t>266.98亿</t>
  </si>
  <si>
    <t>-23.77亿</t>
  </si>
  <si>
    <t>-12.35亿</t>
  </si>
  <si>
    <t>37.42亿</t>
  </si>
  <si>
    <t>100.86亿</t>
  </si>
  <si>
    <t>10派0.9元(含税)</t>
  </si>
  <si>
    <t>21.88亿</t>
  </si>
  <si>
    <t>SZ002285</t>
  </si>
  <si>
    <t>世联行</t>
  </si>
  <si>
    <t>1652.09万</t>
  </si>
  <si>
    <t>22.91亿</t>
  </si>
  <si>
    <t>30.53亿</t>
  </si>
  <si>
    <t>33.73亿</t>
  </si>
  <si>
    <t>4655.75万</t>
  </si>
  <si>
    <t>401515亿</t>
  </si>
  <si>
    <t>89.77万</t>
  </si>
  <si>
    <t>-51175965亿</t>
  </si>
  <si>
    <t>12.50亿</t>
  </si>
  <si>
    <t>762628560亿</t>
  </si>
  <si>
    <t>242.43万</t>
  </si>
  <si>
    <t>2896675700亿</t>
  </si>
  <si>
    <t>621.09万</t>
  </si>
  <si>
    <t>18.04亿</t>
  </si>
  <si>
    <t>-1.49亿</t>
  </si>
  <si>
    <t>-5751.11万</t>
  </si>
  <si>
    <t>39.79亿</t>
  </si>
  <si>
    <t>60.83亿</t>
  </si>
  <si>
    <t>67.23亿</t>
  </si>
  <si>
    <t>75.34亿</t>
  </si>
  <si>
    <t>-3.45亿</t>
  </si>
  <si>
    <t>-11.29亿</t>
  </si>
  <si>
    <t>8194.23万</t>
  </si>
  <si>
    <t>4.16亿</t>
  </si>
  <si>
    <t>7.88亿</t>
  </si>
  <si>
    <t>-1303.59万</t>
  </si>
  <si>
    <t>11.21亿</t>
  </si>
  <si>
    <t>4786.60万</t>
  </si>
  <si>
    <t>260.19亿</t>
  </si>
  <si>
    <t>1.94亿</t>
  </si>
  <si>
    <t>-16.93亿</t>
  </si>
  <si>
    <t>1855.58万</t>
  </si>
  <si>
    <t>2842.06万</t>
  </si>
  <si>
    <t>544762680亿</t>
  </si>
  <si>
    <t>65.71万</t>
  </si>
  <si>
    <t>-291550640亿</t>
  </si>
  <si>
    <t>7.72亿</t>
  </si>
  <si>
    <t>333923650亿</t>
  </si>
  <si>
    <t>621.59万</t>
  </si>
  <si>
    <t>16391189000亿</t>
  </si>
  <si>
    <t>12.08亿</t>
  </si>
  <si>
    <t>5398.33万</t>
  </si>
  <si>
    <t>179.08亿</t>
  </si>
  <si>
    <t>-8.16亿</t>
  </si>
  <si>
    <t>-3.83亿</t>
  </si>
  <si>
    <t>-4.63亿</t>
  </si>
  <si>
    <t>-8.23亿</t>
  </si>
  <si>
    <t>-1.64亿</t>
  </si>
  <si>
    <t>29.46亿</t>
  </si>
  <si>
    <t>1032.34万</t>
  </si>
  <si>
    <t>550.82亿</t>
  </si>
  <si>
    <t>176.47亿</t>
  </si>
  <si>
    <t>120.57亿</t>
  </si>
  <si>
    <t>10.07亿</t>
  </si>
  <si>
    <t>5394.62万</t>
  </si>
  <si>
    <t>8488.36万</t>
  </si>
  <si>
    <t>18935897亿</t>
  </si>
  <si>
    <t>177.21万</t>
  </si>
  <si>
    <t>-130306186亿</t>
  </si>
  <si>
    <t>64.84亿</t>
  </si>
  <si>
    <t>767735450亿</t>
  </si>
  <si>
    <t>545.55万</t>
  </si>
  <si>
    <t>36907964000亿</t>
  </si>
  <si>
    <t>50.52亿</t>
  </si>
  <si>
    <t>2856.04万</t>
  </si>
  <si>
    <t>35.72亿</t>
  </si>
  <si>
    <t>3256.69万</t>
  </si>
  <si>
    <t>288.43亿</t>
  </si>
  <si>
    <t>215.96亿</t>
  </si>
  <si>
    <t>-17.45亿</t>
  </si>
  <si>
    <t>-5.13亿</t>
  </si>
  <si>
    <t>51.35亿</t>
  </si>
  <si>
    <t>9164.70万</t>
  </si>
  <si>
    <t>7321.97万</t>
  </si>
  <si>
    <t>5.76亿</t>
  </si>
  <si>
    <t>SZ002968</t>
  </si>
  <si>
    <t>新大正</t>
  </si>
  <si>
    <t>292.88万</t>
  </si>
  <si>
    <t>8.32亿</t>
  </si>
  <si>
    <t>31.27亿</t>
  </si>
  <si>
    <t>7.61亿</t>
  </si>
  <si>
    <t>1044.56万</t>
  </si>
  <si>
    <t>4498.21万</t>
  </si>
  <si>
    <t>837388亿</t>
  </si>
  <si>
    <t>5.64万</t>
  </si>
  <si>
    <t>37532320亿</t>
  </si>
  <si>
    <t>939239600亿</t>
  </si>
  <si>
    <t>4.16万</t>
  </si>
  <si>
    <t>1435425800亿</t>
  </si>
  <si>
    <t>6566.70万</t>
  </si>
  <si>
    <t>458.30万</t>
  </si>
  <si>
    <t>7.01亿</t>
  </si>
  <si>
    <t>3234.18万</t>
  </si>
  <si>
    <t>-2.80亿</t>
  </si>
  <si>
    <t>-788.09万</t>
  </si>
  <si>
    <t>-1378.20万</t>
  </si>
  <si>
    <t>25.98亿</t>
  </si>
  <si>
    <t>13.18亿</t>
  </si>
  <si>
    <t>10.55亿</t>
  </si>
  <si>
    <t>8807.79万</t>
  </si>
  <si>
    <t>7.25亿</t>
  </si>
  <si>
    <t>4739.26万</t>
  </si>
  <si>
    <t>10派2.85元(含税)</t>
  </si>
  <si>
    <t>2460.46万</t>
  </si>
  <si>
    <t>-6-0</t>
  </si>
  <si>
    <t>SZ300917</t>
  </si>
  <si>
    <t>特发服务</t>
  </si>
  <si>
    <t>831.58万</t>
  </si>
  <si>
    <t>6.37亿</t>
  </si>
  <si>
    <t>16.00亿</t>
  </si>
  <si>
    <t>5.89亿</t>
  </si>
  <si>
    <t>5.53亿</t>
  </si>
  <si>
    <t>432.04万</t>
  </si>
  <si>
    <t>3143.08万</t>
  </si>
  <si>
    <t>1153727亿</t>
  </si>
  <si>
    <t>9.35万</t>
  </si>
  <si>
    <t>32423815亿</t>
  </si>
  <si>
    <t>490193600亿</t>
  </si>
  <si>
    <t>1627061400亿</t>
  </si>
  <si>
    <t>-5376.00万</t>
  </si>
  <si>
    <t>-233.35万</t>
  </si>
  <si>
    <t>20.06亿</t>
  </si>
  <si>
    <t>16.91亿</t>
  </si>
  <si>
    <t>8.91亿</t>
  </si>
  <si>
    <t>9930.51万</t>
  </si>
  <si>
    <t>6532.87万</t>
  </si>
  <si>
    <t>5179.95万</t>
  </si>
  <si>
    <t>24.48亿</t>
  </si>
  <si>
    <t>3205.81万</t>
  </si>
  <si>
    <t>10派2.2元(含税)</t>
  </si>
  <si>
    <t>7954.91万</t>
  </si>
  <si>
    <t>127.01万</t>
  </si>
  <si>
    <t>31.77亿</t>
  </si>
  <si>
    <t>9.82亿</t>
  </si>
  <si>
    <t>213.19亿</t>
  </si>
  <si>
    <t>16.06亿</t>
  </si>
  <si>
    <t>617079亿</t>
  </si>
  <si>
    <t>101.20万</t>
  </si>
  <si>
    <t>335734810亿</t>
  </si>
  <si>
    <t>45.50亿</t>
  </si>
  <si>
    <t>239705790亿</t>
  </si>
  <si>
    <t>4851616100亿</t>
  </si>
  <si>
    <t>8804.95万</t>
  </si>
  <si>
    <t>4060.57万</t>
  </si>
  <si>
    <t>-611.17万</t>
  </si>
  <si>
    <t>-6118.81万</t>
  </si>
  <si>
    <t>39.54亿</t>
  </si>
  <si>
    <t>43.42亿</t>
  </si>
  <si>
    <t>3.23亿</t>
  </si>
  <si>
    <t>10派8元(含税)</t>
  </si>
  <si>
    <t>915.63万</t>
  </si>
  <si>
    <t>6026.90万</t>
  </si>
  <si>
    <t>5-0</t>
  </si>
  <si>
    <t>8480.89万</t>
  </si>
  <si>
    <t>10998.85亿</t>
  </si>
  <si>
    <t>3435.46亿</t>
  </si>
  <si>
    <t>497.48亿</t>
  </si>
  <si>
    <t>3725.97亿</t>
  </si>
  <si>
    <t>81.73亿</t>
  </si>
  <si>
    <t>399988020亿</t>
  </si>
  <si>
    <t>7439.76万</t>
  </si>
  <si>
    <t>2116107600亿</t>
  </si>
  <si>
    <t>1295.54亿</t>
  </si>
  <si>
    <t>5021132700亿</t>
  </si>
  <si>
    <t>1254301800000亿</t>
  </si>
  <si>
    <t>5.74亿</t>
  </si>
  <si>
    <t>3.68亿</t>
  </si>
  <si>
    <t>1462.22亿</t>
  </si>
  <si>
    <t>-333.06亿</t>
  </si>
  <si>
    <t>158.99亿</t>
  </si>
  <si>
    <t>183.20亿</t>
  </si>
  <si>
    <t>3468.28亿</t>
  </si>
  <si>
    <t>972.22亿</t>
  </si>
  <si>
    <t>120.67亿</t>
  </si>
  <si>
    <t>22.66亿</t>
  </si>
  <si>
    <t>10派4.1元(含税)</t>
  </si>
  <si>
    <t>6.27亿</t>
  </si>
  <si>
    <t>29.77亿</t>
  </si>
  <si>
    <t>4-1</t>
  </si>
  <si>
    <t>909.98万</t>
  </si>
  <si>
    <t>187.29亿</t>
  </si>
  <si>
    <t>191.57亿</t>
  </si>
  <si>
    <t>270.42亿</t>
  </si>
  <si>
    <t>18.17亿</t>
  </si>
  <si>
    <t>588702470亿</t>
  </si>
  <si>
    <t>12.07万</t>
  </si>
  <si>
    <t>552258610亿</t>
  </si>
  <si>
    <t>10.92亿</t>
  </si>
  <si>
    <t>379539220亿</t>
  </si>
  <si>
    <t>17479958000亿</t>
  </si>
  <si>
    <t>4511.51万</t>
  </si>
  <si>
    <t>6060.00万</t>
  </si>
  <si>
    <t>32.41亿</t>
  </si>
  <si>
    <t>-3.89亿</t>
  </si>
  <si>
    <t>-4552.94万</t>
  </si>
  <si>
    <t>47.27亿</t>
  </si>
  <si>
    <t>35.76亿</t>
  </si>
  <si>
    <t>1.21亿</t>
  </si>
  <si>
    <t>10派2.8元(含税)</t>
  </si>
  <si>
    <t>5368.17万</t>
  </si>
  <si>
    <t>952.86万</t>
  </si>
  <si>
    <t>138.93亿</t>
  </si>
  <si>
    <t>78.41亿</t>
  </si>
  <si>
    <t>24.11亿</t>
  </si>
  <si>
    <t>9323.17万</t>
  </si>
  <si>
    <t>-5.68亿</t>
  </si>
  <si>
    <t>-1373044亿</t>
  </si>
  <si>
    <t>75.47万</t>
  </si>
  <si>
    <t>15239934亿</t>
  </si>
  <si>
    <t>2953269500亿</t>
  </si>
  <si>
    <t>15129975000亿</t>
  </si>
  <si>
    <t>4609.06万</t>
  </si>
  <si>
    <t>6806.20万</t>
  </si>
  <si>
    <t>-3.39亿</t>
  </si>
  <si>
    <t>-2782.92万</t>
  </si>
  <si>
    <t>-2.22亿</t>
  </si>
  <si>
    <t>7032.96万</t>
  </si>
  <si>
    <t>97.21亿</t>
  </si>
  <si>
    <t>2956.89万</t>
  </si>
  <si>
    <t>-4.45亿</t>
  </si>
  <si>
    <t>-4706.35万</t>
  </si>
  <si>
    <t>7541.36万</t>
  </si>
  <si>
    <t>1905.00万</t>
  </si>
  <si>
    <t>123.95亿</t>
  </si>
  <si>
    <t>128.91亿</t>
  </si>
  <si>
    <t>5.79亿</t>
  </si>
  <si>
    <t>-10828091亿</t>
  </si>
  <si>
    <t>154.81万</t>
  </si>
  <si>
    <t>-41059778亿</t>
  </si>
  <si>
    <t>166981980亿</t>
  </si>
  <si>
    <t>17780851000亿</t>
  </si>
  <si>
    <t>9423.96万</t>
  </si>
  <si>
    <t>21.82亿</t>
  </si>
  <si>
    <t>745.22万</t>
  </si>
  <si>
    <t>-3.85亿</t>
  </si>
  <si>
    <t>2658.24万</t>
  </si>
  <si>
    <t>-1.38亿</t>
  </si>
  <si>
    <t>116.95亿</t>
  </si>
  <si>
    <t>1.53亿</t>
  </si>
  <si>
    <t>11.52亿</t>
  </si>
  <si>
    <t>0357000000</t>
  </si>
  <si>
    <t>0714000000</t>
  </si>
  <si>
    <t>01190000000</t>
  </si>
  <si>
    <t>02380000000</t>
  </si>
  <si>
    <t>1389.67万</t>
  </si>
  <si>
    <t>19.94亿</t>
  </si>
  <si>
    <t>9458.42万</t>
  </si>
  <si>
    <t>206.55亿</t>
  </si>
  <si>
    <t>9.44亿</t>
  </si>
  <si>
    <t>25.03万</t>
  </si>
  <si>
    <t>-10448656亿</t>
  </si>
  <si>
    <t>4.43亿</t>
  </si>
  <si>
    <t>405775480亿</t>
  </si>
  <si>
    <t>2866537600亿</t>
  </si>
  <si>
    <t>4.78亿</t>
  </si>
  <si>
    <t>407.49万</t>
  </si>
  <si>
    <t>-6375.25万</t>
  </si>
  <si>
    <t>-12.89万</t>
  </si>
  <si>
    <t>-84.05万</t>
  </si>
  <si>
    <t>45.76亿</t>
  </si>
  <si>
    <t>-3.31亿</t>
  </si>
  <si>
    <t>1275.80万</t>
  </si>
  <si>
    <t>138.28亿</t>
  </si>
  <si>
    <t>63.13亿</t>
  </si>
  <si>
    <t>3.79亿</t>
  </si>
  <si>
    <t>17.32亿</t>
  </si>
  <si>
    <t>-3176亿</t>
  </si>
  <si>
    <t>300.34万</t>
  </si>
  <si>
    <t>1102400亿</t>
  </si>
  <si>
    <t>11.78亿</t>
  </si>
  <si>
    <t>53441508亿</t>
  </si>
  <si>
    <t>14081488000亿</t>
  </si>
  <si>
    <t>4906.30万</t>
  </si>
  <si>
    <t>30.28亿</t>
  </si>
  <si>
    <t>-1903.00万</t>
  </si>
  <si>
    <t>-3858.52万</t>
  </si>
  <si>
    <t>-9785.92万</t>
  </si>
  <si>
    <t>33.00亿</t>
  </si>
  <si>
    <t>5.54亿</t>
  </si>
  <si>
    <t>6948.74万</t>
  </si>
  <si>
    <t>9487.87万</t>
  </si>
  <si>
    <t>10.06亿</t>
  </si>
  <si>
    <t>0678000000</t>
  </si>
  <si>
    <t>02034000000</t>
  </si>
  <si>
    <t>04068000000</t>
  </si>
  <si>
    <t>06780000000</t>
  </si>
  <si>
    <t>013560000000</t>
  </si>
  <si>
    <t>254.71万</t>
  </si>
  <si>
    <t>23.96亿</t>
  </si>
  <si>
    <t>38.20亿</t>
  </si>
  <si>
    <t>4.95亿</t>
  </si>
  <si>
    <t>148.76亿</t>
  </si>
  <si>
    <t>30.44亿</t>
  </si>
  <si>
    <t>11647969亿</t>
  </si>
  <si>
    <t>53705114亿</t>
  </si>
  <si>
    <t>5.55亿</t>
  </si>
  <si>
    <t>18431358亿</t>
  </si>
  <si>
    <t>4560403300亿</t>
  </si>
  <si>
    <t>7.23亿</t>
  </si>
  <si>
    <t>9204.69万</t>
  </si>
  <si>
    <t>-7778.26万</t>
  </si>
  <si>
    <t>-1521.11万</t>
  </si>
  <si>
    <t>-3588.47万</t>
  </si>
  <si>
    <t>47.35亿</t>
  </si>
  <si>
    <t>47.56亿</t>
  </si>
  <si>
    <t>1.64亿</t>
  </si>
  <si>
    <t>9.21亿</t>
  </si>
  <si>
    <t>2266.70万</t>
  </si>
  <si>
    <t>2.09亿</t>
  </si>
  <si>
    <t>2358.03万</t>
  </si>
  <si>
    <t>207.73亿</t>
  </si>
  <si>
    <t>54.42亿</t>
  </si>
  <si>
    <t>21.01亿</t>
  </si>
  <si>
    <t>30491009亿</t>
  </si>
  <si>
    <t>34.16万</t>
  </si>
  <si>
    <t>-139412260亿</t>
  </si>
  <si>
    <t>172760350亿</t>
  </si>
  <si>
    <t>19419201000亿</t>
  </si>
  <si>
    <t>4821.06万</t>
  </si>
  <si>
    <t>15.75亿</t>
  </si>
  <si>
    <t>4.59万</t>
  </si>
  <si>
    <t>3.13亿</t>
  </si>
  <si>
    <t>-4.65亿</t>
  </si>
  <si>
    <t>-20.57亿</t>
  </si>
  <si>
    <t>47.32亿</t>
  </si>
  <si>
    <t>-7.33亿</t>
  </si>
  <si>
    <t>2098.72万</t>
  </si>
  <si>
    <t>6084.26万</t>
  </si>
  <si>
    <t>671.83亿</t>
  </si>
  <si>
    <t>431.13亿</t>
  </si>
  <si>
    <t>91.16亿</t>
  </si>
  <si>
    <t>1060585660亿</t>
  </si>
  <si>
    <t>205.99万</t>
  </si>
  <si>
    <t>858679850亿</t>
  </si>
  <si>
    <t>54.54亿</t>
  </si>
  <si>
    <t>12974790亿</t>
  </si>
  <si>
    <t>51617733000亿</t>
  </si>
  <si>
    <t>4.05亿</t>
  </si>
  <si>
    <t>31.37亿</t>
  </si>
  <si>
    <t>1320.29万</t>
  </si>
  <si>
    <t>-5.02亿</t>
  </si>
  <si>
    <t>172.10亿</t>
  </si>
  <si>
    <t>22.42亿</t>
  </si>
  <si>
    <t>0560000000</t>
  </si>
  <si>
    <t>01680000000</t>
  </si>
  <si>
    <t>03360000000</t>
  </si>
  <si>
    <t>05600000000</t>
  </si>
  <si>
    <t>011200000000</t>
  </si>
  <si>
    <t>SH600246</t>
  </si>
  <si>
    <t>万通发展</t>
  </si>
  <si>
    <t>1992.05万</t>
  </si>
  <si>
    <t>28.29亿</t>
  </si>
  <si>
    <t>59.27亿</t>
  </si>
  <si>
    <t>7624.36万</t>
  </si>
  <si>
    <t>1805.55亿</t>
  </si>
  <si>
    <t>-783350亿</t>
  </si>
  <si>
    <t>30.55万</t>
  </si>
  <si>
    <t>-46841325亿</t>
  </si>
  <si>
    <t>11.81亿</t>
  </si>
  <si>
    <t>87233593亿</t>
  </si>
  <si>
    <t>2777618700亿</t>
  </si>
  <si>
    <t>2120.61万</t>
  </si>
  <si>
    <t>-2.14亿</t>
  </si>
  <si>
    <t>-660.36万</t>
  </si>
  <si>
    <t>-3732.36万</t>
  </si>
  <si>
    <t>11.03亿</t>
  </si>
  <si>
    <t>36.45亿</t>
  </si>
  <si>
    <t>-3.23亿</t>
  </si>
  <si>
    <t>355.28亿</t>
  </si>
  <si>
    <t>8.17亿</t>
  </si>
  <si>
    <t>13.91亿</t>
  </si>
  <si>
    <t>-5-1</t>
  </si>
  <si>
    <t>6112.00万</t>
  </si>
  <si>
    <t>1118.52亿</t>
  </si>
  <si>
    <t>261.65亿</t>
  </si>
  <si>
    <t>103.73亿</t>
  </si>
  <si>
    <t>-9317.13万</t>
  </si>
  <si>
    <t>-302022170亿</t>
  </si>
  <si>
    <t>84.92万</t>
  </si>
  <si>
    <t>-330333640亿</t>
  </si>
  <si>
    <t>152.07亿</t>
  </si>
  <si>
    <t>175206070亿</t>
  </si>
  <si>
    <t>121452733000亿</t>
  </si>
  <si>
    <t>7470.82万</t>
  </si>
  <si>
    <t>106.95亿</t>
  </si>
  <si>
    <t>3938.88万</t>
  </si>
  <si>
    <t>23.17亿</t>
  </si>
  <si>
    <t>-2917.33万</t>
  </si>
  <si>
    <t>-7.07亿</t>
  </si>
  <si>
    <t>203.63亿</t>
  </si>
  <si>
    <t>21.74亿</t>
  </si>
  <si>
    <t>XD华发股</t>
  </si>
  <si>
    <t>5819.97万</t>
  </si>
  <si>
    <t>3200.00亿</t>
  </si>
  <si>
    <t>1316.36亿</t>
  </si>
  <si>
    <t>70.00亿</t>
  </si>
  <si>
    <t>40.86亿</t>
  </si>
  <si>
    <t>-5.36亿</t>
  </si>
  <si>
    <t>66.83亿</t>
  </si>
  <si>
    <t>59.44亿</t>
  </si>
  <si>
    <t>272153320亿</t>
  </si>
  <si>
    <t>967.85万</t>
  </si>
  <si>
    <t>338130640亿</t>
  </si>
  <si>
    <t>419.14亿</t>
  </si>
  <si>
    <t>1574207200亿</t>
  </si>
  <si>
    <t>242.00万</t>
  </si>
  <si>
    <t>391082480000亿</t>
  </si>
  <si>
    <t>6393.69万</t>
  </si>
  <si>
    <t>383.87亿</t>
  </si>
  <si>
    <t>5.00亿</t>
  </si>
  <si>
    <t>2055.24亿</t>
  </si>
  <si>
    <t>842.20亿</t>
  </si>
  <si>
    <t>-116.45亿</t>
  </si>
  <si>
    <t>68.93亿</t>
  </si>
  <si>
    <t>604.47亿</t>
  </si>
  <si>
    <t>26.10亿</t>
  </si>
  <si>
    <t>721.45亿</t>
  </si>
  <si>
    <t>18.38亿</t>
  </si>
  <si>
    <t>-8455.03万</t>
  </si>
  <si>
    <t>12.46亿</t>
  </si>
  <si>
    <t>5450.59万</t>
  </si>
  <si>
    <t>3296.43亿</t>
  </si>
  <si>
    <t>202.58亿</t>
  </si>
  <si>
    <t>13.33亿</t>
  </si>
  <si>
    <t>9.00亿</t>
  </si>
  <si>
    <t>-1.95亿</t>
  </si>
  <si>
    <t>43.74亿</t>
  </si>
  <si>
    <t>6625.66万</t>
  </si>
  <si>
    <t>1771288600亿</t>
  </si>
  <si>
    <t>2847.99万</t>
  </si>
  <si>
    <t>-3394054600亿</t>
  </si>
  <si>
    <t>72.71亿</t>
  </si>
  <si>
    <t>45347810000亿</t>
  </si>
  <si>
    <t>305013230000亿</t>
  </si>
  <si>
    <t>27.89亿</t>
  </si>
  <si>
    <t>78.00亿</t>
  </si>
  <si>
    <t>408.80亿</t>
  </si>
  <si>
    <t>1557.02亿</t>
  </si>
  <si>
    <t>959.96亿</t>
  </si>
  <si>
    <t>-5.47亿</t>
  </si>
  <si>
    <t>-6.10亿</t>
  </si>
  <si>
    <t>15.88亿</t>
  </si>
  <si>
    <t>359.07亿</t>
  </si>
  <si>
    <t>-60.28亿</t>
  </si>
  <si>
    <t>-1220.20万</t>
  </si>
  <si>
    <t>4.80亿</t>
  </si>
  <si>
    <t>896.70万</t>
  </si>
  <si>
    <t>1933.72亿</t>
  </si>
  <si>
    <t>600.59亿</t>
  </si>
  <si>
    <t>151.92亿</t>
  </si>
  <si>
    <t>44.13亿</t>
  </si>
  <si>
    <t>43.52亿</t>
  </si>
  <si>
    <t>29.91亿</t>
  </si>
  <si>
    <t>191224820亿</t>
  </si>
  <si>
    <t>379.14万</t>
  </si>
  <si>
    <t>-1019072070亿</t>
  </si>
  <si>
    <t>190.58亿</t>
  </si>
  <si>
    <t>879005100亿</t>
  </si>
  <si>
    <t>196636900000亿</t>
  </si>
  <si>
    <t>1000.00万</t>
  </si>
  <si>
    <t>1714.11万</t>
  </si>
  <si>
    <t>88.52亿</t>
  </si>
  <si>
    <t>6216.02万</t>
  </si>
  <si>
    <t>802.75亿</t>
  </si>
  <si>
    <t>410.17亿</t>
  </si>
  <si>
    <t>-28.50亿</t>
  </si>
  <si>
    <t>-3.11亿</t>
  </si>
  <si>
    <t>477.63亿</t>
  </si>
  <si>
    <t>36.30亿</t>
  </si>
  <si>
    <t>-63.39亿</t>
  </si>
  <si>
    <t>12.27亿</t>
  </si>
  <si>
    <t>6423.38万</t>
  </si>
  <si>
    <t>4.73亿</t>
  </si>
  <si>
    <t>013239000000</t>
  </si>
  <si>
    <t>026478000000</t>
  </si>
  <si>
    <t>044130000000</t>
  </si>
  <si>
    <t>088260000000</t>
  </si>
  <si>
    <t>2569.46亿</t>
  </si>
  <si>
    <t>1162.19亿</t>
  </si>
  <si>
    <t>69.50亿</t>
  </si>
  <si>
    <t>48.33亿</t>
  </si>
  <si>
    <t>1697.52万</t>
  </si>
  <si>
    <t>76.42亿</t>
  </si>
  <si>
    <t>59.13亿</t>
  </si>
  <si>
    <t>271671600亿</t>
  </si>
  <si>
    <t>5311.79万</t>
  </si>
  <si>
    <t>-302189980亿</t>
  </si>
  <si>
    <t>244.23亿</t>
  </si>
  <si>
    <t>1720322000亿</t>
  </si>
  <si>
    <t>97.26万</t>
  </si>
  <si>
    <t>266406700000亿</t>
  </si>
  <si>
    <t>4.79亿</t>
  </si>
  <si>
    <t>3344.09万</t>
  </si>
  <si>
    <t>250.19亿</t>
  </si>
  <si>
    <t>2.60亿</t>
  </si>
  <si>
    <t>1942.88亿</t>
  </si>
  <si>
    <t>491.74亿</t>
  </si>
  <si>
    <t>-9.19亿</t>
  </si>
  <si>
    <t>-45.00亿</t>
  </si>
  <si>
    <t>61.15亿</t>
  </si>
  <si>
    <t>980.08亿</t>
  </si>
  <si>
    <t>8.88亿</t>
  </si>
  <si>
    <t>-713.26万</t>
  </si>
  <si>
    <t>10派0.197元(含税)</t>
  </si>
  <si>
    <t>7.73亿</t>
  </si>
  <si>
    <t>57.52亿</t>
  </si>
  <si>
    <t>244.79万</t>
  </si>
  <si>
    <t>13.22亿</t>
  </si>
  <si>
    <t>10.96亿</t>
  </si>
  <si>
    <t>7390.19万</t>
  </si>
  <si>
    <t>15.64亿</t>
  </si>
  <si>
    <t>4944.59万</t>
  </si>
  <si>
    <t>9667.71万</t>
  </si>
  <si>
    <t>5511.40万</t>
  </si>
  <si>
    <t>2643.78万</t>
  </si>
  <si>
    <t>-162206亿</t>
  </si>
  <si>
    <t>13.73万</t>
  </si>
  <si>
    <t>-19115120亿</t>
  </si>
  <si>
    <t>270069680亿</t>
  </si>
  <si>
    <t>47.30万</t>
  </si>
  <si>
    <t>1599175300亿</t>
  </si>
  <si>
    <t>9725.14万</t>
  </si>
  <si>
    <t>138.91万</t>
  </si>
  <si>
    <t>-1812.56万</t>
  </si>
  <si>
    <t>-51.67万</t>
  </si>
  <si>
    <t>1772.62万</t>
  </si>
  <si>
    <t>5.17亿</t>
  </si>
  <si>
    <t>-9997.97万</t>
  </si>
  <si>
    <t>753.11万</t>
  </si>
  <si>
    <t>1639.71万</t>
  </si>
  <si>
    <t>1049.13万</t>
  </si>
  <si>
    <t>5.93亿</t>
  </si>
  <si>
    <t>37.07亿</t>
  </si>
  <si>
    <t>-4460.57万</t>
  </si>
  <si>
    <t>9457.93万</t>
  </si>
  <si>
    <t>6008.04万</t>
  </si>
  <si>
    <t>377.19万</t>
  </si>
  <si>
    <t>1937.65万</t>
  </si>
  <si>
    <t>13722622亿</t>
  </si>
  <si>
    <t>1069782亿</t>
  </si>
  <si>
    <t>3033143300亿</t>
  </si>
  <si>
    <t>4060.32万</t>
  </si>
  <si>
    <t>286.35万</t>
  </si>
  <si>
    <t>3.45亿</t>
  </si>
  <si>
    <t>-3.18亿</t>
  </si>
  <si>
    <t>1319.05万</t>
  </si>
  <si>
    <t>-55.48万</t>
  </si>
  <si>
    <t>7649.13万</t>
  </si>
  <si>
    <t>5797.34万</t>
  </si>
  <si>
    <t>-3493.01万</t>
  </si>
  <si>
    <t>10派0.04元(含税)</t>
  </si>
  <si>
    <t>6473.41万</t>
  </si>
  <si>
    <t>XD黑牡丹</t>
  </si>
  <si>
    <t>516.22万</t>
  </si>
  <si>
    <t>189.36亿</t>
  </si>
  <si>
    <t>4.61亿</t>
  </si>
  <si>
    <t>496.96亿</t>
  </si>
  <si>
    <t>21.46亿</t>
  </si>
  <si>
    <t>3.66亿</t>
  </si>
  <si>
    <t>2009.79万</t>
  </si>
  <si>
    <t>7790.85万</t>
  </si>
  <si>
    <t>-1077567亿</t>
  </si>
  <si>
    <t>35.91万</t>
  </si>
  <si>
    <t>57964044亿</t>
  </si>
  <si>
    <t>28.63亿</t>
  </si>
  <si>
    <t>8422745200亿</t>
  </si>
  <si>
    <t>23393155000亿</t>
  </si>
  <si>
    <t>1418.74万</t>
  </si>
  <si>
    <t>8.76亿</t>
  </si>
  <si>
    <t>38.42万</t>
  </si>
  <si>
    <t>99.59亿</t>
  </si>
  <si>
    <t>38.04亿</t>
  </si>
  <si>
    <t>-1040.70万</t>
  </si>
  <si>
    <t>98.16亿</t>
  </si>
  <si>
    <t>92.08亿</t>
  </si>
  <si>
    <t>73.45亿</t>
  </si>
  <si>
    <t>112.26亿</t>
  </si>
  <si>
    <t>10派1.25元(含税)</t>
  </si>
  <si>
    <t>3432.25万</t>
  </si>
  <si>
    <t>571.81万</t>
  </si>
  <si>
    <t>200.26亿</t>
  </si>
  <si>
    <t>43.76亿</t>
  </si>
  <si>
    <t>86.74亿</t>
  </si>
  <si>
    <t>10.71亿</t>
  </si>
  <si>
    <t>4.15亿</t>
  </si>
  <si>
    <t>1687.18万</t>
  </si>
  <si>
    <t>3764.93万</t>
  </si>
  <si>
    <t>-9814529亿</t>
  </si>
  <si>
    <t>46.85万</t>
  </si>
  <si>
    <t>-21586391亿</t>
  </si>
  <si>
    <t>25.01亿</t>
  </si>
  <si>
    <t>19579214亿</t>
  </si>
  <si>
    <t>21565008000亿</t>
  </si>
  <si>
    <t>947.08万</t>
  </si>
  <si>
    <t>126.42亿</t>
  </si>
  <si>
    <t>57.98亿</t>
  </si>
  <si>
    <t>368.27万</t>
  </si>
  <si>
    <t>8318.97万</t>
  </si>
  <si>
    <t>47.68亿</t>
  </si>
  <si>
    <t>20.85亿</t>
  </si>
  <si>
    <t>-1.34亿</t>
  </si>
  <si>
    <t>4063.43万</t>
  </si>
  <si>
    <t>ST迪马</t>
  </si>
  <si>
    <t>484.17亿</t>
  </si>
  <si>
    <t>79.25亿</t>
  </si>
  <si>
    <t>51.96亿</t>
  </si>
  <si>
    <t>96.55亿</t>
  </si>
  <si>
    <t>28.23亿</t>
  </si>
  <si>
    <t>51.06亿</t>
  </si>
  <si>
    <t>45.78亿</t>
  </si>
  <si>
    <t>24949271亿</t>
  </si>
  <si>
    <t>320.34万</t>
  </si>
  <si>
    <t>-14243297亿</t>
  </si>
  <si>
    <t>12.47亿</t>
  </si>
  <si>
    <t>125.60万</t>
  </si>
  <si>
    <t>42221378000亿</t>
  </si>
  <si>
    <t>313.27万</t>
  </si>
  <si>
    <t>15.21亿</t>
  </si>
  <si>
    <t>92.84亿</t>
  </si>
  <si>
    <t>1094.57万</t>
  </si>
  <si>
    <t>390.72亿</t>
  </si>
  <si>
    <t>2466.10万</t>
  </si>
  <si>
    <t>183.01亿</t>
  </si>
  <si>
    <t>23.88亿</t>
  </si>
  <si>
    <t>-36.51亿</t>
  </si>
  <si>
    <t>6.77亿</t>
  </si>
  <si>
    <t>1158.99万</t>
  </si>
  <si>
    <t>163.47亿</t>
  </si>
  <si>
    <t>73.85亿</t>
  </si>
  <si>
    <t>9.88亿</t>
  </si>
  <si>
    <t>10.22亿</t>
  </si>
  <si>
    <t>5.71亿</t>
  </si>
  <si>
    <t>1886.98万</t>
  </si>
  <si>
    <t>3759.84万</t>
  </si>
  <si>
    <t>301064亿</t>
  </si>
  <si>
    <t>84.55万</t>
  </si>
  <si>
    <t>174378370亿</t>
  </si>
  <si>
    <t>9.28亿</t>
  </si>
  <si>
    <t>531896540亿</t>
  </si>
  <si>
    <t>8807.36万</t>
  </si>
  <si>
    <t>6523192600亿</t>
  </si>
  <si>
    <t>30.46亿</t>
  </si>
  <si>
    <t>15.63亿</t>
  </si>
  <si>
    <t>1610.84万</t>
  </si>
  <si>
    <t>88.76亿</t>
  </si>
  <si>
    <t>40.08亿</t>
  </si>
  <si>
    <t>-6.26亿</t>
  </si>
  <si>
    <t>21.25亿</t>
  </si>
  <si>
    <t>49.32亿</t>
  </si>
  <si>
    <t>-3978.44万</t>
  </si>
  <si>
    <t>8297.62万</t>
  </si>
  <si>
    <t>569.79万</t>
  </si>
  <si>
    <t>137.91亿</t>
  </si>
  <si>
    <t>82.37亿</t>
  </si>
  <si>
    <t>5645.40万</t>
  </si>
  <si>
    <t>1991.57万</t>
  </si>
  <si>
    <t>2640131亿</t>
  </si>
  <si>
    <t>-51817933亿</t>
  </si>
  <si>
    <t>10.05亿</t>
  </si>
  <si>
    <t>125182564亿</t>
  </si>
  <si>
    <t>10924915400亿</t>
  </si>
  <si>
    <t>1496.23万</t>
  </si>
  <si>
    <t>9.52亿</t>
  </si>
  <si>
    <t>8870.86万</t>
  </si>
  <si>
    <t>69.55亿</t>
  </si>
  <si>
    <t>36.12亿</t>
  </si>
  <si>
    <t>-4.14亿</t>
  </si>
  <si>
    <t>-3941.80万</t>
  </si>
  <si>
    <t>1896.13万</t>
  </si>
  <si>
    <t>2424.43万</t>
  </si>
  <si>
    <t>714.90万</t>
  </si>
  <si>
    <t>3581.68万</t>
  </si>
  <si>
    <t>-5-0</t>
  </si>
  <si>
    <t>5689.24万</t>
  </si>
  <si>
    <t>10487.68亿</t>
  </si>
  <si>
    <t>1436.54亿</t>
  </si>
  <si>
    <t>515.68亿</t>
  </si>
  <si>
    <t>-2201.50万</t>
  </si>
  <si>
    <t>515.54亿</t>
  </si>
  <si>
    <t>462.38亿</t>
  </si>
  <si>
    <t>7.42亿</t>
  </si>
  <si>
    <t>17.86亿</t>
  </si>
  <si>
    <t>554256510亿</t>
  </si>
  <si>
    <t>9459.90万</t>
  </si>
  <si>
    <t>216213330亿</t>
  </si>
  <si>
    <t>308.56亿</t>
  </si>
  <si>
    <t>80009608000亿</t>
  </si>
  <si>
    <t>1017551170000亿</t>
  </si>
  <si>
    <t>39.01亿</t>
  </si>
  <si>
    <t>137.31亿</t>
  </si>
  <si>
    <t>3763.62亿</t>
  </si>
  <si>
    <t>18.56亿</t>
  </si>
  <si>
    <t>9170.41亿</t>
  </si>
  <si>
    <t>785.51亿</t>
  </si>
  <si>
    <t>-24.18亿</t>
  </si>
  <si>
    <t>-7.04亿</t>
  </si>
  <si>
    <t>3602.45亿</t>
  </si>
  <si>
    <t>5501.11万</t>
  </si>
  <si>
    <t>-95.56亿</t>
  </si>
  <si>
    <t>17.46万</t>
  </si>
  <si>
    <t>30.69亿</t>
  </si>
  <si>
    <t>935.36万</t>
  </si>
  <si>
    <t>180.44亿</t>
  </si>
  <si>
    <t>64.93亿</t>
  </si>
  <si>
    <t>408.81亿</t>
  </si>
  <si>
    <t>9.05亿</t>
  </si>
  <si>
    <t>1.93亿</t>
  </si>
  <si>
    <t>1035.10万</t>
  </si>
  <si>
    <t>4488.83万</t>
  </si>
  <si>
    <t>-24037602亿</t>
  </si>
  <si>
    <t>119.35万</t>
  </si>
  <si>
    <t>-95045879亿</t>
  </si>
  <si>
    <t>26.49亿</t>
  </si>
  <si>
    <t>443535900亿</t>
  </si>
  <si>
    <t>5839508600亿</t>
  </si>
  <si>
    <t>694.86万</t>
  </si>
  <si>
    <t>810.55万</t>
  </si>
  <si>
    <t>83.59亿</t>
  </si>
  <si>
    <t>71.54亿</t>
  </si>
  <si>
    <t>-2417.12万</t>
  </si>
  <si>
    <t>582.58万</t>
  </si>
  <si>
    <t>43.90亿</t>
  </si>
  <si>
    <t>96.08亿</t>
  </si>
  <si>
    <t>-19.97亿</t>
  </si>
  <si>
    <t>1051.67万</t>
  </si>
  <si>
    <t>6526.68万</t>
  </si>
  <si>
    <t>600.11万</t>
  </si>
  <si>
    <t>156.95亿</t>
  </si>
  <si>
    <t>65.85亿</t>
  </si>
  <si>
    <t>18.19亿</t>
  </si>
  <si>
    <t>6810.33万</t>
  </si>
  <si>
    <t>5543.11万</t>
  </si>
  <si>
    <t>5561.55万</t>
  </si>
  <si>
    <t>5248020亿</t>
  </si>
  <si>
    <t>363.05万</t>
  </si>
  <si>
    <t>975696亿</t>
  </si>
  <si>
    <t>50.90亿</t>
  </si>
  <si>
    <t>65857692亿</t>
  </si>
  <si>
    <t>100.00万</t>
  </si>
  <si>
    <t>13348272200亿</t>
  </si>
  <si>
    <t>107.37亿</t>
  </si>
  <si>
    <t>27.47亿</t>
  </si>
  <si>
    <t>-3.41亿</t>
  </si>
  <si>
    <t>839.23万</t>
  </si>
  <si>
    <t>-7187.55万</t>
  </si>
  <si>
    <t>5660.26万</t>
  </si>
  <si>
    <t>30.56亿</t>
  </si>
  <si>
    <t>42.77亿</t>
  </si>
  <si>
    <t>6208.98万</t>
  </si>
  <si>
    <t>13.72亿</t>
  </si>
  <si>
    <t>10派0.28元(含税)</t>
  </si>
  <si>
    <t>3331.00万</t>
  </si>
  <si>
    <t>374.92万</t>
  </si>
  <si>
    <t>228.03亿</t>
  </si>
  <si>
    <t>185.59亿</t>
  </si>
  <si>
    <t>9.10亿</t>
  </si>
  <si>
    <t>23.85亿</t>
  </si>
  <si>
    <t>520.06万</t>
  </si>
  <si>
    <t>6.03亿</t>
  </si>
  <si>
    <t>612.77万</t>
  </si>
  <si>
    <t>3139.20万</t>
  </si>
  <si>
    <t>20.69万</t>
  </si>
  <si>
    <t>226828770亿</t>
  </si>
  <si>
    <t>49.33亿</t>
  </si>
  <si>
    <t>213567850亿</t>
  </si>
  <si>
    <t>27906287000亿</t>
  </si>
  <si>
    <t>36.85亿</t>
  </si>
  <si>
    <t>11.15亿</t>
  </si>
  <si>
    <t>115.28亿</t>
  </si>
  <si>
    <t>69.61亿</t>
  </si>
  <si>
    <t>-1.53亿</t>
  </si>
  <si>
    <t>-468.62万</t>
  </si>
  <si>
    <t>27.86亿</t>
  </si>
  <si>
    <t>2441.89万</t>
  </si>
  <si>
    <t>10派5.7元(含税)</t>
  </si>
  <si>
    <t>2499.70万</t>
  </si>
  <si>
    <t>764.60万</t>
  </si>
  <si>
    <t>17.79亿</t>
  </si>
  <si>
    <t>91.11亿</t>
  </si>
  <si>
    <t>9912.53万</t>
  </si>
  <si>
    <t>291.42亿</t>
  </si>
  <si>
    <t>2253.13万</t>
  </si>
  <si>
    <t>585.80万</t>
  </si>
  <si>
    <t>6122.48万</t>
  </si>
  <si>
    <t>9787432亿</t>
  </si>
  <si>
    <t>2852.66万</t>
  </si>
  <si>
    <t>12819677亿</t>
  </si>
  <si>
    <t>25.10亿</t>
  </si>
  <si>
    <t>105824312亿</t>
  </si>
  <si>
    <t>866.55万</t>
  </si>
  <si>
    <t>5265618500亿</t>
  </si>
  <si>
    <t>3.38亿</t>
  </si>
  <si>
    <t>2.76亿</t>
  </si>
  <si>
    <t>230.47万</t>
  </si>
  <si>
    <t>-2654.48万</t>
  </si>
  <si>
    <t>-7.01亿</t>
  </si>
  <si>
    <t>72.80亿</t>
  </si>
  <si>
    <t>5343.28万</t>
  </si>
  <si>
    <t>232.14万</t>
  </si>
  <si>
    <t>317.97亿</t>
  </si>
  <si>
    <t>128.89亿</t>
  </si>
  <si>
    <t>25.59亿</t>
  </si>
  <si>
    <t>11.65亿</t>
  </si>
  <si>
    <t>6796.17万</t>
  </si>
  <si>
    <t>9518.26万</t>
  </si>
  <si>
    <t>9198065亿</t>
  </si>
  <si>
    <t>346.90万</t>
  </si>
  <si>
    <t>31914530亿</t>
  </si>
  <si>
    <t>47.91亿</t>
  </si>
  <si>
    <t>573783170亿</t>
  </si>
  <si>
    <t>20860466000亿</t>
  </si>
  <si>
    <t>215.46万</t>
  </si>
  <si>
    <t>73.97亿</t>
  </si>
  <si>
    <t>198.66亿</t>
  </si>
  <si>
    <t>58.94亿</t>
  </si>
  <si>
    <t>-30.53亿</t>
  </si>
  <si>
    <t>-12.07亿</t>
  </si>
  <si>
    <t>21.15亿</t>
  </si>
  <si>
    <t>75.69亿</t>
  </si>
  <si>
    <t>5843.07万</t>
  </si>
  <si>
    <t>1744.27万</t>
  </si>
  <si>
    <t>0415000000</t>
  </si>
  <si>
    <t>01245000000</t>
  </si>
  <si>
    <t>02490000000</t>
  </si>
  <si>
    <t>04150000000</t>
  </si>
  <si>
    <t>08300000000</t>
  </si>
  <si>
    <t>3628.59万</t>
  </si>
  <si>
    <t>563.55亿</t>
  </si>
  <si>
    <t>215.91亿</t>
  </si>
  <si>
    <t>19.28亿</t>
  </si>
  <si>
    <t>2000.47万</t>
  </si>
  <si>
    <t>4333.81万</t>
  </si>
  <si>
    <t>26716115亿</t>
  </si>
  <si>
    <t>13.33万</t>
  </si>
  <si>
    <t>5314317亿</t>
  </si>
  <si>
    <t>67.40亿</t>
  </si>
  <si>
    <t>1267125880亿</t>
  </si>
  <si>
    <t>61966634000亿</t>
  </si>
  <si>
    <t>156.22万</t>
  </si>
  <si>
    <t>34.10亿</t>
  </si>
  <si>
    <t>1407.71万</t>
  </si>
  <si>
    <t>205.73亿</t>
  </si>
  <si>
    <t>263.16亿</t>
  </si>
  <si>
    <t>-9810.73万</t>
  </si>
  <si>
    <t>-4.42亿</t>
  </si>
  <si>
    <t>1467.18万</t>
  </si>
  <si>
    <t>0453000000</t>
  </si>
  <si>
    <t>0906000000</t>
  </si>
  <si>
    <t>01510000000</t>
  </si>
  <si>
    <t>03020000000</t>
  </si>
  <si>
    <t>1329.80万</t>
  </si>
  <si>
    <t>573.83亿</t>
  </si>
  <si>
    <t>250.46亿</t>
  </si>
  <si>
    <t>28.21亿</t>
  </si>
  <si>
    <t>10.26亿</t>
  </si>
  <si>
    <t>4319.18万</t>
  </si>
  <si>
    <t>-45426844亿</t>
  </si>
  <si>
    <t>46.58万</t>
  </si>
  <si>
    <t>-203454840亿</t>
  </si>
  <si>
    <t>74.26亿</t>
  </si>
  <si>
    <t>1902739200亿</t>
  </si>
  <si>
    <t>52936142000亿</t>
  </si>
  <si>
    <t>9014.39万</t>
  </si>
  <si>
    <t>2963.91万</t>
  </si>
  <si>
    <t>25.80亿</t>
  </si>
  <si>
    <t>3413.48万</t>
  </si>
  <si>
    <t>209.99亿</t>
  </si>
  <si>
    <t>91.76亿</t>
  </si>
  <si>
    <t>-15.07亿</t>
  </si>
  <si>
    <t>5.36亿</t>
  </si>
  <si>
    <t>-10.71亿</t>
  </si>
  <si>
    <t>114.20亿</t>
  </si>
  <si>
    <t>18.54亿</t>
  </si>
  <si>
    <t>5.05亿</t>
  </si>
  <si>
    <t>8929.20万</t>
  </si>
  <si>
    <t>617.07万</t>
  </si>
  <si>
    <t>115.51亿</t>
  </si>
  <si>
    <t>78.21亿</t>
  </si>
  <si>
    <t>10.49亿</t>
  </si>
  <si>
    <t>331.61亿</t>
  </si>
  <si>
    <t>56.29亿</t>
  </si>
  <si>
    <t>2286.87万</t>
  </si>
  <si>
    <t>7629.48万</t>
  </si>
  <si>
    <t>24373679亿</t>
  </si>
  <si>
    <t>87.82万</t>
  </si>
  <si>
    <t>77810810亿</t>
  </si>
  <si>
    <t>913902280亿</t>
  </si>
  <si>
    <t>929.69万</t>
  </si>
  <si>
    <t>11240167700亿</t>
  </si>
  <si>
    <t>4200.00万</t>
  </si>
  <si>
    <t>15.05亿</t>
  </si>
  <si>
    <t>5505.86万</t>
  </si>
  <si>
    <t>45.39亿</t>
  </si>
  <si>
    <t>-8.18亿</t>
  </si>
  <si>
    <t>-5448.19万</t>
  </si>
  <si>
    <t>6.79亿</t>
  </si>
  <si>
    <t>3983.40万</t>
  </si>
  <si>
    <t>2.56亿</t>
  </si>
  <si>
    <t>441.10万</t>
  </si>
  <si>
    <t>1155.12亿</t>
  </si>
  <si>
    <t>474.46亿</t>
  </si>
  <si>
    <t>27.90亿</t>
  </si>
  <si>
    <t>3.95亿</t>
  </si>
  <si>
    <t>4654.26万</t>
  </si>
  <si>
    <t>27968712亿</t>
  </si>
  <si>
    <t>364.79万</t>
  </si>
  <si>
    <t>412270950亿</t>
  </si>
  <si>
    <t>788473690亿</t>
  </si>
  <si>
    <t>80151742000亿</t>
  </si>
  <si>
    <t>152.75亿</t>
  </si>
  <si>
    <t>40.37亿</t>
  </si>
  <si>
    <t>752.71亿</t>
  </si>
  <si>
    <t>163.60亿</t>
  </si>
  <si>
    <t>5.97亿</t>
  </si>
  <si>
    <t>6.84亿</t>
  </si>
  <si>
    <t>-61.17亿</t>
  </si>
  <si>
    <t>117.55亿</t>
  </si>
  <si>
    <t>106.67亿</t>
  </si>
  <si>
    <t>39.32亿</t>
  </si>
  <si>
    <t>10.93亿</t>
  </si>
  <si>
    <t>10派1.14元(含税)</t>
  </si>
  <si>
    <t>2840.84万</t>
  </si>
  <si>
    <t>1210.15万</t>
  </si>
  <si>
    <t>305.97亿</t>
  </si>
  <si>
    <t>46.23亿</t>
  </si>
  <si>
    <t>-6.75亿</t>
  </si>
  <si>
    <t>4.33亿</t>
  </si>
  <si>
    <t>1934.39万</t>
  </si>
  <si>
    <t>2160.85万</t>
  </si>
  <si>
    <t>-24243157亿</t>
  </si>
  <si>
    <t>50.67万</t>
  </si>
  <si>
    <t>-81643845亿</t>
  </si>
  <si>
    <t>68.33亿</t>
  </si>
  <si>
    <t>74800704亿</t>
  </si>
  <si>
    <t>35556541000亿</t>
  </si>
  <si>
    <t>35.15亿</t>
  </si>
  <si>
    <t>175.88万</t>
  </si>
  <si>
    <t>237.14亿</t>
  </si>
  <si>
    <t>63.52亿</t>
  </si>
  <si>
    <t>491.32万</t>
  </si>
  <si>
    <t>18.33亿</t>
  </si>
  <si>
    <t>115.26亿</t>
  </si>
  <si>
    <t>4469.21万</t>
  </si>
  <si>
    <t>-1225.12万</t>
  </si>
  <si>
    <t>8477.18万</t>
  </si>
  <si>
    <t>1460.10万</t>
  </si>
  <si>
    <t>430.50亿</t>
  </si>
  <si>
    <t>169.69亿</t>
  </si>
  <si>
    <t>52.10亿</t>
  </si>
  <si>
    <t>917.87万</t>
  </si>
  <si>
    <t>1500.41万</t>
  </si>
  <si>
    <t>7037.44万</t>
  </si>
  <si>
    <t>-366728亿</t>
  </si>
  <si>
    <t>352.04万</t>
  </si>
  <si>
    <t>-223512000亿</t>
  </si>
  <si>
    <t>173.03亿</t>
  </si>
  <si>
    <t>299982140亿</t>
  </si>
  <si>
    <t>46149990000亿</t>
  </si>
  <si>
    <t>197.59万</t>
  </si>
  <si>
    <t>18.13亿</t>
  </si>
  <si>
    <t>2682.70万</t>
  </si>
  <si>
    <t>260.20亿</t>
  </si>
  <si>
    <t>104.89亿</t>
  </si>
  <si>
    <t>-10.28亿</t>
  </si>
  <si>
    <t>-1580.46万</t>
  </si>
  <si>
    <t>-1.55亿</t>
  </si>
  <si>
    <t>-5703.55万</t>
  </si>
  <si>
    <t>131.87亿</t>
  </si>
  <si>
    <t>-3071.53万</t>
  </si>
  <si>
    <t>027536100</t>
  </si>
  <si>
    <t>055072200</t>
  </si>
  <si>
    <t>091787000</t>
  </si>
  <si>
    <t>0183574000</t>
  </si>
  <si>
    <t>1126.81万</t>
  </si>
  <si>
    <t>500.90亿</t>
  </si>
  <si>
    <t>92.57亿</t>
  </si>
  <si>
    <t>32.72亿</t>
  </si>
  <si>
    <t>-6295.91万</t>
  </si>
  <si>
    <t>1870.72万</t>
  </si>
  <si>
    <t>3931.00万</t>
  </si>
  <si>
    <t>14231430亿</t>
  </si>
  <si>
    <t>234.53万</t>
  </si>
  <si>
    <t>-88651565亿</t>
  </si>
  <si>
    <t>21.22亿</t>
  </si>
  <si>
    <t>480789300亿</t>
  </si>
  <si>
    <t>49179062000亿</t>
  </si>
  <si>
    <t>30.13亿</t>
  </si>
  <si>
    <t>2267.74万</t>
  </si>
  <si>
    <t>197.88亿</t>
  </si>
  <si>
    <t>267.88亿</t>
  </si>
  <si>
    <t>-83.05亿</t>
  </si>
  <si>
    <t>-3116.66万</t>
  </si>
  <si>
    <t>106.41亿</t>
  </si>
  <si>
    <t>21.13亿</t>
  </si>
  <si>
    <t>-6.59亿</t>
  </si>
  <si>
    <t>-5112.14万</t>
  </si>
  <si>
    <t>6255.15万</t>
  </si>
  <si>
    <t>SH600684</t>
  </si>
  <si>
    <t>珠江股份</t>
  </si>
  <si>
    <t>613.10万</t>
  </si>
  <si>
    <t>161.46亿</t>
  </si>
  <si>
    <t>4806.76万</t>
  </si>
  <si>
    <t>3.08亿</t>
  </si>
  <si>
    <t>438.06万</t>
  </si>
  <si>
    <t>3439.30万</t>
  </si>
  <si>
    <t>-974384亿</t>
  </si>
  <si>
    <t>7574188亿</t>
  </si>
  <si>
    <t>313453340亿</t>
  </si>
  <si>
    <t>1890326000亿</t>
  </si>
  <si>
    <t>1.67万</t>
  </si>
  <si>
    <t>428.60万</t>
  </si>
  <si>
    <t>-9123.36万</t>
  </si>
  <si>
    <t>-89.87万</t>
  </si>
  <si>
    <t>-4.04亿</t>
  </si>
  <si>
    <t>50.80亿</t>
  </si>
  <si>
    <t>47.79亿</t>
  </si>
  <si>
    <t>34.06亿</t>
  </si>
  <si>
    <t>34.05亿</t>
  </si>
  <si>
    <t>-17.98亿</t>
  </si>
  <si>
    <t>-5.29亿</t>
  </si>
  <si>
    <t>18.99亿</t>
  </si>
  <si>
    <t>-2666.55万</t>
  </si>
  <si>
    <t>5578.51万</t>
  </si>
  <si>
    <t>4.49亿</t>
  </si>
  <si>
    <t>1773.73万</t>
  </si>
  <si>
    <t>15.46亿</t>
  </si>
  <si>
    <t>14.15亿</t>
  </si>
  <si>
    <t>3504.54万</t>
  </si>
  <si>
    <t>-30.61万</t>
  </si>
  <si>
    <t>1338.40万</t>
  </si>
  <si>
    <t>6013964亿</t>
  </si>
  <si>
    <t>20.61万</t>
  </si>
  <si>
    <t>-13153031亿</t>
  </si>
  <si>
    <t>10.15亿</t>
  </si>
  <si>
    <t>285794930亿</t>
  </si>
  <si>
    <t>121.44万</t>
  </si>
  <si>
    <t>3152186400亿</t>
  </si>
  <si>
    <t>4386.42万</t>
  </si>
  <si>
    <t>2636.84万</t>
  </si>
  <si>
    <t>6.70亿</t>
  </si>
  <si>
    <t>813.87万</t>
  </si>
  <si>
    <t>1069.67万</t>
  </si>
  <si>
    <t>13.05亿</t>
  </si>
  <si>
    <t>244.42万</t>
  </si>
  <si>
    <t>3204.70万</t>
  </si>
  <si>
    <t>1188.12万</t>
  </si>
  <si>
    <t>521.81亿</t>
  </si>
  <si>
    <t>115.16亿</t>
  </si>
  <si>
    <t>1229.81亿</t>
  </si>
  <si>
    <t>20.65亿</t>
  </si>
  <si>
    <t>3254.81万</t>
  </si>
  <si>
    <t>9650.28万</t>
  </si>
  <si>
    <t>31989597亿</t>
  </si>
  <si>
    <t>361.22万</t>
  </si>
  <si>
    <t>-65018833亿</t>
  </si>
  <si>
    <t>51.11亿</t>
  </si>
  <si>
    <t>2126875600亿</t>
  </si>
  <si>
    <t>58478650000亿</t>
  </si>
  <si>
    <t>7.35亿</t>
  </si>
  <si>
    <t>3.76亿</t>
  </si>
  <si>
    <t>69.89亿</t>
  </si>
  <si>
    <t>2031.92万</t>
  </si>
  <si>
    <t>217.03亿</t>
  </si>
  <si>
    <t>242.09亿</t>
  </si>
  <si>
    <t>-23.59亿</t>
  </si>
  <si>
    <t>6607.48万</t>
  </si>
  <si>
    <t>86.05亿</t>
  </si>
  <si>
    <t>310.02亿</t>
  </si>
  <si>
    <t>3383.76万</t>
  </si>
  <si>
    <t>9.60亿</t>
  </si>
  <si>
    <t>412.54万</t>
  </si>
  <si>
    <t>27.68亿</t>
  </si>
  <si>
    <t>50.89亿</t>
  </si>
  <si>
    <t>4434.69万</t>
  </si>
  <si>
    <t>117.04亿</t>
  </si>
  <si>
    <t>5752.11万</t>
  </si>
  <si>
    <t>3585.53万</t>
  </si>
  <si>
    <t>271.98万</t>
  </si>
  <si>
    <t>707.43万</t>
  </si>
  <si>
    <t>-14423252亿</t>
  </si>
  <si>
    <t>9.98亿</t>
  </si>
  <si>
    <t>808276亿</t>
  </si>
  <si>
    <t>5787488300亿</t>
  </si>
  <si>
    <t>2680.19万</t>
  </si>
  <si>
    <t>842.28万</t>
  </si>
  <si>
    <t>22.04亿</t>
  </si>
  <si>
    <t>946.21万</t>
  </si>
  <si>
    <t>-7.42万</t>
  </si>
  <si>
    <t>-6619.00万</t>
  </si>
  <si>
    <t>6.47亿</t>
  </si>
  <si>
    <t>26.63亿</t>
  </si>
  <si>
    <t>767.15万</t>
  </si>
  <si>
    <t>2970.23万</t>
  </si>
  <si>
    <t>1358.07万</t>
  </si>
  <si>
    <t>33.89亿</t>
  </si>
  <si>
    <t>514.83万</t>
  </si>
  <si>
    <t>1027.93万</t>
  </si>
  <si>
    <t>2131.29万</t>
  </si>
  <si>
    <t>7677342亿</t>
  </si>
  <si>
    <t>89.55万</t>
  </si>
  <si>
    <t>56365021亿</t>
  </si>
  <si>
    <t>213883580亿</t>
  </si>
  <si>
    <t>2154193400亿</t>
  </si>
  <si>
    <t>3212.39万</t>
  </si>
  <si>
    <t>592.50万</t>
  </si>
  <si>
    <t>5259.22万</t>
  </si>
  <si>
    <t>9977.00万</t>
  </si>
  <si>
    <t>-1066.87万</t>
  </si>
  <si>
    <t>-2679.35万</t>
  </si>
  <si>
    <t>141.69万</t>
  </si>
  <si>
    <t>4246.52万</t>
  </si>
  <si>
    <t>05148300</t>
  </si>
  <si>
    <t>015444900</t>
  </si>
  <si>
    <t>030889800</t>
  </si>
  <si>
    <t>051483000</t>
  </si>
  <si>
    <t>0102966000</t>
  </si>
  <si>
    <t>488.78万</t>
  </si>
  <si>
    <t>538.17亿</t>
  </si>
  <si>
    <t>186.27亿</t>
  </si>
  <si>
    <t>42.20亿</t>
  </si>
  <si>
    <t>331.14亿</t>
  </si>
  <si>
    <t>20.73亿</t>
  </si>
  <si>
    <t>39.14亿</t>
  </si>
  <si>
    <t>34.88亿</t>
  </si>
  <si>
    <t>8770.90万</t>
  </si>
  <si>
    <t>6858.17万</t>
  </si>
  <si>
    <t>111241100亿</t>
  </si>
  <si>
    <t>270.56万</t>
  </si>
  <si>
    <t>80603041亿</t>
  </si>
  <si>
    <t>49.60亿</t>
  </si>
  <si>
    <t>788596510亿</t>
  </si>
  <si>
    <t>944.93万</t>
  </si>
  <si>
    <t>47272163000亿</t>
  </si>
  <si>
    <t>28.10亿</t>
  </si>
  <si>
    <t>3681.13万</t>
  </si>
  <si>
    <t>158.61亿</t>
  </si>
  <si>
    <t>280.13亿</t>
  </si>
  <si>
    <t>-18.39亿</t>
  </si>
  <si>
    <t>17.69亿</t>
  </si>
  <si>
    <t>3.09亿</t>
  </si>
  <si>
    <t>78.14亿</t>
  </si>
  <si>
    <t>47.97亿</t>
  </si>
  <si>
    <t>10派0.27元(含税)</t>
  </si>
  <si>
    <t>3395.30万</t>
  </si>
  <si>
    <t>3.18亿</t>
  </si>
  <si>
    <t>1432.87万</t>
  </si>
  <si>
    <t>270.58亿</t>
  </si>
  <si>
    <t>32.86亿</t>
  </si>
  <si>
    <t>-1.87亿</t>
  </si>
  <si>
    <t>11.34亿</t>
  </si>
  <si>
    <t>8.43亿</t>
  </si>
  <si>
    <t>3775.72万</t>
  </si>
  <si>
    <t>7551.90万</t>
  </si>
  <si>
    <t>-1445456亿</t>
  </si>
  <si>
    <t>162.46万</t>
  </si>
  <si>
    <t>-152274700亿</t>
  </si>
  <si>
    <t>34.76亿</t>
  </si>
  <si>
    <t>8564941亿</t>
  </si>
  <si>
    <t>22622340000亿</t>
  </si>
  <si>
    <t>31.57亿</t>
  </si>
  <si>
    <t>5733.48万</t>
  </si>
  <si>
    <t>175.67亿</t>
  </si>
  <si>
    <t>40.09亿</t>
  </si>
  <si>
    <t>-8.57亿</t>
  </si>
  <si>
    <t>-7849.57万</t>
  </si>
  <si>
    <t>-38.12亿</t>
  </si>
  <si>
    <t>159.86亿</t>
  </si>
  <si>
    <t>26.62亿</t>
  </si>
  <si>
    <t>-15.37亿</t>
  </si>
  <si>
    <t>-1.06亿</t>
  </si>
  <si>
    <t>7.20亿</t>
  </si>
  <si>
    <t>832.61万</t>
  </si>
  <si>
    <t>194.18亿</t>
  </si>
  <si>
    <t>111.49亿</t>
  </si>
  <si>
    <t>1450.26万</t>
  </si>
  <si>
    <t>5.19亿</t>
  </si>
  <si>
    <t>1789.41万</t>
  </si>
  <si>
    <t>991366亿</t>
  </si>
  <si>
    <t>336.29万</t>
  </si>
  <si>
    <t>-152250480亿</t>
  </si>
  <si>
    <t>38.47亿</t>
  </si>
  <si>
    <t>163389570亿</t>
  </si>
  <si>
    <t>105.00万</t>
  </si>
  <si>
    <t>18710879000亿</t>
  </si>
  <si>
    <t>7.51亿</t>
  </si>
  <si>
    <t>2716.06万</t>
  </si>
  <si>
    <t>71.01亿</t>
  </si>
  <si>
    <t>121.11亿</t>
  </si>
  <si>
    <t>-13.78亿</t>
  </si>
  <si>
    <t>-86.36万</t>
  </si>
  <si>
    <t>12.57亿</t>
  </si>
  <si>
    <t>98.55亿</t>
  </si>
  <si>
    <t>2538.73万</t>
  </si>
  <si>
    <t>-863.94万</t>
  </si>
  <si>
    <t>10派0.21元(含税)</t>
  </si>
  <si>
    <t>6073.71万</t>
  </si>
  <si>
    <t>3.93亿</t>
  </si>
  <si>
    <t>043507800</t>
  </si>
  <si>
    <t>087015600</t>
  </si>
  <si>
    <t>0145026000</t>
  </si>
  <si>
    <t>0290052000</t>
  </si>
  <si>
    <t>1501.02万</t>
  </si>
  <si>
    <t>98.35亿</t>
  </si>
  <si>
    <t>36.23亿</t>
  </si>
  <si>
    <t>7643.43万</t>
  </si>
  <si>
    <t>13.90亿</t>
  </si>
  <si>
    <t>6120.64万</t>
  </si>
  <si>
    <t>2771.52万</t>
  </si>
  <si>
    <t>2127.41万</t>
  </si>
  <si>
    <t>3838.75万</t>
  </si>
  <si>
    <t>-9179238亿</t>
  </si>
  <si>
    <t>8.00万</t>
  </si>
  <si>
    <t>-49519726亿</t>
  </si>
  <si>
    <t>14.61亿</t>
  </si>
  <si>
    <t>19529433亿</t>
  </si>
  <si>
    <t>10479942700亿</t>
  </si>
  <si>
    <t>5007.19万</t>
  </si>
  <si>
    <t>10.76亿</t>
  </si>
  <si>
    <t>627.45万</t>
  </si>
  <si>
    <t>71.93亿</t>
  </si>
  <si>
    <t>-3.93亿</t>
  </si>
  <si>
    <t>1.10万</t>
  </si>
  <si>
    <t>12.92亿</t>
  </si>
  <si>
    <t>23.95亿</t>
  </si>
  <si>
    <t>6199.26万</t>
  </si>
  <si>
    <t>2425.66万</t>
  </si>
  <si>
    <t>8986.64万</t>
  </si>
  <si>
    <t>686.07万</t>
  </si>
  <si>
    <t>178.24亿</t>
  </si>
  <si>
    <t>24.62亿</t>
  </si>
  <si>
    <t>74.61亿</t>
  </si>
  <si>
    <t>1862.18万</t>
  </si>
  <si>
    <t>4067.95万</t>
  </si>
  <si>
    <t>1267744亿</t>
  </si>
  <si>
    <t>4.04万</t>
  </si>
  <si>
    <t>-59055274亿</t>
  </si>
  <si>
    <t>26.59亿</t>
  </si>
  <si>
    <t>62716235亿</t>
  </si>
  <si>
    <t>20244273000亿</t>
  </si>
  <si>
    <t>3491.18万</t>
  </si>
  <si>
    <t>96.42亿</t>
  </si>
  <si>
    <t>32.33亿</t>
  </si>
  <si>
    <t>-16.24万</t>
  </si>
  <si>
    <t>6643.34万</t>
  </si>
  <si>
    <t>45.35亿</t>
  </si>
  <si>
    <t>18.87亿</t>
  </si>
  <si>
    <t>-4.07亿</t>
  </si>
  <si>
    <t>-1559.28万</t>
  </si>
  <si>
    <t>4522.42万</t>
  </si>
  <si>
    <t>748.46万</t>
  </si>
  <si>
    <t>490.43亿</t>
  </si>
  <si>
    <t>326.30亿</t>
  </si>
  <si>
    <t>100.01亿</t>
  </si>
  <si>
    <t>13.35亿</t>
  </si>
  <si>
    <t>4638.41万</t>
  </si>
  <si>
    <t>4759155亿</t>
  </si>
  <si>
    <t>320.36万</t>
  </si>
  <si>
    <t>244430600亿</t>
  </si>
  <si>
    <t>58.34亿</t>
  </si>
  <si>
    <t>745753050亿</t>
  </si>
  <si>
    <t>336.10万</t>
  </si>
  <si>
    <t>52045705000亿</t>
  </si>
  <si>
    <t>1023.32万</t>
  </si>
  <si>
    <t>15.81亿</t>
  </si>
  <si>
    <t>73.92亿</t>
  </si>
  <si>
    <t>269.30亿</t>
  </si>
  <si>
    <t>178.03亿</t>
  </si>
  <si>
    <t>-12.29亿</t>
  </si>
  <si>
    <t>37.23亿</t>
  </si>
  <si>
    <t>10.61亿</t>
  </si>
  <si>
    <t>4648.08万</t>
  </si>
  <si>
    <t>10派2.0元(含税)</t>
  </si>
  <si>
    <t>3462.56万</t>
  </si>
  <si>
    <t>262.12万</t>
  </si>
  <si>
    <t>22.25亿</t>
  </si>
  <si>
    <t>1892.89万</t>
  </si>
  <si>
    <t>13.82亿</t>
  </si>
  <si>
    <t>1349.16万</t>
  </si>
  <si>
    <t>1080.98万</t>
  </si>
  <si>
    <t>95.25万</t>
  </si>
  <si>
    <t>729.10万</t>
  </si>
  <si>
    <t>-2625241亿</t>
  </si>
  <si>
    <t>529734亿</t>
  </si>
  <si>
    <t>10.73亿</t>
  </si>
  <si>
    <t>3749490亿</t>
  </si>
  <si>
    <t>34.27万</t>
  </si>
  <si>
    <t>1273211670亿</t>
  </si>
  <si>
    <t>700.00万</t>
  </si>
  <si>
    <t>4249.24万</t>
  </si>
  <si>
    <t>88.00万</t>
  </si>
  <si>
    <t>822.98万</t>
  </si>
  <si>
    <t>27.83万</t>
  </si>
  <si>
    <t>2.07亿</t>
  </si>
  <si>
    <t>-4452.29万</t>
  </si>
  <si>
    <t>10派1.4元(含税)</t>
  </si>
  <si>
    <t>1699.89万</t>
  </si>
  <si>
    <t>2091.91万</t>
  </si>
  <si>
    <t>349.90亿</t>
  </si>
  <si>
    <t>161.38亿</t>
  </si>
  <si>
    <t>9.80亿</t>
  </si>
  <si>
    <t>16.95亿</t>
  </si>
  <si>
    <t>3.54亿</t>
  </si>
  <si>
    <t>908.89万</t>
  </si>
  <si>
    <t>2007.95万</t>
  </si>
  <si>
    <t>-100769687亿</t>
  </si>
  <si>
    <t>117002239亿</t>
  </si>
  <si>
    <t>27.35亿</t>
  </si>
  <si>
    <t>128070602亿</t>
  </si>
  <si>
    <t>22700882000亿</t>
  </si>
  <si>
    <t>19.35亿</t>
  </si>
  <si>
    <t>41.89亿</t>
  </si>
  <si>
    <t>3692.07万</t>
  </si>
  <si>
    <t>165.57亿</t>
  </si>
  <si>
    <t>146.35亿</t>
  </si>
  <si>
    <t>-18.17亿</t>
  </si>
  <si>
    <t>-5.06亿</t>
  </si>
  <si>
    <t>20.26亿</t>
  </si>
  <si>
    <t>9.48亿</t>
  </si>
  <si>
    <t>7392.66万</t>
  </si>
  <si>
    <t>10派1.9元(含税)</t>
  </si>
  <si>
    <t>20.11亿</t>
  </si>
  <si>
    <t>5-1</t>
  </si>
  <si>
    <t>1828.90万</t>
  </si>
  <si>
    <t>2877.05亿</t>
  </si>
  <si>
    <t>864.18亿</t>
  </si>
  <si>
    <t>143.57亿</t>
  </si>
  <si>
    <t>206.21亿</t>
  </si>
  <si>
    <t>24.88亿</t>
  </si>
  <si>
    <t>136.62亿</t>
  </si>
  <si>
    <t>108.10亿</t>
  </si>
  <si>
    <t>8.30亿</t>
  </si>
  <si>
    <t>-28602333亿</t>
  </si>
  <si>
    <t>2784.80万</t>
  </si>
  <si>
    <t>289349010亿</t>
  </si>
  <si>
    <t>178.50亿</t>
  </si>
  <si>
    <t>554269570亿</t>
  </si>
  <si>
    <t>3326.65万</t>
  </si>
  <si>
    <t>211731490000亿</t>
  </si>
  <si>
    <t>13.55亿</t>
  </si>
  <si>
    <t>15.23亿</t>
  </si>
  <si>
    <t>467.61亿</t>
  </si>
  <si>
    <t>2270.67亿</t>
  </si>
  <si>
    <t>10.33亿</t>
  </si>
  <si>
    <t>-15.22亿</t>
  </si>
  <si>
    <t>1191.74亿</t>
  </si>
  <si>
    <t>45.75亿</t>
  </si>
  <si>
    <t>280.38万</t>
  </si>
  <si>
    <t>159.29亿</t>
  </si>
  <si>
    <t>195.31亿</t>
  </si>
  <si>
    <t>10.34亿</t>
  </si>
  <si>
    <t>388.20万</t>
  </si>
  <si>
    <t>6776.19万</t>
  </si>
  <si>
    <t>35772067亿</t>
  </si>
  <si>
    <t>155.79万</t>
  </si>
  <si>
    <t>464010780亿</t>
  </si>
  <si>
    <t>2476667900亿</t>
  </si>
  <si>
    <t>927.65万</t>
  </si>
  <si>
    <t>18110577000亿</t>
  </si>
  <si>
    <t>1.02亿</t>
  </si>
  <si>
    <t>77.90亿</t>
  </si>
  <si>
    <t>51.60亿</t>
  </si>
  <si>
    <t>-4.43亿</t>
  </si>
  <si>
    <t>36.57亿</t>
  </si>
  <si>
    <t>10派2.73元(含税)</t>
  </si>
  <si>
    <t>1794.25万</t>
  </si>
  <si>
    <t>1927.09万</t>
  </si>
  <si>
    <t>406.95亿</t>
  </si>
  <si>
    <t>152.67亿</t>
  </si>
  <si>
    <t>17.23亿</t>
  </si>
  <si>
    <t>7.95亿</t>
  </si>
  <si>
    <t>19.05亿</t>
  </si>
  <si>
    <t>6168.16万</t>
  </si>
  <si>
    <t>9057181亿</t>
  </si>
  <si>
    <t>214.49万</t>
  </si>
  <si>
    <t>-181647770亿</t>
  </si>
  <si>
    <t>205874420亿</t>
  </si>
  <si>
    <t>348.84万</t>
  </si>
  <si>
    <t>41908096000亿</t>
  </si>
  <si>
    <t>383.60万</t>
  </si>
  <si>
    <t>51.02亿</t>
  </si>
  <si>
    <t>185.75亿</t>
  </si>
  <si>
    <t>-3.08亿</t>
  </si>
  <si>
    <t>-3432.58万</t>
  </si>
  <si>
    <t>-6.78亿</t>
  </si>
  <si>
    <t>157.51亿</t>
  </si>
  <si>
    <t>1.78亿</t>
  </si>
  <si>
    <t>6806.43万</t>
  </si>
  <si>
    <t>3597.57万</t>
  </si>
  <si>
    <t>6.36亿</t>
  </si>
  <si>
    <t>0381000000</t>
  </si>
  <si>
    <t>0762000000</t>
  </si>
  <si>
    <t>01270000000</t>
  </si>
  <si>
    <t>02540000000</t>
  </si>
  <si>
    <t>SH603506</t>
  </si>
  <si>
    <t>南都物业</t>
  </si>
  <si>
    <t>319.12万</t>
  </si>
  <si>
    <t>14.79亿</t>
  </si>
  <si>
    <t>38.42亿</t>
  </si>
  <si>
    <t>3.92亿</t>
  </si>
  <si>
    <t>3.56亿</t>
  </si>
  <si>
    <t>528.06万</t>
  </si>
  <si>
    <t>2781.24万</t>
  </si>
  <si>
    <t>11200318亿</t>
  </si>
  <si>
    <t>2.54万</t>
  </si>
  <si>
    <t>25887960亿</t>
  </si>
  <si>
    <t>3.62亿</t>
  </si>
  <si>
    <t>618923990亿</t>
  </si>
  <si>
    <t>1824288500亿</t>
  </si>
  <si>
    <t>340.03万</t>
  </si>
  <si>
    <t>13.20亿</t>
  </si>
  <si>
    <t>-1.35亿</t>
  </si>
  <si>
    <t>4121.52万</t>
  </si>
  <si>
    <t>-1323.82万</t>
  </si>
  <si>
    <t>18.47亿</t>
  </si>
  <si>
    <t>15.93亿</t>
  </si>
  <si>
    <t>12.44亿</t>
  </si>
  <si>
    <t>9181.18万</t>
  </si>
  <si>
    <t>18.51亿</t>
  </si>
  <si>
    <t>4719.92万</t>
  </si>
  <si>
    <t>10派3.5057元(含税)</t>
  </si>
  <si>
    <t>3121.03万</t>
  </si>
  <si>
    <t>津投城开</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</si>
</sst>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
      <sz val="9"/>
      <color theme="1"/>
      <name val="宋体"/>
      <family val="3"/>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7">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3" fillId="0" borderId="0" xfId="0" applyFont="1" applyAlignment="1">
      <alignment vertical="center" wrapText="1"/>
    </xf>
    <xf numFmtId="0" fontId="0" fillId="4" borderId="0" xfId="0" applyFill="1">
      <alignment vertical="center"/>
    </xf>
    <xf numFmtId="0" fontId="0" fillId="5" borderId="0" xfId="0" applyFill="1">
      <alignment vertical="center"/>
    </xf>
    <xf numFmtId="0" fontId="5" fillId="0" borderId="0" xfId="0" applyFont="1">
      <alignment vertical="center"/>
    </xf>
    <xf numFmtId="0" fontId="4" fillId="0" borderId="0" xfId="0" applyFont="1">
      <alignment vertical="center"/>
    </xf>
    <xf numFmtId="0" fontId="5" fillId="0" borderId="0" xfId="0" applyFont="1" applyFill="1">
      <alignment vertical="center"/>
    </xf>
    <xf numFmtId="14" fontId="0" fillId="0" borderId="0" xfId="0" applyNumberFormat="1">
      <alignment vertical="center"/>
    </xf>
    <xf numFmtId="0" fontId="0" fillId="0" borderId="0" xfId="0" applyNumberFormat="1">
      <alignment vertical="center"/>
    </xf>
    <xf numFmtId="0" fontId="7" fillId="0" borderId="0" xfId="0" applyFont="1" applyAlignment="1">
      <alignment vertical="center" wrapText="1"/>
    </xf>
    <xf numFmtId="0" fontId="3" fillId="0" borderId="0" xfId="0" applyNumberFormat="1" applyFont="1" applyAlignment="1">
      <alignment vertical="center" wrapText="1"/>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304800</xdr:colOff>
          <xdr:row>0</xdr:row>
          <xdr:rowOff>107950</xdr:rowOff>
        </xdr:from>
        <xdr:to>
          <xdr:col>147</xdr:col>
          <xdr:colOff>1441450</xdr:colOff>
          <xdr:row>0</xdr:row>
          <xdr:rowOff>419100</xdr:rowOff>
        </xdr:to>
        <xdr:sp macro="" textlink="">
          <xdr:nvSpPr>
            <xdr:cNvPr id="2049" name="Button 1" descr="更新基本面按钮&#10;"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101"/>
  <sheetViews>
    <sheetView tabSelected="1" zoomScale="85" zoomScaleNormal="85" workbookViewId="0">
      <pane xSplit="5" ySplit="1" topLeftCell="BG2" activePane="bottomRight" state="frozen"/>
      <selection pane="topRight" activeCell="F1" sqref="F1"/>
      <selection pane="bottomLeft" activeCell="A2" sqref="A2"/>
      <selection pane="bottomRight" activeCell="C32" sqref="C32:C33"/>
    </sheetView>
  </sheetViews>
  <sheetFormatPr defaultRowHeight="88.5" customHeight="1" x14ac:dyDescent="0.25"/>
  <cols>
    <col min="1" max="1" width="31.1796875" customWidth="1"/>
    <col min="2" max="2" width="35.453125" customWidth="1"/>
    <col min="3" max="3" width="44" style="14" customWidth="1"/>
    <col min="147" max="147" width="7.81640625" customWidth="1"/>
    <col min="148" max="148" width="23" customWidth="1"/>
  </cols>
  <sheetData>
    <row r="1" spans="1:146" ht="88.5" customHeight="1" x14ac:dyDescent="0.25">
      <c r="A1" s="3" t="s">
        <v>68</v>
      </c>
      <c r="B1" s="4" t="s">
        <v>69</v>
      </c>
      <c r="C1" s="3" t="s">
        <v>70</v>
      </c>
      <c r="D1" t="s">
        <v>71</v>
      </c>
      <c r="E1" t="s">
        <v>72</v>
      </c>
      <c r="F1" t="s">
        <v>3</v>
      </c>
      <c r="G1" t="s">
        <v>820</v>
      </c>
      <c r="H1" t="s">
        <v>962</v>
      </c>
      <c r="I1" t="s">
        <v>73</v>
      </c>
      <c r="J1" t="s">
        <v>74</v>
      </c>
      <c r="K1" t="s">
        <v>4</v>
      </c>
      <c r="L1" t="s">
        <v>75</v>
      </c>
      <c r="M1" t="s">
        <v>76</v>
      </c>
      <c r="N1" t="s">
        <v>77</v>
      </c>
      <c r="O1" t="s">
        <v>78</v>
      </c>
      <c r="P1" t="s">
        <v>963</v>
      </c>
      <c r="Q1" t="s">
        <v>964</v>
      </c>
      <c r="R1" t="s">
        <v>821</v>
      </c>
      <c r="S1" t="s">
        <v>79</v>
      </c>
      <c r="T1" t="s">
        <v>965</v>
      </c>
      <c r="U1" t="s">
        <v>822</v>
      </c>
      <c r="V1" t="s">
        <v>80</v>
      </c>
      <c r="W1" t="s">
        <v>966</v>
      </c>
      <c r="X1" t="s">
        <v>967</v>
      </c>
      <c r="Y1" t="s">
        <v>968</v>
      </c>
      <c r="Z1" t="s">
        <v>969</v>
      </c>
      <c r="AA1" t="s">
        <v>970</v>
      </c>
      <c r="AB1" t="s">
        <v>971</v>
      </c>
      <c r="AC1" t="s">
        <v>972</v>
      </c>
      <c r="AD1" t="s">
        <v>823</v>
      </c>
      <c r="AE1" t="s">
        <v>81</v>
      </c>
      <c r="AF1" t="s">
        <v>82</v>
      </c>
      <c r="AG1" t="s">
        <v>973</v>
      </c>
      <c r="AH1" t="s">
        <v>824</v>
      </c>
      <c r="AI1" t="s">
        <v>974</v>
      </c>
      <c r="AJ1" t="s">
        <v>83</v>
      </c>
      <c r="AK1" t="s">
        <v>975</v>
      </c>
      <c r="AL1" t="s">
        <v>394</v>
      </c>
      <c r="AM1" t="s">
        <v>976</v>
      </c>
      <c r="AN1" t="s">
        <v>977</v>
      </c>
      <c r="AO1" t="s">
        <v>978</v>
      </c>
      <c r="AP1" t="s">
        <v>979</v>
      </c>
      <c r="AQ1" t="s">
        <v>980</v>
      </c>
      <c r="AR1" t="s">
        <v>981</v>
      </c>
      <c r="AS1" t="s">
        <v>982</v>
      </c>
      <c r="AT1" t="s">
        <v>983</v>
      </c>
      <c r="AU1" t="s">
        <v>984</v>
      </c>
      <c r="AV1" t="s">
        <v>985</v>
      </c>
      <c r="AW1" t="s">
        <v>986</v>
      </c>
      <c r="AX1" t="s">
        <v>825</v>
      </c>
      <c r="AY1" t="s">
        <v>395</v>
      </c>
      <c r="AZ1" t="s">
        <v>396</v>
      </c>
      <c r="BA1" t="s">
        <v>397</v>
      </c>
      <c r="BB1" t="s">
        <v>398</v>
      </c>
      <c r="BC1" t="s">
        <v>826</v>
      </c>
      <c r="BD1" t="s">
        <v>399</v>
      </c>
      <c r="BE1" t="s">
        <v>400</v>
      </c>
      <c r="BF1" t="s">
        <v>401</v>
      </c>
      <c r="BG1" t="s">
        <v>402</v>
      </c>
      <c r="BH1" t="s">
        <v>987</v>
      </c>
      <c r="BI1" t="s">
        <v>988</v>
      </c>
      <c r="BJ1" t="s">
        <v>989</v>
      </c>
      <c r="BK1" t="s">
        <v>990</v>
      </c>
      <c r="BL1" t="s">
        <v>991</v>
      </c>
      <c r="BM1" t="s">
        <v>992</v>
      </c>
      <c r="BN1" t="s">
        <v>993</v>
      </c>
      <c r="BO1" t="s">
        <v>827</v>
      </c>
      <c r="BP1" t="s">
        <v>828</v>
      </c>
      <c r="BQ1" t="s">
        <v>403</v>
      </c>
      <c r="BR1" t="s">
        <v>829</v>
      </c>
      <c r="BS1" t="s">
        <v>830</v>
      </c>
      <c r="BT1" t="s">
        <v>404</v>
      </c>
      <c r="BU1" t="s">
        <v>994</v>
      </c>
      <c r="BV1" t="s">
        <v>995</v>
      </c>
      <c r="BW1" t="s">
        <v>721</v>
      </c>
      <c r="BX1" t="s">
        <v>405</v>
      </c>
      <c r="BY1" t="s">
        <v>996</v>
      </c>
      <c r="BZ1" t="s">
        <v>722</v>
      </c>
      <c r="CA1" t="s">
        <v>406</v>
      </c>
      <c r="CB1" t="s">
        <v>997</v>
      </c>
      <c r="CC1" t="s">
        <v>998</v>
      </c>
      <c r="CD1" t="s">
        <v>999</v>
      </c>
      <c r="CE1" t="s">
        <v>1000</v>
      </c>
      <c r="CF1" s="1" t="s">
        <v>706</v>
      </c>
      <c r="CG1" s="1" t="s">
        <v>707</v>
      </c>
      <c r="CH1" s="1" t="s">
        <v>708</v>
      </c>
      <c r="CI1" s="1" t="s">
        <v>709</v>
      </c>
      <c r="CJ1" s="1" t="s">
        <v>710</v>
      </c>
      <c r="CK1" s="1" t="s">
        <v>711</v>
      </c>
      <c r="CL1" s="1" t="s">
        <v>712</v>
      </c>
      <c r="CM1" s="1" t="s">
        <v>713</v>
      </c>
      <c r="CN1" s="1" t="s">
        <v>714</v>
      </c>
      <c r="CO1" s="1" t="s">
        <v>715</v>
      </c>
      <c r="CP1" s="1" t="s">
        <v>716</v>
      </c>
      <c r="CQ1" s="1" t="s">
        <v>717</v>
      </c>
      <c r="CR1" s="1" t="s">
        <v>1001</v>
      </c>
      <c r="CS1" s="1" t="s">
        <v>1002</v>
      </c>
      <c r="CT1" s="1" t="s">
        <v>1003</v>
      </c>
      <c r="CU1" s="1" t="s">
        <v>1004</v>
      </c>
      <c r="CV1" s="1" t="s">
        <v>1005</v>
      </c>
      <c r="CW1" s="1" t="s">
        <v>1006</v>
      </c>
      <c r="CX1">
        <v>1</v>
      </c>
      <c r="CY1" t="s">
        <v>1007</v>
      </c>
      <c r="CZ1" t="s">
        <v>1008</v>
      </c>
      <c r="DA1">
        <v>3</v>
      </c>
      <c r="DB1" t="s">
        <v>1009</v>
      </c>
      <c r="DC1" t="s">
        <v>1010</v>
      </c>
      <c r="DD1">
        <v>6</v>
      </c>
      <c r="DE1" t="s">
        <v>1011</v>
      </c>
      <c r="DF1" t="s">
        <v>1012</v>
      </c>
      <c r="DG1">
        <v>10</v>
      </c>
      <c r="DH1" t="s">
        <v>1013</v>
      </c>
      <c r="DI1" t="s">
        <v>1014</v>
      </c>
      <c r="DJ1">
        <v>20</v>
      </c>
      <c r="DK1" t="s">
        <v>1015</v>
      </c>
      <c r="DL1" t="s">
        <v>718</v>
      </c>
      <c r="DM1" t="s">
        <v>719</v>
      </c>
      <c r="DN1" s="2" t="s">
        <v>720</v>
      </c>
      <c r="DO1" t="s">
        <v>1016</v>
      </c>
      <c r="DP1" t="s">
        <v>1017</v>
      </c>
      <c r="DQ1" s="12" t="s">
        <v>1018</v>
      </c>
      <c r="DR1" s="1" t="s">
        <v>1019</v>
      </c>
      <c r="DS1" s="1" t="s">
        <v>1020</v>
      </c>
      <c r="DT1" t="s">
        <v>1021</v>
      </c>
      <c r="DU1" t="s">
        <v>1022</v>
      </c>
      <c r="DV1" t="s">
        <v>1023</v>
      </c>
      <c r="DW1" t="s">
        <v>1024</v>
      </c>
      <c r="DX1" t="s">
        <v>1025</v>
      </c>
      <c r="DY1" t="s">
        <v>1026</v>
      </c>
      <c r="DZ1" t="s">
        <v>1027</v>
      </c>
      <c r="EA1" t="s">
        <v>1028</v>
      </c>
      <c r="EB1" t="s">
        <v>1029</v>
      </c>
      <c r="EC1" t="s">
        <v>1030</v>
      </c>
      <c r="ED1" t="s">
        <v>1031</v>
      </c>
      <c r="EE1" t="s">
        <v>1032</v>
      </c>
      <c r="EF1" t="s">
        <v>1033</v>
      </c>
      <c r="EG1" t="s">
        <v>1034</v>
      </c>
      <c r="EH1" t="s">
        <v>1035</v>
      </c>
      <c r="EI1" t="s">
        <v>1036</v>
      </c>
      <c r="EK1" s="13" t="s">
        <v>1037</v>
      </c>
      <c r="EL1" t="s">
        <v>1038</v>
      </c>
      <c r="EM1" t="s">
        <v>1039</v>
      </c>
      <c r="EN1" t="s">
        <v>1040</v>
      </c>
      <c r="EO1" t="s">
        <v>1041</v>
      </c>
      <c r="EP1" t="s">
        <v>1042</v>
      </c>
    </row>
    <row r="2" spans="1:146" ht="88.5" customHeight="1" x14ac:dyDescent="0.25">
      <c r="A2" s="7"/>
      <c r="B2" s="7"/>
      <c r="C2" s="16" t="str">
        <f>""&amp;CHAR(10)&amp;Basic_Fundamental_Information_Constructure(F2)&amp;CHAR(10)&amp;Basic_Fundamental_Information_Concatenate("")</f>
        <v xml:space="preserve">
市值820.83281亿, 利润121.63亿; PE7.93; 平均PE2.87; 平均PEG.29, PB.328; ROIC5.0833%; ROE8.2367%; 股利率0%; 毛利18.8667%; 净利6.75%; 上一年度营收增-7.56%, 利润增-46.39%; 当季营收增-10.05%, 利润增-125.03%; 过往5年营收增9.85%, 利润增-13.9%
Income profile:
</v>
      </c>
      <c r="D2" t="s">
        <v>84</v>
      </c>
      <c r="E2" t="s">
        <v>31</v>
      </c>
      <c r="F2">
        <v>6.88</v>
      </c>
      <c r="G2">
        <v>-0.86</v>
      </c>
      <c r="H2" t="s">
        <v>251</v>
      </c>
      <c r="I2">
        <v>82083281000</v>
      </c>
      <c r="J2">
        <v>7.93</v>
      </c>
      <c r="K2">
        <v>0.32800000000000001</v>
      </c>
      <c r="L2" t="s">
        <v>1589</v>
      </c>
      <c r="M2" t="s">
        <v>1590</v>
      </c>
      <c r="N2" t="s">
        <v>1591</v>
      </c>
      <c r="O2" t="s">
        <v>1592</v>
      </c>
      <c r="P2">
        <v>-10.050000000000001</v>
      </c>
      <c r="Q2" t="s">
        <v>1593</v>
      </c>
      <c r="R2">
        <v>-361967510</v>
      </c>
      <c r="S2" s="5">
        <v>-1.25</v>
      </c>
      <c r="T2" t="s">
        <v>1594</v>
      </c>
      <c r="U2">
        <v>9716935900</v>
      </c>
      <c r="V2">
        <v>11930709500</v>
      </c>
      <c r="W2">
        <v>3.66</v>
      </c>
      <c r="X2">
        <v>0.04</v>
      </c>
      <c r="Y2">
        <v>0.54</v>
      </c>
      <c r="Z2" t="s">
        <v>1595</v>
      </c>
      <c r="AA2" t="s">
        <v>1596</v>
      </c>
      <c r="AB2" t="s">
        <v>521</v>
      </c>
      <c r="AC2" t="s">
        <v>1597</v>
      </c>
      <c r="AD2" t="s">
        <v>24</v>
      </c>
      <c r="AE2">
        <v>1092247230</v>
      </c>
      <c r="AF2" t="s">
        <v>1598</v>
      </c>
      <c r="AG2" t="s">
        <v>1584</v>
      </c>
      <c r="AH2" t="s">
        <v>1599</v>
      </c>
      <c r="AI2" t="s">
        <v>1600</v>
      </c>
      <c r="AJ2" t="s">
        <v>1601</v>
      </c>
      <c r="AK2" t="s">
        <v>1602</v>
      </c>
      <c r="AL2" t="s">
        <v>1603</v>
      </c>
      <c r="AM2" t="s">
        <v>24</v>
      </c>
      <c r="AN2" t="s">
        <v>1604</v>
      </c>
      <c r="AO2" t="s">
        <v>1605</v>
      </c>
      <c r="AP2" t="s">
        <v>1606</v>
      </c>
      <c r="AQ2" t="s">
        <v>1607</v>
      </c>
      <c r="AR2" t="s">
        <v>564</v>
      </c>
      <c r="AS2" t="s">
        <v>1608</v>
      </c>
      <c r="AT2" t="s">
        <v>1609</v>
      </c>
      <c r="AU2" t="s">
        <v>1610</v>
      </c>
      <c r="AV2" t="s">
        <v>1611</v>
      </c>
      <c r="AW2" t="s">
        <v>1612</v>
      </c>
      <c r="AX2" t="s">
        <v>1135</v>
      </c>
      <c r="AY2" t="s">
        <v>831</v>
      </c>
      <c r="AZ2" t="s">
        <v>407</v>
      </c>
      <c r="BA2" t="s">
        <v>85</v>
      </c>
      <c r="BB2" t="s">
        <v>409</v>
      </c>
      <c r="BC2" t="s">
        <v>1613</v>
      </c>
      <c r="BD2" t="s">
        <v>832</v>
      </c>
      <c r="BE2" t="s">
        <v>408</v>
      </c>
      <c r="BF2" t="s">
        <v>86</v>
      </c>
      <c r="BG2" t="s">
        <v>410</v>
      </c>
      <c r="BH2" t="s">
        <v>1593</v>
      </c>
      <c r="BI2" t="s">
        <v>1614</v>
      </c>
      <c r="BJ2" t="s">
        <v>1135</v>
      </c>
      <c r="BK2" t="s">
        <v>1594</v>
      </c>
      <c r="BL2" t="s">
        <v>1615</v>
      </c>
      <c r="BM2" t="s">
        <v>1613</v>
      </c>
      <c r="BN2">
        <v>3.16</v>
      </c>
      <c r="BO2">
        <v>5.65</v>
      </c>
      <c r="BP2">
        <v>6.44</v>
      </c>
      <c r="BQ2">
        <v>5.45</v>
      </c>
      <c r="BR2">
        <v>9.48</v>
      </c>
      <c r="BS2">
        <v>9.7799999999999994</v>
      </c>
      <c r="BT2" t="s">
        <v>1115</v>
      </c>
      <c r="BU2" t="s">
        <v>1043</v>
      </c>
      <c r="BV2">
        <v>15.23</v>
      </c>
      <c r="BW2">
        <v>19.55</v>
      </c>
      <c r="BX2">
        <v>21.82</v>
      </c>
      <c r="BY2">
        <v>4.3899999999999997</v>
      </c>
      <c r="BZ2">
        <v>7.45</v>
      </c>
      <c r="CA2">
        <v>8.41</v>
      </c>
      <c r="CB2">
        <v>-0.72</v>
      </c>
      <c r="CC2">
        <v>-28.03</v>
      </c>
      <c r="CD2" t="s">
        <v>638</v>
      </c>
      <c r="CE2" t="s">
        <v>1616</v>
      </c>
      <c r="CF2" s="8">
        <v>-0.10047609311563502</v>
      </c>
      <c r="CG2" s="9">
        <v>-1.2503233125864455</v>
      </c>
      <c r="CH2" s="8">
        <v>-7.5617611408233643E-2</v>
      </c>
      <c r="CI2" s="8">
        <v>0.11272140592336655</v>
      </c>
      <c r="CJ2" s="8">
        <v>8.0374687910079956E-2</v>
      </c>
      <c r="CK2" s="8">
        <v>0.13921941816806793</v>
      </c>
      <c r="CL2" s="8">
        <v>0.23587492108345032</v>
      </c>
      <c r="CM2" s="9">
        <v>-0.46392521262168884</v>
      </c>
      <c r="CN2" s="9">
        <v>7.3254825547337532E-3</v>
      </c>
      <c r="CO2" s="9">
        <v>-0.45746216177940369</v>
      </c>
      <c r="CP2" s="9">
        <v>6.8018130958080292E-2</v>
      </c>
      <c r="CQ2" s="9">
        <v>0.15097852051258087</v>
      </c>
      <c r="CR2">
        <v>2.8710988649679079</v>
      </c>
      <c r="CS2">
        <v>0.29143902572563896</v>
      </c>
      <c r="CT2">
        <v>0</v>
      </c>
      <c r="CU2" s="8">
        <v>9.8514564335346222E-2</v>
      </c>
      <c r="CV2" s="9">
        <v>-0.13901304807513953</v>
      </c>
      <c r="CW2">
        <v>0.06</v>
      </c>
      <c r="CX2">
        <v>62.234925466122071</v>
      </c>
      <c r="CY2">
        <v>12604936458.500769</v>
      </c>
      <c r="CZ2">
        <v>9.8514564335346222E-2</v>
      </c>
      <c r="DA2">
        <v>20.191826043868662</v>
      </c>
      <c r="DB2">
        <v>38850734911.031334</v>
      </c>
      <c r="DC2">
        <v>9.3588836118578905E-2</v>
      </c>
      <c r="DD2">
        <v>9.8443706371244346</v>
      </c>
      <c r="DE2">
        <v>79686890093.478317</v>
      </c>
      <c r="DF2">
        <v>8.6692816615104681E-2</v>
      </c>
      <c r="DG2">
        <v>5.8473784886180127</v>
      </c>
      <c r="DH2">
        <v>134157089801.34846</v>
      </c>
      <c r="DI2">
        <v>7.8811651468276983E-2</v>
      </c>
      <c r="DJ2">
        <v>2.9485477019965018</v>
      </c>
      <c r="DK2">
        <v>266052090820.44916</v>
      </c>
      <c r="DL2">
        <v>6.896019503474235E-2</v>
      </c>
      <c r="DM2">
        <v>12163000000</v>
      </c>
      <c r="DN2">
        <v>9.8514564335346222E-2</v>
      </c>
      <c r="DO2">
        <v>784467281000</v>
      </c>
      <c r="DP2">
        <v>308697320000</v>
      </c>
      <c r="DQ2">
        <v>2</v>
      </c>
      <c r="DR2">
        <v>-0.19899065745098124</v>
      </c>
      <c r="DS2">
        <v>-1.111310264511306</v>
      </c>
      <c r="DT2" s="10">
        <v>-0.34</v>
      </c>
      <c r="DU2">
        <v>-1.0983333333333334</v>
      </c>
      <c r="DV2">
        <v>-1.4383333333333335</v>
      </c>
      <c r="DW2">
        <v>-3.1360535714285716</v>
      </c>
      <c r="DX2">
        <v>0.28108614609266491</v>
      </c>
      <c r="DY2">
        <v>-3.0178347383407145</v>
      </c>
      <c r="DZ2">
        <v>3973</v>
      </c>
      <c r="EA2">
        <v>-3.0039683165349103</v>
      </c>
      <c r="EB2">
        <v>3</v>
      </c>
      <c r="EC2">
        <v>7.3340147960186272E-2</v>
      </c>
      <c r="ED2">
        <v>0.5594805572962781</v>
      </c>
      <c r="EE2" s="11">
        <v>-2.0618099999999999</v>
      </c>
      <c r="EF2">
        <v>-2.0882100000000001</v>
      </c>
      <c r="EG2">
        <v>15.131086146092665</v>
      </c>
      <c r="EH2" t="s">
        <v>839</v>
      </c>
      <c r="EI2">
        <v>0</v>
      </c>
      <c r="EJ2">
        <v>0</v>
      </c>
      <c r="EK2" s="13">
        <v>45470</v>
      </c>
      <c r="EL2" s="14">
        <v>-0.28000000000000003</v>
      </c>
      <c r="EM2" s="14">
        <v>-2.78</v>
      </c>
      <c r="EN2" s="14">
        <v>1.72</v>
      </c>
      <c r="EO2" s="14">
        <v>1.1299999999999999</v>
      </c>
      <c r="EP2" s="14">
        <v>-2.64</v>
      </c>
    </row>
    <row r="3" spans="1:146" ht="88.5" customHeight="1" x14ac:dyDescent="0.25">
      <c r="A3" s="7"/>
      <c r="B3" s="7"/>
      <c r="C3" s="16" t="str">
        <f>""&amp;CHAR(10)&amp;Basic_Fundamental_Information_Constructure(F3)&amp;CHAR(10)&amp;Basic_Fundamental_Information_Concatenate("")</f>
        <v xml:space="preserve">
市值50.084816亿, 利润-8.03亿; PE; 平均PE11.13; 平均PEG1.97, PB.721; ROIC4.13%; ROE4.2%; 股利率0%; 毛利40.39%; 净利-.6833%; 上一年度营收增-24.03%, 利润增-291.19%; 当季营收增-4.89%, 利润增-2175.38%; 过往5年营收增5.64%, 利润增-70.28%
Income profile:
</v>
      </c>
      <c r="D3" t="s">
        <v>88</v>
      </c>
      <c r="E3" t="s">
        <v>48</v>
      </c>
      <c r="F3">
        <v>3.71</v>
      </c>
      <c r="G3">
        <v>1.37</v>
      </c>
      <c r="H3" t="s">
        <v>1617</v>
      </c>
      <c r="I3">
        <v>5008481600</v>
      </c>
      <c r="K3">
        <v>0.72099999999999997</v>
      </c>
      <c r="L3" t="s">
        <v>1589</v>
      </c>
      <c r="M3" t="s">
        <v>1618</v>
      </c>
      <c r="N3" t="s">
        <v>1619</v>
      </c>
      <c r="O3" t="s">
        <v>1620</v>
      </c>
      <c r="P3">
        <v>-4.87</v>
      </c>
      <c r="Q3" t="s">
        <v>1621</v>
      </c>
      <c r="R3">
        <v>-275000000</v>
      </c>
      <c r="S3" s="5">
        <v>-1.2010000000000001</v>
      </c>
      <c r="T3" t="s">
        <v>1622</v>
      </c>
      <c r="U3">
        <v>1349987400</v>
      </c>
      <c r="V3">
        <v>1349995000</v>
      </c>
      <c r="W3">
        <v>3.48</v>
      </c>
      <c r="X3">
        <v>0.01</v>
      </c>
      <c r="Y3">
        <v>-11.4</v>
      </c>
      <c r="Z3" t="s">
        <v>1128</v>
      </c>
      <c r="AA3" t="s">
        <v>907</v>
      </c>
      <c r="AB3" t="s">
        <v>1623</v>
      </c>
      <c r="AC3" t="s">
        <v>1624</v>
      </c>
      <c r="AD3" t="s">
        <v>24</v>
      </c>
      <c r="AE3">
        <v>43893206</v>
      </c>
      <c r="AF3" t="s">
        <v>1625</v>
      </c>
      <c r="AG3" t="s">
        <v>1626</v>
      </c>
      <c r="AH3" t="s">
        <v>1627</v>
      </c>
      <c r="AI3" t="s">
        <v>1628</v>
      </c>
      <c r="AJ3" t="s">
        <v>1629</v>
      </c>
      <c r="AK3" t="s">
        <v>24</v>
      </c>
      <c r="AL3" t="s">
        <v>1630</v>
      </c>
      <c r="AM3" t="s">
        <v>24</v>
      </c>
      <c r="AN3" t="s">
        <v>1631</v>
      </c>
      <c r="AO3" t="s">
        <v>294</v>
      </c>
      <c r="AP3" t="s">
        <v>24</v>
      </c>
      <c r="AQ3" t="s">
        <v>1632</v>
      </c>
      <c r="AR3" t="s">
        <v>1633</v>
      </c>
      <c r="AS3" t="s">
        <v>1634</v>
      </c>
      <c r="AT3" t="s">
        <v>174</v>
      </c>
      <c r="AU3" t="s">
        <v>1635</v>
      </c>
      <c r="AV3" t="s">
        <v>1636</v>
      </c>
      <c r="AW3" t="s">
        <v>1637</v>
      </c>
      <c r="AX3" t="s">
        <v>1137</v>
      </c>
      <c r="AY3" t="s">
        <v>834</v>
      </c>
      <c r="AZ3" t="s">
        <v>411</v>
      </c>
      <c r="BA3" t="s">
        <v>89</v>
      </c>
      <c r="BB3" t="s">
        <v>414</v>
      </c>
      <c r="BC3" t="s">
        <v>662</v>
      </c>
      <c r="BD3" t="s">
        <v>179</v>
      </c>
      <c r="BE3" t="s">
        <v>412</v>
      </c>
      <c r="BF3" t="s">
        <v>90</v>
      </c>
      <c r="BG3" t="s">
        <v>415</v>
      </c>
      <c r="BH3" t="s">
        <v>1621</v>
      </c>
      <c r="BI3" t="s">
        <v>188</v>
      </c>
      <c r="BJ3" t="s">
        <v>1137</v>
      </c>
      <c r="BK3" t="s">
        <v>1622</v>
      </c>
      <c r="BL3" t="s">
        <v>1638</v>
      </c>
      <c r="BM3" t="s">
        <v>662</v>
      </c>
      <c r="BN3" t="s">
        <v>24</v>
      </c>
      <c r="BO3">
        <v>3.39</v>
      </c>
      <c r="BP3">
        <v>4.87</v>
      </c>
      <c r="BQ3">
        <v>-0.02</v>
      </c>
      <c r="BR3">
        <v>5.4</v>
      </c>
      <c r="BS3">
        <v>7.22</v>
      </c>
      <c r="BT3" t="s">
        <v>1115</v>
      </c>
      <c r="BU3" t="s">
        <v>1043</v>
      </c>
      <c r="BV3">
        <v>39.11</v>
      </c>
      <c r="BW3">
        <v>38.630000000000003</v>
      </c>
      <c r="BX3">
        <v>43.43</v>
      </c>
      <c r="BY3">
        <v>-32.08</v>
      </c>
      <c r="BZ3">
        <v>12.11</v>
      </c>
      <c r="CA3">
        <v>17.920000000000002</v>
      </c>
      <c r="CB3">
        <v>-4.38</v>
      </c>
      <c r="CC3">
        <v>-10.39</v>
      </c>
      <c r="CD3" t="s">
        <v>1639</v>
      </c>
      <c r="CE3" t="s">
        <v>1487</v>
      </c>
      <c r="CF3" s="8">
        <v>-4.8872180451127935E-2</v>
      </c>
      <c r="CG3" s="9">
        <v>-21.753787471350915</v>
      </c>
      <c r="CH3" s="8">
        <v>-0.24027025699615479</v>
      </c>
      <c r="CI3" s="8">
        <v>0.19779866933822632</v>
      </c>
      <c r="CJ3" s="8">
        <v>5.2470143884420395E-2</v>
      </c>
      <c r="CK3" s="8">
        <v>-0.21334762871265411</v>
      </c>
      <c r="CL3" s="8">
        <v>0.48527073860168457</v>
      </c>
      <c r="CM3" s="9">
        <v>-2.9119048118591309</v>
      </c>
      <c r="CN3" s="9">
        <v>-0.22509224712848663</v>
      </c>
      <c r="CO3" s="9">
        <v>-0.37341040372848511</v>
      </c>
      <c r="CP3" s="9">
        <v>7.9900123178958893E-2</v>
      </c>
      <c r="CQ3" s="9">
        <v>-8.3524025976657867E-2</v>
      </c>
      <c r="CR3">
        <v>11.134082845498334</v>
      </c>
      <c r="CS3">
        <v>1.9746766892573533</v>
      </c>
      <c r="CT3">
        <v>0</v>
      </c>
      <c r="CU3" s="8">
        <v>5.6384333223104474E-2</v>
      </c>
      <c r="CV3" s="9">
        <v>-0.70280627310276034</v>
      </c>
      <c r="CW3">
        <v>0.06</v>
      </c>
      <c r="CX3" t="e">
        <v>#VALUE!</v>
      </c>
      <c r="CY3" t="s">
        <v>849</v>
      </c>
      <c r="CZ3">
        <v>5.6384333223104474E-2</v>
      </c>
      <c r="DA3" t="e">
        <v>#VALUE!</v>
      </c>
      <c r="DB3" t="s">
        <v>850</v>
      </c>
      <c r="DC3">
        <v>5.3565116561949247E-2</v>
      </c>
      <c r="DD3" t="e">
        <v>#VALUE!</v>
      </c>
      <c r="DE3" t="s">
        <v>850</v>
      </c>
      <c r="DF3">
        <v>4.9618213236331934E-2</v>
      </c>
      <c r="DG3" t="e">
        <v>#VALUE!</v>
      </c>
      <c r="DH3" t="s">
        <v>850</v>
      </c>
      <c r="DI3">
        <v>4.5107466578483579E-2</v>
      </c>
      <c r="DJ3" t="e">
        <v>#VALUE!</v>
      </c>
      <c r="DK3" t="s">
        <v>850</v>
      </c>
      <c r="DL3">
        <v>3.9469033256173132E-2</v>
      </c>
      <c r="DM3">
        <v>-802999999.99999988</v>
      </c>
      <c r="DN3">
        <v>5.6384333223104474E-2</v>
      </c>
      <c r="DO3">
        <v>16072481600</v>
      </c>
      <c r="DP3">
        <v>9283656000</v>
      </c>
      <c r="DQ3">
        <v>4</v>
      </c>
      <c r="DR3">
        <v>-0.10525651367423242</v>
      </c>
      <c r="DS3">
        <v>-21.050981198248156</v>
      </c>
      <c r="DT3" s="10">
        <v>-0.47333333333333333</v>
      </c>
      <c r="DU3">
        <v>-1.9316666666666669</v>
      </c>
      <c r="DV3">
        <v>-2.4050000000000002</v>
      </c>
      <c r="DW3">
        <v>-8.4215591915303172</v>
      </c>
      <c r="DX3">
        <v>0.2680674063800278</v>
      </c>
      <c r="DY3">
        <v>-8.0582035842102524</v>
      </c>
      <c r="DZ3">
        <v>4623</v>
      </c>
      <c r="EA3">
        <v>-8.0055469952075136</v>
      </c>
      <c r="EB3">
        <v>8</v>
      </c>
      <c r="EC3">
        <v>7.3738495327760473E-2</v>
      </c>
      <c r="ED3">
        <v>0.53407605213352638</v>
      </c>
      <c r="EE3" s="11">
        <v>1.0023</v>
      </c>
      <c r="EF3">
        <v>1.0238100000000001</v>
      </c>
      <c r="EG3">
        <v>13.138067406380028</v>
      </c>
      <c r="EH3" t="s">
        <v>835</v>
      </c>
      <c r="EI3">
        <v>0</v>
      </c>
      <c r="EJ3">
        <v>0</v>
      </c>
      <c r="EK3" s="13">
        <v>45470</v>
      </c>
      <c r="EL3" s="14">
        <v>-2.12</v>
      </c>
      <c r="EM3" s="14">
        <v>2.97</v>
      </c>
      <c r="EN3" s="14">
        <v>-0.52</v>
      </c>
      <c r="EO3" s="14">
        <v>1.06</v>
      </c>
      <c r="EP3" s="14">
        <v>-2.61</v>
      </c>
    </row>
    <row r="4" spans="1:146" ht="88.5" customHeight="1" x14ac:dyDescent="0.25">
      <c r="A4" s="7"/>
      <c r="B4" s="7"/>
      <c r="C4" s="16" t="str">
        <f>""&amp;CHAR(10)&amp;Basic_Fundamental_Information_Constructure(F4)&amp;CHAR(10)&amp;Basic_Fundamental_Information_Concatenate("")</f>
        <v xml:space="preserve">
市值45.830792亿, 利润4.64亿; PE10.16; 平均PE6.33; 平均PEG7.99, PB.983; ROIC7.43%; ROE14.0933%; 股利率4.0572%; 毛利46.04%; 净利17.1367%; 上一年度营收增-20.06%, 利润增-13.59%; 当季营收增-.97%, 利润增-96.49%; 过往5年营收增-.79%, 利润增-3.61%
Income profile:
</v>
      </c>
      <c r="D4" t="s">
        <v>91</v>
      </c>
      <c r="E4" t="s">
        <v>17</v>
      </c>
      <c r="F4">
        <v>7.69</v>
      </c>
      <c r="G4">
        <v>0.52</v>
      </c>
      <c r="H4" t="s">
        <v>1640</v>
      </c>
      <c r="I4">
        <v>4583079200</v>
      </c>
      <c r="J4">
        <v>10.16</v>
      </c>
      <c r="K4">
        <v>0.98299999999999998</v>
      </c>
      <c r="L4" t="s">
        <v>1589</v>
      </c>
      <c r="M4" t="s">
        <v>1641</v>
      </c>
      <c r="N4" t="s">
        <v>1191</v>
      </c>
      <c r="O4" t="s">
        <v>1509</v>
      </c>
      <c r="P4">
        <v>-1.19</v>
      </c>
      <c r="Q4" t="s">
        <v>1184</v>
      </c>
      <c r="R4">
        <v>463582</v>
      </c>
      <c r="S4" s="5">
        <v>-0.96489999999999998</v>
      </c>
      <c r="T4" t="s">
        <v>1358</v>
      </c>
      <c r="U4">
        <v>526475540</v>
      </c>
      <c r="V4">
        <v>595979090</v>
      </c>
      <c r="W4">
        <v>3.59</v>
      </c>
      <c r="X4">
        <v>0.02</v>
      </c>
      <c r="Y4">
        <v>-0.92</v>
      </c>
      <c r="Z4" t="s">
        <v>683</v>
      </c>
      <c r="AA4" t="s">
        <v>1477</v>
      </c>
      <c r="AB4" t="s">
        <v>1642</v>
      </c>
      <c r="AC4" t="s">
        <v>1643</v>
      </c>
      <c r="AD4" t="s">
        <v>24</v>
      </c>
      <c r="AE4">
        <v>7338208</v>
      </c>
      <c r="AF4" t="s">
        <v>1644</v>
      </c>
      <c r="AG4" t="s">
        <v>1645</v>
      </c>
      <c r="AH4" t="s">
        <v>1646</v>
      </c>
      <c r="AI4" t="s">
        <v>1446</v>
      </c>
      <c r="AJ4" t="s">
        <v>1647</v>
      </c>
      <c r="AK4" t="s">
        <v>1648</v>
      </c>
      <c r="AL4" t="s">
        <v>1649</v>
      </c>
      <c r="AM4" t="s">
        <v>24</v>
      </c>
      <c r="AN4">
        <v>0</v>
      </c>
      <c r="AO4" t="s">
        <v>285</v>
      </c>
      <c r="AP4" t="s">
        <v>24</v>
      </c>
      <c r="AQ4" t="s">
        <v>1650</v>
      </c>
      <c r="AR4" t="s">
        <v>1651</v>
      </c>
      <c r="AS4" t="s">
        <v>1652</v>
      </c>
      <c r="AT4" t="s">
        <v>1653</v>
      </c>
      <c r="AU4" t="s">
        <v>1344</v>
      </c>
      <c r="AV4" t="s">
        <v>1654</v>
      </c>
      <c r="AW4" t="s">
        <v>1136</v>
      </c>
      <c r="AX4" t="s">
        <v>1138</v>
      </c>
      <c r="AY4" t="s">
        <v>873</v>
      </c>
      <c r="AZ4" t="s">
        <v>416</v>
      </c>
      <c r="BA4" t="s">
        <v>92</v>
      </c>
      <c r="BB4" t="s">
        <v>419</v>
      </c>
      <c r="BC4" t="s">
        <v>753</v>
      </c>
      <c r="BD4" t="s">
        <v>1141</v>
      </c>
      <c r="BE4" t="s">
        <v>229</v>
      </c>
      <c r="BF4" t="s">
        <v>93</v>
      </c>
      <c r="BG4" t="s">
        <v>277</v>
      </c>
      <c r="BH4" t="s">
        <v>1184</v>
      </c>
      <c r="BI4" t="s">
        <v>471</v>
      </c>
      <c r="BJ4" t="s">
        <v>1138</v>
      </c>
      <c r="BK4" t="s">
        <v>1358</v>
      </c>
      <c r="BL4" t="s">
        <v>1655</v>
      </c>
      <c r="BM4" t="s">
        <v>753</v>
      </c>
      <c r="BN4">
        <v>2.91</v>
      </c>
      <c r="BO4">
        <v>6.76</v>
      </c>
      <c r="BP4">
        <v>12.62</v>
      </c>
      <c r="BQ4">
        <v>5.22</v>
      </c>
      <c r="BR4">
        <v>12.37</v>
      </c>
      <c r="BS4">
        <v>24.69</v>
      </c>
      <c r="BT4" t="s">
        <v>1656</v>
      </c>
      <c r="BU4" t="s">
        <v>1043</v>
      </c>
      <c r="BV4">
        <v>24.67</v>
      </c>
      <c r="BW4">
        <v>46.64</v>
      </c>
      <c r="BX4">
        <v>66.81</v>
      </c>
      <c r="BY4">
        <v>15.17</v>
      </c>
      <c r="BZ4">
        <v>14.27</v>
      </c>
      <c r="CA4">
        <v>21.97</v>
      </c>
      <c r="CB4">
        <v>-0.65</v>
      </c>
      <c r="CC4">
        <v>-11.59</v>
      </c>
      <c r="CD4" t="s">
        <v>1657</v>
      </c>
      <c r="CE4" t="s">
        <v>207</v>
      </c>
      <c r="CF4" s="8">
        <v>-9.7323600973237452E-3</v>
      </c>
      <c r="CG4" s="9">
        <v>-0.96492479268809395</v>
      </c>
      <c r="CH4" s="8">
        <v>-0.20059315860271454</v>
      </c>
      <c r="CI4" s="8">
        <v>-0.24475669860839844</v>
      </c>
      <c r="CJ4" s="8">
        <v>0.19663743674755096</v>
      </c>
      <c r="CK4" s="8">
        <v>3.5840518772602081E-2</v>
      </c>
      <c r="CL4" s="8">
        <v>0.17323066294193268</v>
      </c>
      <c r="CM4" s="9">
        <v>-0.13594040274620056</v>
      </c>
      <c r="CN4" s="9">
        <v>-0.47609755396842957</v>
      </c>
      <c r="CO4" s="9">
        <v>0.28285357356071472</v>
      </c>
      <c r="CP4" s="9">
        <v>-2.3227384313941002E-2</v>
      </c>
      <c r="CQ4" s="9">
        <v>0.17191977798938751</v>
      </c>
      <c r="CR4">
        <v>6.334594609536973</v>
      </c>
      <c r="CS4">
        <v>7.9899049694712394</v>
      </c>
      <c r="CT4">
        <v>4.0572171651495452</v>
      </c>
      <c r="CU4" s="8">
        <v>-7.9282477498054497E-3</v>
      </c>
      <c r="CV4" s="9">
        <v>-3.609839789569378E-2</v>
      </c>
      <c r="CW4">
        <v>0.06</v>
      </c>
      <c r="CX4">
        <v>26.222153448275861</v>
      </c>
      <c r="CY4" t="s">
        <v>1658</v>
      </c>
      <c r="CZ4">
        <v>-7.9282477498054497E-3</v>
      </c>
      <c r="DA4">
        <v>8.7407178160919532</v>
      </c>
      <c r="DB4" t="s">
        <v>1659</v>
      </c>
      <c r="DC4">
        <v>-7.5318353623151767E-3</v>
      </c>
      <c r="DD4">
        <v>4.3703589080459766</v>
      </c>
      <c r="DE4" t="s">
        <v>1660</v>
      </c>
      <c r="DF4">
        <v>-6.9768580198287956E-3</v>
      </c>
      <c r="DG4">
        <v>2.6222153448275862</v>
      </c>
      <c r="DH4" t="s">
        <v>1661</v>
      </c>
      <c r="DI4">
        <v>-6.3425981998443603E-3</v>
      </c>
      <c r="DJ4">
        <v>1.3111076724137931</v>
      </c>
      <c r="DK4" t="s">
        <v>1662</v>
      </c>
      <c r="DL4">
        <v>-5.5497734248638143E-3</v>
      </c>
      <c r="DM4">
        <v>463999999.99999994</v>
      </c>
      <c r="DN4">
        <v>-7.9282477498054497E-3</v>
      </c>
      <c r="DO4">
        <v>12167079200</v>
      </c>
      <c r="DP4">
        <v>5169888000</v>
      </c>
      <c r="DQ4">
        <v>9</v>
      </c>
      <c r="DR4">
        <v>-1.8041123475182955E-3</v>
      </c>
      <c r="DS4">
        <v>-0.92882639479240015</v>
      </c>
      <c r="DT4" s="10">
        <v>-0.52333333333333332</v>
      </c>
      <c r="DU4">
        <v>-0.35666666666666669</v>
      </c>
      <c r="DV4">
        <v>-0.88</v>
      </c>
      <c r="DW4">
        <v>-2.1158999999999999</v>
      </c>
      <c r="DX4">
        <v>0.25439298245614006</v>
      </c>
      <c r="DY4">
        <v>-2.0132581466666668</v>
      </c>
      <c r="DZ4">
        <v>3436</v>
      </c>
      <c r="EA4">
        <v>-2.004343275444227</v>
      </c>
      <c r="EB4">
        <v>2</v>
      </c>
      <c r="EC4">
        <v>2.1881304594092387E-2</v>
      </c>
      <c r="ED4">
        <v>0.19128187869812679</v>
      </c>
      <c r="EE4" s="11">
        <v>6.0582099999999999</v>
      </c>
      <c r="EF4">
        <v>6.0621099999999997</v>
      </c>
      <c r="EG4">
        <v>14.11439298245614</v>
      </c>
      <c r="EH4" t="s">
        <v>1663</v>
      </c>
      <c r="EI4">
        <v>0</v>
      </c>
      <c r="EJ4">
        <v>0</v>
      </c>
      <c r="EK4" s="13">
        <v>45470</v>
      </c>
      <c r="EL4" s="14">
        <v>-0.88</v>
      </c>
      <c r="EM4" s="14">
        <v>-2.54</v>
      </c>
      <c r="EN4" s="14">
        <v>0</v>
      </c>
      <c r="EO4" s="14">
        <v>0.65</v>
      </c>
      <c r="EP4" s="14">
        <v>-0.39</v>
      </c>
    </row>
    <row r="5" spans="1:146" ht="88.5" customHeight="1" x14ac:dyDescent="0.25">
      <c r="A5" s="7"/>
      <c r="B5" s="7"/>
      <c r="C5" s="16" t="str">
        <f>""&amp;CHAR(10)&amp;Basic_Fundamental_Information_Constructure(F5)&amp;CHAR(10)&amp;Basic_Fundamental_Information_Concatenate("")</f>
        <v xml:space="preserve">
市值22.389276亿, 利润5.22亿; PE5.51; 平均PE13.74; 平均PEG.37, PB1.31; ROIC17.9267%; ROE20.9867%; 股利率2.3351%; 毛利48.0667%; 净利25.9533%; 上一年度营收增81.81%, 利润增109.64%; 当季营收增-45.76%, 利润增-71.37%; 过往5年营收增37.48%, 利润增251.51%
Income profile:
</v>
      </c>
      <c r="D5" t="s">
        <v>95</v>
      </c>
      <c r="E5" t="s">
        <v>5</v>
      </c>
      <c r="F5">
        <v>9.25</v>
      </c>
      <c r="G5">
        <v>0.54</v>
      </c>
      <c r="H5" t="s">
        <v>1664</v>
      </c>
      <c r="I5">
        <v>2238927600</v>
      </c>
      <c r="J5">
        <v>5.51</v>
      </c>
      <c r="K5">
        <v>1.31</v>
      </c>
      <c r="L5" t="s">
        <v>1589</v>
      </c>
      <c r="M5" t="s">
        <v>1337</v>
      </c>
      <c r="N5" t="s">
        <v>1665</v>
      </c>
      <c r="O5" t="s">
        <v>94</v>
      </c>
      <c r="P5">
        <v>-45.88</v>
      </c>
      <c r="Q5" t="s">
        <v>1474</v>
      </c>
      <c r="R5">
        <v>46382234</v>
      </c>
      <c r="S5" s="5">
        <v>-0.71289999999999998</v>
      </c>
      <c r="T5" t="s">
        <v>255</v>
      </c>
      <c r="U5">
        <v>242046220</v>
      </c>
      <c r="V5">
        <v>242046220</v>
      </c>
      <c r="W5">
        <v>1.36</v>
      </c>
      <c r="X5">
        <v>0.09</v>
      </c>
      <c r="Y5">
        <v>21.97</v>
      </c>
      <c r="Z5" t="s">
        <v>121</v>
      </c>
      <c r="AA5" t="s">
        <v>138</v>
      </c>
      <c r="AB5" t="s">
        <v>1666</v>
      </c>
      <c r="AC5" t="s">
        <v>1667</v>
      </c>
      <c r="AD5" t="s">
        <v>24</v>
      </c>
      <c r="AE5">
        <v>-961310</v>
      </c>
      <c r="AF5" t="s">
        <v>98</v>
      </c>
      <c r="AG5">
        <v>1811.32</v>
      </c>
      <c r="AH5" t="s">
        <v>1668</v>
      </c>
      <c r="AI5" t="s">
        <v>1669</v>
      </c>
      <c r="AJ5" t="s">
        <v>1670</v>
      </c>
      <c r="AK5" t="s">
        <v>24</v>
      </c>
      <c r="AL5" t="s">
        <v>1671</v>
      </c>
      <c r="AM5" t="s">
        <v>24</v>
      </c>
      <c r="AN5" t="s">
        <v>754</v>
      </c>
      <c r="AO5" t="s">
        <v>24</v>
      </c>
      <c r="AP5" t="s">
        <v>24</v>
      </c>
      <c r="AQ5" t="s">
        <v>1315</v>
      </c>
      <c r="AR5" t="s">
        <v>1672</v>
      </c>
      <c r="AS5" t="s">
        <v>1673</v>
      </c>
      <c r="AT5" t="s">
        <v>24</v>
      </c>
      <c r="AU5" t="s">
        <v>1674</v>
      </c>
      <c r="AV5" t="s">
        <v>1675</v>
      </c>
      <c r="AW5" t="s">
        <v>1676</v>
      </c>
      <c r="AX5" t="s">
        <v>1074</v>
      </c>
      <c r="AY5" t="s">
        <v>837</v>
      </c>
      <c r="AZ5" t="s">
        <v>421</v>
      </c>
      <c r="BA5" t="s">
        <v>96</v>
      </c>
      <c r="BB5" t="s">
        <v>165</v>
      </c>
      <c r="BC5" t="s">
        <v>280</v>
      </c>
      <c r="BD5" t="s">
        <v>838</v>
      </c>
      <c r="BE5" t="s">
        <v>422</v>
      </c>
      <c r="BF5" t="s">
        <v>97</v>
      </c>
      <c r="BG5" t="s">
        <v>424</v>
      </c>
      <c r="BH5" t="s">
        <v>1474</v>
      </c>
      <c r="BI5" t="s">
        <v>1090</v>
      </c>
      <c r="BJ5" t="s">
        <v>1074</v>
      </c>
      <c r="BK5" t="s">
        <v>255</v>
      </c>
      <c r="BL5" t="s">
        <v>160</v>
      </c>
      <c r="BM5" t="s">
        <v>280</v>
      </c>
      <c r="BN5">
        <v>30.42</v>
      </c>
      <c r="BO5">
        <v>19.079999999999998</v>
      </c>
      <c r="BP5">
        <v>4.28</v>
      </c>
      <c r="BQ5">
        <v>35.33</v>
      </c>
      <c r="BR5">
        <v>23.74</v>
      </c>
      <c r="BS5">
        <v>3.89</v>
      </c>
      <c r="BT5" t="s">
        <v>1677</v>
      </c>
      <c r="BU5" t="s">
        <v>1043</v>
      </c>
      <c r="BV5">
        <v>66.59</v>
      </c>
      <c r="BW5">
        <v>40.72</v>
      </c>
      <c r="BX5">
        <v>36.89</v>
      </c>
      <c r="BY5">
        <v>37.75</v>
      </c>
      <c r="BZ5">
        <v>32.479999999999997</v>
      </c>
      <c r="CA5">
        <v>7.63</v>
      </c>
      <c r="CB5">
        <v>-3.34</v>
      </c>
      <c r="CC5">
        <v>-16.7</v>
      </c>
      <c r="CD5" t="s">
        <v>1678</v>
      </c>
      <c r="CE5" t="s">
        <v>458</v>
      </c>
      <c r="CF5" s="8">
        <v>-0.45758354755784064</v>
      </c>
      <c r="CG5" s="9">
        <v>-0.71368991358024692</v>
      </c>
      <c r="CH5" s="8">
        <v>0.81806272268295288</v>
      </c>
      <c r="CI5" s="8">
        <v>0.19003115594387054</v>
      </c>
      <c r="CJ5" s="8">
        <v>0.85014408826828003</v>
      </c>
      <c r="CK5" s="8">
        <v>-0.20776255428791046</v>
      </c>
      <c r="CL5" s="8">
        <v>0.22346368432044983</v>
      </c>
      <c r="CM5" s="9">
        <v>1.0963855981826782</v>
      </c>
      <c r="CN5" s="9">
        <v>6.0292320251464844</v>
      </c>
      <c r="CO5" s="9">
        <v>7.0980958938598633</v>
      </c>
      <c r="CP5" s="9">
        <v>-0.79254168272018433</v>
      </c>
      <c r="CQ5" s="9">
        <v>-0.85558080673217773</v>
      </c>
      <c r="CR5">
        <v>13.737395577998594</v>
      </c>
      <c r="CS5">
        <v>0.36653794140165236</v>
      </c>
      <c r="CT5">
        <v>2.3351351351351353</v>
      </c>
      <c r="CU5" s="8">
        <v>0.37478781938552858</v>
      </c>
      <c r="CV5" s="9">
        <v>2.5151182055473327</v>
      </c>
      <c r="CW5">
        <v>0.06</v>
      </c>
      <c r="CX5">
        <v>1.8964448665593385</v>
      </c>
      <c r="CY5">
        <v>677018152.56532621</v>
      </c>
      <c r="CZ5">
        <v>0.37478781938552858</v>
      </c>
      <c r="DA5">
        <v>0.49098895972595114</v>
      </c>
      <c r="DB5">
        <v>2614982627.5455012</v>
      </c>
      <c r="DC5">
        <v>0.35604842841625212</v>
      </c>
      <c r="DD5">
        <v>0.17216871245432055</v>
      </c>
      <c r="DE5">
        <v>7457380506.0001774</v>
      </c>
      <c r="DF5">
        <v>0.32981328105926516</v>
      </c>
      <c r="DG5">
        <v>6.7857451681806263E-2</v>
      </c>
      <c r="DH5">
        <v>18920952204.638165</v>
      </c>
      <c r="DI5">
        <v>0.2998302555084229</v>
      </c>
      <c r="DJ5">
        <v>1.2351043042028971E-2</v>
      </c>
      <c r="DK5">
        <v>103952969448.08334</v>
      </c>
      <c r="DL5">
        <v>0.26235147356986999</v>
      </c>
      <c r="DM5">
        <v>522000000</v>
      </c>
      <c r="DN5">
        <v>0.37478781938552858</v>
      </c>
      <c r="DO5">
        <v>1283927600</v>
      </c>
      <c r="DP5">
        <v>1449426700</v>
      </c>
      <c r="DQ5">
        <v>11</v>
      </c>
      <c r="DR5">
        <v>-0.83237136694336922</v>
      </c>
      <c r="DS5">
        <v>-3.2288081191275797</v>
      </c>
      <c r="DT5" s="10">
        <v>0.29333333333333339</v>
      </c>
      <c r="DU5">
        <v>0.28000000000000003</v>
      </c>
      <c r="DV5">
        <v>0.57333333333333347</v>
      </c>
      <c r="DW5">
        <v>-8.1999999999999993</v>
      </c>
      <c r="DX5">
        <v>0.22922787878787865</v>
      </c>
      <c r="DY5">
        <v>-8.0218455757575757</v>
      </c>
      <c r="DZ5">
        <v>614</v>
      </c>
      <c r="EA5">
        <v>-8.0192206866156681</v>
      </c>
      <c r="EB5">
        <v>8</v>
      </c>
      <c r="EC5">
        <v>7.44593326018477E-2</v>
      </c>
      <c r="ED5">
        <v>0.68168798504682293</v>
      </c>
      <c r="EE5" s="11">
        <v>3.0648</v>
      </c>
      <c r="EF5">
        <v>3.0455000000000001</v>
      </c>
      <c r="EG5">
        <v>12.109227878787879</v>
      </c>
      <c r="EH5" t="s">
        <v>1133</v>
      </c>
      <c r="EI5">
        <v>0</v>
      </c>
      <c r="EJ5">
        <v>1</v>
      </c>
      <c r="EK5" s="13">
        <v>45470</v>
      </c>
      <c r="EL5" s="14">
        <v>0</v>
      </c>
      <c r="EM5" s="14">
        <v>-2.2200000000000002</v>
      </c>
      <c r="EN5" s="14">
        <v>1.86</v>
      </c>
      <c r="EO5" s="14">
        <v>0</v>
      </c>
      <c r="EP5" s="14">
        <v>-1.93</v>
      </c>
    </row>
    <row r="6" spans="1:146" ht="88.5" customHeight="1" x14ac:dyDescent="0.25">
      <c r="A6" s="7" t="s">
        <v>1114</v>
      </c>
      <c r="B6" s="16"/>
      <c r="C6" s="16" t="str">
        <f>"公司主要从事住宅地产开发。作为深圳市房地产开发企业的先行者，公司曾在中国房地产开发史上创造了多个“第一”，包括：第一个有偿使用国有土地；第一个引入外资合作开发土地；第一个采用楼宇预售手段筹集开发资金；第一个按国际惯例实行建设工程公开招标；第一个成立物业管理公司对开发的楼宇、住宅进行全方位管理。"&amp;CHAR(10)&amp;Basic_Fundamental_Information_Constructure(F6)&amp;CHAR(10)&amp;Basic_Fundamental_Information_Concatenate("房地产 2.28亿 62.38% 98.27% 54.34%
工程施工 1.03亿 28.20% 1.77% 2.17%
租赁及物业管理 2780.54万 7.59% -1.47% -6.69%")</f>
        <v>公司主要从事住宅地产开发。作为深圳市房地产开发企业的先行者，公司曾在中国房地产开发史上创造了多个“第一”，包括：第一个有偿使用国有土地；第一个引入外资合作开发土地；第一个采用楼宇预售手段筹集开发资金；第一个按国际惯例实行建设工程公开招标；第一个成立物业管理公司对开发的楼宇、住宅进行全方位管理。
市值109.866276亿, 利润-2.51亿; PE; 平均PE44.87; 平均PEG2.12, PB2.97; ROIC4.09%; ROE2.8933%; 股利率0%; 毛利32.2933%; 净利-14.7533%; 上一年度营收增-16.25%, 利润增-262.99%; 当季营收增-45.67%, 利润增105.32%; 过往5年营收增-21.18%, 利润增-70.96%
Income profile:
房地产 2.28亿 62.38% 98.27% 54.34%
工程施工 1.03亿 28.20% 1.77% 2.17%
租赁及物业管理 2780.54万 7.59% -1.47% -6.69%</v>
      </c>
      <c r="D6" t="s">
        <v>100</v>
      </c>
      <c r="E6" t="s">
        <v>23</v>
      </c>
      <c r="F6">
        <v>10.86</v>
      </c>
      <c r="G6">
        <v>-0.82</v>
      </c>
      <c r="H6" t="s">
        <v>1679</v>
      </c>
      <c r="I6">
        <v>10986627600</v>
      </c>
      <c r="K6">
        <v>2.97</v>
      </c>
      <c r="L6" t="s">
        <v>1589</v>
      </c>
      <c r="M6" t="s">
        <v>1680</v>
      </c>
      <c r="N6" t="s">
        <v>1681</v>
      </c>
      <c r="O6" t="s">
        <v>1682</v>
      </c>
      <c r="P6">
        <v>-45.75</v>
      </c>
      <c r="Q6" t="s">
        <v>1378</v>
      </c>
      <c r="R6">
        <v>1896582</v>
      </c>
      <c r="S6" s="5">
        <v>1.0529999999999999</v>
      </c>
      <c r="T6" t="s">
        <v>1099</v>
      </c>
      <c r="U6">
        <v>891660000</v>
      </c>
      <c r="V6">
        <v>1011660000</v>
      </c>
      <c r="W6">
        <v>1.71</v>
      </c>
      <c r="X6">
        <v>0.01</v>
      </c>
      <c r="Y6">
        <v>2.6</v>
      </c>
      <c r="Z6" t="s">
        <v>1683</v>
      </c>
      <c r="AA6" t="s">
        <v>1684</v>
      </c>
      <c r="AB6" t="s">
        <v>1685</v>
      </c>
      <c r="AC6" t="s">
        <v>1686</v>
      </c>
      <c r="AD6" t="s">
        <v>24</v>
      </c>
      <c r="AE6">
        <v>-1762787</v>
      </c>
      <c r="AF6" t="s">
        <v>98</v>
      </c>
      <c r="AG6" t="s">
        <v>1687</v>
      </c>
      <c r="AH6" t="s">
        <v>1688</v>
      </c>
      <c r="AI6" t="s">
        <v>1689</v>
      </c>
      <c r="AJ6" t="s">
        <v>1690</v>
      </c>
      <c r="AK6" t="s">
        <v>24</v>
      </c>
      <c r="AL6" t="s">
        <v>1691</v>
      </c>
      <c r="AM6" t="s">
        <v>24</v>
      </c>
      <c r="AN6">
        <v>0</v>
      </c>
      <c r="AO6" t="s">
        <v>1692</v>
      </c>
      <c r="AP6" t="s">
        <v>24</v>
      </c>
      <c r="AQ6" t="s">
        <v>1693</v>
      </c>
      <c r="AR6" t="s">
        <v>1694</v>
      </c>
      <c r="AS6" t="s">
        <v>1695</v>
      </c>
      <c r="AT6" t="s">
        <v>907</v>
      </c>
      <c r="AU6" t="s">
        <v>1696</v>
      </c>
      <c r="AV6" t="s">
        <v>1697</v>
      </c>
      <c r="AW6" t="s">
        <v>1698</v>
      </c>
      <c r="AX6" t="s">
        <v>1143</v>
      </c>
      <c r="AY6" t="s">
        <v>840</v>
      </c>
      <c r="AZ6" t="s">
        <v>142</v>
      </c>
      <c r="BA6" t="s">
        <v>101</v>
      </c>
      <c r="BB6" t="s">
        <v>427</v>
      </c>
      <c r="BC6" t="s">
        <v>1088</v>
      </c>
      <c r="BD6" t="s">
        <v>841</v>
      </c>
      <c r="BE6" t="s">
        <v>425</v>
      </c>
      <c r="BF6" t="s">
        <v>102</v>
      </c>
      <c r="BG6" t="s">
        <v>428</v>
      </c>
      <c r="BH6" t="s">
        <v>1378</v>
      </c>
      <c r="BI6" t="s">
        <v>191</v>
      </c>
      <c r="BJ6" t="s">
        <v>1143</v>
      </c>
      <c r="BK6" t="s">
        <v>1099</v>
      </c>
      <c r="BL6" t="s">
        <v>1699</v>
      </c>
      <c r="BM6" t="s">
        <v>1088</v>
      </c>
      <c r="BN6" t="s">
        <v>24</v>
      </c>
      <c r="BO6">
        <v>3.34</v>
      </c>
      <c r="BP6">
        <v>4.84</v>
      </c>
      <c r="BQ6">
        <v>-0.92</v>
      </c>
      <c r="BR6">
        <v>3.88</v>
      </c>
      <c r="BS6">
        <v>5.72</v>
      </c>
      <c r="BT6" t="s">
        <v>1115</v>
      </c>
      <c r="BU6" t="s">
        <v>1043</v>
      </c>
      <c r="BV6">
        <v>16.22</v>
      </c>
      <c r="BW6">
        <v>31.11</v>
      </c>
      <c r="BX6">
        <v>49.55</v>
      </c>
      <c r="BY6">
        <v>-84.32</v>
      </c>
      <c r="BZ6">
        <v>23.58</v>
      </c>
      <c r="CA6">
        <v>16.48</v>
      </c>
      <c r="CB6">
        <v>2.16</v>
      </c>
      <c r="CC6">
        <v>-10.17</v>
      </c>
      <c r="CD6" t="s">
        <v>1700</v>
      </c>
      <c r="CE6" t="s">
        <v>1701</v>
      </c>
      <c r="CF6" s="8">
        <v>-0.45674495412844052</v>
      </c>
      <c r="CG6" s="9">
        <v>1.0531943860121502</v>
      </c>
      <c r="CH6" s="8">
        <v>-0.1624605655670166</v>
      </c>
      <c r="CI6" s="8">
        <v>-0.52006053924560547</v>
      </c>
      <c r="CJ6" s="8">
        <v>-0.18204334378242493</v>
      </c>
      <c r="CK6" s="8">
        <v>-0.36641821265220642</v>
      </c>
      <c r="CL6" s="8">
        <v>0.1719539612531662</v>
      </c>
      <c r="CM6" s="9">
        <v>-2.6298701763153076</v>
      </c>
      <c r="CN6" s="9">
        <v>-0.3031674325466156</v>
      </c>
      <c r="CO6" s="9">
        <v>-0.237931028008461</v>
      </c>
      <c r="CP6" s="9">
        <v>-0.47463768720626831</v>
      </c>
      <c r="CQ6" s="9">
        <v>9.7415506839752197E-2</v>
      </c>
      <c r="CR6">
        <v>44.873904424778758</v>
      </c>
      <c r="CS6">
        <v>2.1186349541343543</v>
      </c>
      <c r="CT6">
        <v>0</v>
      </c>
      <c r="CU6" s="8">
        <v>-0.21180573999881744</v>
      </c>
      <c r="CV6" s="9">
        <v>-0.70963816344738007</v>
      </c>
      <c r="CW6">
        <v>0.06</v>
      </c>
      <c r="CX6" t="e">
        <v>#VALUE!</v>
      </c>
      <c r="CY6" t="s">
        <v>850</v>
      </c>
      <c r="CZ6">
        <v>-0.21180573999881744</v>
      </c>
      <c r="DA6" t="e">
        <v>#VALUE!</v>
      </c>
      <c r="DB6" t="s">
        <v>850</v>
      </c>
      <c r="DC6">
        <v>-0.20121545299887655</v>
      </c>
      <c r="DD6" t="e">
        <v>#VALUE!</v>
      </c>
      <c r="DE6" t="s">
        <v>850</v>
      </c>
      <c r="DF6">
        <v>-0.18638905119895935</v>
      </c>
      <c r="DG6" t="e">
        <v>#VALUE!</v>
      </c>
      <c r="DH6" t="s">
        <v>850</v>
      </c>
      <c r="DI6">
        <v>-0.16944459199905396</v>
      </c>
      <c r="DJ6" t="e">
        <v>#VALUE!</v>
      </c>
      <c r="DK6" t="s">
        <v>850</v>
      </c>
      <c r="DL6">
        <v>-0.14826401799917219</v>
      </c>
      <c r="DM6">
        <v>-250999999.99999997</v>
      </c>
      <c r="DN6">
        <v>-0.21180573999881744</v>
      </c>
      <c r="DO6">
        <v>9915627600</v>
      </c>
      <c r="DP6">
        <v>3354332500</v>
      </c>
      <c r="DQ6">
        <v>22</v>
      </c>
      <c r="DR6">
        <v>-0.24493921412962308</v>
      </c>
      <c r="DS6">
        <v>1.7628325494595303</v>
      </c>
      <c r="DT6" s="10">
        <v>-0.90666666666666662</v>
      </c>
      <c r="DU6">
        <v>-1.59</v>
      </c>
      <c r="DV6">
        <v>-2.4966666666666666</v>
      </c>
      <c r="DW6">
        <v>-2.1017000000000001</v>
      </c>
      <c r="DX6">
        <v>0.31518702852802527</v>
      </c>
      <c r="DY6">
        <v>-2.0188335208013002</v>
      </c>
      <c r="DZ6">
        <v>4681</v>
      </c>
      <c r="EA6">
        <v>-2.0015811311983871</v>
      </c>
      <c r="EB6">
        <v>2</v>
      </c>
      <c r="EC6">
        <v>1.5373841013779333E-2</v>
      </c>
      <c r="ED6">
        <v>8.3017911155921956E-2</v>
      </c>
      <c r="EE6" s="11">
        <v>-2.0335999999999999</v>
      </c>
      <c r="EF6">
        <v>-2.0225</v>
      </c>
      <c r="EG6">
        <v>13.185187028528025</v>
      </c>
      <c r="EH6" t="s">
        <v>1702</v>
      </c>
      <c r="EI6">
        <v>0</v>
      </c>
      <c r="EJ6">
        <v>0</v>
      </c>
      <c r="EK6" s="13">
        <v>45470</v>
      </c>
      <c r="EL6" s="14">
        <v>-0.55000000000000004</v>
      </c>
      <c r="EM6" s="14">
        <v>-3.53</v>
      </c>
      <c r="EN6" s="14">
        <v>2.41</v>
      </c>
      <c r="EO6" s="14">
        <v>1.5</v>
      </c>
      <c r="EP6" s="14">
        <v>-1.1100000000000001</v>
      </c>
    </row>
    <row r="7" spans="1:146" ht="88.5" customHeight="1" x14ac:dyDescent="0.25">
      <c r="A7" s="7"/>
      <c r="B7" s="7"/>
      <c r="C7" s="16" t="str">
        <f>""&amp;CHAR(10)&amp;Basic_Fundamental_Information_Constructure(F7)&amp;CHAR(10)&amp;Basic_Fundamental_Information_Concatenate("")</f>
        <v xml:space="preserve">
市值102.442889亿, 利润-14.65亿; PE; 平均PE-119.35; 平均PEG-9.49, PB.746; ROIC.395%; ROE-6.53%; 股利率0%; 毛利25.99%; 净利-1.1633%; 上一年度营收增-7.06%, 利润增49.18%; 当季营收增-36.45%, 利润增-319.3%; 过往5年营收增12.57%, 利润增-542.38%
Income profile:
</v>
      </c>
      <c r="D7" t="s">
        <v>103</v>
      </c>
      <c r="E7" t="s">
        <v>104</v>
      </c>
      <c r="F7">
        <v>2.39</v>
      </c>
      <c r="G7">
        <v>-0.83</v>
      </c>
      <c r="H7" t="s">
        <v>1703</v>
      </c>
      <c r="I7">
        <v>10244288900</v>
      </c>
      <c r="K7">
        <v>0.746</v>
      </c>
      <c r="L7" t="s">
        <v>1589</v>
      </c>
      <c r="M7" t="s">
        <v>1704</v>
      </c>
      <c r="N7" t="s">
        <v>1705</v>
      </c>
      <c r="O7" t="s">
        <v>1706</v>
      </c>
      <c r="P7">
        <v>-36.450000000000003</v>
      </c>
      <c r="Q7" t="s">
        <v>1707</v>
      </c>
      <c r="R7">
        <v>-375000000</v>
      </c>
      <c r="S7" s="5">
        <v>-1.5469999999999999</v>
      </c>
      <c r="T7" t="s">
        <v>1708</v>
      </c>
      <c r="U7">
        <v>4002884300</v>
      </c>
      <c r="V7">
        <v>4286313300</v>
      </c>
      <c r="W7">
        <v>4.29</v>
      </c>
      <c r="X7">
        <v>0.02</v>
      </c>
      <c r="Y7">
        <v>4.72</v>
      </c>
      <c r="Z7" t="s">
        <v>1709</v>
      </c>
      <c r="AA7" t="s">
        <v>612</v>
      </c>
      <c r="AB7" t="s">
        <v>1058</v>
      </c>
      <c r="AC7" t="s">
        <v>390</v>
      </c>
      <c r="AD7" t="s">
        <v>24</v>
      </c>
      <c r="AE7">
        <v>519580940</v>
      </c>
      <c r="AF7" t="s">
        <v>1710</v>
      </c>
      <c r="AG7" t="s">
        <v>1711</v>
      </c>
      <c r="AH7" t="s">
        <v>1712</v>
      </c>
      <c r="AI7" t="s">
        <v>1713</v>
      </c>
      <c r="AJ7" t="s">
        <v>1714</v>
      </c>
      <c r="AK7" t="s">
        <v>24</v>
      </c>
      <c r="AL7" t="s">
        <v>1715</v>
      </c>
      <c r="AM7" t="s">
        <v>24</v>
      </c>
      <c r="AN7" t="s">
        <v>1716</v>
      </c>
      <c r="AO7" t="s">
        <v>1717</v>
      </c>
      <c r="AP7" t="s">
        <v>24</v>
      </c>
      <c r="AQ7" t="s">
        <v>1718</v>
      </c>
      <c r="AR7" t="s">
        <v>169</v>
      </c>
      <c r="AS7" t="s">
        <v>1719</v>
      </c>
      <c r="AT7" t="s">
        <v>1720</v>
      </c>
      <c r="AU7" t="s">
        <v>1721</v>
      </c>
      <c r="AV7" t="s">
        <v>1722</v>
      </c>
      <c r="AW7" t="s">
        <v>1723</v>
      </c>
      <c r="AX7" t="s">
        <v>1146</v>
      </c>
      <c r="AY7" t="s">
        <v>842</v>
      </c>
      <c r="AZ7" t="s">
        <v>431</v>
      </c>
      <c r="BA7" t="s">
        <v>434</v>
      </c>
      <c r="BB7" t="s">
        <v>435</v>
      </c>
      <c r="BC7" t="s">
        <v>1147</v>
      </c>
      <c r="BD7" t="s">
        <v>490</v>
      </c>
      <c r="BE7" t="s">
        <v>432</v>
      </c>
      <c r="BF7" t="s">
        <v>436</v>
      </c>
      <c r="BG7" t="s">
        <v>437</v>
      </c>
      <c r="BH7" t="s">
        <v>1707</v>
      </c>
      <c r="BI7" t="s">
        <v>1724</v>
      </c>
      <c r="BJ7" t="s">
        <v>1146</v>
      </c>
      <c r="BK7" t="s">
        <v>1708</v>
      </c>
      <c r="BL7" t="s">
        <v>882</v>
      </c>
      <c r="BM7" t="s">
        <v>1147</v>
      </c>
      <c r="BN7">
        <v>-0.15</v>
      </c>
      <c r="BO7" t="s">
        <v>24</v>
      </c>
      <c r="BP7">
        <v>0.94</v>
      </c>
      <c r="BQ7">
        <v>-3.33</v>
      </c>
      <c r="BR7">
        <v>-16.84</v>
      </c>
      <c r="BS7">
        <v>0.57999999999999996</v>
      </c>
      <c r="BT7" t="s">
        <v>1115</v>
      </c>
      <c r="BU7" t="s">
        <v>1046</v>
      </c>
      <c r="BV7">
        <v>26.47</v>
      </c>
      <c r="BW7">
        <v>24.06</v>
      </c>
      <c r="BX7">
        <v>27.44</v>
      </c>
      <c r="BY7">
        <v>0.33</v>
      </c>
      <c r="BZ7">
        <v>-5.62</v>
      </c>
      <c r="CA7">
        <v>1.8</v>
      </c>
      <c r="CB7">
        <v>2.14</v>
      </c>
      <c r="CC7">
        <v>-17.87</v>
      </c>
      <c r="CD7" t="s">
        <v>1725</v>
      </c>
      <c r="CE7" t="s">
        <v>1083</v>
      </c>
      <c r="CF7" s="8">
        <v>-0.36450287592440428</v>
      </c>
      <c r="CG7" s="9">
        <v>-3.192982456140351</v>
      </c>
      <c r="CH7" s="8">
        <v>-7.0643499493598938E-2</v>
      </c>
      <c r="CI7" s="8">
        <v>-7.1220740675926208E-2</v>
      </c>
      <c r="CJ7" s="8">
        <v>0.10844071209430695</v>
      </c>
      <c r="CK7" s="8">
        <v>0.13759426772594452</v>
      </c>
      <c r="CL7" s="8">
        <v>0.52442604303359985</v>
      </c>
      <c r="CM7" s="9">
        <v>0.49184879660606384</v>
      </c>
      <c r="CN7" s="9">
        <v>-27.69444465637207</v>
      </c>
      <c r="CO7" s="9">
        <v>1.2790697813034058</v>
      </c>
      <c r="CP7" s="9">
        <v>-1.1888726949691772</v>
      </c>
      <c r="CQ7" s="9">
        <v>-6.7862956784665585E-3</v>
      </c>
      <c r="CR7">
        <v>-119.35093864077665</v>
      </c>
      <c r="CS7">
        <v>-9.4934417362992836</v>
      </c>
      <c r="CT7">
        <v>0</v>
      </c>
      <c r="CU7" s="8">
        <v>0.12571935653686522</v>
      </c>
      <c r="CV7" s="9">
        <v>-5.4238370138220491</v>
      </c>
      <c r="CW7">
        <v>0.06</v>
      </c>
      <c r="CX7" t="e">
        <v>#VALUE!</v>
      </c>
      <c r="CY7" t="s">
        <v>849</v>
      </c>
      <c r="CZ7">
        <v>0.12571935653686522</v>
      </c>
      <c r="DA7" t="e">
        <v>#VALUE!</v>
      </c>
      <c r="DB7" t="s">
        <v>850</v>
      </c>
      <c r="DC7">
        <v>0.11943338871002196</v>
      </c>
      <c r="DD7" t="e">
        <v>#VALUE!</v>
      </c>
      <c r="DE7" t="s">
        <v>850</v>
      </c>
      <c r="DF7">
        <v>0.11063303375244139</v>
      </c>
      <c r="DG7" t="e">
        <v>#VALUE!</v>
      </c>
      <c r="DH7" t="s">
        <v>850</v>
      </c>
      <c r="DI7">
        <v>0.10057548522949218</v>
      </c>
      <c r="DJ7" t="e">
        <v>#VALUE!</v>
      </c>
      <c r="DK7" t="s">
        <v>850</v>
      </c>
      <c r="DL7">
        <v>8.8003549575805654E-2</v>
      </c>
      <c r="DM7">
        <v>-1465000000</v>
      </c>
      <c r="DN7">
        <v>0.12571935653686522</v>
      </c>
      <c r="DO7">
        <v>115745288900</v>
      </c>
      <c r="DP7">
        <v>48402080000</v>
      </c>
      <c r="DQ7">
        <v>24</v>
      </c>
      <c r="DR7">
        <v>-0.4902222324612695</v>
      </c>
      <c r="DS7">
        <v>2.230854557681698</v>
      </c>
      <c r="DT7" s="10">
        <v>-0.34</v>
      </c>
      <c r="DU7">
        <v>-1.8083333333333333</v>
      </c>
      <c r="DV7">
        <v>-2.1483333333333334</v>
      </c>
      <c r="DW7">
        <v>-3.0211488095238095</v>
      </c>
      <c r="DX7">
        <v>0.32388180645161302</v>
      </c>
      <c r="DY7">
        <v>-3.0034659051090631</v>
      </c>
      <c r="DZ7">
        <v>4726</v>
      </c>
      <c r="EA7">
        <v>-3.0002604515776672</v>
      </c>
      <c r="EB7">
        <v>3</v>
      </c>
      <c r="EC7">
        <v>1.6593444067655998E-2</v>
      </c>
      <c r="ED7">
        <v>0.10125251460270064</v>
      </c>
      <c r="EE7" s="11">
        <v>-2.0100099999999999</v>
      </c>
      <c r="EF7">
        <v>-2.0386099999999998</v>
      </c>
      <c r="EG7">
        <v>16.163881806451613</v>
      </c>
      <c r="EH7" t="s">
        <v>839</v>
      </c>
      <c r="EI7">
        <v>0</v>
      </c>
      <c r="EJ7">
        <v>0</v>
      </c>
      <c r="EK7" s="13">
        <v>45470</v>
      </c>
      <c r="EL7" s="14">
        <v>-0.81</v>
      </c>
      <c r="EM7" s="14">
        <v>-3.69</v>
      </c>
      <c r="EN7" s="14">
        <v>1.7</v>
      </c>
      <c r="EO7" s="14">
        <v>2.5099999999999998</v>
      </c>
      <c r="EP7" s="14">
        <v>-2.86</v>
      </c>
    </row>
    <row r="8" spans="1:146" ht="88.5" customHeight="1" x14ac:dyDescent="0.25">
      <c r="A8" s="7"/>
      <c r="B8" s="7"/>
      <c r="C8" s="16" t="str">
        <f>""&amp;CHAR(10)&amp;Basic_Fundamental_Information_Constructure(F8)&amp;CHAR(10)&amp;Basic_Fundamental_Information_Concatenate("")</f>
        <v xml:space="preserve">
市值44.666414亿, 利润8162.77万; PE61.74; 平均PE8.22; 平均PEG.41, PB.869; ROIC5.2933%; ROE5.8667%; 股利率0%; 毛利54.4067%; 净利23.7433%; 上一年度营收增-75.9%, 利润增-81.28%; 当季营收增-37.87%, 利润增-31.23%; 过往5年营收增-20.28%, 利润增-29.69%
Income profile:
</v>
      </c>
      <c r="D8" t="s">
        <v>107</v>
      </c>
      <c r="E8" t="s">
        <v>55</v>
      </c>
      <c r="F8">
        <v>3.01</v>
      </c>
      <c r="G8">
        <v>-0.66</v>
      </c>
      <c r="H8" t="s">
        <v>1726</v>
      </c>
      <c r="I8">
        <v>4466641400</v>
      </c>
      <c r="J8">
        <v>61.74</v>
      </c>
      <c r="K8">
        <v>0.86899999999999999</v>
      </c>
      <c r="L8" t="s">
        <v>1589</v>
      </c>
      <c r="M8" t="s">
        <v>544</v>
      </c>
      <c r="N8" t="s">
        <v>1727</v>
      </c>
      <c r="O8" t="s">
        <v>197</v>
      </c>
      <c r="P8">
        <v>-38.06</v>
      </c>
      <c r="Q8" t="s">
        <v>1490</v>
      </c>
      <c r="R8">
        <v>20432428</v>
      </c>
      <c r="S8" s="5">
        <v>-0.31230000000000002</v>
      </c>
      <c r="T8" t="s">
        <v>1728</v>
      </c>
      <c r="U8">
        <v>1480659400</v>
      </c>
      <c r="V8">
        <v>1483934000</v>
      </c>
      <c r="W8">
        <v>1.3</v>
      </c>
      <c r="X8">
        <v>0.01</v>
      </c>
      <c r="Y8">
        <v>21.94</v>
      </c>
      <c r="Z8" t="s">
        <v>1729</v>
      </c>
      <c r="AA8" t="s">
        <v>1730</v>
      </c>
      <c r="AB8" t="s">
        <v>1731</v>
      </c>
      <c r="AC8" t="s">
        <v>1732</v>
      </c>
      <c r="AD8" t="s">
        <v>24</v>
      </c>
      <c r="AE8">
        <v>2197822</v>
      </c>
      <c r="AF8" t="s">
        <v>1733</v>
      </c>
      <c r="AG8" t="s">
        <v>1734</v>
      </c>
      <c r="AH8" t="s">
        <v>1735</v>
      </c>
      <c r="AI8" t="s">
        <v>1736</v>
      </c>
      <c r="AJ8" t="s">
        <v>1737</v>
      </c>
      <c r="AK8" t="s">
        <v>24</v>
      </c>
      <c r="AL8" t="s">
        <v>1738</v>
      </c>
      <c r="AM8" t="s">
        <v>24</v>
      </c>
      <c r="AN8">
        <v>0</v>
      </c>
      <c r="AO8" t="s">
        <v>24</v>
      </c>
      <c r="AP8" t="s">
        <v>24</v>
      </c>
      <c r="AQ8" t="s">
        <v>1739</v>
      </c>
      <c r="AR8" t="s">
        <v>1740</v>
      </c>
      <c r="AS8" t="s">
        <v>1741</v>
      </c>
      <c r="AT8" t="s">
        <v>753</v>
      </c>
      <c r="AU8" t="s">
        <v>1093</v>
      </c>
      <c r="AV8" t="s">
        <v>1406</v>
      </c>
      <c r="AW8" t="s">
        <v>1488</v>
      </c>
      <c r="AX8" t="s">
        <v>1148</v>
      </c>
      <c r="AY8" t="s">
        <v>843</v>
      </c>
      <c r="AZ8" t="s">
        <v>438</v>
      </c>
      <c r="BA8" t="s">
        <v>108</v>
      </c>
      <c r="BB8" t="s">
        <v>439</v>
      </c>
      <c r="BC8" t="s">
        <v>1121</v>
      </c>
      <c r="BD8" t="s">
        <v>844</v>
      </c>
      <c r="BE8" t="s">
        <v>299</v>
      </c>
      <c r="BF8" t="s">
        <v>93</v>
      </c>
      <c r="BG8" t="s">
        <v>361</v>
      </c>
      <c r="BH8" t="s">
        <v>1490</v>
      </c>
      <c r="BI8" t="s">
        <v>1313</v>
      </c>
      <c r="BJ8" t="s">
        <v>1148</v>
      </c>
      <c r="BK8" t="s">
        <v>1728</v>
      </c>
      <c r="BL8" t="s">
        <v>1742</v>
      </c>
      <c r="BM8" t="s">
        <v>1121</v>
      </c>
      <c r="BN8">
        <v>0.7</v>
      </c>
      <c r="BO8">
        <v>8.64</v>
      </c>
      <c r="BP8">
        <v>6.54</v>
      </c>
      <c r="BQ8">
        <v>0.95</v>
      </c>
      <c r="BR8">
        <v>8.4700000000000006</v>
      </c>
      <c r="BS8">
        <v>8.18</v>
      </c>
      <c r="BT8" t="s">
        <v>1115</v>
      </c>
      <c r="BU8" t="s">
        <v>1043</v>
      </c>
      <c r="BV8">
        <v>49.87</v>
      </c>
      <c r="BW8">
        <v>51.85</v>
      </c>
      <c r="BX8">
        <v>61.5</v>
      </c>
      <c r="BY8">
        <v>17.63</v>
      </c>
      <c r="BZ8">
        <v>25.57</v>
      </c>
      <c r="CA8">
        <v>28.03</v>
      </c>
      <c r="CB8">
        <v>-7.1</v>
      </c>
      <c r="CC8">
        <v>-11.47</v>
      </c>
      <c r="CD8" t="s">
        <v>1743</v>
      </c>
      <c r="CE8" t="s">
        <v>1109</v>
      </c>
      <c r="CF8" s="8">
        <v>-0.378698224852071</v>
      </c>
      <c r="CG8" s="9">
        <v>-0.31227333465723783</v>
      </c>
      <c r="CH8" s="8">
        <v>-0.75895905494689941</v>
      </c>
      <c r="CI8" s="8">
        <v>0.24548353254795074</v>
      </c>
      <c r="CJ8" s="8">
        <v>-0.30425137281417847</v>
      </c>
      <c r="CK8" s="8">
        <v>-0.14641843736171722</v>
      </c>
      <c r="CL8" s="8">
        <v>-4.9775149673223495E-2</v>
      </c>
      <c r="CM8" s="9">
        <v>-0.81278049945831299</v>
      </c>
      <c r="CN8" s="9">
        <v>7.3891624808311462E-2</v>
      </c>
      <c r="CO8" s="9">
        <v>-0.26315790414810181</v>
      </c>
      <c r="CP8" s="9">
        <v>-0.32640588283538818</v>
      </c>
      <c r="CQ8" s="9">
        <v>-0.1558307558298111</v>
      </c>
      <c r="CR8">
        <v>8.2167098347858651</v>
      </c>
      <c r="CS8">
        <v>0.40519498218281125</v>
      </c>
      <c r="CT8">
        <v>0</v>
      </c>
      <c r="CU8" s="8">
        <v>-0.20278409644961357</v>
      </c>
      <c r="CV8" s="9">
        <v>-0.29685668349266053</v>
      </c>
      <c r="CW8">
        <v>0.06</v>
      </c>
      <c r="CX8">
        <v>7.8973363208812692</v>
      </c>
      <c r="CY8" t="s">
        <v>1744</v>
      </c>
      <c r="CZ8">
        <v>-0.20278409644961357</v>
      </c>
      <c r="DA8">
        <v>2.6324454402937567</v>
      </c>
      <c r="DB8" t="s">
        <v>1745</v>
      </c>
      <c r="DC8">
        <v>-0.19264489162713289</v>
      </c>
      <c r="DD8">
        <v>1.3162227201468784</v>
      </c>
      <c r="DE8" t="s">
        <v>1746</v>
      </c>
      <c r="DF8">
        <v>-0.17845000487565993</v>
      </c>
      <c r="DG8">
        <v>0.78973363208812697</v>
      </c>
      <c r="DH8" t="s">
        <v>1747</v>
      </c>
      <c r="DI8">
        <v>-0.16222727715969087</v>
      </c>
      <c r="DJ8">
        <v>0.39486681604406348</v>
      </c>
      <c r="DK8" t="s">
        <v>1748</v>
      </c>
      <c r="DL8">
        <v>-0.14194886751472949</v>
      </c>
      <c r="DM8">
        <v>81627700</v>
      </c>
      <c r="DN8">
        <v>-0.20278409644961357</v>
      </c>
      <c r="DO8">
        <v>644641400</v>
      </c>
      <c r="DP8">
        <v>4212491400</v>
      </c>
      <c r="DQ8">
        <v>28</v>
      </c>
      <c r="DR8">
        <v>-0.17591412840245743</v>
      </c>
      <c r="DS8">
        <v>-1.54166511645773E-2</v>
      </c>
      <c r="DT8" s="10">
        <v>-0.75666666666666671</v>
      </c>
      <c r="DU8">
        <v>-0.90333333333333332</v>
      </c>
      <c r="DV8">
        <v>-1.6600000000000001</v>
      </c>
      <c r="DW8">
        <v>-9.619006102877071</v>
      </c>
      <c r="DX8">
        <v>0.47420666666666506</v>
      </c>
      <c r="DY8">
        <v>-9.1016449287997681</v>
      </c>
      <c r="DZ8">
        <v>4142</v>
      </c>
      <c r="EA8">
        <v>-9.0192548514830087</v>
      </c>
      <c r="EB8">
        <v>9</v>
      </c>
      <c r="EC8">
        <v>2.9877204781344723E-2</v>
      </c>
      <c r="ED8">
        <v>0.18194879287084195</v>
      </c>
      <c r="EE8" s="11">
        <v>1.7599999999999998E-2</v>
      </c>
      <c r="EF8">
        <v>3.7199999999999997E-2</v>
      </c>
      <c r="EG8">
        <v>31.164206666666665</v>
      </c>
      <c r="EH8" t="s">
        <v>863</v>
      </c>
      <c r="EI8">
        <v>0</v>
      </c>
      <c r="EJ8">
        <v>0</v>
      </c>
      <c r="EK8" s="13">
        <v>45470</v>
      </c>
      <c r="EL8" s="14">
        <v>-0.33</v>
      </c>
      <c r="EM8" s="14">
        <v>-3.59</v>
      </c>
      <c r="EN8" s="14">
        <v>4.41</v>
      </c>
      <c r="EO8" s="14">
        <v>-0.65</v>
      </c>
      <c r="EP8" s="14">
        <v>1.96</v>
      </c>
    </row>
    <row r="9" spans="1:146" ht="88.5" customHeight="1" x14ac:dyDescent="0.25">
      <c r="A9" s="7"/>
      <c r="B9" s="7"/>
      <c r="C9" s="16" t="str">
        <f>""&amp;CHAR(10)&amp;Basic_Fundamental_Information_Constructure(F9)&amp;CHAR(10)&amp;Basic_Fundamental_Information_Concatenate("")</f>
        <v xml:space="preserve">
市值28.055874亿, 利润-18.45亿; PE; 平均PE-380.57; 平均PEG-201.06, PB.482; ROIC.5%; ROE.73%; 股利率0%; 毛利33.19%; 净利-8.9633%; 上一年度营收增7.6%, 利润增-2412.95%; 当季营收增-31.61%, 利润增40.98%; 过往5年营收增1.89%, 利润增-497.83%
Income profile:
</v>
      </c>
      <c r="D9" t="s">
        <v>110</v>
      </c>
      <c r="E9" t="s">
        <v>51</v>
      </c>
      <c r="F9">
        <v>4.22</v>
      </c>
      <c r="G9">
        <v>-0.47</v>
      </c>
      <c r="H9" t="s">
        <v>1749</v>
      </c>
      <c r="I9">
        <v>2805587400</v>
      </c>
      <c r="K9">
        <v>0.48199999999999998</v>
      </c>
      <c r="L9" t="s">
        <v>1589</v>
      </c>
      <c r="M9" t="s">
        <v>1750</v>
      </c>
      <c r="N9" t="s">
        <v>1348</v>
      </c>
      <c r="O9" t="s">
        <v>1751</v>
      </c>
      <c r="P9">
        <v>-31.63</v>
      </c>
      <c r="Q9" t="s">
        <v>1752</v>
      </c>
      <c r="R9">
        <v>85845684</v>
      </c>
      <c r="S9" s="5">
        <v>0.4098</v>
      </c>
      <c r="T9" t="s">
        <v>1753</v>
      </c>
      <c r="U9">
        <v>663989380</v>
      </c>
      <c r="V9">
        <v>664831140</v>
      </c>
      <c r="W9">
        <v>5.52</v>
      </c>
      <c r="X9">
        <v>0.05</v>
      </c>
      <c r="Y9">
        <v>4.8099999999999996</v>
      </c>
      <c r="Z9" t="s">
        <v>1754</v>
      </c>
      <c r="AA9" t="s">
        <v>1368</v>
      </c>
      <c r="AB9" t="s">
        <v>1755</v>
      </c>
      <c r="AC9" t="s">
        <v>1756</v>
      </c>
      <c r="AD9" t="s">
        <v>24</v>
      </c>
      <c r="AE9">
        <v>166637650</v>
      </c>
      <c r="AF9" t="s">
        <v>1757</v>
      </c>
      <c r="AG9" t="s">
        <v>1758</v>
      </c>
      <c r="AH9" t="s">
        <v>1759</v>
      </c>
      <c r="AI9" t="s">
        <v>1760</v>
      </c>
      <c r="AJ9" t="s">
        <v>1761</v>
      </c>
      <c r="AK9" t="s">
        <v>24</v>
      </c>
      <c r="AL9" t="s">
        <v>1762</v>
      </c>
      <c r="AM9" t="s">
        <v>24</v>
      </c>
      <c r="AN9">
        <v>0</v>
      </c>
      <c r="AO9" t="s">
        <v>24</v>
      </c>
      <c r="AP9" t="s">
        <v>420</v>
      </c>
      <c r="AQ9" t="s">
        <v>1763</v>
      </c>
      <c r="AR9" t="s">
        <v>1764</v>
      </c>
      <c r="AS9" t="s">
        <v>1765</v>
      </c>
      <c r="AT9" t="s">
        <v>1766</v>
      </c>
      <c r="AU9" t="s">
        <v>1080</v>
      </c>
      <c r="AV9" t="s">
        <v>1767</v>
      </c>
      <c r="AW9" t="s">
        <v>1768</v>
      </c>
      <c r="AX9" t="s">
        <v>1150</v>
      </c>
      <c r="AY9" t="s">
        <v>846</v>
      </c>
      <c r="AZ9" t="s">
        <v>442</v>
      </c>
      <c r="BA9" t="s">
        <v>111</v>
      </c>
      <c r="BB9" t="s">
        <v>443</v>
      </c>
      <c r="BC9" t="s">
        <v>1769</v>
      </c>
      <c r="BD9" t="s">
        <v>704</v>
      </c>
      <c r="BE9" t="s">
        <v>173</v>
      </c>
      <c r="BF9" t="s">
        <v>112</v>
      </c>
      <c r="BG9" t="s">
        <v>444</v>
      </c>
      <c r="BH9" t="s">
        <v>1752</v>
      </c>
      <c r="BI9" t="s">
        <v>1770</v>
      </c>
      <c r="BJ9" t="s">
        <v>1150</v>
      </c>
      <c r="BK9" t="s">
        <v>1753</v>
      </c>
      <c r="BL9" t="s">
        <v>1771</v>
      </c>
      <c r="BM9" t="s">
        <v>1769</v>
      </c>
      <c r="BN9" t="s">
        <v>24</v>
      </c>
      <c r="BO9">
        <v>0.08</v>
      </c>
      <c r="BP9">
        <v>0.92</v>
      </c>
      <c r="BQ9">
        <v>-1.39</v>
      </c>
      <c r="BR9">
        <v>0.99</v>
      </c>
      <c r="BS9">
        <v>2.59</v>
      </c>
      <c r="BT9" t="s">
        <v>1115</v>
      </c>
      <c r="BU9" t="s">
        <v>1043</v>
      </c>
      <c r="BV9">
        <v>34.229999999999997</v>
      </c>
      <c r="BW9">
        <v>35.799999999999997</v>
      </c>
      <c r="BX9">
        <v>29.54</v>
      </c>
      <c r="BY9">
        <v>-27.77</v>
      </c>
      <c r="BZ9">
        <v>0.13</v>
      </c>
      <c r="CA9">
        <v>0.75</v>
      </c>
      <c r="CB9">
        <v>6.84</v>
      </c>
      <c r="CC9">
        <v>-15.6</v>
      </c>
      <c r="CD9" t="s">
        <v>1772</v>
      </c>
      <c r="CE9" t="s">
        <v>1773</v>
      </c>
      <c r="CF9" s="8">
        <v>-0.31606425702811247</v>
      </c>
      <c r="CG9" s="9">
        <v>0.40979076240916368</v>
      </c>
      <c r="CH9" s="8">
        <v>7.5956575572490692E-2</v>
      </c>
      <c r="CI9" s="8">
        <v>-0.18360996246337891</v>
      </c>
      <c r="CJ9" s="8">
        <v>-0.18893149495124817</v>
      </c>
      <c r="CK9" s="8">
        <v>0.4830167293548584</v>
      </c>
      <c r="CL9" s="8">
        <v>-9.1790474951267242E-2</v>
      </c>
      <c r="CM9" s="9">
        <v>-24.129547119140625</v>
      </c>
      <c r="CN9" s="9">
        <v>-0.61277621984481812</v>
      </c>
      <c r="CO9" s="9">
        <v>-0.26690390706062317</v>
      </c>
      <c r="CP9" s="9">
        <v>-0.64294791221618652</v>
      </c>
      <c r="CQ9" s="9">
        <v>0.76062637567520142</v>
      </c>
      <c r="CR9">
        <v>-380.57430044831898</v>
      </c>
      <c r="CS9">
        <v>-201.06127486749807</v>
      </c>
      <c r="CT9">
        <v>0</v>
      </c>
      <c r="CU9" s="8">
        <v>1.8928274512290955E-2</v>
      </c>
      <c r="CV9" s="9">
        <v>-4.9783097565174099</v>
      </c>
      <c r="CW9">
        <v>0.06</v>
      </c>
      <c r="CX9" t="e">
        <v>#VALUE!</v>
      </c>
      <c r="CY9" t="s">
        <v>850</v>
      </c>
      <c r="CZ9">
        <v>1.8928274512290955E-2</v>
      </c>
      <c r="DA9" t="e">
        <v>#VALUE!</v>
      </c>
      <c r="DB9" t="s">
        <v>850</v>
      </c>
      <c r="DC9">
        <v>1.7981860786676407E-2</v>
      </c>
      <c r="DD9" t="e">
        <v>#VALUE!</v>
      </c>
      <c r="DE9" t="s">
        <v>850</v>
      </c>
      <c r="DF9">
        <v>1.6656881570816039E-2</v>
      </c>
      <c r="DG9" t="e">
        <v>#VALUE!</v>
      </c>
      <c r="DH9" t="s">
        <v>850</v>
      </c>
      <c r="DI9">
        <v>1.5142619609832764E-2</v>
      </c>
      <c r="DJ9" t="e">
        <v>#VALUE!</v>
      </c>
      <c r="DK9" t="s">
        <v>850</v>
      </c>
      <c r="DL9">
        <v>1.3249792158603668E-2</v>
      </c>
      <c r="DM9">
        <v>-1845000000</v>
      </c>
      <c r="DN9">
        <v>1.8928274512290955E-2</v>
      </c>
      <c r="DO9">
        <v>22516587400</v>
      </c>
      <c r="DP9">
        <v>11270842000</v>
      </c>
      <c r="DQ9">
        <v>32</v>
      </c>
      <c r="DR9">
        <v>-0.33499253154040343</v>
      </c>
      <c r="DS9">
        <v>5.3881005189265734</v>
      </c>
      <c r="DT9" s="10">
        <v>-0.60666666666666669</v>
      </c>
      <c r="DU9">
        <v>-0.6166666666666667</v>
      </c>
      <c r="DV9">
        <v>-1.2233333333333334</v>
      </c>
      <c r="DW9">
        <v>7.3048128342245988</v>
      </c>
      <c r="DX9">
        <v>0.33350394736842148</v>
      </c>
      <c r="DY9">
        <v>7.0620306149732617</v>
      </c>
      <c r="DZ9">
        <v>3787</v>
      </c>
      <c r="EA9">
        <v>7.0160599811369133</v>
      </c>
      <c r="EB9">
        <v>7</v>
      </c>
      <c r="EC9">
        <v>0.13958100699073753</v>
      </c>
      <c r="ED9">
        <v>0.68588844980997721</v>
      </c>
      <c r="EE9" s="11">
        <v>-2.0303</v>
      </c>
      <c r="EF9">
        <v>-2.0228000000000002</v>
      </c>
      <c r="EG9">
        <v>13.203503947368421</v>
      </c>
      <c r="EH9" t="s">
        <v>1702</v>
      </c>
      <c r="EI9">
        <v>1</v>
      </c>
      <c r="EJ9">
        <v>0</v>
      </c>
      <c r="EK9" s="13">
        <v>45470</v>
      </c>
      <c r="EL9" s="14">
        <v>-2.16</v>
      </c>
      <c r="EM9" s="14">
        <v>-4.67</v>
      </c>
      <c r="EN9" s="14">
        <v>1.8</v>
      </c>
      <c r="EO9" s="14">
        <v>0.76</v>
      </c>
      <c r="EP9" s="14">
        <v>-0.75</v>
      </c>
    </row>
    <row r="10" spans="1:146" ht="88.5" customHeight="1" x14ac:dyDescent="0.25">
      <c r="A10" s="7"/>
      <c r="B10" s="7"/>
      <c r="C10" s="16" t="str">
        <f>""&amp;CHAR(10)&amp;Basic_Fundamental_Information_Constructure(F10)&amp;CHAR(10)&amp;Basic_Fundamental_Information_Concatenate("")</f>
        <v xml:space="preserve">
市值372.36144亿, 利润-109.05亿; PE; 平均PE6.02; 平均PEG.4, PB.568; ROIC5.4%; ROE2.5533%; 股利率0%; 毛利32.0533%; 净利8.2733%; 上一年度营收增-25.17%, 利润增-387.05%; 当季营收增-7.45%, 利润增-271.97%; 过往5年营收增14.98%, 利润增-83.05%
Income profile:
</v>
      </c>
      <c r="D10" t="s">
        <v>114</v>
      </c>
      <c r="E10" t="s">
        <v>52</v>
      </c>
      <c r="F10">
        <v>4.54</v>
      </c>
      <c r="G10">
        <v>8.8999999999999999E-3</v>
      </c>
      <c r="H10" t="s">
        <v>1157</v>
      </c>
      <c r="I10">
        <v>37236144000</v>
      </c>
      <c r="K10">
        <v>0.56799999999999995</v>
      </c>
      <c r="L10" t="s">
        <v>1589</v>
      </c>
      <c r="M10" t="s">
        <v>1158</v>
      </c>
      <c r="N10" t="s">
        <v>1159</v>
      </c>
      <c r="O10" t="s">
        <v>1160</v>
      </c>
      <c r="P10">
        <v>-7.44</v>
      </c>
      <c r="Q10" t="s">
        <v>1161</v>
      </c>
      <c r="R10">
        <v>-302667800</v>
      </c>
      <c r="S10" s="5">
        <v>-2.7170000000000001</v>
      </c>
      <c r="T10" t="s">
        <v>1162</v>
      </c>
      <c r="U10">
        <v>7056388600</v>
      </c>
      <c r="V10">
        <v>8201793900</v>
      </c>
      <c r="W10">
        <v>3.92</v>
      </c>
      <c r="X10">
        <v>0.02</v>
      </c>
      <c r="Y10">
        <v>-1.36</v>
      </c>
      <c r="Z10" t="s">
        <v>1163</v>
      </c>
      <c r="AA10" t="s">
        <v>1164</v>
      </c>
      <c r="AB10" t="s">
        <v>1060</v>
      </c>
      <c r="AC10" t="s">
        <v>1165</v>
      </c>
      <c r="AD10" t="s">
        <v>24</v>
      </c>
      <c r="AE10">
        <v>556752180</v>
      </c>
      <c r="AF10" t="s">
        <v>1166</v>
      </c>
      <c r="AG10" t="s">
        <v>1167</v>
      </c>
      <c r="AH10" t="s">
        <v>1168</v>
      </c>
      <c r="AI10" t="s">
        <v>1169</v>
      </c>
      <c r="AJ10" t="s">
        <v>1170</v>
      </c>
      <c r="AK10" t="s">
        <v>24</v>
      </c>
      <c r="AL10" t="s">
        <v>1171</v>
      </c>
      <c r="AM10" t="s">
        <v>24</v>
      </c>
      <c r="AN10" t="s">
        <v>1172</v>
      </c>
      <c r="AO10" t="s">
        <v>1173</v>
      </c>
      <c r="AP10" t="s">
        <v>1174</v>
      </c>
      <c r="AQ10" t="s">
        <v>1175</v>
      </c>
      <c r="AR10" t="s">
        <v>1176</v>
      </c>
      <c r="AS10" t="s">
        <v>1177</v>
      </c>
      <c r="AT10" t="s">
        <v>1178</v>
      </c>
      <c r="AU10" t="s">
        <v>1179</v>
      </c>
      <c r="AV10" t="s">
        <v>1180</v>
      </c>
      <c r="AW10" t="s">
        <v>1181</v>
      </c>
      <c r="AX10" t="s">
        <v>851</v>
      </c>
      <c r="AY10" t="s">
        <v>853</v>
      </c>
      <c r="AZ10" t="s">
        <v>115</v>
      </c>
      <c r="BA10" t="s">
        <v>445</v>
      </c>
      <c r="BB10" t="s">
        <v>446</v>
      </c>
      <c r="BC10" t="s">
        <v>852</v>
      </c>
      <c r="BD10" t="s">
        <v>854</v>
      </c>
      <c r="BE10" t="s">
        <v>116</v>
      </c>
      <c r="BF10" t="s">
        <v>447</v>
      </c>
      <c r="BG10" t="s">
        <v>448</v>
      </c>
      <c r="BH10" t="s">
        <v>1161</v>
      </c>
      <c r="BI10" t="s">
        <v>1182</v>
      </c>
      <c r="BJ10" t="s">
        <v>851</v>
      </c>
      <c r="BK10" t="s">
        <v>1162</v>
      </c>
      <c r="BL10" t="s">
        <v>754</v>
      </c>
      <c r="BM10" t="s">
        <v>852</v>
      </c>
      <c r="BN10" t="s">
        <v>24</v>
      </c>
      <c r="BO10">
        <v>3.4</v>
      </c>
      <c r="BP10">
        <v>7.4</v>
      </c>
      <c r="BQ10">
        <v>-14.54</v>
      </c>
      <c r="BR10">
        <v>4.7300000000000004</v>
      </c>
      <c r="BS10">
        <v>17.47</v>
      </c>
      <c r="BT10" t="s">
        <v>1115</v>
      </c>
      <c r="BU10" t="s">
        <v>1046</v>
      </c>
      <c r="BV10">
        <v>20.149999999999999</v>
      </c>
      <c r="BW10">
        <v>26.15</v>
      </c>
      <c r="BX10">
        <v>49.86</v>
      </c>
      <c r="BY10">
        <v>-1.36</v>
      </c>
      <c r="BZ10">
        <v>6.97</v>
      </c>
      <c r="CA10">
        <v>19.21</v>
      </c>
      <c r="CB10">
        <v>2.48</v>
      </c>
      <c r="CC10">
        <v>-5.42</v>
      </c>
      <c r="CD10" t="s">
        <v>273</v>
      </c>
      <c r="CE10" t="s">
        <v>578</v>
      </c>
      <c r="CF10" s="8">
        <v>-7.4464659440653017E-2</v>
      </c>
      <c r="CG10" s="9">
        <v>-2.7197034090909091</v>
      </c>
      <c r="CH10" s="8">
        <v>-0.25166690349578857</v>
      </c>
      <c r="CI10" s="8">
        <v>0.25250598788261414</v>
      </c>
      <c r="CJ10" s="8">
        <v>0.36448150873184204</v>
      </c>
      <c r="CK10" s="8">
        <v>0.24646979570388794</v>
      </c>
      <c r="CL10" s="8">
        <v>0.13733735680580139</v>
      </c>
      <c r="CM10" s="9">
        <v>-3.8704922199249268</v>
      </c>
      <c r="CN10" s="9">
        <v>-0.70053601264953613</v>
      </c>
      <c r="CO10" s="9">
        <v>2.8038930147886276E-2</v>
      </c>
      <c r="CP10" s="9">
        <v>0.16690309345722198</v>
      </c>
      <c r="CQ10" s="9">
        <v>0.22353339195251465</v>
      </c>
      <c r="CR10">
        <v>6.0158561042597878</v>
      </c>
      <c r="CS10">
        <v>0.40152404842606515</v>
      </c>
      <c r="CT10">
        <v>0</v>
      </c>
      <c r="CU10" s="8">
        <v>0.14982554912567139</v>
      </c>
      <c r="CV10" s="9">
        <v>-0.83051056340336804</v>
      </c>
      <c r="CW10">
        <v>0.06</v>
      </c>
      <c r="CX10" t="e">
        <v>#VALUE!</v>
      </c>
      <c r="CY10" t="s">
        <v>849</v>
      </c>
      <c r="CZ10">
        <v>0.14982554912567139</v>
      </c>
      <c r="DA10" t="e">
        <v>#VALUE!</v>
      </c>
      <c r="DB10" t="s">
        <v>850</v>
      </c>
      <c r="DC10">
        <v>0.14233427166938781</v>
      </c>
      <c r="DD10" t="e">
        <v>#VALUE!</v>
      </c>
      <c r="DE10" t="s">
        <v>850</v>
      </c>
      <c r="DF10">
        <v>0.13184648323059084</v>
      </c>
      <c r="DG10" t="e">
        <v>#VALUE!</v>
      </c>
      <c r="DH10" t="s">
        <v>850</v>
      </c>
      <c r="DI10">
        <v>0.11986043930053712</v>
      </c>
      <c r="DJ10" t="e">
        <v>#VALUE!</v>
      </c>
      <c r="DK10" t="s">
        <v>850</v>
      </c>
      <c r="DL10">
        <v>0.10487788438796997</v>
      </c>
      <c r="DM10">
        <v>-10905000000</v>
      </c>
      <c r="DN10">
        <v>0.14982554912567139</v>
      </c>
      <c r="DO10">
        <v>230737144000</v>
      </c>
      <c r="DP10">
        <v>121441240000</v>
      </c>
      <c r="DQ10">
        <v>50</v>
      </c>
      <c r="DR10">
        <v>-0.22429020856632442</v>
      </c>
      <c r="DS10">
        <v>-1.8891928456875411</v>
      </c>
      <c r="DT10" s="10">
        <v>0.23333333333333331</v>
      </c>
      <c r="DU10">
        <v>-1.7316666666666667</v>
      </c>
      <c r="DV10">
        <v>-1.4983333333333333</v>
      </c>
      <c r="DW10">
        <v>-1.0542</v>
      </c>
      <c r="DX10">
        <v>0.457638483965014</v>
      </c>
      <c r="DY10">
        <v>-1.0090860058309037</v>
      </c>
      <c r="DZ10">
        <v>4302</v>
      </c>
      <c r="EA10">
        <v>-1.0013381372313899</v>
      </c>
      <c r="EB10">
        <v>1</v>
      </c>
      <c r="EC10">
        <v>1.4021322823047282E-2</v>
      </c>
      <c r="ED10">
        <v>8.3640238753134241E-2</v>
      </c>
      <c r="EE10" s="11">
        <v>9.801E-2</v>
      </c>
      <c r="EF10">
        <v>9.7920999999999994E-2</v>
      </c>
      <c r="EG10">
        <v>29.167638483965014</v>
      </c>
      <c r="EH10">
        <v>-1</v>
      </c>
      <c r="EI10">
        <v>0</v>
      </c>
      <c r="EJ10">
        <v>0</v>
      </c>
      <c r="EK10" s="13">
        <v>45128</v>
      </c>
      <c r="EL10" s="14">
        <v>-8.9999999999999993E-3</v>
      </c>
      <c r="EM10" s="14">
        <v>0.46</v>
      </c>
      <c r="EN10" s="14">
        <v>1.1299999999999999</v>
      </c>
      <c r="EO10" s="14">
        <v>0.9</v>
      </c>
      <c r="EP10" s="14">
        <v>8.8999999999999999E-3</v>
      </c>
    </row>
    <row r="11" spans="1:146" ht="88.5" customHeight="1" x14ac:dyDescent="0.25">
      <c r="A11" s="7"/>
      <c r="B11" s="7"/>
      <c r="C11" s="16" t="str">
        <f>""&amp;CHAR(10)&amp;Basic_Fundamental_Information_Constructure(F11)&amp;CHAR(10)&amp;Basic_Fundamental_Information_Concatenate("")</f>
        <v xml:space="preserve">
市值75.302381亿, 利润15.17亿; PE5.38; 平均PE5.07; 平均PEG.23, PB.66; ROIC6.2867%; ROE14.66%; 股利率6.2035%; 毛利18.23%; 净利7.14%; 上一年度营收增2.02%, 利润增-22.28%; 当季营收增-14.8%, 利润增-54.72%; 过往5年营收增22.41%, 利润增17.41%
Income profile:
</v>
      </c>
      <c r="D11" t="s">
        <v>118</v>
      </c>
      <c r="E11" t="s">
        <v>15</v>
      </c>
      <c r="F11">
        <v>4.03</v>
      </c>
      <c r="G11">
        <v>-0.25</v>
      </c>
      <c r="H11" t="s">
        <v>1774</v>
      </c>
      <c r="I11">
        <v>7530238100</v>
      </c>
      <c r="J11">
        <v>5.38</v>
      </c>
      <c r="K11">
        <v>0.66</v>
      </c>
      <c r="L11" t="s">
        <v>1589</v>
      </c>
      <c r="M11" t="s">
        <v>1775</v>
      </c>
      <c r="N11" t="s">
        <v>1776</v>
      </c>
      <c r="O11" t="s">
        <v>1777</v>
      </c>
      <c r="P11">
        <v>-14.79</v>
      </c>
      <c r="Q11" t="s">
        <v>1778</v>
      </c>
      <c r="R11">
        <v>97362102</v>
      </c>
      <c r="S11" s="5">
        <v>-0.54779999999999995</v>
      </c>
      <c r="T11" t="s">
        <v>1103</v>
      </c>
      <c r="U11">
        <v>1868459900</v>
      </c>
      <c r="V11">
        <v>1868545400</v>
      </c>
      <c r="W11">
        <v>4.49</v>
      </c>
      <c r="X11">
        <v>0.04</v>
      </c>
      <c r="Y11">
        <v>2.57</v>
      </c>
      <c r="Z11" t="s">
        <v>1779</v>
      </c>
      <c r="AA11" t="s">
        <v>1780</v>
      </c>
      <c r="AB11" t="s">
        <v>1781</v>
      </c>
      <c r="AC11" t="s">
        <v>327</v>
      </c>
      <c r="AD11" t="s">
        <v>24</v>
      </c>
      <c r="AE11">
        <v>42825289</v>
      </c>
      <c r="AF11" t="s">
        <v>1782</v>
      </c>
      <c r="AG11" t="s">
        <v>1783</v>
      </c>
      <c r="AH11" t="s">
        <v>1784</v>
      </c>
      <c r="AI11" t="s">
        <v>1785</v>
      </c>
      <c r="AJ11" t="s">
        <v>1786</v>
      </c>
      <c r="AK11" t="s">
        <v>1787</v>
      </c>
      <c r="AL11" t="s">
        <v>1788</v>
      </c>
      <c r="AM11" t="s">
        <v>24</v>
      </c>
      <c r="AN11" t="s">
        <v>1789</v>
      </c>
      <c r="AO11" t="s">
        <v>1790</v>
      </c>
      <c r="AP11" t="s">
        <v>1791</v>
      </c>
      <c r="AQ11" t="s">
        <v>1792</v>
      </c>
      <c r="AR11" t="s">
        <v>1793</v>
      </c>
      <c r="AS11" t="s">
        <v>1794</v>
      </c>
      <c r="AT11" t="s">
        <v>1795</v>
      </c>
      <c r="AU11" t="s">
        <v>1796</v>
      </c>
      <c r="AV11" t="s">
        <v>1797</v>
      </c>
      <c r="AW11" t="s">
        <v>1798</v>
      </c>
      <c r="AX11" t="s">
        <v>1183</v>
      </c>
      <c r="AY11" t="s">
        <v>855</v>
      </c>
      <c r="AZ11" t="s">
        <v>449</v>
      </c>
      <c r="BA11" t="s">
        <v>119</v>
      </c>
      <c r="BB11" t="s">
        <v>452</v>
      </c>
      <c r="BC11" t="s">
        <v>1799</v>
      </c>
      <c r="BD11" t="s">
        <v>856</v>
      </c>
      <c r="BE11" t="s">
        <v>450</v>
      </c>
      <c r="BF11" t="s">
        <v>120</v>
      </c>
      <c r="BG11" t="s">
        <v>379</v>
      </c>
      <c r="BH11" t="s">
        <v>1778</v>
      </c>
      <c r="BI11" t="s">
        <v>1800</v>
      </c>
      <c r="BJ11" t="s">
        <v>1183</v>
      </c>
      <c r="BK11" t="s">
        <v>1103</v>
      </c>
      <c r="BL11" t="s">
        <v>1226</v>
      </c>
      <c r="BM11" t="s">
        <v>1799</v>
      </c>
      <c r="BN11">
        <v>3.61</v>
      </c>
      <c r="BO11">
        <v>7.44</v>
      </c>
      <c r="BP11">
        <v>7.81</v>
      </c>
      <c r="BQ11">
        <v>9.18</v>
      </c>
      <c r="BR11">
        <v>17.95</v>
      </c>
      <c r="BS11">
        <v>16.850000000000001</v>
      </c>
      <c r="BT11" t="s">
        <v>1365</v>
      </c>
      <c r="BU11" t="s">
        <v>1043</v>
      </c>
      <c r="BV11">
        <v>14.6</v>
      </c>
      <c r="BW11">
        <v>20.350000000000001</v>
      </c>
      <c r="BX11">
        <v>19.739999999999998</v>
      </c>
      <c r="BY11">
        <v>5.58</v>
      </c>
      <c r="BZ11">
        <v>7.45</v>
      </c>
      <c r="CA11">
        <v>8.39</v>
      </c>
      <c r="CB11">
        <v>0.25</v>
      </c>
      <c r="CC11">
        <v>-13.89</v>
      </c>
      <c r="CD11" t="s">
        <v>1801</v>
      </c>
      <c r="CE11" t="s">
        <v>475</v>
      </c>
      <c r="CF11" s="8">
        <v>-0.1480334468875813</v>
      </c>
      <c r="CG11" s="9">
        <v>-0.54715301395348837</v>
      </c>
      <c r="CH11" s="8">
        <v>2.0216105505824089E-2</v>
      </c>
      <c r="CI11" s="8">
        <v>0.13730718195438385</v>
      </c>
      <c r="CJ11" s="8">
        <v>0.35877364873886108</v>
      </c>
      <c r="CK11" s="8">
        <v>0.16774635016918182</v>
      </c>
      <c r="CL11" s="8">
        <v>0.43647754192352295</v>
      </c>
      <c r="CM11" s="9">
        <v>-0.22284840047359467</v>
      </c>
      <c r="CN11" s="9">
        <v>9.8293144255876541E-3</v>
      </c>
      <c r="CO11" s="9">
        <v>0.30080750584602356</v>
      </c>
      <c r="CP11" s="9">
        <v>0.20226536691188812</v>
      </c>
      <c r="CQ11" s="9">
        <v>0.58056265115737915</v>
      </c>
      <c r="CR11">
        <v>5.0731449135414328</v>
      </c>
      <c r="CS11">
        <v>0.22637441381948281</v>
      </c>
      <c r="CT11">
        <v>6.2034739454094288</v>
      </c>
      <c r="CU11" s="8">
        <v>0.22410416565835475</v>
      </c>
      <c r="CV11" s="9">
        <v>0.17412328757345677</v>
      </c>
      <c r="CW11">
        <v>0.06</v>
      </c>
      <c r="CX11">
        <v>26.694130032915993</v>
      </c>
      <c r="CY11">
        <v>1751854735.1921926</v>
      </c>
      <c r="CZ11">
        <v>0.22410416565835475</v>
      </c>
      <c r="DA11">
        <v>7.8009073572030818</v>
      </c>
      <c r="DB11">
        <v>5994717788.4146461</v>
      </c>
      <c r="DC11">
        <v>0.21289895737543701</v>
      </c>
      <c r="DD11">
        <v>3.2840314352283091</v>
      </c>
      <c r="DE11">
        <v>14239887474.386768</v>
      </c>
      <c r="DF11">
        <v>0.19721166577935217</v>
      </c>
      <c r="DG11">
        <v>1.6369305783226851</v>
      </c>
      <c r="DH11">
        <v>28568247621.05547</v>
      </c>
      <c r="DI11">
        <v>0.17928333252668383</v>
      </c>
      <c r="DJ11">
        <v>0.5435489259077787</v>
      </c>
      <c r="DK11">
        <v>86035011516.027283</v>
      </c>
      <c r="DL11">
        <v>0.15687291596084832</v>
      </c>
      <c r="DM11">
        <v>1517000000</v>
      </c>
      <c r="DN11">
        <v>0.22410416565835475</v>
      </c>
      <c r="DO11">
        <v>46764238100</v>
      </c>
      <c r="DP11">
        <v>14426434000</v>
      </c>
      <c r="DQ11">
        <v>53</v>
      </c>
      <c r="DR11">
        <v>-0.37213761254593603</v>
      </c>
      <c r="DS11">
        <v>-0.72127630152694511</v>
      </c>
      <c r="DT11" s="10">
        <v>-9.000000000000008E-2</v>
      </c>
      <c r="DU11">
        <v>-3.6666666666666736E-2</v>
      </c>
      <c r="DV11">
        <v>-0.12666666666666682</v>
      </c>
      <c r="DW11">
        <v>-2.1389</v>
      </c>
      <c r="DX11">
        <v>0.3171800424028251</v>
      </c>
      <c r="DY11">
        <v>-2.0190543078897525</v>
      </c>
      <c r="DZ11">
        <v>2020</v>
      </c>
      <c r="EA11">
        <v>-2.0115220765908681</v>
      </c>
      <c r="EB11">
        <v>2</v>
      </c>
      <c r="EC11">
        <v>4.1553124692608488E-2</v>
      </c>
      <c r="ED11">
        <v>0.30290941820305783</v>
      </c>
      <c r="EE11" s="11">
        <v>2.861E-2</v>
      </c>
      <c r="EF11">
        <v>3.8410000000000007E-2</v>
      </c>
      <c r="EG11">
        <v>18.137180042402825</v>
      </c>
      <c r="EH11">
        <v>-1</v>
      </c>
      <c r="EI11">
        <v>0</v>
      </c>
      <c r="EJ11">
        <v>0</v>
      </c>
      <c r="EK11" s="13">
        <v>45470</v>
      </c>
      <c r="EL11" s="14">
        <v>0</v>
      </c>
      <c r="EM11" s="14">
        <v>-2.21</v>
      </c>
      <c r="EN11" s="14">
        <v>0.75</v>
      </c>
      <c r="EO11" s="14">
        <v>1.24</v>
      </c>
      <c r="EP11" s="14">
        <v>-0.98</v>
      </c>
    </row>
    <row r="12" spans="1:146" ht="88.5" customHeight="1" x14ac:dyDescent="0.25">
      <c r="A12" s="7"/>
      <c r="B12" s="7"/>
      <c r="C12" s="16" t="str">
        <f>""&amp;CHAR(10)&amp;Basic_Fundamental_Information_Constructure(F12)&amp;CHAR(10)&amp;Basic_Fundamental_Information_Concatenate("")</f>
        <v xml:space="preserve">
市值71.136532亿, 利润-19.46亿; PE; 平均PE4.38; 平均PEG.67, PB.199; ROIC1.54%; ROE1.05%; 股利率0%; 毛利14.81%; 净利-2.4833%; 上一年度营收增-38.7%, 利润增-330.02%; 当季营收增116.86%, 利润增-849.54%; 过往5年营收增-6.58%, 利润增-86.98%
Income profile:
</v>
      </c>
      <c r="D12" t="s">
        <v>122</v>
      </c>
      <c r="E12" t="s">
        <v>33</v>
      </c>
      <c r="F12">
        <v>2.38</v>
      </c>
      <c r="G12">
        <v>0</v>
      </c>
      <c r="H12" t="s">
        <v>1802</v>
      </c>
      <c r="I12">
        <v>7113653200</v>
      </c>
      <c r="K12">
        <v>0.19900000000000001</v>
      </c>
      <c r="L12" t="s">
        <v>1589</v>
      </c>
      <c r="M12" t="s">
        <v>1803</v>
      </c>
      <c r="N12" t="s">
        <v>1804</v>
      </c>
      <c r="O12" t="s">
        <v>1805</v>
      </c>
      <c r="P12">
        <v>116.84</v>
      </c>
      <c r="Q12" t="s">
        <v>1806</v>
      </c>
      <c r="R12">
        <v>-2003534800</v>
      </c>
      <c r="S12" s="5">
        <v>-0.32790000000000002</v>
      </c>
      <c r="T12" t="s">
        <v>1807</v>
      </c>
      <c r="U12">
        <v>2987698600</v>
      </c>
      <c r="V12">
        <v>2988929900</v>
      </c>
      <c r="W12">
        <v>3.55</v>
      </c>
      <c r="X12">
        <v>0.04</v>
      </c>
      <c r="Y12">
        <v>-3.54</v>
      </c>
      <c r="Z12" t="s">
        <v>1808</v>
      </c>
      <c r="AA12" t="s">
        <v>1809</v>
      </c>
      <c r="AB12" t="s">
        <v>451</v>
      </c>
      <c r="AC12" t="s">
        <v>1810</v>
      </c>
      <c r="AD12" t="s">
        <v>24</v>
      </c>
      <c r="AE12">
        <v>504626580</v>
      </c>
      <c r="AF12" t="s">
        <v>1811</v>
      </c>
      <c r="AG12" t="s">
        <v>1812</v>
      </c>
      <c r="AH12" t="s">
        <v>1813</v>
      </c>
      <c r="AI12" t="s">
        <v>1814</v>
      </c>
      <c r="AJ12" t="s">
        <v>1815</v>
      </c>
      <c r="AK12" t="s">
        <v>24</v>
      </c>
      <c r="AL12" t="s">
        <v>1816</v>
      </c>
      <c r="AM12" t="s">
        <v>24</v>
      </c>
      <c r="AN12">
        <v>0</v>
      </c>
      <c r="AO12" t="s">
        <v>1190</v>
      </c>
      <c r="AP12" t="s">
        <v>160</v>
      </c>
      <c r="AQ12" t="s">
        <v>1817</v>
      </c>
      <c r="AR12" t="s">
        <v>291</v>
      </c>
      <c r="AS12" t="s">
        <v>1818</v>
      </c>
      <c r="AT12" t="s">
        <v>1819</v>
      </c>
      <c r="AU12" t="s">
        <v>380</v>
      </c>
      <c r="AV12" t="s">
        <v>1820</v>
      </c>
      <c r="AW12" t="s">
        <v>1821</v>
      </c>
      <c r="AX12" t="s">
        <v>1188</v>
      </c>
      <c r="AY12" t="s">
        <v>857</v>
      </c>
      <c r="AZ12" t="s">
        <v>453</v>
      </c>
      <c r="BA12" t="s">
        <v>123</v>
      </c>
      <c r="BB12" t="s">
        <v>455</v>
      </c>
      <c r="BC12" t="s">
        <v>1189</v>
      </c>
      <c r="BD12" t="s">
        <v>858</v>
      </c>
      <c r="BE12" t="s">
        <v>454</v>
      </c>
      <c r="BF12" t="s">
        <v>124</v>
      </c>
      <c r="BG12" t="s">
        <v>456</v>
      </c>
      <c r="BH12" t="s">
        <v>1806</v>
      </c>
      <c r="BI12" t="s">
        <v>1822</v>
      </c>
      <c r="BJ12" t="s">
        <v>1188</v>
      </c>
      <c r="BK12" t="s">
        <v>1807</v>
      </c>
      <c r="BL12" t="s">
        <v>1823</v>
      </c>
      <c r="BM12" t="s">
        <v>1189</v>
      </c>
      <c r="BN12" t="s">
        <v>24</v>
      </c>
      <c r="BO12">
        <v>1.2</v>
      </c>
      <c r="BP12">
        <v>1.88</v>
      </c>
      <c r="BQ12">
        <v>-3.59</v>
      </c>
      <c r="BR12">
        <v>2.2599999999999998</v>
      </c>
      <c r="BS12">
        <v>4.4800000000000004</v>
      </c>
      <c r="BT12" t="s">
        <v>1115</v>
      </c>
      <c r="BU12" t="s">
        <v>1043</v>
      </c>
      <c r="BV12">
        <v>7.34</v>
      </c>
      <c r="BW12">
        <v>15.64</v>
      </c>
      <c r="BX12">
        <v>21.45</v>
      </c>
      <c r="BY12">
        <v>-17.16</v>
      </c>
      <c r="BZ12">
        <v>3.16</v>
      </c>
      <c r="CA12">
        <v>6.55</v>
      </c>
      <c r="CB12">
        <v>1.28</v>
      </c>
      <c r="CC12">
        <v>-27.44</v>
      </c>
      <c r="CD12" t="s">
        <v>296</v>
      </c>
      <c r="CE12" t="s">
        <v>1824</v>
      </c>
      <c r="CF12" s="8">
        <v>1.1686067019400352</v>
      </c>
      <c r="CG12" s="9">
        <v>-8.4954255924170621</v>
      </c>
      <c r="CH12" s="8">
        <v>-0.38695991039276123</v>
      </c>
      <c r="CI12" s="8">
        <v>-0.15106609463691711</v>
      </c>
      <c r="CJ12" s="8">
        <v>0.33298379182815552</v>
      </c>
      <c r="CK12" s="8">
        <v>-0.30793610215187073</v>
      </c>
      <c r="CL12" s="8">
        <v>0.18409985303878784</v>
      </c>
      <c r="CM12" s="9">
        <v>-3.3002364635467529</v>
      </c>
      <c r="CN12" s="9">
        <v>-0.48508825898170471</v>
      </c>
      <c r="CO12" s="9">
        <v>-0.3422737717628479</v>
      </c>
      <c r="CP12" s="9">
        <v>-0.27425915002822876</v>
      </c>
      <c r="CQ12" s="9">
        <v>5.2921365946531296E-2</v>
      </c>
      <c r="CR12">
        <v>4.3767349466776047</v>
      </c>
      <c r="CS12">
        <v>0.6654030969183401</v>
      </c>
      <c r="CT12">
        <v>0</v>
      </c>
      <c r="CU12" s="8">
        <v>-6.5775692462921143E-2</v>
      </c>
      <c r="CV12" s="9">
        <v>-0.86978725567460058</v>
      </c>
      <c r="CW12">
        <v>0.06</v>
      </c>
      <c r="CX12" t="e">
        <v>#VALUE!</v>
      </c>
      <c r="CY12" t="s">
        <v>849</v>
      </c>
      <c r="CZ12">
        <v>-6.5775692462921143E-2</v>
      </c>
      <c r="DA12" t="e">
        <v>#VALUE!</v>
      </c>
      <c r="DB12" t="s">
        <v>850</v>
      </c>
      <c r="DC12">
        <v>-6.2486907839775084E-2</v>
      </c>
      <c r="DD12" t="e">
        <v>#VALUE!</v>
      </c>
      <c r="DE12" t="s">
        <v>850</v>
      </c>
      <c r="DF12">
        <v>-5.7882609367370608E-2</v>
      </c>
      <c r="DG12" t="e">
        <v>#VALUE!</v>
      </c>
      <c r="DH12" t="s">
        <v>850</v>
      </c>
      <c r="DI12">
        <v>-5.2620553970336915E-2</v>
      </c>
      <c r="DJ12" t="e">
        <v>#VALUE!</v>
      </c>
      <c r="DK12" t="s">
        <v>850</v>
      </c>
      <c r="DL12">
        <v>-4.6042984724044798E-2</v>
      </c>
      <c r="DM12">
        <v>-1946000000</v>
      </c>
      <c r="DN12">
        <v>-6.5775692462921143E-2</v>
      </c>
      <c r="DO12">
        <v>71718653199.999985</v>
      </c>
      <c r="DP12">
        <v>61677798000</v>
      </c>
      <c r="DQ12">
        <v>70</v>
      </c>
      <c r="DR12">
        <v>1.2343823944029564</v>
      </c>
      <c r="DS12">
        <v>-7.6256383367424618</v>
      </c>
      <c r="DT12" s="10">
        <v>-0.64</v>
      </c>
      <c r="DU12">
        <v>-2.0483333333333333</v>
      </c>
      <c r="DV12">
        <v>-2.6883333333333335</v>
      </c>
      <c r="DW12">
        <v>-3.1293809523809526</v>
      </c>
      <c r="DX12">
        <v>0.33141612200435616</v>
      </c>
      <c r="DY12">
        <v>-3.0195903620707543</v>
      </c>
      <c r="DZ12">
        <v>4787</v>
      </c>
      <c r="EA12">
        <v>-3.0012382949019285</v>
      </c>
      <c r="EB12">
        <v>3</v>
      </c>
      <c r="EC12">
        <v>4.6504938105105774E-2</v>
      </c>
      <c r="ED12">
        <v>0.30713333223372019</v>
      </c>
      <c r="EE12" s="11">
        <v>-1.0414000000000001</v>
      </c>
      <c r="EF12">
        <v>-1.0208999999999999</v>
      </c>
      <c r="EG12">
        <v>18.151416122004356</v>
      </c>
      <c r="EH12" t="s">
        <v>862</v>
      </c>
      <c r="EI12">
        <v>0</v>
      </c>
      <c r="EJ12">
        <v>0</v>
      </c>
      <c r="EK12" s="13">
        <v>45470</v>
      </c>
      <c r="EL12" s="14">
        <v>0.82</v>
      </c>
      <c r="EM12" s="14">
        <v>-4.08</v>
      </c>
      <c r="EN12" s="14">
        <v>1.7</v>
      </c>
      <c r="EO12" s="14">
        <v>2.09</v>
      </c>
      <c r="EP12" s="14">
        <v>-2.0499999999999998</v>
      </c>
    </row>
    <row r="13" spans="1:146" ht="88.5" customHeight="1" x14ac:dyDescent="0.25">
      <c r="A13" s="7"/>
      <c r="B13" s="7"/>
      <c r="C13" s="16" t="str">
        <f>""&amp;CHAR(10)&amp;Basic_Fundamental_Information_Constructure(F13)&amp;CHAR(10)&amp;Basic_Fundamental_Information_Concatenate("")</f>
        <v xml:space="preserve">
市值26.74754亿, 利润1.06亿; PE26.86; 平均PE18.79; 平均PEG.64, PB.718; ROIC4.23%; ROE3.0367%; 股利率.3785%; 毛利36.96%; 净利13.8833%; 上一年度营收增48.44%, 利润增-34.97%; 当季营收增66.35%, 利润增-30.63%; 过往5年营收增29.31%, 利润增177.14%
Income profile:
</v>
      </c>
      <c r="D13" t="s">
        <v>127</v>
      </c>
      <c r="E13" t="s">
        <v>6</v>
      </c>
      <c r="F13">
        <v>3.17</v>
      </c>
      <c r="G13">
        <v>-0.63</v>
      </c>
      <c r="H13" t="s">
        <v>1825</v>
      </c>
      <c r="I13">
        <v>2674754000</v>
      </c>
      <c r="J13">
        <v>26.86</v>
      </c>
      <c r="K13">
        <v>0.71799999999999997</v>
      </c>
      <c r="L13" t="s">
        <v>1589</v>
      </c>
      <c r="M13" t="s">
        <v>1826</v>
      </c>
      <c r="N13" t="s">
        <v>1827</v>
      </c>
      <c r="O13" t="s">
        <v>1828</v>
      </c>
      <c r="P13">
        <v>66.349999999999994</v>
      </c>
      <c r="Q13" t="s">
        <v>1829</v>
      </c>
      <c r="R13">
        <v>-26180244</v>
      </c>
      <c r="S13" s="5">
        <v>-0.30630000000000002</v>
      </c>
      <c r="T13" t="s">
        <v>383</v>
      </c>
      <c r="U13">
        <v>843770970</v>
      </c>
      <c r="V13">
        <v>843770970</v>
      </c>
      <c r="W13">
        <v>1.86</v>
      </c>
      <c r="X13">
        <v>0.01</v>
      </c>
      <c r="Y13">
        <v>-33.94</v>
      </c>
      <c r="Z13" t="s">
        <v>1830</v>
      </c>
      <c r="AA13" t="s">
        <v>1831</v>
      </c>
      <c r="AB13" t="s">
        <v>1832</v>
      </c>
      <c r="AC13" t="s">
        <v>1833</v>
      </c>
      <c r="AD13" t="s">
        <v>24</v>
      </c>
      <c r="AE13">
        <v>13004056</v>
      </c>
      <c r="AF13" t="s">
        <v>1834</v>
      </c>
      <c r="AG13" t="s">
        <v>1835</v>
      </c>
      <c r="AH13" t="s">
        <v>1836</v>
      </c>
      <c r="AI13" t="s">
        <v>1837</v>
      </c>
      <c r="AJ13" t="s">
        <v>1838</v>
      </c>
      <c r="AK13" t="s">
        <v>24</v>
      </c>
      <c r="AL13" t="s">
        <v>1839</v>
      </c>
      <c r="AM13" t="s">
        <v>24</v>
      </c>
      <c r="AN13" t="s">
        <v>1840</v>
      </c>
      <c r="AO13" t="s">
        <v>24</v>
      </c>
      <c r="AP13" t="s">
        <v>24</v>
      </c>
      <c r="AQ13" t="s">
        <v>1841</v>
      </c>
      <c r="AR13" t="s">
        <v>1842</v>
      </c>
      <c r="AS13" t="s">
        <v>1822</v>
      </c>
      <c r="AT13" t="s">
        <v>1056</v>
      </c>
      <c r="AU13" t="s">
        <v>469</v>
      </c>
      <c r="AV13" t="s">
        <v>1843</v>
      </c>
      <c r="AW13" t="s">
        <v>1844</v>
      </c>
      <c r="AX13" t="s">
        <v>626</v>
      </c>
      <c r="AY13" t="s">
        <v>859</v>
      </c>
      <c r="AZ13" t="s">
        <v>218</v>
      </c>
      <c r="BA13" t="s">
        <v>128</v>
      </c>
      <c r="BB13" t="s">
        <v>460</v>
      </c>
      <c r="BC13" t="s">
        <v>1119</v>
      </c>
      <c r="BD13" t="s">
        <v>160</v>
      </c>
      <c r="BE13" t="s">
        <v>426</v>
      </c>
      <c r="BF13" t="s">
        <v>129</v>
      </c>
      <c r="BG13" t="s">
        <v>462</v>
      </c>
      <c r="BH13" t="s">
        <v>1829</v>
      </c>
      <c r="BI13" t="s">
        <v>1845</v>
      </c>
      <c r="BJ13" t="s">
        <v>626</v>
      </c>
      <c r="BK13" t="s">
        <v>383</v>
      </c>
      <c r="BL13" t="s">
        <v>1846</v>
      </c>
      <c r="BM13" t="s">
        <v>1119</v>
      </c>
      <c r="BN13" t="s">
        <v>24</v>
      </c>
      <c r="BO13">
        <v>3.64</v>
      </c>
      <c r="BP13">
        <v>4.82</v>
      </c>
      <c r="BQ13">
        <v>-0.14000000000000001</v>
      </c>
      <c r="BR13">
        <v>4.54</v>
      </c>
      <c r="BS13">
        <v>4.71</v>
      </c>
      <c r="BT13" t="s">
        <v>1152</v>
      </c>
      <c r="BU13" t="s">
        <v>1043</v>
      </c>
      <c r="BV13">
        <v>36.61</v>
      </c>
      <c r="BW13">
        <v>34.85</v>
      </c>
      <c r="BX13">
        <v>39.42</v>
      </c>
      <c r="BY13">
        <v>7.1</v>
      </c>
      <c r="BZ13">
        <v>17.5</v>
      </c>
      <c r="CA13">
        <v>17.05</v>
      </c>
      <c r="CB13">
        <v>0.96</v>
      </c>
      <c r="CC13">
        <v>-36.979999999999997</v>
      </c>
      <c r="CD13" t="s">
        <v>273</v>
      </c>
      <c r="CE13" t="s">
        <v>1847</v>
      </c>
      <c r="CF13" s="8">
        <v>0.66349721460595645</v>
      </c>
      <c r="CG13" s="9">
        <v>-0.30633421485953793</v>
      </c>
      <c r="CH13" s="8">
        <v>0.484375</v>
      </c>
      <c r="CI13" s="8">
        <v>-0.24515590071678162</v>
      </c>
      <c r="CJ13" s="8">
        <v>0.90224367380142212</v>
      </c>
      <c r="CK13" s="8">
        <v>-0.27944573760032654</v>
      </c>
      <c r="CL13" s="8">
        <v>0.60370367765426636</v>
      </c>
      <c r="CM13" s="9">
        <v>-0.34969323873519897</v>
      </c>
      <c r="CN13" s="9">
        <v>6.1728395521640778E-3</v>
      </c>
      <c r="CO13" s="9">
        <v>0.20895522832870483</v>
      </c>
      <c r="CP13" s="9">
        <v>-0.49242424964904785</v>
      </c>
      <c r="CQ13" s="9">
        <v>9.4842195510864258</v>
      </c>
      <c r="CR13">
        <v>18.788207225941772</v>
      </c>
      <c r="CS13">
        <v>0.64092043789536712</v>
      </c>
      <c r="CT13">
        <v>0.37854889589905361</v>
      </c>
      <c r="CU13" s="8">
        <v>0.29314414262771604</v>
      </c>
      <c r="CV13" s="9">
        <v>1.7714460261166096</v>
      </c>
      <c r="CW13">
        <v>0.06</v>
      </c>
      <c r="CX13">
        <v>16.152522608620998</v>
      </c>
      <c r="CY13">
        <v>129314414.26277161</v>
      </c>
      <c r="CZ13">
        <v>0.29314414262771604</v>
      </c>
      <c r="DA13">
        <v>4.4628234454007671</v>
      </c>
      <c r="DB13">
        <v>468034199.77382213</v>
      </c>
      <c r="DC13">
        <v>0.27848693549633025</v>
      </c>
      <c r="DD13">
        <v>1.7288390332603294</v>
      </c>
      <c r="DE13">
        <v>1208183040.6506529</v>
      </c>
      <c r="DF13">
        <v>0.25796684551239013</v>
      </c>
      <c r="DG13">
        <v>0.77571917760445819</v>
      </c>
      <c r="DH13">
        <v>2692667733.767261</v>
      </c>
      <c r="DI13">
        <v>0.23451531410217286</v>
      </c>
      <c r="DJ13">
        <v>0.19728218278697107</v>
      </c>
      <c r="DK13">
        <v>10587646438.682579</v>
      </c>
      <c r="DL13">
        <v>0.20520089983940121</v>
      </c>
      <c r="DM13">
        <v>106000000</v>
      </c>
      <c r="DN13">
        <v>0.29314414262771604</v>
      </c>
      <c r="DO13">
        <v>2088754000</v>
      </c>
      <c r="DP13">
        <v>2477287100</v>
      </c>
      <c r="DQ13">
        <v>102</v>
      </c>
      <c r="DR13">
        <v>0.37035307197824041</v>
      </c>
      <c r="DS13">
        <v>-2.0777802409761477</v>
      </c>
      <c r="DT13" s="10">
        <v>-7.333333333333332E-2</v>
      </c>
      <c r="DU13">
        <v>-0.34333333333333332</v>
      </c>
      <c r="DV13">
        <v>-0.41666666666666663</v>
      </c>
      <c r="DW13">
        <v>-3.2372738095238094</v>
      </c>
      <c r="DX13">
        <v>0.2429543478863726</v>
      </c>
      <c r="DY13">
        <v>-3.0244283703300394</v>
      </c>
      <c r="DZ13">
        <v>2710</v>
      </c>
      <c r="EA13">
        <v>-3.0114732072000185</v>
      </c>
      <c r="EB13">
        <v>3</v>
      </c>
      <c r="EC13">
        <v>0.13629290896319884</v>
      </c>
      <c r="ED13">
        <v>1.3238189505382012</v>
      </c>
      <c r="EE13" s="11">
        <v>1.0066999999999999</v>
      </c>
      <c r="EF13">
        <v>1.0057100000000001</v>
      </c>
      <c r="EG13">
        <v>14.102954347886373</v>
      </c>
      <c r="EH13" t="s">
        <v>835</v>
      </c>
      <c r="EI13">
        <v>0</v>
      </c>
      <c r="EJ13">
        <v>0</v>
      </c>
      <c r="EK13" s="13">
        <v>45470</v>
      </c>
      <c r="EL13" s="14">
        <v>0.31</v>
      </c>
      <c r="EM13" s="14">
        <v>-4.04</v>
      </c>
      <c r="EN13" s="14">
        <v>2.91</v>
      </c>
      <c r="EO13" s="14">
        <v>1.26</v>
      </c>
      <c r="EP13" s="14">
        <v>-1.24</v>
      </c>
    </row>
    <row r="14" spans="1:146" ht="88.5" customHeight="1" x14ac:dyDescent="0.25">
      <c r="A14" s="7"/>
      <c r="B14" s="7"/>
      <c r="C14" s="16" t="str">
        <f>""&amp;CHAR(10)&amp;Basic_Fundamental_Information_Constructure(F14)&amp;CHAR(10)&amp;Basic_Fundamental_Information_Concatenate("")</f>
        <v xml:space="preserve">
市值87.239476亿, 利润3.57亿; PE74.19; 平均PE8.29; 平均PEG.18, PB.972; ROIC4.3567%; ROE10.1833%; 股利率11.6788%; 毛利16.2167%; 净利4.5767%; 上一年度营收增57.75%, 利润增-43.42%; 当季营收增48.35%, 利润增-36.98%; 过往5年营收增46.79%, 利润增15.99%
Income profile:
</v>
      </c>
      <c r="D14" t="s">
        <v>132</v>
      </c>
      <c r="E14" t="s">
        <v>37</v>
      </c>
      <c r="F14">
        <v>2.74</v>
      </c>
      <c r="G14">
        <v>-1.44</v>
      </c>
      <c r="H14" t="s">
        <v>1848</v>
      </c>
      <c r="I14">
        <v>8723947600</v>
      </c>
      <c r="J14">
        <v>74.19</v>
      </c>
      <c r="K14">
        <v>0.97199999999999998</v>
      </c>
      <c r="L14" t="s">
        <v>1589</v>
      </c>
      <c r="M14" t="s">
        <v>1849</v>
      </c>
      <c r="N14" t="s">
        <v>1850</v>
      </c>
      <c r="O14" t="s">
        <v>1851</v>
      </c>
      <c r="P14">
        <v>48.36</v>
      </c>
      <c r="Q14" t="s">
        <v>1852</v>
      </c>
      <c r="R14">
        <v>408397020</v>
      </c>
      <c r="S14" s="5">
        <v>-0.37</v>
      </c>
      <c r="T14" t="s">
        <v>1853</v>
      </c>
      <c r="U14">
        <v>2491986400</v>
      </c>
      <c r="V14">
        <v>3183922500</v>
      </c>
      <c r="W14">
        <v>4.1500000000000004</v>
      </c>
      <c r="X14">
        <v>0.17</v>
      </c>
      <c r="Y14">
        <v>5.29</v>
      </c>
      <c r="Z14" t="s">
        <v>1854</v>
      </c>
      <c r="AA14" t="s">
        <v>1855</v>
      </c>
      <c r="AB14" t="s">
        <v>1856</v>
      </c>
      <c r="AC14" t="s">
        <v>1857</v>
      </c>
      <c r="AD14" t="s">
        <v>24</v>
      </c>
      <c r="AE14">
        <v>30103631</v>
      </c>
      <c r="AF14" t="s">
        <v>1858</v>
      </c>
      <c r="AG14" t="s">
        <v>1859</v>
      </c>
      <c r="AH14" t="s">
        <v>1860</v>
      </c>
      <c r="AI14" t="s">
        <v>1861</v>
      </c>
      <c r="AJ14" t="s">
        <v>1862</v>
      </c>
      <c r="AK14" t="s">
        <v>24</v>
      </c>
      <c r="AL14" t="s">
        <v>1863</v>
      </c>
      <c r="AM14" t="s">
        <v>24</v>
      </c>
      <c r="AN14">
        <v>0</v>
      </c>
      <c r="AO14" t="s">
        <v>194</v>
      </c>
      <c r="AP14" t="s">
        <v>24</v>
      </c>
      <c r="AQ14" t="s">
        <v>1864</v>
      </c>
      <c r="AR14" t="s">
        <v>1865</v>
      </c>
      <c r="AS14" t="s">
        <v>1866</v>
      </c>
      <c r="AT14" t="s">
        <v>1153</v>
      </c>
      <c r="AU14" t="s">
        <v>235</v>
      </c>
      <c r="AV14" t="s">
        <v>1867</v>
      </c>
      <c r="AW14" t="s">
        <v>1868</v>
      </c>
      <c r="AX14" t="s">
        <v>1194</v>
      </c>
      <c r="AY14" t="s">
        <v>860</v>
      </c>
      <c r="AZ14" t="s">
        <v>463</v>
      </c>
      <c r="BA14" t="s">
        <v>133</v>
      </c>
      <c r="BB14" t="s">
        <v>464</v>
      </c>
      <c r="BC14" t="s">
        <v>1053</v>
      </c>
      <c r="BD14" t="s">
        <v>861</v>
      </c>
      <c r="BE14" t="s">
        <v>258</v>
      </c>
      <c r="BF14" t="s">
        <v>134</v>
      </c>
      <c r="BG14" t="s">
        <v>162</v>
      </c>
      <c r="BH14" t="s">
        <v>1852</v>
      </c>
      <c r="BI14" t="s">
        <v>1496</v>
      </c>
      <c r="BJ14" t="s">
        <v>1194</v>
      </c>
      <c r="BK14" t="s">
        <v>1853</v>
      </c>
      <c r="BL14" t="s">
        <v>1869</v>
      </c>
      <c r="BM14" t="s">
        <v>1053</v>
      </c>
      <c r="BN14">
        <v>5.49</v>
      </c>
      <c r="BO14">
        <v>3.26</v>
      </c>
      <c r="BP14">
        <v>4.32</v>
      </c>
      <c r="BQ14">
        <v>11.05</v>
      </c>
      <c r="BR14">
        <v>6.92</v>
      </c>
      <c r="BS14">
        <v>12.58</v>
      </c>
      <c r="BT14" t="s">
        <v>1186</v>
      </c>
      <c r="BU14" t="s">
        <v>1043</v>
      </c>
      <c r="BV14">
        <v>10.33</v>
      </c>
      <c r="BW14">
        <v>19.98</v>
      </c>
      <c r="BX14">
        <v>18.34</v>
      </c>
      <c r="BY14">
        <v>1.55</v>
      </c>
      <c r="BZ14">
        <v>5.8</v>
      </c>
      <c r="CA14">
        <v>6.38</v>
      </c>
      <c r="CB14">
        <v>2.2400000000000002</v>
      </c>
      <c r="CC14">
        <v>-11.04</v>
      </c>
      <c r="CD14" t="s">
        <v>1127</v>
      </c>
      <c r="CE14" t="s">
        <v>566</v>
      </c>
      <c r="CF14" s="8">
        <v>0.48351012536162008</v>
      </c>
      <c r="CG14" s="9">
        <v>-0.3697576851851852</v>
      </c>
      <c r="CH14" s="8">
        <v>0.57752346992492676</v>
      </c>
      <c r="CI14" s="8">
        <v>-0.2213299423456192</v>
      </c>
      <c r="CJ14" s="8">
        <v>0.62649834156036377</v>
      </c>
      <c r="CK14" s="8">
        <v>0.67762273550033569</v>
      </c>
      <c r="CL14" s="8">
        <v>0.6791834831237793</v>
      </c>
      <c r="CM14" s="9">
        <v>-0.43423137068748474</v>
      </c>
      <c r="CN14" s="9">
        <v>-0.41896870732307434</v>
      </c>
      <c r="CO14" s="9">
        <v>-0.37693634629249573</v>
      </c>
      <c r="CP14" s="9">
        <v>-7.7289506793022156E-2</v>
      </c>
      <c r="CQ14" s="9">
        <v>2.106907844543457</v>
      </c>
      <c r="CR14">
        <v>8.2900990814063977</v>
      </c>
      <c r="CS14">
        <v>0.17717687235492688</v>
      </c>
      <c r="CT14">
        <v>11.678832116788321</v>
      </c>
      <c r="CU14" s="8">
        <v>0.46789961755275727</v>
      </c>
      <c r="CV14" s="9">
        <v>0.15989638268947601</v>
      </c>
      <c r="CW14">
        <v>0.06</v>
      </c>
      <c r="CX14">
        <v>75.984337140521617</v>
      </c>
      <c r="CY14">
        <v>494377512.70408893</v>
      </c>
      <c r="CZ14">
        <v>0.46789961755275727</v>
      </c>
      <c r="DA14">
        <v>18.298248078558213</v>
      </c>
      <c r="DB14">
        <v>2052925910.6514356</v>
      </c>
      <c r="DC14">
        <v>0.44450463667511941</v>
      </c>
      <c r="DD14">
        <v>5.7230682019575045</v>
      </c>
      <c r="DE14">
        <v>6563777728.0290623</v>
      </c>
      <c r="DF14">
        <v>0.41175166344642639</v>
      </c>
      <c r="DG14">
        <v>1.9373358304178143</v>
      </c>
      <c r="DH14">
        <v>19390003018.680855</v>
      </c>
      <c r="DI14">
        <v>0.37431969404220583</v>
      </c>
      <c r="DJ14">
        <v>0.2379694168285775</v>
      </c>
      <c r="DK14">
        <v>157856198920.97354</v>
      </c>
      <c r="DL14">
        <v>0.32752973228693005</v>
      </c>
      <c r="DM14">
        <v>357000000</v>
      </c>
      <c r="DN14">
        <v>0.46789961755275727</v>
      </c>
      <c r="DO14">
        <v>37564947600</v>
      </c>
      <c r="DP14">
        <v>9333931999.9999962</v>
      </c>
      <c r="DQ14">
        <v>104</v>
      </c>
      <c r="DR14">
        <v>1.5610507808862806E-2</v>
      </c>
      <c r="DS14">
        <v>-0.52965406787466118</v>
      </c>
      <c r="DT14" s="10">
        <v>0.27666666666666645</v>
      </c>
      <c r="DU14">
        <v>-0.21500000000000011</v>
      </c>
      <c r="DV14">
        <v>6.1666666666666342E-2</v>
      </c>
      <c r="DW14">
        <v>-2.1103999999999998</v>
      </c>
      <c r="DX14">
        <v>0.33737051792828537</v>
      </c>
      <c r="DY14">
        <v>-2.017373705179283</v>
      </c>
      <c r="DZ14">
        <v>1559</v>
      </c>
      <c r="EA14">
        <v>-2.0120731951255646</v>
      </c>
      <c r="EB14">
        <v>2</v>
      </c>
      <c r="EC14">
        <v>4.9624323456365534E-2</v>
      </c>
      <c r="ED14">
        <v>0.31533430854551259</v>
      </c>
      <c r="EE14" s="11">
        <v>6.3210000000000002E-2</v>
      </c>
      <c r="EF14">
        <v>7.0610000000000006E-2</v>
      </c>
      <c r="EG14">
        <v>18.157370517928285</v>
      </c>
      <c r="EH14">
        <v>-1</v>
      </c>
      <c r="EI14">
        <v>0</v>
      </c>
      <c r="EJ14">
        <v>0</v>
      </c>
      <c r="EK14" s="13">
        <v>45470</v>
      </c>
      <c r="EL14" s="14">
        <v>1.1299999999999999</v>
      </c>
      <c r="EM14" s="14">
        <v>-3.35</v>
      </c>
      <c r="EN14" s="14">
        <v>1.54</v>
      </c>
      <c r="EO14" s="14">
        <v>1.89</v>
      </c>
      <c r="EP14" s="14">
        <v>-0.74</v>
      </c>
    </row>
    <row r="15" spans="1:146" ht="88.5" customHeight="1" x14ac:dyDescent="0.25">
      <c r="A15" s="7"/>
      <c r="B15" s="7"/>
      <c r="C15" s="16" t="str">
        <f>""&amp;CHAR(10)&amp;Basic_Fundamental_Information_Constructure(F15)&amp;CHAR(10)&amp;Basic_Fundamental_Information_Concatenate("")</f>
        <v xml:space="preserve">
市值25.212084亿, 利润4155.20万; PE44.81; 平均PE69.01; 平均PEG4.51, PB1.52; ROIC4.955%; ROE1.3533%; 股利率2.0253%; 毛利24.65%; 净利1.56%; 上一年度营收增-21.86%, 利润增-70.53%; 当季营收增-27.92%, 利润增233.48%; 过往5年营收增15.32%, 利润增-11.02%
Income profile:
</v>
      </c>
      <c r="D15" t="s">
        <v>143</v>
      </c>
      <c r="E15" t="s">
        <v>65</v>
      </c>
      <c r="F15">
        <v>3.95</v>
      </c>
      <c r="G15">
        <v>1.2800000000000001E-2</v>
      </c>
      <c r="H15" t="s">
        <v>251</v>
      </c>
      <c r="I15">
        <v>2521208400</v>
      </c>
      <c r="J15">
        <v>44.81</v>
      </c>
      <c r="K15">
        <v>1.52</v>
      </c>
      <c r="L15" t="s">
        <v>1589</v>
      </c>
      <c r="M15" t="s">
        <v>1195</v>
      </c>
      <c r="N15" t="s">
        <v>1196</v>
      </c>
      <c r="O15" t="s">
        <v>1197</v>
      </c>
      <c r="P15">
        <v>-27.79</v>
      </c>
      <c r="Q15" t="s">
        <v>1108</v>
      </c>
      <c r="R15">
        <v>8408921</v>
      </c>
      <c r="S15" s="5">
        <v>2.335</v>
      </c>
      <c r="T15" t="s">
        <v>1198</v>
      </c>
      <c r="U15">
        <v>632930030</v>
      </c>
      <c r="V15">
        <v>638280600</v>
      </c>
      <c r="W15">
        <v>1.57</v>
      </c>
      <c r="X15">
        <v>0.04</v>
      </c>
      <c r="Y15">
        <v>8.01</v>
      </c>
      <c r="Z15" t="s">
        <v>105</v>
      </c>
      <c r="AA15" t="s">
        <v>1199</v>
      </c>
      <c r="AB15" t="s">
        <v>1200</v>
      </c>
      <c r="AC15" t="s">
        <v>1201</v>
      </c>
      <c r="AD15" t="s">
        <v>1202</v>
      </c>
      <c r="AE15">
        <v>3003237</v>
      </c>
      <c r="AF15" t="s">
        <v>1203</v>
      </c>
      <c r="AG15" t="s">
        <v>1204</v>
      </c>
      <c r="AH15" t="s">
        <v>1205</v>
      </c>
      <c r="AI15" t="s">
        <v>135</v>
      </c>
      <c r="AJ15" t="s">
        <v>1206</v>
      </c>
      <c r="AK15" t="s">
        <v>24</v>
      </c>
      <c r="AL15" t="s">
        <v>1207</v>
      </c>
      <c r="AM15" t="s">
        <v>24</v>
      </c>
      <c r="AN15" t="s">
        <v>1208</v>
      </c>
      <c r="AO15" t="s">
        <v>261</v>
      </c>
      <c r="AP15" t="s">
        <v>24</v>
      </c>
      <c r="AQ15" t="s">
        <v>1209</v>
      </c>
      <c r="AR15" t="s">
        <v>24</v>
      </c>
      <c r="AS15" t="s">
        <v>1210</v>
      </c>
      <c r="AT15" t="s">
        <v>466</v>
      </c>
      <c r="AU15" t="s">
        <v>1211</v>
      </c>
      <c r="AV15" t="s">
        <v>1212</v>
      </c>
      <c r="AW15" t="s">
        <v>1213</v>
      </c>
      <c r="AX15" t="s">
        <v>864</v>
      </c>
      <c r="AY15" t="s">
        <v>473</v>
      </c>
      <c r="AZ15" t="s">
        <v>144</v>
      </c>
      <c r="BA15" t="s">
        <v>266</v>
      </c>
      <c r="BB15" t="s">
        <v>475</v>
      </c>
      <c r="BC15" t="s">
        <v>286</v>
      </c>
      <c r="BD15" t="s">
        <v>474</v>
      </c>
      <c r="BE15" t="s">
        <v>145</v>
      </c>
      <c r="BF15" t="s">
        <v>476</v>
      </c>
      <c r="BG15" t="s">
        <v>477</v>
      </c>
      <c r="BH15" t="s">
        <v>1108</v>
      </c>
      <c r="BI15" t="s">
        <v>701</v>
      </c>
      <c r="BJ15" t="s">
        <v>864</v>
      </c>
      <c r="BK15" t="s">
        <v>1198</v>
      </c>
      <c r="BL15" t="s">
        <v>1214</v>
      </c>
      <c r="BM15" t="s">
        <v>286</v>
      </c>
      <c r="BN15">
        <v>2.48</v>
      </c>
      <c r="BO15">
        <v>7.43</v>
      </c>
      <c r="BP15" t="s">
        <v>24</v>
      </c>
      <c r="BQ15">
        <v>2.4900000000000002</v>
      </c>
      <c r="BR15">
        <v>8.65</v>
      </c>
      <c r="BS15">
        <v>-7.08</v>
      </c>
      <c r="BT15" t="s">
        <v>1215</v>
      </c>
      <c r="BU15" t="s">
        <v>1043</v>
      </c>
      <c r="BV15">
        <v>15.38</v>
      </c>
      <c r="BW15">
        <v>34.51</v>
      </c>
      <c r="BX15">
        <v>24.06</v>
      </c>
      <c r="BY15">
        <v>8.01</v>
      </c>
      <c r="BZ15">
        <v>11.24</v>
      </c>
      <c r="CA15">
        <v>-14.57</v>
      </c>
      <c r="CB15">
        <v>15.16</v>
      </c>
      <c r="CC15">
        <v>16.18</v>
      </c>
      <c r="CD15" t="s">
        <v>386</v>
      </c>
      <c r="CE15" t="s">
        <v>343</v>
      </c>
      <c r="CF15" s="8">
        <v>-0.27918329365079364</v>
      </c>
      <c r="CG15" s="9">
        <v>2.3347705519135222</v>
      </c>
      <c r="CH15" s="8">
        <v>-0.21864686906337738</v>
      </c>
      <c r="CI15" s="8">
        <v>0.46731233596801758</v>
      </c>
      <c r="CJ15" s="8">
        <v>-9.5290251076221466E-2</v>
      </c>
      <c r="CK15" s="8">
        <v>1.0964912362396717E-3</v>
      </c>
      <c r="CL15" s="8">
        <v>0.61130744218826294</v>
      </c>
      <c r="CM15" s="9">
        <v>-0.70530498027801514</v>
      </c>
      <c r="CN15" s="9">
        <v>2.2155172824859619</v>
      </c>
      <c r="CO15" s="9">
        <v>-2.7806487083435059</v>
      </c>
      <c r="CP15" s="9">
        <v>0.25163406133651733</v>
      </c>
      <c r="CQ15" s="9">
        <v>0.46756556630134583</v>
      </c>
      <c r="CR15">
        <v>69.008030655535791</v>
      </c>
      <c r="CS15">
        <v>4.5057397242311072</v>
      </c>
      <c r="CT15">
        <v>2.0253164556962027</v>
      </c>
      <c r="CU15" s="8">
        <v>0.15315582985058426</v>
      </c>
      <c r="CV15" s="9">
        <v>-0.11024735569953918</v>
      </c>
      <c r="CW15">
        <v>0.06</v>
      </c>
      <c r="CX15">
        <v>40.067694861633832</v>
      </c>
      <c r="CY15">
        <v>45203708.530142896</v>
      </c>
      <c r="CZ15">
        <v>0.15315582985058426</v>
      </c>
      <c r="DA15">
        <v>12.416741086547113</v>
      </c>
      <c r="DB15">
        <v>145868258.61758116</v>
      </c>
      <c r="DC15">
        <v>0.14549803835805505</v>
      </c>
      <c r="DD15">
        <v>5.6842076874381355</v>
      </c>
      <c r="DE15">
        <v>318638673.95322233</v>
      </c>
      <c r="DF15">
        <v>0.13477713026851415</v>
      </c>
      <c r="DG15">
        <v>3.1377135076101088</v>
      </c>
      <c r="DH15">
        <v>577238296.48792148</v>
      </c>
      <c r="DI15">
        <v>0.12252466388046741</v>
      </c>
      <c r="DJ15">
        <v>1.336670066007047</v>
      </c>
      <c r="DK15">
        <v>1355015307.1135292</v>
      </c>
      <c r="DL15">
        <v>0.10720908089540898</v>
      </c>
      <c r="DM15">
        <v>41552000</v>
      </c>
      <c r="DN15">
        <v>0.15315582985058426</v>
      </c>
      <c r="DO15">
        <v>1811208400</v>
      </c>
      <c r="DP15">
        <v>360688650</v>
      </c>
      <c r="DQ15">
        <v>154</v>
      </c>
      <c r="DR15">
        <v>-0.43233912350137793</v>
      </c>
      <c r="DS15">
        <v>2.4450179076130616</v>
      </c>
      <c r="DT15" s="10">
        <v>-3.666666666666666E-2</v>
      </c>
      <c r="DU15">
        <v>-0.48333333333333339</v>
      </c>
      <c r="DV15">
        <v>-0.52</v>
      </c>
      <c r="DW15">
        <v>9.9369592088998768</v>
      </c>
      <c r="DX15">
        <v>1.1116230366492172</v>
      </c>
      <c r="DY15">
        <v>9.5543266523857913</v>
      </c>
      <c r="DZ15">
        <v>3519</v>
      </c>
      <c r="EA15">
        <v>9.1676714512469211</v>
      </c>
      <c r="EB15">
        <v>9</v>
      </c>
      <c r="EC15">
        <v>0.53111437195490507</v>
      </c>
      <c r="ED15">
        <v>0.89772429241935292</v>
      </c>
      <c r="EE15" s="11">
        <v>0.12909999999999999</v>
      </c>
      <c r="EF15">
        <v>0.12922799999999998</v>
      </c>
      <c r="EG15">
        <v>52.591623036649217</v>
      </c>
      <c r="EH15">
        <v>-1</v>
      </c>
      <c r="EI15">
        <v>1</v>
      </c>
      <c r="EJ15">
        <v>0</v>
      </c>
      <c r="EK15" s="13">
        <v>45128</v>
      </c>
      <c r="EL15" s="14">
        <v>0</v>
      </c>
      <c r="EM15" s="14">
        <v>0.87</v>
      </c>
      <c r="EN15" s="14">
        <v>10.119999999999999</v>
      </c>
      <c r="EO15" s="14">
        <v>2.36</v>
      </c>
      <c r="EP15" s="14">
        <v>1.2800000000000001E-2</v>
      </c>
    </row>
    <row r="16" spans="1:146" ht="88.5" customHeight="1" x14ac:dyDescent="0.25">
      <c r="C16" s="16" t="str">
        <f>""&amp;CHAR(10)&amp;Basic_Fundamental_Information_Constructure(F16)&amp;CHAR(10)&amp;Basic_Fundamental_Information_Concatenate("")</f>
        <v xml:space="preserve">
市值14.106001亿, 利润6608.57万; PE35.7; 平均PE33.88; 平均PEG3.57, PB.854; ROIC4.955%; ROE2.31%; 股利率2.7149%; 毛利19.4833%; 净利10.7733%; 上一年度营收增-62.83%, 利润增59.04%; 当季营收增20.01%, 利润增-183.25%; 过往5年营收增-9.48%, 利润增-8.57%
Income profile:
</v>
      </c>
      <c r="D16" t="s">
        <v>143</v>
      </c>
      <c r="E16" t="s">
        <v>65</v>
      </c>
      <c r="F16">
        <v>2.21</v>
      </c>
      <c r="G16">
        <v>0.91</v>
      </c>
      <c r="H16" t="s">
        <v>1870</v>
      </c>
      <c r="I16">
        <v>1410600100</v>
      </c>
      <c r="J16">
        <v>35.700000000000003</v>
      </c>
      <c r="K16">
        <v>0.85399999999999998</v>
      </c>
      <c r="L16" t="s">
        <v>1589</v>
      </c>
      <c r="M16" t="s">
        <v>1871</v>
      </c>
      <c r="N16" t="s">
        <v>1872</v>
      </c>
      <c r="O16" t="s">
        <v>191</v>
      </c>
      <c r="P16" s="5">
        <v>20.51</v>
      </c>
      <c r="Q16" t="s">
        <v>583</v>
      </c>
      <c r="R16">
        <v>-7000000</v>
      </c>
      <c r="S16">
        <v>-3.1589999999999998</v>
      </c>
      <c r="T16" t="s">
        <v>1873</v>
      </c>
      <c r="U16">
        <v>632964820</v>
      </c>
      <c r="V16">
        <v>638280600</v>
      </c>
      <c r="W16">
        <v>1.37</v>
      </c>
      <c r="X16">
        <v>0.05</v>
      </c>
      <c r="Y16">
        <v>-16.809999999999999</v>
      </c>
      <c r="Z16" t="s">
        <v>1405</v>
      </c>
      <c r="AA16" t="s">
        <v>214</v>
      </c>
      <c r="AB16" t="s">
        <v>1874</v>
      </c>
      <c r="AC16" t="s">
        <v>1875</v>
      </c>
      <c r="AD16" t="s">
        <v>24</v>
      </c>
      <c r="AE16">
        <v>3110591</v>
      </c>
      <c r="AF16" t="s">
        <v>1876</v>
      </c>
      <c r="AG16">
        <v>9000.02</v>
      </c>
      <c r="AH16" t="s">
        <v>1877</v>
      </c>
      <c r="AI16" t="s">
        <v>506</v>
      </c>
      <c r="AJ16" t="s">
        <v>1878</v>
      </c>
      <c r="AK16" t="s">
        <v>24</v>
      </c>
      <c r="AL16" t="s">
        <v>1879</v>
      </c>
      <c r="AM16" t="s">
        <v>24</v>
      </c>
      <c r="AN16" t="s">
        <v>1880</v>
      </c>
      <c r="AO16" t="s">
        <v>261</v>
      </c>
      <c r="AP16" t="s">
        <v>24</v>
      </c>
      <c r="AQ16" t="s">
        <v>1881</v>
      </c>
      <c r="AR16" t="s">
        <v>24</v>
      </c>
      <c r="AS16" t="s">
        <v>1056</v>
      </c>
      <c r="AT16" t="s">
        <v>1882</v>
      </c>
      <c r="AU16" t="s">
        <v>1883</v>
      </c>
      <c r="AV16" t="s">
        <v>1884</v>
      </c>
      <c r="AW16" t="s">
        <v>1885</v>
      </c>
      <c r="AX16" t="s">
        <v>1108</v>
      </c>
      <c r="AY16" t="s">
        <v>864</v>
      </c>
      <c r="AZ16" t="s">
        <v>473</v>
      </c>
      <c r="BA16" t="s">
        <v>144</v>
      </c>
      <c r="BB16" t="s">
        <v>266</v>
      </c>
      <c r="BC16" t="s">
        <v>1198</v>
      </c>
      <c r="BD16" t="s">
        <v>286</v>
      </c>
      <c r="BE16" t="s">
        <v>474</v>
      </c>
      <c r="BF16" t="s">
        <v>145</v>
      </c>
      <c r="BG16" t="s">
        <v>476</v>
      </c>
      <c r="BH16" t="s">
        <v>583</v>
      </c>
      <c r="BI16" t="s">
        <v>1886</v>
      </c>
      <c r="BJ16" t="s">
        <v>1108</v>
      </c>
      <c r="BK16" t="s">
        <v>1873</v>
      </c>
      <c r="BL16" t="s">
        <v>1887</v>
      </c>
      <c r="BM16" t="s">
        <v>1198</v>
      </c>
      <c r="BN16" t="s">
        <v>24</v>
      </c>
      <c r="BO16">
        <v>2.48</v>
      </c>
      <c r="BP16">
        <v>7.43</v>
      </c>
      <c r="BQ16">
        <v>-4.21</v>
      </c>
      <c r="BR16">
        <v>2.4900000000000002</v>
      </c>
      <c r="BS16">
        <v>8.65</v>
      </c>
      <c r="BT16" t="s">
        <v>1888</v>
      </c>
      <c r="BU16" t="s">
        <v>1043</v>
      </c>
      <c r="BV16">
        <v>14.15</v>
      </c>
      <c r="BW16">
        <v>9.7899999999999991</v>
      </c>
      <c r="BX16">
        <v>34.51</v>
      </c>
      <c r="BY16">
        <v>17.46</v>
      </c>
      <c r="BZ16">
        <v>3.62</v>
      </c>
      <c r="CA16">
        <v>11.24</v>
      </c>
      <c r="CB16">
        <v>1.38</v>
      </c>
      <c r="CC16" s="8">
        <v>-21.07</v>
      </c>
      <c r="CD16" s="9" t="s">
        <v>1889</v>
      </c>
      <c r="CE16" s="8" t="s">
        <v>1890</v>
      </c>
      <c r="CF16" s="8">
        <v>0.20013785069624507</v>
      </c>
      <c r="CG16" s="8">
        <v>-1.8324513313275221</v>
      </c>
      <c r="CH16" s="8">
        <v>-0.62829989194869995</v>
      </c>
      <c r="CI16" s="8">
        <v>-0.21864686906337738</v>
      </c>
      <c r="CJ16" s="9">
        <v>0.46731233596801758</v>
      </c>
      <c r="CK16" s="9">
        <v>-9.5290251076221466E-2</v>
      </c>
      <c r="CL16" s="9">
        <v>1.0964912362396717E-3</v>
      </c>
      <c r="CM16" s="9">
        <v>0.59043365716934204</v>
      </c>
      <c r="CN16" s="9">
        <v>-0.70530498027801514</v>
      </c>
      <c r="CO16">
        <v>2.2155172824859619</v>
      </c>
      <c r="CP16">
        <v>-2.7806487083435059</v>
      </c>
      <c r="CQ16">
        <v>0.25163406133651733</v>
      </c>
      <c r="CR16" s="8">
        <v>33.877398378018995</v>
      </c>
      <c r="CS16" s="9">
        <v>3.5748610423322225</v>
      </c>
      <c r="CT16">
        <v>2.7149321266968327</v>
      </c>
      <c r="CU16">
        <v>-9.4765636976808315E-2</v>
      </c>
      <c r="CV16">
        <v>-8.5673737525939944E-2</v>
      </c>
      <c r="CW16">
        <v>0.06</v>
      </c>
      <c r="CX16" t="e">
        <v>#VALUE!</v>
      </c>
      <c r="CY16" t="s">
        <v>908</v>
      </c>
      <c r="CZ16">
        <v>-9.4765636976808315E-2</v>
      </c>
      <c r="DA16">
        <v>2.1820156756050602</v>
      </c>
      <c r="DB16" t="s">
        <v>1891</v>
      </c>
      <c r="DC16">
        <v>-9.002735512796789E-2</v>
      </c>
      <c r="DD16">
        <v>1.0910078378025301</v>
      </c>
      <c r="DE16" t="s">
        <v>1892</v>
      </c>
      <c r="DF16">
        <v>-8.3393760539591313E-2</v>
      </c>
      <c r="DG16">
        <v>0.65460470268151805</v>
      </c>
      <c r="DH16" t="s">
        <v>1893</v>
      </c>
      <c r="DI16">
        <v>-7.5812509581446655E-2</v>
      </c>
      <c r="DJ16">
        <v>0.32730235134075902</v>
      </c>
      <c r="DK16" t="s">
        <v>1894</v>
      </c>
      <c r="DL16">
        <v>-6.6335945883765818E-2</v>
      </c>
      <c r="DM16">
        <v>66085700</v>
      </c>
      <c r="DN16">
        <v>-9.4765636976808315E-2</v>
      </c>
      <c r="DO16">
        <v>432600100</v>
      </c>
      <c r="DP16">
        <v>888335850</v>
      </c>
      <c r="DQ16" s="10">
        <v>151</v>
      </c>
      <c r="DR16">
        <v>0.29490348767305341</v>
      </c>
      <c r="DS16">
        <v>-1.7467775938015822</v>
      </c>
      <c r="DT16">
        <v>-0.79</v>
      </c>
      <c r="DU16">
        <v>-1.1950000000000001</v>
      </c>
      <c r="DV16">
        <v>-1.9850000000000001</v>
      </c>
      <c r="DW16">
        <v>-3.0573392857142858</v>
      </c>
      <c r="DX16">
        <v>0.2744951776649745</v>
      </c>
      <c r="DY16">
        <v>-3.0054182859907543</v>
      </c>
      <c r="DZ16">
        <v>4375</v>
      </c>
      <c r="EA16">
        <v>-3.0007793425055196</v>
      </c>
      <c r="EB16" s="11">
        <v>3</v>
      </c>
      <c r="EC16" s="11">
        <v>5.8330301751298726E-2</v>
      </c>
      <c r="ED16">
        <v>0.61728337035466851</v>
      </c>
      <c r="EE16">
        <v>-3.0278100000000001</v>
      </c>
      <c r="EF16">
        <v>-3.0458099999999999</v>
      </c>
      <c r="EG16">
        <v>18.094495177664975</v>
      </c>
      <c r="EH16" s="13" t="s">
        <v>878</v>
      </c>
      <c r="EI16">
        <v>0</v>
      </c>
      <c r="EJ16">
        <v>0</v>
      </c>
      <c r="EK16">
        <v>45470</v>
      </c>
      <c r="EL16">
        <v>-0.89</v>
      </c>
      <c r="EM16">
        <v>-4.05</v>
      </c>
      <c r="EN16" s="14">
        <v>2.82</v>
      </c>
      <c r="EO16" s="14">
        <v>1.37</v>
      </c>
      <c r="EP16" s="14">
        <v>-1.8</v>
      </c>
    </row>
    <row r="17" spans="1:146" ht="88.5" customHeight="1" x14ac:dyDescent="0.25">
      <c r="A17" s="7"/>
      <c r="B17" s="7"/>
      <c r="C17" s="16" t="str">
        <f>""&amp;CHAR(10)&amp;Basic_Fundamental_Information_Constructure(F17)&amp;CHAR(10)&amp;Basic_Fundamental_Information_Concatenate("")</f>
        <v xml:space="preserve">
市值11.323691亿, 利润-2.35亿; PE; 平均PE-13.12; 平均PEG-.94, PB.469; ROIC2.88%; ROE-4.1533%; 股利率0%; 毛利67.8567%; 净利-52.61%; 上一年度营收增-15.75%, 利润增38.8%; 当季营收增-19.24%, 利润增-27.53%; 过往5年营收增13.93%, 利润增-256.19%
Income profile:
</v>
      </c>
      <c r="D17" t="s">
        <v>148</v>
      </c>
      <c r="E17" t="s">
        <v>64</v>
      </c>
      <c r="F17">
        <v>1.51</v>
      </c>
      <c r="G17">
        <v>0.67</v>
      </c>
      <c r="H17" t="s">
        <v>1895</v>
      </c>
      <c r="I17">
        <v>1132369100</v>
      </c>
      <c r="K17">
        <v>0.46899999999999997</v>
      </c>
      <c r="L17" t="s">
        <v>1589</v>
      </c>
      <c r="M17" t="s">
        <v>1896</v>
      </c>
      <c r="N17" t="s">
        <v>1897</v>
      </c>
      <c r="O17" t="s">
        <v>1898</v>
      </c>
      <c r="P17">
        <v>-19.239999999999998</v>
      </c>
      <c r="Q17" t="s">
        <v>1899</v>
      </c>
      <c r="R17">
        <v>-15064385</v>
      </c>
      <c r="S17" s="5">
        <v>-0.27529999999999999</v>
      </c>
      <c r="T17" t="s">
        <v>1900</v>
      </c>
      <c r="U17">
        <v>749913310</v>
      </c>
      <c r="V17">
        <v>749913310</v>
      </c>
      <c r="W17">
        <v>1.49</v>
      </c>
      <c r="X17">
        <v>0.01</v>
      </c>
      <c r="Y17">
        <v>-26.97</v>
      </c>
      <c r="Z17" t="s">
        <v>1901</v>
      </c>
      <c r="AA17" t="s">
        <v>1902</v>
      </c>
      <c r="AB17" t="s">
        <v>1903</v>
      </c>
      <c r="AC17" t="s">
        <v>1904</v>
      </c>
      <c r="AD17" t="s">
        <v>24</v>
      </c>
      <c r="AE17">
        <v>11171510</v>
      </c>
      <c r="AF17" t="s">
        <v>1905</v>
      </c>
      <c r="AG17" t="s">
        <v>1906</v>
      </c>
      <c r="AH17" t="s">
        <v>1907</v>
      </c>
      <c r="AI17" t="s">
        <v>1908</v>
      </c>
      <c r="AJ17" t="s">
        <v>1909</v>
      </c>
      <c r="AK17" t="s">
        <v>24</v>
      </c>
      <c r="AL17" t="s">
        <v>1910</v>
      </c>
      <c r="AM17" t="s">
        <v>24</v>
      </c>
      <c r="AN17">
        <v>0</v>
      </c>
      <c r="AO17" t="s">
        <v>24</v>
      </c>
      <c r="AP17" t="s">
        <v>24</v>
      </c>
      <c r="AQ17" t="s">
        <v>1911</v>
      </c>
      <c r="AR17" t="s">
        <v>1912</v>
      </c>
      <c r="AS17" t="s">
        <v>1913</v>
      </c>
      <c r="AT17" t="s">
        <v>1110</v>
      </c>
      <c r="AU17" t="s">
        <v>1914</v>
      </c>
      <c r="AV17" t="s">
        <v>1915</v>
      </c>
      <c r="AW17" t="s">
        <v>1916</v>
      </c>
      <c r="AX17" t="s">
        <v>1217</v>
      </c>
      <c r="AY17" t="s">
        <v>798</v>
      </c>
      <c r="AZ17" t="s">
        <v>234</v>
      </c>
      <c r="BA17" t="s">
        <v>149</v>
      </c>
      <c r="BB17" t="s">
        <v>479</v>
      </c>
      <c r="BC17" t="s">
        <v>1218</v>
      </c>
      <c r="BD17" t="s">
        <v>865</v>
      </c>
      <c r="BE17" t="s">
        <v>156</v>
      </c>
      <c r="BF17" t="s">
        <v>481</v>
      </c>
      <c r="BG17" t="s">
        <v>482</v>
      </c>
      <c r="BH17" t="s">
        <v>1899</v>
      </c>
      <c r="BI17" t="s">
        <v>1917</v>
      </c>
      <c r="BJ17" t="s">
        <v>1217</v>
      </c>
      <c r="BK17" t="s">
        <v>1900</v>
      </c>
      <c r="BL17" t="s">
        <v>1918</v>
      </c>
      <c r="BM17" t="s">
        <v>1218</v>
      </c>
      <c r="BN17" t="s">
        <v>24</v>
      </c>
      <c r="BO17" t="s">
        <v>24</v>
      </c>
      <c r="BP17">
        <v>2.88</v>
      </c>
      <c r="BQ17">
        <v>-1.55</v>
      </c>
      <c r="BR17">
        <v>-12.94</v>
      </c>
      <c r="BS17">
        <v>2.0299999999999998</v>
      </c>
      <c r="BT17" t="s">
        <v>1115</v>
      </c>
      <c r="BU17" t="s">
        <v>1046</v>
      </c>
      <c r="BV17">
        <v>58.74</v>
      </c>
      <c r="BW17">
        <v>69.09</v>
      </c>
      <c r="BX17">
        <v>75.739999999999995</v>
      </c>
      <c r="BY17">
        <v>-72.099999999999994</v>
      </c>
      <c r="BZ17">
        <v>-100.32</v>
      </c>
      <c r="CA17">
        <v>14.59</v>
      </c>
      <c r="CB17">
        <v>6.34</v>
      </c>
      <c r="CC17">
        <v>-28.77</v>
      </c>
      <c r="CD17" t="s">
        <v>1919</v>
      </c>
      <c r="CE17" t="s">
        <v>1075</v>
      </c>
      <c r="CF17" s="8">
        <v>-0.19237554886418337</v>
      </c>
      <c r="CG17" s="9">
        <v>-0.27528105582174967</v>
      </c>
      <c r="CH17" s="8">
        <v>-0.15748031437397003</v>
      </c>
      <c r="CI17" s="8">
        <v>-0.32922536134719849</v>
      </c>
      <c r="CJ17" s="8">
        <v>-3.5087720025330782E-3</v>
      </c>
      <c r="CK17" s="8">
        <v>1.3456790447235107</v>
      </c>
      <c r="CL17" s="8">
        <v>-0.15916955471038818</v>
      </c>
      <c r="CM17" s="9">
        <v>0.3880208432674408</v>
      </c>
      <c r="CN17" s="9">
        <v>-6.9748773574829102</v>
      </c>
      <c r="CO17" s="9">
        <v>-0.39935421943664551</v>
      </c>
      <c r="CP17" s="9">
        <v>2.308687686920166</v>
      </c>
      <c r="CQ17" s="9">
        <v>-8.1320037841796875</v>
      </c>
      <c r="CR17">
        <v>-13.115530390044404</v>
      </c>
      <c r="CS17">
        <v>-0.94180839970657304</v>
      </c>
      <c r="CT17">
        <v>0</v>
      </c>
      <c r="CU17" s="8">
        <v>0.13925900845788419</v>
      </c>
      <c r="CV17" s="9">
        <v>-2.5619053661823274</v>
      </c>
      <c r="CW17">
        <v>0.06</v>
      </c>
      <c r="CX17" t="s">
        <v>1920</v>
      </c>
      <c r="CY17" t="s">
        <v>849</v>
      </c>
      <c r="CZ17">
        <v>0.13925900845788419</v>
      </c>
      <c r="DA17" t="s">
        <v>1920</v>
      </c>
      <c r="DB17" t="s">
        <v>850</v>
      </c>
      <c r="DC17">
        <v>0.13229605803498998</v>
      </c>
      <c r="DD17" t="s">
        <v>1920</v>
      </c>
      <c r="DE17" t="s">
        <v>850</v>
      </c>
      <c r="DF17">
        <v>0.12254792744293809</v>
      </c>
      <c r="DG17" t="s">
        <v>1920</v>
      </c>
      <c r="DH17" t="s">
        <v>850</v>
      </c>
      <c r="DI17">
        <v>0.11140720676630736</v>
      </c>
      <c r="DJ17" t="s">
        <v>1920</v>
      </c>
      <c r="DK17" t="s">
        <v>850</v>
      </c>
      <c r="DL17">
        <v>9.7481305920518929E-2</v>
      </c>
      <c r="DM17">
        <v>-235000000</v>
      </c>
      <c r="DN17">
        <v>0.13925900845788419</v>
      </c>
      <c r="DO17">
        <v>-356630900</v>
      </c>
      <c r="DP17">
        <v>-544480451</v>
      </c>
      <c r="DQ17">
        <v>172</v>
      </c>
      <c r="DR17">
        <v>-0.33163455732206759</v>
      </c>
      <c r="DS17">
        <v>2.2866243103605779</v>
      </c>
      <c r="DT17" s="10">
        <v>-0.62333333333333341</v>
      </c>
      <c r="DU17">
        <v>-2.2750000000000004</v>
      </c>
      <c r="DV17">
        <v>-2.8983333333333339</v>
      </c>
      <c r="DW17">
        <v>7.180575334662489</v>
      </c>
      <c r="DX17">
        <v>0.3651045977011485</v>
      </c>
      <c r="DY17">
        <v>7.0298138179842011</v>
      </c>
      <c r="DZ17">
        <v>4872</v>
      </c>
      <c r="EA17">
        <v>7.0013885887828256</v>
      </c>
      <c r="EB17">
        <v>7</v>
      </c>
      <c r="EC17">
        <v>7.6617389281969137E-2</v>
      </c>
      <c r="ED17">
        <v>0.46405363841321873</v>
      </c>
      <c r="EE17" s="11">
        <v>-3.03091</v>
      </c>
      <c r="EF17">
        <v>-3.0642100000000001</v>
      </c>
      <c r="EG17">
        <v>20.165104597701148</v>
      </c>
      <c r="EH17" t="s">
        <v>878</v>
      </c>
      <c r="EI17">
        <v>1</v>
      </c>
      <c r="EJ17">
        <v>0</v>
      </c>
      <c r="EK17" s="13">
        <v>45470</v>
      </c>
      <c r="EL17" s="14">
        <v>0</v>
      </c>
      <c r="EM17" s="14">
        <v>-5.19</v>
      </c>
      <c r="EN17" s="14">
        <v>0</v>
      </c>
      <c r="EO17" s="14">
        <v>2.74</v>
      </c>
      <c r="EP17" s="14">
        <v>-3.33</v>
      </c>
    </row>
    <row r="18" spans="1:146" ht="88.5" customHeight="1" x14ac:dyDescent="0.25">
      <c r="A18" s="7"/>
      <c r="B18" s="7"/>
      <c r="C18" s="16" t="str">
        <f>""&amp;CHAR(10)&amp;Basic_Fundamental_Information_Constructure(F18)&amp;CHAR(10)&amp;Basic_Fundamental_Information_Concatenate("")</f>
        <v xml:space="preserve">
市值5.4466325亿, 利润-1.84亿; PE; 平均PE-2.76; 平均PEG-.01, PB1.53; ROIC0%; ROE-30.0067%; 股利率0%; 毛利4.6233%; 净利-145.2933%; 上一年度营收增-86.53%, 利润增37.2%; 当季营收增4863.76%, 利润增-30.54%; 过往5年营收增437.2%, 利润增-188.41%
Income profile:
</v>
      </c>
      <c r="D18" t="s">
        <v>151</v>
      </c>
      <c r="E18" t="s">
        <v>1921</v>
      </c>
      <c r="F18">
        <v>1.82</v>
      </c>
      <c r="G18">
        <v>1.1100000000000001</v>
      </c>
      <c r="H18" t="s">
        <v>1922</v>
      </c>
      <c r="I18">
        <v>544663250</v>
      </c>
      <c r="K18">
        <v>1.53</v>
      </c>
      <c r="L18" t="s">
        <v>1589</v>
      </c>
      <c r="M18" t="s">
        <v>1923</v>
      </c>
      <c r="N18" t="s">
        <v>1853</v>
      </c>
      <c r="O18" t="s">
        <v>1924</v>
      </c>
      <c r="P18">
        <v>4863.8500000000004</v>
      </c>
      <c r="Q18" t="s">
        <v>1925</v>
      </c>
      <c r="R18">
        <v>-33480056</v>
      </c>
      <c r="S18" s="5">
        <v>-0.3054</v>
      </c>
      <c r="T18" t="s">
        <v>1478</v>
      </c>
      <c r="U18">
        <v>292089520</v>
      </c>
      <c r="V18">
        <v>299265520</v>
      </c>
      <c r="W18">
        <v>6.33</v>
      </c>
      <c r="X18">
        <v>0.02</v>
      </c>
      <c r="Y18">
        <v>-88.5</v>
      </c>
      <c r="Z18" t="s">
        <v>1926</v>
      </c>
      <c r="AA18" t="s">
        <v>1927</v>
      </c>
      <c r="AB18" t="s">
        <v>1928</v>
      </c>
      <c r="AC18" t="s">
        <v>1929</v>
      </c>
      <c r="AD18" t="s">
        <v>24</v>
      </c>
      <c r="AE18">
        <v>20549665</v>
      </c>
      <c r="AF18" t="s">
        <v>1930</v>
      </c>
      <c r="AG18">
        <v>5244.39</v>
      </c>
      <c r="AH18" t="s">
        <v>1931</v>
      </c>
      <c r="AI18" t="s">
        <v>1932</v>
      </c>
      <c r="AJ18" t="s">
        <v>1933</v>
      </c>
      <c r="AK18" t="s">
        <v>24</v>
      </c>
      <c r="AL18" t="s">
        <v>1934</v>
      </c>
      <c r="AM18" t="s">
        <v>24</v>
      </c>
      <c r="AN18">
        <v>0</v>
      </c>
      <c r="AO18" t="s">
        <v>24</v>
      </c>
      <c r="AP18" t="s">
        <v>24</v>
      </c>
      <c r="AQ18" t="s">
        <v>1935</v>
      </c>
      <c r="AR18" t="s">
        <v>24</v>
      </c>
      <c r="AS18" t="s">
        <v>1790</v>
      </c>
      <c r="AT18" t="s">
        <v>24</v>
      </c>
      <c r="AU18" t="s">
        <v>1936</v>
      </c>
      <c r="AV18" t="s">
        <v>1937</v>
      </c>
      <c r="AW18" t="s">
        <v>1938</v>
      </c>
      <c r="AX18" t="s">
        <v>500</v>
      </c>
      <c r="AY18" t="s">
        <v>735</v>
      </c>
      <c r="AZ18" t="s">
        <v>383</v>
      </c>
      <c r="BA18" t="s">
        <v>153</v>
      </c>
      <c r="BB18" t="s">
        <v>485</v>
      </c>
      <c r="BC18" t="s">
        <v>1219</v>
      </c>
      <c r="BD18" t="s">
        <v>866</v>
      </c>
      <c r="BE18" t="s">
        <v>483</v>
      </c>
      <c r="BF18" t="s">
        <v>154</v>
      </c>
      <c r="BG18" t="s">
        <v>487</v>
      </c>
      <c r="BH18" t="s">
        <v>1925</v>
      </c>
      <c r="BI18" t="s">
        <v>1939</v>
      </c>
      <c r="BJ18" t="s">
        <v>500</v>
      </c>
      <c r="BK18" t="s">
        <v>1478</v>
      </c>
      <c r="BL18" t="s">
        <v>1940</v>
      </c>
      <c r="BM18" t="s">
        <v>1219</v>
      </c>
      <c r="BN18" t="s">
        <v>24</v>
      </c>
      <c r="BO18" t="s">
        <v>24</v>
      </c>
      <c r="BP18" t="s">
        <v>24</v>
      </c>
      <c r="BQ18">
        <v>-13.43</v>
      </c>
      <c r="BR18">
        <v>-40.82</v>
      </c>
      <c r="BS18">
        <v>-35.770000000000003</v>
      </c>
      <c r="BT18" t="s">
        <v>1115</v>
      </c>
      <c r="BU18" t="s">
        <v>1043</v>
      </c>
      <c r="BV18">
        <v>1.59</v>
      </c>
      <c r="BW18">
        <v>3.04</v>
      </c>
      <c r="BX18">
        <v>9.24</v>
      </c>
      <c r="BY18">
        <v>-319.55</v>
      </c>
      <c r="BZ18">
        <v>-68.45</v>
      </c>
      <c r="CA18">
        <v>-47.88</v>
      </c>
      <c r="CB18">
        <v>2.25</v>
      </c>
      <c r="CC18">
        <v>-9.9</v>
      </c>
      <c r="CD18" t="s">
        <v>1941</v>
      </c>
      <c r="CE18" t="s">
        <v>1109</v>
      </c>
      <c r="CF18" s="8">
        <v>48.637580370030186</v>
      </c>
      <c r="CG18" s="9">
        <v>-0.30544856198140868</v>
      </c>
      <c r="CH18" s="8">
        <v>-0.8653075098991394</v>
      </c>
      <c r="CI18" s="8">
        <v>-0.4547770619392395</v>
      </c>
      <c r="CJ18" s="8">
        <v>6.4056601524353027</v>
      </c>
      <c r="CK18" s="8">
        <v>-0.80656933784484863</v>
      </c>
      <c r="CL18" s="8">
        <v>17.580869674682617</v>
      </c>
      <c r="CM18" s="9">
        <v>0.37201365828514099</v>
      </c>
      <c r="CN18" s="9">
        <v>0.22074468433856964</v>
      </c>
      <c r="CO18" s="9">
        <v>-0.25752508640289307</v>
      </c>
      <c r="CP18" s="9">
        <v>-11.235974311828613</v>
      </c>
      <c r="CQ18" s="9">
        <v>1.480455756187439</v>
      </c>
      <c r="CR18">
        <v>-2.7610804679198964</v>
      </c>
      <c r="CS18">
        <v>-6.3154074578203635E-3</v>
      </c>
      <c r="CT18">
        <v>0</v>
      </c>
      <c r="CU18" s="8">
        <v>4.3719751834869385</v>
      </c>
      <c r="CV18" s="9">
        <v>-1.8840570598840714</v>
      </c>
      <c r="CW18">
        <v>0.06</v>
      </c>
      <c r="CX18" t="e">
        <v>#VALUE!</v>
      </c>
      <c r="CY18" t="s">
        <v>849</v>
      </c>
      <c r="CZ18">
        <v>4.3719751834869385</v>
      </c>
      <c r="DA18" t="e">
        <v>#VALUE!</v>
      </c>
      <c r="DB18" t="s">
        <v>850</v>
      </c>
      <c r="DC18">
        <v>4.153376424312591</v>
      </c>
      <c r="DD18" t="e">
        <v>#VALUE!</v>
      </c>
      <c r="DE18" t="s">
        <v>850</v>
      </c>
      <c r="DF18">
        <v>3.8473381614685058</v>
      </c>
      <c r="DG18" t="e">
        <v>#VALUE!</v>
      </c>
      <c r="DH18" t="s">
        <v>850</v>
      </c>
      <c r="DI18">
        <v>3.4975801467895509</v>
      </c>
      <c r="DJ18" t="e">
        <v>#VALUE!</v>
      </c>
      <c r="DK18" t="s">
        <v>850</v>
      </c>
      <c r="DL18">
        <v>3.0603826284408568</v>
      </c>
      <c r="DM18">
        <v>-184000000</v>
      </c>
      <c r="DN18">
        <v>4.3719751834869385</v>
      </c>
      <c r="DO18">
        <v>2059663250</v>
      </c>
      <c r="DP18">
        <v>426746000</v>
      </c>
      <c r="DQ18">
        <v>173</v>
      </c>
      <c r="DR18">
        <v>44.265605186543247</v>
      </c>
      <c r="DS18">
        <v>1.5786084979026627</v>
      </c>
      <c r="DT18" s="10">
        <v>-0.38150000000000012</v>
      </c>
      <c r="DU18">
        <v>-2.415</v>
      </c>
      <c r="DV18">
        <v>-2.7965</v>
      </c>
      <c r="DW18">
        <v>-2.0990000000000002</v>
      </c>
      <c r="DX18">
        <v>0.33590333333333311</v>
      </c>
      <c r="DY18">
        <v>-2.0223644300000001</v>
      </c>
      <c r="DZ18">
        <v>4835</v>
      </c>
      <c r="EA18">
        <v>-2.0012035652152642</v>
      </c>
      <c r="EB18">
        <v>2</v>
      </c>
      <c r="EC18">
        <v>0.20381198609181572</v>
      </c>
      <c r="ED18">
        <v>0.90220884784855937</v>
      </c>
      <c r="EE18" s="11">
        <v>-7.0557999999999996</v>
      </c>
      <c r="EF18">
        <v>-7.0049999999999999</v>
      </c>
      <c r="EG18">
        <v>11.225903333333333</v>
      </c>
      <c r="EH18" t="s">
        <v>1942</v>
      </c>
      <c r="EI18">
        <v>0</v>
      </c>
      <c r="EJ18">
        <v>0</v>
      </c>
      <c r="EK18" s="13">
        <v>45470</v>
      </c>
      <c r="EL18" s="14">
        <v>5.03</v>
      </c>
      <c r="EM18" s="14">
        <v>4.79</v>
      </c>
      <c r="EN18" s="14">
        <v>5.08</v>
      </c>
      <c r="EO18" s="14">
        <v>-4.83</v>
      </c>
      <c r="EP18" s="14">
        <v>-5.08</v>
      </c>
    </row>
    <row r="19" spans="1:146" ht="88.5" customHeight="1" x14ac:dyDescent="0.25">
      <c r="A19" s="7"/>
      <c r="B19" s="7"/>
      <c r="C19" s="16" t="str">
        <f>""&amp;CHAR(10)&amp;Basic_Fundamental_Information_Constructure(F19)&amp;CHAR(10)&amp;Basic_Fundamental_Information_Concatenate("")</f>
        <v xml:space="preserve">
市值99.233674亿, 利润3.52亿; PE7.4; 平均PE-9.53; 平均PEG-.48, PB1.84; ROIC0%; ROE-84.02%; 股利率0%; 毛利16.1033%; 净利-35.1933%; 上一年度营收增-26.23%, 利润增110.3%; 当季营收增63.95%, 利润增102.14%; 过往5年营收增-19.81%, 利润增-74.13%
Income profile:
</v>
      </c>
      <c r="D19" t="s">
        <v>157</v>
      </c>
      <c r="E19" t="s">
        <v>27</v>
      </c>
      <c r="F19">
        <v>1.69</v>
      </c>
      <c r="G19">
        <v>2.42</v>
      </c>
      <c r="H19" t="s">
        <v>1943</v>
      </c>
      <c r="I19">
        <v>9923367400</v>
      </c>
      <c r="J19">
        <v>7.4</v>
      </c>
      <c r="K19">
        <v>1.84</v>
      </c>
      <c r="L19" t="s">
        <v>1589</v>
      </c>
      <c r="M19" t="s">
        <v>1944</v>
      </c>
      <c r="N19" t="s">
        <v>1945</v>
      </c>
      <c r="O19" t="s">
        <v>208</v>
      </c>
      <c r="P19">
        <v>64.099999999999994</v>
      </c>
      <c r="Q19" t="s">
        <v>1946</v>
      </c>
      <c r="R19">
        <v>20685648</v>
      </c>
      <c r="S19" s="5">
        <v>1.0209999999999999</v>
      </c>
      <c r="T19" t="s">
        <v>583</v>
      </c>
      <c r="U19">
        <v>4145048800</v>
      </c>
      <c r="V19">
        <v>5871815000</v>
      </c>
      <c r="W19">
        <v>2.35</v>
      </c>
      <c r="X19">
        <v>0.06</v>
      </c>
      <c r="Y19">
        <v>1.02</v>
      </c>
      <c r="Z19" t="s">
        <v>1151</v>
      </c>
      <c r="AA19" t="s">
        <v>213</v>
      </c>
      <c r="AB19" t="s">
        <v>1947</v>
      </c>
      <c r="AC19" t="s">
        <v>1948</v>
      </c>
      <c r="AD19" t="s">
        <v>24</v>
      </c>
      <c r="AE19">
        <v>17495585</v>
      </c>
      <c r="AF19" t="s">
        <v>1949</v>
      </c>
      <c r="AG19" t="s">
        <v>1950</v>
      </c>
      <c r="AH19" t="s">
        <v>1951</v>
      </c>
      <c r="AI19" t="s">
        <v>1504</v>
      </c>
      <c r="AJ19" t="s">
        <v>1952</v>
      </c>
      <c r="AK19" t="s">
        <v>24</v>
      </c>
      <c r="AL19" t="s">
        <v>1953</v>
      </c>
      <c r="AM19" t="s">
        <v>24</v>
      </c>
      <c r="AN19" t="s">
        <v>1087</v>
      </c>
      <c r="AO19" t="s">
        <v>1078</v>
      </c>
      <c r="AP19" t="s">
        <v>24</v>
      </c>
      <c r="AQ19" t="s">
        <v>740</v>
      </c>
      <c r="AR19" t="s">
        <v>1954</v>
      </c>
      <c r="AS19" t="s">
        <v>1955</v>
      </c>
      <c r="AT19" t="s">
        <v>441</v>
      </c>
      <c r="AU19" t="s">
        <v>1956</v>
      </c>
      <c r="AV19" t="s">
        <v>1957</v>
      </c>
      <c r="AW19" t="s">
        <v>1226</v>
      </c>
      <c r="AX19" t="s">
        <v>1220</v>
      </c>
      <c r="AY19" t="s">
        <v>867</v>
      </c>
      <c r="AZ19" t="s">
        <v>488</v>
      </c>
      <c r="BA19" t="s">
        <v>158</v>
      </c>
      <c r="BB19" t="s">
        <v>492</v>
      </c>
      <c r="BC19" t="s">
        <v>1221</v>
      </c>
      <c r="BD19" t="s">
        <v>868</v>
      </c>
      <c r="BE19" t="s">
        <v>489</v>
      </c>
      <c r="BF19" t="s">
        <v>159</v>
      </c>
      <c r="BG19" t="s">
        <v>493</v>
      </c>
      <c r="BH19" t="s">
        <v>1946</v>
      </c>
      <c r="BI19" t="s">
        <v>1958</v>
      </c>
      <c r="BJ19" t="s">
        <v>1220</v>
      </c>
      <c r="BK19" t="s">
        <v>583</v>
      </c>
      <c r="BL19" t="s">
        <v>1959</v>
      </c>
      <c r="BM19" t="s">
        <v>1221</v>
      </c>
      <c r="BN19" t="s">
        <v>24</v>
      </c>
      <c r="BO19" t="s">
        <v>24</v>
      </c>
      <c r="BP19" t="s">
        <v>24</v>
      </c>
      <c r="BQ19" t="s">
        <v>24</v>
      </c>
      <c r="BR19" t="s">
        <v>24</v>
      </c>
      <c r="BS19">
        <v>-84.02</v>
      </c>
      <c r="BT19" t="s">
        <v>1115</v>
      </c>
      <c r="BU19" t="s">
        <v>1043</v>
      </c>
      <c r="BV19">
        <v>8.99</v>
      </c>
      <c r="BW19">
        <v>20.71</v>
      </c>
      <c r="BX19">
        <v>18.61</v>
      </c>
      <c r="BY19">
        <v>3.54</v>
      </c>
      <c r="BZ19">
        <v>-64.739999999999995</v>
      </c>
      <c r="CA19">
        <v>-44.38</v>
      </c>
      <c r="CB19">
        <v>-1.74</v>
      </c>
      <c r="CC19">
        <v>-30.74</v>
      </c>
      <c r="CD19" t="s">
        <v>907</v>
      </c>
      <c r="CE19" t="s">
        <v>272</v>
      </c>
      <c r="CF19" s="8">
        <v>0.63951120162932817</v>
      </c>
      <c r="CG19" s="9">
        <v>1.0213694710743801</v>
      </c>
      <c r="CH19" s="8">
        <v>-0.26232630014419556</v>
      </c>
      <c r="CI19" s="8">
        <v>-0.38911500573158264</v>
      </c>
      <c r="CJ19" s="8">
        <v>0.21386219561100006</v>
      </c>
      <c r="CK19" s="8">
        <v>-0.40907570719718933</v>
      </c>
      <c r="CL19" s="8">
        <v>-0.14377549290657043</v>
      </c>
      <c r="CM19" s="9">
        <v>1.1030445098876953</v>
      </c>
      <c r="CN19" s="9">
        <v>0.1225275993347168</v>
      </c>
      <c r="CO19" s="9">
        <v>-2.0272161960601807</v>
      </c>
      <c r="CP19" s="9">
        <v>-2.5876543521881104</v>
      </c>
      <c r="CQ19" s="9">
        <v>-0.31703203916549683</v>
      </c>
      <c r="CR19">
        <v>-9.531007587642069</v>
      </c>
      <c r="CS19">
        <v>-0.4811548822700909</v>
      </c>
      <c r="CT19">
        <v>0</v>
      </c>
      <c r="CU19" s="8">
        <v>-0.19808606207370758</v>
      </c>
      <c r="CV19" s="9">
        <v>-0.74126609563827517</v>
      </c>
      <c r="CW19">
        <v>0.06</v>
      </c>
      <c r="CX19">
        <v>36.177180113636361</v>
      </c>
      <c r="CY19" t="s">
        <v>1960</v>
      </c>
      <c r="CZ19">
        <v>-0.19808606207370758</v>
      </c>
      <c r="DA19">
        <v>12.059060037878789</v>
      </c>
      <c r="DB19" t="s">
        <v>1961</v>
      </c>
      <c r="DC19">
        <v>-0.18818175897002218</v>
      </c>
      <c r="DD19">
        <v>6.0295300189393943</v>
      </c>
      <c r="DE19" t="s">
        <v>1962</v>
      </c>
      <c r="DF19">
        <v>-0.17431573462486266</v>
      </c>
      <c r="DG19">
        <v>3.6177180113636362</v>
      </c>
      <c r="DH19" t="s">
        <v>1963</v>
      </c>
      <c r="DI19">
        <v>-0.15846884965896607</v>
      </c>
      <c r="DJ19">
        <v>1.8088590056818181</v>
      </c>
      <c r="DK19" t="s">
        <v>1964</v>
      </c>
      <c r="DL19">
        <v>-0.13866024345159531</v>
      </c>
      <c r="DM19">
        <v>352000000</v>
      </c>
      <c r="DN19">
        <v>-0.19808606207370758</v>
      </c>
      <c r="DO19">
        <v>12734367400</v>
      </c>
      <c r="DP19">
        <v>2848666200</v>
      </c>
      <c r="DQ19">
        <v>179</v>
      </c>
      <c r="DR19">
        <v>0.83759726370303578</v>
      </c>
      <c r="DS19">
        <v>1.7626355667126554</v>
      </c>
      <c r="DT19" s="10">
        <v>-0.73999999999999988</v>
      </c>
      <c r="DU19">
        <v>-1.9566666666666668</v>
      </c>
      <c r="DV19">
        <v>-2.6966666666666668</v>
      </c>
      <c r="DW19">
        <v>-3.1667023809523811</v>
      </c>
      <c r="DX19">
        <v>0.25816594323372782</v>
      </c>
      <c r="DY19">
        <v>-3.0130304488464512</v>
      </c>
      <c r="DZ19">
        <v>4792</v>
      </c>
      <c r="EA19">
        <v>-3.0008108968166676</v>
      </c>
      <c r="EB19">
        <v>3</v>
      </c>
      <c r="EC19">
        <v>3.0484611657553926E-2</v>
      </c>
      <c r="ED19">
        <v>0.38999866310501946</v>
      </c>
      <c r="EE19" s="11">
        <v>6.0106999999999999</v>
      </c>
      <c r="EF19">
        <v>6.0174099999999999</v>
      </c>
      <c r="EG19">
        <v>18.078165943233728</v>
      </c>
      <c r="EH19" t="s">
        <v>1663</v>
      </c>
      <c r="EI19">
        <v>0</v>
      </c>
      <c r="EJ19">
        <v>0</v>
      </c>
      <c r="EK19" s="13">
        <v>45470</v>
      </c>
      <c r="EL19" s="14">
        <v>-1.1000000000000001</v>
      </c>
      <c r="EM19" s="14">
        <v>-2.23</v>
      </c>
      <c r="EN19" s="14">
        <v>1.71</v>
      </c>
      <c r="EO19" s="14">
        <v>0</v>
      </c>
      <c r="EP19" s="14">
        <v>-2.81</v>
      </c>
    </row>
    <row r="20" spans="1:146" ht="88.5" customHeight="1" x14ac:dyDescent="0.25">
      <c r="A20" s="7"/>
      <c r="B20" s="7"/>
      <c r="C20" s="16" t="str">
        <f>""&amp;CHAR(10)&amp;Basic_Fundamental_Information_Constructure(F20)&amp;CHAR(10)&amp;Basic_Fundamental_Information_Concatenate("")</f>
        <v xml:space="preserve">
市值62.474675亿, 利润-87.32亿; PE; 平均PE-3.77; 平均PEG-.22, PB2.65; ROIC4.27%; ROE-34.3633%; 股利率0%; 毛利12.1767%; 净利-16.8533%; 上一年度营收增15.27%, 利润增59.18%; 当季营收增-24.59%, 利润增-293.64%; 过往5年营收增17.19%, 利润增-122.75%
Income profile:
</v>
      </c>
      <c r="D20" t="s">
        <v>166</v>
      </c>
      <c r="E20" t="s">
        <v>1965</v>
      </c>
      <c r="F20">
        <v>1.17</v>
      </c>
      <c r="G20">
        <v>3.54</v>
      </c>
      <c r="H20" t="s">
        <v>99</v>
      </c>
      <c r="I20">
        <v>6247467500</v>
      </c>
      <c r="K20">
        <v>2.65</v>
      </c>
      <c r="L20" t="s">
        <v>1589</v>
      </c>
      <c r="M20" t="s">
        <v>1966</v>
      </c>
      <c r="N20" t="s">
        <v>1967</v>
      </c>
      <c r="O20" t="s">
        <v>1968</v>
      </c>
      <c r="P20">
        <v>-24.59</v>
      </c>
      <c r="Q20" t="s">
        <v>1969</v>
      </c>
      <c r="R20">
        <v>-1161237380</v>
      </c>
      <c r="S20" s="5">
        <v>-2.931</v>
      </c>
      <c r="T20" t="s">
        <v>1970</v>
      </c>
      <c r="U20">
        <v>5309566900</v>
      </c>
      <c r="V20">
        <v>5339715800</v>
      </c>
      <c r="W20">
        <v>11.19</v>
      </c>
      <c r="X20">
        <v>0.03</v>
      </c>
      <c r="Y20">
        <v>-14.98</v>
      </c>
      <c r="Z20" t="s">
        <v>1971</v>
      </c>
      <c r="AA20" t="s">
        <v>1972</v>
      </c>
      <c r="AB20" t="s">
        <v>508</v>
      </c>
      <c r="AC20" t="s">
        <v>425</v>
      </c>
      <c r="AD20" t="s">
        <v>24</v>
      </c>
      <c r="AE20">
        <v>1098022960</v>
      </c>
      <c r="AF20" t="s">
        <v>1973</v>
      </c>
      <c r="AG20" t="s">
        <v>1974</v>
      </c>
      <c r="AH20" t="s">
        <v>1975</v>
      </c>
      <c r="AI20" t="s">
        <v>1976</v>
      </c>
      <c r="AJ20" t="s">
        <v>1977</v>
      </c>
      <c r="AK20" t="s">
        <v>24</v>
      </c>
      <c r="AL20" t="s">
        <v>1978</v>
      </c>
      <c r="AM20" t="s">
        <v>24</v>
      </c>
      <c r="AN20" t="s">
        <v>1979</v>
      </c>
      <c r="AO20" t="s">
        <v>1980</v>
      </c>
      <c r="AP20" t="s">
        <v>24</v>
      </c>
      <c r="AQ20" t="s">
        <v>1981</v>
      </c>
      <c r="AR20" t="s">
        <v>1982</v>
      </c>
      <c r="AS20" t="s">
        <v>1983</v>
      </c>
      <c r="AT20" t="s">
        <v>1984</v>
      </c>
      <c r="AU20" t="s">
        <v>1985</v>
      </c>
      <c r="AV20" t="s">
        <v>1986</v>
      </c>
      <c r="AW20" t="s">
        <v>1987</v>
      </c>
      <c r="AX20" t="s">
        <v>1222</v>
      </c>
      <c r="AY20" t="s">
        <v>869</v>
      </c>
      <c r="AZ20" t="s">
        <v>495</v>
      </c>
      <c r="BA20" t="s">
        <v>167</v>
      </c>
      <c r="BB20" t="s">
        <v>498</v>
      </c>
      <c r="BC20" t="s">
        <v>1223</v>
      </c>
      <c r="BD20" t="s">
        <v>870</v>
      </c>
      <c r="BE20" t="s">
        <v>496</v>
      </c>
      <c r="BF20" t="s">
        <v>168</v>
      </c>
      <c r="BG20" t="s">
        <v>499</v>
      </c>
      <c r="BH20" t="s">
        <v>1969</v>
      </c>
      <c r="BI20" t="s">
        <v>1988</v>
      </c>
      <c r="BJ20" t="s">
        <v>1222</v>
      </c>
      <c r="BK20" t="s">
        <v>1970</v>
      </c>
      <c r="BL20" t="s">
        <v>1989</v>
      </c>
      <c r="BM20" t="s">
        <v>1223</v>
      </c>
      <c r="BN20" t="s">
        <v>24</v>
      </c>
      <c r="BO20" t="s">
        <v>24</v>
      </c>
      <c r="BP20">
        <v>4.2699999999999996</v>
      </c>
      <c r="BQ20">
        <v>-20.85</v>
      </c>
      <c r="BR20">
        <v>-91.73</v>
      </c>
      <c r="BS20">
        <v>9.49</v>
      </c>
      <c r="BT20" t="s">
        <v>1115</v>
      </c>
      <c r="BU20" t="s">
        <v>1043</v>
      </c>
      <c r="BV20">
        <v>12.82</v>
      </c>
      <c r="BW20">
        <v>6.49</v>
      </c>
      <c r="BX20">
        <v>17.22</v>
      </c>
      <c r="BY20">
        <v>-13.33</v>
      </c>
      <c r="BZ20">
        <v>-43.19</v>
      </c>
      <c r="CA20">
        <v>5.96</v>
      </c>
      <c r="CB20">
        <v>0.86</v>
      </c>
      <c r="CC20">
        <v>-25</v>
      </c>
      <c r="CD20" t="s">
        <v>933</v>
      </c>
      <c r="CE20" t="s">
        <v>1990</v>
      </c>
      <c r="CF20" s="8">
        <v>-0.2459049341774695</v>
      </c>
      <c r="CG20" s="9">
        <v>-2.9363978983050849</v>
      </c>
      <c r="CH20" s="8">
        <v>0.15267398953437805</v>
      </c>
      <c r="CI20" s="8">
        <v>-0.51151275634765625</v>
      </c>
      <c r="CJ20" s="8">
        <v>0.2805573046207428</v>
      </c>
      <c r="CK20" s="8">
        <v>0.29408466815948486</v>
      </c>
      <c r="CL20" s="8">
        <v>0.64361929893493652</v>
      </c>
      <c r="CM20" s="9">
        <v>0.59180998802185059</v>
      </c>
      <c r="CN20" s="9">
        <v>-6.9405722618103027</v>
      </c>
      <c r="CO20" s="9">
        <v>-0.48776674270629883</v>
      </c>
      <c r="CP20" s="9">
        <v>0.23854823410511017</v>
      </c>
      <c r="CQ20" s="9">
        <v>0.46062791347503662</v>
      </c>
      <c r="CR20">
        <v>-3.7745247205719461</v>
      </c>
      <c r="CS20">
        <v>-0.21959657206107583</v>
      </c>
      <c r="CT20">
        <v>0</v>
      </c>
      <c r="CU20" s="8">
        <v>0.17188450098037719</v>
      </c>
      <c r="CV20" s="9">
        <v>-1.2274705737829208</v>
      </c>
      <c r="CW20">
        <v>0.06</v>
      </c>
      <c r="CX20" t="e">
        <v>#VALUE!</v>
      </c>
      <c r="CY20" t="s">
        <v>849</v>
      </c>
      <c r="CZ20">
        <v>0.17188450098037719</v>
      </c>
      <c r="DA20" t="e">
        <v>#VALUE!</v>
      </c>
      <c r="DB20" t="s">
        <v>850</v>
      </c>
      <c r="DC20">
        <v>0.16329027593135834</v>
      </c>
      <c r="DD20" t="e">
        <v>#VALUE!</v>
      </c>
      <c r="DE20" t="s">
        <v>850</v>
      </c>
      <c r="DF20">
        <v>0.15125836086273192</v>
      </c>
      <c r="DG20" t="e">
        <v>#VALUE!</v>
      </c>
      <c r="DH20" t="s">
        <v>850</v>
      </c>
      <c r="DI20">
        <v>0.13750760078430177</v>
      </c>
      <c r="DJ20" t="e">
        <v>#VALUE!</v>
      </c>
      <c r="DK20" t="s">
        <v>850</v>
      </c>
      <c r="DL20">
        <v>0.12031915068626403</v>
      </c>
      <c r="DM20">
        <v>-8732000000</v>
      </c>
      <c r="DN20">
        <v>0.17188450098037719</v>
      </c>
      <c r="DO20">
        <v>190495467500</v>
      </c>
      <c r="DP20">
        <v>1973430000</v>
      </c>
      <c r="DQ20">
        <v>200</v>
      </c>
      <c r="DR20">
        <v>-0.41778943515784672</v>
      </c>
      <c r="DS20">
        <v>-1.7089273245221641</v>
      </c>
      <c r="DT20" s="10">
        <v>2.6666666666666689E-2</v>
      </c>
      <c r="DU20">
        <v>-1.781666666666667</v>
      </c>
      <c r="DV20">
        <v>-1.7550000000000003</v>
      </c>
      <c r="DW20">
        <v>-3.1017857142857141</v>
      </c>
      <c r="DX20">
        <v>0.37897091023746016</v>
      </c>
      <c r="DY20">
        <v>-3.0182166819348843</v>
      </c>
      <c r="DZ20">
        <v>4221</v>
      </c>
      <c r="EA20">
        <v>-3.0031692035694935</v>
      </c>
      <c r="EB20">
        <v>3</v>
      </c>
      <c r="EC20">
        <v>0.1648027784549882</v>
      </c>
      <c r="ED20">
        <v>0.92083552461724649</v>
      </c>
      <c r="EE20" s="11">
        <v>-2.0118100000000001</v>
      </c>
      <c r="EF20">
        <v>-2.0358000000000001</v>
      </c>
      <c r="EG20">
        <v>20.17897091023746</v>
      </c>
      <c r="EH20" t="s">
        <v>1702</v>
      </c>
      <c r="EI20">
        <v>0</v>
      </c>
      <c r="EJ20">
        <v>0</v>
      </c>
      <c r="EK20" s="13">
        <v>45470</v>
      </c>
      <c r="EL20" s="14">
        <v>-3.15</v>
      </c>
      <c r="EM20" s="14">
        <v>-4.88</v>
      </c>
      <c r="EN20" s="14">
        <v>-5.13</v>
      </c>
      <c r="EO20" s="14">
        <v>-5.41</v>
      </c>
      <c r="EP20" s="14">
        <v>4.76</v>
      </c>
    </row>
    <row r="21" spans="1:146" ht="88.5" customHeight="1" x14ac:dyDescent="0.25">
      <c r="C21" s="16" t="str">
        <f>""&amp;CHAR(10)&amp;Basic_Fundamental_Information_Constructure(F21)&amp;CHAR(10)&amp;Basic_Fundamental_Information_Concatenate("")</f>
        <v xml:space="preserve">
市值8.9720395亿, 利润-4963.40万; PE; 平均PE31.53; 平均PEG.8, PB.819; ROIC17.08%; ROE4.9467%; 股利率0%; 毛利23.96%; 净利19.7533%; 上一年度营收增-81.69%, 利润增-30.85%; 当季营收增-3.53%, 利润增22.32%; 过往5年营收增39.24%, 利润增224.62%
Income profile:
</v>
      </c>
      <c r="D21" s="5" t="s">
        <v>1573</v>
      </c>
      <c r="E21" t="s">
        <v>1574</v>
      </c>
      <c r="F21">
        <v>6.11</v>
      </c>
      <c r="G21">
        <v>-4.68</v>
      </c>
      <c r="H21" t="s">
        <v>1991</v>
      </c>
      <c r="I21">
        <v>897203950</v>
      </c>
      <c r="K21">
        <v>0.81899999999999995</v>
      </c>
      <c r="L21" t="s">
        <v>1589</v>
      </c>
      <c r="M21" t="s">
        <v>685</v>
      </c>
      <c r="N21" t="s">
        <v>1992</v>
      </c>
      <c r="O21" t="s">
        <v>1993</v>
      </c>
      <c r="P21" s="5">
        <v>-3.53</v>
      </c>
      <c r="Q21" t="s">
        <v>251</v>
      </c>
      <c r="R21">
        <v>-5643084</v>
      </c>
      <c r="S21">
        <v>0.22320000000000001</v>
      </c>
      <c r="T21" t="s">
        <v>1994</v>
      </c>
      <c r="U21">
        <v>146841890</v>
      </c>
      <c r="V21">
        <v>146841890</v>
      </c>
      <c r="W21">
        <v>1.66</v>
      </c>
      <c r="X21">
        <v>0.01</v>
      </c>
      <c r="Y21">
        <v>-60.57</v>
      </c>
      <c r="Z21" t="s">
        <v>1995</v>
      </c>
      <c r="AA21" t="s">
        <v>1996</v>
      </c>
      <c r="AB21" t="s">
        <v>1997</v>
      </c>
      <c r="AC21" t="s">
        <v>1998</v>
      </c>
      <c r="AD21" t="s">
        <v>24</v>
      </c>
      <c r="AE21">
        <v>3601447</v>
      </c>
      <c r="AF21" t="s">
        <v>98</v>
      </c>
      <c r="AG21" t="s">
        <v>1999</v>
      </c>
      <c r="AH21" t="s">
        <v>2000</v>
      </c>
      <c r="AI21" t="s">
        <v>2001</v>
      </c>
      <c r="AJ21" t="s">
        <v>2002</v>
      </c>
      <c r="AK21" t="s">
        <v>24</v>
      </c>
      <c r="AL21" t="s">
        <v>2003</v>
      </c>
      <c r="AM21" t="s">
        <v>24</v>
      </c>
      <c r="AN21">
        <v>0</v>
      </c>
      <c r="AO21" t="s">
        <v>907</v>
      </c>
      <c r="AP21" t="s">
        <v>24</v>
      </c>
      <c r="AQ21" t="s">
        <v>1129</v>
      </c>
      <c r="AR21" t="s">
        <v>2004</v>
      </c>
      <c r="AS21" t="s">
        <v>2005</v>
      </c>
      <c r="AT21" t="s">
        <v>24</v>
      </c>
      <c r="AU21" t="s">
        <v>2006</v>
      </c>
      <c r="AV21" t="s">
        <v>2007</v>
      </c>
      <c r="AW21" t="s">
        <v>2008</v>
      </c>
      <c r="AX21" t="s">
        <v>1575</v>
      </c>
      <c r="AY21" t="s">
        <v>1578</v>
      </c>
      <c r="AZ21" t="s">
        <v>202</v>
      </c>
      <c r="BA21" t="s">
        <v>171</v>
      </c>
      <c r="BB21" t="s">
        <v>205</v>
      </c>
      <c r="BC21" t="s">
        <v>1576</v>
      </c>
      <c r="BD21" t="s">
        <v>725</v>
      </c>
      <c r="BE21" t="s">
        <v>1579</v>
      </c>
      <c r="BF21" t="s">
        <v>1580</v>
      </c>
      <c r="BG21" t="s">
        <v>1581</v>
      </c>
      <c r="BH21" t="s">
        <v>251</v>
      </c>
      <c r="BI21" t="s">
        <v>2009</v>
      </c>
      <c r="BJ21" t="s">
        <v>1575</v>
      </c>
      <c r="BK21" t="s">
        <v>1994</v>
      </c>
      <c r="BL21" t="s">
        <v>2010</v>
      </c>
      <c r="BM21" t="s">
        <v>1576</v>
      </c>
      <c r="BN21" t="s">
        <v>24</v>
      </c>
      <c r="BO21" t="s">
        <v>24</v>
      </c>
      <c r="BP21">
        <v>17.079999999999998</v>
      </c>
      <c r="BQ21">
        <v>-2.73</v>
      </c>
      <c r="BR21">
        <v>-3.16</v>
      </c>
      <c r="BS21">
        <v>20.73</v>
      </c>
      <c r="BT21" t="s">
        <v>1115</v>
      </c>
      <c r="BU21" t="s">
        <v>1043</v>
      </c>
      <c r="BV21">
        <v>27.87</v>
      </c>
      <c r="BW21">
        <v>25.7</v>
      </c>
      <c r="BX21">
        <v>18.309999999999999</v>
      </c>
      <c r="BY21">
        <v>-45.6</v>
      </c>
      <c r="BZ21">
        <v>-5.98</v>
      </c>
      <c r="CA21">
        <v>110.84</v>
      </c>
      <c r="CB21">
        <v>0.16</v>
      </c>
      <c r="CC21" s="8">
        <v>-17.32</v>
      </c>
      <c r="CD21" s="9" t="s">
        <v>2011</v>
      </c>
      <c r="CE21" s="8" t="s">
        <v>426</v>
      </c>
      <c r="CF21" s="8">
        <v>-3.5268215395378506E-2</v>
      </c>
      <c r="CG21" s="8">
        <v>0.22316511109275625</v>
      </c>
      <c r="CH21" s="8">
        <v>-0.81690138578414917</v>
      </c>
      <c r="CI21" s="8">
        <v>1.5357142686843872</v>
      </c>
      <c r="CJ21" s="9">
        <v>1.2909090518951416</v>
      </c>
      <c r="CK21" s="9">
        <v>-0.73747014999389648</v>
      </c>
      <c r="CL21" s="9">
        <v>0.68951612710952759</v>
      </c>
      <c r="CM21" s="9">
        <v>-0.30852010846138</v>
      </c>
      <c r="CN21" s="9">
        <v>-1.1607261896133423</v>
      </c>
      <c r="CO21">
        <v>11.181586265563965</v>
      </c>
      <c r="CP21">
        <v>-1.6324844360351563</v>
      </c>
      <c r="CQ21">
        <v>3.1512556076049805</v>
      </c>
      <c r="CR21" s="8">
        <v>31.530385465348179</v>
      </c>
      <c r="CS21" s="9">
        <v>0.80362170453266268</v>
      </c>
      <c r="CT21">
        <v>0</v>
      </c>
      <c r="CU21">
        <v>0.39235358238220214</v>
      </c>
      <c r="CV21">
        <v>2.2462222278118134</v>
      </c>
      <c r="CW21">
        <v>0.06</v>
      </c>
      <c r="CX21" t="e">
        <v>#VALUE!</v>
      </c>
      <c r="CY21" t="s">
        <v>849</v>
      </c>
      <c r="CZ21">
        <v>0.39235358238220214</v>
      </c>
      <c r="DA21" t="e">
        <v>#VALUE!</v>
      </c>
      <c r="DB21" t="s">
        <v>850</v>
      </c>
      <c r="DC21">
        <v>0.37273590326309203</v>
      </c>
      <c r="DD21" t="e">
        <v>#VALUE!</v>
      </c>
      <c r="DE21" t="s">
        <v>850</v>
      </c>
      <c r="DF21">
        <v>0.34527115249633789</v>
      </c>
      <c r="DG21" t="e">
        <v>#VALUE!</v>
      </c>
      <c r="DH21" t="s">
        <v>850</v>
      </c>
      <c r="DI21">
        <v>0.31388286590576175</v>
      </c>
      <c r="DJ21" t="e">
        <v>#VALUE!</v>
      </c>
      <c r="DK21" t="s">
        <v>850</v>
      </c>
      <c r="DL21">
        <v>0.27464750766754148</v>
      </c>
      <c r="DM21">
        <v>-49634000</v>
      </c>
      <c r="DN21">
        <v>0.39235358238220214</v>
      </c>
      <c r="DO21">
        <v>550203950</v>
      </c>
      <c r="DP21">
        <v>321922320</v>
      </c>
      <c r="DQ21" s="10">
        <v>206</v>
      </c>
      <c r="DR21">
        <v>-0.42762179777758064</v>
      </c>
      <c r="DS21">
        <v>-2.0230571167190572</v>
      </c>
      <c r="DT21">
        <v>-0.24</v>
      </c>
      <c r="DU21">
        <v>-1.6263333333333334</v>
      </c>
      <c r="DV21">
        <v>-1.8663333333333334</v>
      </c>
      <c r="DW21">
        <v>-3.0149285714285714</v>
      </c>
      <c r="DX21">
        <v>0.79433432835820716</v>
      </c>
      <c r="DY21">
        <v>-3.0057375624733473</v>
      </c>
      <c r="DZ21">
        <v>4306</v>
      </c>
      <c r="EA21">
        <v>-3.0009027397707575</v>
      </c>
      <c r="EB21" s="11">
        <v>3</v>
      </c>
      <c r="EC21" s="11">
        <v>0.35072280804884765</v>
      </c>
      <c r="ED21">
        <v>0.91254614061423489</v>
      </c>
      <c r="EE21">
        <v>-4.0255099999999997</v>
      </c>
      <c r="EF21">
        <v>-4.0057</v>
      </c>
      <c r="EG21">
        <v>41.384334328358207</v>
      </c>
      <c r="EH21" s="13" t="s">
        <v>2012</v>
      </c>
      <c r="EI21">
        <v>0</v>
      </c>
      <c r="EJ21">
        <v>0</v>
      </c>
      <c r="EK21">
        <v>45470</v>
      </c>
      <c r="EL21">
        <v>-1.1499999999999999</v>
      </c>
      <c r="EM21">
        <v>-5.33</v>
      </c>
      <c r="EN21" s="14">
        <v>4.2300000000000004</v>
      </c>
      <c r="EO21" s="14">
        <v>2.87</v>
      </c>
      <c r="EP21" s="14">
        <v>3.12</v>
      </c>
    </row>
    <row r="22" spans="1:146" ht="88.5" customHeight="1" x14ac:dyDescent="0.25">
      <c r="A22" s="7"/>
      <c r="B22" s="7"/>
      <c r="C22" s="16" t="str">
        <f>""&amp;CHAR(10)&amp;Basic_Fundamental_Information_Constructure(F22)&amp;CHAR(10)&amp;Basic_Fundamental_Information_Concatenate("")</f>
        <v xml:space="preserve">
市值86.790601亿, 利润3.58亿; PE24.65; 平均PE9.58; 平均PEG.71, PB.901; ROIC6.4233%; ROE7.8833%; 股利率4.1958%; 毛利61.91%; 净利24.29%; 上一年度营收增-25.12%, 利润增-42.07%; 当季营收增-9.1%, 利润增-4.65%; 过往5年营收增-13.53%, 利润增-17.64%
Income profile:
</v>
      </c>
      <c r="D22" t="s">
        <v>175</v>
      </c>
      <c r="E22" t="s">
        <v>39</v>
      </c>
      <c r="F22">
        <v>2.86</v>
      </c>
      <c r="G22">
        <v>3.2500000000000001E-2</v>
      </c>
      <c r="H22" t="s">
        <v>1227</v>
      </c>
      <c r="I22">
        <v>8679060100</v>
      </c>
      <c r="J22">
        <v>24.65</v>
      </c>
      <c r="K22">
        <v>0.90100000000000002</v>
      </c>
      <c r="L22" t="s">
        <v>1589</v>
      </c>
      <c r="M22" t="s">
        <v>1228</v>
      </c>
      <c r="N22" t="s">
        <v>1229</v>
      </c>
      <c r="O22" t="s">
        <v>1230</v>
      </c>
      <c r="P22">
        <v>-9.0299999999999994</v>
      </c>
      <c r="Q22" t="s">
        <v>1231</v>
      </c>
      <c r="R22">
        <v>126809929</v>
      </c>
      <c r="S22" s="5">
        <v>-4.4200000000000003E-2</v>
      </c>
      <c r="T22" t="s">
        <v>165</v>
      </c>
      <c r="U22">
        <v>2289754200</v>
      </c>
      <c r="V22">
        <v>3034636400</v>
      </c>
      <c r="W22">
        <v>1.53</v>
      </c>
      <c r="X22">
        <v>0.03</v>
      </c>
      <c r="Y22">
        <v>29.12</v>
      </c>
      <c r="Z22" t="s">
        <v>1232</v>
      </c>
      <c r="AA22" t="s">
        <v>99</v>
      </c>
      <c r="AB22" t="s">
        <v>1233</v>
      </c>
      <c r="AC22" t="s">
        <v>1234</v>
      </c>
      <c r="AD22" t="s">
        <v>24</v>
      </c>
      <c r="AE22">
        <v>23379601</v>
      </c>
      <c r="AF22" t="s">
        <v>1235</v>
      </c>
      <c r="AG22" t="s">
        <v>1236</v>
      </c>
      <c r="AH22" t="s">
        <v>1049</v>
      </c>
      <c r="AI22" t="s">
        <v>1237</v>
      </c>
      <c r="AJ22" t="s">
        <v>1238</v>
      </c>
      <c r="AK22" t="s">
        <v>24</v>
      </c>
      <c r="AL22" t="s">
        <v>1239</v>
      </c>
      <c r="AM22" t="s">
        <v>24</v>
      </c>
      <c r="AN22" t="s">
        <v>1240</v>
      </c>
      <c r="AO22" t="s">
        <v>1077</v>
      </c>
      <c r="AP22" t="s">
        <v>24</v>
      </c>
      <c r="AQ22" t="s">
        <v>1241</v>
      </c>
      <c r="AR22" t="s">
        <v>1242</v>
      </c>
      <c r="AS22" t="s">
        <v>1243</v>
      </c>
      <c r="AT22" t="s">
        <v>491</v>
      </c>
      <c r="AU22" t="s">
        <v>1244</v>
      </c>
      <c r="AV22" t="s">
        <v>1245</v>
      </c>
      <c r="AW22" t="s">
        <v>1246</v>
      </c>
      <c r="AX22" t="s">
        <v>1247</v>
      </c>
      <c r="AY22" t="s">
        <v>769</v>
      </c>
      <c r="AZ22" t="s">
        <v>176</v>
      </c>
      <c r="BA22" t="s">
        <v>503</v>
      </c>
      <c r="BB22" t="s">
        <v>504</v>
      </c>
      <c r="BC22" t="s">
        <v>1132</v>
      </c>
      <c r="BD22" t="s">
        <v>871</v>
      </c>
      <c r="BE22" t="s">
        <v>177</v>
      </c>
      <c r="BF22" t="s">
        <v>246</v>
      </c>
      <c r="BG22" t="s">
        <v>505</v>
      </c>
      <c r="BH22" t="s">
        <v>1231</v>
      </c>
      <c r="BI22" t="s">
        <v>872</v>
      </c>
      <c r="BJ22" t="s">
        <v>1247</v>
      </c>
      <c r="BK22" t="s">
        <v>165</v>
      </c>
      <c r="BL22" t="s">
        <v>340</v>
      </c>
      <c r="BM22" t="s">
        <v>1132</v>
      </c>
      <c r="BN22">
        <v>4.07</v>
      </c>
      <c r="BO22">
        <v>5.76</v>
      </c>
      <c r="BP22">
        <v>9.44</v>
      </c>
      <c r="BQ22">
        <v>3.98</v>
      </c>
      <c r="BR22">
        <v>7.18</v>
      </c>
      <c r="BS22">
        <v>12.49</v>
      </c>
      <c r="BT22" t="s">
        <v>1131</v>
      </c>
      <c r="BU22" t="s">
        <v>1043</v>
      </c>
      <c r="BV22">
        <v>65.489999999999995</v>
      </c>
      <c r="BW22">
        <v>58.27</v>
      </c>
      <c r="BX22">
        <v>61.97</v>
      </c>
      <c r="BY22">
        <v>29.12</v>
      </c>
      <c r="BZ22">
        <v>20.12</v>
      </c>
      <c r="CA22">
        <v>23.63</v>
      </c>
      <c r="CB22">
        <v>6.32</v>
      </c>
      <c r="CC22">
        <v>3.62</v>
      </c>
      <c r="CD22" t="s">
        <v>1248</v>
      </c>
      <c r="CE22" t="s">
        <v>1249</v>
      </c>
      <c r="CF22" s="8">
        <v>-9.0979748427672841E-2</v>
      </c>
      <c r="CG22" s="9">
        <v>-4.6541887218045114E-2</v>
      </c>
      <c r="CH22" s="8">
        <v>-0.2511705756187439</v>
      </c>
      <c r="CI22" s="8">
        <v>-0.32322314381599426</v>
      </c>
      <c r="CJ22" s="8">
        <v>0.12589190900325775</v>
      </c>
      <c r="CK22" s="8">
        <v>0.20961774885654449</v>
      </c>
      <c r="CL22" s="8">
        <v>-0.43758669495582581</v>
      </c>
      <c r="CM22" s="9">
        <v>-0.42071196436882019</v>
      </c>
      <c r="CN22" s="9">
        <v>-0.41643059253692627</v>
      </c>
      <c r="CO22" s="9">
        <v>-0.13972385227680206</v>
      </c>
      <c r="CP22" s="9">
        <v>0.20568077266216278</v>
      </c>
      <c r="CQ22" s="9">
        <v>-0.11062717437744141</v>
      </c>
      <c r="CR22">
        <v>9.5812990984360624</v>
      </c>
      <c r="CS22">
        <v>0.70818280065594841</v>
      </c>
      <c r="CT22">
        <v>4.1958041958041958</v>
      </c>
      <c r="CU22" s="8">
        <v>-0.13529415130615235</v>
      </c>
      <c r="CV22" s="9">
        <v>-0.17636256217956542</v>
      </c>
      <c r="CW22">
        <v>0.06</v>
      </c>
      <c r="CX22">
        <v>11.139832681564245</v>
      </c>
      <c r="CY22" t="s">
        <v>1250</v>
      </c>
      <c r="CZ22">
        <v>-0.13529415130615235</v>
      </c>
      <c r="DA22">
        <v>3.7132775605214152</v>
      </c>
      <c r="DB22" t="s">
        <v>1251</v>
      </c>
      <c r="DC22">
        <v>-0.12852944374084474</v>
      </c>
      <c r="DD22">
        <v>1.8566387802607076</v>
      </c>
      <c r="DE22" t="s">
        <v>1252</v>
      </c>
      <c r="DF22">
        <v>-0.11905885314941407</v>
      </c>
      <c r="DG22">
        <v>1.1139832681564246</v>
      </c>
      <c r="DH22" t="s">
        <v>1253</v>
      </c>
      <c r="DI22">
        <v>-0.10823532104492189</v>
      </c>
      <c r="DJ22">
        <v>0.55699163407821228</v>
      </c>
      <c r="DK22" t="s">
        <v>1254</v>
      </c>
      <c r="DL22">
        <v>-9.4705905914306637E-2</v>
      </c>
      <c r="DM22">
        <v>358000000</v>
      </c>
      <c r="DN22">
        <v>-0.13529415130615235</v>
      </c>
      <c r="DO22">
        <v>3988060100</v>
      </c>
      <c r="DP22">
        <v>7016866500</v>
      </c>
      <c r="DQ22">
        <v>248</v>
      </c>
      <c r="DR22">
        <v>4.4314402878479514E-2</v>
      </c>
      <c r="DS22">
        <v>0.1298206749615203</v>
      </c>
      <c r="DT22" s="10">
        <v>-0.3</v>
      </c>
      <c r="DU22">
        <v>-0.42</v>
      </c>
      <c r="DV22">
        <v>-0.72</v>
      </c>
      <c r="DW22">
        <v>5.5727848101265822</v>
      </c>
      <c r="DX22">
        <v>0.89145876023392023</v>
      </c>
      <c r="DY22">
        <v>5.1325760620327188</v>
      </c>
      <c r="DZ22">
        <v>3732</v>
      </c>
      <c r="EA22">
        <v>5.0345039384437982</v>
      </c>
      <c r="EB22">
        <v>5</v>
      </c>
      <c r="EC22">
        <v>2.6085134944008447E-2</v>
      </c>
      <c r="ED22">
        <v>0.11269883930740433</v>
      </c>
      <c r="EE22" s="11">
        <v>1.0288999999999999</v>
      </c>
      <c r="EF22">
        <v>1.0292250000000001</v>
      </c>
      <c r="EG22">
        <v>66.23145876023392</v>
      </c>
      <c r="EH22" t="s">
        <v>835</v>
      </c>
      <c r="EI22">
        <v>1</v>
      </c>
      <c r="EJ22">
        <v>0</v>
      </c>
      <c r="EK22" s="13">
        <v>45128</v>
      </c>
      <c r="EL22" s="14">
        <v>-3.7000000000000002E-3</v>
      </c>
      <c r="EM22" s="14">
        <v>0.75</v>
      </c>
      <c r="EN22" s="14">
        <v>0</v>
      </c>
      <c r="EO22" s="14">
        <v>0</v>
      </c>
      <c r="EP22" s="14">
        <v>0</v>
      </c>
    </row>
    <row r="23" spans="1:146" ht="88.5" customHeight="1" x14ac:dyDescent="0.25">
      <c r="A23" s="7"/>
      <c r="B23" s="7"/>
      <c r="C23" s="16" t="str">
        <f>""&amp;CHAR(10)&amp;Basic_Fundamental_Information_Constructure(F23)&amp;CHAR(10)&amp;Basic_Fundamental_Information_Concatenate("")</f>
        <v xml:space="preserve">
市值100.768342亿, 利润3393.95万; PE; 平均PE23.61; 平均PEG.44, PB3.26; ROIC1.4467%; ROE6.84%; 股利率.069%; 毛利20.3867%; 净利2.98%; 上一年度营收增164.52%, 利润增-85.62%; 当季营收增-31.89%, 利润增-385.97%; 过往5年营收增54.06%, 利润增-29.97%
Income profile:
</v>
      </c>
      <c r="D23" t="s">
        <v>183</v>
      </c>
      <c r="E23" t="s">
        <v>47</v>
      </c>
      <c r="F23">
        <v>14.49</v>
      </c>
      <c r="G23">
        <v>3.5000000000000003E-2</v>
      </c>
      <c r="H23" t="s">
        <v>1257</v>
      </c>
      <c r="I23">
        <v>10076834200</v>
      </c>
      <c r="K23">
        <v>3.26</v>
      </c>
      <c r="L23" t="s">
        <v>1589</v>
      </c>
      <c r="M23" t="s">
        <v>1258</v>
      </c>
      <c r="N23" t="s">
        <v>1259</v>
      </c>
      <c r="O23" t="s">
        <v>1260</v>
      </c>
      <c r="P23">
        <v>-31.89</v>
      </c>
      <c r="Q23" t="s">
        <v>1261</v>
      </c>
      <c r="R23">
        <v>-201892970</v>
      </c>
      <c r="S23" s="5">
        <v>-3.86</v>
      </c>
      <c r="T23" t="s">
        <v>1262</v>
      </c>
      <c r="U23">
        <v>695433690</v>
      </c>
      <c r="V23">
        <v>695433690</v>
      </c>
      <c r="W23">
        <v>7.46</v>
      </c>
      <c r="X23">
        <v>0.02</v>
      </c>
      <c r="Y23">
        <v>-3.42</v>
      </c>
      <c r="Z23" t="s">
        <v>1263</v>
      </c>
      <c r="AA23" t="s">
        <v>1264</v>
      </c>
      <c r="AB23" t="s">
        <v>178</v>
      </c>
      <c r="AC23" t="s">
        <v>1265</v>
      </c>
      <c r="AD23" t="s">
        <v>1266</v>
      </c>
      <c r="AE23">
        <v>88826979</v>
      </c>
      <c r="AF23" t="s">
        <v>1267</v>
      </c>
      <c r="AG23" t="s">
        <v>1268</v>
      </c>
      <c r="AH23" t="s">
        <v>1061</v>
      </c>
      <c r="AI23" t="s">
        <v>1269</v>
      </c>
      <c r="AJ23" t="s">
        <v>1270</v>
      </c>
      <c r="AK23" t="s">
        <v>24</v>
      </c>
      <c r="AL23" t="s">
        <v>1271</v>
      </c>
      <c r="AM23" t="s">
        <v>24</v>
      </c>
      <c r="AN23">
        <v>0</v>
      </c>
      <c r="AO23" t="s">
        <v>1272</v>
      </c>
      <c r="AP23" t="s">
        <v>1273</v>
      </c>
      <c r="AQ23" t="s">
        <v>1274</v>
      </c>
      <c r="AR23" t="s">
        <v>1275</v>
      </c>
      <c r="AS23" t="s">
        <v>1276</v>
      </c>
      <c r="AT23" t="s">
        <v>1277</v>
      </c>
      <c r="AU23" t="s">
        <v>1278</v>
      </c>
      <c r="AV23" t="s">
        <v>155</v>
      </c>
      <c r="AW23" t="s">
        <v>1098</v>
      </c>
      <c r="AX23" t="s">
        <v>875</v>
      </c>
      <c r="AY23" t="s">
        <v>509</v>
      </c>
      <c r="AZ23" t="s">
        <v>184</v>
      </c>
      <c r="BA23" t="s">
        <v>510</v>
      </c>
      <c r="BB23" t="s">
        <v>511</v>
      </c>
      <c r="BC23" t="s">
        <v>725</v>
      </c>
      <c r="BD23" t="s">
        <v>421</v>
      </c>
      <c r="BE23" t="s">
        <v>179</v>
      </c>
      <c r="BF23" t="s">
        <v>159</v>
      </c>
      <c r="BG23" t="s">
        <v>284</v>
      </c>
      <c r="BH23" t="s">
        <v>1261</v>
      </c>
      <c r="BI23" t="s">
        <v>1279</v>
      </c>
      <c r="BJ23" t="s">
        <v>875</v>
      </c>
      <c r="BK23" t="s">
        <v>1262</v>
      </c>
      <c r="BL23" t="s">
        <v>1280</v>
      </c>
      <c r="BM23" t="s">
        <v>725</v>
      </c>
      <c r="BN23">
        <v>1.41</v>
      </c>
      <c r="BO23">
        <v>1.33</v>
      </c>
      <c r="BP23">
        <v>1.6</v>
      </c>
      <c r="BQ23">
        <v>1.03</v>
      </c>
      <c r="BR23">
        <v>7.47</v>
      </c>
      <c r="BS23">
        <v>12.02</v>
      </c>
      <c r="BT23" t="s">
        <v>1120</v>
      </c>
      <c r="BU23" t="s">
        <v>1043</v>
      </c>
      <c r="BV23">
        <v>11.73</v>
      </c>
      <c r="BW23">
        <v>22.91</v>
      </c>
      <c r="BX23">
        <v>26.52</v>
      </c>
      <c r="BY23">
        <v>-3.42</v>
      </c>
      <c r="BZ23">
        <v>5.08</v>
      </c>
      <c r="CA23">
        <v>7.28</v>
      </c>
      <c r="CB23">
        <v>8.2200000000000006</v>
      </c>
      <c r="CC23">
        <v>0.76</v>
      </c>
      <c r="CD23" t="s">
        <v>285</v>
      </c>
      <c r="CE23" t="s">
        <v>1281</v>
      </c>
      <c r="CF23" s="8">
        <v>-0.31893191489361694</v>
      </c>
      <c r="CG23" s="9">
        <v>-3.8597266519192859</v>
      </c>
      <c r="CH23" s="8">
        <v>1.6452343463897705</v>
      </c>
      <c r="CI23" s="8">
        <v>0.1822764128446579</v>
      </c>
      <c r="CJ23" s="8">
        <v>-0.12536437809467316</v>
      </c>
      <c r="CK23" s="8">
        <v>0.5716361403465271</v>
      </c>
      <c r="CL23" s="8">
        <v>0.4291645884513855</v>
      </c>
      <c r="CM23" s="9">
        <v>-0.85618853569030762</v>
      </c>
      <c r="CN23" s="9">
        <v>-0.31988471746444702</v>
      </c>
      <c r="CO23" s="9">
        <v>-0.35977858304977417</v>
      </c>
      <c r="CP23" s="9">
        <v>-0.33086419105529785</v>
      </c>
      <c r="CQ23" s="9">
        <v>0.36824324727058411</v>
      </c>
      <c r="CR23">
        <v>23.60891586857089</v>
      </c>
      <c r="CS23">
        <v>0.43672545019046505</v>
      </c>
      <c r="CT23">
        <v>6.901311249137336E-2</v>
      </c>
      <c r="CU23" s="8">
        <v>0.54058942198753357</v>
      </c>
      <c r="CV23" s="9">
        <v>-0.2996945559978485</v>
      </c>
      <c r="CW23">
        <v>0.06</v>
      </c>
      <c r="CX23">
        <v>2285.0238490427869</v>
      </c>
      <c r="CY23">
        <v>49327202.535420656</v>
      </c>
      <c r="CZ23">
        <v>0.54058942198753357</v>
      </c>
      <c r="DA23">
        <v>520.69887213186166</v>
      </c>
      <c r="DB23">
        <v>216466445.83369943</v>
      </c>
      <c r="DC23">
        <v>0.51355995088815687</v>
      </c>
      <c r="DD23">
        <v>148.9513606488288</v>
      </c>
      <c r="DE23">
        <v>756715707.12090898</v>
      </c>
      <c r="DF23">
        <v>0.47571869134902955</v>
      </c>
      <c r="DG23">
        <v>44.709563084300015</v>
      </c>
      <c r="DH23">
        <v>2521022940.6061907</v>
      </c>
      <c r="DI23">
        <v>0.43247153759002688</v>
      </c>
      <c r="DJ23">
        <v>4.03360085671404</v>
      </c>
      <c r="DK23">
        <v>27943725272.763348</v>
      </c>
      <c r="DL23">
        <v>0.37841259539127348</v>
      </c>
      <c r="DM23">
        <v>33939500</v>
      </c>
      <c r="DN23">
        <v>0.54058942198753357</v>
      </c>
      <c r="DO23">
        <v>112713834200.00002</v>
      </c>
      <c r="DP23">
        <v>57593248000</v>
      </c>
      <c r="DQ23">
        <v>263</v>
      </c>
      <c r="DR23">
        <v>-0.85952133688115051</v>
      </c>
      <c r="DS23">
        <v>-3.5600320959214375</v>
      </c>
      <c r="DT23" s="10">
        <v>0.47999999999999993</v>
      </c>
      <c r="DU23">
        <v>-1.5316666666666665</v>
      </c>
      <c r="DV23">
        <v>-1.0516666666666665</v>
      </c>
      <c r="DW23">
        <v>5.0924574209245739</v>
      </c>
      <c r="DX23">
        <v>0.6933477321814232</v>
      </c>
      <c r="DY23">
        <v>5.0141781358221271</v>
      </c>
      <c r="DZ23">
        <v>4005</v>
      </c>
      <c r="EA23">
        <v>5.0029227475232929</v>
      </c>
      <c r="EB23">
        <v>5</v>
      </c>
      <c r="EC23">
        <v>0.20418912980761689</v>
      </c>
      <c r="ED23">
        <v>1.3315431986046002</v>
      </c>
      <c r="EE23" s="11">
        <v>2.0274100000000002</v>
      </c>
      <c r="EF23">
        <v>2.0270600000000001</v>
      </c>
      <c r="EG23">
        <v>54.153347732181423</v>
      </c>
      <c r="EH23" t="s">
        <v>836</v>
      </c>
      <c r="EI23">
        <v>1</v>
      </c>
      <c r="EJ23">
        <v>0</v>
      </c>
      <c r="EK23" s="13">
        <v>45128</v>
      </c>
      <c r="EL23" s="14">
        <v>-1.0500000000000001E-2</v>
      </c>
      <c r="EM23" s="14">
        <v>1.1299999999999999</v>
      </c>
      <c r="EN23" s="14">
        <v>1.94</v>
      </c>
      <c r="EO23" s="14">
        <v>2.2200000000000002</v>
      </c>
      <c r="EP23" s="14">
        <v>6.1899999999999997E-2</v>
      </c>
    </row>
    <row r="24" spans="1:146" ht="88.5" customHeight="1" x14ac:dyDescent="0.25">
      <c r="A24" s="7"/>
      <c r="B24" s="7"/>
      <c r="C24" s="16" t="str">
        <f>""&amp;CHAR(10)&amp;Basic_Fundamental_Information_Constructure(F24)&amp;CHAR(10)&amp;Basic_Fundamental_Information_Concatenate("")</f>
        <v xml:space="preserve">
市值37.226875亿, 利润3901.10万; PE20.3; 平均PE20.8; 平均PEG1.27, PB.718; ROIC1.45%; ROE.6233%; 股利率.4219%; 毛利26.6033%; 净利2.8133%; 上一年度营收增29.69%, 利润增28.12%; 当季营收增45.38%, 利润增151.48%; 过往5年营收增16.35%, 利润增-19.75%
Income profile:
</v>
      </c>
      <c r="D24" t="s">
        <v>185</v>
      </c>
      <c r="E24" t="s">
        <v>20</v>
      </c>
      <c r="F24">
        <v>2.37</v>
      </c>
      <c r="G24">
        <v>0.42</v>
      </c>
      <c r="H24" t="s">
        <v>2013</v>
      </c>
      <c r="I24">
        <v>3722687500</v>
      </c>
      <c r="J24">
        <v>20.3</v>
      </c>
      <c r="K24">
        <v>0.71799999999999997</v>
      </c>
      <c r="L24" t="s">
        <v>1589</v>
      </c>
      <c r="M24" t="s">
        <v>2014</v>
      </c>
      <c r="N24" t="s">
        <v>2015</v>
      </c>
      <c r="O24" t="s">
        <v>2016</v>
      </c>
      <c r="P24">
        <v>45.41</v>
      </c>
      <c r="Q24" t="s">
        <v>2017</v>
      </c>
      <c r="R24">
        <v>49068029</v>
      </c>
      <c r="S24" s="5">
        <v>1.5149999999999999</v>
      </c>
      <c r="T24" t="s">
        <v>2018</v>
      </c>
      <c r="U24">
        <v>1570164500</v>
      </c>
      <c r="V24">
        <v>1570754200</v>
      </c>
      <c r="W24">
        <v>4.0199999999999996</v>
      </c>
      <c r="X24">
        <v>0.04</v>
      </c>
      <c r="Y24">
        <v>7.88</v>
      </c>
      <c r="Z24" t="s">
        <v>2019</v>
      </c>
      <c r="AA24" t="s">
        <v>1457</v>
      </c>
      <c r="AB24" t="s">
        <v>2020</v>
      </c>
      <c r="AC24" t="s">
        <v>2021</v>
      </c>
      <c r="AD24" t="s">
        <v>24</v>
      </c>
      <c r="AE24">
        <v>-61220532</v>
      </c>
      <c r="AF24" t="s">
        <v>2022</v>
      </c>
      <c r="AG24" t="s">
        <v>2023</v>
      </c>
      <c r="AH24" t="s">
        <v>2024</v>
      </c>
      <c r="AI24" t="s">
        <v>2025</v>
      </c>
      <c r="AJ24" t="s">
        <v>2026</v>
      </c>
      <c r="AK24" t="s">
        <v>2027</v>
      </c>
      <c r="AL24" t="s">
        <v>2028</v>
      </c>
      <c r="AM24" t="s">
        <v>24</v>
      </c>
      <c r="AN24">
        <v>0</v>
      </c>
      <c r="AO24" t="s">
        <v>2029</v>
      </c>
      <c r="AP24" t="s">
        <v>552</v>
      </c>
      <c r="AQ24" t="s">
        <v>2030</v>
      </c>
      <c r="AR24" t="s">
        <v>2031</v>
      </c>
      <c r="AS24" t="s">
        <v>2032</v>
      </c>
      <c r="AT24" t="s">
        <v>2033</v>
      </c>
      <c r="AU24" t="s">
        <v>2034</v>
      </c>
      <c r="AV24" t="s">
        <v>2035</v>
      </c>
      <c r="AW24" t="s">
        <v>1068</v>
      </c>
      <c r="AX24" t="s">
        <v>1282</v>
      </c>
      <c r="AY24" t="s">
        <v>876</v>
      </c>
      <c r="AZ24" t="s">
        <v>512</v>
      </c>
      <c r="BA24" t="s">
        <v>186</v>
      </c>
      <c r="BB24" t="s">
        <v>513</v>
      </c>
      <c r="BC24" t="s">
        <v>1283</v>
      </c>
      <c r="BD24" t="s">
        <v>877</v>
      </c>
      <c r="BE24" t="s">
        <v>225</v>
      </c>
      <c r="BF24" t="s">
        <v>187</v>
      </c>
      <c r="BG24" t="s">
        <v>507</v>
      </c>
      <c r="BH24" t="s">
        <v>2017</v>
      </c>
      <c r="BI24" t="s">
        <v>2036</v>
      </c>
      <c r="BJ24" t="s">
        <v>1282</v>
      </c>
      <c r="BK24" t="s">
        <v>2018</v>
      </c>
      <c r="BL24" t="s">
        <v>2037</v>
      </c>
      <c r="BM24" t="s">
        <v>1283</v>
      </c>
      <c r="BN24">
        <v>1.37</v>
      </c>
      <c r="BO24">
        <v>1.59</v>
      </c>
      <c r="BP24">
        <v>1.39</v>
      </c>
      <c r="BQ24">
        <v>0.27</v>
      </c>
      <c r="BR24">
        <v>0.59</v>
      </c>
      <c r="BS24">
        <v>1.01</v>
      </c>
      <c r="BT24" t="s">
        <v>1120</v>
      </c>
      <c r="BU24" t="s">
        <v>1043</v>
      </c>
      <c r="BV24">
        <v>37.42</v>
      </c>
      <c r="BW24">
        <v>24.3</v>
      </c>
      <c r="BX24">
        <v>18.09</v>
      </c>
      <c r="BY24">
        <v>4.6399999999999997</v>
      </c>
      <c r="BZ24">
        <v>2.02</v>
      </c>
      <c r="CA24">
        <v>1.78</v>
      </c>
      <c r="CB24">
        <v>1.72</v>
      </c>
      <c r="CC24">
        <v>-17.71</v>
      </c>
      <c r="CD24" t="s">
        <v>1407</v>
      </c>
      <c r="CE24" t="s">
        <v>2038</v>
      </c>
      <c r="CF24" s="8">
        <v>0.45380875202593213</v>
      </c>
      <c r="CG24" s="9">
        <v>1.514762960336377</v>
      </c>
      <c r="CH24" s="8">
        <v>0.29692411422729492</v>
      </c>
      <c r="CI24" s="8">
        <v>-0.1559939980506897</v>
      </c>
      <c r="CJ24" s="8">
        <v>0.48917517066001892</v>
      </c>
      <c r="CK24" s="8">
        <v>0.11366253346204758</v>
      </c>
      <c r="CL24" s="8">
        <v>7.3541522026062012E-2</v>
      </c>
      <c r="CM24" s="9">
        <v>0.28124621510505676</v>
      </c>
      <c r="CN24" s="9">
        <v>-0.43209528923034668</v>
      </c>
      <c r="CO24" s="9">
        <v>-0.81319129467010498</v>
      </c>
      <c r="CP24" s="9">
        <v>-0.20055709779262543</v>
      </c>
      <c r="CQ24" s="9">
        <v>0.1770491749048233</v>
      </c>
      <c r="CR24">
        <v>20.795727254241982</v>
      </c>
      <c r="CS24">
        <v>1.2722066283428957</v>
      </c>
      <c r="CT24">
        <v>0.4219409282700422</v>
      </c>
      <c r="CU24" s="8">
        <v>0.16346186846494676</v>
      </c>
      <c r="CV24" s="9">
        <v>-0.19750965833663942</v>
      </c>
      <c r="CW24">
        <v>0.06</v>
      </c>
      <c r="CX24">
        <v>351.00764756664688</v>
      </c>
      <c r="CY24">
        <v>42818689.576118901</v>
      </c>
      <c r="CZ24">
        <v>0.16346186846494676</v>
      </c>
      <c r="DA24">
        <v>107.84504318658577</v>
      </c>
      <c r="DB24">
        <v>139363730.1808736</v>
      </c>
      <c r="DC24">
        <v>0.15528877504169941</v>
      </c>
      <c r="DD24">
        <v>48.778801407628102</v>
      </c>
      <c r="DE24">
        <v>308119245.78469932</v>
      </c>
      <c r="DF24">
        <v>0.14384644424915316</v>
      </c>
      <c r="DG24">
        <v>26.541832845006784</v>
      </c>
      <c r="DH24">
        <v>566264115.51030016</v>
      </c>
      <c r="DI24">
        <v>0.1307694947719574</v>
      </c>
      <c r="DJ24">
        <v>10.926149646532831</v>
      </c>
      <c r="DK24">
        <v>1375570350.6009855</v>
      </c>
      <c r="DL24">
        <v>0.11442330792546272</v>
      </c>
      <c r="DM24">
        <v>39011000</v>
      </c>
      <c r="DN24">
        <v>0.16346186846494676</v>
      </c>
      <c r="DO24">
        <v>15029687500</v>
      </c>
      <c r="DP24">
        <v>9080028000</v>
      </c>
      <c r="DQ24">
        <v>290</v>
      </c>
      <c r="DR24">
        <v>0.29034688356098537</v>
      </c>
      <c r="DS24">
        <v>1.7122726186730164</v>
      </c>
      <c r="DT24" s="10">
        <v>-0.28999999999999998</v>
      </c>
      <c r="DU24">
        <v>0.33333333333333331</v>
      </c>
      <c r="DV24">
        <v>4.3333333333333335E-2</v>
      </c>
      <c r="DW24">
        <v>-3.0193392857142856</v>
      </c>
      <c r="DX24">
        <v>0.31131474103585732</v>
      </c>
      <c r="DY24">
        <v>-3.0033131047239614</v>
      </c>
      <c r="DZ24">
        <v>1602</v>
      </c>
      <c r="EA24">
        <v>-3.0022744366676433</v>
      </c>
      <c r="EB24">
        <v>3</v>
      </c>
      <c r="EC24">
        <v>8.2126153156235393E-2</v>
      </c>
      <c r="ED24">
        <v>0.47938754516779264</v>
      </c>
      <c r="EE24" s="11">
        <v>1.0399</v>
      </c>
      <c r="EF24">
        <v>1.0314000000000001</v>
      </c>
      <c r="EG24">
        <v>14.171314741035857</v>
      </c>
      <c r="EH24" t="s">
        <v>904</v>
      </c>
      <c r="EI24">
        <v>0</v>
      </c>
      <c r="EJ24">
        <v>0</v>
      </c>
      <c r="EK24" s="13">
        <v>45470</v>
      </c>
      <c r="EL24" s="14">
        <v>0.43</v>
      </c>
      <c r="EM24" s="14">
        <v>-2.98</v>
      </c>
      <c r="EN24" s="14">
        <v>2.19</v>
      </c>
      <c r="EO24" s="14">
        <v>0.86</v>
      </c>
      <c r="EP24" s="14">
        <v>-0.85</v>
      </c>
    </row>
    <row r="25" spans="1:146" ht="88.5" customHeight="1" x14ac:dyDescent="0.25">
      <c r="A25" s="7"/>
      <c r="B25" s="7"/>
      <c r="C25" s="16" t="str">
        <f>"公司是以房地产业务为主营业务的上市公司，同时经营环保产业。公司业务范围主要在重庆市、天津市、江苏省、山东省、河北省、广东省等省市区。主要产品是房地产、环保板块。"&amp;CHAR(10)&amp;Basic_Fundamental_Information_Constructure(F25)&amp;CHAR(10)&amp;Basic_Fundamental_Information_Concatenate("房地产销售 20.65亿 96.62% 97.62% 29.09%
环保板块收入 6986.85万 3.27% 2.01% 17.66%")</f>
        <v>公司是以房地产业务为主营业务的上市公司，同时经营环保产业。公司业务范围主要在重庆市、天津市、江苏省、山东省、河北省、广东省等省市区。主要产品是房地产、环保板块。
市值44.018487亿, 利润-2.30亿; PE; 平均PE-60.72; 平均PEG-2.42, PB4.57; ROIC3.58%; ROE-20.6633%; 股利率0%; 毛利12.1533%; 净利-4.6333%; 上一年度营收增-16.99%, 利润增68.92%; 当季营收增45.07%, 利润增-127.54%; 过往5年营收增25.05%, 利润增-141.76%
Income profile:
房地产销售 20.65亿 96.62% 97.62% 29.09%
环保板块收入 6986.85万 3.27% 2.01% 17.66%</v>
      </c>
      <c r="D25" t="s">
        <v>189</v>
      </c>
      <c r="E25" t="s">
        <v>10</v>
      </c>
      <c r="F25">
        <v>4</v>
      </c>
      <c r="G25">
        <v>5.5399999999999998E-2</v>
      </c>
      <c r="H25" t="s">
        <v>1285</v>
      </c>
      <c r="I25">
        <v>4401848700</v>
      </c>
      <c r="K25">
        <v>4.57</v>
      </c>
      <c r="L25" t="s">
        <v>1589</v>
      </c>
      <c r="M25" t="s">
        <v>1286</v>
      </c>
      <c r="N25" t="s">
        <v>1287</v>
      </c>
      <c r="O25" t="s">
        <v>1288</v>
      </c>
      <c r="P25">
        <v>45.01</v>
      </c>
      <c r="Q25" t="s">
        <v>1289</v>
      </c>
      <c r="R25">
        <v>-4943017</v>
      </c>
      <c r="S25" s="6">
        <v>-1.2749999999999999</v>
      </c>
      <c r="T25" t="s">
        <v>1290</v>
      </c>
      <c r="U25">
        <v>1053765860</v>
      </c>
      <c r="V25">
        <v>1100462170</v>
      </c>
      <c r="W25">
        <v>6</v>
      </c>
      <c r="X25">
        <v>0.22</v>
      </c>
      <c r="Y25">
        <v>-0.42</v>
      </c>
      <c r="Z25" t="s">
        <v>1291</v>
      </c>
      <c r="AA25" t="s">
        <v>1292</v>
      </c>
      <c r="AB25" t="s">
        <v>1293</v>
      </c>
      <c r="AC25" t="s">
        <v>1294</v>
      </c>
      <c r="AD25" t="s">
        <v>1295</v>
      </c>
      <c r="AE25">
        <v>-156046</v>
      </c>
      <c r="AF25" t="s">
        <v>1296</v>
      </c>
      <c r="AG25" t="s">
        <v>1297</v>
      </c>
      <c r="AH25" t="s">
        <v>1298</v>
      </c>
      <c r="AI25" t="s">
        <v>1299</v>
      </c>
      <c r="AJ25" t="s">
        <v>1300</v>
      </c>
      <c r="AK25" t="s">
        <v>24</v>
      </c>
      <c r="AL25" t="s">
        <v>1301</v>
      </c>
      <c r="AM25" t="s">
        <v>24</v>
      </c>
      <c r="AN25" t="s">
        <v>1302</v>
      </c>
      <c r="AO25" t="s">
        <v>1303</v>
      </c>
      <c r="AP25" t="s">
        <v>235</v>
      </c>
      <c r="AQ25" t="s">
        <v>1304</v>
      </c>
      <c r="AR25" t="s">
        <v>1305</v>
      </c>
      <c r="AS25" t="s">
        <v>1306</v>
      </c>
      <c r="AT25" t="s">
        <v>1307</v>
      </c>
      <c r="AU25" t="s">
        <v>1308</v>
      </c>
      <c r="AV25" t="s">
        <v>1309</v>
      </c>
      <c r="AW25" t="s">
        <v>1310</v>
      </c>
      <c r="AX25" t="s">
        <v>880</v>
      </c>
      <c r="AY25" t="s">
        <v>515</v>
      </c>
      <c r="AZ25" t="s">
        <v>190</v>
      </c>
      <c r="BA25" t="s">
        <v>517</v>
      </c>
      <c r="BB25" t="s">
        <v>377</v>
      </c>
      <c r="BC25" t="s">
        <v>881</v>
      </c>
      <c r="BD25" t="s">
        <v>150</v>
      </c>
      <c r="BE25" t="s">
        <v>191</v>
      </c>
      <c r="BF25" t="s">
        <v>207</v>
      </c>
      <c r="BG25" t="s">
        <v>518</v>
      </c>
      <c r="BH25" t="s">
        <v>1289</v>
      </c>
      <c r="BI25" t="s">
        <v>883</v>
      </c>
      <c r="BJ25" t="s">
        <v>880</v>
      </c>
      <c r="BK25" t="s">
        <v>1290</v>
      </c>
      <c r="BL25" t="s">
        <v>1311</v>
      </c>
      <c r="BM25" t="s">
        <v>881</v>
      </c>
      <c r="BN25" t="s">
        <v>24</v>
      </c>
      <c r="BO25" t="s">
        <v>24</v>
      </c>
      <c r="BP25">
        <v>3.58</v>
      </c>
      <c r="BQ25">
        <v>-21.19</v>
      </c>
      <c r="BR25">
        <v>-46.68</v>
      </c>
      <c r="BS25">
        <v>5.88</v>
      </c>
      <c r="BT25" t="s">
        <v>1115</v>
      </c>
      <c r="BU25" t="s">
        <v>1043</v>
      </c>
      <c r="BV25">
        <v>6.14</v>
      </c>
      <c r="BW25">
        <v>12.86</v>
      </c>
      <c r="BX25">
        <v>17.46</v>
      </c>
      <c r="BY25">
        <v>-0.42</v>
      </c>
      <c r="BZ25">
        <v>-17.760000000000002</v>
      </c>
      <c r="CA25">
        <v>4.28</v>
      </c>
      <c r="CB25">
        <v>8.99</v>
      </c>
      <c r="CC25">
        <v>6.67</v>
      </c>
      <c r="CD25" t="s">
        <v>1312</v>
      </c>
      <c r="CE25" t="s">
        <v>1192</v>
      </c>
      <c r="CF25" s="8">
        <v>0.45066222391469918</v>
      </c>
      <c r="CG25" s="9">
        <v>-1.2753785257856589</v>
      </c>
      <c r="CH25" s="8">
        <v>-0.16993077099323273</v>
      </c>
      <c r="CI25" s="8">
        <v>-0.16473887860774994</v>
      </c>
      <c r="CJ25" s="8">
        <v>0.78314673900604248</v>
      </c>
      <c r="CK25" s="8">
        <v>0.11351701617240906</v>
      </c>
      <c r="CL25" s="8">
        <v>0.69051575660705566</v>
      </c>
      <c r="CM25" s="9">
        <v>0.68918919563293457</v>
      </c>
      <c r="CN25" s="9">
        <v>-7.379310131072998</v>
      </c>
      <c r="CO25" s="9">
        <v>6.4220182597637177E-2</v>
      </c>
      <c r="CP25" s="9">
        <v>-4.3859649449586868E-2</v>
      </c>
      <c r="CQ25" s="9">
        <v>-0.41836735606193542</v>
      </c>
      <c r="CR25">
        <v>-60.715154482758621</v>
      </c>
      <c r="CS25">
        <v>-2.4237395774618591</v>
      </c>
      <c r="CT25">
        <v>0</v>
      </c>
      <c r="CU25" s="8">
        <v>0.25050197243690492</v>
      </c>
      <c r="CV25" s="9">
        <v>-1.4176255516707896</v>
      </c>
      <c r="CW25">
        <v>0.06</v>
      </c>
      <c r="CX25" t="e">
        <v>#VALUE!</v>
      </c>
      <c r="CY25" t="s">
        <v>849</v>
      </c>
      <c r="CZ25">
        <v>0.25050197243690492</v>
      </c>
      <c r="DA25" t="e">
        <v>#VALUE!</v>
      </c>
      <c r="DB25" t="s">
        <v>850</v>
      </c>
      <c r="DC25">
        <v>0.23797687381505966</v>
      </c>
      <c r="DD25" t="e">
        <v>#VALUE!</v>
      </c>
      <c r="DE25" t="s">
        <v>850</v>
      </c>
      <c r="DF25">
        <v>0.22044173574447634</v>
      </c>
      <c r="DG25" t="e">
        <v>#VALUE!</v>
      </c>
      <c r="DH25" t="s">
        <v>850</v>
      </c>
      <c r="DI25">
        <v>0.20040157794952396</v>
      </c>
      <c r="DJ25" t="e">
        <v>#VALUE!</v>
      </c>
      <c r="DK25" t="s">
        <v>850</v>
      </c>
      <c r="DL25">
        <v>0.17535138070583342</v>
      </c>
      <c r="DM25">
        <v>-229999999.99999997</v>
      </c>
      <c r="DN25">
        <v>0.25050197243690492</v>
      </c>
      <c r="DO25">
        <v>9028848700</v>
      </c>
      <c r="DP25">
        <v>1192495000</v>
      </c>
      <c r="DQ25">
        <v>327</v>
      </c>
      <c r="DR25">
        <v>0.20016025147779426</v>
      </c>
      <c r="DS25">
        <v>0.14224702588513072</v>
      </c>
      <c r="DT25" s="10">
        <v>0.36999999999999994</v>
      </c>
      <c r="DU25">
        <v>-1.7983333333333336</v>
      </c>
      <c r="DV25">
        <v>-1.4283333333333337</v>
      </c>
      <c r="DW25">
        <v>5.741935483870968</v>
      </c>
      <c r="DX25">
        <v>0.63841911764705794</v>
      </c>
      <c r="DY25">
        <v>5.1397948292220113</v>
      </c>
      <c r="DZ25">
        <v>4261</v>
      </c>
      <c r="EA25">
        <v>5.0217243104281577</v>
      </c>
      <c r="EB25">
        <v>5</v>
      </c>
      <c r="EC25">
        <v>0.18628536771963725</v>
      </c>
      <c r="ED25">
        <v>0.98867551258031883</v>
      </c>
      <c r="EE25" s="11">
        <v>0.1158</v>
      </c>
      <c r="EF25">
        <v>0.116354</v>
      </c>
      <c r="EG25">
        <v>45.188419117647058</v>
      </c>
      <c r="EH25" t="s">
        <v>863</v>
      </c>
      <c r="EI25">
        <v>1</v>
      </c>
      <c r="EJ25">
        <v>0</v>
      </c>
      <c r="EK25" s="13">
        <v>45128</v>
      </c>
      <c r="EL25" s="14">
        <v>2.7000000000000001E-3</v>
      </c>
      <c r="EM25" s="14">
        <v>0.54</v>
      </c>
      <c r="EN25" s="14">
        <v>0.84</v>
      </c>
      <c r="EO25" s="14">
        <v>1.1100000000000001</v>
      </c>
      <c r="EP25" s="14">
        <v>3.0099999999999998E-2</v>
      </c>
    </row>
    <row r="26" spans="1:146" ht="88.5" customHeight="1" x14ac:dyDescent="0.25">
      <c r="A26" s="7"/>
      <c r="B26" s="7"/>
      <c r="C26" s="16" t="str">
        <f>""&amp;CHAR(10)&amp;Basic_Fundamental_Information_Constructure(F26)&amp;CHAR(10)&amp;Basic_Fundamental_Information_Concatenate("")</f>
        <v xml:space="preserve">
市值44.276234亿, 利润123.58万; PE190; 平均PE98.33; 平均PEG8.79, PB.996; ROIC.54%; ROE1.2767%; 股利率0%; 毛利38.31%; 净利-.8167%; 上一年度营收增-18.09%, 利润增-95.87%; 当季营收增-38.59%, 利润增47.67%; 过往5年营收增11.19%, 利润增-12.7%
Income profile:
</v>
      </c>
      <c r="D26" t="s">
        <v>193</v>
      </c>
      <c r="E26" t="s">
        <v>13</v>
      </c>
      <c r="F26">
        <v>3.75</v>
      </c>
      <c r="G26">
        <v>0</v>
      </c>
      <c r="H26" t="s">
        <v>2039</v>
      </c>
      <c r="I26">
        <v>4427623400</v>
      </c>
      <c r="J26">
        <v>190</v>
      </c>
      <c r="K26">
        <v>0.996</v>
      </c>
      <c r="L26" t="s">
        <v>1589</v>
      </c>
      <c r="M26" t="s">
        <v>2040</v>
      </c>
      <c r="N26" t="s">
        <v>2041</v>
      </c>
      <c r="O26" t="s">
        <v>2042</v>
      </c>
      <c r="P26">
        <v>-38.590000000000003</v>
      </c>
      <c r="Q26" t="s">
        <v>2043</v>
      </c>
      <c r="R26">
        <v>-24229759</v>
      </c>
      <c r="S26" s="5">
        <v>0.47670000000000001</v>
      </c>
      <c r="T26" t="s">
        <v>2044</v>
      </c>
      <c r="U26">
        <v>1163615420</v>
      </c>
      <c r="V26">
        <v>1180699560</v>
      </c>
      <c r="W26">
        <v>1.68</v>
      </c>
      <c r="X26">
        <v>0.01</v>
      </c>
      <c r="Y26">
        <v>-105.83</v>
      </c>
      <c r="Z26" t="s">
        <v>2045</v>
      </c>
      <c r="AA26" t="s">
        <v>2046</v>
      </c>
      <c r="AB26" t="s">
        <v>2047</v>
      </c>
      <c r="AC26" t="s">
        <v>2048</v>
      </c>
      <c r="AD26" t="s">
        <v>24</v>
      </c>
      <c r="AE26">
        <v>3893894</v>
      </c>
      <c r="AF26" t="s">
        <v>2049</v>
      </c>
      <c r="AG26" t="s">
        <v>2050</v>
      </c>
      <c r="AH26" t="s">
        <v>2051</v>
      </c>
      <c r="AI26" t="s">
        <v>2052</v>
      </c>
      <c r="AJ26" t="s">
        <v>2053</v>
      </c>
      <c r="AK26" t="s">
        <v>24</v>
      </c>
      <c r="AL26" t="s">
        <v>2054</v>
      </c>
      <c r="AM26" t="s">
        <v>24</v>
      </c>
      <c r="AN26">
        <v>0</v>
      </c>
      <c r="AO26" t="s">
        <v>24</v>
      </c>
      <c r="AP26" t="s">
        <v>24</v>
      </c>
      <c r="AQ26" t="s">
        <v>1853</v>
      </c>
      <c r="AR26" t="s">
        <v>2055</v>
      </c>
      <c r="AS26" t="s">
        <v>2056</v>
      </c>
      <c r="AT26" t="s">
        <v>2057</v>
      </c>
      <c r="AU26" t="s">
        <v>2058</v>
      </c>
      <c r="AV26" t="s">
        <v>2059</v>
      </c>
      <c r="AW26" t="s">
        <v>2060</v>
      </c>
      <c r="AX26" t="s">
        <v>441</v>
      </c>
      <c r="AY26" t="s">
        <v>457</v>
      </c>
      <c r="AZ26" t="s">
        <v>519</v>
      </c>
      <c r="BA26" t="s">
        <v>194</v>
      </c>
      <c r="BB26" t="s">
        <v>521</v>
      </c>
      <c r="BC26" t="s">
        <v>2061</v>
      </c>
      <c r="BD26" t="s">
        <v>180</v>
      </c>
      <c r="BE26" t="s">
        <v>169</v>
      </c>
      <c r="BF26" t="s">
        <v>195</v>
      </c>
      <c r="BG26" t="s">
        <v>522</v>
      </c>
      <c r="BH26" t="s">
        <v>2043</v>
      </c>
      <c r="BI26" t="s">
        <v>2062</v>
      </c>
      <c r="BJ26" t="s">
        <v>441</v>
      </c>
      <c r="BK26" t="s">
        <v>2044</v>
      </c>
      <c r="BL26" t="s">
        <v>2063</v>
      </c>
      <c r="BM26" t="s">
        <v>2061</v>
      </c>
      <c r="BN26">
        <v>0.77</v>
      </c>
      <c r="BO26">
        <v>0.15</v>
      </c>
      <c r="BP26">
        <v>0.7</v>
      </c>
      <c r="BQ26">
        <v>0.74</v>
      </c>
      <c r="BR26">
        <v>0.67</v>
      </c>
      <c r="BS26">
        <v>2.42</v>
      </c>
      <c r="BT26" t="s">
        <v>1115</v>
      </c>
      <c r="BU26" t="s">
        <v>1043</v>
      </c>
      <c r="BV26">
        <v>48.72</v>
      </c>
      <c r="BW26">
        <v>47.45</v>
      </c>
      <c r="BX26">
        <v>18.760000000000002</v>
      </c>
      <c r="BY26">
        <v>-3.82</v>
      </c>
      <c r="BZ26">
        <v>0.45</v>
      </c>
      <c r="CA26">
        <v>0.92</v>
      </c>
      <c r="CB26">
        <v>-6.25</v>
      </c>
      <c r="CC26">
        <v>10.95</v>
      </c>
      <c r="CD26" t="s">
        <v>109</v>
      </c>
      <c r="CE26" t="s">
        <v>2064</v>
      </c>
      <c r="CF26" s="8">
        <v>-0.38592714894310931</v>
      </c>
      <c r="CG26" s="9">
        <v>0.47669489475480226</v>
      </c>
      <c r="CH26" s="8">
        <v>-0.18087473511695862</v>
      </c>
      <c r="CI26" s="8">
        <v>-0.55123090744018555</v>
      </c>
      <c r="CJ26" s="8">
        <v>-0.38515031337738037</v>
      </c>
      <c r="CK26" s="8">
        <v>1.4592554569244385</v>
      </c>
      <c r="CL26" s="8">
        <v>0.21739135682582855</v>
      </c>
      <c r="CM26" s="9">
        <v>-0.95872920751571655</v>
      </c>
      <c r="CN26" s="9">
        <v>-0.7350115180015564</v>
      </c>
      <c r="CO26" s="9">
        <v>-0.62333333492279053</v>
      </c>
      <c r="CP26" s="9">
        <v>6.3829787075519562E-2</v>
      </c>
      <c r="CQ26" s="9">
        <v>1.6184210777282715</v>
      </c>
      <c r="CR26">
        <v>98.326262355211966</v>
      </c>
      <c r="CS26">
        <v>8.7886904998007331</v>
      </c>
      <c r="CT26">
        <v>0</v>
      </c>
      <c r="CU26" s="8">
        <v>0.1118781715631485</v>
      </c>
      <c r="CV26" s="9">
        <v>-0.12696463912725447</v>
      </c>
      <c r="CW26">
        <v>0.06</v>
      </c>
      <c r="CX26">
        <v>2573.9947772759192</v>
      </c>
      <c r="CY26">
        <v>1296282.1173752253</v>
      </c>
      <c r="CZ26">
        <v>0.1118781715631485</v>
      </c>
      <c r="DA26">
        <v>825.75579326101456</v>
      </c>
      <c r="DB26">
        <v>4040690.2709374283</v>
      </c>
      <c r="DC26">
        <v>0.10628426298499107</v>
      </c>
      <c r="DD26">
        <v>396.49663464671801</v>
      </c>
      <c r="DE26">
        <v>8415262.8507754188</v>
      </c>
      <c r="DF26">
        <v>9.8452790975570678E-2</v>
      </c>
      <c r="DG26">
        <v>231.43906322234872</v>
      </c>
      <c r="DH26">
        <v>14416854.931677764</v>
      </c>
      <c r="DI26">
        <v>8.9502537250518807E-2</v>
      </c>
      <c r="DJ26">
        <v>112.22659471665486</v>
      </c>
      <c r="DK26">
        <v>29731129.314082559</v>
      </c>
      <c r="DL26">
        <v>7.8314720094203941E-2</v>
      </c>
      <c r="DM26">
        <v>1235800</v>
      </c>
      <c r="DN26">
        <v>0.1118781715631485</v>
      </c>
      <c r="DO26">
        <v>3336623400</v>
      </c>
      <c r="DP26">
        <v>2772929200</v>
      </c>
      <c r="DQ26">
        <v>332</v>
      </c>
      <c r="DR26">
        <v>-0.49780532050625781</v>
      </c>
      <c r="DS26">
        <v>0.60365953388205673</v>
      </c>
      <c r="DT26" s="10">
        <v>-0.55666666666666675</v>
      </c>
      <c r="DU26">
        <v>-1.1583333333333334</v>
      </c>
      <c r="DV26">
        <v>-1.7150000000000003</v>
      </c>
      <c r="DW26">
        <v>-7.3633720930232558</v>
      </c>
      <c r="DX26">
        <v>0.25321616051296447</v>
      </c>
      <c r="DY26">
        <v>-7.0375058722794206</v>
      </c>
      <c r="DZ26">
        <v>4196</v>
      </c>
      <c r="EA26">
        <v>-7.0067084867443032</v>
      </c>
      <c r="EB26">
        <v>7</v>
      </c>
      <c r="EC26">
        <v>0.11687986061415996</v>
      </c>
      <c r="ED26">
        <v>1.1323795191386368</v>
      </c>
      <c r="EE26" s="11">
        <v>3.4099999999999998E-2</v>
      </c>
      <c r="EF26">
        <v>3.1599999999999996E-2</v>
      </c>
      <c r="EG26">
        <v>15.103216160512964</v>
      </c>
      <c r="EH26" t="s">
        <v>863</v>
      </c>
      <c r="EI26">
        <v>0</v>
      </c>
      <c r="EJ26">
        <v>0</v>
      </c>
      <c r="EK26" s="13">
        <v>45470</v>
      </c>
      <c r="EL26" s="14">
        <v>3.36</v>
      </c>
      <c r="EM26" s="14">
        <v>-2.75</v>
      </c>
      <c r="EN26" s="14">
        <v>3.08</v>
      </c>
      <c r="EO26" s="14">
        <v>0</v>
      </c>
      <c r="EP26" s="14">
        <v>-0.25</v>
      </c>
    </row>
    <row r="27" spans="1:146" ht="88.5" customHeight="1" x14ac:dyDescent="0.25">
      <c r="A27" s="7"/>
      <c r="B27" s="7"/>
      <c r="C27" s="16" t="str">
        <f>""&amp;CHAR(10)&amp;Basic_Fundamental_Information_Constructure(F27)&amp;CHAR(10)&amp;Basic_Fundamental_Information_Concatenate("")</f>
        <v xml:space="preserve">
市值41.530789亿, 利润9050.68万; PE32.97; 平均PE34.95; 平均PEG2.15, PB1.35; ROIC3.1533%; ROE3.97%; 股利率1.1905%; 毛利54.28%; 净利86.83%; 上一年度营收增-26.63%, 利润增-63.8%; 当季营收增-11.5%, 利润增3418.55%; 过往5年营收增-16.22%, 利润增52.91%
Income profile:
</v>
      </c>
      <c r="D27" t="s">
        <v>199</v>
      </c>
      <c r="E27" t="s">
        <v>26</v>
      </c>
      <c r="F27">
        <v>4.2</v>
      </c>
      <c r="G27">
        <v>0.48</v>
      </c>
      <c r="H27" t="s">
        <v>2065</v>
      </c>
      <c r="I27">
        <v>4153078900</v>
      </c>
      <c r="J27">
        <v>32.97</v>
      </c>
      <c r="K27">
        <v>1.35</v>
      </c>
      <c r="L27" t="s">
        <v>1589</v>
      </c>
      <c r="M27" t="s">
        <v>1140</v>
      </c>
      <c r="N27" t="s">
        <v>2066</v>
      </c>
      <c r="O27" t="s">
        <v>2067</v>
      </c>
      <c r="P27">
        <v>-11.5</v>
      </c>
      <c r="Q27" t="s">
        <v>1049</v>
      </c>
      <c r="R27">
        <v>34416695</v>
      </c>
      <c r="S27" s="5">
        <v>34.18</v>
      </c>
      <c r="T27" t="s">
        <v>2068</v>
      </c>
      <c r="U27">
        <v>977836900</v>
      </c>
      <c r="V27">
        <v>988828300</v>
      </c>
      <c r="W27">
        <v>1.0900000000000001</v>
      </c>
      <c r="X27">
        <v>0.01</v>
      </c>
      <c r="Y27">
        <v>183.98</v>
      </c>
      <c r="Z27" t="s">
        <v>2069</v>
      </c>
      <c r="AA27" t="s">
        <v>2070</v>
      </c>
      <c r="AB27" t="s">
        <v>2071</v>
      </c>
      <c r="AC27" t="s">
        <v>2072</v>
      </c>
      <c r="AD27" t="s">
        <v>24</v>
      </c>
      <c r="AE27">
        <v>-4089561</v>
      </c>
      <c r="AF27" t="s">
        <v>2073</v>
      </c>
      <c r="AG27">
        <v>9140.89</v>
      </c>
      <c r="AH27" t="s">
        <v>2074</v>
      </c>
      <c r="AI27" t="s">
        <v>1871</v>
      </c>
      <c r="AJ27" t="s">
        <v>2075</v>
      </c>
      <c r="AK27" t="s">
        <v>24</v>
      </c>
      <c r="AL27" t="s">
        <v>2076</v>
      </c>
      <c r="AM27" t="s">
        <v>24</v>
      </c>
      <c r="AN27" t="s">
        <v>131</v>
      </c>
      <c r="AO27" t="s">
        <v>24</v>
      </c>
      <c r="AP27" t="s">
        <v>24</v>
      </c>
      <c r="AQ27" t="s">
        <v>2077</v>
      </c>
      <c r="AR27" t="s">
        <v>2078</v>
      </c>
      <c r="AS27" t="s">
        <v>1318</v>
      </c>
      <c r="AT27" t="s">
        <v>24</v>
      </c>
      <c r="AU27" t="s">
        <v>2079</v>
      </c>
      <c r="AV27" t="s">
        <v>1219</v>
      </c>
      <c r="AW27" t="s">
        <v>2080</v>
      </c>
      <c r="AX27" t="s">
        <v>1313</v>
      </c>
      <c r="AY27" t="s">
        <v>242</v>
      </c>
      <c r="AZ27" t="s">
        <v>163</v>
      </c>
      <c r="BA27" t="s">
        <v>200</v>
      </c>
      <c r="BB27" t="s">
        <v>181</v>
      </c>
      <c r="BC27" t="s">
        <v>514</v>
      </c>
      <c r="BD27" t="s">
        <v>884</v>
      </c>
      <c r="BE27" t="s">
        <v>524</v>
      </c>
      <c r="BF27" t="s">
        <v>201</v>
      </c>
      <c r="BG27" t="s">
        <v>170</v>
      </c>
      <c r="BH27" t="s">
        <v>1049</v>
      </c>
      <c r="BI27" t="s">
        <v>2081</v>
      </c>
      <c r="BJ27" t="s">
        <v>1313</v>
      </c>
      <c r="BK27" t="s">
        <v>2068</v>
      </c>
      <c r="BL27" t="s">
        <v>2082</v>
      </c>
      <c r="BM27" t="s">
        <v>514</v>
      </c>
      <c r="BN27">
        <v>1.18</v>
      </c>
      <c r="BO27">
        <v>7.13</v>
      </c>
      <c r="BP27">
        <v>1.1499999999999999</v>
      </c>
      <c r="BQ27">
        <v>1.55</v>
      </c>
      <c r="BR27">
        <v>8.5399999999999991</v>
      </c>
      <c r="BS27">
        <v>1.82</v>
      </c>
      <c r="BT27" t="s">
        <v>1122</v>
      </c>
      <c r="BU27" t="s">
        <v>1043</v>
      </c>
      <c r="BV27">
        <v>30.75</v>
      </c>
      <c r="BW27">
        <v>55.42</v>
      </c>
      <c r="BX27">
        <v>76.67</v>
      </c>
      <c r="BY27">
        <v>72.53</v>
      </c>
      <c r="BZ27">
        <v>147.53</v>
      </c>
      <c r="CA27">
        <v>40.43</v>
      </c>
      <c r="CB27">
        <v>0.48</v>
      </c>
      <c r="CC27">
        <v>-18.600000000000001</v>
      </c>
      <c r="CD27" t="s">
        <v>2083</v>
      </c>
      <c r="CE27" t="s">
        <v>633</v>
      </c>
      <c r="CF27" s="8">
        <v>-0.11499406061999479</v>
      </c>
      <c r="CG27" s="9">
        <v>34.185512486741878</v>
      </c>
      <c r="CH27" s="8">
        <v>-0.26627218723297119</v>
      </c>
      <c r="CI27" s="8">
        <v>0.33070865273475647</v>
      </c>
      <c r="CJ27" s="8">
        <v>5.833333358168602E-2</v>
      </c>
      <c r="CK27" s="8">
        <v>-0.31034481525421143</v>
      </c>
      <c r="CL27" s="8">
        <v>-0.62337660789489746</v>
      </c>
      <c r="CM27" s="9">
        <v>-0.63797277212142944</v>
      </c>
      <c r="CN27" s="9">
        <v>3.8663313388824463</v>
      </c>
      <c r="CO27" s="9">
        <v>-0.44613698124885559</v>
      </c>
      <c r="CP27" s="9">
        <v>0.48735696077346802</v>
      </c>
      <c r="CQ27" s="9">
        <v>-0.6243247389793396</v>
      </c>
      <c r="CR27">
        <v>34.948917597128741</v>
      </c>
      <c r="CS27">
        <v>2.1548090268267353</v>
      </c>
      <c r="CT27">
        <v>1.1904761904761905</v>
      </c>
      <c r="CU27" s="8">
        <v>-0.16219032481312751</v>
      </c>
      <c r="CV27" s="9">
        <v>0.52905076146125796</v>
      </c>
      <c r="CW27">
        <v>0.06</v>
      </c>
      <c r="CX27">
        <v>16.16540304153942</v>
      </c>
      <c r="CY27" t="s">
        <v>2084</v>
      </c>
      <c r="CZ27">
        <v>-0.16219032481312751</v>
      </c>
      <c r="DA27">
        <v>5.3884676805131404</v>
      </c>
      <c r="DB27" t="s">
        <v>2085</v>
      </c>
      <c r="DC27">
        <v>-0.15408080857247111</v>
      </c>
      <c r="DD27">
        <v>2.6942338402565702</v>
      </c>
      <c r="DE27" t="s">
        <v>2086</v>
      </c>
      <c r="DF27">
        <v>-0.1427274858355522</v>
      </c>
      <c r="DG27">
        <v>1.6165403041539421</v>
      </c>
      <c r="DH27" t="s">
        <v>2087</v>
      </c>
      <c r="DI27">
        <v>-0.12975225985050201</v>
      </c>
      <c r="DJ27">
        <v>0.80827015207697106</v>
      </c>
      <c r="DK27" t="s">
        <v>2088</v>
      </c>
      <c r="DL27">
        <v>-0.11353322736918925</v>
      </c>
      <c r="DM27">
        <v>90506800</v>
      </c>
      <c r="DN27">
        <v>-0.16219032481312751</v>
      </c>
      <c r="DO27">
        <v>1463078900</v>
      </c>
      <c r="DP27">
        <v>1674985300</v>
      </c>
      <c r="DQ27">
        <v>344</v>
      </c>
      <c r="DR27">
        <v>4.719626419313272E-2</v>
      </c>
      <c r="DS27">
        <v>33.656461725280622</v>
      </c>
      <c r="DT27" s="10">
        <v>-0.77333333333333332</v>
      </c>
      <c r="DU27">
        <v>-1.3333333333333383E-2</v>
      </c>
      <c r="DV27">
        <v>-0.78666666666666674</v>
      </c>
      <c r="DW27">
        <v>-3.0294047619047619</v>
      </c>
      <c r="DX27">
        <v>0.28271862348178278</v>
      </c>
      <c r="DY27">
        <v>-3.0033144642857144</v>
      </c>
      <c r="DZ27">
        <v>3318</v>
      </c>
      <c r="EA27">
        <v>-3.0011623326810177</v>
      </c>
      <c r="EB27">
        <v>3</v>
      </c>
      <c r="EC27">
        <v>5.6312101908895608E-2</v>
      </c>
      <c r="ED27">
        <v>0.49958117096769994</v>
      </c>
      <c r="EE27" s="11">
        <v>3.1036100000000002</v>
      </c>
      <c r="EF27">
        <v>3.11551</v>
      </c>
      <c r="EG27">
        <v>17.112718623481783</v>
      </c>
      <c r="EH27" t="s">
        <v>2089</v>
      </c>
      <c r="EI27">
        <v>0</v>
      </c>
      <c r="EJ27">
        <v>0</v>
      </c>
      <c r="EK27" s="13">
        <v>45470</v>
      </c>
      <c r="EL27" s="14">
        <v>1.64</v>
      </c>
      <c r="EM27" s="14">
        <v>-4.16</v>
      </c>
      <c r="EN27" s="14">
        <v>0.72</v>
      </c>
      <c r="EO27" s="14">
        <v>0.72</v>
      </c>
      <c r="EP27" s="14">
        <v>-1.19</v>
      </c>
    </row>
    <row r="28" spans="1:146" ht="88.5" customHeight="1" x14ac:dyDescent="0.25">
      <c r="A28" s="7"/>
      <c r="B28" s="7"/>
      <c r="C28" s="16" t="str">
        <f>""&amp;CHAR(10)&amp;Basic_Fundamental_Information_Constructure(F28)&amp;CHAR(10)&amp;Basic_Fundamental_Information_Concatenate("")</f>
        <v xml:space="preserve">
市值33.80099亿, 利润5.25亿; PE4.74; 平均PE13.32; 平均PEG.08, PB1.17; ROIC17.8433%; ROE20.8933%; 股利率0%; 毛利50.09%; 净利19.3967%; 上一年度营收增115.77%, 利润增99.62%; 当季营收增1404.2%, 利润增1737.7%; 过往5年营收增174.38%, 利润增89.34%
Income profile:
</v>
      </c>
      <c r="D28" t="s">
        <v>203</v>
      </c>
      <c r="E28" t="s">
        <v>63</v>
      </c>
      <c r="F28">
        <v>2.09</v>
      </c>
      <c r="G28">
        <v>0.97</v>
      </c>
      <c r="H28" t="s">
        <v>2090</v>
      </c>
      <c r="I28">
        <v>3380099000</v>
      </c>
      <c r="J28">
        <v>4.74</v>
      </c>
      <c r="K28">
        <v>1.17</v>
      </c>
      <c r="L28" t="s">
        <v>1589</v>
      </c>
      <c r="M28" t="s">
        <v>2091</v>
      </c>
      <c r="N28" t="s">
        <v>2092</v>
      </c>
      <c r="O28" t="s">
        <v>2093</v>
      </c>
      <c r="P28">
        <v>1403.93</v>
      </c>
      <c r="Q28" t="s">
        <v>2094</v>
      </c>
      <c r="R28">
        <v>177493690</v>
      </c>
      <c r="S28" s="5">
        <v>17.38</v>
      </c>
      <c r="T28" t="s">
        <v>848</v>
      </c>
      <c r="U28">
        <v>1617244600</v>
      </c>
      <c r="V28">
        <v>1617272200</v>
      </c>
      <c r="W28">
        <v>1.93</v>
      </c>
      <c r="X28">
        <v>0.17</v>
      </c>
      <c r="Y28">
        <v>16.920000000000002</v>
      </c>
      <c r="Z28" t="s">
        <v>159</v>
      </c>
      <c r="AA28" t="s">
        <v>2095</v>
      </c>
      <c r="AB28" t="s">
        <v>2096</v>
      </c>
      <c r="AC28" t="s">
        <v>2097</v>
      </c>
      <c r="AD28" t="s">
        <v>24</v>
      </c>
      <c r="AE28">
        <v>-2345502</v>
      </c>
      <c r="AF28" t="s">
        <v>98</v>
      </c>
      <c r="AG28" t="s">
        <v>24</v>
      </c>
      <c r="AH28" t="s">
        <v>2098</v>
      </c>
      <c r="AI28" t="s">
        <v>920</v>
      </c>
      <c r="AJ28" t="s">
        <v>2099</v>
      </c>
      <c r="AK28" t="s">
        <v>24</v>
      </c>
      <c r="AL28" t="s">
        <v>2100</v>
      </c>
      <c r="AM28" t="s">
        <v>24</v>
      </c>
      <c r="AN28">
        <v>0</v>
      </c>
      <c r="AO28" t="s">
        <v>24</v>
      </c>
      <c r="AP28" t="s">
        <v>24</v>
      </c>
      <c r="AQ28" t="s">
        <v>837</v>
      </c>
      <c r="AR28" t="s">
        <v>24</v>
      </c>
      <c r="AS28" t="s">
        <v>2101</v>
      </c>
      <c r="AT28" t="s">
        <v>2102</v>
      </c>
      <c r="AU28" t="s">
        <v>2103</v>
      </c>
      <c r="AV28" t="s">
        <v>2104</v>
      </c>
      <c r="AW28">
        <v>-9845.69</v>
      </c>
      <c r="AX28" t="s">
        <v>1314</v>
      </c>
      <c r="AY28" t="s">
        <v>784</v>
      </c>
      <c r="AZ28" t="s">
        <v>526</v>
      </c>
      <c r="BA28" t="s">
        <v>204</v>
      </c>
      <c r="BB28" t="s">
        <v>259</v>
      </c>
      <c r="BC28" t="s">
        <v>1315</v>
      </c>
      <c r="BD28" t="s">
        <v>659</v>
      </c>
      <c r="BE28" t="s">
        <v>469</v>
      </c>
      <c r="BF28" t="s">
        <v>200</v>
      </c>
      <c r="BG28" t="s">
        <v>528</v>
      </c>
      <c r="BH28" t="s">
        <v>2094</v>
      </c>
      <c r="BI28" t="s">
        <v>2105</v>
      </c>
      <c r="BJ28" t="s">
        <v>1314</v>
      </c>
      <c r="BK28" t="s">
        <v>848</v>
      </c>
      <c r="BL28" t="s">
        <v>2106</v>
      </c>
      <c r="BM28" t="s">
        <v>1315</v>
      </c>
      <c r="BN28">
        <v>19.28</v>
      </c>
      <c r="BO28">
        <v>11.44</v>
      </c>
      <c r="BP28">
        <v>22.81</v>
      </c>
      <c r="BQ28">
        <v>20.5</v>
      </c>
      <c r="BR28">
        <v>12.88</v>
      </c>
      <c r="BS28">
        <v>29.3</v>
      </c>
      <c r="BT28" t="s">
        <v>1115</v>
      </c>
      <c r="BU28" t="s">
        <v>1043</v>
      </c>
      <c r="BV28">
        <v>43.95</v>
      </c>
      <c r="BW28">
        <v>51.8</v>
      </c>
      <c r="BX28">
        <v>54.52</v>
      </c>
      <c r="BY28">
        <v>18.22</v>
      </c>
      <c r="BZ28">
        <v>18.440000000000001</v>
      </c>
      <c r="CA28">
        <v>21.53</v>
      </c>
      <c r="CB28">
        <v>1.95</v>
      </c>
      <c r="CC28">
        <v>-20.23</v>
      </c>
      <c r="CD28" t="s">
        <v>882</v>
      </c>
      <c r="CE28" t="s">
        <v>493</v>
      </c>
      <c r="CF28" s="8">
        <v>14.042027078524848</v>
      </c>
      <c r="CG28" s="9">
        <v>17.376978224764716</v>
      </c>
      <c r="CH28" s="8">
        <v>1.157746434211731</v>
      </c>
      <c r="CI28" s="8">
        <v>-0.3700089156627655</v>
      </c>
      <c r="CJ28" s="8">
        <v>0.22366999089717865</v>
      </c>
      <c r="CK28" s="8">
        <v>0.436817467212677</v>
      </c>
      <c r="CL28" s="8">
        <v>7.270967960357666</v>
      </c>
      <c r="CM28" s="9">
        <v>0.99619770050048828</v>
      </c>
      <c r="CN28" s="9">
        <v>-0.46106556057929993</v>
      </c>
      <c r="CO28" s="9">
        <v>1.4278607368469238</v>
      </c>
      <c r="CP28" s="9">
        <v>0.15517240762710571</v>
      </c>
      <c r="CQ28" s="9">
        <v>2.34883713722229</v>
      </c>
      <c r="CR28">
        <v>13.324963206307491</v>
      </c>
      <c r="CS28">
        <v>7.6411677677974368E-2</v>
      </c>
      <c r="CT28">
        <v>0</v>
      </c>
      <c r="CU28" s="8">
        <v>1.7438385874032973</v>
      </c>
      <c r="CV28" s="9">
        <v>0.89340048432350161</v>
      </c>
      <c r="CW28">
        <v>0.06</v>
      </c>
      <c r="CX28">
        <v>2.8404454004759399</v>
      </c>
      <c r="CY28">
        <v>1358976658.8554065</v>
      </c>
      <c r="CZ28">
        <v>1.7438385874032973</v>
      </c>
      <c r="DA28">
        <v>0.29973140527779984</v>
      </c>
      <c r="DB28">
        <v>12878527014.619463</v>
      </c>
      <c r="DC28">
        <v>1.6566466580331325</v>
      </c>
      <c r="DD28">
        <v>2.3010839470710726E-2</v>
      </c>
      <c r="DE28">
        <v>167751333232.03244</v>
      </c>
      <c r="DF28">
        <v>1.5345779569149016</v>
      </c>
      <c r="DG28">
        <v>1.1820212683881978E-3</v>
      </c>
      <c r="DH28">
        <v>3265676433439.835</v>
      </c>
      <c r="DI28">
        <v>1.395070869922638</v>
      </c>
      <c r="DJ28">
        <v>1.4488963995191772E-6</v>
      </c>
      <c r="DK28">
        <v>2664164947390987.5</v>
      </c>
      <c r="DL28">
        <v>1.220687011182308</v>
      </c>
      <c r="DM28">
        <v>525000000</v>
      </c>
      <c r="DN28">
        <v>1.7438385874032973</v>
      </c>
      <c r="DO28">
        <v>3860099000</v>
      </c>
      <c r="DP28">
        <v>2647284100</v>
      </c>
      <c r="DQ28">
        <v>352</v>
      </c>
      <c r="DR28">
        <v>12.29818849112155</v>
      </c>
      <c r="DS28">
        <v>16.483577740441216</v>
      </c>
      <c r="DT28" s="10">
        <v>0.53666666666666674</v>
      </c>
      <c r="DU28">
        <v>1.5633333333333335</v>
      </c>
      <c r="DV28">
        <v>2.1</v>
      </c>
      <c r="DW28">
        <v>-3.0478392857142858</v>
      </c>
      <c r="DX28">
        <v>0.32418212478920722</v>
      </c>
      <c r="DY28">
        <v>-3.0068975698626836</v>
      </c>
      <c r="DZ28">
        <v>9</v>
      </c>
      <c r="EA28">
        <v>-3.0068854215008902</v>
      </c>
      <c r="EB28">
        <v>3</v>
      </c>
      <c r="EC28">
        <v>0.1057335926506373</v>
      </c>
      <c r="ED28">
        <v>0.73333357241903996</v>
      </c>
      <c r="EE28" s="11">
        <v>3.0153099999999999</v>
      </c>
      <c r="EF28">
        <v>3.0297100000000001</v>
      </c>
      <c r="EG28">
        <v>18.144182124789207</v>
      </c>
      <c r="EH28" t="s">
        <v>2089</v>
      </c>
      <c r="EI28">
        <v>0</v>
      </c>
      <c r="EJ28">
        <v>1</v>
      </c>
      <c r="EK28" s="13">
        <v>45470</v>
      </c>
      <c r="EL28" s="14">
        <v>0</v>
      </c>
      <c r="EM28" s="14">
        <v>-2.88</v>
      </c>
      <c r="EN28" s="14">
        <v>2.48</v>
      </c>
      <c r="EO28" s="14">
        <v>0.97</v>
      </c>
      <c r="EP28" s="14">
        <v>-1.44</v>
      </c>
    </row>
    <row r="29" spans="1:146" ht="88.5" customHeight="1" x14ac:dyDescent="0.25">
      <c r="A29" s="7"/>
      <c r="B29" s="7"/>
      <c r="C29" s="16" t="str">
        <f>""&amp;CHAR(10)&amp;Basic_Fundamental_Information_Constructure(F29)&amp;CHAR(10)&amp;Basic_Fundamental_Information_Concatenate("")</f>
        <v xml:space="preserve">
市值15.407541亿, 利润-3.19亿; PE; 平均PE-19.45; 平均PEG-1.85, PB1.33; ROIC3.005%; ROE-5.9733%; 股利率0%; 毛利37.6267%; 净利-32.4967%; 上一年度营收增14.46%, 利润增11.63%; 当季营收增-60.88%, 利润增-196.9%; 过往5年营收增-10.51%, 利润增-108.02%
Income profile:
</v>
      </c>
      <c r="D29" t="s">
        <v>206</v>
      </c>
      <c r="E29" t="s">
        <v>1316</v>
      </c>
      <c r="F29">
        <v>3.52</v>
      </c>
      <c r="G29">
        <v>2.62</v>
      </c>
      <c r="H29" t="s">
        <v>2107</v>
      </c>
      <c r="I29">
        <v>1540754100</v>
      </c>
      <c r="K29">
        <v>1.33</v>
      </c>
      <c r="L29" t="s">
        <v>1589</v>
      </c>
      <c r="M29" t="s">
        <v>2108</v>
      </c>
      <c r="N29" t="s">
        <v>1350</v>
      </c>
      <c r="O29" t="s">
        <v>2109</v>
      </c>
      <c r="P29">
        <v>-60.96</v>
      </c>
      <c r="Q29" t="s">
        <v>2110</v>
      </c>
      <c r="R29">
        <v>-13833993</v>
      </c>
      <c r="S29" s="5">
        <v>-1.9690000000000001</v>
      </c>
      <c r="T29" t="s">
        <v>1635</v>
      </c>
      <c r="U29">
        <v>437710570</v>
      </c>
      <c r="V29">
        <v>437714250</v>
      </c>
      <c r="W29">
        <v>2.5</v>
      </c>
      <c r="X29">
        <v>0.03</v>
      </c>
      <c r="Y29">
        <v>-13.63</v>
      </c>
      <c r="Z29" t="s">
        <v>2111</v>
      </c>
      <c r="AA29" t="s">
        <v>2112</v>
      </c>
      <c r="AB29" t="s">
        <v>2113</v>
      </c>
      <c r="AC29" t="s">
        <v>2114</v>
      </c>
      <c r="AD29" t="s">
        <v>24</v>
      </c>
      <c r="AE29">
        <v>14841241</v>
      </c>
      <c r="AF29" t="s">
        <v>2115</v>
      </c>
      <c r="AG29" t="s">
        <v>2116</v>
      </c>
      <c r="AH29" t="s">
        <v>2117</v>
      </c>
      <c r="AI29" t="s">
        <v>844</v>
      </c>
      <c r="AJ29" t="s">
        <v>2118</v>
      </c>
      <c r="AK29" t="s">
        <v>24</v>
      </c>
      <c r="AL29" t="s">
        <v>2119</v>
      </c>
      <c r="AM29" t="s">
        <v>24</v>
      </c>
      <c r="AN29" t="s">
        <v>2120</v>
      </c>
      <c r="AO29" t="s">
        <v>2121</v>
      </c>
      <c r="AP29" t="s">
        <v>180</v>
      </c>
      <c r="AQ29" t="s">
        <v>170</v>
      </c>
      <c r="AR29" t="s">
        <v>2122</v>
      </c>
      <c r="AS29" t="s">
        <v>2123</v>
      </c>
      <c r="AT29" t="s">
        <v>1106</v>
      </c>
      <c r="AU29" t="s">
        <v>1123</v>
      </c>
      <c r="AV29" t="s">
        <v>2124</v>
      </c>
      <c r="AW29" t="s">
        <v>2125</v>
      </c>
      <c r="AX29" t="s">
        <v>271</v>
      </c>
      <c r="AY29" t="s">
        <v>440</v>
      </c>
      <c r="AZ29" t="s">
        <v>2126</v>
      </c>
      <c r="BA29" t="s">
        <v>531</v>
      </c>
      <c r="BB29" t="s">
        <v>532</v>
      </c>
      <c r="BC29" t="s">
        <v>2127</v>
      </c>
      <c r="BD29" t="s">
        <v>2128</v>
      </c>
      <c r="BE29" t="s">
        <v>2129</v>
      </c>
      <c r="BF29" t="s">
        <v>533</v>
      </c>
      <c r="BG29" t="s">
        <v>534</v>
      </c>
      <c r="BH29" t="s">
        <v>2110</v>
      </c>
      <c r="BI29" t="s">
        <v>294</v>
      </c>
      <c r="BJ29" t="s">
        <v>271</v>
      </c>
      <c r="BK29" t="s">
        <v>1635</v>
      </c>
      <c r="BL29" t="s">
        <v>2130</v>
      </c>
      <c r="BM29" t="s">
        <v>2127</v>
      </c>
      <c r="BN29">
        <v>1.76</v>
      </c>
      <c r="BO29" t="s">
        <v>24</v>
      </c>
      <c r="BP29">
        <v>4.25</v>
      </c>
      <c r="BQ29">
        <v>2.1</v>
      </c>
      <c r="BR29">
        <v>-23.31</v>
      </c>
      <c r="BS29">
        <v>3.29</v>
      </c>
      <c r="BT29" t="s">
        <v>1115</v>
      </c>
      <c r="BU29" t="s">
        <v>1043</v>
      </c>
      <c r="BV29">
        <v>47.54</v>
      </c>
      <c r="BW29">
        <v>41.45</v>
      </c>
      <c r="BX29">
        <v>23.89</v>
      </c>
      <c r="BY29">
        <v>-46.07</v>
      </c>
      <c r="BZ29">
        <v>-59.25</v>
      </c>
      <c r="CA29">
        <v>7.83</v>
      </c>
      <c r="CB29">
        <v>9.32</v>
      </c>
      <c r="CC29">
        <v>12.46</v>
      </c>
      <c r="CD29" t="s">
        <v>2131</v>
      </c>
      <c r="CE29" t="s">
        <v>2132</v>
      </c>
      <c r="CF29" s="8">
        <v>-0.60881447368421049</v>
      </c>
      <c r="CG29" s="9">
        <v>-1.9689705820550536</v>
      </c>
      <c r="CH29" s="8">
        <v>0.14455781877040863</v>
      </c>
      <c r="CI29" s="8">
        <v>-0.56217426061630249</v>
      </c>
      <c r="CJ29" s="8">
        <v>0.14395235478878021</v>
      </c>
      <c r="CK29" s="8">
        <v>-0.10858006030321121</v>
      </c>
      <c r="CL29" s="8">
        <v>-0.14313597977161407</v>
      </c>
      <c r="CM29" s="9">
        <v>0.11634349077939987</v>
      </c>
      <c r="CN29" s="9">
        <v>-6.4029054641723633</v>
      </c>
      <c r="CO29" s="9">
        <v>0.57605111598968506</v>
      </c>
      <c r="CP29" s="9">
        <v>-0.27555906772613525</v>
      </c>
      <c r="CQ29" s="9">
        <v>0.585091233253479</v>
      </c>
      <c r="CR29">
        <v>-19.447822983523089</v>
      </c>
      <c r="CS29">
        <v>-1.8508335183602356</v>
      </c>
      <c r="CT29">
        <v>0</v>
      </c>
      <c r="CU29" s="8">
        <v>-0.10507602542638779</v>
      </c>
      <c r="CV29" s="9">
        <v>-1.080195738375187</v>
      </c>
      <c r="CW29">
        <v>0.06</v>
      </c>
      <c r="CX29" t="e">
        <v>#VALUE!</v>
      </c>
      <c r="CY29" t="s">
        <v>849</v>
      </c>
      <c r="CZ29">
        <v>-0.10507602542638779</v>
      </c>
      <c r="DA29" t="e">
        <v>#VALUE!</v>
      </c>
      <c r="DB29" t="s">
        <v>850</v>
      </c>
      <c r="DC29">
        <v>-9.982222415506839E-2</v>
      </c>
      <c r="DD29" t="e">
        <v>#VALUE!</v>
      </c>
      <c r="DE29" t="s">
        <v>850</v>
      </c>
      <c r="DF29">
        <v>-9.246690237522126E-2</v>
      </c>
      <c r="DG29" t="e">
        <v>#VALUE!</v>
      </c>
      <c r="DH29" t="s">
        <v>850</v>
      </c>
      <c r="DI29">
        <v>-8.4060820341110232E-2</v>
      </c>
      <c r="DJ29" t="e">
        <v>#VALUE!</v>
      </c>
      <c r="DK29" t="s">
        <v>850</v>
      </c>
      <c r="DL29">
        <v>-7.3553217798471446E-2</v>
      </c>
      <c r="DM29">
        <v>-319000000</v>
      </c>
      <c r="DN29">
        <v>-0.10507602542638779</v>
      </c>
      <c r="DO29">
        <v>2238754100</v>
      </c>
      <c r="DP29">
        <v>-464297029.99999976</v>
      </c>
      <c r="DQ29">
        <v>362</v>
      </c>
      <c r="DR29">
        <v>-0.50373844825782266</v>
      </c>
      <c r="DS29">
        <v>-0.88877484367986659</v>
      </c>
      <c r="DT29" s="10">
        <v>-0.59</v>
      </c>
      <c r="DU29">
        <v>-1.915</v>
      </c>
      <c r="DV29">
        <v>-2.5049999999999999</v>
      </c>
      <c r="DW29">
        <v>9.7479935794542527</v>
      </c>
      <c r="DX29">
        <v>0.43921711229946636</v>
      </c>
      <c r="DY29">
        <v>9.1564930567119589</v>
      </c>
      <c r="DZ29">
        <v>4684</v>
      </c>
      <c r="EA29">
        <v>9.0130461922033849</v>
      </c>
      <c r="EB29">
        <v>9</v>
      </c>
      <c r="EC29">
        <v>8.9381599982180149E-2</v>
      </c>
      <c r="ED29">
        <v>0.42721935600680122</v>
      </c>
      <c r="EE29" s="11">
        <v>7.4099999999999999E-2</v>
      </c>
      <c r="EF29">
        <v>0.1076</v>
      </c>
      <c r="EG29">
        <v>23.209217112299466</v>
      </c>
      <c r="EH29" t="s">
        <v>863</v>
      </c>
      <c r="EI29">
        <v>1</v>
      </c>
      <c r="EJ29">
        <v>0</v>
      </c>
      <c r="EK29" s="13">
        <v>45470</v>
      </c>
      <c r="EL29" s="14">
        <v>5.13</v>
      </c>
      <c r="EM29" s="14">
        <v>-4.88</v>
      </c>
      <c r="EN29" s="14">
        <v>1.28</v>
      </c>
      <c r="EO29" s="14">
        <v>3.8</v>
      </c>
      <c r="EP29" s="14">
        <v>3.35</v>
      </c>
    </row>
    <row r="30" spans="1:146" ht="88.5" customHeight="1" x14ac:dyDescent="0.25">
      <c r="A30" s="7"/>
      <c r="B30" s="7"/>
      <c r="C30" s="16" t="str">
        <f>""&amp;CHAR(10)&amp;Basic_Fundamental_Information_Constructure(F30)&amp;CHAR(10)&amp;Basic_Fundamental_Information_Concatenate("")</f>
        <v xml:space="preserve">
市值43.478969亿, 利润1.05亿; PE39.67; 平均PE8.26; 平均PEG.87, PB.385; ROIC1.47%; ROE1.73%; 股利率.655%; 毛利24.04%; 净利3.15%; 上一年度营收增20.71%, 利润增-38.6%; 当季营收增-16.65%, 利润增12.55%; 过往5年营收增9.51%, 利润增-28.91%
Income profile:
</v>
      </c>
      <c r="D30" t="s">
        <v>211</v>
      </c>
      <c r="E30" t="s">
        <v>53</v>
      </c>
      <c r="F30">
        <v>4.58</v>
      </c>
      <c r="G30">
        <v>1.3299999999999999E-2</v>
      </c>
      <c r="H30" t="s">
        <v>1320</v>
      </c>
      <c r="I30">
        <v>4347896900</v>
      </c>
      <c r="J30">
        <v>39.67</v>
      </c>
      <c r="K30">
        <v>0.38500000000000001</v>
      </c>
      <c r="L30" t="s">
        <v>1589</v>
      </c>
      <c r="M30" t="s">
        <v>1321</v>
      </c>
      <c r="N30" t="s">
        <v>1322</v>
      </c>
      <c r="O30" t="s">
        <v>1323</v>
      </c>
      <c r="P30">
        <v>-16.64</v>
      </c>
      <c r="Q30" t="s">
        <v>1324</v>
      </c>
      <c r="R30">
        <v>41697779</v>
      </c>
      <c r="S30" s="5">
        <v>0.1255</v>
      </c>
      <c r="T30" t="s">
        <v>197</v>
      </c>
      <c r="U30">
        <v>935036860</v>
      </c>
      <c r="V30">
        <v>949322470</v>
      </c>
      <c r="W30">
        <v>3.09</v>
      </c>
      <c r="X30">
        <v>0.04</v>
      </c>
      <c r="Y30">
        <v>2.73</v>
      </c>
      <c r="Z30" t="s">
        <v>472</v>
      </c>
      <c r="AA30" t="s">
        <v>1317</v>
      </c>
      <c r="AB30" t="s">
        <v>1325</v>
      </c>
      <c r="AC30" t="s">
        <v>1326</v>
      </c>
      <c r="AD30" t="s">
        <v>1327</v>
      </c>
      <c r="AE30">
        <v>94391003</v>
      </c>
      <c r="AF30" t="s">
        <v>98</v>
      </c>
      <c r="AG30" t="s">
        <v>1328</v>
      </c>
      <c r="AH30" t="s">
        <v>1329</v>
      </c>
      <c r="AI30" t="s">
        <v>1330</v>
      </c>
      <c r="AJ30" t="s">
        <v>1331</v>
      </c>
      <c r="AK30" t="s">
        <v>344</v>
      </c>
      <c r="AL30" t="s">
        <v>1332</v>
      </c>
      <c r="AM30" t="s">
        <v>24</v>
      </c>
      <c r="AN30" t="s">
        <v>1333</v>
      </c>
      <c r="AO30" t="s">
        <v>478</v>
      </c>
      <c r="AP30" t="s">
        <v>491</v>
      </c>
      <c r="AQ30" t="s">
        <v>1334</v>
      </c>
      <c r="AR30" t="s">
        <v>1335</v>
      </c>
      <c r="AS30" t="s">
        <v>1336</v>
      </c>
      <c r="AT30" t="s">
        <v>1113</v>
      </c>
      <c r="AU30" t="s">
        <v>1337</v>
      </c>
      <c r="AV30" t="s">
        <v>1338</v>
      </c>
      <c r="AW30" t="s">
        <v>1339</v>
      </c>
      <c r="AX30" t="s">
        <v>885</v>
      </c>
      <c r="AY30" t="s">
        <v>536</v>
      </c>
      <c r="AZ30" t="s">
        <v>212</v>
      </c>
      <c r="BA30" t="s">
        <v>538</v>
      </c>
      <c r="BB30" t="s">
        <v>539</v>
      </c>
      <c r="BC30" t="s">
        <v>882</v>
      </c>
      <c r="BD30" t="s">
        <v>537</v>
      </c>
      <c r="BE30" t="s">
        <v>213</v>
      </c>
      <c r="BF30" t="s">
        <v>336</v>
      </c>
      <c r="BG30" t="s">
        <v>540</v>
      </c>
      <c r="BH30" t="s">
        <v>1324</v>
      </c>
      <c r="BI30" t="s">
        <v>1340</v>
      </c>
      <c r="BJ30" t="s">
        <v>885</v>
      </c>
      <c r="BK30" t="s">
        <v>197</v>
      </c>
      <c r="BL30" t="s">
        <v>1341</v>
      </c>
      <c r="BM30" t="s">
        <v>882</v>
      </c>
      <c r="BN30">
        <v>0.9</v>
      </c>
      <c r="BO30">
        <v>2.02</v>
      </c>
      <c r="BP30">
        <v>1.49</v>
      </c>
      <c r="BQ30">
        <v>0.93</v>
      </c>
      <c r="BR30">
        <v>1.54</v>
      </c>
      <c r="BS30">
        <v>2.72</v>
      </c>
      <c r="BT30" t="s">
        <v>1116</v>
      </c>
      <c r="BU30" t="s">
        <v>1043</v>
      </c>
      <c r="BV30">
        <v>31.9</v>
      </c>
      <c r="BW30">
        <v>19.440000000000001</v>
      </c>
      <c r="BX30">
        <v>20.78</v>
      </c>
      <c r="BY30">
        <v>2.73</v>
      </c>
      <c r="BZ30">
        <v>2.84</v>
      </c>
      <c r="CA30">
        <v>3.88</v>
      </c>
      <c r="CB30">
        <v>7.26</v>
      </c>
      <c r="CC30">
        <v>0</v>
      </c>
      <c r="CD30" t="s">
        <v>1342</v>
      </c>
      <c r="CE30" t="s">
        <v>753</v>
      </c>
      <c r="CF30" s="8">
        <v>-0.1665167874396134</v>
      </c>
      <c r="CG30" s="9">
        <v>0.12553118724222073</v>
      </c>
      <c r="CH30" s="8">
        <v>0.2071109414100647</v>
      </c>
      <c r="CI30" s="8">
        <v>0.67231029272079468</v>
      </c>
      <c r="CJ30" s="8">
        <v>-0.21586869657039642</v>
      </c>
      <c r="CK30" s="8">
        <v>-0.10889608412981033</v>
      </c>
      <c r="CL30" s="8">
        <v>-7.9252101480960846E-2</v>
      </c>
      <c r="CM30" s="9">
        <v>-0.38596490025520325</v>
      </c>
      <c r="CN30" s="9">
        <v>-0.44117647409439087</v>
      </c>
      <c r="CO30" s="9">
        <v>-0.48829430341720581</v>
      </c>
      <c r="CP30" s="9">
        <v>-0.47312778234481812</v>
      </c>
      <c r="CQ30" s="9">
        <v>0.3431953489780426</v>
      </c>
      <c r="CR30">
        <v>8.2555004430379739</v>
      </c>
      <c r="CS30">
        <v>0.86826092453520354</v>
      </c>
      <c r="CT30">
        <v>0.65502183406113534</v>
      </c>
      <c r="CU30" s="8">
        <v>9.5080870389938357E-2</v>
      </c>
      <c r="CV30" s="9">
        <v>-0.28907362222671507</v>
      </c>
      <c r="CW30">
        <v>0.06</v>
      </c>
      <c r="CX30">
        <v>164.53466915242848</v>
      </c>
      <c r="CY30">
        <v>108474991.8782486</v>
      </c>
      <c r="CZ30">
        <v>9.5080870389938357E-2</v>
      </c>
      <c r="DA30">
        <v>53.53769194666026</v>
      </c>
      <c r="DB30">
        <v>333370682.43027556</v>
      </c>
      <c r="DC30">
        <v>9.032682687044144E-2</v>
      </c>
      <c r="DD30">
        <v>26.203954203416998</v>
      </c>
      <c r="DE30">
        <v>681114642.52492976</v>
      </c>
      <c r="DF30">
        <v>8.3671165943145762E-2</v>
      </c>
      <c r="DG30">
        <v>15.633767722145436</v>
      </c>
      <c r="DH30">
        <v>1141624796.863153</v>
      </c>
      <c r="DI30">
        <v>7.6064696311950689E-2</v>
      </c>
      <c r="DJ30">
        <v>7.9611124873168482</v>
      </c>
      <c r="DK30">
        <v>2241884777.8415599</v>
      </c>
      <c r="DL30">
        <v>6.655660927295684E-2</v>
      </c>
      <c r="DM30">
        <v>105000000</v>
      </c>
      <c r="DN30">
        <v>9.5080870389938357E-2</v>
      </c>
      <c r="DO30">
        <v>17847896900</v>
      </c>
      <c r="DP30">
        <v>9881413000</v>
      </c>
      <c r="DQ30">
        <v>383</v>
      </c>
      <c r="DR30">
        <v>-0.26159765782955174</v>
      </c>
      <c r="DS30">
        <v>0.4146048094689358</v>
      </c>
      <c r="DT30" s="10">
        <v>0.11333333333333333</v>
      </c>
      <c r="DU30">
        <v>-0.68666666666666665</v>
      </c>
      <c r="DV30">
        <v>-0.57333333333333336</v>
      </c>
      <c r="DW30">
        <v>5</v>
      </c>
      <c r="DX30">
        <v>0.63486256983240308</v>
      </c>
      <c r="DY30">
        <v>5</v>
      </c>
      <c r="DZ30">
        <v>3567</v>
      </c>
      <c r="EA30">
        <v>5</v>
      </c>
      <c r="EB30">
        <v>5</v>
      </c>
      <c r="EC30">
        <v>8.7600581075469558E-2</v>
      </c>
      <c r="ED30">
        <v>0.5656665853490227</v>
      </c>
      <c r="EE30" s="11">
        <v>-1.0041</v>
      </c>
      <c r="EF30">
        <v>-1.0042329999999999</v>
      </c>
      <c r="EG30">
        <v>48.154862569832403</v>
      </c>
      <c r="EH30" t="s">
        <v>892</v>
      </c>
      <c r="EI30">
        <v>0</v>
      </c>
      <c r="EJ30">
        <v>0</v>
      </c>
      <c r="EK30" s="13">
        <v>45128</v>
      </c>
      <c r="EL30" s="14">
        <v>1.6400000000000001E-2</v>
      </c>
      <c r="EM30" s="14">
        <v>0.92</v>
      </c>
      <c r="EN30" s="14">
        <v>1.32</v>
      </c>
      <c r="EO30" s="14">
        <v>3.9</v>
      </c>
      <c r="EP30" s="14">
        <v>0.1</v>
      </c>
    </row>
    <row r="31" spans="1:146" ht="88.5" customHeight="1" x14ac:dyDescent="0.25">
      <c r="A31" s="7"/>
      <c r="B31" s="7"/>
      <c r="C31" s="16" t="str">
        <f>""&amp;CHAR(10)&amp;Basic_Fundamental_Information_Constructure(F31)&amp;CHAR(10)&amp;Basic_Fundamental_Information_Concatenate("")</f>
        <v xml:space="preserve">
市值21.42873亿, 利润-52.93亿; PE; 平均PE-2.91; 平均PEG-.18, PB.25; ROIC0%; ROE-23.4833%; 股利率0%; 毛利6.57%; 净利-9.1933%; 上一年度营收增16.01%, 利润增42.36%; 当季营收增-11.3%, 利润增9.79%; 过往5年营收增15.97%, 利润增-23.42%
Income profile:
</v>
      </c>
      <c r="D31" t="s">
        <v>219</v>
      </c>
      <c r="E31" t="s">
        <v>2133</v>
      </c>
      <c r="F31" t="s">
        <v>24</v>
      </c>
      <c r="G31" t="s">
        <v>24</v>
      </c>
      <c r="H31" t="s">
        <v>24</v>
      </c>
      <c r="I31">
        <v>2142873000</v>
      </c>
      <c r="K31">
        <v>0.25</v>
      </c>
      <c r="L31" t="s">
        <v>1589</v>
      </c>
      <c r="M31" t="s">
        <v>2134</v>
      </c>
      <c r="N31" t="s">
        <v>2135</v>
      </c>
      <c r="O31" t="s">
        <v>2136</v>
      </c>
      <c r="P31">
        <v>-11.3</v>
      </c>
      <c r="Q31" t="s">
        <v>2137</v>
      </c>
      <c r="R31">
        <v>-600799490</v>
      </c>
      <c r="S31" s="5">
        <v>9.74E-2</v>
      </c>
      <c r="T31" t="s">
        <v>2138</v>
      </c>
      <c r="U31">
        <v>3810256800</v>
      </c>
      <c r="V31">
        <v>3826558900</v>
      </c>
      <c r="W31">
        <v>11.3</v>
      </c>
      <c r="X31">
        <v>0.04</v>
      </c>
      <c r="Y31">
        <v>-4.88</v>
      </c>
      <c r="Z31" t="s">
        <v>2139</v>
      </c>
      <c r="AA31" t="s">
        <v>2140</v>
      </c>
      <c r="AB31" t="s">
        <v>470</v>
      </c>
      <c r="AC31" t="s">
        <v>500</v>
      </c>
      <c r="AD31" t="s">
        <v>24</v>
      </c>
      <c r="AE31">
        <v>161388240</v>
      </c>
      <c r="AF31" t="s">
        <v>2141</v>
      </c>
      <c r="AG31" t="s">
        <v>2142</v>
      </c>
      <c r="AH31" t="s">
        <v>2143</v>
      </c>
      <c r="AI31" t="s">
        <v>2144</v>
      </c>
      <c r="AJ31" t="s">
        <v>2145</v>
      </c>
      <c r="AK31" t="s">
        <v>286</v>
      </c>
      <c r="AL31" t="s">
        <v>2146</v>
      </c>
      <c r="AM31" t="s">
        <v>24</v>
      </c>
      <c r="AN31" t="s">
        <v>2147</v>
      </c>
      <c r="AO31" t="s">
        <v>2148</v>
      </c>
      <c r="AP31" t="s">
        <v>2149</v>
      </c>
      <c r="AQ31" t="s">
        <v>2150</v>
      </c>
      <c r="AR31" t="s">
        <v>2151</v>
      </c>
      <c r="AS31" t="s">
        <v>2152</v>
      </c>
      <c r="AT31" t="s">
        <v>2153</v>
      </c>
      <c r="AU31" t="s">
        <v>2154</v>
      </c>
      <c r="AV31" t="s">
        <v>2155</v>
      </c>
      <c r="AW31" t="s">
        <v>2156</v>
      </c>
      <c r="AX31" t="s">
        <v>1343</v>
      </c>
      <c r="AY31" t="s">
        <v>886</v>
      </c>
      <c r="AZ31" t="s">
        <v>541</v>
      </c>
      <c r="BA31" t="s">
        <v>220</v>
      </c>
      <c r="BB31" t="s">
        <v>543</v>
      </c>
      <c r="BC31" t="s">
        <v>2157</v>
      </c>
      <c r="BD31" t="s">
        <v>887</v>
      </c>
      <c r="BE31" t="s">
        <v>542</v>
      </c>
      <c r="BF31" t="s">
        <v>221</v>
      </c>
      <c r="BG31" t="s">
        <v>544</v>
      </c>
      <c r="BH31" t="s">
        <v>2137</v>
      </c>
      <c r="BI31" t="s">
        <v>2158</v>
      </c>
      <c r="BJ31" t="s">
        <v>1343</v>
      </c>
      <c r="BK31" t="s">
        <v>2138</v>
      </c>
      <c r="BL31" t="s">
        <v>2159</v>
      </c>
      <c r="BM31" t="s">
        <v>2157</v>
      </c>
      <c r="BN31" t="s">
        <v>24</v>
      </c>
      <c r="BO31" t="s">
        <v>24</v>
      </c>
      <c r="BP31" t="s">
        <v>24</v>
      </c>
      <c r="BQ31">
        <v>-8.69</v>
      </c>
      <c r="BR31">
        <v>-48.7</v>
      </c>
      <c r="BS31">
        <v>-13.06</v>
      </c>
      <c r="BT31" t="s">
        <v>1115</v>
      </c>
      <c r="BU31" t="s">
        <v>1043</v>
      </c>
      <c r="BV31">
        <v>9.77</v>
      </c>
      <c r="BW31">
        <v>-0.09</v>
      </c>
      <c r="BX31">
        <v>10.029999999999999</v>
      </c>
      <c r="BY31">
        <v>-7.1</v>
      </c>
      <c r="BZ31">
        <v>-16.309999999999999</v>
      </c>
      <c r="CA31">
        <v>-4.17</v>
      </c>
      <c r="CB31">
        <v>0</v>
      </c>
      <c r="CC31">
        <v>0</v>
      </c>
      <c r="CD31" t="s">
        <v>24</v>
      </c>
      <c r="CE31" t="s">
        <v>24</v>
      </c>
      <c r="CF31" s="8">
        <v>-0.11302785265049416</v>
      </c>
      <c r="CG31" s="9">
        <v>9.7898663663663663E-2</v>
      </c>
      <c r="CH31" s="8">
        <v>0.16010569036006927</v>
      </c>
      <c r="CI31" s="8">
        <v>-0.25469949841499329</v>
      </c>
      <c r="CJ31" s="8">
        <v>7.7607268467545509E-3</v>
      </c>
      <c r="CK31" s="8">
        <v>9.4248995184898376E-2</v>
      </c>
      <c r="CL31" s="8">
        <v>0.79085034132003784</v>
      </c>
      <c r="CM31" s="9">
        <v>0.42360877990722656</v>
      </c>
      <c r="CN31" s="9">
        <v>-1.7152570486068726</v>
      </c>
      <c r="CO31" s="9">
        <v>-1.4778186082839966</v>
      </c>
      <c r="CP31" s="9">
        <v>0.70021617412567139</v>
      </c>
      <c r="CQ31" s="9">
        <v>0.89831292629241943</v>
      </c>
      <c r="CR31">
        <v>-2.906247287522604</v>
      </c>
      <c r="CS31">
        <v>-0.18203495815078427</v>
      </c>
      <c r="CT31">
        <v>0</v>
      </c>
      <c r="CU31" s="8">
        <v>0.15965325105935335</v>
      </c>
      <c r="CV31" s="9">
        <v>-0.23418755531311036</v>
      </c>
      <c r="CW31">
        <v>0.06</v>
      </c>
      <c r="CX31" t="e">
        <v>#VALUE!</v>
      </c>
      <c r="CY31" t="s">
        <v>849</v>
      </c>
      <c r="CZ31">
        <v>0.15965325105935335</v>
      </c>
      <c r="DA31" t="e">
        <v>#VALUE!</v>
      </c>
      <c r="DB31" t="s">
        <v>850</v>
      </c>
      <c r="DC31">
        <v>0.15167058850638568</v>
      </c>
      <c r="DD31" t="e">
        <v>#VALUE!</v>
      </c>
      <c r="DE31" t="s">
        <v>850</v>
      </c>
      <c r="DF31">
        <v>0.14049486093223096</v>
      </c>
      <c r="DG31" t="e">
        <v>#VALUE!</v>
      </c>
      <c r="DH31" t="s">
        <v>850</v>
      </c>
      <c r="DI31">
        <v>0.12772260084748269</v>
      </c>
      <c r="DJ31" t="e">
        <v>#VALUE!</v>
      </c>
      <c r="DK31" t="s">
        <v>850</v>
      </c>
      <c r="DL31">
        <v>0.11175727574154734</v>
      </c>
      <c r="DM31">
        <v>-5293000000</v>
      </c>
      <c r="DN31">
        <v>0.15965325105935335</v>
      </c>
      <c r="DO31">
        <v>189359873000</v>
      </c>
      <c r="DP31">
        <v>-7526760000</v>
      </c>
      <c r="DQ31">
        <v>398</v>
      </c>
      <c r="DR31">
        <v>-0.27268110370984749</v>
      </c>
      <c r="DS31">
        <v>0.33208621897677404</v>
      </c>
      <c r="DT31" s="10">
        <v>-0.22333333333333338</v>
      </c>
      <c r="DU31">
        <v>-1.4550000000000001</v>
      </c>
      <c r="DV31">
        <v>-1.6783333333333335</v>
      </c>
      <c r="DW31">
        <v>0</v>
      </c>
      <c r="DX31" t="e">
        <v>#VALUE!</v>
      </c>
      <c r="DY31" t="e">
        <v>#VALUE!</v>
      </c>
      <c r="DZ31">
        <v>4162</v>
      </c>
      <c r="EA31" t="e">
        <v>#VALUE!</v>
      </c>
      <c r="EB31" t="e">
        <v>#VALUE!</v>
      </c>
      <c r="EC31">
        <v>0</v>
      </c>
      <c r="ED31">
        <v>0</v>
      </c>
      <c r="EE31" s="11">
        <v>1.4800000000000001E-2</v>
      </c>
      <c r="EF31">
        <v>1.4800000000000001E-2</v>
      </c>
      <c r="EG31" t="e">
        <v>#VALUE!</v>
      </c>
      <c r="EH31" t="s">
        <v>863</v>
      </c>
      <c r="EI31" t="e">
        <v>#VALUE!</v>
      </c>
      <c r="EJ31">
        <v>0</v>
      </c>
      <c r="EK31" s="13">
        <v>45470</v>
      </c>
      <c r="EL31" s="14">
        <v>0</v>
      </c>
      <c r="EM31" s="14">
        <v>0</v>
      </c>
      <c r="EN31" s="14">
        <v>0</v>
      </c>
      <c r="EO31" s="14">
        <v>0</v>
      </c>
      <c r="EP31" s="14">
        <v>0</v>
      </c>
    </row>
    <row r="32" spans="1:146" ht="88.5" customHeight="1" x14ac:dyDescent="0.25">
      <c r="A32" s="7"/>
      <c r="B32" s="7"/>
      <c r="C32" s="16" t="str">
        <f>""&amp;CHAR(10)&amp;Basic_Fundamental_Information_Constructure(F32)&amp;CHAR(10)&amp;Basic_Fundamental_Information_Concatenate("")</f>
        <v xml:space="preserve">
市值29.077569亿, 利润2003.65万; PE290.5; 平均PE-1579.17; 平均PEG-51.98, PB.533; ROIC1.225%; ROE-.2333%; 股利率.7634%; 毛利32.55%; 净利1.2767%; 上一年度营收增24.26%, 利润增-14.02%; 当季营收增-2.63%, 利润增-45.55%; 过往5年营收增30.38%, 利润增-32.36%
Income profile:
</v>
      </c>
      <c r="D32" t="s">
        <v>222</v>
      </c>
      <c r="E32" t="s">
        <v>50</v>
      </c>
      <c r="F32">
        <v>2.62</v>
      </c>
      <c r="G32">
        <v>0</v>
      </c>
      <c r="H32" t="s">
        <v>2160</v>
      </c>
      <c r="I32">
        <v>2907756900</v>
      </c>
      <c r="J32">
        <v>290.5</v>
      </c>
      <c r="K32">
        <v>0.53300000000000003</v>
      </c>
      <c r="L32" t="s">
        <v>1589</v>
      </c>
      <c r="M32" t="s">
        <v>2161</v>
      </c>
      <c r="N32" t="s">
        <v>2162</v>
      </c>
      <c r="O32" t="s">
        <v>1318</v>
      </c>
      <c r="P32">
        <v>-2.7</v>
      </c>
      <c r="Q32" t="s">
        <v>2163</v>
      </c>
      <c r="R32">
        <v>11985554</v>
      </c>
      <c r="S32" s="5">
        <v>-0.45550000000000002</v>
      </c>
      <c r="T32" t="s">
        <v>2164</v>
      </c>
      <c r="U32">
        <v>1109830900</v>
      </c>
      <c r="V32">
        <v>1109830900</v>
      </c>
      <c r="W32">
        <v>2.1800000000000002</v>
      </c>
      <c r="X32">
        <v>0.02</v>
      </c>
      <c r="Y32">
        <v>3.58</v>
      </c>
      <c r="Z32" t="s">
        <v>2165</v>
      </c>
      <c r="AA32" t="s">
        <v>2166</v>
      </c>
      <c r="AB32" t="s">
        <v>2167</v>
      </c>
      <c r="AC32" t="s">
        <v>2168</v>
      </c>
      <c r="AD32" t="s">
        <v>24</v>
      </c>
      <c r="AE32">
        <v>28040499</v>
      </c>
      <c r="AF32" t="s">
        <v>2169</v>
      </c>
      <c r="AG32">
        <v>1430.22</v>
      </c>
      <c r="AH32" t="s">
        <v>2170</v>
      </c>
      <c r="AI32" t="s">
        <v>774</v>
      </c>
      <c r="AJ32" t="s">
        <v>2171</v>
      </c>
      <c r="AK32" t="s">
        <v>24</v>
      </c>
      <c r="AL32" t="s">
        <v>2172</v>
      </c>
      <c r="AM32" t="s">
        <v>24</v>
      </c>
      <c r="AN32">
        <v>0</v>
      </c>
      <c r="AO32" t="s">
        <v>1439</v>
      </c>
      <c r="AP32" t="s">
        <v>1190</v>
      </c>
      <c r="AQ32" t="s">
        <v>2173</v>
      </c>
      <c r="AR32" t="s">
        <v>2174</v>
      </c>
      <c r="AS32" t="s">
        <v>2175</v>
      </c>
      <c r="AT32" t="s">
        <v>1076</v>
      </c>
      <c r="AU32" t="s">
        <v>149</v>
      </c>
      <c r="AV32" t="s">
        <v>2176</v>
      </c>
      <c r="AW32" t="s">
        <v>1054</v>
      </c>
      <c r="AX32" t="s">
        <v>1345</v>
      </c>
      <c r="AY32" t="s">
        <v>888</v>
      </c>
      <c r="AZ32" t="s">
        <v>670</v>
      </c>
      <c r="BA32" t="s">
        <v>223</v>
      </c>
      <c r="BB32" t="s">
        <v>272</v>
      </c>
      <c r="BC32" t="s">
        <v>1346</v>
      </c>
      <c r="BD32" t="s">
        <v>889</v>
      </c>
      <c r="BE32" t="s">
        <v>732</v>
      </c>
      <c r="BF32" t="s">
        <v>224</v>
      </c>
      <c r="BG32" t="s">
        <v>545</v>
      </c>
      <c r="BH32" t="s">
        <v>2163</v>
      </c>
      <c r="BI32" t="s">
        <v>188</v>
      </c>
      <c r="BJ32" t="s">
        <v>1345</v>
      </c>
      <c r="BK32" t="s">
        <v>2164</v>
      </c>
      <c r="BL32" t="s">
        <v>2177</v>
      </c>
      <c r="BM32" t="s">
        <v>1346</v>
      </c>
      <c r="BN32" t="s">
        <v>24</v>
      </c>
      <c r="BO32">
        <v>1.34</v>
      </c>
      <c r="BP32">
        <v>1.1100000000000001</v>
      </c>
      <c r="BQ32">
        <v>-2.0299999999999998</v>
      </c>
      <c r="BR32">
        <v>0.43</v>
      </c>
      <c r="BS32">
        <v>0.9</v>
      </c>
      <c r="BT32" t="s">
        <v>1193</v>
      </c>
      <c r="BU32" t="s">
        <v>1043</v>
      </c>
      <c r="BV32">
        <v>15.26</v>
      </c>
      <c r="BW32">
        <v>31.14</v>
      </c>
      <c r="BX32">
        <v>51.25</v>
      </c>
      <c r="BY32">
        <v>0.93</v>
      </c>
      <c r="BZ32">
        <v>0.95</v>
      </c>
      <c r="CA32">
        <v>1.95</v>
      </c>
      <c r="CB32">
        <v>0</v>
      </c>
      <c r="CC32">
        <v>-22.94</v>
      </c>
      <c r="CD32" t="s">
        <v>2178</v>
      </c>
      <c r="CE32" t="s">
        <v>672</v>
      </c>
      <c r="CF32" s="8">
        <v>-2.6315789473684209E-2</v>
      </c>
      <c r="CG32" s="9">
        <v>-0.4554916703389561</v>
      </c>
      <c r="CH32" s="8">
        <v>0.24259640276432037</v>
      </c>
      <c r="CI32" s="8">
        <v>-2.9527584090828896E-2</v>
      </c>
      <c r="CJ32" s="8">
        <v>2.1013429164886475</v>
      </c>
      <c r="CK32" s="8">
        <v>-0.32648026943206787</v>
      </c>
      <c r="CL32" s="8">
        <v>-0.468995600938797</v>
      </c>
      <c r="CM32" s="9">
        <v>-0.14017876982688904</v>
      </c>
      <c r="CN32" s="9">
        <v>-0.52932727336883545</v>
      </c>
      <c r="CO32" s="9">
        <v>1.1269493103027344</v>
      </c>
      <c r="CP32" s="9">
        <v>-3.0526316165924072</v>
      </c>
      <c r="CQ32" s="9">
        <v>0.97705978155136108</v>
      </c>
      <c r="CR32">
        <v>-1579.1726391440907</v>
      </c>
      <c r="CS32">
        <v>-51.982861019648581</v>
      </c>
      <c r="CT32">
        <v>0.76335877862595425</v>
      </c>
      <c r="CU32" s="8">
        <v>0.3037871729582548</v>
      </c>
      <c r="CV32" s="9">
        <v>-0.32362571358680725</v>
      </c>
      <c r="CW32">
        <v>0.06</v>
      </c>
      <c r="CX32">
        <v>131.62112530950546</v>
      </c>
      <c r="CY32">
        <v>24644652.538658559</v>
      </c>
      <c r="CZ32">
        <v>0.3037871729582548</v>
      </c>
      <c r="DA32">
        <v>36.056100469287408</v>
      </c>
      <c r="DB32">
        <v>89964163.00656341</v>
      </c>
      <c r="DC32">
        <v>0.28859781431034204</v>
      </c>
      <c r="DD32">
        <v>13.788310237638274</v>
      </c>
      <c r="DE32">
        <v>235254127.88765374</v>
      </c>
      <c r="DF32">
        <v>0.26733271220326421</v>
      </c>
      <c r="DG32">
        <v>6.0847438418411715</v>
      </c>
      <c r="DH32">
        <v>533096706.17431903</v>
      </c>
      <c r="DI32">
        <v>0.24302973836660385</v>
      </c>
      <c r="DJ32">
        <v>1.4828397403460079</v>
      </c>
      <c r="DK32">
        <v>2187530325.5920949</v>
      </c>
      <c r="DL32">
        <v>0.21265102107077835</v>
      </c>
      <c r="DM32">
        <v>20036500</v>
      </c>
      <c r="DN32">
        <v>0.3037871729582548</v>
      </c>
      <c r="DO32">
        <v>3243756900</v>
      </c>
      <c r="DP32">
        <v>5770960800</v>
      </c>
      <c r="DQ32">
        <v>401</v>
      </c>
      <c r="DR32">
        <v>-0.33010296243193904</v>
      </c>
      <c r="DS32">
        <v>-0.13186595675214885</v>
      </c>
      <c r="DT32" s="10">
        <v>-7.333333333333332E-2</v>
      </c>
      <c r="DU32">
        <v>-0.55333333333333334</v>
      </c>
      <c r="DV32">
        <v>-0.62666666666666671</v>
      </c>
      <c r="DW32">
        <v>-3.0784880952380953</v>
      </c>
      <c r="DX32">
        <v>0.27111498637602127</v>
      </c>
      <c r="DY32">
        <v>-3.0095060845854418</v>
      </c>
      <c r="DZ32">
        <v>3073</v>
      </c>
      <c r="EA32">
        <v>-3.003789411800498</v>
      </c>
      <c r="EB32">
        <v>3</v>
      </c>
      <c r="EC32">
        <v>8.010085139997454E-2</v>
      </c>
      <c r="ED32">
        <v>0.66136201469971689</v>
      </c>
      <c r="EE32" s="11">
        <v>1.1335999999999999</v>
      </c>
      <c r="EF32">
        <v>1.1261000000000001</v>
      </c>
      <c r="EG32">
        <v>15.121114986376021</v>
      </c>
      <c r="EH32" t="s">
        <v>904</v>
      </c>
      <c r="EI32">
        <v>0</v>
      </c>
      <c r="EJ32">
        <v>0</v>
      </c>
      <c r="EK32" s="13">
        <v>45470</v>
      </c>
      <c r="EL32" s="14">
        <v>0.37</v>
      </c>
      <c r="EM32" s="14">
        <v>-4.8</v>
      </c>
      <c r="EN32" s="14">
        <v>3.49</v>
      </c>
      <c r="EO32" s="14">
        <v>0</v>
      </c>
      <c r="EP32" s="14">
        <v>-0.75</v>
      </c>
    </row>
    <row r="33" spans="1:146" ht="88.5" customHeight="1" x14ac:dyDescent="0.25">
      <c r="C33" s="16" t="str">
        <f>""&amp;CHAR(10)&amp;Basic_Fundamental_Information_Constructure(F33)&amp;CHAR(10)&amp;Basic_Fundamental_Information_Concatenate("")</f>
        <v xml:space="preserve">
市值105.504433亿, 利润7.36亿; PE14.22; 平均PE18.49; 平均PEG.93, PB1.06; ROIC5.2267%; ROE6.36%; 股利率1.7085%; 毛利12.3867%; 净利4.4567%; 上一年度营收增19.99%, 利润增23.91%; 当季营收增12.67%, 利润增3.08%; 过往5年营收增19.81%, 利润增8.65%
Income profile:
</v>
      </c>
      <c r="D33" t="s">
        <v>2179</v>
      </c>
      <c r="E33" t="s">
        <v>2180</v>
      </c>
      <c r="F33">
        <v>9.9499999999999993</v>
      </c>
      <c r="G33">
        <v>0.3</v>
      </c>
      <c r="H33" t="s">
        <v>2181</v>
      </c>
      <c r="I33">
        <v>10550443300</v>
      </c>
      <c r="J33">
        <v>14.22</v>
      </c>
      <c r="K33">
        <v>1.06</v>
      </c>
      <c r="L33" t="s">
        <v>1589</v>
      </c>
      <c r="M33" t="s">
        <v>2182</v>
      </c>
      <c r="N33" t="s">
        <v>2183</v>
      </c>
      <c r="O33" t="s">
        <v>2184</v>
      </c>
      <c r="P33" s="5">
        <v>12.67</v>
      </c>
      <c r="Q33" t="s">
        <v>2185</v>
      </c>
      <c r="R33">
        <v>190689150</v>
      </c>
      <c r="S33">
        <v>3.3399999999999999E-2</v>
      </c>
      <c r="T33" t="s">
        <v>1506</v>
      </c>
      <c r="U33">
        <v>1060342760</v>
      </c>
      <c r="V33">
        <v>1060346060</v>
      </c>
      <c r="W33">
        <v>1.79</v>
      </c>
      <c r="X33">
        <v>0.2</v>
      </c>
      <c r="Y33">
        <v>5.37</v>
      </c>
      <c r="Z33" t="s">
        <v>2186</v>
      </c>
      <c r="AA33" t="s">
        <v>2187</v>
      </c>
      <c r="AB33" t="s">
        <v>2188</v>
      </c>
      <c r="AC33" t="s">
        <v>191</v>
      </c>
      <c r="AD33" t="s">
        <v>24</v>
      </c>
      <c r="AE33">
        <v>5127446</v>
      </c>
      <c r="AF33" t="s">
        <v>2189</v>
      </c>
      <c r="AG33" t="s">
        <v>2190</v>
      </c>
      <c r="AH33" t="s">
        <v>2191</v>
      </c>
      <c r="AI33" t="s">
        <v>2192</v>
      </c>
      <c r="AJ33" t="s">
        <v>2193</v>
      </c>
      <c r="AK33" t="s">
        <v>2194</v>
      </c>
      <c r="AL33" t="s">
        <v>2195</v>
      </c>
      <c r="AM33" t="s">
        <v>24</v>
      </c>
      <c r="AN33">
        <v>0</v>
      </c>
      <c r="AO33" t="s">
        <v>24</v>
      </c>
      <c r="AP33" t="s">
        <v>24</v>
      </c>
      <c r="AQ33" t="s">
        <v>2196</v>
      </c>
      <c r="AR33" t="s">
        <v>2197</v>
      </c>
      <c r="AS33" t="s">
        <v>2198</v>
      </c>
      <c r="AT33" t="s">
        <v>1372</v>
      </c>
      <c r="AU33" t="s">
        <v>2199</v>
      </c>
      <c r="AV33" t="s">
        <v>2200</v>
      </c>
      <c r="AW33" t="s">
        <v>2201</v>
      </c>
      <c r="AX33" t="s">
        <v>2202</v>
      </c>
      <c r="AY33" t="s">
        <v>2203</v>
      </c>
      <c r="AZ33" t="s">
        <v>2204</v>
      </c>
      <c r="BA33" t="s">
        <v>2205</v>
      </c>
      <c r="BB33" t="s">
        <v>2206</v>
      </c>
      <c r="BC33" t="s">
        <v>2207</v>
      </c>
      <c r="BD33" t="s">
        <v>423</v>
      </c>
      <c r="BE33" t="s">
        <v>1156</v>
      </c>
      <c r="BF33" t="s">
        <v>196</v>
      </c>
      <c r="BG33" t="s">
        <v>2208</v>
      </c>
      <c r="BH33" t="s">
        <v>2185</v>
      </c>
      <c r="BI33" t="s">
        <v>2209</v>
      </c>
      <c r="BJ33" t="s">
        <v>2202</v>
      </c>
      <c r="BK33" t="s">
        <v>1506</v>
      </c>
      <c r="BL33" t="s">
        <v>429</v>
      </c>
      <c r="BM33" t="s">
        <v>2207</v>
      </c>
      <c r="BN33">
        <v>5.59</v>
      </c>
      <c r="BO33">
        <v>5.45</v>
      </c>
      <c r="BP33">
        <v>4.6399999999999997</v>
      </c>
      <c r="BQ33">
        <v>6.32</v>
      </c>
      <c r="BR33">
        <v>6.69</v>
      </c>
      <c r="BS33">
        <v>6.07</v>
      </c>
      <c r="BT33" t="s">
        <v>1550</v>
      </c>
      <c r="BU33" t="s">
        <v>2210</v>
      </c>
      <c r="BV33">
        <v>11.56</v>
      </c>
      <c r="BW33">
        <v>11.84</v>
      </c>
      <c r="BX33">
        <v>13.76</v>
      </c>
      <c r="BY33">
        <v>4.7300000000000004</v>
      </c>
      <c r="BZ33">
        <v>4.37</v>
      </c>
      <c r="CA33">
        <v>4.2699999999999996</v>
      </c>
      <c r="CB33">
        <v>-0.7</v>
      </c>
      <c r="CC33" s="8">
        <v>-17.079999999999998</v>
      </c>
      <c r="CD33" s="9" t="s">
        <v>2211</v>
      </c>
      <c r="CE33" s="8" t="s">
        <v>1572</v>
      </c>
      <c r="CF33" s="8">
        <v>0.12673926194797339</v>
      </c>
      <c r="CG33" s="8">
        <v>3.0752162162162162E-2</v>
      </c>
      <c r="CH33" s="8">
        <v>0.19986177980899811</v>
      </c>
      <c r="CI33" s="8">
        <v>0.22972340881824493</v>
      </c>
      <c r="CJ33" s="9">
        <v>0.22425150871276855</v>
      </c>
      <c r="CK33" s="9">
        <v>0.42332997918128967</v>
      </c>
      <c r="CL33" s="9">
        <v>-8.6838923394680023E-2</v>
      </c>
      <c r="CM33" s="9">
        <v>0.23905724287033081</v>
      </c>
      <c r="CN33" s="9">
        <v>0.15789473056793213</v>
      </c>
      <c r="CO33">
        <v>0.17391304671764374</v>
      </c>
      <c r="CP33">
        <v>0.52797204256057739</v>
      </c>
      <c r="CQ33">
        <v>-0.66627770662307739</v>
      </c>
      <c r="CR33" s="8">
        <v>18.493327432077127</v>
      </c>
      <c r="CS33" s="9">
        <v>0.93369732261318383</v>
      </c>
      <c r="CT33">
        <v>1.7085427135678393</v>
      </c>
      <c r="CU33">
        <v>0.19806555062532424</v>
      </c>
      <c r="CV33">
        <v>8.6511871218681341E-2</v>
      </c>
      <c r="CW33">
        <v>0.06</v>
      </c>
      <c r="CX33">
        <v>10.978283833381141</v>
      </c>
      <c r="CY33">
        <v>831864382.32097971</v>
      </c>
      <c r="CZ33">
        <v>0.19806555062532424</v>
      </c>
      <c r="DA33">
        <v>3.2776624205543747</v>
      </c>
      <c r="DB33">
        <v>2786267201.5061769</v>
      </c>
      <c r="DC33">
        <v>0.18816227309405803</v>
      </c>
      <c r="DD33">
        <v>1.4232617801157821</v>
      </c>
      <c r="DE33">
        <v>6416559081.1109095</v>
      </c>
      <c r="DF33">
        <v>0.17429768455028533</v>
      </c>
      <c r="DG33">
        <v>0.73709308255703165</v>
      </c>
      <c r="DH33">
        <v>12389810074.351618</v>
      </c>
      <c r="DI33">
        <v>0.15845244050025942</v>
      </c>
      <c r="DJ33">
        <v>0.26911536526266577</v>
      </c>
      <c r="DK33">
        <v>33935049717.753662</v>
      </c>
      <c r="DL33">
        <v>0.13864588543772696</v>
      </c>
      <c r="DM33">
        <v>736000000</v>
      </c>
      <c r="DN33">
        <v>0.19806555062532424</v>
      </c>
      <c r="DO33">
        <v>9132443300</v>
      </c>
      <c r="DP33">
        <v>2093005200</v>
      </c>
      <c r="DQ33" s="10">
        <v>519</v>
      </c>
      <c r="DR33">
        <v>-7.1326288677350858E-2</v>
      </c>
      <c r="DS33">
        <v>-5.5759709056519183E-2</v>
      </c>
      <c r="DT33">
        <v>0.12666666666666662</v>
      </c>
      <c r="DU33">
        <v>0.3666666666666667</v>
      </c>
      <c r="DV33">
        <v>0.49333333333333329</v>
      </c>
      <c r="DW33">
        <v>-3.0122142857142857</v>
      </c>
      <c r="DX33">
        <v>0.32184121621621575</v>
      </c>
      <c r="DY33">
        <v>-3.0018546319980697</v>
      </c>
      <c r="DZ33">
        <v>723</v>
      </c>
      <c r="EA33">
        <v>-3.0015922251615521</v>
      </c>
      <c r="EB33" s="11">
        <v>3</v>
      </c>
      <c r="EC33" s="11">
        <v>4.2387105206011702E-2</v>
      </c>
      <c r="ED33">
        <v>0.27915414709043196</v>
      </c>
      <c r="EE33">
        <v>9.9100000000000008E-2</v>
      </c>
      <c r="EF33">
        <v>8.8399999999999992E-2</v>
      </c>
      <c r="EG33">
        <v>17.151841216216216</v>
      </c>
      <c r="EH33" s="13" t="s">
        <v>863</v>
      </c>
      <c r="EI33">
        <v>0</v>
      </c>
      <c r="EJ33">
        <v>1</v>
      </c>
      <c r="EK33">
        <v>45470</v>
      </c>
      <c r="EL33">
        <v>-0.78</v>
      </c>
      <c r="EM33">
        <v>-1.08</v>
      </c>
      <c r="EN33" s="14">
        <v>1.79</v>
      </c>
      <c r="EO33" s="14">
        <v>0.78</v>
      </c>
      <c r="EP33" s="14">
        <v>-1.07</v>
      </c>
    </row>
    <row r="34" spans="1:146" ht="88.5" customHeight="1" x14ac:dyDescent="0.25">
      <c r="A34" s="7"/>
      <c r="B34" s="7"/>
      <c r="C34" s="16" t="str">
        <f>""&amp;CHAR(10)&amp;Basic_Fundamental_Information_Constructure(F34)&amp;CHAR(10)&amp;Basic_Fundamental_Information_Concatenate("")</f>
        <v xml:space="preserve">
市值816.38134亿, 利润63.19亿; PE12.8; 平均PE7.6; 平均PEG.49, PB.828; ROIC2.4%; ROE6.06%; 股利率3.5516%; 毛利20.2033%; 净利6.5433%; 上一年度营收增-4.37%, 利润增48.19%; 当季营收增58.22%, 利润增22.2%; 过往5年营收增15.37%, 利润增-8.88%
Income profile:
</v>
      </c>
      <c r="D34" t="s">
        <v>226</v>
      </c>
      <c r="E34" t="s">
        <v>36</v>
      </c>
      <c r="F34">
        <v>9.01</v>
      </c>
      <c r="G34">
        <v>-1.53</v>
      </c>
      <c r="H34" t="s">
        <v>2212</v>
      </c>
      <c r="I34">
        <v>81638134000</v>
      </c>
      <c r="J34">
        <v>12.8</v>
      </c>
      <c r="K34">
        <v>0.82799999999999996</v>
      </c>
      <c r="L34" t="s">
        <v>1589</v>
      </c>
      <c r="M34" t="s">
        <v>2213</v>
      </c>
      <c r="N34" t="s">
        <v>2214</v>
      </c>
      <c r="O34" t="s">
        <v>2215</v>
      </c>
      <c r="P34">
        <v>58.22</v>
      </c>
      <c r="Q34" t="s">
        <v>2216</v>
      </c>
      <c r="R34">
        <v>332380300</v>
      </c>
      <c r="S34" s="5">
        <v>0.22220000000000001</v>
      </c>
      <c r="T34" t="s">
        <v>2217</v>
      </c>
      <c r="U34">
        <v>8322559700</v>
      </c>
      <c r="V34">
        <v>9060836200</v>
      </c>
      <c r="W34">
        <v>3.1</v>
      </c>
      <c r="X34">
        <v>0.03</v>
      </c>
      <c r="Y34">
        <v>3.94</v>
      </c>
      <c r="Z34" t="s">
        <v>2218</v>
      </c>
      <c r="AA34" t="s">
        <v>2219</v>
      </c>
      <c r="AB34" t="s">
        <v>1139</v>
      </c>
      <c r="AC34" t="s">
        <v>1187</v>
      </c>
      <c r="AD34" t="s">
        <v>24</v>
      </c>
      <c r="AE34">
        <v>504636880</v>
      </c>
      <c r="AF34" t="s">
        <v>2220</v>
      </c>
      <c r="AG34" t="s">
        <v>2221</v>
      </c>
      <c r="AH34" t="s">
        <v>2222</v>
      </c>
      <c r="AI34" t="s">
        <v>2223</v>
      </c>
      <c r="AJ34" t="s">
        <v>2224</v>
      </c>
      <c r="AK34" t="s">
        <v>2194</v>
      </c>
      <c r="AL34" t="s">
        <v>2225</v>
      </c>
      <c r="AM34" t="s">
        <v>24</v>
      </c>
      <c r="AN34" t="s">
        <v>1461</v>
      </c>
      <c r="AO34" t="s">
        <v>816</v>
      </c>
      <c r="AP34" t="s">
        <v>24</v>
      </c>
      <c r="AQ34" t="s">
        <v>2226</v>
      </c>
      <c r="AR34" t="s">
        <v>294</v>
      </c>
      <c r="AS34" t="s">
        <v>2227</v>
      </c>
      <c r="AT34" t="s">
        <v>2228</v>
      </c>
      <c r="AU34" t="s">
        <v>2229</v>
      </c>
      <c r="AV34" t="s">
        <v>2230</v>
      </c>
      <c r="AW34" t="s">
        <v>2231</v>
      </c>
      <c r="AX34" t="s">
        <v>1352</v>
      </c>
      <c r="AY34" t="s">
        <v>890</v>
      </c>
      <c r="AZ34" t="s">
        <v>546</v>
      </c>
      <c r="BA34" t="s">
        <v>227</v>
      </c>
      <c r="BB34" t="s">
        <v>548</v>
      </c>
      <c r="BC34" t="s">
        <v>465</v>
      </c>
      <c r="BD34" t="s">
        <v>891</v>
      </c>
      <c r="BE34" t="s">
        <v>547</v>
      </c>
      <c r="BF34" t="s">
        <v>228</v>
      </c>
      <c r="BG34" t="s">
        <v>549</v>
      </c>
      <c r="BH34" t="s">
        <v>2216</v>
      </c>
      <c r="BI34" t="s">
        <v>2232</v>
      </c>
      <c r="BJ34" t="s">
        <v>1352</v>
      </c>
      <c r="BK34" t="s">
        <v>2217</v>
      </c>
      <c r="BL34" t="s">
        <v>1066</v>
      </c>
      <c r="BM34" t="s">
        <v>465</v>
      </c>
      <c r="BN34">
        <v>1.3</v>
      </c>
      <c r="BO34">
        <v>2.08</v>
      </c>
      <c r="BP34">
        <v>3.82</v>
      </c>
      <c r="BQ34">
        <v>3.59</v>
      </c>
      <c r="BR34">
        <v>3.76</v>
      </c>
      <c r="BS34">
        <v>10.83</v>
      </c>
      <c r="BT34" t="s">
        <v>1186</v>
      </c>
      <c r="BU34" t="s">
        <v>1046</v>
      </c>
      <c r="BV34">
        <v>15.89</v>
      </c>
      <c r="BW34">
        <v>19.25</v>
      </c>
      <c r="BX34">
        <v>25.47</v>
      </c>
      <c r="BY34">
        <v>5.2</v>
      </c>
      <c r="BZ34">
        <v>4.97</v>
      </c>
      <c r="CA34">
        <v>9.4600000000000009</v>
      </c>
      <c r="CB34">
        <v>2.5</v>
      </c>
      <c r="CC34">
        <v>-13.03</v>
      </c>
      <c r="CD34" t="s">
        <v>1501</v>
      </c>
      <c r="CE34" t="s">
        <v>2233</v>
      </c>
      <c r="CF34" s="8">
        <v>0.5821840229195816</v>
      </c>
      <c r="CG34" s="9">
        <v>0.22198639705882353</v>
      </c>
      <c r="CH34" s="8">
        <v>-4.368780180811882E-2</v>
      </c>
      <c r="CI34" s="8">
        <v>0.13919061422348022</v>
      </c>
      <c r="CJ34" s="8">
        <v>0.23932854831218719</v>
      </c>
      <c r="CK34" s="8">
        <v>0.32710495591163635</v>
      </c>
      <c r="CL34" s="8">
        <v>0.10641387104988098</v>
      </c>
      <c r="CM34" s="9">
        <v>0.48194184899330139</v>
      </c>
      <c r="CN34" s="9">
        <v>-0.58889317512512207</v>
      </c>
      <c r="CO34" s="9">
        <v>-0.15351341664791107</v>
      </c>
      <c r="CP34" s="9">
        <v>-0.23576377332210541</v>
      </c>
      <c r="CQ34" s="9">
        <v>5.2034184336662292E-2</v>
      </c>
      <c r="CR34">
        <v>7.5964827468556626</v>
      </c>
      <c r="CS34">
        <v>0.49433727410826045</v>
      </c>
      <c r="CT34">
        <v>3.551609322974473</v>
      </c>
      <c r="CU34" s="8">
        <v>0.15367003753781319</v>
      </c>
      <c r="CV34" s="9">
        <v>-8.8838866353034979E-2</v>
      </c>
      <c r="CW34">
        <v>0.06</v>
      </c>
      <c r="CX34">
        <v>57.643338896258392</v>
      </c>
      <c r="CY34">
        <v>6877397138.8692846</v>
      </c>
      <c r="CZ34">
        <v>0.15367003753781319</v>
      </c>
      <c r="DA34">
        <v>17.855667416686881</v>
      </c>
      <c r="DB34">
        <v>22202257958.137905</v>
      </c>
      <c r="DC34">
        <v>0.14598653566092254</v>
      </c>
      <c r="DD34">
        <v>8.1691692038061277</v>
      </c>
      <c r="DE34">
        <v>48528329394.290794</v>
      </c>
      <c r="DF34">
        <v>0.13522963303327562</v>
      </c>
      <c r="DG34">
        <v>4.5062099943017424</v>
      </c>
      <c r="DH34">
        <v>87975512570.720657</v>
      </c>
      <c r="DI34">
        <v>0.12293603003025055</v>
      </c>
      <c r="DJ34">
        <v>1.9164067493986856</v>
      </c>
      <c r="DK34">
        <v>206864296488.41013</v>
      </c>
      <c r="DL34">
        <v>0.10756902627646923</v>
      </c>
      <c r="DM34">
        <v>6319000000</v>
      </c>
      <c r="DN34">
        <v>0.15367003753781319</v>
      </c>
      <c r="DO34">
        <v>396436134000</v>
      </c>
      <c r="DP34">
        <v>244468690000</v>
      </c>
      <c r="DQ34">
        <v>521</v>
      </c>
      <c r="DR34">
        <v>0.42851398538176844</v>
      </c>
      <c r="DS34">
        <v>0.31082526341185851</v>
      </c>
      <c r="DT34" s="10">
        <v>-0.19000000000000003</v>
      </c>
      <c r="DU34">
        <v>-0.23333333333333331</v>
      </c>
      <c r="DV34">
        <v>-0.42333333333333334</v>
      </c>
      <c r="DW34">
        <v>6.1609787508048939</v>
      </c>
      <c r="DX34">
        <v>0.30666666666666609</v>
      </c>
      <c r="DY34">
        <v>6.0268297918008154</v>
      </c>
      <c r="DZ34">
        <v>2716</v>
      </c>
      <c r="EA34">
        <v>6.0125695736929847</v>
      </c>
      <c r="EB34">
        <v>6</v>
      </c>
      <c r="EC34">
        <v>3.6420479602092354E-2</v>
      </c>
      <c r="ED34">
        <v>0.21852287761255412</v>
      </c>
      <c r="EE34" s="11">
        <v>2.0121099999999998</v>
      </c>
      <c r="EF34">
        <v>2.04081</v>
      </c>
      <c r="EG34">
        <v>14.166666666666666</v>
      </c>
      <c r="EH34" t="s">
        <v>833</v>
      </c>
      <c r="EI34">
        <v>0</v>
      </c>
      <c r="EJ34">
        <v>0</v>
      </c>
      <c r="EK34" s="13">
        <v>45470</v>
      </c>
      <c r="EL34" s="14">
        <v>0.44</v>
      </c>
      <c r="EM34" s="14">
        <v>-3.06</v>
      </c>
      <c r="EN34" s="14">
        <v>3.27</v>
      </c>
      <c r="EO34" s="14">
        <v>-1.0900000000000001</v>
      </c>
      <c r="EP34" s="14">
        <v>-2.87</v>
      </c>
    </row>
    <row r="35" spans="1:146" ht="88.5" customHeight="1" x14ac:dyDescent="0.25">
      <c r="A35" s="7"/>
      <c r="B35" s="7"/>
      <c r="C35" s="16" t="str">
        <f>""&amp;CHAR(10)&amp;Basic_Fundamental_Information_Constructure(F35)&amp;CHAR(10)&amp;Basic_Fundamental_Information_Concatenate("")</f>
        <v xml:space="preserve">
市值47.008456亿, 利润2.03亿; PE30.6; 平均PE7.91; 平均PEG1.52, PB.98; ROIC7.5667%; ROE8.1467%; 股利率.4475%; 毛利54.8733%; 净利20.54%; 上一年度营收增86.28%, 利润增42.96%; 当季营收增-15.33%, 利润增-80.48%; 过往5年营收增5.2%, 利润增-9.35%
Income profile:
</v>
      </c>
      <c r="D35" t="s">
        <v>231</v>
      </c>
      <c r="E35" t="s">
        <v>45</v>
      </c>
      <c r="F35">
        <v>5.81</v>
      </c>
      <c r="G35">
        <v>-3.97</v>
      </c>
      <c r="H35" t="s">
        <v>2234</v>
      </c>
      <c r="I35">
        <v>4700845600</v>
      </c>
      <c r="J35">
        <v>30.6</v>
      </c>
      <c r="K35">
        <v>0.98</v>
      </c>
      <c r="L35" t="s">
        <v>1589</v>
      </c>
      <c r="M35" t="s">
        <v>2235</v>
      </c>
      <c r="N35" t="s">
        <v>2236</v>
      </c>
      <c r="O35" t="s">
        <v>172</v>
      </c>
      <c r="P35">
        <v>-15.33</v>
      </c>
      <c r="Q35" t="s">
        <v>2237</v>
      </c>
      <c r="R35">
        <v>11884115</v>
      </c>
      <c r="S35" s="5">
        <v>-0.80479999999999996</v>
      </c>
      <c r="T35" t="s">
        <v>433</v>
      </c>
      <c r="U35">
        <v>809095630</v>
      </c>
      <c r="V35">
        <v>809095630</v>
      </c>
      <c r="W35">
        <v>1.27</v>
      </c>
      <c r="X35">
        <v>0.04</v>
      </c>
      <c r="Y35">
        <v>6.74</v>
      </c>
      <c r="Z35" t="s">
        <v>841</v>
      </c>
      <c r="AA35" t="s">
        <v>1129</v>
      </c>
      <c r="AB35" t="s">
        <v>2238</v>
      </c>
      <c r="AC35" t="s">
        <v>2239</v>
      </c>
      <c r="AD35" t="s">
        <v>24</v>
      </c>
      <c r="AE35">
        <v>-1649699</v>
      </c>
      <c r="AF35" t="s">
        <v>2240</v>
      </c>
      <c r="AG35" t="s">
        <v>2241</v>
      </c>
      <c r="AH35" t="s">
        <v>2242</v>
      </c>
      <c r="AI35" t="s">
        <v>1060</v>
      </c>
      <c r="AJ35" t="s">
        <v>2243</v>
      </c>
      <c r="AK35" t="s">
        <v>2244</v>
      </c>
      <c r="AL35" t="s">
        <v>2245</v>
      </c>
      <c r="AM35" t="s">
        <v>24</v>
      </c>
      <c r="AN35" t="s">
        <v>2246</v>
      </c>
      <c r="AO35" t="s">
        <v>2247</v>
      </c>
      <c r="AP35" t="s">
        <v>24</v>
      </c>
      <c r="AQ35" t="s">
        <v>141</v>
      </c>
      <c r="AR35" t="s">
        <v>24</v>
      </c>
      <c r="AS35" t="s">
        <v>2248</v>
      </c>
      <c r="AT35" t="s">
        <v>1078</v>
      </c>
      <c r="AU35" t="s">
        <v>2249</v>
      </c>
      <c r="AV35" t="s">
        <v>2250</v>
      </c>
      <c r="AW35" t="s">
        <v>2251</v>
      </c>
      <c r="AX35" t="s">
        <v>1094</v>
      </c>
      <c r="AY35" t="s">
        <v>796</v>
      </c>
      <c r="AZ35" t="s">
        <v>360</v>
      </c>
      <c r="BA35" t="s">
        <v>232</v>
      </c>
      <c r="BB35" t="s">
        <v>550</v>
      </c>
      <c r="BC35" t="s">
        <v>285</v>
      </c>
      <c r="BD35" t="s">
        <v>773</v>
      </c>
      <c r="BE35" t="s">
        <v>310</v>
      </c>
      <c r="BF35" t="s">
        <v>233</v>
      </c>
      <c r="BG35" t="s">
        <v>551</v>
      </c>
      <c r="BH35" t="s">
        <v>2237</v>
      </c>
      <c r="BI35" t="s">
        <v>169</v>
      </c>
      <c r="BJ35" t="s">
        <v>1094</v>
      </c>
      <c r="BK35" t="s">
        <v>433</v>
      </c>
      <c r="BL35" t="s">
        <v>2252</v>
      </c>
      <c r="BM35" t="s">
        <v>285</v>
      </c>
      <c r="BN35">
        <v>5.34</v>
      </c>
      <c r="BO35">
        <v>2.83</v>
      </c>
      <c r="BP35">
        <v>14.53</v>
      </c>
      <c r="BQ35">
        <v>5.19</v>
      </c>
      <c r="BR35">
        <v>3.04</v>
      </c>
      <c r="BS35">
        <v>16.21</v>
      </c>
      <c r="BT35" t="s">
        <v>1471</v>
      </c>
      <c r="BU35" t="s">
        <v>1043</v>
      </c>
      <c r="BV35">
        <v>40.4</v>
      </c>
      <c r="BW35">
        <v>56.81</v>
      </c>
      <c r="BX35">
        <v>67.41</v>
      </c>
      <c r="BY35">
        <v>14.49</v>
      </c>
      <c r="BZ35">
        <v>17.41</v>
      </c>
      <c r="CA35">
        <v>29.72</v>
      </c>
      <c r="CB35">
        <v>-5.68</v>
      </c>
      <c r="CC35">
        <v>-1.02</v>
      </c>
      <c r="CD35" t="s">
        <v>2253</v>
      </c>
      <c r="CE35" t="s">
        <v>1491</v>
      </c>
      <c r="CF35" s="8">
        <v>-0.15333333333333332</v>
      </c>
      <c r="CG35" s="9">
        <v>-0.8048139887429151</v>
      </c>
      <c r="CH35" s="8">
        <v>0.86281585693359375</v>
      </c>
      <c r="CI35" s="8">
        <v>-0.65084028244018555</v>
      </c>
      <c r="CJ35" s="8">
        <v>-0.19267299771308899</v>
      </c>
      <c r="CK35" s="8">
        <v>7.0831842720508575E-2</v>
      </c>
      <c r="CL35" s="8">
        <v>0.1699957549571991</v>
      </c>
      <c r="CM35" s="9">
        <v>0.42957746982574463</v>
      </c>
      <c r="CN35" s="9">
        <v>-0.79943501949310303</v>
      </c>
      <c r="CO35" s="9">
        <v>-0.15107913315296173</v>
      </c>
      <c r="CP35" s="9">
        <v>-5.4421767592430115E-2</v>
      </c>
      <c r="CQ35" s="9">
        <v>0.10804019868373871</v>
      </c>
      <c r="CR35">
        <v>7.9116615988779806</v>
      </c>
      <c r="CS35">
        <v>1.5207120080093901</v>
      </c>
      <c r="CT35">
        <v>0.44750430292598969</v>
      </c>
      <c r="CU35" s="8">
        <v>5.2026034891605379E-2</v>
      </c>
      <c r="CV35" s="9">
        <v>-9.3463650345802313E-2</v>
      </c>
      <c r="CW35">
        <v>0.06</v>
      </c>
      <c r="CX35">
        <v>7.8613328035909795</v>
      </c>
      <c r="CY35">
        <v>201472910.45565644</v>
      </c>
      <c r="CZ35">
        <v>5.2026034891605379E-2</v>
      </c>
      <c r="DA35">
        <v>2.6533230830178156</v>
      </c>
      <c r="DB35">
        <v>596929039.71520054</v>
      </c>
      <c r="DC35">
        <v>4.9424733147025106E-2</v>
      </c>
      <c r="DD35">
        <v>1.3629352257161556</v>
      </c>
      <c r="DE35">
        <v>1162084279.6602948</v>
      </c>
      <c r="DF35">
        <v>4.5782910704612732E-2</v>
      </c>
      <c r="DG35">
        <v>0.85792245167856562</v>
      </c>
      <c r="DH35">
        <v>1846140751.8839629</v>
      </c>
      <c r="DI35">
        <v>4.1620827913284308E-2</v>
      </c>
      <c r="DJ35">
        <v>0.48992773521790622</v>
      </c>
      <c r="DK35">
        <v>3232814731.9431701</v>
      </c>
      <c r="DL35">
        <v>3.6418224424123763E-2</v>
      </c>
      <c r="DM35">
        <v>202999999.99999997</v>
      </c>
      <c r="DN35">
        <v>5.2026034891605379E-2</v>
      </c>
      <c r="DO35">
        <v>1583845600</v>
      </c>
      <c r="DP35">
        <v>2948091800</v>
      </c>
      <c r="DQ35">
        <v>535</v>
      </c>
      <c r="DR35">
        <v>-0.20535936822493869</v>
      </c>
      <c r="DS35">
        <v>-0.71135033839711281</v>
      </c>
      <c r="DT35" s="10">
        <v>-0.44</v>
      </c>
      <c r="DU35">
        <v>-0.70666666666666667</v>
      </c>
      <c r="DV35">
        <v>-1.1466666666666667</v>
      </c>
      <c r="DW35">
        <v>-4.179577464788732</v>
      </c>
      <c r="DX35">
        <v>0.41756701754385805</v>
      </c>
      <c r="DY35">
        <v>-4.0444574573758336</v>
      </c>
      <c r="DZ35">
        <v>3707</v>
      </c>
      <c r="EA35">
        <v>-4.0122062255769659</v>
      </c>
      <c r="EB35">
        <v>4</v>
      </c>
      <c r="EC35">
        <v>8.7204277694590937E-2</v>
      </c>
      <c r="ED35">
        <v>0.35224513572023619</v>
      </c>
      <c r="EE35" s="11">
        <v>6.54E-2</v>
      </c>
      <c r="EF35">
        <v>4.3799999999999999E-2</v>
      </c>
      <c r="EG35">
        <v>17.247567017543858</v>
      </c>
      <c r="EH35" t="s">
        <v>863</v>
      </c>
      <c r="EI35">
        <v>0</v>
      </c>
      <c r="EJ35">
        <v>0</v>
      </c>
      <c r="EK35" s="13">
        <v>45470</v>
      </c>
      <c r="EL35" s="14">
        <v>-1.22</v>
      </c>
      <c r="EM35" s="14">
        <v>-5.48</v>
      </c>
      <c r="EN35" s="14">
        <v>10.09</v>
      </c>
      <c r="EO35" s="14">
        <v>2.04</v>
      </c>
      <c r="EP35" s="14">
        <v>-2.16</v>
      </c>
    </row>
    <row r="36" spans="1:146" ht="88.5" customHeight="1" x14ac:dyDescent="0.25">
      <c r="A36" s="7"/>
      <c r="B36" s="7"/>
      <c r="C36" s="16" t="str">
        <f>""&amp;CHAR(10)&amp;Basic_Fundamental_Information_Constructure(F36)&amp;CHAR(10)&amp;Basic_Fundamental_Information_Concatenate("")</f>
        <v xml:space="preserve">
市值17.34083亿, 利润3801.45万; PE; 平均PE7.76; 平均PEG.29, PB.437; ROIC3.8133%; ROE5.1467%; 股利率2.2321%; 毛利8.3467%; 净利2.83%; 上一年度营收增53.31%, 利润增-66.36%; 当季营收增-20.23%, 利润增-171.89%; 过往5年营收增26.7%, 利润增-25.05%
Income profile:
</v>
      </c>
      <c r="D36" t="s">
        <v>236</v>
      </c>
      <c r="E36" t="s">
        <v>59</v>
      </c>
      <c r="F36">
        <v>2.2400000000000002</v>
      </c>
      <c r="G36">
        <v>0.9</v>
      </c>
      <c r="H36" t="s">
        <v>2254</v>
      </c>
      <c r="I36">
        <v>1734083000</v>
      </c>
      <c r="K36">
        <v>0.437</v>
      </c>
      <c r="L36" t="s">
        <v>1589</v>
      </c>
      <c r="M36" t="s">
        <v>2255</v>
      </c>
      <c r="N36" t="s">
        <v>2256</v>
      </c>
      <c r="O36" t="s">
        <v>2257</v>
      </c>
      <c r="P36">
        <v>-20.21</v>
      </c>
      <c r="Q36" t="s">
        <v>2258</v>
      </c>
      <c r="R36">
        <v>-60000000</v>
      </c>
      <c r="S36" s="5">
        <v>-0.9597</v>
      </c>
      <c r="T36" t="s">
        <v>2259</v>
      </c>
      <c r="U36">
        <v>769870200</v>
      </c>
      <c r="V36">
        <v>774144180</v>
      </c>
      <c r="W36">
        <v>2.88</v>
      </c>
      <c r="X36">
        <v>0.1</v>
      </c>
      <c r="Y36">
        <v>2.65</v>
      </c>
      <c r="Z36" t="s">
        <v>529</v>
      </c>
      <c r="AA36" t="s">
        <v>2260</v>
      </c>
      <c r="AB36" t="s">
        <v>2261</v>
      </c>
      <c r="AC36" t="s">
        <v>2262</v>
      </c>
      <c r="AD36" t="s">
        <v>24</v>
      </c>
      <c r="AE36">
        <v>20024108</v>
      </c>
      <c r="AF36" t="s">
        <v>2263</v>
      </c>
      <c r="AG36" t="s">
        <v>2264</v>
      </c>
      <c r="AH36" t="s">
        <v>2265</v>
      </c>
      <c r="AI36" t="s">
        <v>2266</v>
      </c>
      <c r="AJ36" t="s">
        <v>2267</v>
      </c>
      <c r="AK36" t="s">
        <v>24</v>
      </c>
      <c r="AL36" t="s">
        <v>2268</v>
      </c>
      <c r="AM36" t="s">
        <v>24</v>
      </c>
      <c r="AN36">
        <v>0</v>
      </c>
      <c r="AO36" t="s">
        <v>105</v>
      </c>
      <c r="AP36" t="s">
        <v>2269</v>
      </c>
      <c r="AQ36" t="s">
        <v>2270</v>
      </c>
      <c r="AR36" t="s">
        <v>2271</v>
      </c>
      <c r="AS36" t="s">
        <v>2272</v>
      </c>
      <c r="AT36" t="s">
        <v>2273</v>
      </c>
      <c r="AU36" t="s">
        <v>2274</v>
      </c>
      <c r="AV36" t="s">
        <v>2275</v>
      </c>
      <c r="AW36" t="s">
        <v>2276</v>
      </c>
      <c r="AX36" t="s">
        <v>1357</v>
      </c>
      <c r="AY36" t="s">
        <v>1356</v>
      </c>
      <c r="AZ36" t="s">
        <v>1104</v>
      </c>
      <c r="BA36" t="s">
        <v>553</v>
      </c>
      <c r="BB36" t="s">
        <v>554</v>
      </c>
      <c r="BC36" t="s">
        <v>180</v>
      </c>
      <c r="BD36" t="s">
        <v>609</v>
      </c>
      <c r="BE36" t="s">
        <v>552</v>
      </c>
      <c r="BF36" t="s">
        <v>237</v>
      </c>
      <c r="BG36" t="s">
        <v>141</v>
      </c>
      <c r="BH36" t="s">
        <v>2258</v>
      </c>
      <c r="BI36" t="s">
        <v>2277</v>
      </c>
      <c r="BJ36" t="s">
        <v>1357</v>
      </c>
      <c r="BK36" t="s">
        <v>2259</v>
      </c>
      <c r="BL36" t="s">
        <v>2278</v>
      </c>
      <c r="BM36" t="s">
        <v>180</v>
      </c>
      <c r="BN36">
        <v>4.4000000000000004</v>
      </c>
      <c r="BO36">
        <v>1.89</v>
      </c>
      <c r="BP36">
        <v>5.15</v>
      </c>
      <c r="BQ36">
        <v>3.91</v>
      </c>
      <c r="BR36">
        <v>2.87</v>
      </c>
      <c r="BS36">
        <v>8.66</v>
      </c>
      <c r="BT36" t="s">
        <v>1122</v>
      </c>
      <c r="BU36" t="s">
        <v>1043</v>
      </c>
      <c r="BV36">
        <v>8.58</v>
      </c>
      <c r="BW36">
        <v>6.87</v>
      </c>
      <c r="BX36">
        <v>9.59</v>
      </c>
      <c r="BY36">
        <v>1.51</v>
      </c>
      <c r="BZ36">
        <v>1.92</v>
      </c>
      <c r="CA36">
        <v>5.0599999999999996</v>
      </c>
      <c r="CB36">
        <v>2.75</v>
      </c>
      <c r="CC36">
        <v>-19.420000000000002</v>
      </c>
      <c r="CD36" t="s">
        <v>2279</v>
      </c>
      <c r="CE36" t="s">
        <v>1935</v>
      </c>
      <c r="CF36" s="8">
        <v>-0.20226055919095765</v>
      </c>
      <c r="CG36" s="9">
        <v>-1.7188538594065619</v>
      </c>
      <c r="CH36" s="8">
        <v>0.53305649757385254</v>
      </c>
      <c r="CI36" s="8">
        <v>-0.18250951170921326</v>
      </c>
      <c r="CJ36" s="8">
        <v>0.40695452690124512</v>
      </c>
      <c r="CK36" s="8">
        <v>0.36479786038398743</v>
      </c>
      <c r="CL36" s="8">
        <v>0.21284005045890808</v>
      </c>
      <c r="CM36" s="9">
        <v>-0.66358852386474609</v>
      </c>
      <c r="CN36" s="9">
        <v>-0.65337425470352173</v>
      </c>
      <c r="CO36" s="9">
        <v>0.10508474707603455</v>
      </c>
      <c r="CP36" s="9">
        <v>0.26609441637992859</v>
      </c>
      <c r="CQ36" s="9">
        <v>-0.306547611951828</v>
      </c>
      <c r="CR36">
        <v>7.7586767331747719</v>
      </c>
      <c r="CS36">
        <v>0.29055679863769063</v>
      </c>
      <c r="CT36">
        <v>2.2321428571428568</v>
      </c>
      <c r="CU36" s="8">
        <v>0.26702788472175598</v>
      </c>
      <c r="CV36" s="9">
        <v>-0.25046624541282653</v>
      </c>
      <c r="CW36">
        <v>0.06</v>
      </c>
      <c r="CX36">
        <v>146.7917499402644</v>
      </c>
      <c r="CY36">
        <v>45439086.343165278</v>
      </c>
      <c r="CZ36">
        <v>0.26702788472175598</v>
      </c>
      <c r="DA36">
        <v>41.422310139665313</v>
      </c>
      <c r="DB36">
        <v>161026340.09330252</v>
      </c>
      <c r="DC36">
        <v>0.25367649048566815</v>
      </c>
      <c r="DD36">
        <v>16.561729858442611</v>
      </c>
      <c r="DE36">
        <v>402740719.53901708</v>
      </c>
      <c r="DF36">
        <v>0.23498453855514526</v>
      </c>
      <c r="DG36">
        <v>7.7371665990158567</v>
      </c>
      <c r="DH36">
        <v>862083414.46963465</v>
      </c>
      <c r="DI36">
        <v>0.21362230777740479</v>
      </c>
      <c r="DJ36">
        <v>2.1814710702829005</v>
      </c>
      <c r="DK36">
        <v>3057607818.3493862</v>
      </c>
      <c r="DL36">
        <v>0.18691951930522918</v>
      </c>
      <c r="DM36">
        <v>38014500</v>
      </c>
      <c r="DN36">
        <v>0.26702788472175598</v>
      </c>
      <c r="DO36">
        <v>6670083000</v>
      </c>
      <c r="DP36">
        <v>4083234100</v>
      </c>
      <c r="DQ36">
        <v>645</v>
      </c>
      <c r="DR36">
        <v>-0.46928844391271363</v>
      </c>
      <c r="DS36">
        <v>-1.4683876139937353</v>
      </c>
      <c r="DT36" s="10">
        <v>-7.3333333333333403E-2</v>
      </c>
      <c r="DU36">
        <v>-1.5149999999999999</v>
      </c>
      <c r="DV36">
        <v>-1.5883333333333334</v>
      </c>
      <c r="DW36">
        <v>6.1240414975191699</v>
      </c>
      <c r="DX36">
        <v>0.30240615384615338</v>
      </c>
      <c r="DY36">
        <v>6.015183442628639</v>
      </c>
      <c r="DZ36">
        <v>3690</v>
      </c>
      <c r="EA36">
        <v>6.0042192736854538</v>
      </c>
      <c r="EB36">
        <v>6</v>
      </c>
      <c r="EC36">
        <v>6.1666032288713972E-2</v>
      </c>
      <c r="ED36">
        <v>0.50378212492665131</v>
      </c>
      <c r="EE36" s="11">
        <v>-2.1153</v>
      </c>
      <c r="EF36">
        <v>-2.1021000000000001</v>
      </c>
      <c r="EG36">
        <v>18.122406153846153</v>
      </c>
      <c r="EH36" t="s">
        <v>1702</v>
      </c>
      <c r="EI36">
        <v>0</v>
      </c>
      <c r="EJ36">
        <v>0</v>
      </c>
      <c r="EK36" s="13">
        <v>45470</v>
      </c>
      <c r="EL36" s="14">
        <v>0</v>
      </c>
      <c r="EM36" s="14">
        <v>-3.56</v>
      </c>
      <c r="EN36" s="14">
        <v>2.76</v>
      </c>
      <c r="EO36" s="14">
        <v>1.79</v>
      </c>
      <c r="EP36" s="14">
        <v>-1.32</v>
      </c>
    </row>
    <row r="37" spans="1:146" ht="88.5" customHeight="1" x14ac:dyDescent="0.25">
      <c r="A37" s="7"/>
      <c r="B37" s="7"/>
      <c r="C37" s="16" t="str">
        <f>""&amp;CHAR(10)&amp;Basic_Fundamental_Information_Constructure(F37)&amp;CHAR(10)&amp;Basic_Fundamental_Information_Concatenate("")</f>
        <v xml:space="preserve">
市值64.787641亿, 利润3.85亿; PE6.01; 平均PE11.75; 平均PEG1.3, PB.274; ROIC2.37%; ROE-27.0167%; 股利率0%; 毛利13.25%; 净利-21.99%; 上一年度营收增84.87%, 利润增102.36%; 当季营收增81.57%, 利润增107.99%; 过往5年营收增9.02%, 利润增-58%
Income profile:
</v>
      </c>
      <c r="D37" t="s">
        <v>238</v>
      </c>
      <c r="E37" t="s">
        <v>62</v>
      </c>
      <c r="F37">
        <v>1.49</v>
      </c>
      <c r="G37">
        <v>0</v>
      </c>
      <c r="H37" t="s">
        <v>2280</v>
      </c>
      <c r="I37">
        <v>6478764100</v>
      </c>
      <c r="J37">
        <v>6.01</v>
      </c>
      <c r="K37">
        <v>0.27400000000000002</v>
      </c>
      <c r="L37" t="s">
        <v>1589</v>
      </c>
      <c r="M37" t="s">
        <v>2281</v>
      </c>
      <c r="N37" t="s">
        <v>2282</v>
      </c>
      <c r="O37" t="s">
        <v>2283</v>
      </c>
      <c r="P37">
        <v>81.56</v>
      </c>
      <c r="Q37" t="s">
        <v>2284</v>
      </c>
      <c r="R37">
        <v>51264986</v>
      </c>
      <c r="S37" s="5">
        <v>1.08</v>
      </c>
      <c r="T37" t="s">
        <v>2285</v>
      </c>
      <c r="U37">
        <v>3900271400</v>
      </c>
      <c r="V37">
        <v>4348163900</v>
      </c>
      <c r="W37">
        <v>7.38</v>
      </c>
      <c r="X37">
        <v>0.06</v>
      </c>
      <c r="Y37">
        <v>3.72</v>
      </c>
      <c r="Z37" t="s">
        <v>2286</v>
      </c>
      <c r="AA37" t="s">
        <v>2287</v>
      </c>
      <c r="AB37" t="s">
        <v>705</v>
      </c>
      <c r="AC37" t="s">
        <v>1126</v>
      </c>
      <c r="AD37" t="s">
        <v>24</v>
      </c>
      <c r="AE37">
        <v>333107590</v>
      </c>
      <c r="AF37" t="s">
        <v>2288</v>
      </c>
      <c r="AG37" t="s">
        <v>2289</v>
      </c>
      <c r="AH37" t="s">
        <v>2290</v>
      </c>
      <c r="AI37" t="s">
        <v>2291</v>
      </c>
      <c r="AJ37" t="s">
        <v>2292</v>
      </c>
      <c r="AK37" t="s">
        <v>24</v>
      </c>
      <c r="AL37" t="s">
        <v>2293</v>
      </c>
      <c r="AM37" t="s">
        <v>24</v>
      </c>
      <c r="AN37" t="s">
        <v>2294</v>
      </c>
      <c r="AO37" t="s">
        <v>2295</v>
      </c>
      <c r="AP37" t="s">
        <v>24</v>
      </c>
      <c r="AQ37" t="s">
        <v>2296</v>
      </c>
      <c r="AR37" t="s">
        <v>310</v>
      </c>
      <c r="AS37" t="s">
        <v>2297</v>
      </c>
      <c r="AT37" t="s">
        <v>2298</v>
      </c>
      <c r="AU37" t="s">
        <v>2299</v>
      </c>
      <c r="AV37" t="s">
        <v>2300</v>
      </c>
      <c r="AW37" t="s">
        <v>2301</v>
      </c>
      <c r="AX37" t="s">
        <v>2302</v>
      </c>
      <c r="AY37" t="s">
        <v>893</v>
      </c>
      <c r="AZ37" t="s">
        <v>555</v>
      </c>
      <c r="BA37" t="s">
        <v>239</v>
      </c>
      <c r="BB37" t="s">
        <v>556</v>
      </c>
      <c r="BC37" t="s">
        <v>2303</v>
      </c>
      <c r="BD37" t="s">
        <v>894</v>
      </c>
      <c r="BE37" t="s">
        <v>536</v>
      </c>
      <c r="BF37" t="s">
        <v>240</v>
      </c>
      <c r="BG37" t="s">
        <v>557</v>
      </c>
      <c r="BH37" t="s">
        <v>2284</v>
      </c>
      <c r="BI37" t="s">
        <v>2304</v>
      </c>
      <c r="BJ37" t="s">
        <v>2302</v>
      </c>
      <c r="BK37" t="s">
        <v>2285</v>
      </c>
      <c r="BL37" t="s">
        <v>2305</v>
      </c>
      <c r="BM37" t="s">
        <v>2303</v>
      </c>
      <c r="BN37">
        <v>2.37</v>
      </c>
      <c r="BO37" t="s">
        <v>24</v>
      </c>
      <c r="BP37" t="s">
        <v>24</v>
      </c>
      <c r="BQ37">
        <v>0.56000000000000005</v>
      </c>
      <c r="BR37">
        <v>-69.37</v>
      </c>
      <c r="BS37">
        <v>-12.24</v>
      </c>
      <c r="BT37" t="s">
        <v>1115</v>
      </c>
      <c r="BU37" t="s">
        <v>1043</v>
      </c>
      <c r="BV37">
        <v>17.86</v>
      </c>
      <c r="BW37">
        <v>2.35</v>
      </c>
      <c r="BX37">
        <v>19.54</v>
      </c>
      <c r="BY37">
        <v>2.61</v>
      </c>
      <c r="BZ37">
        <v>-57.99</v>
      </c>
      <c r="CA37">
        <v>-10.59</v>
      </c>
      <c r="CB37">
        <v>0</v>
      </c>
      <c r="CC37">
        <v>-25.87</v>
      </c>
      <c r="CD37" t="s">
        <v>2306</v>
      </c>
      <c r="CE37" t="s">
        <v>2307</v>
      </c>
      <c r="CF37" s="8">
        <v>0.81571638621140341</v>
      </c>
      <c r="CG37" s="9">
        <v>1.0798520031152647</v>
      </c>
      <c r="CH37" s="8">
        <v>0.84873944520950317</v>
      </c>
      <c r="CI37" s="8">
        <v>-0.32495132088661194</v>
      </c>
      <c r="CJ37" s="8">
        <v>-0.33934637904167175</v>
      </c>
      <c r="CK37" s="8">
        <v>8.4470761939883232E-3</v>
      </c>
      <c r="CL37" s="8">
        <v>0.25801870226860046</v>
      </c>
      <c r="CM37" s="9">
        <v>1.0236095190048218</v>
      </c>
      <c r="CN37" s="9">
        <v>-2.2910194396972656</v>
      </c>
      <c r="CO37" s="9">
        <v>-1.6605784893035889</v>
      </c>
      <c r="CP37" s="9">
        <v>-0.17752191424369812</v>
      </c>
      <c r="CQ37" s="9">
        <v>0.20555184781551361</v>
      </c>
      <c r="CR37">
        <v>11.747532366273797</v>
      </c>
      <c r="CS37">
        <v>1.3026542858207419</v>
      </c>
      <c r="CT37">
        <v>0</v>
      </c>
      <c r="CU37" s="8">
        <v>9.0181504748761659E-2</v>
      </c>
      <c r="CV37" s="9">
        <v>-0.5799916952848434</v>
      </c>
      <c r="CW37">
        <v>0.06</v>
      </c>
      <c r="CX37">
        <v>401.99237218887282</v>
      </c>
      <c r="CY37">
        <v>395962150.30969173</v>
      </c>
      <c r="CZ37">
        <v>9.0181504748761659E-2</v>
      </c>
      <c r="DA37">
        <v>131.34716857810182</v>
      </c>
      <c r="DB37">
        <v>1211855313.0846663</v>
      </c>
      <c r="DC37">
        <v>8.5672429511323575E-2</v>
      </c>
      <c r="DD37">
        <v>64.645880639948331</v>
      </c>
      <c r="DE37">
        <v>2462241406.943377</v>
      </c>
      <c r="DF37">
        <v>7.9359724178910254E-2</v>
      </c>
      <c r="DG37">
        <v>38.81196987876563</v>
      </c>
      <c r="DH37">
        <v>4101151386.9870687</v>
      </c>
      <c r="DI37">
        <v>7.2145203799009336E-2</v>
      </c>
      <c r="DJ37">
        <v>20.039432356183248</v>
      </c>
      <c r="DK37">
        <v>7943027590.3442097</v>
      </c>
      <c r="DL37">
        <v>6.3127053324133153E-2</v>
      </c>
      <c r="DM37">
        <v>385000000</v>
      </c>
      <c r="DN37">
        <v>9.0181504748761659E-2</v>
      </c>
      <c r="DO37">
        <v>159173764100</v>
      </c>
      <c r="DP37">
        <v>32898510000</v>
      </c>
      <c r="DQ37">
        <v>657</v>
      </c>
      <c r="DR37">
        <v>0.72553488146264178</v>
      </c>
      <c r="DS37">
        <v>1.6598436984001081</v>
      </c>
      <c r="DT37" s="10">
        <v>-0.29000000000000004</v>
      </c>
      <c r="DU37">
        <v>-1.3033333333333335</v>
      </c>
      <c r="DV37">
        <v>-1.5933333333333335</v>
      </c>
      <c r="DW37">
        <v>-3.1116250000000001</v>
      </c>
      <c r="DX37">
        <v>0.27637251139916785</v>
      </c>
      <c r="DY37">
        <v>-3.0163388315849322</v>
      </c>
      <c r="DZ37">
        <v>4089</v>
      </c>
      <c r="EA37">
        <v>-3.0032645688939756</v>
      </c>
      <c r="EB37">
        <v>3</v>
      </c>
      <c r="EC37">
        <v>0.15868767044406951</v>
      </c>
      <c r="ED37">
        <v>1.0841357659033966</v>
      </c>
      <c r="EE37" s="11">
        <v>3.0072000000000001</v>
      </c>
      <c r="EF37">
        <v>3.0139999999999998</v>
      </c>
      <c r="EG37">
        <v>13.146372511399168</v>
      </c>
      <c r="EH37" t="s">
        <v>1133</v>
      </c>
      <c r="EI37">
        <v>0</v>
      </c>
      <c r="EJ37">
        <v>0</v>
      </c>
      <c r="EK37" s="13">
        <v>45470</v>
      </c>
      <c r="EL37" s="14">
        <v>-0.68</v>
      </c>
      <c r="EM37" s="14">
        <v>-4.83</v>
      </c>
      <c r="EN37" s="14">
        <v>10.14</v>
      </c>
      <c r="EO37" s="14">
        <v>-2.63</v>
      </c>
      <c r="EP37" s="14">
        <v>0.68</v>
      </c>
    </row>
    <row r="38" spans="1:146" ht="88.5" customHeight="1" x14ac:dyDescent="0.25">
      <c r="C38" s="16" t="str">
        <f>""&amp;CHAR(10)&amp;Basic_Fundamental_Information_Constructure(F38)&amp;CHAR(10)&amp;Basic_Fundamental_Information_Concatenate("")</f>
        <v xml:space="preserve">
市值12.3743817亿, 利润2021.98万; PE65.55; 平均PE-1439.44; 平均PEG-10.43, PB8.92; ROIC-200.27%; ROE45.37%; 股利率0%; 毛利30.4933%; 净利26.52%; 上一年度营收增11.11%, 利润增-67.19%; 当季营收增17.39%, 利润增-16.66%; 过往5年营收增138.07%, 利润增33.48%
Income profile:
</v>
      </c>
      <c r="D38" t="s">
        <v>2308</v>
      </c>
      <c r="E38" t="s">
        <v>2309</v>
      </c>
      <c r="F38">
        <v>4.2300000000000004</v>
      </c>
      <c r="G38">
        <v>0.71</v>
      </c>
      <c r="H38" t="s">
        <v>2310</v>
      </c>
      <c r="I38">
        <v>1237438170</v>
      </c>
      <c r="J38">
        <v>65.55</v>
      </c>
      <c r="K38">
        <v>8.92</v>
      </c>
      <c r="L38" t="s">
        <v>1589</v>
      </c>
      <c r="M38" t="s">
        <v>224</v>
      </c>
      <c r="N38" t="s">
        <v>296</v>
      </c>
      <c r="O38" t="s">
        <v>2311</v>
      </c>
      <c r="P38" s="5">
        <v>17.39</v>
      </c>
      <c r="Q38" t="s">
        <v>2312</v>
      </c>
      <c r="R38">
        <v>6708313</v>
      </c>
      <c r="S38">
        <v>-0.1666</v>
      </c>
      <c r="T38" t="s">
        <v>2313</v>
      </c>
      <c r="U38">
        <v>240908300</v>
      </c>
      <c r="V38">
        <v>292538580</v>
      </c>
      <c r="W38">
        <v>2.2400000000000002</v>
      </c>
      <c r="X38">
        <v>0.27</v>
      </c>
      <c r="Y38">
        <v>7.65</v>
      </c>
      <c r="Z38" t="s">
        <v>2314</v>
      </c>
      <c r="AA38" t="s">
        <v>2315</v>
      </c>
      <c r="AB38" t="s">
        <v>2316</v>
      </c>
      <c r="AC38" t="s">
        <v>2317</v>
      </c>
      <c r="AD38" t="s">
        <v>24</v>
      </c>
      <c r="AE38">
        <v>-507988</v>
      </c>
      <c r="AF38" t="s">
        <v>98</v>
      </c>
      <c r="AG38">
        <v>764.91</v>
      </c>
      <c r="AH38" t="s">
        <v>2318</v>
      </c>
      <c r="AI38" t="s">
        <v>160</v>
      </c>
      <c r="AJ38" t="s">
        <v>2319</v>
      </c>
      <c r="AK38" t="s">
        <v>24</v>
      </c>
      <c r="AL38" t="s">
        <v>2320</v>
      </c>
      <c r="AM38" t="s">
        <v>24</v>
      </c>
      <c r="AN38" t="s">
        <v>2321</v>
      </c>
      <c r="AO38" t="s">
        <v>24</v>
      </c>
      <c r="AP38" t="s">
        <v>24</v>
      </c>
      <c r="AQ38" t="s">
        <v>2322</v>
      </c>
      <c r="AR38" t="s">
        <v>2323</v>
      </c>
      <c r="AS38" t="s">
        <v>160</v>
      </c>
      <c r="AT38" t="s">
        <v>24</v>
      </c>
      <c r="AU38" t="s">
        <v>2324</v>
      </c>
      <c r="AV38" t="s">
        <v>2325</v>
      </c>
      <c r="AW38" t="s">
        <v>2326</v>
      </c>
      <c r="AX38" t="s">
        <v>537</v>
      </c>
      <c r="AY38" t="s">
        <v>1126</v>
      </c>
      <c r="AZ38" t="s">
        <v>2327</v>
      </c>
      <c r="BA38" t="s">
        <v>2328</v>
      </c>
      <c r="BB38" t="s">
        <v>1351</v>
      </c>
      <c r="BC38" t="s">
        <v>2329</v>
      </c>
      <c r="BD38" t="s">
        <v>466</v>
      </c>
      <c r="BE38" t="s">
        <v>2330</v>
      </c>
      <c r="BF38" t="s">
        <v>2331</v>
      </c>
      <c r="BG38" t="s">
        <v>1520</v>
      </c>
      <c r="BH38" t="s">
        <v>2312</v>
      </c>
      <c r="BI38" t="s">
        <v>2332</v>
      </c>
      <c r="BJ38" t="s">
        <v>537</v>
      </c>
      <c r="BK38" t="s">
        <v>2313</v>
      </c>
      <c r="BL38" t="s">
        <v>2333</v>
      </c>
      <c r="BM38" t="s">
        <v>2329</v>
      </c>
      <c r="BN38">
        <v>15.23</v>
      </c>
      <c r="BO38">
        <v>70.44</v>
      </c>
      <c r="BP38">
        <v>-686.48</v>
      </c>
      <c r="BQ38">
        <v>15.94</v>
      </c>
      <c r="BR38">
        <v>74.8</v>
      </c>
      <c r="BS38" t="s">
        <v>24</v>
      </c>
      <c r="BT38" t="s">
        <v>1115</v>
      </c>
      <c r="BU38" t="s">
        <v>2210</v>
      </c>
      <c r="BV38">
        <v>27.91</v>
      </c>
      <c r="BW38">
        <v>29.23</v>
      </c>
      <c r="BX38">
        <v>34.340000000000003</v>
      </c>
      <c r="BY38">
        <v>5.89</v>
      </c>
      <c r="BZ38">
        <v>19.55</v>
      </c>
      <c r="CA38">
        <v>54.12</v>
      </c>
      <c r="CB38">
        <v>-3.2</v>
      </c>
      <c r="CC38" s="8">
        <v>-22.39</v>
      </c>
      <c r="CD38" s="9" t="s">
        <v>2334</v>
      </c>
      <c r="CE38" s="8" t="s">
        <v>659</v>
      </c>
      <c r="CF38" s="8">
        <v>0.1738881411266073</v>
      </c>
      <c r="CG38" s="8">
        <v>-0.16657601470971911</v>
      </c>
      <c r="CH38" s="8">
        <v>0.1111111119389534</v>
      </c>
      <c r="CI38" s="8">
        <v>0.11678832024335861</v>
      </c>
      <c r="CJ38" s="9">
        <v>0.63095235824584961</v>
      </c>
      <c r="CK38" s="9">
        <v>6.8969635963439941</v>
      </c>
      <c r="CL38" s="9">
        <v>-0.85226386785507202</v>
      </c>
      <c r="CM38" s="9">
        <v>-0.6718747615814209</v>
      </c>
      <c r="CN38" s="9">
        <v>-0.58642816543579102</v>
      </c>
      <c r="CO38">
        <v>2.3423423767089844</v>
      </c>
      <c r="CP38">
        <v>-1.2151162624359131</v>
      </c>
      <c r="CQ38">
        <v>1.8049920797348022</v>
      </c>
      <c r="CR38" s="8">
        <v>-1439.439515316014</v>
      </c>
      <c r="CS38" s="9">
        <v>-10.425355060881834</v>
      </c>
      <c r="CT38">
        <v>0</v>
      </c>
      <c r="CU38">
        <v>1.3807103037834167</v>
      </c>
      <c r="CV38">
        <v>0.3347830533981323</v>
      </c>
      <c r="CW38">
        <v>0.06</v>
      </c>
      <c r="CX38">
        <v>28.371744517633708</v>
      </c>
      <c r="CY38">
        <v>45412722.830603711</v>
      </c>
      <c r="CZ38">
        <v>1.3807103037834167</v>
      </c>
      <c r="DA38">
        <v>3.6814516231732592</v>
      </c>
      <c r="DB38">
        <v>349981013.43768835</v>
      </c>
      <c r="DC38">
        <v>1.3116747885942459</v>
      </c>
      <c r="DD38">
        <v>0.40393409078714793</v>
      </c>
      <c r="DE38">
        <v>3189723767.7790837</v>
      </c>
      <c r="DF38">
        <v>1.2150250673294067</v>
      </c>
      <c r="DG38">
        <v>3.3261785392462745E-2</v>
      </c>
      <c r="DH38">
        <v>38736290153.92437</v>
      </c>
      <c r="DI38">
        <v>1.1045682430267334</v>
      </c>
      <c r="DJ38">
        <v>1.2595410573975724E-4</v>
      </c>
      <c r="DK38">
        <v>10229425729575.93</v>
      </c>
      <c r="DL38">
        <v>0.96649721264839161</v>
      </c>
      <c r="DM38">
        <v>20219800</v>
      </c>
      <c r="DN38">
        <v>1.3807103037834167</v>
      </c>
      <c r="DO38">
        <v>1288438170</v>
      </c>
      <c r="DP38">
        <v>110200590</v>
      </c>
      <c r="DQ38" s="10">
        <v>698</v>
      </c>
      <c r="DR38">
        <v>-1.2068221626568094</v>
      </c>
      <c r="DS38">
        <v>-0.50135906810785147</v>
      </c>
      <c r="DT38">
        <v>0.10333333333333335</v>
      </c>
      <c r="DU38">
        <v>-0.61983333333333346</v>
      </c>
      <c r="DV38">
        <v>-0.51650000000000007</v>
      </c>
      <c r="DW38">
        <v>-8.1429209468512731</v>
      </c>
      <c r="DX38">
        <v>0.26821701639344331</v>
      </c>
      <c r="DY38">
        <v>-8.0240417352594466</v>
      </c>
      <c r="DZ38">
        <v>2906</v>
      </c>
      <c r="EA38">
        <v>-8.0103694685933107</v>
      </c>
      <c r="EB38" s="11">
        <v>8</v>
      </c>
      <c r="EC38" s="11">
        <v>0.28061221873709785</v>
      </c>
      <c r="ED38">
        <v>1.6681560428713369</v>
      </c>
      <c r="EE38">
        <v>2.0840000000000001</v>
      </c>
      <c r="EF38">
        <v>3.0333000000000001</v>
      </c>
      <c r="EG38">
        <v>10.168217016393443</v>
      </c>
      <c r="EH38" s="13" t="s">
        <v>1133</v>
      </c>
      <c r="EI38">
        <v>0</v>
      </c>
      <c r="EJ38">
        <v>0</v>
      </c>
      <c r="EK38">
        <v>45470</v>
      </c>
      <c r="EL38">
        <v>-0.24</v>
      </c>
      <c r="EM38">
        <v>-5.73</v>
      </c>
      <c r="EN38" s="14">
        <v>0.76</v>
      </c>
      <c r="EO38" s="14">
        <v>1.26</v>
      </c>
      <c r="EP38" s="14">
        <v>9.93</v>
      </c>
    </row>
    <row r="39" spans="1:146" ht="88.5" customHeight="1" x14ac:dyDescent="0.25">
      <c r="A39" s="7"/>
      <c r="B39" s="7"/>
      <c r="C39" s="16" t="str">
        <f>""&amp;CHAR(10)&amp;Basic_Fundamental_Information_Constructure(F39)&amp;CHAR(10)&amp;Basic_Fundamental_Information_Concatenate("")</f>
        <v xml:space="preserve">
市值35.023527亿, 利润2.19亿; PE26.74; 平均PE7.08; 平均PEG.16, PB.536; ROIC5.0767%; ROE8.2133%; 股利率1.9495%; 毛利24.7167%; 净利8.99%; 上一年度营收增96.15%, 利润增-34.43%; 当季营收增-60.62%, 利润增-303.2%; 过往5年营收增44.22%, 利润增15.09%
Income profile:
</v>
      </c>
      <c r="D39" t="s">
        <v>245</v>
      </c>
      <c r="E39" t="s">
        <v>38</v>
      </c>
      <c r="F39">
        <v>4.3600000000000003</v>
      </c>
      <c r="G39">
        <v>-0.46</v>
      </c>
      <c r="H39" t="s">
        <v>2335</v>
      </c>
      <c r="I39">
        <v>3502352700</v>
      </c>
      <c r="J39">
        <v>26.74</v>
      </c>
      <c r="K39">
        <v>0.53600000000000003</v>
      </c>
      <c r="L39" t="s">
        <v>1589</v>
      </c>
      <c r="M39" t="s">
        <v>2336</v>
      </c>
      <c r="N39" t="s">
        <v>2337</v>
      </c>
      <c r="O39" t="s">
        <v>2338</v>
      </c>
      <c r="P39">
        <v>-60.59</v>
      </c>
      <c r="Q39" t="s">
        <v>2339</v>
      </c>
      <c r="R39">
        <v>-59281475</v>
      </c>
      <c r="S39" s="5">
        <v>-3.032</v>
      </c>
      <c r="T39" t="s">
        <v>155</v>
      </c>
      <c r="U39">
        <v>802372650</v>
      </c>
      <c r="V39">
        <v>803291890</v>
      </c>
      <c r="W39">
        <v>3.61</v>
      </c>
      <c r="X39">
        <v>0.01</v>
      </c>
      <c r="Y39">
        <v>-13.44</v>
      </c>
      <c r="Z39" t="s">
        <v>2052</v>
      </c>
      <c r="AA39" t="s">
        <v>2340</v>
      </c>
      <c r="AB39" t="s">
        <v>2341</v>
      </c>
      <c r="AC39" t="s">
        <v>2342</v>
      </c>
      <c r="AD39" t="s">
        <v>24</v>
      </c>
      <c r="AE39">
        <v>35103122</v>
      </c>
      <c r="AF39" t="s">
        <v>2343</v>
      </c>
      <c r="AG39" t="s">
        <v>2344</v>
      </c>
      <c r="AH39" t="s">
        <v>2345</v>
      </c>
      <c r="AI39" t="s">
        <v>2346</v>
      </c>
      <c r="AJ39" t="s">
        <v>2347</v>
      </c>
      <c r="AK39" t="s">
        <v>2348</v>
      </c>
      <c r="AL39" t="s">
        <v>2349</v>
      </c>
      <c r="AM39" t="s">
        <v>24</v>
      </c>
      <c r="AN39" t="s">
        <v>2350</v>
      </c>
      <c r="AO39" t="s">
        <v>24</v>
      </c>
      <c r="AP39" t="s">
        <v>24</v>
      </c>
      <c r="AQ39" t="s">
        <v>2351</v>
      </c>
      <c r="AR39" t="s">
        <v>2352</v>
      </c>
      <c r="AS39" t="s">
        <v>2353</v>
      </c>
      <c r="AT39" t="s">
        <v>2354</v>
      </c>
      <c r="AU39" t="s">
        <v>2355</v>
      </c>
      <c r="AV39" t="s">
        <v>2356</v>
      </c>
      <c r="AW39" t="s">
        <v>2357</v>
      </c>
      <c r="AX39" t="s">
        <v>1360</v>
      </c>
      <c r="AY39" t="s">
        <v>895</v>
      </c>
      <c r="AZ39" t="s">
        <v>558</v>
      </c>
      <c r="BA39" t="s">
        <v>139</v>
      </c>
      <c r="BB39" t="s">
        <v>560</v>
      </c>
      <c r="BC39" t="s">
        <v>1095</v>
      </c>
      <c r="BD39" t="s">
        <v>295</v>
      </c>
      <c r="BE39" t="s">
        <v>559</v>
      </c>
      <c r="BF39" t="s">
        <v>255</v>
      </c>
      <c r="BG39" t="s">
        <v>205</v>
      </c>
      <c r="BH39" t="s">
        <v>2339</v>
      </c>
      <c r="BI39" t="s">
        <v>2358</v>
      </c>
      <c r="BJ39" t="s">
        <v>1360</v>
      </c>
      <c r="BK39" t="s">
        <v>155</v>
      </c>
      <c r="BL39" t="s">
        <v>2359</v>
      </c>
      <c r="BM39" t="s">
        <v>1095</v>
      </c>
      <c r="BN39">
        <v>1.86</v>
      </c>
      <c r="BO39">
        <v>3.42</v>
      </c>
      <c r="BP39">
        <v>9.9499999999999993</v>
      </c>
      <c r="BQ39">
        <v>4.1100000000000003</v>
      </c>
      <c r="BR39">
        <v>5.32</v>
      </c>
      <c r="BS39">
        <v>15.21</v>
      </c>
      <c r="BT39" t="s">
        <v>2360</v>
      </c>
      <c r="BU39" t="s">
        <v>1043</v>
      </c>
      <c r="BV39">
        <v>19.21</v>
      </c>
      <c r="BW39">
        <v>26.67</v>
      </c>
      <c r="BX39">
        <v>28.27</v>
      </c>
      <c r="BY39">
        <v>5.04</v>
      </c>
      <c r="BZ39">
        <v>10.02</v>
      </c>
      <c r="CA39">
        <v>11.91</v>
      </c>
      <c r="CB39">
        <v>1.1599999999999999</v>
      </c>
      <c r="CC39">
        <v>-26.72</v>
      </c>
      <c r="CD39" t="s">
        <v>2361</v>
      </c>
      <c r="CE39" t="s">
        <v>2362</v>
      </c>
      <c r="CF39" s="8">
        <v>-0.60615079365079361</v>
      </c>
      <c r="CG39" s="9">
        <v>-3.0319828821355856</v>
      </c>
      <c r="CH39" s="8">
        <v>0.96150028705596924</v>
      </c>
      <c r="CI39" s="8">
        <v>-0.46724894642829895</v>
      </c>
      <c r="CJ39" s="8">
        <v>0.4101511538028717</v>
      </c>
      <c r="CK39" s="8">
        <v>0.53289473056793213</v>
      </c>
      <c r="CL39" s="8">
        <v>0.77371889352798462</v>
      </c>
      <c r="CM39" s="9">
        <v>-0.34431138634681702</v>
      </c>
      <c r="CN39" s="9">
        <v>-0.61915624141693115</v>
      </c>
      <c r="CO39" s="9">
        <v>0.1419270783662796</v>
      </c>
      <c r="CP39" s="9">
        <v>0.47126436233520508</v>
      </c>
      <c r="CQ39" s="9">
        <v>1.1048387289047241</v>
      </c>
      <c r="CR39">
        <v>7.0802278301886785</v>
      </c>
      <c r="CS39">
        <v>0.16011253312136248</v>
      </c>
      <c r="CT39">
        <v>1.9495412844036695</v>
      </c>
      <c r="CU39" s="8">
        <v>0.44220322370529175</v>
      </c>
      <c r="CV39" s="9">
        <v>0.15091250836849213</v>
      </c>
      <c r="CW39">
        <v>0.06</v>
      </c>
      <c r="CX39">
        <v>65.619710674916149</v>
      </c>
      <c r="CY39">
        <v>297964628.29382908</v>
      </c>
      <c r="CZ39">
        <v>0.44220322370529175</v>
      </c>
      <c r="DA39">
        <v>16.118229986065472</v>
      </c>
      <c r="DB39">
        <v>1213058302.1152692</v>
      </c>
      <c r="DC39">
        <v>0.42009306252002715</v>
      </c>
      <c r="DD39">
        <v>5.2030017866568015</v>
      </c>
      <c r="DE39">
        <v>3757898517.3794069</v>
      </c>
      <c r="DF39">
        <v>0.38913883686065676</v>
      </c>
      <c r="DG39">
        <v>1.8373523201087816</v>
      </c>
      <c r="DH39">
        <v>10641591428.062305</v>
      </c>
      <c r="DI39">
        <v>0.35376257896423341</v>
      </c>
      <c r="DJ39">
        <v>0.25170082088749407</v>
      </c>
      <c r="DK39">
        <v>77680925437.82193</v>
      </c>
      <c r="DL39">
        <v>0.30954225659370421</v>
      </c>
      <c r="DM39">
        <v>219000000</v>
      </c>
      <c r="DN39">
        <v>0.44220322370529175</v>
      </c>
      <c r="DO39">
        <v>19552352700</v>
      </c>
      <c r="DP39">
        <v>15957969000</v>
      </c>
      <c r="DQ39">
        <v>718</v>
      </c>
      <c r="DR39">
        <v>-1.0483540173560852</v>
      </c>
      <c r="DS39">
        <v>-3.1828953905040778</v>
      </c>
      <c r="DT39" s="10">
        <v>0.19333333333333336</v>
      </c>
      <c r="DU39">
        <v>-1.0483333333333333</v>
      </c>
      <c r="DV39">
        <v>-0.85499999999999998</v>
      </c>
      <c r="DW39">
        <v>-3.1212380952380951</v>
      </c>
      <c r="DX39">
        <v>0.26450375335120635</v>
      </c>
      <c r="DY39">
        <v>-3.0138822169539128</v>
      </c>
      <c r="DZ39">
        <v>3409</v>
      </c>
      <c r="EA39">
        <v>-3.0046210667394533</v>
      </c>
      <c r="EB39">
        <v>3</v>
      </c>
      <c r="EC39">
        <v>5.3168593548230642E-2</v>
      </c>
      <c r="ED39">
        <v>0.4643393075958977</v>
      </c>
      <c r="EE39" s="11">
        <v>-1.00091</v>
      </c>
      <c r="EF39">
        <v>-1.01901</v>
      </c>
      <c r="EG39">
        <v>15.114503753351206</v>
      </c>
      <c r="EH39" t="s">
        <v>892</v>
      </c>
      <c r="EI39">
        <v>0</v>
      </c>
      <c r="EJ39">
        <v>0</v>
      </c>
      <c r="EK39" s="13">
        <v>45470</v>
      </c>
      <c r="EL39" s="14">
        <v>0.22</v>
      </c>
      <c r="EM39" s="14">
        <v>-5.96</v>
      </c>
      <c r="EN39" s="14">
        <v>2.11</v>
      </c>
      <c r="EO39" s="14">
        <v>1.38</v>
      </c>
      <c r="EP39" s="14">
        <v>-1.81</v>
      </c>
    </row>
    <row r="40" spans="1:146" ht="88.5" customHeight="1" x14ac:dyDescent="0.25">
      <c r="A40" s="7"/>
      <c r="B40" s="7"/>
      <c r="C40" s="16" t="str">
        <f>""&amp;CHAR(10)&amp;Basic_Fundamental_Information_Constructure(F40)&amp;CHAR(10)&amp;Basic_Fundamental_Information_Concatenate("")</f>
        <v xml:space="preserve">
市值243.00377亿, 利润25.29亿; PE9.24; 平均PE10.07; 平均PEG.35, PB.938; ROIC5.16%; ROE14.1467%; 股利率1.1524%; 毛利19.69%; 净利8.8067%; 上一年度营收增69.73%, 利润增-32.42%; 当季营收增35.84%, 利润增17.85%; 过往5年营收增28.92%, 利润增19.6%
Income profile:
</v>
      </c>
      <c r="D40" t="s">
        <v>247</v>
      </c>
      <c r="E40" t="s">
        <v>40</v>
      </c>
      <c r="F40">
        <v>7.81</v>
      </c>
      <c r="G40">
        <v>-2.74</v>
      </c>
      <c r="H40" t="s">
        <v>2363</v>
      </c>
      <c r="I40">
        <v>24300377000</v>
      </c>
      <c r="J40">
        <v>9.24</v>
      </c>
      <c r="K40">
        <v>0.93799999999999994</v>
      </c>
      <c r="L40" t="s">
        <v>1589</v>
      </c>
      <c r="M40" t="s">
        <v>2364</v>
      </c>
      <c r="N40" t="s">
        <v>2365</v>
      </c>
      <c r="O40" t="s">
        <v>2366</v>
      </c>
      <c r="P40">
        <v>35.85</v>
      </c>
      <c r="Q40" t="s">
        <v>2367</v>
      </c>
      <c r="R40">
        <v>659941350</v>
      </c>
      <c r="S40" s="5">
        <v>0.1784</v>
      </c>
      <c r="T40" t="s">
        <v>2368</v>
      </c>
      <c r="U40">
        <v>2657288500</v>
      </c>
      <c r="V40">
        <v>3111443900</v>
      </c>
      <c r="W40">
        <v>4.88</v>
      </c>
      <c r="X40">
        <v>0.05</v>
      </c>
      <c r="Y40">
        <v>5.85</v>
      </c>
      <c r="Z40" t="s">
        <v>2369</v>
      </c>
      <c r="AA40" t="s">
        <v>2370</v>
      </c>
      <c r="AB40" t="s">
        <v>1127</v>
      </c>
      <c r="AC40" t="s">
        <v>259</v>
      </c>
      <c r="AD40" t="s">
        <v>24</v>
      </c>
      <c r="AE40">
        <v>91515280</v>
      </c>
      <c r="AF40" t="s">
        <v>2371</v>
      </c>
      <c r="AG40" t="s">
        <v>2372</v>
      </c>
      <c r="AH40" t="s">
        <v>2373</v>
      </c>
      <c r="AI40" t="s">
        <v>2374</v>
      </c>
      <c r="AJ40" t="s">
        <v>2375</v>
      </c>
      <c r="AK40" t="s">
        <v>24</v>
      </c>
      <c r="AL40" t="s">
        <v>2376</v>
      </c>
      <c r="AM40" t="s">
        <v>24</v>
      </c>
      <c r="AN40" t="s">
        <v>2377</v>
      </c>
      <c r="AO40" t="s">
        <v>24</v>
      </c>
      <c r="AP40" t="s">
        <v>24</v>
      </c>
      <c r="AQ40" t="s">
        <v>2378</v>
      </c>
      <c r="AR40" t="s">
        <v>2379</v>
      </c>
      <c r="AS40" t="s">
        <v>2380</v>
      </c>
      <c r="AT40" t="s">
        <v>2381</v>
      </c>
      <c r="AU40" t="s">
        <v>2382</v>
      </c>
      <c r="AV40" t="s">
        <v>2383</v>
      </c>
      <c r="AW40" t="s">
        <v>1168</v>
      </c>
      <c r="AX40" t="s">
        <v>1363</v>
      </c>
      <c r="AY40" t="s">
        <v>896</v>
      </c>
      <c r="AZ40" t="s">
        <v>561</v>
      </c>
      <c r="BA40" t="s">
        <v>248</v>
      </c>
      <c r="BB40" t="s">
        <v>563</v>
      </c>
      <c r="BC40" t="s">
        <v>2384</v>
      </c>
      <c r="BD40" t="s">
        <v>897</v>
      </c>
      <c r="BE40" t="s">
        <v>562</v>
      </c>
      <c r="BF40" t="s">
        <v>249</v>
      </c>
      <c r="BG40" t="s">
        <v>161</v>
      </c>
      <c r="BH40" t="s">
        <v>2367</v>
      </c>
      <c r="BI40" t="s">
        <v>2385</v>
      </c>
      <c r="BJ40" t="s">
        <v>1363</v>
      </c>
      <c r="BK40" t="s">
        <v>2368</v>
      </c>
      <c r="BL40" t="s">
        <v>1307</v>
      </c>
      <c r="BM40" t="s">
        <v>2384</v>
      </c>
      <c r="BN40">
        <v>3.14</v>
      </c>
      <c r="BO40">
        <v>4.99</v>
      </c>
      <c r="BP40">
        <v>7.35</v>
      </c>
      <c r="BQ40">
        <v>9.98</v>
      </c>
      <c r="BR40">
        <v>16.940000000000001</v>
      </c>
      <c r="BS40">
        <v>15.52</v>
      </c>
      <c r="BT40" t="s">
        <v>2386</v>
      </c>
      <c r="BU40" t="s">
        <v>1043</v>
      </c>
      <c r="BV40">
        <v>16.760000000000002</v>
      </c>
      <c r="BW40">
        <v>17.48</v>
      </c>
      <c r="BX40">
        <v>24.83</v>
      </c>
      <c r="BY40">
        <v>4.05</v>
      </c>
      <c r="BZ40">
        <v>9.41</v>
      </c>
      <c r="CA40">
        <v>12.96</v>
      </c>
      <c r="CB40">
        <v>7.58</v>
      </c>
      <c r="CC40">
        <v>-20.309999999999999</v>
      </c>
      <c r="CD40" t="s">
        <v>662</v>
      </c>
      <c r="CE40" t="s">
        <v>2387</v>
      </c>
      <c r="CF40" s="8">
        <v>0.35841760856632959</v>
      </c>
      <c r="CG40" s="9">
        <v>0.17846669642857144</v>
      </c>
      <c r="CH40" s="8">
        <v>0.69733989238739014</v>
      </c>
      <c r="CI40" s="8">
        <v>9.2848137021064758E-2</v>
      </c>
      <c r="CJ40" s="8">
        <v>0.32797139883041382</v>
      </c>
      <c r="CK40" s="8">
        <v>0.14594267308712006</v>
      </c>
      <c r="CL40" s="8">
        <v>0.18186122179031372</v>
      </c>
      <c r="CM40" s="9">
        <v>-0.32415825128555298</v>
      </c>
      <c r="CN40" s="9">
        <v>0.23620748519897461</v>
      </c>
      <c r="CO40" s="9">
        <v>0.30025777220726013</v>
      </c>
      <c r="CP40" s="9">
        <v>0.42734524607658386</v>
      </c>
      <c r="CQ40" s="9">
        <v>0.34018078446388245</v>
      </c>
      <c r="CR40">
        <v>10.073391046013541</v>
      </c>
      <c r="CS40">
        <v>0.34832802758453202</v>
      </c>
      <c r="CT40">
        <v>1.152368758002561</v>
      </c>
      <c r="CU40" s="8">
        <v>0.28919266462326049</v>
      </c>
      <c r="CV40" s="9">
        <v>0.19596660733222962</v>
      </c>
      <c r="CW40">
        <v>0.06</v>
      </c>
      <c r="CX40">
        <v>64.305594834293473</v>
      </c>
      <c r="CY40">
        <v>3075819102.6719108</v>
      </c>
      <c r="CZ40">
        <v>0.28919266462326049</v>
      </c>
      <c r="DA40">
        <v>17.823808336897837</v>
      </c>
      <c r="DB40">
        <v>11097088414.631426</v>
      </c>
      <c r="DC40">
        <v>0.27473303139209743</v>
      </c>
      <c r="DD40">
        <v>6.9378762824833284</v>
      </c>
      <c r="DE40">
        <v>28509066600.017639</v>
      </c>
      <c r="DF40">
        <v>0.25448954486846925</v>
      </c>
      <c r="DG40">
        <v>3.1321735375425077</v>
      </c>
      <c r="DH40">
        <v>63148601004.77932</v>
      </c>
      <c r="DI40">
        <v>0.23135413169860841</v>
      </c>
      <c r="DJ40">
        <v>0.80922683283329511</v>
      </c>
      <c r="DK40">
        <v>244421426693.77628</v>
      </c>
      <c r="DL40">
        <v>0.20243486523628232</v>
      </c>
      <c r="DM40">
        <v>2529000000</v>
      </c>
      <c r="DN40">
        <v>0.28919266462326049</v>
      </c>
      <c r="DO40">
        <v>197792377000</v>
      </c>
      <c r="DP40">
        <v>55666240000</v>
      </c>
      <c r="DQ40">
        <v>753</v>
      </c>
      <c r="DR40">
        <v>6.9224943943069106E-2</v>
      </c>
      <c r="DS40">
        <v>-1.7499910903658183E-2</v>
      </c>
      <c r="DT40" s="10">
        <v>0.12666666666666662</v>
      </c>
      <c r="DU40">
        <v>0.55333333333333323</v>
      </c>
      <c r="DV40">
        <v>0.67999999999999983</v>
      </c>
      <c r="DW40">
        <v>7.2717820007171028</v>
      </c>
      <c r="DX40">
        <v>0.34195612431444256</v>
      </c>
      <c r="DY40">
        <v>7.0521702195160803</v>
      </c>
      <c r="DZ40">
        <v>481</v>
      </c>
      <c r="EA40">
        <v>7.047259480653608</v>
      </c>
      <c r="EB40">
        <v>7</v>
      </c>
      <c r="EC40">
        <v>0.13498556088380703</v>
      </c>
      <c r="ED40">
        <v>0.70321049336611852</v>
      </c>
      <c r="EE40" s="11">
        <v>5.0709999999999998E-2</v>
      </c>
      <c r="EF40">
        <v>9.2109999999999997E-2</v>
      </c>
      <c r="EG40">
        <v>15.191956124314443</v>
      </c>
      <c r="EH40">
        <v>-1</v>
      </c>
      <c r="EI40">
        <v>1</v>
      </c>
      <c r="EJ40">
        <v>1</v>
      </c>
      <c r="EK40" s="13">
        <v>45470</v>
      </c>
      <c r="EL40" s="14">
        <v>0.13</v>
      </c>
      <c r="EM40" s="14">
        <v>-0.8</v>
      </c>
      <c r="EN40" s="14">
        <v>3.75</v>
      </c>
      <c r="EO40" s="14">
        <v>-0.26</v>
      </c>
      <c r="EP40" s="14">
        <v>-4.1399999999999997</v>
      </c>
    </row>
    <row r="41" spans="1:146" ht="88.5" customHeight="1" x14ac:dyDescent="0.25">
      <c r="C41" s="16" t="str">
        <f>""&amp;CHAR(10)&amp;Basic_Fundamental_Information_Constructure(F41)&amp;CHAR(10)&amp;Basic_Fundamental_Information_Concatenate("")</f>
        <v xml:space="preserve">
市值31.885265亿, 利润-2.96亿; PE; 平均PE-16.48; 平均PEG-1.18, PB1.06; ROIC-.19%; ROE-12.0933%; 股利率0%; 毛利11.17%; 净利-12.1467%; 上一年度营收增-15.23%, 利润增14.2%; 当季营收增-32.23%, 利润增-212.41%; 过往5年营收增-13.99%, 利润增-215.66%
Income profile:
</v>
      </c>
      <c r="D41" t="s">
        <v>2388</v>
      </c>
      <c r="E41" t="s">
        <v>2389</v>
      </c>
      <c r="F41">
        <v>1.6</v>
      </c>
      <c r="G41">
        <v>-0.62</v>
      </c>
      <c r="H41" t="s">
        <v>2390</v>
      </c>
      <c r="I41">
        <v>3188526500</v>
      </c>
      <c r="K41">
        <v>1.06</v>
      </c>
      <c r="L41" t="s">
        <v>1589</v>
      </c>
      <c r="M41" t="s">
        <v>2391</v>
      </c>
      <c r="N41" t="s">
        <v>2392</v>
      </c>
      <c r="O41" t="s">
        <v>480</v>
      </c>
      <c r="P41" s="5">
        <v>-32.28</v>
      </c>
      <c r="Q41" t="s">
        <v>2393</v>
      </c>
      <c r="R41">
        <v>-40725636</v>
      </c>
      <c r="S41">
        <v>-2.1240000000000001</v>
      </c>
      <c r="T41" t="s">
        <v>1422</v>
      </c>
      <c r="U41">
        <v>1975929600</v>
      </c>
      <c r="V41">
        <v>1992829000</v>
      </c>
      <c r="W41">
        <v>1.63</v>
      </c>
      <c r="X41">
        <v>0.1</v>
      </c>
      <c r="Y41">
        <v>-8.27</v>
      </c>
      <c r="Z41" t="s">
        <v>1517</v>
      </c>
      <c r="AA41" t="s">
        <v>1439</v>
      </c>
      <c r="AB41" t="s">
        <v>24</v>
      </c>
      <c r="AC41" t="s">
        <v>2394</v>
      </c>
      <c r="AD41" t="s">
        <v>24</v>
      </c>
      <c r="AE41">
        <v>-3750625</v>
      </c>
      <c r="AF41" t="s">
        <v>2395</v>
      </c>
      <c r="AG41" t="s">
        <v>2396</v>
      </c>
      <c r="AH41" t="s">
        <v>2397</v>
      </c>
      <c r="AI41" t="s">
        <v>2398</v>
      </c>
      <c r="AJ41" t="s">
        <v>2399</v>
      </c>
      <c r="AK41" t="s">
        <v>2400</v>
      </c>
      <c r="AL41" t="s">
        <v>2401</v>
      </c>
      <c r="AM41" t="s">
        <v>24</v>
      </c>
      <c r="AN41">
        <v>0</v>
      </c>
      <c r="AO41" t="s">
        <v>24</v>
      </c>
      <c r="AP41" t="s">
        <v>24</v>
      </c>
      <c r="AQ41" t="s">
        <v>1187</v>
      </c>
      <c r="AR41" t="s">
        <v>2402</v>
      </c>
      <c r="AS41" t="s">
        <v>2403</v>
      </c>
      <c r="AT41" t="s">
        <v>24</v>
      </c>
      <c r="AU41" t="s">
        <v>2404</v>
      </c>
      <c r="AV41" t="s">
        <v>2405</v>
      </c>
      <c r="AW41" t="s">
        <v>734</v>
      </c>
      <c r="AX41" t="s">
        <v>2406</v>
      </c>
      <c r="AY41" t="s">
        <v>2407</v>
      </c>
      <c r="AZ41" t="s">
        <v>2408</v>
      </c>
      <c r="BA41" t="s">
        <v>1456</v>
      </c>
      <c r="BB41" t="s">
        <v>2409</v>
      </c>
      <c r="BC41" t="s">
        <v>2410</v>
      </c>
      <c r="BD41" t="s">
        <v>2411</v>
      </c>
      <c r="BE41" t="s">
        <v>235</v>
      </c>
      <c r="BF41" t="s">
        <v>2412</v>
      </c>
      <c r="BG41" t="s">
        <v>2413</v>
      </c>
      <c r="BH41" t="s">
        <v>2393</v>
      </c>
      <c r="BI41" t="s">
        <v>2414</v>
      </c>
      <c r="BJ41" t="s">
        <v>2406</v>
      </c>
      <c r="BK41" t="s">
        <v>1422</v>
      </c>
      <c r="BL41" t="s">
        <v>2415</v>
      </c>
      <c r="BM41" t="s">
        <v>2410</v>
      </c>
      <c r="BN41">
        <v>-0.19</v>
      </c>
      <c r="BO41" t="s">
        <v>24</v>
      </c>
      <c r="BP41" t="s">
        <v>24</v>
      </c>
      <c r="BQ41">
        <v>-0.44</v>
      </c>
      <c r="BR41">
        <v>-9.7200000000000006</v>
      </c>
      <c r="BS41">
        <v>-26.12</v>
      </c>
      <c r="BT41" t="s">
        <v>1115</v>
      </c>
      <c r="BU41" t="s">
        <v>2210</v>
      </c>
      <c r="BV41">
        <v>8.89</v>
      </c>
      <c r="BW41">
        <v>9.5500000000000007</v>
      </c>
      <c r="BX41">
        <v>15.07</v>
      </c>
      <c r="BY41">
        <v>-9.35</v>
      </c>
      <c r="BZ41">
        <v>-8.5399999999999991</v>
      </c>
      <c r="CA41">
        <v>-18.55</v>
      </c>
      <c r="CB41">
        <v>0.63</v>
      </c>
      <c r="CC41" s="8">
        <v>-33.049999999999997</v>
      </c>
      <c r="CD41" s="9" t="s">
        <v>1088</v>
      </c>
      <c r="CE41" s="8" t="s">
        <v>2416</v>
      </c>
      <c r="CF41" s="8">
        <v>-0.32233502538071068</v>
      </c>
      <c r="CG41" s="8">
        <v>-2.124113870158562</v>
      </c>
      <c r="CH41" s="8">
        <v>-0.15229959785938263</v>
      </c>
      <c r="CI41" s="8">
        <v>-0.34588193893432617</v>
      </c>
      <c r="CJ41" s="9">
        <v>-9.5195598900318146E-2</v>
      </c>
      <c r="CK41" s="9">
        <v>1.0977433994412422E-2</v>
      </c>
      <c r="CL41" s="9">
        <v>-0.11733478307723999</v>
      </c>
      <c r="CM41" s="9">
        <v>0.14202898740768433</v>
      </c>
      <c r="CN41" s="9">
        <v>0.69441980123519897</v>
      </c>
      <c r="CO41">
        <v>-11.171171188354492</v>
      </c>
      <c r="CP41">
        <v>0.35461166501045227</v>
      </c>
      <c r="CQ41">
        <v>-0.80302327871322632</v>
      </c>
      <c r="CR41" s="8">
        <v>-16.47735422623699</v>
      </c>
      <c r="CS41" s="9">
        <v>-1.1774004700862801</v>
      </c>
      <c r="CT41">
        <v>0</v>
      </c>
      <c r="CU41">
        <v>-0.13994689695537091</v>
      </c>
      <c r="CV41">
        <v>-2.1566268026828768</v>
      </c>
      <c r="CW41">
        <v>0.06</v>
      </c>
      <c r="CX41" t="e">
        <v>#VALUE!</v>
      </c>
      <c r="CY41" t="s">
        <v>849</v>
      </c>
      <c r="CZ41">
        <v>-0.13994689695537091</v>
      </c>
      <c r="DA41" t="e">
        <v>#VALUE!</v>
      </c>
      <c r="DB41" t="s">
        <v>850</v>
      </c>
      <c r="DC41">
        <v>-0.13294955210760237</v>
      </c>
      <c r="DD41" t="e">
        <v>#VALUE!</v>
      </c>
      <c r="DE41" t="s">
        <v>850</v>
      </c>
      <c r="DF41">
        <v>-0.1231532693207264</v>
      </c>
      <c r="DG41" t="e">
        <v>#VALUE!</v>
      </c>
      <c r="DH41" t="s">
        <v>850</v>
      </c>
      <c r="DI41">
        <v>-0.11195751756429673</v>
      </c>
      <c r="DJ41" t="e">
        <v>#VALUE!</v>
      </c>
      <c r="DK41" t="s">
        <v>850</v>
      </c>
      <c r="DL41">
        <v>-9.7962827868759636E-2</v>
      </c>
      <c r="DM41">
        <v>-296000000</v>
      </c>
      <c r="DN41">
        <v>-0.13994689695537091</v>
      </c>
      <c r="DO41">
        <v>2426526500</v>
      </c>
      <c r="DP41">
        <v>1092675700</v>
      </c>
      <c r="DQ41" s="10">
        <v>792</v>
      </c>
      <c r="DR41">
        <v>-0.18238812842533977</v>
      </c>
      <c r="DS41">
        <v>3.2512932524314753E-2</v>
      </c>
      <c r="DT41">
        <v>-0.75666666666666671</v>
      </c>
      <c r="DU41">
        <v>-2.1983333333333337</v>
      </c>
      <c r="DV41">
        <v>-2.9550000000000005</v>
      </c>
      <c r="DW41">
        <v>-3.1928273809523811</v>
      </c>
      <c r="DX41">
        <v>0.25737734950236379</v>
      </c>
      <c r="DY41">
        <v>-3.0264901145067209</v>
      </c>
      <c r="DZ41">
        <v>4894</v>
      </c>
      <c r="EA41">
        <v>-3.0011197386953916</v>
      </c>
      <c r="EB41" s="11">
        <v>3</v>
      </c>
      <c r="EC41" s="11">
        <v>7.7277076959438071E-2</v>
      </c>
      <c r="ED41">
        <v>0.56251690436058488</v>
      </c>
      <c r="EE41">
        <v>6.3409999999999994E-2</v>
      </c>
      <c r="EF41">
        <v>7.571E-2</v>
      </c>
      <c r="EG41">
        <v>12.137377349502364</v>
      </c>
      <c r="EH41" s="13">
        <v>-1</v>
      </c>
      <c r="EI41">
        <v>0</v>
      </c>
      <c r="EJ41">
        <v>0</v>
      </c>
      <c r="EK41">
        <v>45470</v>
      </c>
      <c r="EL41">
        <v>0</v>
      </c>
      <c r="EM41">
        <v>-3.73</v>
      </c>
      <c r="EN41" s="14">
        <v>2.58</v>
      </c>
      <c r="EO41" s="14">
        <v>2.52</v>
      </c>
      <c r="EP41" s="14">
        <v>-1.23</v>
      </c>
    </row>
    <row r="42" spans="1:146" ht="88.5" customHeight="1" x14ac:dyDescent="0.25">
      <c r="A42" s="7"/>
      <c r="B42" s="7"/>
      <c r="C42" s="16" t="str">
        <f>""&amp;CHAR(10)&amp;Basic_Fundamental_Information_Constructure(F42)&amp;CHAR(10)&amp;Basic_Fundamental_Information_Concatenate("")</f>
        <v xml:space="preserve">
市值26.706923亿, 利润-16.93亿; PE; 平均PE-4.13; 平均PEG-.18, PB3.57; ROIC0%; ROE-42.2333%; 股利率0%; 毛利-21.21%; 净利-69.6233%; 上一年度营收增-89.21%, 利润增-105.71%; 当季营收增-.51%, 利润增259.85%; 过往5年营收增22.66%, 利润增-1211.77%
Income profile:
</v>
      </c>
      <c r="D42" t="s">
        <v>252</v>
      </c>
      <c r="E42" t="s">
        <v>7</v>
      </c>
      <c r="F42">
        <v>1.54</v>
      </c>
      <c r="G42">
        <v>0.65</v>
      </c>
      <c r="H42" t="s">
        <v>2417</v>
      </c>
      <c r="I42">
        <v>2670692300</v>
      </c>
      <c r="K42">
        <v>3.57</v>
      </c>
      <c r="L42" t="s">
        <v>1589</v>
      </c>
      <c r="M42" t="s">
        <v>2418</v>
      </c>
      <c r="N42" t="s">
        <v>454</v>
      </c>
      <c r="O42" t="s">
        <v>2419</v>
      </c>
      <c r="P42">
        <v>-0.37</v>
      </c>
      <c r="Q42" t="s">
        <v>871</v>
      </c>
      <c r="R42">
        <v>262161290</v>
      </c>
      <c r="S42" s="5">
        <v>2.601</v>
      </c>
      <c r="T42" t="s">
        <v>2420</v>
      </c>
      <c r="U42">
        <v>1734103300</v>
      </c>
      <c r="V42">
        <v>1734215800</v>
      </c>
      <c r="W42">
        <v>10.07</v>
      </c>
      <c r="X42">
        <v>0.01</v>
      </c>
      <c r="Y42">
        <v>121.79</v>
      </c>
      <c r="Z42" t="s">
        <v>1958</v>
      </c>
      <c r="AA42" t="s">
        <v>795</v>
      </c>
      <c r="AB42" t="s">
        <v>2421</v>
      </c>
      <c r="AC42" t="s">
        <v>2422</v>
      </c>
      <c r="AD42" t="s">
        <v>24</v>
      </c>
      <c r="AE42">
        <v>124621070</v>
      </c>
      <c r="AF42" t="s">
        <v>2423</v>
      </c>
      <c r="AG42" t="s">
        <v>2424</v>
      </c>
      <c r="AH42" t="s">
        <v>2425</v>
      </c>
      <c r="AI42" t="s">
        <v>2426</v>
      </c>
      <c r="AJ42" t="s">
        <v>2427</v>
      </c>
      <c r="AK42" t="s">
        <v>2428</v>
      </c>
      <c r="AL42" t="s">
        <v>2429</v>
      </c>
      <c r="AM42" t="s">
        <v>24</v>
      </c>
      <c r="AN42">
        <v>0</v>
      </c>
      <c r="AO42" t="s">
        <v>131</v>
      </c>
      <c r="AP42" t="s">
        <v>198</v>
      </c>
      <c r="AQ42" t="s">
        <v>2430</v>
      </c>
      <c r="AR42" t="s">
        <v>2431</v>
      </c>
      <c r="AS42" t="s">
        <v>2432</v>
      </c>
      <c r="AT42" t="s">
        <v>501</v>
      </c>
      <c r="AU42" t="s">
        <v>2433</v>
      </c>
      <c r="AV42" t="s">
        <v>2434</v>
      </c>
      <c r="AW42" t="s">
        <v>2435</v>
      </c>
      <c r="AX42" t="s">
        <v>1366</v>
      </c>
      <c r="AY42" t="s">
        <v>898</v>
      </c>
      <c r="AZ42" t="s">
        <v>567</v>
      </c>
      <c r="BA42" t="s">
        <v>253</v>
      </c>
      <c r="BB42" t="s">
        <v>569</v>
      </c>
      <c r="BC42" t="s">
        <v>2436</v>
      </c>
      <c r="BD42" t="s">
        <v>899</v>
      </c>
      <c r="BE42" t="s">
        <v>568</v>
      </c>
      <c r="BF42" t="s">
        <v>254</v>
      </c>
      <c r="BG42" t="s">
        <v>570</v>
      </c>
      <c r="BH42" t="s">
        <v>871</v>
      </c>
      <c r="BI42" t="s">
        <v>305</v>
      </c>
      <c r="BJ42" t="s">
        <v>1366</v>
      </c>
      <c r="BK42" t="s">
        <v>2420</v>
      </c>
      <c r="BL42" t="s">
        <v>2437</v>
      </c>
      <c r="BM42" t="s">
        <v>2436</v>
      </c>
      <c r="BN42" t="s">
        <v>24</v>
      </c>
      <c r="BO42" t="s">
        <v>24</v>
      </c>
      <c r="BP42" t="s">
        <v>24</v>
      </c>
      <c r="BQ42">
        <v>-60.28</v>
      </c>
      <c r="BR42">
        <v>-34.409999999999997</v>
      </c>
      <c r="BS42">
        <v>-32.01</v>
      </c>
      <c r="BT42" t="s">
        <v>1115</v>
      </c>
      <c r="BU42" t="s">
        <v>1046</v>
      </c>
      <c r="BV42">
        <v>-55.03</v>
      </c>
      <c r="BW42">
        <v>6.88</v>
      </c>
      <c r="BX42">
        <v>-15.48</v>
      </c>
      <c r="BY42">
        <v>-165.97</v>
      </c>
      <c r="BZ42">
        <v>-6.44</v>
      </c>
      <c r="CA42">
        <v>-36.46</v>
      </c>
      <c r="CB42">
        <v>-1.28</v>
      </c>
      <c r="CC42">
        <v>-27.7</v>
      </c>
      <c r="CD42" t="s">
        <v>444</v>
      </c>
      <c r="CE42" t="s">
        <v>2438</v>
      </c>
      <c r="CF42" s="8">
        <v>-5.1282051282051282E-3</v>
      </c>
      <c r="CG42" s="9">
        <v>2.5985444512195124</v>
      </c>
      <c r="CH42" s="8">
        <v>-0.89214783906936646</v>
      </c>
      <c r="CI42" s="8">
        <v>2</v>
      </c>
      <c r="CJ42" s="8">
        <v>-0.18683229386806488</v>
      </c>
      <c r="CK42" s="8">
        <v>-0.36803266406059265</v>
      </c>
      <c r="CL42" s="8">
        <v>0.58000493049621582</v>
      </c>
      <c r="CM42" s="9">
        <v>-1.0571080446243286</v>
      </c>
      <c r="CN42" s="9">
        <v>0.2618834376335144</v>
      </c>
      <c r="CO42" s="9">
        <v>-55.641868591308594</v>
      </c>
      <c r="CP42" s="9">
        <v>1.0574805736541748</v>
      </c>
      <c r="CQ42" s="9">
        <v>-5.2089438438415527</v>
      </c>
      <c r="CR42">
        <v>-4.1286062413600648</v>
      </c>
      <c r="CS42">
        <v>-0.18219924566522394</v>
      </c>
      <c r="CT42">
        <v>0</v>
      </c>
      <c r="CU42" s="8">
        <v>0.22659842669963837</v>
      </c>
      <c r="CV42" s="9">
        <v>-12.117711293697358</v>
      </c>
      <c r="CW42">
        <v>0.06</v>
      </c>
      <c r="CX42" t="e">
        <v>#VALUE!</v>
      </c>
      <c r="CY42" t="s">
        <v>850</v>
      </c>
      <c r="CZ42">
        <v>0.22659842669963837</v>
      </c>
      <c r="DA42" t="e">
        <v>#VALUE!</v>
      </c>
      <c r="DB42" t="s">
        <v>850</v>
      </c>
      <c r="DC42">
        <v>0.21526850536465644</v>
      </c>
      <c r="DD42" t="e">
        <v>#VALUE!</v>
      </c>
      <c r="DE42" t="s">
        <v>850</v>
      </c>
      <c r="DF42">
        <v>0.19940661549568175</v>
      </c>
      <c r="DG42" t="e">
        <v>#VALUE!</v>
      </c>
      <c r="DH42" t="s">
        <v>850</v>
      </c>
      <c r="DI42">
        <v>0.1812787413597107</v>
      </c>
      <c r="DJ42" t="e">
        <v>#VALUE!</v>
      </c>
      <c r="DK42" t="s">
        <v>850</v>
      </c>
      <c r="DL42">
        <v>0.15861889868974685</v>
      </c>
      <c r="DM42">
        <v>-1693000000</v>
      </c>
      <c r="DN42">
        <v>0.22659842669963837</v>
      </c>
      <c r="DO42">
        <v>26191692300</v>
      </c>
      <c r="DP42">
        <v>-1516811000</v>
      </c>
      <c r="DQ42">
        <v>812</v>
      </c>
      <c r="DR42">
        <v>-0.2317266318278435</v>
      </c>
      <c r="DS42">
        <v>14.71625574491687</v>
      </c>
      <c r="DT42" s="10">
        <v>-0.6066666666666668</v>
      </c>
      <c r="DU42">
        <v>-1.4833333333333334</v>
      </c>
      <c r="DV42">
        <v>-2.0900000000000003</v>
      </c>
      <c r="DW42">
        <v>-3.1323214285714287</v>
      </c>
      <c r="DX42">
        <v>0.26173116748865921</v>
      </c>
      <c r="DY42">
        <v>-3.0200772848409101</v>
      </c>
      <c r="DZ42">
        <v>4448</v>
      </c>
      <c r="EA42">
        <v>-3.0026010102866305</v>
      </c>
      <c r="EB42">
        <v>3</v>
      </c>
      <c r="EC42">
        <v>0.25775338916875279</v>
      </c>
      <c r="ED42">
        <v>1.6987505245886931</v>
      </c>
      <c r="EE42" s="11">
        <v>2.1160000000000001</v>
      </c>
      <c r="EF42">
        <v>2.1095999999999999</v>
      </c>
      <c r="EG42">
        <v>11.151731167488659</v>
      </c>
      <c r="EH42" t="s">
        <v>836</v>
      </c>
      <c r="EI42">
        <v>0</v>
      </c>
      <c r="EJ42">
        <v>0</v>
      </c>
      <c r="EK42" s="13">
        <v>45470</v>
      </c>
      <c r="EL42" s="14">
        <v>0</v>
      </c>
      <c r="EM42" s="14">
        <v>-4.55</v>
      </c>
      <c r="EN42" s="14">
        <v>10.199999999999999</v>
      </c>
      <c r="EO42" s="14">
        <v>-3.09</v>
      </c>
      <c r="EP42" s="14">
        <v>-0.64</v>
      </c>
    </row>
    <row r="43" spans="1:146" ht="88.5" customHeight="1" x14ac:dyDescent="0.25">
      <c r="A43" s="7"/>
      <c r="B43" s="7"/>
      <c r="C43" s="16" t="str">
        <f>""&amp;CHAR(10)&amp;Basic_Fundamental_Information_Constructure(F43)&amp;CHAR(10)&amp;Basic_Fundamental_Information_Concatenate("")</f>
        <v xml:space="preserve">
市值56.321876亿, 利润1.47亿; PE; 平均PE8.44; 平均PEG.65, PB.556; ROIC2.4467%; ROE5.53%; 股利率0%; 毛利20.9633%; 净利6.5667%; 上一年度营收增-.77%, 利润增-78.41%; 当季营收增-74.08%, 利润增-235.76%; 过往5年营收增13.05%, 利润增13.59%
Income profile:
</v>
      </c>
      <c r="D43" t="s">
        <v>256</v>
      </c>
      <c r="E43" t="s">
        <v>19</v>
      </c>
      <c r="F43">
        <v>2.08</v>
      </c>
      <c r="G43">
        <v>-0.48</v>
      </c>
      <c r="H43" t="s">
        <v>2439</v>
      </c>
      <c r="I43">
        <v>5632187600</v>
      </c>
      <c r="K43">
        <v>0.55600000000000005</v>
      </c>
      <c r="L43" t="s">
        <v>1589</v>
      </c>
      <c r="M43" t="s">
        <v>2440</v>
      </c>
      <c r="N43" t="s">
        <v>2441</v>
      </c>
      <c r="O43" t="s">
        <v>1511</v>
      </c>
      <c r="P43">
        <v>-74.08</v>
      </c>
      <c r="Q43" t="s">
        <v>2442</v>
      </c>
      <c r="R43">
        <v>-124419548</v>
      </c>
      <c r="S43" s="5">
        <v>-2.3580000000000001</v>
      </c>
      <c r="T43" t="s">
        <v>874</v>
      </c>
      <c r="U43">
        <v>1338324040</v>
      </c>
      <c r="V43">
        <v>2707782500</v>
      </c>
      <c r="W43">
        <v>4.07</v>
      </c>
      <c r="X43">
        <v>0.02</v>
      </c>
      <c r="Y43">
        <v>-6.75</v>
      </c>
      <c r="Z43" t="s">
        <v>1568</v>
      </c>
      <c r="AA43" t="s">
        <v>2443</v>
      </c>
      <c r="AB43" t="s">
        <v>2444</v>
      </c>
      <c r="AC43" t="s">
        <v>2445</v>
      </c>
      <c r="AD43" t="s">
        <v>24</v>
      </c>
      <c r="AE43">
        <v>183693210</v>
      </c>
      <c r="AF43" t="s">
        <v>2446</v>
      </c>
      <c r="AG43" t="s">
        <v>2447</v>
      </c>
      <c r="AH43" t="s">
        <v>2448</v>
      </c>
      <c r="AI43" t="s">
        <v>2449</v>
      </c>
      <c r="AJ43" t="s">
        <v>2450</v>
      </c>
      <c r="AK43" t="s">
        <v>2451</v>
      </c>
      <c r="AL43" t="s">
        <v>2452</v>
      </c>
      <c r="AM43" t="s">
        <v>24</v>
      </c>
      <c r="AN43" t="s">
        <v>2453</v>
      </c>
      <c r="AO43" t="s">
        <v>514</v>
      </c>
      <c r="AP43" t="s">
        <v>2454</v>
      </c>
      <c r="AQ43" t="s">
        <v>2455</v>
      </c>
      <c r="AR43" t="s">
        <v>2456</v>
      </c>
      <c r="AS43" t="s">
        <v>2457</v>
      </c>
      <c r="AT43" t="s">
        <v>2458</v>
      </c>
      <c r="AU43" t="s">
        <v>2459</v>
      </c>
      <c r="AV43" t="s">
        <v>2460</v>
      </c>
      <c r="AW43" t="s">
        <v>588</v>
      </c>
      <c r="AX43" t="s">
        <v>1369</v>
      </c>
      <c r="AY43" t="s">
        <v>900</v>
      </c>
      <c r="AZ43" t="s">
        <v>571</v>
      </c>
      <c r="BA43" t="s">
        <v>573</v>
      </c>
      <c r="BB43" t="s">
        <v>574</v>
      </c>
      <c r="BC43" t="s">
        <v>1871</v>
      </c>
      <c r="BD43" t="s">
        <v>527</v>
      </c>
      <c r="BE43" t="s">
        <v>902</v>
      </c>
      <c r="BF43" t="s">
        <v>257</v>
      </c>
      <c r="BG43" t="s">
        <v>87</v>
      </c>
      <c r="BH43" t="s">
        <v>2442</v>
      </c>
      <c r="BI43" t="s">
        <v>2461</v>
      </c>
      <c r="BJ43" t="s">
        <v>1369</v>
      </c>
      <c r="BK43" t="s">
        <v>874</v>
      </c>
      <c r="BL43" t="s">
        <v>2462</v>
      </c>
      <c r="BM43" t="s">
        <v>1871</v>
      </c>
      <c r="BN43">
        <v>0.9</v>
      </c>
      <c r="BO43">
        <v>2.74</v>
      </c>
      <c r="BP43">
        <v>3.7</v>
      </c>
      <c r="BQ43">
        <v>0.2</v>
      </c>
      <c r="BR43">
        <v>6.87</v>
      </c>
      <c r="BS43">
        <v>9.52</v>
      </c>
      <c r="BT43" t="s">
        <v>1115</v>
      </c>
      <c r="BU43" t="s">
        <v>1043</v>
      </c>
      <c r="BV43">
        <v>22.66</v>
      </c>
      <c r="BW43">
        <v>19.28</v>
      </c>
      <c r="BX43">
        <v>20.95</v>
      </c>
      <c r="BY43">
        <v>4.8899999999999997</v>
      </c>
      <c r="BZ43">
        <v>6.43</v>
      </c>
      <c r="CA43">
        <v>8.3800000000000008</v>
      </c>
      <c r="CB43">
        <v>0.48</v>
      </c>
      <c r="CC43">
        <v>-19.38</v>
      </c>
      <c r="CD43" t="s">
        <v>2463</v>
      </c>
      <c r="CE43" t="s">
        <v>2464</v>
      </c>
      <c r="CF43" s="8">
        <v>-0.74079844206426482</v>
      </c>
      <c r="CG43" s="9">
        <v>-2.3575954259277445</v>
      </c>
      <c r="CH43" s="8">
        <v>-7.6542948372662067E-3</v>
      </c>
      <c r="CI43" s="8">
        <v>8.6762018501758575E-2</v>
      </c>
      <c r="CJ43" s="8">
        <v>-4.6296068467199802E-3</v>
      </c>
      <c r="CK43" s="8">
        <v>0.55095279216766357</v>
      </c>
      <c r="CL43" s="8">
        <v>2.6942655444145203E-2</v>
      </c>
      <c r="CM43" s="9">
        <v>-0.784140944480896</v>
      </c>
      <c r="CN43" s="9">
        <v>-0.30225411057472229</v>
      </c>
      <c r="CO43" s="9">
        <v>-0.24516624212265015</v>
      </c>
      <c r="CP43" s="9">
        <v>2.2084364891052246</v>
      </c>
      <c r="CQ43" s="9">
        <v>-0.19721116125583649</v>
      </c>
      <c r="CR43">
        <v>8.444059370314843</v>
      </c>
      <c r="CS43">
        <v>0.64717976254127607</v>
      </c>
      <c r="CT43">
        <v>0</v>
      </c>
      <c r="CU43" s="8">
        <v>0.13047471288591622</v>
      </c>
      <c r="CV43" s="9">
        <v>0.13593280613422393</v>
      </c>
      <c r="CW43">
        <v>0.06</v>
      </c>
      <c r="CX43">
        <v>274.70982383294563</v>
      </c>
      <c r="CY43">
        <v>156773379.99455631</v>
      </c>
      <c r="CZ43">
        <v>0.13047471288591622</v>
      </c>
      <c r="DA43">
        <v>86.761741062039107</v>
      </c>
      <c r="DB43">
        <v>496384547.76057059</v>
      </c>
      <c r="DC43">
        <v>0.12395097724162041</v>
      </c>
      <c r="DD43">
        <v>40.778002698637387</v>
      </c>
      <c r="DE43">
        <v>1056137739.7093339</v>
      </c>
      <c r="DF43">
        <v>0.11481774733960627</v>
      </c>
      <c r="DG43">
        <v>23.219379203216526</v>
      </c>
      <c r="DH43">
        <v>1854794963.4258099</v>
      </c>
      <c r="DI43">
        <v>0.10437977030873298</v>
      </c>
      <c r="DJ43">
        <v>10.637819340950795</v>
      </c>
      <c r="DK43">
        <v>4048497743.7256155</v>
      </c>
      <c r="DL43">
        <v>9.1332299020141353E-2</v>
      </c>
      <c r="DM43">
        <v>147000000</v>
      </c>
      <c r="DN43">
        <v>0.13047471288591622</v>
      </c>
      <c r="DO43">
        <v>43067187600.000008</v>
      </c>
      <c r="DP43">
        <v>8064964000</v>
      </c>
      <c r="DQ43">
        <v>821</v>
      </c>
      <c r="DR43">
        <v>-0.87127315495018109</v>
      </c>
      <c r="DS43">
        <v>-2.4935282320619683</v>
      </c>
      <c r="DT43" s="10">
        <v>-0.32333333333333336</v>
      </c>
      <c r="DU43">
        <v>-1.2266666666666668</v>
      </c>
      <c r="DV43">
        <v>-1.5500000000000003</v>
      </c>
      <c r="DW43">
        <v>-3.0382261904761902</v>
      </c>
      <c r="DX43">
        <v>0.28711752777777722</v>
      </c>
      <c r="DY43">
        <v>-3.0048592188296959</v>
      </c>
      <c r="DZ43">
        <v>4057</v>
      </c>
      <c r="EA43">
        <v>-3.0010013223928902</v>
      </c>
      <c r="EB43">
        <v>3</v>
      </c>
      <c r="EC43">
        <v>2.7040465768576317E-2</v>
      </c>
      <c r="ED43">
        <v>0.212720187090359</v>
      </c>
      <c r="EE43" s="11">
        <v>1.0041100000000001</v>
      </c>
      <c r="EF43">
        <v>1.00891</v>
      </c>
      <c r="EG43">
        <v>16.127117527777777</v>
      </c>
      <c r="EH43" t="s">
        <v>835</v>
      </c>
      <c r="EI43">
        <v>0</v>
      </c>
      <c r="EJ43">
        <v>0</v>
      </c>
      <c r="EK43" s="13">
        <v>45470</v>
      </c>
      <c r="EL43" s="14">
        <v>0.47</v>
      </c>
      <c r="EM43" s="14">
        <v>-3.3</v>
      </c>
      <c r="EN43" s="14">
        <v>1.46</v>
      </c>
      <c r="EO43" s="14">
        <v>0</v>
      </c>
      <c r="EP43" s="14">
        <v>-0.48</v>
      </c>
    </row>
    <row r="44" spans="1:146" ht="88.5" customHeight="1" x14ac:dyDescent="0.25">
      <c r="C44" s="16" t="str">
        <f>""&amp;CHAR(10)&amp;Basic_Fundamental_Information_Constructure(F44)&amp;CHAR(10)&amp;Basic_Fundamental_Information_Concatenate("")</f>
        <v xml:space="preserve">
市值19.75405亿, 利润1.60亿; PE12.98; 平均PE14.19; 平均PEG.48, PB1.63; ROIC14.93%; ROE15.8133%; 股利率3.2646%; 毛利15.89%; 净利6.84%; 上一年度营收增20.36%, 利润增-13.98%; 当季营收增19.59%, 利润增-16.85%; 过往5年营收增29.44%, 利润增13.77%
Income profile:
</v>
      </c>
      <c r="D44" t="s">
        <v>2465</v>
      </c>
      <c r="E44" t="s">
        <v>2466</v>
      </c>
      <c r="F44">
        <v>8.73</v>
      </c>
      <c r="G44">
        <v>-0.34</v>
      </c>
      <c r="H44" t="s">
        <v>2467</v>
      </c>
      <c r="I44">
        <v>1975405000</v>
      </c>
      <c r="J44">
        <v>12.98</v>
      </c>
      <c r="K44">
        <v>1.63</v>
      </c>
      <c r="L44" t="s">
        <v>1589</v>
      </c>
      <c r="M44" t="s">
        <v>2468</v>
      </c>
      <c r="N44" t="s">
        <v>598</v>
      </c>
      <c r="O44" t="s">
        <v>1085</v>
      </c>
      <c r="P44" s="5">
        <v>19.54</v>
      </c>
      <c r="Q44" t="s">
        <v>2469</v>
      </c>
      <c r="R44">
        <v>39404832</v>
      </c>
      <c r="S44">
        <v>-0.16850000000000001</v>
      </c>
      <c r="T44" t="s">
        <v>1055</v>
      </c>
      <c r="U44">
        <v>213384010</v>
      </c>
      <c r="V44">
        <v>226277780</v>
      </c>
      <c r="W44">
        <v>1.61</v>
      </c>
      <c r="X44">
        <v>0.43</v>
      </c>
      <c r="Y44">
        <v>5.0199999999999996</v>
      </c>
      <c r="Z44" t="s">
        <v>1406</v>
      </c>
      <c r="AA44" t="s">
        <v>2470</v>
      </c>
      <c r="AB44" t="s">
        <v>2471</v>
      </c>
      <c r="AC44" t="s">
        <v>2472</v>
      </c>
      <c r="AD44" t="s">
        <v>24</v>
      </c>
      <c r="AE44">
        <v>-1001837</v>
      </c>
      <c r="AF44" t="s">
        <v>2473</v>
      </c>
      <c r="AG44" t="s">
        <v>2474</v>
      </c>
      <c r="AH44" t="s">
        <v>2475</v>
      </c>
      <c r="AI44" t="s">
        <v>1068</v>
      </c>
      <c r="AJ44" t="s">
        <v>2476</v>
      </c>
      <c r="AK44" t="s">
        <v>2477</v>
      </c>
      <c r="AL44" t="s">
        <v>2478</v>
      </c>
      <c r="AM44" t="s">
        <v>24</v>
      </c>
      <c r="AN44" t="s">
        <v>2479</v>
      </c>
      <c r="AO44" t="s">
        <v>2480</v>
      </c>
      <c r="AP44" t="s">
        <v>24</v>
      </c>
      <c r="AQ44" t="s">
        <v>1318</v>
      </c>
      <c r="AR44" t="s">
        <v>24</v>
      </c>
      <c r="AS44" t="s">
        <v>2481</v>
      </c>
      <c r="AT44" t="s">
        <v>2482</v>
      </c>
      <c r="AU44" t="s">
        <v>2483</v>
      </c>
      <c r="AV44" t="s">
        <v>2484</v>
      </c>
      <c r="AW44" t="s">
        <v>2485</v>
      </c>
      <c r="AX44" t="s">
        <v>2486</v>
      </c>
      <c r="AY44" t="s">
        <v>304</v>
      </c>
      <c r="AZ44" t="s">
        <v>2487</v>
      </c>
      <c r="BA44" t="s">
        <v>2488</v>
      </c>
      <c r="BB44" t="s">
        <v>2121</v>
      </c>
      <c r="BC44" t="s">
        <v>291</v>
      </c>
      <c r="BD44" t="s">
        <v>170</v>
      </c>
      <c r="BE44" t="s">
        <v>135</v>
      </c>
      <c r="BF44" t="s">
        <v>138</v>
      </c>
      <c r="BG44" t="s">
        <v>2489</v>
      </c>
      <c r="BH44" t="s">
        <v>2469</v>
      </c>
      <c r="BI44" t="s">
        <v>2490</v>
      </c>
      <c r="BJ44" t="s">
        <v>2486</v>
      </c>
      <c r="BK44" t="s">
        <v>1055</v>
      </c>
      <c r="BL44" t="s">
        <v>2491</v>
      </c>
      <c r="BM44" t="s">
        <v>291</v>
      </c>
      <c r="BN44">
        <v>10.79</v>
      </c>
      <c r="BO44">
        <v>16.72</v>
      </c>
      <c r="BP44">
        <v>17.28</v>
      </c>
      <c r="BQ44">
        <v>10.9</v>
      </c>
      <c r="BR44">
        <v>18.05</v>
      </c>
      <c r="BS44">
        <v>18.489999999999998</v>
      </c>
      <c r="BT44" t="s">
        <v>2492</v>
      </c>
      <c r="BU44" t="s">
        <v>2210</v>
      </c>
      <c r="BV44">
        <v>12.82</v>
      </c>
      <c r="BW44">
        <v>16.18</v>
      </c>
      <c r="BX44">
        <v>18.670000000000002</v>
      </c>
      <c r="BY44">
        <v>5.4</v>
      </c>
      <c r="BZ44">
        <v>7.15</v>
      </c>
      <c r="CA44">
        <v>7.97</v>
      </c>
      <c r="CB44">
        <v>-2.02</v>
      </c>
      <c r="CC44" s="8">
        <v>-20.89</v>
      </c>
      <c r="CD44" s="9" t="s">
        <v>2493</v>
      </c>
      <c r="CE44" s="8" t="s">
        <v>425</v>
      </c>
      <c r="CF44" s="8">
        <v>0.19586206896551725</v>
      </c>
      <c r="CG44" s="8">
        <v>-0.16854462511024929</v>
      </c>
      <c r="CH44" s="8">
        <v>0.20361813902854919</v>
      </c>
      <c r="CI44" s="8">
        <v>0.24425293505191803</v>
      </c>
      <c r="CJ44" s="9">
        <v>0.58421850204467773</v>
      </c>
      <c r="CK44" s="9">
        <v>0.24928909540176392</v>
      </c>
      <c r="CL44" s="9">
        <v>0.19074492156505585</v>
      </c>
      <c r="CM44" s="9">
        <v>-0.13978494703769684</v>
      </c>
      <c r="CN44" s="9">
        <v>0.12048193067312241</v>
      </c>
      <c r="CO44">
        <v>0.2671755850315094</v>
      </c>
      <c r="CP44">
        <v>0.25961539149284363</v>
      </c>
      <c r="CQ44">
        <v>0.18077287077903748</v>
      </c>
      <c r="CR44" s="8">
        <v>14.193202813773421</v>
      </c>
      <c r="CS44" s="9">
        <v>0.48206559830899887</v>
      </c>
      <c r="CT44">
        <v>3.2646048109965635</v>
      </c>
      <c r="CU44">
        <v>0.29442471861839292</v>
      </c>
      <c r="CV44">
        <v>0.13765216618776321</v>
      </c>
      <c r="CW44">
        <v>0.06</v>
      </c>
      <c r="CX44">
        <v>7.9556060517690979</v>
      </c>
      <c r="CY44">
        <v>195384863.18768197</v>
      </c>
      <c r="CZ44">
        <v>0.29442471861839292</v>
      </c>
      <c r="DA44">
        <v>2.1958108561199041</v>
      </c>
      <c r="DB44">
        <v>707895671.28140676</v>
      </c>
      <c r="DC44">
        <v>0.27970348268747325</v>
      </c>
      <c r="DD44">
        <v>0.84930759604019179</v>
      </c>
      <c r="DE44">
        <v>1830202634.7665455</v>
      </c>
      <c r="DF44">
        <v>0.25909375238418575</v>
      </c>
      <c r="DG44">
        <v>0.38031954658036593</v>
      </c>
      <c r="DH44">
        <v>4087102579.8605285</v>
      </c>
      <c r="DI44">
        <v>0.23553977489471434</v>
      </c>
      <c r="DJ44">
        <v>9.6229956964744998E-2</v>
      </c>
      <c r="DK44">
        <v>16153026032.937695</v>
      </c>
      <c r="DL44">
        <v>0.20609730303287505</v>
      </c>
      <c r="DM44">
        <v>160000000</v>
      </c>
      <c r="DN44">
        <v>0.29442471861839292</v>
      </c>
      <c r="DO44">
        <v>1554405000</v>
      </c>
      <c r="DP44">
        <v>734425800</v>
      </c>
      <c r="DQ44" s="10">
        <v>1427</v>
      </c>
      <c r="DR44">
        <v>-9.8562649652875672E-2</v>
      </c>
      <c r="DS44">
        <v>-0.30619679129801247</v>
      </c>
      <c r="DT44">
        <v>0.22666666666666657</v>
      </c>
      <c r="DU44">
        <v>0.12999999999999992</v>
      </c>
      <c r="DV44">
        <v>0.35666666666666647</v>
      </c>
      <c r="DW44">
        <v>-3.0553035714285715</v>
      </c>
      <c r="DX44">
        <v>0.21484344827586199</v>
      </c>
      <c r="DY44">
        <v>-3.0046921457019704</v>
      </c>
      <c r="DZ44">
        <v>948</v>
      </c>
      <c r="EA44">
        <v>-3.0038216654425836</v>
      </c>
      <c r="EB44" s="11">
        <v>3</v>
      </c>
      <c r="EC44" s="11">
        <v>0.10873626212878701</v>
      </c>
      <c r="ED44">
        <v>1.2816105938462008</v>
      </c>
      <c r="EE44">
        <v>-6.0327999999999999</v>
      </c>
      <c r="EF44">
        <v>-6.0263</v>
      </c>
      <c r="EG44">
        <v>13.084843448275862</v>
      </c>
      <c r="EH44" s="13" t="s">
        <v>2494</v>
      </c>
      <c r="EI44">
        <v>0</v>
      </c>
      <c r="EJ44">
        <v>1</v>
      </c>
      <c r="EK44">
        <v>45470</v>
      </c>
      <c r="EL44">
        <v>-0.32</v>
      </c>
      <c r="EM44">
        <v>-5.61</v>
      </c>
      <c r="EN44" s="14">
        <v>3.93</v>
      </c>
      <c r="EO44" s="14">
        <v>0.11</v>
      </c>
      <c r="EP44" s="14">
        <v>-0.65</v>
      </c>
    </row>
    <row r="45" spans="1:146" ht="88.5" customHeight="1" x14ac:dyDescent="0.25">
      <c r="C45" s="16" t="str">
        <f>""&amp;CHAR(10)&amp;Basic_Fundamental_Information_Constructure(F45)&amp;CHAR(10)&amp;Basic_Fundamental_Information_Concatenate("")</f>
        <v xml:space="preserve">
市值55.2292亿, 利润2.03亿; PE45.63; 平均PE51.34; 平均PEG2.5, PB5.19; ROIC11.5767%; ROE11.67%; 股利率.6732%; 毛利14.21%; 净利6.0967%; 上一年度营收增-20.24%, 利润增78.07%; 当季营收增95.4%, 利润增6.43%; 过往5年营收增20.56%, 利润增34.15%
Income profile:
</v>
      </c>
      <c r="D45" t="s">
        <v>2495</v>
      </c>
      <c r="E45" t="s">
        <v>2496</v>
      </c>
      <c r="F45">
        <v>32.68</v>
      </c>
      <c r="G45">
        <v>-2.88</v>
      </c>
      <c r="H45" t="s">
        <v>2497</v>
      </c>
      <c r="I45">
        <v>5522920000</v>
      </c>
      <c r="J45">
        <v>45.63</v>
      </c>
      <c r="K45">
        <v>5.19</v>
      </c>
      <c r="L45" t="s">
        <v>1589</v>
      </c>
      <c r="M45" t="s">
        <v>1564</v>
      </c>
      <c r="N45" t="s">
        <v>1411</v>
      </c>
      <c r="O45" t="s">
        <v>2498</v>
      </c>
      <c r="P45" s="5">
        <v>15.95</v>
      </c>
      <c r="Q45" t="s">
        <v>2499</v>
      </c>
      <c r="R45">
        <v>34118206</v>
      </c>
      <c r="S45">
        <v>2.6499999999999999E-2</v>
      </c>
      <c r="T45" t="s">
        <v>433</v>
      </c>
      <c r="U45">
        <v>169000000</v>
      </c>
      <c r="V45">
        <v>169000000</v>
      </c>
      <c r="W45">
        <v>1.55</v>
      </c>
      <c r="X45">
        <v>0.35</v>
      </c>
      <c r="Y45">
        <v>5.86</v>
      </c>
      <c r="Z45" t="s">
        <v>2500</v>
      </c>
      <c r="AA45" t="s">
        <v>2501</v>
      </c>
      <c r="AB45" t="s">
        <v>2502</v>
      </c>
      <c r="AC45" t="s">
        <v>2503</v>
      </c>
      <c r="AD45" t="s">
        <v>24</v>
      </c>
      <c r="AE45">
        <v>-3462693</v>
      </c>
      <c r="AF45" t="s">
        <v>2504</v>
      </c>
      <c r="AG45" t="s">
        <v>2505</v>
      </c>
      <c r="AH45" t="s">
        <v>2506</v>
      </c>
      <c r="AI45" t="s">
        <v>1773</v>
      </c>
      <c r="AJ45" t="s">
        <v>2507</v>
      </c>
      <c r="AK45" t="s">
        <v>24</v>
      </c>
      <c r="AL45" t="s">
        <v>2508</v>
      </c>
      <c r="AM45" t="s">
        <v>24</v>
      </c>
      <c r="AN45">
        <v>0</v>
      </c>
      <c r="AO45" t="s">
        <v>24</v>
      </c>
      <c r="AP45" t="s">
        <v>24</v>
      </c>
      <c r="AQ45" t="s">
        <v>2166</v>
      </c>
      <c r="AR45" t="s">
        <v>24</v>
      </c>
      <c r="AS45" t="s">
        <v>1102</v>
      </c>
      <c r="AT45" t="s">
        <v>24</v>
      </c>
      <c r="AU45" t="s">
        <v>2509</v>
      </c>
      <c r="AV45" t="s">
        <v>1212</v>
      </c>
      <c r="AW45" t="s">
        <v>2510</v>
      </c>
      <c r="AX45" t="s">
        <v>2511</v>
      </c>
      <c r="AY45" t="s">
        <v>2512</v>
      </c>
      <c r="AZ45" t="s">
        <v>1791</v>
      </c>
      <c r="BA45" t="s">
        <v>2513</v>
      </c>
      <c r="BB45" t="s">
        <v>1067</v>
      </c>
      <c r="BC45" t="s">
        <v>207</v>
      </c>
      <c r="BD45" t="s">
        <v>178</v>
      </c>
      <c r="BE45" t="s">
        <v>2514</v>
      </c>
      <c r="BF45" t="s">
        <v>2515</v>
      </c>
      <c r="BG45" t="s">
        <v>2516</v>
      </c>
      <c r="BH45" t="s">
        <v>2517</v>
      </c>
      <c r="BI45" t="s">
        <v>609</v>
      </c>
      <c r="BJ45" t="s">
        <v>2511</v>
      </c>
      <c r="BK45" t="s">
        <v>163</v>
      </c>
      <c r="BL45" t="s">
        <v>2518</v>
      </c>
      <c r="BM45" t="s">
        <v>207</v>
      </c>
      <c r="BN45">
        <v>8.49</v>
      </c>
      <c r="BO45">
        <v>12.74</v>
      </c>
      <c r="BP45">
        <v>13.5</v>
      </c>
      <c r="BQ45">
        <v>8.6199999999999992</v>
      </c>
      <c r="BR45">
        <v>12.68</v>
      </c>
      <c r="BS45">
        <v>13.71</v>
      </c>
      <c r="BT45" t="s">
        <v>2519</v>
      </c>
      <c r="BU45" t="s">
        <v>2210</v>
      </c>
      <c r="BV45">
        <v>12.19</v>
      </c>
      <c r="BW45">
        <v>13.69</v>
      </c>
      <c r="BX45">
        <v>16.75</v>
      </c>
      <c r="BY45">
        <v>5.3</v>
      </c>
      <c r="BZ45">
        <v>6.06</v>
      </c>
      <c r="CA45">
        <v>6.93</v>
      </c>
      <c r="CB45">
        <v>-5.47</v>
      </c>
      <c r="CC45" s="8">
        <v>-35.57</v>
      </c>
      <c r="CD45" s="9" t="s">
        <v>2520</v>
      </c>
      <c r="CE45" s="8" t="s">
        <v>845</v>
      </c>
      <c r="CF45" s="8">
        <v>0.95398773006134974</v>
      </c>
      <c r="CG45" s="8">
        <v>6.4261637464478549E-2</v>
      </c>
      <c r="CH45" s="8">
        <v>-0.2023928165435791</v>
      </c>
      <c r="CI45" s="8">
        <v>0.1862802654504776</v>
      </c>
      <c r="CJ45" s="9">
        <v>0.52479726076126099</v>
      </c>
      <c r="CK45" s="9">
        <v>0.24466884136199951</v>
      </c>
      <c r="CL45" s="9">
        <v>0.27467811107635498</v>
      </c>
      <c r="CM45" s="9">
        <v>0.78070175647735596</v>
      </c>
      <c r="CN45" s="9">
        <v>1.785714365541935E-2</v>
      </c>
      <c r="CO45">
        <v>0.12783730030059814</v>
      </c>
      <c r="CP45">
        <v>0.52008390426635742</v>
      </c>
      <c r="CQ45">
        <v>0.2611839771270752</v>
      </c>
      <c r="CR45" s="8">
        <v>51.341509649409161</v>
      </c>
      <c r="CS45" s="9">
        <v>2.4970782292933742</v>
      </c>
      <c r="CT45">
        <v>0.67319461444308448</v>
      </c>
      <c r="CU45">
        <v>0.2056063324213028</v>
      </c>
      <c r="CV45">
        <v>0.3415328163653612</v>
      </c>
      <c r="CW45">
        <v>0.06</v>
      </c>
      <c r="CX45">
        <v>21.750743001549946</v>
      </c>
      <c r="CY45">
        <v>230884986.30332494</v>
      </c>
      <c r="CZ45">
        <v>0.2056063324213028</v>
      </c>
      <c r="DA45">
        <v>6.453631486401286</v>
      </c>
      <c r="DB45">
        <v>778154130.83035421</v>
      </c>
      <c r="DC45">
        <v>0.19532601580023765</v>
      </c>
      <c r="DD45">
        <v>2.7773971680164573</v>
      </c>
      <c r="DE45">
        <v>1808138950.3203535</v>
      </c>
      <c r="DF45">
        <v>0.18093357253074646</v>
      </c>
      <c r="DG45">
        <v>1.4226655139329676</v>
      </c>
      <c r="DH45">
        <v>3529937255.6778097</v>
      </c>
      <c r="DI45">
        <v>0.16448506593704226</v>
      </c>
      <c r="DJ45">
        <v>0.50553239601603095</v>
      </c>
      <c r="DK45">
        <v>9933923205.6668224</v>
      </c>
      <c r="DL45">
        <v>0.14392443269491195</v>
      </c>
      <c r="DM45">
        <v>202999999.99999997</v>
      </c>
      <c r="DN45">
        <v>0.2056063324213028</v>
      </c>
      <c r="DO45">
        <v>5021920000</v>
      </c>
      <c r="DP45">
        <v>1013061400</v>
      </c>
      <c r="DQ45" s="10">
        <v>2372</v>
      </c>
      <c r="DR45">
        <v>0.74838139764004696</v>
      </c>
      <c r="DS45">
        <v>-0.27727117890088265</v>
      </c>
      <c r="DT45">
        <v>-0.10666666666666676</v>
      </c>
      <c r="DU45">
        <v>0.54999999999999993</v>
      </c>
      <c r="DV45">
        <v>0.44333333333333319</v>
      </c>
      <c r="DW45">
        <v>-8.1537812763564794</v>
      </c>
      <c r="DX45">
        <v>0.27038125806451652</v>
      </c>
      <c r="DY45">
        <v>-8.0246636345688191</v>
      </c>
      <c r="DZ45">
        <v>928</v>
      </c>
      <c r="EA45">
        <v>-8.0201846026940906</v>
      </c>
      <c r="EB45" s="11">
        <v>8</v>
      </c>
      <c r="EC45" s="11">
        <v>0.47070473372781063</v>
      </c>
      <c r="ED45">
        <v>2.9349112426035502</v>
      </c>
      <c r="EE45">
        <v>1.03661</v>
      </c>
      <c r="EF45">
        <v>1.0597099999999999</v>
      </c>
      <c r="EG45">
        <v>11.160381258064517</v>
      </c>
      <c r="EH45" s="13" t="s">
        <v>835</v>
      </c>
      <c r="EI45">
        <v>0</v>
      </c>
      <c r="EJ45">
        <v>1</v>
      </c>
      <c r="EK45">
        <v>45470</v>
      </c>
      <c r="EL45">
        <v>-2.37</v>
      </c>
      <c r="EM45">
        <v>-5.25</v>
      </c>
      <c r="EN45" s="14">
        <v>0.85</v>
      </c>
      <c r="EO45" s="14">
        <v>4.4400000000000004</v>
      </c>
      <c r="EP45" s="14">
        <v>-2.31</v>
      </c>
    </row>
    <row r="46" spans="1:146" ht="88.5" customHeight="1" x14ac:dyDescent="0.25">
      <c r="A46" s="7"/>
      <c r="B46" s="7"/>
      <c r="C46" s="16" t="str">
        <f>""&amp;CHAR(10)&amp;Basic_Fundamental_Information_Constructure(F46)&amp;CHAR(10)&amp;Basic_Fundamental_Information_Concatenate("")</f>
        <v xml:space="preserve">
市值225.22837亿, 利润16.06亿; PE17.65; 平均PE16.55; 平均PEG.1, PB2.24; ROIC9.77%; ROE11.9767%; 股利率3.5778%; 毛利56.75%; 净利30.9633%; 上一年度营收增519.38%, 利润增43.91%; 当季营收增-77.38%, 利润增4.2%; 过往5年营收增172.82%, 利润增43.91%
Income profile:
</v>
      </c>
      <c r="D46" t="s">
        <v>263</v>
      </c>
      <c r="E46" t="s">
        <v>29</v>
      </c>
      <c r="F46">
        <v>22.36</v>
      </c>
      <c r="G46">
        <v>-0.53</v>
      </c>
      <c r="H46" t="s">
        <v>2521</v>
      </c>
      <c r="I46">
        <v>22522837000</v>
      </c>
      <c r="J46">
        <v>17.649999999999999</v>
      </c>
      <c r="K46">
        <v>2.2400000000000002</v>
      </c>
      <c r="L46" t="s">
        <v>1589</v>
      </c>
      <c r="M46" t="s">
        <v>2522</v>
      </c>
      <c r="N46" t="s">
        <v>681</v>
      </c>
      <c r="O46" t="s">
        <v>2523</v>
      </c>
      <c r="P46">
        <v>2.5</v>
      </c>
      <c r="Q46" t="s">
        <v>2524</v>
      </c>
      <c r="R46">
        <v>336556540</v>
      </c>
      <c r="S46" s="5">
        <v>5.33E-2</v>
      </c>
      <c r="T46" t="s">
        <v>2525</v>
      </c>
      <c r="U46">
        <v>1007282530</v>
      </c>
      <c r="V46">
        <v>1007282530</v>
      </c>
      <c r="W46">
        <v>1.31</v>
      </c>
      <c r="X46" t="s">
        <v>24</v>
      </c>
      <c r="Y46">
        <v>34.270000000000003</v>
      </c>
      <c r="Z46" t="s">
        <v>24</v>
      </c>
      <c r="AA46" t="s">
        <v>24</v>
      </c>
      <c r="AB46" t="s">
        <v>24</v>
      </c>
      <c r="AC46" t="s">
        <v>24</v>
      </c>
      <c r="AD46" t="s">
        <v>24</v>
      </c>
      <c r="AE46">
        <v>4435952</v>
      </c>
      <c r="AF46" t="s">
        <v>2526</v>
      </c>
      <c r="AG46" t="s">
        <v>2527</v>
      </c>
      <c r="AH46" t="s">
        <v>2528</v>
      </c>
      <c r="AI46" t="s">
        <v>2529</v>
      </c>
      <c r="AJ46" t="s">
        <v>2530</v>
      </c>
      <c r="AK46" t="s">
        <v>24</v>
      </c>
      <c r="AL46" t="s">
        <v>2531</v>
      </c>
      <c r="AM46" t="s">
        <v>24</v>
      </c>
      <c r="AN46">
        <v>0</v>
      </c>
      <c r="AO46" t="s">
        <v>24</v>
      </c>
      <c r="AP46" t="s">
        <v>24</v>
      </c>
      <c r="AQ46" t="s">
        <v>2532</v>
      </c>
      <c r="AR46" t="s">
        <v>2533</v>
      </c>
      <c r="AS46" t="s">
        <v>24</v>
      </c>
      <c r="AT46" t="s">
        <v>24</v>
      </c>
      <c r="AU46" t="s">
        <v>1364</v>
      </c>
      <c r="AV46" t="s">
        <v>2534</v>
      </c>
      <c r="AW46" t="s">
        <v>2535</v>
      </c>
      <c r="AX46" t="s">
        <v>124</v>
      </c>
      <c r="AY46" t="s">
        <v>24</v>
      </c>
      <c r="AZ46" t="s">
        <v>152</v>
      </c>
      <c r="BA46" t="s">
        <v>264</v>
      </c>
      <c r="BB46" t="s">
        <v>577</v>
      </c>
      <c r="BC46" t="s">
        <v>1371</v>
      </c>
      <c r="BD46" t="s">
        <v>24</v>
      </c>
      <c r="BE46" t="s">
        <v>24</v>
      </c>
      <c r="BF46" t="s">
        <v>24</v>
      </c>
      <c r="BG46" t="s">
        <v>24</v>
      </c>
      <c r="BH46" t="s">
        <v>2536</v>
      </c>
      <c r="BI46" t="s">
        <v>2537</v>
      </c>
      <c r="BJ46" t="s">
        <v>124</v>
      </c>
      <c r="BK46" t="s">
        <v>140</v>
      </c>
      <c r="BL46" t="s">
        <v>2538</v>
      </c>
      <c r="BM46" t="s">
        <v>1371</v>
      </c>
      <c r="BN46">
        <v>9.2200000000000006</v>
      </c>
      <c r="BO46">
        <v>10.199999999999999</v>
      </c>
      <c r="BP46">
        <v>9.89</v>
      </c>
      <c r="BQ46">
        <v>10.83</v>
      </c>
      <c r="BR46">
        <v>12.7</v>
      </c>
      <c r="BS46">
        <v>12.4</v>
      </c>
      <c r="BT46" t="s">
        <v>2539</v>
      </c>
      <c r="BU46" t="s">
        <v>1046</v>
      </c>
      <c r="BV46">
        <v>58.01</v>
      </c>
      <c r="BW46">
        <v>56.53</v>
      </c>
      <c r="BX46">
        <v>55.71</v>
      </c>
      <c r="BY46">
        <v>31.87</v>
      </c>
      <c r="BZ46">
        <v>32.450000000000003</v>
      </c>
      <c r="CA46">
        <v>28.57</v>
      </c>
      <c r="CB46">
        <v>1.82</v>
      </c>
      <c r="CC46">
        <v>-6.52</v>
      </c>
      <c r="CD46" t="s">
        <v>2540</v>
      </c>
      <c r="CE46" t="s">
        <v>2541</v>
      </c>
      <c r="CF46" s="8">
        <v>-0.7738369415016122</v>
      </c>
      <c r="CG46" s="9">
        <v>4.1970712074303404E-2</v>
      </c>
      <c r="CH46" s="8">
        <v>5.1937828063964844</v>
      </c>
      <c r="CI46" s="8" t="s">
        <v>24</v>
      </c>
      <c r="CJ46" s="8" t="s">
        <v>24</v>
      </c>
      <c r="CK46" s="8">
        <v>-0.1223796084523201</v>
      </c>
      <c r="CL46" s="8">
        <v>0.1132134348154068</v>
      </c>
      <c r="CM46" s="9">
        <v>0.43906810879707336</v>
      </c>
      <c r="CN46" s="9" t="s">
        <v>24</v>
      </c>
      <c r="CO46" s="9" t="s">
        <v>24</v>
      </c>
      <c r="CP46" s="9" t="s">
        <v>24</v>
      </c>
      <c r="CQ46" s="9" t="s">
        <v>24</v>
      </c>
      <c r="CR46">
        <v>16.548741366642176</v>
      </c>
      <c r="CS46">
        <v>9.5756789009685692E-2</v>
      </c>
      <c r="CT46">
        <v>3.5778175313059033</v>
      </c>
      <c r="CU46" s="8">
        <v>1.7282055442531903</v>
      </c>
      <c r="CV46" s="9">
        <v>0.43906810879707336</v>
      </c>
      <c r="CW46">
        <v>0.06</v>
      </c>
      <c r="CX46">
        <v>3.7882858387133203</v>
      </c>
      <c r="CY46">
        <v>4133488777.4251156</v>
      </c>
      <c r="CZ46">
        <v>1.7282055442531903</v>
      </c>
      <c r="DA46">
        <v>0.40316885683496556</v>
      </c>
      <c r="DB46">
        <v>38839401244.749016</v>
      </c>
      <c r="DC46">
        <v>1.6417952670405307</v>
      </c>
      <c r="DD46">
        <v>3.1409406879856765E-2</v>
      </c>
      <c r="DE46">
        <v>498539722825.59088</v>
      </c>
      <c r="DF46">
        <v>1.5208208789428075</v>
      </c>
      <c r="DG46">
        <v>1.6448648451783887E-3</v>
      </c>
      <c r="DH46">
        <v>9519832006806.4746</v>
      </c>
      <c r="DI46">
        <v>1.3825644354025524</v>
      </c>
      <c r="DJ46">
        <v>2.1113090832622046E-6</v>
      </c>
      <c r="DK46">
        <v>7416648336398655</v>
      </c>
      <c r="DL46">
        <v>1.2097438809772332</v>
      </c>
      <c r="DM46">
        <v>1605999999.9999998</v>
      </c>
      <c r="DN46">
        <v>1.7282055442531903</v>
      </c>
      <c r="DO46">
        <v>15658837000</v>
      </c>
      <c r="DP46">
        <v>4851616100</v>
      </c>
      <c r="DQ46">
        <v>2849</v>
      </c>
      <c r="DR46">
        <v>-2.5020424857548025</v>
      </c>
      <c r="DS46">
        <v>-0.39709739672276995</v>
      </c>
      <c r="DT46" s="10">
        <v>-0.21000000000000008</v>
      </c>
      <c r="DU46">
        <v>0.5</v>
      </c>
      <c r="DV46">
        <v>0.28999999999999992</v>
      </c>
      <c r="DW46">
        <v>-2.0651999999999999</v>
      </c>
      <c r="DX46">
        <v>0.31192387462874638</v>
      </c>
      <c r="DY46">
        <v>-2.0099054366257945</v>
      </c>
      <c r="DZ46">
        <v>3009</v>
      </c>
      <c r="EA46">
        <v>-2.0040726658220733</v>
      </c>
      <c r="EB46">
        <v>2</v>
      </c>
      <c r="EC46">
        <v>9.0901010662817715E-3</v>
      </c>
      <c r="ED46">
        <v>5.9833262471056657E-2</v>
      </c>
      <c r="EE46" s="11">
        <v>5.0811999999999999</v>
      </c>
      <c r="EF46">
        <v>5.0488</v>
      </c>
      <c r="EG46">
        <v>16.151923874628746</v>
      </c>
      <c r="EH46" t="s">
        <v>2542</v>
      </c>
      <c r="EI46">
        <v>0</v>
      </c>
      <c r="EJ46">
        <v>0</v>
      </c>
      <c r="EK46" s="13">
        <v>45470</v>
      </c>
      <c r="EL46" s="14">
        <v>-0.3</v>
      </c>
      <c r="EM46" s="14">
        <v>-4.0599999999999996</v>
      </c>
      <c r="EN46" s="14">
        <v>-0.94</v>
      </c>
      <c r="EO46" s="14">
        <v>2.69</v>
      </c>
      <c r="EP46" s="14">
        <v>-3.24</v>
      </c>
    </row>
    <row r="47" spans="1:146" ht="88.5" customHeight="1" x14ac:dyDescent="0.25">
      <c r="A47" s="7"/>
      <c r="B47" s="7"/>
      <c r="C47" s="16" t="str">
        <f>""&amp;CHAR(10)&amp;Basic_Fundamental_Information_Constructure(F47)&amp;CHAR(10)&amp;Basic_Fundamental_Information_Concatenate("")</f>
        <v xml:space="preserve">
市值1053.39902亿, 利润81.73亿; PE9.1; 平均PE7.95; 平均PEG.42, PB.54; ROIC4.5333%; ROE10.09%; 股利率4.6591%; 毛利21.5933%; 净利9.2733%; 上一年度营收增32.59%, 利润增-55.39%; 当季营收增-48.83%, 利润增-1.87%; 过往5年营收增18.97%, 利润增-55.39%
Income profile:
</v>
      </c>
      <c r="D47" t="s">
        <v>267</v>
      </c>
      <c r="E47" t="s">
        <v>1057</v>
      </c>
      <c r="F47">
        <v>8.8000000000000007</v>
      </c>
      <c r="G47">
        <v>-0.56000000000000005</v>
      </c>
      <c r="H47" t="s">
        <v>2543</v>
      </c>
      <c r="I47">
        <v>105339902000</v>
      </c>
      <c r="J47">
        <v>9.1</v>
      </c>
      <c r="K47">
        <v>0.54</v>
      </c>
      <c r="L47" t="s">
        <v>1589</v>
      </c>
      <c r="M47" t="s">
        <v>2544</v>
      </c>
      <c r="N47" t="s">
        <v>2545</v>
      </c>
      <c r="O47" t="s">
        <v>2546</v>
      </c>
      <c r="P47">
        <v>24.51</v>
      </c>
      <c r="Q47" t="s">
        <v>2547</v>
      </c>
      <c r="R47">
        <v>2223606600</v>
      </c>
      <c r="S47" s="5">
        <v>-0.18279999999999999</v>
      </c>
      <c r="T47" t="s">
        <v>2548</v>
      </c>
      <c r="U47">
        <v>11970443400</v>
      </c>
      <c r="V47">
        <v>11970443400</v>
      </c>
      <c r="W47">
        <v>4.1500000000000004</v>
      </c>
      <c r="X47" t="s">
        <v>24</v>
      </c>
      <c r="Y47">
        <v>8.01</v>
      </c>
      <c r="Z47" t="s">
        <v>24</v>
      </c>
      <c r="AA47" t="s">
        <v>24</v>
      </c>
      <c r="AB47" t="s">
        <v>24</v>
      </c>
      <c r="AC47" t="s">
        <v>24</v>
      </c>
      <c r="AD47" t="s">
        <v>24</v>
      </c>
      <c r="AE47">
        <v>753354330</v>
      </c>
      <c r="AF47" t="s">
        <v>2549</v>
      </c>
      <c r="AG47" t="s">
        <v>2550</v>
      </c>
      <c r="AH47" t="s">
        <v>2551</v>
      </c>
      <c r="AI47" t="s">
        <v>2552</v>
      </c>
      <c r="AJ47" t="s">
        <v>2553</v>
      </c>
      <c r="AK47" t="s">
        <v>24</v>
      </c>
      <c r="AL47" t="s">
        <v>2554</v>
      </c>
      <c r="AM47" t="s">
        <v>24</v>
      </c>
      <c r="AN47" t="s">
        <v>2555</v>
      </c>
      <c r="AO47" t="s">
        <v>24</v>
      </c>
      <c r="AP47" t="s">
        <v>2556</v>
      </c>
      <c r="AQ47" t="s">
        <v>2557</v>
      </c>
      <c r="AR47" t="s">
        <v>1108</v>
      </c>
      <c r="AS47" t="s">
        <v>24</v>
      </c>
      <c r="AT47" t="s">
        <v>24</v>
      </c>
      <c r="AU47" t="s">
        <v>2558</v>
      </c>
      <c r="AV47" t="s">
        <v>1410</v>
      </c>
      <c r="AW47" t="s">
        <v>2559</v>
      </c>
      <c r="AX47" t="s">
        <v>1374</v>
      </c>
      <c r="AY47" t="s">
        <v>24</v>
      </c>
      <c r="AZ47" t="s">
        <v>1373</v>
      </c>
      <c r="BA47" t="s">
        <v>579</v>
      </c>
      <c r="BB47" t="s">
        <v>580</v>
      </c>
      <c r="BC47" t="s">
        <v>2560</v>
      </c>
      <c r="BD47" t="s">
        <v>24</v>
      </c>
      <c r="BE47" t="s">
        <v>24</v>
      </c>
      <c r="BF47" t="s">
        <v>24</v>
      </c>
      <c r="BG47" t="s">
        <v>24</v>
      </c>
      <c r="BH47" t="s">
        <v>2561</v>
      </c>
      <c r="BI47" t="s">
        <v>2562</v>
      </c>
      <c r="BJ47" t="s">
        <v>1374</v>
      </c>
      <c r="BK47" t="s">
        <v>2563</v>
      </c>
      <c r="BL47" t="s">
        <v>2564</v>
      </c>
      <c r="BM47" t="s">
        <v>2560</v>
      </c>
      <c r="BN47">
        <v>2.76</v>
      </c>
      <c r="BO47">
        <v>4.28</v>
      </c>
      <c r="BP47">
        <v>6.56</v>
      </c>
      <c r="BQ47">
        <v>6.7</v>
      </c>
      <c r="BR47">
        <v>9.18</v>
      </c>
      <c r="BS47">
        <v>14.39</v>
      </c>
      <c r="BT47" t="s">
        <v>2565</v>
      </c>
      <c r="BU47" t="s">
        <v>1043</v>
      </c>
      <c r="BV47">
        <v>16.010000000000002</v>
      </c>
      <c r="BW47">
        <v>21.99</v>
      </c>
      <c r="BX47">
        <v>26.78</v>
      </c>
      <c r="BY47">
        <v>5.16</v>
      </c>
      <c r="BZ47">
        <v>9.61</v>
      </c>
      <c r="CA47">
        <v>13.05</v>
      </c>
      <c r="CB47">
        <v>0.46</v>
      </c>
      <c r="CC47">
        <v>-19.34</v>
      </c>
      <c r="CD47" t="s">
        <v>2566</v>
      </c>
      <c r="CE47" t="s">
        <v>2567</v>
      </c>
      <c r="CF47" s="8">
        <v>-0.48830511612597971</v>
      </c>
      <c r="CG47" s="9">
        <v>-1.8708473080317742E-2</v>
      </c>
      <c r="CH47" s="8">
        <v>0.32588779926300049</v>
      </c>
      <c r="CI47" s="8" t="s">
        <v>24</v>
      </c>
      <c r="CJ47" s="8" t="s">
        <v>24</v>
      </c>
      <c r="CK47" s="8">
        <v>3.0411029234528542E-2</v>
      </c>
      <c r="CL47" s="8">
        <v>0.21294105052947998</v>
      </c>
      <c r="CM47" s="9">
        <v>-0.55387550592422485</v>
      </c>
      <c r="CN47" s="9" t="s">
        <v>24</v>
      </c>
      <c r="CO47" s="9" t="s">
        <v>24</v>
      </c>
      <c r="CP47" s="9" t="s">
        <v>24</v>
      </c>
      <c r="CQ47" s="9" t="s">
        <v>24</v>
      </c>
      <c r="CR47">
        <v>7.9522818857811499</v>
      </c>
      <c r="CS47">
        <v>0.41910004088472347</v>
      </c>
      <c r="CT47">
        <v>4.6590909090909083</v>
      </c>
      <c r="CU47" s="8">
        <v>0.18974662634233633</v>
      </c>
      <c r="CV47" s="9">
        <v>-0.55387550592422485</v>
      </c>
      <c r="CW47">
        <v>0.06</v>
      </c>
      <c r="CX47">
        <v>93.932383781787195</v>
      </c>
      <c r="CY47">
        <v>9173395450.0904865</v>
      </c>
      <c r="CZ47">
        <v>0.18974662634233633</v>
      </c>
      <c r="DA47">
        <v>28.237700452622146</v>
      </c>
      <c r="DB47">
        <v>30515193807.857845</v>
      </c>
      <c r="DC47">
        <v>0.18025929502521951</v>
      </c>
      <c r="DD47">
        <v>12.383028165364129</v>
      </c>
      <c r="DE47">
        <v>69585475417.891205</v>
      </c>
      <c r="DF47">
        <v>0.16697703118125598</v>
      </c>
      <c r="DG47">
        <v>6.4906951474624863</v>
      </c>
      <c r="DH47">
        <v>132756027270.34103</v>
      </c>
      <c r="DI47">
        <v>0.15179730107386907</v>
      </c>
      <c r="DJ47">
        <v>2.4407753052796792</v>
      </c>
      <c r="DK47">
        <v>353034914822.38818</v>
      </c>
      <c r="DL47">
        <v>0.13282263843963543</v>
      </c>
      <c r="DM47">
        <v>8173000000</v>
      </c>
      <c r="DN47">
        <v>0.18974662634233633</v>
      </c>
      <c r="DO47">
        <v>861678902000</v>
      </c>
      <c r="DP47">
        <v>1254301800000</v>
      </c>
      <c r="DQ47">
        <v>2878</v>
      </c>
      <c r="DR47">
        <v>-0.67805174246831601</v>
      </c>
      <c r="DS47">
        <v>0.5351670328439071</v>
      </c>
      <c r="DT47" s="10">
        <v>-0.41000000000000003</v>
      </c>
      <c r="DU47">
        <v>-1.1599999999999999</v>
      </c>
      <c r="DV47">
        <v>-1.5699999999999998</v>
      </c>
      <c r="DW47">
        <v>-3.0377738095238094</v>
      </c>
      <c r="DX47">
        <v>0.36061471732594585</v>
      </c>
      <c r="DY47">
        <v>-3.0079557202151812</v>
      </c>
      <c r="DZ47">
        <v>615</v>
      </c>
      <c r="EA47">
        <v>-3.0069982313830215</v>
      </c>
      <c r="EB47">
        <v>3</v>
      </c>
      <c r="EC47">
        <v>5.2379012125816492E-2</v>
      </c>
      <c r="ED47">
        <v>0.2486958837297539</v>
      </c>
      <c r="EE47" s="11">
        <v>4.04331</v>
      </c>
      <c r="EF47">
        <v>4.0420100000000003</v>
      </c>
      <c r="EG47">
        <v>15.210614717325946</v>
      </c>
      <c r="EH47" t="s">
        <v>2568</v>
      </c>
      <c r="EI47">
        <v>0</v>
      </c>
      <c r="EJ47">
        <v>1</v>
      </c>
      <c r="EK47" s="13">
        <v>45470</v>
      </c>
      <c r="EL47" s="14">
        <v>-0.12</v>
      </c>
      <c r="EM47" s="14">
        <v>-1.6</v>
      </c>
      <c r="EN47" s="14">
        <v>-1.37</v>
      </c>
      <c r="EO47" s="14">
        <v>0</v>
      </c>
      <c r="EP47" s="14">
        <v>0.13</v>
      </c>
    </row>
    <row r="48" spans="1:146" ht="88.5" customHeight="1" x14ac:dyDescent="0.25">
      <c r="A48" s="7"/>
      <c r="B48" s="7"/>
      <c r="C48" s="16" t="str">
        <f>""&amp;CHAR(10)&amp;Basic_Fundamental_Information_Constructure(F48)&amp;CHAR(10)&amp;Basic_Fundamental_Information_Concatenate("")</f>
        <v xml:space="preserve">
市值104.512514亿, 利润18.17亿; PE7.23; 平均PE4.95; 平均PEG.03, PB.576; ROIC11.3133%; ROE13.8933%; 股利率4.6358%; 毛利17.9%; 净利45.18%; 上一年度营收增503.35%, 利润增-24.35%; 当季营收增-92.09%, 利润增334.58%; 过往5年营收增162.92%, 利润增-24.35%
Income profile:
</v>
      </c>
      <c r="D48" t="s">
        <v>738</v>
      </c>
      <c r="E48" t="s">
        <v>739</v>
      </c>
      <c r="F48">
        <v>6.04</v>
      </c>
      <c r="G48">
        <v>0</v>
      </c>
      <c r="H48" t="s">
        <v>2569</v>
      </c>
      <c r="I48">
        <v>10451251400</v>
      </c>
      <c r="J48">
        <v>7.23</v>
      </c>
      <c r="K48">
        <v>0.57599999999999996</v>
      </c>
      <c r="L48" t="s">
        <v>1589</v>
      </c>
      <c r="M48" t="s">
        <v>2570</v>
      </c>
      <c r="N48" t="s">
        <v>2571</v>
      </c>
      <c r="O48" t="s">
        <v>344</v>
      </c>
      <c r="P48">
        <v>-76.59</v>
      </c>
      <c r="Q48" t="s">
        <v>2572</v>
      </c>
      <c r="R48">
        <v>525847300</v>
      </c>
      <c r="S48" s="5">
        <v>-0.1802</v>
      </c>
      <c r="T48" t="s">
        <v>2573</v>
      </c>
      <c r="U48">
        <v>1730339600</v>
      </c>
      <c r="V48">
        <v>1730339600</v>
      </c>
      <c r="W48">
        <v>1.97</v>
      </c>
      <c r="X48" t="s">
        <v>24</v>
      </c>
      <c r="Y48">
        <v>185.25</v>
      </c>
      <c r="Z48" t="s">
        <v>24</v>
      </c>
      <c r="AA48" t="s">
        <v>24</v>
      </c>
      <c r="AB48" t="s">
        <v>24</v>
      </c>
      <c r="AC48" t="s">
        <v>24</v>
      </c>
      <c r="AD48" t="s">
        <v>24</v>
      </c>
      <c r="AE48">
        <v>57287597</v>
      </c>
      <c r="AF48" t="s">
        <v>2574</v>
      </c>
      <c r="AG48" t="s">
        <v>2575</v>
      </c>
      <c r="AH48" t="s">
        <v>2576</v>
      </c>
      <c r="AI48" t="s">
        <v>2577</v>
      </c>
      <c r="AJ48" t="s">
        <v>2578</v>
      </c>
      <c r="AK48" t="s">
        <v>24</v>
      </c>
      <c r="AL48" t="s">
        <v>2579</v>
      </c>
      <c r="AM48" t="s">
        <v>24</v>
      </c>
      <c r="AN48" t="s">
        <v>2580</v>
      </c>
      <c r="AO48" t="s">
        <v>24</v>
      </c>
      <c r="AP48" t="s">
        <v>2581</v>
      </c>
      <c r="AQ48" t="s">
        <v>2582</v>
      </c>
      <c r="AR48" t="s">
        <v>24</v>
      </c>
      <c r="AS48" t="s">
        <v>24</v>
      </c>
      <c r="AT48" t="s">
        <v>24</v>
      </c>
      <c r="AU48" t="s">
        <v>2583</v>
      </c>
      <c r="AV48" t="s">
        <v>2584</v>
      </c>
      <c r="AW48" t="s">
        <v>514</v>
      </c>
      <c r="AX48" t="s">
        <v>1380</v>
      </c>
      <c r="AY48" t="s">
        <v>24</v>
      </c>
      <c r="AZ48" t="s">
        <v>1379</v>
      </c>
      <c r="BA48" t="s">
        <v>742</v>
      </c>
      <c r="BB48" t="s">
        <v>743</v>
      </c>
      <c r="BC48" t="s">
        <v>1376</v>
      </c>
      <c r="BD48" t="s">
        <v>24</v>
      </c>
      <c r="BE48" t="s">
        <v>24</v>
      </c>
      <c r="BF48" t="s">
        <v>24</v>
      </c>
      <c r="BG48" t="s">
        <v>24</v>
      </c>
      <c r="BH48" t="s">
        <v>2585</v>
      </c>
      <c r="BI48" t="s">
        <v>2586</v>
      </c>
      <c r="BJ48" t="s">
        <v>1380</v>
      </c>
      <c r="BK48" t="s">
        <v>2273</v>
      </c>
      <c r="BL48" t="s">
        <v>2587</v>
      </c>
      <c r="BM48" t="s">
        <v>1376</v>
      </c>
      <c r="BN48">
        <v>7.63</v>
      </c>
      <c r="BO48">
        <v>12.43</v>
      </c>
      <c r="BP48">
        <v>13.88</v>
      </c>
      <c r="BQ48">
        <v>9.76</v>
      </c>
      <c r="BR48">
        <v>15.25</v>
      </c>
      <c r="BS48">
        <v>16.670000000000002</v>
      </c>
      <c r="BT48" t="s">
        <v>2588</v>
      </c>
      <c r="BU48" t="s">
        <v>1043</v>
      </c>
      <c r="BV48">
        <v>12.33</v>
      </c>
      <c r="BW48">
        <v>18.59</v>
      </c>
      <c r="BX48">
        <v>22.78</v>
      </c>
      <c r="BY48">
        <v>31.37</v>
      </c>
      <c r="BZ48">
        <v>55.33</v>
      </c>
      <c r="CA48">
        <v>48.84</v>
      </c>
      <c r="CB48">
        <v>-0.49</v>
      </c>
      <c r="CC48">
        <v>-9.85</v>
      </c>
      <c r="CD48" t="s">
        <v>2589</v>
      </c>
      <c r="CE48" t="s">
        <v>2357</v>
      </c>
      <c r="CF48" s="8">
        <v>-0.92086129753914991</v>
      </c>
      <c r="CG48" s="9">
        <v>3.3458454545454543</v>
      </c>
      <c r="CH48" s="8">
        <v>5.0334677696228027</v>
      </c>
      <c r="CI48" s="8" t="s">
        <v>24</v>
      </c>
      <c r="CJ48" s="8" t="s">
        <v>24</v>
      </c>
      <c r="CK48" s="8">
        <v>-1.718781772069633E-3</v>
      </c>
      <c r="CL48" s="8">
        <v>-0.14416007697582245</v>
      </c>
      <c r="CM48" s="9">
        <v>-0.2435469776391983</v>
      </c>
      <c r="CN48" s="9" t="s">
        <v>24</v>
      </c>
      <c r="CO48" s="9" t="s">
        <v>24</v>
      </c>
      <c r="CP48" s="9" t="s">
        <v>24</v>
      </c>
      <c r="CQ48" s="9" t="s">
        <v>24</v>
      </c>
      <c r="CR48">
        <v>4.9543737378525714</v>
      </c>
      <c r="CS48">
        <v>3.0409924984663082E-2</v>
      </c>
      <c r="CT48">
        <v>4.6357615894039732</v>
      </c>
      <c r="CU48" s="8">
        <v>1.6291963036249701</v>
      </c>
      <c r="CV48" s="9">
        <v>-0.2435469776391983</v>
      </c>
      <c r="CW48">
        <v>0.06</v>
      </c>
      <c r="CX48">
        <v>2.2240090402394532</v>
      </c>
      <c r="CY48">
        <v>4506839324.2326136</v>
      </c>
      <c r="CZ48">
        <v>1.6291963036249701</v>
      </c>
      <c r="DA48">
        <v>0.25000041887301544</v>
      </c>
      <c r="DB48">
        <v>40092938424.599937</v>
      </c>
      <c r="DC48">
        <v>1.5477364884437215</v>
      </c>
      <c r="DD48">
        <v>2.1403925357804169E-2</v>
      </c>
      <c r="DE48">
        <v>468290336115.63141</v>
      </c>
      <c r="DF48">
        <v>1.4336927471899736</v>
      </c>
      <c r="DG48">
        <v>1.2691687725653363E-3</v>
      </c>
      <c r="DH48">
        <v>7897492923451.209</v>
      </c>
      <c r="DI48">
        <v>1.3033570428999761</v>
      </c>
      <c r="DJ48">
        <v>2.1918849598119674E-6</v>
      </c>
      <c r="DK48">
        <v>4572891179863679</v>
      </c>
      <c r="DL48">
        <v>1.140437412537479</v>
      </c>
      <c r="DM48">
        <v>1817000000.0000002</v>
      </c>
      <c r="DN48">
        <v>1.6291963036249701</v>
      </c>
      <c r="DO48">
        <v>10023251400</v>
      </c>
      <c r="DP48">
        <v>17479958000</v>
      </c>
      <c r="DQ48">
        <v>2893</v>
      </c>
      <c r="DR48">
        <v>-2.5500576011641201</v>
      </c>
      <c r="DS48">
        <v>3.5893924321846526</v>
      </c>
      <c r="DT48" s="10">
        <v>-0.21000000000000008</v>
      </c>
      <c r="DU48">
        <v>-1.1599999999999999</v>
      </c>
      <c r="DV48">
        <v>-1.37</v>
      </c>
      <c r="DW48">
        <v>-2.0985</v>
      </c>
      <c r="DX48">
        <v>0.33487864321608002</v>
      </c>
      <c r="DY48">
        <v>-2.013285546356784</v>
      </c>
      <c r="DZ48">
        <v>1817</v>
      </c>
      <c r="EA48">
        <v>-2.0085615076620136</v>
      </c>
      <c r="EB48">
        <v>2</v>
      </c>
      <c r="EC48">
        <v>3.1023794404289193E-2</v>
      </c>
      <c r="ED48">
        <v>0.23001265185169431</v>
      </c>
      <c r="EE48" s="11">
        <v>1.0424100000000001</v>
      </c>
      <c r="EF48">
        <v>1.0721099999999999</v>
      </c>
      <c r="EG48">
        <v>20.13487864321608</v>
      </c>
      <c r="EH48" t="s">
        <v>835</v>
      </c>
      <c r="EI48">
        <v>0</v>
      </c>
      <c r="EJ48">
        <v>0</v>
      </c>
      <c r="EK48" s="13">
        <v>45470</v>
      </c>
      <c r="EL48" s="14">
        <v>0.28000000000000003</v>
      </c>
      <c r="EM48" s="14">
        <v>-3.03</v>
      </c>
      <c r="EN48" s="14">
        <v>1.7</v>
      </c>
      <c r="EO48" s="14">
        <v>3.35</v>
      </c>
      <c r="EP48" s="14">
        <v>-2.97</v>
      </c>
    </row>
    <row r="49" spans="1:146" ht="88.5" customHeight="1" x14ac:dyDescent="0.25">
      <c r="A49" s="7"/>
      <c r="B49" s="7"/>
      <c r="C49" s="16" t="str">
        <f>""&amp;CHAR(10)&amp;Basic_Fundamental_Information_Constructure(F49)&amp;CHAR(10)&amp;Basic_Fundamental_Information_Concatenate("")</f>
        <v xml:space="preserve">
市值24.354203亿, 利润-5.68亿; PE; 平均PE-9.79; 平均PEG-.33, PB.371; ROIC1.97%; ROE-4.6767%; 股利率0%; 毛利14.2867%; 净利-4.2167%; 上一年度营收增-99.16%, 利润增-907.63%; 当季营收增8053.84%, 利润增139.68%; 过往5年营收增-29.65%, 利润增-907.63%
Income profile:
</v>
      </c>
      <c r="D49" t="s">
        <v>269</v>
      </c>
      <c r="E49" t="s">
        <v>35</v>
      </c>
      <c r="F49">
        <v>1.75</v>
      </c>
      <c r="G49">
        <v>-0.56999999999999995</v>
      </c>
      <c r="H49" t="s">
        <v>2590</v>
      </c>
      <c r="I49">
        <v>2435420300</v>
      </c>
      <c r="K49">
        <v>0.371</v>
      </c>
      <c r="L49" t="s">
        <v>1589</v>
      </c>
      <c r="M49" t="s">
        <v>2591</v>
      </c>
      <c r="N49" t="s">
        <v>2592</v>
      </c>
      <c r="O49" t="s">
        <v>2593</v>
      </c>
      <c r="P49">
        <v>23.77</v>
      </c>
      <c r="Q49" t="s">
        <v>2594</v>
      </c>
      <c r="R49">
        <v>18676259</v>
      </c>
      <c r="S49" s="5">
        <v>2.67</v>
      </c>
      <c r="T49" t="s">
        <v>2595</v>
      </c>
      <c r="U49">
        <v>1391668700</v>
      </c>
      <c r="V49">
        <v>1391668700</v>
      </c>
      <c r="W49">
        <v>2.63</v>
      </c>
      <c r="X49" t="s">
        <v>24</v>
      </c>
      <c r="Y49">
        <v>2.09</v>
      </c>
      <c r="Z49" t="s">
        <v>24</v>
      </c>
      <c r="AA49" t="s">
        <v>24</v>
      </c>
      <c r="AB49" t="s">
        <v>24</v>
      </c>
      <c r="AC49" t="s">
        <v>24</v>
      </c>
      <c r="AD49" t="s">
        <v>24</v>
      </c>
      <c r="AE49">
        <v>46666885</v>
      </c>
      <c r="AF49" t="s">
        <v>2596</v>
      </c>
      <c r="AG49" t="s">
        <v>2597</v>
      </c>
      <c r="AH49" t="s">
        <v>2598</v>
      </c>
      <c r="AI49" t="s">
        <v>1050</v>
      </c>
      <c r="AJ49" t="s">
        <v>2599</v>
      </c>
      <c r="AK49" t="s">
        <v>24</v>
      </c>
      <c r="AL49" t="s">
        <v>2600</v>
      </c>
      <c r="AM49" t="s">
        <v>24</v>
      </c>
      <c r="AN49" t="s">
        <v>2601</v>
      </c>
      <c r="AO49" t="s">
        <v>24</v>
      </c>
      <c r="AP49" t="s">
        <v>1256</v>
      </c>
      <c r="AQ49" t="s">
        <v>258</v>
      </c>
      <c r="AR49" t="s">
        <v>2602</v>
      </c>
      <c r="AS49" t="s">
        <v>24</v>
      </c>
      <c r="AT49" t="s">
        <v>24</v>
      </c>
      <c r="AU49" t="s">
        <v>2603</v>
      </c>
      <c r="AV49" t="s">
        <v>2604</v>
      </c>
      <c r="AW49" t="s">
        <v>2605</v>
      </c>
      <c r="AX49" t="s">
        <v>1381</v>
      </c>
      <c r="AY49" t="s">
        <v>24</v>
      </c>
      <c r="AZ49" t="s">
        <v>581</v>
      </c>
      <c r="BA49" t="s">
        <v>270</v>
      </c>
      <c r="BB49" t="s">
        <v>582</v>
      </c>
      <c r="BC49" t="s">
        <v>2606</v>
      </c>
      <c r="BD49" t="s">
        <v>24</v>
      </c>
      <c r="BE49" t="s">
        <v>24</v>
      </c>
      <c r="BF49" t="s">
        <v>24</v>
      </c>
      <c r="BG49" t="s">
        <v>24</v>
      </c>
      <c r="BH49" t="s">
        <v>2607</v>
      </c>
      <c r="BI49" t="s">
        <v>2608</v>
      </c>
      <c r="BJ49" t="s">
        <v>1381</v>
      </c>
      <c r="BK49" t="s">
        <v>2609</v>
      </c>
      <c r="BL49" t="s">
        <v>2610</v>
      </c>
      <c r="BM49" t="s">
        <v>2606</v>
      </c>
      <c r="BN49" t="s">
        <v>24</v>
      </c>
      <c r="BO49">
        <v>1.97</v>
      </c>
      <c r="BP49" t="s">
        <v>24</v>
      </c>
      <c r="BQ49">
        <v>-2</v>
      </c>
      <c r="BR49">
        <v>1</v>
      </c>
      <c r="BS49">
        <v>-13.03</v>
      </c>
      <c r="BT49" t="s">
        <v>1115</v>
      </c>
      <c r="BU49" t="s">
        <v>1043</v>
      </c>
      <c r="BV49">
        <v>11.29</v>
      </c>
      <c r="BW49">
        <v>16.04</v>
      </c>
      <c r="BX49">
        <v>15.53</v>
      </c>
      <c r="BY49">
        <v>-4.05</v>
      </c>
      <c r="BZ49">
        <v>1.36</v>
      </c>
      <c r="CA49">
        <v>-9.9600000000000009</v>
      </c>
      <c r="CB49">
        <v>0</v>
      </c>
      <c r="CC49">
        <v>-22.22</v>
      </c>
      <c r="CD49" t="s">
        <v>2611</v>
      </c>
      <c r="CE49" t="s">
        <v>497</v>
      </c>
      <c r="CF49" s="8">
        <v>80.538373087940371</v>
      </c>
      <c r="CG49" s="9">
        <v>1.3968310686625516</v>
      </c>
      <c r="CH49" s="8">
        <v>-0.99163085222244263</v>
      </c>
      <c r="CI49" s="8" t="s">
        <v>24</v>
      </c>
      <c r="CJ49" s="8" t="s">
        <v>24</v>
      </c>
      <c r="CK49" s="8">
        <v>0.14190323650836945</v>
      </c>
      <c r="CL49" s="8">
        <v>-3.970901295542717E-2</v>
      </c>
      <c r="CM49" s="9">
        <v>-9.0762577056884766</v>
      </c>
      <c r="CN49" s="9" t="s">
        <v>24</v>
      </c>
      <c r="CO49" s="9" t="s">
        <v>24</v>
      </c>
      <c r="CP49" s="9" t="s">
        <v>24</v>
      </c>
      <c r="CQ49" s="9" t="s">
        <v>24</v>
      </c>
      <c r="CR49">
        <v>-9.7872821047826033</v>
      </c>
      <c r="CS49">
        <v>-0.33011735033073591</v>
      </c>
      <c r="CT49">
        <v>0</v>
      </c>
      <c r="CU49" s="8">
        <v>-0.29647887622316677</v>
      </c>
      <c r="CV49" s="9">
        <v>-9.0762577056884766</v>
      </c>
      <c r="CW49">
        <v>0.06</v>
      </c>
      <c r="CX49" t="e">
        <v>#VALUE!</v>
      </c>
      <c r="CY49" t="s">
        <v>850</v>
      </c>
      <c r="CZ49">
        <v>-0.29647887622316677</v>
      </c>
      <c r="DA49" t="e">
        <v>#VALUE!</v>
      </c>
      <c r="DB49" t="s">
        <v>850</v>
      </c>
      <c r="DC49">
        <v>-0.2816549324120084</v>
      </c>
      <c r="DD49" t="e">
        <v>#VALUE!</v>
      </c>
      <c r="DE49" t="s">
        <v>850</v>
      </c>
      <c r="DF49">
        <v>-0.26090141107638676</v>
      </c>
      <c r="DG49" t="e">
        <v>#VALUE!</v>
      </c>
      <c r="DH49" t="s">
        <v>850</v>
      </c>
      <c r="DI49">
        <v>-0.23718310097853343</v>
      </c>
      <c r="DJ49" t="e">
        <v>#VALUE!</v>
      </c>
      <c r="DK49" t="s">
        <v>850</v>
      </c>
      <c r="DL49">
        <v>-0.20753521335621672</v>
      </c>
      <c r="DM49">
        <v>-568000000</v>
      </c>
      <c r="DN49">
        <v>-0.29647887622316677</v>
      </c>
      <c r="DO49">
        <v>8487420300</v>
      </c>
      <c r="DP49">
        <v>15129975000</v>
      </c>
      <c r="DQ49">
        <v>2895</v>
      </c>
      <c r="DR49">
        <v>80.834851964163533</v>
      </c>
      <c r="DS49">
        <v>10.473088774351028</v>
      </c>
      <c r="DT49" s="10">
        <v>-1.1599999999999999</v>
      </c>
      <c r="DU49">
        <v>-3.57</v>
      </c>
      <c r="DV49">
        <v>-4.7299999999999995</v>
      </c>
      <c r="DW49">
        <v>-3.0703452380952383</v>
      </c>
      <c r="DX49">
        <v>0.26653288590604107</v>
      </c>
      <c r="DY49">
        <v>-3.0089009859859379</v>
      </c>
      <c r="DZ49">
        <v>1446</v>
      </c>
      <c r="EA49">
        <v>-3.0063822333957879</v>
      </c>
      <c r="EB49">
        <v>3</v>
      </c>
      <c r="EC49">
        <v>5.4189333998817389E-2</v>
      </c>
      <c r="ED49">
        <v>0.42826284732853442</v>
      </c>
      <c r="EE49" s="11">
        <v>2.0091000000000001</v>
      </c>
      <c r="EF49">
        <v>2.0017</v>
      </c>
      <c r="EG49">
        <v>14.126532885906041</v>
      </c>
      <c r="EH49" t="s">
        <v>836</v>
      </c>
      <c r="EI49">
        <v>0</v>
      </c>
      <c r="EJ49">
        <v>1</v>
      </c>
      <c r="EK49" s="13">
        <v>45470</v>
      </c>
      <c r="EL49" s="14">
        <v>0.08</v>
      </c>
      <c r="EM49" s="14">
        <v>-1.62</v>
      </c>
      <c r="EN49" s="14">
        <v>0.23</v>
      </c>
      <c r="EO49" s="14">
        <v>-2.52</v>
      </c>
      <c r="EP49" s="14">
        <v>-0.74</v>
      </c>
    </row>
    <row r="50" spans="1:146" ht="88.5" customHeight="1" x14ac:dyDescent="0.25">
      <c r="A50" s="7"/>
      <c r="B50" s="7"/>
      <c r="C50" s="16" t="str">
        <f>""&amp;CHAR(10)&amp;Basic_Fundamental_Information_Constructure(F50)&amp;CHAR(10)&amp;Basic_Fundamental_Information_Concatenate("")</f>
        <v xml:space="preserve">
市值22.161773亿, 利润1016.52万; PE114.9; 平均PE133.69; 平均PEG11.12, PB1.26; ROIC2.37%; ROE1.0233%; 股利率0%; 毛利26.5033%; 净利-1.1667%; 上一年度营收增-45.94%, 利润增.97%; 当季营收增-81.52%, 利润增77.69%; 过往5年营收增12.02%, 利润增13.52%
Income profile:
</v>
      </c>
      <c r="D50" t="s">
        <v>744</v>
      </c>
      <c r="E50" t="s">
        <v>745</v>
      </c>
      <c r="F50">
        <v>3.43</v>
      </c>
      <c r="G50">
        <v>3.6299999999999999E-2</v>
      </c>
      <c r="H50" t="s">
        <v>1383</v>
      </c>
      <c r="I50">
        <v>2216177300</v>
      </c>
      <c r="J50">
        <v>114.9</v>
      </c>
      <c r="K50">
        <v>1.26</v>
      </c>
      <c r="L50" t="s">
        <v>1589</v>
      </c>
      <c r="M50" t="s">
        <v>1384</v>
      </c>
      <c r="N50" t="s">
        <v>1385</v>
      </c>
      <c r="O50" t="s">
        <v>1386</v>
      </c>
      <c r="P50">
        <v>-81.48</v>
      </c>
      <c r="Q50" t="s">
        <v>1387</v>
      </c>
      <c r="R50">
        <v>-2619563</v>
      </c>
      <c r="S50" s="5">
        <v>0.77690000000000003</v>
      </c>
      <c r="T50" t="s">
        <v>1388</v>
      </c>
      <c r="U50">
        <v>634335410</v>
      </c>
      <c r="V50">
        <v>646115830</v>
      </c>
      <c r="W50">
        <v>1.6</v>
      </c>
      <c r="X50" t="s">
        <v>24</v>
      </c>
      <c r="Y50">
        <v>-11.81</v>
      </c>
      <c r="Z50" t="s">
        <v>1389</v>
      </c>
      <c r="AA50" t="s">
        <v>1390</v>
      </c>
      <c r="AB50" t="s">
        <v>1391</v>
      </c>
      <c r="AC50" t="s">
        <v>1392</v>
      </c>
      <c r="AD50" t="s">
        <v>24</v>
      </c>
      <c r="AE50">
        <v>12017027</v>
      </c>
      <c r="AF50" t="s">
        <v>1393</v>
      </c>
      <c r="AG50">
        <v>7085.9</v>
      </c>
      <c r="AH50" t="s">
        <v>1394</v>
      </c>
      <c r="AI50" t="s">
        <v>251</v>
      </c>
      <c r="AJ50" t="s">
        <v>1395</v>
      </c>
      <c r="AK50" t="s">
        <v>24</v>
      </c>
      <c r="AL50" t="s">
        <v>1396</v>
      </c>
      <c r="AM50" t="s">
        <v>24</v>
      </c>
      <c r="AN50">
        <v>0</v>
      </c>
      <c r="AO50" t="s">
        <v>588</v>
      </c>
      <c r="AP50" t="s">
        <v>24</v>
      </c>
      <c r="AQ50" t="s">
        <v>424</v>
      </c>
      <c r="AR50" t="s">
        <v>1397</v>
      </c>
      <c r="AS50" t="s">
        <v>673</v>
      </c>
      <c r="AT50" t="s">
        <v>1398</v>
      </c>
      <c r="AU50" t="s">
        <v>1399</v>
      </c>
      <c r="AV50" t="s">
        <v>1400</v>
      </c>
      <c r="AW50" t="s">
        <v>1401</v>
      </c>
      <c r="AX50" t="s">
        <v>266</v>
      </c>
      <c r="AY50" t="s">
        <v>746</v>
      </c>
      <c r="AZ50" t="s">
        <v>748</v>
      </c>
      <c r="BA50" t="s">
        <v>326</v>
      </c>
      <c r="BB50" t="s">
        <v>749</v>
      </c>
      <c r="BC50" t="s">
        <v>905</v>
      </c>
      <c r="BD50" t="s">
        <v>747</v>
      </c>
      <c r="BE50" t="s">
        <v>750</v>
      </c>
      <c r="BF50" t="s">
        <v>751</v>
      </c>
      <c r="BG50" t="s">
        <v>24</v>
      </c>
      <c r="BH50" t="s">
        <v>1387</v>
      </c>
      <c r="BI50" t="s">
        <v>163</v>
      </c>
      <c r="BJ50" t="s">
        <v>266</v>
      </c>
      <c r="BK50" t="s">
        <v>1388</v>
      </c>
      <c r="BL50" t="s">
        <v>1402</v>
      </c>
      <c r="BM50" t="s">
        <v>905</v>
      </c>
      <c r="BN50">
        <v>1.65</v>
      </c>
      <c r="BO50">
        <v>2.0499999999999998</v>
      </c>
      <c r="BP50">
        <v>3.41</v>
      </c>
      <c r="BQ50">
        <v>0.57999999999999996</v>
      </c>
      <c r="BR50">
        <v>0.57999999999999996</v>
      </c>
      <c r="BS50">
        <v>1.91</v>
      </c>
      <c r="BT50" t="s">
        <v>1115</v>
      </c>
      <c r="BU50" t="s">
        <v>1059</v>
      </c>
      <c r="BV50">
        <v>58.15</v>
      </c>
      <c r="BW50">
        <v>12.36</v>
      </c>
      <c r="BX50">
        <v>9</v>
      </c>
      <c r="BY50">
        <v>-11.81</v>
      </c>
      <c r="BZ50">
        <v>1.1000000000000001</v>
      </c>
      <c r="CA50">
        <v>7.21</v>
      </c>
      <c r="CB50">
        <v>6.19</v>
      </c>
      <c r="CC50">
        <v>7.19</v>
      </c>
      <c r="CD50" t="s">
        <v>1403</v>
      </c>
      <c r="CE50" t="s">
        <v>1060</v>
      </c>
      <c r="CF50" s="8">
        <v>-0.81516984166666662</v>
      </c>
      <c r="CG50" s="9">
        <v>0.77690087466039837</v>
      </c>
      <c r="CH50" s="8">
        <v>-0.45942983031272888</v>
      </c>
      <c r="CI50" s="8">
        <v>0.99126636981964111</v>
      </c>
      <c r="CJ50" s="8">
        <v>-0.32448378205299377</v>
      </c>
      <c r="CK50" s="8">
        <v>-0.1318822056055069</v>
      </c>
      <c r="CL50" s="8">
        <v>0.525390625</v>
      </c>
      <c r="CM50" s="9">
        <v>9.6643790602684021E-3</v>
      </c>
      <c r="CN50" s="9">
        <v>-0.69507014751434326</v>
      </c>
      <c r="CO50" s="9">
        <v>1.2045202255249023</v>
      </c>
      <c r="CP50" s="9">
        <v>2.1693157032132149E-2</v>
      </c>
      <c r="CQ50" s="9" t="s">
        <v>24</v>
      </c>
      <c r="CR50">
        <v>133.68795408644624</v>
      </c>
      <c r="CS50">
        <v>11.124695623343106</v>
      </c>
      <c r="CT50">
        <v>0</v>
      </c>
      <c r="CU50" s="8">
        <v>0.12017223536968231</v>
      </c>
      <c r="CV50" s="9">
        <v>0.13520190352573991</v>
      </c>
      <c r="CW50">
        <v>0.06</v>
      </c>
      <c r="CX50">
        <v>140.48999520210012</v>
      </c>
      <c r="CY50">
        <v>10742240.383943297</v>
      </c>
      <c r="CZ50">
        <v>0.12017223536968231</v>
      </c>
      <c r="DA50">
        <v>44.756633016050053</v>
      </c>
      <c r="DB50">
        <v>33719634.349143244</v>
      </c>
      <c r="DC50">
        <v>0.11416362360119819</v>
      </c>
      <c r="DD50">
        <v>21.286872649155999</v>
      </c>
      <c r="DE50">
        <v>70897088.777380228</v>
      </c>
      <c r="DF50">
        <v>0.10575156712532044</v>
      </c>
      <c r="DG50">
        <v>12.289573747082168</v>
      </c>
      <c r="DH50">
        <v>122801435.67699522</v>
      </c>
      <c r="DI50">
        <v>9.613778829574586E-2</v>
      </c>
      <c r="DJ50">
        <v>5.8122221449417566</v>
      </c>
      <c r="DK50">
        <v>259655818.7841121</v>
      </c>
      <c r="DL50">
        <v>8.4120564758777619E-2</v>
      </c>
      <c r="DM50">
        <v>10165200</v>
      </c>
      <c r="DN50">
        <v>0.12017223536968231</v>
      </c>
      <c r="DO50">
        <v>1509177300</v>
      </c>
      <c r="DP50">
        <v>1531858800</v>
      </c>
      <c r="DQ50">
        <v>2871</v>
      </c>
      <c r="DR50">
        <v>-0.93534207703634897</v>
      </c>
      <c r="DS50">
        <v>0.64169897113465846</v>
      </c>
      <c r="DT50" s="10">
        <v>-0.34</v>
      </c>
      <c r="DU50">
        <v>-0.59000000000000008</v>
      </c>
      <c r="DV50">
        <v>-0.93000000000000016</v>
      </c>
      <c r="DW50">
        <v>9.8609179415855355</v>
      </c>
      <c r="DX50">
        <v>0.8159877256317688</v>
      </c>
      <c r="DY50">
        <v>9.1601201699110781</v>
      </c>
      <c r="DZ50">
        <v>3908</v>
      </c>
      <c r="EA50">
        <v>9.036086547708404</v>
      </c>
      <c r="EB50">
        <v>9</v>
      </c>
      <c r="EC50">
        <v>7.9735857887896042E-2</v>
      </c>
      <c r="ED50">
        <v>0.42871569947450444</v>
      </c>
      <c r="EE50" s="11">
        <v>-1.0014000000000001</v>
      </c>
      <c r="EF50">
        <v>-1.001763</v>
      </c>
      <c r="EG50">
        <v>63.185987725631769</v>
      </c>
      <c r="EH50" t="s">
        <v>862</v>
      </c>
      <c r="EI50">
        <v>1</v>
      </c>
      <c r="EJ50">
        <v>0</v>
      </c>
      <c r="EK50" s="13">
        <v>45128</v>
      </c>
      <c r="EL50" s="14">
        <v>9.2999999999999992E-3</v>
      </c>
      <c r="EM50" s="14">
        <v>0.92</v>
      </c>
      <c r="EN50" s="14">
        <v>1.2</v>
      </c>
      <c r="EO50" s="14">
        <v>-0.4</v>
      </c>
      <c r="EP50" s="14">
        <v>1.5900000000000001E-2</v>
      </c>
    </row>
    <row r="51" spans="1:146" ht="88.5" customHeight="1" x14ac:dyDescent="0.25">
      <c r="A51" s="7"/>
      <c r="B51" s="7"/>
      <c r="C51" s="16" t="str">
        <f>""&amp;CHAR(10)&amp;Basic_Fundamental_Information_Constructure(F51)&amp;CHAR(10)&amp;Basic_Fundamental_Information_Concatenate("")</f>
        <v xml:space="preserve">
市值89.606767亿, 利润1.19亿; PE111; 平均PE61.8; 平均PEG2.29, PB.718; ROIC2.675%; ROE1.0933%; 股利率0%; 毛利17.1033%; 净利.0867%; 上一年度营收增-92.13%, 利润增-30.41%; 当季营收增174.6%, 利润增-126.44%; 过往5年营收增-26.97%, 利润增-30.41%
Income profile:
</v>
      </c>
      <c r="D51" t="s">
        <v>275</v>
      </c>
      <c r="E51" t="s">
        <v>8</v>
      </c>
      <c r="F51">
        <v>3.62</v>
      </c>
      <c r="G51">
        <v>-0.82</v>
      </c>
      <c r="H51" t="s">
        <v>2612</v>
      </c>
      <c r="I51">
        <v>8960676700</v>
      </c>
      <c r="J51">
        <v>111</v>
      </c>
      <c r="K51">
        <v>0.71799999999999997</v>
      </c>
      <c r="L51" t="s">
        <v>1589</v>
      </c>
      <c r="M51" t="s">
        <v>2613</v>
      </c>
      <c r="N51" t="s">
        <v>2614</v>
      </c>
      <c r="O51" t="s">
        <v>1377</v>
      </c>
      <c r="P51">
        <v>-76.94</v>
      </c>
      <c r="Q51" t="s">
        <v>2615</v>
      </c>
      <c r="R51">
        <v>-40450378</v>
      </c>
      <c r="S51" s="5">
        <v>-1.399</v>
      </c>
      <c r="T51" t="s">
        <v>1405</v>
      </c>
      <c r="U51">
        <v>2276605000</v>
      </c>
      <c r="V51">
        <v>2475325100</v>
      </c>
      <c r="W51">
        <v>1.92</v>
      </c>
      <c r="X51" t="s">
        <v>24</v>
      </c>
      <c r="Y51">
        <v>-11.61</v>
      </c>
      <c r="Z51" t="s">
        <v>24</v>
      </c>
      <c r="AA51" t="s">
        <v>24</v>
      </c>
      <c r="AB51" t="s">
        <v>24</v>
      </c>
      <c r="AC51" t="s">
        <v>24</v>
      </c>
      <c r="AD51" t="s">
        <v>24</v>
      </c>
      <c r="AE51">
        <v>26022497</v>
      </c>
      <c r="AF51" t="s">
        <v>2616</v>
      </c>
      <c r="AG51" t="s">
        <v>2617</v>
      </c>
      <c r="AH51" t="s">
        <v>2618</v>
      </c>
      <c r="AI51" t="s">
        <v>591</v>
      </c>
      <c r="AJ51" t="s">
        <v>2619</v>
      </c>
      <c r="AK51" t="s">
        <v>24</v>
      </c>
      <c r="AL51" t="s">
        <v>2620</v>
      </c>
      <c r="AM51" t="s">
        <v>24</v>
      </c>
      <c r="AN51">
        <v>0</v>
      </c>
      <c r="AO51" t="s">
        <v>24</v>
      </c>
      <c r="AP51" t="s">
        <v>2621</v>
      </c>
      <c r="AQ51" t="s">
        <v>2622</v>
      </c>
      <c r="AR51" t="s">
        <v>2623</v>
      </c>
      <c r="AS51" t="s">
        <v>24</v>
      </c>
      <c r="AT51" t="s">
        <v>24</v>
      </c>
      <c r="AU51" t="s">
        <v>2624</v>
      </c>
      <c r="AV51" t="s">
        <v>2625</v>
      </c>
      <c r="AW51" t="s">
        <v>2626</v>
      </c>
      <c r="AX51" t="s">
        <v>1404</v>
      </c>
      <c r="AY51" t="s">
        <v>24</v>
      </c>
      <c r="AZ51" t="s">
        <v>584</v>
      </c>
      <c r="BA51" t="s">
        <v>276</v>
      </c>
      <c r="BB51" t="s">
        <v>585</v>
      </c>
      <c r="BC51" t="s">
        <v>882</v>
      </c>
      <c r="BD51" t="s">
        <v>24</v>
      </c>
      <c r="BE51" t="s">
        <v>24</v>
      </c>
      <c r="BF51" t="s">
        <v>24</v>
      </c>
      <c r="BG51" t="s">
        <v>24</v>
      </c>
      <c r="BH51" t="s">
        <v>2627</v>
      </c>
      <c r="BI51" t="s">
        <v>701</v>
      </c>
      <c r="BJ51" t="s">
        <v>1404</v>
      </c>
      <c r="BK51" t="s">
        <v>1070</v>
      </c>
      <c r="BL51" t="s">
        <v>2628</v>
      </c>
      <c r="BM51" t="s">
        <v>882</v>
      </c>
      <c r="BN51">
        <v>3.95</v>
      </c>
      <c r="BO51">
        <v>1.4</v>
      </c>
      <c r="BP51" t="s">
        <v>24</v>
      </c>
      <c r="BQ51">
        <v>5.1100000000000003</v>
      </c>
      <c r="BR51">
        <v>1.37</v>
      </c>
      <c r="BS51">
        <v>-3.2</v>
      </c>
      <c r="BT51" t="s">
        <v>1115</v>
      </c>
      <c r="BU51" t="s">
        <v>1043</v>
      </c>
      <c r="BV51">
        <v>15.91</v>
      </c>
      <c r="BW51">
        <v>17.72</v>
      </c>
      <c r="BX51">
        <v>17.68</v>
      </c>
      <c r="BY51">
        <v>1.94</v>
      </c>
      <c r="BZ51">
        <v>2.61</v>
      </c>
      <c r="CA51">
        <v>-4.29</v>
      </c>
      <c r="CB51">
        <v>-6.46</v>
      </c>
      <c r="CC51">
        <v>-23.95</v>
      </c>
      <c r="CD51" t="s">
        <v>1049</v>
      </c>
      <c r="CE51" t="s">
        <v>2629</v>
      </c>
      <c r="CF51" s="8">
        <v>1.746031746031746</v>
      </c>
      <c r="CG51" s="9">
        <v>-1.2643815555555555</v>
      </c>
      <c r="CH51" s="8">
        <v>-0.92134225368499756</v>
      </c>
      <c r="CI51" s="8" t="s">
        <v>24</v>
      </c>
      <c r="CJ51" s="8" t="s">
        <v>24</v>
      </c>
      <c r="CK51" s="8">
        <v>0.13754503428936005</v>
      </c>
      <c r="CL51" s="8">
        <v>-2.5405345484614372E-2</v>
      </c>
      <c r="CM51" s="9">
        <v>-0.30409356951713562</v>
      </c>
      <c r="CN51" s="9" t="s">
        <v>24</v>
      </c>
      <c r="CO51" s="9" t="s">
        <v>24</v>
      </c>
      <c r="CP51" s="9" t="s">
        <v>24</v>
      </c>
      <c r="CQ51" s="9" t="s">
        <v>24</v>
      </c>
      <c r="CR51">
        <v>61.797770344827583</v>
      </c>
      <c r="CS51">
        <v>2.291061831494785</v>
      </c>
      <c r="CT51">
        <v>0</v>
      </c>
      <c r="CU51" s="8">
        <v>-0.26973418829341728</v>
      </c>
      <c r="CV51" s="9">
        <v>-0.30409356951713562</v>
      </c>
      <c r="CW51">
        <v>0.06</v>
      </c>
      <c r="CX51" t="e">
        <v>#VALUE!</v>
      </c>
      <c r="CY51" t="s">
        <v>908</v>
      </c>
      <c r="CZ51">
        <v>-0.26973418829341728</v>
      </c>
      <c r="DA51">
        <v>23.710578991596638</v>
      </c>
      <c r="DB51" t="s">
        <v>2630</v>
      </c>
      <c r="DC51">
        <v>-0.25624747887874638</v>
      </c>
      <c r="DD51">
        <v>11.855289495798319</v>
      </c>
      <c r="DE51" t="s">
        <v>2631</v>
      </c>
      <c r="DF51">
        <v>-0.23736608569820719</v>
      </c>
      <c r="DG51">
        <v>7.1131736974789916</v>
      </c>
      <c r="DH51" t="s">
        <v>2632</v>
      </c>
      <c r="DI51">
        <v>-0.21578735063473384</v>
      </c>
      <c r="DJ51">
        <v>3.5565868487394958</v>
      </c>
      <c r="DK51" t="s">
        <v>2633</v>
      </c>
      <c r="DL51">
        <v>-0.18881393180539208</v>
      </c>
      <c r="DM51">
        <v>119000000</v>
      </c>
      <c r="DN51">
        <v>-0.26973418829341728</v>
      </c>
      <c r="DO51">
        <v>8464676700</v>
      </c>
      <c r="DP51">
        <v>17780851000</v>
      </c>
      <c r="DQ51">
        <v>2912</v>
      </c>
      <c r="DR51">
        <v>2.0157659343251635</v>
      </c>
      <c r="DS51">
        <v>-0.96028798603841992</v>
      </c>
      <c r="DT51" s="10">
        <v>-1.1599999999999999</v>
      </c>
      <c r="DU51">
        <v>-3.1949999999999998</v>
      </c>
      <c r="DV51">
        <v>-4.3549999999999995</v>
      </c>
      <c r="DW51">
        <v>-9.2697286012526092</v>
      </c>
      <c r="DX51">
        <v>0.28763888888888928</v>
      </c>
      <c r="DY51">
        <v>-9.0290332869403844</v>
      </c>
      <c r="DZ51">
        <v>868</v>
      </c>
      <c r="EA51">
        <v>-9.0241016053231142</v>
      </c>
      <c r="EB51">
        <v>9</v>
      </c>
      <c r="EC51">
        <v>5.0094430020525382E-2</v>
      </c>
      <c r="ED51">
        <v>0.46539341438423582</v>
      </c>
      <c r="EE51" s="11">
        <v>-1.0053000000000001</v>
      </c>
      <c r="EF51">
        <v>-1.0135099999999999</v>
      </c>
      <c r="EG51">
        <v>18.107638888888889</v>
      </c>
      <c r="EH51" t="s">
        <v>892</v>
      </c>
      <c r="EI51">
        <v>0</v>
      </c>
      <c r="EJ51">
        <v>1</v>
      </c>
      <c r="EK51" s="13">
        <v>45470</v>
      </c>
      <c r="EL51" s="14">
        <v>-0.43</v>
      </c>
      <c r="EM51" s="14">
        <v>-1.1399999999999999</v>
      </c>
      <c r="EN51" s="14">
        <v>-1.01</v>
      </c>
      <c r="EO51" s="14">
        <v>0.57999999999999996</v>
      </c>
      <c r="EP51" s="14">
        <v>-1.88</v>
      </c>
    </row>
    <row r="52" spans="1:146" ht="88.5" customHeight="1" x14ac:dyDescent="0.25">
      <c r="A52" s="7"/>
      <c r="B52" s="7"/>
      <c r="C52" s="16" t="str">
        <f>""&amp;CHAR(10)&amp;Basic_Fundamental_Information_Constructure(F52)&amp;CHAR(10)&amp;Basic_Fundamental_Information_Concatenate("")</f>
        <v xml:space="preserve">
市值18.177071亿, 利润9.44亿; PE; 平均PE4.71; 平均PEG.01, PB.949; ROIC3.61%; ROE-.99%; 股利率0%; 毛利19.24%; 净利-19.2567%; 上一年度营收增2279.61%, 利润增648.84%; 当季营收增-97.93%, 利润增-106.62%; 过往5年营收增763.74%, 利润增648.84%
Income profile:
</v>
      </c>
      <c r="D52" t="s">
        <v>281</v>
      </c>
      <c r="E52" t="s">
        <v>67</v>
      </c>
      <c r="F52">
        <v>2.19</v>
      </c>
      <c r="G52">
        <v>0.92</v>
      </c>
      <c r="H52" t="s">
        <v>2634</v>
      </c>
      <c r="I52">
        <v>1817707100</v>
      </c>
      <c r="K52">
        <v>0.94899999999999995</v>
      </c>
      <c r="L52" t="s">
        <v>1589</v>
      </c>
      <c r="M52" t="s">
        <v>1443</v>
      </c>
      <c r="N52" t="s">
        <v>2635</v>
      </c>
      <c r="O52" t="s">
        <v>2636</v>
      </c>
      <c r="P52">
        <v>-10.33</v>
      </c>
      <c r="Q52" t="s">
        <v>2637</v>
      </c>
      <c r="R52">
        <v>-10135267</v>
      </c>
      <c r="S52" s="5">
        <v>-2.1859999999999999</v>
      </c>
      <c r="T52" t="s">
        <v>2638</v>
      </c>
      <c r="U52">
        <v>830003230</v>
      </c>
      <c r="V52">
        <v>830003230</v>
      </c>
      <c r="W52">
        <v>1.7</v>
      </c>
      <c r="X52" t="s">
        <v>24</v>
      </c>
      <c r="Y52">
        <v>-10.49</v>
      </c>
      <c r="Z52" t="s">
        <v>24</v>
      </c>
      <c r="AA52" t="s">
        <v>24</v>
      </c>
      <c r="AB52" t="s">
        <v>24</v>
      </c>
      <c r="AC52" t="s">
        <v>24</v>
      </c>
      <c r="AD52" t="s">
        <v>24</v>
      </c>
      <c r="AE52">
        <v>-210165</v>
      </c>
      <c r="AF52" t="s">
        <v>98</v>
      </c>
      <c r="AG52" t="s">
        <v>2639</v>
      </c>
      <c r="AH52" t="s">
        <v>2640</v>
      </c>
      <c r="AI52" t="s">
        <v>2641</v>
      </c>
      <c r="AJ52" t="s">
        <v>2642</v>
      </c>
      <c r="AK52" t="s">
        <v>24</v>
      </c>
      <c r="AL52" t="s">
        <v>2643</v>
      </c>
      <c r="AM52" t="s">
        <v>24</v>
      </c>
      <c r="AN52">
        <v>0</v>
      </c>
      <c r="AO52" t="s">
        <v>24</v>
      </c>
      <c r="AP52" t="s">
        <v>24</v>
      </c>
      <c r="AQ52" t="s">
        <v>2644</v>
      </c>
      <c r="AR52" t="s">
        <v>2645</v>
      </c>
      <c r="AS52" t="s">
        <v>24</v>
      </c>
      <c r="AT52" t="s">
        <v>24</v>
      </c>
      <c r="AU52" t="s">
        <v>2646</v>
      </c>
      <c r="AV52" t="s">
        <v>2647</v>
      </c>
      <c r="AW52" t="s">
        <v>2648</v>
      </c>
      <c r="AX52" t="s">
        <v>1111</v>
      </c>
      <c r="AY52" t="s">
        <v>24</v>
      </c>
      <c r="AZ52" t="s">
        <v>586</v>
      </c>
      <c r="BA52" t="s">
        <v>144</v>
      </c>
      <c r="BB52" t="s">
        <v>233</v>
      </c>
      <c r="BC52" t="s">
        <v>1408</v>
      </c>
      <c r="BD52" t="s">
        <v>24</v>
      </c>
      <c r="BE52" t="s">
        <v>24</v>
      </c>
      <c r="BF52" t="s">
        <v>24</v>
      </c>
      <c r="BG52" t="s">
        <v>24</v>
      </c>
      <c r="BH52" t="s">
        <v>491</v>
      </c>
      <c r="BI52" t="s">
        <v>2649</v>
      </c>
      <c r="BJ52" t="s">
        <v>1111</v>
      </c>
      <c r="BK52" t="s">
        <v>2650</v>
      </c>
      <c r="BL52" t="s">
        <v>2628</v>
      </c>
      <c r="BM52" t="s">
        <v>1408</v>
      </c>
      <c r="BN52">
        <v>0.17</v>
      </c>
      <c r="BO52" t="s">
        <v>24</v>
      </c>
      <c r="BP52">
        <v>7.05</v>
      </c>
      <c r="BQ52">
        <v>0.17</v>
      </c>
      <c r="BR52">
        <v>-7.29</v>
      </c>
      <c r="BS52">
        <v>4.1500000000000004</v>
      </c>
      <c r="BT52" t="s">
        <v>1115</v>
      </c>
      <c r="BU52" t="s">
        <v>1043</v>
      </c>
      <c r="BV52">
        <v>12.12</v>
      </c>
      <c r="BW52">
        <v>15.58</v>
      </c>
      <c r="BX52">
        <v>30.02</v>
      </c>
      <c r="BY52">
        <v>-46.33</v>
      </c>
      <c r="BZ52">
        <v>-22.22</v>
      </c>
      <c r="CA52">
        <v>10.78</v>
      </c>
      <c r="CB52">
        <v>-1.35</v>
      </c>
      <c r="CC52">
        <v>-21.51</v>
      </c>
      <c r="CD52" t="s">
        <v>163</v>
      </c>
      <c r="CE52" t="s">
        <v>1427</v>
      </c>
      <c r="CF52" s="8">
        <v>-0.97933037587412586</v>
      </c>
      <c r="CG52" s="9">
        <v>-1.0662435751633987</v>
      </c>
      <c r="CH52" s="8">
        <v>22.796083450317383</v>
      </c>
      <c r="CI52" s="8" t="s">
        <v>24</v>
      </c>
      <c r="CJ52" s="8" t="s">
        <v>24</v>
      </c>
      <c r="CK52" s="8">
        <v>8.1051476299762726E-2</v>
      </c>
      <c r="CL52" s="8">
        <v>3.5147391259670258E-2</v>
      </c>
      <c r="CM52" s="9">
        <v>6.4883723258972168</v>
      </c>
      <c r="CN52" s="9" t="s">
        <v>24</v>
      </c>
      <c r="CO52" s="9" t="s">
        <v>24</v>
      </c>
      <c r="CP52" s="9" t="s">
        <v>24</v>
      </c>
      <c r="CQ52" s="9" t="s">
        <v>24</v>
      </c>
      <c r="CR52">
        <v>4.709085751295337</v>
      </c>
      <c r="CS52">
        <v>6.1658009699293572E-3</v>
      </c>
      <c r="CT52">
        <v>0</v>
      </c>
      <c r="CU52" s="8">
        <v>7.6374274392922716</v>
      </c>
      <c r="CV52" s="9">
        <v>6.4883723258972168</v>
      </c>
      <c r="CW52">
        <v>0.06</v>
      </c>
      <c r="CX52">
        <v>0.16779428235382951</v>
      </c>
      <c r="CY52">
        <v>7692199530.8414183</v>
      </c>
      <c r="CZ52">
        <v>7.6374274392922716</v>
      </c>
      <c r="DA52">
        <v>2.5279741192978425E-3</v>
      </c>
      <c r="DB52">
        <v>510569744423.84723</v>
      </c>
      <c r="DC52">
        <v>7.2555560673276576</v>
      </c>
      <c r="DD52">
        <v>7.8984040980482884E-6</v>
      </c>
      <c r="DE52">
        <v>163413657237281.16</v>
      </c>
      <c r="DF52">
        <v>6.7209361465771993</v>
      </c>
      <c r="DG52">
        <v>6.311592662794085E-9</v>
      </c>
      <c r="DH52">
        <v>2.0449784530749731E+17</v>
      </c>
      <c r="DI52">
        <v>6.109941951433818</v>
      </c>
      <c r="DJ52">
        <v>3.2533352943849597E-16</v>
      </c>
      <c r="DK52">
        <v>3.9673350061018128E+24</v>
      </c>
      <c r="DL52">
        <v>5.3461992075045899</v>
      </c>
      <c r="DM52">
        <v>944000000</v>
      </c>
      <c r="DN52">
        <v>7.6374274392922716</v>
      </c>
      <c r="DO52">
        <v>1290707099.9999998</v>
      </c>
      <c r="DP52">
        <v>2866537600</v>
      </c>
      <c r="DQ52">
        <v>2965</v>
      </c>
      <c r="DR52">
        <v>-8.6167578151663982</v>
      </c>
      <c r="DS52">
        <v>-7.5546159010606155</v>
      </c>
      <c r="DT52" s="10">
        <v>-0.21000000000000008</v>
      </c>
      <c r="DU52">
        <v>-1.7950000000000002</v>
      </c>
      <c r="DV52">
        <v>-2.0050000000000003</v>
      </c>
      <c r="DW52">
        <v>-3.0623154761904763</v>
      </c>
      <c r="DX52">
        <v>0.29759776536312821</v>
      </c>
      <c r="DY52">
        <v>-3.0104439345570628</v>
      </c>
      <c r="DZ52">
        <v>1082</v>
      </c>
      <c r="EA52">
        <v>-3.0082325182770742</v>
      </c>
      <c r="EB52">
        <v>3</v>
      </c>
      <c r="EC52">
        <v>0.14457775061911507</v>
      </c>
      <c r="ED52">
        <v>0.86264724536071991</v>
      </c>
      <c r="EE52" s="11">
        <v>2.0390100000000002</v>
      </c>
      <c r="EF52">
        <v>2.0632100000000002</v>
      </c>
      <c r="EG52">
        <v>13.167597765363128</v>
      </c>
      <c r="EH52" t="s">
        <v>833</v>
      </c>
      <c r="EI52">
        <v>0</v>
      </c>
      <c r="EJ52">
        <v>1</v>
      </c>
      <c r="EK52" s="13">
        <v>45470</v>
      </c>
      <c r="EL52" s="14">
        <v>0</v>
      </c>
      <c r="EM52" s="14">
        <v>-4</v>
      </c>
      <c r="EN52" s="14">
        <v>0</v>
      </c>
      <c r="EO52" s="14">
        <v>5.65</v>
      </c>
      <c r="EP52" s="14">
        <v>-2.42</v>
      </c>
    </row>
    <row r="53" spans="1:146" ht="88.5" customHeight="1" x14ac:dyDescent="0.25">
      <c r="A53" s="7"/>
      <c r="B53" s="7"/>
      <c r="C53" s="16" t="str">
        <f>""&amp;CHAR(10)&amp;Basic_Fundamental_Information_Constructure(F53)&amp;CHAR(10)&amp;Basic_Fundamental_Information_Concatenate("")</f>
        <v xml:space="preserve">
市值44.450758亿, 利润6.78亿; PE774.7; 平均PE9.65; 平均PEG.56, PB.701; ROIC.9133%; ROE2.4033%; 股利率11.7647%; 毛利35.2533%; 净利.3433%; 上一年度营收增-71.4%, 利润增179.01%; 当季营收增-31.59%, 利润增-90.86%; 过往5年营收增-17.32%, 利润增179.01%
Income profile:
</v>
      </c>
      <c r="D53" t="s">
        <v>282</v>
      </c>
      <c r="E53" t="s">
        <v>25</v>
      </c>
      <c r="F53">
        <v>1.36</v>
      </c>
      <c r="G53">
        <v>0.74</v>
      </c>
      <c r="H53" t="s">
        <v>2651</v>
      </c>
      <c r="I53">
        <v>4445075800</v>
      </c>
      <c r="J53">
        <v>774.7</v>
      </c>
      <c r="K53">
        <v>0.70099999999999996</v>
      </c>
      <c r="L53" t="s">
        <v>1589</v>
      </c>
      <c r="M53" t="s">
        <v>2652</v>
      </c>
      <c r="N53" t="s">
        <v>2653</v>
      </c>
      <c r="O53" t="s">
        <v>2654</v>
      </c>
      <c r="P53">
        <v>-68.22</v>
      </c>
      <c r="Q53" t="s">
        <v>2655</v>
      </c>
      <c r="R53">
        <v>24946283</v>
      </c>
      <c r="S53" s="5">
        <v>-0.71870000000000001</v>
      </c>
      <c r="T53" t="s">
        <v>748</v>
      </c>
      <c r="U53">
        <v>3268438100</v>
      </c>
      <c r="V53">
        <v>3268438100</v>
      </c>
      <c r="W53">
        <v>3.13</v>
      </c>
      <c r="X53" t="s">
        <v>24</v>
      </c>
      <c r="Y53">
        <v>-1.71</v>
      </c>
      <c r="Z53" t="s">
        <v>24</v>
      </c>
      <c r="AA53" t="s">
        <v>24</v>
      </c>
      <c r="AB53" t="s">
        <v>24</v>
      </c>
      <c r="AC53" t="s">
        <v>24</v>
      </c>
      <c r="AD53" t="s">
        <v>24</v>
      </c>
      <c r="AE53">
        <v>46077928</v>
      </c>
      <c r="AF53" t="s">
        <v>2656</v>
      </c>
      <c r="AG53" t="s">
        <v>2657</v>
      </c>
      <c r="AH53" t="s">
        <v>2658</v>
      </c>
      <c r="AI53" t="s">
        <v>2659</v>
      </c>
      <c r="AJ53" t="s">
        <v>2660</v>
      </c>
      <c r="AK53" t="s">
        <v>24</v>
      </c>
      <c r="AL53" t="s">
        <v>2661</v>
      </c>
      <c r="AM53" t="s">
        <v>24</v>
      </c>
      <c r="AN53" t="s">
        <v>105</v>
      </c>
      <c r="AO53" t="s">
        <v>24</v>
      </c>
      <c r="AP53" t="s">
        <v>2662</v>
      </c>
      <c r="AQ53" t="s">
        <v>2663</v>
      </c>
      <c r="AR53" t="s">
        <v>425</v>
      </c>
      <c r="AS53" t="s">
        <v>24</v>
      </c>
      <c r="AT53" t="s">
        <v>24</v>
      </c>
      <c r="AU53" t="s">
        <v>2664</v>
      </c>
      <c r="AV53" t="s">
        <v>2665</v>
      </c>
      <c r="AW53" t="s">
        <v>2666</v>
      </c>
      <c r="AX53" t="s">
        <v>1409</v>
      </c>
      <c r="AY53" t="s">
        <v>24</v>
      </c>
      <c r="AZ53" t="s">
        <v>587</v>
      </c>
      <c r="BA53" t="s">
        <v>283</v>
      </c>
      <c r="BB53" t="s">
        <v>459</v>
      </c>
      <c r="BC53" t="s">
        <v>149</v>
      </c>
      <c r="BD53" t="s">
        <v>24</v>
      </c>
      <c r="BE53" t="s">
        <v>24</v>
      </c>
      <c r="BF53" t="s">
        <v>24</v>
      </c>
      <c r="BG53" t="s">
        <v>24</v>
      </c>
      <c r="BH53" t="s">
        <v>2667</v>
      </c>
      <c r="BI53" t="s">
        <v>2668</v>
      </c>
      <c r="BJ53" t="s">
        <v>1409</v>
      </c>
      <c r="BK53" t="s">
        <v>2669</v>
      </c>
      <c r="BL53" t="s">
        <v>1145</v>
      </c>
      <c r="BM53" t="s">
        <v>149</v>
      </c>
      <c r="BN53">
        <v>0.6</v>
      </c>
      <c r="BO53">
        <v>1.07</v>
      </c>
      <c r="BP53">
        <v>1.07</v>
      </c>
      <c r="BQ53">
        <v>1.21</v>
      </c>
      <c r="BR53">
        <v>3.46</v>
      </c>
      <c r="BS53">
        <v>2.54</v>
      </c>
      <c r="BT53" t="s">
        <v>1117</v>
      </c>
      <c r="BU53" t="s">
        <v>1043</v>
      </c>
      <c r="BV53">
        <v>36.6</v>
      </c>
      <c r="BW53">
        <v>31.9</v>
      </c>
      <c r="BX53">
        <v>37.26</v>
      </c>
      <c r="BY53">
        <v>-1.46</v>
      </c>
      <c r="BZ53">
        <v>1.39</v>
      </c>
      <c r="CA53">
        <v>1.1000000000000001</v>
      </c>
      <c r="CB53">
        <v>2.2599999999999998</v>
      </c>
      <c r="CC53">
        <v>-15</v>
      </c>
      <c r="CD53" t="s">
        <v>2670</v>
      </c>
      <c r="CE53" t="s">
        <v>2671</v>
      </c>
      <c r="CF53" s="8">
        <v>-0.31588447653429602</v>
      </c>
      <c r="CG53" s="9">
        <v>-0.90862167399267402</v>
      </c>
      <c r="CH53" s="8">
        <v>-0.71395546197891235</v>
      </c>
      <c r="CI53" s="8" t="s">
        <v>24</v>
      </c>
      <c r="CJ53" s="8" t="s">
        <v>24</v>
      </c>
      <c r="CK53" s="8">
        <v>1.1162992566823959E-2</v>
      </c>
      <c r="CL53" s="8">
        <v>0.18323728442192078</v>
      </c>
      <c r="CM53" s="9">
        <v>1.790123462677002</v>
      </c>
      <c r="CN53" s="9" t="s">
        <v>24</v>
      </c>
      <c r="CO53" s="9" t="s">
        <v>24</v>
      </c>
      <c r="CP53" s="9" t="s">
        <v>24</v>
      </c>
      <c r="CQ53" s="9" t="s">
        <v>24</v>
      </c>
      <c r="CR53">
        <v>9.652716178067319</v>
      </c>
      <c r="CS53">
        <v>0.55736424870343615</v>
      </c>
      <c r="CT53">
        <v>11.76470588235294</v>
      </c>
      <c r="CU53" s="8">
        <v>-0.17318506166338921</v>
      </c>
      <c r="CV53" s="9">
        <v>1.790123462677002</v>
      </c>
      <c r="CW53">
        <v>0.06</v>
      </c>
      <c r="CX53">
        <v>17.640229793510326</v>
      </c>
      <c r="CY53" t="s">
        <v>2672</v>
      </c>
      <c r="CZ53">
        <v>-0.17318506166338921</v>
      </c>
      <c r="DA53">
        <v>5.8800765978367746</v>
      </c>
      <c r="DB53" t="s">
        <v>2673</v>
      </c>
      <c r="DC53">
        <v>-0.16452580858021973</v>
      </c>
      <c r="DD53">
        <v>2.9400382989183873</v>
      </c>
      <c r="DE53" t="s">
        <v>2674</v>
      </c>
      <c r="DF53">
        <v>-0.1524028542637825</v>
      </c>
      <c r="DG53">
        <v>1.7640229793510325</v>
      </c>
      <c r="DH53" t="s">
        <v>2675</v>
      </c>
      <c r="DI53">
        <v>-0.13854804933071138</v>
      </c>
      <c r="DJ53">
        <v>0.88201148967551624</v>
      </c>
      <c r="DK53" t="s">
        <v>2676</v>
      </c>
      <c r="DL53">
        <v>-0.12122954316437244</v>
      </c>
      <c r="DM53">
        <v>678000000</v>
      </c>
      <c r="DN53">
        <v>-0.17318506166338921</v>
      </c>
      <c r="DO53">
        <v>11960075800</v>
      </c>
      <c r="DP53">
        <v>14081488000</v>
      </c>
      <c r="DQ53">
        <v>2968</v>
      </c>
      <c r="DR53">
        <v>-0.14269941487090682</v>
      </c>
      <c r="DS53">
        <v>-2.6987451366696762</v>
      </c>
      <c r="DT53" s="10">
        <v>-1.1599999999999999</v>
      </c>
      <c r="DU53">
        <v>-0.32000000000000006</v>
      </c>
      <c r="DV53">
        <v>-1.48</v>
      </c>
      <c r="DW53">
        <v>-2.15</v>
      </c>
      <c r="DX53">
        <v>0.24431282703777377</v>
      </c>
      <c r="DY53">
        <v>-2.014146924055666</v>
      </c>
      <c r="DZ53">
        <v>538</v>
      </c>
      <c r="EA53">
        <v>-2.0126574827363024</v>
      </c>
      <c r="EB53">
        <v>2</v>
      </c>
      <c r="EC53">
        <v>2.9028758415219801E-2</v>
      </c>
      <c r="ED53">
        <v>0.30779227546025728</v>
      </c>
      <c r="EE53" s="11">
        <v>-1.0269999999999999</v>
      </c>
      <c r="EF53">
        <v>-1.0172000000000001</v>
      </c>
      <c r="EG53">
        <v>15.094312827037774</v>
      </c>
      <c r="EH53" t="s">
        <v>862</v>
      </c>
      <c r="EI53">
        <v>0</v>
      </c>
      <c r="EJ53">
        <v>1</v>
      </c>
      <c r="EK53" s="13">
        <v>45470</v>
      </c>
      <c r="EL53" s="14">
        <v>-0.56000000000000005</v>
      </c>
      <c r="EM53" s="14">
        <v>-1.33</v>
      </c>
      <c r="EN53" s="14">
        <v>-0.78</v>
      </c>
      <c r="EO53" s="14">
        <v>0.95</v>
      </c>
      <c r="EP53" s="14">
        <v>-0.98</v>
      </c>
    </row>
    <row r="54" spans="1:146" ht="88.5" customHeight="1" x14ac:dyDescent="0.25">
      <c r="A54" s="7"/>
      <c r="B54" s="7"/>
      <c r="C54" s="16" t="str">
        <f>""&amp;CHAR(10)&amp;Basic_Fundamental_Information_Constructure(F54)&amp;CHAR(10)&amp;Basic_Fundamental_Information_Concatenate("")</f>
        <v xml:space="preserve">
市值26.619237亿, 利润30.44亿; PE17.91; 平均PE1.59; 平均PEG.02, PB.699; ROIC8.87%; ROE9.4733%; 股利率1.5789%; 毛利20.69%; 净利9.57%; 上一年度营收增214.17%, 利润增875.64%; 当季营收增-86.52%, 利润增-94.53%; 过往5年营收增66.93%, 利润增875.64%
Income profile:
</v>
      </c>
      <c r="D54" t="s">
        <v>287</v>
      </c>
      <c r="E54" t="s">
        <v>54</v>
      </c>
      <c r="F54">
        <v>3.8</v>
      </c>
      <c r="G54">
        <v>0.53</v>
      </c>
      <c r="H54" t="s">
        <v>2677</v>
      </c>
      <c r="I54">
        <v>2661923700</v>
      </c>
      <c r="J54">
        <v>17.91</v>
      </c>
      <c r="K54">
        <v>0.69899999999999995</v>
      </c>
      <c r="L54" t="s">
        <v>1589</v>
      </c>
      <c r="M54" t="s">
        <v>2678</v>
      </c>
      <c r="N54" t="s">
        <v>2679</v>
      </c>
      <c r="O54" t="s">
        <v>2680</v>
      </c>
      <c r="P54">
        <v>-67.52</v>
      </c>
      <c r="Q54" t="s">
        <v>2681</v>
      </c>
      <c r="R54">
        <v>50420171</v>
      </c>
      <c r="S54" s="5">
        <v>-0.2382</v>
      </c>
      <c r="T54" t="s">
        <v>2682</v>
      </c>
      <c r="U54">
        <v>700416240</v>
      </c>
      <c r="V54">
        <v>700506240</v>
      </c>
      <c r="W54">
        <v>1.6</v>
      </c>
      <c r="X54" t="s">
        <v>24</v>
      </c>
      <c r="Y54">
        <v>10.23</v>
      </c>
      <c r="Z54" t="s">
        <v>24</v>
      </c>
      <c r="AA54" t="s">
        <v>24</v>
      </c>
      <c r="AB54" t="s">
        <v>24</v>
      </c>
      <c r="AC54" t="s">
        <v>24</v>
      </c>
      <c r="AD54" t="s">
        <v>24</v>
      </c>
      <c r="AE54">
        <v>-2237498</v>
      </c>
      <c r="AF54" t="s">
        <v>2683</v>
      </c>
      <c r="AG54">
        <v>1020.23</v>
      </c>
      <c r="AH54" t="s">
        <v>2684</v>
      </c>
      <c r="AI54" t="s">
        <v>2685</v>
      </c>
      <c r="AJ54" t="s">
        <v>2686</v>
      </c>
      <c r="AK54" t="s">
        <v>24</v>
      </c>
      <c r="AL54" t="s">
        <v>2687</v>
      </c>
      <c r="AM54" t="s">
        <v>24</v>
      </c>
      <c r="AN54" t="s">
        <v>280</v>
      </c>
      <c r="AO54" t="s">
        <v>24</v>
      </c>
      <c r="AP54" t="s">
        <v>2102</v>
      </c>
      <c r="AQ54" t="s">
        <v>2688</v>
      </c>
      <c r="AR54" t="s">
        <v>2689</v>
      </c>
      <c r="AS54" t="s">
        <v>24</v>
      </c>
      <c r="AT54" t="s">
        <v>24</v>
      </c>
      <c r="AU54" t="s">
        <v>2690</v>
      </c>
      <c r="AV54" t="s">
        <v>2691</v>
      </c>
      <c r="AW54" t="s">
        <v>2692</v>
      </c>
      <c r="AX54" t="s">
        <v>2693</v>
      </c>
      <c r="AY54" t="s">
        <v>24</v>
      </c>
      <c r="AZ54" t="s">
        <v>210</v>
      </c>
      <c r="BA54" t="s">
        <v>288</v>
      </c>
      <c r="BB54" t="s">
        <v>590</v>
      </c>
      <c r="BC54" t="s">
        <v>390</v>
      </c>
      <c r="BD54" t="s">
        <v>24</v>
      </c>
      <c r="BE54" t="s">
        <v>24</v>
      </c>
      <c r="BF54" t="s">
        <v>24</v>
      </c>
      <c r="BG54" t="s">
        <v>24</v>
      </c>
      <c r="BH54" t="s">
        <v>2694</v>
      </c>
      <c r="BI54" t="s">
        <v>1100</v>
      </c>
      <c r="BJ54" t="s">
        <v>2693</v>
      </c>
      <c r="BK54" t="s">
        <v>2695</v>
      </c>
      <c r="BL54" t="s">
        <v>2696</v>
      </c>
      <c r="BM54" t="s">
        <v>390</v>
      </c>
      <c r="BN54">
        <v>5.98</v>
      </c>
      <c r="BO54">
        <v>7.97</v>
      </c>
      <c r="BP54">
        <v>12.66</v>
      </c>
      <c r="BQ54">
        <v>6.28</v>
      </c>
      <c r="BR54">
        <v>8.09</v>
      </c>
      <c r="BS54">
        <v>14.05</v>
      </c>
      <c r="BT54" t="s">
        <v>1888</v>
      </c>
      <c r="BU54" t="s">
        <v>1043</v>
      </c>
      <c r="BV54">
        <v>9.82</v>
      </c>
      <c r="BW54">
        <v>18.38</v>
      </c>
      <c r="BX54">
        <v>33.869999999999997</v>
      </c>
      <c r="BY54">
        <v>3.49</v>
      </c>
      <c r="BZ54">
        <v>6.58</v>
      </c>
      <c r="CA54">
        <v>18.64</v>
      </c>
      <c r="CB54">
        <v>1.6</v>
      </c>
      <c r="CC54">
        <v>-19.66</v>
      </c>
      <c r="CD54" t="s">
        <v>2697</v>
      </c>
      <c r="CE54" t="s">
        <v>2698</v>
      </c>
      <c r="CF54" s="8">
        <v>-0.86515935712339964</v>
      </c>
      <c r="CG54" s="9">
        <v>-0.94525497176981543</v>
      </c>
      <c r="CH54" s="8">
        <v>2.1417105197906494</v>
      </c>
      <c r="CI54" s="8" t="s">
        <v>24</v>
      </c>
      <c r="CJ54" s="8" t="s">
        <v>24</v>
      </c>
      <c r="CK54" s="8">
        <v>0.1874023973941803</v>
      </c>
      <c r="CL54" s="8">
        <v>-0.32120147347450256</v>
      </c>
      <c r="CM54" s="9">
        <v>8.7564105987548828</v>
      </c>
      <c r="CN54" s="9" t="s">
        <v>24</v>
      </c>
      <c r="CO54" s="9" t="s">
        <v>24</v>
      </c>
      <c r="CP54" s="9" t="s">
        <v>24</v>
      </c>
      <c r="CQ54" s="9" t="s">
        <v>24</v>
      </c>
      <c r="CR54">
        <v>1.5863669249106078</v>
      </c>
      <c r="CS54">
        <v>2.3701746357586869E-2</v>
      </c>
      <c r="CT54">
        <v>1.5789473684210527</v>
      </c>
      <c r="CU54" s="8">
        <v>0.66930381457010901</v>
      </c>
      <c r="CV54" s="9">
        <v>8.7564105987548828</v>
      </c>
      <c r="CW54">
        <v>0.06</v>
      </c>
      <c r="CX54">
        <v>0.25823773801242161</v>
      </c>
      <c r="CY54">
        <v>4793736614.6711426</v>
      </c>
      <c r="CZ54">
        <v>0.66930381457010901</v>
      </c>
      <c r="DA54">
        <v>5.3508402298731744E-2</v>
      </c>
      <c r="DB54">
        <v>23135127322.411957</v>
      </c>
      <c r="DC54">
        <v>0.6358386238416035</v>
      </c>
      <c r="DD54">
        <v>1.3084363734394443E-2</v>
      </c>
      <c r="DE54">
        <v>94610920724.093719</v>
      </c>
      <c r="DF54">
        <v>0.5889873568216959</v>
      </c>
      <c r="DG54">
        <v>3.1742958572513443E-3</v>
      </c>
      <c r="DH54">
        <v>389983717860.48022</v>
      </c>
      <c r="DI54">
        <v>0.53544305165608719</v>
      </c>
      <c r="DJ54">
        <v>1.6702486473101725E-4</v>
      </c>
      <c r="DK54">
        <v>7411613246887.4961</v>
      </c>
      <c r="DL54">
        <v>0.46851267019907628</v>
      </c>
      <c r="DM54">
        <v>3044000000</v>
      </c>
      <c r="DN54">
        <v>0.66930381457010901</v>
      </c>
      <c r="DO54">
        <v>1237923699.9999995</v>
      </c>
      <c r="DP54">
        <v>4560403300</v>
      </c>
      <c r="DQ54">
        <v>2978</v>
      </c>
      <c r="DR54">
        <v>-1.5344631716935087</v>
      </c>
      <c r="DS54">
        <v>-9.7016655705246979</v>
      </c>
      <c r="DT54" s="10">
        <v>-0.21000000000000008</v>
      </c>
      <c r="DU54">
        <v>-0.42000000000000015</v>
      </c>
      <c r="DV54">
        <v>-0.63000000000000023</v>
      </c>
      <c r="DW54">
        <v>-3.0413928571428572</v>
      </c>
      <c r="DX54">
        <v>0.22845454545454558</v>
      </c>
      <c r="DY54">
        <v>-3.0044892435064936</v>
      </c>
      <c r="DZ54">
        <v>4795</v>
      </c>
      <c r="EA54">
        <v>-3.0002767341887564</v>
      </c>
      <c r="EB54">
        <v>3</v>
      </c>
      <c r="EC54">
        <v>3.2358027246124174E-2</v>
      </c>
      <c r="ED54">
        <v>0.29835565775973671</v>
      </c>
      <c r="EE54" s="11">
        <v>-2.05261</v>
      </c>
      <c r="EF54">
        <v>-2.09361</v>
      </c>
      <c r="EG54">
        <v>12.108454545454546</v>
      </c>
      <c r="EH54" t="s">
        <v>839</v>
      </c>
      <c r="EI54">
        <v>0</v>
      </c>
      <c r="EJ54">
        <v>0</v>
      </c>
      <c r="EK54" s="13">
        <v>45470</v>
      </c>
      <c r="EL54" s="14">
        <v>-1.98</v>
      </c>
      <c r="EM54" s="14">
        <v>-7.07</v>
      </c>
      <c r="EN54" s="14">
        <v>2.72</v>
      </c>
      <c r="EO54" s="14">
        <v>3.17</v>
      </c>
      <c r="EP54" s="14">
        <v>-4.0999999999999996</v>
      </c>
    </row>
    <row r="55" spans="1:146" ht="88.5" customHeight="1" x14ac:dyDescent="0.25">
      <c r="A55" s="7"/>
      <c r="B55" s="7"/>
      <c r="C55" s="16" t="str">
        <f>""&amp;CHAR(10)&amp;Basic_Fundamental_Information_Constructure(F55)&amp;CHAR(10)&amp;Basic_Fundamental_Information_Concatenate("")</f>
        <v xml:space="preserve">
市值85.013761亿, 利润1.30亿; PE; 平均PE-8.82; 平均PEG-.65, PB1.56; ROIC2.92%; ROE-9.7233%; 股利率0%; 毛利23.9267%; 净利-20.1333%; 上一年度营收增-48.09%, 利润增106.32%; 当季营收增223.68%, 利润增-588.99%; 过往5年营收增13.5%, 利润增106.32%
Income profile:
</v>
      </c>
      <c r="D55" t="s">
        <v>289</v>
      </c>
      <c r="E55" t="s">
        <v>28</v>
      </c>
      <c r="F55">
        <v>4.51</v>
      </c>
      <c r="G55">
        <v>2.27</v>
      </c>
      <c r="H55" t="s">
        <v>2699</v>
      </c>
      <c r="I55">
        <v>8501376100</v>
      </c>
      <c r="K55">
        <v>1.56</v>
      </c>
      <c r="L55" t="s">
        <v>1589</v>
      </c>
      <c r="M55" t="s">
        <v>2700</v>
      </c>
      <c r="N55" t="s">
        <v>2701</v>
      </c>
      <c r="O55" t="s">
        <v>1107</v>
      </c>
      <c r="P55">
        <v>49.27</v>
      </c>
      <c r="Q55" t="s">
        <v>2702</v>
      </c>
      <c r="R55">
        <v>-102624510</v>
      </c>
      <c r="S55" s="5">
        <v>-11.24</v>
      </c>
      <c r="T55" t="s">
        <v>1134</v>
      </c>
      <c r="U55">
        <v>1885005800</v>
      </c>
      <c r="V55">
        <v>1885005800</v>
      </c>
      <c r="W55">
        <v>4.54</v>
      </c>
      <c r="X55" t="s">
        <v>24</v>
      </c>
      <c r="Y55">
        <v>-6.97</v>
      </c>
      <c r="Z55" t="s">
        <v>24</v>
      </c>
      <c r="AA55" t="s">
        <v>24</v>
      </c>
      <c r="AB55" t="s">
        <v>24</v>
      </c>
      <c r="AC55" t="s">
        <v>24</v>
      </c>
      <c r="AD55" t="s">
        <v>24</v>
      </c>
      <c r="AE55">
        <v>80269656</v>
      </c>
      <c r="AF55" t="s">
        <v>2703</v>
      </c>
      <c r="AG55" t="s">
        <v>2704</v>
      </c>
      <c r="AH55" t="s">
        <v>2705</v>
      </c>
      <c r="AI55" t="s">
        <v>2126</v>
      </c>
      <c r="AJ55" t="s">
        <v>2706</v>
      </c>
      <c r="AK55" t="s">
        <v>24</v>
      </c>
      <c r="AL55" t="s">
        <v>2707</v>
      </c>
      <c r="AM55" t="s">
        <v>24</v>
      </c>
      <c r="AN55" t="s">
        <v>297</v>
      </c>
      <c r="AO55" t="s">
        <v>24</v>
      </c>
      <c r="AP55" t="s">
        <v>2708</v>
      </c>
      <c r="AQ55" t="s">
        <v>2709</v>
      </c>
      <c r="AR55" t="s">
        <v>2710</v>
      </c>
      <c r="AS55" t="s">
        <v>24</v>
      </c>
      <c r="AT55" t="s">
        <v>24</v>
      </c>
      <c r="AU55" t="s">
        <v>679</v>
      </c>
      <c r="AV55" t="s">
        <v>2711</v>
      </c>
      <c r="AW55" t="s">
        <v>2712</v>
      </c>
      <c r="AX55" t="s">
        <v>1412</v>
      </c>
      <c r="AY55" t="s">
        <v>24</v>
      </c>
      <c r="AZ55" t="s">
        <v>592</v>
      </c>
      <c r="BA55" t="s">
        <v>290</v>
      </c>
      <c r="BB55" t="s">
        <v>595</v>
      </c>
      <c r="BC55" t="s">
        <v>2713</v>
      </c>
      <c r="BD55" t="s">
        <v>24</v>
      </c>
      <c r="BE55" t="s">
        <v>24</v>
      </c>
      <c r="BF55" t="s">
        <v>24</v>
      </c>
      <c r="BG55" t="s">
        <v>24</v>
      </c>
      <c r="BH55" t="s">
        <v>2714</v>
      </c>
      <c r="BI55" t="s">
        <v>1773</v>
      </c>
      <c r="BJ55" t="s">
        <v>1412</v>
      </c>
      <c r="BK55" t="s">
        <v>2715</v>
      </c>
      <c r="BL55" t="s">
        <v>2716</v>
      </c>
      <c r="BM55" t="s">
        <v>2713</v>
      </c>
      <c r="BN55" t="s">
        <v>24</v>
      </c>
      <c r="BO55" t="s">
        <v>24</v>
      </c>
      <c r="BP55">
        <v>2.92</v>
      </c>
      <c r="BQ55">
        <v>-5.0599999999999996</v>
      </c>
      <c r="BR55">
        <v>-27.84</v>
      </c>
      <c r="BS55">
        <v>3.73</v>
      </c>
      <c r="BT55" t="s">
        <v>1115</v>
      </c>
      <c r="BU55" t="s">
        <v>1043</v>
      </c>
      <c r="BV55">
        <v>21.66</v>
      </c>
      <c r="BW55">
        <v>24.21</v>
      </c>
      <c r="BX55">
        <v>25.91</v>
      </c>
      <c r="BY55">
        <v>-15.52</v>
      </c>
      <c r="BZ55">
        <v>-50.99</v>
      </c>
      <c r="CA55">
        <v>6.11</v>
      </c>
      <c r="CB55">
        <v>6.12</v>
      </c>
      <c r="CC55">
        <v>-21.15</v>
      </c>
      <c r="CD55" t="s">
        <v>874</v>
      </c>
      <c r="CE55" t="s">
        <v>255</v>
      </c>
      <c r="CF55" s="8">
        <v>2.2368421052631584</v>
      </c>
      <c r="CG55" s="9">
        <v>-5.8898619158344143</v>
      </c>
      <c r="CH55" s="8">
        <v>-0.48085001111030579</v>
      </c>
      <c r="CI55" s="8" t="s">
        <v>24</v>
      </c>
      <c r="CJ55" s="8" t="s">
        <v>24</v>
      </c>
      <c r="CK55" s="8">
        <v>0.52373009920120239</v>
      </c>
      <c r="CL55" s="8">
        <v>0.36224812269210815</v>
      </c>
      <c r="CM55" s="9">
        <v>1.0631988048553467</v>
      </c>
      <c r="CN55" s="9" t="s">
        <v>24</v>
      </c>
      <c r="CO55" s="9" t="s">
        <v>24</v>
      </c>
      <c r="CP55" s="9" t="s">
        <v>24</v>
      </c>
      <c r="CQ55" s="9" t="s">
        <v>24</v>
      </c>
      <c r="CR55">
        <v>-8.8234313440581218</v>
      </c>
      <c r="CS55">
        <v>-0.6533806663578019</v>
      </c>
      <c r="CT55">
        <v>0</v>
      </c>
      <c r="CU55" s="8">
        <v>0.13504273692766824</v>
      </c>
      <c r="CV55" s="9">
        <v>1.0631988048553467</v>
      </c>
      <c r="CW55">
        <v>0.06</v>
      </c>
      <c r="CX55">
        <v>171.20547260273213</v>
      </c>
      <c r="CY55">
        <v>139203354.52886498</v>
      </c>
      <c r="CZ55">
        <v>0.13504273692766824</v>
      </c>
      <c r="DA55">
        <v>53.865215485080661</v>
      </c>
      <c r="DB55">
        <v>442444644.19901896</v>
      </c>
      <c r="DC55">
        <v>0.12829060008128482</v>
      </c>
      <c r="DD55">
        <v>25.18325902123037</v>
      </c>
      <c r="DE55">
        <v>946357899.10704052</v>
      </c>
      <c r="DF55">
        <v>0.11883760849634806</v>
      </c>
      <c r="DG55">
        <v>14.251185341013329</v>
      </c>
      <c r="DH55">
        <v>1672308339.9535244</v>
      </c>
      <c r="DI55">
        <v>0.1080341895421346</v>
      </c>
      <c r="DJ55">
        <v>6.4360788300689338</v>
      </c>
      <c r="DK55">
        <v>3702934151.250093</v>
      </c>
      <c r="DL55">
        <v>9.4529915849367763E-2</v>
      </c>
      <c r="DM55">
        <v>130000000</v>
      </c>
      <c r="DN55">
        <v>0.13504273692766824</v>
      </c>
      <c r="DO55">
        <v>23832376100</v>
      </c>
      <c r="DP55">
        <v>19419201000</v>
      </c>
      <c r="DQ55">
        <v>2987</v>
      </c>
      <c r="DR55">
        <v>2.1017993683354903</v>
      </c>
      <c r="DS55">
        <v>-6.953060720689761</v>
      </c>
      <c r="DT55" s="10">
        <v>-0.91</v>
      </c>
      <c r="DU55">
        <v>-1.6950000000000001</v>
      </c>
      <c r="DV55">
        <v>-2.605</v>
      </c>
      <c r="DW55">
        <v>7.224422442244224</v>
      </c>
      <c r="DX55">
        <v>0.47160919540230012</v>
      </c>
      <c r="DY55">
        <v>7.063199423390615</v>
      </c>
      <c r="DZ55">
        <v>3890</v>
      </c>
      <c r="EA55">
        <v>7.0150887077370943</v>
      </c>
      <c r="EB55">
        <v>7</v>
      </c>
      <c r="EC55">
        <v>7.7983844930344506E-2</v>
      </c>
      <c r="ED55">
        <v>0.27692222485469276</v>
      </c>
      <c r="EE55" s="11">
        <v>-1.0190999999999999</v>
      </c>
      <c r="EF55">
        <v>-1.00231</v>
      </c>
      <c r="EG55">
        <v>19.2816091954023</v>
      </c>
      <c r="EH55" t="s">
        <v>892</v>
      </c>
      <c r="EI55">
        <v>1</v>
      </c>
      <c r="EJ55">
        <v>0</v>
      </c>
      <c r="EK55" s="13">
        <v>45470</v>
      </c>
      <c r="EL55" s="14">
        <v>0.12</v>
      </c>
      <c r="EM55" s="14">
        <v>-4.66</v>
      </c>
      <c r="EN55" s="14">
        <v>-0.24</v>
      </c>
      <c r="EO55" s="14">
        <v>3.19</v>
      </c>
      <c r="EP55" s="14">
        <v>-2.14</v>
      </c>
    </row>
    <row r="56" spans="1:146" ht="88.5" customHeight="1" x14ac:dyDescent="0.25">
      <c r="A56" s="7"/>
      <c r="B56" s="7"/>
      <c r="C56" s="16" t="str">
        <f>""&amp;CHAR(10)&amp;Basic_Fundamental_Information_Constructure(F56)&amp;CHAR(10)&amp;Basic_Fundamental_Information_Concatenate("")</f>
        <v xml:space="preserve">
市值137.84484亿, 利润5.60亿; PE10.64; 平均PE11.4; 平均PEG.68, PB.328; ROIC4.2033%; ROE4.9767%; 股利率0%; 毛利29.1133%; 净利13.4%; 上一年度营收增-29.33%, 利润增-69.86%; 当季营收增.04%, 利润增212.51%; 过往5年营收增-16.74%, 利润增-69.86%
Income profile:
</v>
      </c>
      <c r="D56" t="s">
        <v>292</v>
      </c>
      <c r="E56" t="s">
        <v>44</v>
      </c>
      <c r="F56">
        <v>1.62</v>
      </c>
      <c r="G56">
        <v>-0.61</v>
      </c>
      <c r="H56" t="s">
        <v>2717</v>
      </c>
      <c r="I56">
        <v>13784484000</v>
      </c>
      <c r="J56">
        <v>10.64</v>
      </c>
      <c r="K56">
        <v>0.32800000000000001</v>
      </c>
      <c r="L56" t="s">
        <v>1589</v>
      </c>
      <c r="M56" t="s">
        <v>2718</v>
      </c>
      <c r="N56" t="s">
        <v>2719</v>
      </c>
      <c r="O56" t="s">
        <v>2192</v>
      </c>
      <c r="P56">
        <v>610.24</v>
      </c>
      <c r="Q56" t="s">
        <v>2720</v>
      </c>
      <c r="R56">
        <v>371883660</v>
      </c>
      <c r="S56" s="5">
        <v>-0.47449999999999998</v>
      </c>
      <c r="T56" t="s">
        <v>1307</v>
      </c>
      <c r="U56">
        <v>8507769200</v>
      </c>
      <c r="V56">
        <v>8508940800</v>
      </c>
      <c r="W56">
        <v>2.5099999999999998</v>
      </c>
      <c r="X56" t="s">
        <v>24</v>
      </c>
      <c r="Y56">
        <v>23.77</v>
      </c>
      <c r="Z56" t="s">
        <v>24</v>
      </c>
      <c r="AA56" t="s">
        <v>24</v>
      </c>
      <c r="AB56" t="s">
        <v>24</v>
      </c>
      <c r="AC56" t="s">
        <v>24</v>
      </c>
      <c r="AD56" t="s">
        <v>24</v>
      </c>
      <c r="AE56">
        <v>430399960</v>
      </c>
      <c r="AF56" t="s">
        <v>2721</v>
      </c>
      <c r="AG56" t="s">
        <v>2722</v>
      </c>
      <c r="AH56" t="s">
        <v>2723</v>
      </c>
      <c r="AI56" t="s">
        <v>2724</v>
      </c>
      <c r="AJ56" t="s">
        <v>2725</v>
      </c>
      <c r="AK56" t="s">
        <v>24</v>
      </c>
      <c r="AL56" t="s">
        <v>2726</v>
      </c>
      <c r="AM56" t="s">
        <v>24</v>
      </c>
      <c r="AN56" t="s">
        <v>1416</v>
      </c>
      <c r="AO56" t="s">
        <v>24</v>
      </c>
      <c r="AP56" t="s">
        <v>2727</v>
      </c>
      <c r="AQ56" t="s">
        <v>2728</v>
      </c>
      <c r="AR56" t="s">
        <v>2729</v>
      </c>
      <c r="AS56" t="s">
        <v>24</v>
      </c>
      <c r="AT56" t="s">
        <v>24</v>
      </c>
      <c r="AU56" t="s">
        <v>2730</v>
      </c>
      <c r="AV56" t="s">
        <v>339</v>
      </c>
      <c r="AW56" t="s">
        <v>466</v>
      </c>
      <c r="AX56" t="s">
        <v>1414</v>
      </c>
      <c r="AY56" t="s">
        <v>24</v>
      </c>
      <c r="AZ56" t="s">
        <v>596</v>
      </c>
      <c r="BA56" t="s">
        <v>293</v>
      </c>
      <c r="BB56" t="s">
        <v>597</v>
      </c>
      <c r="BC56" t="s">
        <v>1415</v>
      </c>
      <c r="BD56" t="s">
        <v>24</v>
      </c>
      <c r="BE56" t="s">
        <v>24</v>
      </c>
      <c r="BF56" t="s">
        <v>24</v>
      </c>
      <c r="BG56" t="s">
        <v>24</v>
      </c>
      <c r="BH56" t="s">
        <v>2731</v>
      </c>
      <c r="BI56" t="s">
        <v>2732</v>
      </c>
      <c r="BJ56" t="s">
        <v>1414</v>
      </c>
      <c r="BK56" t="s">
        <v>249</v>
      </c>
      <c r="BL56" t="s">
        <v>1405</v>
      </c>
      <c r="BM56" t="s">
        <v>1415</v>
      </c>
      <c r="BN56">
        <v>3.97</v>
      </c>
      <c r="BO56">
        <v>4.0199999999999996</v>
      </c>
      <c r="BP56">
        <v>4.62</v>
      </c>
      <c r="BQ56">
        <v>4.6100000000000003</v>
      </c>
      <c r="BR56">
        <v>4.58</v>
      </c>
      <c r="BS56">
        <v>5.74</v>
      </c>
      <c r="BT56" t="s">
        <v>1115</v>
      </c>
      <c r="BU56" t="s">
        <v>1043</v>
      </c>
      <c r="BV56">
        <v>38.33</v>
      </c>
      <c r="BW56">
        <v>26.81</v>
      </c>
      <c r="BX56">
        <v>22.2</v>
      </c>
      <c r="BY56">
        <v>12.9</v>
      </c>
      <c r="BZ56">
        <v>13.78</v>
      </c>
      <c r="CA56">
        <v>13.52</v>
      </c>
      <c r="CB56">
        <v>2.5299999999999998</v>
      </c>
      <c r="CC56">
        <v>-27.35</v>
      </c>
      <c r="CD56" t="s">
        <v>497</v>
      </c>
      <c r="CE56" t="s">
        <v>691</v>
      </c>
      <c r="CF56" s="8">
        <v>4.4603033006244426E-4</v>
      </c>
      <c r="CG56" s="9">
        <v>2.1250727731092436</v>
      </c>
      <c r="CH56" s="8">
        <v>-0.29327854514122009</v>
      </c>
      <c r="CI56" s="8" t="s">
        <v>24</v>
      </c>
      <c r="CJ56" s="8" t="s">
        <v>24</v>
      </c>
      <c r="CK56" s="8">
        <v>-6.8737365305423737E-2</v>
      </c>
      <c r="CL56" s="8">
        <v>-0.14030298590660095</v>
      </c>
      <c r="CM56" s="9">
        <v>-0.6986006498336792</v>
      </c>
      <c r="CN56" s="9" t="s">
        <v>24</v>
      </c>
      <c r="CO56" s="9" t="s">
        <v>24</v>
      </c>
      <c r="CP56" s="9" t="s">
        <v>24</v>
      </c>
      <c r="CQ56" s="9" t="s">
        <v>24</v>
      </c>
      <c r="CR56">
        <v>11.401558312655087</v>
      </c>
      <c r="CS56">
        <v>0.68093546124355975</v>
      </c>
      <c r="CT56">
        <v>0</v>
      </c>
      <c r="CU56" s="8">
        <v>-0.16743963211774826</v>
      </c>
      <c r="CV56" s="9">
        <v>-0.6986006498336792</v>
      </c>
      <c r="CW56">
        <v>0.06</v>
      </c>
      <c r="CX56">
        <v>67.597292857142861</v>
      </c>
      <c r="CY56" t="s">
        <v>2733</v>
      </c>
      <c r="CZ56">
        <v>-0.16743963211774826</v>
      </c>
      <c r="DA56">
        <v>22.532430952380953</v>
      </c>
      <c r="DB56" t="s">
        <v>2734</v>
      </c>
      <c r="DC56">
        <v>-0.15906765051186084</v>
      </c>
      <c r="DD56">
        <v>11.266215476190476</v>
      </c>
      <c r="DE56" t="s">
        <v>2735</v>
      </c>
      <c r="DF56">
        <v>-0.14734687626361848</v>
      </c>
      <c r="DG56">
        <v>6.7597292857142861</v>
      </c>
      <c r="DH56" t="s">
        <v>2736</v>
      </c>
      <c r="DI56">
        <v>-0.13395170569419862</v>
      </c>
      <c r="DJ56">
        <v>3.3798646428571431</v>
      </c>
      <c r="DK56" t="s">
        <v>2737</v>
      </c>
      <c r="DL56">
        <v>-0.11720774248242377</v>
      </c>
      <c r="DM56">
        <v>560000000</v>
      </c>
      <c r="DN56">
        <v>-0.16743963211774826</v>
      </c>
      <c r="DO56">
        <v>37854484000</v>
      </c>
      <c r="DP56">
        <v>51617733000</v>
      </c>
      <c r="DQ56">
        <v>3007</v>
      </c>
      <c r="DR56">
        <v>0.1678856624478107</v>
      </c>
      <c r="DS56">
        <v>2.8236734229429228</v>
      </c>
      <c r="DT56" s="10">
        <v>-0.91</v>
      </c>
      <c r="DU56">
        <v>-2.3199999999999998</v>
      </c>
      <c r="DV56">
        <v>-3.23</v>
      </c>
      <c r="DW56">
        <v>6.0846720214190091</v>
      </c>
      <c r="DX56">
        <v>0.37762459940369431</v>
      </c>
      <c r="DY56">
        <v>6.0226603158129635</v>
      </c>
      <c r="DZ56">
        <v>3666</v>
      </c>
      <c r="EA56">
        <v>6.0064034238813928</v>
      </c>
      <c r="EB56">
        <v>6</v>
      </c>
      <c r="EC56">
        <v>7.0043970690217991E-2</v>
      </c>
      <c r="ED56">
        <v>0.26172470256227426</v>
      </c>
      <c r="EE56" s="11">
        <v>8.8009999999999991E-2</v>
      </c>
      <c r="EF56">
        <v>0.10630999999999999</v>
      </c>
      <c r="EG56">
        <v>11.267624599403694</v>
      </c>
      <c r="EH56">
        <v>-1</v>
      </c>
      <c r="EI56">
        <v>0</v>
      </c>
      <c r="EJ56">
        <v>0</v>
      </c>
      <c r="EK56" s="13">
        <v>45470</v>
      </c>
      <c r="EL56" s="14">
        <v>1.74</v>
      </c>
      <c r="EM56" s="14">
        <v>-7.58</v>
      </c>
      <c r="EN56" s="14">
        <v>-2.38</v>
      </c>
      <c r="EO56" s="14">
        <v>3.52</v>
      </c>
      <c r="EP56" s="14">
        <v>-1.83</v>
      </c>
    </row>
    <row r="57" spans="1:146" ht="88.5" customHeight="1" x14ac:dyDescent="0.25">
      <c r="C57" s="16" t="str">
        <f>""&amp;CHAR(10)&amp;Basic_Fundamental_Information_Constructure(F57)&amp;CHAR(10)&amp;Basic_Fundamental_Information_Concatenate("")</f>
        <v xml:space="preserve">
市值141.70033亿, 利润39.62亿; PE; 平均PE7.79; 平均PEG0, PB2.54; ROIC2.52%; ROE-1.7533%; 股利率0%; 毛利35.04%; 净利-46.1533%; 上一年度营收增42685.55%, 利润增1326.63%; 当季营收增-99.79%, 利润增-107.81%; 过往5年营收增14213.1%, 利润增1326.63%
Income profile:
</v>
      </c>
      <c r="D57" t="s">
        <v>2738</v>
      </c>
      <c r="E57" t="s">
        <v>2739</v>
      </c>
      <c r="F57">
        <v>7.13</v>
      </c>
      <c r="G57">
        <v>-0.42</v>
      </c>
      <c r="H57" t="s">
        <v>2740</v>
      </c>
      <c r="I57">
        <v>14170033000</v>
      </c>
      <c r="K57">
        <v>2.54</v>
      </c>
      <c r="L57" t="s">
        <v>1589</v>
      </c>
      <c r="M57" t="s">
        <v>2741</v>
      </c>
      <c r="N57" t="s">
        <v>2742</v>
      </c>
      <c r="O57" t="s">
        <v>2743</v>
      </c>
      <c r="P57" s="5">
        <v>-39.92</v>
      </c>
      <c r="Q57" t="s">
        <v>2744</v>
      </c>
      <c r="R57">
        <v>-63839976</v>
      </c>
      <c r="S57">
        <v>-1.347</v>
      </c>
      <c r="T57" t="s">
        <v>92</v>
      </c>
      <c r="U57">
        <v>1987382000</v>
      </c>
      <c r="V57">
        <v>1987382000</v>
      </c>
      <c r="W57">
        <v>1.44</v>
      </c>
      <c r="X57" t="s">
        <v>24</v>
      </c>
      <c r="Y57">
        <v>-86.16</v>
      </c>
      <c r="Z57" t="s">
        <v>24</v>
      </c>
      <c r="AA57" t="s">
        <v>24</v>
      </c>
      <c r="AB57" t="s">
        <v>24</v>
      </c>
      <c r="AC57" t="s">
        <v>24</v>
      </c>
      <c r="AD57" t="s">
        <v>24</v>
      </c>
      <c r="AE57">
        <v>16424178</v>
      </c>
      <c r="AF57" t="s">
        <v>2745</v>
      </c>
      <c r="AG57" t="s">
        <v>2746</v>
      </c>
      <c r="AH57" t="s">
        <v>2747</v>
      </c>
      <c r="AI57" t="s">
        <v>2748</v>
      </c>
      <c r="AJ57" t="s">
        <v>2749</v>
      </c>
      <c r="AK57" t="s">
        <v>24</v>
      </c>
      <c r="AL57" t="s">
        <v>2750</v>
      </c>
      <c r="AM57" t="s">
        <v>24</v>
      </c>
      <c r="AN57">
        <v>0</v>
      </c>
      <c r="AO57" t="s">
        <v>24</v>
      </c>
      <c r="AP57" t="s">
        <v>24</v>
      </c>
      <c r="AQ57" t="s">
        <v>1058</v>
      </c>
      <c r="AR57" t="s">
        <v>2751</v>
      </c>
      <c r="AS57" t="s">
        <v>24</v>
      </c>
      <c r="AT57" t="s">
        <v>24</v>
      </c>
      <c r="AU57" t="s">
        <v>2752</v>
      </c>
      <c r="AV57" t="s">
        <v>2753</v>
      </c>
      <c r="AW57" t="s">
        <v>2754</v>
      </c>
      <c r="AX57" t="s">
        <v>1054</v>
      </c>
      <c r="AY57" t="s">
        <v>24</v>
      </c>
      <c r="AZ57" t="s">
        <v>1723</v>
      </c>
      <c r="BA57" t="s">
        <v>2755</v>
      </c>
      <c r="BB57" t="s">
        <v>2756</v>
      </c>
      <c r="BC57" t="s">
        <v>2757</v>
      </c>
      <c r="BD57" t="s">
        <v>24</v>
      </c>
      <c r="BE57" t="s">
        <v>24</v>
      </c>
      <c r="BF57" t="s">
        <v>24</v>
      </c>
      <c r="BG57" t="s">
        <v>24</v>
      </c>
      <c r="BH57" t="s">
        <v>1086</v>
      </c>
      <c r="BI57" t="s">
        <v>2758</v>
      </c>
      <c r="BJ57" t="s">
        <v>1054</v>
      </c>
      <c r="BK57" t="s">
        <v>732</v>
      </c>
      <c r="BL57" t="s">
        <v>2759</v>
      </c>
      <c r="BM57" t="s">
        <v>2757</v>
      </c>
      <c r="BN57" t="s">
        <v>24</v>
      </c>
      <c r="BO57" t="s">
        <v>24</v>
      </c>
      <c r="BP57">
        <v>2.52</v>
      </c>
      <c r="BQ57">
        <v>-2.85</v>
      </c>
      <c r="BR57">
        <v>-5.04</v>
      </c>
      <c r="BS57">
        <v>2.63</v>
      </c>
      <c r="BT57" t="s">
        <v>1115</v>
      </c>
      <c r="BU57" t="s">
        <v>1043</v>
      </c>
      <c r="BV57">
        <v>30.9</v>
      </c>
      <c r="BW57">
        <v>39.06</v>
      </c>
      <c r="BX57">
        <v>35.159999999999997</v>
      </c>
      <c r="BY57">
        <v>-79.39</v>
      </c>
      <c r="BZ57">
        <v>-81.209999999999994</v>
      </c>
      <c r="CA57">
        <v>22.14</v>
      </c>
      <c r="CB57">
        <v>6.1</v>
      </c>
      <c r="CC57" s="8">
        <v>-5.31</v>
      </c>
      <c r="CD57" s="9" t="s">
        <v>280</v>
      </c>
      <c r="CE57" s="8" t="s">
        <v>2760</v>
      </c>
      <c r="CF57" s="8">
        <v>-0.99785398558883132</v>
      </c>
      <c r="CG57" s="8">
        <v>-1.0781395055079559</v>
      </c>
      <c r="CH57" s="8">
        <v>426.85546875</v>
      </c>
      <c r="CI57" s="8" t="s">
        <v>24</v>
      </c>
      <c r="CJ57" s="9" t="s">
        <v>24</v>
      </c>
      <c r="CK57" s="9">
        <v>0.23481407761573792</v>
      </c>
      <c r="CL57" s="9">
        <v>-0.69739365577697754</v>
      </c>
      <c r="CM57" s="9">
        <v>13.266253471374512</v>
      </c>
      <c r="CN57" s="9" t="s">
        <v>24</v>
      </c>
      <c r="CO57" t="s">
        <v>24</v>
      </c>
      <c r="CP57" t="s">
        <v>24</v>
      </c>
      <c r="CQ57" t="s">
        <v>24</v>
      </c>
      <c r="CR57" s="8">
        <v>7.7878719428414414</v>
      </c>
      <c r="CS57" s="9">
        <v>5.4793633810128228E-4</v>
      </c>
      <c r="CT57">
        <v>0</v>
      </c>
      <c r="CU57">
        <v>142.13096305727959</v>
      </c>
      <c r="CV57">
        <v>13.266253471374512</v>
      </c>
      <c r="CW57">
        <v>0.06</v>
      </c>
      <c r="CX57">
        <v>2.0695940738854442E-2</v>
      </c>
      <c r="CY57">
        <v>534985731729.19019</v>
      </c>
      <c r="CZ57">
        <v>142.13096305727959</v>
      </c>
      <c r="DA57">
        <v>1.3121470606065081E-6</v>
      </c>
      <c r="DB57">
        <v>8438103725113114</v>
      </c>
      <c r="DC57">
        <v>135.02441490441561</v>
      </c>
      <c r="DD57">
        <v>9.7881873044229785E-13</v>
      </c>
      <c r="DE57">
        <v>1.1311627634053233E+22</v>
      </c>
      <c r="DF57">
        <v>125.07524749040604</v>
      </c>
      <c r="DG57">
        <v>1.2575484535912759E-20</v>
      </c>
      <c r="DH57">
        <v>8.8044583637161339E+29</v>
      </c>
      <c r="DI57">
        <v>113.70477044582367</v>
      </c>
      <c r="DJ57">
        <v>8.0393927847781987E-40</v>
      </c>
      <c r="DK57">
        <v>1.3772225460813169E+49</v>
      </c>
      <c r="DL57">
        <v>99.491674140095711</v>
      </c>
      <c r="DM57">
        <v>3961999999.9999995</v>
      </c>
      <c r="DN57">
        <v>142.13096305727959</v>
      </c>
      <c r="DO57">
        <v>11072033000</v>
      </c>
      <c r="DP57">
        <v>2777618700</v>
      </c>
      <c r="DQ57" s="10">
        <v>3038</v>
      </c>
      <c r="DR57">
        <v>-143.12881704286841</v>
      </c>
      <c r="DS57">
        <v>-14.344392976882467</v>
      </c>
      <c r="DT57">
        <v>-0.21000000000000008</v>
      </c>
      <c r="DU57">
        <v>-1.7950000000000002</v>
      </c>
      <c r="DV57">
        <v>-2.0050000000000003</v>
      </c>
      <c r="DW57">
        <v>5.8704918032786884</v>
      </c>
      <c r="DX57">
        <v>0.25900789974370569</v>
      </c>
      <c r="DY57">
        <v>5.1558249094490289</v>
      </c>
      <c r="DZ57">
        <v>4845</v>
      </c>
      <c r="EA57">
        <v>5.0080809395311139</v>
      </c>
      <c r="EB57" s="11">
        <v>5</v>
      </c>
      <c r="EC57" s="11">
        <v>0.12529045749634446</v>
      </c>
      <c r="ED57">
        <v>0.6999157685839964</v>
      </c>
      <c r="EE57">
        <v>-5.0301099999999996</v>
      </c>
      <c r="EF57">
        <v>-5.05891</v>
      </c>
      <c r="EG57">
        <v>8.1790078997437057</v>
      </c>
      <c r="EH57" s="13" t="s">
        <v>2761</v>
      </c>
      <c r="EI57">
        <v>1</v>
      </c>
      <c r="EJ57">
        <v>0</v>
      </c>
      <c r="EK57">
        <v>45470</v>
      </c>
      <c r="EL57">
        <v>-2.52</v>
      </c>
      <c r="EM57">
        <v>-4.0599999999999996</v>
      </c>
      <c r="EN57" s="14">
        <v>2.31</v>
      </c>
      <c r="EO57" s="14">
        <v>4.51</v>
      </c>
      <c r="EP57" s="14">
        <v>-2.88</v>
      </c>
    </row>
    <row r="58" spans="1:146" ht="88.5" customHeight="1" x14ac:dyDescent="0.25">
      <c r="A58" s="7"/>
      <c r="B58" s="7"/>
      <c r="C58" s="16" t="str">
        <f>""&amp;CHAR(10)&amp;Basic_Fundamental_Information_Constructure(F58)&amp;CHAR(10)&amp;Basic_Fundamental_Information_Concatenate("")</f>
        <v xml:space="preserve">
市值89.20434亿, 利润-9317.13万; PE53.67; 平均PE-17.51; 平均PEG-1.04, PB.448; ROIC1.28%; ROE-.6067%; 股利率2.4155%; 毛利18.7933%; 净利.2267%; 上一年度营收增-57.77%, 利润增89.94%; 当季营收增-59.73%, 利润增-242.28%; 过往5年营收增-16.81%, 利润增89.94%
Income profile:
</v>
      </c>
      <c r="D58" t="s">
        <v>301</v>
      </c>
      <c r="E58" t="s">
        <v>302</v>
      </c>
      <c r="F58">
        <v>4.1399999999999997</v>
      </c>
      <c r="G58">
        <v>-2.36</v>
      </c>
      <c r="H58" t="s">
        <v>2762</v>
      </c>
      <c r="I58">
        <v>8920434000</v>
      </c>
      <c r="J58">
        <v>53.67</v>
      </c>
      <c r="K58">
        <v>0.44800000000000001</v>
      </c>
      <c r="L58" t="s">
        <v>1589</v>
      </c>
      <c r="M58" t="s">
        <v>2763</v>
      </c>
      <c r="N58" t="s">
        <v>2764</v>
      </c>
      <c r="O58" t="s">
        <v>192</v>
      </c>
      <c r="P58">
        <v>-8.86</v>
      </c>
      <c r="Q58" t="s">
        <v>2765</v>
      </c>
      <c r="R58">
        <v>-330099780</v>
      </c>
      <c r="S58" s="5">
        <v>-6.274</v>
      </c>
      <c r="T58" t="s">
        <v>2766</v>
      </c>
      <c r="U58">
        <v>2154694200</v>
      </c>
      <c r="V58">
        <v>2154694200</v>
      </c>
      <c r="W58">
        <v>5.33</v>
      </c>
      <c r="X58" t="s">
        <v>24</v>
      </c>
      <c r="Y58">
        <v>-29.59</v>
      </c>
      <c r="Z58" t="s">
        <v>24</v>
      </c>
      <c r="AA58" t="s">
        <v>24</v>
      </c>
      <c r="AB58" t="s">
        <v>24</v>
      </c>
      <c r="AC58" t="s">
        <v>24</v>
      </c>
      <c r="AD58" t="s">
        <v>24</v>
      </c>
      <c r="AE58">
        <v>53406450</v>
      </c>
      <c r="AF58" t="s">
        <v>2767</v>
      </c>
      <c r="AG58" t="s">
        <v>2768</v>
      </c>
      <c r="AH58" t="s">
        <v>2769</v>
      </c>
      <c r="AI58" t="s">
        <v>2770</v>
      </c>
      <c r="AJ58" t="s">
        <v>2771</v>
      </c>
      <c r="AK58" t="s">
        <v>24</v>
      </c>
      <c r="AL58" t="s">
        <v>2772</v>
      </c>
      <c r="AM58" t="s">
        <v>24</v>
      </c>
      <c r="AN58">
        <v>0</v>
      </c>
      <c r="AO58" t="s">
        <v>24</v>
      </c>
      <c r="AP58" t="s">
        <v>2773</v>
      </c>
      <c r="AQ58" t="s">
        <v>2774</v>
      </c>
      <c r="AR58" t="s">
        <v>2775</v>
      </c>
      <c r="AS58" t="s">
        <v>24</v>
      </c>
      <c r="AT58" t="s">
        <v>24</v>
      </c>
      <c r="AU58" t="s">
        <v>2776</v>
      </c>
      <c r="AV58" t="s">
        <v>2777</v>
      </c>
      <c r="AW58" t="s">
        <v>2778</v>
      </c>
      <c r="AX58" t="s">
        <v>1582</v>
      </c>
      <c r="AY58" t="s">
        <v>24</v>
      </c>
      <c r="AZ58" t="s">
        <v>601</v>
      </c>
      <c r="BA58" t="s">
        <v>303</v>
      </c>
      <c r="BB58" t="s">
        <v>602</v>
      </c>
      <c r="BC58" t="s">
        <v>1583</v>
      </c>
      <c r="BD58" t="s">
        <v>24</v>
      </c>
      <c r="BE58" t="s">
        <v>24</v>
      </c>
      <c r="BF58" t="s">
        <v>24</v>
      </c>
      <c r="BG58" t="s">
        <v>24</v>
      </c>
      <c r="BH58" t="s">
        <v>2779</v>
      </c>
      <c r="BI58" t="s">
        <v>2094</v>
      </c>
      <c r="BJ58" t="s">
        <v>1582</v>
      </c>
      <c r="BK58" t="s">
        <v>572</v>
      </c>
      <c r="BL58" t="s">
        <v>901</v>
      </c>
      <c r="BM58" t="s">
        <v>1583</v>
      </c>
      <c r="BN58">
        <v>1.07</v>
      </c>
      <c r="BO58" t="s">
        <v>24</v>
      </c>
      <c r="BP58">
        <v>1.49</v>
      </c>
      <c r="BQ58">
        <v>2.0699999999999998</v>
      </c>
      <c r="BR58">
        <v>-5.55</v>
      </c>
      <c r="BS58">
        <v>1.66</v>
      </c>
      <c r="BT58" t="s">
        <v>1452</v>
      </c>
      <c r="BU58" t="s">
        <v>1043</v>
      </c>
      <c r="BV58">
        <v>20.39</v>
      </c>
      <c r="BW58">
        <v>13.73</v>
      </c>
      <c r="BX58">
        <v>22.26</v>
      </c>
      <c r="BY58">
        <v>0.45</v>
      </c>
      <c r="BZ58">
        <v>-3.6</v>
      </c>
      <c r="CA58">
        <v>3.83</v>
      </c>
      <c r="CB58">
        <v>10.7</v>
      </c>
      <c r="CC58">
        <v>-28.13</v>
      </c>
      <c r="CD58" t="s">
        <v>1567</v>
      </c>
      <c r="CE58" t="s">
        <v>2780</v>
      </c>
      <c r="CF58" s="8">
        <v>-0.59725848563968664</v>
      </c>
      <c r="CG58" s="9">
        <v>-2.4228438793103453</v>
      </c>
      <c r="CH58" s="8">
        <v>-0.57768094539642334</v>
      </c>
      <c r="CI58" s="8" t="s">
        <v>24</v>
      </c>
      <c r="CJ58" s="8" t="s">
        <v>24</v>
      </c>
      <c r="CK58" s="8">
        <v>-0.15463727712631226</v>
      </c>
      <c r="CL58" s="8">
        <v>0.22800984978675842</v>
      </c>
      <c r="CM58" s="9">
        <v>0.89938300848007202</v>
      </c>
      <c r="CN58" s="9" t="s">
        <v>24</v>
      </c>
      <c r="CO58" s="9" t="s">
        <v>24</v>
      </c>
      <c r="CP58" s="9" t="s">
        <v>24</v>
      </c>
      <c r="CQ58" s="9" t="s">
        <v>24</v>
      </c>
      <c r="CR58">
        <v>-17.505269231973074</v>
      </c>
      <c r="CS58">
        <v>-1.0413431649173321</v>
      </c>
      <c r="CT58">
        <v>2.4154589371980677</v>
      </c>
      <c r="CU58" s="8">
        <v>-0.1681027909119924</v>
      </c>
      <c r="CV58" s="9">
        <v>0.89938300848007202</v>
      </c>
      <c r="CW58">
        <v>0.06</v>
      </c>
      <c r="CX58" t="e">
        <v>#VALUE!</v>
      </c>
      <c r="CY58" t="s">
        <v>849</v>
      </c>
      <c r="CZ58">
        <v>-0.1681027909119924</v>
      </c>
      <c r="DA58" t="e">
        <v>#VALUE!</v>
      </c>
      <c r="DB58" t="s">
        <v>850</v>
      </c>
      <c r="DC58">
        <v>-0.15969765136639277</v>
      </c>
      <c r="DD58" t="e">
        <v>#VALUE!</v>
      </c>
      <c r="DE58" t="s">
        <v>850</v>
      </c>
      <c r="DF58">
        <v>-0.14793045600255331</v>
      </c>
      <c r="DG58" t="e">
        <v>#VALUE!</v>
      </c>
      <c r="DH58" t="s">
        <v>850</v>
      </c>
      <c r="DI58">
        <v>-0.13448223272959392</v>
      </c>
      <c r="DJ58" t="e">
        <v>#VALUE!</v>
      </c>
      <c r="DK58" t="s">
        <v>850</v>
      </c>
      <c r="DL58">
        <v>-0.11767195363839467</v>
      </c>
      <c r="DM58">
        <v>-93171299.999999985</v>
      </c>
      <c r="DN58">
        <v>-0.1681027909119924</v>
      </c>
      <c r="DO58">
        <v>94607434000</v>
      </c>
      <c r="DP58">
        <v>121452733000</v>
      </c>
      <c r="DQ58">
        <v>3052</v>
      </c>
      <c r="DR58">
        <v>-0.42915569472769421</v>
      </c>
      <c r="DS58">
        <v>-3.3222268877904173</v>
      </c>
      <c r="DT58" s="10">
        <v>-0.91</v>
      </c>
      <c r="DU58">
        <v>-2.9449999999999998</v>
      </c>
      <c r="DV58">
        <v>-3.855</v>
      </c>
      <c r="DW58">
        <v>7.2755601339170743</v>
      </c>
      <c r="DX58">
        <v>0.35583255575594752</v>
      </c>
      <c r="DY58">
        <v>7.0512080439502611</v>
      </c>
      <c r="DZ58">
        <v>4526</v>
      </c>
      <c r="EA58">
        <v>7.0058523478800296</v>
      </c>
      <c r="EB58">
        <v>7</v>
      </c>
      <c r="EC58">
        <v>0.18749760406836385</v>
      </c>
      <c r="ED58">
        <v>1.0089598793183738</v>
      </c>
      <c r="EE58" s="11">
        <v>2.0161099999999998</v>
      </c>
      <c r="EF58">
        <v>2.02861</v>
      </c>
      <c r="EG58">
        <v>17.185832555755947</v>
      </c>
      <c r="EH58" t="s">
        <v>833</v>
      </c>
      <c r="EI58">
        <v>1</v>
      </c>
      <c r="EJ58">
        <v>0</v>
      </c>
      <c r="EK58" s="13">
        <v>45470</v>
      </c>
      <c r="EL58" s="14">
        <v>-3.85</v>
      </c>
      <c r="EM58" s="14">
        <v>-6.16</v>
      </c>
      <c r="EN58" s="14">
        <v>-0.15</v>
      </c>
      <c r="EO58" s="14">
        <v>3.51</v>
      </c>
      <c r="EP58" s="14">
        <v>-1.25</v>
      </c>
    </row>
    <row r="59" spans="1:146" ht="88.5" customHeight="1" x14ac:dyDescent="0.25">
      <c r="A59" s="7"/>
      <c r="B59" s="7"/>
      <c r="C59" s="16" t="str">
        <f>""&amp;CHAR(10)&amp;Basic_Fundamental_Information_Constructure(F59)&amp;CHAR(10)&amp;Basic_Fundamental_Information_Concatenate("")</f>
        <v xml:space="preserve">
市值23.10913亿, 利润-2.96亿; PE; 平均PE-3.33; 平均PEG-.16, PB43.09; ROIC0%; ROE-104.0467%; 股利率0%; 毛利15.34%; 净利-48.5667%; 上一年度营收增-27.97%, 利润增83.95%; 当季营收增843.2%, 利润增32.77%; 过往5年营收增21.01%, 利润增-358.95%
Income profile:
</v>
      </c>
      <c r="D59" t="s">
        <v>306</v>
      </c>
      <c r="E59" t="s">
        <v>3811</v>
      </c>
      <c r="F59">
        <v>2.09</v>
      </c>
      <c r="G59">
        <v>0.1</v>
      </c>
      <c r="H59" t="s">
        <v>1417</v>
      </c>
      <c r="I59">
        <v>2310913000</v>
      </c>
      <c r="K59">
        <v>43.09</v>
      </c>
      <c r="L59" t="s">
        <v>1589</v>
      </c>
      <c r="M59" t="s">
        <v>1418</v>
      </c>
      <c r="N59" t="s">
        <v>1419</v>
      </c>
      <c r="O59" t="s">
        <v>1420</v>
      </c>
      <c r="P59">
        <v>841.61</v>
      </c>
      <c r="Q59" t="s">
        <v>1421</v>
      </c>
      <c r="R59">
        <v>-140510860</v>
      </c>
      <c r="S59" s="5">
        <v>0.32879999999999998</v>
      </c>
      <c r="T59" t="s">
        <v>1422</v>
      </c>
      <c r="U59">
        <v>1105700000</v>
      </c>
      <c r="V59">
        <v>1105700000</v>
      </c>
      <c r="W59">
        <v>24.66</v>
      </c>
      <c r="X59">
        <v>0.11</v>
      </c>
      <c r="Y59">
        <v>-6.31</v>
      </c>
      <c r="Z59" t="s">
        <v>1423</v>
      </c>
      <c r="AA59" t="s">
        <v>1424</v>
      </c>
      <c r="AB59" t="s">
        <v>1425</v>
      </c>
      <c r="AC59" t="s">
        <v>1426</v>
      </c>
      <c r="AD59" t="s">
        <v>1427</v>
      </c>
      <c r="AE59">
        <v>142881240</v>
      </c>
      <c r="AF59" t="s">
        <v>1428</v>
      </c>
      <c r="AG59" t="s">
        <v>1429</v>
      </c>
      <c r="AH59" t="s">
        <v>1354</v>
      </c>
      <c r="AI59" t="s">
        <v>260</v>
      </c>
      <c r="AJ59" t="s">
        <v>1430</v>
      </c>
      <c r="AK59" t="s">
        <v>24</v>
      </c>
      <c r="AL59" t="s">
        <v>1431</v>
      </c>
      <c r="AM59" t="s">
        <v>24</v>
      </c>
      <c r="AN59">
        <v>0</v>
      </c>
      <c r="AO59" t="s">
        <v>730</v>
      </c>
      <c r="AP59" t="s">
        <v>24</v>
      </c>
      <c r="AQ59" t="s">
        <v>1432</v>
      </c>
      <c r="AR59" t="s">
        <v>1433</v>
      </c>
      <c r="AS59" t="s">
        <v>1434</v>
      </c>
      <c r="AT59" t="s">
        <v>1082</v>
      </c>
      <c r="AU59" t="s">
        <v>294</v>
      </c>
      <c r="AV59" t="s">
        <v>1435</v>
      </c>
      <c r="AW59" t="s">
        <v>1436</v>
      </c>
      <c r="AX59" t="s">
        <v>909</v>
      </c>
      <c r="AY59" t="s">
        <v>232</v>
      </c>
      <c r="AZ59" t="s">
        <v>307</v>
      </c>
      <c r="BA59" t="s">
        <v>604</v>
      </c>
      <c r="BB59" t="s">
        <v>605</v>
      </c>
      <c r="BC59" t="s">
        <v>910</v>
      </c>
      <c r="BD59" t="s">
        <v>603</v>
      </c>
      <c r="BE59" t="s">
        <v>285</v>
      </c>
      <c r="BF59" t="s">
        <v>467</v>
      </c>
      <c r="BG59" t="s">
        <v>606</v>
      </c>
      <c r="BH59" t="s">
        <v>1421</v>
      </c>
      <c r="BI59" t="s">
        <v>215</v>
      </c>
      <c r="BJ59" t="s">
        <v>909</v>
      </c>
      <c r="BK59" t="s">
        <v>1422</v>
      </c>
      <c r="BL59" t="s">
        <v>1061</v>
      </c>
      <c r="BM59" t="s">
        <v>910</v>
      </c>
      <c r="BN59" t="s">
        <v>24</v>
      </c>
      <c r="BO59" t="s">
        <v>24</v>
      </c>
      <c r="BP59" t="s">
        <v>24</v>
      </c>
      <c r="BQ59">
        <v>-86.52</v>
      </c>
      <c r="BR59">
        <v>-151.53</v>
      </c>
      <c r="BS59">
        <v>-74.09</v>
      </c>
      <c r="BT59" t="s">
        <v>1115</v>
      </c>
      <c r="BU59" t="s">
        <v>1043</v>
      </c>
      <c r="BV59">
        <v>10.95</v>
      </c>
      <c r="BW59">
        <v>19.23</v>
      </c>
      <c r="BX59">
        <v>15.84</v>
      </c>
      <c r="BY59">
        <v>-6.31</v>
      </c>
      <c r="BZ59">
        <v>-37.549999999999997</v>
      </c>
      <c r="CA59">
        <v>-101.84</v>
      </c>
      <c r="CB59">
        <v>14.21</v>
      </c>
      <c r="CC59">
        <v>14.84</v>
      </c>
      <c r="CD59" t="s">
        <v>1088</v>
      </c>
      <c r="CE59" t="s">
        <v>1080</v>
      </c>
      <c r="CF59" s="8">
        <v>8.4320049450549455</v>
      </c>
      <c r="CG59" s="9">
        <v>0.32769923444976079</v>
      </c>
      <c r="CH59" s="8">
        <v>-0.27974274754524231</v>
      </c>
      <c r="CI59" s="8">
        <v>0.69451510906219482</v>
      </c>
      <c r="CJ59" s="8">
        <v>-0.71214973926544189</v>
      </c>
      <c r="CK59" s="8">
        <v>1.8121142387390137</v>
      </c>
      <c r="CL59" s="8">
        <v>-0.46432512998580933</v>
      </c>
      <c r="CM59" s="9">
        <v>0.83947938680648804</v>
      </c>
      <c r="CN59" s="9">
        <v>0.26738178730010986</v>
      </c>
      <c r="CO59" s="9">
        <v>-18.725351333618164</v>
      </c>
      <c r="CP59" s="9">
        <v>5.1851850003004074E-2</v>
      </c>
      <c r="CQ59" s="9">
        <v>-0.38073393702507019</v>
      </c>
      <c r="CR59">
        <v>-3.3314459394521867</v>
      </c>
      <c r="CS59">
        <v>-0.15857810043046983</v>
      </c>
      <c r="CT59">
        <v>0</v>
      </c>
      <c r="CU59" s="8">
        <v>0.21008234620094299</v>
      </c>
      <c r="CV59" s="9">
        <v>-3.5894744493067265</v>
      </c>
      <c r="CW59">
        <v>0.06</v>
      </c>
      <c r="CX59" t="e">
        <v>#VALUE!</v>
      </c>
      <c r="CY59" t="s">
        <v>849</v>
      </c>
      <c r="CZ59">
        <v>0.21008234620094299</v>
      </c>
      <c r="DA59" t="e">
        <v>#VALUE!</v>
      </c>
      <c r="DB59" t="s">
        <v>850</v>
      </c>
      <c r="DC59">
        <v>0.19957822889089583</v>
      </c>
      <c r="DD59" t="e">
        <v>#VALUE!</v>
      </c>
      <c r="DE59" t="s">
        <v>850</v>
      </c>
      <c r="DF59">
        <v>0.18487246465682983</v>
      </c>
      <c r="DG59" t="e">
        <v>#VALUE!</v>
      </c>
      <c r="DH59" t="s">
        <v>850</v>
      </c>
      <c r="DI59">
        <v>0.1680658769607544</v>
      </c>
      <c r="DJ59" t="e">
        <v>#VALUE!</v>
      </c>
      <c r="DK59" t="s">
        <v>850</v>
      </c>
      <c r="DL59">
        <v>0.14705764234066007</v>
      </c>
      <c r="DM59">
        <v>-296000000</v>
      </c>
      <c r="DN59">
        <v>0.21008234620094299</v>
      </c>
      <c r="DO59">
        <v>16775913000</v>
      </c>
      <c r="DP59">
        <v>4181833000</v>
      </c>
      <c r="DQ59">
        <v>3062</v>
      </c>
      <c r="DR59">
        <v>8.2219225988540021</v>
      </c>
      <c r="DS59">
        <v>3.9171736837564874</v>
      </c>
      <c r="DT59" s="10">
        <v>0.42333333333333334</v>
      </c>
      <c r="DU59">
        <v>-2.0316666666666667</v>
      </c>
      <c r="DV59">
        <v>-1.6083333333333334</v>
      </c>
      <c r="DW59">
        <v>9.9575471698113205</v>
      </c>
      <c r="DX59">
        <v>1.160353982300881</v>
      </c>
      <c r="DY59">
        <v>9.1631219736183009</v>
      </c>
      <c r="DZ59">
        <v>4370</v>
      </c>
      <c r="EA59">
        <v>9.0218250410688512</v>
      </c>
      <c r="EB59">
        <v>9</v>
      </c>
      <c r="EC59">
        <v>0.13927828524916341</v>
      </c>
      <c r="ED59">
        <v>0.81758162250158262</v>
      </c>
      <c r="EE59" s="11">
        <v>0.1143</v>
      </c>
      <c r="EF59">
        <v>0.1153</v>
      </c>
      <c r="EG59">
        <v>99.170353982300881</v>
      </c>
      <c r="EH59" t="s">
        <v>863</v>
      </c>
      <c r="EI59">
        <v>1</v>
      </c>
      <c r="EJ59">
        <v>0</v>
      </c>
      <c r="EK59" s="13">
        <v>45128</v>
      </c>
      <c r="EL59" s="14">
        <v>-5.4999999999999997E-3</v>
      </c>
      <c r="EM59" s="14">
        <v>1.65</v>
      </c>
      <c r="EN59" s="14">
        <v>0.67</v>
      </c>
      <c r="EO59" s="14">
        <v>0.17</v>
      </c>
      <c r="EP59" s="14">
        <v>1.8200000000000001E-2</v>
      </c>
    </row>
    <row r="60" spans="1:146" ht="88.5" customHeight="1" x14ac:dyDescent="0.25">
      <c r="A60" s="7"/>
      <c r="B60" s="7"/>
      <c r="C60" s="16" t="str">
        <f>""&amp;CHAR(10)&amp;Basic_Fundamental_Information_Constructure(F60)&amp;CHAR(10)&amp;Basic_Fundamental_Information_Concatenate("")</f>
        <v xml:space="preserve">
市值169.80779亿, 利润-5.36亿; PE10.31; 平均PE7.7; 平均PEG2.03, PB.757; ROIC1.9133%; ROE14.5867%; 股利率5.9968%; 毛利21.3733%; 净利7.3033%; 上一年度营收增-93.24%, 利润增-120.54%; 当季营收增1215.79%, 利润增512.74%; 过往5年营收增3.79%, 利润增-20.53%
Income profile:
</v>
      </c>
      <c r="D60" t="s">
        <v>308</v>
      </c>
      <c r="E60" t="s">
        <v>2781</v>
      </c>
      <c r="F60">
        <v>6.17</v>
      </c>
      <c r="G60">
        <v>-3.14</v>
      </c>
      <c r="H60" t="s">
        <v>2782</v>
      </c>
      <c r="I60">
        <v>16980779000</v>
      </c>
      <c r="J60">
        <v>10.31</v>
      </c>
      <c r="K60">
        <v>0.75700000000000001</v>
      </c>
      <c r="L60" t="s">
        <v>1589</v>
      </c>
      <c r="M60" t="s">
        <v>2783</v>
      </c>
      <c r="N60" t="s">
        <v>2784</v>
      </c>
      <c r="O60" t="s">
        <v>2785</v>
      </c>
      <c r="P60">
        <v>-41.46</v>
      </c>
      <c r="Q60" t="s">
        <v>2786</v>
      </c>
      <c r="R60">
        <v>348976940</v>
      </c>
      <c r="S60" s="5">
        <v>-0.35339999999999999</v>
      </c>
      <c r="T60" t="s">
        <v>2787</v>
      </c>
      <c r="U60">
        <v>2571240600</v>
      </c>
      <c r="V60">
        <v>2752152100</v>
      </c>
      <c r="W60">
        <v>3.49</v>
      </c>
      <c r="X60">
        <v>0.02</v>
      </c>
      <c r="Y60">
        <v>6.17</v>
      </c>
      <c r="Z60" t="s">
        <v>2788</v>
      </c>
      <c r="AA60" t="s">
        <v>2789</v>
      </c>
      <c r="AB60" t="s">
        <v>2711</v>
      </c>
      <c r="AC60" t="s">
        <v>1145</v>
      </c>
      <c r="AD60" t="s">
        <v>24</v>
      </c>
      <c r="AE60">
        <v>69120756</v>
      </c>
      <c r="AF60" t="s">
        <v>2790</v>
      </c>
      <c r="AG60" t="s">
        <v>2791</v>
      </c>
      <c r="AH60" t="s">
        <v>2792</v>
      </c>
      <c r="AI60" t="s">
        <v>2793</v>
      </c>
      <c r="AJ60" t="s">
        <v>2794</v>
      </c>
      <c r="AK60" t="s">
        <v>2795</v>
      </c>
      <c r="AL60" t="s">
        <v>2796</v>
      </c>
      <c r="AM60" t="s">
        <v>24</v>
      </c>
      <c r="AN60" t="s">
        <v>2797</v>
      </c>
      <c r="AO60" t="s">
        <v>2123</v>
      </c>
      <c r="AP60" t="s">
        <v>24</v>
      </c>
      <c r="AQ60" t="s">
        <v>2798</v>
      </c>
      <c r="AR60" t="s">
        <v>2799</v>
      </c>
      <c r="AS60" t="s">
        <v>2800</v>
      </c>
      <c r="AT60" t="s">
        <v>2801</v>
      </c>
      <c r="AU60" t="s">
        <v>250</v>
      </c>
      <c r="AV60" t="s">
        <v>2802</v>
      </c>
      <c r="AW60" t="s">
        <v>2803</v>
      </c>
      <c r="AX60" t="s">
        <v>2804</v>
      </c>
      <c r="AY60" t="s">
        <v>911</v>
      </c>
      <c r="AZ60" t="s">
        <v>607</v>
      </c>
      <c r="BA60" t="s">
        <v>309</v>
      </c>
      <c r="BB60" t="s">
        <v>610</v>
      </c>
      <c r="BC60" t="s">
        <v>2805</v>
      </c>
      <c r="BD60" t="s">
        <v>912</v>
      </c>
      <c r="BE60" t="s">
        <v>608</v>
      </c>
      <c r="BF60" t="s">
        <v>611</v>
      </c>
      <c r="BG60" t="s">
        <v>612</v>
      </c>
      <c r="BH60" t="s">
        <v>2806</v>
      </c>
      <c r="BI60" t="s">
        <v>952</v>
      </c>
      <c r="BJ60" t="s">
        <v>2804</v>
      </c>
      <c r="BK60" t="s">
        <v>2807</v>
      </c>
      <c r="BL60" t="s">
        <v>2808</v>
      </c>
      <c r="BM60" t="s">
        <v>2805</v>
      </c>
      <c r="BN60">
        <v>1.33</v>
      </c>
      <c r="BO60">
        <v>2.1</v>
      </c>
      <c r="BP60">
        <v>2.31</v>
      </c>
      <c r="BQ60">
        <v>12.22</v>
      </c>
      <c r="BR60">
        <v>13.74</v>
      </c>
      <c r="BS60">
        <v>17.8</v>
      </c>
      <c r="BT60" t="s">
        <v>1440</v>
      </c>
      <c r="BU60" t="s">
        <v>1043</v>
      </c>
      <c r="BV60">
        <v>18.14</v>
      </c>
      <c r="BW60">
        <v>20.18</v>
      </c>
      <c r="BX60">
        <v>25.8</v>
      </c>
      <c r="BY60">
        <v>4.8</v>
      </c>
      <c r="BZ60">
        <v>7.98</v>
      </c>
      <c r="CA60">
        <v>9.1300000000000008</v>
      </c>
      <c r="CB60">
        <v>0.65</v>
      </c>
      <c r="CC60">
        <v>-14.31</v>
      </c>
      <c r="CD60" t="s">
        <v>705</v>
      </c>
      <c r="CE60" t="s">
        <v>2809</v>
      </c>
      <c r="CF60" s="8">
        <v>12.157894736842104</v>
      </c>
      <c r="CG60" s="9">
        <v>5.1274476849875166</v>
      </c>
      <c r="CH60" s="8">
        <v>-0.932403564453125</v>
      </c>
      <c r="CI60" s="8">
        <v>0.17966076731681824</v>
      </c>
      <c r="CJ60" s="8">
        <v>4.6072970144450665E-3</v>
      </c>
      <c r="CK60" s="8">
        <v>0.5386890172958374</v>
      </c>
      <c r="CL60" s="8">
        <v>0.39875102043151855</v>
      </c>
      <c r="CM60" s="9">
        <v>-1.2053639888763428</v>
      </c>
      <c r="CN60" s="9">
        <v>-0.18309864401817322</v>
      </c>
      <c r="CO60" s="9">
        <v>0.10096482187509537</v>
      </c>
      <c r="CP60" s="9">
        <v>4.2759634554386139E-2</v>
      </c>
      <c r="CQ60" s="9">
        <v>0.21847638487815857</v>
      </c>
      <c r="CR60">
        <v>7.6963796646019027</v>
      </c>
      <c r="CS60">
        <v>2.0328037990935428</v>
      </c>
      <c r="CT60">
        <v>5.9967585089141009</v>
      </c>
      <c r="CU60" s="8">
        <v>3.7860907521098851E-2</v>
      </c>
      <c r="CV60" s="9">
        <v>-0.20525235831737518</v>
      </c>
      <c r="CW60">
        <v>0.06</v>
      </c>
      <c r="CX60" t="e">
        <v>#VALUE!</v>
      </c>
      <c r="CY60" t="s">
        <v>850</v>
      </c>
      <c r="CZ60">
        <v>3.7860907521098851E-2</v>
      </c>
      <c r="DA60" t="e">
        <v>#VALUE!</v>
      </c>
      <c r="DB60" t="s">
        <v>850</v>
      </c>
      <c r="DC60">
        <v>3.5967862145043904E-2</v>
      </c>
      <c r="DD60" t="e">
        <v>#VALUE!</v>
      </c>
      <c r="DE60" t="s">
        <v>850</v>
      </c>
      <c r="DF60">
        <v>3.3317598618566986E-2</v>
      </c>
      <c r="DG60" t="e">
        <v>#VALUE!</v>
      </c>
      <c r="DH60" t="s">
        <v>850</v>
      </c>
      <c r="DI60">
        <v>3.0288726016879083E-2</v>
      </c>
      <c r="DJ60" t="e">
        <v>#VALUE!</v>
      </c>
      <c r="DK60" t="s">
        <v>850</v>
      </c>
      <c r="DL60">
        <v>2.6502635264769193E-2</v>
      </c>
      <c r="DM60">
        <v>-536000000.00000006</v>
      </c>
      <c r="DN60">
        <v>3.7860907521098851E-2</v>
      </c>
      <c r="DO60">
        <v>205344779000</v>
      </c>
      <c r="DP60">
        <v>185558480000.00003</v>
      </c>
      <c r="DQ60">
        <v>3097</v>
      </c>
      <c r="DR60">
        <v>12.120033829321006</v>
      </c>
      <c r="DS60">
        <v>5.3327000433048921</v>
      </c>
      <c r="DT60" s="10">
        <v>-0.40666666666666673</v>
      </c>
      <c r="DU60">
        <v>-1.02</v>
      </c>
      <c r="DV60">
        <v>-1.4266666666666667</v>
      </c>
      <c r="DW60">
        <v>-2.1431</v>
      </c>
      <c r="DX60">
        <v>0.49706260032102717</v>
      </c>
      <c r="DY60">
        <v>-2.0296306581059391</v>
      </c>
      <c r="DZ60">
        <v>1285</v>
      </c>
      <c r="EA60">
        <v>-2.0221795043552282</v>
      </c>
      <c r="EB60">
        <v>2</v>
      </c>
      <c r="EC60">
        <v>9.3744818827418738E-2</v>
      </c>
      <c r="ED60">
        <v>0.45273660565489821</v>
      </c>
      <c r="EE60" s="11">
        <v>1.0357000000000001</v>
      </c>
      <c r="EF60">
        <v>1.0274000000000001</v>
      </c>
      <c r="EG60">
        <v>29.207062600321027</v>
      </c>
      <c r="EH60" t="s">
        <v>904</v>
      </c>
      <c r="EI60">
        <v>0</v>
      </c>
      <c r="EJ60">
        <v>1</v>
      </c>
      <c r="EK60" s="13">
        <v>45470</v>
      </c>
      <c r="EL60" s="14">
        <v>0.54</v>
      </c>
      <c r="EM60" s="14">
        <v>0.98</v>
      </c>
      <c r="EN60" s="14">
        <v>0.44</v>
      </c>
      <c r="EO60" s="14">
        <v>-0.19</v>
      </c>
      <c r="EP60" s="14">
        <v>-0.83</v>
      </c>
    </row>
    <row r="61" spans="1:146" ht="88.5" customHeight="1" x14ac:dyDescent="0.25">
      <c r="A61" s="7"/>
      <c r="B61" s="7"/>
      <c r="C61" s="16" t="str">
        <f>""&amp;CHAR(10)&amp;Basic_Fundamental_Information_Constructure(F61)&amp;CHAR(10)&amp;Basic_Fundamental_Information_Concatenate("")</f>
        <v xml:space="preserve">
市值42.659552亿, 利润-1.95亿; PE; 平均PE-3.36; 平均PEG-.11, PB.781; ROIC2.16%; ROE-48.7533%; 股利率0%; 毛利15.9467%; 净利-36.3367%; 上一年度营收增-97.18%, 利润增-112.28%; 当季营收增806.8%, 利润增-15676.49%; 过往5年营收增-31.76%, 利润增-244.73%
Income profile:
</v>
      </c>
      <c r="D61" t="s">
        <v>312</v>
      </c>
      <c r="E61" t="s">
        <v>49</v>
      </c>
      <c r="F61">
        <v>1.0900000000000001</v>
      </c>
      <c r="G61">
        <v>-1.8</v>
      </c>
      <c r="H61" t="s">
        <v>2810</v>
      </c>
      <c r="I61">
        <v>4265955200</v>
      </c>
      <c r="K61">
        <v>0.78100000000000003</v>
      </c>
      <c r="L61" t="s">
        <v>1589</v>
      </c>
      <c r="M61" t="s">
        <v>2811</v>
      </c>
      <c r="N61" t="s">
        <v>2812</v>
      </c>
      <c r="O61" t="s">
        <v>2813</v>
      </c>
      <c r="P61">
        <v>-77.31</v>
      </c>
      <c r="Q61" t="s">
        <v>2814</v>
      </c>
      <c r="R61">
        <v>-1925047300</v>
      </c>
      <c r="S61" s="5">
        <v>-3.6080000000000001</v>
      </c>
      <c r="T61" t="s">
        <v>2815</v>
      </c>
      <c r="U61">
        <v>3893355100</v>
      </c>
      <c r="V61">
        <v>3913720300</v>
      </c>
      <c r="W61">
        <v>17.25</v>
      </c>
      <c r="X61">
        <v>0</v>
      </c>
      <c r="Y61">
        <v>-155.08000000000001</v>
      </c>
      <c r="Z61" t="s">
        <v>2816</v>
      </c>
      <c r="AA61" t="s">
        <v>2430</v>
      </c>
      <c r="AB61" t="s">
        <v>2817</v>
      </c>
      <c r="AC61" t="s">
        <v>632</v>
      </c>
      <c r="AD61" t="s">
        <v>24</v>
      </c>
      <c r="AE61">
        <v>2234360700</v>
      </c>
      <c r="AF61" t="s">
        <v>2818</v>
      </c>
      <c r="AG61" t="s">
        <v>2819</v>
      </c>
      <c r="AH61" t="s">
        <v>2820</v>
      </c>
      <c r="AI61" t="s">
        <v>2821</v>
      </c>
      <c r="AJ61" t="s">
        <v>2822</v>
      </c>
      <c r="AK61" t="s">
        <v>24</v>
      </c>
      <c r="AL61" t="s">
        <v>2823</v>
      </c>
      <c r="AM61" t="s">
        <v>24</v>
      </c>
      <c r="AN61" t="s">
        <v>2824</v>
      </c>
      <c r="AO61" t="s">
        <v>2825</v>
      </c>
      <c r="AP61" t="s">
        <v>24</v>
      </c>
      <c r="AQ61" t="s">
        <v>2826</v>
      </c>
      <c r="AR61" t="s">
        <v>136</v>
      </c>
      <c r="AS61" t="s">
        <v>2827</v>
      </c>
      <c r="AT61" t="s">
        <v>2828</v>
      </c>
      <c r="AU61" t="s">
        <v>2829</v>
      </c>
      <c r="AV61" t="s">
        <v>1149</v>
      </c>
      <c r="AW61" t="s">
        <v>2830</v>
      </c>
      <c r="AX61" t="s">
        <v>1442</v>
      </c>
      <c r="AY61" t="s">
        <v>913</v>
      </c>
      <c r="AZ61" t="s">
        <v>613</v>
      </c>
      <c r="BA61" t="s">
        <v>313</v>
      </c>
      <c r="BB61" t="s">
        <v>615</v>
      </c>
      <c r="BC61" t="s">
        <v>2831</v>
      </c>
      <c r="BD61" t="s">
        <v>914</v>
      </c>
      <c r="BE61" t="s">
        <v>614</v>
      </c>
      <c r="BF61" t="s">
        <v>314</v>
      </c>
      <c r="BG61" t="s">
        <v>616</v>
      </c>
      <c r="BH61" t="s">
        <v>2832</v>
      </c>
      <c r="BI61" t="s">
        <v>874</v>
      </c>
      <c r="BJ61" t="s">
        <v>1442</v>
      </c>
      <c r="BK61" t="s">
        <v>2833</v>
      </c>
      <c r="BL61" t="s">
        <v>2834</v>
      </c>
      <c r="BM61" t="s">
        <v>2831</v>
      </c>
      <c r="BN61" t="s">
        <v>24</v>
      </c>
      <c r="BO61">
        <v>2.16</v>
      </c>
      <c r="BP61" t="s">
        <v>24</v>
      </c>
      <c r="BQ61">
        <v>-21.99</v>
      </c>
      <c r="BR61">
        <v>28.39</v>
      </c>
      <c r="BS61">
        <v>-152.66</v>
      </c>
      <c r="BT61" t="s">
        <v>1115</v>
      </c>
      <c r="BU61" t="s">
        <v>1059</v>
      </c>
      <c r="BV61">
        <v>22.93</v>
      </c>
      <c r="BW61">
        <v>16.170000000000002</v>
      </c>
      <c r="BX61">
        <v>8.74</v>
      </c>
      <c r="BY61">
        <v>-20.09</v>
      </c>
      <c r="BZ61">
        <v>3.33</v>
      </c>
      <c r="CA61">
        <v>-92.25</v>
      </c>
      <c r="CB61">
        <v>2.83</v>
      </c>
      <c r="CC61">
        <v>-18.66</v>
      </c>
      <c r="CD61" t="s">
        <v>2835</v>
      </c>
      <c r="CE61" t="s">
        <v>393</v>
      </c>
      <c r="CF61" s="8">
        <v>8.0680272108843543</v>
      </c>
      <c r="CG61" s="9">
        <v>-156.76489919685298</v>
      </c>
      <c r="CH61" s="8">
        <v>-0.97182393074035645</v>
      </c>
      <c r="CI61" s="8">
        <v>-0.26027646660804749</v>
      </c>
      <c r="CJ61" s="8">
        <v>-0.57334822416305542</v>
      </c>
      <c r="CK61" s="8">
        <v>-3.8028758019208908E-2</v>
      </c>
      <c r="CL61" s="8">
        <v>0.255504310131073</v>
      </c>
      <c r="CM61" s="9">
        <v>-1.1227960586547852</v>
      </c>
      <c r="CN61" s="9">
        <v>1.0406866073608398</v>
      </c>
      <c r="CO61" s="9">
        <v>-11.649386405944824</v>
      </c>
      <c r="CP61" s="9">
        <v>-0.74917876720428467</v>
      </c>
      <c r="CQ61" s="9">
        <v>0.24399794638156891</v>
      </c>
      <c r="CR61">
        <v>-3.3616668242710794</v>
      </c>
      <c r="CS61">
        <v>-0.10584772780630684</v>
      </c>
      <c r="CT61">
        <v>0</v>
      </c>
      <c r="CU61" s="8">
        <v>-0.31759461387991905</v>
      </c>
      <c r="CV61" s="9">
        <v>-2.4473353356122969</v>
      </c>
      <c r="CW61">
        <v>0.06</v>
      </c>
      <c r="CX61" t="e">
        <v>#VALUE!</v>
      </c>
      <c r="CY61" t="s">
        <v>849</v>
      </c>
      <c r="CZ61">
        <v>-0.31759461387991905</v>
      </c>
      <c r="DA61" t="e">
        <v>#VALUE!</v>
      </c>
      <c r="DB61" t="s">
        <v>850</v>
      </c>
      <c r="DC61">
        <v>-0.3017148831859231</v>
      </c>
      <c r="DD61" t="e">
        <v>#VALUE!</v>
      </c>
      <c r="DE61" t="s">
        <v>850</v>
      </c>
      <c r="DF61">
        <v>-0.27948326021432879</v>
      </c>
      <c r="DG61" t="e">
        <v>#VALUE!</v>
      </c>
      <c r="DH61" t="s">
        <v>850</v>
      </c>
      <c r="DI61">
        <v>-0.25407569110393524</v>
      </c>
      <c r="DJ61" t="e">
        <v>#VALUE!</v>
      </c>
      <c r="DK61" t="s">
        <v>850</v>
      </c>
      <c r="DL61">
        <v>-0.22231622971594331</v>
      </c>
      <c r="DM61">
        <v>-195000000</v>
      </c>
      <c r="DN61">
        <v>-0.31759461387991905</v>
      </c>
      <c r="DO61">
        <v>313650955200</v>
      </c>
      <c r="DP61">
        <v>149311230000</v>
      </c>
      <c r="DQ61">
        <v>3111</v>
      </c>
      <c r="DR61">
        <v>8.3856218247642733</v>
      </c>
      <c r="DS61">
        <v>-154.31756386124067</v>
      </c>
      <c r="DT61" s="10">
        <v>-0.95666666666666667</v>
      </c>
      <c r="DU61">
        <v>-2.1650000000000005</v>
      </c>
      <c r="DV61">
        <v>-3.121666666666667</v>
      </c>
      <c r="DW61">
        <v>6.1316891577477897</v>
      </c>
      <c r="DX61">
        <v>0.41020556227327709</v>
      </c>
      <c r="DY61">
        <v>6.0382169260694916</v>
      </c>
      <c r="DZ61">
        <v>2453</v>
      </c>
      <c r="EA61">
        <v>6.0198713057860349</v>
      </c>
      <c r="EB61">
        <v>6</v>
      </c>
      <c r="EC61">
        <v>0.12264545322771277</v>
      </c>
      <c r="ED61">
        <v>0.42261579091382695</v>
      </c>
      <c r="EE61" s="11">
        <v>3.0155099999999999</v>
      </c>
      <c r="EF61">
        <v>3.02841</v>
      </c>
      <c r="EG61">
        <v>12.290205562273277</v>
      </c>
      <c r="EH61" t="s">
        <v>2089</v>
      </c>
      <c r="EI61">
        <v>0</v>
      </c>
      <c r="EJ61">
        <v>0</v>
      </c>
      <c r="EK61" s="13">
        <v>45470</v>
      </c>
      <c r="EL61" s="14">
        <v>0.96</v>
      </c>
      <c r="EM61" s="14">
        <v>-2.86</v>
      </c>
      <c r="EN61" s="14">
        <v>0.33</v>
      </c>
      <c r="EO61" s="14">
        <v>0.98</v>
      </c>
      <c r="EP61" s="14">
        <v>-1.29</v>
      </c>
    </row>
    <row r="62" spans="1:146" ht="88.5" customHeight="1" x14ac:dyDescent="0.25">
      <c r="A62" s="7"/>
      <c r="B62" s="7"/>
      <c r="C62" s="16" t="str">
        <f>""&amp;CHAR(10)&amp;Basic_Fundamental_Information_Constructure(F62)&amp;CHAR(10)&amp;Basic_Fundamental_Information_Concatenate("")</f>
        <v xml:space="preserve">
市值55.460653亿, 利润44.13亿; PE; 平均PE2.51; 平均PEG.4, PB.324; ROIC1.295%; ROE-4.87%; 股利率0%; 毛利15.9733%; 净利-2.6833%; 上一年度营收增-68.3%, 利润增1057.27%; 当季营收增-4.71%, 利润增-165.77%; 过往5年营收增-6.32%, 利润增138.4%
Income profile:
</v>
      </c>
      <c r="D62" t="s">
        <v>315</v>
      </c>
      <c r="E62" t="s">
        <v>1062</v>
      </c>
      <c r="F62">
        <v>2.15</v>
      </c>
      <c r="G62">
        <v>0</v>
      </c>
      <c r="H62" t="s">
        <v>2836</v>
      </c>
      <c r="I62">
        <v>5546065300</v>
      </c>
      <c r="K62">
        <v>0.32400000000000001</v>
      </c>
      <c r="L62" t="s">
        <v>1589</v>
      </c>
      <c r="M62" t="s">
        <v>2837</v>
      </c>
      <c r="N62" t="s">
        <v>2838</v>
      </c>
      <c r="O62" t="s">
        <v>320</v>
      </c>
      <c r="P62">
        <v>-4.8499999999999996</v>
      </c>
      <c r="Q62" t="s">
        <v>2839</v>
      </c>
      <c r="R62">
        <v>-807035800</v>
      </c>
      <c r="S62" s="5">
        <v>0.1457</v>
      </c>
      <c r="T62" t="s">
        <v>2840</v>
      </c>
      <c r="U62">
        <v>2579565200</v>
      </c>
      <c r="V62">
        <v>2579565200</v>
      </c>
      <c r="W62">
        <v>4.13</v>
      </c>
      <c r="X62">
        <v>0.01</v>
      </c>
      <c r="Y62">
        <v>-25.54</v>
      </c>
      <c r="Z62" t="s">
        <v>2841</v>
      </c>
      <c r="AA62" t="s">
        <v>2842</v>
      </c>
      <c r="AB62" t="s">
        <v>1048</v>
      </c>
      <c r="AC62" t="s">
        <v>704</v>
      </c>
      <c r="AD62" t="s">
        <v>24</v>
      </c>
      <c r="AE62">
        <v>862681530</v>
      </c>
      <c r="AF62" t="s">
        <v>2843</v>
      </c>
      <c r="AG62" t="s">
        <v>2844</v>
      </c>
      <c r="AH62" t="s">
        <v>2845</v>
      </c>
      <c r="AI62" t="s">
        <v>2846</v>
      </c>
      <c r="AJ62" t="s">
        <v>2847</v>
      </c>
      <c r="AK62" t="s">
        <v>24</v>
      </c>
      <c r="AL62" t="s">
        <v>2848</v>
      </c>
      <c r="AM62" t="s">
        <v>24</v>
      </c>
      <c r="AN62">
        <v>0</v>
      </c>
      <c r="AO62" t="s">
        <v>2849</v>
      </c>
      <c r="AP62" t="s">
        <v>2850</v>
      </c>
      <c r="AQ62" t="s">
        <v>2851</v>
      </c>
      <c r="AR62" t="s">
        <v>2852</v>
      </c>
      <c r="AS62" t="s">
        <v>2853</v>
      </c>
      <c r="AT62" t="s">
        <v>2854</v>
      </c>
      <c r="AU62" t="s">
        <v>2855</v>
      </c>
      <c r="AV62" t="s">
        <v>1256</v>
      </c>
      <c r="AW62" t="s">
        <v>2856</v>
      </c>
      <c r="AX62" t="s">
        <v>1444</v>
      </c>
      <c r="AY62" t="s">
        <v>915</v>
      </c>
      <c r="AZ62" t="s">
        <v>617</v>
      </c>
      <c r="BA62" t="s">
        <v>316</v>
      </c>
      <c r="BB62" t="s">
        <v>618</v>
      </c>
      <c r="BC62" t="s">
        <v>1445</v>
      </c>
      <c r="BD62" t="s">
        <v>129</v>
      </c>
      <c r="BE62" t="s">
        <v>520</v>
      </c>
      <c r="BF62" t="s">
        <v>317</v>
      </c>
      <c r="BG62" t="s">
        <v>619</v>
      </c>
      <c r="BH62" t="s">
        <v>2857</v>
      </c>
      <c r="BI62" t="s">
        <v>2858</v>
      </c>
      <c r="BJ62" t="s">
        <v>1444</v>
      </c>
      <c r="BK62" t="s">
        <v>2859</v>
      </c>
      <c r="BL62" t="s">
        <v>2860</v>
      </c>
      <c r="BM62" t="s">
        <v>1445</v>
      </c>
      <c r="BN62" t="s">
        <v>24</v>
      </c>
      <c r="BO62">
        <v>1.17</v>
      </c>
      <c r="BP62">
        <v>1.42</v>
      </c>
      <c r="BQ62">
        <v>-13.78</v>
      </c>
      <c r="BR62">
        <v>-2.66</v>
      </c>
      <c r="BS62">
        <v>1.83</v>
      </c>
      <c r="BT62" t="s">
        <v>1115</v>
      </c>
      <c r="BU62" t="s">
        <v>1043</v>
      </c>
      <c r="BV62">
        <v>11.49</v>
      </c>
      <c r="BW62">
        <v>16.62</v>
      </c>
      <c r="BX62">
        <v>19.809999999999999</v>
      </c>
      <c r="BY62">
        <v>-12.43</v>
      </c>
      <c r="BZ62">
        <v>1.92</v>
      </c>
      <c r="CA62">
        <v>2.46</v>
      </c>
      <c r="CB62">
        <v>2.38</v>
      </c>
      <c r="CC62">
        <v>-31.31</v>
      </c>
      <c r="CD62" t="s">
        <v>2861</v>
      </c>
      <c r="CE62" t="s">
        <v>2862</v>
      </c>
      <c r="CF62" s="8">
        <v>-4.7107438016528669E-2</v>
      </c>
      <c r="CG62" s="9">
        <v>-1.6577308883455584</v>
      </c>
      <c r="CH62" s="8">
        <v>-0.68297827243804932</v>
      </c>
      <c r="CI62" s="8">
        <v>-0.29322144389152527</v>
      </c>
      <c r="CJ62" s="8">
        <v>0.53308016061782837</v>
      </c>
      <c r="CK62" s="8">
        <v>-7.1759909391403198E-2</v>
      </c>
      <c r="CL62" s="8">
        <v>0.19903862476348877</v>
      </c>
      <c r="CM62" s="9">
        <v>10.57266902923584</v>
      </c>
      <c r="CN62" s="9">
        <v>-2.7462120056152344</v>
      </c>
      <c r="CO62" s="9">
        <v>-0.9159235954284668</v>
      </c>
      <c r="CP62" s="9">
        <v>0.13850611448287964</v>
      </c>
      <c r="CQ62" s="9">
        <v>-0.12914428114891052</v>
      </c>
      <c r="CR62">
        <v>2.505563722611249</v>
      </c>
      <c r="CS62">
        <v>0.39664973660732461</v>
      </c>
      <c r="CT62">
        <v>0</v>
      </c>
      <c r="CU62" s="8">
        <v>-6.3168168067932129E-2</v>
      </c>
      <c r="CV62" s="9">
        <v>1.3839790523052216</v>
      </c>
      <c r="CW62">
        <v>0.06</v>
      </c>
      <c r="CX62" t="e">
        <v>#VALUE!</v>
      </c>
      <c r="CY62" t="s">
        <v>908</v>
      </c>
      <c r="CZ62">
        <v>-6.3168168067932129E-2</v>
      </c>
      <c r="DA62">
        <v>10.488637004305462</v>
      </c>
      <c r="DB62" t="s">
        <v>2863</v>
      </c>
      <c r="DC62">
        <v>-6.000975966453552E-2</v>
      </c>
      <c r="DD62">
        <v>5.2443185021527308</v>
      </c>
      <c r="DE62" t="s">
        <v>2864</v>
      </c>
      <c r="DF62">
        <v>-5.5587987899780276E-2</v>
      </c>
      <c r="DG62">
        <v>3.1465911012916385</v>
      </c>
      <c r="DH62" t="s">
        <v>2865</v>
      </c>
      <c r="DI62">
        <v>-5.0534534454345706E-2</v>
      </c>
      <c r="DJ62">
        <v>1.5732955506458193</v>
      </c>
      <c r="DK62" t="s">
        <v>2866</v>
      </c>
      <c r="DL62">
        <v>-4.4217717647552487E-2</v>
      </c>
      <c r="DM62">
        <v>4413000000</v>
      </c>
      <c r="DN62">
        <v>-6.3168168067932129E-2</v>
      </c>
      <c r="DO62">
        <v>138859065300</v>
      </c>
      <c r="DP62">
        <v>116361900000</v>
      </c>
      <c r="DQ62">
        <v>3139</v>
      </c>
      <c r="DR62">
        <v>1.606073005140346E-2</v>
      </c>
      <c r="DS62">
        <v>-3.0417099406507799</v>
      </c>
      <c r="DT62" s="10">
        <v>-0.69</v>
      </c>
      <c r="DU62">
        <v>-1.5816666666666668</v>
      </c>
      <c r="DV62">
        <v>-2.2716666666666665</v>
      </c>
      <c r="DW62">
        <v>-3.1731488095238096</v>
      </c>
      <c r="DX62">
        <v>0.29580084566596188</v>
      </c>
      <c r="DY62">
        <v>-3.0235137547593878</v>
      </c>
      <c r="DZ62">
        <v>5046</v>
      </c>
      <c r="EA62">
        <v>-3.0002944971241878</v>
      </c>
      <c r="EB62">
        <v>3</v>
      </c>
      <c r="EC62">
        <v>2.4901018202602515E-2</v>
      </c>
      <c r="ED62">
        <v>0.18336423518196016</v>
      </c>
      <c r="EE62" s="11">
        <v>7.6810000000000003E-2</v>
      </c>
      <c r="EF62">
        <v>9.4509999999999997E-2</v>
      </c>
      <c r="EG62">
        <v>16.135800845665962</v>
      </c>
      <c r="EH62">
        <v>-1</v>
      </c>
      <c r="EI62">
        <v>0</v>
      </c>
      <c r="EJ62">
        <v>0</v>
      </c>
      <c r="EK62" s="13">
        <v>45470</v>
      </c>
      <c r="EL62" s="14">
        <v>-2.75</v>
      </c>
      <c r="EM62" s="14">
        <v>-3.53</v>
      </c>
      <c r="EN62" s="14">
        <v>-4.88</v>
      </c>
      <c r="EO62" s="14">
        <v>1.54</v>
      </c>
      <c r="EP62" s="14">
        <v>-1.77</v>
      </c>
    </row>
    <row r="63" spans="1:146" ht="88.5" customHeight="1" x14ac:dyDescent="0.25">
      <c r="A63" s="7"/>
      <c r="B63" s="7"/>
      <c r="C63" s="16" t="str">
        <f>""&amp;CHAR(10)&amp;Basic_Fundamental_Information_Constructure(F63)&amp;CHAR(10)&amp;Basic_Fundamental_Information_Concatenate("")</f>
        <v xml:space="preserve">
市值155.30167亿, 利润1697.52万; PE148.8; 平均PE2.11; 平均PEG6.54, PB.24; ROIC3.55%; ROE8.4467%; 股利率.5727%; 毛利19.75%; 净利7.9967%; 上一年度营收增-95.97%, 利润增-99.72%; 当季营收增558.77%, 利润增-3769.47%; 过往5年营收增.32%, 利润增-23.32%
Income profile:
</v>
      </c>
      <c r="D63" t="s">
        <v>318</v>
      </c>
      <c r="E63" t="s">
        <v>57</v>
      </c>
      <c r="F63">
        <v>3.44</v>
      </c>
      <c r="G63">
        <v>1.18</v>
      </c>
      <c r="H63" t="s">
        <v>207</v>
      </c>
      <c r="I63">
        <v>15530167000</v>
      </c>
      <c r="J63">
        <v>148.80000000000001</v>
      </c>
      <c r="K63">
        <v>0.24</v>
      </c>
      <c r="L63" t="s">
        <v>1589</v>
      </c>
      <c r="M63" t="s">
        <v>2867</v>
      </c>
      <c r="N63" t="s">
        <v>2868</v>
      </c>
      <c r="O63" t="s">
        <v>2869</v>
      </c>
      <c r="P63">
        <v>-51.53</v>
      </c>
      <c r="Q63" t="s">
        <v>2870</v>
      </c>
      <c r="R63">
        <v>-275993650</v>
      </c>
      <c r="S63" s="5">
        <v>-1.544</v>
      </c>
      <c r="T63" t="s">
        <v>2871</v>
      </c>
      <c r="U63">
        <v>4514583600</v>
      </c>
      <c r="V63">
        <v>4514583600</v>
      </c>
      <c r="W63">
        <v>3.17</v>
      </c>
      <c r="X63">
        <v>0.02</v>
      </c>
      <c r="Y63">
        <v>-3.3</v>
      </c>
      <c r="Z63" t="s">
        <v>2872</v>
      </c>
      <c r="AA63" t="s">
        <v>2873</v>
      </c>
      <c r="AB63" t="s">
        <v>594</v>
      </c>
      <c r="AC63" t="s">
        <v>1353</v>
      </c>
      <c r="AD63" t="s">
        <v>24</v>
      </c>
      <c r="AE63">
        <v>534119270</v>
      </c>
      <c r="AF63" t="s">
        <v>2874</v>
      </c>
      <c r="AG63" t="s">
        <v>2875</v>
      </c>
      <c r="AH63" t="s">
        <v>2876</v>
      </c>
      <c r="AI63" t="s">
        <v>2877</v>
      </c>
      <c r="AJ63" t="s">
        <v>2878</v>
      </c>
      <c r="AK63" t="s">
        <v>2879</v>
      </c>
      <c r="AL63" t="s">
        <v>2880</v>
      </c>
      <c r="AM63" t="s">
        <v>24</v>
      </c>
      <c r="AN63">
        <v>0</v>
      </c>
      <c r="AO63" t="s">
        <v>2881</v>
      </c>
      <c r="AP63" t="s">
        <v>2882</v>
      </c>
      <c r="AQ63" t="s">
        <v>2883</v>
      </c>
      <c r="AR63" t="s">
        <v>2884</v>
      </c>
      <c r="AS63" t="s">
        <v>2885</v>
      </c>
      <c r="AT63" t="s">
        <v>2886</v>
      </c>
      <c r="AU63" t="s">
        <v>2887</v>
      </c>
      <c r="AV63" t="s">
        <v>2695</v>
      </c>
      <c r="AW63" t="s">
        <v>2888</v>
      </c>
      <c r="AX63" t="s">
        <v>1449</v>
      </c>
      <c r="AY63" t="s">
        <v>1447</v>
      </c>
      <c r="AZ63" t="s">
        <v>1448</v>
      </c>
      <c r="BA63" t="s">
        <v>622</v>
      </c>
      <c r="BB63" t="s">
        <v>623</v>
      </c>
      <c r="BC63" t="s">
        <v>2889</v>
      </c>
      <c r="BD63" t="s">
        <v>918</v>
      </c>
      <c r="BE63" t="s">
        <v>620</v>
      </c>
      <c r="BF63" t="s">
        <v>319</v>
      </c>
      <c r="BG63" t="s">
        <v>624</v>
      </c>
      <c r="BH63" t="s">
        <v>2890</v>
      </c>
      <c r="BI63" t="s">
        <v>2488</v>
      </c>
      <c r="BJ63" t="s">
        <v>1449</v>
      </c>
      <c r="BK63" t="s">
        <v>2891</v>
      </c>
      <c r="BL63" t="s">
        <v>2892</v>
      </c>
      <c r="BM63" t="s">
        <v>2889</v>
      </c>
      <c r="BN63">
        <v>0.44</v>
      </c>
      <c r="BO63">
        <v>4.0999999999999996</v>
      </c>
      <c r="BP63">
        <v>6.11</v>
      </c>
      <c r="BQ63">
        <v>0.09</v>
      </c>
      <c r="BR63">
        <v>9.56</v>
      </c>
      <c r="BS63">
        <v>15.69</v>
      </c>
      <c r="BT63" t="s">
        <v>2893</v>
      </c>
      <c r="BU63" t="s">
        <v>1043</v>
      </c>
      <c r="BV63">
        <v>17.41</v>
      </c>
      <c r="BW63">
        <v>20.66</v>
      </c>
      <c r="BX63">
        <v>21.18</v>
      </c>
      <c r="BY63">
        <v>3.26</v>
      </c>
      <c r="BZ63">
        <v>7.64</v>
      </c>
      <c r="CA63">
        <v>13.09</v>
      </c>
      <c r="CB63">
        <v>1.18</v>
      </c>
      <c r="CC63">
        <v>-35.1</v>
      </c>
      <c r="CD63" t="s">
        <v>2894</v>
      </c>
      <c r="CE63" t="s">
        <v>2895</v>
      </c>
      <c r="CF63" s="8">
        <v>5.5876777251184828</v>
      </c>
      <c r="CG63" s="9">
        <v>-37.694676555533746</v>
      </c>
      <c r="CH63" s="8">
        <v>-0.95973670482635498</v>
      </c>
      <c r="CI63" s="8">
        <v>0.2132713794708252</v>
      </c>
      <c r="CJ63" s="8">
        <v>0.18262666463851929</v>
      </c>
      <c r="CK63" s="8">
        <v>0.32612073421478271</v>
      </c>
      <c r="CL63" s="8">
        <v>0.25385594367980957</v>
      </c>
      <c r="CM63" s="9">
        <v>-0.99722397327423096</v>
      </c>
      <c r="CN63" s="9">
        <v>-0.3501594066619873</v>
      </c>
      <c r="CO63" s="9">
        <v>-9.5018297433853149E-2</v>
      </c>
      <c r="CP63" s="9">
        <v>3.205958753824234E-2</v>
      </c>
      <c r="CQ63" s="9">
        <v>0.24413435161113739</v>
      </c>
      <c r="CR63">
        <v>2.1123263977896465</v>
      </c>
      <c r="CS63">
        <v>6.5445660843762017</v>
      </c>
      <c r="CT63">
        <v>0.57267441860465118</v>
      </c>
      <c r="CU63" s="8">
        <v>3.2276034355163572E-3</v>
      </c>
      <c r="CV63" s="9">
        <v>-0.23324154764413835</v>
      </c>
      <c r="CW63">
        <v>0.06</v>
      </c>
      <c r="CX63">
        <v>9725.9366955680089</v>
      </c>
      <c r="CY63">
        <v>16066027.560225071</v>
      </c>
      <c r="CZ63">
        <v>3.2276034355163572E-3</v>
      </c>
      <c r="DA63">
        <v>3423.0654192131933</v>
      </c>
      <c r="DB63">
        <v>45648314.555412851</v>
      </c>
      <c r="DC63">
        <v>3.0662232637405393E-3</v>
      </c>
      <c r="DD63">
        <v>1854.3376796456514</v>
      </c>
      <c r="DE63">
        <v>84265756.294106826</v>
      </c>
      <c r="DF63">
        <v>2.8402910232543945E-3</v>
      </c>
      <c r="DG63">
        <v>1234.5424741132567</v>
      </c>
      <c r="DH63">
        <v>126570912.12048894</v>
      </c>
      <c r="DI63">
        <v>2.5820827484130861E-3</v>
      </c>
      <c r="DJ63">
        <v>787.03892492417947</v>
      </c>
      <c r="DK63">
        <v>198538041.83198851</v>
      </c>
      <c r="DL63">
        <v>2.2593224048614497E-3</v>
      </c>
      <c r="DM63">
        <v>16975200</v>
      </c>
      <c r="DN63">
        <v>3.2276034355163572E-3</v>
      </c>
      <c r="DO63">
        <v>156257167000</v>
      </c>
      <c r="DP63">
        <v>72118700000</v>
      </c>
      <c r="DQ63">
        <v>3146</v>
      </c>
      <c r="DR63">
        <v>5.5844501216829663</v>
      </c>
      <c r="DS63">
        <v>-37.461435007889605</v>
      </c>
      <c r="DT63" s="10">
        <v>-0.27333333333333343</v>
      </c>
      <c r="DU63">
        <v>-1.2816666666666665</v>
      </c>
      <c r="DV63">
        <v>-1.5549999999999999</v>
      </c>
      <c r="DW63">
        <v>-3.2160119047619049</v>
      </c>
      <c r="DX63">
        <v>0.30438803894297639</v>
      </c>
      <c r="DY63">
        <v>-3.0290294162692892</v>
      </c>
      <c r="DZ63">
        <v>3373</v>
      </c>
      <c r="EA63">
        <v>-3.0098677291702067</v>
      </c>
      <c r="EB63">
        <v>3</v>
      </c>
      <c r="EC63">
        <v>0.17122287867257568</v>
      </c>
      <c r="ED63">
        <v>1.2740931411703174</v>
      </c>
      <c r="EE63" s="11">
        <v>1.0242</v>
      </c>
      <c r="EF63">
        <v>1.0368999999999999</v>
      </c>
      <c r="EG63">
        <v>17.134388038942976</v>
      </c>
      <c r="EH63" t="s">
        <v>904</v>
      </c>
      <c r="EI63">
        <v>0</v>
      </c>
      <c r="EJ63">
        <v>0</v>
      </c>
      <c r="EK63" s="13">
        <v>45470</v>
      </c>
      <c r="EL63" s="14">
        <v>-2.2400000000000002</v>
      </c>
      <c r="EM63" s="14">
        <v>-3.05</v>
      </c>
      <c r="EN63" s="14">
        <v>0.26</v>
      </c>
      <c r="EO63" s="14">
        <v>2.88</v>
      </c>
      <c r="EP63" s="14">
        <v>1.27</v>
      </c>
    </row>
    <row r="64" spans="1:146" ht="88.5" customHeight="1" x14ac:dyDescent="0.25">
      <c r="A64" s="7"/>
      <c r="B64" s="7"/>
      <c r="C64" s="16" t="str">
        <f>""&amp;CHAR(10)&amp;Basic_Fundamental_Information_Constructure(F64)&amp;CHAR(10)&amp;Basic_Fundamental_Information_Concatenate("")</f>
        <v xml:space="preserve">
市值23.4亿, 利润4944.59万; PE; 平均PE-9122.21; 平均PEG-546.76, PB2.19; ROIC0%; ROE-3.2133%; 股利率0%; 毛利14.9133%; 净利-12.6%; 上一年度营收增139.51%, 利润增254.95%; 当季营收增-69.59%, 利润增-350.12%; 过往5年营收增16.68%, 利润增-49.87%
Income profile:
</v>
      </c>
      <c r="D64" t="s">
        <v>756</v>
      </c>
      <c r="E64" t="s">
        <v>757</v>
      </c>
      <c r="F64">
        <v>7.8</v>
      </c>
      <c r="G64">
        <v>1.83</v>
      </c>
      <c r="H64" t="s">
        <v>2896</v>
      </c>
      <c r="I64">
        <v>2340000000</v>
      </c>
      <c r="K64">
        <v>2.19</v>
      </c>
      <c r="L64" t="s">
        <v>1589</v>
      </c>
      <c r="M64" t="s">
        <v>2897</v>
      </c>
      <c r="N64" t="s">
        <v>2898</v>
      </c>
      <c r="O64" t="s">
        <v>2899</v>
      </c>
      <c r="P64">
        <v>-42.45</v>
      </c>
      <c r="Q64" t="s">
        <v>2900</v>
      </c>
      <c r="R64">
        <v>-18836870</v>
      </c>
      <c r="S64" s="5">
        <v>0.53310000000000002</v>
      </c>
      <c r="T64" t="s">
        <v>2901</v>
      </c>
      <c r="U64">
        <v>300000000</v>
      </c>
      <c r="V64">
        <v>300000000</v>
      </c>
      <c r="W64">
        <v>2.2200000000000002</v>
      </c>
      <c r="X64">
        <v>0.03</v>
      </c>
      <c r="Y64">
        <v>-32.58</v>
      </c>
      <c r="Z64" t="s">
        <v>2902</v>
      </c>
      <c r="AA64" t="s">
        <v>2903</v>
      </c>
      <c r="AB64" t="s">
        <v>24</v>
      </c>
      <c r="AC64" t="s">
        <v>2904</v>
      </c>
      <c r="AD64" t="s">
        <v>24</v>
      </c>
      <c r="AE64">
        <v>10845983</v>
      </c>
      <c r="AF64" t="s">
        <v>2905</v>
      </c>
      <c r="AG64" t="s">
        <v>2906</v>
      </c>
      <c r="AH64" t="s">
        <v>2907</v>
      </c>
      <c r="AI64" t="s">
        <v>2587</v>
      </c>
      <c r="AJ64" t="s">
        <v>2908</v>
      </c>
      <c r="AK64" t="s">
        <v>2909</v>
      </c>
      <c r="AL64" t="s">
        <v>2910</v>
      </c>
      <c r="AM64" t="s">
        <v>24</v>
      </c>
      <c r="AN64" t="s">
        <v>2911</v>
      </c>
      <c r="AO64" t="s">
        <v>516</v>
      </c>
      <c r="AP64" t="s">
        <v>24</v>
      </c>
      <c r="AQ64" t="s">
        <v>1890</v>
      </c>
      <c r="AR64" t="s">
        <v>2912</v>
      </c>
      <c r="AS64" t="s">
        <v>859</v>
      </c>
      <c r="AT64" t="s">
        <v>451</v>
      </c>
      <c r="AU64" t="s">
        <v>2913</v>
      </c>
      <c r="AV64" t="s">
        <v>2914</v>
      </c>
      <c r="AW64" t="s">
        <v>2915</v>
      </c>
      <c r="AX64" t="s">
        <v>1362</v>
      </c>
      <c r="AY64" t="s">
        <v>920</v>
      </c>
      <c r="AZ64" t="s">
        <v>724</v>
      </c>
      <c r="BA64" t="s">
        <v>113</v>
      </c>
      <c r="BB64" t="s">
        <v>758</v>
      </c>
      <c r="BC64" t="s">
        <v>1585</v>
      </c>
      <c r="BD64" t="s">
        <v>921</v>
      </c>
      <c r="BE64" t="s">
        <v>922</v>
      </c>
      <c r="BF64" t="s">
        <v>759</v>
      </c>
      <c r="BG64" t="s">
        <v>760</v>
      </c>
      <c r="BH64" t="s">
        <v>2916</v>
      </c>
      <c r="BI64" t="s">
        <v>149</v>
      </c>
      <c r="BJ64" t="s">
        <v>1362</v>
      </c>
      <c r="BK64" t="s">
        <v>2917</v>
      </c>
      <c r="BL64" t="s">
        <v>2918</v>
      </c>
      <c r="BM64" t="s">
        <v>1585</v>
      </c>
      <c r="BN64" t="s">
        <v>24</v>
      </c>
      <c r="BO64" t="s">
        <v>24</v>
      </c>
      <c r="BP64" t="s">
        <v>24</v>
      </c>
      <c r="BQ64">
        <v>-5</v>
      </c>
      <c r="BR64">
        <v>-2.6</v>
      </c>
      <c r="BS64">
        <v>-2.04</v>
      </c>
      <c r="BT64" t="s">
        <v>1115</v>
      </c>
      <c r="BU64" t="s">
        <v>1059</v>
      </c>
      <c r="BV64">
        <v>11.59</v>
      </c>
      <c r="BW64">
        <v>20.63</v>
      </c>
      <c r="BX64">
        <v>12.52</v>
      </c>
      <c r="BY64">
        <v>-24.56</v>
      </c>
      <c r="BZ64">
        <v>-8.17</v>
      </c>
      <c r="CA64">
        <v>-5.07</v>
      </c>
      <c r="CB64">
        <v>2.5</v>
      </c>
      <c r="CC64">
        <v>-14.1</v>
      </c>
      <c r="CD64" t="s">
        <v>2919</v>
      </c>
      <c r="CE64" t="s">
        <v>2587</v>
      </c>
      <c r="CF64" s="8">
        <v>-0.69587695473251032</v>
      </c>
      <c r="CG64" s="9">
        <v>-3.5012109784759198</v>
      </c>
      <c r="CH64" s="8">
        <v>1.3950995206832886</v>
      </c>
      <c r="CI64" s="8">
        <v>-0.35538005828857422</v>
      </c>
      <c r="CJ64" s="8">
        <v>-0.11062340438365936</v>
      </c>
      <c r="CK64" s="8">
        <v>4.0182646363973618E-2</v>
      </c>
      <c r="CL64" s="8">
        <v>-0.1350710391998291</v>
      </c>
      <c r="CM64" s="9">
        <v>2.5495426654815674</v>
      </c>
      <c r="CN64" s="9">
        <v>-0.26656636595726013</v>
      </c>
      <c r="CO64" s="9">
        <v>-4.1163845062255859</v>
      </c>
      <c r="CP64" s="9">
        <v>1.4680774211883545</v>
      </c>
      <c r="CQ64" s="9">
        <v>-2.1283988952636719</v>
      </c>
      <c r="CR64">
        <v>-9122.2142810733549</v>
      </c>
      <c r="CS64">
        <v>-546.75919809233085</v>
      </c>
      <c r="CT64">
        <v>0</v>
      </c>
      <c r="CU64" s="8">
        <v>0.1668415330350399</v>
      </c>
      <c r="CV64" s="9">
        <v>-0.4987459361553192</v>
      </c>
      <c r="CW64">
        <v>0.06</v>
      </c>
      <c r="CX64">
        <v>47.143340418134194</v>
      </c>
      <c r="CY64">
        <v>54429745.054997429</v>
      </c>
      <c r="CZ64">
        <v>0.1668415330350399</v>
      </c>
      <c r="DA64">
        <v>14.443848745264084</v>
      </c>
      <c r="DB64">
        <v>177653480.40226135</v>
      </c>
      <c r="DC64">
        <v>0.15849945638328791</v>
      </c>
      <c r="DD64">
        <v>6.5071946454416594</v>
      </c>
      <c r="DE64">
        <v>394332756.25119084</v>
      </c>
      <c r="DF64">
        <v>0.14682054907083511</v>
      </c>
      <c r="DG64">
        <v>3.5239581018442738</v>
      </c>
      <c r="DH64">
        <v>728158487.08787894</v>
      </c>
      <c r="DI64">
        <v>0.13347322642803192</v>
      </c>
      <c r="DJ64">
        <v>1.4342389001066671</v>
      </c>
      <c r="DK64">
        <v>1789102219.8666914</v>
      </c>
      <c r="DL64">
        <v>0.11678907312452792</v>
      </c>
      <c r="DM64">
        <v>49445900</v>
      </c>
      <c r="DN64">
        <v>0.1668415330350399</v>
      </c>
      <c r="DO64">
        <v>2566000000</v>
      </c>
      <c r="DP64">
        <v>412175300</v>
      </c>
      <c r="DQ64">
        <v>3195</v>
      </c>
      <c r="DR64">
        <v>-0.86271848776755022</v>
      </c>
      <c r="DS64">
        <v>-3.0024650423206007</v>
      </c>
      <c r="DT64" s="10">
        <v>-0.25666666666666665</v>
      </c>
      <c r="DU64">
        <v>-2.2316666666666669</v>
      </c>
      <c r="DV64">
        <v>-2.4883333333333337</v>
      </c>
      <c r="DW64">
        <v>6.1506024096385543</v>
      </c>
      <c r="DX64">
        <v>0.30551322314049589</v>
      </c>
      <c r="DY64">
        <v>6.020408617942846</v>
      </c>
      <c r="DZ64">
        <v>4259</v>
      </c>
      <c r="EA64">
        <v>6.0033987737513428</v>
      </c>
      <c r="EB64">
        <v>6</v>
      </c>
      <c r="EC64">
        <v>5.4656999999999997E-2</v>
      </c>
      <c r="ED64">
        <v>0.40333333333333332</v>
      </c>
      <c r="EE64" s="11">
        <v>-1.0172099999999999</v>
      </c>
      <c r="EF64">
        <v>-1.0067999999999999</v>
      </c>
      <c r="EG64">
        <v>17.135513223140496</v>
      </c>
      <c r="EH64" t="s">
        <v>862</v>
      </c>
      <c r="EI64">
        <v>0</v>
      </c>
      <c r="EJ64">
        <v>0</v>
      </c>
      <c r="EK64" s="13">
        <v>45470</v>
      </c>
      <c r="EL64" s="14">
        <v>4.6900000000000004</v>
      </c>
      <c r="EM64" s="14">
        <v>-3.73</v>
      </c>
      <c r="EN64" s="14">
        <v>0</v>
      </c>
      <c r="EO64" s="14">
        <v>-3.1</v>
      </c>
      <c r="EP64" s="14">
        <v>2.4</v>
      </c>
    </row>
    <row r="65" spans="1:146" ht="88.5" customHeight="1" x14ac:dyDescent="0.25">
      <c r="A65" s="7"/>
      <c r="B65" s="7"/>
      <c r="C65" s="16" t="str">
        <f>""&amp;CHAR(10)&amp;Basic_Fundamental_Information_Constructure(F65)&amp;CHAR(10)&amp;Basic_Fundamental_Information_Concatenate("")</f>
        <v xml:space="preserve">
市值28.84122亿, 利润-4460.57万; PE33.83; 平均PE34.96; 平均PEG.19, PB.788; ROIC1.6%; ROE1.6767%; 股利率.2222%; 毛利50.5667%; 净利28.0667%; 上一年度营收增565.88%, 利润增-158.31%; 当季营收增-65.03%, 利润增142.38%; 过往5年营收增181.38%, 利润增131.03%
Income profile:
</v>
      </c>
      <c r="D65" t="s">
        <v>321</v>
      </c>
      <c r="E65" t="s">
        <v>9</v>
      </c>
      <c r="F65">
        <v>1.8</v>
      </c>
      <c r="G65">
        <v>0.56000000000000005</v>
      </c>
      <c r="H65" t="s">
        <v>2920</v>
      </c>
      <c r="I65">
        <v>2884122000</v>
      </c>
      <c r="J65">
        <v>33.83</v>
      </c>
      <c r="K65">
        <v>0.78800000000000003</v>
      </c>
      <c r="L65" t="s">
        <v>1589</v>
      </c>
      <c r="M65" t="s">
        <v>2921</v>
      </c>
      <c r="N65" t="s">
        <v>2922</v>
      </c>
      <c r="O65" t="s">
        <v>207</v>
      </c>
      <c r="P65">
        <v>991.27</v>
      </c>
      <c r="Q65" t="s">
        <v>1089</v>
      </c>
      <c r="R65">
        <v>14802495</v>
      </c>
      <c r="S65" s="5">
        <v>2.1869999999999998</v>
      </c>
      <c r="T65" t="s">
        <v>2923</v>
      </c>
      <c r="U65">
        <v>1602290000</v>
      </c>
      <c r="V65">
        <v>1602290000</v>
      </c>
      <c r="W65">
        <v>1.1000000000000001</v>
      </c>
      <c r="X65">
        <v>0.03</v>
      </c>
      <c r="Y65">
        <v>12.88</v>
      </c>
      <c r="Z65" t="s">
        <v>2924</v>
      </c>
      <c r="AA65" t="s">
        <v>2925</v>
      </c>
      <c r="AB65" t="s">
        <v>2926</v>
      </c>
      <c r="AC65" t="s">
        <v>2927</v>
      </c>
      <c r="AD65" t="s">
        <v>24</v>
      </c>
      <c r="AE65">
        <v>-2387548</v>
      </c>
      <c r="AF65" t="s">
        <v>98</v>
      </c>
      <c r="AG65">
        <v>24.39</v>
      </c>
      <c r="AH65" t="s">
        <v>2928</v>
      </c>
      <c r="AI65" t="s">
        <v>798</v>
      </c>
      <c r="AJ65" t="s">
        <v>2929</v>
      </c>
      <c r="AK65" t="s">
        <v>24</v>
      </c>
      <c r="AL65" t="s">
        <v>2930</v>
      </c>
      <c r="AM65" t="s">
        <v>24</v>
      </c>
      <c r="AN65">
        <v>0</v>
      </c>
      <c r="AO65" t="s">
        <v>24</v>
      </c>
      <c r="AP65" t="s">
        <v>24</v>
      </c>
      <c r="AQ65" t="s">
        <v>2931</v>
      </c>
      <c r="AR65" t="s">
        <v>2932</v>
      </c>
      <c r="AS65" t="s">
        <v>2933</v>
      </c>
      <c r="AT65" t="s">
        <v>24</v>
      </c>
      <c r="AU65" t="s">
        <v>2934</v>
      </c>
      <c r="AV65" t="s">
        <v>2935</v>
      </c>
      <c r="AW65" t="s">
        <v>2936</v>
      </c>
      <c r="AX65" t="s">
        <v>94</v>
      </c>
      <c r="AY65" t="s">
        <v>848</v>
      </c>
      <c r="AZ65" t="s">
        <v>627</v>
      </c>
      <c r="BA65" t="s">
        <v>322</v>
      </c>
      <c r="BB65" t="s">
        <v>244</v>
      </c>
      <c r="BC65" t="s">
        <v>2937</v>
      </c>
      <c r="BD65" t="s">
        <v>923</v>
      </c>
      <c r="BE65" t="s">
        <v>99</v>
      </c>
      <c r="BF65" t="s">
        <v>243</v>
      </c>
      <c r="BG65" t="s">
        <v>628</v>
      </c>
      <c r="BH65" t="s">
        <v>323</v>
      </c>
      <c r="BI65" t="s">
        <v>609</v>
      </c>
      <c r="BJ65" t="s">
        <v>94</v>
      </c>
      <c r="BK65" t="s">
        <v>2938</v>
      </c>
      <c r="BL65" t="s">
        <v>2939</v>
      </c>
      <c r="BM65" t="s">
        <v>2937</v>
      </c>
      <c r="BN65">
        <v>0.08</v>
      </c>
      <c r="BO65">
        <v>1.97</v>
      </c>
      <c r="BP65">
        <v>2.75</v>
      </c>
      <c r="BQ65">
        <v>0.4</v>
      </c>
      <c r="BR65">
        <v>2.06</v>
      </c>
      <c r="BS65">
        <v>2.57</v>
      </c>
      <c r="BT65" t="s">
        <v>2940</v>
      </c>
      <c r="BU65" t="s">
        <v>1043</v>
      </c>
      <c r="BV65">
        <v>58.58</v>
      </c>
      <c r="BW65">
        <v>42.76</v>
      </c>
      <c r="BX65">
        <v>50.36</v>
      </c>
      <c r="BY65">
        <v>34.39</v>
      </c>
      <c r="BZ65">
        <v>33.049999999999997</v>
      </c>
      <c r="CA65">
        <v>16.760000000000002</v>
      </c>
      <c r="CB65">
        <v>0.56000000000000005</v>
      </c>
      <c r="CC65">
        <v>-20.56</v>
      </c>
      <c r="CD65" t="s">
        <v>2941</v>
      </c>
      <c r="CE65" t="s">
        <v>2799</v>
      </c>
      <c r="CF65" s="8">
        <v>-0.65030674846625769</v>
      </c>
      <c r="CG65" s="9">
        <v>1.423774767321021</v>
      </c>
      <c r="CH65" s="8">
        <v>5.6587672233581543</v>
      </c>
      <c r="CI65" s="8">
        <v>-0.59809523820877075</v>
      </c>
      <c r="CJ65" s="8">
        <v>-0.5138888955116272</v>
      </c>
      <c r="CK65" s="8">
        <v>-0.53964191675186157</v>
      </c>
      <c r="CL65" s="8">
        <v>5.0620150566101074</v>
      </c>
      <c r="CM65" s="9">
        <v>-1.5831472873687744</v>
      </c>
      <c r="CN65" s="9">
        <v>-0.20575393736362457</v>
      </c>
      <c r="CO65" s="9">
        <v>-0.35795468091964722</v>
      </c>
      <c r="CP65" s="9">
        <v>-0.2385786771774292</v>
      </c>
      <c r="CQ65" s="9">
        <v>8.9366979598999023</v>
      </c>
      <c r="CR65">
        <v>34.957790415255694</v>
      </c>
      <c r="CS65">
        <v>0.19272901210787938</v>
      </c>
      <c r="CT65">
        <v>0.22222222222222221</v>
      </c>
      <c r="CU65" s="8">
        <v>1.8138312458992005</v>
      </c>
      <c r="CV65" s="9">
        <v>1.3102526754140853</v>
      </c>
      <c r="CW65">
        <v>0.06</v>
      </c>
      <c r="CX65" t="s">
        <v>1920</v>
      </c>
      <c r="CY65" t="s">
        <v>850</v>
      </c>
      <c r="CZ65">
        <v>1.8138312458992005</v>
      </c>
      <c r="DA65" t="s">
        <v>1920</v>
      </c>
      <c r="DB65" t="s">
        <v>850</v>
      </c>
      <c r="DC65">
        <v>1.7231396836042405</v>
      </c>
      <c r="DD65" t="s">
        <v>1920</v>
      </c>
      <c r="DE65" t="s">
        <v>850</v>
      </c>
      <c r="DF65">
        <v>1.5961714963912965</v>
      </c>
      <c r="DG65" t="s">
        <v>1920</v>
      </c>
      <c r="DH65" t="s">
        <v>850</v>
      </c>
      <c r="DI65">
        <v>1.4510649967193605</v>
      </c>
      <c r="DJ65" t="s">
        <v>1920</v>
      </c>
      <c r="DK65" t="s">
        <v>850</v>
      </c>
      <c r="DL65">
        <v>1.2696818721294403</v>
      </c>
      <c r="DM65">
        <v>-44605700</v>
      </c>
      <c r="DN65">
        <v>1.8138312458992005</v>
      </c>
      <c r="DO65">
        <v>-229878000</v>
      </c>
      <c r="DP65">
        <v>2688143300</v>
      </c>
      <c r="DQ65">
        <v>3224</v>
      </c>
      <c r="DR65">
        <v>-2.4641379943654584</v>
      </c>
      <c r="DS65">
        <v>0.11352209190693574</v>
      </c>
      <c r="DT65" s="10">
        <v>-8.0000000000000071E-2</v>
      </c>
      <c r="DU65">
        <v>-0.32500000000000012</v>
      </c>
      <c r="DV65">
        <v>-0.40500000000000019</v>
      </c>
      <c r="DW65">
        <v>-3.0515714285714286</v>
      </c>
      <c r="DX65">
        <v>0.31946820000000159</v>
      </c>
      <c r="DY65">
        <v>-3.0066768600285716</v>
      </c>
      <c r="DZ65">
        <v>1250</v>
      </c>
      <c r="EA65">
        <v>-3.0050435772427173</v>
      </c>
      <c r="EB65">
        <v>3</v>
      </c>
      <c r="EC65">
        <v>4.0400988585087595E-2</v>
      </c>
      <c r="ED65">
        <v>0.31205337360902208</v>
      </c>
      <c r="EE65" s="11">
        <v>7.4999999999999997E-2</v>
      </c>
      <c r="EF65">
        <v>5.6499999999999995E-2</v>
      </c>
      <c r="EG65">
        <v>19.129468200000002</v>
      </c>
      <c r="EH65" t="s">
        <v>863</v>
      </c>
      <c r="EI65">
        <v>0</v>
      </c>
      <c r="EJ65">
        <v>1</v>
      </c>
      <c r="EK65" s="13">
        <v>45470</v>
      </c>
      <c r="EL65" s="14">
        <v>0.87</v>
      </c>
      <c r="EM65" s="14">
        <v>-1.72</v>
      </c>
      <c r="EN65" s="14">
        <v>-1.39</v>
      </c>
      <c r="EO65" s="14">
        <v>1.88</v>
      </c>
      <c r="EP65" s="14">
        <v>-1.85</v>
      </c>
    </row>
    <row r="66" spans="1:146" ht="88.5" customHeight="1" x14ac:dyDescent="0.25">
      <c r="A66" s="7"/>
      <c r="B66" s="7"/>
      <c r="C66" s="16" t="str">
        <f>""&amp;CHAR(10)&amp;Basic_Fundamental_Information_Constructure(F66)&amp;CHAR(10)&amp;Basic_Fundamental_Information_Concatenate("")</f>
        <v xml:space="preserve">
市值38.292601亿, 利润21.46亿; PE12.12; 平均PE4.06; 平均PEG.05, PB.373; ROIC3.7367%; ROE5.8267%; 股利率3.3967%; 毛利21.2%; 净利7.2933%; 上一年度营收增330.45%, 利润增251.23%; 当季营收增-95.89%, 利润增-86.07%; 过往5年营收增77.63%, 利润增49.32%
Income profile:
</v>
      </c>
      <c r="D66" t="s">
        <v>324</v>
      </c>
      <c r="E66" t="s">
        <v>2942</v>
      </c>
      <c r="F66">
        <v>3.68</v>
      </c>
      <c r="G66">
        <v>0.27</v>
      </c>
      <c r="H66" t="s">
        <v>2943</v>
      </c>
      <c r="I66">
        <v>3829260100</v>
      </c>
      <c r="J66">
        <v>12.12</v>
      </c>
      <c r="K66">
        <v>0.373</v>
      </c>
      <c r="L66" t="s">
        <v>1589</v>
      </c>
      <c r="M66" t="s">
        <v>2944</v>
      </c>
      <c r="N66" t="s">
        <v>900</v>
      </c>
      <c r="O66" t="s">
        <v>2945</v>
      </c>
      <c r="P66">
        <v>-74.47</v>
      </c>
      <c r="Q66" t="s">
        <v>2946</v>
      </c>
      <c r="R66">
        <v>57677636</v>
      </c>
      <c r="S66" s="5">
        <v>-0.45590000000000003</v>
      </c>
      <c r="T66" t="s">
        <v>2947</v>
      </c>
      <c r="U66">
        <v>1032025460</v>
      </c>
      <c r="V66">
        <v>1040559800</v>
      </c>
      <c r="W66">
        <v>2.62</v>
      </c>
      <c r="X66">
        <v>0.02</v>
      </c>
      <c r="Y66">
        <v>11.4</v>
      </c>
      <c r="Z66" t="s">
        <v>2948</v>
      </c>
      <c r="AA66" t="s">
        <v>1060</v>
      </c>
      <c r="AB66" t="s">
        <v>2949</v>
      </c>
      <c r="AC66" t="s">
        <v>2950</v>
      </c>
      <c r="AD66" t="s">
        <v>24</v>
      </c>
      <c r="AE66">
        <v>-32231342</v>
      </c>
      <c r="AF66" t="s">
        <v>2951</v>
      </c>
      <c r="AG66" t="s">
        <v>2952</v>
      </c>
      <c r="AH66" t="s">
        <v>2953</v>
      </c>
      <c r="AI66" t="s">
        <v>2954</v>
      </c>
      <c r="AJ66" t="s">
        <v>2955</v>
      </c>
      <c r="AK66" t="s">
        <v>24</v>
      </c>
      <c r="AL66" t="s">
        <v>2956</v>
      </c>
      <c r="AM66" t="s">
        <v>24</v>
      </c>
      <c r="AN66" t="s">
        <v>2957</v>
      </c>
      <c r="AO66" t="s">
        <v>2958</v>
      </c>
      <c r="AP66" t="s">
        <v>1437</v>
      </c>
      <c r="AQ66" t="s">
        <v>1475</v>
      </c>
      <c r="AR66" t="s">
        <v>2959</v>
      </c>
      <c r="AS66" t="s">
        <v>2960</v>
      </c>
      <c r="AT66" t="s">
        <v>2961</v>
      </c>
      <c r="AU66" t="s">
        <v>1505</v>
      </c>
      <c r="AV66" t="s">
        <v>2962</v>
      </c>
      <c r="AW66" t="s">
        <v>1989</v>
      </c>
      <c r="AX66" t="s">
        <v>1450</v>
      </c>
      <c r="AY66" t="s">
        <v>2963</v>
      </c>
      <c r="AZ66" t="s">
        <v>2964</v>
      </c>
      <c r="BA66" t="s">
        <v>325</v>
      </c>
      <c r="BB66" t="s">
        <v>631</v>
      </c>
      <c r="BC66" t="s">
        <v>589</v>
      </c>
      <c r="BD66" t="s">
        <v>729</v>
      </c>
      <c r="BE66" t="s">
        <v>630</v>
      </c>
      <c r="BF66" t="s">
        <v>326</v>
      </c>
      <c r="BG66" t="s">
        <v>632</v>
      </c>
      <c r="BH66" t="s">
        <v>2965</v>
      </c>
      <c r="BI66" t="s">
        <v>2966</v>
      </c>
      <c r="BJ66" t="s">
        <v>1450</v>
      </c>
      <c r="BK66" t="s">
        <v>1187</v>
      </c>
      <c r="BL66" t="s">
        <v>683</v>
      </c>
      <c r="BM66" t="s">
        <v>589</v>
      </c>
      <c r="BN66">
        <v>2.59</v>
      </c>
      <c r="BO66">
        <v>4.1500000000000004</v>
      </c>
      <c r="BP66">
        <v>4.47</v>
      </c>
      <c r="BQ66">
        <v>3.92</v>
      </c>
      <c r="BR66">
        <v>6.32</v>
      </c>
      <c r="BS66">
        <v>7.24</v>
      </c>
      <c r="BT66" t="s">
        <v>2967</v>
      </c>
      <c r="BU66" t="s">
        <v>1043</v>
      </c>
      <c r="BV66">
        <v>19.829999999999998</v>
      </c>
      <c r="BW66">
        <v>18.97</v>
      </c>
      <c r="BX66">
        <v>24.8</v>
      </c>
      <c r="BY66">
        <v>5.86</v>
      </c>
      <c r="BZ66">
        <v>7.33</v>
      </c>
      <c r="CA66">
        <v>8.69</v>
      </c>
      <c r="CB66">
        <v>2.36</v>
      </c>
      <c r="CC66">
        <v>-23.25</v>
      </c>
      <c r="CD66" t="s">
        <v>2968</v>
      </c>
      <c r="CE66" t="s">
        <v>149</v>
      </c>
      <c r="CF66" s="8">
        <v>-0.95893461606983788</v>
      </c>
      <c r="CG66" s="9">
        <v>-0.86068203864734294</v>
      </c>
      <c r="CH66" s="8">
        <v>3.3045470714569092</v>
      </c>
      <c r="CI66" s="8">
        <v>0.1761409193277359</v>
      </c>
      <c r="CJ66" s="8">
        <v>6.6029533743858337E-2</v>
      </c>
      <c r="CK66" s="8">
        <v>0.18400418758392334</v>
      </c>
      <c r="CL66" s="8">
        <v>0.15078422427177429</v>
      </c>
      <c r="CM66" s="9">
        <v>2.5122749805450439</v>
      </c>
      <c r="CN66" s="9">
        <v>-7.8431375324726105E-2</v>
      </c>
      <c r="CO66" s="9">
        <v>-0.16917292773723602</v>
      </c>
      <c r="CP66" s="9">
        <v>2.1766966208815575E-2</v>
      </c>
      <c r="CQ66" s="9">
        <v>0.17975831031799316</v>
      </c>
      <c r="CR66">
        <v>4.0585692633810284</v>
      </c>
      <c r="CS66">
        <v>5.2280858639646571E-2</v>
      </c>
      <c r="CT66">
        <v>3.3967391304347823</v>
      </c>
      <c r="CU66" s="8">
        <v>0.77630118727684017</v>
      </c>
      <c r="CV66" s="9">
        <v>0.49323919080197809</v>
      </c>
      <c r="CW66">
        <v>0.06</v>
      </c>
      <c r="CX66">
        <v>3.2215533670853733</v>
      </c>
      <c r="CY66">
        <v>3596172026.3170743</v>
      </c>
      <c r="CZ66">
        <v>0.77630118727684017</v>
      </c>
      <c r="DA66">
        <v>0.6183960464403605</v>
      </c>
      <c r="DB66">
        <v>18734369611.008354</v>
      </c>
      <c r="DC66">
        <v>0.73748612791299817</v>
      </c>
      <c r="DD66">
        <v>0.13299238532241811</v>
      </c>
      <c r="DE66">
        <v>87112206250.857498</v>
      </c>
      <c r="DF66">
        <v>0.68314504480361937</v>
      </c>
      <c r="DG66">
        <v>2.7092403336802073E-2</v>
      </c>
      <c r="DH66">
        <v>427620243061.37097</v>
      </c>
      <c r="DI66">
        <v>0.62104094982147218</v>
      </c>
      <c r="DJ66">
        <v>9.2221915929158443E-4</v>
      </c>
      <c r="DK66">
        <v>12562371951694.627</v>
      </c>
      <c r="DL66">
        <v>0.54341083109378807</v>
      </c>
      <c r="DM66">
        <v>2146000000</v>
      </c>
      <c r="DN66">
        <v>0.77630118727684017</v>
      </c>
      <c r="DO66">
        <v>11585260100</v>
      </c>
      <c r="DP66">
        <v>13434155000</v>
      </c>
      <c r="DQ66">
        <v>3230</v>
      </c>
      <c r="DR66">
        <v>-1.7352358033466779</v>
      </c>
      <c r="DS66">
        <v>-1.353921229449321</v>
      </c>
      <c r="DT66" s="10">
        <v>0.22666666666666657</v>
      </c>
      <c r="DU66">
        <v>-0.17333333333333337</v>
      </c>
      <c r="DV66">
        <v>5.3333333333333205E-2</v>
      </c>
      <c r="DW66">
        <v>-3.0819940476190477</v>
      </c>
      <c r="DX66">
        <v>0.31124485596707718</v>
      </c>
      <c r="DY66">
        <v>-3.0115812374461099</v>
      </c>
      <c r="DZ66">
        <v>3817</v>
      </c>
      <c r="EA66">
        <v>-3.0029304383596518</v>
      </c>
      <c r="EB66">
        <v>3</v>
      </c>
      <c r="EC66">
        <v>3.2984649224388644E-2</v>
      </c>
      <c r="ED66">
        <v>0.23352814513879935</v>
      </c>
      <c r="EE66" s="11">
        <v>-3.0099100000000001</v>
      </c>
      <c r="EF66">
        <v>-3.0336099999999999</v>
      </c>
      <c r="EG66">
        <v>17.141244855967077</v>
      </c>
      <c r="EH66" t="s">
        <v>878</v>
      </c>
      <c r="EI66">
        <v>0</v>
      </c>
      <c r="EJ66">
        <v>0</v>
      </c>
      <c r="EK66" s="13">
        <v>45470</v>
      </c>
      <c r="EL66" s="14">
        <v>0.72</v>
      </c>
      <c r="EM66" s="14">
        <v>-3.91</v>
      </c>
      <c r="EN66" s="14">
        <v>0.37</v>
      </c>
      <c r="EO66" s="14">
        <v>1.1100000000000001</v>
      </c>
      <c r="EP66" s="14">
        <v>-2.37</v>
      </c>
    </row>
    <row r="67" spans="1:146" ht="88.5" customHeight="1" x14ac:dyDescent="0.25">
      <c r="A67" s="7"/>
      <c r="B67" s="7"/>
      <c r="C67" s="16" t="str">
        <f>""&amp;CHAR(10)&amp;Basic_Fundamental_Information_Constructure(F67)&amp;CHAR(10)&amp;Basic_Fundamental_Information_Concatenate("")</f>
        <v xml:space="preserve">
市值20.58亿, 利润10.71亿; PE; 平均PE5; 平均PEG.14, PB.493; ROIC2.05%; ROE4.1867%; 股利率0%; 毛利22.42%; 净利4.0333%; 上一年度营收增25.46%, 利润增466.67%; 当季营收增-75.3%, 利润增-109.82%; 过往5年营收增36.25%, 利润增95.47%
Income profile:
</v>
      </c>
      <c r="D67" t="s">
        <v>328</v>
      </c>
      <c r="E67" t="s">
        <v>22</v>
      </c>
      <c r="F67">
        <v>1.96</v>
      </c>
      <c r="G67">
        <v>0</v>
      </c>
      <c r="H67" t="s">
        <v>2969</v>
      </c>
      <c r="I67">
        <v>2058000000</v>
      </c>
      <c r="K67">
        <v>0.49299999999999999</v>
      </c>
      <c r="L67" t="s">
        <v>1589</v>
      </c>
      <c r="M67" t="s">
        <v>2970</v>
      </c>
      <c r="N67" t="s">
        <v>2971</v>
      </c>
      <c r="O67" t="s">
        <v>1439</v>
      </c>
      <c r="P67">
        <v>-72.41</v>
      </c>
      <c r="Q67" t="s">
        <v>2972</v>
      </c>
      <c r="R67">
        <v>-26024799</v>
      </c>
      <c r="S67" s="5">
        <v>-3.6230000000000002</v>
      </c>
      <c r="T67" t="s">
        <v>2973</v>
      </c>
      <c r="U67">
        <v>1050000000</v>
      </c>
      <c r="V67">
        <v>1050000000</v>
      </c>
      <c r="W67">
        <v>5.57</v>
      </c>
      <c r="X67">
        <v>0.02</v>
      </c>
      <c r="Y67">
        <v>-4.46</v>
      </c>
      <c r="Z67" t="s">
        <v>164</v>
      </c>
      <c r="AA67" t="s">
        <v>2974</v>
      </c>
      <c r="AB67" t="s">
        <v>2975</v>
      </c>
      <c r="AC67" t="s">
        <v>2976</v>
      </c>
      <c r="AD67" t="s">
        <v>24</v>
      </c>
      <c r="AE67">
        <v>26031635</v>
      </c>
      <c r="AF67" t="s">
        <v>2977</v>
      </c>
      <c r="AG67" t="s">
        <v>2978</v>
      </c>
      <c r="AH67" t="s">
        <v>2979</v>
      </c>
      <c r="AI67" t="s">
        <v>2980</v>
      </c>
      <c r="AJ67" t="s">
        <v>2981</v>
      </c>
      <c r="AK67" t="s">
        <v>24</v>
      </c>
      <c r="AL67" t="s">
        <v>2982</v>
      </c>
      <c r="AM67" t="s">
        <v>24</v>
      </c>
      <c r="AN67">
        <v>0</v>
      </c>
      <c r="AO67" t="s">
        <v>1055</v>
      </c>
      <c r="AP67" t="s">
        <v>24</v>
      </c>
      <c r="AQ67" t="s">
        <v>2555</v>
      </c>
      <c r="AR67" t="s">
        <v>2983</v>
      </c>
      <c r="AS67" t="s">
        <v>2984</v>
      </c>
      <c r="AT67" t="s">
        <v>2985</v>
      </c>
      <c r="AU67" t="s">
        <v>1225</v>
      </c>
      <c r="AV67" t="s">
        <v>2986</v>
      </c>
      <c r="AW67" t="s">
        <v>2987</v>
      </c>
      <c r="AX67" t="s">
        <v>1451</v>
      </c>
      <c r="AY67" t="s">
        <v>652</v>
      </c>
      <c r="AZ67" t="s">
        <v>600</v>
      </c>
      <c r="BA67" t="s">
        <v>634</v>
      </c>
      <c r="BB67" t="s">
        <v>635</v>
      </c>
      <c r="BC67" t="s">
        <v>1071</v>
      </c>
      <c r="BD67" t="s">
        <v>576</v>
      </c>
      <c r="BE67" t="s">
        <v>609</v>
      </c>
      <c r="BF67" t="s">
        <v>274</v>
      </c>
      <c r="BG67" t="s">
        <v>606</v>
      </c>
      <c r="BH67" t="s">
        <v>2988</v>
      </c>
      <c r="BI67" t="s">
        <v>2989</v>
      </c>
      <c r="BJ67" t="s">
        <v>1451</v>
      </c>
      <c r="BK67" t="s">
        <v>2990</v>
      </c>
      <c r="BL67" t="s">
        <v>523</v>
      </c>
      <c r="BM67" t="s">
        <v>1071</v>
      </c>
      <c r="BN67">
        <v>0.51</v>
      </c>
      <c r="BO67">
        <v>1.91</v>
      </c>
      <c r="BP67">
        <v>3.73</v>
      </c>
      <c r="BQ67">
        <v>-0.28000000000000003</v>
      </c>
      <c r="BR67">
        <v>4.24</v>
      </c>
      <c r="BS67">
        <v>8.6</v>
      </c>
      <c r="BT67" t="s">
        <v>1115</v>
      </c>
      <c r="BU67" t="s">
        <v>1043</v>
      </c>
      <c r="BV67">
        <v>15.39</v>
      </c>
      <c r="BW67">
        <v>17.8</v>
      </c>
      <c r="BX67">
        <v>34.07</v>
      </c>
      <c r="BY67">
        <v>-1.95</v>
      </c>
      <c r="BZ67">
        <v>2.91</v>
      </c>
      <c r="CA67">
        <v>11.14</v>
      </c>
      <c r="CB67">
        <v>0</v>
      </c>
      <c r="CC67">
        <v>-23.14</v>
      </c>
      <c r="CD67" t="s">
        <v>2991</v>
      </c>
      <c r="CE67" t="s">
        <v>2340</v>
      </c>
      <c r="CF67" s="8">
        <v>-0.75299760191846521</v>
      </c>
      <c r="CG67" s="9">
        <v>-1.0982067886792453</v>
      </c>
      <c r="CH67" s="8">
        <v>0.25455597043037415</v>
      </c>
      <c r="CI67" s="8">
        <v>1.1687577962875366</v>
      </c>
      <c r="CJ67" s="8">
        <v>-3.247346356511116E-2</v>
      </c>
      <c r="CK67" s="8">
        <v>0.43949329853057861</v>
      </c>
      <c r="CL67" s="8">
        <v>-1.8018072471022606E-2</v>
      </c>
      <c r="CM67" s="9">
        <v>4.6666665077209473</v>
      </c>
      <c r="CN67" s="9">
        <v>-0.48918917775154114</v>
      </c>
      <c r="CO67" s="9">
        <v>0.1349693238735199</v>
      </c>
      <c r="CP67" s="9">
        <v>9.3959733843803406E-2</v>
      </c>
      <c r="CQ67" s="9">
        <v>0.36697247624397278</v>
      </c>
      <c r="CR67">
        <v>4.9951456310679614</v>
      </c>
      <c r="CS67">
        <v>0.13781114686025134</v>
      </c>
      <c r="CT67">
        <v>0</v>
      </c>
      <c r="CU67" s="8">
        <v>0.3624631058424711</v>
      </c>
      <c r="CV67" s="9">
        <v>0.95467577278614046</v>
      </c>
      <c r="CW67">
        <v>0.06</v>
      </c>
      <c r="CX67">
        <v>12.863559417908917</v>
      </c>
      <c r="CY67">
        <v>1376601873.9219685</v>
      </c>
      <c r="CZ67">
        <v>0.3624631058424711</v>
      </c>
      <c r="DA67">
        <v>3.3629126937540557</v>
      </c>
      <c r="DB67">
        <v>5265673424.3767624</v>
      </c>
      <c r="DC67">
        <v>0.34433995055034755</v>
      </c>
      <c r="DD67">
        <v>1.1971658110689392</v>
      </c>
      <c r="DE67">
        <v>14791601828.479113</v>
      </c>
      <c r="DF67">
        <v>0.31896753314137455</v>
      </c>
      <c r="DG67">
        <v>0.48130407506680095</v>
      </c>
      <c r="DH67">
        <v>36791710100.402283</v>
      </c>
      <c r="DI67">
        <v>0.2899704846739769</v>
      </c>
      <c r="DJ67">
        <v>9.2223122415186667E-2</v>
      </c>
      <c r="DK67">
        <v>192012583571.81766</v>
      </c>
      <c r="DL67">
        <v>0.25372417408972975</v>
      </c>
      <c r="DM67">
        <v>1071000000.0000001</v>
      </c>
      <c r="DN67">
        <v>0.3624631058424711</v>
      </c>
      <c r="DO67">
        <v>17708000000</v>
      </c>
      <c r="DP67">
        <v>8923008000</v>
      </c>
      <c r="DQ67">
        <v>3250</v>
      </c>
      <c r="DR67">
        <v>-1.1154607077609362</v>
      </c>
      <c r="DS67">
        <v>-2.0528825614653856</v>
      </c>
      <c r="DT67" s="10">
        <v>0.14333333333333331</v>
      </c>
      <c r="DU67">
        <v>-0.64833333333333332</v>
      </c>
      <c r="DV67">
        <v>-0.505</v>
      </c>
      <c r="DW67">
        <v>-3.0807500000000001</v>
      </c>
      <c r="DX67">
        <v>0.2820249249249257</v>
      </c>
      <c r="DY67">
        <v>-3.0098535126876875</v>
      </c>
      <c r="DZ67">
        <v>745</v>
      </c>
      <c r="EA67">
        <v>-3.0084169438124766</v>
      </c>
      <c r="EB67">
        <v>3</v>
      </c>
      <c r="EC67">
        <v>3.8699333333333336E-2</v>
      </c>
      <c r="ED67">
        <v>0.31714285714285712</v>
      </c>
      <c r="EE67" s="11">
        <v>2.0579999999999998</v>
      </c>
      <c r="EF67">
        <v>2.0266999999999999</v>
      </c>
      <c r="EG67">
        <v>16.122024924924926</v>
      </c>
      <c r="EH67" t="s">
        <v>836</v>
      </c>
      <c r="EI67">
        <v>0</v>
      </c>
      <c r="EJ67">
        <v>1</v>
      </c>
      <c r="EK67" s="13">
        <v>45470</v>
      </c>
      <c r="EL67" s="14">
        <v>-1.33</v>
      </c>
      <c r="EM67" s="14">
        <v>-4.95</v>
      </c>
      <c r="EN67" s="14">
        <v>0.32</v>
      </c>
      <c r="EO67" s="14">
        <v>0.79</v>
      </c>
      <c r="EP67" s="14">
        <v>-3.13</v>
      </c>
    </row>
    <row r="68" spans="1:146" ht="88.5" customHeight="1" x14ac:dyDescent="0.25">
      <c r="A68" s="7"/>
      <c r="B68" s="7"/>
      <c r="C68" s="16" t="str">
        <f>""&amp;CHAR(10)&amp;Basic_Fundamental_Information_Constructure(F68)&amp;CHAR(10)&amp;Basic_Fundamental_Information_Concatenate("")</f>
        <v xml:space="preserve">
市值21.177803亿, 利润28.23亿; PE; 平均PE8.34; 平均PEG6.29, PB1.62; ROIC-1.33%; ROE-26.8767%; 股利率0%; 毛利17.6233%; 净利-14.1533%; 上一年度营收增-57.63%, 利润增180.73%; 当季营收增117.59%, 利润增-121.1%; 过往5年营收增1.33%, 利润增-7.35%
Income profile:
</v>
      </c>
      <c r="D68" t="s">
        <v>329</v>
      </c>
      <c r="E68" t="s">
        <v>2992</v>
      </c>
      <c r="F68" t="s">
        <v>24</v>
      </c>
      <c r="G68" t="s">
        <v>24</v>
      </c>
      <c r="H68" t="s">
        <v>24</v>
      </c>
      <c r="I68">
        <v>2117780300</v>
      </c>
      <c r="K68">
        <v>1.62</v>
      </c>
      <c r="L68" t="s">
        <v>1589</v>
      </c>
      <c r="M68" t="s">
        <v>2993</v>
      </c>
      <c r="N68" t="s">
        <v>2994</v>
      </c>
      <c r="O68" t="s">
        <v>2995</v>
      </c>
      <c r="P68">
        <v>16.21</v>
      </c>
      <c r="Q68" t="s">
        <v>2996</v>
      </c>
      <c r="R68">
        <v>-142818530</v>
      </c>
      <c r="S68" s="5">
        <v>-0.42459999999999998</v>
      </c>
      <c r="T68" t="s">
        <v>2997</v>
      </c>
      <c r="U68">
        <v>2491506300</v>
      </c>
      <c r="V68">
        <v>2491506300</v>
      </c>
      <c r="W68">
        <v>6.59</v>
      </c>
      <c r="X68">
        <v>0.1</v>
      </c>
      <c r="Y68">
        <v>-2.97</v>
      </c>
      <c r="Z68" t="s">
        <v>2998</v>
      </c>
      <c r="AA68" t="s">
        <v>2999</v>
      </c>
      <c r="AB68" t="s">
        <v>285</v>
      </c>
      <c r="AC68" t="s">
        <v>198</v>
      </c>
      <c r="AD68" t="s">
        <v>24</v>
      </c>
      <c r="AE68">
        <v>190802290</v>
      </c>
      <c r="AF68" t="s">
        <v>3000</v>
      </c>
      <c r="AG68" t="s">
        <v>3001</v>
      </c>
      <c r="AH68" t="s">
        <v>3002</v>
      </c>
      <c r="AI68" t="s">
        <v>3003</v>
      </c>
      <c r="AJ68" t="s">
        <v>24</v>
      </c>
      <c r="AK68" t="s">
        <v>3004</v>
      </c>
      <c r="AL68" t="s">
        <v>3005</v>
      </c>
      <c r="AM68" t="s">
        <v>24</v>
      </c>
      <c r="AN68" t="s">
        <v>3006</v>
      </c>
      <c r="AO68" t="s">
        <v>3007</v>
      </c>
      <c r="AP68" t="s">
        <v>24</v>
      </c>
      <c r="AQ68" t="s">
        <v>3008</v>
      </c>
      <c r="AR68" t="s">
        <v>3009</v>
      </c>
      <c r="AS68" t="s">
        <v>3010</v>
      </c>
      <c r="AT68" t="s">
        <v>1097</v>
      </c>
      <c r="AU68" t="s">
        <v>2060</v>
      </c>
      <c r="AV68" t="s">
        <v>3011</v>
      </c>
      <c r="AW68" t="s">
        <v>1492</v>
      </c>
      <c r="AX68" t="s">
        <v>1453</v>
      </c>
      <c r="AY68" t="s">
        <v>924</v>
      </c>
      <c r="AZ68" t="s">
        <v>637</v>
      </c>
      <c r="BA68" t="s">
        <v>330</v>
      </c>
      <c r="BB68" t="s">
        <v>639</v>
      </c>
      <c r="BC68" t="s">
        <v>1454</v>
      </c>
      <c r="BD68" t="s">
        <v>925</v>
      </c>
      <c r="BE68" t="s">
        <v>377</v>
      </c>
      <c r="BF68" t="s">
        <v>331</v>
      </c>
      <c r="BG68" t="s">
        <v>641</v>
      </c>
      <c r="BH68" t="s">
        <v>3012</v>
      </c>
      <c r="BI68" t="s">
        <v>3013</v>
      </c>
      <c r="BJ68" t="s">
        <v>1453</v>
      </c>
      <c r="BK68" t="s">
        <v>3014</v>
      </c>
      <c r="BL68" t="s">
        <v>3015</v>
      </c>
      <c r="BM68" t="s">
        <v>1454</v>
      </c>
      <c r="BN68">
        <v>-1.33</v>
      </c>
      <c r="BO68" t="s">
        <v>24</v>
      </c>
      <c r="BP68" t="s">
        <v>24</v>
      </c>
      <c r="BQ68">
        <v>-7.9</v>
      </c>
      <c r="BR68">
        <v>-51.82</v>
      </c>
      <c r="BS68">
        <v>-20.91</v>
      </c>
      <c r="BT68" t="s">
        <v>1115</v>
      </c>
      <c r="BU68" t="s">
        <v>1043</v>
      </c>
      <c r="BV68">
        <v>13.91</v>
      </c>
      <c r="BW68">
        <v>22.68</v>
      </c>
      <c r="BX68">
        <v>16.28</v>
      </c>
      <c r="BY68">
        <v>-21.56</v>
      </c>
      <c r="BZ68">
        <v>-11.53</v>
      </c>
      <c r="CA68">
        <v>-9.3699999999999992</v>
      </c>
      <c r="CB68">
        <v>0</v>
      </c>
      <c r="CC68">
        <v>-15</v>
      </c>
      <c r="CD68" t="s">
        <v>24</v>
      </c>
      <c r="CE68" t="s">
        <v>1473</v>
      </c>
      <c r="CF68" s="8">
        <v>1.1758793969849246</v>
      </c>
      <c r="CG68" s="9">
        <v>-1.2109579468242244</v>
      </c>
      <c r="CH68" s="8">
        <v>-0.57633066177368164</v>
      </c>
      <c r="CI68" s="8">
        <v>0.11366855353116989</v>
      </c>
      <c r="CJ68" s="8">
        <v>-3.7985969334840775E-2</v>
      </c>
      <c r="CK68" s="8">
        <v>7.9910576343536377E-2</v>
      </c>
      <c r="CL68" s="8">
        <v>0.48701497912406921</v>
      </c>
      <c r="CM68" s="9">
        <v>1.8072633743286133</v>
      </c>
      <c r="CN68" s="9">
        <v>-0.70253163576126099</v>
      </c>
      <c r="CO68" s="9">
        <v>-2.1392123699188232</v>
      </c>
      <c r="CP68" s="9">
        <v>0.2590782642364502</v>
      </c>
      <c r="CQ68" s="9">
        <v>0.40806293487548828</v>
      </c>
      <c r="CR68">
        <v>8.3377177165354333</v>
      </c>
      <c r="CS68">
        <v>6.290008296892057</v>
      </c>
      <c r="CT68">
        <v>0</v>
      </c>
      <c r="CU68" s="8">
        <v>1.3255495578050613E-2</v>
      </c>
      <c r="CV68" s="9">
        <v>-7.34678864479065E-2</v>
      </c>
      <c r="CW68">
        <v>0.06</v>
      </c>
      <c r="CX68">
        <v>15.790115769412738</v>
      </c>
      <c r="CY68">
        <v>2698509683.0347514</v>
      </c>
      <c r="CZ68">
        <v>1.3255495578050613E-2</v>
      </c>
      <c r="DA68">
        <v>5.509551890320493</v>
      </c>
      <c r="DB68">
        <v>7733801432.1744366</v>
      </c>
      <c r="DC68">
        <v>1.2592720799148083E-2</v>
      </c>
      <c r="DD68">
        <v>2.9526417108899516</v>
      </c>
      <c r="DE68">
        <v>14431070367.544542</v>
      </c>
      <c r="DF68">
        <v>1.166483610868454E-2</v>
      </c>
      <c r="DG68">
        <v>1.9440721536988386</v>
      </c>
      <c r="DH68">
        <v>21917797762.253632</v>
      </c>
      <c r="DI68">
        <v>1.0604396462440491E-2</v>
      </c>
      <c r="DJ68">
        <v>1.213783592485435</v>
      </c>
      <c r="DK68">
        <v>35104923615.542534</v>
      </c>
      <c r="DL68">
        <v>9.2788469046354294E-3</v>
      </c>
      <c r="DM68">
        <v>2823000000</v>
      </c>
      <c r="DN68">
        <v>1.3255495578050613E-2</v>
      </c>
      <c r="DO68">
        <v>42609780300</v>
      </c>
      <c r="DP68">
        <v>3149378000</v>
      </c>
      <c r="DQ68">
        <v>3274</v>
      </c>
      <c r="DR68">
        <v>1.162623901406874</v>
      </c>
      <c r="DS68">
        <v>-1.1374900603763178</v>
      </c>
      <c r="DT68" s="10">
        <v>-0.50666666666666671</v>
      </c>
      <c r="DU68">
        <v>-1.781666666666667</v>
      </c>
      <c r="DV68">
        <v>-2.2883333333333336</v>
      </c>
      <c r="DW68">
        <v>-2.15</v>
      </c>
      <c r="DX68" t="e">
        <v>#VALUE!</v>
      </c>
      <c r="DY68">
        <v>-2</v>
      </c>
      <c r="DZ68">
        <v>1166</v>
      </c>
      <c r="EA68">
        <v>-2</v>
      </c>
      <c r="EB68">
        <v>2</v>
      </c>
      <c r="EC68">
        <v>0</v>
      </c>
      <c r="ED68">
        <v>0.48284044074060739</v>
      </c>
      <c r="EE68" s="11">
        <v>-1.0848100000000001</v>
      </c>
      <c r="EF68">
        <v>-1.0984099999999999</v>
      </c>
      <c r="EG68" t="e">
        <v>#VALUE!</v>
      </c>
      <c r="EH68" t="s">
        <v>892</v>
      </c>
      <c r="EI68">
        <v>0</v>
      </c>
      <c r="EJ68">
        <v>1</v>
      </c>
      <c r="EK68" s="13">
        <v>45470</v>
      </c>
      <c r="EL68" s="14">
        <v>0.66</v>
      </c>
      <c r="EM68" s="14">
        <v>-1.29</v>
      </c>
      <c r="EN68" s="14">
        <v>-3.14</v>
      </c>
      <c r="EO68" s="14">
        <v>1.33</v>
      </c>
      <c r="EP68" s="14">
        <v>-1.36</v>
      </c>
    </row>
    <row r="69" spans="1:146" ht="88.5" customHeight="1" x14ac:dyDescent="0.25">
      <c r="A69" s="7"/>
      <c r="B69" s="7"/>
      <c r="C69" s="16" t="str">
        <f>"公司主营业务为综合园区建设、物流园区投资、经营和配套服务以及冷链物流、铁路物流。2016年12月30日，公司完成了重大资产重组，重组前主营业务为对新能源、新材料、矿产资源、光电、网络科技产业的投资及投资管理。"&amp;CHAR(10)&amp;Basic_Fundamental_Information_Constructure(F69)&amp;CHAR(10)&amp;Basic_Fundamental_Information_Concatenate("房地产销售收入 3.03亿 82.31% 80.42% 31.15%
物流园经营收入 3788.22万 10.28% 13.94% 43.24%")</f>
        <v>公司主营业务为综合园区建设、物流园区投资、经营和配套服务以及冷链物流、铁路物流。2016年12月30日，公司完成了重大资产重组，重组前主营业务为对新能源、新材料、矿产资源、光电、网络科技产业的投资及投资管理。
市值64.357773亿, 利润-1.78亿; PE10.4; 平均PE13.87; 平均PEG5.19, PB.958; ROIC4.3367%; ROE7.1333%; 股利率0%; 毛利36.2133%; 净利12.3933%; 上一年度营收增-51.91%, 利润增-214.84%; 当季营收增303.27%, 利润增617.4%; 过往5年营收增-2.67%, 利润增-52.83%
Income profile:
房地产销售收入 3.03亿 82.31% 80.42% 31.15%
物流园经营收入 3788.22万 10.28% 13.94% 43.24%</v>
      </c>
      <c r="D69" t="s">
        <v>762</v>
      </c>
      <c r="E69" t="s">
        <v>763</v>
      </c>
      <c r="F69">
        <v>5.23</v>
      </c>
      <c r="G69">
        <v>1.36</v>
      </c>
      <c r="H69" t="s">
        <v>3016</v>
      </c>
      <c r="I69">
        <v>6435777300</v>
      </c>
      <c r="J69">
        <v>10.4</v>
      </c>
      <c r="K69">
        <v>0.95799999999999996</v>
      </c>
      <c r="L69" t="s">
        <v>1589</v>
      </c>
      <c r="M69" t="s">
        <v>3017</v>
      </c>
      <c r="N69" t="s">
        <v>3018</v>
      </c>
      <c r="O69" t="s">
        <v>3019</v>
      </c>
      <c r="P69">
        <v>44.44</v>
      </c>
      <c r="Q69" t="s">
        <v>3020</v>
      </c>
      <c r="R69">
        <v>205842550</v>
      </c>
      <c r="S69" s="5">
        <v>0.20649999999999999</v>
      </c>
      <c r="T69" t="s">
        <v>1319</v>
      </c>
      <c r="U69">
        <v>1230550150</v>
      </c>
      <c r="V69">
        <v>1230550150</v>
      </c>
      <c r="W69">
        <v>3.26</v>
      </c>
      <c r="X69">
        <v>0.04</v>
      </c>
      <c r="Y69">
        <v>21.79</v>
      </c>
      <c r="Z69" t="s">
        <v>2426</v>
      </c>
      <c r="AA69" t="s">
        <v>3021</v>
      </c>
      <c r="AB69" t="s">
        <v>3022</v>
      </c>
      <c r="AC69" t="s">
        <v>3023</v>
      </c>
      <c r="AD69" t="s">
        <v>24</v>
      </c>
      <c r="AE69">
        <v>135979070</v>
      </c>
      <c r="AF69" t="s">
        <v>3024</v>
      </c>
      <c r="AG69" t="s">
        <v>3025</v>
      </c>
      <c r="AH69" t="s">
        <v>3026</v>
      </c>
      <c r="AI69" t="s">
        <v>3027</v>
      </c>
      <c r="AJ69" t="s">
        <v>3028</v>
      </c>
      <c r="AK69" t="s">
        <v>3029</v>
      </c>
      <c r="AL69" t="s">
        <v>3030</v>
      </c>
      <c r="AM69" t="s">
        <v>24</v>
      </c>
      <c r="AN69" t="s">
        <v>3031</v>
      </c>
      <c r="AO69" t="s">
        <v>3032</v>
      </c>
      <c r="AP69" t="s">
        <v>105</v>
      </c>
      <c r="AQ69" t="s">
        <v>1148</v>
      </c>
      <c r="AR69" t="s">
        <v>3033</v>
      </c>
      <c r="AS69" t="s">
        <v>3034</v>
      </c>
      <c r="AT69" t="s">
        <v>3035</v>
      </c>
      <c r="AU69" t="s">
        <v>149</v>
      </c>
      <c r="AV69" t="s">
        <v>3036</v>
      </c>
      <c r="AW69" t="s">
        <v>798</v>
      </c>
      <c r="AX69" t="s">
        <v>3037</v>
      </c>
      <c r="AY69" t="s">
        <v>1458</v>
      </c>
      <c r="AZ69" t="s">
        <v>926</v>
      </c>
      <c r="BA69" t="s">
        <v>741</v>
      </c>
      <c r="BB69" t="s">
        <v>764</v>
      </c>
      <c r="BC69" t="s">
        <v>259</v>
      </c>
      <c r="BD69" t="s">
        <v>1132</v>
      </c>
      <c r="BE69" t="s">
        <v>818</v>
      </c>
      <c r="BF69" t="s">
        <v>670</v>
      </c>
      <c r="BG69" t="s">
        <v>765</v>
      </c>
      <c r="BH69" t="s">
        <v>3038</v>
      </c>
      <c r="BI69" t="s">
        <v>262</v>
      </c>
      <c r="BJ69" t="s">
        <v>3037</v>
      </c>
      <c r="BK69" t="s">
        <v>366</v>
      </c>
      <c r="BL69" t="s">
        <v>3039</v>
      </c>
      <c r="BM69" t="s">
        <v>259</v>
      </c>
      <c r="BN69">
        <v>5.67</v>
      </c>
      <c r="BO69">
        <v>2.0299999999999998</v>
      </c>
      <c r="BP69">
        <v>5.31</v>
      </c>
      <c r="BQ69">
        <v>7.43</v>
      </c>
      <c r="BR69">
        <v>6.3</v>
      </c>
      <c r="BS69">
        <v>7.67</v>
      </c>
      <c r="BT69" t="s">
        <v>1115</v>
      </c>
      <c r="BU69" t="s">
        <v>1043</v>
      </c>
      <c r="BV69">
        <v>36.19</v>
      </c>
      <c r="BW69">
        <v>28.25</v>
      </c>
      <c r="BX69">
        <v>44.2</v>
      </c>
      <c r="BY69">
        <v>12.93</v>
      </c>
      <c r="BZ69">
        <v>6.55</v>
      </c>
      <c r="CA69">
        <v>17.7</v>
      </c>
      <c r="CB69">
        <v>3.77</v>
      </c>
      <c r="CC69">
        <v>-10.45</v>
      </c>
      <c r="CD69" t="s">
        <v>3040</v>
      </c>
      <c r="CE69" t="s">
        <v>753</v>
      </c>
      <c r="CF69" s="8">
        <v>3.0326530612244897</v>
      </c>
      <c r="CG69" s="9">
        <v>6.1739513477644508</v>
      </c>
      <c r="CH69" s="8">
        <v>-0.51905882358551025</v>
      </c>
      <c r="CI69" s="8">
        <v>-0.50821572542190552</v>
      </c>
      <c r="CJ69" s="8">
        <v>-1.661355048418045E-2</v>
      </c>
      <c r="CK69" s="8">
        <v>0.53154408931732178</v>
      </c>
      <c r="CL69" s="8">
        <v>0.37866410613059998</v>
      </c>
      <c r="CM69" s="9">
        <v>-2.1483871936798096</v>
      </c>
      <c r="CN69" s="9">
        <v>-0.74919092655181885</v>
      </c>
      <c r="CO69" s="9">
        <v>-0.25</v>
      </c>
      <c r="CP69" s="9">
        <v>6.1050062067806721E-3</v>
      </c>
      <c r="CQ69" s="9">
        <v>0.5</v>
      </c>
      <c r="CR69">
        <v>13.870209698275863</v>
      </c>
      <c r="CS69">
        <v>5.1878439760640225</v>
      </c>
      <c r="CT69">
        <v>0</v>
      </c>
      <c r="CU69" s="8">
        <v>-2.6735980808734894E-2</v>
      </c>
      <c r="CV69" s="9">
        <v>-0.52829462280496953</v>
      </c>
      <c r="CW69">
        <v>0.06</v>
      </c>
      <c r="CX69" t="e">
        <v>#VALUE!</v>
      </c>
      <c r="CY69" t="s">
        <v>850</v>
      </c>
      <c r="CZ69">
        <v>-2.6735980808734894E-2</v>
      </c>
      <c r="DA69" t="e">
        <v>#VALUE!</v>
      </c>
      <c r="DB69" t="s">
        <v>850</v>
      </c>
      <c r="DC69">
        <v>-2.5399181768298147E-2</v>
      </c>
      <c r="DD69" t="e">
        <v>#VALUE!</v>
      </c>
      <c r="DE69" t="s">
        <v>850</v>
      </c>
      <c r="DF69">
        <v>-2.3527663111686706E-2</v>
      </c>
      <c r="DG69" t="e">
        <v>#VALUE!</v>
      </c>
      <c r="DH69" t="s">
        <v>850</v>
      </c>
      <c r="DI69">
        <v>-2.1388784646987916E-2</v>
      </c>
      <c r="DJ69" t="e">
        <v>#VALUE!</v>
      </c>
      <c r="DK69" t="s">
        <v>850</v>
      </c>
      <c r="DL69">
        <v>-1.8715186566114424E-2</v>
      </c>
      <c r="DM69">
        <v>-178000000</v>
      </c>
      <c r="DN69">
        <v>-2.6735980808734894E-2</v>
      </c>
      <c r="DO69">
        <v>15397777300</v>
      </c>
      <c r="DP69">
        <v>-2352807400</v>
      </c>
      <c r="DQ69">
        <v>3310</v>
      </c>
      <c r="DR69">
        <v>3.0593890420332248</v>
      </c>
      <c r="DS69">
        <v>6.70224597056942</v>
      </c>
      <c r="DT69" s="10">
        <v>-0.54</v>
      </c>
      <c r="DU69">
        <v>-0.48333333333333339</v>
      </c>
      <c r="DV69">
        <v>-1.0233333333333334</v>
      </c>
      <c r="DW69">
        <v>6.2651195499296763</v>
      </c>
      <c r="DX69">
        <v>0.31451806331471122</v>
      </c>
      <c r="DY69">
        <v>6.0409657594020016</v>
      </c>
      <c r="DZ69">
        <v>2205</v>
      </c>
      <c r="EA69">
        <v>6.0232887536326452</v>
      </c>
      <c r="EB69">
        <v>6</v>
      </c>
      <c r="EC69">
        <v>6.7430165280139148E-2</v>
      </c>
      <c r="ED69">
        <v>0.43639017881554848</v>
      </c>
      <c r="EE69" s="11">
        <v>2.0291100000000002</v>
      </c>
      <c r="EF69">
        <v>2.0514100000000002</v>
      </c>
      <c r="EG69">
        <v>16.154518063314711</v>
      </c>
      <c r="EH69" t="s">
        <v>833</v>
      </c>
      <c r="EI69">
        <v>0</v>
      </c>
      <c r="EJ69">
        <v>0</v>
      </c>
      <c r="EK69" s="13">
        <v>45470</v>
      </c>
      <c r="EL69" s="14">
        <v>0.99</v>
      </c>
      <c r="EM69" s="14">
        <v>-4.37</v>
      </c>
      <c r="EN69" s="14">
        <v>-1.68</v>
      </c>
      <c r="EO69" s="14">
        <v>6.26</v>
      </c>
      <c r="EP69" s="14">
        <v>-2.23</v>
      </c>
    </row>
    <row r="70" spans="1:146" ht="96" x14ac:dyDescent="0.25">
      <c r="A70" s="7"/>
      <c r="B70" s="7"/>
      <c r="C70" s="16" t="str">
        <f>""&amp;CHAR(10)&amp;Basic_Fundamental_Information_Constructure(F70)&amp;CHAR(10)&amp;Basic_Fundamental_Information_Concatenate("")</f>
        <v xml:space="preserve">
市值65.565668亿, 利润5645.40万; PE; 平均PE44.97; 平均PEG5.46, PB1.04; ROIC1.795%; ROE.6933%; 股利率0%; 毛利42.7367%; 净利1.2333%; 上一年度营收增-89.71%, 利润增-27.91%; 当季营收增811.55%, 利润增-982.03%; 过往5年营收增8.24%, 利润增-24.48%
Income profile:
</v>
      </c>
      <c r="D70" t="s">
        <v>766</v>
      </c>
      <c r="E70" t="s">
        <v>767</v>
      </c>
      <c r="F70">
        <v>3.5</v>
      </c>
      <c r="G70">
        <v>0.56999999999999995</v>
      </c>
      <c r="H70" t="s">
        <v>3041</v>
      </c>
      <c r="I70">
        <v>6556566800</v>
      </c>
      <c r="K70">
        <v>1.04</v>
      </c>
      <c r="L70" t="s">
        <v>1589</v>
      </c>
      <c r="M70" t="s">
        <v>3042</v>
      </c>
      <c r="N70" t="s">
        <v>3043</v>
      </c>
      <c r="O70" t="s">
        <v>841</v>
      </c>
      <c r="P70">
        <v>-9.98</v>
      </c>
      <c r="Q70" t="s">
        <v>1134</v>
      </c>
      <c r="R70">
        <v>-63056322</v>
      </c>
      <c r="S70" s="5">
        <v>-0.58489999999999998</v>
      </c>
      <c r="T70" t="s">
        <v>3044</v>
      </c>
      <c r="U70">
        <v>1407454800</v>
      </c>
      <c r="V70">
        <v>1873304800</v>
      </c>
      <c r="W70">
        <v>2.64</v>
      </c>
      <c r="X70">
        <v>0.01</v>
      </c>
      <c r="Y70">
        <v>-28.59</v>
      </c>
      <c r="Z70" t="s">
        <v>2165</v>
      </c>
      <c r="AA70" t="s">
        <v>420</v>
      </c>
      <c r="AB70" t="s">
        <v>24</v>
      </c>
      <c r="AC70" t="s">
        <v>3045</v>
      </c>
      <c r="AD70" t="s">
        <v>24</v>
      </c>
      <c r="AE70">
        <v>76839450</v>
      </c>
      <c r="AF70" t="s">
        <v>3046</v>
      </c>
      <c r="AG70" t="s">
        <v>24</v>
      </c>
      <c r="AH70" t="s">
        <v>3047</v>
      </c>
      <c r="AI70" t="s">
        <v>3048</v>
      </c>
      <c r="AJ70" t="s">
        <v>3049</v>
      </c>
      <c r="AK70" t="s">
        <v>24</v>
      </c>
      <c r="AL70" t="s">
        <v>3050</v>
      </c>
      <c r="AM70" t="s">
        <v>24</v>
      </c>
      <c r="AN70" t="s">
        <v>3051</v>
      </c>
      <c r="AO70" t="s">
        <v>1523</v>
      </c>
      <c r="AP70" t="s">
        <v>24</v>
      </c>
      <c r="AQ70" t="s">
        <v>3052</v>
      </c>
      <c r="AR70" t="s">
        <v>3053</v>
      </c>
      <c r="AS70" t="s">
        <v>3054</v>
      </c>
      <c r="AT70" t="s">
        <v>3055</v>
      </c>
      <c r="AU70" t="s">
        <v>3056</v>
      </c>
      <c r="AV70" t="s">
        <v>3057</v>
      </c>
      <c r="AW70" t="s">
        <v>3058</v>
      </c>
      <c r="AX70" t="s">
        <v>1091</v>
      </c>
      <c r="AY70" t="s">
        <v>927</v>
      </c>
      <c r="AZ70" t="s">
        <v>723</v>
      </c>
      <c r="BA70" t="s">
        <v>768</v>
      </c>
      <c r="BB70" t="s">
        <v>575</v>
      </c>
      <c r="BC70" t="s">
        <v>1460</v>
      </c>
      <c r="BD70" t="s">
        <v>273</v>
      </c>
      <c r="BE70" t="s">
        <v>754</v>
      </c>
      <c r="BF70" t="s">
        <v>94</v>
      </c>
      <c r="BG70" t="s">
        <v>146</v>
      </c>
      <c r="BH70" t="s">
        <v>3020</v>
      </c>
      <c r="BI70" t="s">
        <v>3059</v>
      </c>
      <c r="BJ70" t="s">
        <v>1091</v>
      </c>
      <c r="BK70" t="s">
        <v>1319</v>
      </c>
      <c r="BL70" t="s">
        <v>3060</v>
      </c>
      <c r="BM70" t="s">
        <v>1460</v>
      </c>
      <c r="BN70" t="s">
        <v>24</v>
      </c>
      <c r="BO70">
        <v>1.63</v>
      </c>
      <c r="BP70">
        <v>1.96</v>
      </c>
      <c r="BQ70">
        <v>-0.88</v>
      </c>
      <c r="BR70">
        <v>1.19</v>
      </c>
      <c r="BS70">
        <v>1.77</v>
      </c>
      <c r="BT70" t="s">
        <v>1115</v>
      </c>
      <c r="BU70" t="s">
        <v>1059</v>
      </c>
      <c r="BV70">
        <v>31.27</v>
      </c>
      <c r="BW70">
        <v>47.09</v>
      </c>
      <c r="BX70">
        <v>49.85</v>
      </c>
      <c r="BY70">
        <v>-15.74</v>
      </c>
      <c r="BZ70">
        <v>7.81</v>
      </c>
      <c r="CA70">
        <v>11.63</v>
      </c>
      <c r="CB70">
        <v>1.1599999999999999</v>
      </c>
      <c r="CC70">
        <v>-17.059999999999999</v>
      </c>
      <c r="CD70" t="s">
        <v>3061</v>
      </c>
      <c r="CE70" t="s">
        <v>1318</v>
      </c>
      <c r="CF70" s="8">
        <v>8.1155446847300183</v>
      </c>
      <c r="CG70" s="9">
        <v>-9.8202996223248</v>
      </c>
      <c r="CH70" s="8">
        <v>-0.89707046747207642</v>
      </c>
      <c r="CI70" s="8">
        <v>0.13375230133533478</v>
      </c>
      <c r="CJ70" s="8">
        <v>-7.3211312294006348E-2</v>
      </c>
      <c r="CK70" s="8">
        <v>0.10275229066610336</v>
      </c>
      <c r="CL70" s="8">
        <v>1.1456693410873413</v>
      </c>
      <c r="CM70" s="9">
        <v>-0.27911150455474854</v>
      </c>
      <c r="CN70" s="9">
        <v>-0.31902873516082764</v>
      </c>
      <c r="CO70" s="9">
        <v>-0.34659090638160706</v>
      </c>
      <c r="CP70" s="9">
        <v>-0.16587677597999573</v>
      </c>
      <c r="CQ70" s="9">
        <v>-0.11344537883996964</v>
      </c>
      <c r="CR70">
        <v>44.971357244574172</v>
      </c>
      <c r="CS70">
        <v>5.4591179853505718</v>
      </c>
      <c r="CT70">
        <v>0</v>
      </c>
      <c r="CU70" s="8">
        <v>8.2378430664539343E-2</v>
      </c>
      <c r="CV70" s="9">
        <v>-0.24481066018342973</v>
      </c>
      <c r="CW70">
        <v>0.06</v>
      </c>
      <c r="CX70">
        <v>210.0856973860804</v>
      </c>
      <c r="CY70">
        <v>57645841.438430101</v>
      </c>
      <c r="CZ70">
        <v>8.2378430664539343E-2</v>
      </c>
      <c r="DA70">
        <v>69.098943246193784</v>
      </c>
      <c r="DB70">
        <v>175264139.08894464</v>
      </c>
      <c r="DC70">
        <v>7.8259509131312369E-2</v>
      </c>
      <c r="DD70">
        <v>34.310055706819078</v>
      </c>
      <c r="DE70">
        <v>352974268.05381256</v>
      </c>
      <c r="DF70">
        <v>7.2493018984794627E-2</v>
      </c>
      <c r="DG70">
        <v>20.804154658886343</v>
      </c>
      <c r="DH70">
        <v>582122513.43877888</v>
      </c>
      <c r="DI70">
        <v>6.5902744531631474E-2</v>
      </c>
      <c r="DJ70">
        <v>10.976433563769634</v>
      </c>
      <c r="DK70">
        <v>1103324383.9760344</v>
      </c>
      <c r="DL70">
        <v>5.7664901465177533E-2</v>
      </c>
      <c r="DM70">
        <v>56454000</v>
      </c>
      <c r="DN70">
        <v>8.2378430664539343E-2</v>
      </c>
      <c r="DO70">
        <v>12110566800</v>
      </c>
      <c r="DP70">
        <v>3969915400</v>
      </c>
      <c r="DQ70">
        <v>3311</v>
      </c>
      <c r="DR70">
        <v>8.0331662540654794</v>
      </c>
      <c r="DS70">
        <v>-9.575488962141371</v>
      </c>
      <c r="DT70" s="10">
        <v>-0.57333333333333336</v>
      </c>
      <c r="DU70">
        <v>-1.4650000000000001</v>
      </c>
      <c r="DV70">
        <v>-2.0383333333333336</v>
      </c>
      <c r="DW70">
        <v>-3.0119880952380953</v>
      </c>
      <c r="DX70">
        <v>0.31828880308880186</v>
      </c>
      <c r="DY70">
        <v>-3.0016578193417907</v>
      </c>
      <c r="DZ70">
        <v>1369</v>
      </c>
      <c r="EA70">
        <v>-3.0012136794829041</v>
      </c>
      <c r="EB70">
        <v>3</v>
      </c>
      <c r="EC70">
        <v>1.9119579472598371E-2</v>
      </c>
      <c r="ED70">
        <v>0.1382583336144764</v>
      </c>
      <c r="EE70" s="11">
        <v>-5.0651000000000002</v>
      </c>
      <c r="EF70">
        <v>-5.0324</v>
      </c>
      <c r="EG70">
        <v>18.138288803088802</v>
      </c>
      <c r="EH70" t="s">
        <v>3062</v>
      </c>
      <c r="EI70">
        <v>0</v>
      </c>
      <c r="EJ70">
        <v>1</v>
      </c>
      <c r="EK70" s="13">
        <v>45470</v>
      </c>
      <c r="EL70" s="14">
        <v>-2.57</v>
      </c>
      <c r="EM70" s="14">
        <v>-4.0599999999999996</v>
      </c>
      <c r="EN70" s="14">
        <v>2.33</v>
      </c>
      <c r="EO70" s="14">
        <v>7.44</v>
      </c>
      <c r="EP70" s="14">
        <v>-3.27</v>
      </c>
    </row>
    <row r="71" spans="1:146" ht="88.5" customHeight="1" x14ac:dyDescent="0.25">
      <c r="A71" s="7"/>
      <c r="B71" s="7"/>
      <c r="C71" s="16" t="str">
        <f>""&amp;CHAR(10)&amp;Basic_Fundamental_Information_Constructure(F71)&amp;CHAR(10)&amp;Basic_Fundamental_Information_Concatenate("")</f>
        <v xml:space="preserve">
市值196.75906亿, 利润-2201.50万; PE; 平均PE2.44; 平均PEG.17, PB.246; ROIC2.1567%; ROE3.6433%; 股利率0%; 毛利11.0833%; 净利-.1%; 上一年度营收增-99.96%, 利润增-102.14%; 当季营收增93641.08%, 利润增46883.04%; 过往5年营收增-14.24%, 利润增-42.59%
Income profile:
</v>
      </c>
      <c r="D71" t="s">
        <v>332</v>
      </c>
      <c r="E71" t="s">
        <v>60</v>
      </c>
      <c r="F71">
        <v>1.4</v>
      </c>
      <c r="G71">
        <v>0</v>
      </c>
      <c r="H71" t="s">
        <v>3063</v>
      </c>
      <c r="I71">
        <v>19675906000</v>
      </c>
      <c r="K71">
        <v>0.246</v>
      </c>
      <c r="L71" t="s">
        <v>1589</v>
      </c>
      <c r="M71" t="s">
        <v>3064</v>
      </c>
      <c r="N71" t="s">
        <v>3065</v>
      </c>
      <c r="O71" t="s">
        <v>3066</v>
      </c>
      <c r="P71">
        <v>-34.56</v>
      </c>
      <c r="Q71" t="s">
        <v>882</v>
      </c>
      <c r="R71">
        <v>82032394</v>
      </c>
      <c r="S71" s="5">
        <v>-0.95879999999999999</v>
      </c>
      <c r="T71" t="s">
        <v>3067</v>
      </c>
      <c r="U71">
        <v>14054218000</v>
      </c>
      <c r="V71">
        <v>14054218000</v>
      </c>
      <c r="W71">
        <v>8.33</v>
      </c>
      <c r="X71">
        <v>0.04</v>
      </c>
      <c r="Y71">
        <v>0.25</v>
      </c>
      <c r="Z71" t="s">
        <v>3068</v>
      </c>
      <c r="AA71" t="s">
        <v>3069</v>
      </c>
      <c r="AB71" t="s">
        <v>3070</v>
      </c>
      <c r="AC71" t="s">
        <v>3071</v>
      </c>
      <c r="AD71" t="s">
        <v>24</v>
      </c>
      <c r="AE71">
        <v>1765586800</v>
      </c>
      <c r="AF71" t="s">
        <v>3072</v>
      </c>
      <c r="AG71" t="s">
        <v>3073</v>
      </c>
      <c r="AH71" t="s">
        <v>3074</v>
      </c>
      <c r="AI71" t="s">
        <v>3075</v>
      </c>
      <c r="AJ71" t="s">
        <v>3076</v>
      </c>
      <c r="AK71" t="s">
        <v>505</v>
      </c>
      <c r="AL71" t="s">
        <v>3077</v>
      </c>
      <c r="AM71" t="s">
        <v>24</v>
      </c>
      <c r="AN71" t="s">
        <v>3078</v>
      </c>
      <c r="AO71" t="s">
        <v>1375</v>
      </c>
      <c r="AP71" t="s">
        <v>3079</v>
      </c>
      <c r="AQ71" t="s">
        <v>3080</v>
      </c>
      <c r="AR71" t="s">
        <v>3081</v>
      </c>
      <c r="AS71" t="s">
        <v>3082</v>
      </c>
      <c r="AT71" t="s">
        <v>3083</v>
      </c>
      <c r="AU71" t="s">
        <v>3084</v>
      </c>
      <c r="AV71" t="s">
        <v>1052</v>
      </c>
      <c r="AW71" t="s">
        <v>3085</v>
      </c>
      <c r="AX71" t="s">
        <v>1465</v>
      </c>
      <c r="AY71" t="s">
        <v>1463</v>
      </c>
      <c r="AZ71" t="s">
        <v>1464</v>
      </c>
      <c r="BA71" t="s">
        <v>643</v>
      </c>
      <c r="BB71" t="s">
        <v>644</v>
      </c>
      <c r="BC71" t="s">
        <v>1101</v>
      </c>
      <c r="BD71" t="s">
        <v>929</v>
      </c>
      <c r="BE71" t="s">
        <v>642</v>
      </c>
      <c r="BF71" t="s">
        <v>333</v>
      </c>
      <c r="BG71" t="s">
        <v>645</v>
      </c>
      <c r="BH71" t="s">
        <v>3086</v>
      </c>
      <c r="BI71" t="s">
        <v>3087</v>
      </c>
      <c r="BJ71" t="s">
        <v>1465</v>
      </c>
      <c r="BK71" t="s">
        <v>3088</v>
      </c>
      <c r="BL71" t="s">
        <v>3089</v>
      </c>
      <c r="BM71" t="s">
        <v>1101</v>
      </c>
      <c r="BN71">
        <v>1.58</v>
      </c>
      <c r="BO71">
        <v>2.02</v>
      </c>
      <c r="BP71">
        <v>2.87</v>
      </c>
      <c r="BQ71">
        <v>2.74</v>
      </c>
      <c r="BR71">
        <v>1.1200000000000001</v>
      </c>
      <c r="BS71">
        <v>7.07</v>
      </c>
      <c r="BT71" t="s">
        <v>1115</v>
      </c>
      <c r="BU71" t="s">
        <v>1043</v>
      </c>
      <c r="BV71">
        <v>11.08</v>
      </c>
      <c r="BW71">
        <v>10.5</v>
      </c>
      <c r="BX71">
        <v>11.67</v>
      </c>
      <c r="BY71">
        <v>-3.09</v>
      </c>
      <c r="BZ71">
        <v>1.06</v>
      </c>
      <c r="CA71">
        <v>1.73</v>
      </c>
      <c r="CB71">
        <v>3.7</v>
      </c>
      <c r="CC71">
        <v>-33.65</v>
      </c>
      <c r="CD71" t="s">
        <v>761</v>
      </c>
      <c r="CE71" t="s">
        <v>3090</v>
      </c>
      <c r="CF71" s="8">
        <v>936.41081345401187</v>
      </c>
      <c r="CG71" s="9">
        <v>468.83043528064144</v>
      </c>
      <c r="CH71" s="8">
        <v>-0.99960732460021973</v>
      </c>
      <c r="CI71" s="8">
        <v>-0.19983243942260742</v>
      </c>
      <c r="CJ71" s="8">
        <v>0.19425655901432037</v>
      </c>
      <c r="CK71" s="8">
        <v>6.5284013748168945E-2</v>
      </c>
      <c r="CL71" s="8">
        <v>0.22787332534790039</v>
      </c>
      <c r="CM71" s="9">
        <v>-1.0213944911956787</v>
      </c>
      <c r="CN71" s="9">
        <v>-0.83346813917160034</v>
      </c>
      <c r="CO71" s="9">
        <v>-0.58801168203353882</v>
      </c>
      <c r="CP71" s="9">
        <v>1.7296314239501953E-2</v>
      </c>
      <c r="CQ71" s="9">
        <v>0.29608798027038574</v>
      </c>
      <c r="CR71">
        <v>2.444111479062403</v>
      </c>
      <c r="CS71">
        <v>0.17163080697429128</v>
      </c>
      <c r="CT71">
        <v>0</v>
      </c>
      <c r="CU71" s="8">
        <v>-0.14240517318248749</v>
      </c>
      <c r="CV71" s="9">
        <v>-0.42589800357818602</v>
      </c>
      <c r="CW71">
        <v>0.06</v>
      </c>
      <c r="CX71" t="e">
        <v>#VALUE!</v>
      </c>
      <c r="CY71" t="s">
        <v>850</v>
      </c>
      <c r="CZ71">
        <v>-0.14240517318248749</v>
      </c>
      <c r="DA71" t="e">
        <v>#VALUE!</v>
      </c>
      <c r="DB71" t="s">
        <v>850</v>
      </c>
      <c r="DC71">
        <v>-0.13528491452336311</v>
      </c>
      <c r="DD71" t="e">
        <v>#VALUE!</v>
      </c>
      <c r="DE71" t="s">
        <v>850</v>
      </c>
      <c r="DF71">
        <v>-0.125316552400589</v>
      </c>
      <c r="DG71" t="e">
        <v>#VALUE!</v>
      </c>
      <c r="DH71" t="s">
        <v>850</v>
      </c>
      <c r="DI71">
        <v>-0.11392413854599</v>
      </c>
      <c r="DJ71" t="e">
        <v>#VALUE!</v>
      </c>
      <c r="DK71" t="s">
        <v>850</v>
      </c>
      <c r="DL71">
        <v>-9.9683621227741243E-2</v>
      </c>
      <c r="DM71">
        <v>-22015000</v>
      </c>
      <c r="DN71">
        <v>-0.14240517318248749</v>
      </c>
      <c r="DO71">
        <v>924789906000</v>
      </c>
      <c r="DP71">
        <v>100510170000</v>
      </c>
      <c r="DQ71">
        <v>3313</v>
      </c>
      <c r="DR71">
        <v>936.55321862719438</v>
      </c>
      <c r="DS71">
        <v>469.25633328421964</v>
      </c>
      <c r="DT71" s="10">
        <v>-0.69</v>
      </c>
      <c r="DU71">
        <v>-1.3033333333333335</v>
      </c>
      <c r="DV71">
        <v>-1.9933333333333334</v>
      </c>
      <c r="DW71">
        <v>6.0990629183400271</v>
      </c>
      <c r="DX71">
        <v>0.28662756904013109</v>
      </c>
      <c r="DY71">
        <v>6.0145253548982192</v>
      </c>
      <c r="DZ71">
        <v>1403</v>
      </c>
      <c r="EA71">
        <v>6.0105372780054207</v>
      </c>
      <c r="EB71">
        <v>6</v>
      </c>
      <c r="EC71">
        <v>3.2018857256945921E-2</v>
      </c>
      <c r="ED71">
        <v>0.21836860649237119</v>
      </c>
      <c r="EE71" s="11">
        <v>5.0526</v>
      </c>
      <c r="EF71">
        <v>5.0411000000000001</v>
      </c>
      <c r="EG71">
        <v>14.146627569040131</v>
      </c>
      <c r="EH71" t="s">
        <v>2542</v>
      </c>
      <c r="EI71">
        <v>0</v>
      </c>
      <c r="EJ71">
        <v>1</v>
      </c>
      <c r="EK71" s="13">
        <v>45470</v>
      </c>
      <c r="EL71" s="14">
        <v>-0.16</v>
      </c>
      <c r="EM71" s="14">
        <v>0.36</v>
      </c>
      <c r="EN71" s="14">
        <v>1.01</v>
      </c>
      <c r="EO71" s="14">
        <v>4.38</v>
      </c>
      <c r="EP71" s="14">
        <v>-1.1499999999999999</v>
      </c>
    </row>
    <row r="72" spans="1:146" ht="88.5" customHeight="1" x14ac:dyDescent="0.25">
      <c r="A72" s="7"/>
      <c r="B72" s="7"/>
      <c r="C72" s="16" t="str">
        <f>""&amp;CHAR(10)&amp;Basic_Fundamental_Information_Constructure(F72)&amp;CHAR(10)&amp;Basic_Fundamental_Information_Concatenate("")</f>
        <v xml:space="preserve">
市值28.044117亿, 利润9.05亿; PE; 平均PE5.48; 平均PEG.04, PB.568; ROIC1.54%; ROE-.5567%; 股利率0%; 毛利37.5967%; 净利-14.2933%; 上一年度营收增633.95%, 利润增1460.27%; 当季营收增-96.44%, 利润增-933.92%; 过往5年营收增131.39%, 利润增261.46%
Income profile:
</v>
      </c>
      <c r="D72" t="s">
        <v>334</v>
      </c>
      <c r="E72" t="s">
        <v>34</v>
      </c>
      <c r="F72">
        <v>1.87</v>
      </c>
      <c r="G72">
        <v>0.54</v>
      </c>
      <c r="H72" t="s">
        <v>3091</v>
      </c>
      <c r="I72">
        <v>2804411700</v>
      </c>
      <c r="K72">
        <v>0.56799999999999995</v>
      </c>
      <c r="L72" t="s">
        <v>1589</v>
      </c>
      <c r="M72" t="s">
        <v>3092</v>
      </c>
      <c r="N72" t="s">
        <v>3093</v>
      </c>
      <c r="O72" t="s">
        <v>1249</v>
      </c>
      <c r="P72">
        <v>-30.75</v>
      </c>
      <c r="Q72" t="s">
        <v>3094</v>
      </c>
      <c r="R72">
        <v>-87700729</v>
      </c>
      <c r="S72" s="5">
        <v>-17.02</v>
      </c>
      <c r="T72" t="s">
        <v>3095</v>
      </c>
      <c r="U72">
        <v>1499685400</v>
      </c>
      <c r="V72">
        <v>1499685400</v>
      </c>
      <c r="W72">
        <v>3.8</v>
      </c>
      <c r="X72">
        <v>0.01</v>
      </c>
      <c r="Y72">
        <v>-38.93</v>
      </c>
      <c r="Z72" t="s">
        <v>241</v>
      </c>
      <c r="AA72" t="s">
        <v>3096</v>
      </c>
      <c r="AB72" t="s">
        <v>3097</v>
      </c>
      <c r="AC72" t="s">
        <v>3098</v>
      </c>
      <c r="AD72" t="s">
        <v>24</v>
      </c>
      <c r="AE72">
        <v>143239980</v>
      </c>
      <c r="AF72" t="s">
        <v>3099</v>
      </c>
      <c r="AG72" t="s">
        <v>3100</v>
      </c>
      <c r="AH72" t="s">
        <v>3101</v>
      </c>
      <c r="AI72" t="s">
        <v>3102</v>
      </c>
      <c r="AJ72" t="s">
        <v>3103</v>
      </c>
      <c r="AK72" t="s">
        <v>24</v>
      </c>
      <c r="AL72" t="s">
        <v>3104</v>
      </c>
      <c r="AM72" t="s">
        <v>24</v>
      </c>
      <c r="AN72" t="s">
        <v>3105</v>
      </c>
      <c r="AO72" t="s">
        <v>2338</v>
      </c>
      <c r="AP72" t="s">
        <v>3106</v>
      </c>
      <c r="AQ72" t="s">
        <v>729</v>
      </c>
      <c r="AR72" t="s">
        <v>340</v>
      </c>
      <c r="AS72" t="s">
        <v>3107</v>
      </c>
      <c r="AT72" t="s">
        <v>3108</v>
      </c>
      <c r="AU72" t="s">
        <v>3109</v>
      </c>
      <c r="AV72" t="s">
        <v>3110</v>
      </c>
      <c r="AW72" t="s">
        <v>490</v>
      </c>
      <c r="AX72" t="s">
        <v>1466</v>
      </c>
      <c r="AY72" t="s">
        <v>919</v>
      </c>
      <c r="AZ72" t="s">
        <v>646</v>
      </c>
      <c r="BA72" t="s">
        <v>335</v>
      </c>
      <c r="BB72" t="s">
        <v>418</v>
      </c>
      <c r="BC72" t="s">
        <v>1467</v>
      </c>
      <c r="BD72" t="s">
        <v>930</v>
      </c>
      <c r="BE72" t="s">
        <v>241</v>
      </c>
      <c r="BF72" t="s">
        <v>117</v>
      </c>
      <c r="BG72" t="s">
        <v>648</v>
      </c>
      <c r="BH72" t="s">
        <v>3111</v>
      </c>
      <c r="BI72" t="s">
        <v>3112</v>
      </c>
      <c r="BJ72" t="s">
        <v>1466</v>
      </c>
      <c r="BK72" t="s">
        <v>3113</v>
      </c>
      <c r="BL72" t="s">
        <v>3114</v>
      </c>
      <c r="BM72" t="s">
        <v>1467</v>
      </c>
      <c r="BN72" t="s">
        <v>24</v>
      </c>
      <c r="BO72">
        <v>0.95</v>
      </c>
      <c r="BP72">
        <v>2.13</v>
      </c>
      <c r="BQ72">
        <v>-7.79</v>
      </c>
      <c r="BR72">
        <v>0.82</v>
      </c>
      <c r="BS72">
        <v>5.3</v>
      </c>
      <c r="BT72" t="s">
        <v>1115</v>
      </c>
      <c r="BU72" t="s">
        <v>1043</v>
      </c>
      <c r="BV72">
        <v>30.82</v>
      </c>
      <c r="BW72">
        <v>33.590000000000003</v>
      </c>
      <c r="BX72">
        <v>48.38</v>
      </c>
      <c r="BY72">
        <v>-49.6</v>
      </c>
      <c r="BZ72">
        <v>1.26</v>
      </c>
      <c r="CA72">
        <v>5.46</v>
      </c>
      <c r="CB72">
        <v>1.08</v>
      </c>
      <c r="CC72">
        <v>-23.05</v>
      </c>
      <c r="CD72" t="s">
        <v>3115</v>
      </c>
      <c r="CE72" t="s">
        <v>1118</v>
      </c>
      <c r="CF72" s="8">
        <v>-0.96440466278101578</v>
      </c>
      <c r="CG72" s="9">
        <v>-9.3391871024180588</v>
      </c>
      <c r="CH72" s="8">
        <v>6.3394975662231445</v>
      </c>
      <c r="CI72" s="8">
        <v>0.36019530892372131</v>
      </c>
      <c r="CJ72" s="8">
        <v>4.0132112801074982E-2</v>
      </c>
      <c r="CK72" s="8">
        <v>-0.18336449563503265</v>
      </c>
      <c r="CL72" s="8">
        <v>1.3240871019661427E-2</v>
      </c>
      <c r="CM72" s="9">
        <v>14.602668762207031</v>
      </c>
      <c r="CN72" s="9">
        <v>-0.8410879373550415</v>
      </c>
      <c r="CO72" s="9">
        <v>-0.11407767236232758</v>
      </c>
      <c r="CP72" s="9">
        <v>-8.6474500596523285E-2</v>
      </c>
      <c r="CQ72" s="9">
        <v>-0.48808172345161438</v>
      </c>
      <c r="CR72">
        <v>5.4773614308762539</v>
      </c>
      <c r="CS72">
        <v>4.1686532826644258E-2</v>
      </c>
      <c r="CT72">
        <v>0</v>
      </c>
      <c r="CU72" s="8">
        <v>1.3139402726665139</v>
      </c>
      <c r="CV72" s="9">
        <v>2.6145893856883049</v>
      </c>
      <c r="CW72">
        <v>0.06</v>
      </c>
      <c r="CX72">
        <v>7.2664249682640527</v>
      </c>
      <c r="CY72">
        <v>1975581081.8520713</v>
      </c>
      <c r="CZ72">
        <v>1.3139402726665139</v>
      </c>
      <c r="DA72">
        <v>0.9815215674530402</v>
      </c>
      <c r="DB72">
        <v>14625671178.322649</v>
      </c>
      <c r="DC72">
        <v>1.2482432590331882</v>
      </c>
      <c r="DD72">
        <v>0.11544450509098386</v>
      </c>
      <c r="DE72">
        <v>124349025435.95509</v>
      </c>
      <c r="DF72">
        <v>1.1562674399465322</v>
      </c>
      <c r="DG72">
        <v>1.0427488012933969E-2</v>
      </c>
      <c r="DH72">
        <v>1376689350512.2175</v>
      </c>
      <c r="DI72">
        <v>1.0511522181332111</v>
      </c>
      <c r="DJ72">
        <v>4.9281804236392507E-5</v>
      </c>
      <c r="DK72">
        <v>291292332381758.5</v>
      </c>
      <c r="DL72">
        <v>0.91975819086655963</v>
      </c>
      <c r="DM72">
        <v>905000000.00000012</v>
      </c>
      <c r="DN72">
        <v>1.3139402726665139</v>
      </c>
      <c r="DO72">
        <v>14355411700</v>
      </c>
      <c r="DP72">
        <v>-2519491400</v>
      </c>
      <c r="DQ72">
        <v>3327</v>
      </c>
      <c r="DR72">
        <v>-2.2783449354475298</v>
      </c>
      <c r="DS72">
        <v>-11.953776488106364</v>
      </c>
      <c r="DT72" s="10">
        <v>-0.10666666666666669</v>
      </c>
      <c r="DU72">
        <v>-0.99833333333333341</v>
      </c>
      <c r="DV72">
        <v>-1.105</v>
      </c>
      <c r="DW72">
        <v>-3.0797321428571429</v>
      </c>
      <c r="DX72">
        <v>0.27696559139785026</v>
      </c>
      <c r="DY72">
        <v>-3.0093259172427036</v>
      </c>
      <c r="DZ72">
        <v>2987</v>
      </c>
      <c r="EA72">
        <v>-3.0038745444826338</v>
      </c>
      <c r="EB72">
        <v>3</v>
      </c>
      <c r="EC72">
        <v>4.3520327663388599E-2</v>
      </c>
      <c r="ED72">
        <v>0.37207803716699517</v>
      </c>
      <c r="EE72" s="11">
        <v>0.12241</v>
      </c>
      <c r="EF72">
        <v>-1.00641</v>
      </c>
      <c r="EG72">
        <v>16.11696559139785</v>
      </c>
      <c r="EH72" t="s">
        <v>892</v>
      </c>
      <c r="EI72">
        <v>0</v>
      </c>
      <c r="EJ72">
        <v>0</v>
      </c>
      <c r="EK72" s="13">
        <v>45470</v>
      </c>
      <c r="EL72" s="14">
        <v>-1.1200000000000001</v>
      </c>
      <c r="EM72" s="14">
        <v>-1.97</v>
      </c>
      <c r="EN72" s="14">
        <v>1.1599999999999999</v>
      </c>
      <c r="EO72" s="14">
        <v>0.99</v>
      </c>
      <c r="EP72" s="14">
        <v>-3.4</v>
      </c>
    </row>
    <row r="73" spans="1:146" ht="88.5" customHeight="1" x14ac:dyDescent="0.25">
      <c r="A73" s="7"/>
      <c r="B73" s="7"/>
      <c r="C73" s="16" t="str">
        <f>""&amp;CHAR(10)&amp;Basic_Fundamental_Information_Constructure(F73)&amp;CHAR(10)&amp;Basic_Fundamental_Information_Concatenate("")</f>
        <v xml:space="preserve">
市值26.195135亿, 利润18.19亿; PE42.58; 平均PE6.91; 平均PEG.12, PB.591; ROIC1.8067%; ROE1.8933%; 股利率.7198%; 毛利11.7633%; 净利3.0633%; 上一年度营收增52.54%, 利润增3113.63%; 当季营收增-96.33%, 利润增-99.75%; 过往5年营收增57.31%, 利润增591.59%
Income profile:
</v>
      </c>
      <c r="D73" t="s">
        <v>337</v>
      </c>
      <c r="E73" t="s">
        <v>14</v>
      </c>
      <c r="F73">
        <v>3.89</v>
      </c>
      <c r="G73">
        <v>-1.27</v>
      </c>
      <c r="H73" t="s">
        <v>3116</v>
      </c>
      <c r="I73">
        <v>2619513500</v>
      </c>
      <c r="J73">
        <v>42.58</v>
      </c>
      <c r="K73">
        <v>0.59099999999999997</v>
      </c>
      <c r="L73" t="s">
        <v>1589</v>
      </c>
      <c r="M73" t="s">
        <v>3117</v>
      </c>
      <c r="N73" t="s">
        <v>1355</v>
      </c>
      <c r="O73" t="s">
        <v>420</v>
      </c>
      <c r="P73">
        <v>-67.89</v>
      </c>
      <c r="Q73" t="s">
        <v>3118</v>
      </c>
      <c r="R73">
        <v>3489940</v>
      </c>
      <c r="S73" s="5">
        <v>-0.14050000000000001</v>
      </c>
      <c r="T73" t="s">
        <v>3119</v>
      </c>
      <c r="U73">
        <v>673396790</v>
      </c>
      <c r="V73">
        <v>673396790</v>
      </c>
      <c r="W73">
        <v>4.16</v>
      </c>
      <c r="X73">
        <v>0.01</v>
      </c>
      <c r="Y73">
        <v>0.34</v>
      </c>
      <c r="Z73" t="s">
        <v>2166</v>
      </c>
      <c r="AA73" t="s">
        <v>3120</v>
      </c>
      <c r="AB73" t="s">
        <v>3121</v>
      </c>
      <c r="AC73" t="s">
        <v>3122</v>
      </c>
      <c r="AD73" t="s">
        <v>24</v>
      </c>
      <c r="AE73">
        <v>34538553</v>
      </c>
      <c r="AF73" t="s">
        <v>3123</v>
      </c>
      <c r="AG73" t="s">
        <v>3124</v>
      </c>
      <c r="AH73" t="s">
        <v>3125</v>
      </c>
      <c r="AI73" t="s">
        <v>3126</v>
      </c>
      <c r="AJ73" t="s">
        <v>3127</v>
      </c>
      <c r="AK73" t="s">
        <v>3128</v>
      </c>
      <c r="AL73" t="s">
        <v>3129</v>
      </c>
      <c r="AM73" t="s">
        <v>24</v>
      </c>
      <c r="AN73">
        <v>0</v>
      </c>
      <c r="AO73" t="s">
        <v>180</v>
      </c>
      <c r="AP73" t="s">
        <v>24</v>
      </c>
      <c r="AQ73" t="s">
        <v>1044</v>
      </c>
      <c r="AR73" t="s">
        <v>105</v>
      </c>
      <c r="AS73" t="s">
        <v>3130</v>
      </c>
      <c r="AT73" t="s">
        <v>3131</v>
      </c>
      <c r="AU73" t="s">
        <v>3132</v>
      </c>
      <c r="AV73" t="s">
        <v>3133</v>
      </c>
      <c r="AW73" t="s">
        <v>3134</v>
      </c>
      <c r="AX73" t="s">
        <v>1470</v>
      </c>
      <c r="AY73" t="s">
        <v>903</v>
      </c>
      <c r="AZ73" t="s">
        <v>1469</v>
      </c>
      <c r="BA73" t="s">
        <v>472</v>
      </c>
      <c r="BB73" t="s">
        <v>649</v>
      </c>
      <c r="BC73" t="s">
        <v>3135</v>
      </c>
      <c r="BD73" t="s">
        <v>202</v>
      </c>
      <c r="BE73" t="s">
        <v>209</v>
      </c>
      <c r="BF73" t="s">
        <v>338</v>
      </c>
      <c r="BG73" t="s">
        <v>468</v>
      </c>
      <c r="BH73" t="s">
        <v>3136</v>
      </c>
      <c r="BI73" t="s">
        <v>3137</v>
      </c>
      <c r="BJ73" t="s">
        <v>1470</v>
      </c>
      <c r="BK73" t="s">
        <v>3138</v>
      </c>
      <c r="BL73" t="s">
        <v>3139</v>
      </c>
      <c r="BM73" t="s">
        <v>3135</v>
      </c>
      <c r="BN73">
        <v>2.5099999999999998</v>
      </c>
      <c r="BO73">
        <v>0.97</v>
      </c>
      <c r="BP73">
        <v>1.94</v>
      </c>
      <c r="BQ73">
        <v>1.86</v>
      </c>
      <c r="BR73">
        <v>1.29</v>
      </c>
      <c r="BS73">
        <v>2.5299999999999998</v>
      </c>
      <c r="BT73" t="s">
        <v>3140</v>
      </c>
      <c r="BU73" t="s">
        <v>1043</v>
      </c>
      <c r="BV73">
        <v>18.38</v>
      </c>
      <c r="BW73">
        <v>9.39</v>
      </c>
      <c r="BX73">
        <v>7.52</v>
      </c>
      <c r="BY73">
        <v>3.63</v>
      </c>
      <c r="BZ73">
        <v>1.51</v>
      </c>
      <c r="CA73">
        <v>4.05</v>
      </c>
      <c r="CB73">
        <v>3.18</v>
      </c>
      <c r="CC73">
        <v>-16.88</v>
      </c>
      <c r="CD73" t="s">
        <v>3141</v>
      </c>
      <c r="CE73" t="s">
        <v>1075</v>
      </c>
      <c r="CF73" s="8">
        <v>-0.96329202712181439</v>
      </c>
      <c r="CG73" s="9">
        <v>-0.99745631195335271</v>
      </c>
      <c r="CH73" s="8">
        <v>0.52536475658416748</v>
      </c>
      <c r="CI73" s="8">
        <v>0.20384839177131653</v>
      </c>
      <c r="CJ73" s="8">
        <v>2.0033500194549561</v>
      </c>
      <c r="CK73" s="8">
        <v>-6.4263321459293365E-2</v>
      </c>
      <c r="CL73" s="8">
        <v>0.19699811935424805</v>
      </c>
      <c r="CM73" s="9">
        <v>31.136333465576172</v>
      </c>
      <c r="CN73" s="9">
        <v>-0.48543089628219604</v>
      </c>
      <c r="CO73" s="9">
        <v>-0.59107804298400879</v>
      </c>
      <c r="CP73" s="9">
        <v>1.4864375591278076</v>
      </c>
      <c r="CQ73" s="9">
        <v>-1.9667830467224121</v>
      </c>
      <c r="CR73">
        <v>6.912853196068653</v>
      </c>
      <c r="CS73">
        <v>0.12063061641072309</v>
      </c>
      <c r="CT73">
        <v>0.71979434447300772</v>
      </c>
      <c r="CU73" s="8">
        <v>0.5730595931410789</v>
      </c>
      <c r="CV73" s="9">
        <v>5.9158958077430723</v>
      </c>
      <c r="CW73">
        <v>0.06</v>
      </c>
      <c r="CX73">
        <v>5.0390324631069392</v>
      </c>
      <c r="CY73">
        <v>2699429622.5694556</v>
      </c>
      <c r="CZ73">
        <v>0.5730595931410789</v>
      </c>
      <c r="DA73">
        <v>1.1206866719578308</v>
      </c>
      <c r="DB73">
        <v>12137659740.555777</v>
      </c>
      <c r="DC73">
        <v>0.54440661348402497</v>
      </c>
      <c r="DD73">
        <v>0.30808917696992055</v>
      </c>
      <c r="DE73">
        <v>44151221518.98262</v>
      </c>
      <c r="DF73">
        <v>0.50429244196414946</v>
      </c>
      <c r="DG73">
        <v>8.7630833169854996E-2</v>
      </c>
      <c r="DH73">
        <v>155225198802.27802</v>
      </c>
      <c r="DI73">
        <v>0.45844767451286317</v>
      </c>
      <c r="DJ73">
        <v>6.8921729544195332E-3</v>
      </c>
      <c r="DK73">
        <v>1973617549930.6836</v>
      </c>
      <c r="DL73">
        <v>0.40114171519875519</v>
      </c>
      <c r="DM73">
        <v>1819000000.0000002</v>
      </c>
      <c r="DN73">
        <v>0.5730595931410789</v>
      </c>
      <c r="DO73">
        <v>13602513500</v>
      </c>
      <c r="DP73">
        <v>2611272200</v>
      </c>
      <c r="DQ73">
        <v>3338</v>
      </c>
      <c r="DR73">
        <v>-1.5363516202628933</v>
      </c>
      <c r="DS73">
        <v>-6.9133521196964249</v>
      </c>
      <c r="DT73" s="10">
        <v>0.40833333333333327</v>
      </c>
      <c r="DU73">
        <v>-0.80666666666666675</v>
      </c>
      <c r="DV73">
        <v>-0.39833333333333348</v>
      </c>
      <c r="DW73">
        <v>6.1585244267198407</v>
      </c>
      <c r="DX73">
        <v>0.30571839080459906</v>
      </c>
      <c r="DY73">
        <v>6.0151737030288448</v>
      </c>
      <c r="DZ73">
        <v>3434</v>
      </c>
      <c r="EA73">
        <v>6.0049767370403808</v>
      </c>
      <c r="EB73">
        <v>6</v>
      </c>
      <c r="EC73">
        <v>4.9465635260898706E-2</v>
      </c>
      <c r="ED73">
        <v>0.51678298020992941</v>
      </c>
      <c r="EE73" s="11">
        <v>-1.0061100000000001</v>
      </c>
      <c r="EF73">
        <v>-1.01271</v>
      </c>
      <c r="EG73">
        <v>21.095718390804599</v>
      </c>
      <c r="EH73" t="s">
        <v>892</v>
      </c>
      <c r="EI73">
        <v>0</v>
      </c>
      <c r="EJ73">
        <v>0</v>
      </c>
      <c r="EK73" s="13">
        <v>45470</v>
      </c>
      <c r="EL73" s="14">
        <v>0.65</v>
      </c>
      <c r="EM73" s="14">
        <v>-2.2799999999999998</v>
      </c>
      <c r="EN73" s="14">
        <v>-0.83</v>
      </c>
      <c r="EO73" s="14">
        <v>2.35</v>
      </c>
      <c r="EP73" s="14">
        <v>-0.66</v>
      </c>
    </row>
    <row r="74" spans="1:146" ht="88.5" customHeight="1" x14ac:dyDescent="0.25">
      <c r="A74" s="7"/>
      <c r="B74" s="7"/>
      <c r="C74" s="16" t="str">
        <f>""&amp;CHAR(10)&amp;Basic_Fundamental_Information_Constructure(F74)&amp;CHAR(10)&amp;Basic_Fundamental_Information_Concatenate("")</f>
        <v xml:space="preserve">
市值116.6187亿, 利润520.06万; PE17.28; 平均PE10.96; 平均PEG3.99, PB.816; ROIC7.51%; ROE12.98%; 股利率5.486%; 毛利68.35%; 净利30.7167%; 上一年度营收增-52.8%, 利润增-99.67%; 当季营收增89.58%, 利润增834.09%; 过往5年营收增2.75%, 利润增-8.48%
Income profile:
</v>
      </c>
      <c r="D74" t="s">
        <v>770</v>
      </c>
      <c r="E74" t="s">
        <v>771</v>
      </c>
      <c r="F74">
        <v>10.39</v>
      </c>
      <c r="G74">
        <v>0.97</v>
      </c>
      <c r="H74" t="s">
        <v>3142</v>
      </c>
      <c r="I74">
        <v>11661870000</v>
      </c>
      <c r="J74">
        <v>17.28</v>
      </c>
      <c r="K74">
        <v>0.81599999999999995</v>
      </c>
      <c r="L74" t="s">
        <v>1589</v>
      </c>
      <c r="M74" t="s">
        <v>3143</v>
      </c>
      <c r="N74" t="s">
        <v>3144</v>
      </c>
      <c r="O74" t="s">
        <v>3145</v>
      </c>
      <c r="P74">
        <v>-78.73</v>
      </c>
      <c r="Q74" t="s">
        <v>3146</v>
      </c>
      <c r="R74">
        <v>228094380</v>
      </c>
      <c r="S74" s="5">
        <v>-0.83379999999999999</v>
      </c>
      <c r="T74" t="s">
        <v>3147</v>
      </c>
      <c r="U74">
        <v>850236700</v>
      </c>
      <c r="V74">
        <v>1122412890</v>
      </c>
      <c r="W74">
        <v>2.39</v>
      </c>
      <c r="X74">
        <v>0.02</v>
      </c>
      <c r="Y74">
        <v>25.39</v>
      </c>
      <c r="Z74" t="s">
        <v>3148</v>
      </c>
      <c r="AA74" t="s">
        <v>1092</v>
      </c>
      <c r="AB74" t="s">
        <v>3149</v>
      </c>
      <c r="AC74" t="s">
        <v>3150</v>
      </c>
      <c r="AD74" t="s">
        <v>24</v>
      </c>
      <c r="AE74">
        <v>100957622</v>
      </c>
      <c r="AF74" t="s">
        <v>98</v>
      </c>
      <c r="AG74" t="s">
        <v>3151</v>
      </c>
      <c r="AH74" t="s">
        <v>3152</v>
      </c>
      <c r="AI74" t="s">
        <v>3153</v>
      </c>
      <c r="AJ74" t="s">
        <v>3154</v>
      </c>
      <c r="AK74" t="s">
        <v>24</v>
      </c>
      <c r="AL74" t="s">
        <v>3155</v>
      </c>
      <c r="AM74" t="s">
        <v>24</v>
      </c>
      <c r="AN74" t="s">
        <v>1284</v>
      </c>
      <c r="AO74" t="s">
        <v>3156</v>
      </c>
      <c r="AP74" t="s">
        <v>24</v>
      </c>
      <c r="AQ74" t="s">
        <v>3157</v>
      </c>
      <c r="AR74" t="s">
        <v>1119</v>
      </c>
      <c r="AS74" t="s">
        <v>3158</v>
      </c>
      <c r="AT74" t="s">
        <v>3159</v>
      </c>
      <c r="AU74" t="s">
        <v>3160</v>
      </c>
      <c r="AV74" t="s">
        <v>3161</v>
      </c>
      <c r="AW74" t="s">
        <v>3162</v>
      </c>
      <c r="AX74" t="s">
        <v>1472</v>
      </c>
      <c r="AY74" t="s">
        <v>931</v>
      </c>
      <c r="AZ74" t="s">
        <v>772</v>
      </c>
      <c r="BA74" t="s">
        <v>731</v>
      </c>
      <c r="BB74" t="s">
        <v>755</v>
      </c>
      <c r="BC74" t="s">
        <v>1047</v>
      </c>
      <c r="BD74" t="s">
        <v>932</v>
      </c>
      <c r="BE74" t="s">
        <v>137</v>
      </c>
      <c r="BF74" t="s">
        <v>774</v>
      </c>
      <c r="BG74" t="s">
        <v>775</v>
      </c>
      <c r="BH74" t="s">
        <v>3118</v>
      </c>
      <c r="BI74" t="s">
        <v>2835</v>
      </c>
      <c r="BJ74" t="s">
        <v>1472</v>
      </c>
      <c r="BK74" t="s">
        <v>3119</v>
      </c>
      <c r="BL74" t="s">
        <v>3163</v>
      </c>
      <c r="BM74" t="s">
        <v>1047</v>
      </c>
      <c r="BN74">
        <v>6.29</v>
      </c>
      <c r="BO74">
        <v>7.61</v>
      </c>
      <c r="BP74">
        <v>8.6300000000000008</v>
      </c>
      <c r="BQ74">
        <v>11.92</v>
      </c>
      <c r="BR74">
        <v>12.76</v>
      </c>
      <c r="BS74">
        <v>14.26</v>
      </c>
      <c r="BT74" t="s">
        <v>3164</v>
      </c>
      <c r="BU74" t="s">
        <v>1059</v>
      </c>
      <c r="BV74">
        <v>68.08</v>
      </c>
      <c r="BW74">
        <v>68.59</v>
      </c>
      <c r="BX74">
        <v>68.38</v>
      </c>
      <c r="BY74">
        <v>27.31</v>
      </c>
      <c r="BZ74">
        <v>30.72</v>
      </c>
      <c r="CA74">
        <v>34.119999999999997</v>
      </c>
      <c r="CB74">
        <v>1.76</v>
      </c>
      <c r="CC74">
        <v>-11.87</v>
      </c>
      <c r="CD74" t="s">
        <v>3165</v>
      </c>
      <c r="CE74" t="s">
        <v>1070</v>
      </c>
      <c r="CF74" s="8">
        <v>0.89583333333333337</v>
      </c>
      <c r="CG74" s="9">
        <v>8.340894962508548</v>
      </c>
      <c r="CH74" s="8">
        <v>-0.52800321578979492</v>
      </c>
      <c r="CI74" s="8">
        <v>9.4433672726154327E-2</v>
      </c>
      <c r="CJ74" s="8">
        <v>0.28499862551689148</v>
      </c>
      <c r="CK74" s="8">
        <v>7.1897357702255249E-2</v>
      </c>
      <c r="CL74" s="8">
        <v>0.21405290067195892</v>
      </c>
      <c r="CM74" s="9">
        <v>-0.99671679735183716</v>
      </c>
      <c r="CN74" s="9">
        <v>-2.402961254119873E-2</v>
      </c>
      <c r="CO74" s="9">
        <v>0.46480149030685425</v>
      </c>
      <c r="CP74" s="9">
        <v>2.1198216825723648E-2</v>
      </c>
      <c r="CQ74" s="9">
        <v>0.1105424091219902</v>
      </c>
      <c r="CR74">
        <v>10.963494315738055</v>
      </c>
      <c r="CS74">
        <v>3.9902267144763512</v>
      </c>
      <c r="CT74">
        <v>5.4860442733397496</v>
      </c>
      <c r="CU74" s="8">
        <v>2.7475868165493012E-2</v>
      </c>
      <c r="CV74" s="9">
        <v>-8.4840858727693563E-2</v>
      </c>
      <c r="CW74">
        <v>0.06</v>
      </c>
      <c r="CX74">
        <v>3155.2822302982254</v>
      </c>
      <c r="CY74">
        <v>5041029.2452655295</v>
      </c>
      <c r="CZ74">
        <v>2.7475868165493012E-2</v>
      </c>
      <c r="DA74">
        <v>1087.5779929664593</v>
      </c>
      <c r="DB74">
        <v>14625038.482633708</v>
      </c>
      <c r="DC74">
        <v>2.610207475721836E-2</v>
      </c>
      <c r="DD74">
        <v>573.93119929803254</v>
      </c>
      <c r="DE74">
        <v>27713896.751830626</v>
      </c>
      <c r="DF74">
        <v>2.4178763985633851E-2</v>
      </c>
      <c r="DG74">
        <v>371.84674831209463</v>
      </c>
      <c r="DH74">
        <v>42775337.076902568</v>
      </c>
      <c r="DI74">
        <v>2.1980694532394412E-2</v>
      </c>
      <c r="DJ74">
        <v>225.0426924217879</v>
      </c>
      <c r="DK74">
        <v>70679344.567155764</v>
      </c>
      <c r="DL74">
        <v>1.9233107715845108E-2</v>
      </c>
      <c r="DM74">
        <v>5200599.9999999991</v>
      </c>
      <c r="DN74">
        <v>2.7475868165493012E-2</v>
      </c>
      <c r="DO74">
        <v>15905870000</v>
      </c>
      <c r="DP74">
        <v>16378287000</v>
      </c>
      <c r="DQ74">
        <v>3339</v>
      </c>
      <c r="DR74">
        <v>0.8683574651678404</v>
      </c>
      <c r="DS74">
        <v>8.4257358212362412</v>
      </c>
      <c r="DT74" s="10">
        <v>-0.37333333333333335</v>
      </c>
      <c r="DU74">
        <v>-0.19999999999999998</v>
      </c>
      <c r="DV74">
        <v>-0.57333333333333336</v>
      </c>
      <c r="DW74">
        <v>-2.1187</v>
      </c>
      <c r="DX74">
        <v>0.2820941704035872</v>
      </c>
      <c r="DY74">
        <v>-2.0133055780269058</v>
      </c>
      <c r="DZ74">
        <v>3402</v>
      </c>
      <c r="EA74">
        <v>-2.0044473438884451</v>
      </c>
      <c r="EB74">
        <v>2</v>
      </c>
      <c r="EC74">
        <v>2.2270770607418808E-2</v>
      </c>
      <c r="ED74">
        <v>0.19867911531201321</v>
      </c>
      <c r="EE74" s="11">
        <v>-2.0377000000000001</v>
      </c>
      <c r="EF74">
        <v>-2.012</v>
      </c>
      <c r="EG74">
        <v>17.112094170403587</v>
      </c>
      <c r="EH74" t="s">
        <v>1702</v>
      </c>
      <c r="EI74">
        <v>0</v>
      </c>
      <c r="EJ74">
        <v>0</v>
      </c>
      <c r="EK74" s="13">
        <v>45470</v>
      </c>
      <c r="EL74" s="14">
        <v>-1.02</v>
      </c>
      <c r="EM74" s="14">
        <v>-5.67</v>
      </c>
      <c r="EN74" s="14">
        <v>3.83</v>
      </c>
      <c r="EO74" s="14">
        <v>2.37</v>
      </c>
      <c r="EP74" s="14">
        <v>-2.57</v>
      </c>
    </row>
    <row r="75" spans="1:146" ht="88.5" customHeight="1" x14ac:dyDescent="0.25">
      <c r="A75" s="7"/>
      <c r="B75" s="7"/>
      <c r="C75" s="16" t="str">
        <f>""&amp;CHAR(10)&amp;Basic_Fundamental_Information_Constructure(F75)&amp;CHAR(10)&amp;Basic_Fundamental_Information_Concatenate("")</f>
        <v xml:space="preserve">
市值98.181457亿, 利润34.59亿; PE129.9; 平均PE9.63; 平均PEG.02, PB1.15; ROIC3.31%; ROE4.1933%; 股利率.4739%; 毛利52.54%; 净利28.3167%; 上一年度营收增2416.58%, 利润增715.8%; 当季营收增-98.64%, 利润增-106.68%; 过往5年营收增472.45%, 利润增132.38%
Income profile:
</v>
      </c>
      <c r="D75" t="s">
        <v>341</v>
      </c>
      <c r="E75" t="s">
        <v>58</v>
      </c>
      <c r="F75">
        <v>10.55</v>
      </c>
      <c r="G75">
        <v>-0.94</v>
      </c>
      <c r="H75" t="s">
        <v>3166</v>
      </c>
      <c r="I75">
        <v>9818145700</v>
      </c>
      <c r="J75">
        <v>129.9</v>
      </c>
      <c r="K75">
        <v>1.1499999999999999</v>
      </c>
      <c r="L75" t="s">
        <v>1589</v>
      </c>
      <c r="M75" t="s">
        <v>3167</v>
      </c>
      <c r="N75" t="s">
        <v>3168</v>
      </c>
      <c r="O75" t="s">
        <v>3169</v>
      </c>
      <c r="P75">
        <v>-20.239999999999998</v>
      </c>
      <c r="Q75" t="s">
        <v>3170</v>
      </c>
      <c r="R75">
        <v>-49000000</v>
      </c>
      <c r="S75" s="5">
        <v>-0.94099999999999995</v>
      </c>
      <c r="T75" t="s">
        <v>320</v>
      </c>
      <c r="U75">
        <v>930629920</v>
      </c>
      <c r="V75">
        <v>930629920</v>
      </c>
      <c r="W75">
        <v>1.17</v>
      </c>
      <c r="X75">
        <v>0.01</v>
      </c>
      <c r="Y75">
        <v>-14.62</v>
      </c>
      <c r="Z75" t="s">
        <v>156</v>
      </c>
      <c r="AA75" t="s">
        <v>3171</v>
      </c>
      <c r="AB75" t="s">
        <v>3172</v>
      </c>
      <c r="AC75" t="s">
        <v>3173</v>
      </c>
      <c r="AD75" t="s">
        <v>24</v>
      </c>
      <c r="AE75">
        <v>-6579332</v>
      </c>
      <c r="AF75" t="s">
        <v>3174</v>
      </c>
      <c r="AG75" t="s">
        <v>3175</v>
      </c>
      <c r="AH75" t="s">
        <v>3176</v>
      </c>
      <c r="AI75" t="s">
        <v>3177</v>
      </c>
      <c r="AJ75" t="s">
        <v>3178</v>
      </c>
      <c r="AK75" t="s">
        <v>3179</v>
      </c>
      <c r="AL75" t="s">
        <v>3180</v>
      </c>
      <c r="AM75" t="s">
        <v>24</v>
      </c>
      <c r="AN75" t="s">
        <v>3181</v>
      </c>
      <c r="AO75" t="s">
        <v>1070</v>
      </c>
      <c r="AP75" t="s">
        <v>24</v>
      </c>
      <c r="AQ75" t="s">
        <v>3182</v>
      </c>
      <c r="AR75" t="s">
        <v>3183</v>
      </c>
      <c r="AS75" t="s">
        <v>559</v>
      </c>
      <c r="AT75" t="s">
        <v>2165</v>
      </c>
      <c r="AU75" t="s">
        <v>3184</v>
      </c>
      <c r="AV75" t="s">
        <v>3185</v>
      </c>
      <c r="AW75" t="s">
        <v>1071</v>
      </c>
      <c r="AX75" t="s">
        <v>1476</v>
      </c>
      <c r="AY75" t="s">
        <v>933</v>
      </c>
      <c r="AZ75" t="s">
        <v>650</v>
      </c>
      <c r="BA75" t="s">
        <v>342</v>
      </c>
      <c r="BB75" t="s">
        <v>651</v>
      </c>
      <c r="BC75" t="s">
        <v>353</v>
      </c>
      <c r="BD75" t="s">
        <v>776</v>
      </c>
      <c r="BE75" t="s">
        <v>417</v>
      </c>
      <c r="BF75" t="s">
        <v>343</v>
      </c>
      <c r="BG75" t="s">
        <v>265</v>
      </c>
      <c r="BH75" t="s">
        <v>688</v>
      </c>
      <c r="BI75" t="s">
        <v>3186</v>
      </c>
      <c r="BJ75" t="s">
        <v>1476</v>
      </c>
      <c r="BK75" t="s">
        <v>230</v>
      </c>
      <c r="BL75" t="s">
        <v>672</v>
      </c>
      <c r="BM75" t="s">
        <v>353</v>
      </c>
      <c r="BN75">
        <v>1.05</v>
      </c>
      <c r="BO75">
        <v>4.24</v>
      </c>
      <c r="BP75">
        <v>4.6399999999999997</v>
      </c>
      <c r="BQ75">
        <v>1.95</v>
      </c>
      <c r="BR75">
        <v>5.29</v>
      </c>
      <c r="BS75">
        <v>5.34</v>
      </c>
      <c r="BT75" t="s">
        <v>1122</v>
      </c>
      <c r="BU75" t="s">
        <v>1043</v>
      </c>
      <c r="BV75">
        <v>46.96</v>
      </c>
      <c r="BW75">
        <v>54.44</v>
      </c>
      <c r="BX75">
        <v>56.22</v>
      </c>
      <c r="BY75">
        <v>8.6999999999999993</v>
      </c>
      <c r="BZ75">
        <v>33.409999999999997</v>
      </c>
      <c r="CA75">
        <v>42.84</v>
      </c>
      <c r="CB75">
        <v>-10.210000000000001</v>
      </c>
      <c r="CC75">
        <v>-17.64</v>
      </c>
      <c r="CD75" t="s">
        <v>3187</v>
      </c>
      <c r="CE75" t="s">
        <v>1075</v>
      </c>
      <c r="CF75" s="8">
        <v>-0.98638388736263738</v>
      </c>
      <c r="CG75" s="9">
        <v>-1.0667574931880108</v>
      </c>
      <c r="CH75" s="8">
        <v>24.165802001953125</v>
      </c>
      <c r="CI75" s="8">
        <v>0.31590908765792847</v>
      </c>
      <c r="CJ75" s="8">
        <v>-5.4779805243015289E-2</v>
      </c>
      <c r="CK75" s="8">
        <v>-0.50187265872955322</v>
      </c>
      <c r="CL75" s="8">
        <v>-0.30235162377357483</v>
      </c>
      <c r="CM75" s="9">
        <v>7.1580190658569336</v>
      </c>
      <c r="CN75" s="9">
        <v>0.1246684342622757</v>
      </c>
      <c r="CO75" s="9">
        <v>0.19682539999485016</v>
      </c>
      <c r="CP75" s="9">
        <v>-0.45026177167892456</v>
      </c>
      <c r="CQ75" s="9">
        <v>-0.41049382090568542</v>
      </c>
      <c r="CR75">
        <v>9.6256330392156855</v>
      </c>
      <c r="CS75">
        <v>2.0373687567762203E-2</v>
      </c>
      <c r="CT75">
        <v>0.47393364928909948</v>
      </c>
      <c r="CU75" s="8">
        <v>4.7245414003729822</v>
      </c>
      <c r="CV75" s="9">
        <v>1.3237514615058898</v>
      </c>
      <c r="CW75">
        <v>0.06</v>
      </c>
      <c r="CX75">
        <v>0.13308869893665856</v>
      </c>
      <c r="CY75">
        <v>18680366701.783157</v>
      </c>
      <c r="CZ75">
        <v>4.7245414003729822</v>
      </c>
      <c r="DA75">
        <v>4.2083933088520762E-3</v>
      </c>
      <c r="DB75">
        <v>590758875785.34009</v>
      </c>
      <c r="DC75">
        <v>4.4883143303543331</v>
      </c>
      <c r="DD75">
        <v>4.3036963544199533E-5</v>
      </c>
      <c r="DE75">
        <v>57767683759721.93</v>
      </c>
      <c r="DF75">
        <v>4.1575964323282246</v>
      </c>
      <c r="DG75">
        <v>1.6098844949861394E-7</v>
      </c>
      <c r="DH75">
        <v>1.5443006673726646E+16</v>
      </c>
      <c r="DI75">
        <v>3.7796331202983859</v>
      </c>
      <c r="DJ75">
        <v>3.598721616807914E-13</v>
      </c>
      <c r="DK75">
        <v>6.9084134999172988E+21</v>
      </c>
      <c r="DL75">
        <v>3.3071789802610874</v>
      </c>
      <c r="DM75">
        <v>3459000000.0000005</v>
      </c>
      <c r="DN75">
        <v>4.7245414003729822</v>
      </c>
      <c r="DO75">
        <v>2486145700</v>
      </c>
      <c r="DP75">
        <v>4497618500</v>
      </c>
      <c r="DQ75">
        <v>3341</v>
      </c>
      <c r="DR75">
        <v>-5.7109252877356198</v>
      </c>
      <c r="DS75">
        <v>-2.3905089546939005</v>
      </c>
      <c r="DT75" s="10">
        <v>-0.20666666666666667</v>
      </c>
      <c r="DU75">
        <v>-0.68166666666666664</v>
      </c>
      <c r="DV75">
        <v>-0.88833333333333331</v>
      </c>
      <c r="DW75">
        <v>-9.5787981859410429</v>
      </c>
      <c r="DX75">
        <v>0.31354252873563115</v>
      </c>
      <c r="DY75">
        <v>-9.0888701370969844</v>
      </c>
      <c r="DZ75">
        <v>4499</v>
      </c>
      <c r="EA75">
        <v>-9.0106261553358618</v>
      </c>
      <c r="EB75">
        <v>9</v>
      </c>
      <c r="EC75">
        <v>5.7415734065373696E-2</v>
      </c>
      <c r="ED75">
        <v>0.37394026618013743</v>
      </c>
      <c r="EE75" s="11">
        <v>1.0745</v>
      </c>
      <c r="EF75">
        <v>1.0406</v>
      </c>
      <c r="EG75">
        <v>16.153542528735631</v>
      </c>
      <c r="EH75" t="s">
        <v>904</v>
      </c>
      <c r="EI75">
        <v>0</v>
      </c>
      <c r="EJ75">
        <v>0</v>
      </c>
      <c r="EK75" s="13">
        <v>45470</v>
      </c>
      <c r="EL75" s="14">
        <v>0.38</v>
      </c>
      <c r="EM75" s="14">
        <v>-3.16</v>
      </c>
      <c r="EN75" s="14">
        <v>0</v>
      </c>
      <c r="EO75" s="14">
        <v>7.91</v>
      </c>
      <c r="EP75" s="14">
        <v>-3.39</v>
      </c>
    </row>
    <row r="76" spans="1:146" ht="88.5" customHeight="1" x14ac:dyDescent="0.25">
      <c r="A76" s="7"/>
      <c r="B76" s="7"/>
      <c r="C76" s="16" t="str">
        <f>""&amp;CHAR(10)&amp;Basic_Fundamental_Information_Constructure(F76)&amp;CHAR(10)&amp;Basic_Fundamental_Information_Concatenate("")</f>
        <v xml:space="preserve">
市值102.749096亿, 利润4.15亿; PE10.99; 平均PE12.31; 平均PEG1.16, PB.817; ROIC4.0867%; ROE7.9933%; 股利率4.5304%; 毛利33.54%; 净利12.3833%; 上一年度营收增-71.75%, 利润增-66.56%; 当季营收增152.99%, 利润增-33.12%; 过往5年营收增-10.57%, 利润增-2.97%
Income profile:
</v>
      </c>
      <c r="D76" t="s">
        <v>777</v>
      </c>
      <c r="E76" t="s">
        <v>778</v>
      </c>
      <c r="F76">
        <v>9.0500000000000007</v>
      </c>
      <c r="G76">
        <v>0.67</v>
      </c>
      <c r="H76" t="s">
        <v>3188</v>
      </c>
      <c r="I76">
        <v>10274909600</v>
      </c>
      <c r="J76">
        <v>10.99</v>
      </c>
      <c r="K76">
        <v>0.81699999999999995</v>
      </c>
      <c r="L76" t="s">
        <v>1589</v>
      </c>
      <c r="M76" t="s">
        <v>3189</v>
      </c>
      <c r="N76" t="s">
        <v>3190</v>
      </c>
      <c r="O76" t="s">
        <v>2860</v>
      </c>
      <c r="P76">
        <v>-15.31</v>
      </c>
      <c r="Q76" t="s">
        <v>3191</v>
      </c>
      <c r="R76">
        <v>39076638</v>
      </c>
      <c r="S76" s="5">
        <v>0.2172</v>
      </c>
      <c r="T76" t="s">
        <v>2974</v>
      </c>
      <c r="U76">
        <v>934791620</v>
      </c>
      <c r="V76">
        <v>1135349120</v>
      </c>
      <c r="W76">
        <v>3.42</v>
      </c>
      <c r="X76">
        <v>0.03</v>
      </c>
      <c r="Y76">
        <v>3.35</v>
      </c>
      <c r="Z76" t="s">
        <v>3192</v>
      </c>
      <c r="AA76" t="s">
        <v>473</v>
      </c>
      <c r="AB76" t="s">
        <v>3193</v>
      </c>
      <c r="AC76" t="s">
        <v>3194</v>
      </c>
      <c r="AD76" t="s">
        <v>24</v>
      </c>
      <c r="AE76">
        <v>103688820</v>
      </c>
      <c r="AF76" t="s">
        <v>3195</v>
      </c>
      <c r="AG76" t="s">
        <v>3196</v>
      </c>
      <c r="AH76" t="s">
        <v>3197</v>
      </c>
      <c r="AI76" t="s">
        <v>3198</v>
      </c>
      <c r="AJ76" t="s">
        <v>3199</v>
      </c>
      <c r="AK76" t="s">
        <v>24</v>
      </c>
      <c r="AL76" t="s">
        <v>3200</v>
      </c>
      <c r="AM76" t="s">
        <v>24</v>
      </c>
      <c r="AN76" t="s">
        <v>3201</v>
      </c>
      <c r="AO76" t="s">
        <v>3202</v>
      </c>
      <c r="AP76" t="s">
        <v>514</v>
      </c>
      <c r="AQ76" t="s">
        <v>1367</v>
      </c>
      <c r="AR76" t="s">
        <v>467</v>
      </c>
      <c r="AS76" t="s">
        <v>3203</v>
      </c>
      <c r="AT76" t="s">
        <v>3204</v>
      </c>
      <c r="AU76" t="s">
        <v>3205</v>
      </c>
      <c r="AV76" t="s">
        <v>3206</v>
      </c>
      <c r="AW76" t="s">
        <v>3207</v>
      </c>
      <c r="AX76" t="s">
        <v>1482</v>
      </c>
      <c r="AY76" t="s">
        <v>1480</v>
      </c>
      <c r="AZ76" t="s">
        <v>1481</v>
      </c>
      <c r="BA76" t="s">
        <v>780</v>
      </c>
      <c r="BB76" t="s">
        <v>781</v>
      </c>
      <c r="BC76" t="s">
        <v>1479</v>
      </c>
      <c r="BD76" t="s">
        <v>797</v>
      </c>
      <c r="BE76" t="s">
        <v>779</v>
      </c>
      <c r="BF76" t="s">
        <v>638</v>
      </c>
      <c r="BG76" t="s">
        <v>93</v>
      </c>
      <c r="BH76" t="s">
        <v>3208</v>
      </c>
      <c r="BI76" t="s">
        <v>727</v>
      </c>
      <c r="BJ76" t="s">
        <v>1482</v>
      </c>
      <c r="BK76" t="s">
        <v>3027</v>
      </c>
      <c r="BL76" t="s">
        <v>3209</v>
      </c>
      <c r="BM76" t="s">
        <v>1479</v>
      </c>
      <c r="BN76">
        <v>2.62</v>
      </c>
      <c r="BO76">
        <v>5.31</v>
      </c>
      <c r="BP76">
        <v>4.33</v>
      </c>
      <c r="BQ76">
        <v>5.09</v>
      </c>
      <c r="BR76">
        <v>10.62</v>
      </c>
      <c r="BS76">
        <v>8.27</v>
      </c>
      <c r="BT76" t="s">
        <v>2565</v>
      </c>
      <c r="BU76" t="s">
        <v>1059</v>
      </c>
      <c r="BV76">
        <v>35.520000000000003</v>
      </c>
      <c r="BW76">
        <v>33.71</v>
      </c>
      <c r="BX76">
        <v>31.39</v>
      </c>
      <c r="BY76">
        <v>12.43</v>
      </c>
      <c r="BZ76">
        <v>13.85</v>
      </c>
      <c r="CA76">
        <v>10.87</v>
      </c>
      <c r="CB76">
        <v>2.14</v>
      </c>
      <c r="CC76">
        <v>-8.0299999999999994</v>
      </c>
      <c r="CD76" t="s">
        <v>3210</v>
      </c>
      <c r="CE76" t="s">
        <v>701</v>
      </c>
      <c r="CF76" s="8">
        <v>1.529896907216495</v>
      </c>
      <c r="CG76" s="9">
        <v>-0.33123104806206327</v>
      </c>
      <c r="CH76" s="8">
        <v>-0.71748727560043335</v>
      </c>
      <c r="CI76" s="8">
        <v>3.5910382866859436E-2</v>
      </c>
      <c r="CJ76" s="8">
        <v>-0.13860708475112915</v>
      </c>
      <c r="CK76" s="8">
        <v>0.1353316605091095</v>
      </c>
      <c r="CL76" s="8">
        <v>0.15621356666088104</v>
      </c>
      <c r="CM76" s="9">
        <v>-0.6655922532081604</v>
      </c>
      <c r="CN76" s="9">
        <v>0.3244396448135376</v>
      </c>
      <c r="CO76" s="9">
        <v>0.29778394103050232</v>
      </c>
      <c r="CP76" s="9">
        <v>-0.17485713958740234</v>
      </c>
      <c r="CQ76" s="9">
        <v>6.9682151079177856E-2</v>
      </c>
      <c r="CR76">
        <v>12.310195207667732</v>
      </c>
      <c r="CS76">
        <v>1.1643296296704648</v>
      </c>
      <c r="CT76">
        <v>4.5303867403314912</v>
      </c>
      <c r="CU76" s="8">
        <v>-0.10572775006294251</v>
      </c>
      <c r="CV76" s="9">
        <v>-2.9708731174468993E-2</v>
      </c>
      <c r="CW76">
        <v>0.06</v>
      </c>
      <c r="CX76">
        <v>70.320264096385543</v>
      </c>
      <c r="CY76" t="s">
        <v>3211</v>
      </c>
      <c r="CZ76">
        <v>-0.10572775006294251</v>
      </c>
      <c r="DA76">
        <v>23.440088032128514</v>
      </c>
      <c r="DB76" t="s">
        <v>3212</v>
      </c>
      <c r="DC76">
        <v>-0.10044136255979538</v>
      </c>
      <c r="DD76">
        <v>11.720044016064257</v>
      </c>
      <c r="DE76" t="s">
        <v>3213</v>
      </c>
      <c r="DF76">
        <v>-9.3040420055389414E-2</v>
      </c>
      <c r="DG76">
        <v>7.0320264096385543</v>
      </c>
      <c r="DH76" t="s">
        <v>3214</v>
      </c>
      <c r="DI76">
        <v>-8.4582200050354009E-2</v>
      </c>
      <c r="DJ76">
        <v>3.5160132048192771</v>
      </c>
      <c r="DK76" t="s">
        <v>3215</v>
      </c>
      <c r="DL76">
        <v>-7.4009425044059746E-2</v>
      </c>
      <c r="DM76">
        <v>415000000.00000006</v>
      </c>
      <c r="DN76">
        <v>-0.10572775006294251</v>
      </c>
      <c r="DO76">
        <v>29182909600</v>
      </c>
      <c r="DP76">
        <v>994466000</v>
      </c>
      <c r="DQ76">
        <v>3346</v>
      </c>
      <c r="DR76">
        <v>1.6356246572794375</v>
      </c>
      <c r="DS76">
        <v>-0.30152231688759429</v>
      </c>
      <c r="DT76" s="10">
        <v>-0.67333333333333334</v>
      </c>
      <c r="DU76">
        <v>-0.38666666666666666</v>
      </c>
      <c r="DV76">
        <v>-1.06</v>
      </c>
      <c r="DW76">
        <v>-2.0802999999999998</v>
      </c>
      <c r="DX76">
        <v>0.28843412698412652</v>
      </c>
      <c r="DY76">
        <v>-2.0111162603968253</v>
      </c>
      <c r="DZ76">
        <v>3040</v>
      </c>
      <c r="EA76">
        <v>-2.0045030643877553</v>
      </c>
      <c r="EB76">
        <v>2</v>
      </c>
      <c r="EC76">
        <v>1.5363291953756039E-2</v>
      </c>
      <c r="ED76">
        <v>0.11097907928091758</v>
      </c>
      <c r="EE76" s="11">
        <v>-3.0219999999999998</v>
      </c>
      <c r="EF76">
        <v>-3.0087100000000002</v>
      </c>
      <c r="EG76">
        <v>15.138434126984126</v>
      </c>
      <c r="EH76" t="s">
        <v>878</v>
      </c>
      <c r="EI76">
        <v>0</v>
      </c>
      <c r="EJ76">
        <v>0</v>
      </c>
      <c r="EK76" s="13">
        <v>45470</v>
      </c>
      <c r="EL76" s="14">
        <v>1.1000000000000001</v>
      </c>
      <c r="EM76" s="14">
        <v>-3.38</v>
      </c>
      <c r="EN76" s="14">
        <v>0.31</v>
      </c>
      <c r="EO76" s="14">
        <v>3.49</v>
      </c>
      <c r="EP76" s="14">
        <v>-3.07</v>
      </c>
    </row>
    <row r="77" spans="1:146" ht="88.5" customHeight="1" x14ac:dyDescent="0.25">
      <c r="A77" s="7"/>
      <c r="B77" s="7"/>
      <c r="C77" s="16" t="str">
        <f>""&amp;CHAR(10)&amp;Basic_Fundamental_Information_Constructure(F77)&amp;CHAR(10)&amp;Basic_Fundamental_Information_Concatenate("")</f>
        <v xml:space="preserve">
市值91.064723亿, 利润1.51亿; PE25.88; 平均PE12.85; 平均PEG5.29, PB.438; ROIC1.6067%; ROE3.2533%; 股利率1.6667%; 毛利24.2133%; 净利10.8667%; 上一年度营收增-77.23%, 利润增-80.72%; 当季营收增-11.18%, 利润增-135.27%; 过往5年营收增-2.43%, 利润增-18.08%
Income profile:
</v>
      </c>
      <c r="D77" t="s">
        <v>345</v>
      </c>
      <c r="E77" t="s">
        <v>41</v>
      </c>
      <c r="F77">
        <v>3.6</v>
      </c>
      <c r="G77">
        <v>0</v>
      </c>
      <c r="H77" t="s">
        <v>3216</v>
      </c>
      <c r="I77">
        <v>9106472300</v>
      </c>
      <c r="J77">
        <v>25.88</v>
      </c>
      <c r="K77">
        <v>0.438</v>
      </c>
      <c r="L77" t="s">
        <v>1589</v>
      </c>
      <c r="M77" t="s">
        <v>3217</v>
      </c>
      <c r="N77" t="s">
        <v>3218</v>
      </c>
      <c r="O77" t="s">
        <v>1144</v>
      </c>
      <c r="P77">
        <v>-13.09</v>
      </c>
      <c r="Q77" t="s">
        <v>3219</v>
      </c>
      <c r="R77">
        <v>-5174939</v>
      </c>
      <c r="S77" s="5">
        <v>-1.089</v>
      </c>
      <c r="T77" t="s">
        <v>230</v>
      </c>
      <c r="U77">
        <v>2529575600</v>
      </c>
      <c r="V77">
        <v>2529575600</v>
      </c>
      <c r="W77">
        <v>3.62</v>
      </c>
      <c r="X77">
        <v>0.01</v>
      </c>
      <c r="Y77">
        <v>-0.2</v>
      </c>
      <c r="Z77" t="s">
        <v>171</v>
      </c>
      <c r="AA77" t="s">
        <v>2419</v>
      </c>
      <c r="AB77" t="s">
        <v>3220</v>
      </c>
      <c r="AC77" t="s">
        <v>3221</v>
      </c>
      <c r="AD77" t="s">
        <v>24</v>
      </c>
      <c r="AE77">
        <v>146857400</v>
      </c>
      <c r="AF77" t="s">
        <v>3222</v>
      </c>
      <c r="AG77" t="s">
        <v>3223</v>
      </c>
      <c r="AH77" t="s">
        <v>3224</v>
      </c>
      <c r="AI77" t="s">
        <v>3225</v>
      </c>
      <c r="AJ77" t="s">
        <v>3226</v>
      </c>
      <c r="AK77" t="s">
        <v>24</v>
      </c>
      <c r="AL77" t="s">
        <v>3227</v>
      </c>
      <c r="AM77" t="s">
        <v>24</v>
      </c>
      <c r="AN77" t="s">
        <v>3228</v>
      </c>
      <c r="AO77" t="s">
        <v>3052</v>
      </c>
      <c r="AP77" t="s">
        <v>24</v>
      </c>
      <c r="AQ77" t="s">
        <v>3229</v>
      </c>
      <c r="AR77" t="s">
        <v>3230</v>
      </c>
      <c r="AS77" t="s">
        <v>3231</v>
      </c>
      <c r="AT77" t="s">
        <v>3232</v>
      </c>
      <c r="AU77" t="s">
        <v>3233</v>
      </c>
      <c r="AV77" t="s">
        <v>779</v>
      </c>
      <c r="AW77" t="s">
        <v>3234</v>
      </c>
      <c r="AX77" t="s">
        <v>1072</v>
      </c>
      <c r="AY77" t="s">
        <v>934</v>
      </c>
      <c r="AZ77" t="s">
        <v>653</v>
      </c>
      <c r="BA77" t="s">
        <v>346</v>
      </c>
      <c r="BB77" t="s">
        <v>654</v>
      </c>
      <c r="BC77" t="s">
        <v>1483</v>
      </c>
      <c r="BD77" t="s">
        <v>266</v>
      </c>
      <c r="BE77" t="s">
        <v>935</v>
      </c>
      <c r="BF77" t="s">
        <v>347</v>
      </c>
      <c r="BG77" t="s">
        <v>494</v>
      </c>
      <c r="BH77" t="s">
        <v>3191</v>
      </c>
      <c r="BI77" t="s">
        <v>1459</v>
      </c>
      <c r="BJ77" t="s">
        <v>1072</v>
      </c>
      <c r="BK77" t="s">
        <v>2974</v>
      </c>
      <c r="BL77" t="s">
        <v>3235</v>
      </c>
      <c r="BM77" t="s">
        <v>1483</v>
      </c>
      <c r="BN77">
        <v>0.8</v>
      </c>
      <c r="BO77">
        <v>1.76</v>
      </c>
      <c r="BP77">
        <v>2.2599999999999998</v>
      </c>
      <c r="BQ77">
        <v>1.41</v>
      </c>
      <c r="BR77">
        <v>3.82</v>
      </c>
      <c r="BS77">
        <v>4.53</v>
      </c>
      <c r="BT77" t="s">
        <v>1888</v>
      </c>
      <c r="BU77" t="s">
        <v>1043</v>
      </c>
      <c r="BV77">
        <v>40.29</v>
      </c>
      <c r="BW77">
        <v>9.86</v>
      </c>
      <c r="BX77">
        <v>22.49</v>
      </c>
      <c r="BY77">
        <v>13.59</v>
      </c>
      <c r="BZ77">
        <v>9.25</v>
      </c>
      <c r="CA77">
        <v>9.76</v>
      </c>
      <c r="CB77">
        <v>8.43</v>
      </c>
      <c r="CC77">
        <v>-18.739999999999998</v>
      </c>
      <c r="CD77" t="s">
        <v>1066</v>
      </c>
      <c r="CE77" t="s">
        <v>1081</v>
      </c>
      <c r="CF77" s="8">
        <v>-0.11181434599156118</v>
      </c>
      <c r="CG77" s="9">
        <v>-1.3527133003448792</v>
      </c>
      <c r="CH77" s="8">
        <v>-0.77231931686401367</v>
      </c>
      <c r="CI77" s="8">
        <v>-7.8864321112632751E-2</v>
      </c>
      <c r="CJ77" s="8">
        <v>0.40030458569526672</v>
      </c>
      <c r="CK77" s="8">
        <v>0.80159169435501099</v>
      </c>
      <c r="CL77" s="8">
        <v>-0.47211357951164246</v>
      </c>
      <c r="CM77" s="9">
        <v>-0.80715197324752808</v>
      </c>
      <c r="CN77" s="9">
        <v>-0.14144736528396606</v>
      </c>
      <c r="CO77" s="9">
        <v>0.18287937343120575</v>
      </c>
      <c r="CP77" s="9">
        <v>0.27227723598480225</v>
      </c>
      <c r="CQ77" s="9">
        <v>-0.41050583124160767</v>
      </c>
      <c r="CR77">
        <v>12.853171912491179</v>
      </c>
      <c r="CS77">
        <v>5.2936872579975622</v>
      </c>
      <c r="CT77">
        <v>1.6666666666666665</v>
      </c>
      <c r="CU77" s="8">
        <v>-2.4280187487602235E-2</v>
      </c>
      <c r="CV77" s="9">
        <v>-0.18078971207141875</v>
      </c>
      <c r="CW77">
        <v>0.06</v>
      </c>
      <c r="CX77" t="e">
        <v>#VALUE!</v>
      </c>
      <c r="CY77" t="s">
        <v>908</v>
      </c>
      <c r="CZ77">
        <v>-2.4280187487602235E-2</v>
      </c>
      <c r="DA77">
        <v>96.844309713024259</v>
      </c>
      <c r="DB77" t="s">
        <v>3236</v>
      </c>
      <c r="DC77">
        <v>-2.3066178113222122E-2</v>
      </c>
      <c r="DD77">
        <v>48.42215485651213</v>
      </c>
      <c r="DE77" t="s">
        <v>3237</v>
      </c>
      <c r="DF77">
        <v>-2.1366564989089967E-2</v>
      </c>
      <c r="DG77">
        <v>29.053292913907281</v>
      </c>
      <c r="DH77" t="s">
        <v>3238</v>
      </c>
      <c r="DI77">
        <v>-1.9424149990081789E-2</v>
      </c>
      <c r="DJ77">
        <v>14.526646456953641</v>
      </c>
      <c r="DK77" t="s">
        <v>3239</v>
      </c>
      <c r="DL77">
        <v>-1.6996131241321565E-2</v>
      </c>
      <c r="DM77">
        <v>151000000</v>
      </c>
      <c r="DN77">
        <v>-2.4280187487602235E-2</v>
      </c>
      <c r="DO77">
        <v>43870472299.999992</v>
      </c>
      <c r="DP77">
        <v>41393634000</v>
      </c>
      <c r="DQ77">
        <v>3347</v>
      </c>
      <c r="DR77">
        <v>-8.7534158503958945E-2</v>
      </c>
      <c r="DS77">
        <v>-1.1719235882734604</v>
      </c>
      <c r="DT77" s="10">
        <v>-0.50666666666666671</v>
      </c>
      <c r="DU77">
        <v>-1.0816666666666668</v>
      </c>
      <c r="DV77">
        <v>-1.5883333333333334</v>
      </c>
      <c r="DW77">
        <v>7.3102686786897317</v>
      </c>
      <c r="DX77">
        <v>0.32042606516290706</v>
      </c>
      <c r="DY77">
        <v>7.0528778700523853</v>
      </c>
      <c r="DZ77">
        <v>2891</v>
      </c>
      <c r="EA77">
        <v>7.0229620339816519</v>
      </c>
      <c r="EB77">
        <v>7</v>
      </c>
      <c r="EC77">
        <v>0.10752791891256383</v>
      </c>
      <c r="ED77">
        <v>0.63093587714872013</v>
      </c>
      <c r="EE77" s="11">
        <v>1.0388999999999999</v>
      </c>
      <c r="EF77">
        <v>1.0233000000000001</v>
      </c>
      <c r="EG77">
        <v>15.170426065162907</v>
      </c>
      <c r="EH77" t="s">
        <v>904</v>
      </c>
      <c r="EI77">
        <v>1</v>
      </c>
      <c r="EJ77">
        <v>0</v>
      </c>
      <c r="EK77" s="13">
        <v>45470</v>
      </c>
      <c r="EL77" s="14">
        <v>-0.11</v>
      </c>
      <c r="EM77" s="14">
        <v>-2.11</v>
      </c>
      <c r="EN77" s="14">
        <v>0.34</v>
      </c>
      <c r="EO77" s="14">
        <v>1.81</v>
      </c>
      <c r="EP77" s="14">
        <v>-1.56</v>
      </c>
    </row>
    <row r="78" spans="1:146" ht="88.5" customHeight="1" x14ac:dyDescent="0.25">
      <c r="A78" s="7"/>
      <c r="B78" s="7"/>
      <c r="C78" s="16" t="str">
        <f>""&amp;CHAR(10)&amp;Basic_Fundamental_Information_Constructure(F78)&amp;CHAR(10)&amp;Basic_Fundamental_Information_Concatenate("")</f>
        <v xml:space="preserve">
市值87.552673亿, 利润-1.77亿; PE30.45; 平均PE7.34; 平均PEG.46, PB.358; ROIC2.0833%; ROE2.2733%; 股利率0%; 毛利23.8567%; 净利4.08%; 上一年度营收增-84.54%, 利润增-132.18%; 当季营收增-57.5%, 利润增-214.25%; 过往5年营收增-15.98%, 利润增-47.59%
Income profile:
</v>
      </c>
      <c r="D78" t="s">
        <v>348</v>
      </c>
      <c r="E78" t="s">
        <v>46</v>
      </c>
      <c r="F78">
        <v>3.07</v>
      </c>
      <c r="G78">
        <v>0</v>
      </c>
      <c r="H78" t="s">
        <v>3240</v>
      </c>
      <c r="I78">
        <v>8755267300</v>
      </c>
      <c r="J78">
        <v>30.45</v>
      </c>
      <c r="K78">
        <v>0.35799999999999998</v>
      </c>
      <c r="L78" t="s">
        <v>1589</v>
      </c>
      <c r="M78" t="s">
        <v>3241</v>
      </c>
      <c r="N78" t="s">
        <v>3242</v>
      </c>
      <c r="O78" t="s">
        <v>2414</v>
      </c>
      <c r="P78">
        <v>-38.82</v>
      </c>
      <c r="Q78" t="s">
        <v>3243</v>
      </c>
      <c r="R78">
        <v>-195363030</v>
      </c>
      <c r="S78" s="5">
        <v>-9.7010000000000005</v>
      </c>
      <c r="T78" t="s">
        <v>1073</v>
      </c>
      <c r="U78">
        <v>2851878600</v>
      </c>
      <c r="V78">
        <v>2851878600</v>
      </c>
      <c r="W78">
        <v>3.18</v>
      </c>
      <c r="X78">
        <v>0.01</v>
      </c>
      <c r="Y78">
        <v>-28.59</v>
      </c>
      <c r="Z78" t="s">
        <v>3244</v>
      </c>
      <c r="AA78" t="s">
        <v>917</v>
      </c>
      <c r="AB78" t="s">
        <v>3245</v>
      </c>
      <c r="AC78" t="s">
        <v>467</v>
      </c>
      <c r="AD78" t="s">
        <v>24</v>
      </c>
      <c r="AE78">
        <v>337948110</v>
      </c>
      <c r="AF78" t="s">
        <v>3246</v>
      </c>
      <c r="AG78" t="s">
        <v>3247</v>
      </c>
      <c r="AH78" t="s">
        <v>3248</v>
      </c>
      <c r="AI78" t="s">
        <v>3249</v>
      </c>
      <c r="AJ78" t="s">
        <v>3250</v>
      </c>
      <c r="AK78" t="s">
        <v>24</v>
      </c>
      <c r="AL78" t="s">
        <v>3251</v>
      </c>
      <c r="AM78" t="s">
        <v>24</v>
      </c>
      <c r="AN78">
        <v>0</v>
      </c>
      <c r="AO78" t="s">
        <v>3252</v>
      </c>
      <c r="AP78" t="s">
        <v>3253</v>
      </c>
      <c r="AQ78" t="s">
        <v>3254</v>
      </c>
      <c r="AR78" t="s">
        <v>3255</v>
      </c>
      <c r="AS78" t="s">
        <v>3256</v>
      </c>
      <c r="AT78" t="s">
        <v>3257</v>
      </c>
      <c r="AU78" t="s">
        <v>3258</v>
      </c>
      <c r="AV78" t="s">
        <v>3259</v>
      </c>
      <c r="AW78" t="s">
        <v>3260</v>
      </c>
      <c r="AX78" t="s">
        <v>1484</v>
      </c>
      <c r="AY78" t="s">
        <v>936</v>
      </c>
      <c r="AZ78" t="s">
        <v>655</v>
      </c>
      <c r="BA78" t="s">
        <v>349</v>
      </c>
      <c r="BB78" t="s">
        <v>657</v>
      </c>
      <c r="BC78" t="s">
        <v>1485</v>
      </c>
      <c r="BD78" t="s">
        <v>928</v>
      </c>
      <c r="BE78" t="s">
        <v>530</v>
      </c>
      <c r="BF78" t="s">
        <v>350</v>
      </c>
      <c r="BG78" t="s">
        <v>658</v>
      </c>
      <c r="BH78" t="s">
        <v>3261</v>
      </c>
      <c r="BI78" t="s">
        <v>3262</v>
      </c>
      <c r="BJ78" t="s">
        <v>1484</v>
      </c>
      <c r="BK78" t="s">
        <v>3263</v>
      </c>
      <c r="BL78" t="s">
        <v>882</v>
      </c>
      <c r="BM78" t="s">
        <v>1485</v>
      </c>
      <c r="BN78">
        <v>1.92</v>
      </c>
      <c r="BO78">
        <v>1.84</v>
      </c>
      <c r="BP78">
        <v>2.4900000000000002</v>
      </c>
      <c r="BQ78">
        <v>1.06</v>
      </c>
      <c r="BR78">
        <v>2.29</v>
      </c>
      <c r="BS78">
        <v>3.47</v>
      </c>
      <c r="BT78" t="s">
        <v>1115</v>
      </c>
      <c r="BU78" t="s">
        <v>1043</v>
      </c>
      <c r="BV78">
        <v>27.06</v>
      </c>
      <c r="BW78">
        <v>25.2</v>
      </c>
      <c r="BX78">
        <v>19.309999999999999</v>
      </c>
      <c r="BY78">
        <v>5.27</v>
      </c>
      <c r="BZ78">
        <v>3.15</v>
      </c>
      <c r="CA78">
        <v>3.82</v>
      </c>
      <c r="CB78">
        <v>0.66</v>
      </c>
      <c r="CC78">
        <v>-22.08</v>
      </c>
      <c r="CD78" t="s">
        <v>3264</v>
      </c>
      <c r="CE78" t="s">
        <v>234</v>
      </c>
      <c r="CF78" s="8">
        <v>-0.57497303128371091</v>
      </c>
      <c r="CG78" s="9">
        <v>-2.1424738596491228</v>
      </c>
      <c r="CH78" s="8">
        <v>-0.84540772438049316</v>
      </c>
      <c r="CI78" s="8">
        <v>-0.17448543012142181</v>
      </c>
      <c r="CJ78" s="8">
        <v>-0.14533713459968567</v>
      </c>
      <c r="CK78" s="8">
        <v>0.32785707712173462</v>
      </c>
      <c r="CL78" s="8">
        <v>3.860502690076828E-2</v>
      </c>
      <c r="CM78" s="9">
        <v>-1.3218182325363159</v>
      </c>
      <c r="CN78" s="9">
        <v>-0.32515338063240051</v>
      </c>
      <c r="CO78" s="9">
        <v>-0.45739015936851501</v>
      </c>
      <c r="CP78" s="9">
        <v>-0.35118791460990906</v>
      </c>
      <c r="CQ78" s="9">
        <v>7.6243601739406586E-2</v>
      </c>
      <c r="CR78">
        <v>7.3409172442705417</v>
      </c>
      <c r="CS78">
        <v>0.45951487436518329</v>
      </c>
      <c r="CT78">
        <v>0</v>
      </c>
      <c r="CU78" s="8">
        <v>-0.15975363701581954</v>
      </c>
      <c r="CV78" s="9">
        <v>-0.47586121708154677</v>
      </c>
      <c r="CW78">
        <v>0.06</v>
      </c>
      <c r="CX78" t="e">
        <v>#VALUE!</v>
      </c>
      <c r="CY78" t="s">
        <v>849</v>
      </c>
      <c r="CZ78">
        <v>-0.15975363701581954</v>
      </c>
      <c r="DA78" t="e">
        <v>#VALUE!</v>
      </c>
      <c r="DB78" t="s">
        <v>850</v>
      </c>
      <c r="DC78">
        <v>-0.15176595516502855</v>
      </c>
      <c r="DD78" t="e">
        <v>#VALUE!</v>
      </c>
      <c r="DE78" t="s">
        <v>850</v>
      </c>
      <c r="DF78">
        <v>-0.14058320057392121</v>
      </c>
      <c r="DG78" t="e">
        <v>#VALUE!</v>
      </c>
      <c r="DH78" t="s">
        <v>850</v>
      </c>
      <c r="DI78">
        <v>-0.12780290961265564</v>
      </c>
      <c r="DJ78" t="e">
        <v>#VALUE!</v>
      </c>
      <c r="DK78" t="s">
        <v>850</v>
      </c>
      <c r="DL78">
        <v>-0.11182754591107368</v>
      </c>
      <c r="DM78">
        <v>-177000000</v>
      </c>
      <c r="DN78">
        <v>-0.15975363701581954</v>
      </c>
      <c r="DO78">
        <v>41092267300.000008</v>
      </c>
      <c r="DP78">
        <v>31937142000</v>
      </c>
      <c r="DQ78">
        <v>3353</v>
      </c>
      <c r="DR78">
        <v>-0.41521939426789134</v>
      </c>
      <c r="DS78">
        <v>-1.666612642567576</v>
      </c>
      <c r="DT78" s="10">
        <v>-0.80666666666666664</v>
      </c>
      <c r="DU78">
        <v>-2.0483333333333333</v>
      </c>
      <c r="DV78">
        <v>-2.855</v>
      </c>
      <c r="DW78">
        <v>-3.0687619047619048</v>
      </c>
      <c r="DX78">
        <v>0.32665263157894675</v>
      </c>
      <c r="DY78">
        <v>-3.0107717333333333</v>
      </c>
      <c r="DZ78">
        <v>2976</v>
      </c>
      <c r="EA78">
        <v>-3.0044984107501631</v>
      </c>
      <c r="EB78">
        <v>3</v>
      </c>
      <c r="EC78">
        <v>3.1309888155828233E-2</v>
      </c>
      <c r="ED78">
        <v>0.19986825526163701</v>
      </c>
      <c r="EE78" s="11">
        <v>-1.06131</v>
      </c>
      <c r="EF78">
        <v>-1.07091</v>
      </c>
      <c r="EG78">
        <v>17.156652631578947</v>
      </c>
      <c r="EH78" t="s">
        <v>892</v>
      </c>
      <c r="EI78">
        <v>0</v>
      </c>
      <c r="EJ78">
        <v>0</v>
      </c>
      <c r="EK78" s="13">
        <v>45470</v>
      </c>
      <c r="EL78" s="14">
        <v>-0.19</v>
      </c>
      <c r="EM78" s="14">
        <v>-2.4700000000000002</v>
      </c>
      <c r="EN78" s="14">
        <v>1.75</v>
      </c>
      <c r="EO78" s="14">
        <v>-0.38</v>
      </c>
      <c r="EP78" s="14">
        <v>-0.96</v>
      </c>
    </row>
    <row r="79" spans="1:146" ht="88.5" customHeight="1" x14ac:dyDescent="0.25">
      <c r="A79" s="7"/>
      <c r="B79" s="7"/>
      <c r="C79" s="16" t="str">
        <f>""&amp;CHAR(10)&amp;Basic_Fundamental_Information_Constructure(F79)&amp;CHAR(10)&amp;Basic_Fundamental_Information_Concatenate("")</f>
        <v xml:space="preserve">
市值37.808175亿, 利润56.29亿; PE; 平均PE3.01; 平均PEG.02, PB.508; ROIC3.1533%; ROE2.9233%; 股利率0%; 毛利33.9167%; 净利3.32%; 上一年度营收增543.9%, 利润增850.84%; 当季营收增-85.12%, 利润增-105.14%; 过往5年营收增149.28%, 利润增513.25%
Income profile:
</v>
      </c>
      <c r="D79" t="s">
        <v>782</v>
      </c>
      <c r="E79" t="s">
        <v>783</v>
      </c>
      <c r="F79">
        <v>3.38</v>
      </c>
      <c r="G79">
        <v>0</v>
      </c>
      <c r="H79" t="s">
        <v>3265</v>
      </c>
      <c r="I79">
        <v>3780817500</v>
      </c>
      <c r="K79">
        <v>0.50800000000000001</v>
      </c>
      <c r="L79" t="s">
        <v>1589</v>
      </c>
      <c r="M79" t="s">
        <v>3266</v>
      </c>
      <c r="N79" t="s">
        <v>3267</v>
      </c>
      <c r="O79" t="s">
        <v>3268</v>
      </c>
      <c r="P79">
        <v>-43.41</v>
      </c>
      <c r="Q79" t="s">
        <v>3269</v>
      </c>
      <c r="R79">
        <v>-47000000</v>
      </c>
      <c r="S79" s="5">
        <v>-0.54249999999999998</v>
      </c>
      <c r="T79" t="s">
        <v>3270</v>
      </c>
      <c r="U79">
        <v>1118585050</v>
      </c>
      <c r="V79">
        <v>1118585050</v>
      </c>
      <c r="W79">
        <v>2.4900000000000002</v>
      </c>
      <c r="X79">
        <v>0.05</v>
      </c>
      <c r="Y79">
        <v>7.37</v>
      </c>
      <c r="Z79" t="s">
        <v>688</v>
      </c>
      <c r="AA79" t="s">
        <v>753</v>
      </c>
      <c r="AB79" t="s">
        <v>3271</v>
      </c>
      <c r="AC79" t="s">
        <v>3272</v>
      </c>
      <c r="AD79" t="s">
        <v>24</v>
      </c>
      <c r="AE79">
        <v>73907581</v>
      </c>
      <c r="AF79" t="s">
        <v>3273</v>
      </c>
      <c r="AG79" t="s">
        <v>3274</v>
      </c>
      <c r="AH79" t="s">
        <v>3275</v>
      </c>
      <c r="AI79" t="s">
        <v>636</v>
      </c>
      <c r="AJ79" t="s">
        <v>3276</v>
      </c>
      <c r="AK79" t="s">
        <v>3277</v>
      </c>
      <c r="AL79" t="s">
        <v>3278</v>
      </c>
      <c r="AM79" t="s">
        <v>24</v>
      </c>
      <c r="AN79" t="s">
        <v>278</v>
      </c>
      <c r="AO79" t="s">
        <v>3279</v>
      </c>
      <c r="AP79" t="s">
        <v>1586</v>
      </c>
      <c r="AQ79" t="s">
        <v>3280</v>
      </c>
      <c r="AR79" t="s">
        <v>3281</v>
      </c>
      <c r="AS79" t="s">
        <v>3282</v>
      </c>
      <c r="AT79" t="s">
        <v>1216</v>
      </c>
      <c r="AU79" t="s">
        <v>3283</v>
      </c>
      <c r="AV79" t="s">
        <v>3284</v>
      </c>
      <c r="AW79" t="s">
        <v>3285</v>
      </c>
      <c r="AX79" t="s">
        <v>1486</v>
      </c>
      <c r="AY79" t="s">
        <v>937</v>
      </c>
      <c r="AZ79" t="s">
        <v>752</v>
      </c>
      <c r="BA79" t="s">
        <v>484</v>
      </c>
      <c r="BB79" t="s">
        <v>785</v>
      </c>
      <c r="BC79" t="s">
        <v>284</v>
      </c>
      <c r="BD79" t="s">
        <v>938</v>
      </c>
      <c r="BE79" t="s">
        <v>413</v>
      </c>
      <c r="BF79" t="s">
        <v>525</v>
      </c>
      <c r="BG79" t="s">
        <v>786</v>
      </c>
      <c r="BH79" t="s">
        <v>3243</v>
      </c>
      <c r="BI79" t="s">
        <v>574</v>
      </c>
      <c r="BJ79" t="s">
        <v>1486</v>
      </c>
      <c r="BK79" t="s">
        <v>1073</v>
      </c>
      <c r="BL79" t="s">
        <v>1438</v>
      </c>
      <c r="BM79" t="s">
        <v>284</v>
      </c>
      <c r="BN79">
        <v>1.19</v>
      </c>
      <c r="BO79">
        <v>6.21</v>
      </c>
      <c r="BP79">
        <v>2.06</v>
      </c>
      <c r="BQ79">
        <v>0.14000000000000001</v>
      </c>
      <c r="BR79">
        <v>8.18</v>
      </c>
      <c r="BS79">
        <v>0.45</v>
      </c>
      <c r="BT79" t="s">
        <v>1115</v>
      </c>
      <c r="BU79" t="s">
        <v>1059</v>
      </c>
      <c r="BV79">
        <v>22.48</v>
      </c>
      <c r="BW79">
        <v>35.69</v>
      </c>
      <c r="BX79">
        <v>43.58</v>
      </c>
      <c r="BY79">
        <v>-5.58</v>
      </c>
      <c r="BZ79">
        <v>11.61</v>
      </c>
      <c r="CA79">
        <v>3.93</v>
      </c>
      <c r="CB79">
        <v>2.74</v>
      </c>
      <c r="CC79">
        <v>-15.92</v>
      </c>
      <c r="CD79" t="s">
        <v>3286</v>
      </c>
      <c r="CE79" t="s">
        <v>3287</v>
      </c>
      <c r="CF79" s="8">
        <v>-0.85124787294384574</v>
      </c>
      <c r="CG79" s="9">
        <v>-1.0513661202185793</v>
      </c>
      <c r="CH79" s="8">
        <v>5.4390287399291992</v>
      </c>
      <c r="CI79" s="8">
        <v>1.6208653450012207</v>
      </c>
      <c r="CJ79" s="8">
        <v>-0.47877988219261169</v>
      </c>
      <c r="CK79" s="8">
        <v>1.0657535791397095</v>
      </c>
      <c r="CL79" s="8">
        <v>-0.18307965993881226</v>
      </c>
      <c r="CM79" s="9">
        <v>8.5084466934204102</v>
      </c>
      <c r="CN79" s="9">
        <v>17.749011993408203</v>
      </c>
      <c r="CO79" s="9">
        <v>-0.93939536809921265</v>
      </c>
      <c r="CP79" s="9">
        <v>0.48433047533035278</v>
      </c>
      <c r="CQ79" s="9">
        <v>-0.13970588147640228</v>
      </c>
      <c r="CR79">
        <v>3.0115737314265041</v>
      </c>
      <c r="CS79">
        <v>2.0174566066354611E-2</v>
      </c>
      <c r="CT79">
        <v>0</v>
      </c>
      <c r="CU79" s="8">
        <v>1.4927576243877412</v>
      </c>
      <c r="CV79" s="9">
        <v>5.1325375825166706</v>
      </c>
      <c r="CW79">
        <v>0.06</v>
      </c>
      <c r="CX79">
        <v>0.56739012483745843</v>
      </c>
      <c r="CY79">
        <v>13237483648.753391</v>
      </c>
      <c r="CZ79">
        <v>1.4927576243877412</v>
      </c>
      <c r="DA79">
        <v>6.8931161181842796E-2</v>
      </c>
      <c r="DB79">
        <v>108961134140.56966</v>
      </c>
      <c r="DC79">
        <v>1.4181197431683541</v>
      </c>
      <c r="DD79">
        <v>6.7490347454042454E-3</v>
      </c>
      <c r="DE79">
        <v>1112872845278.281</v>
      </c>
      <c r="DF79">
        <v>1.3136267094612122</v>
      </c>
      <c r="DG79">
        <v>4.7781057068723104E-4</v>
      </c>
      <c r="DH79">
        <v>15719236787074.957</v>
      </c>
      <c r="DI79">
        <v>1.1942060995101931</v>
      </c>
      <c r="DJ79">
        <v>1.2604649032251021E-6</v>
      </c>
      <c r="DK79">
        <v>5958767658490424</v>
      </c>
      <c r="DL79">
        <v>1.0449303370714187</v>
      </c>
      <c r="DM79">
        <v>5629000000</v>
      </c>
      <c r="DN79">
        <v>1.4927576243877412</v>
      </c>
      <c r="DO79">
        <v>7510817500.000001</v>
      </c>
      <c r="DP79">
        <v>6701167700</v>
      </c>
      <c r="DQ79">
        <v>3354</v>
      </c>
      <c r="DR79">
        <v>-2.3440054973315867</v>
      </c>
      <c r="DS79">
        <v>-6.1839037027352504</v>
      </c>
      <c r="DT79" s="10">
        <v>0.15999999999999992</v>
      </c>
      <c r="DU79">
        <v>-0.39833333333333343</v>
      </c>
      <c r="DV79">
        <v>-0.23833333333333351</v>
      </c>
      <c r="DW79">
        <v>6.146838156484459</v>
      </c>
      <c r="DX79">
        <v>0.33560156249999934</v>
      </c>
      <c r="DY79">
        <v>6.0228482465836013</v>
      </c>
      <c r="DZ79">
        <v>4345</v>
      </c>
      <c r="EA79">
        <v>6.0034205300658421</v>
      </c>
      <c r="EB79">
        <v>6</v>
      </c>
      <c r="EC79">
        <v>3.5611060598387222E-2</v>
      </c>
      <c r="ED79">
        <v>0.22886055915015135</v>
      </c>
      <c r="EE79" s="11">
        <v>1.0087999999999999</v>
      </c>
      <c r="EF79">
        <v>1.0072099999999999</v>
      </c>
      <c r="EG79">
        <v>18.155601562499999</v>
      </c>
      <c r="EH79" t="s">
        <v>835</v>
      </c>
      <c r="EI79">
        <v>0</v>
      </c>
      <c r="EJ79">
        <v>0</v>
      </c>
      <c r="EK79" s="13">
        <v>45470</v>
      </c>
      <c r="EL79" s="14">
        <v>0.98</v>
      </c>
      <c r="EM79" s="14">
        <v>-4.1900000000000004</v>
      </c>
      <c r="EN79" s="14">
        <v>1.35</v>
      </c>
      <c r="EO79" s="14">
        <v>3.65</v>
      </c>
      <c r="EP79" s="14">
        <v>-1.6</v>
      </c>
    </row>
    <row r="80" spans="1:146" ht="88.5" customHeight="1" x14ac:dyDescent="0.25">
      <c r="A80" s="7"/>
      <c r="B80" s="7"/>
      <c r="C80" s="16" t="str">
        <f>""&amp;CHAR(10)&amp;Basic_Fundamental_Information_Constructure(F80)&amp;CHAR(10)&amp;Basic_Fundamental_Information_Concatenate("")</f>
        <v xml:space="preserve">
市值428.3509亿, 利润3.95亿; PE39.93; 平均PE15.31; 平均PEG2.84, PB1.84; ROIC3.6833%; ROE9.4733%; 股利率1.2809%; 毛利56.62%; 净利21.3333%; 上一年度营收增31.49%, 利润增-62.27%; 当季营收增-29.04%, 利润增239.01%; 过往5年营收增5.39%, 利润增-22.33%
Income profile:
</v>
      </c>
      <c r="D80" t="s">
        <v>787</v>
      </c>
      <c r="E80" t="s">
        <v>788</v>
      </c>
      <c r="F80">
        <v>8.9</v>
      </c>
      <c r="G80">
        <v>0.56000000000000005</v>
      </c>
      <c r="H80" t="s">
        <v>3288</v>
      </c>
      <c r="I80">
        <v>42835090000</v>
      </c>
      <c r="J80">
        <v>39.93</v>
      </c>
      <c r="K80">
        <v>1.84</v>
      </c>
      <c r="L80" t="s">
        <v>1589</v>
      </c>
      <c r="M80" t="s">
        <v>3289</v>
      </c>
      <c r="N80" t="s">
        <v>3290</v>
      </c>
      <c r="O80" t="s">
        <v>3291</v>
      </c>
      <c r="P80">
        <v>39.340000000000003</v>
      </c>
      <c r="Q80" t="s">
        <v>698</v>
      </c>
      <c r="R80">
        <v>413589980</v>
      </c>
      <c r="S80" s="5">
        <v>-4.7800000000000002E-2</v>
      </c>
      <c r="T80" t="s">
        <v>3292</v>
      </c>
      <c r="U80">
        <v>2933461400</v>
      </c>
      <c r="V80">
        <v>4812931500</v>
      </c>
      <c r="W80">
        <v>3.28</v>
      </c>
      <c r="X80">
        <v>0.02</v>
      </c>
      <c r="Y80">
        <v>18</v>
      </c>
      <c r="Z80" t="s">
        <v>647</v>
      </c>
      <c r="AA80" t="s">
        <v>461</v>
      </c>
      <c r="AB80" t="s">
        <v>3293</v>
      </c>
      <c r="AC80" t="s">
        <v>1407</v>
      </c>
      <c r="AD80" t="s">
        <v>24</v>
      </c>
      <c r="AE80">
        <v>332895300</v>
      </c>
      <c r="AF80" t="s">
        <v>3294</v>
      </c>
      <c r="AG80" t="s">
        <v>3295</v>
      </c>
      <c r="AH80" t="s">
        <v>3296</v>
      </c>
      <c r="AI80" t="s">
        <v>1521</v>
      </c>
      <c r="AJ80" t="s">
        <v>3297</v>
      </c>
      <c r="AK80" t="s">
        <v>24</v>
      </c>
      <c r="AL80" t="s">
        <v>3298</v>
      </c>
      <c r="AM80" t="s">
        <v>24</v>
      </c>
      <c r="AN80">
        <v>0</v>
      </c>
      <c r="AO80" t="s">
        <v>3299</v>
      </c>
      <c r="AP80" t="s">
        <v>24</v>
      </c>
      <c r="AQ80" t="s">
        <v>3300</v>
      </c>
      <c r="AR80" t="s">
        <v>473</v>
      </c>
      <c r="AS80" t="s">
        <v>3301</v>
      </c>
      <c r="AT80" t="s">
        <v>3302</v>
      </c>
      <c r="AU80" t="s">
        <v>3303</v>
      </c>
      <c r="AV80" t="s">
        <v>3304</v>
      </c>
      <c r="AW80" t="s">
        <v>3305</v>
      </c>
      <c r="AX80" t="s">
        <v>3306</v>
      </c>
      <c r="AY80" t="s">
        <v>939</v>
      </c>
      <c r="AZ80" t="s">
        <v>789</v>
      </c>
      <c r="BA80" t="s">
        <v>791</v>
      </c>
      <c r="BB80" t="s">
        <v>792</v>
      </c>
      <c r="BC80" t="s">
        <v>680</v>
      </c>
      <c r="BD80" t="s">
        <v>940</v>
      </c>
      <c r="BE80" t="s">
        <v>790</v>
      </c>
      <c r="BF80" t="s">
        <v>793</v>
      </c>
      <c r="BG80" t="s">
        <v>794</v>
      </c>
      <c r="BH80" t="s">
        <v>3307</v>
      </c>
      <c r="BI80" t="s">
        <v>3308</v>
      </c>
      <c r="BJ80" t="s">
        <v>3306</v>
      </c>
      <c r="BK80" t="s">
        <v>3309</v>
      </c>
      <c r="BL80" t="s">
        <v>147</v>
      </c>
      <c r="BM80" t="s">
        <v>680</v>
      </c>
      <c r="BN80">
        <v>1.71</v>
      </c>
      <c r="BO80">
        <v>2.38</v>
      </c>
      <c r="BP80">
        <v>6.96</v>
      </c>
      <c r="BQ80">
        <v>3.05</v>
      </c>
      <c r="BR80">
        <v>4.92</v>
      </c>
      <c r="BS80">
        <v>20.45</v>
      </c>
      <c r="BT80" t="s">
        <v>3310</v>
      </c>
      <c r="BU80" t="s">
        <v>1046</v>
      </c>
      <c r="BV80">
        <v>58.42</v>
      </c>
      <c r="BW80">
        <v>41.22</v>
      </c>
      <c r="BX80">
        <v>70.22</v>
      </c>
      <c r="BY80">
        <v>15.42</v>
      </c>
      <c r="BZ80">
        <v>12.42</v>
      </c>
      <c r="CA80">
        <v>36.159999999999997</v>
      </c>
      <c r="CB80">
        <v>0.91</v>
      </c>
      <c r="CC80">
        <v>-12.71</v>
      </c>
      <c r="CD80" t="s">
        <v>3311</v>
      </c>
      <c r="CE80" t="s">
        <v>1584</v>
      </c>
      <c r="CF80" s="8">
        <v>-0.29043743641912512</v>
      </c>
      <c r="CG80" s="9">
        <v>2.3900818032786884</v>
      </c>
      <c r="CH80" s="8">
        <v>0.31492987275123596</v>
      </c>
      <c r="CI80" s="8">
        <v>-0.15260958671569824</v>
      </c>
      <c r="CJ80" s="8">
        <v>-4.1658017784357071E-2</v>
      </c>
      <c r="CK80" s="8">
        <v>-2.0171960815787315E-2</v>
      </c>
      <c r="CL80" s="8">
        <v>0.16884252429008484</v>
      </c>
      <c r="CM80" s="9">
        <v>-0.62273162603378296</v>
      </c>
      <c r="CN80" s="9">
        <v>-0.757132887840271</v>
      </c>
      <c r="CO80" s="9">
        <v>7.4526436626911163E-2</v>
      </c>
      <c r="CP80" s="9">
        <v>9.1106899082660675E-2</v>
      </c>
      <c r="CQ80" s="9">
        <v>9.7611881792545319E-2</v>
      </c>
      <c r="CR80">
        <v>15.305534778465937</v>
      </c>
      <c r="CS80">
        <v>2.8413793224560067</v>
      </c>
      <c r="CT80">
        <v>1.2808988764044942</v>
      </c>
      <c r="CU80" s="8">
        <v>5.3866566345095637E-2</v>
      </c>
      <c r="CV80" s="9">
        <v>-0.22332385927438736</v>
      </c>
      <c r="CW80">
        <v>0.06</v>
      </c>
      <c r="CX80">
        <v>282.39627089277701</v>
      </c>
      <c r="CY80">
        <v>392714428.02482337</v>
      </c>
      <c r="CZ80">
        <v>5.3866566345095637E-2</v>
      </c>
      <c r="DA80">
        <v>95.163516400071273</v>
      </c>
      <c r="DB80">
        <v>1165374023.5256474</v>
      </c>
      <c r="DC80">
        <v>5.1173238027840851E-2</v>
      </c>
      <c r="DD80">
        <v>48.783138596542742</v>
      </c>
      <c r="DE80">
        <v>2273348808.4315171</v>
      </c>
      <c r="DF80">
        <v>4.7402578383684162E-2</v>
      </c>
      <c r="DG80">
        <v>30.639432194850855</v>
      </c>
      <c r="DH80">
        <v>3619554347.310575</v>
      </c>
      <c r="DI80">
        <v>4.3093253076076511E-2</v>
      </c>
      <c r="DJ80">
        <v>17.417267487065828</v>
      </c>
      <c r="DK80">
        <v>6367307046.432848</v>
      </c>
      <c r="DL80">
        <v>3.7706596441566945E-2</v>
      </c>
      <c r="DM80">
        <v>395000000</v>
      </c>
      <c r="DN80">
        <v>5.3866566345095637E-2</v>
      </c>
      <c r="DO80">
        <v>110901090000</v>
      </c>
      <c r="DP80">
        <v>4880742000</v>
      </c>
      <c r="DQ80">
        <v>3358</v>
      </c>
      <c r="DR80">
        <v>-0.34430400276422074</v>
      </c>
      <c r="DS80">
        <v>2.6134056625530757</v>
      </c>
      <c r="DT80" s="10">
        <v>-0.32333333333333336</v>
      </c>
      <c r="DU80">
        <v>-0.85333333333333339</v>
      </c>
      <c r="DV80">
        <v>-1.1766666666666667</v>
      </c>
      <c r="DW80">
        <v>-2.1271</v>
      </c>
      <c r="DX80">
        <v>0.31925686274509629</v>
      </c>
      <c r="DY80">
        <v>-2.0176995472549017</v>
      </c>
      <c r="DZ80">
        <v>394</v>
      </c>
      <c r="EA80">
        <v>-2.0163348463510991</v>
      </c>
      <c r="EB80">
        <v>2</v>
      </c>
      <c r="EC80">
        <v>5.9025149225581126E-3</v>
      </c>
      <c r="ED80">
        <v>4.2385809978803979E-2</v>
      </c>
      <c r="EE80" s="11">
        <v>-2.0306099999999998</v>
      </c>
      <c r="EF80">
        <v>-2.0624099999999999</v>
      </c>
      <c r="EG80">
        <v>18.139256862745096</v>
      </c>
      <c r="EH80" t="s">
        <v>839</v>
      </c>
      <c r="EI80">
        <v>0</v>
      </c>
      <c r="EJ80">
        <v>1</v>
      </c>
      <c r="EK80" s="13">
        <v>45470</v>
      </c>
      <c r="EL80" s="14">
        <v>0.98</v>
      </c>
      <c r="EM80" s="14">
        <v>-4.37</v>
      </c>
      <c r="EN80" s="14">
        <v>0.51</v>
      </c>
      <c r="EO80" s="14">
        <v>3.28</v>
      </c>
      <c r="EP80" s="14">
        <v>-3.18</v>
      </c>
    </row>
    <row r="81" spans="1:146" ht="88.5" customHeight="1" x14ac:dyDescent="0.25">
      <c r="A81" s="7"/>
      <c r="B81" s="7"/>
      <c r="C81" s="16" t="str">
        <f>""&amp;CHAR(10)&amp;Basic_Fundamental_Information_Constructure(F81)&amp;CHAR(10)&amp;Basic_Fundamental_Information_Concatenate("")</f>
        <v xml:space="preserve">
市值19.18352亿, 利润-6.75亿; PE; 平均PE9.45; 平均PEG3.64, PB.503; ROIC2.16%; ROE5.8067%; 股利率0%; 毛利19.97%; 净利3.34%; 上一年度营收增-96.89%, 利润增-296.79%; 当季营收增683.14%, 利润增-560.62%; 过往5年营收增-2.6%, 利润增-62.54%
Income profile:
</v>
      </c>
      <c r="D81" t="s">
        <v>351</v>
      </c>
      <c r="E81" t="s">
        <v>56</v>
      </c>
      <c r="F81">
        <v>2.2200000000000002</v>
      </c>
      <c r="G81">
        <v>0</v>
      </c>
      <c r="H81" t="s">
        <v>3312</v>
      </c>
      <c r="I81">
        <v>1918352000</v>
      </c>
      <c r="K81">
        <v>0.503</v>
      </c>
      <c r="L81" t="s">
        <v>1589</v>
      </c>
      <c r="M81" t="s">
        <v>3313</v>
      </c>
      <c r="N81" t="s">
        <v>3314</v>
      </c>
      <c r="O81" t="s">
        <v>1079</v>
      </c>
      <c r="P81">
        <v>-89.02</v>
      </c>
      <c r="Q81" t="s">
        <v>1051</v>
      </c>
      <c r="R81">
        <v>-80934255</v>
      </c>
      <c r="S81" s="5">
        <v>-6.1470000000000002</v>
      </c>
      <c r="T81" t="s">
        <v>3315</v>
      </c>
      <c r="U81">
        <v>864122520</v>
      </c>
      <c r="V81">
        <v>864122520</v>
      </c>
      <c r="W81">
        <v>8.08</v>
      </c>
      <c r="X81">
        <v>0.01</v>
      </c>
      <c r="Y81">
        <v>-22.53</v>
      </c>
      <c r="Z81" t="s">
        <v>3316</v>
      </c>
      <c r="AA81" t="s">
        <v>1095</v>
      </c>
      <c r="AB81" t="s">
        <v>3317</v>
      </c>
      <c r="AC81" t="s">
        <v>3318</v>
      </c>
      <c r="AD81" t="s">
        <v>24</v>
      </c>
      <c r="AE81">
        <v>47745637</v>
      </c>
      <c r="AF81" t="s">
        <v>3319</v>
      </c>
      <c r="AG81" t="s">
        <v>3320</v>
      </c>
      <c r="AH81" t="s">
        <v>3321</v>
      </c>
      <c r="AI81" t="s">
        <v>3322</v>
      </c>
      <c r="AJ81" t="s">
        <v>3323</v>
      </c>
      <c r="AK81" t="s">
        <v>24</v>
      </c>
      <c r="AL81" t="s">
        <v>3324</v>
      </c>
      <c r="AM81" t="s">
        <v>24</v>
      </c>
      <c r="AN81">
        <v>0</v>
      </c>
      <c r="AO81" t="s">
        <v>202</v>
      </c>
      <c r="AP81" t="s">
        <v>24</v>
      </c>
      <c r="AQ81" t="s">
        <v>3325</v>
      </c>
      <c r="AR81" t="s">
        <v>3326</v>
      </c>
      <c r="AS81" t="s">
        <v>3327</v>
      </c>
      <c r="AT81" t="s">
        <v>3328</v>
      </c>
      <c r="AU81" t="s">
        <v>1071</v>
      </c>
      <c r="AV81" t="s">
        <v>3329</v>
      </c>
      <c r="AW81" t="s">
        <v>3330</v>
      </c>
      <c r="AX81" t="s">
        <v>1489</v>
      </c>
      <c r="AY81" t="s">
        <v>941</v>
      </c>
      <c r="AZ81" t="s">
        <v>660</v>
      </c>
      <c r="BA81" t="s">
        <v>352</v>
      </c>
      <c r="BB81" t="s">
        <v>661</v>
      </c>
      <c r="BC81" t="s">
        <v>847</v>
      </c>
      <c r="BD81" t="s">
        <v>776</v>
      </c>
      <c r="BE81" t="s">
        <v>594</v>
      </c>
      <c r="BF81" t="s">
        <v>353</v>
      </c>
      <c r="BG81" t="s">
        <v>662</v>
      </c>
      <c r="BH81" t="s">
        <v>3331</v>
      </c>
      <c r="BI81" t="s">
        <v>3332</v>
      </c>
      <c r="BJ81" t="s">
        <v>1489</v>
      </c>
      <c r="BK81" t="s">
        <v>732</v>
      </c>
      <c r="BL81" t="s">
        <v>3333</v>
      </c>
      <c r="BM81" t="s">
        <v>847</v>
      </c>
      <c r="BN81">
        <v>0.15</v>
      </c>
      <c r="BO81">
        <v>3.91</v>
      </c>
      <c r="BP81">
        <v>2.42</v>
      </c>
      <c r="BQ81">
        <v>0.09</v>
      </c>
      <c r="BR81">
        <v>8.02</v>
      </c>
      <c r="BS81">
        <v>9.31</v>
      </c>
      <c r="BT81" t="s">
        <v>1115</v>
      </c>
      <c r="BU81" t="s">
        <v>1043</v>
      </c>
      <c r="BV81">
        <v>12.46</v>
      </c>
      <c r="BW81">
        <v>24.79</v>
      </c>
      <c r="BX81">
        <v>22.66</v>
      </c>
      <c r="BY81">
        <v>-2.65</v>
      </c>
      <c r="BZ81">
        <v>6.64</v>
      </c>
      <c r="CA81">
        <v>6.03</v>
      </c>
      <c r="CB81">
        <v>0</v>
      </c>
      <c r="CC81">
        <v>-33.33</v>
      </c>
      <c r="CD81" t="s">
        <v>3334</v>
      </c>
      <c r="CE81" t="s">
        <v>1370</v>
      </c>
      <c r="CF81" s="8">
        <v>6.8313616947961719</v>
      </c>
      <c r="CG81" s="9">
        <v>-5.6062308182055647</v>
      </c>
      <c r="CH81" s="8">
        <v>-0.96891587972640991</v>
      </c>
      <c r="CI81" s="8">
        <v>0.52002310752868652</v>
      </c>
      <c r="CJ81" s="8">
        <v>0.30882355570793152</v>
      </c>
      <c r="CK81" s="8">
        <v>-5.1332511007785797E-2</v>
      </c>
      <c r="CL81" s="8">
        <v>6.1515145003795624E-2</v>
      </c>
      <c r="CM81" s="9">
        <v>-2.9679300785064697</v>
      </c>
      <c r="CN81" s="9">
        <v>-9.0185679495334625E-2</v>
      </c>
      <c r="CO81" s="9">
        <v>0.14589665830135345</v>
      </c>
      <c r="CP81" s="9">
        <v>-0.22405660152435303</v>
      </c>
      <c r="CQ81" s="9">
        <v>9.5238098874688148E-3</v>
      </c>
      <c r="CR81">
        <v>9.4500098522167484</v>
      </c>
      <c r="CS81">
        <v>3.6377929385697483</v>
      </c>
      <c r="CT81">
        <v>0</v>
      </c>
      <c r="CU81" s="8">
        <v>-2.5977316498756408E-2</v>
      </c>
      <c r="CV81" s="9">
        <v>-0.62535037826746698</v>
      </c>
      <c r="CW81">
        <v>0.06</v>
      </c>
      <c r="CX81" t="e">
        <v>#VALUE!</v>
      </c>
      <c r="CY81" t="s">
        <v>849</v>
      </c>
      <c r="CZ81">
        <v>-2.5977316498756408E-2</v>
      </c>
      <c r="DA81" t="e">
        <v>#VALUE!</v>
      </c>
      <c r="DB81" t="s">
        <v>850</v>
      </c>
      <c r="DC81">
        <v>-2.4678450673818585E-2</v>
      </c>
      <c r="DD81" t="e">
        <v>#VALUE!</v>
      </c>
      <c r="DE81" t="s">
        <v>850</v>
      </c>
      <c r="DF81">
        <v>-2.286003851890564E-2</v>
      </c>
      <c r="DG81" t="e">
        <v>#VALUE!</v>
      </c>
      <c r="DH81" t="s">
        <v>850</v>
      </c>
      <c r="DI81">
        <v>-2.0781853199005128E-2</v>
      </c>
      <c r="DJ81" t="e">
        <v>#VALUE!</v>
      </c>
      <c r="DK81" t="s">
        <v>850</v>
      </c>
      <c r="DL81">
        <v>-1.8184121549129486E-2</v>
      </c>
      <c r="DM81">
        <v>-675000000</v>
      </c>
      <c r="DN81">
        <v>-2.5977316498756408E-2</v>
      </c>
      <c r="DO81">
        <v>27892352000.000004</v>
      </c>
      <c r="DP81">
        <v>11842541000</v>
      </c>
      <c r="DQ81">
        <v>3360</v>
      </c>
      <c r="DR81">
        <v>6.8573390112949282</v>
      </c>
      <c r="DS81">
        <v>-4.9808804399380975</v>
      </c>
      <c r="DT81" s="10">
        <v>-0.49</v>
      </c>
      <c r="DU81">
        <v>-1.7649999999999999</v>
      </c>
      <c r="DV81">
        <v>-2.2549999999999999</v>
      </c>
      <c r="DW81">
        <v>-3.1959940476190476</v>
      </c>
      <c r="DX81">
        <v>0.28466441176470514</v>
      </c>
      <c r="DY81">
        <v>-3.0244334826558124</v>
      </c>
      <c r="DZ81">
        <v>3181</v>
      </c>
      <c r="EA81">
        <v>-3.0092235201649826</v>
      </c>
      <c r="EB81">
        <v>3</v>
      </c>
      <c r="EC81">
        <v>9.8101597907667079E-2</v>
      </c>
      <c r="ED81">
        <v>0.7869254466368959</v>
      </c>
      <c r="EE81" s="11">
        <v>-1.1005099999999999</v>
      </c>
      <c r="EF81">
        <v>-1.1228100000000001</v>
      </c>
      <c r="EG81">
        <v>16.124664411764705</v>
      </c>
      <c r="EH81" t="s">
        <v>892</v>
      </c>
      <c r="EI81">
        <v>0</v>
      </c>
      <c r="EJ81">
        <v>0</v>
      </c>
      <c r="EK81" s="13">
        <v>45470</v>
      </c>
      <c r="EL81" s="14">
        <v>1.49</v>
      </c>
      <c r="EM81" s="14">
        <v>-3.66</v>
      </c>
      <c r="EN81" s="14">
        <v>0.76</v>
      </c>
      <c r="EO81" s="14">
        <v>1.51</v>
      </c>
      <c r="EP81" s="14">
        <v>-2.23</v>
      </c>
    </row>
    <row r="82" spans="1:146" ht="88.5" customHeight="1" x14ac:dyDescent="0.25">
      <c r="A82" s="7"/>
      <c r="B82" s="7"/>
      <c r="C82" s="16" t="str">
        <f>""&amp;CHAR(10)&amp;Basic_Fundamental_Information_Constructure(F82)&amp;CHAR(10)&amp;Basic_Fundamental_Information_Concatenate("")</f>
        <v xml:space="preserve">
市值154.23222亿, 利润917.87万; PE24.66; 平均PE13.09; 平均PEG2.12, PB1.06; ROIC2.5133%; ROE3.4867%; 股利率1.1067%; 毛利35.7167%; 净利7.1433%; 上一年度营收增103.6%, 利润增116.09%; 当季营收增-55.62%, 利润增-597.88%; 过往5年营收增-6.16%, 利润增-16.68%
Income profile:
</v>
      </c>
      <c r="D82" t="s">
        <v>354</v>
      </c>
      <c r="E82" t="s">
        <v>21</v>
      </c>
      <c r="F82">
        <v>2.5299999999999998</v>
      </c>
      <c r="G82">
        <v>0</v>
      </c>
      <c r="H82" t="s">
        <v>3335</v>
      </c>
      <c r="I82">
        <v>15423222000</v>
      </c>
      <c r="J82">
        <v>24.66</v>
      </c>
      <c r="K82">
        <v>1.06</v>
      </c>
      <c r="L82" t="s">
        <v>1589</v>
      </c>
      <c r="M82" t="s">
        <v>3336</v>
      </c>
      <c r="N82" t="s">
        <v>3337</v>
      </c>
      <c r="O82" t="s">
        <v>746</v>
      </c>
      <c r="P82">
        <v>18.04</v>
      </c>
      <c r="Q82" t="s">
        <v>3338</v>
      </c>
      <c r="R82">
        <v>-214354750</v>
      </c>
      <c r="S82" s="5">
        <v>0.24709999999999999</v>
      </c>
      <c r="T82" t="s">
        <v>3339</v>
      </c>
      <c r="U82">
        <v>6096135300</v>
      </c>
      <c r="V82">
        <v>6096135300</v>
      </c>
      <c r="W82">
        <v>3.49</v>
      </c>
      <c r="X82">
        <v>0.01</v>
      </c>
      <c r="Y82">
        <v>-45.46</v>
      </c>
      <c r="Z82" t="s">
        <v>3285</v>
      </c>
      <c r="AA82" t="s">
        <v>576</v>
      </c>
      <c r="AB82" t="s">
        <v>3340</v>
      </c>
      <c r="AC82" t="s">
        <v>3341</v>
      </c>
      <c r="AD82" t="s">
        <v>24</v>
      </c>
      <c r="AE82">
        <v>189328410</v>
      </c>
      <c r="AF82" t="s">
        <v>3342</v>
      </c>
      <c r="AG82" t="s">
        <v>3343</v>
      </c>
      <c r="AH82" t="s">
        <v>3344</v>
      </c>
      <c r="AI82" t="s">
        <v>3345</v>
      </c>
      <c r="AJ82" t="s">
        <v>3346</v>
      </c>
      <c r="AK82" t="s">
        <v>24</v>
      </c>
      <c r="AL82" t="s">
        <v>3347</v>
      </c>
      <c r="AM82" t="s">
        <v>24</v>
      </c>
      <c r="AN82" t="s">
        <v>3348</v>
      </c>
      <c r="AO82" t="s">
        <v>916</v>
      </c>
      <c r="AP82" t="s">
        <v>24</v>
      </c>
      <c r="AQ82" t="s">
        <v>3349</v>
      </c>
      <c r="AR82" t="s">
        <v>3350</v>
      </c>
      <c r="AS82" t="s">
        <v>3351</v>
      </c>
      <c r="AT82" t="s">
        <v>3352</v>
      </c>
      <c r="AU82" t="s">
        <v>3353</v>
      </c>
      <c r="AV82" t="s">
        <v>3354</v>
      </c>
      <c r="AW82" t="s">
        <v>3355</v>
      </c>
      <c r="AX82" t="s">
        <v>3191</v>
      </c>
      <c r="AY82" t="s">
        <v>942</v>
      </c>
      <c r="AZ82" t="s">
        <v>663</v>
      </c>
      <c r="BA82" t="s">
        <v>355</v>
      </c>
      <c r="BB82" t="s">
        <v>666</v>
      </c>
      <c r="BC82" t="s">
        <v>3356</v>
      </c>
      <c r="BD82" t="s">
        <v>208</v>
      </c>
      <c r="BE82" t="s">
        <v>664</v>
      </c>
      <c r="BF82" t="s">
        <v>356</v>
      </c>
      <c r="BG82" t="s">
        <v>667</v>
      </c>
      <c r="BH82" t="s">
        <v>3357</v>
      </c>
      <c r="BI82" t="s">
        <v>1461</v>
      </c>
      <c r="BJ82" t="s">
        <v>3191</v>
      </c>
      <c r="BK82" t="s">
        <v>2685</v>
      </c>
      <c r="BL82" t="s">
        <v>3358</v>
      </c>
      <c r="BM82" t="s">
        <v>3356</v>
      </c>
      <c r="BN82">
        <v>2.76</v>
      </c>
      <c r="BO82">
        <v>0.93</v>
      </c>
      <c r="BP82">
        <v>3.85</v>
      </c>
      <c r="BQ82">
        <v>5.29</v>
      </c>
      <c r="BR82">
        <v>0.15</v>
      </c>
      <c r="BS82">
        <v>5.0199999999999996</v>
      </c>
      <c r="BT82" t="s">
        <v>3140</v>
      </c>
      <c r="BU82" t="s">
        <v>1043</v>
      </c>
      <c r="BV82">
        <v>30.23</v>
      </c>
      <c r="BW82">
        <v>28.4</v>
      </c>
      <c r="BX82">
        <v>48.52</v>
      </c>
      <c r="BY82">
        <v>3.45</v>
      </c>
      <c r="BZ82">
        <v>5.66</v>
      </c>
      <c r="CA82">
        <v>12.32</v>
      </c>
      <c r="CB82">
        <v>2.4300000000000002</v>
      </c>
      <c r="CC82">
        <v>-21.67</v>
      </c>
      <c r="CD82" t="s">
        <v>327</v>
      </c>
      <c r="CE82" t="s">
        <v>1141</v>
      </c>
      <c r="CF82" s="8">
        <v>-0.55620155038759689</v>
      </c>
      <c r="CG82" s="9">
        <v>-5.9787613990421704</v>
      </c>
      <c r="CH82" s="8">
        <v>1.0359514951705933</v>
      </c>
      <c r="CI82" s="8">
        <v>-0.73335415124893188</v>
      </c>
      <c r="CJ82" s="8">
        <v>-0.16923479735851288</v>
      </c>
      <c r="CK82" s="8">
        <v>-0.1302514523267746</v>
      </c>
      <c r="CL82" s="8">
        <v>-0.31131389737129211</v>
      </c>
      <c r="CM82" s="9">
        <v>1.1609295606613159</v>
      </c>
      <c r="CN82" s="9">
        <v>-1.0708515644073486</v>
      </c>
      <c r="CO82" s="9">
        <v>-0.41582003235816956</v>
      </c>
      <c r="CP82" s="9">
        <v>-0.41111111640930176</v>
      </c>
      <c r="CQ82" s="9">
        <v>-9.7222223877906799E-2</v>
      </c>
      <c r="CR82">
        <v>13.094305489663773</v>
      </c>
      <c r="CS82">
        <v>2.1243001939751398</v>
      </c>
      <c r="CT82">
        <v>1.1067193675889331</v>
      </c>
      <c r="CU82" s="8">
        <v>-6.1640560626983643E-2</v>
      </c>
      <c r="CV82" s="9">
        <v>-0.16681507527828215</v>
      </c>
      <c r="CW82">
        <v>0.06</v>
      </c>
      <c r="CX82" t="e">
        <v>#VALUE!</v>
      </c>
      <c r="CY82" t="s">
        <v>908</v>
      </c>
      <c r="CZ82">
        <v>-6.1640560626983643E-2</v>
      </c>
      <c r="DA82">
        <v>1507.2658074309725</v>
      </c>
      <c r="DB82" t="s">
        <v>3359</v>
      </c>
      <c r="DC82">
        <v>-5.8558532595634455E-2</v>
      </c>
      <c r="DD82">
        <v>753.63290371548624</v>
      </c>
      <c r="DE82" t="s">
        <v>3360</v>
      </c>
      <c r="DF82">
        <v>-5.4243693351745607E-2</v>
      </c>
      <c r="DG82">
        <v>452.17974222929172</v>
      </c>
      <c r="DH82" t="s">
        <v>3361</v>
      </c>
      <c r="DI82">
        <v>-4.931244850158692E-2</v>
      </c>
      <c r="DJ82">
        <v>226.08987111464586</v>
      </c>
      <c r="DK82" t="s">
        <v>3362</v>
      </c>
      <c r="DL82">
        <v>-4.3148392438888544E-2</v>
      </c>
      <c r="DM82">
        <v>9178700</v>
      </c>
      <c r="DN82">
        <v>-6.1640560626983643E-2</v>
      </c>
      <c r="DO82">
        <v>41504222000</v>
      </c>
      <c r="DP82">
        <v>20129990000</v>
      </c>
      <c r="DQ82">
        <v>3367</v>
      </c>
      <c r="DR82">
        <v>-0.49456098976061325</v>
      </c>
      <c r="DS82">
        <v>-5.8119463237638884</v>
      </c>
      <c r="DT82" s="10">
        <v>-0.64</v>
      </c>
      <c r="DU82">
        <v>-1.5316666666666665</v>
      </c>
      <c r="DV82">
        <v>-2.1716666666666664</v>
      </c>
      <c r="DW82">
        <v>-3.0641250000000002</v>
      </c>
      <c r="DX82">
        <v>0.26048780487804979</v>
      </c>
      <c r="DY82">
        <v>-3.006443780487805</v>
      </c>
      <c r="DZ82">
        <v>1483</v>
      </c>
      <c r="EA82">
        <v>-3.0045736970311681</v>
      </c>
      <c r="EB82">
        <v>3</v>
      </c>
      <c r="EC82">
        <v>1.6895950455692806E-2</v>
      </c>
      <c r="ED82">
        <v>0.16813931278723424</v>
      </c>
      <c r="EE82" s="11">
        <v>0.1191</v>
      </c>
      <c r="EF82">
        <v>0.13059999999999999</v>
      </c>
      <c r="EG82">
        <v>16.10048780487805</v>
      </c>
      <c r="EH82" t="s">
        <v>863</v>
      </c>
      <c r="EI82">
        <v>0</v>
      </c>
      <c r="EJ82">
        <v>1</v>
      </c>
      <c r="EK82" s="13">
        <v>45470</v>
      </c>
      <c r="EL82" s="14">
        <v>-0.99</v>
      </c>
      <c r="EM82" s="14">
        <v>1.78</v>
      </c>
      <c r="EN82" s="14">
        <v>-0.55000000000000004</v>
      </c>
      <c r="EO82" s="14">
        <v>-0.05</v>
      </c>
      <c r="EP82" s="14">
        <v>1.1499999999999999</v>
      </c>
    </row>
    <row r="83" spans="1:146" ht="88.5" customHeight="1" x14ac:dyDescent="0.25">
      <c r="A83" s="7"/>
      <c r="B83" s="7"/>
      <c r="C83" s="16" t="str">
        <f>""&amp;CHAR(10)&amp;Basic_Fundamental_Information_Constructure(F83)&amp;CHAR(10)&amp;Basic_Fundamental_Information_Concatenate("")</f>
        <v xml:space="preserve">
市值27.631004亿, 利润-6295.91万; PE; 平均PE11.84; 平均PEG2.51, PB1.66; ROIC.78%; ROE-2.1533%; 股利率0%; 毛利16.1433%; 净利-.5867%; 上一年度营收增-41.07%, 利润增-131.17%; 当季营收增-87.88%, 利润增-47.48%; 过往5年营收增-4.72%, 利润增52.99%
Income profile:
</v>
      </c>
      <c r="D83" t="s">
        <v>357</v>
      </c>
      <c r="E83" t="s">
        <v>16</v>
      </c>
      <c r="F83">
        <v>3.73</v>
      </c>
      <c r="G83">
        <v>1.36</v>
      </c>
      <c r="H83" t="s">
        <v>3363</v>
      </c>
      <c r="I83">
        <v>2763100400</v>
      </c>
      <c r="K83">
        <v>1.66</v>
      </c>
      <c r="L83" t="s">
        <v>1589</v>
      </c>
      <c r="M83" t="s">
        <v>3364</v>
      </c>
      <c r="N83" t="s">
        <v>3365</v>
      </c>
      <c r="O83" t="s">
        <v>3287</v>
      </c>
      <c r="P83">
        <v>-91.96</v>
      </c>
      <c r="Q83" t="s">
        <v>3366</v>
      </c>
      <c r="R83">
        <v>-75392508</v>
      </c>
      <c r="S83" s="5">
        <v>-1.61</v>
      </c>
      <c r="T83" t="s">
        <v>3367</v>
      </c>
      <c r="U83">
        <v>740777600</v>
      </c>
      <c r="V83">
        <v>740777600</v>
      </c>
      <c r="W83">
        <v>6.47</v>
      </c>
      <c r="X83">
        <v>0</v>
      </c>
      <c r="Y83">
        <v>-38.409999999999997</v>
      </c>
      <c r="Z83" t="s">
        <v>1217</v>
      </c>
      <c r="AA83" t="s">
        <v>1315</v>
      </c>
      <c r="AB83" t="s">
        <v>3368</v>
      </c>
      <c r="AC83" t="s">
        <v>3369</v>
      </c>
      <c r="AD83" t="s">
        <v>24</v>
      </c>
      <c r="AE83">
        <v>52297652</v>
      </c>
      <c r="AF83" t="s">
        <v>3370</v>
      </c>
      <c r="AG83" t="s">
        <v>3371</v>
      </c>
      <c r="AH83" t="s">
        <v>3372</v>
      </c>
      <c r="AI83" t="s">
        <v>3373</v>
      </c>
      <c r="AJ83" t="s">
        <v>3374</v>
      </c>
      <c r="AK83" t="s">
        <v>24</v>
      </c>
      <c r="AL83" t="s">
        <v>3375</v>
      </c>
      <c r="AM83" t="s">
        <v>24</v>
      </c>
      <c r="AN83">
        <v>0</v>
      </c>
      <c r="AO83" t="s">
        <v>24</v>
      </c>
      <c r="AP83" t="s">
        <v>24</v>
      </c>
      <c r="AQ83" t="s">
        <v>3376</v>
      </c>
      <c r="AR83" t="s">
        <v>3377</v>
      </c>
      <c r="AS83" t="s">
        <v>3378</v>
      </c>
      <c r="AT83" t="s">
        <v>3379</v>
      </c>
      <c r="AU83" t="s">
        <v>3380</v>
      </c>
      <c r="AV83" t="s">
        <v>3381</v>
      </c>
      <c r="AW83" t="s">
        <v>1455</v>
      </c>
      <c r="AX83" t="s">
        <v>1493</v>
      </c>
      <c r="AY83" t="s">
        <v>943</v>
      </c>
      <c r="AZ83" t="s">
        <v>668</v>
      </c>
      <c r="BA83" t="s">
        <v>358</v>
      </c>
      <c r="BB83" t="s">
        <v>669</v>
      </c>
      <c r="BC83" t="s">
        <v>1124</v>
      </c>
      <c r="BD83" t="s">
        <v>594</v>
      </c>
      <c r="BE83" t="s">
        <v>279</v>
      </c>
      <c r="BF83" t="s">
        <v>359</v>
      </c>
      <c r="BG83" t="s">
        <v>165</v>
      </c>
      <c r="BH83" t="s">
        <v>3382</v>
      </c>
      <c r="BI83" t="s">
        <v>3383</v>
      </c>
      <c r="BJ83" t="s">
        <v>1493</v>
      </c>
      <c r="BK83" t="s">
        <v>3384</v>
      </c>
      <c r="BL83" t="s">
        <v>3385</v>
      </c>
      <c r="BM83" t="s">
        <v>1124</v>
      </c>
      <c r="BN83">
        <v>0.73</v>
      </c>
      <c r="BO83">
        <v>0.5</v>
      </c>
      <c r="BP83">
        <v>1.1100000000000001</v>
      </c>
      <c r="BQ83">
        <v>-6.21</v>
      </c>
      <c r="BR83">
        <v>-4.09</v>
      </c>
      <c r="BS83">
        <v>3.84</v>
      </c>
      <c r="BT83" t="s">
        <v>1115</v>
      </c>
      <c r="BU83" t="s">
        <v>1043</v>
      </c>
      <c r="BV83">
        <v>7.6</v>
      </c>
      <c r="BW83">
        <v>19.54</v>
      </c>
      <c r="BX83">
        <v>21.29</v>
      </c>
      <c r="BY83">
        <v>-9.8699999999999992</v>
      </c>
      <c r="BZ83">
        <v>3.19</v>
      </c>
      <c r="CA83">
        <v>4.92</v>
      </c>
      <c r="CB83">
        <v>0</v>
      </c>
      <c r="CC83">
        <v>-18.91</v>
      </c>
      <c r="CD83" t="s">
        <v>3386</v>
      </c>
      <c r="CE83" t="s">
        <v>575</v>
      </c>
      <c r="CF83" s="8">
        <v>-0.87884524372929484</v>
      </c>
      <c r="CG83" s="9">
        <v>-0.47477393029142395</v>
      </c>
      <c r="CH83" s="8">
        <v>-0.41066282987594604</v>
      </c>
      <c r="CI83" s="8">
        <v>-0.17942656576633453</v>
      </c>
      <c r="CJ83" s="8">
        <v>-0.23668770492076874</v>
      </c>
      <c r="CK83" s="8">
        <v>1.0480591058731079</v>
      </c>
      <c r="CL83" s="8">
        <v>-0.45730409026145935</v>
      </c>
      <c r="CM83" s="9">
        <v>-1.3116787672042847</v>
      </c>
      <c r="CN83" s="9">
        <v>-0.38601824641227722</v>
      </c>
      <c r="CO83" s="9">
        <v>-0.33802816271781921</v>
      </c>
      <c r="CP83" s="9">
        <v>5.4705195426940918</v>
      </c>
      <c r="CQ83" s="9">
        <v>-0.78544718027114868</v>
      </c>
      <c r="CR83">
        <v>11.843120995466089</v>
      </c>
      <c r="CS83">
        <v>2.5089010204076247</v>
      </c>
      <c r="CT83">
        <v>0</v>
      </c>
      <c r="CU83" s="8">
        <v>-4.7204416990280149E-2</v>
      </c>
      <c r="CV83" s="9">
        <v>0.5298694372177124</v>
      </c>
      <c r="CW83">
        <v>0.06</v>
      </c>
      <c r="CX83" t="e">
        <v>#VALUE!</v>
      </c>
      <c r="CY83" t="s">
        <v>849</v>
      </c>
      <c r="CZ83">
        <v>-4.7204416990280149E-2</v>
      </c>
      <c r="DA83" t="e">
        <v>#VALUE!</v>
      </c>
      <c r="DB83" t="s">
        <v>850</v>
      </c>
      <c r="DC83">
        <v>-4.4844196140766138E-2</v>
      </c>
      <c r="DD83" t="e">
        <v>#VALUE!</v>
      </c>
      <c r="DE83" t="s">
        <v>850</v>
      </c>
      <c r="DF83">
        <v>-4.1539886951446531E-2</v>
      </c>
      <c r="DG83" t="e">
        <v>#VALUE!</v>
      </c>
      <c r="DH83" t="s">
        <v>850</v>
      </c>
      <c r="DI83">
        <v>-3.7763533592224119E-2</v>
      </c>
      <c r="DJ83" t="e">
        <v>#VALUE!</v>
      </c>
      <c r="DK83" t="s">
        <v>850</v>
      </c>
      <c r="DL83">
        <v>-3.3043091893196104E-2</v>
      </c>
      <c r="DM83">
        <v>-62959100</v>
      </c>
      <c r="DN83">
        <v>-4.7204416990280149E-2</v>
      </c>
      <c r="DO83">
        <v>43596100400</v>
      </c>
      <c r="DP83">
        <v>29391062000</v>
      </c>
      <c r="DQ83">
        <v>3373</v>
      </c>
      <c r="DR83">
        <v>-0.83164082673901474</v>
      </c>
      <c r="DS83">
        <v>-1.0046433675091364</v>
      </c>
      <c r="DT83" s="10">
        <v>-0.75666666666666671</v>
      </c>
      <c r="DU83">
        <v>-1.5650000000000002</v>
      </c>
      <c r="DV83">
        <v>-2.3216666666666668</v>
      </c>
      <c r="DW83">
        <v>-3.0329107142857143</v>
      </c>
      <c r="DX83">
        <v>0.33313287401574865</v>
      </c>
      <c r="DY83">
        <v>-3.0040523908359109</v>
      </c>
      <c r="DZ83">
        <v>3210</v>
      </c>
      <c r="EA83">
        <v>-3.0015067598020022</v>
      </c>
      <c r="EB83">
        <v>3</v>
      </c>
      <c r="EC83">
        <v>8.4440323249515101E-2</v>
      </c>
      <c r="ED83">
        <v>0.68576587628999586</v>
      </c>
      <c r="EE83" s="11">
        <v>-3.0274999999999999</v>
      </c>
      <c r="EF83">
        <v>-3.0037099999999999</v>
      </c>
      <c r="EG83">
        <v>21.123132874015749</v>
      </c>
      <c r="EH83" t="s">
        <v>878</v>
      </c>
      <c r="EI83">
        <v>0</v>
      </c>
      <c r="EJ83">
        <v>0</v>
      </c>
      <c r="EK83" s="13">
        <v>45470</v>
      </c>
      <c r="EL83" s="14">
        <v>0.78</v>
      </c>
      <c r="EM83" s="14">
        <v>-4.6500000000000004</v>
      </c>
      <c r="EN83" s="14">
        <v>0.61</v>
      </c>
      <c r="EO83" s="14">
        <v>3.64</v>
      </c>
      <c r="EP83" s="14">
        <v>-3.12</v>
      </c>
    </row>
    <row r="84" spans="1:146" ht="88.5" customHeight="1" x14ac:dyDescent="0.25">
      <c r="C84" s="16" t="str">
        <f>""&amp;CHAR(10)&amp;Basic_Fundamental_Information_Constructure(F84)&amp;CHAR(10)&amp;Basic_Fundamental_Information_Concatenate("")</f>
        <v xml:space="preserve">
市值22.616709亿, 利润4806.76万; PE; 平均PE-8.02; 平均PEG-.15, PB5.12; ROIC-1.51%; ROE-53.9367%; 股利率0%; 毛利23.1533%; 净利-18.5467%; 上一年度营收增217.83%, 利润增102.67%; 当季营收增-83.04%, 利润增90.48%; 过往5年营收增53.31%, 利润增-337.61%
Income profile:
</v>
      </c>
      <c r="D84" t="s">
        <v>3387</v>
      </c>
      <c r="E84" t="s">
        <v>3388</v>
      </c>
      <c r="F84">
        <v>2.65</v>
      </c>
      <c r="G84">
        <v>1.92</v>
      </c>
      <c r="H84" t="s">
        <v>3389</v>
      </c>
      <c r="I84">
        <v>2261670900</v>
      </c>
      <c r="K84">
        <v>5.12</v>
      </c>
      <c r="L84" t="s">
        <v>1589</v>
      </c>
      <c r="M84" t="s">
        <v>3177</v>
      </c>
      <c r="N84" t="s">
        <v>1459</v>
      </c>
      <c r="O84" t="s">
        <v>217</v>
      </c>
      <c r="P84" s="5">
        <v>-84.74</v>
      </c>
      <c r="Q84" t="s">
        <v>3390</v>
      </c>
      <c r="R84">
        <v>-2538447</v>
      </c>
      <c r="S84">
        <v>0.95030000000000003</v>
      </c>
      <c r="T84" t="s">
        <v>3391</v>
      </c>
      <c r="U84">
        <v>853460720</v>
      </c>
      <c r="V84">
        <v>853460720</v>
      </c>
      <c r="W84">
        <v>4.83</v>
      </c>
      <c r="X84">
        <v>0.12</v>
      </c>
      <c r="Y84">
        <v>-0.61</v>
      </c>
      <c r="Z84" t="s">
        <v>3392</v>
      </c>
      <c r="AA84" t="s">
        <v>1318</v>
      </c>
      <c r="AB84" t="s">
        <v>3393</v>
      </c>
      <c r="AC84" t="s">
        <v>3394</v>
      </c>
      <c r="AD84" t="s">
        <v>24</v>
      </c>
      <c r="AE84">
        <v>6498485</v>
      </c>
      <c r="AF84" t="s">
        <v>3395</v>
      </c>
      <c r="AG84" t="s">
        <v>2704</v>
      </c>
      <c r="AH84" t="s">
        <v>3396</v>
      </c>
      <c r="AI84" t="s">
        <v>1083</v>
      </c>
      <c r="AJ84" t="s">
        <v>3397</v>
      </c>
      <c r="AK84" t="s">
        <v>24</v>
      </c>
      <c r="AL84" t="s">
        <v>3398</v>
      </c>
      <c r="AM84" t="s">
        <v>24</v>
      </c>
      <c r="AN84" t="s">
        <v>3399</v>
      </c>
      <c r="AO84" t="s">
        <v>24</v>
      </c>
      <c r="AP84" t="s">
        <v>24</v>
      </c>
      <c r="AQ84" t="s">
        <v>376</v>
      </c>
      <c r="AR84" t="s">
        <v>3400</v>
      </c>
      <c r="AS84" t="s">
        <v>1382</v>
      </c>
      <c r="AT84" t="s">
        <v>24</v>
      </c>
      <c r="AU84" t="s">
        <v>3401</v>
      </c>
      <c r="AV84" t="s">
        <v>3402</v>
      </c>
      <c r="AW84" t="s">
        <v>3403</v>
      </c>
      <c r="AX84" t="s">
        <v>3404</v>
      </c>
      <c r="AY84" t="s">
        <v>3405</v>
      </c>
      <c r="AZ84" t="s">
        <v>3406</v>
      </c>
      <c r="BA84" t="s">
        <v>360</v>
      </c>
      <c r="BB84" t="s">
        <v>3407</v>
      </c>
      <c r="BC84" t="s">
        <v>3408</v>
      </c>
      <c r="BD84" t="s">
        <v>125</v>
      </c>
      <c r="BE84" t="s">
        <v>3409</v>
      </c>
      <c r="BF84" t="s">
        <v>155</v>
      </c>
      <c r="BG84" t="s">
        <v>262</v>
      </c>
      <c r="BH84" t="s">
        <v>3366</v>
      </c>
      <c r="BI84" t="s">
        <v>3410</v>
      </c>
      <c r="BJ84" t="s">
        <v>3404</v>
      </c>
      <c r="BK84" t="s">
        <v>3367</v>
      </c>
      <c r="BL84" t="s">
        <v>3411</v>
      </c>
      <c r="BM84" t="s">
        <v>3408</v>
      </c>
      <c r="BN84">
        <v>-3.64</v>
      </c>
      <c r="BO84" t="s">
        <v>24</v>
      </c>
      <c r="BP84">
        <v>0.62</v>
      </c>
      <c r="BQ84">
        <v>-14.2</v>
      </c>
      <c r="BR84">
        <v>-150.68</v>
      </c>
      <c r="BS84">
        <v>3.07</v>
      </c>
      <c r="BT84" t="s">
        <v>1115</v>
      </c>
      <c r="BU84" t="s">
        <v>2210</v>
      </c>
      <c r="BV84">
        <v>16.75</v>
      </c>
      <c r="BW84">
        <v>13.4</v>
      </c>
      <c r="BX84">
        <v>39.31</v>
      </c>
      <c r="BY84">
        <v>-0.47</v>
      </c>
      <c r="BZ84">
        <v>-55.88</v>
      </c>
      <c r="CA84">
        <v>0.71</v>
      </c>
      <c r="CB84">
        <v>0.76</v>
      </c>
      <c r="CC84" s="8">
        <v>-18.96</v>
      </c>
      <c r="CD84" s="9" t="s">
        <v>3412</v>
      </c>
      <c r="CE84" s="8" t="s">
        <v>3413</v>
      </c>
      <c r="CF84" s="8">
        <v>-0.83043707214323326</v>
      </c>
      <c r="CG84" s="8">
        <v>0.90480407267817964</v>
      </c>
      <c r="CH84" s="8">
        <v>2.1783463954925537</v>
      </c>
      <c r="CI84" s="8">
        <v>6.2983930110931396E-2</v>
      </c>
      <c r="CJ84" s="9">
        <v>0.40311205387115479</v>
      </c>
      <c r="CK84" s="9">
        <v>0.15535961091518402</v>
      </c>
      <c r="CL84" s="9">
        <v>-0.1342143714427948</v>
      </c>
      <c r="CM84" s="9">
        <v>1.0267338752746582</v>
      </c>
      <c r="CN84" s="9">
        <v>-15.617885589599609</v>
      </c>
      <c r="CO84">
        <v>1.2325141429901123</v>
      </c>
      <c r="CP84">
        <v>-3.4155251979827881</v>
      </c>
      <c r="CQ84">
        <v>-0.1061224490404129</v>
      </c>
      <c r="CR84" s="8">
        <v>-8.0204300124520351</v>
      </c>
      <c r="CS84" s="9">
        <v>-0.15044393880438822</v>
      </c>
      <c r="CT84">
        <v>0</v>
      </c>
      <c r="CU84">
        <v>0.5331175237894058</v>
      </c>
      <c r="CV84">
        <v>-3.376057043671608</v>
      </c>
      <c r="CW84">
        <v>0.06</v>
      </c>
      <c r="CX84">
        <v>61.817456910810634</v>
      </c>
      <c r="CY84">
        <v>69521962.157075137</v>
      </c>
      <c r="CZ84">
        <v>0.5331175237894058</v>
      </c>
      <c r="DA84">
        <v>14.166105647967504</v>
      </c>
      <c r="DB84">
        <v>303377018.83626801</v>
      </c>
      <c r="DC84">
        <v>0.5064616475999355</v>
      </c>
      <c r="DD84">
        <v>4.0896568497471364</v>
      </c>
      <c r="DE84">
        <v>1050863448.4249516</v>
      </c>
      <c r="DF84">
        <v>0.46914342093467709</v>
      </c>
      <c r="DG84">
        <v>1.2428563350869251</v>
      </c>
      <c r="DH84">
        <v>3457898373.8288803</v>
      </c>
      <c r="DI84">
        <v>0.42649401903152467</v>
      </c>
      <c r="DJ84">
        <v>0.11573405906713477</v>
      </c>
      <c r="DK84">
        <v>37134020310.365303</v>
      </c>
      <c r="DL84">
        <v>0.37318226665258403</v>
      </c>
      <c r="DM84">
        <v>48067600</v>
      </c>
      <c r="DN84">
        <v>0.5331175237894058</v>
      </c>
      <c r="DO84">
        <v>4297670900</v>
      </c>
      <c r="DP84">
        <v>157326000.00000024</v>
      </c>
      <c r="DQ84" s="10">
        <v>3374</v>
      </c>
      <c r="DR84">
        <v>-1.3635545959326389</v>
      </c>
      <c r="DS84">
        <v>4.2808611163497874</v>
      </c>
      <c r="DT84">
        <v>0.10999999999999995</v>
      </c>
      <c r="DU84">
        <v>-1.665</v>
      </c>
      <c r="DV84">
        <v>-1.5550000000000002</v>
      </c>
      <c r="DW84">
        <v>-3.0334761904761907</v>
      </c>
      <c r="DX84">
        <v>0.24424298440979875</v>
      </c>
      <c r="DY84">
        <v>-3.0041591818114326</v>
      </c>
      <c r="DZ84">
        <v>4411</v>
      </c>
      <c r="EA84">
        <v>-3.0005689370031687</v>
      </c>
      <c r="EB84" s="11">
        <v>3</v>
      </c>
      <c r="EC84" s="11">
        <v>6.5363406531468729E-2</v>
      </c>
      <c r="ED84">
        <v>0.52609333912871814</v>
      </c>
      <c r="EE84">
        <v>2.5000000000000001E-3</v>
      </c>
      <c r="EF84">
        <v>1.8510000000000002E-2</v>
      </c>
      <c r="EG84">
        <v>12.124242984409799</v>
      </c>
      <c r="EH84" s="13">
        <v>-1</v>
      </c>
      <c r="EI84">
        <v>0</v>
      </c>
      <c r="EJ84">
        <v>0</v>
      </c>
      <c r="EK84">
        <v>45470</v>
      </c>
      <c r="EL84">
        <v>0.51</v>
      </c>
      <c r="EM84">
        <v>-4.8499999999999996</v>
      </c>
      <c r="EN84" s="14">
        <v>1.61</v>
      </c>
      <c r="EO84" s="14">
        <v>0.53</v>
      </c>
      <c r="EP84" s="14">
        <v>-2.1</v>
      </c>
    </row>
    <row r="85" spans="1:146" ht="88.5" customHeight="1" x14ac:dyDescent="0.25">
      <c r="A85" s="7"/>
      <c r="B85" s="7"/>
      <c r="C85" s="16" t="str">
        <f>""&amp;CHAR(10)&amp;Basic_Fundamental_Information_Constructure(F85)&amp;CHAR(10)&amp;Basic_Fundamental_Information_Concatenate("")</f>
        <v xml:space="preserve">
市值18.362084亿, 利润3504.54万; PE83.56; 平均PE49.83; 平均PEG2.09, PB1.98; ROIC2%; ROE1.1467%; 股利率0%; 毛利8.0367%; 净利1.13%; 上一年度营收增53.96%, 利润增665.12%; 当季营收增-75%, 利润增-99.93%; 过往5年营收增23.85%, 利润增120.81%
Income profile:
</v>
      </c>
      <c r="D85" t="s">
        <v>362</v>
      </c>
      <c r="E85" t="s">
        <v>12</v>
      </c>
      <c r="F85">
        <v>5.22</v>
      </c>
      <c r="G85">
        <v>-0.56999999999999995</v>
      </c>
      <c r="H85" t="s">
        <v>3414</v>
      </c>
      <c r="I85">
        <v>1836208400</v>
      </c>
      <c r="J85">
        <v>83.56</v>
      </c>
      <c r="K85">
        <v>1.98</v>
      </c>
      <c r="L85" t="s">
        <v>1589</v>
      </c>
      <c r="M85" t="s">
        <v>3415</v>
      </c>
      <c r="N85" t="s">
        <v>3416</v>
      </c>
      <c r="O85" t="s">
        <v>1407</v>
      </c>
      <c r="P85">
        <v>-54.25</v>
      </c>
      <c r="Q85" t="s">
        <v>1065</v>
      </c>
      <c r="R85">
        <v>21752</v>
      </c>
      <c r="S85" s="5">
        <v>1.0009999999999999</v>
      </c>
      <c r="T85" t="s">
        <v>3417</v>
      </c>
      <c r="U85">
        <v>255010520</v>
      </c>
      <c r="V85">
        <v>351764060</v>
      </c>
      <c r="W85">
        <v>2.72</v>
      </c>
      <c r="X85">
        <v>0.04</v>
      </c>
      <c r="Y85">
        <v>-2.58</v>
      </c>
      <c r="Z85" t="s">
        <v>1351</v>
      </c>
      <c r="AA85" t="s">
        <v>701</v>
      </c>
      <c r="AB85" t="s">
        <v>3418</v>
      </c>
      <c r="AC85" t="s">
        <v>3419</v>
      </c>
      <c r="AD85" t="s">
        <v>24</v>
      </c>
      <c r="AE85">
        <v>4046133</v>
      </c>
      <c r="AF85" t="s">
        <v>3420</v>
      </c>
      <c r="AG85" t="s">
        <v>3421</v>
      </c>
      <c r="AH85" t="s">
        <v>3422</v>
      </c>
      <c r="AI85" t="s">
        <v>3423</v>
      </c>
      <c r="AJ85" t="s">
        <v>3424</v>
      </c>
      <c r="AK85" t="s">
        <v>3425</v>
      </c>
      <c r="AL85" t="s">
        <v>3426</v>
      </c>
      <c r="AM85" t="s">
        <v>24</v>
      </c>
      <c r="AN85" t="s">
        <v>3427</v>
      </c>
      <c r="AO85" t="s">
        <v>1232</v>
      </c>
      <c r="AP85" t="s">
        <v>24</v>
      </c>
      <c r="AQ85" t="s">
        <v>417</v>
      </c>
      <c r="AR85" t="s">
        <v>3428</v>
      </c>
      <c r="AS85" t="s">
        <v>691</v>
      </c>
      <c r="AT85" t="s">
        <v>327</v>
      </c>
      <c r="AU85" t="s">
        <v>3429</v>
      </c>
      <c r="AV85" t="s">
        <v>3430</v>
      </c>
      <c r="AW85" t="s">
        <v>3431</v>
      </c>
      <c r="AX85" t="s">
        <v>1587</v>
      </c>
      <c r="AY85" t="s">
        <v>944</v>
      </c>
      <c r="AZ85" t="s">
        <v>565</v>
      </c>
      <c r="BA85" t="s">
        <v>363</v>
      </c>
      <c r="BB85" t="s">
        <v>672</v>
      </c>
      <c r="BC85" t="s">
        <v>1588</v>
      </c>
      <c r="BD85" t="s">
        <v>945</v>
      </c>
      <c r="BE85" t="s">
        <v>671</v>
      </c>
      <c r="BF85" t="s">
        <v>364</v>
      </c>
      <c r="BG85" t="s">
        <v>674</v>
      </c>
      <c r="BH85" t="s">
        <v>3432</v>
      </c>
      <c r="BI85" t="s">
        <v>2331</v>
      </c>
      <c r="BJ85" t="s">
        <v>1587</v>
      </c>
      <c r="BK85" t="s">
        <v>3433</v>
      </c>
      <c r="BL85" t="s">
        <v>3434</v>
      </c>
      <c r="BM85" t="s">
        <v>1588</v>
      </c>
      <c r="BN85" t="s">
        <v>24</v>
      </c>
      <c r="BO85">
        <v>0.65</v>
      </c>
      <c r="BP85">
        <v>3.35</v>
      </c>
      <c r="BQ85">
        <v>-2.1</v>
      </c>
      <c r="BR85">
        <v>0.49</v>
      </c>
      <c r="BS85">
        <v>5.05</v>
      </c>
      <c r="BT85" t="s">
        <v>1115</v>
      </c>
      <c r="BU85" t="s">
        <v>1043</v>
      </c>
      <c r="BV85">
        <v>7.45</v>
      </c>
      <c r="BW85">
        <v>8.1199999999999992</v>
      </c>
      <c r="BX85">
        <v>8.5399999999999991</v>
      </c>
      <c r="BY85">
        <v>-0.24</v>
      </c>
      <c r="BZ85">
        <v>0.63</v>
      </c>
      <c r="CA85">
        <v>3</v>
      </c>
      <c r="CB85">
        <v>-1.1399999999999999</v>
      </c>
      <c r="CC85">
        <v>-3.33</v>
      </c>
      <c r="CD85" t="s">
        <v>1313</v>
      </c>
      <c r="CE85" t="s">
        <v>2835</v>
      </c>
      <c r="CF85" s="8">
        <v>-0.75</v>
      </c>
      <c r="CG85" s="9">
        <v>-0.99932124691858837</v>
      </c>
      <c r="CH85" s="8">
        <v>0.53959190845489502</v>
      </c>
      <c r="CI85" s="8">
        <v>-0.18658702075481415</v>
      </c>
      <c r="CJ85" s="8">
        <v>0.50149554014205933</v>
      </c>
      <c r="CK85" s="8">
        <v>0.16627906262874603</v>
      </c>
      <c r="CL85" s="8">
        <v>0.17166212201118469</v>
      </c>
      <c r="CM85" s="9">
        <v>6.6511659622192383</v>
      </c>
      <c r="CN85" s="9">
        <v>-0.89957666397094727</v>
      </c>
      <c r="CO85" s="9">
        <v>-0.22248095273971558</v>
      </c>
      <c r="CP85" s="9">
        <v>0.71753102540969849</v>
      </c>
      <c r="CQ85" s="9">
        <v>-0.20626483857631683</v>
      </c>
      <c r="CR85">
        <v>49.832803143416335</v>
      </c>
      <c r="CS85">
        <v>2.0895280163734475</v>
      </c>
      <c r="CT85">
        <v>0</v>
      </c>
      <c r="CU85" s="8">
        <v>0.23848832249641419</v>
      </c>
      <c r="CV85" s="9">
        <v>1.2080749064683913</v>
      </c>
      <c r="CW85">
        <v>0.06</v>
      </c>
      <c r="CX85">
        <v>48.043351718528719</v>
      </c>
      <c r="CY85">
        <v>40946527.035109282</v>
      </c>
      <c r="CZ85">
        <v>0.23848832249641419</v>
      </c>
      <c r="DA85">
        <v>13.87558556934113</v>
      </c>
      <c r="DB85">
        <v>141774802.2358534</v>
      </c>
      <c r="DC85">
        <v>0.22656390637159346</v>
      </c>
      <c r="DD85">
        <v>5.7416459658771535</v>
      </c>
      <c r="DE85">
        <v>342620985.63568765</v>
      </c>
      <c r="DF85">
        <v>0.20986972379684449</v>
      </c>
      <c r="DG85">
        <v>2.8010848840397928</v>
      </c>
      <c r="DH85">
        <v>702302315.50956929</v>
      </c>
      <c r="DI85">
        <v>0.19079065799713135</v>
      </c>
      <c r="DJ85">
        <v>0.88130572830192</v>
      </c>
      <c r="DK85">
        <v>2232152063.4960275</v>
      </c>
      <c r="DL85">
        <v>0.16694182574748992</v>
      </c>
      <c r="DM85">
        <v>35045400</v>
      </c>
      <c r="DN85">
        <v>0.23848832249641419</v>
      </c>
      <c r="DO85">
        <v>1967208400</v>
      </c>
      <c r="DP85">
        <v>925186400</v>
      </c>
      <c r="DQ85">
        <v>3381</v>
      </c>
      <c r="DR85">
        <v>-0.98848832249641416</v>
      </c>
      <c r="DS85">
        <v>-2.2073961533869797</v>
      </c>
      <c r="DT85" s="10">
        <v>-7.3333333333333403E-2</v>
      </c>
      <c r="DU85">
        <v>-0.44000000000000011</v>
      </c>
      <c r="DV85">
        <v>-0.51333333333333353</v>
      </c>
      <c r="DW85">
        <v>-1.0333000000000001</v>
      </c>
      <c r="DX85">
        <v>0.46208333333333285</v>
      </c>
      <c r="DY85">
        <v>-1.011724375</v>
      </c>
      <c r="DZ85">
        <v>4807</v>
      </c>
      <c r="EA85">
        <v>-1.0006952026663405</v>
      </c>
      <c r="EB85">
        <v>1</v>
      </c>
      <c r="EC85">
        <v>0.48043566474642124</v>
      </c>
      <c r="ED85">
        <v>1.3645510004632082</v>
      </c>
      <c r="EE85" s="11">
        <v>-2.1343999999999999</v>
      </c>
      <c r="EF85">
        <v>-2.1173999999999999</v>
      </c>
      <c r="EG85">
        <v>11.352083333333333</v>
      </c>
      <c r="EH85" t="s">
        <v>1702</v>
      </c>
      <c r="EI85">
        <v>0</v>
      </c>
      <c r="EJ85">
        <v>0</v>
      </c>
      <c r="EK85" s="13">
        <v>45470</v>
      </c>
      <c r="EL85" s="14">
        <v>-3.41</v>
      </c>
      <c r="EM85" s="14">
        <v>-0.59</v>
      </c>
      <c r="EN85" s="14">
        <v>-0.59</v>
      </c>
      <c r="EO85" s="14">
        <v>4.76</v>
      </c>
      <c r="EP85" s="14">
        <v>-1.7</v>
      </c>
    </row>
    <row r="86" spans="1:146" ht="88.5" customHeight="1" x14ac:dyDescent="0.25">
      <c r="A86" s="7"/>
      <c r="B86" s="7"/>
      <c r="C86" s="16" t="str">
        <f>""&amp;CHAR(10)&amp;Basic_Fundamental_Information_Constructure(F86)&amp;CHAR(10)&amp;Basic_Fundamental_Information_Concatenate("")</f>
        <v xml:space="preserve">
市值40.115461亿, 利润10.30亿; PE116.6; 平均PE7.54; 平均PEG.06, PB.371; ROIC1.1267%; ROE-.23%; 股利率.2778%; 毛利17.7267%; 净利1.3933%; 上一年度营收增643.49%, 利润增1911.35%; 当季营收增-93.7%, 利润增-96.74%; 过往5年营收增131.05%, 利润增341.42%
Income profile:
</v>
      </c>
      <c r="D86" t="s">
        <v>365</v>
      </c>
      <c r="E86" t="s">
        <v>1063</v>
      </c>
      <c r="F86">
        <v>1.8</v>
      </c>
      <c r="G86">
        <v>0.56000000000000005</v>
      </c>
      <c r="H86" t="s">
        <v>3435</v>
      </c>
      <c r="I86">
        <v>4011546100</v>
      </c>
      <c r="J86">
        <v>116.6</v>
      </c>
      <c r="K86">
        <v>0.371</v>
      </c>
      <c r="L86" t="s">
        <v>1589</v>
      </c>
      <c r="M86" t="s">
        <v>3436</v>
      </c>
      <c r="N86" t="s">
        <v>3437</v>
      </c>
      <c r="O86" t="s">
        <v>1799</v>
      </c>
      <c r="P86">
        <v>-3.11</v>
      </c>
      <c r="Q86" t="s">
        <v>3438</v>
      </c>
      <c r="R86">
        <v>8235700</v>
      </c>
      <c r="S86" s="5">
        <v>7.2599999999999998E-2</v>
      </c>
      <c r="T86" t="s">
        <v>1359</v>
      </c>
      <c r="U86">
        <v>2225277800</v>
      </c>
      <c r="V86">
        <v>2228636700</v>
      </c>
      <c r="W86">
        <v>5.5</v>
      </c>
      <c r="X86">
        <v>0.03</v>
      </c>
      <c r="Y86">
        <v>0.12</v>
      </c>
      <c r="Z86" t="s">
        <v>3439</v>
      </c>
      <c r="AA86" t="s">
        <v>2235</v>
      </c>
      <c r="AB86" t="s">
        <v>3440</v>
      </c>
      <c r="AC86" t="s">
        <v>3441</v>
      </c>
      <c r="AD86" t="s">
        <v>24</v>
      </c>
      <c r="AE86">
        <v>164706470</v>
      </c>
      <c r="AF86" t="s">
        <v>3442</v>
      </c>
      <c r="AG86" t="s">
        <v>3443</v>
      </c>
      <c r="AH86" t="s">
        <v>3444</v>
      </c>
      <c r="AI86" t="s">
        <v>3445</v>
      </c>
      <c r="AJ86" t="s">
        <v>3446</v>
      </c>
      <c r="AK86" t="s">
        <v>24</v>
      </c>
      <c r="AL86" t="s">
        <v>3447</v>
      </c>
      <c r="AM86" t="s">
        <v>24</v>
      </c>
      <c r="AN86" t="s">
        <v>3448</v>
      </c>
      <c r="AO86" t="s">
        <v>3449</v>
      </c>
      <c r="AP86" t="s">
        <v>24</v>
      </c>
      <c r="AQ86" t="s">
        <v>3450</v>
      </c>
      <c r="AR86" t="s">
        <v>3451</v>
      </c>
      <c r="AS86" t="s">
        <v>3452</v>
      </c>
      <c r="AT86" t="s">
        <v>3453</v>
      </c>
      <c r="AU86" t="s">
        <v>3454</v>
      </c>
      <c r="AV86" t="s">
        <v>3455</v>
      </c>
      <c r="AW86" t="s">
        <v>861</v>
      </c>
      <c r="AX86" t="s">
        <v>1494</v>
      </c>
      <c r="AY86" t="s">
        <v>946</v>
      </c>
      <c r="AZ86" t="s">
        <v>675</v>
      </c>
      <c r="BA86" t="s">
        <v>676</v>
      </c>
      <c r="BB86" t="s">
        <v>677</v>
      </c>
      <c r="BC86" t="s">
        <v>1495</v>
      </c>
      <c r="BD86" t="s">
        <v>947</v>
      </c>
      <c r="BE86" t="s">
        <v>156</v>
      </c>
      <c r="BF86" t="s">
        <v>268</v>
      </c>
      <c r="BG86" t="s">
        <v>502</v>
      </c>
      <c r="BH86" t="s">
        <v>3456</v>
      </c>
      <c r="BI86" t="s">
        <v>3457</v>
      </c>
      <c r="BJ86" t="s">
        <v>1494</v>
      </c>
      <c r="BK86" t="s">
        <v>3458</v>
      </c>
      <c r="BL86" t="s">
        <v>1620</v>
      </c>
      <c r="BM86" t="s">
        <v>1495</v>
      </c>
      <c r="BN86">
        <v>1.06</v>
      </c>
      <c r="BO86">
        <v>0.77</v>
      </c>
      <c r="BP86">
        <v>1.55</v>
      </c>
      <c r="BQ86">
        <v>0.12</v>
      </c>
      <c r="BR86">
        <v>0.03</v>
      </c>
      <c r="BS86">
        <v>-0.84</v>
      </c>
      <c r="BT86" t="s">
        <v>1130</v>
      </c>
      <c r="BU86" t="s">
        <v>1043</v>
      </c>
      <c r="BV86">
        <v>17.59</v>
      </c>
      <c r="BW86">
        <v>18.37</v>
      </c>
      <c r="BX86">
        <v>17.22</v>
      </c>
      <c r="BY86">
        <v>1.34</v>
      </c>
      <c r="BZ86">
        <v>1.04</v>
      </c>
      <c r="CA86">
        <v>1.8</v>
      </c>
      <c r="CB86">
        <v>2.86</v>
      </c>
      <c r="CC86">
        <v>-21.05</v>
      </c>
      <c r="CD86" t="s">
        <v>126</v>
      </c>
      <c r="CE86" t="s">
        <v>3459</v>
      </c>
      <c r="CF86" s="8">
        <v>-0.93703632023740402</v>
      </c>
      <c r="CG86" s="9">
        <v>-0.96744782608695656</v>
      </c>
      <c r="CH86" s="8">
        <v>6.4349193572998047</v>
      </c>
      <c r="CI86" s="8">
        <v>-0.36085784435272217</v>
      </c>
      <c r="CJ86" s="8">
        <v>0.72706043720245361</v>
      </c>
      <c r="CK86" s="8">
        <v>6.4956285059452057E-2</v>
      </c>
      <c r="CL86" s="8">
        <v>-0.31340879201889038</v>
      </c>
      <c r="CM86" s="9">
        <v>19.113534927368164</v>
      </c>
      <c r="CN86" s="9">
        <v>-0.26929554343223572</v>
      </c>
      <c r="CO86" s="9">
        <v>-0.34502714872360229</v>
      </c>
      <c r="CP86" s="9">
        <v>-0.79343628883361816</v>
      </c>
      <c r="CQ86" s="9">
        <v>-0.63469678163528442</v>
      </c>
      <c r="CR86">
        <v>7.535091069023947</v>
      </c>
      <c r="CS86">
        <v>5.7496346598521285E-2</v>
      </c>
      <c r="CT86">
        <v>0.27777777777777779</v>
      </c>
      <c r="CU86" s="8">
        <v>1.3105338886380196</v>
      </c>
      <c r="CV86" s="9">
        <v>3.4142158329486847</v>
      </c>
      <c r="CW86">
        <v>0.06</v>
      </c>
      <c r="CX86">
        <v>19.899212450579626</v>
      </c>
      <c r="CY86">
        <v>2245141420.0916605</v>
      </c>
      <c r="CZ86">
        <v>1.3105338886380196</v>
      </c>
      <c r="DA86">
        <v>2.6934769749042413</v>
      </c>
      <c r="DB86">
        <v>16586941903.072453</v>
      </c>
      <c r="DC86">
        <v>1.2450071942061185</v>
      </c>
      <c r="DD86">
        <v>0.31793673892424573</v>
      </c>
      <c r="DE86">
        <v>140520237614.45511</v>
      </c>
      <c r="DF86">
        <v>1.1532698220014572</v>
      </c>
      <c r="DG86">
        <v>2.8854817143077763E-2</v>
      </c>
      <c r="DH86">
        <v>1548321927616.7842</v>
      </c>
      <c r="DI86">
        <v>1.0484271109104157</v>
      </c>
      <c r="DJ86">
        <v>1.3794016393812471E-4</v>
      </c>
      <c r="DK86">
        <v>323883521843865.44</v>
      </c>
      <c r="DL86">
        <v>0.9173737220466136</v>
      </c>
      <c r="DM86">
        <v>1030000000.0000001</v>
      </c>
      <c r="DN86">
        <v>1.3105338886380196</v>
      </c>
      <c r="DO86">
        <v>44676546099.999992</v>
      </c>
      <c r="DP86">
        <v>36775650000</v>
      </c>
      <c r="DQ86">
        <v>3394</v>
      </c>
      <c r="DR86">
        <v>-2.2475702088754237</v>
      </c>
      <c r="DS86">
        <v>-4.3816636590356417</v>
      </c>
      <c r="DT86" s="10">
        <v>-0.12333333333333336</v>
      </c>
      <c r="DU86">
        <v>-0.85666666666666658</v>
      </c>
      <c r="DV86">
        <v>-0.98</v>
      </c>
      <c r="DW86">
        <v>6.1196152237557504</v>
      </c>
      <c r="DX86">
        <v>0.23333333333333287</v>
      </c>
      <c r="DY86">
        <v>6.0159486965007671</v>
      </c>
      <c r="DZ86">
        <v>1147</v>
      </c>
      <c r="EA86">
        <v>6.0123688227460939</v>
      </c>
      <c r="EB86">
        <v>6</v>
      </c>
      <c r="EC86">
        <v>5.7434215276092333E-2</v>
      </c>
      <c r="ED86">
        <v>0.43075661457069248</v>
      </c>
      <c r="EE86" s="11">
        <v>1.0299100000000001</v>
      </c>
      <c r="EF86">
        <v>1.0402100000000001</v>
      </c>
      <c r="EG86">
        <v>10.133333333333333</v>
      </c>
      <c r="EH86" t="s">
        <v>835</v>
      </c>
      <c r="EI86">
        <v>0</v>
      </c>
      <c r="EJ86">
        <v>1</v>
      </c>
      <c r="EK86" s="13">
        <v>45470</v>
      </c>
      <c r="EL86" s="14">
        <v>0.14000000000000001</v>
      </c>
      <c r="EM86" s="14">
        <v>-2.88</v>
      </c>
      <c r="EN86" s="14">
        <v>-1.78</v>
      </c>
      <c r="EO86" s="14">
        <v>2.72</v>
      </c>
      <c r="EP86" s="14">
        <v>-1.03</v>
      </c>
    </row>
    <row r="87" spans="1:146" ht="88.5" customHeight="1" x14ac:dyDescent="0.25">
      <c r="A87" s="7"/>
      <c r="B87" s="7"/>
      <c r="C87" s="16" t="str">
        <f>""&amp;CHAR(10)&amp;Basic_Fundamental_Information_Constructure(F87)&amp;CHAR(10)&amp;Basic_Fundamental_Information_Concatenate("")</f>
        <v xml:space="preserve">
市值24.618394亿, 利润9.82亿; PE; 平均PE11.08; 平均PEG.03, PB.484; ROIC.875%; ROE-1.8933%; 股利率0%; 毛利26.49%; 净利-18.43%; 上一年度营收增1825%, 利润增351.15%; 当季营收增-98.33%, 利润增-105.15%; 过往5年营收增361.04%, 利润增-202.49%
Income profile:
</v>
      </c>
      <c r="D87" t="s">
        <v>367</v>
      </c>
      <c r="E87" t="s">
        <v>66</v>
      </c>
      <c r="F87">
        <v>2.63</v>
      </c>
      <c r="G87">
        <v>0.38</v>
      </c>
      <c r="H87" t="s">
        <v>3460</v>
      </c>
      <c r="I87">
        <v>2461839400</v>
      </c>
      <c r="K87">
        <v>0.48399999999999999</v>
      </c>
      <c r="L87" t="s">
        <v>1589</v>
      </c>
      <c r="M87" t="s">
        <v>3461</v>
      </c>
      <c r="N87" t="s">
        <v>3462</v>
      </c>
      <c r="O87" t="s">
        <v>3463</v>
      </c>
      <c r="P87">
        <v>-79.45</v>
      </c>
      <c r="Q87" t="s">
        <v>3464</v>
      </c>
      <c r="R87">
        <v>-14418252</v>
      </c>
      <c r="S87" s="5">
        <v>-1.3540000000000001</v>
      </c>
      <c r="T87" t="s">
        <v>2523</v>
      </c>
      <c r="U87">
        <v>936060590</v>
      </c>
      <c r="V87">
        <v>936060590</v>
      </c>
      <c r="W87">
        <v>1.57</v>
      </c>
      <c r="X87">
        <v>0.01</v>
      </c>
      <c r="Y87">
        <v>-32.51</v>
      </c>
      <c r="Z87" t="s">
        <v>3465</v>
      </c>
      <c r="AA87" t="s">
        <v>3466</v>
      </c>
      <c r="AB87" t="s">
        <v>3467</v>
      </c>
      <c r="AC87" t="s">
        <v>3468</v>
      </c>
      <c r="AD87" t="s">
        <v>24</v>
      </c>
      <c r="AE87">
        <v>9404190</v>
      </c>
      <c r="AF87" t="s">
        <v>98</v>
      </c>
      <c r="AG87">
        <v>5000</v>
      </c>
      <c r="AH87" t="s">
        <v>3469</v>
      </c>
      <c r="AI87" t="s">
        <v>3470</v>
      </c>
      <c r="AJ87" t="s">
        <v>3471</v>
      </c>
      <c r="AK87" t="s">
        <v>24</v>
      </c>
      <c r="AL87" t="s">
        <v>3472</v>
      </c>
      <c r="AM87" t="s">
        <v>24</v>
      </c>
      <c r="AN87">
        <v>0</v>
      </c>
      <c r="AO87" t="s">
        <v>24</v>
      </c>
      <c r="AP87" t="s">
        <v>24</v>
      </c>
      <c r="AQ87" t="s">
        <v>3473</v>
      </c>
      <c r="AR87" t="s">
        <v>3474</v>
      </c>
      <c r="AS87" t="s">
        <v>3475</v>
      </c>
      <c r="AT87" t="s">
        <v>169</v>
      </c>
      <c r="AU87" t="s">
        <v>3476</v>
      </c>
      <c r="AV87" t="s">
        <v>3477</v>
      </c>
      <c r="AW87" t="s">
        <v>3478</v>
      </c>
      <c r="AX87" t="s">
        <v>162</v>
      </c>
      <c r="AY87" t="s">
        <v>948</v>
      </c>
      <c r="AZ87" t="s">
        <v>216</v>
      </c>
      <c r="BA87" t="s">
        <v>368</v>
      </c>
      <c r="BB87" t="s">
        <v>680</v>
      </c>
      <c r="BC87" t="s">
        <v>1497</v>
      </c>
      <c r="BD87" t="s">
        <v>949</v>
      </c>
      <c r="BE87" t="s">
        <v>678</v>
      </c>
      <c r="BF87" t="s">
        <v>369</v>
      </c>
      <c r="BG87" t="s">
        <v>478</v>
      </c>
      <c r="BH87" t="s">
        <v>3479</v>
      </c>
      <c r="BI87" t="s">
        <v>3480</v>
      </c>
      <c r="BJ87" t="s">
        <v>162</v>
      </c>
      <c r="BK87" t="s">
        <v>3481</v>
      </c>
      <c r="BL87" t="s">
        <v>506</v>
      </c>
      <c r="BM87" t="s">
        <v>1497</v>
      </c>
      <c r="BN87">
        <v>1.1599999999999999</v>
      </c>
      <c r="BO87" t="s">
        <v>24</v>
      </c>
      <c r="BP87">
        <v>0.59</v>
      </c>
      <c r="BQ87">
        <v>0.9</v>
      </c>
      <c r="BR87">
        <v>-7.19</v>
      </c>
      <c r="BS87">
        <v>0.61</v>
      </c>
      <c r="BT87" t="s">
        <v>1115</v>
      </c>
      <c r="BU87" t="s">
        <v>1043</v>
      </c>
      <c r="BV87">
        <v>24.71</v>
      </c>
      <c r="BW87">
        <v>26.38</v>
      </c>
      <c r="BX87">
        <v>28.38</v>
      </c>
      <c r="BY87">
        <v>1.19</v>
      </c>
      <c r="BZ87">
        <v>-64.41</v>
      </c>
      <c r="CA87">
        <v>7.93</v>
      </c>
      <c r="CB87">
        <v>0.38</v>
      </c>
      <c r="CC87">
        <v>-18.829999999999998</v>
      </c>
      <c r="CD87" t="s">
        <v>3482</v>
      </c>
      <c r="CE87" t="s">
        <v>149</v>
      </c>
      <c r="CF87" s="8">
        <v>-0.98334701464513707</v>
      </c>
      <c r="CG87" s="9">
        <v>-1.0514937571428571</v>
      </c>
      <c r="CH87" s="8">
        <v>18.25</v>
      </c>
      <c r="CI87" s="8">
        <v>0.37868481874465942</v>
      </c>
      <c r="CJ87" s="8">
        <v>-0.50671142339706421</v>
      </c>
      <c r="CK87" s="8">
        <v>-0.31336405873298645</v>
      </c>
      <c r="CL87" s="8">
        <v>0.24355301260948181</v>
      </c>
      <c r="CM87" s="9">
        <v>3.5115087032318115</v>
      </c>
      <c r="CN87" s="9">
        <v>-12.077961921691895</v>
      </c>
      <c r="CO87" s="9">
        <v>-0.38632664084434509</v>
      </c>
      <c r="CP87" s="9">
        <v>-0.32236596941947937</v>
      </c>
      <c r="CQ87" s="9">
        <v>-0.8495107889175415</v>
      </c>
      <c r="CR87">
        <v>11.083658416161045</v>
      </c>
      <c r="CS87">
        <v>3.0698977224292018E-2</v>
      </c>
      <c r="CT87">
        <v>0</v>
      </c>
      <c r="CU87" s="8">
        <v>3.610432469844818</v>
      </c>
      <c r="CV87" s="9">
        <v>-2.02493132352829</v>
      </c>
      <c r="CW87">
        <v>0.06</v>
      </c>
      <c r="CX87">
        <v>3.2974398225523269E-2</v>
      </c>
      <c r="CY87">
        <v>4271174231.4977465</v>
      </c>
      <c r="CZ87">
        <v>3.610432469844818</v>
      </c>
      <c r="DA87">
        <v>1.5155137336999045E-3</v>
      </c>
      <c r="DB87">
        <v>92931787332.709457</v>
      </c>
      <c r="DC87">
        <v>3.4299108463525769</v>
      </c>
      <c r="DD87">
        <v>2.8585320278323185E-5</v>
      </c>
      <c r="DE87">
        <v>4926983452650.041</v>
      </c>
      <c r="DF87">
        <v>3.1771805734634397</v>
      </c>
      <c r="DG87">
        <v>2.3647810880759314E-7</v>
      </c>
      <c r="DH87">
        <v>595570561309723</v>
      </c>
      <c r="DI87">
        <v>2.8883459758758545</v>
      </c>
      <c r="DJ87">
        <v>3.61955350838905E-12</v>
      </c>
      <c r="DK87">
        <v>3.8910710858003923E+19</v>
      </c>
      <c r="DL87">
        <v>2.5273027288913723</v>
      </c>
      <c r="DM87">
        <v>982000000</v>
      </c>
      <c r="DN87">
        <v>3.610432469844818</v>
      </c>
      <c r="DO87">
        <v>140839400</v>
      </c>
      <c r="DP87">
        <v>3583488300</v>
      </c>
      <c r="DQ87">
        <v>3401</v>
      </c>
      <c r="DR87">
        <v>-4.5937794844899553</v>
      </c>
      <c r="DS87">
        <v>0.97343756638543288</v>
      </c>
      <c r="DT87" s="10">
        <v>-0.14000000000000004</v>
      </c>
      <c r="DU87">
        <v>-1.7649999999999999</v>
      </c>
      <c r="DV87">
        <v>-1.905</v>
      </c>
      <c r="DW87">
        <v>-3.0320059523809522</v>
      </c>
      <c r="DX87">
        <v>0.2822316872427989</v>
      </c>
      <c r="DY87">
        <v>-3.0039121415613366</v>
      </c>
      <c r="DZ87">
        <v>5031</v>
      </c>
      <c r="EA87">
        <v>-3.0000604812491871</v>
      </c>
      <c r="EB87">
        <v>3</v>
      </c>
      <c r="EC87">
        <v>3.1731172444723905E-2</v>
      </c>
      <c r="ED87">
        <v>0.25959858004490932</v>
      </c>
      <c r="EE87" s="11">
        <v>7.0010000000000003E-2</v>
      </c>
      <c r="EF87">
        <v>2.1710000000000004E-2</v>
      </c>
      <c r="EG87">
        <v>16.122231687242799</v>
      </c>
      <c r="EH87">
        <v>-1</v>
      </c>
      <c r="EI87">
        <v>0</v>
      </c>
      <c r="EJ87">
        <v>0</v>
      </c>
      <c r="EK87" s="13">
        <v>45470</v>
      </c>
      <c r="EL87" s="14">
        <v>-3.59</v>
      </c>
      <c r="EM87" s="14">
        <v>-4.97</v>
      </c>
      <c r="EN87" s="14">
        <v>-4.58</v>
      </c>
      <c r="EO87" s="14">
        <v>-0.68</v>
      </c>
      <c r="EP87" s="14">
        <v>4.83</v>
      </c>
    </row>
    <row r="88" spans="1:146" ht="88.5" customHeight="1" x14ac:dyDescent="0.25">
      <c r="C88" s="16" t="str">
        <f>""&amp;CHAR(10)&amp;Basic_Fundamental_Information_Constructure(F88)&amp;CHAR(10)&amp;Basic_Fundamental_Information_Concatenate("")</f>
        <v xml:space="preserve">
市值53.907492亿, 利润514.83万; PE22.87; 平均PE14.27; 平均PEG.73, PB1.82; ROIC7.8533%; ROE8.74%; 股利率4.0214%; 毛利19.2033%; 净利12.0433%; 上一年度营收增-72.42%, 利润增-97.89%; 当季营收增200.54%, 利润增4675.23%; 过往5年营收增-19.59%, 利润增-38.58%
Income profile:
</v>
      </c>
      <c r="D88" s="5" t="s">
        <v>1498</v>
      </c>
      <c r="E88" t="s">
        <v>1499</v>
      </c>
      <c r="F88">
        <v>3.73</v>
      </c>
      <c r="G88">
        <v>3.61</v>
      </c>
      <c r="H88" t="s">
        <v>3483</v>
      </c>
      <c r="I88">
        <v>5390749200</v>
      </c>
      <c r="J88">
        <v>22.87</v>
      </c>
      <c r="K88">
        <v>1.82</v>
      </c>
      <c r="L88" t="s">
        <v>1589</v>
      </c>
      <c r="M88" t="s">
        <v>1142</v>
      </c>
      <c r="N88" t="s">
        <v>3484</v>
      </c>
      <c r="O88" t="s">
        <v>1669</v>
      </c>
      <c r="P88" s="5">
        <v>-32.4</v>
      </c>
      <c r="Q88" t="s">
        <v>1347</v>
      </c>
      <c r="R88">
        <v>67660184</v>
      </c>
      <c r="S88">
        <v>8.9399999999999993E-2</v>
      </c>
      <c r="T88" t="s">
        <v>3485</v>
      </c>
      <c r="U88">
        <v>1444942700</v>
      </c>
      <c r="V88">
        <v>1445241100</v>
      </c>
      <c r="W88">
        <v>1.24</v>
      </c>
      <c r="X88">
        <v>0.13</v>
      </c>
      <c r="Y88">
        <v>12</v>
      </c>
      <c r="Z88" t="s">
        <v>2835</v>
      </c>
      <c r="AA88" t="s">
        <v>96</v>
      </c>
      <c r="AB88" t="s">
        <v>3486</v>
      </c>
      <c r="AC88" t="s">
        <v>3487</v>
      </c>
      <c r="AD88" t="s">
        <v>24</v>
      </c>
      <c r="AE88">
        <v>-5529417</v>
      </c>
      <c r="AF88" t="s">
        <v>3488</v>
      </c>
      <c r="AG88" t="s">
        <v>3489</v>
      </c>
      <c r="AH88" t="s">
        <v>3490</v>
      </c>
      <c r="AI88" t="s">
        <v>2123</v>
      </c>
      <c r="AJ88" t="s">
        <v>3491</v>
      </c>
      <c r="AK88" t="s">
        <v>24</v>
      </c>
      <c r="AL88" t="s">
        <v>3492</v>
      </c>
      <c r="AM88" t="s">
        <v>24</v>
      </c>
      <c r="AN88" t="s">
        <v>3493</v>
      </c>
      <c r="AO88" t="s">
        <v>506</v>
      </c>
      <c r="AP88" t="s">
        <v>3494</v>
      </c>
      <c r="AQ88" t="s">
        <v>138</v>
      </c>
      <c r="AR88" t="s">
        <v>3495</v>
      </c>
      <c r="AS88" t="s">
        <v>2306</v>
      </c>
      <c r="AT88" t="s">
        <v>3496</v>
      </c>
      <c r="AU88" t="s">
        <v>3497</v>
      </c>
      <c r="AV88" t="s">
        <v>3498</v>
      </c>
      <c r="AW88" t="s">
        <v>105</v>
      </c>
      <c r="AX88" t="s">
        <v>1500</v>
      </c>
      <c r="AY88" t="s">
        <v>356</v>
      </c>
      <c r="AZ88" t="s">
        <v>356</v>
      </c>
      <c r="BA88" t="s">
        <v>1502</v>
      </c>
      <c r="BB88" t="s">
        <v>1503</v>
      </c>
      <c r="BC88" t="s">
        <v>106</v>
      </c>
      <c r="BD88" t="s">
        <v>733</v>
      </c>
      <c r="BE88" t="s">
        <v>1054</v>
      </c>
      <c r="BF88" t="s">
        <v>1086</v>
      </c>
      <c r="BG88" t="s">
        <v>1504</v>
      </c>
      <c r="BH88" t="s">
        <v>619</v>
      </c>
      <c r="BI88" t="s">
        <v>429</v>
      </c>
      <c r="BJ88" t="s">
        <v>1500</v>
      </c>
      <c r="BK88" t="s">
        <v>297</v>
      </c>
      <c r="BL88" t="s">
        <v>3499</v>
      </c>
      <c r="BM88" t="s">
        <v>106</v>
      </c>
      <c r="BN88">
        <v>3.75</v>
      </c>
      <c r="BO88">
        <v>7.03</v>
      </c>
      <c r="BP88">
        <v>12.78</v>
      </c>
      <c r="BQ88">
        <v>5.59</v>
      </c>
      <c r="BR88">
        <v>8.4</v>
      </c>
      <c r="BS88">
        <v>12.23</v>
      </c>
      <c r="BT88" t="s">
        <v>1125</v>
      </c>
      <c r="BU88" t="s">
        <v>1046</v>
      </c>
      <c r="BV88">
        <v>14.2</v>
      </c>
      <c r="BW88">
        <v>15.47</v>
      </c>
      <c r="BX88">
        <v>27.94</v>
      </c>
      <c r="BY88">
        <v>7</v>
      </c>
      <c r="BZ88">
        <v>8.86</v>
      </c>
      <c r="CA88">
        <v>20.27</v>
      </c>
      <c r="CB88">
        <v>2.75</v>
      </c>
      <c r="CC88" s="8">
        <v>-7.9</v>
      </c>
      <c r="CD88" s="9" t="s">
        <v>3500</v>
      </c>
      <c r="CE88" s="8" t="s">
        <v>1441</v>
      </c>
      <c r="CF88" s="8">
        <v>2.0054054054054054</v>
      </c>
      <c r="CG88" s="8">
        <v>46.752264803444142</v>
      </c>
      <c r="CH88" s="8">
        <v>-0.724201500415802</v>
      </c>
      <c r="CI88" s="8">
        <v>0.39145299792289734</v>
      </c>
      <c r="CJ88" s="9">
        <v>0</v>
      </c>
      <c r="CK88" s="9">
        <v>-0.2559618353843689</v>
      </c>
      <c r="CL88" s="9">
        <v>-0.39085802435874939</v>
      </c>
      <c r="CM88" s="9">
        <v>-0.97890037298202515</v>
      </c>
      <c r="CN88" s="9">
        <v>-0.32409971952438354</v>
      </c>
      <c r="CO88">
        <v>-0.14454975724220276</v>
      </c>
      <c r="CP88">
        <v>-0.13347022235393524</v>
      </c>
      <c r="CQ88">
        <v>-0.34805890917778015</v>
      </c>
      <c r="CR88" s="8">
        <v>14.272894320287865</v>
      </c>
      <c r="CS88" s="9">
        <v>0.7285297724248504</v>
      </c>
      <c r="CT88">
        <v>4.0214477211796247</v>
      </c>
      <c r="CU88">
        <v>-0.19591367244720459</v>
      </c>
      <c r="CV88">
        <v>-0.38581579625606538</v>
      </c>
      <c r="CW88">
        <v>0.06</v>
      </c>
      <c r="CX88">
        <v>632.58730066235455</v>
      </c>
      <c r="CY88" t="s">
        <v>3501</v>
      </c>
      <c r="CZ88">
        <v>-0.19591367244720459</v>
      </c>
      <c r="DA88">
        <v>210.86243355411818</v>
      </c>
      <c r="DB88" t="s">
        <v>3502</v>
      </c>
      <c r="DC88">
        <v>-0.18611798882484434</v>
      </c>
      <c r="DD88">
        <v>105.43121677705909</v>
      </c>
      <c r="DE88" t="s">
        <v>3503</v>
      </c>
      <c r="DF88">
        <v>-0.17240403175354005</v>
      </c>
      <c r="DG88">
        <v>63.258730066235458</v>
      </c>
      <c r="DH88" t="s">
        <v>3504</v>
      </c>
      <c r="DI88">
        <v>-0.15673093795776369</v>
      </c>
      <c r="DJ88">
        <v>31.629365033117729</v>
      </c>
      <c r="DK88" t="s">
        <v>3505</v>
      </c>
      <c r="DL88">
        <v>-0.1371395707130432</v>
      </c>
      <c r="DM88">
        <v>5148300</v>
      </c>
      <c r="DN88">
        <v>-0.19591367244720459</v>
      </c>
      <c r="DO88">
        <v>3256749200</v>
      </c>
      <c r="DP88">
        <v>1464193400</v>
      </c>
      <c r="DQ88" s="10">
        <v>3408</v>
      </c>
      <c r="DR88">
        <v>2.2013190778526099</v>
      </c>
      <c r="DS88">
        <v>47.13808059970021</v>
      </c>
      <c r="DT88">
        <v>-0.84</v>
      </c>
      <c r="DU88">
        <v>-0.80333333333333334</v>
      </c>
      <c r="DV88">
        <v>-1.6433333333333333</v>
      </c>
      <c r="DW88">
        <v>6.258215962441315</v>
      </c>
      <c r="DX88">
        <v>0.53849225806451639</v>
      </c>
      <c r="DY88">
        <v>6.0176857943359083</v>
      </c>
      <c r="DZ88">
        <v>2747</v>
      </c>
      <c r="EA88">
        <v>6.0081783819991683</v>
      </c>
      <c r="EB88" s="11">
        <v>6</v>
      </c>
      <c r="EC88" s="11">
        <v>2.9382779108620704E-2</v>
      </c>
      <c r="ED88">
        <v>0.42899416574853844</v>
      </c>
      <c r="EE88">
        <v>-1.1301000000000001</v>
      </c>
      <c r="EF88">
        <v>-1.1069</v>
      </c>
      <c r="EG88">
        <v>47.068492258064516</v>
      </c>
      <c r="EH88" s="13" t="s">
        <v>862</v>
      </c>
      <c r="EI88">
        <v>0</v>
      </c>
      <c r="EJ88">
        <v>0</v>
      </c>
      <c r="EK88">
        <v>45470</v>
      </c>
      <c r="EL88">
        <v>-0.26</v>
      </c>
      <c r="EM88">
        <v>-3.39</v>
      </c>
      <c r="EN88" s="14">
        <v>1.89</v>
      </c>
      <c r="EO88" s="14">
        <v>2.65</v>
      </c>
      <c r="EP88" s="14">
        <v>-2.3199999999999998</v>
      </c>
    </row>
    <row r="89" spans="1:146" ht="88.5" customHeight="1" x14ac:dyDescent="0.25">
      <c r="A89" s="7"/>
      <c r="B89" s="7"/>
      <c r="C89" s="16" t="str">
        <f>""&amp;CHAR(10)&amp;Basic_Fundamental_Information_Constructure(F89)&amp;CHAR(10)&amp;Basic_Fundamental_Information_Concatenate("")</f>
        <v xml:space="preserve">
市值48.239173亿, 利润20.73亿; PE22.78; 平均PE7.14; 平均PEG.14, PB.65; ROIC1.8067%; ROE2.9033%; 股利率.6444%; 毛利15.3233%; 净利3.6867%; 上一年度营收增208.78%, 利润增570.87%; 当季营收增-12.03%, 利润增-59.29%; 过往5年营收增50.6%, 利润增104.98%
Income profile:
</v>
      </c>
      <c r="D89" t="s">
        <v>370</v>
      </c>
      <c r="E89" t="s">
        <v>43</v>
      </c>
      <c r="F89">
        <v>4.1900000000000004</v>
      </c>
      <c r="G89">
        <v>0</v>
      </c>
      <c r="H89" t="s">
        <v>3506</v>
      </c>
      <c r="I89">
        <v>4823917300</v>
      </c>
      <c r="J89">
        <v>22.78</v>
      </c>
      <c r="K89">
        <v>0.65</v>
      </c>
      <c r="L89" t="s">
        <v>1589</v>
      </c>
      <c r="M89" t="s">
        <v>3507</v>
      </c>
      <c r="N89" t="s">
        <v>3508</v>
      </c>
      <c r="O89" t="s">
        <v>3509</v>
      </c>
      <c r="P89">
        <v>43.78</v>
      </c>
      <c r="Q89" t="s">
        <v>3510</v>
      </c>
      <c r="R89">
        <v>111538137</v>
      </c>
      <c r="S89" s="5">
        <v>9.4700000000000006E-2</v>
      </c>
      <c r="T89" t="s">
        <v>3511</v>
      </c>
      <c r="U89">
        <v>1151292910</v>
      </c>
      <c r="V89">
        <v>1151292910</v>
      </c>
      <c r="W89">
        <v>3.79</v>
      </c>
      <c r="X89">
        <v>0.06</v>
      </c>
      <c r="Y89">
        <v>8.5299999999999994</v>
      </c>
      <c r="Z89" t="s">
        <v>3512</v>
      </c>
      <c r="AA89" t="s">
        <v>3513</v>
      </c>
      <c r="AB89" t="s">
        <v>3514</v>
      </c>
      <c r="AC89" t="s">
        <v>3515</v>
      </c>
      <c r="AD89" t="s">
        <v>24</v>
      </c>
      <c r="AE89">
        <v>186508910</v>
      </c>
      <c r="AF89" t="s">
        <v>3516</v>
      </c>
      <c r="AG89" t="s">
        <v>3517</v>
      </c>
      <c r="AH89" t="s">
        <v>3518</v>
      </c>
      <c r="AI89" t="s">
        <v>3519</v>
      </c>
      <c r="AJ89" t="s">
        <v>3520</v>
      </c>
      <c r="AK89" t="s">
        <v>3521</v>
      </c>
      <c r="AL89" t="s">
        <v>3522</v>
      </c>
      <c r="AM89" t="s">
        <v>24</v>
      </c>
      <c r="AN89" t="s">
        <v>3523</v>
      </c>
      <c r="AO89" t="s">
        <v>1577</v>
      </c>
      <c r="AP89" t="s">
        <v>841</v>
      </c>
      <c r="AQ89" t="s">
        <v>1155</v>
      </c>
      <c r="AR89" t="s">
        <v>3524</v>
      </c>
      <c r="AS89" t="s">
        <v>3525</v>
      </c>
      <c r="AT89" t="s">
        <v>3526</v>
      </c>
      <c r="AU89" t="s">
        <v>3527</v>
      </c>
      <c r="AV89" t="s">
        <v>1722</v>
      </c>
      <c r="AW89" t="s">
        <v>3528</v>
      </c>
      <c r="AX89" t="s">
        <v>1507</v>
      </c>
      <c r="AY89" t="s">
        <v>1508</v>
      </c>
      <c r="AZ89" t="s">
        <v>681</v>
      </c>
      <c r="BA89" t="s">
        <v>371</v>
      </c>
      <c r="BB89" t="s">
        <v>682</v>
      </c>
      <c r="BC89" t="s">
        <v>3529</v>
      </c>
      <c r="BD89" t="s">
        <v>1509</v>
      </c>
      <c r="BE89" t="s">
        <v>300</v>
      </c>
      <c r="BF89" t="s">
        <v>372</v>
      </c>
      <c r="BG89" t="s">
        <v>589</v>
      </c>
      <c r="BH89" t="s">
        <v>3530</v>
      </c>
      <c r="BI89" t="s">
        <v>3531</v>
      </c>
      <c r="BJ89" t="s">
        <v>1507</v>
      </c>
      <c r="BK89" t="s">
        <v>1124</v>
      </c>
      <c r="BL89" t="s">
        <v>1126</v>
      </c>
      <c r="BM89" t="s">
        <v>3529</v>
      </c>
      <c r="BN89">
        <v>1.34</v>
      </c>
      <c r="BO89">
        <v>1.99</v>
      </c>
      <c r="BP89">
        <v>2.09</v>
      </c>
      <c r="BQ89">
        <v>2.61</v>
      </c>
      <c r="BR89">
        <v>2.41</v>
      </c>
      <c r="BS89">
        <v>3.69</v>
      </c>
      <c r="BT89" t="s">
        <v>3532</v>
      </c>
      <c r="BU89" t="s">
        <v>1043</v>
      </c>
      <c r="BV89">
        <v>13.11</v>
      </c>
      <c r="BW89">
        <v>15.62</v>
      </c>
      <c r="BX89">
        <v>17.239999999999998</v>
      </c>
      <c r="BY89">
        <v>2.2799999999999998</v>
      </c>
      <c r="BZ89">
        <v>4.75</v>
      </c>
      <c r="CA89">
        <v>4.03</v>
      </c>
      <c r="CB89">
        <v>0.72</v>
      </c>
      <c r="CC89">
        <v>-13.07</v>
      </c>
      <c r="CD89" t="s">
        <v>3533</v>
      </c>
      <c r="CE89" t="s">
        <v>3534</v>
      </c>
      <c r="CF89" s="8">
        <v>-0.12028351052741287</v>
      </c>
      <c r="CG89" s="9">
        <v>-0.5929265072992701</v>
      </c>
      <c r="CH89" s="8">
        <v>2.0878403186798096</v>
      </c>
      <c r="CI89" s="8">
        <v>-0.1048414409160614</v>
      </c>
      <c r="CJ89" s="8">
        <v>0.19310829043388367</v>
      </c>
      <c r="CK89" s="8">
        <v>9.8818130791187286E-2</v>
      </c>
      <c r="CL89" s="8">
        <v>0.25487503409385681</v>
      </c>
      <c r="CM89" s="9">
        <v>5.708737850189209</v>
      </c>
      <c r="CN89" s="9">
        <v>-0.24078623950481415</v>
      </c>
      <c r="CO89" s="9">
        <v>0.34768211841583252</v>
      </c>
      <c r="CP89" s="9">
        <v>-0.14447592198848724</v>
      </c>
      <c r="CQ89" s="9">
        <v>-0.42225858569145203</v>
      </c>
      <c r="CR89">
        <v>7.1377321331689272</v>
      </c>
      <c r="CS89">
        <v>0.14107303331072138</v>
      </c>
      <c r="CT89">
        <v>0.64439140811455842</v>
      </c>
      <c r="CU89" s="8">
        <v>0.50596006661653514</v>
      </c>
      <c r="CV89" s="9">
        <v>1.0497798442840576</v>
      </c>
      <c r="CW89">
        <v>0.06</v>
      </c>
      <c r="CX89">
        <v>13.586393146017654</v>
      </c>
      <c r="CY89">
        <v>2945146432.1661105</v>
      </c>
      <c r="CZ89">
        <v>0.50596006661653514</v>
      </c>
      <c r="DA89">
        <v>3.1781016296509237</v>
      </c>
      <c r="DB89">
        <v>12590509040.579372</v>
      </c>
      <c r="DC89">
        <v>0.48066206328570837</v>
      </c>
      <c r="DD89">
        <v>0.94858920768911126</v>
      </c>
      <c r="DE89">
        <v>42182555921.629326</v>
      </c>
      <c r="DF89">
        <v>0.44524485862255092</v>
      </c>
      <c r="DG89">
        <v>0.30154084764062528</v>
      </c>
      <c r="DH89">
        <v>132698165482.66907</v>
      </c>
      <c r="DI89">
        <v>0.40476805329322812</v>
      </c>
      <c r="DJ89">
        <v>3.150873586574135E-2</v>
      </c>
      <c r="DK89">
        <v>1269930900131.9253</v>
      </c>
      <c r="DL89">
        <v>0.35417204663157459</v>
      </c>
      <c r="DM89">
        <v>2073000000</v>
      </c>
      <c r="DN89">
        <v>0.50596006661653514</v>
      </c>
      <c r="DO89">
        <v>40013917299.999992</v>
      </c>
      <c r="DP89">
        <v>31411163000</v>
      </c>
      <c r="DQ89">
        <v>3420</v>
      </c>
      <c r="DR89">
        <v>-0.62624357714394807</v>
      </c>
      <c r="DS89">
        <v>-1.6427063515833278</v>
      </c>
      <c r="DT89" s="10">
        <v>9.3333333333333268E-2</v>
      </c>
      <c r="DU89">
        <v>-3.666666666666666E-2</v>
      </c>
      <c r="DV89">
        <v>5.6666666666666608E-2</v>
      </c>
      <c r="DW89">
        <v>-2.1307</v>
      </c>
      <c r="DX89">
        <v>0.26677044025157304</v>
      </c>
      <c r="DY89">
        <v>-2.0139548965408807</v>
      </c>
      <c r="DZ89">
        <v>2561</v>
      </c>
      <c r="EA89">
        <v>-2.0069610628733279</v>
      </c>
      <c r="EB89">
        <v>2</v>
      </c>
      <c r="EC89">
        <v>2.9491191776730388E-2</v>
      </c>
      <c r="ED89">
        <v>0.27621120328101384</v>
      </c>
      <c r="EE89" s="11">
        <v>-2.0341999999999998</v>
      </c>
      <c r="EF89">
        <v>-2.0160999999999998</v>
      </c>
      <c r="EG89">
        <v>16.106770440251573</v>
      </c>
      <c r="EH89" t="s">
        <v>1702</v>
      </c>
      <c r="EI89">
        <v>0</v>
      </c>
      <c r="EJ89">
        <v>0</v>
      </c>
      <c r="EK89" s="13">
        <v>45470</v>
      </c>
      <c r="EL89" s="14">
        <v>0.26</v>
      </c>
      <c r="EM89" s="14">
        <v>-4.71</v>
      </c>
      <c r="EN89">
        <v>2.75</v>
      </c>
      <c r="EO89">
        <v>3.21</v>
      </c>
      <c r="EP89">
        <v>-1.81</v>
      </c>
    </row>
    <row r="90" spans="1:146" ht="88.5" customHeight="1" x14ac:dyDescent="0.25">
      <c r="A90" s="7"/>
      <c r="B90" s="7"/>
      <c r="C90" s="16" t="str">
        <f>""&amp;CHAR(10)&amp;Basic_Fundamental_Information_Constructure(F90)&amp;CHAR(10)&amp;Basic_Fundamental_Information_Concatenate("")</f>
        <v xml:space="preserve">
市值28.15321亿, 利润-1.87亿; PE; 平均PE-6.15; 平均PEG-.51, PB5.14; ROIC0%; ROE-37.85%; 股利率0%; 毛利13.17%; 净利-20.7033%; 上一年度营收增-9.02%, 利润增95.09%; 当季营收增-62.32%, 利润增-24.86%; 过往5年营收增12.14%, 利润增-136.14%
Income profile:
</v>
      </c>
      <c r="D90" t="s">
        <v>373</v>
      </c>
      <c r="E90" t="s">
        <v>32</v>
      </c>
      <c r="F90">
        <v>1.2</v>
      </c>
      <c r="G90">
        <v>1.69</v>
      </c>
      <c r="H90" t="s">
        <v>3535</v>
      </c>
      <c r="I90">
        <v>2815321000</v>
      </c>
      <c r="K90">
        <v>5.14</v>
      </c>
      <c r="L90" t="s">
        <v>1589</v>
      </c>
      <c r="M90" t="s">
        <v>3536</v>
      </c>
      <c r="N90" t="s">
        <v>3537</v>
      </c>
      <c r="O90" t="s">
        <v>565</v>
      </c>
      <c r="P90">
        <v>-31.45</v>
      </c>
      <c r="Q90" t="s">
        <v>1185</v>
      </c>
      <c r="R90">
        <v>-132348957</v>
      </c>
      <c r="S90" s="5">
        <v>-0.55489999999999995</v>
      </c>
      <c r="T90" t="s">
        <v>3538</v>
      </c>
      <c r="U90">
        <v>2346100900</v>
      </c>
      <c r="V90">
        <v>2346100900</v>
      </c>
      <c r="W90">
        <v>9.39</v>
      </c>
      <c r="X90">
        <v>0.03</v>
      </c>
      <c r="Y90">
        <v>-13.06</v>
      </c>
      <c r="Z90" t="s">
        <v>3539</v>
      </c>
      <c r="AA90" t="s">
        <v>3540</v>
      </c>
      <c r="AB90" t="s">
        <v>3541</v>
      </c>
      <c r="AC90" t="s">
        <v>3542</v>
      </c>
      <c r="AD90" t="s">
        <v>24</v>
      </c>
      <c r="AE90">
        <v>126616979</v>
      </c>
      <c r="AF90" t="s">
        <v>3543</v>
      </c>
      <c r="AG90" t="s">
        <v>3544</v>
      </c>
      <c r="AH90" t="s">
        <v>3545</v>
      </c>
      <c r="AI90" t="s">
        <v>3546</v>
      </c>
      <c r="AJ90" t="s">
        <v>3547</v>
      </c>
      <c r="AK90" t="s">
        <v>24</v>
      </c>
      <c r="AL90" t="s">
        <v>3548</v>
      </c>
      <c r="AM90" t="s">
        <v>24</v>
      </c>
      <c r="AN90">
        <v>0</v>
      </c>
      <c r="AO90" t="s">
        <v>24</v>
      </c>
      <c r="AP90" t="s">
        <v>24</v>
      </c>
      <c r="AQ90" t="s">
        <v>3549</v>
      </c>
      <c r="AR90" t="s">
        <v>3550</v>
      </c>
      <c r="AS90" t="s">
        <v>3551</v>
      </c>
      <c r="AT90" t="s">
        <v>3552</v>
      </c>
      <c r="AU90" t="s">
        <v>3553</v>
      </c>
      <c r="AV90" t="s">
        <v>3554</v>
      </c>
      <c r="AW90" t="s">
        <v>342</v>
      </c>
      <c r="AX90" t="s">
        <v>1510</v>
      </c>
      <c r="AY90" t="s">
        <v>950</v>
      </c>
      <c r="AZ90" t="s">
        <v>640</v>
      </c>
      <c r="BA90" t="s">
        <v>374</v>
      </c>
      <c r="BB90" t="s">
        <v>684</v>
      </c>
      <c r="BC90" t="s">
        <v>3555</v>
      </c>
      <c r="BD90" t="s">
        <v>951</v>
      </c>
      <c r="BE90" t="s">
        <v>683</v>
      </c>
      <c r="BF90" t="s">
        <v>375</v>
      </c>
      <c r="BG90" t="s">
        <v>685</v>
      </c>
      <c r="BH90" t="s">
        <v>3556</v>
      </c>
      <c r="BI90" t="s">
        <v>3557</v>
      </c>
      <c r="BJ90" t="s">
        <v>1510</v>
      </c>
      <c r="BK90" t="s">
        <v>3558</v>
      </c>
      <c r="BL90" t="s">
        <v>3559</v>
      </c>
      <c r="BM90" t="s">
        <v>3555</v>
      </c>
      <c r="BN90" t="s">
        <v>24</v>
      </c>
      <c r="BO90" t="s">
        <v>24</v>
      </c>
      <c r="BP90" t="s">
        <v>24</v>
      </c>
      <c r="BQ90">
        <v>-30.61</v>
      </c>
      <c r="BR90">
        <v>-74.61</v>
      </c>
      <c r="BS90">
        <v>-8.33</v>
      </c>
      <c r="BT90" t="s">
        <v>1115</v>
      </c>
      <c r="BU90" t="s">
        <v>1043</v>
      </c>
      <c r="BV90">
        <v>14.81</v>
      </c>
      <c r="BW90">
        <v>7.4</v>
      </c>
      <c r="BX90">
        <v>17.3</v>
      </c>
      <c r="BY90">
        <v>-8.94</v>
      </c>
      <c r="BZ90">
        <v>-46.21</v>
      </c>
      <c r="CA90">
        <v>-6.96</v>
      </c>
      <c r="CB90">
        <v>3.45</v>
      </c>
      <c r="CC90">
        <v>-18.920000000000002</v>
      </c>
      <c r="CD90" t="s">
        <v>235</v>
      </c>
      <c r="CE90" t="s">
        <v>3560</v>
      </c>
      <c r="CF90" s="8">
        <v>-0.62321562734785874</v>
      </c>
      <c r="CG90" s="9">
        <v>-0.24857506603773585</v>
      </c>
      <c r="CH90" s="8">
        <v>-9.0168431401252747E-2</v>
      </c>
      <c r="CI90" s="8">
        <v>-0.20222008228302002</v>
      </c>
      <c r="CJ90" s="8">
        <v>0.77118098735809326</v>
      </c>
      <c r="CK90" s="8">
        <v>4.1632939130067825E-2</v>
      </c>
      <c r="CL90" s="8">
        <v>8.6517356336116791E-2</v>
      </c>
      <c r="CM90" s="9">
        <v>0.95094436407089233</v>
      </c>
      <c r="CN90" s="9">
        <v>-4.698056697845459</v>
      </c>
      <c r="CO90" s="9">
        <v>-2.6159422397613525</v>
      </c>
      <c r="CP90" s="9">
        <v>-0.45310434699058533</v>
      </c>
      <c r="CQ90" s="9">
        <v>9.3333330005407333E-3</v>
      </c>
      <c r="CR90">
        <v>-6.149226792864944</v>
      </c>
      <c r="CS90">
        <v>-0.50657385716761749</v>
      </c>
      <c r="CT90">
        <v>0</v>
      </c>
      <c r="CU90" s="8">
        <v>0.12138855382800103</v>
      </c>
      <c r="CV90" s="9">
        <v>-1.3613651175051928</v>
      </c>
      <c r="CW90">
        <v>0.06</v>
      </c>
      <c r="CX90" t="e">
        <v>#VALUE!</v>
      </c>
      <c r="CY90" t="s">
        <v>849</v>
      </c>
      <c r="CZ90">
        <v>0.12138855382800103</v>
      </c>
      <c r="DA90" t="e">
        <v>#VALUE!</v>
      </c>
      <c r="DB90" t="s">
        <v>850</v>
      </c>
      <c r="DC90">
        <v>0.11531912613660097</v>
      </c>
      <c r="DD90" t="e">
        <v>#VALUE!</v>
      </c>
      <c r="DE90" t="s">
        <v>850</v>
      </c>
      <c r="DF90">
        <v>0.10682192736864091</v>
      </c>
      <c r="DG90" t="e">
        <v>#VALUE!</v>
      </c>
      <c r="DH90" t="s">
        <v>850</v>
      </c>
      <c r="DI90">
        <v>9.7110843062400823E-2</v>
      </c>
      <c r="DJ90" t="e">
        <v>#VALUE!</v>
      </c>
      <c r="DK90" t="s">
        <v>850</v>
      </c>
      <c r="DL90">
        <v>8.4971987679600708E-2</v>
      </c>
      <c r="DM90">
        <v>-187000000</v>
      </c>
      <c r="DN90">
        <v>0.12138855382800103</v>
      </c>
      <c r="DO90">
        <v>26587321000</v>
      </c>
      <c r="DP90">
        <v>5055340000</v>
      </c>
      <c r="DQ90">
        <v>3427</v>
      </c>
      <c r="DR90">
        <v>-0.7446041811758598</v>
      </c>
      <c r="DS90">
        <v>1.1127900514674569</v>
      </c>
      <c r="DT90" s="10">
        <v>-0.32333333333333331</v>
      </c>
      <c r="DU90">
        <v>-2.4983333333333335</v>
      </c>
      <c r="DV90">
        <v>-2.8216666666666668</v>
      </c>
      <c r="DW90">
        <v>6.1542244076888686</v>
      </c>
      <c r="DX90">
        <v>0.2941666666666668</v>
      </c>
      <c r="DY90">
        <v>6.0237762628520342</v>
      </c>
      <c r="DZ90">
        <v>2619</v>
      </c>
      <c r="EA90">
        <v>6.01159034652924</v>
      </c>
      <c r="EB90">
        <v>6</v>
      </c>
      <c r="EC90">
        <v>4.7312543122079706E-2</v>
      </c>
      <c r="ED90">
        <v>0.30689217160267918</v>
      </c>
      <c r="EE90" s="11">
        <v>2.1248</v>
      </c>
      <c r="EF90">
        <v>2.0949</v>
      </c>
      <c r="EG90">
        <v>14.154166666666667</v>
      </c>
      <c r="EH90" t="s">
        <v>836</v>
      </c>
      <c r="EI90">
        <v>0</v>
      </c>
      <c r="EJ90">
        <v>0</v>
      </c>
      <c r="EK90" s="13">
        <v>45470</v>
      </c>
      <c r="EL90" s="14">
        <v>1.56</v>
      </c>
      <c r="EM90" s="14">
        <v>-2.94</v>
      </c>
      <c r="EN90">
        <v>0.53</v>
      </c>
      <c r="EO90">
        <v>0.66</v>
      </c>
      <c r="EP90">
        <v>-2.99</v>
      </c>
    </row>
    <row r="91" spans="1:146" ht="88.5" customHeight="1" x14ac:dyDescent="0.25">
      <c r="A91" s="15"/>
      <c r="B91" s="15"/>
      <c r="C91" s="16" t="str">
        <f>""&amp;CHAR(10)&amp;Basic_Fundamental_Information_Constructure(F91)&amp;CHAR(10)&amp;Basic_Fundamental_Information_Concatenate("")</f>
        <v xml:space="preserve">
市值47.22081亿, 利润1450.26万; PE; 平均PE12.83; 平均PEG.65, PB.477; ROIC1.0233%; ROE3.4067%; 股利率.8203%; 毛利36.66%; 净利2.3633%; 上一年度营收增-95.94%, 利润增-88.21%; 当季营收增2027.05%, 利润增-1617.71%; 过往5年营收增-19.74%, 利润增-36.83%
Income profile:
</v>
      </c>
      <c r="D91" t="s">
        <v>378</v>
      </c>
      <c r="E91" t="s">
        <v>18</v>
      </c>
      <c r="F91">
        <v>2.56</v>
      </c>
      <c r="G91">
        <v>1.19</v>
      </c>
      <c r="H91" t="s">
        <v>3561</v>
      </c>
      <c r="I91">
        <v>4722081000</v>
      </c>
      <c r="K91">
        <v>0.47699999999999998</v>
      </c>
      <c r="L91" t="s">
        <v>1589</v>
      </c>
      <c r="M91" t="s">
        <v>3562</v>
      </c>
      <c r="N91" t="s">
        <v>3563</v>
      </c>
      <c r="O91" t="s">
        <v>460</v>
      </c>
      <c r="P91">
        <v>-80.62</v>
      </c>
      <c r="Q91" t="s">
        <v>1096</v>
      </c>
      <c r="R91">
        <v>-148399810</v>
      </c>
      <c r="S91" s="5">
        <v>-1.5189999999999999</v>
      </c>
      <c r="T91" t="s">
        <v>3564</v>
      </c>
      <c r="U91">
        <v>1844562900</v>
      </c>
      <c r="V91">
        <v>1844562900</v>
      </c>
      <c r="W91">
        <v>2.76</v>
      </c>
      <c r="X91">
        <v>0.02</v>
      </c>
      <c r="Y91">
        <v>-28.23</v>
      </c>
      <c r="Z91" t="s">
        <v>2426</v>
      </c>
      <c r="AA91" t="s">
        <v>3565</v>
      </c>
      <c r="AB91" t="s">
        <v>3566</v>
      </c>
      <c r="AC91" t="s">
        <v>178</v>
      </c>
      <c r="AD91" t="s">
        <v>24</v>
      </c>
      <c r="AE91">
        <v>76226984</v>
      </c>
      <c r="AF91" t="s">
        <v>3567</v>
      </c>
      <c r="AG91" t="s">
        <v>3568</v>
      </c>
      <c r="AH91" t="s">
        <v>3569</v>
      </c>
      <c r="AI91" t="s">
        <v>3570</v>
      </c>
      <c r="AJ91" t="s">
        <v>3571</v>
      </c>
      <c r="AK91" t="s">
        <v>3572</v>
      </c>
      <c r="AL91" t="s">
        <v>3573</v>
      </c>
      <c r="AM91" t="s">
        <v>24</v>
      </c>
      <c r="AN91">
        <v>0</v>
      </c>
      <c r="AO91" t="s">
        <v>3574</v>
      </c>
      <c r="AP91" t="s">
        <v>24</v>
      </c>
      <c r="AQ91" t="s">
        <v>1829</v>
      </c>
      <c r="AR91" t="s">
        <v>3575</v>
      </c>
      <c r="AS91" t="s">
        <v>3576</v>
      </c>
      <c r="AT91" t="s">
        <v>3577</v>
      </c>
      <c r="AU91" t="s">
        <v>3578</v>
      </c>
      <c r="AV91" t="s">
        <v>3579</v>
      </c>
      <c r="AW91" t="s">
        <v>3580</v>
      </c>
      <c r="AX91" t="s">
        <v>1512</v>
      </c>
      <c r="AY91" t="s">
        <v>1513</v>
      </c>
      <c r="AZ91" t="s">
        <v>1514</v>
      </c>
      <c r="BA91" t="s">
        <v>1515</v>
      </c>
      <c r="BB91" t="s">
        <v>1516</v>
      </c>
      <c r="BC91" t="s">
        <v>125</v>
      </c>
      <c r="BD91" t="s">
        <v>131</v>
      </c>
      <c r="BE91" t="s">
        <v>1517</v>
      </c>
      <c r="BF91" t="s">
        <v>1518</v>
      </c>
      <c r="BG91" t="s">
        <v>1468</v>
      </c>
      <c r="BH91" t="s">
        <v>3581</v>
      </c>
      <c r="BI91" t="s">
        <v>3582</v>
      </c>
      <c r="BJ91" t="s">
        <v>1512</v>
      </c>
      <c r="BK91" t="s">
        <v>1407</v>
      </c>
      <c r="BL91" t="s">
        <v>3583</v>
      </c>
      <c r="BM91" t="s">
        <v>125</v>
      </c>
      <c r="BN91">
        <v>2.4900000000000002</v>
      </c>
      <c r="BO91">
        <v>0.28999999999999998</v>
      </c>
      <c r="BP91">
        <v>0.28999999999999998</v>
      </c>
      <c r="BQ91">
        <v>4.0199999999999996</v>
      </c>
      <c r="BR91">
        <v>1.23</v>
      </c>
      <c r="BS91">
        <v>4.97</v>
      </c>
      <c r="BT91" t="s">
        <v>3584</v>
      </c>
      <c r="BU91" t="s">
        <v>1043</v>
      </c>
      <c r="BV91">
        <v>39.409999999999997</v>
      </c>
      <c r="BW91">
        <v>21.45</v>
      </c>
      <c r="BX91">
        <v>49.12</v>
      </c>
      <c r="BY91">
        <v>5.12</v>
      </c>
      <c r="BZ91">
        <v>1.19</v>
      </c>
      <c r="CA91">
        <v>0.78</v>
      </c>
      <c r="CB91">
        <v>4.92</v>
      </c>
      <c r="CC91">
        <v>-21.23</v>
      </c>
      <c r="CD91" t="s">
        <v>3585</v>
      </c>
      <c r="CE91" t="s">
        <v>3586</v>
      </c>
      <c r="CF91" s="8">
        <v>20.270477758564322</v>
      </c>
      <c r="CG91" s="9">
        <v>-16.177096789128875</v>
      </c>
      <c r="CH91" s="8">
        <v>-0.95941305160522461</v>
      </c>
      <c r="CI91" s="8">
        <v>-0.47848552465438843</v>
      </c>
      <c r="CJ91" s="8">
        <v>0.54174959659576416</v>
      </c>
      <c r="CK91" s="8">
        <v>-0.1835126131772995</v>
      </c>
      <c r="CL91" s="8">
        <v>9.2673614621162415E-2</v>
      </c>
      <c r="CM91" s="9">
        <v>-0.88209265470504761</v>
      </c>
      <c r="CN91" s="9">
        <v>-0.33152174949645996</v>
      </c>
      <c r="CO91" s="9">
        <v>-0.67662566900253296</v>
      </c>
      <c r="CP91" s="9">
        <v>-0.23004059493541718</v>
      </c>
      <c r="CQ91" s="9">
        <v>0.27854672074317932</v>
      </c>
      <c r="CR91">
        <v>12.834633127951921</v>
      </c>
      <c r="CS91">
        <v>0.65019196845228744</v>
      </c>
      <c r="CT91">
        <v>0.8203125</v>
      </c>
      <c r="CU91" s="8">
        <v>-0.1973975956439972</v>
      </c>
      <c r="CV91" s="9">
        <v>-0.3683467894792557</v>
      </c>
      <c r="CW91">
        <v>0.06</v>
      </c>
      <c r="CX91" t="e">
        <v>#VALUE!</v>
      </c>
      <c r="CY91" t="s">
        <v>908</v>
      </c>
      <c r="CZ91">
        <v>-0.1973975956439972</v>
      </c>
      <c r="DA91">
        <v>298.59199959547482</v>
      </c>
      <c r="DB91" t="s">
        <v>3587</v>
      </c>
      <c r="DC91">
        <v>-0.18752771586179734</v>
      </c>
      <c r="DD91">
        <v>149.29599979773741</v>
      </c>
      <c r="DE91" t="s">
        <v>3588</v>
      </c>
      <c r="DF91">
        <v>-0.17370988416671754</v>
      </c>
      <c r="DG91">
        <v>89.577599878642445</v>
      </c>
      <c r="DH91" t="s">
        <v>3589</v>
      </c>
      <c r="DI91">
        <v>-0.15791807651519776</v>
      </c>
      <c r="DJ91">
        <v>44.788799939321223</v>
      </c>
      <c r="DK91" t="s">
        <v>3590</v>
      </c>
      <c r="DL91">
        <v>-0.13817831695079802</v>
      </c>
      <c r="DM91">
        <v>14502600</v>
      </c>
      <c r="DN91">
        <v>-0.1973975956439972</v>
      </c>
      <c r="DO91">
        <v>12991081000</v>
      </c>
      <c r="DP91">
        <v>11609879000</v>
      </c>
      <c r="DQ91">
        <v>3431</v>
      </c>
      <c r="DR91">
        <v>20.467875354208321</v>
      </c>
      <c r="DS91">
        <v>-15.808749999649619</v>
      </c>
      <c r="DT91" s="10">
        <v>-0.90666666666666662</v>
      </c>
      <c r="DU91">
        <v>-1.665</v>
      </c>
      <c r="DV91">
        <v>-2.5716666666666668</v>
      </c>
      <c r="DW91">
        <v>6.1881453154875716</v>
      </c>
      <c r="DX91">
        <v>0.30454732824427533</v>
      </c>
      <c r="DY91">
        <v>6.0290773558302808</v>
      </c>
      <c r="DZ91">
        <v>1410</v>
      </c>
      <c r="EA91">
        <v>6.0210540541236863</v>
      </c>
      <c r="EB91">
        <v>6</v>
      </c>
      <c r="EC91">
        <v>3.2927638303903869E-2</v>
      </c>
      <c r="ED91">
        <v>0.21305860591688144</v>
      </c>
      <c r="EE91" s="11">
        <v>-4.0312999999999999</v>
      </c>
      <c r="EF91">
        <v>-4.0049000000000001</v>
      </c>
      <c r="EG91">
        <v>15.154547328244275</v>
      </c>
      <c r="EH91" t="s">
        <v>2012</v>
      </c>
      <c r="EI91">
        <v>0</v>
      </c>
      <c r="EJ91">
        <v>1</v>
      </c>
      <c r="EK91" s="13">
        <v>45470</v>
      </c>
      <c r="EL91" s="14">
        <v>0.5</v>
      </c>
      <c r="EM91" s="14">
        <v>-3.8</v>
      </c>
      <c r="EN91">
        <v>0.34</v>
      </c>
      <c r="EO91">
        <v>3.77</v>
      </c>
      <c r="EP91">
        <v>-2.64</v>
      </c>
    </row>
    <row r="92" spans="1:146" ht="88.5" customHeight="1" x14ac:dyDescent="0.25">
      <c r="A92" s="7"/>
      <c r="B92" s="7"/>
      <c r="C92" s="16" t="str">
        <f>""&amp;CHAR(10)&amp;Basic_Fundamental_Information_Constructure(F92)&amp;CHAR(10)&amp;Basic_Fundamental_Information_Concatenate("")</f>
        <v xml:space="preserve">
市值116.759708亿, 利润6120.64万; PE; 平均PE113.5; 平均PEG13.5, PB2.44; ROIC1.0333%; ROE2.67%; 股利率.0815%; 毛利31.6067%; 净利2.0667%; 上一年度营收增-43.4%, 利润增-47.69%; 当季营收增-78.83%, 利润增-303.59%; 过往5年营收增8.41%, 利润增-7.12%
Income profile:
</v>
      </c>
      <c r="D92" t="s">
        <v>381</v>
      </c>
      <c r="E92" t="s">
        <v>11</v>
      </c>
      <c r="F92">
        <v>12.27</v>
      </c>
      <c r="G92">
        <v>2.59</v>
      </c>
      <c r="H92" t="s">
        <v>3591</v>
      </c>
      <c r="I92">
        <v>11675970800</v>
      </c>
      <c r="K92">
        <v>2.44</v>
      </c>
      <c r="L92" t="s">
        <v>1589</v>
      </c>
      <c r="M92" t="s">
        <v>3592</v>
      </c>
      <c r="N92" t="s">
        <v>3593</v>
      </c>
      <c r="O92" t="s">
        <v>3594</v>
      </c>
      <c r="P92">
        <v>-87.88</v>
      </c>
      <c r="Q92" t="s">
        <v>3595</v>
      </c>
      <c r="R92">
        <v>-49384267</v>
      </c>
      <c r="S92" s="5">
        <v>-2.7690000000000001</v>
      </c>
      <c r="T92" t="s">
        <v>3596</v>
      </c>
      <c r="U92">
        <v>819660740</v>
      </c>
      <c r="V92">
        <v>951586870</v>
      </c>
      <c r="W92">
        <v>4.01</v>
      </c>
      <c r="X92">
        <v>0.01</v>
      </c>
      <c r="Y92">
        <v>-84.54</v>
      </c>
      <c r="Z92" t="s">
        <v>1045</v>
      </c>
      <c r="AA92" t="s">
        <v>3597</v>
      </c>
      <c r="AB92" t="s">
        <v>3598</v>
      </c>
      <c r="AC92" t="s">
        <v>3599</v>
      </c>
      <c r="AD92" t="s">
        <v>24</v>
      </c>
      <c r="AE92">
        <v>33367330</v>
      </c>
      <c r="AF92" t="s">
        <v>3600</v>
      </c>
      <c r="AG92" t="s">
        <v>3601</v>
      </c>
      <c r="AH92" t="s">
        <v>3602</v>
      </c>
      <c r="AI92" t="s">
        <v>3603</v>
      </c>
      <c r="AJ92" t="s">
        <v>3604</v>
      </c>
      <c r="AK92" t="s">
        <v>24</v>
      </c>
      <c r="AL92" t="s">
        <v>3605</v>
      </c>
      <c r="AM92" t="s">
        <v>24</v>
      </c>
      <c r="AN92" t="s">
        <v>260</v>
      </c>
      <c r="AO92" t="s">
        <v>3606</v>
      </c>
      <c r="AP92" t="s">
        <v>24</v>
      </c>
      <c r="AQ92" t="s">
        <v>3607</v>
      </c>
      <c r="AR92" t="s">
        <v>3608</v>
      </c>
      <c r="AS92" t="s">
        <v>3609</v>
      </c>
      <c r="AT92" t="s">
        <v>2989</v>
      </c>
      <c r="AU92" t="s">
        <v>3610</v>
      </c>
      <c r="AV92" t="s">
        <v>3611</v>
      </c>
      <c r="AW92" t="s">
        <v>3612</v>
      </c>
      <c r="AX92" t="s">
        <v>1519</v>
      </c>
      <c r="AY92" t="s">
        <v>726</v>
      </c>
      <c r="AZ92" t="s">
        <v>686</v>
      </c>
      <c r="BA92" t="s">
        <v>382</v>
      </c>
      <c r="BB92" t="s">
        <v>687</v>
      </c>
      <c r="BC92" t="s">
        <v>251</v>
      </c>
      <c r="BD92" t="s">
        <v>130</v>
      </c>
      <c r="BE92" t="s">
        <v>235</v>
      </c>
      <c r="BF92" t="s">
        <v>383</v>
      </c>
      <c r="BG92" t="s">
        <v>138</v>
      </c>
      <c r="BH92" t="s">
        <v>3613</v>
      </c>
      <c r="BI92" t="s">
        <v>733</v>
      </c>
      <c r="BJ92" t="s">
        <v>1519</v>
      </c>
      <c r="BK92" t="s">
        <v>3614</v>
      </c>
      <c r="BL92" t="s">
        <v>3615</v>
      </c>
      <c r="BM92" t="s">
        <v>251</v>
      </c>
      <c r="BN92">
        <v>0.41</v>
      </c>
      <c r="BO92">
        <v>1.05</v>
      </c>
      <c r="BP92">
        <v>1.64</v>
      </c>
      <c r="BQ92">
        <v>1.62</v>
      </c>
      <c r="BR92">
        <v>3.14</v>
      </c>
      <c r="BS92">
        <v>3.25</v>
      </c>
      <c r="BT92" t="s">
        <v>1120</v>
      </c>
      <c r="BU92" t="s">
        <v>1043</v>
      </c>
      <c r="BV92">
        <v>33.549999999999997</v>
      </c>
      <c r="BW92">
        <v>31.46</v>
      </c>
      <c r="BX92">
        <v>29.81</v>
      </c>
      <c r="BY92">
        <v>-0.17</v>
      </c>
      <c r="BZ92">
        <v>1.94</v>
      </c>
      <c r="CA92">
        <v>4.43</v>
      </c>
      <c r="CB92">
        <v>18.899999999999999</v>
      </c>
      <c r="CC92">
        <v>-1.84</v>
      </c>
      <c r="CD92" t="s">
        <v>3616</v>
      </c>
      <c r="CE92" t="s">
        <v>278</v>
      </c>
      <c r="CF92" s="8">
        <v>-0.7882706371191136</v>
      </c>
      <c r="CG92" s="9">
        <v>-3.035910515076309</v>
      </c>
      <c r="CH92" s="8">
        <v>-0.43403908610343933</v>
      </c>
      <c r="CI92" s="8">
        <v>-2.3070754483342171E-2</v>
      </c>
      <c r="CJ92" s="8">
        <v>0.34871238470077515</v>
      </c>
      <c r="CK92" s="8">
        <v>0.38690477609634399</v>
      </c>
      <c r="CL92" s="8">
        <v>0.14188621938228607</v>
      </c>
      <c r="CM92" s="9">
        <v>-0.47686836123466492</v>
      </c>
      <c r="CN92" s="9">
        <v>-8.4745762869715691E-3</v>
      </c>
      <c r="CO92" s="9">
        <v>6.3063062727451324E-2</v>
      </c>
      <c r="CP92" s="9">
        <v>4.7169812023639679E-2</v>
      </c>
      <c r="CQ92" s="9">
        <v>1.9230769947171211E-2</v>
      </c>
      <c r="CR92">
        <v>113.50469599796762</v>
      </c>
      <c r="CS92">
        <v>13.499814496192984</v>
      </c>
      <c r="CT92">
        <v>8.1499592502037491E-2</v>
      </c>
      <c r="CU92" s="8">
        <v>8.4078707918524745E-2</v>
      </c>
      <c r="CV92" s="9">
        <v>-7.1175858564674857E-2</v>
      </c>
      <c r="CW92">
        <v>0.06</v>
      </c>
      <c r="CX92">
        <v>285.76516819736872</v>
      </c>
      <c r="CY92">
        <v>62596750.02674</v>
      </c>
      <c r="CZ92">
        <v>8.4078707918524745E-2</v>
      </c>
      <c r="DA92">
        <v>93.855120723913004</v>
      </c>
      <c r="DB92">
        <v>190591314.16622204</v>
      </c>
      <c r="DC92">
        <v>7.9874772522598503E-2</v>
      </c>
      <c r="DD92">
        <v>46.513054844339706</v>
      </c>
      <c r="DE92">
        <v>384579573.62430334</v>
      </c>
      <c r="DF92">
        <v>7.3989262968301772E-2</v>
      </c>
      <c r="DG92">
        <v>28.142978018935338</v>
      </c>
      <c r="DH92">
        <v>635610445.63103807</v>
      </c>
      <c r="DI92">
        <v>6.7262966334819804E-2</v>
      </c>
      <c r="DJ92">
        <v>14.779298606631889</v>
      </c>
      <c r="DK92">
        <v>1210339629.5121315</v>
      </c>
      <c r="DL92">
        <v>5.885509554296732E-2</v>
      </c>
      <c r="DM92">
        <v>61206400</v>
      </c>
      <c r="DN92">
        <v>8.4078707918524745E-2</v>
      </c>
      <c r="DO92">
        <v>17887970800</v>
      </c>
      <c r="DP92">
        <v>3286942699.999999</v>
      </c>
      <c r="DQ92">
        <v>3451</v>
      </c>
      <c r="DR92">
        <v>-0.87234934503763839</v>
      </c>
      <c r="DS92">
        <v>-2.9647346565116344</v>
      </c>
      <c r="DT92" s="10">
        <v>-0.35666666666666669</v>
      </c>
      <c r="DU92">
        <v>-1.0649999999999999</v>
      </c>
      <c r="DV92">
        <v>-1.4216666666666666</v>
      </c>
      <c r="DW92">
        <v>5.0973544973544973</v>
      </c>
      <c r="DX92">
        <v>0.54431570881226032</v>
      </c>
      <c r="DY92">
        <v>5.0335206827626751</v>
      </c>
      <c r="DZ92">
        <v>3855</v>
      </c>
      <c r="EA92">
        <v>5.0082325747293845</v>
      </c>
      <c r="EB92">
        <v>5</v>
      </c>
      <c r="EC92">
        <v>9.4438461514291389E-2</v>
      </c>
      <c r="ED92">
        <v>0.27427868986885034</v>
      </c>
      <c r="EE92" s="11">
        <v>-1.0407999999999999</v>
      </c>
      <c r="EF92">
        <v>-1.0074000000000001</v>
      </c>
      <c r="EG92">
        <v>20.34431570881226</v>
      </c>
      <c r="EH92" t="s">
        <v>862</v>
      </c>
      <c r="EI92">
        <v>1</v>
      </c>
      <c r="EJ92">
        <v>0</v>
      </c>
      <c r="EK92" s="13">
        <v>45470</v>
      </c>
      <c r="EL92" s="14">
        <v>-2.54</v>
      </c>
      <c r="EM92" s="14">
        <v>-3.52</v>
      </c>
      <c r="EN92">
        <v>0.63</v>
      </c>
      <c r="EO92">
        <v>2.31</v>
      </c>
      <c r="EP92">
        <v>-3.34</v>
      </c>
    </row>
    <row r="93" spans="1:146" ht="88.5" customHeight="1" x14ac:dyDescent="0.25">
      <c r="A93" s="7"/>
      <c r="B93" s="7"/>
      <c r="C93" s="16" t="str">
        <f>""&amp;CHAR(10)&amp;Basic_Fundamental_Information_Constructure(F93)&amp;CHAR(10)&amp;Basic_Fundamental_Information_Concatenate("")</f>
        <v xml:space="preserve">
市值14.49216亿, 利润1.47亿; PE; 平均PE50.53; 平均PEG.36, PB1.99; ROIC.995%; ROE-2.1533%; 股利率0%; 毛利16.0633%; 净利-3.0833%; 上一年度营收增20.75%, 利润增766.21%; 当季营收增-90.99%, 利润增-270.4%; 过往5年营收增141.74%, 利润增102.57%
Income profile:
</v>
      </c>
      <c r="D93" t="s">
        <v>384</v>
      </c>
      <c r="E93" t="s">
        <v>42</v>
      </c>
      <c r="F93">
        <v>3.2</v>
      </c>
      <c r="G93">
        <v>1.27</v>
      </c>
      <c r="H93" t="s">
        <v>3617</v>
      </c>
      <c r="I93">
        <v>1449216000</v>
      </c>
      <c r="K93">
        <v>1.99</v>
      </c>
      <c r="L93" t="s">
        <v>1589</v>
      </c>
      <c r="M93" t="s">
        <v>3618</v>
      </c>
      <c r="N93" t="s">
        <v>3619</v>
      </c>
      <c r="O93" t="s">
        <v>879</v>
      </c>
      <c r="P93">
        <v>-90.01</v>
      </c>
      <c r="Q93" t="s">
        <v>3620</v>
      </c>
      <c r="R93">
        <v>-57755604</v>
      </c>
      <c r="S93" s="6">
        <v>-0.34839999999999999</v>
      </c>
      <c r="T93" t="s">
        <v>874</v>
      </c>
      <c r="U93">
        <v>452313700</v>
      </c>
      <c r="V93">
        <v>452880000</v>
      </c>
      <c r="W93">
        <v>8.66</v>
      </c>
      <c r="X93">
        <v>0.01</v>
      </c>
      <c r="Y93">
        <v>-43.66</v>
      </c>
      <c r="Z93" t="s">
        <v>149</v>
      </c>
      <c r="AA93" t="s">
        <v>109</v>
      </c>
      <c r="AB93" t="s">
        <v>3621</v>
      </c>
      <c r="AC93" t="s">
        <v>3622</v>
      </c>
      <c r="AD93" t="s">
        <v>24</v>
      </c>
      <c r="AE93">
        <v>44410144</v>
      </c>
      <c r="AF93" t="s">
        <v>3623</v>
      </c>
      <c r="AG93" t="s">
        <v>3624</v>
      </c>
      <c r="AH93" t="s">
        <v>3625</v>
      </c>
      <c r="AI93" t="s">
        <v>3626</v>
      </c>
      <c r="AJ93" t="s">
        <v>3627</v>
      </c>
      <c r="AK93" t="s">
        <v>24</v>
      </c>
      <c r="AL93" t="s">
        <v>3628</v>
      </c>
      <c r="AM93" t="s">
        <v>24</v>
      </c>
      <c r="AN93">
        <v>0</v>
      </c>
      <c r="AO93" t="s">
        <v>24</v>
      </c>
      <c r="AP93" t="s">
        <v>24</v>
      </c>
      <c r="AQ93" t="s">
        <v>258</v>
      </c>
      <c r="AR93" t="s">
        <v>3629</v>
      </c>
      <c r="AS93" t="s">
        <v>3630</v>
      </c>
      <c r="AT93" t="s">
        <v>3631</v>
      </c>
      <c r="AU93" t="s">
        <v>3113</v>
      </c>
      <c r="AV93" t="s">
        <v>3632</v>
      </c>
      <c r="AW93" t="s">
        <v>3633</v>
      </c>
      <c r="AX93" t="s">
        <v>929</v>
      </c>
      <c r="AY93" t="s">
        <v>953</v>
      </c>
      <c r="AZ93" t="s">
        <v>609</v>
      </c>
      <c r="BA93" t="s">
        <v>298</v>
      </c>
      <c r="BB93" t="s">
        <v>689</v>
      </c>
      <c r="BC93" t="s">
        <v>1522</v>
      </c>
      <c r="BD93" t="s">
        <v>954</v>
      </c>
      <c r="BE93" t="s">
        <v>955</v>
      </c>
      <c r="BF93" t="s">
        <v>385</v>
      </c>
      <c r="BG93" t="s">
        <v>690</v>
      </c>
      <c r="BH93" t="s">
        <v>3634</v>
      </c>
      <c r="BI93" t="s">
        <v>3635</v>
      </c>
      <c r="BJ93" t="s">
        <v>929</v>
      </c>
      <c r="BK93" t="s">
        <v>3636</v>
      </c>
      <c r="BL93" t="s">
        <v>3637</v>
      </c>
      <c r="BM93" t="s">
        <v>1522</v>
      </c>
      <c r="BN93" t="s">
        <v>24</v>
      </c>
      <c r="BO93">
        <v>1.17</v>
      </c>
      <c r="BP93">
        <v>0.82</v>
      </c>
      <c r="BQ93">
        <v>-7.2</v>
      </c>
      <c r="BR93">
        <v>0.48</v>
      </c>
      <c r="BS93">
        <v>0.26</v>
      </c>
      <c r="BT93" t="s">
        <v>1115</v>
      </c>
      <c r="BU93" t="s">
        <v>1043</v>
      </c>
      <c r="BV93">
        <v>7.3</v>
      </c>
      <c r="BW93">
        <v>12.57</v>
      </c>
      <c r="BX93">
        <v>28.32</v>
      </c>
      <c r="BY93">
        <v>-13.97</v>
      </c>
      <c r="BZ93">
        <v>2.11</v>
      </c>
      <c r="CA93">
        <v>2.61</v>
      </c>
      <c r="CB93">
        <v>0.31</v>
      </c>
      <c r="CC93">
        <v>-17.95</v>
      </c>
      <c r="CD93" t="s">
        <v>3638</v>
      </c>
      <c r="CE93" t="s">
        <v>2312</v>
      </c>
      <c r="CF93" s="8">
        <v>-0.90990990990990994</v>
      </c>
      <c r="CG93" s="9">
        <v>-2.703991842388795</v>
      </c>
      <c r="CH93" s="8">
        <v>0.20747700333595276</v>
      </c>
      <c r="CI93" s="8">
        <v>1.8968589305877686</v>
      </c>
      <c r="CJ93" s="8">
        <v>5.5429444313049316</v>
      </c>
      <c r="CK93" s="8">
        <v>-0.7244294285774231</v>
      </c>
      <c r="CL93" s="8">
        <v>0.16437013447284698</v>
      </c>
      <c r="CM93" s="9">
        <v>7.6620903015136719</v>
      </c>
      <c r="CN93" s="9">
        <v>1.9511860609054565</v>
      </c>
      <c r="CO93" s="9">
        <v>1.0819427967071533</v>
      </c>
      <c r="CP93" s="9">
        <v>-4.8968801498413086</v>
      </c>
      <c r="CQ93" s="9">
        <v>-0.66978877782821655</v>
      </c>
      <c r="CR93">
        <v>50.527989345029624</v>
      </c>
      <c r="CS93">
        <v>0.35647250761584875</v>
      </c>
      <c r="CT93">
        <v>0</v>
      </c>
      <c r="CU93" s="8">
        <v>1.4174442142248154</v>
      </c>
      <c r="CV93" s="9">
        <v>1.0257100462913513</v>
      </c>
      <c r="CW93">
        <v>0.06</v>
      </c>
      <c r="CX93">
        <v>50.145411301927673</v>
      </c>
      <c r="CY93">
        <v>335249339.14249796</v>
      </c>
      <c r="CZ93">
        <v>1.4174442142248154</v>
      </c>
      <c r="DA93">
        <v>6.3664318118880026</v>
      </c>
      <c r="DB93">
        <v>2640602537.9253273</v>
      </c>
      <c r="DC93">
        <v>1.3465720035135746</v>
      </c>
      <c r="DD93">
        <v>0.67267950459796255</v>
      </c>
      <c r="DE93">
        <v>24991419963.133091</v>
      </c>
      <c r="DF93">
        <v>1.2473509085178376</v>
      </c>
      <c r="DG93">
        <v>5.2684806160796488E-2</v>
      </c>
      <c r="DH93">
        <v>319090402433.88928</v>
      </c>
      <c r="DI93">
        <v>1.1339553713798523</v>
      </c>
      <c r="DJ93">
        <v>1.7695912234930687E-4</v>
      </c>
      <c r="DK93">
        <v>95000561580632.453</v>
      </c>
      <c r="DL93">
        <v>0.99221094995737069</v>
      </c>
      <c r="DM93">
        <v>147000000</v>
      </c>
      <c r="DN93">
        <v>1.4174442142248154</v>
      </c>
      <c r="DO93">
        <v>16811216000</v>
      </c>
      <c r="DP93">
        <v>10602273000</v>
      </c>
      <c r="DQ93">
        <v>3466</v>
      </c>
      <c r="DR93">
        <v>-2.3273541241347253</v>
      </c>
      <c r="DS93">
        <v>-3.7297018886801463</v>
      </c>
      <c r="DT93" s="10">
        <v>0.37833333333333335</v>
      </c>
      <c r="DU93">
        <v>-0.83166666666666667</v>
      </c>
      <c r="DV93">
        <v>-0.45333333333333331</v>
      </c>
      <c r="DW93">
        <v>-3.0220535714285712</v>
      </c>
      <c r="DX93">
        <v>0.30301235294117579</v>
      </c>
      <c r="DY93">
        <v>-3.0029333974264705</v>
      </c>
      <c r="DZ93">
        <v>3331</v>
      </c>
      <c r="EA93">
        <v>-3.0010212356206831</v>
      </c>
      <c r="EB93">
        <v>3</v>
      </c>
      <c r="EC93">
        <v>9.9859123829712071E-2</v>
      </c>
      <c r="ED93">
        <v>0.75075075075075071</v>
      </c>
      <c r="EE93" s="11">
        <v>2.1999999999999997E-3</v>
      </c>
      <c r="EF93">
        <v>9.0999999999999978E-4</v>
      </c>
      <c r="EG93">
        <v>17.133012352941176</v>
      </c>
      <c r="EH93">
        <v>-1</v>
      </c>
      <c r="EI93">
        <v>0</v>
      </c>
      <c r="EJ93">
        <v>0</v>
      </c>
      <c r="EK93" s="13">
        <v>45470</v>
      </c>
      <c r="EL93" s="14">
        <v>0.94</v>
      </c>
      <c r="EM93" s="14">
        <v>-2.8</v>
      </c>
      <c r="EN93">
        <v>1.6</v>
      </c>
      <c r="EO93">
        <v>0.95</v>
      </c>
      <c r="EP93">
        <v>-0.31</v>
      </c>
    </row>
    <row r="94" spans="1:146" ht="88.5" customHeight="1" x14ac:dyDescent="0.25">
      <c r="A94" s="7"/>
      <c r="B94" s="7"/>
      <c r="C94" s="16" t="str">
        <f>""&amp;CHAR(10)&amp;Basic_Fundamental_Information_Constructure(F94)&amp;CHAR(10)&amp;Basic_Fundamental_Information_Concatenate("")</f>
        <v xml:space="preserve">
市值59.602249亿, 利润3.52亿; PE15.75; 平均PE13.3; 平均PEG1.49, PB1.64; ROIC12.47%; ROE16.0433%; 股利率1.782%; 毛利18.3467%; 净利11.04%; 上一年度营收增-35.7%, 利润增-38.99%; 当季营收增42.22%, 利润增46.63%; 过往5年营收增8.95%, 利润增15.14%
Income profile:
</v>
      </c>
      <c r="D94" t="s">
        <v>799</v>
      </c>
      <c r="E94" t="s">
        <v>800</v>
      </c>
      <c r="F94">
        <v>9.5399999999999991</v>
      </c>
      <c r="G94">
        <v>-3.0999999999999999E-3</v>
      </c>
      <c r="H94" t="s">
        <v>1524</v>
      </c>
      <c r="I94">
        <v>5960224900</v>
      </c>
      <c r="J94">
        <v>15.75</v>
      </c>
      <c r="K94">
        <v>1.64</v>
      </c>
      <c r="L94" t="s">
        <v>1589</v>
      </c>
      <c r="M94" t="s">
        <v>1525</v>
      </c>
      <c r="N94" t="s">
        <v>1526</v>
      </c>
      <c r="O94" t="s">
        <v>1527</v>
      </c>
      <c r="P94">
        <v>42.3</v>
      </c>
      <c r="Q94" t="s">
        <v>1528</v>
      </c>
      <c r="R94">
        <v>82143939</v>
      </c>
      <c r="S94" s="5">
        <v>0.46629999999999999</v>
      </c>
      <c r="T94" t="s">
        <v>583</v>
      </c>
      <c r="U94">
        <v>624761520</v>
      </c>
      <c r="V94">
        <v>624761520</v>
      </c>
      <c r="W94">
        <v>2.75</v>
      </c>
      <c r="X94">
        <v>0.1</v>
      </c>
      <c r="Y94">
        <v>8.7100000000000009</v>
      </c>
      <c r="Z94" t="s">
        <v>650</v>
      </c>
      <c r="AA94" t="s">
        <v>1255</v>
      </c>
      <c r="AB94" t="s">
        <v>1529</v>
      </c>
      <c r="AC94" t="s">
        <v>1530</v>
      </c>
      <c r="AD94" t="s">
        <v>1531</v>
      </c>
      <c r="AE94">
        <v>-5790718</v>
      </c>
      <c r="AF94" t="s">
        <v>1532</v>
      </c>
      <c r="AG94" t="s">
        <v>1533</v>
      </c>
      <c r="AH94" t="s">
        <v>1534</v>
      </c>
      <c r="AI94" t="s">
        <v>1535</v>
      </c>
      <c r="AJ94" t="s">
        <v>1536</v>
      </c>
      <c r="AK94" t="s">
        <v>1537</v>
      </c>
      <c r="AL94" t="s">
        <v>1538</v>
      </c>
      <c r="AM94" t="s">
        <v>24</v>
      </c>
      <c r="AN94" t="s">
        <v>1539</v>
      </c>
      <c r="AO94" t="s">
        <v>1540</v>
      </c>
      <c r="AP94" t="s">
        <v>1541</v>
      </c>
      <c r="AQ94" t="s">
        <v>1084</v>
      </c>
      <c r="AR94" t="s">
        <v>1542</v>
      </c>
      <c r="AS94" t="s">
        <v>1543</v>
      </c>
      <c r="AT94" t="s">
        <v>1544</v>
      </c>
      <c r="AU94" t="s">
        <v>1545</v>
      </c>
      <c r="AV94" t="s">
        <v>1546</v>
      </c>
      <c r="AW94" t="s">
        <v>1547</v>
      </c>
      <c r="AX94" t="s">
        <v>956</v>
      </c>
      <c r="AY94" t="s">
        <v>801</v>
      </c>
      <c r="AZ94" t="s">
        <v>802</v>
      </c>
      <c r="BA94" t="s">
        <v>803</v>
      </c>
      <c r="BB94" t="s">
        <v>804</v>
      </c>
      <c r="BC94" t="s">
        <v>250</v>
      </c>
      <c r="BD94" t="s">
        <v>497</v>
      </c>
      <c r="BE94" t="s">
        <v>703</v>
      </c>
      <c r="BF94" t="s">
        <v>430</v>
      </c>
      <c r="BG94" t="s">
        <v>621</v>
      </c>
      <c r="BH94" t="s">
        <v>1528</v>
      </c>
      <c r="BI94" t="s">
        <v>1548</v>
      </c>
      <c r="BJ94" t="s">
        <v>956</v>
      </c>
      <c r="BK94" t="s">
        <v>583</v>
      </c>
      <c r="BL94" t="s">
        <v>1549</v>
      </c>
      <c r="BM94" t="s">
        <v>250</v>
      </c>
      <c r="BN94">
        <v>7.1</v>
      </c>
      <c r="BO94">
        <v>13.46</v>
      </c>
      <c r="BP94">
        <v>16.850000000000001</v>
      </c>
      <c r="BQ94">
        <v>10.14</v>
      </c>
      <c r="BR94">
        <v>17.899999999999999</v>
      </c>
      <c r="BS94">
        <v>20.09</v>
      </c>
      <c r="BT94" t="s">
        <v>1550</v>
      </c>
      <c r="BU94" t="s">
        <v>1043</v>
      </c>
      <c r="BV94">
        <v>12.95</v>
      </c>
      <c r="BW94">
        <v>16.059999999999999</v>
      </c>
      <c r="BX94">
        <v>26.03</v>
      </c>
      <c r="BY94">
        <v>8.7100000000000009</v>
      </c>
      <c r="BZ94">
        <v>10.59</v>
      </c>
      <c r="CA94">
        <v>13.82</v>
      </c>
      <c r="CB94">
        <v>-0.83</v>
      </c>
      <c r="CC94">
        <v>-11.99</v>
      </c>
      <c r="CD94" t="s">
        <v>1551</v>
      </c>
      <c r="CE94" t="s">
        <v>1156</v>
      </c>
      <c r="CF94" s="8">
        <v>0.42216708450704227</v>
      </c>
      <c r="CG94" s="9">
        <v>0.46629048438459453</v>
      </c>
      <c r="CH94" s="8">
        <v>-0.35697972774505615</v>
      </c>
      <c r="CI94" s="8">
        <v>-2.7129989117383957E-2</v>
      </c>
      <c r="CJ94" s="8">
        <v>-7.5578647665679455E-3</v>
      </c>
      <c r="CK94" s="8">
        <v>0.93392205238342285</v>
      </c>
      <c r="CL94" s="8">
        <v>-9.4568528234958649E-2</v>
      </c>
      <c r="CM94" s="9">
        <v>-0.38994801044464111</v>
      </c>
      <c r="CN94" s="9">
        <v>-3.187919408082962E-2</v>
      </c>
      <c r="CO94" s="9">
        <v>-1.8121911212801933E-2</v>
      </c>
      <c r="CP94" s="9">
        <v>1.0166113376617432</v>
      </c>
      <c r="CQ94" s="9">
        <v>0.18039216101169586</v>
      </c>
      <c r="CR94">
        <v>13.3040734375</v>
      </c>
      <c r="CS94">
        <v>1.4858712519124735</v>
      </c>
      <c r="CT94">
        <v>1.7819706498951784</v>
      </c>
      <c r="CU94" s="8">
        <v>8.9537188503891224E-2</v>
      </c>
      <c r="CV94" s="9">
        <v>0.15141087658703328</v>
      </c>
      <c r="CW94">
        <v>0.06</v>
      </c>
      <c r="CX94">
        <v>24.129402904765993</v>
      </c>
      <c r="CY94">
        <v>361808575.80506575</v>
      </c>
      <c r="CZ94">
        <v>8.9537188503891224E-2</v>
      </c>
      <c r="DA94">
        <v>7.8883547791070185</v>
      </c>
      <c r="DB94">
        <v>1106723156.4080696</v>
      </c>
      <c r="DC94">
        <v>8.5060329078696664E-2</v>
      </c>
      <c r="DD94">
        <v>3.8852899384680164</v>
      </c>
      <c r="DE94">
        <v>2246994442.6959186</v>
      </c>
      <c r="DF94">
        <v>7.8792725883424272E-2</v>
      </c>
      <c r="DG94">
        <v>2.3345627708065781</v>
      </c>
      <c r="DH94">
        <v>3739554579.2001801</v>
      </c>
      <c r="DI94">
        <v>7.1629750803112985E-2</v>
      </c>
      <c r="DJ94">
        <v>1.2075612295387228</v>
      </c>
      <c r="DK94">
        <v>7229633319.1608553</v>
      </c>
      <c r="DL94">
        <v>6.2676031952723851E-2</v>
      </c>
      <c r="DM94">
        <v>352000000</v>
      </c>
      <c r="DN94">
        <v>8.9537188503891224E-2</v>
      </c>
      <c r="DO94">
        <v>8730224900</v>
      </c>
      <c r="DP94">
        <v>2374983900.000001</v>
      </c>
      <c r="DQ94">
        <v>3484</v>
      </c>
      <c r="DR94">
        <v>0.33262989600315107</v>
      </c>
      <c r="DS94">
        <v>0.31487960779756125</v>
      </c>
      <c r="DT94" s="10">
        <v>6.6666666666666652E-2</v>
      </c>
      <c r="DU94">
        <v>0.38666666666666666</v>
      </c>
      <c r="DV94">
        <v>0.45333333333333331</v>
      </c>
      <c r="DW94">
        <v>-2.1198999999999999</v>
      </c>
      <c r="DX94">
        <v>0.23131304347825918</v>
      </c>
      <c r="DY94">
        <v>-2.0085504339130433</v>
      </c>
      <c r="DZ94">
        <v>1894</v>
      </c>
      <c r="EA94">
        <v>-2.0053404196749254</v>
      </c>
      <c r="EB94">
        <v>2</v>
      </c>
      <c r="EC94">
        <v>4.9881113036539124E-2</v>
      </c>
      <c r="ED94">
        <v>0.69946689418387997</v>
      </c>
      <c r="EE94" s="11">
        <v>2.0952999999999999</v>
      </c>
      <c r="EF94">
        <v>2.095269</v>
      </c>
      <c r="EG94">
        <v>16.071313043478259</v>
      </c>
      <c r="EH94" t="s">
        <v>836</v>
      </c>
      <c r="EI94">
        <v>0</v>
      </c>
      <c r="EJ94">
        <v>0</v>
      </c>
      <c r="EK94" s="13">
        <v>45128</v>
      </c>
      <c r="EL94" s="14">
        <v>1.14E-2</v>
      </c>
      <c r="EM94" s="14">
        <v>0.31</v>
      </c>
    </row>
    <row r="95" spans="1:146" ht="88.5" customHeight="1" x14ac:dyDescent="0.25">
      <c r="A95" s="7"/>
      <c r="B95" s="7"/>
      <c r="C95" s="16" t="str">
        <f>""&amp;CHAR(10)&amp;Basic_Fundamental_Information_Constructure(F95)&amp;CHAR(10)&amp;Basic_Fundamental_Information_Concatenate("")</f>
        <v xml:space="preserve">
市值228.78957亿, 利润4.97亿; PE22.7; 平均PE19.62; 平均PEG.94, PB1.22; ROIC4.4333%; ROE6.7233%; 股利率2.2051%; 毛利55.0667%; 净利24.9433%; 上一年度营收增66.71%, 利润增-50.74%; 当季营收增-4.16%, 利润增338.73%; 过往5年营收增20.77%, 利润增-12.42%
Income profile:
</v>
      </c>
      <c r="D95" t="s">
        <v>805</v>
      </c>
      <c r="E95" t="s">
        <v>806</v>
      </c>
      <c r="F95">
        <v>9.07</v>
      </c>
      <c r="G95">
        <v>2.83</v>
      </c>
      <c r="H95" t="s">
        <v>3639</v>
      </c>
      <c r="I95">
        <v>22878957000</v>
      </c>
      <c r="J95">
        <v>22.7</v>
      </c>
      <c r="K95">
        <v>1.22</v>
      </c>
      <c r="L95" t="s">
        <v>1589</v>
      </c>
      <c r="M95" t="s">
        <v>3640</v>
      </c>
      <c r="N95" t="s">
        <v>3641</v>
      </c>
      <c r="O95" t="s">
        <v>134</v>
      </c>
      <c r="P95">
        <v>88.48</v>
      </c>
      <c r="Q95" t="s">
        <v>3642</v>
      </c>
      <c r="R95">
        <v>203923370</v>
      </c>
      <c r="S95" s="5">
        <v>-0.20569999999999999</v>
      </c>
      <c r="T95" t="s">
        <v>279</v>
      </c>
      <c r="U95">
        <v>2393912300</v>
      </c>
      <c r="V95">
        <v>2522487000</v>
      </c>
      <c r="W95">
        <v>2.56</v>
      </c>
      <c r="X95">
        <v>0.02</v>
      </c>
      <c r="Y95">
        <v>18.29</v>
      </c>
      <c r="Z95" t="s">
        <v>3643</v>
      </c>
      <c r="AA95" t="s">
        <v>1112</v>
      </c>
      <c r="AB95" t="s">
        <v>3644</v>
      </c>
      <c r="AC95" t="s">
        <v>327</v>
      </c>
      <c r="AD95" t="s">
        <v>24</v>
      </c>
      <c r="AE95">
        <v>144741240</v>
      </c>
      <c r="AF95" t="s">
        <v>3645</v>
      </c>
      <c r="AG95" t="s">
        <v>3646</v>
      </c>
      <c r="AH95" t="s">
        <v>3647</v>
      </c>
      <c r="AI95" t="s">
        <v>3648</v>
      </c>
      <c r="AJ95" t="s">
        <v>3649</v>
      </c>
      <c r="AK95" t="s">
        <v>3650</v>
      </c>
      <c r="AL95" t="s">
        <v>3651</v>
      </c>
      <c r="AM95" t="s">
        <v>24</v>
      </c>
      <c r="AN95" t="s">
        <v>3652</v>
      </c>
      <c r="AO95" t="s">
        <v>3653</v>
      </c>
      <c r="AP95" t="s">
        <v>24</v>
      </c>
      <c r="AQ95" t="s">
        <v>3654</v>
      </c>
      <c r="AR95" t="s">
        <v>1413</v>
      </c>
      <c r="AS95" t="s">
        <v>3655</v>
      </c>
      <c r="AT95" t="s">
        <v>3656</v>
      </c>
      <c r="AU95" t="s">
        <v>3555</v>
      </c>
      <c r="AV95" t="s">
        <v>3657</v>
      </c>
      <c r="AW95" t="s">
        <v>3658</v>
      </c>
      <c r="AX95" t="s">
        <v>1552</v>
      </c>
      <c r="AY95" t="s">
        <v>1554</v>
      </c>
      <c r="AZ95" t="s">
        <v>646</v>
      </c>
      <c r="BA95" t="s">
        <v>807</v>
      </c>
      <c r="BB95" t="s">
        <v>808</v>
      </c>
      <c r="BC95" t="s">
        <v>1553</v>
      </c>
      <c r="BD95" t="s">
        <v>944</v>
      </c>
      <c r="BE95" t="s">
        <v>700</v>
      </c>
      <c r="BF95" t="s">
        <v>737</v>
      </c>
      <c r="BG95" t="s">
        <v>593</v>
      </c>
      <c r="BH95" t="s">
        <v>574</v>
      </c>
      <c r="BI95" t="s">
        <v>560</v>
      </c>
      <c r="BJ95" t="s">
        <v>1552</v>
      </c>
      <c r="BK95" t="s">
        <v>3659</v>
      </c>
      <c r="BL95" t="s">
        <v>3660</v>
      </c>
      <c r="BM95" t="s">
        <v>1553</v>
      </c>
      <c r="BN95">
        <v>2.86</v>
      </c>
      <c r="BO95">
        <v>4.04</v>
      </c>
      <c r="BP95">
        <v>6.4</v>
      </c>
      <c r="BQ95">
        <v>4.37</v>
      </c>
      <c r="BR95">
        <v>5.49</v>
      </c>
      <c r="BS95">
        <v>10.31</v>
      </c>
      <c r="BT95" t="s">
        <v>3661</v>
      </c>
      <c r="BU95" t="s">
        <v>1059</v>
      </c>
      <c r="BV95">
        <v>50.57</v>
      </c>
      <c r="BW95">
        <v>54.74</v>
      </c>
      <c r="BX95">
        <v>59.89</v>
      </c>
      <c r="BY95">
        <v>22.72</v>
      </c>
      <c r="BZ95">
        <v>22.45</v>
      </c>
      <c r="CA95">
        <v>29.66</v>
      </c>
      <c r="CB95">
        <v>-0.44</v>
      </c>
      <c r="CC95">
        <v>-17.989999999999998</v>
      </c>
      <c r="CD95" t="s">
        <v>3662</v>
      </c>
      <c r="CE95" t="s">
        <v>1119</v>
      </c>
      <c r="CF95" s="8">
        <v>-4.1603247082699135E-2</v>
      </c>
      <c r="CG95" s="9">
        <v>3.3872603311474845</v>
      </c>
      <c r="CH95" s="8">
        <v>0.66711121797561646</v>
      </c>
      <c r="CI95" s="8">
        <v>-4.6415474265813828E-2</v>
      </c>
      <c r="CJ95" s="8">
        <v>0.59791719913482666</v>
      </c>
      <c r="CK95" s="8">
        <v>-3.2911878079175949E-3</v>
      </c>
      <c r="CL95" s="8">
        <v>-0.1769118458032608</v>
      </c>
      <c r="CM95" s="9">
        <v>-0.50743311643600464</v>
      </c>
      <c r="CN95" s="9">
        <v>-0.33001327514648438</v>
      </c>
      <c r="CO95" s="9">
        <v>6.5817460417747498E-2</v>
      </c>
      <c r="CP95" s="9">
        <v>4.8997674137353897E-2</v>
      </c>
      <c r="CQ95" s="9">
        <v>0.10139001905918121</v>
      </c>
      <c r="CR95">
        <v>19.624552108649038</v>
      </c>
      <c r="CS95">
        <v>0.94493282152593217</v>
      </c>
      <c r="CT95">
        <v>2.2050716648291067</v>
      </c>
      <c r="CU95" s="8">
        <v>0.20768198184669018</v>
      </c>
      <c r="CV95" s="9">
        <v>-0.12424824759364128</v>
      </c>
      <c r="CW95">
        <v>0.06</v>
      </c>
      <c r="CX95">
        <v>69.390585150765745</v>
      </c>
      <c r="CY95">
        <v>566243344.31868386</v>
      </c>
      <c r="CZ95">
        <v>0.20768198184669018</v>
      </c>
      <c r="DA95">
        <v>20.553623872335844</v>
      </c>
      <c r="DB95">
        <v>1911680258.627532</v>
      </c>
      <c r="DC95">
        <v>0.19729788275435567</v>
      </c>
      <c r="DD95">
        <v>8.8237011076553422</v>
      </c>
      <c r="DE95">
        <v>4453001809.6273394</v>
      </c>
      <c r="DF95">
        <v>0.18276014402508736</v>
      </c>
      <c r="DG95">
        <v>4.5060519809718782</v>
      </c>
      <c r="DH95">
        <v>8719818849.3878403</v>
      </c>
      <c r="DI95">
        <v>0.16614558547735214</v>
      </c>
      <c r="DJ95">
        <v>1.5891998700537378</v>
      </c>
      <c r="DK95">
        <v>24724364594.033958</v>
      </c>
      <c r="DL95">
        <v>0.14537738729268312</v>
      </c>
      <c r="DM95">
        <v>497000000</v>
      </c>
      <c r="DN95">
        <v>0.20768198184669018</v>
      </c>
      <c r="DO95">
        <v>39291957000</v>
      </c>
      <c r="DP95">
        <v>25115705000</v>
      </c>
      <c r="DQ95">
        <v>3516</v>
      </c>
      <c r="DR95">
        <v>-0.24928522892938931</v>
      </c>
      <c r="DS95">
        <v>3.5115085787411258</v>
      </c>
      <c r="DT95" s="10">
        <v>-7.333333333333332E-2</v>
      </c>
      <c r="DU95">
        <v>-0.31666666666666665</v>
      </c>
      <c r="DV95">
        <v>-0.38999999999999996</v>
      </c>
      <c r="DW95">
        <v>-3.0225059523809525</v>
      </c>
      <c r="DX95">
        <v>0.48242699386503007</v>
      </c>
      <c r="DY95">
        <v>-3.0047808718083551</v>
      </c>
      <c r="DZ95">
        <v>4744</v>
      </c>
      <c r="EA95">
        <v>-3.000342426434806</v>
      </c>
      <c r="EB95">
        <v>3</v>
      </c>
      <c r="EC95">
        <v>1.3726770445199519E-2</v>
      </c>
      <c r="ED95">
        <v>6.4618767113566886E-2</v>
      </c>
      <c r="EE95" s="11">
        <v>-5.1163999999999996</v>
      </c>
      <c r="EF95">
        <v>-5.0989000000000004</v>
      </c>
      <c r="EG95">
        <v>27.21242699386503</v>
      </c>
      <c r="EH95" t="s">
        <v>3062</v>
      </c>
      <c r="EI95">
        <v>0</v>
      </c>
      <c r="EJ95">
        <v>0</v>
      </c>
      <c r="EK95" s="13">
        <v>45470</v>
      </c>
      <c r="EL95" s="14">
        <v>-1.1200000000000001</v>
      </c>
      <c r="EM95" s="14">
        <v>-4.03</v>
      </c>
      <c r="EN95">
        <v>2.1800000000000002</v>
      </c>
      <c r="EO95">
        <v>3.45</v>
      </c>
      <c r="EP95">
        <v>-1.75</v>
      </c>
    </row>
    <row r="96" spans="1:146" ht="88.5" customHeight="1" x14ac:dyDescent="0.25">
      <c r="C96" s="16" t="str">
        <f>""&amp;CHAR(10)&amp;Basic_Fundamental_Information_Constructure(F96)&amp;CHAR(10)&amp;Basic_Fundamental_Information_Concatenate("")</f>
        <v xml:space="preserve">
市值17.92132亿, 利润-2.35亿; PE14.31; 平均PE113.35; 平均PEG1.57, PB.757; ROIC5.0933%; ROE5.4567%; 股利率4.058%; 毛利45.6133%; 净利60.82%; 上一年度营收增390.07%, 利润增-291.06%; 当季营收增-90.86%, 利润增101.6%; 过往5年营收增72.18%, 利润增-20.84%
Income profile:
</v>
      </c>
      <c r="D96" s="5" t="s">
        <v>1555</v>
      </c>
      <c r="E96" t="s">
        <v>1556</v>
      </c>
      <c r="F96">
        <v>3.45</v>
      </c>
      <c r="G96">
        <v>0.88</v>
      </c>
      <c r="H96" t="s">
        <v>3663</v>
      </c>
      <c r="I96">
        <v>1792132000</v>
      </c>
      <c r="J96">
        <v>14.31</v>
      </c>
      <c r="K96">
        <v>0.75700000000000001</v>
      </c>
      <c r="L96" t="s">
        <v>1589</v>
      </c>
      <c r="M96" t="s">
        <v>3096</v>
      </c>
      <c r="N96" t="s">
        <v>3664</v>
      </c>
      <c r="O96" t="s">
        <v>3665</v>
      </c>
      <c r="P96" s="5">
        <v>-79.150000000000006</v>
      </c>
      <c r="Q96" t="s">
        <v>3666</v>
      </c>
      <c r="R96">
        <v>711820</v>
      </c>
      <c r="S96">
        <v>-0.9698</v>
      </c>
      <c r="T96" t="s">
        <v>1900</v>
      </c>
      <c r="U96">
        <v>519458540</v>
      </c>
      <c r="V96">
        <v>519458540</v>
      </c>
      <c r="W96">
        <v>1.0900000000000001</v>
      </c>
      <c r="X96">
        <v>0.01</v>
      </c>
      <c r="Y96">
        <v>5.36</v>
      </c>
      <c r="Z96" t="s">
        <v>3667</v>
      </c>
      <c r="AA96" t="s">
        <v>3668</v>
      </c>
      <c r="AB96" t="s">
        <v>3669</v>
      </c>
      <c r="AC96" t="s">
        <v>3670</v>
      </c>
      <c r="AD96" t="s">
        <v>24</v>
      </c>
      <c r="AE96">
        <v>-8403977</v>
      </c>
      <c r="AF96" t="s">
        <v>3671</v>
      </c>
      <c r="AG96" t="s">
        <v>24</v>
      </c>
      <c r="AH96" t="s">
        <v>3672</v>
      </c>
      <c r="AI96" t="s">
        <v>3673</v>
      </c>
      <c r="AJ96" t="s">
        <v>3674</v>
      </c>
      <c r="AK96" t="s">
        <v>3675</v>
      </c>
      <c r="AL96" t="s">
        <v>3676</v>
      </c>
      <c r="AM96" t="s">
        <v>24</v>
      </c>
      <c r="AN96" t="s">
        <v>3677</v>
      </c>
      <c r="AO96" t="s">
        <v>24</v>
      </c>
      <c r="AP96" t="s">
        <v>24</v>
      </c>
      <c r="AQ96" t="s">
        <v>3678</v>
      </c>
      <c r="AR96" t="s">
        <v>3679</v>
      </c>
      <c r="AS96" t="s">
        <v>1055</v>
      </c>
      <c r="AT96" t="s">
        <v>24</v>
      </c>
      <c r="AU96" t="s">
        <v>3680</v>
      </c>
      <c r="AV96" t="s">
        <v>3681</v>
      </c>
      <c r="AW96" t="s">
        <v>24</v>
      </c>
      <c r="AX96" t="s">
        <v>195</v>
      </c>
      <c r="AY96" t="s">
        <v>725</v>
      </c>
      <c r="AZ96" t="s">
        <v>621</v>
      </c>
      <c r="BA96" t="s">
        <v>679</v>
      </c>
      <c r="BB96" t="s">
        <v>736</v>
      </c>
      <c r="BC96" t="s">
        <v>125</v>
      </c>
      <c r="BD96" t="s">
        <v>1557</v>
      </c>
      <c r="BE96" t="s">
        <v>1558</v>
      </c>
      <c r="BF96" t="s">
        <v>1559</v>
      </c>
      <c r="BG96" t="s">
        <v>1560</v>
      </c>
      <c r="BH96" t="s">
        <v>702</v>
      </c>
      <c r="BI96" t="s">
        <v>3682</v>
      </c>
      <c r="BJ96" t="s">
        <v>195</v>
      </c>
      <c r="BK96" t="s">
        <v>121</v>
      </c>
      <c r="BL96" t="s">
        <v>3683</v>
      </c>
      <c r="BM96" t="s">
        <v>125</v>
      </c>
      <c r="BN96">
        <v>5.53</v>
      </c>
      <c r="BO96">
        <v>5.39</v>
      </c>
      <c r="BP96">
        <v>4.3600000000000003</v>
      </c>
      <c r="BQ96">
        <v>5.88</v>
      </c>
      <c r="BR96">
        <v>5.75</v>
      </c>
      <c r="BS96">
        <v>4.74</v>
      </c>
      <c r="BT96" t="s">
        <v>3684</v>
      </c>
      <c r="BU96" t="s">
        <v>1043</v>
      </c>
      <c r="BV96">
        <v>48.26</v>
      </c>
      <c r="BW96">
        <v>49.69</v>
      </c>
      <c r="BX96">
        <v>38.89</v>
      </c>
      <c r="BY96">
        <v>89.87</v>
      </c>
      <c r="BZ96">
        <v>48.49</v>
      </c>
      <c r="CA96">
        <v>44.1</v>
      </c>
      <c r="CB96">
        <v>0.88</v>
      </c>
      <c r="CC96" s="8">
        <v>-13.53</v>
      </c>
      <c r="CD96" s="9" t="s">
        <v>3685</v>
      </c>
      <c r="CE96" s="8" t="s">
        <v>1127</v>
      </c>
      <c r="CF96" s="8">
        <v>-0.90855603864734302</v>
      </c>
      <c r="CG96" s="8">
        <v>1.0159877276637417</v>
      </c>
      <c r="CH96" s="8">
        <v>3.9007091522216797</v>
      </c>
      <c r="CI96" s="8">
        <v>0.19491524994373322</v>
      </c>
      <c r="CJ96" s="9">
        <v>-7.4509806931018829E-2</v>
      </c>
      <c r="CK96" s="9">
        <v>0.28787878155708313</v>
      </c>
      <c r="CL96" s="9">
        <v>-0.69999998807907104</v>
      </c>
      <c r="CM96" s="9">
        <v>-2.9105691909790039</v>
      </c>
      <c r="CN96" s="9">
        <v>0.23950451612472534</v>
      </c>
      <c r="CO96">
        <v>1.490886926651001</v>
      </c>
      <c r="CP96">
        <v>0.47771656513214111</v>
      </c>
      <c r="CQ96">
        <v>-0.33970212936401367</v>
      </c>
      <c r="CR96" s="8">
        <v>113.35373522172031</v>
      </c>
      <c r="CS96" s="9">
        <v>1.5704342321081661</v>
      </c>
      <c r="CT96">
        <v>4.057971014492753</v>
      </c>
      <c r="CU96">
        <v>0.72179867774248119</v>
      </c>
      <c r="CV96">
        <v>-0.20843266248703002</v>
      </c>
      <c r="CW96">
        <v>0.06</v>
      </c>
      <c r="CX96" t="s">
        <v>1920</v>
      </c>
      <c r="CY96" t="s">
        <v>850</v>
      </c>
      <c r="CZ96">
        <v>0.72179867774248119</v>
      </c>
      <c r="DA96" t="s">
        <v>1920</v>
      </c>
      <c r="DB96" t="s">
        <v>850</v>
      </c>
      <c r="DC96">
        <v>0.68570874385535707</v>
      </c>
      <c r="DD96" t="s">
        <v>1920</v>
      </c>
      <c r="DE96" t="s">
        <v>850</v>
      </c>
      <c r="DF96">
        <v>0.63518283641338347</v>
      </c>
      <c r="DG96" t="s">
        <v>1920</v>
      </c>
      <c r="DH96" t="s">
        <v>850</v>
      </c>
      <c r="DI96">
        <v>0.57743894219398495</v>
      </c>
      <c r="DJ96" t="s">
        <v>1920</v>
      </c>
      <c r="DK96" t="s">
        <v>850</v>
      </c>
      <c r="DL96">
        <v>0.50525907441973683</v>
      </c>
      <c r="DM96">
        <v>-235000000</v>
      </c>
      <c r="DN96">
        <v>0.72179867774248119</v>
      </c>
      <c r="DO96">
        <v>-239868000</v>
      </c>
      <c r="DP96">
        <v>1113211670</v>
      </c>
      <c r="DQ96" s="10">
        <v>3520</v>
      </c>
      <c r="DR96">
        <v>-1.6303547163898242</v>
      </c>
      <c r="DS96">
        <v>1.2244203901507718</v>
      </c>
      <c r="DT96">
        <v>-7.333333333333332E-2</v>
      </c>
      <c r="DU96">
        <v>-0.53666666666666663</v>
      </c>
      <c r="DV96">
        <v>-0.61</v>
      </c>
      <c r="DW96">
        <v>-2.1353</v>
      </c>
      <c r="DX96">
        <v>0.2875879746835433</v>
      </c>
      <c r="DY96">
        <v>-2.0145566529746834</v>
      </c>
      <c r="DZ96">
        <v>876</v>
      </c>
      <c r="EA96">
        <v>-2.0120612267504518</v>
      </c>
      <c r="EB96" s="11">
        <v>2</v>
      </c>
      <c r="EC96" s="11">
        <v>3.2724267080102294E-2</v>
      </c>
      <c r="ED96">
        <v>0.30416286928308078</v>
      </c>
      <c r="EE96">
        <v>0.11111</v>
      </c>
      <c r="EF96">
        <v>0.13031000000000001</v>
      </c>
      <c r="EG96">
        <v>18.107587974683543</v>
      </c>
      <c r="EH96" s="13">
        <v>-1</v>
      </c>
      <c r="EI96">
        <v>0</v>
      </c>
      <c r="EJ96">
        <v>1</v>
      </c>
      <c r="EK96">
        <v>45470</v>
      </c>
      <c r="EL96">
        <v>1.27</v>
      </c>
      <c r="EM96">
        <v>-3.76</v>
      </c>
      <c r="EN96">
        <v>0.33</v>
      </c>
      <c r="EO96">
        <v>1.3</v>
      </c>
      <c r="EP96">
        <v>-1.92</v>
      </c>
    </row>
    <row r="97" spans="1:146" ht="88.5" customHeight="1" x14ac:dyDescent="0.25">
      <c r="A97" s="7" t="s">
        <v>1069</v>
      </c>
      <c r="B97" s="7" t="s">
        <v>819</v>
      </c>
      <c r="C97" s="16" t="str">
        <f>""&amp;CHAR(10)&amp;Basic_Fundamental_Information_Constructure(F97)&amp;CHAR(10)&amp;Basic_Fundamental_Information_Concatenate("")</f>
        <v xml:space="preserve">
市值273.96318亿, 利润3.54亿; PE31.53; 平均PE33.78; 平均PEG1.3, PB2.18; ROIC3.1733%; ROE6.8133%; 股利率1.0741%; 毛利63.13%; 净利39.5533%; 上一年度营收增-11.12%, 利润增-56.93%; 当季营收增158.58%, 利润增61.02%; 过往5年营收增26.08%, 利润增22.87%
Income profile:
</v>
      </c>
      <c r="D97" t="s">
        <v>809</v>
      </c>
      <c r="E97" t="s">
        <v>1064</v>
      </c>
      <c r="F97">
        <v>17.690000000000001</v>
      </c>
      <c r="G97">
        <v>-0.67</v>
      </c>
      <c r="H97" t="s">
        <v>3686</v>
      </c>
      <c r="I97">
        <v>27396318000</v>
      </c>
      <c r="J97">
        <v>31.53</v>
      </c>
      <c r="K97">
        <v>2.1800000000000002</v>
      </c>
      <c r="L97" t="s">
        <v>1589</v>
      </c>
      <c r="M97" t="s">
        <v>3687</v>
      </c>
      <c r="N97" t="s">
        <v>3688</v>
      </c>
      <c r="O97" t="s">
        <v>3689</v>
      </c>
      <c r="P97">
        <v>295.48</v>
      </c>
      <c r="Q97" t="s">
        <v>3690</v>
      </c>
      <c r="R97">
        <v>119033433</v>
      </c>
      <c r="S97" s="5">
        <v>-0.39860000000000001</v>
      </c>
      <c r="T97" t="s">
        <v>3691</v>
      </c>
      <c r="U97">
        <v>1548689600</v>
      </c>
      <c r="V97">
        <v>1548689600</v>
      </c>
      <c r="W97">
        <v>3.24</v>
      </c>
      <c r="X97">
        <v>0.02</v>
      </c>
      <c r="Y97">
        <v>12.19</v>
      </c>
      <c r="Z97" t="s">
        <v>1105</v>
      </c>
      <c r="AA97" t="s">
        <v>241</v>
      </c>
      <c r="AB97" t="s">
        <v>3692</v>
      </c>
      <c r="AC97" t="s">
        <v>3693</v>
      </c>
      <c r="AD97" t="s">
        <v>24</v>
      </c>
      <c r="AE97">
        <v>120068419</v>
      </c>
      <c r="AF97" t="s">
        <v>3694</v>
      </c>
      <c r="AG97">
        <v>6646.57</v>
      </c>
      <c r="AH97" t="s">
        <v>3695</v>
      </c>
      <c r="AI97" t="s">
        <v>3696</v>
      </c>
      <c r="AJ97" t="s">
        <v>3697</v>
      </c>
      <c r="AK97" t="s">
        <v>24</v>
      </c>
      <c r="AL97" t="s">
        <v>3698</v>
      </c>
      <c r="AM97" t="s">
        <v>24</v>
      </c>
      <c r="AN97">
        <v>0</v>
      </c>
      <c r="AO97" t="s">
        <v>3699</v>
      </c>
      <c r="AP97" t="s">
        <v>24</v>
      </c>
      <c r="AQ97" t="s">
        <v>3700</v>
      </c>
      <c r="AR97" t="s">
        <v>3701</v>
      </c>
      <c r="AS97" t="s">
        <v>3702</v>
      </c>
      <c r="AT97" t="s">
        <v>3703</v>
      </c>
      <c r="AU97" t="s">
        <v>3704</v>
      </c>
      <c r="AV97" t="s">
        <v>3705</v>
      </c>
      <c r="AW97" t="s">
        <v>1154</v>
      </c>
      <c r="AX97" t="s">
        <v>1561</v>
      </c>
      <c r="AY97" t="s">
        <v>957</v>
      </c>
      <c r="AZ97" t="s">
        <v>311</v>
      </c>
      <c r="BA97" t="s">
        <v>656</v>
      </c>
      <c r="BB97" t="s">
        <v>505</v>
      </c>
      <c r="BC97" t="s">
        <v>1361</v>
      </c>
      <c r="BD97" t="s">
        <v>182</v>
      </c>
      <c r="BE97" t="s">
        <v>810</v>
      </c>
      <c r="BF97" t="s">
        <v>366</v>
      </c>
      <c r="BG97" t="s">
        <v>599</v>
      </c>
      <c r="BH97" t="s">
        <v>3706</v>
      </c>
      <c r="BI97" t="s">
        <v>2654</v>
      </c>
      <c r="BJ97" t="s">
        <v>1561</v>
      </c>
      <c r="BK97" t="s">
        <v>3707</v>
      </c>
      <c r="BL97" t="s">
        <v>3708</v>
      </c>
      <c r="BM97" t="s">
        <v>1361</v>
      </c>
      <c r="BN97">
        <v>2.69</v>
      </c>
      <c r="BO97">
        <v>3.57</v>
      </c>
      <c r="BP97">
        <v>3.26</v>
      </c>
      <c r="BQ97">
        <v>6.34</v>
      </c>
      <c r="BR97">
        <v>7.27</v>
      </c>
      <c r="BS97">
        <v>6.83</v>
      </c>
      <c r="BT97" t="s">
        <v>3709</v>
      </c>
      <c r="BU97" t="s">
        <v>1059</v>
      </c>
      <c r="BV97">
        <v>58.04</v>
      </c>
      <c r="BW97">
        <v>62.09</v>
      </c>
      <c r="BX97">
        <v>69.260000000000005</v>
      </c>
      <c r="BY97">
        <v>46.43</v>
      </c>
      <c r="BZ97">
        <v>41.31</v>
      </c>
      <c r="CA97">
        <v>30.92</v>
      </c>
      <c r="CB97">
        <v>-4.2699999999999996</v>
      </c>
      <c r="CC97">
        <v>-1.34</v>
      </c>
      <c r="CD97" t="s">
        <v>135</v>
      </c>
      <c r="CE97" t="s">
        <v>3710</v>
      </c>
      <c r="CF97" s="8">
        <v>1.5857519788918208</v>
      </c>
      <c r="CG97" s="9">
        <v>0.61015700708540632</v>
      </c>
      <c r="CH97" s="8">
        <v>-0.11116937547922134</v>
      </c>
      <c r="CI97" s="8">
        <v>-9.0605571866035461E-2</v>
      </c>
      <c r="CJ97" s="8">
        <v>1.6919125318527222</v>
      </c>
      <c r="CK97" s="8">
        <v>-0.47257953882217407</v>
      </c>
      <c r="CL97" s="8">
        <v>0.28658530116081238</v>
      </c>
      <c r="CM97" s="9">
        <v>-0.56934309005737305</v>
      </c>
      <c r="CN97" s="9">
        <v>0.10931174457073212</v>
      </c>
      <c r="CO97" s="9">
        <v>-0.59330403804779053</v>
      </c>
      <c r="CP97" s="9">
        <v>2.1252145767211914</v>
      </c>
      <c r="CQ97" s="9">
        <v>7.1691177785396576E-2</v>
      </c>
      <c r="CR97">
        <v>33.780909987669546</v>
      </c>
      <c r="CS97">
        <v>1.2951379182880531</v>
      </c>
      <c r="CT97">
        <v>1.0740531373657431</v>
      </c>
      <c r="CU97" s="8">
        <v>0.26082866936922072</v>
      </c>
      <c r="CV97" s="9">
        <v>0.22871407419443129</v>
      </c>
      <c r="CW97">
        <v>0.06</v>
      </c>
      <c r="CX97">
        <v>109.83543397460856</v>
      </c>
      <c r="CY97">
        <v>421069197.12896615</v>
      </c>
      <c r="CZ97">
        <v>0.26082866936922072</v>
      </c>
      <c r="DA97">
        <v>31.150101846464135</v>
      </c>
      <c r="DB97">
        <v>1484692352.7875936</v>
      </c>
      <c r="DC97">
        <v>0.24778723590075968</v>
      </c>
      <c r="DD97">
        <v>12.548116828931217</v>
      </c>
      <c r="DE97">
        <v>3685677989.0165548</v>
      </c>
      <c r="DF97">
        <v>0.22952922904491424</v>
      </c>
      <c r="DG97">
        <v>5.9179738271991837</v>
      </c>
      <c r="DH97">
        <v>7814890594.3857603</v>
      </c>
      <c r="DI97">
        <v>0.20866293549537659</v>
      </c>
      <c r="DJ97">
        <v>1.7092736002514783</v>
      </c>
      <c r="DK97">
        <v>27057293807.846607</v>
      </c>
      <c r="DL97">
        <v>0.18258006855845449</v>
      </c>
      <c r="DM97">
        <v>354000000</v>
      </c>
      <c r="DN97">
        <v>0.26082866936922072</v>
      </c>
      <c r="DO97">
        <v>46248318000</v>
      </c>
      <c r="DP97">
        <v>6143882000</v>
      </c>
      <c r="DQ97">
        <v>3556</v>
      </c>
      <c r="DR97">
        <v>1.3249233095226001</v>
      </c>
      <c r="DS97">
        <v>0.38144293289097503</v>
      </c>
      <c r="DT97" s="10">
        <v>-0.19000000000000003</v>
      </c>
      <c r="DU97">
        <v>0.34</v>
      </c>
      <c r="DV97">
        <v>0.15</v>
      </c>
      <c r="DW97">
        <v>-4.3138173302107727</v>
      </c>
      <c r="DX97">
        <v>0.25514171846391293</v>
      </c>
      <c r="DY97">
        <v>-4.0204426001736868</v>
      </c>
      <c r="DZ97">
        <v>2980</v>
      </c>
      <c r="EA97">
        <v>-4.008521083829736</v>
      </c>
      <c r="EB97">
        <v>4</v>
      </c>
      <c r="EC97">
        <v>8.4587641061191349E-2</v>
      </c>
      <c r="ED97">
        <v>1.2985171463668381</v>
      </c>
      <c r="EE97" s="11">
        <v>5.1106100000000003</v>
      </c>
      <c r="EF97">
        <v>5.1231099999999996</v>
      </c>
      <c r="EG97">
        <v>19.065141718463913</v>
      </c>
      <c r="EH97" t="s">
        <v>3711</v>
      </c>
      <c r="EI97">
        <v>0</v>
      </c>
      <c r="EJ97">
        <v>0</v>
      </c>
      <c r="EK97" s="13">
        <v>45470</v>
      </c>
      <c r="EL97" s="14">
        <v>0.17</v>
      </c>
      <c r="EM97" s="14">
        <v>-0.96</v>
      </c>
      <c r="EN97">
        <v>-0.79</v>
      </c>
      <c r="EO97">
        <v>-0.53</v>
      </c>
      <c r="EP97">
        <v>-1.25</v>
      </c>
    </row>
    <row r="98" spans="1:146" ht="88.5" customHeight="1" x14ac:dyDescent="0.25">
      <c r="A98" s="7"/>
      <c r="B98" s="7"/>
      <c r="C98" s="16" t="str">
        <f>""&amp;CHAR(10)&amp;Basic_Fundamental_Information_Constructure(F98)&amp;CHAR(10)&amp;Basic_Fundamental_Information_Concatenate("")</f>
        <v xml:space="preserve">
市值200.75043亿, 利润24.88亿; PE65.64; 平均PE2.19; 平均PEG.36, PB.333; ROIC3.9533%; ROE9.7267%; 股利率0%; 毛利19.8433%; 净利3.34%; 上一年度营收增-82.14%, 利润增78.48%; 当季营收增213.81%, 利润增-70.15%; 过往5年营收增6.04%, 利润增2.66%
Income profile:
</v>
      </c>
      <c r="D98" t="s">
        <v>387</v>
      </c>
      <c r="E98" t="s">
        <v>30</v>
      </c>
      <c r="F98">
        <v>8.9</v>
      </c>
      <c r="G98">
        <v>-2.09</v>
      </c>
      <c r="H98" t="s">
        <v>3712</v>
      </c>
      <c r="I98">
        <v>20075043000</v>
      </c>
      <c r="J98">
        <v>65.64</v>
      </c>
      <c r="K98">
        <v>0.33300000000000002</v>
      </c>
      <c r="L98" t="s">
        <v>1589</v>
      </c>
      <c r="M98" t="s">
        <v>3713</v>
      </c>
      <c r="N98" t="s">
        <v>3714</v>
      </c>
      <c r="O98" t="s">
        <v>3715</v>
      </c>
      <c r="P98">
        <v>-11.66</v>
      </c>
      <c r="Q98" t="s">
        <v>3716</v>
      </c>
      <c r="R98">
        <v>227174550</v>
      </c>
      <c r="S98" s="5">
        <v>-0.65500000000000003</v>
      </c>
      <c r="T98" t="s">
        <v>3717</v>
      </c>
      <c r="U98">
        <v>2255622900</v>
      </c>
      <c r="V98">
        <v>2255622900</v>
      </c>
      <c r="W98">
        <v>4.26</v>
      </c>
      <c r="X98">
        <v>0.04</v>
      </c>
      <c r="Y98">
        <v>1.94</v>
      </c>
      <c r="Z98" t="s">
        <v>3718</v>
      </c>
      <c r="AA98" t="s">
        <v>3719</v>
      </c>
      <c r="AB98" t="s">
        <v>3720</v>
      </c>
      <c r="AC98" t="s">
        <v>1562</v>
      </c>
      <c r="AD98" t="s">
        <v>24</v>
      </c>
      <c r="AE98">
        <v>779336200</v>
      </c>
      <c r="AF98" t="s">
        <v>3721</v>
      </c>
      <c r="AG98" t="s">
        <v>3722</v>
      </c>
      <c r="AH98" t="s">
        <v>3723</v>
      </c>
      <c r="AI98" t="s">
        <v>3724</v>
      </c>
      <c r="AJ98" t="s">
        <v>3725</v>
      </c>
      <c r="AK98" t="s">
        <v>3726</v>
      </c>
      <c r="AL98" t="s">
        <v>3727</v>
      </c>
      <c r="AM98" t="s">
        <v>24</v>
      </c>
      <c r="AN98" t="s">
        <v>3728</v>
      </c>
      <c r="AO98" t="s">
        <v>535</v>
      </c>
      <c r="AP98" t="s">
        <v>3729</v>
      </c>
      <c r="AQ98" t="s">
        <v>3730</v>
      </c>
      <c r="AR98" t="s">
        <v>2973</v>
      </c>
      <c r="AS98" t="s">
        <v>3731</v>
      </c>
      <c r="AT98" t="s">
        <v>2418</v>
      </c>
      <c r="AU98" t="s">
        <v>3732</v>
      </c>
      <c r="AV98" t="s">
        <v>583</v>
      </c>
      <c r="AW98" t="s">
        <v>3733</v>
      </c>
      <c r="AX98" t="s">
        <v>1563</v>
      </c>
      <c r="AY98" t="s">
        <v>958</v>
      </c>
      <c r="AZ98" t="s">
        <v>692</v>
      </c>
      <c r="BA98" t="s">
        <v>388</v>
      </c>
      <c r="BB98" t="s">
        <v>694</v>
      </c>
      <c r="BC98" t="s">
        <v>1349</v>
      </c>
      <c r="BD98" t="s">
        <v>959</v>
      </c>
      <c r="BE98" t="s">
        <v>693</v>
      </c>
      <c r="BF98" t="s">
        <v>389</v>
      </c>
      <c r="BG98" t="s">
        <v>695</v>
      </c>
      <c r="BH98" t="s">
        <v>3734</v>
      </c>
      <c r="BI98" t="s">
        <v>3735</v>
      </c>
      <c r="BJ98" t="s">
        <v>1563</v>
      </c>
      <c r="BK98" t="s">
        <v>665</v>
      </c>
      <c r="BL98" t="s">
        <v>2470</v>
      </c>
      <c r="BM98" t="s">
        <v>1349</v>
      </c>
      <c r="BN98">
        <v>2.4</v>
      </c>
      <c r="BO98">
        <v>1.61</v>
      </c>
      <c r="BP98">
        <v>7.85</v>
      </c>
      <c r="BQ98">
        <v>4.1100000000000003</v>
      </c>
      <c r="BR98">
        <v>2.34</v>
      </c>
      <c r="BS98">
        <v>22.73</v>
      </c>
      <c r="BT98" t="s">
        <v>1115</v>
      </c>
      <c r="BU98" t="s">
        <v>1046</v>
      </c>
      <c r="BV98">
        <v>19.05</v>
      </c>
      <c r="BW98">
        <v>20.03</v>
      </c>
      <c r="BX98">
        <v>20.45</v>
      </c>
      <c r="BY98">
        <v>0.47</v>
      </c>
      <c r="BZ98">
        <v>1.37</v>
      </c>
      <c r="CA98">
        <v>8.18</v>
      </c>
      <c r="CB98">
        <v>0.34</v>
      </c>
      <c r="CC98">
        <v>-22.68</v>
      </c>
      <c r="CD98" t="s">
        <v>242</v>
      </c>
      <c r="CE98" t="s">
        <v>665</v>
      </c>
      <c r="CF98" s="8">
        <v>2.1381420765027324</v>
      </c>
      <c r="CG98" s="9">
        <v>-0.70147890932982915</v>
      </c>
      <c r="CH98" s="8">
        <v>-0.82139670848846436</v>
      </c>
      <c r="CI98" s="8">
        <v>-0.31370368599891663</v>
      </c>
      <c r="CJ98" s="8">
        <v>0.1564323753118515</v>
      </c>
      <c r="CK98" s="8">
        <v>0.69458448886871338</v>
      </c>
      <c r="CL98" s="8">
        <v>0.58585339784622192</v>
      </c>
      <c r="CM98" s="9">
        <v>0.78479194641113281</v>
      </c>
      <c r="CN98" s="9">
        <v>-0.88934749364852905</v>
      </c>
      <c r="CO98" s="9">
        <v>-0.17422658205032349</v>
      </c>
      <c r="CP98" s="9">
        <v>0.2056267112493515</v>
      </c>
      <c r="CQ98" s="9">
        <v>0.2061767578125</v>
      </c>
      <c r="CR98">
        <v>2.1947533390426557</v>
      </c>
      <c r="CS98">
        <v>0.36364686722011097</v>
      </c>
      <c r="CT98">
        <v>0</v>
      </c>
      <c r="CU98" s="8">
        <v>6.0353973507881166E-2</v>
      </c>
      <c r="CV98" s="9">
        <v>2.6604267954826354E-2</v>
      </c>
      <c r="CW98">
        <v>0.06</v>
      </c>
      <c r="CX98">
        <v>88.942181125432768</v>
      </c>
      <c r="CY98">
        <v>2488830835.9317055</v>
      </c>
      <c r="CZ98">
        <v>6.0353973507881166E-2</v>
      </c>
      <c r="DA98">
        <v>29.806849407232882</v>
      </c>
      <c r="DB98">
        <v>7426549514.6992836</v>
      </c>
      <c r="DC98">
        <v>5.7336274832487107E-2</v>
      </c>
      <c r="DD98">
        <v>15.169976075246883</v>
      </c>
      <c r="DE98">
        <v>14592115498.533998</v>
      </c>
      <c r="DF98">
        <v>5.3111496686935426E-2</v>
      </c>
      <c r="DG98">
        <v>9.4532542279966574</v>
      </c>
      <c r="DH98">
        <v>23416491047.539642</v>
      </c>
      <c r="DI98">
        <v>4.8283178806304936E-2</v>
      </c>
      <c r="DJ98">
        <v>5.2866618615565866</v>
      </c>
      <c r="DK98">
        <v>41871799028.739647</v>
      </c>
      <c r="DL98">
        <v>4.2247781455516817E-2</v>
      </c>
      <c r="DM98">
        <v>2488000000</v>
      </c>
      <c r="DN98">
        <v>6.0353973507881166E-2</v>
      </c>
      <c r="DO98">
        <v>221362043000</v>
      </c>
      <c r="DP98">
        <v>-15335510000</v>
      </c>
      <c r="DQ98">
        <v>3675</v>
      </c>
      <c r="DR98">
        <v>2.0777881029948513</v>
      </c>
      <c r="DS98">
        <v>-0.72808317728465555</v>
      </c>
      <c r="DT98" s="10">
        <v>-0.45666666666666672</v>
      </c>
      <c r="DU98">
        <v>-0.32333333333333342</v>
      </c>
      <c r="DV98">
        <v>-0.78000000000000014</v>
      </c>
      <c r="DW98">
        <v>-3.0755476190476192</v>
      </c>
      <c r="DX98">
        <v>0.33232021709633475</v>
      </c>
      <c r="DY98">
        <v>-3.0130183821153969</v>
      </c>
      <c r="DZ98">
        <v>1414</v>
      </c>
      <c r="EA98">
        <v>-3.0094160352834649</v>
      </c>
      <c r="EB98">
        <v>3</v>
      </c>
      <c r="EC98">
        <v>5.6303737650473404E-2</v>
      </c>
      <c r="ED98">
        <v>0.32673901297951885</v>
      </c>
      <c r="EE98" s="11">
        <v>1.0194099999999999</v>
      </c>
      <c r="EF98">
        <v>1.03731</v>
      </c>
      <c r="EG98">
        <v>16.172320217096335</v>
      </c>
      <c r="EH98" t="s">
        <v>835</v>
      </c>
      <c r="EI98">
        <v>0</v>
      </c>
      <c r="EJ98">
        <v>1</v>
      </c>
      <c r="EK98" s="13">
        <v>45470</v>
      </c>
      <c r="EL98" s="14">
        <v>-0.3</v>
      </c>
      <c r="EM98" s="14">
        <v>-1.2</v>
      </c>
      <c r="EN98">
        <v>1.52</v>
      </c>
      <c r="EO98">
        <v>0</v>
      </c>
      <c r="EP98">
        <v>-1.79</v>
      </c>
    </row>
    <row r="99" spans="1:146" ht="88.5" customHeight="1" x14ac:dyDescent="0.25">
      <c r="A99" s="7"/>
      <c r="B99" s="7"/>
      <c r="C99" s="16" t="str">
        <f>""&amp;CHAR(10)&amp;Basic_Fundamental_Information_Constructure(F99)&amp;CHAR(10)&amp;Basic_Fundamental_Information_Concatenate("")</f>
        <v xml:space="preserve">
市值114.515196亿, 利润1.51亿; PE8.08; 平均PE10.33; 平均PEG5.68, PB.78; ROIC7.9167%; ROE11.0833%; 股利率3.5733%; 毛利56.07%; 净利46.28%; 上一年度营收增-44.52%, 利润增-90.61%; 当季营收增12.88%, 利润增109.53%; 过往5年营收增1.82%, 利润增-7.42%
Income profile:
</v>
      </c>
      <c r="D99" t="s">
        <v>811</v>
      </c>
      <c r="E99" t="s">
        <v>812</v>
      </c>
      <c r="F99">
        <v>7.64</v>
      </c>
      <c r="G99">
        <v>-0.26</v>
      </c>
      <c r="H99" t="s">
        <v>3736</v>
      </c>
      <c r="I99">
        <v>11451519600</v>
      </c>
      <c r="J99">
        <v>8.08</v>
      </c>
      <c r="K99">
        <v>0.78</v>
      </c>
      <c r="L99" t="s">
        <v>1589</v>
      </c>
      <c r="M99" t="s">
        <v>3737</v>
      </c>
      <c r="N99" t="s">
        <v>3738</v>
      </c>
      <c r="O99" t="s">
        <v>3739</v>
      </c>
      <c r="P99">
        <v>11.1</v>
      </c>
      <c r="Q99" t="s">
        <v>1097</v>
      </c>
      <c r="R99">
        <v>471450270</v>
      </c>
      <c r="S99" s="5">
        <v>0.1308</v>
      </c>
      <c r="T99" t="s">
        <v>230</v>
      </c>
      <c r="U99">
        <v>1498890000</v>
      </c>
      <c r="V99">
        <v>1498890000</v>
      </c>
      <c r="W99">
        <v>1.8</v>
      </c>
      <c r="X99">
        <v>0.03</v>
      </c>
      <c r="Y99">
        <v>47.61</v>
      </c>
      <c r="Z99" t="s">
        <v>3316</v>
      </c>
      <c r="AA99" t="s">
        <v>1572</v>
      </c>
      <c r="AB99" t="s">
        <v>3740</v>
      </c>
      <c r="AC99" t="s">
        <v>3741</v>
      </c>
      <c r="AD99" t="s">
        <v>24</v>
      </c>
      <c r="AE99">
        <v>25547817</v>
      </c>
      <c r="AF99" t="s">
        <v>3742</v>
      </c>
      <c r="AG99" t="s">
        <v>3743</v>
      </c>
      <c r="AH99" t="s">
        <v>3744</v>
      </c>
      <c r="AI99" t="s">
        <v>3229</v>
      </c>
      <c r="AJ99" t="s">
        <v>3745</v>
      </c>
      <c r="AK99" t="s">
        <v>3746</v>
      </c>
      <c r="AL99" t="s">
        <v>3747</v>
      </c>
      <c r="AM99" t="s">
        <v>24</v>
      </c>
      <c r="AN99" t="s">
        <v>444</v>
      </c>
      <c r="AO99" t="s">
        <v>531</v>
      </c>
      <c r="AP99" t="s">
        <v>24</v>
      </c>
      <c r="AQ99" t="s">
        <v>530</v>
      </c>
      <c r="AR99" t="s">
        <v>3748</v>
      </c>
      <c r="AS99" t="s">
        <v>3749</v>
      </c>
      <c r="AT99" t="s">
        <v>3750</v>
      </c>
      <c r="AU99" t="s">
        <v>728</v>
      </c>
      <c r="AV99" t="s">
        <v>3751</v>
      </c>
      <c r="AW99" t="s">
        <v>1351</v>
      </c>
      <c r="AX99" t="s">
        <v>1565</v>
      </c>
      <c r="AY99" t="s">
        <v>960</v>
      </c>
      <c r="AZ99" t="s">
        <v>813</v>
      </c>
      <c r="BA99" t="s">
        <v>815</v>
      </c>
      <c r="BB99" t="s">
        <v>320</v>
      </c>
      <c r="BC99" t="s">
        <v>1566</v>
      </c>
      <c r="BD99" t="s">
        <v>961</v>
      </c>
      <c r="BE99" t="s">
        <v>814</v>
      </c>
      <c r="BF99" t="s">
        <v>816</v>
      </c>
      <c r="BG99" t="s">
        <v>817</v>
      </c>
      <c r="BH99" t="s">
        <v>3752</v>
      </c>
      <c r="BI99" t="s">
        <v>1462</v>
      </c>
      <c r="BJ99" t="s">
        <v>1565</v>
      </c>
      <c r="BK99" t="s">
        <v>1723</v>
      </c>
      <c r="BL99" t="s">
        <v>629</v>
      </c>
      <c r="BM99" t="s">
        <v>1566</v>
      </c>
      <c r="BN99">
        <v>4.84</v>
      </c>
      <c r="BO99">
        <v>9.43</v>
      </c>
      <c r="BP99">
        <v>9.48</v>
      </c>
      <c r="BQ99">
        <v>7.53</v>
      </c>
      <c r="BR99">
        <v>12.61</v>
      </c>
      <c r="BS99">
        <v>13.11</v>
      </c>
      <c r="BT99" t="s">
        <v>3753</v>
      </c>
      <c r="BU99" t="s">
        <v>1059</v>
      </c>
      <c r="BV99">
        <v>50.78</v>
      </c>
      <c r="BW99">
        <v>57.56</v>
      </c>
      <c r="BX99">
        <v>59.87</v>
      </c>
      <c r="BY99">
        <v>41.84</v>
      </c>
      <c r="BZ99">
        <v>46.04</v>
      </c>
      <c r="CA99">
        <v>50.96</v>
      </c>
      <c r="CB99">
        <v>0.26</v>
      </c>
      <c r="CC99">
        <v>-14.83</v>
      </c>
      <c r="CD99" t="s">
        <v>3754</v>
      </c>
      <c r="CE99" t="s">
        <v>251</v>
      </c>
      <c r="CF99" s="8">
        <v>0.12882096069868995</v>
      </c>
      <c r="CG99" s="9">
        <v>1.0953345333333333</v>
      </c>
      <c r="CH99" s="8">
        <v>-0.4451708197593689</v>
      </c>
      <c r="CI99" s="8">
        <v>0.21062041819095612</v>
      </c>
      <c r="CJ99" s="8">
        <v>0.14733444154262543</v>
      </c>
      <c r="CK99" s="8">
        <v>-0.35718318819999695</v>
      </c>
      <c r="CL99" s="8">
        <v>0.53541487455368042</v>
      </c>
      <c r="CM99" s="9">
        <v>-0.90609449148178101</v>
      </c>
      <c r="CN99" s="9">
        <v>5.6504599750041962E-2</v>
      </c>
      <c r="CO99" s="9">
        <v>0.16449879109859467</v>
      </c>
      <c r="CP99" s="9">
        <v>0.20571961998939514</v>
      </c>
      <c r="CQ99" s="9">
        <v>0.10838446021080017</v>
      </c>
      <c r="CR99">
        <v>10.332198135338347</v>
      </c>
      <c r="CS99">
        <v>5.6760510255751004</v>
      </c>
      <c r="CT99">
        <v>3.5732984293193719</v>
      </c>
      <c r="CU99" s="8">
        <v>1.8203145265579222E-2</v>
      </c>
      <c r="CV99" s="9">
        <v>-7.4197404086589813E-2</v>
      </c>
      <c r="CW99">
        <v>0.06</v>
      </c>
      <c r="CX99">
        <v>54.11747957835793</v>
      </c>
      <c r="CY99">
        <v>145045919.75009668</v>
      </c>
      <c r="CZ99">
        <v>1.8203145265579222E-2</v>
      </c>
      <c r="DA99">
        <v>18.802678420053311</v>
      </c>
      <c r="DB99">
        <v>417468161.9629457</v>
      </c>
      <c r="DC99">
        <v>1.7292988002300259E-2</v>
      </c>
      <c r="DD99">
        <v>10.02288178439394</v>
      </c>
      <c r="DE99">
        <v>783159950.28715611</v>
      </c>
      <c r="DF99">
        <v>1.6018767833709716E-2</v>
      </c>
      <c r="DG99">
        <v>6.5626893798413999</v>
      </c>
      <c r="DH99">
        <v>1196082755.9675999</v>
      </c>
      <c r="DI99">
        <v>1.4562516212463378E-2</v>
      </c>
      <c r="DJ99">
        <v>4.054097518530849</v>
      </c>
      <c r="DK99">
        <v>1936194076.269917</v>
      </c>
      <c r="DL99">
        <v>1.2742201685905456E-2</v>
      </c>
      <c r="DM99">
        <v>151000000</v>
      </c>
      <c r="DN99">
        <v>1.8203145265579222E-2</v>
      </c>
      <c r="DO99">
        <v>7849519600</v>
      </c>
      <c r="DP99">
        <v>10320577000</v>
      </c>
      <c r="DQ99">
        <v>3729</v>
      </c>
      <c r="DR99">
        <v>0.11061781543311072</v>
      </c>
      <c r="DS99">
        <v>1.1695319374199231</v>
      </c>
      <c r="DT99" s="10">
        <v>-0.47333333333333333</v>
      </c>
      <c r="DU99">
        <v>-8.3333333333333329E-2</v>
      </c>
      <c r="DV99">
        <v>-0.55666666666666664</v>
      </c>
      <c r="DW99">
        <v>-2.1482999999999999</v>
      </c>
      <c r="DX99">
        <v>0.33335470085470248</v>
      </c>
      <c r="DY99">
        <v>-2.0227425021367522</v>
      </c>
      <c r="DZ99">
        <v>656</v>
      </c>
      <c r="EA99">
        <v>-2.0198229167352437</v>
      </c>
      <c r="EB99">
        <v>2</v>
      </c>
      <c r="EC99">
        <v>1.197052485505941E-2</v>
      </c>
      <c r="ED99">
        <v>7.8057762744430881E-2</v>
      </c>
      <c r="EE99" s="11">
        <v>4.0237999999999996</v>
      </c>
      <c r="EF99">
        <v>4.0179099999999996</v>
      </c>
      <c r="EG99">
        <v>18.153354700854702</v>
      </c>
      <c r="EH99" t="s">
        <v>2568</v>
      </c>
      <c r="EI99">
        <v>0</v>
      </c>
      <c r="EJ99">
        <v>1</v>
      </c>
      <c r="EK99" s="13">
        <v>45470</v>
      </c>
      <c r="EL99" s="14">
        <v>1.45</v>
      </c>
      <c r="EM99" s="14">
        <v>-1.79</v>
      </c>
      <c r="EN99">
        <v>-0.18</v>
      </c>
      <c r="EO99">
        <v>1.46</v>
      </c>
      <c r="EP99">
        <v>-4.17</v>
      </c>
    </row>
    <row r="100" spans="1:146" ht="88.5" customHeight="1" x14ac:dyDescent="0.25">
      <c r="A100" s="7"/>
      <c r="B100" s="7"/>
      <c r="C100" s="16" t="str">
        <f>""&amp;CHAR(10)&amp;Basic_Fundamental_Information_Constructure(F100)&amp;CHAR(10)&amp;Basic_Fundamental_Information_Concatenate("")</f>
        <v xml:space="preserve">
市值47.13828亿, 利润1.27亿; PE; 平均PE15.05; 平均PEG.68, PB.372; ROIC.045%; ROE-3.69%; 股利率1.4286%; 毛利22.82%; 净利-4.2233%; 上一年度营收增-93.88%, 利润增108.06%; 当季营收增867.98%, 利润增-582.99%; 过往5年营收增-22%, 利润增-159.57%
Income profile:
</v>
      </c>
      <c r="D100" t="s">
        <v>391</v>
      </c>
      <c r="E100" t="s">
        <v>61</v>
      </c>
      <c r="F100">
        <v>1.4</v>
      </c>
      <c r="G100">
        <v>1.45</v>
      </c>
      <c r="H100" t="s">
        <v>3755</v>
      </c>
      <c r="I100">
        <v>4713828000</v>
      </c>
      <c r="K100">
        <v>0.372</v>
      </c>
      <c r="L100" t="s">
        <v>1589</v>
      </c>
      <c r="M100" t="s">
        <v>3756</v>
      </c>
      <c r="N100" t="s">
        <v>3757</v>
      </c>
      <c r="O100" t="s">
        <v>3758</v>
      </c>
      <c r="P100">
        <v>-58.82</v>
      </c>
      <c r="Q100" t="s">
        <v>3759</v>
      </c>
      <c r="R100">
        <v>-173760530</v>
      </c>
      <c r="S100" s="5">
        <v>-6.319</v>
      </c>
      <c r="T100" t="s">
        <v>242</v>
      </c>
      <c r="U100">
        <v>2660000000</v>
      </c>
      <c r="V100">
        <v>3367020000</v>
      </c>
      <c r="W100">
        <v>3.56</v>
      </c>
      <c r="X100">
        <v>0.03</v>
      </c>
      <c r="Y100">
        <v>-12.95</v>
      </c>
      <c r="Z100" t="s">
        <v>3760</v>
      </c>
      <c r="AA100" t="s">
        <v>2748</v>
      </c>
      <c r="AB100" t="s">
        <v>3761</v>
      </c>
      <c r="AC100" t="s">
        <v>243</v>
      </c>
      <c r="AD100" t="s">
        <v>24</v>
      </c>
      <c r="AE100">
        <v>254861450</v>
      </c>
      <c r="AF100" t="s">
        <v>3762</v>
      </c>
      <c r="AG100" t="s">
        <v>3763</v>
      </c>
      <c r="AH100" t="s">
        <v>3764</v>
      </c>
      <c r="AI100" t="s">
        <v>1971</v>
      </c>
      <c r="AJ100" t="s">
        <v>3765</v>
      </c>
      <c r="AK100" t="s">
        <v>3766</v>
      </c>
      <c r="AL100" t="s">
        <v>3767</v>
      </c>
      <c r="AM100" t="s">
        <v>24</v>
      </c>
      <c r="AN100" t="s">
        <v>3768</v>
      </c>
      <c r="AO100" t="s">
        <v>24</v>
      </c>
      <c r="AP100" t="s">
        <v>24</v>
      </c>
      <c r="AQ100" t="s">
        <v>3769</v>
      </c>
      <c r="AR100" t="s">
        <v>1119</v>
      </c>
      <c r="AS100" t="s">
        <v>3770</v>
      </c>
      <c r="AT100" t="s">
        <v>1224</v>
      </c>
      <c r="AU100" t="s">
        <v>3771</v>
      </c>
      <c r="AV100" t="s">
        <v>3772</v>
      </c>
      <c r="AW100" t="s">
        <v>3773</v>
      </c>
      <c r="AX100" t="s">
        <v>1569</v>
      </c>
      <c r="AY100" t="s">
        <v>1571</v>
      </c>
      <c r="AZ100" t="s">
        <v>696</v>
      </c>
      <c r="BA100" t="s">
        <v>392</v>
      </c>
      <c r="BB100" t="s">
        <v>697</v>
      </c>
      <c r="BC100" t="s">
        <v>1570</v>
      </c>
      <c r="BD100" t="s">
        <v>1096</v>
      </c>
      <c r="BE100" t="s">
        <v>486</v>
      </c>
      <c r="BF100" t="s">
        <v>393</v>
      </c>
      <c r="BG100" t="s">
        <v>699</v>
      </c>
      <c r="BH100" t="s">
        <v>3774</v>
      </c>
      <c r="BI100" t="s">
        <v>3775</v>
      </c>
      <c r="BJ100" t="s">
        <v>1569</v>
      </c>
      <c r="BK100" t="s">
        <v>3776</v>
      </c>
      <c r="BL100" t="s">
        <v>3777</v>
      </c>
      <c r="BM100" t="s">
        <v>1570</v>
      </c>
      <c r="BN100">
        <v>-0.27</v>
      </c>
      <c r="BO100" t="s">
        <v>24</v>
      </c>
      <c r="BP100">
        <v>0.36</v>
      </c>
      <c r="BQ100">
        <v>0.21</v>
      </c>
      <c r="BR100">
        <v>-11.73</v>
      </c>
      <c r="BS100">
        <v>0.45</v>
      </c>
      <c r="BT100" t="s">
        <v>1193</v>
      </c>
      <c r="BU100" t="s">
        <v>1043</v>
      </c>
      <c r="BV100">
        <v>27.38</v>
      </c>
      <c r="BW100">
        <v>20.55</v>
      </c>
      <c r="BX100">
        <v>20.53</v>
      </c>
      <c r="BY100">
        <v>-0.4</v>
      </c>
      <c r="BZ100">
        <v>-12.72</v>
      </c>
      <c r="CA100">
        <v>0.45</v>
      </c>
      <c r="CB100">
        <v>3.7</v>
      </c>
      <c r="CC100">
        <v>-24.32</v>
      </c>
      <c r="CD100" t="s">
        <v>235</v>
      </c>
      <c r="CE100" t="s">
        <v>3778</v>
      </c>
      <c r="CF100" s="8">
        <v>8.6797752808988768</v>
      </c>
      <c r="CG100" s="9">
        <v>-5.8299415994685297</v>
      </c>
      <c r="CH100" s="8">
        <v>-0.93879437446594238</v>
      </c>
      <c r="CI100" s="8">
        <v>-0.41446155309677124</v>
      </c>
      <c r="CJ100" s="8">
        <v>0.2326628714799881</v>
      </c>
      <c r="CK100" s="8">
        <v>-0.10565551370382309</v>
      </c>
      <c r="CL100" s="8">
        <v>0.1263994574546814</v>
      </c>
      <c r="CM100" s="9">
        <v>1.0805838108062744</v>
      </c>
      <c r="CN100" s="9">
        <v>-8.3990612030029297</v>
      </c>
      <c r="CO100" s="9">
        <v>-0.21402214467525482</v>
      </c>
      <c r="CP100" s="9">
        <v>-0.83615481853485107</v>
      </c>
      <c r="CQ100" s="9">
        <v>0.38991597294807434</v>
      </c>
      <c r="CR100">
        <v>15.052138371474188</v>
      </c>
      <c r="CS100">
        <v>0.68428197116789469</v>
      </c>
      <c r="CT100">
        <v>1.4285714285714288</v>
      </c>
      <c r="CU100" s="8">
        <v>-0.21996982246637345</v>
      </c>
      <c r="CV100" s="9">
        <v>-1.5957476764917373</v>
      </c>
      <c r="CW100">
        <v>0.06</v>
      </c>
      <c r="CX100" t="e">
        <v>#VALUE!</v>
      </c>
      <c r="CY100" t="s">
        <v>908</v>
      </c>
      <c r="CZ100">
        <v>-0.21996982246637345</v>
      </c>
      <c r="DA100">
        <v>79.112409448818894</v>
      </c>
      <c r="DB100" t="s">
        <v>3779</v>
      </c>
      <c r="DC100">
        <v>-0.20897133134305476</v>
      </c>
      <c r="DD100">
        <v>39.556204724409447</v>
      </c>
      <c r="DE100" t="s">
        <v>3780</v>
      </c>
      <c r="DF100">
        <v>-0.19357344377040864</v>
      </c>
      <c r="DG100">
        <v>23.733722834645668</v>
      </c>
      <c r="DH100" t="s">
        <v>3781</v>
      </c>
      <c r="DI100">
        <v>-0.17597585797309878</v>
      </c>
      <c r="DJ100">
        <v>11.866861417322834</v>
      </c>
      <c r="DK100" t="s">
        <v>3782</v>
      </c>
      <c r="DL100">
        <v>-0.15397887572646141</v>
      </c>
      <c r="DM100">
        <v>127000000</v>
      </c>
      <c r="DN100">
        <v>-0.21996982246637345</v>
      </c>
      <c r="DO100">
        <v>30141828000</v>
      </c>
      <c r="DP100">
        <v>23333096000</v>
      </c>
      <c r="DQ100">
        <v>3740</v>
      </c>
      <c r="DR100">
        <v>8.8997451033652499</v>
      </c>
      <c r="DS100">
        <v>-4.2341939229767922</v>
      </c>
      <c r="DT100" s="10">
        <v>-0.79</v>
      </c>
      <c r="DU100">
        <v>-1.5483333333333331</v>
      </c>
      <c r="DV100">
        <v>-2.3383333333333329</v>
      </c>
      <c r="DW100">
        <v>6.1320485367594575</v>
      </c>
      <c r="DX100">
        <v>0.38452830188679155</v>
      </c>
      <c r="DY100">
        <v>6.0230462068872637</v>
      </c>
      <c r="DZ100">
        <v>1146</v>
      </c>
      <c r="EA100">
        <v>6.0178777229160687</v>
      </c>
      <c r="EB100">
        <v>6</v>
      </c>
      <c r="EC100">
        <v>3.2966837143824514E-2</v>
      </c>
      <c r="ED100">
        <v>0.18889106687812962</v>
      </c>
      <c r="EE100" s="11">
        <v>6.8809999999999996E-2</v>
      </c>
      <c r="EF100">
        <v>9.2609999999999998E-2</v>
      </c>
      <c r="EG100">
        <v>21.174528301886792</v>
      </c>
      <c r="EH100">
        <v>-1</v>
      </c>
      <c r="EI100">
        <v>0</v>
      </c>
      <c r="EJ100">
        <v>1</v>
      </c>
      <c r="EK100" s="13">
        <v>45470</v>
      </c>
      <c r="EL100" s="14">
        <v>-0.31</v>
      </c>
      <c r="EM100" s="14">
        <v>-9.9600000000000009</v>
      </c>
      <c r="EN100">
        <v>-8.0399999999999991</v>
      </c>
      <c r="EO100">
        <v>-1.41</v>
      </c>
      <c r="EP100">
        <v>-2.38</v>
      </c>
    </row>
    <row r="101" spans="1:146" ht="88.5" customHeight="1" x14ac:dyDescent="0.25">
      <c r="C101" s="16" t="str">
        <f>""&amp;CHAR(10)&amp;Basic_Fundamental_Information_Constructure(F101)&amp;CHAR(10)&amp;Basic_Fundamental_Information_Concatenate("")</f>
        <v xml:space="preserve">
市值15.266333亿, 利润1.84亿; PE9.18; 平均PE10.96; 平均PEG.33, PB1.3; ROIC14.9567%; ROE14.6033%; 股利率4.3121%; 毛利19.4233%; 净利9.8733%; 上一年度营收增108.01%, 利润增26.9%; 当季营收增-53.67%, 利润增-55.88%; 过往5年营收增33.55%, 利润增15.84%
Income profile:
</v>
      </c>
      <c r="D101" t="s">
        <v>3783</v>
      </c>
      <c r="E101" t="s">
        <v>3784</v>
      </c>
      <c r="F101">
        <v>8.1300000000000008</v>
      </c>
      <c r="G101">
        <v>-0.25</v>
      </c>
      <c r="H101" t="s">
        <v>3785</v>
      </c>
      <c r="I101">
        <v>1526633300</v>
      </c>
      <c r="J101">
        <v>9.18</v>
      </c>
      <c r="K101">
        <v>1.3</v>
      </c>
      <c r="L101" t="s">
        <v>1589</v>
      </c>
      <c r="M101" t="s">
        <v>3786</v>
      </c>
      <c r="N101" t="s">
        <v>723</v>
      </c>
      <c r="O101" t="s">
        <v>906</v>
      </c>
      <c r="P101" s="5">
        <v>-4.9800000000000004</v>
      </c>
      <c r="Q101" t="s">
        <v>3787</v>
      </c>
      <c r="R101">
        <v>20825031</v>
      </c>
      <c r="S101">
        <v>-0.48359999999999997</v>
      </c>
      <c r="T101" t="s">
        <v>131</v>
      </c>
      <c r="U101">
        <v>187777780</v>
      </c>
      <c r="V101">
        <v>187777780</v>
      </c>
      <c r="W101">
        <v>2.16</v>
      </c>
      <c r="X101">
        <v>0.17</v>
      </c>
      <c r="Y101">
        <v>5.41</v>
      </c>
      <c r="Z101" t="s">
        <v>3788</v>
      </c>
      <c r="AA101" t="s">
        <v>3789</v>
      </c>
      <c r="AB101" t="s">
        <v>3790</v>
      </c>
      <c r="AC101" t="s">
        <v>3791</v>
      </c>
      <c r="AD101" t="s">
        <v>24</v>
      </c>
      <c r="AE101">
        <v>1388597</v>
      </c>
      <c r="AF101" t="s">
        <v>3792</v>
      </c>
      <c r="AG101" t="s">
        <v>3793</v>
      </c>
      <c r="AH101" t="s">
        <v>3794</v>
      </c>
      <c r="AI101" t="s">
        <v>3795</v>
      </c>
      <c r="AJ101" t="s">
        <v>3796</v>
      </c>
      <c r="AK101" t="s">
        <v>24</v>
      </c>
      <c r="AL101" t="s">
        <v>3797</v>
      </c>
      <c r="AM101" t="s">
        <v>24</v>
      </c>
      <c r="AN101">
        <v>0</v>
      </c>
      <c r="AO101" t="s">
        <v>323</v>
      </c>
      <c r="AP101" t="s">
        <v>24</v>
      </c>
      <c r="AQ101" t="s">
        <v>3529</v>
      </c>
      <c r="AR101" t="s">
        <v>3798</v>
      </c>
      <c r="AS101" t="s">
        <v>3799</v>
      </c>
      <c r="AT101" t="s">
        <v>24</v>
      </c>
      <c r="AU101" t="s">
        <v>3800</v>
      </c>
      <c r="AV101" t="s">
        <v>3801</v>
      </c>
      <c r="AW101" t="s">
        <v>3802</v>
      </c>
      <c r="AX101" t="s">
        <v>3803</v>
      </c>
      <c r="AY101" t="s">
        <v>3804</v>
      </c>
      <c r="AZ101" t="s">
        <v>700</v>
      </c>
      <c r="BA101" t="s">
        <v>3805</v>
      </c>
      <c r="BB101" t="s">
        <v>871</v>
      </c>
      <c r="BC101" t="s">
        <v>198</v>
      </c>
      <c r="BD101" t="s">
        <v>1119</v>
      </c>
      <c r="BE101" t="s">
        <v>109</v>
      </c>
      <c r="BF101" t="s">
        <v>207</v>
      </c>
      <c r="BG101" t="s">
        <v>3806</v>
      </c>
      <c r="BH101" t="s">
        <v>3807</v>
      </c>
      <c r="BI101" t="s">
        <v>625</v>
      </c>
      <c r="BJ101" t="s">
        <v>3803</v>
      </c>
      <c r="BK101" t="s">
        <v>291</v>
      </c>
      <c r="BL101" t="s">
        <v>3808</v>
      </c>
      <c r="BM101" t="s">
        <v>198</v>
      </c>
      <c r="BN101">
        <v>10.63</v>
      </c>
      <c r="BO101">
        <v>15.46</v>
      </c>
      <c r="BP101">
        <v>18.78</v>
      </c>
      <c r="BQ101">
        <v>10.56</v>
      </c>
      <c r="BR101">
        <v>14.81</v>
      </c>
      <c r="BS101">
        <v>18.440000000000001</v>
      </c>
      <c r="BT101" t="s">
        <v>3809</v>
      </c>
      <c r="BU101" t="s">
        <v>2210</v>
      </c>
      <c r="BV101">
        <v>16</v>
      </c>
      <c r="BW101">
        <v>19.510000000000002</v>
      </c>
      <c r="BX101">
        <v>22.76</v>
      </c>
      <c r="BY101">
        <v>10.59</v>
      </c>
      <c r="BZ101">
        <v>8.39</v>
      </c>
      <c r="CA101">
        <v>10.64</v>
      </c>
      <c r="CB101">
        <v>-2.98</v>
      </c>
      <c r="CC101" s="8">
        <v>-23.8</v>
      </c>
      <c r="CD101" s="9" t="s">
        <v>3810</v>
      </c>
      <c r="CE101" s="8" t="s">
        <v>705</v>
      </c>
      <c r="CF101" s="8">
        <v>-0.53668763102725359</v>
      </c>
      <c r="CG101" s="8">
        <v>-0.55878423786843845</v>
      </c>
      <c r="CH101" s="8">
        <v>1.0801297426223755</v>
      </c>
      <c r="CI101" s="8">
        <v>0.15944766998291016</v>
      </c>
      <c r="CJ101" s="9">
        <v>0.12738853693008423</v>
      </c>
      <c r="CK101" s="9">
        <v>0.13585203886032104</v>
      </c>
      <c r="CL101" s="9">
        <v>0.17469310760498047</v>
      </c>
      <c r="CM101" s="9">
        <v>0.26896551251411438</v>
      </c>
      <c r="CN101" s="9">
        <v>-0.11042945086956024</v>
      </c>
      <c r="CO101">
        <v>0.18115942180156708</v>
      </c>
      <c r="CP101">
        <v>0.21052631735801697</v>
      </c>
      <c r="CQ101">
        <v>0.24167045950889587</v>
      </c>
      <c r="CR101" s="8">
        <v>10.959165448489721</v>
      </c>
      <c r="CS101" s="9">
        <v>0.32664956656970257</v>
      </c>
      <c r="CT101">
        <v>4.3120541205412053</v>
      </c>
      <c r="CU101">
        <v>0.33550221920013429</v>
      </c>
      <c r="CV101">
        <v>0.15837845206260681</v>
      </c>
      <c r="CW101">
        <v>0.06</v>
      </c>
      <c r="CX101">
        <v>7.7802163376454283</v>
      </c>
      <c r="CY101">
        <v>231823026.72907987</v>
      </c>
      <c r="CZ101">
        <v>0.33550221920013429</v>
      </c>
      <c r="DA101">
        <v>2.077941601036851</v>
      </c>
      <c r="DB101">
        <v>867990370.42235613</v>
      </c>
      <c r="DC101">
        <v>0.31872710824012757</v>
      </c>
      <c r="DD101">
        <v>0.76451689243891774</v>
      </c>
      <c r="DE101">
        <v>2359180441.7115664</v>
      </c>
      <c r="DF101">
        <v>0.29524195289611815</v>
      </c>
      <c r="DG101">
        <v>0.32090411698714799</v>
      </c>
      <c r="DH101">
        <v>5620474168.2146587</v>
      </c>
      <c r="DI101">
        <v>0.26840177536010745</v>
      </c>
      <c r="DJ101">
        <v>6.8738451154825339E-2</v>
      </c>
      <c r="DK101">
        <v>26239073905.484524</v>
      </c>
      <c r="DL101">
        <v>0.23485155344009398</v>
      </c>
      <c r="DM101">
        <v>184000000</v>
      </c>
      <c r="DN101">
        <v>0.33550221920013429</v>
      </c>
      <c r="DO101">
        <v>1803633300</v>
      </c>
      <c r="DP101">
        <v>504288500</v>
      </c>
      <c r="DQ101" s="10">
        <v>4161</v>
      </c>
      <c r="DR101">
        <v>-0.87218985022738793</v>
      </c>
      <c r="DS101">
        <v>-0.71716268993104526</v>
      </c>
      <c r="DT101">
        <v>0.14333333333333331</v>
      </c>
      <c r="DU101">
        <v>0.29666666666666658</v>
      </c>
      <c r="DV101">
        <v>0.43999999999999989</v>
      </c>
      <c r="DW101">
        <v>-8.125210084033613</v>
      </c>
      <c r="DX101">
        <v>0.23097015503876028</v>
      </c>
      <c r="DY101">
        <v>-8.0151466832779619</v>
      </c>
      <c r="DZ101">
        <v>202</v>
      </c>
      <c r="EA101">
        <v>-8.0145479298489697</v>
      </c>
      <c r="EB101" s="11">
        <v>8</v>
      </c>
      <c r="EC101" s="11">
        <v>0.16620869625788526</v>
      </c>
      <c r="ED101">
        <v>1.3739644807814855</v>
      </c>
      <c r="EE101">
        <v>2.0216099999999999</v>
      </c>
      <c r="EF101">
        <v>2.0188100000000002</v>
      </c>
      <c r="EG101">
        <v>11.12097015503876</v>
      </c>
      <c r="EH101" s="13" t="s">
        <v>833</v>
      </c>
      <c r="EI101">
        <v>0</v>
      </c>
      <c r="EJ101">
        <v>1</v>
      </c>
      <c r="EK101">
        <v>45470</v>
      </c>
      <c r="EL101">
        <v>-2.41</v>
      </c>
      <c r="EM101">
        <v>-3.05</v>
      </c>
      <c r="EN101">
        <v>0.38</v>
      </c>
      <c r="EO101">
        <v>1.57</v>
      </c>
      <c r="EP101">
        <v>0.28000000000000003</v>
      </c>
    </row>
  </sheetData>
  <autoFilter ref="BU1:BU110"/>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sic_Fundamental_Tabel_Update_Buttom &quot;房地产&quot;,&quot;&quot;'" altText="更新基本面按钮_x000a_">
                <anchor moveWithCells="1" sizeWithCells="1">
                  <from>
                    <xdr:col>147</xdr:col>
                    <xdr:colOff>304800</xdr:colOff>
                    <xdr:row>0</xdr:row>
                    <xdr:rowOff>107950</xdr:rowOff>
                  </from>
                  <to>
                    <xdr:col>147</xdr:col>
                    <xdr:colOff>1441450</xdr:colOff>
                    <xdr:row>0</xdr:row>
                    <xdr:rowOff>419100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房地产开发</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2024-07-09T15:03:30Z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