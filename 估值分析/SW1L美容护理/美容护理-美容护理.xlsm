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New-美容护理\"/>
    </mc:Choice>
  </mc:AlternateContent>
  <bookViews>
    <workbookView xWindow="0" yWindow="0" windowWidth="3800" windowHeight="2950"/>
  </bookViews>
  <sheets>
    <sheet name="美容护理" sheetId="7" r:id="rId1"/>
    <sheet name="估值-增速与年化收益" sheetId="14" r:id="rId2"/>
  </sheets>
  <functionGroups builtInGroupCount="18"/>
  <definedNames>
    <definedName name="_xlnm._FilterDatabase" localSheetId="0" hidden="1">美容护理!$BU$1:$BU$39</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alcChain>
</file>

<file path=xl/sharedStrings.xml><?xml version="1.0" encoding="utf-8"?>
<sst xmlns="http://schemas.openxmlformats.org/spreadsheetml/2006/main" count="1876" uniqueCount="1362">
  <si>
    <t>&lt;-增速</t>
    <phoneticPr fontId="1" type="noConversion"/>
  </si>
  <si>
    <t>&lt;-估值</t>
    <phoneticPr fontId="1" type="noConversion"/>
  </si>
  <si>
    <t>&lt;-折合年化收益</t>
    <phoneticPr fontId="1" type="noConversion"/>
  </si>
  <si>
    <t>现价</t>
  </si>
  <si>
    <t>市净率</t>
  </si>
  <si>
    <t>代码</t>
  </si>
  <si>
    <t>总市值</t>
  </si>
  <si>
    <t>TTM市盈率</t>
  </si>
  <si>
    <t>所属行业</t>
  </si>
  <si>
    <t>--</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</si>
  <si>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</si>
  <si>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</si>
  <si>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</si>
  <si>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</si>
  <si>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</si>
  <si>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</si>
  <si>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</si>
  <si>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</si>
  <si>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</si>
  <si>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</si>
  <si>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</si>
  <si>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0亿</t>
  </si>
  <si>
    <t>2.20亿</t>
  </si>
  <si>
    <t>1.07亿</t>
  </si>
  <si>
    <t>2.58亿</t>
  </si>
  <si>
    <t>5.15亿</t>
  </si>
  <si>
    <t>12.51亿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</si>
  <si>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</si>
  <si>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</si>
  <si>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</si>
  <si>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</si>
  <si>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</si>
  <si>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</si>
  <si>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</si>
  <si>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</si>
  <si>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</si>
  <si>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</si>
  <si>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</si>
  <si>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</si>
  <si>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</si>
  <si>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12.41亿</t>
  </si>
  <si>
    <t>1.63亿</t>
  </si>
  <si>
    <t>1.85亿</t>
  </si>
  <si>
    <t>1.58亿</t>
  </si>
  <si>
    <t>7.18亿</t>
  </si>
  <si>
    <t>1.28亿</t>
  </si>
  <si>
    <t>1.04亿</t>
  </si>
  <si>
    <t>2.61亿</t>
  </si>
  <si>
    <t>1.14亿</t>
  </si>
  <si>
    <t>2.00亿</t>
  </si>
  <si>
    <t>4.24亿</t>
  </si>
  <si>
    <t>4.64亿</t>
  </si>
  <si>
    <t>2.87亿</t>
  </si>
  <si>
    <t>1.94亿</t>
  </si>
  <si>
    <t>1.54亿</t>
  </si>
  <si>
    <t>9.03亿</t>
  </si>
  <si>
    <t>10.98亿</t>
  </si>
  <si>
    <t>37.52亿</t>
  </si>
  <si>
    <t>1.65亿</t>
  </si>
  <si>
    <t>4.30亿</t>
  </si>
  <si>
    <t>3.06亿</t>
  </si>
  <si>
    <t>4.00亿</t>
  </si>
  <si>
    <t>6.69亿</t>
  </si>
  <si>
    <t>5.81亿</t>
  </si>
  <si>
    <t>2.93亿</t>
  </si>
  <si>
    <t>1.33亿</t>
  </si>
  <si>
    <t>3.00亿</t>
  </si>
  <si>
    <t>9.06亿</t>
  </si>
  <si>
    <t>1.17亿</t>
  </si>
  <si>
    <t>4.15亿</t>
  </si>
  <si>
    <t>2.36亿</t>
  </si>
  <si>
    <t>1.27亿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</si>
  <si>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</si>
  <si>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</si>
  <si>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</si>
  <si>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</si>
  <si>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</si>
  <si>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</si>
  <si>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</si>
  <si>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</si>
  <si>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</si>
  <si>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</si>
  <si>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</si>
  <si>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</si>
  <si>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</si>
  <si>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</si>
  <si>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</si>
  <si>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美容护理</t>
  </si>
  <si>
    <t>SZ000615</t>
  </si>
  <si>
    <t>19.87亿</t>
  </si>
  <si>
    <t>-1.35亿</t>
  </si>
  <si>
    <t>1.40亿</t>
  </si>
  <si>
    <t>31.50亿</t>
  </si>
  <si>
    <t>28.89亿</t>
  </si>
  <si>
    <t>1208.97万</t>
  </si>
  <si>
    <t>1.57亿</t>
  </si>
  <si>
    <t>1.09亿</t>
  </si>
  <si>
    <t>SZ001206</t>
  </si>
  <si>
    <t>依依股份</t>
  </si>
  <si>
    <t>10.28亿</t>
  </si>
  <si>
    <t>7.43亿</t>
  </si>
  <si>
    <t>3539.82万</t>
  </si>
  <si>
    <t>SZ002511</t>
  </si>
  <si>
    <t>中顺洁柔</t>
  </si>
  <si>
    <t>78.24亿</t>
  </si>
  <si>
    <t>66.35亿</t>
  </si>
  <si>
    <t>56.79亿</t>
  </si>
  <si>
    <t>6.04亿</t>
  </si>
  <si>
    <t>4.07亿</t>
  </si>
  <si>
    <t>2.60亿</t>
  </si>
  <si>
    <t>4.53亿</t>
  </si>
  <si>
    <t>1.83亿</t>
  </si>
  <si>
    <t>1.41亿</t>
  </si>
  <si>
    <t>1.80亿</t>
  </si>
  <si>
    <t>SZ003006</t>
  </si>
  <si>
    <t>百亚股份</t>
  </si>
  <si>
    <t>1.23亿</t>
  </si>
  <si>
    <t>11.49亿</t>
  </si>
  <si>
    <t>9.61亿</t>
  </si>
  <si>
    <t>8935.10万</t>
  </si>
  <si>
    <t>SZ300132</t>
  </si>
  <si>
    <t>青松股份</t>
  </si>
  <si>
    <t>38.65亿</t>
  </si>
  <si>
    <t>4.61亿</t>
  </si>
  <si>
    <t>29.08亿</t>
  </si>
  <si>
    <t>14.22亿</t>
  </si>
  <si>
    <t>5.57亿</t>
  </si>
  <si>
    <t>7.09亿</t>
  </si>
  <si>
    <t>SZ300658</t>
  </si>
  <si>
    <t>延江股份</t>
  </si>
  <si>
    <t>15.86亿</t>
  </si>
  <si>
    <t>10.38亿</t>
  </si>
  <si>
    <t>7.66亿</t>
  </si>
  <si>
    <t>8231.07万</t>
  </si>
  <si>
    <t>4861.14万</t>
  </si>
  <si>
    <t>SZ300740</t>
  </si>
  <si>
    <t>水羊股份</t>
  </si>
  <si>
    <t>37.15亿</t>
  </si>
  <si>
    <t>24.12亿</t>
  </si>
  <si>
    <t>22.45亿</t>
  </si>
  <si>
    <t>2722.27万</t>
  </si>
  <si>
    <t>1.31亿</t>
  </si>
  <si>
    <t>8.17亿</t>
  </si>
  <si>
    <t>SZ300849</t>
  </si>
  <si>
    <t>锦盛新材</t>
  </si>
  <si>
    <t>6.85亿</t>
  </si>
  <si>
    <t>3448.94万</t>
  </si>
  <si>
    <t>3.43亿</t>
  </si>
  <si>
    <t>3.61亿</t>
  </si>
  <si>
    <t>6564.12万</t>
  </si>
  <si>
    <t>5351.31万</t>
  </si>
  <si>
    <t>SZ300856</t>
  </si>
  <si>
    <t>科思股份</t>
  </si>
  <si>
    <t>10.08亿</t>
  </si>
  <si>
    <t>11.00亿</t>
  </si>
  <si>
    <t>9.72亿</t>
  </si>
  <si>
    <t>8675.46万</t>
  </si>
  <si>
    <t>SZ300886</t>
  </si>
  <si>
    <t>华业香料</t>
  </si>
  <si>
    <t>2.06亿</t>
  </si>
  <si>
    <t>2.15亿</t>
  </si>
  <si>
    <t>4576.19万</t>
  </si>
  <si>
    <t>6397.92万</t>
  </si>
  <si>
    <t>SZ300896</t>
  </si>
  <si>
    <t>爱美客</t>
  </si>
  <si>
    <t>4.40亿</t>
  </si>
  <si>
    <t>5.58亿</t>
  </si>
  <si>
    <t>3.21亿</t>
  </si>
  <si>
    <t>SZ300955</t>
  </si>
  <si>
    <t>嘉亨家化</t>
  </si>
  <si>
    <t>9.69亿</t>
  </si>
  <si>
    <t>9341.15万</t>
  </si>
  <si>
    <t>1.96亿</t>
  </si>
  <si>
    <t>7.86亿</t>
  </si>
  <si>
    <t>6332.60万</t>
  </si>
  <si>
    <t>4293.19万</t>
  </si>
  <si>
    <t>SZ300957</t>
  </si>
  <si>
    <t>贝泰妮</t>
  </si>
  <si>
    <t>26.36亿</t>
  </si>
  <si>
    <t>5.44亿</t>
  </si>
  <si>
    <t>19.44亿</t>
  </si>
  <si>
    <t>12.40亿</t>
  </si>
  <si>
    <t>4.12亿</t>
  </si>
  <si>
    <t>SZ301009</t>
  </si>
  <si>
    <t>可靠股份</t>
  </si>
  <si>
    <t>16.35亿</t>
  </si>
  <si>
    <t>2.14亿</t>
  </si>
  <si>
    <t>11.74亿</t>
  </si>
  <si>
    <t>5968.18万</t>
  </si>
  <si>
    <t>SZ301059</t>
  </si>
  <si>
    <t>金三江</t>
  </si>
  <si>
    <t>6210.68万</t>
  </si>
  <si>
    <t>1.98亿</t>
  </si>
  <si>
    <t>4767.49万</t>
  </si>
  <si>
    <t>SH600249</t>
  </si>
  <si>
    <t>两面针</t>
  </si>
  <si>
    <t>2.83亿</t>
  </si>
  <si>
    <t>11.87亿</t>
  </si>
  <si>
    <t>12.45亿</t>
  </si>
  <si>
    <t>SH600315</t>
  </si>
  <si>
    <t>上海家化</t>
  </si>
  <si>
    <t>70.32亿</t>
  </si>
  <si>
    <t>3.63亿</t>
  </si>
  <si>
    <t>75.97亿</t>
  </si>
  <si>
    <t>71.38亿</t>
  </si>
  <si>
    <t>5.40亿</t>
  </si>
  <si>
    <t>SH603059</t>
  </si>
  <si>
    <t>倍加洁</t>
  </si>
  <si>
    <t>8.28亿</t>
  </si>
  <si>
    <t>7688.47万</t>
  </si>
  <si>
    <t>8.06亿</t>
  </si>
  <si>
    <t>7.55亿</t>
  </si>
  <si>
    <t>9441.21万</t>
  </si>
  <si>
    <t>SH603238</t>
  </si>
  <si>
    <t>诺邦股份</t>
  </si>
  <si>
    <t>20.10亿</t>
  </si>
  <si>
    <t>2.67亿</t>
  </si>
  <si>
    <t>9.36亿</t>
  </si>
  <si>
    <t>8252.62万</t>
  </si>
  <si>
    <t>5525.38万</t>
  </si>
  <si>
    <t>SH603605</t>
  </si>
  <si>
    <t>珀莱雅</t>
  </si>
  <si>
    <t>4.76亿</t>
  </si>
  <si>
    <t>31.24亿</t>
  </si>
  <si>
    <t>23.61亿</t>
  </si>
  <si>
    <t>3.93亿</t>
  </si>
  <si>
    <t>SH603630</t>
  </si>
  <si>
    <t>拉芳家化</t>
  </si>
  <si>
    <t>9.84亿</t>
  </si>
  <si>
    <t>9.65亿</t>
  </si>
  <si>
    <t>9.64亿</t>
  </si>
  <si>
    <t>4962.87万</t>
  </si>
  <si>
    <t>SH603983</t>
  </si>
  <si>
    <t>丸美股份</t>
  </si>
  <si>
    <t>17.45亿</t>
  </si>
  <si>
    <t>3.15亿</t>
  </si>
  <si>
    <t>2.46亿</t>
  </si>
  <si>
    <t>18.01亿</t>
  </si>
  <si>
    <t>15.76亿</t>
  </si>
  <si>
    <t>SH605009</t>
  </si>
  <si>
    <t>25.91亿</t>
  </si>
  <si>
    <t>6.02亿</t>
  </si>
  <si>
    <t>19.53亿</t>
  </si>
  <si>
    <t>14.50亿</t>
  </si>
  <si>
    <t>SH688363</t>
  </si>
  <si>
    <t>华熙生物</t>
  </si>
  <si>
    <t>26.33亿</t>
  </si>
  <si>
    <t>6.46亿</t>
  </si>
  <si>
    <t>18.86亿</t>
  </si>
  <si>
    <t>12.63亿</t>
  </si>
  <si>
    <t>5.86亿</t>
  </si>
  <si>
    <t>1.（不定期）深耕客户新需求增加收入；2.（中期待观察）婴儿自主纸尿裤的市场进一步扩张；</t>
    <phoneticPr fontId="1" type="noConversion"/>
  </si>
  <si>
    <t>1.前五大客户70%的营收占比；2.菲律宾当地卫生护理品牌JS控股；3.应收账款接近20%，需关注大客户的经营还款能力；</t>
    <phoneticPr fontId="1" type="noConversion"/>
  </si>
  <si>
    <t>1. 2021Q1的营收微增7%，利润下降-7.8%，让市场进入了负向展开过程，各种对公司增长的质疑和疑虑；2.ODM对手：广东昱升、浙江千芝雅</t>
    <phoneticPr fontId="1" type="noConversion"/>
  </si>
  <si>
    <t>投入资本回报率roic%[20201231]</t>
  </si>
  <si>
    <t>净资产收益率%[20201231]</t>
  </si>
  <si>
    <t>1.玻尿酸原料市场产能过剩导致价格走低在供给端给华熙生物的原料业务造成压力；2.拓展to C行业，销售费用拖累利润率；</t>
    <phoneticPr fontId="1" type="noConversion"/>
  </si>
  <si>
    <r>
      <t>1.自主品牌的知名度和市场扩展的广度需要加强；新股，需等待情绪冷却；2.三季度</t>
    </r>
    <r>
      <rPr>
        <sz val="9"/>
        <color rgb="FFFF0000"/>
        <rFont val="宋体"/>
        <family val="3"/>
        <charset val="134"/>
        <scheme val="minor"/>
      </rPr>
      <t>自由点卫生巾继续保持较快增长</t>
    </r>
    <r>
      <rPr>
        <sz val="9"/>
        <color theme="1"/>
        <rFont val="宋体"/>
        <family val="2"/>
        <charset val="134"/>
        <scheme val="minor"/>
      </rPr>
      <t>,好之婴儿</t>
    </r>
    <r>
      <rPr>
        <b/>
        <sz val="9"/>
        <color rgb="FFFF0000"/>
        <rFont val="宋体"/>
        <family val="3"/>
        <charset val="134"/>
        <scheme val="minor"/>
      </rPr>
      <t>纸尿裤下滑</t>
    </r>
    <r>
      <rPr>
        <sz val="9"/>
        <color theme="1"/>
        <rFont val="宋体"/>
        <family val="2"/>
        <charset val="134"/>
        <scheme val="minor"/>
      </rPr>
      <t>,没有实现两品类的共同增长</t>
    </r>
    <phoneticPr fontId="1" type="noConversion"/>
  </si>
  <si>
    <t>流通股本</t>
  </si>
  <si>
    <t>净利润[20201231]</t>
  </si>
  <si>
    <t>2.28亿</t>
  </si>
  <si>
    <t>9.58亿</t>
  </si>
  <si>
    <t>13.10亿</t>
  </si>
  <si>
    <t>91.50亿</t>
  </si>
  <si>
    <t>14.63亿</t>
  </si>
  <si>
    <t>36.93亿</t>
  </si>
  <si>
    <t>-9.12亿</t>
  </si>
  <si>
    <t>10.39亿</t>
  </si>
  <si>
    <t>50.10亿</t>
  </si>
  <si>
    <t>1058.70万</t>
  </si>
  <si>
    <t>10.90亿</t>
  </si>
  <si>
    <t>1755.22万</t>
  </si>
  <si>
    <t>3848.90万</t>
  </si>
  <si>
    <t>14.48亿</t>
  </si>
  <si>
    <t>11.61亿</t>
  </si>
  <si>
    <t>9716.93万</t>
  </si>
  <si>
    <t>40.22亿</t>
  </si>
  <si>
    <t>8.63亿</t>
  </si>
  <si>
    <t>11.86亿</t>
  </si>
  <si>
    <t>3974.53万</t>
  </si>
  <si>
    <t>8745.09万</t>
  </si>
  <si>
    <t>2.03亿</t>
  </si>
  <si>
    <t>5059.45万</t>
  </si>
  <si>
    <t>2.48亿</t>
  </si>
  <si>
    <t>5759.64万</t>
  </si>
  <si>
    <t>SZ301108</t>
  </si>
  <si>
    <t>洁雅股份</t>
  </si>
  <si>
    <t>2.77亿</t>
  </si>
  <si>
    <t>2.43亿</t>
  </si>
  <si>
    <t>6812.27万</t>
  </si>
  <si>
    <t>5763.26万</t>
  </si>
  <si>
    <t>76.46亿</t>
  </si>
  <si>
    <t>6.49亿</t>
  </si>
  <si>
    <t>7478.26万</t>
  </si>
  <si>
    <t>15.19亿</t>
  </si>
  <si>
    <t>9661.42万</t>
  </si>
  <si>
    <t>46.33亿</t>
  </si>
  <si>
    <t>5.76亿</t>
  </si>
  <si>
    <t>11.01亿</t>
  </si>
  <si>
    <t>6904.88万</t>
  </si>
  <si>
    <t>17.87亿</t>
  </si>
  <si>
    <t>24.62亿</t>
  </si>
  <si>
    <t>49.48亿</t>
  </si>
  <si>
    <t>7.82亿</t>
  </si>
  <si>
    <t xml:space="preserve">    名称</t>
  </si>
  <si>
    <t>净利润?</t>
  </si>
  <si>
    <t>扣非净利润</t>
  </si>
  <si>
    <t>营业总收入[20201231]</t>
  </si>
  <si>
    <t>投入资本回报率roic%[20211231]</t>
  </si>
  <si>
    <t>净资产收益率%[20211231]</t>
  </si>
  <si>
    <t>单季营收增速</t>
  </si>
  <si>
    <t>单季利润增速</t>
  </si>
  <si>
    <t>亏损</t>
  </si>
  <si>
    <t>扭亏</t>
  </si>
  <si>
    <t/>
  </si>
  <si>
    <t>1.关键看如何利用目前的销售平台和私域流量；产品投放的策略侧重在更精细化拆分，包括传统电商和抖快。不同平台随着不同的季节、时间段会有不同策略，会考核各品牌的ROI，看会员是否能够持续沉淀以及贡献产出;</t>
    <phoneticPr fontId="1" type="noConversion"/>
  </si>
  <si>
    <t>1.原料都为自产；2.目前公司透明质酸发酵产率可达12-14g/L，产能为470吨，产业化规模位居国际前列；</t>
    <phoneticPr fontId="1" type="noConversion"/>
  </si>
  <si>
    <t>研发费用总额[20220630]</t>
  </si>
  <si>
    <t>LY营业总收入[20211231]</t>
  </si>
  <si>
    <t>权益乘数[20220630]</t>
  </si>
  <si>
    <t>总资产周转率[20220630]</t>
  </si>
  <si>
    <t>净利润／营业总收入%[20220630]</t>
  </si>
  <si>
    <t>营业总成本[20220630]</t>
  </si>
  <si>
    <t>营业成本[20220630]</t>
  </si>
  <si>
    <t>管理费用[20220630]</t>
  </si>
  <si>
    <t>细分行业</t>
  </si>
  <si>
    <t>1.19亿</t>
  </si>
  <si>
    <t>个护用品</t>
  </si>
  <si>
    <t>医疗美容</t>
  </si>
  <si>
    <t>化妆品</t>
  </si>
  <si>
    <t>4.25亿</t>
  </si>
  <si>
    <t>3.97亿</t>
  </si>
  <si>
    <t>13.13亿</t>
  </si>
  <si>
    <t>1.60亿</t>
  </si>
  <si>
    <t>9.44亿</t>
  </si>
  <si>
    <t>12.30亿</t>
  </si>
  <si>
    <t>3.45亿</t>
  </si>
  <si>
    <t>1.21亿</t>
  </si>
  <si>
    <t>1.74亿</t>
  </si>
  <si>
    <t>3.84亿</t>
  </si>
  <si>
    <t>3.73亿</t>
  </si>
  <si>
    <t>11.43亿</t>
  </si>
  <si>
    <t>29.17亿</t>
  </si>
  <si>
    <t>16.12亿</t>
  </si>
  <si>
    <r>
      <t>1.连续两年（2020，2021）亏损，2022Q1亿继续亏损接近4000万；2.</t>
    </r>
    <r>
      <rPr>
        <b/>
        <sz val="9"/>
        <color rgb="FFFF0000"/>
        <rFont val="宋体"/>
        <family val="3"/>
        <charset val="134"/>
        <scheme val="minor"/>
      </rPr>
      <t>房产业务置出清空</t>
    </r>
    <r>
      <rPr>
        <sz val="9"/>
        <color theme="1"/>
        <rFont val="宋体"/>
        <family val="2"/>
        <charset val="134"/>
        <scheme val="minor"/>
      </rPr>
      <t>，导致营收减少，重点开始放到医美。</t>
    </r>
    <phoneticPr fontId="1" type="noConversion"/>
  </si>
  <si>
    <r>
      <t>1.两天成交10亿，20%的总换手。2.公司通过对杭州连天美医疗美容医院和杭州维多利亚医疗美容医院等并购，快速进入医美产业链，构建</t>
    </r>
    <r>
      <rPr>
        <sz val="9"/>
        <color rgb="FFFF0000"/>
        <rFont val="宋体"/>
        <family val="3"/>
        <charset val="134"/>
        <scheme val="minor"/>
      </rPr>
      <t>“1+N”模式</t>
    </r>
    <r>
      <rPr>
        <sz val="9"/>
        <color theme="1"/>
        <rFont val="宋体"/>
        <family val="2"/>
        <charset val="134"/>
        <scheme val="minor"/>
      </rPr>
      <t>，“1”是以连天美为代表的
5A 级医美医院；“N”是以奥若拉为代表的轻医美连锁品牌。同时携手赛诺秀、KD Medical、元泰、科医人等合作伙伴，就医美产品、激光射频仪器、光电美容设备等开展深入合作。3.公司围绕着，</t>
    </r>
    <r>
      <rPr>
        <b/>
        <sz val="9"/>
        <color rgb="FFFF0000"/>
        <rFont val="宋体"/>
        <family val="3"/>
        <charset val="134"/>
        <scheme val="minor"/>
      </rPr>
      <t>医美服务，医美科技，医美材料</t>
    </r>
    <r>
      <rPr>
        <sz val="9"/>
        <color theme="1"/>
        <rFont val="宋体"/>
        <family val="2"/>
        <charset val="134"/>
        <scheme val="minor"/>
      </rPr>
      <t>三大板块。4.医美医院上市公司标的不多，然后第三季度单季营收增加24%在3亿左右。</t>
    </r>
    <phoneticPr fontId="1" type="noConversion"/>
  </si>
  <si>
    <t>1.观察人口和卫生护理的行业变化，展望4亿利润-》6亿的可能性；3.在100亿市值左右是可以开展这种展望，因为20%的增速对于豪悦在底部而言会是一种可能。4.吸收芯体是关键结构部位，主要作用是快速吸收、分散和储存液体。依托持续研发及多年的行业经验，公司已研发出无木浆多维复合芯体结构（目前已研发出第 4 代）。5. 在ODM的生产环节中注重研发；6.2018 年我国婴儿卫生用品的市场渗透率已提升至 63.9%。发达国家 90%以上的市场渗透率。我国女性卫生巾市场渗透率已达到90%以上</t>
    <phoneticPr fontId="1" type="noConversion"/>
  </si>
  <si>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</si>
  <si>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</si>
  <si>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</si>
  <si>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</si>
  <si>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</si>
  <si>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</si>
  <si>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</si>
  <si>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</si>
  <si>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</si>
  <si>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</si>
  <si>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</si>
  <si>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</si>
  <si>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</si>
  <si>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</si>
  <si>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</si>
  <si>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</si>
  <si>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</si>
  <si>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</si>
  <si>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</si>
  <si>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</si>
  <si>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</si>
  <si>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</si>
  <si>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</si>
  <si>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</si>
  <si>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</si>
  <si>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</si>
  <si>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</si>
  <si>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</si>
  <si>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</si>
  <si>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</si>
  <si>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</si>
  <si>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</si>
  <si>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6年自由现金流折现</t>
    <phoneticPr fontId="1" type="noConversion"/>
  </si>
  <si>
    <t>6增速</t>
    <phoneticPr fontId="1" type="noConversion"/>
  </si>
  <si>
    <t>昨日价格累计指数</t>
    <phoneticPr fontId="1" type="noConversion"/>
  </si>
  <si>
    <t>不分配不转增</t>
  </si>
  <si>
    <t>10派1元(含税)</t>
  </si>
  <si>
    <t>10派3元(含税)</t>
  </si>
  <si>
    <t>10派10元(含税)</t>
  </si>
  <si>
    <t>市销率</t>
    <phoneticPr fontId="1" type="noConversion"/>
  </si>
  <si>
    <t>扣非对比净利润</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</si>
  <si>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</si>
  <si>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</si>
  <si>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</si>
  <si>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</si>
  <si>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</si>
  <si>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</si>
  <si>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</si>
  <si>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</si>
  <si>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</si>
  <si>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</si>
  <si>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</si>
  <si>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</si>
  <si>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</si>
  <si>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</si>
  <si>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</si>
  <si>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</si>
  <si>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</si>
  <si>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</si>
  <si>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</si>
  <si>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</si>
  <si>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</si>
  <si>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</si>
  <si>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</si>
  <si>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</si>
  <si>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</si>
  <si>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</si>
  <si>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</si>
  <si>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</si>
  <si>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</si>
  <si>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</si>
  <si>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</si>
  <si>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</si>
  <si>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</si>
  <si>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</si>
  <si>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</si>
  <si>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</si>
  <si>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</si>
  <si>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1. （中期）成人失禁市场取决于老年人和病人的比例增加；2.（短期）婴儿可以期待继续突破（国内总的70%，期待到90%）；3.（长期观察）宠物部分；4.（不定期）菲律宾市场表现；5成人失禁用品25.89% 婴儿护理用品50.06% 宠物卫生用品 4.70% 口罩产品19.29%（疫情后不一定可持续）毛利大概30% 1.ODM占比70%，自主品牌30%</t>
    <phoneticPr fontId="1" type="noConversion"/>
  </si>
  <si>
    <t>1-1</t>
  </si>
  <si>
    <t>1.87亿</t>
  </si>
  <si>
    <t>1.35亿</t>
  </si>
  <si>
    <r>
      <t>1.线上直营营收占比提升，且直营毛利率提升，天猫旗舰店毛利率持续提升。2.问：护肤和彩妆品类Q3累计占比？同比变化？答：（1）</t>
    </r>
    <r>
      <rPr>
        <sz val="9"/>
        <color rgb="FFFF0000"/>
        <rFont val="宋体"/>
        <family val="3"/>
        <charset val="134"/>
        <scheme val="minor"/>
      </rPr>
      <t>护肤占比约87%</t>
    </r>
    <r>
      <rPr>
        <sz val="9"/>
        <color theme="1"/>
        <rFont val="宋体"/>
        <family val="2"/>
        <charset val="134"/>
        <scheme val="minor"/>
      </rPr>
      <t>，同比增长30%+。（2）彩妆占比约13%，同比增长20%+。</t>
    </r>
    <phoneticPr fontId="1" type="noConversion"/>
  </si>
  <si>
    <t>5.88亿</t>
  </si>
  <si>
    <t>13.56亿</t>
  </si>
  <si>
    <t>15.89亿</t>
  </si>
  <si>
    <t>-2.84亿</t>
  </si>
  <si>
    <t>15.16亿</t>
  </si>
  <si>
    <t>1.51亿</t>
  </si>
  <si>
    <t>SZ001328</t>
  </si>
  <si>
    <t>登康口腔</t>
  </si>
  <si>
    <t>10.30亿</t>
  </si>
  <si>
    <t>9524.03万</t>
  </si>
  <si>
    <t>6316.30万</t>
  </si>
  <si>
    <t>85.70亿</t>
  </si>
  <si>
    <t>3.50亿</t>
  </si>
  <si>
    <t>-7.42亿</t>
  </si>
  <si>
    <t>2937.73万</t>
  </si>
  <si>
    <t>12.55亿</t>
  </si>
  <si>
    <t>1808.09万</t>
  </si>
  <si>
    <t>47.22亿</t>
  </si>
  <si>
    <t>1.25亿</t>
  </si>
  <si>
    <t>-2250.95万</t>
  </si>
  <si>
    <t>17.65亿</t>
  </si>
  <si>
    <t>3.88亿</t>
  </si>
  <si>
    <t>2.55亿</t>
  </si>
  <si>
    <t>2078.35万</t>
  </si>
  <si>
    <t>19.39亿</t>
  </si>
  <si>
    <t>12.64亿</t>
  </si>
  <si>
    <t>4.27亿</t>
  </si>
  <si>
    <t>10.52亿</t>
  </si>
  <si>
    <t>10派3.5元(含税)</t>
  </si>
  <si>
    <t>50.14亿</t>
  </si>
  <si>
    <t>10.51亿</t>
  </si>
  <si>
    <t>5.82亿</t>
  </si>
  <si>
    <t>-4312.87万</t>
  </si>
  <si>
    <t>2.79亿</t>
  </si>
  <si>
    <t>6602.96万</t>
  </si>
  <si>
    <t>6.67亿</t>
  </si>
  <si>
    <t>10派5元(含税)</t>
  </si>
  <si>
    <t>SZ301371</t>
  </si>
  <si>
    <t>敷尔佳</t>
  </si>
  <si>
    <t>17.69亿</t>
  </si>
  <si>
    <t>8.47亿</t>
  </si>
  <si>
    <t>SH600223</t>
  </si>
  <si>
    <t>129.51亿</t>
  </si>
  <si>
    <t>4545.53万</t>
  </si>
  <si>
    <t>136.15亿</t>
  </si>
  <si>
    <t>102.89亿</t>
  </si>
  <si>
    <t>88.21亿</t>
  </si>
  <si>
    <t>71.06亿</t>
  </si>
  <si>
    <t>4.72亿</t>
  </si>
  <si>
    <t>10.50亿</t>
  </si>
  <si>
    <t>9730.85万</t>
  </si>
  <si>
    <t>3772.50万</t>
  </si>
  <si>
    <t>3.35亿</t>
  </si>
  <si>
    <t>63.85亿</t>
  </si>
  <si>
    <t>8.87亿</t>
  </si>
  <si>
    <t>5923.37万</t>
  </si>
  <si>
    <t>17.32亿</t>
  </si>
  <si>
    <t>28.02亿</t>
  </si>
  <si>
    <t>4.23亿</t>
  </si>
  <si>
    <t>63.59亿</t>
  </si>
  <si>
    <t>9.71亿</t>
  </si>
  <si>
    <t>福瑞达</t>
  </si>
  <si>
    <r>
      <t>1.在激烈的竞争环境下，公司结合自身优势选择了差异化的赛道参与市场竞争，避免产品的同质化。公司产品特点在于对纯天然的植物活性成分进行有效应用，受空气、环境、压力等多因素的影响，</t>
    </r>
    <r>
      <rPr>
        <b/>
        <sz val="9"/>
        <color rgb="FFFF0000"/>
        <rFont val="宋体"/>
        <family val="3"/>
        <charset val="134"/>
        <scheme val="minor"/>
      </rPr>
      <t>敏感肌人群</t>
    </r>
    <r>
      <rPr>
        <sz val="9"/>
        <color theme="1"/>
        <rFont val="宋体"/>
        <family val="2"/>
        <charset val="134"/>
        <scheme val="minor"/>
      </rPr>
      <t>基数较大且覆盖范围越来越大，我国 35%以上女性属于敏感肌人群；2.布局功能性食品：我们的研发实力将会随着云南省特色的6500多种植物的落地而加强，加强</t>
    </r>
    <r>
      <rPr>
        <b/>
        <sz val="9"/>
        <color rgb="FFFF0000"/>
        <rFont val="宋体"/>
        <family val="3"/>
        <charset val="134"/>
        <scheme val="minor"/>
      </rPr>
      <t>“内服美容”。</t>
    </r>
    <r>
      <rPr>
        <sz val="9"/>
        <rFont val="宋体"/>
        <family val="3"/>
        <charset val="134"/>
        <scheme val="minor"/>
      </rPr>
      <t>3.公司销售渠道注重线上线下，跟进最流行的线上渠道。4.中国中老年对护肤品的消费远远低于海外的中老年人，这个也是一个潜在市场。5.</t>
    </r>
    <r>
      <rPr>
        <sz val="9"/>
        <color rgb="FFFF0000"/>
        <rFont val="宋体"/>
        <family val="3"/>
        <charset val="134"/>
        <scheme val="minor"/>
      </rPr>
      <t>抗衰老和母婴产品为第二曲线</t>
    </r>
    <r>
      <rPr>
        <sz val="9"/>
        <rFont val="宋体"/>
        <family val="3"/>
        <charset val="134"/>
        <scheme val="minor"/>
      </rPr>
      <t>。</t>
    </r>
    <phoneticPr fontId="1" type="noConversion"/>
  </si>
  <si>
    <t>1.化妆品行业是中国最早向外资公司开放的行业之一。庞大的人口基数和可观的增长潜力吸引了众多国际品牌，我国化妆品市场环境是一个较为开放的国际化竞争环境。2.净利率低于竞争对手。</t>
    <phoneticPr fontId="1" type="noConversion"/>
  </si>
  <si>
    <r>
      <t>1.代理-</t>
    </r>
    <r>
      <rPr>
        <sz val="9"/>
        <color rgb="FFFF0000"/>
        <rFont val="宋体"/>
        <family val="3"/>
        <charset val="134"/>
        <scheme val="minor"/>
      </rPr>
      <t>代理板块</t>
    </r>
    <r>
      <rPr>
        <sz val="9"/>
        <color theme="1"/>
        <rFont val="宋体"/>
        <family val="2"/>
        <charset val="134"/>
        <scheme val="minor"/>
      </rPr>
      <t>已经形成 1+5+n 的层次结构,1为大客户强生，5为多个板块（护肤、彩妆、个护、香水、健康食品）这个</t>
    </r>
    <r>
      <rPr>
        <sz val="9"/>
        <color rgb="FFFF0000"/>
        <rFont val="宋体"/>
        <family val="3"/>
        <charset val="134"/>
        <scheme val="minor"/>
      </rPr>
      <t>和创始人为淘宝起家有关系</t>
    </r>
    <r>
      <rPr>
        <sz val="9"/>
        <color theme="1"/>
        <rFont val="宋体"/>
        <family val="2"/>
        <charset val="134"/>
        <scheme val="minor"/>
      </rPr>
      <t>，自营品牌-大水滴，御泥坊。自营品牌占比达到66%。2.2023年半年报利润增72%，营收增4</t>
    </r>
    <r>
      <rPr>
        <strike/>
        <sz val="9"/>
        <color theme="1"/>
        <rFont val="宋体"/>
        <family val="3"/>
        <charset val="134"/>
        <scheme val="minor"/>
      </rPr>
      <t>，</t>
    </r>
    <r>
      <rPr>
        <sz val="9"/>
        <color theme="1"/>
        <rFont val="宋体"/>
        <family val="2"/>
        <charset val="134"/>
        <scheme val="minor"/>
      </rPr>
      <t>主要原因是公司多层次品牌矩阵进一步完善，产品结构持续优化，成本费用管控效果显著，同时，公司产品结构改善提升毛利水平，公司盈利能力提升，公司经营情况积极向好。</t>
    </r>
    <phoneticPr fontId="1" type="noConversion"/>
  </si>
  <si>
    <t>1.丸美眼霜，眼部护理龙头。恋火（看不见的粉底液）子品牌成为第二曲线。2.实控人股份占比80%，前十大股东88%。</t>
    <phoneticPr fontId="1" type="noConversion"/>
  </si>
  <si>
    <t>1.67亿</t>
  </si>
  <si>
    <t>1.43亿</t>
  </si>
  <si>
    <t>4.98亿</t>
  </si>
  <si>
    <t>2.57亿</t>
  </si>
  <si>
    <t>2.75亿</t>
  </si>
  <si>
    <t>3.56亿</t>
  </si>
  <si>
    <t>1.91亿</t>
  </si>
  <si>
    <t>1.42亿</t>
  </si>
  <si>
    <t>1.70亿</t>
  </si>
  <si>
    <t>-2-1</t>
  </si>
  <si>
    <t>2.72亿</t>
  </si>
  <si>
    <t>2.59亿</t>
  </si>
  <si>
    <t>2.44亿</t>
  </si>
  <si>
    <t>2.42亿</t>
  </si>
  <si>
    <t>8.56亿</t>
  </si>
  <si>
    <t>1.24亿</t>
  </si>
  <si>
    <t>3.95亿</t>
  </si>
  <si>
    <t>1.05亿</t>
  </si>
  <si>
    <t>4.37亿</t>
  </si>
  <si>
    <t>1.95亿</t>
  </si>
  <si>
    <t>1.30亿</t>
  </si>
  <si>
    <t>2.69亿</t>
  </si>
  <si>
    <t>6.40亿</t>
  </si>
  <si>
    <t>16.50亿</t>
  </si>
  <si>
    <t>15.85亿</t>
  </si>
  <si>
    <t>13.42亿</t>
  </si>
  <si>
    <t>6.48亿</t>
  </si>
  <si>
    <t>6.61亿</t>
  </si>
  <si>
    <t>20.61亿</t>
  </si>
  <si>
    <t>2.09亿</t>
  </si>
  <si>
    <t>SH603193</t>
  </si>
  <si>
    <t>润本股份</t>
  </si>
  <si>
    <t>4.43亿</t>
  </si>
  <si>
    <t>9471.21万</t>
  </si>
  <si>
    <t>3567.18万</t>
  </si>
  <si>
    <t>4.39亿</t>
  </si>
  <si>
    <t>-1.45亿</t>
  </si>
  <si>
    <t>1.66亿</t>
  </si>
  <si>
    <t>1.50亿</t>
  </si>
  <si>
    <t>7.49亿</t>
  </si>
  <si>
    <t>-3-0</t>
  </si>
  <si>
    <t>-2-0</t>
  </si>
  <si>
    <t>SZ002243</t>
  </si>
  <si>
    <t>力合科创</t>
  </si>
  <si>
    <t>26.18亿</t>
  </si>
  <si>
    <t>4.17亿</t>
  </si>
  <si>
    <t>3.29亿</t>
  </si>
  <si>
    <t>30.09亿</t>
  </si>
  <si>
    <t>21.84亿</t>
  </si>
  <si>
    <t>21.54亿</t>
  </si>
  <si>
    <t>22.78亿</t>
  </si>
  <si>
    <t>6.31亿</t>
  </si>
  <si>
    <t>5.34亿</t>
  </si>
  <si>
    <t>1.15亿</t>
  </si>
  <si>
    <t>3-0</t>
  </si>
  <si>
    <t>-6-0</t>
  </si>
  <si>
    <t>2-0</t>
  </si>
  <si>
    <t>1-0</t>
  </si>
  <si>
    <r>
      <t>1.嗨体也面临着如果激光刀可以在国内使用，且用于脖子皱纹去除，那么销售将会受到影响；2.当前经济环境之下维持经营为医美机构第一诉求，而维持经营的核心要素在于客流，除了价格适中的</t>
    </r>
    <r>
      <rPr>
        <b/>
        <sz val="9"/>
        <color rgb="FFFF0000"/>
        <rFont val="宋体"/>
        <family val="3"/>
        <charset val="134"/>
        <scheme val="minor"/>
      </rPr>
      <t>水光产品，光电仪器</t>
    </r>
    <r>
      <rPr>
        <sz val="9"/>
        <color theme="1"/>
        <rFont val="宋体"/>
        <family val="2"/>
        <charset val="134"/>
        <scheme val="minor"/>
      </rPr>
      <t>亦是医美入门项目，</t>
    </r>
    <r>
      <rPr>
        <sz val="9"/>
        <color rgb="FFFF0000"/>
        <rFont val="宋体"/>
        <family val="3"/>
        <charset val="134"/>
        <scheme val="minor"/>
      </rPr>
      <t>非高价产品</t>
    </r>
    <r>
      <rPr>
        <sz val="9"/>
        <color theme="1"/>
        <rFont val="宋体"/>
        <family val="2"/>
        <charset val="134"/>
        <scheme val="minor"/>
      </rPr>
      <t>有望协助机构更低投入情况下获客，提升渗透率和复购。</t>
    </r>
    <phoneticPr fontId="1" type="noConversion"/>
  </si>
  <si>
    <r>
      <t>1.去颈纹的明星产品嗨体；2.2023年年报营业总收入：28.69亿元同比增长47.99%，净利润：</t>
    </r>
    <r>
      <rPr>
        <sz val="9"/>
        <rFont val="宋体"/>
        <family val="3"/>
        <charset val="134"/>
        <scheme val="minor"/>
      </rPr>
      <t>18.58亿元同比增长47.08%</t>
    </r>
    <r>
      <rPr>
        <sz val="9"/>
        <color theme="1"/>
        <rFont val="宋体"/>
        <family val="2"/>
        <charset val="134"/>
        <scheme val="minor"/>
      </rPr>
      <t>。预计一季报业绩：</t>
    </r>
    <r>
      <rPr>
        <sz val="9"/>
        <color rgb="FFFF0000"/>
        <rFont val="宋体"/>
        <family val="3"/>
        <charset val="134"/>
        <scheme val="minor"/>
      </rPr>
      <t>净利润5.100亿元至5.340亿元，增长幅度为23.00%至29.00%</t>
    </r>
    <r>
      <rPr>
        <sz val="9"/>
        <color theme="1"/>
        <rFont val="宋体"/>
        <family val="3"/>
        <charset val="134"/>
        <scheme val="minor"/>
      </rPr>
      <t>.</t>
    </r>
    <phoneticPr fontId="1" type="noConversion"/>
  </si>
  <si>
    <t>28.01亿</t>
  </si>
  <si>
    <t>13.64亿</t>
  </si>
  <si>
    <t>-3.43亿</t>
  </si>
  <si>
    <t>14.38亿</t>
  </si>
  <si>
    <t>496620亿</t>
  </si>
  <si>
    <t>-26354739亿</t>
  </si>
  <si>
    <t>69293548亿</t>
  </si>
  <si>
    <t>535806720亿</t>
  </si>
  <si>
    <t>8.48亿</t>
  </si>
  <si>
    <t>-15.84亿</t>
  </si>
  <si>
    <t>3.26亿</t>
  </si>
  <si>
    <t>-2250.56万</t>
  </si>
  <si>
    <t>2.10亿</t>
  </si>
  <si>
    <t>13.37亿</t>
  </si>
  <si>
    <t>1.03亿</t>
  </si>
  <si>
    <t>2270547亿</t>
  </si>
  <si>
    <t>35586810亿</t>
  </si>
  <si>
    <t>2.70亿</t>
  </si>
  <si>
    <t>280912090亿</t>
  </si>
  <si>
    <t>1248578560亿</t>
  </si>
  <si>
    <t>2.84亿</t>
  </si>
  <si>
    <t>-225.47万</t>
  </si>
  <si>
    <t>10派4元(含税)</t>
  </si>
  <si>
    <t>13.76亿</t>
  </si>
  <si>
    <t>3567603亿</t>
  </si>
  <si>
    <t>28145141亿</t>
  </si>
  <si>
    <t>41531318亿</t>
  </si>
  <si>
    <t>1667084000亿</t>
  </si>
  <si>
    <t>3228.09万</t>
  </si>
  <si>
    <t>10派6.5元(含税)</t>
  </si>
  <si>
    <t>40.77亿</t>
  </si>
  <si>
    <t>18.45亿</t>
  </si>
  <si>
    <t>98.01亿</t>
  </si>
  <si>
    <t>3.33亿</t>
  </si>
  <si>
    <t>1318476亿</t>
  </si>
  <si>
    <t>88364114亿</t>
  </si>
  <si>
    <t>1062997790亿</t>
  </si>
  <si>
    <t>6013869500亿</t>
  </si>
  <si>
    <t>2.90亿</t>
  </si>
  <si>
    <t>8943.67万</t>
  </si>
  <si>
    <t>10派0.6元(含税)</t>
  </si>
  <si>
    <t>7.65亿</t>
  </si>
  <si>
    <t>21.44亿</t>
  </si>
  <si>
    <t>2.38亿</t>
  </si>
  <si>
    <t>18.75亿</t>
  </si>
  <si>
    <t>2900903亿</t>
  </si>
  <si>
    <t>97529910亿</t>
  </si>
  <si>
    <t>225446640亿</t>
  </si>
  <si>
    <t>1389789300亿</t>
  </si>
  <si>
    <t>2.31亿</t>
  </si>
  <si>
    <t>5.23亿</t>
  </si>
  <si>
    <t>8012.93万</t>
  </si>
  <si>
    <t>10派5.5元(含税)</t>
  </si>
  <si>
    <t>10.58亿</t>
  </si>
  <si>
    <t>3.80亿</t>
  </si>
  <si>
    <t>19.69亿</t>
  </si>
  <si>
    <t>-6834.13万</t>
  </si>
  <si>
    <t>20.28亿</t>
  </si>
  <si>
    <t>1.56亿</t>
  </si>
  <si>
    <t>139446亿</t>
  </si>
  <si>
    <t>-7412496亿</t>
  </si>
  <si>
    <t>6.86亿</t>
  </si>
  <si>
    <t>343532510亿</t>
  </si>
  <si>
    <t>1478486200亿</t>
  </si>
  <si>
    <t>-4792.02万</t>
  </si>
  <si>
    <t>12.94亿</t>
  </si>
  <si>
    <t>12.59亿</t>
  </si>
  <si>
    <t>2087.18万</t>
  </si>
  <si>
    <t>2472712亿</t>
  </si>
  <si>
    <t>6910383亿</t>
  </si>
  <si>
    <t>224942180亿</t>
  </si>
  <si>
    <t>968548600亿</t>
  </si>
  <si>
    <t>-1.56亿</t>
  </si>
  <si>
    <t>3.14亿</t>
  </si>
  <si>
    <t>695.12万</t>
  </si>
  <si>
    <t>10派0.35元(含税)</t>
  </si>
  <si>
    <t>20.40亿</t>
  </si>
  <si>
    <t>10.32亿</t>
  </si>
  <si>
    <t>44.93亿</t>
  </si>
  <si>
    <t>2.94亿</t>
  </si>
  <si>
    <t>18.58亿</t>
  </si>
  <si>
    <t>-30077383亿</t>
  </si>
  <si>
    <t>53328290亿</t>
  </si>
  <si>
    <t>425549820亿</t>
  </si>
  <si>
    <t>2070437700亿</t>
  </si>
  <si>
    <t>10.46亿</t>
  </si>
  <si>
    <t>-2.81亿</t>
  </si>
  <si>
    <t>5213.83万</t>
  </si>
  <si>
    <t>6707.70万</t>
  </si>
  <si>
    <t>-2387.49万</t>
  </si>
  <si>
    <t>2.21亿</t>
  </si>
  <si>
    <t>-3194509亿</t>
  </si>
  <si>
    <t>78452761亿</t>
  </si>
  <si>
    <t>353057930亿</t>
  </si>
  <si>
    <t>1000.00万</t>
  </si>
  <si>
    <t>7.12亿</t>
  </si>
  <si>
    <t>24.00亿</t>
  </si>
  <si>
    <t>7.34亿</t>
  </si>
  <si>
    <t>4424235亿</t>
  </si>
  <si>
    <t>203942690亿</t>
  </si>
  <si>
    <t>5.42亿</t>
  </si>
  <si>
    <t>555449850亿</t>
  </si>
  <si>
    <t>2328518100亿</t>
  </si>
  <si>
    <t>4.94亿</t>
  </si>
  <si>
    <t>5.46亿</t>
  </si>
  <si>
    <t>10转10股派15元(含税)</t>
  </si>
  <si>
    <t>6376.55万</t>
  </si>
  <si>
    <t>5.39亿</t>
  </si>
  <si>
    <t>7882.59万</t>
  </si>
  <si>
    <t>-394.58万</t>
  </si>
  <si>
    <t>2.24亿</t>
  </si>
  <si>
    <t>292069亿</t>
  </si>
  <si>
    <t>5002627亿</t>
  </si>
  <si>
    <t>70569409亿</t>
  </si>
  <si>
    <t>289149190亿</t>
  </si>
  <si>
    <t>300.30万</t>
  </si>
  <si>
    <t>SZ300888</t>
  </si>
  <si>
    <t>稳健医疗</t>
  </si>
  <si>
    <t>50.02亿</t>
  </si>
  <si>
    <t>19.09亿</t>
  </si>
  <si>
    <t>81.85亿</t>
  </si>
  <si>
    <t>5.80亿</t>
  </si>
  <si>
    <t>14686022亿</t>
  </si>
  <si>
    <t>144201820亿</t>
  </si>
  <si>
    <t>885670100亿</t>
  </si>
  <si>
    <t>9417477500亿</t>
  </si>
  <si>
    <t>3.16亿</t>
  </si>
  <si>
    <t>113.51亿</t>
  </si>
  <si>
    <t>80.37亿</t>
  </si>
  <si>
    <t>125.34亿</t>
  </si>
  <si>
    <t>45.75亿</t>
  </si>
  <si>
    <t>38.39亿</t>
  </si>
  <si>
    <t>16.51亿</t>
  </si>
  <si>
    <t>12.39亿</t>
  </si>
  <si>
    <t>38.10亿</t>
  </si>
  <si>
    <t>3.67亿</t>
  </si>
  <si>
    <t>8.08亿</t>
  </si>
  <si>
    <t>28.69亿</t>
  </si>
  <si>
    <t>7.57亿</t>
  </si>
  <si>
    <t>9973759亿</t>
  </si>
  <si>
    <t>528497860亿</t>
  </si>
  <si>
    <t>151356940亿</t>
  </si>
  <si>
    <t>4685319600亿</t>
  </si>
  <si>
    <t>10转4股派23.23元(含税)</t>
  </si>
  <si>
    <t>6.99亿</t>
  </si>
  <si>
    <t>10.16亿</t>
  </si>
  <si>
    <t>4016.43万</t>
  </si>
  <si>
    <t>-2933599亿</t>
  </si>
  <si>
    <t>232893130亿</t>
  </si>
  <si>
    <t>593825960亿</t>
  </si>
  <si>
    <t>6971.76万</t>
  </si>
  <si>
    <t>14.91亿</t>
  </si>
  <si>
    <t>10.97亿</t>
  </si>
  <si>
    <t>55.22亿</t>
  </si>
  <si>
    <t>4.13亿</t>
  </si>
  <si>
    <t>10575656亿</t>
  </si>
  <si>
    <t>154346690亿</t>
  </si>
  <si>
    <t>512174990亿</t>
  </si>
  <si>
    <t>5004551000亿</t>
  </si>
  <si>
    <t>10.81亿</t>
  </si>
  <si>
    <t>2018.49万</t>
  </si>
  <si>
    <t>8.91亿</t>
  </si>
  <si>
    <t>-885966亿</t>
  </si>
  <si>
    <t>18107825亿</t>
  </si>
  <si>
    <t>222464560亿</t>
  </si>
  <si>
    <t>1191202750亿</t>
  </si>
  <si>
    <t>10派0.75元(含税)</t>
  </si>
  <si>
    <t>8073.60万</t>
  </si>
  <si>
    <t>3499.26万</t>
  </si>
  <si>
    <t>13891223亿</t>
  </si>
  <si>
    <t>66896540亿</t>
  </si>
  <si>
    <t>4.84万</t>
  </si>
  <si>
    <t>243221970亿</t>
  </si>
  <si>
    <t>6.23亿</t>
  </si>
  <si>
    <t>5.14亿</t>
  </si>
  <si>
    <t>3798329亿</t>
  </si>
  <si>
    <t>7996116亿</t>
  </si>
  <si>
    <t>123940903亿</t>
  </si>
  <si>
    <t>1613013900亿</t>
  </si>
  <si>
    <t>10派3.6元(含税)</t>
  </si>
  <si>
    <t>2.88亿</t>
  </si>
  <si>
    <t>4.09亿</t>
  </si>
  <si>
    <t>19.34亿</t>
  </si>
  <si>
    <t>8248113亿</t>
  </si>
  <si>
    <t>141587880亿</t>
  </si>
  <si>
    <t>1904704亿</t>
  </si>
  <si>
    <t>3718230600亿</t>
  </si>
  <si>
    <t>31.38亿</t>
  </si>
  <si>
    <t>45.79亿</t>
  </si>
  <si>
    <t>3.03亿</t>
  </si>
  <si>
    <t>14659804亿</t>
  </si>
  <si>
    <t>52017969亿</t>
  </si>
  <si>
    <t>502081730亿</t>
  </si>
  <si>
    <t>4595805600亿</t>
  </si>
  <si>
    <t>4.74亿</t>
  </si>
  <si>
    <t>5.06亿</t>
  </si>
  <si>
    <t>2.08亿</t>
  </si>
  <si>
    <t>9.95亿</t>
  </si>
  <si>
    <t>2280.67万</t>
  </si>
  <si>
    <t>146.7亿</t>
  </si>
  <si>
    <t>5225506亿</t>
  </si>
  <si>
    <t>79145348亿</t>
  </si>
  <si>
    <t>1887460900亿</t>
  </si>
  <si>
    <t>-3858.91万</t>
  </si>
  <si>
    <t>10派0.3元(含税)</t>
  </si>
  <si>
    <t>开始亏损</t>
  </si>
  <si>
    <t>40.40亿</t>
  </si>
  <si>
    <t>19.05亿</t>
  </si>
  <si>
    <t>65.98亿</t>
  </si>
  <si>
    <t>5.00亿</t>
  </si>
  <si>
    <t>15668175亿</t>
  </si>
  <si>
    <t>293382590亿</t>
  </si>
  <si>
    <t>1060404280亿</t>
  </si>
  <si>
    <t>5783468700亿</t>
  </si>
  <si>
    <t>10派2.3元(含税)</t>
  </si>
  <si>
    <t>2.63亿</t>
  </si>
  <si>
    <t>2.86亿</t>
  </si>
  <si>
    <t>10.67亿</t>
  </si>
  <si>
    <t>9251.38万</t>
  </si>
  <si>
    <t>-2670035亿</t>
  </si>
  <si>
    <t>18027695亿</t>
  </si>
  <si>
    <t>196883580亿</t>
  </si>
  <si>
    <t>487485690亿</t>
  </si>
  <si>
    <t>3.47亿</t>
  </si>
  <si>
    <t>10派2元(含税)</t>
  </si>
  <si>
    <t>9761.25万</t>
  </si>
  <si>
    <t>10.33亿</t>
  </si>
  <si>
    <t>2.26亿</t>
  </si>
  <si>
    <t>151347亿</t>
  </si>
  <si>
    <t>31434010亿</t>
  </si>
  <si>
    <t>12358795亿</t>
  </si>
  <si>
    <t>1758726500亿</t>
  </si>
  <si>
    <t>1.52亿</t>
  </si>
  <si>
    <t>10派1.7元(含税)</t>
  </si>
  <si>
    <t>8.83亿</t>
  </si>
  <si>
    <t>19.15亿</t>
  </si>
  <si>
    <t>8264.49万</t>
  </si>
  <si>
    <t>16571696亿</t>
  </si>
  <si>
    <t>253064670亿</t>
  </si>
  <si>
    <t>1171465720亿</t>
  </si>
  <si>
    <t>29.23亿</t>
  </si>
  <si>
    <t>21.82亿</t>
  </si>
  <si>
    <t>89.05亿</t>
  </si>
  <si>
    <t>11.94亿</t>
  </si>
  <si>
    <t>73.10亿</t>
  </si>
  <si>
    <t>-970.3亿</t>
  </si>
  <si>
    <t>292020670亿</t>
  </si>
  <si>
    <t>270836710亿</t>
  </si>
  <si>
    <t>5924164200亿</t>
  </si>
  <si>
    <t>10派9.1元(含税)</t>
  </si>
  <si>
    <t>8.60亿</t>
  </si>
  <si>
    <t>6549.90万</t>
  </si>
  <si>
    <t>-1297239亿</t>
  </si>
  <si>
    <t>27284385亿</t>
  </si>
  <si>
    <t>70476409亿</t>
  </si>
  <si>
    <t>1577841200亿</t>
  </si>
  <si>
    <t>10.35亿</t>
  </si>
  <si>
    <t>22.26亿</t>
  </si>
  <si>
    <t>6.52亿</t>
  </si>
  <si>
    <t>6468113亿</t>
  </si>
  <si>
    <t>104287279亿</t>
  </si>
  <si>
    <t>32580898亿</t>
  </si>
  <si>
    <t>2442888900亿</t>
  </si>
  <si>
    <t>10派5.2元(含税)</t>
  </si>
  <si>
    <t>14.29亿</t>
  </si>
  <si>
    <t>27.57亿</t>
  </si>
  <si>
    <t>1.37亿</t>
  </si>
  <si>
    <t>83702000亿</t>
  </si>
  <si>
    <t>219766580亿</t>
  </si>
  <si>
    <t>2623089200亿</t>
  </si>
  <si>
    <t>10派8.5元(含税)</t>
  </si>
  <si>
    <t>14.87亿</t>
  </si>
  <si>
    <t>13.61亿</t>
  </si>
  <si>
    <t>60.76亿</t>
  </si>
  <si>
    <t>5.93亿</t>
  </si>
  <si>
    <t>-1591343亿</t>
  </si>
  <si>
    <t>231475780亿</t>
  </si>
  <si>
    <t>570111410亿</t>
  </si>
  <si>
    <t>2839514100亿</t>
  </si>
  <si>
    <t>7.00亿</t>
  </si>
  <si>
    <t>10派3.8元(含税)</t>
  </si>
  <si>
    <t>3.91亿</t>
  </si>
  <si>
    <t>73.00亿</t>
  </si>
  <si>
    <t>4.44亿</t>
  </si>
  <si>
    <t>25.16亿</t>
  </si>
  <si>
    <t>-2337200亿</t>
  </si>
  <si>
    <t>-37842859亿</t>
  </si>
  <si>
    <t>871782350亿</t>
  </si>
  <si>
    <t>7025526800亿</t>
  </si>
  <si>
    <t>2.33亿</t>
  </si>
  <si>
    <t>8.05亿</t>
  </si>
  <si>
    <t>5.62亿</t>
  </si>
  <si>
    <t>5017.91万</t>
  </si>
  <si>
    <t>10派0.9元(含税)</t>
  </si>
  <si>
    <t>-1-1</t>
  </si>
  <si>
    <t>-7-0</t>
  </si>
  <si>
    <t>-3-1</t>
  </si>
  <si>
    <t>-5-1</t>
  </si>
  <si>
    <t>ST美谷</t>
  </si>
  <si>
    <t>1627.47万</t>
  </si>
  <si>
    <t>4.75亿</t>
  </si>
  <si>
    <t>3.01亿</t>
  </si>
  <si>
    <t>3949.72万</t>
  </si>
  <si>
    <t>2973.16万</t>
  </si>
  <si>
    <t>6.95万</t>
  </si>
  <si>
    <t>1.34亿</t>
  </si>
  <si>
    <t>1743.72万</t>
  </si>
  <si>
    <t>2503.60万</t>
  </si>
  <si>
    <t>315.00万</t>
  </si>
  <si>
    <t>2.54亿</t>
  </si>
  <si>
    <t>334.48万</t>
  </si>
  <si>
    <t>6.34亿</t>
  </si>
  <si>
    <t>4090.67万</t>
  </si>
  <si>
    <t>257.22万</t>
  </si>
  <si>
    <t>-4487.40万</t>
  </si>
  <si>
    <t>5171.76万</t>
  </si>
  <si>
    <t>3.07亿</t>
  </si>
  <si>
    <t>115.42万</t>
  </si>
  <si>
    <t>18.13亿</t>
  </si>
  <si>
    <t>694.87万</t>
  </si>
  <si>
    <t>990.17万</t>
  </si>
  <si>
    <t>681.25万</t>
  </si>
  <si>
    <t>3395.85万</t>
  </si>
  <si>
    <t>-9091.26万</t>
  </si>
  <si>
    <t>793.88万</t>
  </si>
  <si>
    <t>5855.80万</t>
  </si>
  <si>
    <t>215.50万</t>
  </si>
  <si>
    <t>14.43亿</t>
  </si>
  <si>
    <t>3.25亿</t>
  </si>
  <si>
    <t>1.86亿</t>
  </si>
  <si>
    <t>1371.91万</t>
  </si>
  <si>
    <t>4.86万</t>
  </si>
  <si>
    <t>4.66亿</t>
  </si>
  <si>
    <t>1164.99万</t>
  </si>
  <si>
    <t>2645.87万</t>
  </si>
  <si>
    <t>4811.66万</t>
  </si>
  <si>
    <t>-6416.28万</t>
  </si>
  <si>
    <t>1494.75万</t>
  </si>
  <si>
    <t>6693.50万</t>
  </si>
  <si>
    <t>1318.28万</t>
  </si>
  <si>
    <t>82.63亿</t>
  </si>
  <si>
    <t>5.10亿</t>
  </si>
  <si>
    <t>3.71亿</t>
  </si>
  <si>
    <t>1969.98万</t>
  </si>
  <si>
    <t>5081.05万</t>
  </si>
  <si>
    <t>22.92万</t>
  </si>
  <si>
    <t>12.37亿</t>
  </si>
  <si>
    <t>396.41万</t>
  </si>
  <si>
    <t>2.18亿</t>
  </si>
  <si>
    <t>846.05万</t>
  </si>
  <si>
    <t>442.17万</t>
  </si>
  <si>
    <t>22.31亿</t>
  </si>
  <si>
    <t>27.05亿</t>
  </si>
  <si>
    <t>-1.65亿</t>
  </si>
  <si>
    <t>9559.60万</t>
  </si>
  <si>
    <t>5.04亿</t>
  </si>
  <si>
    <t>621.56万</t>
  </si>
  <si>
    <t>55.88亿</t>
  </si>
  <si>
    <t>17.67亿</t>
  </si>
  <si>
    <t>12.08亿</t>
  </si>
  <si>
    <t>3.78亿</t>
  </si>
  <si>
    <t>70.18万</t>
  </si>
  <si>
    <t>1907.15万</t>
  </si>
  <si>
    <t>3.82亿</t>
  </si>
  <si>
    <t>15.48亿</t>
  </si>
  <si>
    <t>3.69亿</t>
  </si>
  <si>
    <t>8.61亿</t>
  </si>
  <si>
    <t>40.19亿</t>
  </si>
  <si>
    <t>6400.00万</t>
  </si>
  <si>
    <t>-6.19亿</t>
  </si>
  <si>
    <t>6.19亿</t>
  </si>
  <si>
    <t>3289.38万</t>
  </si>
  <si>
    <t>342.91万</t>
  </si>
  <si>
    <t>14.90亿</t>
  </si>
  <si>
    <t>6.56亿</t>
  </si>
  <si>
    <t>3.49亿</t>
  </si>
  <si>
    <t>2079.90万</t>
  </si>
  <si>
    <t>2124.24万</t>
  </si>
  <si>
    <t>1783.84万</t>
  </si>
  <si>
    <t>5.56亿</t>
  </si>
  <si>
    <t>9757.48万</t>
  </si>
  <si>
    <t>-2359.30万</t>
  </si>
  <si>
    <t>-153.04万</t>
  </si>
  <si>
    <t>1588.75万</t>
  </si>
  <si>
    <t>8406.07万</t>
  </si>
  <si>
    <t>271.11万</t>
  </si>
  <si>
    <t>12.67亿</t>
  </si>
  <si>
    <t>3.28亿</t>
  </si>
  <si>
    <t>1098.91万</t>
  </si>
  <si>
    <t>3532.60万</t>
  </si>
  <si>
    <t>7.74亿</t>
  </si>
  <si>
    <t>508.83万</t>
  </si>
  <si>
    <t>3302.03万</t>
  </si>
  <si>
    <t>2.17亿</t>
  </si>
  <si>
    <t>5.91亿</t>
  </si>
  <si>
    <t>3081.46万</t>
  </si>
  <si>
    <t>-6126.58万</t>
  </si>
  <si>
    <t>1.18亿</t>
  </si>
  <si>
    <t>1789.74万</t>
  </si>
  <si>
    <t>291.77万</t>
  </si>
  <si>
    <t>13.93亿</t>
  </si>
  <si>
    <t>2.56亿</t>
  </si>
  <si>
    <t>429.44万</t>
  </si>
  <si>
    <t>2347.83万</t>
  </si>
  <si>
    <t>31.51万</t>
  </si>
  <si>
    <t>3.20亿</t>
  </si>
  <si>
    <t>3.72亿</t>
  </si>
  <si>
    <t>4552.66万</t>
  </si>
  <si>
    <t>1.11亿</t>
  </si>
  <si>
    <t>10.92万</t>
  </si>
  <si>
    <t>8.86亿</t>
  </si>
  <si>
    <t>3373.60万</t>
  </si>
  <si>
    <t>874.01万</t>
  </si>
  <si>
    <t>4413.11万</t>
  </si>
  <si>
    <t>1637.19万</t>
  </si>
  <si>
    <t>1.16亿</t>
  </si>
  <si>
    <t>328.26万</t>
  </si>
  <si>
    <t>21.17亿</t>
  </si>
  <si>
    <t>9.67亿</t>
  </si>
  <si>
    <t>3.99亿</t>
  </si>
  <si>
    <t>4.78亿</t>
  </si>
  <si>
    <t>5843.04万</t>
  </si>
  <si>
    <t>39.93万</t>
  </si>
  <si>
    <t>1040.95万</t>
  </si>
  <si>
    <t>1.84亿</t>
  </si>
  <si>
    <t>1532.23万</t>
  </si>
  <si>
    <t>7.61亿</t>
  </si>
  <si>
    <t>-1488.08万</t>
  </si>
  <si>
    <t>-3697.31万</t>
  </si>
  <si>
    <t>1941.40万</t>
  </si>
  <si>
    <t>8385.78万</t>
  </si>
  <si>
    <t>104.25万</t>
  </si>
  <si>
    <t>6.20亿</t>
  </si>
  <si>
    <t>28.24亿</t>
  </si>
  <si>
    <t>3.75亿</t>
  </si>
  <si>
    <t>6901.86万</t>
  </si>
  <si>
    <t>5336.79万</t>
  </si>
  <si>
    <t>207.43万</t>
  </si>
  <si>
    <t>969.03万</t>
  </si>
  <si>
    <t>8426.72万</t>
  </si>
  <si>
    <t>330.00万</t>
  </si>
  <si>
    <t>2248.69万</t>
  </si>
  <si>
    <t>1.61亿</t>
  </si>
  <si>
    <t>315.89万</t>
  </si>
  <si>
    <t>3416.41万</t>
  </si>
  <si>
    <t>-2556.58万</t>
  </si>
  <si>
    <t>4433.06万</t>
  </si>
  <si>
    <t>687.68万</t>
  </si>
  <si>
    <t>3547.20万</t>
  </si>
  <si>
    <t>475.79万</t>
  </si>
  <si>
    <t>28.88亿</t>
  </si>
  <si>
    <t>46.58亿</t>
  </si>
  <si>
    <t>1180.45万</t>
  </si>
  <si>
    <t>4902.78万</t>
  </si>
  <si>
    <t>16.58万</t>
  </si>
  <si>
    <t>5.83亿</t>
  </si>
  <si>
    <t>2.29亿</t>
  </si>
  <si>
    <t>3.24亿</t>
  </si>
  <si>
    <t>-1.53亿</t>
  </si>
  <si>
    <t>2972.92万</t>
  </si>
  <si>
    <t>4590.76万</t>
  </si>
  <si>
    <t>1717.16万</t>
  </si>
  <si>
    <t>139.79万</t>
  </si>
  <si>
    <t>24.68亿</t>
  </si>
  <si>
    <t>1.08亿</t>
  </si>
  <si>
    <t>7039.59万</t>
  </si>
  <si>
    <t>6033.32万</t>
  </si>
  <si>
    <t>57.76万</t>
  </si>
  <si>
    <t>704.22万</t>
  </si>
  <si>
    <t>6613.68万</t>
  </si>
  <si>
    <t>1268.98万</t>
  </si>
  <si>
    <t>2497.00万</t>
  </si>
  <si>
    <t>3670.90万</t>
  </si>
  <si>
    <t>1264.25万</t>
  </si>
  <si>
    <t>-642.90万</t>
  </si>
  <si>
    <t>-2.50万</t>
  </si>
  <si>
    <t>5.25亿</t>
  </si>
  <si>
    <t>926.32万</t>
  </si>
  <si>
    <t>767.11万</t>
  </si>
  <si>
    <t>3835.85万</t>
  </si>
  <si>
    <t>3-1</t>
  </si>
  <si>
    <t>138.19万</t>
  </si>
  <si>
    <t>121.61亿</t>
  </si>
  <si>
    <t>3431.81万</t>
  </si>
  <si>
    <t>17.07亿</t>
  </si>
  <si>
    <t>10.00亿</t>
  </si>
  <si>
    <t>225.31万</t>
  </si>
  <si>
    <t>3215.11万</t>
  </si>
  <si>
    <t>11.04亿</t>
  </si>
  <si>
    <t>12.13亿</t>
  </si>
  <si>
    <t>3.54亿</t>
  </si>
  <si>
    <t>9.15亿</t>
  </si>
  <si>
    <t>36.17亿</t>
  </si>
  <si>
    <t>-1.63亿</t>
  </si>
  <si>
    <t>-3.10亿</t>
  </si>
  <si>
    <t>-4.84亿</t>
  </si>
  <si>
    <t>1.71亿</t>
  </si>
  <si>
    <t>-1707.09万</t>
  </si>
  <si>
    <t>867.14万</t>
  </si>
  <si>
    <t>6652.16万</t>
  </si>
  <si>
    <t>-1-0</t>
  </si>
  <si>
    <t>246.78万</t>
  </si>
  <si>
    <t>70.20亿</t>
  </si>
  <si>
    <t>6.55亿</t>
  </si>
  <si>
    <t>9285.29万</t>
  </si>
  <si>
    <t>1.93亿</t>
  </si>
  <si>
    <t>4406.82万</t>
  </si>
  <si>
    <t>6736.17万</t>
  </si>
  <si>
    <t>3292.31万</t>
  </si>
  <si>
    <t>21.78万</t>
  </si>
  <si>
    <t>33.97亿</t>
  </si>
  <si>
    <t>3532.18万</t>
  </si>
  <si>
    <t>3148.26万</t>
  </si>
  <si>
    <t>5.37亿</t>
  </si>
  <si>
    <t>4.31亿</t>
  </si>
  <si>
    <t>-496.91万</t>
  </si>
  <si>
    <t>1547.65万</t>
  </si>
  <si>
    <t>1215.00万</t>
  </si>
  <si>
    <t>6918.69万</t>
  </si>
  <si>
    <t>135.52万</t>
  </si>
  <si>
    <t>9.91亿</t>
  </si>
  <si>
    <t>14.84亿</t>
  </si>
  <si>
    <t>-3501.33万</t>
  </si>
  <si>
    <t>2.12亿</t>
  </si>
  <si>
    <t>1.64亿</t>
  </si>
  <si>
    <t>201.95万</t>
  </si>
  <si>
    <t>3385.66万</t>
  </si>
  <si>
    <t>190.05万</t>
  </si>
  <si>
    <t>3.27亿</t>
  </si>
  <si>
    <t>1.46亿</t>
  </si>
  <si>
    <t>2.94万</t>
  </si>
  <si>
    <t>1486.84万</t>
  </si>
  <si>
    <t>-1.18亿</t>
  </si>
  <si>
    <t>9964.08万</t>
  </si>
  <si>
    <t>-2189.49万</t>
  </si>
  <si>
    <t>494.13万</t>
  </si>
  <si>
    <t>3058.15万</t>
  </si>
  <si>
    <t>219.23万</t>
  </si>
  <si>
    <t>61.09亿</t>
  </si>
  <si>
    <t>12.47亿</t>
  </si>
  <si>
    <t>6834.96万</t>
  </si>
  <si>
    <t>9.31亿</t>
  </si>
  <si>
    <t>5.13亿</t>
  </si>
  <si>
    <t>7565.12万</t>
  </si>
  <si>
    <t>26.86万</t>
  </si>
  <si>
    <t>13.43亿</t>
  </si>
  <si>
    <t>1792.68万</t>
  </si>
  <si>
    <t>1.69亿</t>
  </si>
  <si>
    <t>2973.38万</t>
  </si>
  <si>
    <t>1.12亿</t>
  </si>
  <si>
    <t>7.44亿</t>
  </si>
  <si>
    <t>85.71万</t>
  </si>
  <si>
    <t>-1.58亿</t>
  </si>
  <si>
    <t>-4.31亿</t>
  </si>
  <si>
    <t>-1.57亿</t>
  </si>
  <si>
    <t>1702.01万</t>
  </si>
  <si>
    <t>10派6.004782元(含税)</t>
  </si>
  <si>
    <t>1063.41万</t>
  </si>
  <si>
    <t>7298.49万</t>
  </si>
  <si>
    <t>5-1</t>
  </si>
  <si>
    <t>169.12万</t>
  </si>
  <si>
    <t>11.52亿</t>
  </si>
  <si>
    <t>3819.44万</t>
  </si>
  <si>
    <t>2.25亿</t>
  </si>
  <si>
    <t>2310.54万</t>
  </si>
  <si>
    <t>889.53万</t>
  </si>
  <si>
    <t>10.56万</t>
  </si>
  <si>
    <t>8.22亿</t>
  </si>
  <si>
    <t>1373.12万</t>
  </si>
  <si>
    <t>-2392.94万</t>
  </si>
  <si>
    <t>-3115.72万</t>
  </si>
  <si>
    <t>1.02亿</t>
  </si>
  <si>
    <t>407.24万</t>
  </si>
  <si>
    <t>996.90万</t>
  </si>
  <si>
    <t>5762.53万</t>
  </si>
  <si>
    <t>184.19万</t>
  </si>
  <si>
    <t>5.70亿</t>
  </si>
  <si>
    <t>16.74亿</t>
  </si>
  <si>
    <t>-1.42亿</t>
  </si>
  <si>
    <t>6526.38万</t>
  </si>
  <si>
    <t>4995.89万</t>
  </si>
  <si>
    <t>170.27万</t>
  </si>
  <si>
    <t>742.53万</t>
  </si>
  <si>
    <t>9687.14万</t>
  </si>
  <si>
    <t>29.00万</t>
  </si>
  <si>
    <t>4626.40万</t>
  </si>
  <si>
    <t>2532.94万</t>
  </si>
  <si>
    <t>8983.07万</t>
  </si>
  <si>
    <t>2061.81万</t>
  </si>
  <si>
    <t>1375.21万</t>
  </si>
  <si>
    <t>-605.57万</t>
  </si>
  <si>
    <t>-1554.07万</t>
  </si>
  <si>
    <t>2141.31万</t>
  </si>
  <si>
    <t>1390.88万</t>
  </si>
  <si>
    <t>6017.37万</t>
  </si>
  <si>
    <t>17.30万</t>
  </si>
  <si>
    <t>18.57亿</t>
  </si>
  <si>
    <t>255.05万</t>
  </si>
  <si>
    <t>1214.28万</t>
  </si>
  <si>
    <t>117.27万</t>
  </si>
  <si>
    <t>1503.68万</t>
  </si>
  <si>
    <t>8605.47万</t>
  </si>
  <si>
    <t>2493.85万</t>
  </si>
  <si>
    <t>2061.09万</t>
  </si>
  <si>
    <t>194.57万</t>
  </si>
  <si>
    <t>3.60亿</t>
  </si>
  <si>
    <t>84.80万</t>
  </si>
  <si>
    <t>800.61万</t>
  </si>
  <si>
    <t>60.17万</t>
  </si>
  <si>
    <t>57.53亿</t>
  </si>
  <si>
    <t>3.02亿</t>
  </si>
  <si>
    <t>1940.25万</t>
  </si>
  <si>
    <t>7602.06万</t>
  </si>
  <si>
    <t>2191.11万</t>
  </si>
  <si>
    <t>35.86万</t>
  </si>
  <si>
    <t>34.01亿</t>
  </si>
  <si>
    <t>79.53万</t>
  </si>
  <si>
    <t>-4374.96万</t>
  </si>
  <si>
    <t>-20.09万</t>
  </si>
  <si>
    <t>4081.11万</t>
  </si>
  <si>
    <t>-321.67万</t>
  </si>
  <si>
    <t>357.22万</t>
  </si>
  <si>
    <t>4207.41万</t>
  </si>
  <si>
    <t>9-1</t>
  </si>
  <si>
    <t>1052.03万</t>
  </si>
  <si>
    <t>47.53亿</t>
  </si>
  <si>
    <t>6.22亿</t>
  </si>
  <si>
    <t>-1.22亿</t>
  </si>
  <si>
    <t>30.17万</t>
  </si>
  <si>
    <t>32.41亿</t>
  </si>
  <si>
    <t>1810.00万</t>
  </si>
  <si>
    <t>4.59亿</t>
  </si>
  <si>
    <t>3786.07万</t>
  </si>
  <si>
    <t>30.00亿</t>
  </si>
  <si>
    <t>-15.34亿</t>
  </si>
  <si>
    <t>6560.37万</t>
  </si>
  <si>
    <t>-352.01万</t>
  </si>
  <si>
    <t>4495.48万</t>
  </si>
  <si>
    <t>389.44万</t>
  </si>
  <si>
    <t>21.15亿</t>
  </si>
  <si>
    <t>3413.93万</t>
  </si>
  <si>
    <t>20.53万</t>
  </si>
  <si>
    <t>12.46亿</t>
  </si>
  <si>
    <t>866.56万</t>
  </si>
  <si>
    <t>-1425.88万</t>
  </si>
  <si>
    <t>-819.83万</t>
  </si>
  <si>
    <t>-942.21万</t>
  </si>
  <si>
    <t>2.01亿</t>
  </si>
  <si>
    <t>651.09万</t>
  </si>
  <si>
    <t>2200.59万</t>
  </si>
  <si>
    <t>1.72亿</t>
  </si>
  <si>
    <t>0102417900</t>
  </si>
  <si>
    <t>0204835800</t>
  </si>
  <si>
    <t>0341393000</t>
  </si>
  <si>
    <t>0682786000</t>
  </si>
  <si>
    <t>280.77万</t>
  </si>
  <si>
    <t>79.21亿</t>
  </si>
  <si>
    <t>37.27亿</t>
  </si>
  <si>
    <t>3250.12万</t>
  </si>
  <si>
    <t>15.95亿</t>
  </si>
  <si>
    <t>286.14万</t>
  </si>
  <si>
    <t>2347.60万</t>
  </si>
  <si>
    <t>7.50亿</t>
  </si>
  <si>
    <t>32.37亿</t>
  </si>
  <si>
    <t>-527.95万</t>
  </si>
  <si>
    <t>-1.61亿</t>
  </si>
  <si>
    <t>-907.00万</t>
  </si>
  <si>
    <t>1964.12万</t>
  </si>
  <si>
    <t>032501200</t>
  </si>
  <si>
    <t>097503600</t>
  </si>
  <si>
    <t>0195007200</t>
  </si>
  <si>
    <t>0325012000</t>
  </si>
  <si>
    <t>0650024000</t>
  </si>
  <si>
    <t>30.77万</t>
  </si>
  <si>
    <t>12.69亿</t>
  </si>
  <si>
    <t>26.60亿</t>
  </si>
  <si>
    <t>2.13亿</t>
  </si>
  <si>
    <t>2305.92万</t>
  </si>
  <si>
    <t>1313.88万</t>
  </si>
  <si>
    <t>-1.31万</t>
  </si>
  <si>
    <t>7312.16万</t>
  </si>
  <si>
    <t>90.23万</t>
  </si>
  <si>
    <t>9734.34万</t>
  </si>
  <si>
    <t>4800.54万</t>
  </si>
  <si>
    <t>-1.24亿</t>
  </si>
  <si>
    <t>8257.96万</t>
  </si>
  <si>
    <t>4.68亿</t>
  </si>
  <si>
    <t>-2416.57万</t>
  </si>
  <si>
    <t>192.56万</t>
  </si>
  <si>
    <t>1761.47万</t>
  </si>
  <si>
    <t>117.69万</t>
  </si>
  <si>
    <t>19.57亿</t>
  </si>
  <si>
    <t>156.95亿</t>
  </si>
  <si>
    <t>38.70亿</t>
  </si>
  <si>
    <t>7384.91万</t>
  </si>
  <si>
    <t>5025.15万</t>
  </si>
  <si>
    <t>719.36万</t>
  </si>
  <si>
    <t>502.57万</t>
  </si>
  <si>
    <t>207.15万</t>
  </si>
  <si>
    <t>6934.69万</t>
  </si>
  <si>
    <t>-2831.94万</t>
  </si>
  <si>
    <t>-1.50亿</t>
  </si>
  <si>
    <t>-37.98万</t>
  </si>
  <si>
    <t>33.34亿</t>
  </si>
  <si>
    <t>7.36亿</t>
  </si>
  <si>
    <t>654.23万</t>
  </si>
  <si>
    <t>5814.89万</t>
  </si>
  <si>
    <t>96.63万</t>
  </si>
  <si>
    <t>16.23亿</t>
  </si>
  <si>
    <t>10.66亿</t>
  </si>
  <si>
    <t>1281.86万</t>
  </si>
  <si>
    <t>1945.39万</t>
  </si>
  <si>
    <t>1.26万</t>
  </si>
  <si>
    <t>6.07亿</t>
  </si>
  <si>
    <t>2258.47万</t>
  </si>
  <si>
    <t>4115.16万</t>
  </si>
  <si>
    <t>4.05亿</t>
  </si>
  <si>
    <t>4458.45万</t>
  </si>
  <si>
    <t>-813.61万</t>
  </si>
  <si>
    <t>-3379.88万</t>
  </si>
  <si>
    <t>3037.13万</t>
  </si>
  <si>
    <t>439.27万</t>
  </si>
  <si>
    <t>3955.96万</t>
  </si>
  <si>
    <t>293.24万</t>
  </si>
  <si>
    <t>45.58亿</t>
  </si>
  <si>
    <t>18.29亿</t>
  </si>
  <si>
    <t>10.22亿</t>
  </si>
  <si>
    <t>9730.12万</t>
  </si>
  <si>
    <t>81.42万</t>
  </si>
  <si>
    <t>42.06亿</t>
  </si>
  <si>
    <t>8701.56万</t>
  </si>
  <si>
    <t>13.23亿</t>
  </si>
  <si>
    <t>5.95万</t>
  </si>
  <si>
    <t>23.85亿</t>
  </si>
  <si>
    <t>-7966.11万</t>
  </si>
  <si>
    <t>-1.55亿</t>
  </si>
  <si>
    <t>1172.10万</t>
  </si>
  <si>
    <t>6494.18万</t>
  </si>
  <si>
    <t>164.68万</t>
  </si>
  <si>
    <t>7199.48万</t>
  </si>
  <si>
    <t>1.22亿</t>
  </si>
  <si>
    <t>5473.80万</t>
  </si>
  <si>
    <t>1287.77万</t>
  </si>
  <si>
    <t>3.98万</t>
  </si>
  <si>
    <t>12.85亿</t>
  </si>
  <si>
    <t>5396.02万</t>
  </si>
  <si>
    <t>9944.94万</t>
  </si>
  <si>
    <t>-3524.45万</t>
  </si>
  <si>
    <t>-2637.71万</t>
  </si>
  <si>
    <t>2012.25万</t>
  </si>
  <si>
    <t>826.89万</t>
  </si>
  <si>
    <t>5357.82万</t>
  </si>
  <si>
    <t>145.25万</t>
  </si>
  <si>
    <t>35.29亿</t>
  </si>
  <si>
    <t>18.49亿</t>
  </si>
  <si>
    <t>-3498.55万</t>
  </si>
  <si>
    <t>1.68亿</t>
  </si>
  <si>
    <t>2081.04万</t>
  </si>
  <si>
    <t>3.30万</t>
  </si>
  <si>
    <t>10.53亿</t>
  </si>
  <si>
    <t>82.00万</t>
  </si>
  <si>
    <t>8.07亿</t>
  </si>
  <si>
    <t>-992.62万</t>
  </si>
  <si>
    <t>8334.45万</t>
  </si>
  <si>
    <t>-1.01亿</t>
  </si>
  <si>
    <t>4.33亿</t>
  </si>
  <si>
    <t>2926.48万</t>
  </si>
  <si>
    <t>700.90万</t>
  </si>
  <si>
    <t>4270.84万</t>
  </si>
  <si>
    <t>豪悦护理</t>
  </si>
  <si>
    <t>75.45万</t>
  </si>
  <si>
    <t>32.96亿</t>
  </si>
  <si>
    <t>32.90亿</t>
  </si>
  <si>
    <t>2.11亿</t>
  </si>
  <si>
    <t>4.62亿</t>
  </si>
  <si>
    <t>4777.44万</t>
  </si>
  <si>
    <t>1809.73万</t>
  </si>
  <si>
    <t>20.12亿</t>
  </si>
  <si>
    <t>10.44亿</t>
  </si>
  <si>
    <t>-9424.27万</t>
  </si>
  <si>
    <t>-1.03亿</t>
  </si>
  <si>
    <t>-8808.40万</t>
  </si>
  <si>
    <t>7.76亿</t>
  </si>
  <si>
    <t>4179.57万</t>
  </si>
  <si>
    <t>307.00万</t>
  </si>
  <si>
    <t>2125.89万</t>
  </si>
  <si>
    <t>6-1</t>
  </si>
  <si>
    <t>136.81万</t>
  </si>
  <si>
    <t>71.27亿</t>
  </si>
  <si>
    <t>-1844.69万</t>
  </si>
  <si>
    <t>10.43亿</t>
  </si>
  <si>
    <t>3.30亿</t>
  </si>
  <si>
    <t>4.90亿</t>
  </si>
  <si>
    <t>54.52万</t>
  </si>
  <si>
    <t>8.36亿</t>
  </si>
  <si>
    <t>12.32亿</t>
  </si>
  <si>
    <t>170.00万</t>
  </si>
  <si>
    <t>5.20亿</t>
  </si>
  <si>
    <t>187.80万</t>
  </si>
  <si>
    <t>3485.13万</t>
  </si>
  <si>
    <t>-5494.49万</t>
  </si>
  <si>
    <t>-2.20亿</t>
  </si>
  <si>
    <t>1.10亿</t>
  </si>
  <si>
    <t>-1723.55万</t>
  </si>
  <si>
    <t>652.90万</t>
  </si>
  <si>
    <t>4228.84万</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</si>
</sst>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9"/>
      <color rgb="FFFF0000"/>
      <name val="宋体"/>
      <family val="3"/>
      <charset val="134"/>
      <scheme val="minor"/>
    </font>
    <font>
      <sz val="11"/>
      <name val="宋体"/>
      <family val="2"/>
      <charset val="134"/>
      <scheme val="minor"/>
    </font>
    <font>
      <b/>
      <sz val="9"/>
      <color rgb="FFFF0000"/>
      <name val="宋体"/>
      <family val="3"/>
      <charset val="134"/>
      <scheme val="minor"/>
    </font>
    <font>
      <sz val="11"/>
      <color rgb="FFFF0000"/>
      <name val="宋体"/>
      <family val="2"/>
      <charset val="134"/>
      <scheme val="minor"/>
    </font>
    <font>
      <sz val="11"/>
      <color rgb="FF000000"/>
      <name val="宋体"/>
      <family val="3"/>
      <charset val="134"/>
    </font>
    <font>
      <sz val="9"/>
      <name val="宋体"/>
      <family val="3"/>
      <charset val="134"/>
      <scheme val="minor"/>
    </font>
    <font>
      <strike/>
      <sz val="9"/>
      <color theme="1"/>
      <name val="宋体"/>
      <family val="3"/>
      <charset val="134"/>
      <scheme val="minor"/>
    </font>
    <font>
      <sz val="9"/>
      <color theme="1"/>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3" fillId="0" borderId="0" xfId="0" applyFont="1" applyAlignment="1">
      <alignment vertical="center" wrapText="1"/>
    </xf>
    <xf numFmtId="0" fontId="3" fillId="0" borderId="0" xfId="0" applyFont="1" applyAlignment="1">
      <alignment horizontal="left" vertical="center" wrapText="1"/>
    </xf>
    <xf numFmtId="0" fontId="0" fillId="4" borderId="0" xfId="0" applyFill="1">
      <alignment vertical="center"/>
    </xf>
    <xf numFmtId="0" fontId="0" fillId="5" borderId="0" xfId="0" applyFill="1">
      <alignment vertical="center"/>
    </xf>
    <xf numFmtId="0" fontId="5" fillId="0" borderId="0" xfId="0" applyFont="1">
      <alignment vertical="center"/>
    </xf>
    <xf numFmtId="0" fontId="7" fillId="0" borderId="0" xfId="0" applyFont="1">
      <alignment vertical="center"/>
    </xf>
    <xf numFmtId="0" fontId="5"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254000</xdr:colOff>
          <xdr:row>0</xdr:row>
          <xdr:rowOff>76200</xdr:rowOff>
        </xdr:from>
        <xdr:to>
          <xdr:col>147</xdr:col>
          <xdr:colOff>1473200</xdr:colOff>
          <xdr:row>0</xdr:row>
          <xdr:rowOff>387350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39"/>
  <sheetViews>
    <sheetView tabSelected="1" zoomScale="85" zoomScaleNormal="85" workbookViewId="0">
      <pane xSplit="5" ySplit="1" topLeftCell="F2" activePane="bottomRight" state="frozen"/>
      <selection pane="topRight" activeCell="F1" sqref="F1"/>
      <selection pane="bottomLeft" activeCell="A2" sqref="A2"/>
      <selection pane="bottomRight" activeCell="D32" sqref="D32:EP32"/>
    </sheetView>
  </sheetViews>
  <sheetFormatPr defaultRowHeight="14" x14ac:dyDescent="0.25"/>
  <cols>
    <col min="1" max="1" width="32.6328125" customWidth="1"/>
    <col min="2" max="2" width="39" customWidth="1"/>
    <col min="3" max="3" width="44.6328125" customWidth="1"/>
    <col min="148" max="148" width="23.81640625" customWidth="1"/>
  </cols>
  <sheetData>
    <row r="1" spans="1:146" ht="41" customHeight="1" x14ac:dyDescent="0.25">
      <c r="A1" s="3" t="s">
        <v>10</v>
      </c>
      <c r="B1" s="4" t="s">
        <v>11</v>
      </c>
      <c r="C1" s="3" t="s">
        <v>12</v>
      </c>
      <c r="D1" t="s">
        <v>5</v>
      </c>
      <c r="E1" t="s">
        <v>304</v>
      </c>
      <c r="F1" t="s">
        <v>3</v>
      </c>
      <c r="G1" t="s">
        <v>347</v>
      </c>
      <c r="H1" t="s">
        <v>348</v>
      </c>
      <c r="I1" t="s">
        <v>6</v>
      </c>
      <c r="J1" t="s">
        <v>7</v>
      </c>
      <c r="K1" t="s">
        <v>4</v>
      </c>
      <c r="L1" t="s">
        <v>8</v>
      </c>
      <c r="M1" t="s">
        <v>13</v>
      </c>
      <c r="N1" t="s">
        <v>14</v>
      </c>
      <c r="O1" t="s">
        <v>15</v>
      </c>
      <c r="P1" t="s">
        <v>349</v>
      </c>
      <c r="Q1" t="s">
        <v>318</v>
      </c>
      <c r="R1" t="s">
        <v>305</v>
      </c>
      <c r="S1" t="s">
        <v>16</v>
      </c>
      <c r="T1" t="s">
        <v>350</v>
      </c>
      <c r="U1" t="s">
        <v>258</v>
      </c>
      <c r="V1" t="s">
        <v>17</v>
      </c>
      <c r="W1" t="s">
        <v>319</v>
      </c>
      <c r="X1" t="s">
        <v>320</v>
      </c>
      <c r="Y1" t="s">
        <v>321</v>
      </c>
      <c r="Z1" t="s">
        <v>322</v>
      </c>
      <c r="AA1" t="s">
        <v>323</v>
      </c>
      <c r="AB1" t="s">
        <v>351</v>
      </c>
      <c r="AC1" t="s">
        <v>324</v>
      </c>
      <c r="AD1" t="s">
        <v>317</v>
      </c>
      <c r="AE1" t="s">
        <v>18</v>
      </c>
      <c r="AF1" t="s">
        <v>19</v>
      </c>
      <c r="AG1" t="s">
        <v>352</v>
      </c>
      <c r="AH1" t="s">
        <v>306</v>
      </c>
      <c r="AI1" t="s">
        <v>353</v>
      </c>
      <c r="AJ1" t="s">
        <v>20</v>
      </c>
      <c r="AK1" t="s">
        <v>354</v>
      </c>
      <c r="AL1" t="s">
        <v>27</v>
      </c>
      <c r="AM1" t="s">
        <v>355</v>
      </c>
      <c r="AN1" t="s">
        <v>356</v>
      </c>
      <c r="AO1" t="s">
        <v>357</v>
      </c>
      <c r="AP1" t="s">
        <v>358</v>
      </c>
      <c r="AQ1" t="s">
        <v>359</v>
      </c>
      <c r="AR1" t="s">
        <v>360</v>
      </c>
      <c r="AS1" t="s">
        <v>361</v>
      </c>
      <c r="AT1" t="s">
        <v>362</v>
      </c>
      <c r="AU1" t="s">
        <v>363</v>
      </c>
      <c r="AV1" t="s">
        <v>364</v>
      </c>
      <c r="AW1" t="s">
        <v>365</v>
      </c>
      <c r="AX1" t="s">
        <v>307</v>
      </c>
      <c r="AY1" t="s">
        <v>28</v>
      </c>
      <c r="AZ1" t="s">
        <v>29</v>
      </c>
      <c r="BA1" t="s">
        <v>30</v>
      </c>
      <c r="BB1" t="s">
        <v>31</v>
      </c>
      <c r="BC1" t="s">
        <v>259</v>
      </c>
      <c r="BD1" t="s">
        <v>32</v>
      </c>
      <c r="BE1" t="s">
        <v>33</v>
      </c>
      <c r="BF1" t="s">
        <v>34</v>
      </c>
      <c r="BG1" t="s">
        <v>35</v>
      </c>
      <c r="BH1" t="s">
        <v>366</v>
      </c>
      <c r="BI1" t="s">
        <v>367</v>
      </c>
      <c r="BJ1" t="s">
        <v>368</v>
      </c>
      <c r="BK1" t="s">
        <v>369</v>
      </c>
      <c r="BL1" t="s">
        <v>370</v>
      </c>
      <c r="BM1" t="s">
        <v>371</v>
      </c>
      <c r="BN1" t="s">
        <v>308</v>
      </c>
      <c r="BO1" t="s">
        <v>254</v>
      </c>
      <c r="BP1" t="s">
        <v>36</v>
      </c>
      <c r="BQ1" t="s">
        <v>309</v>
      </c>
      <c r="BR1" t="s">
        <v>255</v>
      </c>
      <c r="BS1" t="s">
        <v>37</v>
      </c>
      <c r="BT1" t="s">
        <v>372</v>
      </c>
      <c r="BU1" t="s">
        <v>325</v>
      </c>
      <c r="BV1" t="s">
        <v>373</v>
      </c>
      <c r="BW1" t="s">
        <v>85</v>
      </c>
      <c r="BX1" t="s">
        <v>38</v>
      </c>
      <c r="BY1" t="s">
        <v>374</v>
      </c>
      <c r="BZ1" t="s">
        <v>86</v>
      </c>
      <c r="CA1" t="s">
        <v>39</v>
      </c>
      <c r="CB1" t="s">
        <v>375</v>
      </c>
      <c r="CC1" t="s">
        <v>376</v>
      </c>
      <c r="CD1" t="s">
        <v>377</v>
      </c>
      <c r="CE1" t="s">
        <v>378</v>
      </c>
      <c r="CF1" s="1" t="s">
        <v>310</v>
      </c>
      <c r="CG1" s="1" t="s">
        <v>311</v>
      </c>
      <c r="CH1" s="1" t="s">
        <v>72</v>
      </c>
      <c r="CI1" s="1" t="s">
        <v>73</v>
      </c>
      <c r="CJ1" s="1" t="s">
        <v>74</v>
      </c>
      <c r="CK1" s="1" t="s">
        <v>75</v>
      </c>
      <c r="CL1" s="1" t="s">
        <v>76</v>
      </c>
      <c r="CM1" s="1" t="s">
        <v>77</v>
      </c>
      <c r="CN1" s="1" t="s">
        <v>78</v>
      </c>
      <c r="CO1" s="1" t="s">
        <v>79</v>
      </c>
      <c r="CP1" s="1" t="s">
        <v>80</v>
      </c>
      <c r="CQ1" s="1" t="s">
        <v>81</v>
      </c>
      <c r="CR1" s="1" t="s">
        <v>386</v>
      </c>
      <c r="CS1" s="1" t="s">
        <v>387</v>
      </c>
      <c r="CT1" s="1" t="s">
        <v>388</v>
      </c>
      <c r="CU1" s="1" t="s">
        <v>389</v>
      </c>
      <c r="CV1" s="1" t="s">
        <v>390</v>
      </c>
      <c r="CW1" s="1" t="s">
        <v>391</v>
      </c>
      <c r="CX1">
        <v>1</v>
      </c>
      <c r="CY1" t="s">
        <v>392</v>
      </c>
      <c r="CZ1" t="s">
        <v>393</v>
      </c>
      <c r="DA1">
        <v>3</v>
      </c>
      <c r="DB1" t="s">
        <v>394</v>
      </c>
      <c r="DC1" t="s">
        <v>395</v>
      </c>
      <c r="DD1">
        <v>6</v>
      </c>
      <c r="DE1" t="s">
        <v>379</v>
      </c>
      <c r="DF1" t="s">
        <v>380</v>
      </c>
      <c r="DG1">
        <v>10</v>
      </c>
      <c r="DH1" t="s">
        <v>396</v>
      </c>
      <c r="DI1" t="s">
        <v>397</v>
      </c>
      <c r="DJ1">
        <v>20</v>
      </c>
      <c r="DK1" t="s">
        <v>398</v>
      </c>
      <c r="DL1" t="s">
        <v>82</v>
      </c>
      <c r="DM1" t="s">
        <v>83</v>
      </c>
      <c r="DN1" s="2" t="s">
        <v>84</v>
      </c>
      <c r="DO1" t="s">
        <v>399</v>
      </c>
      <c r="DP1" t="s">
        <v>400</v>
      </c>
      <c r="DQ1" s="12" t="s">
        <v>401</v>
      </c>
      <c r="DR1" s="1" t="s">
        <v>402</v>
      </c>
      <c r="DS1" s="1" t="s">
        <v>403</v>
      </c>
      <c r="DT1" t="s">
        <v>404</v>
      </c>
      <c r="DU1" t="s">
        <v>405</v>
      </c>
      <c r="DV1" t="s">
        <v>406</v>
      </c>
      <c r="DW1" t="s">
        <v>407</v>
      </c>
      <c r="DX1" t="s">
        <v>408</v>
      </c>
      <c r="DY1" t="s">
        <v>409</v>
      </c>
      <c r="DZ1" t="s">
        <v>410</v>
      </c>
      <c r="EA1" t="s">
        <v>411</v>
      </c>
      <c r="EB1" t="s">
        <v>412</v>
      </c>
      <c r="EC1" t="s">
        <v>413</v>
      </c>
      <c r="ED1" t="s">
        <v>414</v>
      </c>
      <c r="EE1" t="s">
        <v>381</v>
      </c>
      <c r="EF1" t="s">
        <v>415</v>
      </c>
      <c r="EG1" t="s">
        <v>416</v>
      </c>
      <c r="EH1" t="s">
        <v>417</v>
      </c>
      <c r="EI1" t="s">
        <v>418</v>
      </c>
      <c r="EK1" s="13" t="s">
        <v>419</v>
      </c>
      <c r="EL1" t="s">
        <v>420</v>
      </c>
      <c r="EM1" t="s">
        <v>421</v>
      </c>
      <c r="EN1" t="s">
        <v>422</v>
      </c>
      <c r="EO1" t="s">
        <v>423</v>
      </c>
      <c r="EP1" t="s">
        <v>424</v>
      </c>
    </row>
    <row r="2" spans="1:146" ht="156" x14ac:dyDescent="0.25">
      <c r="A2" s="6" t="s">
        <v>345</v>
      </c>
      <c r="B2" s="6" t="s">
        <v>344</v>
      </c>
      <c r="C2" s="6" t="str">
        <f>"公司的主营业务为纤新材料业务和医疗美容业务。主要产品为粘胶系列、房地产销售、医疗美容服务；"&amp;CHAR(10)&amp;Basic_Fundamental_Information_Constructure(F2)&amp;CHAR(10)&amp;Basic_Fundamental_Information_Concatenate("生物基纤维 4.40亿 58.74% 10.43% 3.52%
医疗美容服务 2.69亿 35.89% 78.80% 43.53%
其他 4025.14万 5.37% 10.77% 39.71%")</f>
        <v>公司的主营业务为纤新材料业务和医疗美容业务。主要产品为粘胶系列、房地产销售、医疗美容服务；
市值15.869978亿, 利润-3.43亿; PE; 平均PE-4.37; 平均PEG-.35, PB8.13; ROIC0%; ROE-15.55%; 股利率0%; 毛利23.92%; 净利-55.1067%; 上一年度营收增.59%, 利润增78.35%; 当季营收增-15.64%, 利润增-6.46%; 过往5年营收增-12.4%, 利润增-359.74%
Income profile:
生物基纤维 4.40亿 58.74% 10.43% 3.52%
医疗美容服务 2.69亿 35.89% 78.80% 43.53%
其他 4025.14万 5.37% 10.77% 39.71%</v>
      </c>
      <c r="D2" t="s">
        <v>88</v>
      </c>
      <c r="E2" t="s">
        <v>854</v>
      </c>
      <c r="F2">
        <v>2.08</v>
      </c>
      <c r="G2">
        <v>0.48</v>
      </c>
      <c r="H2" t="s">
        <v>855</v>
      </c>
      <c r="I2">
        <v>1586997800</v>
      </c>
      <c r="K2">
        <v>8.1300000000000008</v>
      </c>
      <c r="L2" t="s">
        <v>87</v>
      </c>
      <c r="M2" t="s">
        <v>556</v>
      </c>
      <c r="N2" t="s">
        <v>856</v>
      </c>
      <c r="O2" t="s">
        <v>500</v>
      </c>
      <c r="P2">
        <v>-15.63</v>
      </c>
      <c r="Q2" t="s">
        <v>557</v>
      </c>
      <c r="R2">
        <v>-23958717</v>
      </c>
      <c r="S2" s="5">
        <v>-6.4600000000000005E-2</v>
      </c>
      <c r="T2" t="s">
        <v>558</v>
      </c>
      <c r="U2">
        <v>761738980</v>
      </c>
      <c r="V2">
        <v>762979720</v>
      </c>
      <c r="W2">
        <v>6.89</v>
      </c>
      <c r="X2">
        <v>0.08</v>
      </c>
      <c r="Y2">
        <v>-9.11</v>
      </c>
      <c r="Z2" t="s">
        <v>857</v>
      </c>
      <c r="AA2" t="s">
        <v>525</v>
      </c>
      <c r="AB2" t="s">
        <v>858</v>
      </c>
      <c r="AC2" t="s">
        <v>859</v>
      </c>
      <c r="AD2" t="s">
        <v>9</v>
      </c>
      <c r="AE2">
        <v>16201351</v>
      </c>
      <c r="AF2" t="s">
        <v>560</v>
      </c>
      <c r="AG2" t="s">
        <v>860</v>
      </c>
      <c r="AH2" t="s">
        <v>561</v>
      </c>
      <c r="AI2" t="s">
        <v>861</v>
      </c>
      <c r="AJ2" t="s">
        <v>562</v>
      </c>
      <c r="AK2" t="s">
        <v>9</v>
      </c>
      <c r="AL2" t="s">
        <v>563</v>
      </c>
      <c r="AM2" t="s">
        <v>9</v>
      </c>
      <c r="AN2" t="s">
        <v>862</v>
      </c>
      <c r="AO2" t="s">
        <v>863</v>
      </c>
      <c r="AP2" t="s">
        <v>864</v>
      </c>
      <c r="AQ2" t="s">
        <v>865</v>
      </c>
      <c r="AR2" t="s">
        <v>866</v>
      </c>
      <c r="AS2" t="s">
        <v>812</v>
      </c>
      <c r="AT2" t="s">
        <v>867</v>
      </c>
      <c r="AU2" t="s">
        <v>868</v>
      </c>
      <c r="AV2" t="s">
        <v>869</v>
      </c>
      <c r="AW2" t="s">
        <v>870</v>
      </c>
      <c r="AX2" t="s">
        <v>431</v>
      </c>
      <c r="AY2" t="s">
        <v>432</v>
      </c>
      <c r="AZ2" t="s">
        <v>89</v>
      </c>
      <c r="BA2" t="s">
        <v>92</v>
      </c>
      <c r="BB2" t="s">
        <v>93</v>
      </c>
      <c r="BC2" t="s">
        <v>565</v>
      </c>
      <c r="BD2" t="s">
        <v>433</v>
      </c>
      <c r="BE2" t="s">
        <v>90</v>
      </c>
      <c r="BF2" t="s">
        <v>94</v>
      </c>
      <c r="BG2" t="s">
        <v>95</v>
      </c>
      <c r="BH2" t="s">
        <v>557</v>
      </c>
      <c r="BI2" t="s">
        <v>566</v>
      </c>
      <c r="BJ2" t="s">
        <v>431</v>
      </c>
      <c r="BK2" t="s">
        <v>558</v>
      </c>
      <c r="BL2" t="s">
        <v>567</v>
      </c>
      <c r="BM2" t="s">
        <v>565</v>
      </c>
      <c r="BN2" t="s">
        <v>9</v>
      </c>
      <c r="BO2" t="s">
        <v>9</v>
      </c>
      <c r="BP2" t="s">
        <v>9</v>
      </c>
      <c r="BQ2" t="s">
        <v>9</v>
      </c>
      <c r="BR2" t="s">
        <v>9</v>
      </c>
      <c r="BS2">
        <v>-15.55</v>
      </c>
      <c r="BT2" t="s">
        <v>382</v>
      </c>
      <c r="BU2" t="s">
        <v>328</v>
      </c>
      <c r="BV2">
        <v>25.95</v>
      </c>
      <c r="BW2">
        <v>24.34</v>
      </c>
      <c r="BX2">
        <v>21.47</v>
      </c>
      <c r="BY2">
        <v>-30.31</v>
      </c>
      <c r="BZ2">
        <v>-117.5</v>
      </c>
      <c r="CA2">
        <v>-17.510000000000002</v>
      </c>
      <c r="CB2">
        <v>10.050000000000001</v>
      </c>
      <c r="CC2">
        <v>-7.56</v>
      </c>
      <c r="CD2" t="s">
        <v>871</v>
      </c>
      <c r="CE2" t="s">
        <v>872</v>
      </c>
      <c r="CF2" s="8">
        <v>-0.15644171779141106</v>
      </c>
      <c r="CG2" s="9">
        <v>-6.4566907791838477E-2</v>
      </c>
      <c r="CH2" s="8">
        <v>5.8997049927711487E-3</v>
      </c>
      <c r="CI2" s="8">
        <v>-0.14663307368755341</v>
      </c>
      <c r="CJ2" s="8">
        <v>-0.20030201971530914</v>
      </c>
      <c r="CK2" s="8">
        <v>-0.36920636892318726</v>
      </c>
      <c r="CL2" s="8">
        <v>9.0342745184898376E-2</v>
      </c>
      <c r="CM2" s="9">
        <v>0.78345954418182373</v>
      </c>
      <c r="CN2" s="9">
        <v>-4.5774645805358887</v>
      </c>
      <c r="CO2" s="9">
        <v>-1.1037037372589111</v>
      </c>
      <c r="CP2" s="9">
        <v>-12.166529655456543</v>
      </c>
      <c r="CQ2" s="9">
        <v>-0.92299556732177734</v>
      </c>
      <c r="CR2">
        <v>-4.374083213258718</v>
      </c>
      <c r="CS2">
        <v>-0.35280611257142386</v>
      </c>
      <c r="CT2">
        <v>0</v>
      </c>
      <c r="CU2" s="8">
        <v>-0.12397980242967606</v>
      </c>
      <c r="CV2" s="9">
        <v>-3.5974467992782593</v>
      </c>
      <c r="CW2">
        <v>0.06</v>
      </c>
      <c r="CX2" t="e">
        <v>#VALUE!</v>
      </c>
      <c r="CY2" t="s">
        <v>312</v>
      </c>
      <c r="CZ2">
        <v>-0.12397980242967606</v>
      </c>
      <c r="DA2" t="e">
        <v>#VALUE!</v>
      </c>
      <c r="DB2" t="s">
        <v>313</v>
      </c>
      <c r="DC2">
        <v>-0.11778081230819225</v>
      </c>
      <c r="DD2" t="e">
        <v>#VALUE!</v>
      </c>
      <c r="DE2" t="s">
        <v>313</v>
      </c>
      <c r="DF2">
        <v>-0.10910222613811493</v>
      </c>
      <c r="DG2" t="e">
        <v>#VALUE!</v>
      </c>
      <c r="DH2" t="s">
        <v>313</v>
      </c>
      <c r="DI2">
        <v>-9.9183841943740858E-2</v>
      </c>
      <c r="DJ2" t="e">
        <v>#VALUE!</v>
      </c>
      <c r="DK2" t="s">
        <v>313</v>
      </c>
      <c r="DL2">
        <v>-8.6785861700773237E-2</v>
      </c>
      <c r="DM2">
        <v>-343000000</v>
      </c>
      <c r="DN2">
        <v>-0.12397980242967606</v>
      </c>
      <c r="DO2">
        <v>3912997800</v>
      </c>
      <c r="DP2">
        <v>-499193280</v>
      </c>
      <c r="DQ2">
        <v>176</v>
      </c>
      <c r="DR2">
        <v>-3.2461915361734997E-2</v>
      </c>
      <c r="DS2">
        <v>3.532879891486421</v>
      </c>
      <c r="DT2" s="10">
        <v>-0.69</v>
      </c>
      <c r="DU2">
        <v>-3.2316666666666669</v>
      </c>
      <c r="DV2">
        <v>-3.9216666666666669</v>
      </c>
      <c r="DW2">
        <v>5.7522388059701495</v>
      </c>
      <c r="DX2">
        <v>0.61846123778501716</v>
      </c>
      <c r="DY2">
        <v>5.1267230803636537</v>
      </c>
      <c r="DZ2">
        <v>5063</v>
      </c>
      <c r="EA2">
        <v>5.0011655547508989</v>
      </c>
      <c r="EB2">
        <v>5</v>
      </c>
      <c r="EC2">
        <v>6.7783715142520434E-2</v>
      </c>
      <c r="ED2">
        <v>0.40236980348573353</v>
      </c>
      <c r="EE2" s="11">
        <v>-3.0925099999999999</v>
      </c>
      <c r="EF2">
        <v>-3.0925099999999999</v>
      </c>
      <c r="EG2">
        <v>45.168461237785017</v>
      </c>
      <c r="EH2" t="s">
        <v>852</v>
      </c>
      <c r="EI2">
        <v>1</v>
      </c>
      <c r="EJ2">
        <v>0</v>
      </c>
      <c r="EK2" s="13">
        <v>45470</v>
      </c>
      <c r="EL2" s="14">
        <v>-1.44</v>
      </c>
      <c r="EM2" s="14">
        <v>-4.88</v>
      </c>
      <c r="EN2" s="14">
        <v>-5.13</v>
      </c>
      <c r="EO2" s="14">
        <v>-2.7</v>
      </c>
      <c r="EP2" s="14">
        <v>0</v>
      </c>
    </row>
    <row r="3" spans="1:146" ht="96" x14ac:dyDescent="0.25">
      <c r="A3" s="6"/>
      <c r="B3" s="6"/>
      <c r="C3" s="6" t="str">
        <f>""&amp;CHAR(10)&amp;Basic_Fundamental_Information_Constructure(F3)&amp;CHAR(10)&amp;Basic_Fundamental_Information_Concatenate("")</f>
        <v xml:space="preserve">
市值24.054684亿, 利润1.03亿; PE16.28; 平均PE20.49; 平均PEG2.33, PB1.33; ROIC7.1233%; ROE7.3333%; 股利率3.0746%; 毛利15.83%; 净利8.7867%; 上一年度营收增-11.81%, 利润增-31.79%; 当季营收增35.21%, 利润增1974.81%; 过往5年营收增8.81%, 利润增48.6%
Income profile:
</v>
      </c>
      <c r="D3" t="s">
        <v>97</v>
      </c>
      <c r="E3" t="s">
        <v>98</v>
      </c>
      <c r="F3">
        <v>13.01</v>
      </c>
      <c r="G3">
        <v>2.2000000000000002</v>
      </c>
      <c r="H3" t="s">
        <v>873</v>
      </c>
      <c r="I3">
        <v>2405468400</v>
      </c>
      <c r="J3">
        <v>16.28</v>
      </c>
      <c r="K3">
        <v>1.33</v>
      </c>
      <c r="L3" t="s">
        <v>87</v>
      </c>
      <c r="M3" t="s">
        <v>568</v>
      </c>
      <c r="N3" t="s">
        <v>874</v>
      </c>
      <c r="O3" t="s">
        <v>339</v>
      </c>
      <c r="P3">
        <v>35.18</v>
      </c>
      <c r="Q3" t="s">
        <v>569</v>
      </c>
      <c r="R3">
        <v>42271308</v>
      </c>
      <c r="S3" s="5">
        <v>19.75</v>
      </c>
      <c r="T3" t="s">
        <v>570</v>
      </c>
      <c r="U3">
        <v>106788409</v>
      </c>
      <c r="V3">
        <v>184893810</v>
      </c>
      <c r="W3">
        <v>1.1200000000000001</v>
      </c>
      <c r="X3">
        <v>0.19</v>
      </c>
      <c r="Y3">
        <v>11.02</v>
      </c>
      <c r="Z3" t="s">
        <v>482</v>
      </c>
      <c r="AA3" t="s">
        <v>629</v>
      </c>
      <c r="AB3" t="s">
        <v>875</v>
      </c>
      <c r="AC3" t="s">
        <v>876</v>
      </c>
      <c r="AD3" t="s">
        <v>9</v>
      </c>
      <c r="AE3">
        <v>-3096639</v>
      </c>
      <c r="AF3" t="s">
        <v>571</v>
      </c>
      <c r="AG3" t="s">
        <v>9</v>
      </c>
      <c r="AH3" t="s">
        <v>572</v>
      </c>
      <c r="AI3" t="s">
        <v>186</v>
      </c>
      <c r="AJ3" t="s">
        <v>574</v>
      </c>
      <c r="AK3" t="s">
        <v>9</v>
      </c>
      <c r="AL3" t="s">
        <v>575</v>
      </c>
      <c r="AM3" t="s">
        <v>9</v>
      </c>
      <c r="AN3" t="s">
        <v>877</v>
      </c>
      <c r="AO3" t="s">
        <v>9</v>
      </c>
      <c r="AP3" t="s">
        <v>9</v>
      </c>
      <c r="AQ3" t="s">
        <v>788</v>
      </c>
      <c r="AR3" t="s">
        <v>9</v>
      </c>
      <c r="AS3" t="s">
        <v>53</v>
      </c>
      <c r="AT3" t="s">
        <v>9</v>
      </c>
      <c r="AU3" t="s">
        <v>878</v>
      </c>
      <c r="AV3" t="s">
        <v>879</v>
      </c>
      <c r="AW3" t="s">
        <v>9</v>
      </c>
      <c r="AX3" t="s">
        <v>434</v>
      </c>
      <c r="AY3" t="s">
        <v>262</v>
      </c>
      <c r="AZ3" t="s">
        <v>40</v>
      </c>
      <c r="BA3" t="s">
        <v>99</v>
      </c>
      <c r="BB3" t="s">
        <v>55</v>
      </c>
      <c r="BC3" t="s">
        <v>435</v>
      </c>
      <c r="BD3" t="s">
        <v>48</v>
      </c>
      <c r="BE3" t="s">
        <v>53</v>
      </c>
      <c r="BF3" t="s">
        <v>23</v>
      </c>
      <c r="BG3" t="s">
        <v>101</v>
      </c>
      <c r="BH3" t="s">
        <v>569</v>
      </c>
      <c r="BI3" t="s">
        <v>576</v>
      </c>
      <c r="BJ3" t="s">
        <v>434</v>
      </c>
      <c r="BK3" t="s">
        <v>570</v>
      </c>
      <c r="BL3" t="s">
        <v>577</v>
      </c>
      <c r="BM3" t="s">
        <v>435</v>
      </c>
      <c r="BN3">
        <v>3.92</v>
      </c>
      <c r="BO3">
        <v>8.41</v>
      </c>
      <c r="BP3">
        <v>9.0399999999999991</v>
      </c>
      <c r="BQ3">
        <v>4.8099999999999996</v>
      </c>
      <c r="BR3">
        <v>8.5399999999999991</v>
      </c>
      <c r="BS3">
        <v>8.65</v>
      </c>
      <c r="BT3" t="s">
        <v>578</v>
      </c>
      <c r="BU3" t="s">
        <v>327</v>
      </c>
      <c r="BV3">
        <v>17.02</v>
      </c>
      <c r="BW3">
        <v>13.72</v>
      </c>
      <c r="BX3">
        <v>16.75</v>
      </c>
      <c r="BY3">
        <v>7.72</v>
      </c>
      <c r="BZ3">
        <v>9.93</v>
      </c>
      <c r="CA3">
        <v>8.7100000000000009</v>
      </c>
      <c r="CB3">
        <v>-0.08</v>
      </c>
      <c r="CC3">
        <v>-9.02</v>
      </c>
      <c r="CD3" t="s">
        <v>880</v>
      </c>
      <c r="CE3" t="s">
        <v>881</v>
      </c>
      <c r="CF3" s="8">
        <v>0.352112676056338</v>
      </c>
      <c r="CG3" s="9">
        <v>19.748085332860249</v>
      </c>
      <c r="CH3" s="8">
        <v>-0.11807391792535782</v>
      </c>
      <c r="CI3" s="8">
        <v>0.15725190937519073</v>
      </c>
      <c r="CJ3" s="8">
        <v>5.5600374937057495E-2</v>
      </c>
      <c r="CK3" s="8">
        <v>0.2071983814239502</v>
      </c>
      <c r="CL3" s="8">
        <v>0.13842746615409851</v>
      </c>
      <c r="CM3" s="9">
        <v>-0.31788080930709839</v>
      </c>
      <c r="CN3" s="9">
        <v>0.32456141710281372</v>
      </c>
      <c r="CO3" s="9">
        <v>-0.41237112879753113</v>
      </c>
      <c r="CP3" s="9">
        <v>0.81308412551879883</v>
      </c>
      <c r="CQ3" s="9">
        <v>2.0227525234222412</v>
      </c>
      <c r="CR3">
        <v>20.489561728011228</v>
      </c>
      <c r="CS3">
        <v>2.3262222610842702</v>
      </c>
      <c r="CT3">
        <v>3.0745580322828592</v>
      </c>
      <c r="CU3" s="8">
        <v>8.8080842792987821E-2</v>
      </c>
      <c r="CV3" s="9">
        <v>0.48602922558784484</v>
      </c>
      <c r="CW3">
        <v>0.06</v>
      </c>
      <c r="CX3">
        <v>7.5898888532911846</v>
      </c>
      <c r="CY3">
        <v>105728610.19592239</v>
      </c>
      <c r="CZ3">
        <v>8.8080842792987821E-2</v>
      </c>
      <c r="DA3">
        <v>2.4843397923475048</v>
      </c>
      <c r="DB3">
        <v>323010726.01736605</v>
      </c>
      <c r="DC3">
        <v>8.3676800653338421E-2</v>
      </c>
      <c r="DD3">
        <v>1.2256424118715514</v>
      </c>
      <c r="DE3">
        <v>654732891.27995634</v>
      </c>
      <c r="DF3">
        <v>7.7511141657829283E-2</v>
      </c>
      <c r="DG3">
        <v>0.73782306027956279</v>
      </c>
      <c r="DH3">
        <v>1087616317.7875504</v>
      </c>
      <c r="DI3">
        <v>7.0464674234390262E-2</v>
      </c>
      <c r="DJ3">
        <v>0.38319697229524508</v>
      </c>
      <c r="DK3">
        <v>2094140763.1522601</v>
      </c>
      <c r="DL3">
        <v>6.1656589955091469E-2</v>
      </c>
      <c r="DM3">
        <v>103000000</v>
      </c>
      <c r="DN3">
        <v>8.8080842792987821E-2</v>
      </c>
      <c r="DO3">
        <v>802468400</v>
      </c>
      <c r="DP3">
        <v>1054578560</v>
      </c>
      <c r="DQ3">
        <v>432</v>
      </c>
      <c r="DR3">
        <v>0.26403183326335017</v>
      </c>
      <c r="DS3">
        <v>19.262056107272404</v>
      </c>
      <c r="DT3" s="10">
        <v>-0.17333333333333334</v>
      </c>
      <c r="DU3">
        <v>0.81166666666666654</v>
      </c>
      <c r="DV3">
        <v>0.6383333333333332</v>
      </c>
      <c r="DW3">
        <v>-2.0901999999999998</v>
      </c>
      <c r="DX3">
        <v>0.30557157006728464</v>
      </c>
      <c r="DY3">
        <v>-2.012228555620069</v>
      </c>
      <c r="DZ3">
        <v>534</v>
      </c>
      <c r="EA3">
        <v>-2.0109506595924533</v>
      </c>
      <c r="EB3">
        <v>2</v>
      </c>
      <c r="EC3">
        <v>4.2937078315385464E-2</v>
      </c>
      <c r="ED3">
        <v>0.31671152214344006</v>
      </c>
      <c r="EE3" s="11">
        <v>0.1265</v>
      </c>
      <c r="EF3">
        <v>0.1142</v>
      </c>
      <c r="EG3">
        <v>17.135571570067285</v>
      </c>
      <c r="EH3" t="s">
        <v>314</v>
      </c>
      <c r="EI3">
        <v>0</v>
      </c>
      <c r="EJ3">
        <v>1</v>
      </c>
      <c r="EK3" s="13">
        <v>45470</v>
      </c>
      <c r="EL3" s="14">
        <v>0.31</v>
      </c>
      <c r="EM3" s="14">
        <v>-4.05</v>
      </c>
      <c r="EN3" s="14">
        <v>1.22</v>
      </c>
      <c r="EO3" s="14">
        <v>4.25</v>
      </c>
      <c r="EP3" s="14">
        <v>-1.23</v>
      </c>
    </row>
    <row r="4" spans="1:146" ht="96" x14ac:dyDescent="0.25">
      <c r="C4" s="6" t="str">
        <f>""&amp;CHAR(10)&amp;Basic_Fundamental_Information_Constructure(F4)&amp;CHAR(10)&amp;Basic_Fundamental_Information_Concatenate("")</f>
        <v xml:space="preserve">
市值42.199798亿, 利润1.41亿; PE28.84; 平均PE38.13; 平均PEG3.84, PB2.93; ROIC18.6267%; ROE17.855%; 股利率2.652%; 毛利42.2367%; 净利10.3067%; 上一年度营收增4.8%, 利润增4.44%; 当季营收增5.25%, 利润增15.6%; 过往5年营收增9.94%, 利润增23.41%
Income profile:
</v>
      </c>
      <c r="D4" s="5" t="s">
        <v>436</v>
      </c>
      <c r="E4" t="s">
        <v>437</v>
      </c>
      <c r="F4">
        <v>24.51</v>
      </c>
      <c r="G4">
        <v>2.13</v>
      </c>
      <c r="H4" t="s">
        <v>882</v>
      </c>
      <c r="I4">
        <v>4219979800</v>
      </c>
      <c r="J4">
        <v>28.84</v>
      </c>
      <c r="K4">
        <v>2.93</v>
      </c>
      <c r="L4" t="s">
        <v>87</v>
      </c>
      <c r="M4" t="s">
        <v>51</v>
      </c>
      <c r="N4" t="s">
        <v>883</v>
      </c>
      <c r="O4" t="s">
        <v>148</v>
      </c>
      <c r="P4" s="5">
        <v>5.22</v>
      </c>
      <c r="Q4" t="s">
        <v>579</v>
      </c>
      <c r="R4">
        <v>37316069</v>
      </c>
      <c r="S4">
        <v>0.156</v>
      </c>
      <c r="T4" t="s">
        <v>112</v>
      </c>
      <c r="U4">
        <v>43043500</v>
      </c>
      <c r="V4">
        <v>172173800</v>
      </c>
      <c r="W4">
        <v>1.35</v>
      </c>
      <c r="X4">
        <v>0.19</v>
      </c>
      <c r="Y4">
        <v>10.35</v>
      </c>
      <c r="Z4" t="s">
        <v>884</v>
      </c>
      <c r="AA4" t="s">
        <v>885</v>
      </c>
      <c r="AB4" t="s">
        <v>48</v>
      </c>
      <c r="AC4" t="s">
        <v>886</v>
      </c>
      <c r="AD4" t="s">
        <v>9</v>
      </c>
      <c r="AE4">
        <v>-3526510</v>
      </c>
      <c r="AF4" t="s">
        <v>580</v>
      </c>
      <c r="AG4" t="s">
        <v>887</v>
      </c>
      <c r="AH4" t="s">
        <v>581</v>
      </c>
      <c r="AI4" t="s">
        <v>888</v>
      </c>
      <c r="AJ4" t="s">
        <v>582</v>
      </c>
      <c r="AK4" t="s">
        <v>889</v>
      </c>
      <c r="AL4" t="s">
        <v>583</v>
      </c>
      <c r="AM4" t="s">
        <v>9</v>
      </c>
      <c r="AN4" t="s">
        <v>890</v>
      </c>
      <c r="AO4" t="s">
        <v>9</v>
      </c>
      <c r="AP4" t="s">
        <v>9</v>
      </c>
      <c r="AQ4" t="s">
        <v>435</v>
      </c>
      <c r="AR4" t="s">
        <v>9</v>
      </c>
      <c r="AS4" t="s">
        <v>528</v>
      </c>
      <c r="AT4" t="s">
        <v>9</v>
      </c>
      <c r="AU4" t="s">
        <v>891</v>
      </c>
      <c r="AV4" t="s">
        <v>892</v>
      </c>
      <c r="AW4" t="s">
        <v>9</v>
      </c>
      <c r="AX4" t="s">
        <v>332</v>
      </c>
      <c r="AY4" t="s">
        <v>341</v>
      </c>
      <c r="AZ4" t="s">
        <v>438</v>
      </c>
      <c r="BA4" t="s">
        <v>334</v>
      </c>
      <c r="BB4" t="s">
        <v>9</v>
      </c>
      <c r="BC4" t="s">
        <v>428</v>
      </c>
      <c r="BD4" t="s">
        <v>326</v>
      </c>
      <c r="BE4" t="s">
        <v>439</v>
      </c>
      <c r="BF4" t="s">
        <v>440</v>
      </c>
      <c r="BG4" t="s">
        <v>9</v>
      </c>
      <c r="BH4" t="s">
        <v>579</v>
      </c>
      <c r="BI4" t="s">
        <v>147</v>
      </c>
      <c r="BJ4" t="s">
        <v>332</v>
      </c>
      <c r="BK4" t="s">
        <v>112</v>
      </c>
      <c r="BL4" t="s">
        <v>584</v>
      </c>
      <c r="BM4" t="s">
        <v>428</v>
      </c>
      <c r="BN4">
        <v>10.15</v>
      </c>
      <c r="BO4">
        <v>23.89</v>
      </c>
      <c r="BP4">
        <v>21.84</v>
      </c>
      <c r="BQ4">
        <v>9.68</v>
      </c>
      <c r="BR4">
        <v>26.03</v>
      </c>
      <c r="BS4" t="s">
        <v>9</v>
      </c>
      <c r="BT4" t="s">
        <v>585</v>
      </c>
      <c r="BU4" t="s">
        <v>327</v>
      </c>
      <c r="BV4">
        <v>44.11</v>
      </c>
      <c r="BW4">
        <v>40.5</v>
      </c>
      <c r="BX4">
        <v>42.1</v>
      </c>
      <c r="BY4">
        <v>10.27</v>
      </c>
      <c r="BZ4">
        <v>10.25</v>
      </c>
      <c r="CA4">
        <v>10.4</v>
      </c>
      <c r="CB4">
        <v>-0.56999999999999995</v>
      </c>
      <c r="CC4" s="8">
        <v>1.49</v>
      </c>
      <c r="CD4" s="9" t="s">
        <v>893</v>
      </c>
      <c r="CE4" s="8" t="s">
        <v>894</v>
      </c>
      <c r="CF4" s="8">
        <v>5.2478134110787174E-2</v>
      </c>
      <c r="CG4" s="8">
        <v>0.15597982088479564</v>
      </c>
      <c r="CH4" s="8">
        <v>4.7981772571802139E-2</v>
      </c>
      <c r="CI4" s="8">
        <v>0.1487312912940979</v>
      </c>
      <c r="CJ4" s="9">
        <v>0.10970880091190338</v>
      </c>
      <c r="CK4" s="9">
        <v>9.1101698577404022E-2</v>
      </c>
      <c r="CL4" s="9" t="s">
        <v>9</v>
      </c>
      <c r="CM4" s="9">
        <v>4.444444552063942E-2</v>
      </c>
      <c r="CN4" s="9">
        <v>0.13445378839969635</v>
      </c>
      <c r="CO4">
        <v>0.2494710236787796</v>
      </c>
      <c r="CP4">
        <v>0.50784957408905029</v>
      </c>
      <c r="CQ4" t="s">
        <v>9</v>
      </c>
      <c r="CR4" s="8">
        <v>38.127526525411035</v>
      </c>
      <c r="CS4" s="9">
        <v>3.8365048052602768</v>
      </c>
      <c r="CT4">
        <v>2.6519787841697267</v>
      </c>
      <c r="CU4">
        <v>9.9380890838801861E-2</v>
      </c>
      <c r="CV4">
        <v>0.23405470792204142</v>
      </c>
      <c r="CW4">
        <v>0.06</v>
      </c>
      <c r="CX4">
        <v>22.162303241655657</v>
      </c>
      <c r="CY4">
        <v>146238401.51723686</v>
      </c>
      <c r="CZ4">
        <v>9.9380890838801861E-2</v>
      </c>
      <c r="DA4">
        <v>7.1851918684294596</v>
      </c>
      <c r="DB4">
        <v>451063779.41559601</v>
      </c>
      <c r="DC4">
        <v>9.4411846296861765E-2</v>
      </c>
      <c r="DD4">
        <v>3.4996341333387369</v>
      </c>
      <c r="DE4">
        <v>926091035.95295715</v>
      </c>
      <c r="DF4">
        <v>8.7455183938145636E-2</v>
      </c>
      <c r="DG4">
        <v>2.0763906569201156</v>
      </c>
      <c r="DH4">
        <v>1560871885.6437666</v>
      </c>
      <c r="DI4">
        <v>7.9504712671041491E-2</v>
      </c>
      <c r="DJ4">
        <v>1.0444166342731824</v>
      </c>
      <c r="DK4">
        <v>3103148392.7440724</v>
      </c>
      <c r="DL4">
        <v>6.95666235871613E-2</v>
      </c>
      <c r="DM4">
        <v>141000000</v>
      </c>
      <c r="DN4">
        <v>9.9380890838801861E-2</v>
      </c>
      <c r="DO4">
        <v>3240979800</v>
      </c>
      <c r="DP4">
        <v>1224084000</v>
      </c>
      <c r="DQ4" s="10">
        <v>494</v>
      </c>
      <c r="DR4">
        <v>-4.6902756728014687E-2</v>
      </c>
      <c r="DS4">
        <v>-7.8074887037245772E-2</v>
      </c>
      <c r="DT4">
        <v>-0.52800000000000002</v>
      </c>
      <c r="DU4">
        <v>0.56399999999999995</v>
      </c>
      <c r="DV4">
        <v>3.5999999999999921E-2</v>
      </c>
      <c r="DW4">
        <v>1.49E-2</v>
      </c>
      <c r="DX4">
        <v>0.38331366250840293</v>
      </c>
      <c r="DY4">
        <v>3.3273735713752147E-3</v>
      </c>
      <c r="DZ4">
        <v>1628</v>
      </c>
      <c r="EA4">
        <v>2.267302304408708E-3</v>
      </c>
      <c r="EB4" s="11">
        <v>0</v>
      </c>
      <c r="EC4" s="11">
        <v>8.6816344879418361E-2</v>
      </c>
      <c r="ED4">
        <v>0.38876414413807442</v>
      </c>
      <c r="EE4">
        <v>-2.0419</v>
      </c>
      <c r="EF4">
        <v>-2.0158999999999998</v>
      </c>
      <c r="EG4">
        <v>16.223313662508403</v>
      </c>
      <c r="EH4" s="13" t="s">
        <v>537</v>
      </c>
      <c r="EI4">
        <v>0</v>
      </c>
      <c r="EJ4">
        <v>0</v>
      </c>
      <c r="EK4">
        <v>45470</v>
      </c>
      <c r="EL4">
        <v>-0.69</v>
      </c>
      <c r="EM4">
        <v>-1.23</v>
      </c>
      <c r="EN4" s="14">
        <v>10</v>
      </c>
      <c r="EO4" s="14">
        <v>-2.61</v>
      </c>
      <c r="EP4" s="14">
        <v>-2.6</v>
      </c>
    </row>
    <row r="5" spans="1:146" ht="96" x14ac:dyDescent="0.25">
      <c r="C5" s="6" t="str">
        <f>""&amp;CHAR(10)&amp;Basic_Fundamental_Information_Constructure(F5)&amp;CHAR(10)&amp;Basic_Fundamental_Information_Concatenate("")</f>
        <v xml:space="preserve">
市值65.372628亿, 利润3.29亿; PE26.92; 平均PE13.79; 平均PEG4.1, PB.919; ROIC5.5267%; ROE6.91%; 股利率1.6667%; 毛利30.3833%; 净利19.2833%; 上一年度营收增-3.9%, 利润增-21.1%; 当季营收增-21%, 利润增-171.92%; 过往5年营收增3.37%, 利润增3.44%
Income profile:
</v>
      </c>
      <c r="D5" t="s">
        <v>538</v>
      </c>
      <c r="E5" t="s">
        <v>539</v>
      </c>
      <c r="F5">
        <v>5.4</v>
      </c>
      <c r="G5">
        <v>1.5</v>
      </c>
      <c r="H5" t="s">
        <v>895</v>
      </c>
      <c r="I5">
        <v>6537262800</v>
      </c>
      <c r="J5">
        <v>26.92</v>
      </c>
      <c r="K5">
        <v>0.91900000000000004</v>
      </c>
      <c r="L5" t="s">
        <v>87</v>
      </c>
      <c r="M5" t="s">
        <v>838</v>
      </c>
      <c r="N5" t="s">
        <v>896</v>
      </c>
      <c r="O5" t="s">
        <v>839</v>
      </c>
      <c r="P5" s="5">
        <v>-20.96</v>
      </c>
      <c r="Q5" t="s">
        <v>840</v>
      </c>
      <c r="R5">
        <v>-36091015</v>
      </c>
      <c r="S5">
        <v>-1.7190000000000001</v>
      </c>
      <c r="T5" t="s">
        <v>542</v>
      </c>
      <c r="U5">
        <v>1195689150</v>
      </c>
      <c r="V5">
        <v>1210604220</v>
      </c>
      <c r="W5">
        <v>1.9</v>
      </c>
      <c r="X5">
        <v>0.03</v>
      </c>
      <c r="Y5">
        <v>-12.73</v>
      </c>
      <c r="Z5" t="s">
        <v>897</v>
      </c>
      <c r="AA5" t="s">
        <v>898</v>
      </c>
      <c r="AB5" t="s">
        <v>899</v>
      </c>
      <c r="AC5" t="s">
        <v>900</v>
      </c>
      <c r="AD5" t="s">
        <v>9</v>
      </c>
      <c r="AE5">
        <v>32224538</v>
      </c>
      <c r="AF5" t="s">
        <v>841</v>
      </c>
      <c r="AG5" t="s">
        <v>901</v>
      </c>
      <c r="AH5" t="s">
        <v>842</v>
      </c>
      <c r="AI5" t="s">
        <v>902</v>
      </c>
      <c r="AJ5" t="s">
        <v>843</v>
      </c>
      <c r="AK5" t="s">
        <v>903</v>
      </c>
      <c r="AL5" t="s">
        <v>844</v>
      </c>
      <c r="AM5" t="s">
        <v>9</v>
      </c>
      <c r="AN5" t="s">
        <v>236</v>
      </c>
      <c r="AO5" t="s">
        <v>904</v>
      </c>
      <c r="AP5" t="s">
        <v>905</v>
      </c>
      <c r="AQ5" t="s">
        <v>617</v>
      </c>
      <c r="AR5" t="s">
        <v>906</v>
      </c>
      <c r="AS5" t="s">
        <v>907</v>
      </c>
      <c r="AT5" t="s">
        <v>908</v>
      </c>
      <c r="AU5" t="s">
        <v>909</v>
      </c>
      <c r="AV5" t="s">
        <v>642</v>
      </c>
      <c r="AW5" t="s">
        <v>236</v>
      </c>
      <c r="AX5" t="s">
        <v>540</v>
      </c>
      <c r="AY5" t="s">
        <v>543</v>
      </c>
      <c r="AZ5" t="s">
        <v>544</v>
      </c>
      <c r="BA5" t="s">
        <v>545</v>
      </c>
      <c r="BB5" t="s">
        <v>546</v>
      </c>
      <c r="BC5" t="s">
        <v>541</v>
      </c>
      <c r="BD5" t="s">
        <v>547</v>
      </c>
      <c r="BE5" t="s">
        <v>430</v>
      </c>
      <c r="BF5" t="s">
        <v>548</v>
      </c>
      <c r="BG5" t="s">
        <v>336</v>
      </c>
      <c r="BH5" t="s">
        <v>840</v>
      </c>
      <c r="BI5" t="s">
        <v>847</v>
      </c>
      <c r="BJ5" t="s">
        <v>540</v>
      </c>
      <c r="BK5" t="s">
        <v>542</v>
      </c>
      <c r="BL5" t="s">
        <v>848</v>
      </c>
      <c r="BM5" t="s">
        <v>541</v>
      </c>
      <c r="BN5">
        <v>3.22</v>
      </c>
      <c r="BO5">
        <v>5.07</v>
      </c>
      <c r="BP5">
        <v>8.2899999999999991</v>
      </c>
      <c r="BQ5">
        <v>4.17</v>
      </c>
      <c r="BR5">
        <v>6.28</v>
      </c>
      <c r="BS5">
        <v>10.28</v>
      </c>
      <c r="BT5" t="s">
        <v>849</v>
      </c>
      <c r="BU5" t="s">
        <v>329</v>
      </c>
      <c r="BV5">
        <v>24.94</v>
      </c>
      <c r="BW5">
        <v>29.27</v>
      </c>
      <c r="BX5">
        <v>36.94</v>
      </c>
      <c r="BY5">
        <v>11.95</v>
      </c>
      <c r="BZ5">
        <v>19.87</v>
      </c>
      <c r="CA5">
        <v>26.03</v>
      </c>
      <c r="CB5">
        <v>-2.35</v>
      </c>
      <c r="CC5" s="8">
        <v>-7.38</v>
      </c>
      <c r="CD5" s="9" t="s">
        <v>910</v>
      </c>
      <c r="CE5" s="8" t="s">
        <v>911</v>
      </c>
      <c r="CF5" s="8">
        <v>-0.20996441281138781</v>
      </c>
      <c r="CG5" s="8">
        <v>-1.7192439681062435</v>
      </c>
      <c r="CH5" s="8">
        <v>-3.896099328994751E-2</v>
      </c>
      <c r="CI5" s="8">
        <v>-0.12994351983070374</v>
      </c>
      <c r="CJ5" s="9">
        <v>0.37774723768234253</v>
      </c>
      <c r="CK5" s="9">
        <v>1.3927636668086052E-2</v>
      </c>
      <c r="CL5" s="9">
        <v>-5.4433822631835938E-2</v>
      </c>
      <c r="CM5" s="9">
        <v>-0.21103116869926453</v>
      </c>
      <c r="CN5" s="9">
        <v>-0.33914422988891602</v>
      </c>
      <c r="CO5">
        <v>7.3129251599311829E-2</v>
      </c>
      <c r="CP5">
        <v>0.10112359374761581</v>
      </c>
      <c r="CQ5">
        <v>0.54782611131668091</v>
      </c>
      <c r="CR5" s="8">
        <v>13.791693670886076</v>
      </c>
      <c r="CS5" s="9">
        <v>4.0964646730162526</v>
      </c>
      <c r="CT5">
        <v>1.6666666666666665</v>
      </c>
      <c r="CU5">
        <v>3.3667307719588278E-2</v>
      </c>
      <c r="CV5">
        <v>3.4380711615085602E-2</v>
      </c>
      <c r="CW5">
        <v>0.06</v>
      </c>
      <c r="CX5">
        <v>17.37467246148713</v>
      </c>
      <c r="CY5">
        <v>320826928.52806091</v>
      </c>
      <c r="CZ5">
        <v>3.3667307719588278E-2</v>
      </c>
      <c r="DA5">
        <v>5.9570641738430483</v>
      </c>
      <c r="DB5">
        <v>935739927.81143844</v>
      </c>
      <c r="DC5">
        <v>3.1983942333608864E-2</v>
      </c>
      <c r="DD5">
        <v>3.1224507299190019</v>
      </c>
      <c r="DE5">
        <v>1785220418.8805885</v>
      </c>
      <c r="DF5">
        <v>2.9627230793237685E-2</v>
      </c>
      <c r="DG5">
        <v>2.008595562418872</v>
      </c>
      <c r="DH5">
        <v>2775204179.6244617</v>
      </c>
      <c r="DI5">
        <v>2.6933846175670625E-2</v>
      </c>
      <c r="DJ5">
        <v>1.198547897553307</v>
      </c>
      <c r="DK5">
        <v>4650846921.8286514</v>
      </c>
      <c r="DL5">
        <v>2.3567115403711793E-2</v>
      </c>
      <c r="DM5">
        <v>329000000</v>
      </c>
      <c r="DN5">
        <v>3.3667307719588278E-2</v>
      </c>
      <c r="DO5">
        <v>5574262800</v>
      </c>
      <c r="DP5">
        <v>4794526800</v>
      </c>
      <c r="DQ5" s="10">
        <v>752</v>
      </c>
      <c r="DR5">
        <v>-0.24363172053097609</v>
      </c>
      <c r="DS5">
        <v>-1.7536246797213291</v>
      </c>
      <c r="DT5">
        <v>-0.3066666666666667</v>
      </c>
      <c r="DU5">
        <v>-1.115</v>
      </c>
      <c r="DV5">
        <v>-1.4216666666666666</v>
      </c>
      <c r="DW5">
        <v>-2.0737999999999999</v>
      </c>
      <c r="DX5">
        <v>0.33967460317460374</v>
      </c>
      <c r="DY5">
        <v>-2.0139979857142856</v>
      </c>
      <c r="DZ5">
        <v>3962</v>
      </c>
      <c r="EA5">
        <v>-2.0031447529549902</v>
      </c>
      <c r="EB5" s="11">
        <v>2</v>
      </c>
      <c r="EC5" s="11">
        <v>7.8965526817674561E-2</v>
      </c>
      <c r="ED5">
        <v>0.4163210334753335</v>
      </c>
      <c r="EE5">
        <v>-1.1241099999999999</v>
      </c>
      <c r="EF5">
        <v>-1.1025100000000001</v>
      </c>
      <c r="EG5">
        <v>15.189674603174604</v>
      </c>
      <c r="EH5" s="13" t="s">
        <v>850</v>
      </c>
      <c r="EI5">
        <v>0</v>
      </c>
      <c r="EJ5">
        <v>0</v>
      </c>
      <c r="EK5">
        <v>45470</v>
      </c>
      <c r="EL5">
        <v>10.07</v>
      </c>
      <c r="EM5">
        <v>-9.92</v>
      </c>
      <c r="EN5" s="14">
        <v>-4.3</v>
      </c>
      <c r="EO5" s="14">
        <v>-0.18</v>
      </c>
      <c r="EP5" s="14">
        <v>2.16</v>
      </c>
    </row>
    <row r="6" spans="1:146" ht="156" x14ac:dyDescent="0.25">
      <c r="A6" s="6"/>
      <c r="B6" s="6"/>
      <c r="C6" s="6" t="str">
        <f>"公司是一家主要生产和销售中高档生活用纸的公司。公司主要产品为洁柔和太阳品牌的卷纸、无芯卷纸、抽纸、纸手帕、湿巾、个人护理产品、婴儿纸尿裤、棉花柔巾等。公司是国内生活用纸行业内前四名企业，属于行业内第一梯队成员."&amp;CHAR(10)&amp;Basic_Fundamental_Information_Constructure(F6)&amp;CHAR(10)&amp;Basic_Fundamental_Information_Concatenate("生活用纸 42.66亿 97.67% 98.59% 33.24%
其他 7374.59万 1.69% 0.50% 9.67%
个人护理 2792.74万 0.64% 0.91% 47.12%")</f>
        <v>公司是一家主要生产和销售中高档生活用纸的公司。公司主要产品为洁柔和太阳品牌的卷纸、无芯卷纸、抽纸、纸手帕、湿巾、个人护理产品、婴儿纸尿裤、棉花柔巾等。公司是国内生活用纸行业内前四名企业，属于行业内第一梯队成员.
市值90.560222亿, 利润3.33亿; PE26.73; 平均PE17.08; 平均PEG1.43, PB1.67; ROIC6.71%; ROE7.2867%; 股利率.8621%; 毛利33.6767%; 净利4.6033%; 上一年度营收增14.36%, 利润增-4.86%; 当季营收增-10.48%, 利润增6.72%; 过往5年营收增11.95%, 利润增3.58%
Income profile:
生活用纸 42.66亿 97.67% 98.59% 33.24%
其他 7374.59万 1.69% 0.50% 9.67%
个人护理 2792.74万 0.64% 0.91% 47.12%</v>
      </c>
      <c r="D6" t="s">
        <v>102</v>
      </c>
      <c r="E6" t="s">
        <v>103</v>
      </c>
      <c r="F6">
        <v>6.96</v>
      </c>
      <c r="G6">
        <v>2.0499999999999998</v>
      </c>
      <c r="H6" t="s">
        <v>912</v>
      </c>
      <c r="I6">
        <v>9056022200</v>
      </c>
      <c r="J6">
        <v>26.73</v>
      </c>
      <c r="K6">
        <v>1.67</v>
      </c>
      <c r="L6" t="s">
        <v>87</v>
      </c>
      <c r="M6" t="s">
        <v>586</v>
      </c>
      <c r="N6" t="s">
        <v>913</v>
      </c>
      <c r="O6" t="s">
        <v>587</v>
      </c>
      <c r="P6">
        <v>-10.45</v>
      </c>
      <c r="Q6" t="s">
        <v>588</v>
      </c>
      <c r="R6">
        <v>95450062</v>
      </c>
      <c r="S6" s="5">
        <v>6.7199999999999996E-2</v>
      </c>
      <c r="T6" t="s">
        <v>589</v>
      </c>
      <c r="U6">
        <v>1271555640</v>
      </c>
      <c r="V6">
        <v>1301152610</v>
      </c>
      <c r="W6">
        <v>1.76</v>
      </c>
      <c r="X6">
        <v>0.19</v>
      </c>
      <c r="Y6">
        <v>5.16</v>
      </c>
      <c r="Z6" t="s">
        <v>914</v>
      </c>
      <c r="AA6" t="s">
        <v>915</v>
      </c>
      <c r="AB6" t="s">
        <v>916</v>
      </c>
      <c r="AC6" t="s">
        <v>513</v>
      </c>
      <c r="AD6" t="s">
        <v>9</v>
      </c>
      <c r="AE6">
        <v>2088510</v>
      </c>
      <c r="AF6" t="s">
        <v>590</v>
      </c>
      <c r="AG6" t="s">
        <v>917</v>
      </c>
      <c r="AH6" t="s">
        <v>591</v>
      </c>
      <c r="AI6" t="s">
        <v>613</v>
      </c>
      <c r="AJ6" t="s">
        <v>592</v>
      </c>
      <c r="AK6" t="s">
        <v>918</v>
      </c>
      <c r="AL6" t="s">
        <v>593</v>
      </c>
      <c r="AM6" t="s">
        <v>9</v>
      </c>
      <c r="AN6" t="s">
        <v>919</v>
      </c>
      <c r="AO6" t="s">
        <v>920</v>
      </c>
      <c r="AP6" t="s">
        <v>921</v>
      </c>
      <c r="AQ6" t="s">
        <v>922</v>
      </c>
      <c r="AR6" t="s">
        <v>9</v>
      </c>
      <c r="AS6" t="s">
        <v>923</v>
      </c>
      <c r="AT6" t="s">
        <v>924</v>
      </c>
      <c r="AU6" t="s">
        <v>532</v>
      </c>
      <c r="AV6" t="s">
        <v>925</v>
      </c>
      <c r="AW6" t="s">
        <v>926</v>
      </c>
      <c r="AX6" t="s">
        <v>441</v>
      </c>
      <c r="AY6" t="s">
        <v>263</v>
      </c>
      <c r="AZ6" t="s">
        <v>104</v>
      </c>
      <c r="BA6" t="s">
        <v>105</v>
      </c>
      <c r="BB6" t="s">
        <v>106</v>
      </c>
      <c r="BC6" t="s">
        <v>442</v>
      </c>
      <c r="BD6" t="s">
        <v>63</v>
      </c>
      <c r="BE6" t="s">
        <v>67</v>
      </c>
      <c r="BF6" t="s">
        <v>107</v>
      </c>
      <c r="BG6" t="s">
        <v>108</v>
      </c>
      <c r="BH6" t="s">
        <v>588</v>
      </c>
      <c r="BI6" t="s">
        <v>524</v>
      </c>
      <c r="BJ6" t="s">
        <v>441</v>
      </c>
      <c r="BK6" t="s">
        <v>589</v>
      </c>
      <c r="BL6" t="s">
        <v>595</v>
      </c>
      <c r="BM6" t="s">
        <v>442</v>
      </c>
      <c r="BN6">
        <v>2.4300000000000002</v>
      </c>
      <c r="BO6">
        <v>6.34</v>
      </c>
      <c r="BP6">
        <v>11.36</v>
      </c>
      <c r="BQ6">
        <v>3.1</v>
      </c>
      <c r="BR6">
        <v>6.94</v>
      </c>
      <c r="BS6">
        <v>11.82</v>
      </c>
      <c r="BT6" t="s">
        <v>596</v>
      </c>
      <c r="BU6" t="s">
        <v>327</v>
      </c>
      <c r="BV6">
        <v>33.15</v>
      </c>
      <c r="BW6">
        <v>31.96</v>
      </c>
      <c r="BX6">
        <v>35.92</v>
      </c>
      <c r="BY6">
        <v>3.39</v>
      </c>
      <c r="BZ6">
        <v>4.07</v>
      </c>
      <c r="CA6">
        <v>6.35</v>
      </c>
      <c r="CB6">
        <v>0.57999999999999996</v>
      </c>
      <c r="CC6">
        <v>-13.43</v>
      </c>
      <c r="CD6" t="s">
        <v>927</v>
      </c>
      <c r="CE6" t="s">
        <v>506</v>
      </c>
      <c r="CF6" s="8">
        <v>-0.10480349344978165</v>
      </c>
      <c r="CG6" s="9">
        <v>6.7235955709457076E-2</v>
      </c>
      <c r="CH6" s="8">
        <v>0.14364062249660492</v>
      </c>
      <c r="CI6" s="8">
        <v>-6.3388004899024963E-2</v>
      </c>
      <c r="CJ6" s="8">
        <v>0.16947855055332184</v>
      </c>
      <c r="CK6" s="8">
        <v>0.17920124530792236</v>
      </c>
      <c r="CL6" s="8">
        <v>0.16833944618701935</v>
      </c>
      <c r="CM6" s="9">
        <v>-4.8571430146694183E-2</v>
      </c>
      <c r="CN6" s="9">
        <v>-0.39759036898612976</v>
      </c>
      <c r="CO6" s="9">
        <v>-0.35871964693069458</v>
      </c>
      <c r="CP6" s="9">
        <v>0.5</v>
      </c>
      <c r="CQ6" s="9">
        <v>0.48402947187423706</v>
      </c>
      <c r="CR6">
        <v>17.081462810436967</v>
      </c>
      <c r="CS6">
        <v>1.4299571070170241</v>
      </c>
      <c r="CT6">
        <v>0.86206896551724133</v>
      </c>
      <c r="CU6" s="8">
        <v>0.1194543719291687</v>
      </c>
      <c r="CV6" s="9">
        <v>3.5829605162143709E-2</v>
      </c>
      <c r="CW6">
        <v>0.06</v>
      </c>
      <c r="CX6">
        <v>21.454369544686919</v>
      </c>
      <c r="CY6">
        <v>351677647.03057849</v>
      </c>
      <c r="CZ6">
        <v>0.1194543719291687</v>
      </c>
      <c r="DA6">
        <v>6.8389582908762572</v>
      </c>
      <c r="DB6">
        <v>1103241441.0343299</v>
      </c>
      <c r="DC6">
        <v>0.11348165333271026</v>
      </c>
      <c r="DD6">
        <v>3.2553883842735383</v>
      </c>
      <c r="DE6">
        <v>2317702623.886373</v>
      </c>
      <c r="DF6">
        <v>0.10511984729766846</v>
      </c>
      <c r="DG6">
        <v>1.8812343037625283</v>
      </c>
      <c r="DH6">
        <v>4010676493.0395517</v>
      </c>
      <c r="DI6">
        <v>9.5563497543334971E-2</v>
      </c>
      <c r="DJ6">
        <v>0.89165510777239798</v>
      </c>
      <c r="DK6">
        <v>8461816832.7993546</v>
      </c>
      <c r="DL6">
        <v>8.3618060350418091E-2</v>
      </c>
      <c r="DM6">
        <v>333000000</v>
      </c>
      <c r="DN6">
        <v>0.1194543719291687</v>
      </c>
      <c r="DO6">
        <v>7545022200</v>
      </c>
      <c r="DP6">
        <v>1994869500</v>
      </c>
      <c r="DQ6">
        <v>1005</v>
      </c>
      <c r="DR6">
        <v>-0.22425786537895037</v>
      </c>
      <c r="DS6">
        <v>3.1406350547313368E-2</v>
      </c>
      <c r="DT6" s="10">
        <v>-9.000000000000008E-2</v>
      </c>
      <c r="DU6">
        <v>-6.6666666666666707E-2</v>
      </c>
      <c r="DV6">
        <v>-0.15666666666666679</v>
      </c>
      <c r="DW6">
        <v>-2.1343000000000001</v>
      </c>
      <c r="DX6">
        <v>0.35093308823529368</v>
      </c>
      <c r="DY6">
        <v>-2.0162413137500002</v>
      </c>
      <c r="DZ6">
        <v>2102</v>
      </c>
      <c r="EA6">
        <v>-2.0095604445714286</v>
      </c>
      <c r="EB6">
        <v>2</v>
      </c>
      <c r="EC6">
        <v>2.5280508794429578E-2</v>
      </c>
      <c r="ED6">
        <v>0.20904542473307569</v>
      </c>
      <c r="EE6" s="11">
        <v>-1.0032000000000001</v>
      </c>
      <c r="EF6">
        <v>-1.01651</v>
      </c>
      <c r="EG6">
        <v>23.120933088235294</v>
      </c>
      <c r="EH6" t="s">
        <v>850</v>
      </c>
      <c r="EI6">
        <v>0</v>
      </c>
      <c r="EJ6">
        <v>0</v>
      </c>
      <c r="EK6" s="13">
        <v>45470</v>
      </c>
      <c r="EL6" s="14">
        <v>0.72</v>
      </c>
      <c r="EM6" s="14">
        <v>-3.13</v>
      </c>
      <c r="EN6" s="14">
        <v>1.47</v>
      </c>
      <c r="EO6" s="14">
        <v>3.04</v>
      </c>
      <c r="EP6" s="14">
        <v>-1.97</v>
      </c>
    </row>
    <row r="7" spans="1:146" ht="168" x14ac:dyDescent="0.25">
      <c r="A7" s="6" t="s">
        <v>251</v>
      </c>
      <c r="B7" s="6" t="s">
        <v>257</v>
      </c>
      <c r="C7" s="6" t="str">
        <f>"公司主营业务为一次性个人卫生用品的研发、生产和销售，产品包括卫生巾、婴儿纸尿裤、成人失禁用品等。公司旗下拥有“自由点”、“妮爽”、“好之”、“丹宁”等品牌；"&amp;CHAR(10)&amp;Basic_Fundamental_Information_Constructure(F7)&amp;CHAR(10)&amp;Basic_Fundamental_Information_Concatenate("卫生巾 6.11亿 80.32% 利润占比92.20% 52.41%
纸尿裤 7961.74万 10.47% 利润占比3.91% 17.05%
ODM 7001.43万 9.21% 利润占比3.89% 19.27%
其中ODM业务占比14%，自主品牌86%
")</f>
        <v xml:space="preserve">公司主营业务为一次性个人卫生用品的研发、生产和销售，产品包括卫生巾、婴儿纸尿裤、成人失禁用品等。公司旗下拥有“自由点”、“妮爽”、“好之”、“丹宁”等品牌；
市值101.964305亿, 利润2.38亿; PE39.11; 平均PE58.08; 平均PEG3.28, PB6.84; ROIC15.8067%; ROE16.31%; 股利率2.3158%; 毛利46.7133%; 净利12.6767%; 上一年度营收增33%, 利润增27.27%; 当季营收增46.27%, 利润增28.07%; 过往5年营收增17.71%, 利润增24.02%
Income profile:
卫生巾 6.11亿 80.32% 利润占比92.20% 52.41%
纸尿裤 7961.74万 10.47% 利润占比3.91% 17.05%
ODM 7001.43万 9.21% 利润占比3.89% 19.27%
其中ODM业务占比14%，自主品牌86%
</v>
      </c>
      <c r="D7" t="s">
        <v>114</v>
      </c>
      <c r="E7" t="s">
        <v>115</v>
      </c>
      <c r="F7">
        <v>23.75</v>
      </c>
      <c r="G7">
        <v>0.85</v>
      </c>
      <c r="H7" t="s">
        <v>928</v>
      </c>
      <c r="I7">
        <v>10196430500</v>
      </c>
      <c r="J7">
        <v>39.11</v>
      </c>
      <c r="K7">
        <v>6.84</v>
      </c>
      <c r="L7" t="s">
        <v>87</v>
      </c>
      <c r="M7" t="s">
        <v>498</v>
      </c>
      <c r="N7" t="s">
        <v>929</v>
      </c>
      <c r="O7" t="s">
        <v>597</v>
      </c>
      <c r="P7">
        <v>46.4</v>
      </c>
      <c r="Q7" t="s">
        <v>598</v>
      </c>
      <c r="R7">
        <v>102619879</v>
      </c>
      <c r="S7" s="5">
        <v>0.28070000000000001</v>
      </c>
      <c r="T7" t="s">
        <v>599</v>
      </c>
      <c r="U7">
        <v>428646390</v>
      </c>
      <c r="V7">
        <v>429323390</v>
      </c>
      <c r="W7">
        <v>1.39</v>
      </c>
      <c r="X7">
        <v>0.39</v>
      </c>
      <c r="Y7">
        <v>13.41</v>
      </c>
      <c r="Z7" t="s">
        <v>930</v>
      </c>
      <c r="AA7" t="s">
        <v>931</v>
      </c>
      <c r="AB7" t="s">
        <v>771</v>
      </c>
      <c r="AC7" t="s">
        <v>932</v>
      </c>
      <c r="AD7" t="s">
        <v>9</v>
      </c>
      <c r="AE7">
        <v>-1094816</v>
      </c>
      <c r="AF7" t="s">
        <v>601</v>
      </c>
      <c r="AG7">
        <v>4002</v>
      </c>
      <c r="AH7" t="s">
        <v>602</v>
      </c>
      <c r="AI7" t="s">
        <v>456</v>
      </c>
      <c r="AJ7" t="s">
        <v>603</v>
      </c>
      <c r="AK7" t="s">
        <v>933</v>
      </c>
      <c r="AL7" t="s">
        <v>604</v>
      </c>
      <c r="AM7" t="s">
        <v>9</v>
      </c>
      <c r="AN7" t="s">
        <v>934</v>
      </c>
      <c r="AO7" t="s">
        <v>9</v>
      </c>
      <c r="AP7" t="s">
        <v>9</v>
      </c>
      <c r="AQ7" t="s">
        <v>22</v>
      </c>
      <c r="AR7" t="s">
        <v>9</v>
      </c>
      <c r="AS7" t="s">
        <v>935</v>
      </c>
      <c r="AT7" t="s">
        <v>9</v>
      </c>
      <c r="AU7" t="s">
        <v>936</v>
      </c>
      <c r="AV7" t="s">
        <v>937</v>
      </c>
      <c r="AW7" t="s">
        <v>938</v>
      </c>
      <c r="AX7" t="s">
        <v>343</v>
      </c>
      <c r="AY7" t="s">
        <v>264</v>
      </c>
      <c r="AZ7" t="s">
        <v>26</v>
      </c>
      <c r="BA7" t="s">
        <v>117</v>
      </c>
      <c r="BB7" t="s">
        <v>118</v>
      </c>
      <c r="BC7" t="s">
        <v>427</v>
      </c>
      <c r="BD7" t="s">
        <v>260</v>
      </c>
      <c r="BE7" t="s">
        <v>111</v>
      </c>
      <c r="BF7" t="s">
        <v>45</v>
      </c>
      <c r="BG7" t="s">
        <v>119</v>
      </c>
      <c r="BH7" t="s">
        <v>598</v>
      </c>
      <c r="BI7" t="s">
        <v>606</v>
      </c>
      <c r="BJ7" t="s">
        <v>343</v>
      </c>
      <c r="BK7" t="s">
        <v>599</v>
      </c>
      <c r="BL7" t="s">
        <v>607</v>
      </c>
      <c r="BM7" t="s">
        <v>427</v>
      </c>
      <c r="BN7">
        <v>13.77</v>
      </c>
      <c r="BO7">
        <v>14.71</v>
      </c>
      <c r="BP7">
        <v>18.940000000000001</v>
      </c>
      <c r="BQ7">
        <v>14.04</v>
      </c>
      <c r="BR7">
        <v>15.3</v>
      </c>
      <c r="BS7">
        <v>19.59</v>
      </c>
      <c r="BT7" t="s">
        <v>608</v>
      </c>
      <c r="BU7" t="s">
        <v>327</v>
      </c>
      <c r="BV7">
        <v>50.32</v>
      </c>
      <c r="BW7">
        <v>45.11</v>
      </c>
      <c r="BX7">
        <v>44.71</v>
      </c>
      <c r="BY7">
        <v>11.12</v>
      </c>
      <c r="BZ7">
        <v>11.59</v>
      </c>
      <c r="CA7">
        <v>15.32</v>
      </c>
      <c r="CB7">
        <v>0.21</v>
      </c>
      <c r="CC7">
        <v>0.98</v>
      </c>
      <c r="CD7" t="s">
        <v>939</v>
      </c>
      <c r="CE7" t="s">
        <v>940</v>
      </c>
      <c r="CF7" s="8">
        <v>0.46271510516252373</v>
      </c>
      <c r="CG7" s="9">
        <v>0.28067859072773632</v>
      </c>
      <c r="CH7" s="8">
        <v>0.33002480864524841</v>
      </c>
      <c r="CI7" s="8">
        <v>0.10184547305107117</v>
      </c>
      <c r="CJ7" s="8">
        <v>0.16946442425251007</v>
      </c>
      <c r="CK7" s="8">
        <v>8.8772960007190704E-2</v>
      </c>
      <c r="CL7" s="8">
        <v>0.19562949240207672</v>
      </c>
      <c r="CM7" s="9">
        <v>0.27272728085517883</v>
      </c>
      <c r="CN7" s="9">
        <v>-0.17982456088066101</v>
      </c>
      <c r="CO7" s="9">
        <v>0.24590164422988892</v>
      </c>
      <c r="CP7" s="9">
        <v>0.4296875</v>
      </c>
      <c r="CQ7" s="9">
        <v>0.4325525164604187</v>
      </c>
      <c r="CR7">
        <v>58.079959101951772</v>
      </c>
      <c r="CS7">
        <v>3.278622701661031</v>
      </c>
      <c r="CT7">
        <v>2.3157894736842106</v>
      </c>
      <c r="CU7" s="8">
        <v>0.17714743167161942</v>
      </c>
      <c r="CV7" s="9">
        <v>0.2402088761329651</v>
      </c>
      <c r="CW7">
        <v>0.06</v>
      </c>
      <c r="CX7">
        <v>34.825308446490276</v>
      </c>
      <c r="CY7">
        <v>264302913.90362775</v>
      </c>
      <c r="CZ7">
        <v>0.17714743167161942</v>
      </c>
      <c r="DA7">
        <v>10.578897441580903</v>
      </c>
      <c r="DB7">
        <v>870074651.05215132</v>
      </c>
      <c r="DC7">
        <v>0.16829006008803843</v>
      </c>
      <c r="DD7">
        <v>4.7086105466348025</v>
      </c>
      <c r="DE7">
        <v>1954808198.4776411</v>
      </c>
      <c r="DF7">
        <v>0.15588973987102508</v>
      </c>
      <c r="DG7">
        <v>2.5130066897974173</v>
      </c>
      <c r="DH7">
        <v>3662716274.241993</v>
      </c>
      <c r="DI7">
        <v>0.14171794533729554</v>
      </c>
      <c r="DJ7">
        <v>0.98742507223600617</v>
      </c>
      <c r="DK7">
        <v>9321649569.9838104</v>
      </c>
      <c r="DL7">
        <v>0.12400320217013358</v>
      </c>
      <c r="DM7">
        <v>238000000</v>
      </c>
      <c r="DN7">
        <v>0.17714743167161942</v>
      </c>
      <c r="DO7">
        <v>9204430500</v>
      </c>
      <c r="DP7">
        <v>833789300</v>
      </c>
      <c r="DQ7">
        <v>1463</v>
      </c>
      <c r="DR7">
        <v>0.28556767349090428</v>
      </c>
      <c r="DS7">
        <v>4.0469714594771222E-2</v>
      </c>
      <c r="DT7" s="10">
        <v>-4.0000000000000036E-2</v>
      </c>
      <c r="DU7">
        <v>0.58666666666666656</v>
      </c>
      <c r="DV7">
        <v>0.54666666666666652</v>
      </c>
      <c r="DW7">
        <v>9.7999999999999997E-3</v>
      </c>
      <c r="DX7">
        <v>0.45900032053026907</v>
      </c>
      <c r="DY7">
        <v>1.8522031411966286E-3</v>
      </c>
      <c r="DZ7">
        <v>645</v>
      </c>
      <c r="EA7">
        <v>1.6184123337461736E-3</v>
      </c>
      <c r="EB7">
        <v>0</v>
      </c>
      <c r="EC7">
        <v>3.7005903638280692E-2</v>
      </c>
      <c r="ED7">
        <v>0.1957980905722374</v>
      </c>
      <c r="EE7" s="11">
        <v>3.1002999999999998</v>
      </c>
      <c r="EF7">
        <v>3.056</v>
      </c>
      <c r="EG7">
        <v>27.189000320530269</v>
      </c>
      <c r="EH7" t="s">
        <v>550</v>
      </c>
      <c r="EI7">
        <v>0</v>
      </c>
      <c r="EJ7">
        <v>1</v>
      </c>
      <c r="EK7" s="13">
        <v>45470</v>
      </c>
      <c r="EL7" s="14">
        <v>-1.88</v>
      </c>
      <c r="EM7" s="14">
        <v>2.68</v>
      </c>
      <c r="EN7" s="14">
        <v>-0.74</v>
      </c>
      <c r="EO7" s="14">
        <v>2.58</v>
      </c>
      <c r="EP7" s="14">
        <v>-4.43</v>
      </c>
    </row>
    <row r="8" spans="1:146" ht="96" x14ac:dyDescent="0.25">
      <c r="A8" s="6"/>
      <c r="B8" s="6"/>
      <c r="C8" s="6" t="str">
        <f>""&amp;CHAR(10)&amp;Basic_Fundamental_Information_Constructure(F8)&amp;CHAR(10)&amp;Basic_Fundamental_Information_Concatenate("")</f>
        <v xml:space="preserve">
市值18.080331亿, 利润-6834.13万; PE; 平均PE-26.57; 平均PEG-1.67, PB1.43; ROIC0%; ROE-27.2267%; 股利率0%; 毛利10.24%; 净利-17.87%; 上一年度营收增-32.5%, 利润增90.79%; 当季营收增-4.28%, 利润增87.48%; 过往5年营收增15.89%, 利润增-34.68%
Income profile:
</v>
      </c>
      <c r="D8" t="s">
        <v>120</v>
      </c>
      <c r="E8" t="s">
        <v>121</v>
      </c>
      <c r="F8">
        <v>3.5</v>
      </c>
      <c r="G8">
        <v>2.34</v>
      </c>
      <c r="H8" t="s">
        <v>941</v>
      </c>
      <c r="I8">
        <v>1808033100</v>
      </c>
      <c r="K8">
        <v>1.43</v>
      </c>
      <c r="L8" t="s">
        <v>87</v>
      </c>
      <c r="M8" t="s">
        <v>609</v>
      </c>
      <c r="N8" t="s">
        <v>942</v>
      </c>
      <c r="O8" t="s">
        <v>610</v>
      </c>
      <c r="P8">
        <v>-4.26</v>
      </c>
      <c r="Q8" t="s">
        <v>611</v>
      </c>
      <c r="R8">
        <v>-5999668</v>
      </c>
      <c r="S8" s="5">
        <v>0.87480000000000002</v>
      </c>
      <c r="T8" t="s">
        <v>612</v>
      </c>
      <c r="U8">
        <v>508081280</v>
      </c>
      <c r="V8">
        <v>516580890</v>
      </c>
      <c r="W8">
        <v>1.89</v>
      </c>
      <c r="X8">
        <v>0.16</v>
      </c>
      <c r="Y8">
        <v>-1.71</v>
      </c>
      <c r="Z8" t="s">
        <v>837</v>
      </c>
      <c r="AA8" t="s">
        <v>943</v>
      </c>
      <c r="AB8" t="s">
        <v>944</v>
      </c>
      <c r="AC8" t="s">
        <v>945</v>
      </c>
      <c r="AD8" t="s">
        <v>9</v>
      </c>
      <c r="AE8">
        <v>2861714</v>
      </c>
      <c r="AF8" t="s">
        <v>615</v>
      </c>
      <c r="AG8" t="s">
        <v>9</v>
      </c>
      <c r="AH8" t="s">
        <v>616</v>
      </c>
      <c r="AI8" t="s">
        <v>946</v>
      </c>
      <c r="AJ8" t="s">
        <v>618</v>
      </c>
      <c r="AK8" t="s">
        <v>9</v>
      </c>
      <c r="AL8" t="s">
        <v>619</v>
      </c>
      <c r="AM8" t="s">
        <v>9</v>
      </c>
      <c r="AN8" t="s">
        <v>947</v>
      </c>
      <c r="AO8" t="s">
        <v>948</v>
      </c>
      <c r="AP8" t="s">
        <v>9</v>
      </c>
      <c r="AQ8" t="s">
        <v>949</v>
      </c>
      <c r="AR8" t="s">
        <v>9</v>
      </c>
      <c r="AS8" t="s">
        <v>950</v>
      </c>
      <c r="AT8" t="s">
        <v>512</v>
      </c>
      <c r="AU8" t="s">
        <v>951</v>
      </c>
      <c r="AV8" t="s">
        <v>952</v>
      </c>
      <c r="AW8" t="s">
        <v>953</v>
      </c>
      <c r="AX8" t="s">
        <v>342</v>
      </c>
      <c r="AY8" t="s">
        <v>265</v>
      </c>
      <c r="AZ8" t="s">
        <v>122</v>
      </c>
      <c r="BA8" t="s">
        <v>124</v>
      </c>
      <c r="BB8" t="s">
        <v>125</v>
      </c>
      <c r="BC8" t="s">
        <v>443</v>
      </c>
      <c r="BD8" t="s">
        <v>266</v>
      </c>
      <c r="BE8" t="s">
        <v>123</v>
      </c>
      <c r="BF8" t="s">
        <v>110</v>
      </c>
      <c r="BG8" t="s">
        <v>61</v>
      </c>
      <c r="BH8" t="s">
        <v>611</v>
      </c>
      <c r="BI8" t="s">
        <v>331</v>
      </c>
      <c r="BJ8" t="s">
        <v>342</v>
      </c>
      <c r="BK8" t="s">
        <v>612</v>
      </c>
      <c r="BL8" t="s">
        <v>620</v>
      </c>
      <c r="BM8" t="s">
        <v>443</v>
      </c>
      <c r="BN8" t="s">
        <v>9</v>
      </c>
      <c r="BO8" t="s">
        <v>9</v>
      </c>
      <c r="BP8" t="s">
        <v>9</v>
      </c>
      <c r="BQ8">
        <v>-4.7300000000000004</v>
      </c>
      <c r="BR8">
        <v>-42.25</v>
      </c>
      <c r="BS8">
        <v>-34.700000000000003</v>
      </c>
      <c r="BT8" t="s">
        <v>382</v>
      </c>
      <c r="BU8" t="s">
        <v>329</v>
      </c>
      <c r="BV8">
        <v>12.05</v>
      </c>
      <c r="BW8">
        <v>5.66</v>
      </c>
      <c r="BX8">
        <v>13.01</v>
      </c>
      <c r="BY8">
        <v>-3.5</v>
      </c>
      <c r="BZ8">
        <v>-25.41</v>
      </c>
      <c r="CA8">
        <v>-24.7</v>
      </c>
      <c r="CB8">
        <v>0.56999999999999995</v>
      </c>
      <c r="CC8">
        <v>-16.670000000000002</v>
      </c>
      <c r="CD8" t="s">
        <v>954</v>
      </c>
      <c r="CE8" t="s">
        <v>43</v>
      </c>
      <c r="CF8" s="8">
        <v>-4.2821158690176324E-2</v>
      </c>
      <c r="CG8" s="9">
        <v>0.87479876962116188</v>
      </c>
      <c r="CH8" s="8">
        <v>-0.32499140501022339</v>
      </c>
      <c r="CI8" s="8">
        <v>-0.21012726426124573</v>
      </c>
      <c r="CJ8" s="8">
        <v>-4.4501941651105881E-2</v>
      </c>
      <c r="CK8" s="8">
        <v>0.32909214496612549</v>
      </c>
      <c r="CL8" s="8">
        <v>1.0450069904327393</v>
      </c>
      <c r="CM8" s="9">
        <v>0.90789580345153809</v>
      </c>
      <c r="CN8" s="9">
        <v>0.18640351295471191</v>
      </c>
      <c r="CO8" s="9">
        <v>-2.9783079624176025</v>
      </c>
      <c r="CP8" s="9">
        <v>1.7660044133663177E-2</v>
      </c>
      <c r="CQ8" s="9">
        <v>0.13249999284744263</v>
      </c>
      <c r="CR8">
        <v>-26.566498661781214</v>
      </c>
      <c r="CS8">
        <v>-1.6719456752650121</v>
      </c>
      <c r="CT8">
        <v>0</v>
      </c>
      <c r="CU8" s="8">
        <v>0.15889570489525795</v>
      </c>
      <c r="CV8" s="9">
        <v>-0.34676972180604937</v>
      </c>
      <c r="CW8">
        <v>0.06</v>
      </c>
      <c r="CX8" t="e">
        <v>#VALUE!</v>
      </c>
      <c r="CY8" t="s">
        <v>312</v>
      </c>
      <c r="CZ8">
        <v>0.15889570489525795</v>
      </c>
      <c r="DA8" t="e">
        <v>#VALUE!</v>
      </c>
      <c r="DB8" t="s">
        <v>313</v>
      </c>
      <c r="DC8">
        <v>0.15095091965049504</v>
      </c>
      <c r="DD8" t="e">
        <v>#VALUE!</v>
      </c>
      <c r="DE8" t="s">
        <v>313</v>
      </c>
      <c r="DF8">
        <v>0.13982822030782699</v>
      </c>
      <c r="DG8" t="e">
        <v>#VALUE!</v>
      </c>
      <c r="DH8" t="s">
        <v>313</v>
      </c>
      <c r="DI8">
        <v>0.12711656391620638</v>
      </c>
      <c r="DJ8" t="e">
        <v>#VALUE!</v>
      </c>
      <c r="DK8" t="s">
        <v>313</v>
      </c>
      <c r="DL8">
        <v>0.11122699342668056</v>
      </c>
      <c r="DM8">
        <v>-68341300</v>
      </c>
      <c r="DN8">
        <v>0.15889570489525795</v>
      </c>
      <c r="DO8">
        <v>1599033100</v>
      </c>
      <c r="DP8">
        <v>887486200</v>
      </c>
      <c r="DQ8">
        <v>1622</v>
      </c>
      <c r="DR8">
        <v>-0.20171686358543428</v>
      </c>
      <c r="DS8">
        <v>1.2215684914272114</v>
      </c>
      <c r="DT8" s="10">
        <v>-0.44</v>
      </c>
      <c r="DU8">
        <v>-1.0516666666666665</v>
      </c>
      <c r="DV8">
        <v>-1.4916666666666665</v>
      </c>
      <c r="DW8">
        <v>-3.0075773809523811</v>
      </c>
      <c r="DX8">
        <v>0.28327468354430441</v>
      </c>
      <c r="DY8">
        <v>-3.0008583254294754</v>
      </c>
      <c r="DZ8">
        <v>4011</v>
      </c>
      <c r="EA8">
        <v>-3.0001845987567504</v>
      </c>
      <c r="EB8">
        <v>3</v>
      </c>
      <c r="EC8">
        <v>3.4645880919056064E-2</v>
      </c>
      <c r="ED8">
        <v>0.30585722983287283</v>
      </c>
      <c r="EE8" s="11">
        <v>-6.0488</v>
      </c>
      <c r="EF8">
        <v>-6.0374999999999996</v>
      </c>
      <c r="EG8">
        <v>17.113274683544304</v>
      </c>
      <c r="EH8" t="s">
        <v>551</v>
      </c>
      <c r="EI8">
        <v>0</v>
      </c>
      <c r="EJ8">
        <v>0</v>
      </c>
      <c r="EK8" s="13">
        <v>45470</v>
      </c>
      <c r="EL8" s="14">
        <v>-0.86</v>
      </c>
      <c r="EM8" s="14">
        <v>-3.17</v>
      </c>
      <c r="EN8" s="14">
        <v>2.08</v>
      </c>
      <c r="EO8" s="14">
        <v>2.92</v>
      </c>
      <c r="EP8" s="14">
        <v>-1.1299999999999999</v>
      </c>
    </row>
    <row r="9" spans="1:146" ht="174.75" customHeight="1" x14ac:dyDescent="0.25">
      <c r="A9" s="6"/>
      <c r="B9" s="6"/>
      <c r="C9" s="6" t="str">
        <f>"公司主要从事一次性卫生用品面层材料的研发、生产和销售，致力于为客户提供创新型的面层材料。公司主要产品为3D打孔无纺布和PE打孔膜，主要是用作妇女卫生用品、婴儿纸尿布等一次性卫生用品的面层材料，其中3D打孔无纺布业已应用于高端纸尿布的底层材料。"&amp;CHAR(10)&amp;Basic_Fundamental_Information_Constructure(F9)&amp;CHAR(10)&amp;Basic_Fundamental_Information_Concatenate("打孔、热风无纺布 3.33亿 54.14% 73.32% 20.74%
PE打孔膜 2.23亿 36.27% 20.03% 8.46%")</f>
        <v>公司主要从事一次性卫生用品面层材料的研发、生产和销售，致力于为客户提供创新型的面层材料。公司主要产品为3D打孔无纺布和PE打孔膜，主要是用作妇女卫生用品、婴儿纸尿布等一次性卫生用品的面层材料，其中3D打孔无纺布业已应用于高端纸尿布的底层材料。
市值14.109198亿, 利润2087.18万; PE61.02; 平均PE16.96; 平均PEG1.25, PB1.04; ROIC3.5867%; ROE2.1133%; 股利率.8255%; 毛利16.48%; 净利1.9%; 上一年度营收增2.36%, 利润增-28.95%; 当季营收增.32%, 利润增32.39%; 过往5年营收增13.56%, 利润增54.67%
Income profile:
打孔、热风无纺布 3.33亿 54.14% 73.32% 20.74%
PE打孔膜 2.23亿 36.27% 20.03% 8.46%</v>
      </c>
      <c r="D9" t="s">
        <v>128</v>
      </c>
      <c r="E9" t="s">
        <v>129</v>
      </c>
      <c r="F9">
        <v>4.24</v>
      </c>
      <c r="G9">
        <v>1.68</v>
      </c>
      <c r="H9" t="s">
        <v>955</v>
      </c>
      <c r="I9">
        <v>1410919800</v>
      </c>
      <c r="J9">
        <v>61.02</v>
      </c>
      <c r="K9">
        <v>1.04</v>
      </c>
      <c r="L9" t="s">
        <v>87</v>
      </c>
      <c r="M9" t="s">
        <v>621</v>
      </c>
      <c r="N9" t="s">
        <v>956</v>
      </c>
      <c r="O9" t="s">
        <v>235</v>
      </c>
      <c r="P9">
        <v>0.24</v>
      </c>
      <c r="Q9" t="s">
        <v>622</v>
      </c>
      <c r="R9">
        <v>9202526</v>
      </c>
      <c r="S9" s="5">
        <v>0.32390000000000002</v>
      </c>
      <c r="T9" t="s">
        <v>623</v>
      </c>
      <c r="U9">
        <v>225403040</v>
      </c>
      <c r="V9">
        <v>332764110</v>
      </c>
      <c r="W9">
        <v>1.94</v>
      </c>
      <c r="X9">
        <v>0.12</v>
      </c>
      <c r="Y9">
        <v>3.53</v>
      </c>
      <c r="Z9" t="s">
        <v>857</v>
      </c>
      <c r="AA9" t="s">
        <v>957</v>
      </c>
      <c r="AB9" t="s">
        <v>958</v>
      </c>
      <c r="AC9" t="s">
        <v>959</v>
      </c>
      <c r="AD9" t="s">
        <v>9</v>
      </c>
      <c r="AE9">
        <v>5457135</v>
      </c>
      <c r="AF9" t="s">
        <v>624</v>
      </c>
      <c r="AG9" t="s">
        <v>960</v>
      </c>
      <c r="AH9" t="s">
        <v>625</v>
      </c>
      <c r="AI9" t="s">
        <v>961</v>
      </c>
      <c r="AJ9" t="s">
        <v>626</v>
      </c>
      <c r="AK9" t="s">
        <v>9</v>
      </c>
      <c r="AL9" t="s">
        <v>627</v>
      </c>
      <c r="AM9" t="s">
        <v>9</v>
      </c>
      <c r="AN9" t="s">
        <v>497</v>
      </c>
      <c r="AO9" t="s">
        <v>962</v>
      </c>
      <c r="AP9" t="s">
        <v>963</v>
      </c>
      <c r="AQ9" t="s">
        <v>964</v>
      </c>
      <c r="AR9" t="s">
        <v>965</v>
      </c>
      <c r="AS9" t="s">
        <v>966</v>
      </c>
      <c r="AT9" t="s">
        <v>610</v>
      </c>
      <c r="AU9" t="s">
        <v>967</v>
      </c>
      <c r="AV9" t="s">
        <v>968</v>
      </c>
      <c r="AW9" t="s">
        <v>969</v>
      </c>
      <c r="AX9" t="s">
        <v>335</v>
      </c>
      <c r="AY9" t="s">
        <v>445</v>
      </c>
      <c r="AZ9" t="s">
        <v>130</v>
      </c>
      <c r="BA9" t="s">
        <v>131</v>
      </c>
      <c r="BB9" t="s">
        <v>132</v>
      </c>
      <c r="BC9" t="s">
        <v>444</v>
      </c>
      <c r="BD9" t="s">
        <v>446</v>
      </c>
      <c r="BE9" t="s">
        <v>66</v>
      </c>
      <c r="BF9" t="s">
        <v>133</v>
      </c>
      <c r="BG9" t="s">
        <v>134</v>
      </c>
      <c r="BH9" t="s">
        <v>622</v>
      </c>
      <c r="BI9" t="s">
        <v>629</v>
      </c>
      <c r="BJ9" t="s">
        <v>335</v>
      </c>
      <c r="BK9" t="s">
        <v>623</v>
      </c>
      <c r="BL9" t="s">
        <v>630</v>
      </c>
      <c r="BM9" t="s">
        <v>444</v>
      </c>
      <c r="BN9">
        <v>2.02</v>
      </c>
      <c r="BO9">
        <v>5.82</v>
      </c>
      <c r="BP9">
        <v>2.92</v>
      </c>
      <c r="BQ9">
        <v>2.2000000000000002</v>
      </c>
      <c r="BR9">
        <v>2.54</v>
      </c>
      <c r="BS9">
        <v>1.6</v>
      </c>
      <c r="BT9" t="s">
        <v>631</v>
      </c>
      <c r="BU9" t="s">
        <v>327</v>
      </c>
      <c r="BV9">
        <v>17.440000000000001</v>
      </c>
      <c r="BW9">
        <v>15.16</v>
      </c>
      <c r="BX9">
        <v>16.84</v>
      </c>
      <c r="BY9">
        <v>1.58</v>
      </c>
      <c r="BZ9">
        <v>2.4900000000000002</v>
      </c>
      <c r="CA9">
        <v>1.63</v>
      </c>
      <c r="CB9">
        <v>0.47</v>
      </c>
      <c r="CC9">
        <v>-14.77</v>
      </c>
      <c r="CD9" t="s">
        <v>970</v>
      </c>
      <c r="CE9" t="s">
        <v>971</v>
      </c>
      <c r="CF9" s="8">
        <v>3.1847133757961785E-3</v>
      </c>
      <c r="CG9" s="9">
        <v>0.32387587754632291</v>
      </c>
      <c r="CH9" s="8">
        <v>2.3577287793159485E-2</v>
      </c>
      <c r="CI9" s="8">
        <v>-1.9920369610190392E-2</v>
      </c>
      <c r="CJ9" s="8">
        <v>-0.20870108902454376</v>
      </c>
      <c r="CK9" s="8">
        <v>0.5279383659362793</v>
      </c>
      <c r="CL9" s="8">
        <v>0.355091392993927</v>
      </c>
      <c r="CM9" s="9">
        <v>-0.28952625393867493</v>
      </c>
      <c r="CN9" s="9">
        <v>0.62476980686187744</v>
      </c>
      <c r="CO9" s="9">
        <v>-0.93973034620285034</v>
      </c>
      <c r="CP9" s="9">
        <v>2.6447265148162842</v>
      </c>
      <c r="CQ9" s="9">
        <v>0.69323867559432983</v>
      </c>
      <c r="CR9">
        <v>16.956400984592754</v>
      </c>
      <c r="CS9">
        <v>1.2504986302434558</v>
      </c>
      <c r="CT9">
        <v>0.82547169811320742</v>
      </c>
      <c r="CU9" s="8">
        <v>0.13559711761772633</v>
      </c>
      <c r="CV9" s="9">
        <v>0.54669567942619324</v>
      </c>
      <c r="CW9">
        <v>0.06</v>
      </c>
      <c r="CX9">
        <v>58.671739696227895</v>
      </c>
      <c r="CY9">
        <v>22360335.773107227</v>
      </c>
      <c r="CZ9">
        <v>0.13559711761772633</v>
      </c>
      <c r="DA9">
        <v>18.450918318921751</v>
      </c>
      <c r="DB9">
        <v>71103225.179562062</v>
      </c>
      <c r="DC9">
        <v>0.12881726173684002</v>
      </c>
      <c r="DD9">
        <v>8.6207049275993466</v>
      </c>
      <c r="DE9">
        <v>152182427.19338003</v>
      </c>
      <c r="DF9">
        <v>0.11932546350359917</v>
      </c>
      <c r="DG9">
        <v>4.8747783667545459</v>
      </c>
      <c r="DH9">
        <v>269123989.09192449</v>
      </c>
      <c r="DI9">
        <v>0.10847769409418107</v>
      </c>
      <c r="DJ9">
        <v>2.1976796290076601</v>
      </c>
      <c r="DK9">
        <v>596956800.56532359</v>
      </c>
      <c r="DL9">
        <v>9.4917982332408432E-2</v>
      </c>
      <c r="DM9">
        <v>20871800</v>
      </c>
      <c r="DN9">
        <v>0.13559711761772633</v>
      </c>
      <c r="DO9">
        <v>1311919800</v>
      </c>
      <c r="DP9">
        <v>82548600</v>
      </c>
      <c r="DQ9">
        <v>2124</v>
      </c>
      <c r="DR9">
        <v>-0.13241240424193015</v>
      </c>
      <c r="DS9">
        <v>-0.22281980187987033</v>
      </c>
      <c r="DT9" s="10">
        <v>-0.35666666666666669</v>
      </c>
      <c r="DU9">
        <v>0.72333333333333327</v>
      </c>
      <c r="DV9">
        <v>0.36666666666666659</v>
      </c>
      <c r="DW9">
        <v>-2.1476999999999999</v>
      </c>
      <c r="DX9">
        <v>0.35113706896551644</v>
      </c>
      <c r="DY9">
        <v>-2.0208459450862071</v>
      </c>
      <c r="DZ9">
        <v>922</v>
      </c>
      <c r="EA9">
        <v>-2.0170847001998111</v>
      </c>
      <c r="EB9">
        <v>2</v>
      </c>
      <c r="EC9">
        <v>4.9199716880525365E-2</v>
      </c>
      <c r="ED9">
        <v>0.34859528571155102</v>
      </c>
      <c r="EE9" s="11">
        <v>-7.0537000000000001</v>
      </c>
      <c r="EF9">
        <v>-7.0419999999999998</v>
      </c>
      <c r="EG9">
        <v>21.141137068965516</v>
      </c>
      <c r="EH9" t="s">
        <v>851</v>
      </c>
      <c r="EI9">
        <v>0</v>
      </c>
      <c r="EJ9">
        <v>1</v>
      </c>
      <c r="EK9" s="13">
        <v>45470</v>
      </c>
      <c r="EL9" s="14">
        <v>-0.7</v>
      </c>
      <c r="EM9" s="14">
        <v>-4.26</v>
      </c>
      <c r="EN9" s="14">
        <v>0.99</v>
      </c>
      <c r="EO9" s="14">
        <v>4.4000000000000004</v>
      </c>
      <c r="EP9" s="14">
        <v>-1.17</v>
      </c>
    </row>
    <row r="10" spans="1:146" ht="168" x14ac:dyDescent="0.25">
      <c r="A10" s="6" t="s">
        <v>494</v>
      </c>
      <c r="B10" s="6" t="s">
        <v>493</v>
      </c>
      <c r="C10" s="6" t="str">
        <f>"公司主要从事化妆品的研发、生产与销售。主要产品覆盖面膜、水乳膏霜、彩妆、个护清洁等化妆品领域。公司作为一家以自主品牌为核心,依托互联网电子商务进行销售的“互联网+美妆”企业,在行业内具有较高的知名度和消费者接受度,旗下各品牌多次名列各大主流电商平台化妆品类目前列。"&amp;CHAR(10)&amp;Basic_Fundamental_Information_Constructure(F10)&amp;CHAR(10)&amp;Basic_Fundamental_Information_Concatenate("水乳膏霜 32.39亿 64.64% 60.38% 42.71%
面膜-贴式面膜 8.95亿 17.87% 22.82% 58.38%
面膜-非贴式面膜 5.26亿 10.50% 16.80% 73.12%")</f>
        <v>公司主要从事化妆品的研发、生产与销售。主要产品覆盖面膜、水乳膏霜、彩妆、个护清洁等化妆品领域。公司作为一家以自主品牌为核心,依托互联网电子商务进行销售的“互联网+美妆”企业,在行业内具有较高的知名度和消费者接受度,旗下各品牌多次名列各大主流电商平台化妆品类目前列。
市值54.181574亿, 利润2.94亿; PE19.21; 平均PE34.1; 平均PEG1.99, PB2.67; ROIC8.3733%; ROE10.89%; 股利率.7174%; 毛利54.5433%; 净利4.65%; 上一年度营收增-4.85%, 利润增135.2%; 当季营收增-1.34%, 利润增-23.25%; 过往5年营收增17.14%, 利润增98.36%
Income profile:
水乳膏霜 32.39亿 64.64% 60.38% 42.71%
面膜-贴式面膜 8.95亿 17.87% 22.82% 58.38%
面膜-非贴式面膜 5.26亿 10.50% 16.80% 73.12%</v>
      </c>
      <c r="D10" t="s">
        <v>135</v>
      </c>
      <c r="E10" t="s">
        <v>136</v>
      </c>
      <c r="F10">
        <v>13.94</v>
      </c>
      <c r="G10">
        <v>2.2000000000000002</v>
      </c>
      <c r="H10" t="s">
        <v>972</v>
      </c>
      <c r="I10">
        <v>5418157400</v>
      </c>
      <c r="J10">
        <v>19.21</v>
      </c>
      <c r="K10">
        <v>2.67</v>
      </c>
      <c r="L10" t="s">
        <v>87</v>
      </c>
      <c r="M10" t="s">
        <v>632</v>
      </c>
      <c r="N10" t="s">
        <v>973</v>
      </c>
      <c r="O10" t="s">
        <v>633</v>
      </c>
      <c r="P10">
        <v>-1.36</v>
      </c>
      <c r="Q10" t="s">
        <v>634</v>
      </c>
      <c r="R10">
        <v>40014817</v>
      </c>
      <c r="S10" s="5">
        <v>-0.23250000000000001</v>
      </c>
      <c r="T10" t="s">
        <v>635</v>
      </c>
      <c r="U10">
        <v>357382570</v>
      </c>
      <c r="V10">
        <v>388677000</v>
      </c>
      <c r="W10">
        <v>1.83</v>
      </c>
      <c r="X10">
        <v>0.26</v>
      </c>
      <c r="Y10">
        <v>4.13</v>
      </c>
      <c r="Z10" t="s">
        <v>974</v>
      </c>
      <c r="AA10" t="s">
        <v>975</v>
      </c>
      <c r="AB10" t="s">
        <v>976</v>
      </c>
      <c r="AC10" t="s">
        <v>977</v>
      </c>
      <c r="AD10" t="s">
        <v>9</v>
      </c>
      <c r="AE10">
        <v>11147570</v>
      </c>
      <c r="AF10" t="s">
        <v>637</v>
      </c>
      <c r="AG10" t="s">
        <v>978</v>
      </c>
      <c r="AH10" t="s">
        <v>638</v>
      </c>
      <c r="AI10" t="s">
        <v>682</v>
      </c>
      <c r="AJ10" t="s">
        <v>639</v>
      </c>
      <c r="AK10" t="s">
        <v>9</v>
      </c>
      <c r="AL10" t="s">
        <v>640</v>
      </c>
      <c r="AM10" t="s">
        <v>9</v>
      </c>
      <c r="AN10" t="s">
        <v>979</v>
      </c>
      <c r="AO10" t="s">
        <v>980</v>
      </c>
      <c r="AP10" t="s">
        <v>981</v>
      </c>
      <c r="AQ10" t="s">
        <v>614</v>
      </c>
      <c r="AR10" t="s">
        <v>9</v>
      </c>
      <c r="AS10" t="s">
        <v>982</v>
      </c>
      <c r="AT10" t="s">
        <v>501</v>
      </c>
      <c r="AU10" t="s">
        <v>983</v>
      </c>
      <c r="AV10" t="s">
        <v>984</v>
      </c>
      <c r="AW10" t="s">
        <v>628</v>
      </c>
      <c r="AX10" t="s">
        <v>447</v>
      </c>
      <c r="AY10" t="s">
        <v>268</v>
      </c>
      <c r="AZ10" t="s">
        <v>137</v>
      </c>
      <c r="BA10" t="s">
        <v>138</v>
      </c>
      <c r="BB10" t="s">
        <v>139</v>
      </c>
      <c r="BC10" t="s">
        <v>448</v>
      </c>
      <c r="BD10" t="s">
        <v>70</v>
      </c>
      <c r="BE10" t="s">
        <v>91</v>
      </c>
      <c r="BF10" t="s">
        <v>140</v>
      </c>
      <c r="BG10" t="s">
        <v>141</v>
      </c>
      <c r="BH10" t="s">
        <v>634</v>
      </c>
      <c r="BI10" t="s">
        <v>641</v>
      </c>
      <c r="BJ10" t="s">
        <v>447</v>
      </c>
      <c r="BK10" t="s">
        <v>635</v>
      </c>
      <c r="BL10" t="s">
        <v>643</v>
      </c>
      <c r="BM10" t="s">
        <v>448</v>
      </c>
      <c r="BN10">
        <v>6.8</v>
      </c>
      <c r="BO10">
        <v>5.65</v>
      </c>
      <c r="BP10">
        <v>12.67</v>
      </c>
      <c r="BQ10">
        <v>9.2799999999999994</v>
      </c>
      <c r="BR10">
        <v>7.49</v>
      </c>
      <c r="BS10">
        <v>15.9</v>
      </c>
      <c r="BT10" t="s">
        <v>383</v>
      </c>
      <c r="BU10" t="s">
        <v>329</v>
      </c>
      <c r="BV10">
        <v>58.44</v>
      </c>
      <c r="BW10">
        <v>53.12</v>
      </c>
      <c r="BX10">
        <v>52.07</v>
      </c>
      <c r="BY10">
        <v>6.65</v>
      </c>
      <c r="BZ10">
        <v>2.6</v>
      </c>
      <c r="CA10">
        <v>4.7</v>
      </c>
      <c r="CB10">
        <v>-5.04</v>
      </c>
      <c r="CC10">
        <v>-20.21</v>
      </c>
      <c r="CD10" t="s">
        <v>985</v>
      </c>
      <c r="CE10" t="s">
        <v>986</v>
      </c>
      <c r="CF10" s="8">
        <v>-1.3384321223709481E-2</v>
      </c>
      <c r="CG10" s="9">
        <v>-0.23252547551416136</v>
      </c>
      <c r="CH10" s="8">
        <v>-4.849633201956749E-2</v>
      </c>
      <c r="CI10" s="8">
        <v>-5.7485032826662064E-2</v>
      </c>
      <c r="CJ10" s="8">
        <v>0.34858673810958862</v>
      </c>
      <c r="CK10" s="8">
        <v>0.54021561145782471</v>
      </c>
      <c r="CL10" s="8">
        <v>7.4387557804584503E-2</v>
      </c>
      <c r="CM10" s="9">
        <v>1.3519999980926514</v>
      </c>
      <c r="CN10" s="9">
        <v>-0.47033897042274475</v>
      </c>
      <c r="CO10" s="9">
        <v>0.68571430444717407</v>
      </c>
      <c r="CP10" s="9">
        <v>4.1427669525146484</v>
      </c>
      <c r="CQ10" s="9">
        <v>-0.79219311475753784</v>
      </c>
      <c r="CR10">
        <v>34.104249091004654</v>
      </c>
      <c r="CS10">
        <v>1.989262087293038</v>
      </c>
      <c r="CT10">
        <v>0.71736011477761841</v>
      </c>
      <c r="CU10" s="8">
        <v>0.17144170850515367</v>
      </c>
      <c r="CV10" s="9">
        <v>0.98358983397483823</v>
      </c>
      <c r="CW10">
        <v>0.06</v>
      </c>
      <c r="CX10">
        <v>16.438917978973929</v>
      </c>
      <c r="CY10">
        <v>324909304.05708975</v>
      </c>
      <c r="CZ10">
        <v>0.17144170850515367</v>
      </c>
      <c r="DA10">
        <v>5.0173621267818307</v>
      </c>
      <c r="DB10">
        <v>1064534961.805887</v>
      </c>
      <c r="DC10">
        <v>0.16286962307989597</v>
      </c>
      <c r="DD10">
        <v>2.2482342683193264</v>
      </c>
      <c r="DE10">
        <v>2375712120.068696</v>
      </c>
      <c r="DF10">
        <v>0.15086870348453524</v>
      </c>
      <c r="DG10">
        <v>1.2096472174925235</v>
      </c>
      <c r="DH10">
        <v>4415467024.40376</v>
      </c>
      <c r="DI10">
        <v>0.13715336680412293</v>
      </c>
      <c r="DJ10">
        <v>0.48469181038235454</v>
      </c>
      <c r="DK10">
        <v>11019698054.701128</v>
      </c>
      <c r="DL10">
        <v>0.12000919595360755</v>
      </c>
      <c r="DM10">
        <v>294000000</v>
      </c>
      <c r="DN10">
        <v>0.17144170850515367</v>
      </c>
      <c r="DO10">
        <v>5341157400</v>
      </c>
      <c r="DP10">
        <v>1309437700</v>
      </c>
      <c r="DQ10">
        <v>2202</v>
      </c>
      <c r="DR10">
        <v>-0.18482602972886314</v>
      </c>
      <c r="DS10">
        <v>-1.2161153094889996</v>
      </c>
      <c r="DT10" s="10">
        <v>-0.19000000000000003</v>
      </c>
      <c r="DU10">
        <v>0.52500000000000013</v>
      </c>
      <c r="DV10">
        <v>0.33500000000000008</v>
      </c>
      <c r="DW10">
        <v>-8.2493814943097483</v>
      </c>
      <c r="DX10">
        <v>0.43151096260574279</v>
      </c>
      <c r="DY10">
        <v>-8.0577345498037083</v>
      </c>
      <c r="DZ10">
        <v>984</v>
      </c>
      <c r="EA10">
        <v>-8.046616977003934</v>
      </c>
      <c r="EB10">
        <v>8</v>
      </c>
      <c r="EC10">
        <v>4.9948929316630516E-2</v>
      </c>
      <c r="ED10">
        <v>0.21575189681920978</v>
      </c>
      <c r="EE10" s="11">
        <v>2.0609000000000002</v>
      </c>
      <c r="EF10">
        <v>2.0362</v>
      </c>
      <c r="EG10">
        <v>20.231510962605743</v>
      </c>
      <c r="EH10" t="s">
        <v>552</v>
      </c>
      <c r="EI10">
        <v>0</v>
      </c>
      <c r="EJ10">
        <v>1</v>
      </c>
      <c r="EK10" s="13">
        <v>45470</v>
      </c>
      <c r="EL10" s="14">
        <v>-1.17</v>
      </c>
      <c r="EM10" s="14">
        <v>-2.83</v>
      </c>
      <c r="EN10" s="14">
        <v>0.41</v>
      </c>
      <c r="EO10" s="14">
        <v>1.1499999999999999</v>
      </c>
      <c r="EP10" s="14">
        <v>-2.4700000000000002</v>
      </c>
    </row>
    <row r="11" spans="1:146" ht="96" x14ac:dyDescent="0.25">
      <c r="A11" s="6"/>
      <c r="B11" s="6"/>
      <c r="C11" s="6" t="str">
        <f>""&amp;CHAR(10)&amp;Basic_Fundamental_Information_Constructure(F11)&amp;CHAR(10)&amp;Basic_Fundamental_Information_Concatenate("")</f>
        <v xml:space="preserve">
市值19.035亿, 利润3.75亿; PE; 平均PE22.1; 平均PEG.11, PB3.07; ROIC1.34%; ROE-1.5167%; 股利率0%; 毛利15.5833%; 净利-4.95%; 上一年度营收增1062.14%, 利润增1765.96%; 当季营收增-86.74%, 利润增-102.22%; 过往5年营收增205.72%, 利润增271.85%
Income profile:
</v>
      </c>
      <c r="D11" t="s">
        <v>143</v>
      </c>
      <c r="E11" t="s">
        <v>144</v>
      </c>
      <c r="F11">
        <v>12.69</v>
      </c>
      <c r="G11">
        <v>0.79</v>
      </c>
      <c r="H11" t="s">
        <v>987</v>
      </c>
      <c r="I11">
        <v>1903500000</v>
      </c>
      <c r="K11">
        <v>3.07</v>
      </c>
      <c r="L11" t="s">
        <v>87</v>
      </c>
      <c r="M11" t="s">
        <v>605</v>
      </c>
      <c r="N11" t="s">
        <v>988</v>
      </c>
      <c r="O11" t="s">
        <v>644</v>
      </c>
      <c r="P11">
        <v>31.6</v>
      </c>
      <c r="Q11" t="s">
        <v>989</v>
      </c>
      <c r="R11">
        <v>-983439</v>
      </c>
      <c r="S11" s="5">
        <v>0.85870000000000002</v>
      </c>
      <c r="T11" t="s">
        <v>990</v>
      </c>
      <c r="U11">
        <v>121468023</v>
      </c>
      <c r="V11">
        <v>150000000</v>
      </c>
      <c r="W11">
        <v>1.29</v>
      </c>
      <c r="X11">
        <v>0.08</v>
      </c>
      <c r="Y11">
        <v>-1.47</v>
      </c>
      <c r="Z11" t="s">
        <v>991</v>
      </c>
      <c r="AA11" t="s">
        <v>992</v>
      </c>
      <c r="AB11" t="s">
        <v>993</v>
      </c>
      <c r="AC11" t="s">
        <v>994</v>
      </c>
      <c r="AD11" t="s">
        <v>9</v>
      </c>
      <c r="AE11">
        <v>661430</v>
      </c>
      <c r="AF11" t="s">
        <v>21</v>
      </c>
      <c r="AG11">
        <v>1111.51</v>
      </c>
      <c r="AH11" t="s">
        <v>647</v>
      </c>
      <c r="AI11" t="s">
        <v>995</v>
      </c>
      <c r="AJ11" t="s">
        <v>648</v>
      </c>
      <c r="AK11" t="s">
        <v>9</v>
      </c>
      <c r="AL11" t="s">
        <v>649</v>
      </c>
      <c r="AM11" t="s">
        <v>9</v>
      </c>
      <c r="AN11" t="s">
        <v>503</v>
      </c>
      <c r="AO11" t="s">
        <v>549</v>
      </c>
      <c r="AP11" t="s">
        <v>996</v>
      </c>
      <c r="AQ11" t="s">
        <v>997</v>
      </c>
      <c r="AR11" t="s">
        <v>9</v>
      </c>
      <c r="AS11" t="s">
        <v>998</v>
      </c>
      <c r="AT11" t="s">
        <v>650</v>
      </c>
      <c r="AU11" t="s">
        <v>999</v>
      </c>
      <c r="AV11" t="s">
        <v>1000</v>
      </c>
      <c r="AW11" t="s">
        <v>1001</v>
      </c>
      <c r="AX11" t="s">
        <v>288</v>
      </c>
      <c r="AY11" t="s">
        <v>64</v>
      </c>
      <c r="AZ11" t="s">
        <v>109</v>
      </c>
      <c r="BA11" t="s">
        <v>147</v>
      </c>
      <c r="BB11" t="s">
        <v>148</v>
      </c>
      <c r="BC11" t="s">
        <v>449</v>
      </c>
      <c r="BD11" t="s">
        <v>269</v>
      </c>
      <c r="BE11" t="s">
        <v>146</v>
      </c>
      <c r="BF11" t="s">
        <v>149</v>
      </c>
      <c r="BG11" t="s">
        <v>150</v>
      </c>
      <c r="BH11" t="s">
        <v>109</v>
      </c>
      <c r="BI11" t="s">
        <v>751</v>
      </c>
      <c r="BJ11" t="s">
        <v>288</v>
      </c>
      <c r="BK11" t="s">
        <v>645</v>
      </c>
      <c r="BL11" t="s">
        <v>1002</v>
      </c>
      <c r="BM11" t="s">
        <v>449</v>
      </c>
      <c r="BN11" t="s">
        <v>9</v>
      </c>
      <c r="BO11" t="s">
        <v>9</v>
      </c>
      <c r="BP11">
        <v>1.34</v>
      </c>
      <c r="BQ11">
        <v>-2.68</v>
      </c>
      <c r="BR11">
        <v>-3.4</v>
      </c>
      <c r="BS11">
        <v>1.53</v>
      </c>
      <c r="BT11" t="s">
        <v>382</v>
      </c>
      <c r="BU11" t="s">
        <v>329</v>
      </c>
      <c r="BV11">
        <v>14.88</v>
      </c>
      <c r="BW11">
        <v>8.73</v>
      </c>
      <c r="BX11">
        <v>23.14</v>
      </c>
      <c r="BY11">
        <v>-9.19</v>
      </c>
      <c r="BZ11">
        <v>-9.27</v>
      </c>
      <c r="CA11">
        <v>3.61</v>
      </c>
      <c r="CB11">
        <v>-0.31</v>
      </c>
      <c r="CC11">
        <v>-0.86</v>
      </c>
      <c r="CD11" t="s">
        <v>1003</v>
      </c>
      <c r="CE11" t="s">
        <v>1004</v>
      </c>
      <c r="CF11" s="8">
        <v>-0.86743675889328065</v>
      </c>
      <c r="CG11" s="9">
        <v>-1.0221842023342793</v>
      </c>
      <c r="CH11" s="8">
        <v>10.62139892578125</v>
      </c>
      <c r="CI11" s="8">
        <v>-0.17064847052097321</v>
      </c>
      <c r="CJ11" s="8">
        <v>0.1269230842590332</v>
      </c>
      <c r="CK11" s="8">
        <v>-0.24198250472545624</v>
      </c>
      <c r="CL11" s="8">
        <v>-4.9861494451761246E-2</v>
      </c>
      <c r="CM11" s="9">
        <v>17.659633636474609</v>
      </c>
      <c r="CN11" s="9">
        <v>-3.1261453628540039</v>
      </c>
      <c r="CO11" s="9">
        <v>-0.69303613901138306</v>
      </c>
      <c r="CP11" s="9">
        <v>-0.47457695007324219</v>
      </c>
      <c r="CQ11" s="9">
        <v>0.22663795948028564</v>
      </c>
      <c r="CR11">
        <v>22.102828372437592</v>
      </c>
      <c r="CS11">
        <v>0.10744310065487671</v>
      </c>
      <c r="CT11">
        <v>0</v>
      </c>
      <c r="CU11" s="8">
        <v>2.0571659080684186</v>
      </c>
      <c r="CV11" s="9">
        <v>2.718502628803253</v>
      </c>
      <c r="CW11">
        <v>0.06</v>
      </c>
      <c r="CX11">
        <v>1.4003121830478229</v>
      </c>
      <c r="CY11">
        <v>1081544542.9487329</v>
      </c>
      <c r="CZ11">
        <v>2.0571659080684186</v>
      </c>
      <c r="DA11">
        <v>0.12540692106853846</v>
      </c>
      <c r="DB11">
        <v>12076685936.434742</v>
      </c>
      <c r="DC11">
        <v>1.9543076126649976</v>
      </c>
      <c r="DD11">
        <v>7.2638062938500678E-3</v>
      </c>
      <c r="DE11">
        <v>208499502703.18439</v>
      </c>
      <c r="DF11">
        <v>1.8103059991002084</v>
      </c>
      <c r="DG11">
        <v>2.5796885150878494E-4</v>
      </c>
      <c r="DH11">
        <v>5870863831591.0195</v>
      </c>
      <c r="DI11">
        <v>1.645732726454735</v>
      </c>
      <c r="DJ11">
        <v>1.3091603395334145E-7</v>
      </c>
      <c r="DK11">
        <v>1.1568483662893184E+16</v>
      </c>
      <c r="DL11">
        <v>1.4400161356478929</v>
      </c>
      <c r="DM11">
        <v>375000000</v>
      </c>
      <c r="DN11">
        <v>2.0571659080684186</v>
      </c>
      <c r="DO11">
        <v>1514500000</v>
      </c>
      <c r="DP11">
        <v>192057930</v>
      </c>
      <c r="DQ11">
        <v>2306</v>
      </c>
      <c r="DR11">
        <v>-2.9246026669616993</v>
      </c>
      <c r="DS11">
        <v>-3.7406868311375323</v>
      </c>
      <c r="DT11" s="10">
        <v>-0.40666666666666673</v>
      </c>
      <c r="DU11">
        <v>-1.5983333333333334</v>
      </c>
      <c r="DV11">
        <v>-2.0049999999999999</v>
      </c>
      <c r="DW11">
        <v>-8.6E-3</v>
      </c>
      <c r="DX11">
        <v>0.36386558412268688</v>
      </c>
      <c r="DY11">
        <v>-1.6672440234551194E-3</v>
      </c>
      <c r="DZ11">
        <v>1937</v>
      </c>
      <c r="EA11">
        <v>-1.0352573946033452E-3</v>
      </c>
      <c r="EB11">
        <v>0</v>
      </c>
      <c r="EC11">
        <v>4.5845333333333328E-2</v>
      </c>
      <c r="ED11">
        <v>0.23648</v>
      </c>
      <c r="EE11" s="11">
        <v>-2.0119099999999999</v>
      </c>
      <c r="EF11">
        <v>-2.02271</v>
      </c>
      <c r="EG11">
        <v>17.193865584122687</v>
      </c>
      <c r="EH11" t="s">
        <v>505</v>
      </c>
      <c r="EI11">
        <v>0</v>
      </c>
      <c r="EJ11">
        <v>0</v>
      </c>
      <c r="EK11" s="13">
        <v>45470</v>
      </c>
      <c r="EL11" s="14">
        <v>2.44</v>
      </c>
      <c r="EM11" s="14">
        <v>-2.1</v>
      </c>
      <c r="EN11" s="14">
        <v>-2.5</v>
      </c>
      <c r="EO11" s="14">
        <v>1.22</v>
      </c>
      <c r="EP11" s="14">
        <v>-1.08</v>
      </c>
    </row>
    <row r="12" spans="1:146" ht="156" x14ac:dyDescent="0.25">
      <c r="A12" s="6"/>
      <c r="B12" s="6"/>
      <c r="C12" s="6" t="str">
        <f>"公司主要从事日用化学品原料的研发、生产和销售。公司主要产品为阿伏苯宗(AVB)、奥克立林(OCT)、对甲氧基肉桂酸异辛酯(OMC)、原膜散酯(HMS)等。公司从事合成香料的研发、生产和销售已近20年,部分香料产品如2-萘乙酮、铃兰醛等在国际市场上具有较强的竞争力。"&amp;CHAR(10)&amp;Basic_Fundamental_Information_Constructure(F12)&amp;CHAR(10)&amp;Basic_Fundamental_Information_Concatenate("化妆品活性成分及其原料 6.52亿 79.44% 85.00% 32.23%
合成香料 1.47亿 17.89% 14.93% 25.15%")</f>
        <v>公司主要从事日用化学品原料的研发、生产和销售。公司主要产品为阿伏苯宗(AVB)、奥克立林(OCT)、对甲氧基肉桂酸异辛酯(OMC)、原膜散酯(HMS)等。公司从事合成香料的研发、生产和销售已近20年,部分香料产品如2-萘乙酮、铃兰醛等在国际市场上具有较强的竞争力。
市值108.784238亿, 利润2.87亿; PE13.72; 平均PE53.86; 平均PEG1.13, PB3.93; ROIC17.16%; ROE18.2867%; 股利率4.67%; 毛利37.4167%; 净利21.58%; 上一年度营收增163.91%, 利润增-26.03%; 当季营收增-11.55%, 利润增378.74%; 过往5年营收增47.76%, 利润增46.13%
Income profile:
化妆品活性成分及其原料 6.52亿 79.44% 85.00% 32.23%
合成香料 1.47亿 17.89% 14.93% 25.15%</v>
      </c>
      <c r="D12" t="s">
        <v>151</v>
      </c>
      <c r="E12" t="s">
        <v>152</v>
      </c>
      <c r="F12">
        <v>32.119999999999997</v>
      </c>
      <c r="G12">
        <v>3.58</v>
      </c>
      <c r="H12" t="s">
        <v>1005</v>
      </c>
      <c r="I12">
        <v>10878423800</v>
      </c>
      <c r="J12">
        <v>13.72</v>
      </c>
      <c r="K12">
        <v>3.93</v>
      </c>
      <c r="L12" t="s">
        <v>87</v>
      </c>
      <c r="M12" t="s">
        <v>249</v>
      </c>
      <c r="N12" t="s">
        <v>1006</v>
      </c>
      <c r="O12" t="s">
        <v>651</v>
      </c>
      <c r="P12">
        <v>21.1</v>
      </c>
      <c r="Q12" t="s">
        <v>1007</v>
      </c>
      <c r="R12">
        <v>219777230</v>
      </c>
      <c r="S12" s="5">
        <v>0.37159999999999999</v>
      </c>
      <c r="T12" t="s">
        <v>52</v>
      </c>
      <c r="U12">
        <v>325180690</v>
      </c>
      <c r="V12">
        <v>338680690</v>
      </c>
      <c r="W12">
        <v>1.43</v>
      </c>
      <c r="X12">
        <v>0.18</v>
      </c>
      <c r="Y12">
        <v>30.85</v>
      </c>
      <c r="Z12" t="s">
        <v>750</v>
      </c>
      <c r="AA12" t="s">
        <v>898</v>
      </c>
      <c r="AB12" t="s">
        <v>1008</v>
      </c>
      <c r="AC12" t="s">
        <v>1009</v>
      </c>
      <c r="AD12" t="s">
        <v>9</v>
      </c>
      <c r="AE12">
        <v>3619978</v>
      </c>
      <c r="AF12" t="s">
        <v>654</v>
      </c>
      <c r="AG12" t="s">
        <v>1010</v>
      </c>
      <c r="AH12" t="s">
        <v>655</v>
      </c>
      <c r="AI12" t="s">
        <v>1011</v>
      </c>
      <c r="AJ12" t="s">
        <v>657</v>
      </c>
      <c r="AK12" t="s">
        <v>9</v>
      </c>
      <c r="AL12" t="s">
        <v>658</v>
      </c>
      <c r="AM12" t="s">
        <v>9</v>
      </c>
      <c r="AN12" t="s">
        <v>1012</v>
      </c>
      <c r="AO12" t="s">
        <v>9</v>
      </c>
      <c r="AP12" t="s">
        <v>9</v>
      </c>
      <c r="AQ12" t="s">
        <v>1013</v>
      </c>
      <c r="AR12" t="s">
        <v>9</v>
      </c>
      <c r="AS12" t="s">
        <v>110</v>
      </c>
      <c r="AT12" t="s">
        <v>9</v>
      </c>
      <c r="AU12" t="s">
        <v>998</v>
      </c>
      <c r="AV12" t="s">
        <v>1014</v>
      </c>
      <c r="AW12" t="s">
        <v>1015</v>
      </c>
      <c r="AX12" t="s">
        <v>450</v>
      </c>
      <c r="AY12" t="s">
        <v>270</v>
      </c>
      <c r="AZ12" t="s">
        <v>153</v>
      </c>
      <c r="BA12" t="s">
        <v>154</v>
      </c>
      <c r="BB12" t="s">
        <v>155</v>
      </c>
      <c r="BC12" t="s">
        <v>451</v>
      </c>
      <c r="BD12" t="s">
        <v>65</v>
      </c>
      <c r="BE12" t="s">
        <v>41</v>
      </c>
      <c r="BF12" t="s">
        <v>54</v>
      </c>
      <c r="BG12" t="s">
        <v>156</v>
      </c>
      <c r="BH12" t="s">
        <v>652</v>
      </c>
      <c r="BI12" t="s">
        <v>846</v>
      </c>
      <c r="BJ12" t="s">
        <v>450</v>
      </c>
      <c r="BK12" t="s">
        <v>653</v>
      </c>
      <c r="BL12" t="s">
        <v>1016</v>
      </c>
      <c r="BM12" t="s">
        <v>451</v>
      </c>
      <c r="BN12">
        <v>20.98</v>
      </c>
      <c r="BO12">
        <v>21.84</v>
      </c>
      <c r="BP12">
        <v>8.66</v>
      </c>
      <c r="BQ12">
        <v>24.19</v>
      </c>
      <c r="BR12">
        <v>21.99</v>
      </c>
      <c r="BS12">
        <v>8.68</v>
      </c>
      <c r="BT12" t="s">
        <v>661</v>
      </c>
      <c r="BU12" t="s">
        <v>329</v>
      </c>
      <c r="BV12">
        <v>48.83</v>
      </c>
      <c r="BW12">
        <v>36.659999999999997</v>
      </c>
      <c r="BX12">
        <v>26.76</v>
      </c>
      <c r="BY12">
        <v>30.57</v>
      </c>
      <c r="BZ12">
        <v>21.99</v>
      </c>
      <c r="CA12">
        <v>12.18</v>
      </c>
      <c r="CB12">
        <v>0.34</v>
      </c>
      <c r="CC12">
        <v>-14.69</v>
      </c>
      <c r="CD12" t="s">
        <v>1017</v>
      </c>
      <c r="CE12" t="s">
        <v>971</v>
      </c>
      <c r="CF12" s="8">
        <v>-0.11552795031055914</v>
      </c>
      <c r="CG12" s="9">
        <v>3.7873822635032108</v>
      </c>
      <c r="CH12" s="8">
        <v>1.6390935182571411</v>
      </c>
      <c r="CI12" s="8">
        <v>0.61926597356796265</v>
      </c>
      <c r="CJ12" s="8">
        <v>8.1349208950996399E-2</v>
      </c>
      <c r="CK12" s="8">
        <v>-8.3636365830898285E-2</v>
      </c>
      <c r="CL12" s="8">
        <v>0.13168723881244659</v>
      </c>
      <c r="CM12" s="9">
        <v>-0.26030927896499634</v>
      </c>
      <c r="CN12" s="9">
        <v>1.9172931909561157</v>
      </c>
      <c r="CO12" s="9">
        <v>-0.1840490847826004</v>
      </c>
      <c r="CP12" s="9">
        <v>5.8441556990146637E-2</v>
      </c>
      <c r="CQ12" s="9">
        <v>0.77512198686599731</v>
      </c>
      <c r="CR12">
        <v>53.864489394139703</v>
      </c>
      <c r="CS12">
        <v>1.1279295031654391</v>
      </c>
      <c r="CT12">
        <v>4.6699875466998755</v>
      </c>
      <c r="CU12" s="8">
        <v>0.47755191475152969</v>
      </c>
      <c r="CV12" s="9">
        <v>0.46129967421293261</v>
      </c>
      <c r="CW12">
        <v>0.06</v>
      </c>
      <c r="CX12">
        <v>23.13042818916961</v>
      </c>
      <c r="CY12">
        <v>400054150.5034802</v>
      </c>
      <c r="CZ12">
        <v>0.47755191475152969</v>
      </c>
      <c r="DA12">
        <v>5.5291127728024394</v>
      </c>
      <c r="DB12">
        <v>1673582033.905575</v>
      </c>
      <c r="DC12">
        <v>0.45367431901395316</v>
      </c>
      <c r="DD12">
        <v>1.7089240602962281</v>
      </c>
      <c r="DE12">
        <v>5414765942.4936609</v>
      </c>
      <c r="DF12">
        <v>0.42024568498134612</v>
      </c>
      <c r="DG12">
        <v>0.5693558379035093</v>
      </c>
      <c r="DH12">
        <v>16252443874.244089</v>
      </c>
      <c r="DI12">
        <v>0.3820415318012238</v>
      </c>
      <c r="DJ12">
        <v>6.7125649707939009E-2</v>
      </c>
      <c r="DK12">
        <v>137852279125.21179</v>
      </c>
      <c r="DL12">
        <v>0.33428634032607074</v>
      </c>
      <c r="DM12">
        <v>287000000</v>
      </c>
      <c r="DN12">
        <v>0.47755191475152969</v>
      </c>
      <c r="DO12">
        <v>9253423800</v>
      </c>
      <c r="DP12">
        <v>1875518100</v>
      </c>
      <c r="DQ12">
        <v>2313</v>
      </c>
      <c r="DR12">
        <v>-0.59307986506208887</v>
      </c>
      <c r="DS12">
        <v>3.3260825892902783</v>
      </c>
      <c r="DT12" s="10">
        <v>0.19333333333333327</v>
      </c>
      <c r="DU12">
        <v>0.67333333333333334</v>
      </c>
      <c r="DV12">
        <v>0.86666666666666659</v>
      </c>
      <c r="DW12">
        <v>-2.1469</v>
      </c>
      <c r="DX12">
        <v>0.52803103448275579</v>
      </c>
      <c r="DY12">
        <v>-2.0217457589655172</v>
      </c>
      <c r="DZ12">
        <v>473</v>
      </c>
      <c r="EA12">
        <v>-2.0197328932139147</v>
      </c>
      <c r="EB12">
        <v>2</v>
      </c>
      <c r="EC12">
        <v>5.0701443888046878E-2</v>
      </c>
      <c r="ED12">
        <v>0.3425055027495072</v>
      </c>
      <c r="EE12" s="11">
        <v>-5.0153100000000004</v>
      </c>
      <c r="EF12">
        <v>-5.0327099999999998</v>
      </c>
      <c r="EG12">
        <v>38.148031034482756</v>
      </c>
      <c r="EH12" t="s">
        <v>853</v>
      </c>
      <c r="EI12">
        <v>0</v>
      </c>
      <c r="EJ12">
        <v>1</v>
      </c>
      <c r="EK12" s="13">
        <v>45470</v>
      </c>
      <c r="EL12" s="14">
        <v>1.99</v>
      </c>
      <c r="EM12" s="14">
        <v>-3.76</v>
      </c>
      <c r="EN12" s="14">
        <v>-1.0900000000000001</v>
      </c>
      <c r="EO12" s="14">
        <v>2.17</v>
      </c>
      <c r="EP12" s="14">
        <v>-1.74</v>
      </c>
    </row>
    <row r="13" spans="1:146" ht="96" x14ac:dyDescent="0.25">
      <c r="A13" s="6"/>
      <c r="B13" s="6"/>
      <c r="C13" s="6" t="str">
        <f>""&amp;CHAR(10)&amp;Basic_Fundamental_Information_Constructure(F13)&amp;CHAR(10)&amp;Basic_Fundamental_Information_Concatenate("")</f>
        <v xml:space="preserve">
市值11.913889亿, 利润1.08亿; PE4641; 平均PE24.27; 平均PEG.14, PB2.18; ROIC3.5%; ROE2.3867%; 股利率0%; 毛利20.6667%; 净利4.6067%; 上一年度营收增867.84%, 利润增419.64%; 当季营收增-84.99%, 利润增-36.43%; 过往5年营收增174.01%, 利润增67.86%
Income profile:
</v>
      </c>
      <c r="D13" t="s">
        <v>157</v>
      </c>
      <c r="E13" t="s">
        <v>158</v>
      </c>
      <c r="F13">
        <v>15.98</v>
      </c>
      <c r="G13">
        <v>2.5</v>
      </c>
      <c r="H13" t="s">
        <v>1018</v>
      </c>
      <c r="I13">
        <v>1191388900</v>
      </c>
      <c r="J13">
        <v>4641</v>
      </c>
      <c r="K13">
        <v>2.1800000000000002</v>
      </c>
      <c r="L13" t="s">
        <v>87</v>
      </c>
      <c r="M13" t="s">
        <v>662</v>
      </c>
      <c r="N13" t="s">
        <v>660</v>
      </c>
      <c r="O13" t="s">
        <v>664</v>
      </c>
      <c r="P13">
        <v>18.989999999999998</v>
      </c>
      <c r="Q13" t="s">
        <v>1019</v>
      </c>
      <c r="R13">
        <v>5888471</v>
      </c>
      <c r="S13" s="5">
        <v>2.4929999999999999</v>
      </c>
      <c r="T13" t="s">
        <v>1020</v>
      </c>
      <c r="U13">
        <v>42575000</v>
      </c>
      <c r="V13">
        <v>74555000</v>
      </c>
      <c r="W13">
        <v>1.0900000000000001</v>
      </c>
      <c r="X13">
        <v>0.13</v>
      </c>
      <c r="Y13">
        <v>7.47</v>
      </c>
      <c r="Z13" t="s">
        <v>1021</v>
      </c>
      <c r="AA13" t="s">
        <v>1022</v>
      </c>
      <c r="AB13" t="s">
        <v>1023</v>
      </c>
      <c r="AC13" t="s">
        <v>1024</v>
      </c>
      <c r="AD13" t="s">
        <v>9</v>
      </c>
      <c r="AE13">
        <v>-1187439</v>
      </c>
      <c r="AF13" t="s">
        <v>667</v>
      </c>
      <c r="AG13" t="s">
        <v>9</v>
      </c>
      <c r="AH13" t="s">
        <v>668</v>
      </c>
      <c r="AI13" t="s">
        <v>1025</v>
      </c>
      <c r="AJ13" t="s">
        <v>669</v>
      </c>
      <c r="AK13" t="s">
        <v>9</v>
      </c>
      <c r="AL13" t="s">
        <v>670</v>
      </c>
      <c r="AM13" t="s">
        <v>9</v>
      </c>
      <c r="AN13" t="s">
        <v>1026</v>
      </c>
      <c r="AO13" t="s">
        <v>671</v>
      </c>
      <c r="AP13" t="s">
        <v>9</v>
      </c>
      <c r="AQ13" t="s">
        <v>1027</v>
      </c>
      <c r="AR13" t="s">
        <v>9</v>
      </c>
      <c r="AS13" t="s">
        <v>1028</v>
      </c>
      <c r="AT13" t="s">
        <v>9</v>
      </c>
      <c r="AU13" t="s">
        <v>1029</v>
      </c>
      <c r="AV13" t="s">
        <v>1030</v>
      </c>
      <c r="AW13" t="s">
        <v>1031</v>
      </c>
      <c r="AX13" t="s">
        <v>452</v>
      </c>
      <c r="AY13" t="s">
        <v>236</v>
      </c>
      <c r="AZ13" t="s">
        <v>159</v>
      </c>
      <c r="BA13" t="s">
        <v>160</v>
      </c>
      <c r="BB13" t="s">
        <v>24</v>
      </c>
      <c r="BC13" t="s">
        <v>453</v>
      </c>
      <c r="BD13" t="s">
        <v>271</v>
      </c>
      <c r="BE13" t="s">
        <v>272</v>
      </c>
      <c r="BF13" t="s">
        <v>161</v>
      </c>
      <c r="BG13" t="s">
        <v>162</v>
      </c>
      <c r="BH13" t="s">
        <v>517</v>
      </c>
      <c r="BI13" t="s">
        <v>1032</v>
      </c>
      <c r="BJ13" t="s">
        <v>452</v>
      </c>
      <c r="BK13" t="s">
        <v>665</v>
      </c>
      <c r="BL13" t="s">
        <v>1033</v>
      </c>
      <c r="BM13" t="s">
        <v>453</v>
      </c>
      <c r="BN13" t="s">
        <v>9</v>
      </c>
      <c r="BO13">
        <v>3.72</v>
      </c>
      <c r="BP13">
        <v>3.28</v>
      </c>
      <c r="BQ13">
        <v>-0.14000000000000001</v>
      </c>
      <c r="BR13">
        <v>3.91</v>
      </c>
      <c r="BS13">
        <v>3.39</v>
      </c>
      <c r="BT13" t="s">
        <v>382</v>
      </c>
      <c r="BU13" t="s">
        <v>329</v>
      </c>
      <c r="BV13">
        <v>17.03</v>
      </c>
      <c r="BW13">
        <v>22.45</v>
      </c>
      <c r="BX13">
        <v>22.52</v>
      </c>
      <c r="BY13">
        <v>-1.46</v>
      </c>
      <c r="BZ13">
        <v>8.16</v>
      </c>
      <c r="CA13">
        <v>7.12</v>
      </c>
      <c r="CB13">
        <v>-2.68</v>
      </c>
      <c r="CC13">
        <v>-10.97</v>
      </c>
      <c r="CD13" t="s">
        <v>1034</v>
      </c>
      <c r="CE13" t="s">
        <v>1035</v>
      </c>
      <c r="CF13" s="8">
        <v>-0.84985542857142859</v>
      </c>
      <c r="CG13" s="9">
        <v>-0.36431567924691249</v>
      </c>
      <c r="CH13" s="8">
        <v>8.678431510925293</v>
      </c>
      <c r="CI13" s="8">
        <v>3.6585364490747452E-2</v>
      </c>
      <c r="CJ13" s="8">
        <v>0.19417475163936615</v>
      </c>
      <c r="CK13" s="8">
        <v>-4.1860464960336685E-2</v>
      </c>
      <c r="CL13" s="8">
        <v>-0.1666666716337204</v>
      </c>
      <c r="CM13" s="9">
        <v>4.1964297294616699</v>
      </c>
      <c r="CN13" s="9">
        <v>0.1840965747833252</v>
      </c>
      <c r="CO13" s="9">
        <v>-0.54396837949752808</v>
      </c>
      <c r="CP13" s="9">
        <v>-0.15892915427684784</v>
      </c>
      <c r="CQ13" s="9">
        <v>-0.28473785519599915</v>
      </c>
      <c r="CR13">
        <v>24.267356902939852</v>
      </c>
      <c r="CS13">
        <v>0.1394569169374619</v>
      </c>
      <c r="CT13">
        <v>0</v>
      </c>
      <c r="CU13" s="8">
        <v>1.7401328980922699</v>
      </c>
      <c r="CV13" s="9">
        <v>0.67857818305492401</v>
      </c>
      <c r="CW13">
        <v>0.06</v>
      </c>
      <c r="CX13">
        <v>2.5401027504749645</v>
      </c>
      <c r="CY13">
        <v>279183351.88109922</v>
      </c>
      <c r="CZ13">
        <v>1.7401328980922699</v>
      </c>
      <c r="DA13">
        <v>0.26857926644192831</v>
      </c>
      <c r="DB13">
        <v>2640391454.6148782</v>
      </c>
      <c r="DC13">
        <v>1.6531262531876563</v>
      </c>
      <c r="DD13">
        <v>2.0690970926808314E-2</v>
      </c>
      <c r="DE13">
        <v>34273616376.367439</v>
      </c>
      <c r="DF13">
        <v>1.5313169503211974</v>
      </c>
      <c r="DG13">
        <v>1.0677169123819467E-3</v>
      </c>
      <c r="DH13">
        <v>664178296490.55823</v>
      </c>
      <c r="DI13">
        <v>1.3921063184738161</v>
      </c>
      <c r="DJ13">
        <v>1.3231316934882732E-6</v>
      </c>
      <c r="DK13">
        <v>535966603694906.69</v>
      </c>
      <c r="DL13">
        <v>1.2180930286645888</v>
      </c>
      <c r="DM13">
        <v>108000000</v>
      </c>
      <c r="DN13">
        <v>1.7401328980922699</v>
      </c>
      <c r="DO13">
        <v>709154400</v>
      </c>
      <c r="DP13">
        <v>252440190</v>
      </c>
      <c r="DQ13">
        <v>2342</v>
      </c>
      <c r="DR13">
        <v>-2.5899883266636987</v>
      </c>
      <c r="DS13">
        <v>-1.0428938623018364</v>
      </c>
      <c r="DT13" s="10">
        <v>-0.10666666666666669</v>
      </c>
      <c r="DU13">
        <v>-0.11999999999999998</v>
      </c>
      <c r="DV13">
        <v>-0.22666666666666668</v>
      </c>
      <c r="DW13">
        <v>-8.2443026435733824</v>
      </c>
      <c r="DX13">
        <v>0.41998435809533885</v>
      </c>
      <c r="DY13">
        <v>-8.0488567073560162</v>
      </c>
      <c r="DZ13">
        <v>2724</v>
      </c>
      <c r="EA13">
        <v>-8.0228125447654506</v>
      </c>
      <c r="EB13">
        <v>8</v>
      </c>
      <c r="EC13">
        <v>0.1028918248273087</v>
      </c>
      <c r="ED13">
        <v>0.5144993628864597</v>
      </c>
      <c r="EE13" s="11">
        <v>3.0505100000000001</v>
      </c>
      <c r="EF13">
        <v>3.10311</v>
      </c>
      <c r="EG13">
        <v>22.199984358095339</v>
      </c>
      <c r="EH13" t="s">
        <v>1036</v>
      </c>
      <c r="EI13">
        <v>0</v>
      </c>
      <c r="EJ13">
        <v>0</v>
      </c>
      <c r="EK13" s="13">
        <v>45470</v>
      </c>
      <c r="EL13" s="14">
        <v>-10.07</v>
      </c>
      <c r="EM13" s="14">
        <v>5.27</v>
      </c>
      <c r="EN13" s="14">
        <v>-6.26</v>
      </c>
      <c r="EO13" s="14">
        <v>1.45</v>
      </c>
      <c r="EP13" s="14">
        <v>-5.26</v>
      </c>
    </row>
    <row r="14" spans="1:146" ht="96" x14ac:dyDescent="0.25">
      <c r="C14" s="6" t="str">
        <f>""&amp;CHAR(10)&amp;Basic_Fundamental_Information_Constructure(F14)&amp;CHAR(10)&amp;Basic_Fundamental_Information_Concatenate("")</f>
        <v xml:space="preserve">
市值150.72059亿, 利润3431.81万; PE39.06; 平均PE11.74; 平均PEG.54, PB1.3; ROIC12.4267%; ROE14.6367%; 股利率1.9516%; 毛利48.7533%; 净利12.61%; 上一年度营收增-90.6%, 利润增-97.92%; 当季营收增1016.37%, 利润增1168.63%; 过往5年营收增21.58%, 利润增98.82%
Income profile:
</v>
      </c>
      <c r="D14" t="s">
        <v>672</v>
      </c>
      <c r="E14" t="s">
        <v>673</v>
      </c>
      <c r="F14">
        <v>25.62</v>
      </c>
      <c r="G14">
        <v>2.0299999999999998</v>
      </c>
      <c r="H14" t="s">
        <v>1037</v>
      </c>
      <c r="I14">
        <v>15072059000</v>
      </c>
      <c r="J14">
        <v>39.06</v>
      </c>
      <c r="K14">
        <v>1.3</v>
      </c>
      <c r="L14" t="s">
        <v>87</v>
      </c>
      <c r="M14" t="s">
        <v>674</v>
      </c>
      <c r="N14" t="s">
        <v>1038</v>
      </c>
      <c r="O14" t="s">
        <v>675</v>
      </c>
      <c r="P14" s="5">
        <v>-18.84</v>
      </c>
      <c r="Q14" t="s">
        <v>773</v>
      </c>
      <c r="R14">
        <v>182424810</v>
      </c>
      <c r="S14">
        <v>-0.51600000000000001</v>
      </c>
      <c r="T14" t="s">
        <v>1039</v>
      </c>
      <c r="U14">
        <v>181588760</v>
      </c>
      <c r="V14">
        <v>588292710</v>
      </c>
      <c r="W14">
        <v>1.36</v>
      </c>
      <c r="X14">
        <v>0.11</v>
      </c>
      <c r="Y14">
        <v>10.14</v>
      </c>
      <c r="Z14" t="s">
        <v>1040</v>
      </c>
      <c r="AA14" t="s">
        <v>1041</v>
      </c>
      <c r="AB14" t="s">
        <v>976</v>
      </c>
      <c r="AC14" t="s">
        <v>788</v>
      </c>
      <c r="AD14" t="s">
        <v>9</v>
      </c>
      <c r="AE14">
        <v>-14600877</v>
      </c>
      <c r="AF14" t="s">
        <v>678</v>
      </c>
      <c r="AG14" t="s">
        <v>1042</v>
      </c>
      <c r="AH14" t="s">
        <v>679</v>
      </c>
      <c r="AI14" t="s">
        <v>57</v>
      </c>
      <c r="AJ14" t="s">
        <v>680</v>
      </c>
      <c r="AK14" t="s">
        <v>1043</v>
      </c>
      <c r="AL14" t="s">
        <v>681</v>
      </c>
      <c r="AM14" t="s">
        <v>9</v>
      </c>
      <c r="AN14" t="s">
        <v>1044</v>
      </c>
      <c r="AO14" t="s">
        <v>1045</v>
      </c>
      <c r="AP14" t="s">
        <v>1046</v>
      </c>
      <c r="AQ14" t="s">
        <v>1047</v>
      </c>
      <c r="AR14" t="s">
        <v>9</v>
      </c>
      <c r="AS14" t="s">
        <v>1048</v>
      </c>
      <c r="AT14" t="s">
        <v>504</v>
      </c>
      <c r="AU14" t="s">
        <v>1049</v>
      </c>
      <c r="AV14" t="s">
        <v>1050</v>
      </c>
      <c r="AW14" t="s">
        <v>1051</v>
      </c>
      <c r="AX14" t="s">
        <v>683</v>
      </c>
      <c r="AY14" t="s">
        <v>684</v>
      </c>
      <c r="AZ14" t="s">
        <v>685</v>
      </c>
      <c r="BA14" t="s">
        <v>686</v>
      </c>
      <c r="BB14" t="s">
        <v>687</v>
      </c>
      <c r="BC14" t="s">
        <v>688</v>
      </c>
      <c r="BD14" t="s">
        <v>689</v>
      </c>
      <c r="BE14" t="s">
        <v>690</v>
      </c>
      <c r="BF14" t="s">
        <v>660</v>
      </c>
      <c r="BG14" t="s">
        <v>330</v>
      </c>
      <c r="BH14" t="s">
        <v>676</v>
      </c>
      <c r="BI14" t="s">
        <v>1052</v>
      </c>
      <c r="BJ14" t="s">
        <v>683</v>
      </c>
      <c r="BK14" t="s">
        <v>677</v>
      </c>
      <c r="BL14" t="s">
        <v>1053</v>
      </c>
      <c r="BM14" t="s">
        <v>688</v>
      </c>
      <c r="BN14">
        <v>14.06</v>
      </c>
      <c r="BO14">
        <v>12.57</v>
      </c>
      <c r="BP14">
        <v>10.65</v>
      </c>
      <c r="BQ14">
        <v>17.260000000000002</v>
      </c>
      <c r="BR14">
        <v>14.89</v>
      </c>
      <c r="BS14">
        <v>11.76</v>
      </c>
      <c r="BT14" t="s">
        <v>466</v>
      </c>
      <c r="BU14" t="s">
        <v>327</v>
      </c>
      <c r="BV14">
        <v>49</v>
      </c>
      <c r="BW14">
        <v>47.38</v>
      </c>
      <c r="BX14">
        <v>49.88</v>
      </c>
      <c r="BY14">
        <v>7.68</v>
      </c>
      <c r="BZ14">
        <v>14.75</v>
      </c>
      <c r="CA14">
        <v>15.4</v>
      </c>
      <c r="CB14">
        <v>1.26</v>
      </c>
      <c r="CC14" s="8">
        <v>-13.42</v>
      </c>
      <c r="CD14" s="9" t="s">
        <v>1054</v>
      </c>
      <c r="CE14" s="8" t="s">
        <v>1055</v>
      </c>
      <c r="CF14" s="8">
        <v>10.163742690058479</v>
      </c>
      <c r="CG14" s="8">
        <v>11.686303006871343</v>
      </c>
      <c r="CH14" s="8">
        <v>-0.90599948167800903</v>
      </c>
      <c r="CI14" s="8">
        <v>0.41234287619590759</v>
      </c>
      <c r="CJ14" s="9">
        <v>-0.35878407955169678</v>
      </c>
      <c r="CK14" s="9">
        <v>1.739672064781189</v>
      </c>
      <c r="CL14" s="9">
        <v>0.19171659648418427</v>
      </c>
      <c r="CM14" s="9">
        <v>-0.97921377420425415</v>
      </c>
      <c r="CN14" s="9">
        <v>0.33252620697021484</v>
      </c>
      <c r="CO14">
        <v>-0.67480313777923584</v>
      </c>
      <c r="CP14">
        <v>5.9780220985412598</v>
      </c>
      <c r="CQ14">
        <v>0.28470587730407715</v>
      </c>
      <c r="CR14" s="8">
        <v>11.736355699578452</v>
      </c>
      <c r="CS14" s="9">
        <v>0.54387959188587764</v>
      </c>
      <c r="CT14">
        <v>1.9516003122560499</v>
      </c>
      <c r="CU14">
        <v>0.215789595246315</v>
      </c>
      <c r="CV14">
        <v>0.98824745416641235</v>
      </c>
      <c r="CW14">
        <v>0.06</v>
      </c>
      <c r="CX14">
        <v>201.03358218704375</v>
      </c>
      <c r="CY14">
        <v>39361876.328889206</v>
      </c>
      <c r="CZ14">
        <v>0.215789595246315</v>
      </c>
      <c r="DA14">
        <v>59.150861640926678</v>
      </c>
      <c r="DB14">
        <v>133777577.88273583</v>
      </c>
      <c r="DC14">
        <v>0.20500011548399924</v>
      </c>
      <c r="DD14">
        <v>25.149650908026018</v>
      </c>
      <c r="DE14">
        <v>314638919.9968856</v>
      </c>
      <c r="DF14">
        <v>0.1898948438167572</v>
      </c>
      <c r="DG14">
        <v>12.691142783427042</v>
      </c>
      <c r="DH14">
        <v>623510359.55039537</v>
      </c>
      <c r="DI14">
        <v>0.172631676197052</v>
      </c>
      <c r="DJ14">
        <v>4.345477128208123</v>
      </c>
      <c r="DK14">
        <v>1820987377.5731931</v>
      </c>
      <c r="DL14">
        <v>0.15105271667242048</v>
      </c>
      <c r="DM14">
        <v>34318100</v>
      </c>
      <c r="DN14">
        <v>0.215789595246315</v>
      </c>
      <c r="DO14">
        <v>7913059000</v>
      </c>
      <c r="DP14">
        <v>5800477500</v>
      </c>
      <c r="DQ14" s="10">
        <v>2344</v>
      </c>
      <c r="DR14">
        <v>9.9479530948121635</v>
      </c>
      <c r="DS14">
        <v>10.698055552704931</v>
      </c>
      <c r="DT14">
        <v>-0.42333333333333334</v>
      </c>
      <c r="DU14">
        <v>0.49499999999999994</v>
      </c>
      <c r="DV14">
        <v>7.1666666666666601E-2</v>
      </c>
      <c r="DW14">
        <v>-2.1341999999999999</v>
      </c>
      <c r="DX14">
        <v>0.31035465172214699</v>
      </c>
      <c r="DY14">
        <v>-2.0174935942611123</v>
      </c>
      <c r="DZ14">
        <v>3568</v>
      </c>
      <c r="EA14">
        <v>-2.0052788889140185</v>
      </c>
      <c r="EB14" s="11">
        <v>2</v>
      </c>
      <c r="EC14" s="11">
        <v>1.4739941278551624E-2</v>
      </c>
      <c r="ED14">
        <v>0.11307568302180729</v>
      </c>
      <c r="EE14">
        <v>-1.0382</v>
      </c>
      <c r="EF14">
        <v>-1.0144</v>
      </c>
      <c r="EG14">
        <v>18.130354651722147</v>
      </c>
      <c r="EH14" s="13" t="s">
        <v>1056</v>
      </c>
      <c r="EI14">
        <v>0</v>
      </c>
      <c r="EJ14">
        <v>0</v>
      </c>
      <c r="EK14">
        <v>45470</v>
      </c>
      <c r="EL14">
        <v>-1.95</v>
      </c>
      <c r="EM14">
        <v>-4.7699999999999996</v>
      </c>
      <c r="EN14" s="14">
        <v>0</v>
      </c>
      <c r="EO14" s="14">
        <v>5.29</v>
      </c>
      <c r="EP14" s="14">
        <v>-2.38</v>
      </c>
    </row>
    <row r="15" spans="1:146" ht="141" customHeight="1" x14ac:dyDescent="0.25">
      <c r="A15" s="6" t="s">
        <v>555</v>
      </c>
      <c r="B15" s="6" t="s">
        <v>554</v>
      </c>
      <c r="C15" s="6" t="str">
        <f>"公司用科技成人之美。根据弗若斯特沙利文报告,按2021年的销量计,我们是中国最大的基于透明质酸的皮肤填充剂供应商,市场份额为39.2%"&amp;CHAR(10)&amp;Basic_Fundamental_Information_Constructure(F15)&amp;CHAR(10)&amp;Basic_Fundamental_Information_Concatenate("溶液类注射产品 6.43亿 72.72% 72.67% 94.07%
凝胶类注射产品 2.37亿 26.78% 27.33% 96.05%")</f>
        <v>公司用科技成人之美。根据弗若斯特沙利文报告,按2021年的销量计,我们是中国最大的基于透明质酸的皮肤填充剂供应商,市场份额为39.2%
市值485.77535亿, 利润9285.29万; PE24.64; 平均PE91.54; 平均PEG2.65, PB7.06; ROIC21.11%; ROE22.4367%; 股利率1.4463%; 毛利94.5467%; 净利65.3833%; 上一年度营收增-66.22%, 利润增-92.65%; 当季营收增596.55%, 利润增3307.99%; 过往5年营收增34.56%, 利润增49.92%
Income profile:
溶液类注射产品 6.43亿 72.72% 72.67% 94.07%
凝胶类注射产品 2.37亿 26.78% 27.33% 96.05%</v>
      </c>
      <c r="D15" t="s">
        <v>163</v>
      </c>
      <c r="E15" t="s">
        <v>164</v>
      </c>
      <c r="F15">
        <v>160.62</v>
      </c>
      <c r="G15">
        <v>0.39</v>
      </c>
      <c r="H15" t="s">
        <v>1057</v>
      </c>
      <c r="I15">
        <v>48577535000</v>
      </c>
      <c r="J15">
        <v>24.64</v>
      </c>
      <c r="K15">
        <v>7.06</v>
      </c>
      <c r="L15" t="s">
        <v>87</v>
      </c>
      <c r="M15" t="s">
        <v>691</v>
      </c>
      <c r="N15" t="s">
        <v>1058</v>
      </c>
      <c r="O15" t="s">
        <v>692</v>
      </c>
      <c r="P15">
        <v>28.24</v>
      </c>
      <c r="Q15" t="s">
        <v>1059</v>
      </c>
      <c r="R15">
        <v>527437490</v>
      </c>
      <c r="S15" s="5">
        <v>0.27379999999999999</v>
      </c>
      <c r="T15" t="s">
        <v>1060</v>
      </c>
      <c r="U15">
        <v>208464270</v>
      </c>
      <c r="V15">
        <v>302437650</v>
      </c>
      <c r="W15">
        <v>1.04</v>
      </c>
      <c r="X15">
        <v>0.11</v>
      </c>
      <c r="Y15">
        <v>65.349999999999994</v>
      </c>
      <c r="Z15" t="s">
        <v>1061</v>
      </c>
      <c r="AA15" t="s">
        <v>1062</v>
      </c>
      <c r="AB15" t="s">
        <v>1063</v>
      </c>
      <c r="AC15" t="s">
        <v>1064</v>
      </c>
      <c r="AD15" t="s">
        <v>9</v>
      </c>
      <c r="AE15">
        <v>-13676125</v>
      </c>
      <c r="AF15" t="s">
        <v>695</v>
      </c>
      <c r="AG15" t="s">
        <v>1065</v>
      </c>
      <c r="AH15" t="s">
        <v>696</v>
      </c>
      <c r="AI15" t="s">
        <v>1066</v>
      </c>
      <c r="AJ15" t="s">
        <v>697</v>
      </c>
      <c r="AK15" t="s">
        <v>9</v>
      </c>
      <c r="AL15" t="s">
        <v>698</v>
      </c>
      <c r="AM15" t="s">
        <v>9</v>
      </c>
      <c r="AN15" t="s">
        <v>1067</v>
      </c>
      <c r="AO15" t="s">
        <v>9</v>
      </c>
      <c r="AP15" t="s">
        <v>9</v>
      </c>
      <c r="AQ15" t="s">
        <v>1068</v>
      </c>
      <c r="AR15" t="s">
        <v>9</v>
      </c>
      <c r="AS15" t="s">
        <v>666</v>
      </c>
      <c r="AT15" t="s">
        <v>9</v>
      </c>
      <c r="AU15" t="s">
        <v>1069</v>
      </c>
      <c r="AV15" t="s">
        <v>1070</v>
      </c>
      <c r="AW15" t="s">
        <v>1071</v>
      </c>
      <c r="AX15" t="s">
        <v>454</v>
      </c>
      <c r="AY15" t="s">
        <v>273</v>
      </c>
      <c r="AZ15" t="s">
        <v>127</v>
      </c>
      <c r="BA15" t="s">
        <v>166</v>
      </c>
      <c r="BB15" t="s">
        <v>167</v>
      </c>
      <c r="BC15" t="s">
        <v>455</v>
      </c>
      <c r="BD15" t="s">
        <v>261</v>
      </c>
      <c r="BE15" t="s">
        <v>165</v>
      </c>
      <c r="BF15" t="s">
        <v>60</v>
      </c>
      <c r="BG15" t="s">
        <v>116</v>
      </c>
      <c r="BH15" t="s">
        <v>693</v>
      </c>
      <c r="BI15" t="s">
        <v>971</v>
      </c>
      <c r="BJ15" t="s">
        <v>454</v>
      </c>
      <c r="BK15" t="s">
        <v>636</v>
      </c>
      <c r="BL15" t="s">
        <v>1072</v>
      </c>
      <c r="BM15" t="s">
        <v>455</v>
      </c>
      <c r="BN15">
        <v>21.9</v>
      </c>
      <c r="BO15">
        <v>22.35</v>
      </c>
      <c r="BP15">
        <v>19.079999999999998</v>
      </c>
      <c r="BQ15">
        <v>23.04</v>
      </c>
      <c r="BR15">
        <v>23.73</v>
      </c>
      <c r="BS15">
        <v>20.54</v>
      </c>
      <c r="BT15" t="s">
        <v>699</v>
      </c>
      <c r="BU15" t="s">
        <v>328</v>
      </c>
      <c r="BV15">
        <v>95.09</v>
      </c>
      <c r="BW15">
        <v>94.85</v>
      </c>
      <c r="BX15">
        <v>93.7</v>
      </c>
      <c r="BY15">
        <v>64.650000000000006</v>
      </c>
      <c r="BZ15">
        <v>65.38</v>
      </c>
      <c r="CA15">
        <v>66.12</v>
      </c>
      <c r="CB15">
        <v>-6.67</v>
      </c>
      <c r="CC15">
        <v>-26.05</v>
      </c>
      <c r="CD15" t="s">
        <v>1073</v>
      </c>
      <c r="CE15" t="s">
        <v>1074</v>
      </c>
      <c r="CF15" s="8">
        <v>5.9655172413793114</v>
      </c>
      <c r="CG15" s="9">
        <v>33.079894679029493</v>
      </c>
      <c r="CH15" s="8">
        <v>-0.66219699382781982</v>
      </c>
      <c r="CI15" s="8">
        <v>0.33908843994140625</v>
      </c>
      <c r="CJ15" s="8">
        <v>1.0423130989074707</v>
      </c>
      <c r="CK15" s="8">
        <v>0.27060931921005249</v>
      </c>
      <c r="CL15" s="8">
        <v>0.73831772804260254</v>
      </c>
      <c r="CM15" s="9">
        <v>-0.92654043436050415</v>
      </c>
      <c r="CN15" s="9">
        <v>0.31941545009613037</v>
      </c>
      <c r="CO15" s="9">
        <v>1.1772726774215698</v>
      </c>
      <c r="CP15" s="9">
        <v>0.43790850043296814</v>
      </c>
      <c r="CQ15" s="9">
        <v>1.4878048896789551</v>
      </c>
      <c r="CR15">
        <v>91.544810377388984</v>
      </c>
      <c r="CS15">
        <v>2.6486643374461716</v>
      </c>
      <c r="CT15">
        <v>1.4462707010334952</v>
      </c>
      <c r="CU15" s="8">
        <v>0.34562631845474245</v>
      </c>
      <c r="CV15" s="9">
        <v>0.49917221665382383</v>
      </c>
      <c r="CW15">
        <v>0.06</v>
      </c>
      <c r="CX15">
        <v>355.67568344976308</v>
      </c>
      <c r="CY15">
        <v>117872930.17438336</v>
      </c>
      <c r="CZ15">
        <v>0.34562631845474245</v>
      </c>
      <c r="DA15">
        <v>94.232441757655465</v>
      </c>
      <c r="DB15">
        <v>444905535.90684217</v>
      </c>
      <c r="DC15">
        <v>0.32834500253200533</v>
      </c>
      <c r="DD15">
        <v>34.243928025865088</v>
      </c>
      <c r="DE15">
        <v>1224291061.7127101</v>
      </c>
      <c r="DF15">
        <v>0.30415116024017336</v>
      </c>
      <c r="DG15">
        <v>14.143755265884041</v>
      </c>
      <c r="DH15">
        <v>2964172824.817296</v>
      </c>
      <c r="DI15">
        <v>0.276501054763794</v>
      </c>
      <c r="DJ15">
        <v>2.9059337637264062</v>
      </c>
      <c r="DK15">
        <v>14427216312.817238</v>
      </c>
      <c r="DL15">
        <v>0.24193842291831971</v>
      </c>
      <c r="DM15">
        <v>92852900.000000015</v>
      </c>
      <c r="DN15">
        <v>0.34562631845474245</v>
      </c>
      <c r="DO15">
        <v>41924535000</v>
      </c>
      <c r="DP15">
        <v>4461319600</v>
      </c>
      <c r="DQ15">
        <v>2352</v>
      </c>
      <c r="DR15">
        <v>5.6198909229245686</v>
      </c>
      <c r="DS15">
        <v>32.580722462375668</v>
      </c>
      <c r="DT15" s="10">
        <v>-3.9999999999999959E-2</v>
      </c>
      <c r="DU15">
        <v>0.62</v>
      </c>
      <c r="DV15">
        <v>0.58000000000000007</v>
      </c>
      <c r="DW15">
        <v>-9.2560460652591168</v>
      </c>
      <c r="DX15">
        <v>0.42561128916666391</v>
      </c>
      <c r="DY15">
        <v>-9.044964579606205</v>
      </c>
      <c r="DZ15">
        <v>4687</v>
      </c>
      <c r="EA15">
        <v>-9.0037221168636847</v>
      </c>
      <c r="EB15">
        <v>9</v>
      </c>
      <c r="EC15">
        <v>4.0173569659729867E-2</v>
      </c>
      <c r="ED15">
        <v>0.22876417668236743</v>
      </c>
      <c r="EE15" s="11">
        <v>-1.0726</v>
      </c>
      <c r="EF15">
        <v>-1.0787</v>
      </c>
      <c r="EG15">
        <v>25.175611289166664</v>
      </c>
      <c r="EH15" t="s">
        <v>1056</v>
      </c>
      <c r="EI15">
        <v>0</v>
      </c>
      <c r="EJ15">
        <v>0</v>
      </c>
      <c r="EK15" s="13">
        <v>45470</v>
      </c>
      <c r="EL15" s="14">
        <v>-0.97</v>
      </c>
      <c r="EM15" s="14">
        <v>-5.7</v>
      </c>
      <c r="EN15" s="14">
        <v>-1.21</v>
      </c>
      <c r="EO15" s="14">
        <v>7.66</v>
      </c>
      <c r="EP15" s="14">
        <v>0.61</v>
      </c>
    </row>
    <row r="16" spans="1:146" ht="96" x14ac:dyDescent="0.25">
      <c r="A16" s="6"/>
      <c r="B16" s="6"/>
      <c r="C16" s="6" t="str">
        <f>""&amp;CHAR(10)&amp;Basic_Fundamental_Information_Constructure(F16)&amp;CHAR(10)&amp;Basic_Fundamental_Information_Concatenate("")</f>
        <v xml:space="preserve">
市值12.0456亿, 利润-3501.33万; PE37.87; 平均PE21.8; 平均PEG1.29, PB1.22; ROIC6.9033%; ROE7.1433%; 股利率2.9289%; 毛利24.0033%; 净利6.3167%; 上一年度营收增41.06%, 利润增-150.22%; 当季营收增-20.39%, 利润增86.7%; 过往5年营收增16.85%, 利润增-15.89%
Income profile:
</v>
      </c>
      <c r="D16" t="s">
        <v>168</v>
      </c>
      <c r="E16" t="s">
        <v>169</v>
      </c>
      <c r="F16">
        <v>11.95</v>
      </c>
      <c r="G16">
        <v>3.02</v>
      </c>
      <c r="H16" t="s">
        <v>1075</v>
      </c>
      <c r="I16">
        <v>1204560000</v>
      </c>
      <c r="J16">
        <v>37.869999999999997</v>
      </c>
      <c r="K16">
        <v>1.22</v>
      </c>
      <c r="L16" t="s">
        <v>87</v>
      </c>
      <c r="M16" t="s">
        <v>700</v>
      </c>
      <c r="N16" t="s">
        <v>1076</v>
      </c>
      <c r="O16" t="s">
        <v>281</v>
      </c>
      <c r="P16">
        <v>-5.43</v>
      </c>
      <c r="Q16" t="s">
        <v>1077</v>
      </c>
      <c r="R16">
        <v>-2911791</v>
      </c>
      <c r="S16" s="5">
        <v>-1.5349999999999999</v>
      </c>
      <c r="T16" t="s">
        <v>1078</v>
      </c>
      <c r="U16">
        <v>58846341</v>
      </c>
      <c r="V16">
        <v>100800000</v>
      </c>
      <c r="W16">
        <v>1.72</v>
      </c>
      <c r="X16">
        <v>0.12</v>
      </c>
      <c r="Y16">
        <v>-1.43</v>
      </c>
      <c r="Z16" t="s">
        <v>1079</v>
      </c>
      <c r="AA16" t="s">
        <v>1080</v>
      </c>
      <c r="AB16" t="s">
        <v>1081</v>
      </c>
      <c r="AC16" t="s">
        <v>1082</v>
      </c>
      <c r="AD16" t="s">
        <v>9</v>
      </c>
      <c r="AE16">
        <v>1946552</v>
      </c>
      <c r="AF16" t="s">
        <v>21</v>
      </c>
      <c r="AG16">
        <v>427.05</v>
      </c>
      <c r="AH16" t="s">
        <v>703</v>
      </c>
      <c r="AI16" t="s">
        <v>502</v>
      </c>
      <c r="AJ16" t="s">
        <v>704</v>
      </c>
      <c r="AK16" t="s">
        <v>1083</v>
      </c>
      <c r="AL16" t="s">
        <v>705</v>
      </c>
      <c r="AM16" t="s">
        <v>9</v>
      </c>
      <c r="AN16" t="s">
        <v>1084</v>
      </c>
      <c r="AO16" t="s">
        <v>1085</v>
      </c>
      <c r="AP16" t="s">
        <v>9</v>
      </c>
      <c r="AQ16" t="s">
        <v>861</v>
      </c>
      <c r="AR16" t="s">
        <v>1086</v>
      </c>
      <c r="AS16" t="s">
        <v>336</v>
      </c>
      <c r="AT16" t="s">
        <v>147</v>
      </c>
      <c r="AU16" t="s">
        <v>1087</v>
      </c>
      <c r="AV16" t="s">
        <v>1088</v>
      </c>
      <c r="AW16" t="s">
        <v>1089</v>
      </c>
      <c r="AX16" t="s">
        <v>457</v>
      </c>
      <c r="AY16" t="s">
        <v>274</v>
      </c>
      <c r="AZ16" t="s">
        <v>170</v>
      </c>
      <c r="BA16" t="s">
        <v>173</v>
      </c>
      <c r="BB16" t="s">
        <v>44</v>
      </c>
      <c r="BC16" t="s">
        <v>706</v>
      </c>
      <c r="BD16" t="s">
        <v>275</v>
      </c>
      <c r="BE16" t="s">
        <v>171</v>
      </c>
      <c r="BF16" t="s">
        <v>174</v>
      </c>
      <c r="BG16" t="s">
        <v>175</v>
      </c>
      <c r="BH16" t="s">
        <v>701</v>
      </c>
      <c r="BI16" t="s">
        <v>452</v>
      </c>
      <c r="BJ16" t="s">
        <v>457</v>
      </c>
      <c r="BK16" t="s">
        <v>702</v>
      </c>
      <c r="BL16" t="s">
        <v>1090</v>
      </c>
      <c r="BM16" t="s">
        <v>706</v>
      </c>
      <c r="BN16">
        <v>2.52</v>
      </c>
      <c r="BO16">
        <v>6.43</v>
      </c>
      <c r="BP16">
        <v>11.76</v>
      </c>
      <c r="BQ16">
        <v>2.65</v>
      </c>
      <c r="BR16">
        <v>7.16</v>
      </c>
      <c r="BS16">
        <v>11.62</v>
      </c>
      <c r="BT16" t="s">
        <v>458</v>
      </c>
      <c r="BU16" t="s">
        <v>329</v>
      </c>
      <c r="BV16">
        <v>24.28</v>
      </c>
      <c r="BW16">
        <v>23.96</v>
      </c>
      <c r="BX16">
        <v>23.77</v>
      </c>
      <c r="BY16">
        <v>3.95</v>
      </c>
      <c r="BZ16">
        <v>6.63</v>
      </c>
      <c r="CA16">
        <v>8.3699999999999992</v>
      </c>
      <c r="CB16">
        <v>-3</v>
      </c>
      <c r="CC16">
        <v>-17.7</v>
      </c>
      <c r="CD16" t="s">
        <v>1091</v>
      </c>
      <c r="CE16" t="s">
        <v>1092</v>
      </c>
      <c r="CF16" s="8">
        <v>-0.20392156862745101</v>
      </c>
      <c r="CG16" s="9">
        <v>0.86701053670032746</v>
      </c>
      <c r="CH16" s="8">
        <v>0.41064637899398804</v>
      </c>
      <c r="CI16" s="8">
        <v>-9.3884535133838654E-2</v>
      </c>
      <c r="CJ16" s="8">
        <v>0.19814234972000122</v>
      </c>
      <c r="CK16" s="8">
        <v>0.23282442986965179</v>
      </c>
      <c r="CL16" s="8">
        <v>9.4707518815994263E-2</v>
      </c>
      <c r="CM16" s="9">
        <v>-1.5022159814834595</v>
      </c>
      <c r="CN16" s="9">
        <v>-0.28251409530639648</v>
      </c>
      <c r="CO16" s="9">
        <v>4.0228363126516342E-2</v>
      </c>
      <c r="CP16" s="9">
        <v>0.47508928179740906</v>
      </c>
      <c r="CQ16" s="9">
        <v>0.47503373026847839</v>
      </c>
      <c r="CR16">
        <v>21.799163306117155</v>
      </c>
      <c r="CS16">
        <v>1.2938169561129365</v>
      </c>
      <c r="CT16">
        <v>2.9288702928870296</v>
      </c>
      <c r="CU16" s="8">
        <v>0.16848722845315933</v>
      </c>
      <c r="CV16" s="9">
        <v>-0.15887574031949042</v>
      </c>
      <c r="CW16">
        <v>0.06</v>
      </c>
      <c r="CX16" t="e">
        <v>#VALUE!</v>
      </c>
      <c r="CY16" t="s">
        <v>312</v>
      </c>
      <c r="CZ16">
        <v>0.16848722845315933</v>
      </c>
      <c r="DA16" t="e">
        <v>#VALUE!</v>
      </c>
      <c r="DB16" t="s">
        <v>313</v>
      </c>
      <c r="DC16">
        <v>0.16006286703050135</v>
      </c>
      <c r="DD16" t="e">
        <v>#VALUE!</v>
      </c>
      <c r="DE16" t="s">
        <v>313</v>
      </c>
      <c r="DF16">
        <v>0.1482687610387802</v>
      </c>
      <c r="DG16" t="e">
        <v>#VALUE!</v>
      </c>
      <c r="DH16" t="s">
        <v>313</v>
      </c>
      <c r="DI16">
        <v>0.13478978276252748</v>
      </c>
      <c r="DJ16" t="e">
        <v>#VALUE!</v>
      </c>
      <c r="DK16" t="s">
        <v>313</v>
      </c>
      <c r="DL16">
        <v>0.11794105991721153</v>
      </c>
      <c r="DM16">
        <v>-35013300</v>
      </c>
      <c r="DN16">
        <v>0.16848722845315933</v>
      </c>
      <c r="DO16">
        <v>912560000</v>
      </c>
      <c r="DP16">
        <v>248825960</v>
      </c>
      <c r="DQ16">
        <v>2406</v>
      </c>
      <c r="DR16">
        <v>-0.37240879708061037</v>
      </c>
      <c r="DS16">
        <v>1.0258862770198178</v>
      </c>
      <c r="DT16" s="10">
        <v>-2.3333333333333355E-2</v>
      </c>
      <c r="DU16">
        <v>-1.3616666666666666</v>
      </c>
      <c r="DV16">
        <v>-1.385</v>
      </c>
      <c r="DW16">
        <v>-8.1694915254237284</v>
      </c>
      <c r="DX16">
        <v>0.53157807824992431</v>
      </c>
      <c r="DY16">
        <v>-8.0273861149576131</v>
      </c>
      <c r="DZ16">
        <v>245</v>
      </c>
      <c r="EA16">
        <v>-8.0260730820486863</v>
      </c>
      <c r="EB16">
        <v>8</v>
      </c>
      <c r="EC16">
        <v>4.9020833333333333E-2</v>
      </c>
      <c r="ED16">
        <v>0.30338789682539685</v>
      </c>
      <c r="EE16" s="11">
        <v>-2.00081</v>
      </c>
      <c r="EF16">
        <v>-2.028</v>
      </c>
      <c r="EG16">
        <v>37.161578078249924</v>
      </c>
      <c r="EH16" t="s">
        <v>537</v>
      </c>
      <c r="EI16">
        <v>0</v>
      </c>
      <c r="EJ16">
        <v>1</v>
      </c>
      <c r="EK16" s="13">
        <v>45470</v>
      </c>
      <c r="EL16" s="14">
        <v>-0.66</v>
      </c>
      <c r="EM16" s="14">
        <v>-3.4</v>
      </c>
      <c r="EN16" s="14">
        <v>-0.45</v>
      </c>
      <c r="EO16" s="14">
        <v>2.02</v>
      </c>
      <c r="EP16" s="14">
        <v>2.88</v>
      </c>
    </row>
    <row r="17" spans="1:146" ht="180" x14ac:dyDescent="0.25">
      <c r="A17" s="6" t="s">
        <v>492</v>
      </c>
      <c r="B17" s="6" t="s">
        <v>315</v>
      </c>
      <c r="C17" s="6" t="str">
        <f>"公司的主营业务是应用纯天然的植物活性成分提供温和、专业的皮肤护理产品。公司产品主要包括霜、护肤水、面膜、精华、乳液等护肤品类产品及隔离霜、BB霜、卸妆水等彩妆类产品。2018年-2020年，公司旗下“薇诺娜”品牌已连续三年获得天猫金妆奖。公司已成为全国领先的化妆品生产企业之一；"&amp;CHAR(10)&amp;Basic_Fundamental_Information_Constructure(F17)&amp;CHAR(10)&amp;Basic_Fundamental_Information_Concatenate("化妆品 36.82亿 91.54% 90.69% 75.30%
医疗器械 3.26亿 8.10% 9.03% 84.69%
服务及其他 1463.41万 0.36% 0.28% 59.37%")</f>
        <v>公司的主营业务是应用纯天然的植物活性成分提供温和、专业的皮肤护理产品。公司产品主要包括霜、护肤水、面膜、精华、乳液等护肤品类产品及隔离霜、BB霜、卸妆水等彩妆类产品。2018年-2020年，公司旗下“薇诺娜”品牌已连续三年获得天猫金妆奖。公司已成为全国领先的化妆品生产企业之一；
市值191.63664亿, 利润6834.96万; PE24.72; 平均PE35.94; 平均PEG1.9, PB3.22; ROIC19.09%; ROE17.9967%; 股利率1.3273%; 毛利75.04%; 净利18.7267%; 上一年度营收增-75.13%, 利润增-93.5%; 当季营收增274.4%, 利润增939.04%; 过往5年营收增18.9%, 利润增15.36%
Income profile:
化妆品 36.82亿 91.54% 90.69% 75.30%
医疗器械 3.26亿 8.10% 9.03% 84.69%
服务及其他 1463.41万 0.36% 0.28% 59.37%</v>
      </c>
      <c r="D17" t="s">
        <v>176</v>
      </c>
      <c r="E17" t="s">
        <v>177</v>
      </c>
      <c r="F17">
        <v>45.24</v>
      </c>
      <c r="G17">
        <v>0.73</v>
      </c>
      <c r="H17" t="s">
        <v>1093</v>
      </c>
      <c r="I17">
        <v>19163664000</v>
      </c>
      <c r="J17">
        <v>24.72</v>
      </c>
      <c r="K17">
        <v>3.22</v>
      </c>
      <c r="L17" t="s">
        <v>87</v>
      </c>
      <c r="M17" t="s">
        <v>707</v>
      </c>
      <c r="N17" t="s">
        <v>1094</v>
      </c>
      <c r="O17" t="s">
        <v>708</v>
      </c>
      <c r="P17">
        <v>27.06</v>
      </c>
      <c r="Q17" t="s">
        <v>1095</v>
      </c>
      <c r="R17">
        <v>176845230</v>
      </c>
      <c r="S17" s="5">
        <v>0.1174</v>
      </c>
      <c r="T17" t="s">
        <v>1096</v>
      </c>
      <c r="U17">
        <v>423600000</v>
      </c>
      <c r="V17">
        <v>423600000</v>
      </c>
      <c r="W17">
        <v>1.1599999999999999</v>
      </c>
      <c r="X17">
        <v>0.15</v>
      </c>
      <c r="Y17">
        <v>15.72</v>
      </c>
      <c r="Z17" t="s">
        <v>1097</v>
      </c>
      <c r="AA17" t="s">
        <v>60</v>
      </c>
      <c r="AB17" t="s">
        <v>1098</v>
      </c>
      <c r="AC17" t="s">
        <v>1099</v>
      </c>
      <c r="AD17" t="s">
        <v>9</v>
      </c>
      <c r="AE17">
        <v>-4573680</v>
      </c>
      <c r="AF17" t="s">
        <v>711</v>
      </c>
      <c r="AG17" t="s">
        <v>1100</v>
      </c>
      <c r="AH17" t="s">
        <v>712</v>
      </c>
      <c r="AI17" t="s">
        <v>1101</v>
      </c>
      <c r="AJ17" t="s">
        <v>713</v>
      </c>
      <c r="AK17" t="s">
        <v>9</v>
      </c>
      <c r="AL17" t="s">
        <v>714</v>
      </c>
      <c r="AM17" t="s">
        <v>9</v>
      </c>
      <c r="AN17" t="s">
        <v>1102</v>
      </c>
      <c r="AO17" t="s">
        <v>1103</v>
      </c>
      <c r="AP17" t="s">
        <v>1104</v>
      </c>
      <c r="AQ17" t="s">
        <v>1105</v>
      </c>
      <c r="AR17" t="s">
        <v>9</v>
      </c>
      <c r="AS17" t="s">
        <v>1106</v>
      </c>
      <c r="AT17" t="s">
        <v>1107</v>
      </c>
      <c r="AU17" t="s">
        <v>1108</v>
      </c>
      <c r="AV17" t="s">
        <v>1109</v>
      </c>
      <c r="AW17" t="s">
        <v>1110</v>
      </c>
      <c r="AX17" t="s">
        <v>459</v>
      </c>
      <c r="AY17" t="s">
        <v>276</v>
      </c>
      <c r="AZ17" t="s">
        <v>178</v>
      </c>
      <c r="BA17" t="s">
        <v>180</v>
      </c>
      <c r="BB17" t="s">
        <v>181</v>
      </c>
      <c r="BC17" t="s">
        <v>460</v>
      </c>
      <c r="BD17" t="s">
        <v>277</v>
      </c>
      <c r="BE17" t="s">
        <v>179</v>
      </c>
      <c r="BF17" t="s">
        <v>182</v>
      </c>
      <c r="BG17" t="s">
        <v>47</v>
      </c>
      <c r="BH17" t="s">
        <v>709</v>
      </c>
      <c r="BI17" t="s">
        <v>64</v>
      </c>
      <c r="BJ17" t="s">
        <v>459</v>
      </c>
      <c r="BK17" t="s">
        <v>694</v>
      </c>
      <c r="BL17" t="s">
        <v>1111</v>
      </c>
      <c r="BM17" t="s">
        <v>460</v>
      </c>
      <c r="BN17">
        <v>9.49</v>
      </c>
      <c r="BO17">
        <v>19.649999999999999</v>
      </c>
      <c r="BP17">
        <v>28.13</v>
      </c>
      <c r="BQ17">
        <v>10.18</v>
      </c>
      <c r="BR17">
        <v>20.48</v>
      </c>
      <c r="BS17">
        <v>23.33</v>
      </c>
      <c r="BT17" t="s">
        <v>1112</v>
      </c>
      <c r="BU17" t="s">
        <v>329</v>
      </c>
      <c r="BV17">
        <v>73.900000000000006</v>
      </c>
      <c r="BW17">
        <v>75.209999999999994</v>
      </c>
      <c r="BX17">
        <v>76.010000000000005</v>
      </c>
      <c r="BY17">
        <v>13.75</v>
      </c>
      <c r="BZ17">
        <v>20.95</v>
      </c>
      <c r="CA17">
        <v>21.48</v>
      </c>
      <c r="CB17">
        <v>-6.37</v>
      </c>
      <c r="CC17">
        <v>-18.72</v>
      </c>
      <c r="CD17" t="s">
        <v>1113</v>
      </c>
      <c r="CE17" t="s">
        <v>1114</v>
      </c>
      <c r="CF17" s="8">
        <v>2.7440273037542662</v>
      </c>
      <c r="CG17" s="9">
        <v>9.3903754972062448</v>
      </c>
      <c r="CH17" s="8">
        <v>-0.75129634141921997</v>
      </c>
      <c r="CI17" s="8">
        <v>0.24664345383644104</v>
      </c>
      <c r="CJ17" s="8">
        <v>0.52579671144485474</v>
      </c>
      <c r="CK17" s="8">
        <v>0.35596707463264465</v>
      </c>
      <c r="CL17" s="8">
        <v>0.56774193048477173</v>
      </c>
      <c r="CM17" s="9">
        <v>-0.934967041015625</v>
      </c>
      <c r="CN17" s="9">
        <v>0.21784472465515137</v>
      </c>
      <c r="CO17" s="9">
        <v>0.58639705181121826</v>
      </c>
      <c r="CP17" s="9">
        <v>0.32038834691047668</v>
      </c>
      <c r="CQ17" s="9">
        <v>0.57854408025741577</v>
      </c>
      <c r="CR17">
        <v>35.939174637245024</v>
      </c>
      <c r="CS17">
        <v>1.9018398175333757</v>
      </c>
      <c r="CT17">
        <v>1.3273169761273209</v>
      </c>
      <c r="CU17" s="8">
        <v>0.18897056579589844</v>
      </c>
      <c r="CV17" s="9">
        <v>0.15364143252372742</v>
      </c>
      <c r="CW17">
        <v>0.06</v>
      </c>
      <c r="CX17">
        <v>189.72839634547199</v>
      </c>
      <c r="CY17">
        <v>76665719.418795601</v>
      </c>
      <c r="CZ17">
        <v>0.18897056579589844</v>
      </c>
      <c r="DA17">
        <v>57.072254496610427</v>
      </c>
      <c r="DB17">
        <v>254864016.29471079</v>
      </c>
      <c r="DC17">
        <v>0.17952203750610352</v>
      </c>
      <c r="DD17">
        <v>25.05076297746545</v>
      </c>
      <c r="DE17">
        <v>580647544.07219577</v>
      </c>
      <c r="DF17">
        <v>0.16629409790039063</v>
      </c>
      <c r="DG17">
        <v>13.145309318135572</v>
      </c>
      <c r="DH17">
        <v>1106528849.7953005</v>
      </c>
      <c r="DI17">
        <v>0.15117645263671875</v>
      </c>
      <c r="DJ17">
        <v>4.9567199482681508</v>
      </c>
      <c r="DK17">
        <v>2934534158.0337157</v>
      </c>
      <c r="DL17">
        <v>0.13227939605712891</v>
      </c>
      <c r="DM17">
        <v>68349600</v>
      </c>
      <c r="DN17">
        <v>0.18897056579589844</v>
      </c>
      <c r="DO17">
        <v>14545664000</v>
      </c>
      <c r="DP17">
        <v>4260551000</v>
      </c>
      <c r="DQ17">
        <v>2408</v>
      </c>
      <c r="DR17">
        <v>2.5550567379583677</v>
      </c>
      <c r="DS17">
        <v>9.2367340646825173</v>
      </c>
      <c r="DT17" s="10">
        <v>-0.27333333333333343</v>
      </c>
      <c r="DU17">
        <v>0.38666666666666655</v>
      </c>
      <c r="DV17">
        <v>0.11333333333333312</v>
      </c>
      <c r="DW17">
        <v>-9.3402777777777786</v>
      </c>
      <c r="DX17">
        <v>0.39570274923732285</v>
      </c>
      <c r="DY17">
        <v>-9.0495794077265881</v>
      </c>
      <c r="DZ17">
        <v>3830</v>
      </c>
      <c r="EA17">
        <v>-9.0124191080019642</v>
      </c>
      <c r="EB17">
        <v>9</v>
      </c>
      <c r="EC17">
        <v>2.5104107648725213E-2</v>
      </c>
      <c r="ED17">
        <v>0.17229674220963173</v>
      </c>
      <c r="EE17" s="11">
        <v>5.0106000000000002</v>
      </c>
      <c r="EF17">
        <v>5.0444100000000001</v>
      </c>
      <c r="EG17">
        <v>25.145702749237323</v>
      </c>
      <c r="EH17" t="s">
        <v>1115</v>
      </c>
      <c r="EI17">
        <v>0</v>
      </c>
      <c r="EJ17">
        <v>0</v>
      </c>
      <c r="EK17" s="13">
        <v>45470</v>
      </c>
      <c r="EL17" s="14">
        <v>-6.13</v>
      </c>
      <c r="EM17" s="14">
        <v>5.38</v>
      </c>
      <c r="EN17" s="14">
        <v>-5.0199999999999996</v>
      </c>
      <c r="EO17" s="14">
        <v>1.98</v>
      </c>
      <c r="EP17" s="14">
        <v>-5.5</v>
      </c>
    </row>
    <row r="18" spans="1:146" ht="156" x14ac:dyDescent="0.25">
      <c r="A18" s="7" t="s">
        <v>425</v>
      </c>
      <c r="B18" s="7" t="s">
        <v>252</v>
      </c>
      <c r="C18" s="6" t="str">
        <f>"公司专注于一次性卫生用品的设计、研发、生产和销售，公司的主要产品包括婴儿护理用品、成人失禁用品和宠物卫生用品。"&amp;CHAR(10)&amp;Basic_Fundamental_Information_Constructure(F18)&amp;CHAR(10)&amp;Basic_Fundamental_Information_Concatenate("婴儿护理用品 2.71亿 47.03% 37.38% 9.68%
成人失禁用品 2.49亿 43.28% 50.87% 14.32%
宠物卫生用品 4416.50万 7.67% -0.63% -1.00%
口罩及其他 1167.43万 2.03% 12.38% 74.44%")</f>
        <v>公司专注于一次性卫生用品的设计、研发、生产和销售，公司的主要产品包括婴儿护理用品、成人失禁用品和宠物卫生用品。
市值20.335128亿, 利润3819.44万; PE74.16; 平均PE30.82; 平均PEG4, PB1.49; ROIC1.355%; ROE.93%; 股利率1.0027%; 毛利16.4633%; 净利.0733%; 上一年度营收增-2.87%, 利润增188.56%; 当季营收增177.45%, 利润增350.15%; 过往5年营收增7.7%, 利润增17.97%
Income profile:
婴儿护理用品 2.71亿 47.03% 37.38% 9.68%
成人失禁用品 2.49亿 43.28% 50.87% 14.32%
宠物卫生用品 4416.50万 7.67% -0.63% -1.00%
口罩及其他 1167.43万 2.03% 12.38% 74.44%</v>
      </c>
      <c r="D18" t="s">
        <v>183</v>
      </c>
      <c r="E18" t="s">
        <v>184</v>
      </c>
      <c r="F18">
        <v>7.48</v>
      </c>
      <c r="G18">
        <v>2.19</v>
      </c>
      <c r="H18" t="s">
        <v>1116</v>
      </c>
      <c r="I18">
        <v>2033512800</v>
      </c>
      <c r="J18">
        <v>74.16</v>
      </c>
      <c r="K18">
        <v>1.49</v>
      </c>
      <c r="L18" t="s">
        <v>87</v>
      </c>
      <c r="M18" t="s">
        <v>656</v>
      </c>
      <c r="N18" t="s">
        <v>559</v>
      </c>
      <c r="O18" t="s">
        <v>196</v>
      </c>
      <c r="P18">
        <v>-11.24</v>
      </c>
      <c r="Q18" t="s">
        <v>1117</v>
      </c>
      <c r="R18">
        <v>18331988</v>
      </c>
      <c r="S18" s="5">
        <v>0.65190000000000003</v>
      </c>
      <c r="T18" t="s">
        <v>1118</v>
      </c>
      <c r="U18">
        <v>148409450</v>
      </c>
      <c r="V18">
        <v>271860000</v>
      </c>
      <c r="W18">
        <v>1.38</v>
      </c>
      <c r="X18">
        <v>0.14000000000000001</v>
      </c>
      <c r="Y18">
        <v>6.43</v>
      </c>
      <c r="Z18" t="s">
        <v>109</v>
      </c>
      <c r="AA18" t="s">
        <v>1119</v>
      </c>
      <c r="AB18" t="s">
        <v>1120</v>
      </c>
      <c r="AC18" t="s">
        <v>1121</v>
      </c>
      <c r="AD18" t="s">
        <v>9</v>
      </c>
      <c r="AE18">
        <v>-8572234</v>
      </c>
      <c r="AF18" t="s">
        <v>718</v>
      </c>
      <c r="AG18" t="s">
        <v>1122</v>
      </c>
      <c r="AH18" t="s">
        <v>719</v>
      </c>
      <c r="AI18" t="s">
        <v>1123</v>
      </c>
      <c r="AJ18" t="s">
        <v>720</v>
      </c>
      <c r="AK18" t="s">
        <v>9</v>
      </c>
      <c r="AL18" t="s">
        <v>721</v>
      </c>
      <c r="AM18" t="s">
        <v>9</v>
      </c>
      <c r="AN18" t="s">
        <v>953</v>
      </c>
      <c r="AO18" t="s">
        <v>9</v>
      </c>
      <c r="AP18" t="s">
        <v>196</v>
      </c>
      <c r="AQ18" t="s">
        <v>533</v>
      </c>
      <c r="AR18" t="s">
        <v>9</v>
      </c>
      <c r="AS18" t="s">
        <v>659</v>
      </c>
      <c r="AT18" t="s">
        <v>9</v>
      </c>
      <c r="AU18" t="s">
        <v>1124</v>
      </c>
      <c r="AV18" t="s">
        <v>1125</v>
      </c>
      <c r="AW18" t="s">
        <v>1126</v>
      </c>
      <c r="AX18" t="s">
        <v>278</v>
      </c>
      <c r="AY18" t="s">
        <v>278</v>
      </c>
      <c r="AZ18" t="s">
        <v>185</v>
      </c>
      <c r="BA18" t="s">
        <v>187</v>
      </c>
      <c r="BB18" t="s">
        <v>67</v>
      </c>
      <c r="BC18" t="s">
        <v>462</v>
      </c>
      <c r="BD18" t="s">
        <v>279</v>
      </c>
      <c r="BE18" t="s">
        <v>186</v>
      </c>
      <c r="BF18" t="s">
        <v>280</v>
      </c>
      <c r="BG18" t="s">
        <v>188</v>
      </c>
      <c r="BH18" t="s">
        <v>715</v>
      </c>
      <c r="BI18" t="s">
        <v>1127</v>
      </c>
      <c r="BJ18" t="s">
        <v>278</v>
      </c>
      <c r="BK18" t="s">
        <v>716</v>
      </c>
      <c r="BL18" t="s">
        <v>1128</v>
      </c>
      <c r="BM18" t="s">
        <v>462</v>
      </c>
      <c r="BN18">
        <v>0.19</v>
      </c>
      <c r="BO18" t="s">
        <v>9</v>
      </c>
      <c r="BP18">
        <v>2.52</v>
      </c>
      <c r="BQ18">
        <v>1.99</v>
      </c>
      <c r="BR18">
        <v>-3.12</v>
      </c>
      <c r="BS18">
        <v>3.92</v>
      </c>
      <c r="BT18" t="s">
        <v>722</v>
      </c>
      <c r="BU18" t="s">
        <v>327</v>
      </c>
      <c r="BV18">
        <v>17.649999999999999</v>
      </c>
      <c r="BW18">
        <v>13.1</v>
      </c>
      <c r="BX18">
        <v>18.64</v>
      </c>
      <c r="BY18">
        <v>1.64</v>
      </c>
      <c r="BZ18">
        <v>-4.74</v>
      </c>
      <c r="CA18">
        <v>3.32</v>
      </c>
      <c r="CB18">
        <v>0.13</v>
      </c>
      <c r="CC18">
        <v>-15.86</v>
      </c>
      <c r="CD18" t="s">
        <v>1129</v>
      </c>
      <c r="CE18" t="s">
        <v>1130</v>
      </c>
      <c r="CF18" s="8">
        <v>1.7745098039215685</v>
      </c>
      <c r="CG18" s="9">
        <v>3.5015194971024459</v>
      </c>
      <c r="CH18" s="8">
        <v>-2.8667790815234184E-2</v>
      </c>
      <c r="CI18" s="8">
        <v>0</v>
      </c>
      <c r="CJ18" s="8">
        <v>-0.2746177613735199</v>
      </c>
      <c r="CK18" s="8">
        <v>0.39267468452453613</v>
      </c>
      <c r="CL18" s="8">
        <v>0.29580575227737427</v>
      </c>
      <c r="CM18" s="9">
        <v>1.8855913877487183</v>
      </c>
      <c r="CN18" s="9">
        <v>-2.0851271152496338</v>
      </c>
      <c r="CO18" s="9">
        <v>-0.81427431106567383</v>
      </c>
      <c r="CP18" s="9">
        <v>1.4470875263214111</v>
      </c>
      <c r="CQ18" s="9">
        <v>0.46528583765029907</v>
      </c>
      <c r="CR18">
        <v>30.81518104720444</v>
      </c>
      <c r="CS18">
        <v>3.9999468162916449</v>
      </c>
      <c r="CT18">
        <v>1.0026737967914439</v>
      </c>
      <c r="CU18" s="8">
        <v>7.7038976922631258E-2</v>
      </c>
      <c r="CV18" s="9">
        <v>0.17971266508102418</v>
      </c>
      <c r="CW18">
        <v>0.06</v>
      </c>
      <c r="CX18">
        <v>29.311027659196075</v>
      </c>
      <c r="CY18">
        <v>38808356.132239379</v>
      </c>
      <c r="CZ18">
        <v>7.7038976922631258E-2</v>
      </c>
      <c r="DA18">
        <v>9.6844311903748466</v>
      </c>
      <c r="DB18">
        <v>117457884.47860005</v>
      </c>
      <c r="DC18">
        <v>7.3187028076499697E-2</v>
      </c>
      <c r="DD18">
        <v>4.8376594395386165</v>
      </c>
      <c r="DE18">
        <v>235137014.95872316</v>
      </c>
      <c r="DF18">
        <v>6.7794299691915513E-2</v>
      </c>
      <c r="DG18">
        <v>2.9531088915996788</v>
      </c>
      <c r="DH18">
        <v>385191620.68006814</v>
      </c>
      <c r="DI18">
        <v>6.1631181538105012E-2</v>
      </c>
      <c r="DJ18">
        <v>1.5808405886880064</v>
      </c>
      <c r="DK18">
        <v>719561990.08279562</v>
      </c>
      <c r="DL18">
        <v>5.3927283845841875E-2</v>
      </c>
      <c r="DM18">
        <v>38194400</v>
      </c>
      <c r="DN18">
        <v>7.7038976922631258E-2</v>
      </c>
      <c r="DO18">
        <v>1137512800</v>
      </c>
      <c r="DP18">
        <v>697202750</v>
      </c>
      <c r="DQ18">
        <v>2459</v>
      </c>
      <c r="DR18">
        <v>1.6974708269989374</v>
      </c>
      <c r="DS18">
        <v>3.3218068320214216</v>
      </c>
      <c r="DT18" s="10">
        <v>-0.35666666666666669</v>
      </c>
      <c r="DU18">
        <v>8.9999999999999927E-2</v>
      </c>
      <c r="DV18">
        <v>-0.26666666666666677</v>
      </c>
      <c r="DW18">
        <v>-2.1585999999999999</v>
      </c>
      <c r="DX18">
        <v>0.3729969301678267</v>
      </c>
      <c r="DY18">
        <v>-2.0274373131246173</v>
      </c>
      <c r="DZ18">
        <v>596</v>
      </c>
      <c r="EA18">
        <v>-2.0242371881496131</v>
      </c>
      <c r="EB18">
        <v>2</v>
      </c>
      <c r="EC18">
        <v>3.666960935775767E-2</v>
      </c>
      <c r="ED18">
        <v>0.21196682115794893</v>
      </c>
      <c r="EE18" s="11">
        <v>-1.0296099999999999</v>
      </c>
      <c r="EF18">
        <v>-1.0496099999999999</v>
      </c>
      <c r="EG18">
        <v>20.172996930167827</v>
      </c>
      <c r="EH18" t="s">
        <v>850</v>
      </c>
      <c r="EI18">
        <v>0</v>
      </c>
      <c r="EJ18">
        <v>1</v>
      </c>
      <c r="EK18" s="13">
        <v>45470</v>
      </c>
      <c r="EL18" s="14">
        <v>-1.71</v>
      </c>
      <c r="EM18" s="14">
        <v>-5.56</v>
      </c>
      <c r="EN18" s="14">
        <v>0.77</v>
      </c>
      <c r="EO18" s="14">
        <v>3.6</v>
      </c>
      <c r="EP18" s="14">
        <v>-2</v>
      </c>
    </row>
    <row r="19" spans="1:146" ht="96" x14ac:dyDescent="0.25">
      <c r="A19" s="6"/>
      <c r="B19" s="6"/>
      <c r="C19" s="6" t="str">
        <f>""&amp;CHAR(10)&amp;Basic_Fundamental_Information_Constructure(F19)&amp;CHAR(10)&amp;Basic_Fundamental_Information_Concatenate("")</f>
        <v xml:space="preserve">
市值20.757629亿, 利润-1.42亿; PE60.35; 平均PE87.71; 平均PEG.78, PB3.64; ROIC9.0367%; ROE10.0933%; 股利率1.1136%; 毛利38.0533%; 净利20.1467%; 上一年度营收增500%, 利润增-315.06%; 当季营收增-80.45%, 利润增-33.96%; 过往5年营收增112%, 利润增-54.89%
Income profile:
</v>
      </c>
      <c r="D19" t="s">
        <v>189</v>
      </c>
      <c r="E19" t="s">
        <v>190</v>
      </c>
      <c r="F19">
        <v>8.98</v>
      </c>
      <c r="G19">
        <v>3.7</v>
      </c>
      <c r="H19" t="s">
        <v>1131</v>
      </c>
      <c r="I19">
        <v>2075762900</v>
      </c>
      <c r="J19">
        <v>60.35</v>
      </c>
      <c r="K19">
        <v>3.64</v>
      </c>
      <c r="L19" t="s">
        <v>87</v>
      </c>
      <c r="M19" t="s">
        <v>71</v>
      </c>
      <c r="N19" t="s">
        <v>1132</v>
      </c>
      <c r="O19" t="s">
        <v>723</v>
      </c>
      <c r="P19">
        <v>-2.06</v>
      </c>
      <c r="Q19" t="s">
        <v>1133</v>
      </c>
      <c r="R19">
        <v>14141918</v>
      </c>
      <c r="S19" s="5">
        <v>-4.07E-2</v>
      </c>
      <c r="T19" t="s">
        <v>1134</v>
      </c>
      <c r="U19">
        <v>66064563</v>
      </c>
      <c r="V19">
        <v>231154000</v>
      </c>
      <c r="W19">
        <v>1.21</v>
      </c>
      <c r="X19">
        <v>0.12</v>
      </c>
      <c r="Y19">
        <v>17.52</v>
      </c>
      <c r="Z19" t="s">
        <v>1135</v>
      </c>
      <c r="AA19" t="s">
        <v>1136</v>
      </c>
      <c r="AB19" t="s">
        <v>1137</v>
      </c>
      <c r="AC19" t="s">
        <v>1138</v>
      </c>
      <c r="AD19" t="s">
        <v>9</v>
      </c>
      <c r="AE19">
        <v>-172430</v>
      </c>
      <c r="AF19" t="s">
        <v>21</v>
      </c>
      <c r="AG19">
        <v>1000.46</v>
      </c>
      <c r="AH19" t="s">
        <v>725</v>
      </c>
      <c r="AI19" t="s">
        <v>1139</v>
      </c>
      <c r="AJ19" t="s">
        <v>726</v>
      </c>
      <c r="AK19" t="s">
        <v>727</v>
      </c>
      <c r="AL19" t="s">
        <v>728</v>
      </c>
      <c r="AM19" t="s">
        <v>9</v>
      </c>
      <c r="AN19">
        <v>0</v>
      </c>
      <c r="AO19" t="s">
        <v>1140</v>
      </c>
      <c r="AP19" t="s">
        <v>1141</v>
      </c>
      <c r="AQ19" t="s">
        <v>1142</v>
      </c>
      <c r="AR19" t="s">
        <v>9</v>
      </c>
      <c r="AS19" t="s">
        <v>1143</v>
      </c>
      <c r="AT19" t="s">
        <v>1144</v>
      </c>
      <c r="AU19" t="s">
        <v>1145</v>
      </c>
      <c r="AV19" t="s">
        <v>1146</v>
      </c>
      <c r="AW19" t="s">
        <v>1147</v>
      </c>
      <c r="AX19" t="s">
        <v>463</v>
      </c>
      <c r="AY19" t="s">
        <v>281</v>
      </c>
      <c r="AZ19" t="s">
        <v>172</v>
      </c>
      <c r="BA19" t="s">
        <v>192</v>
      </c>
      <c r="BB19" t="s">
        <v>58</v>
      </c>
      <c r="BC19" t="s">
        <v>464</v>
      </c>
      <c r="BD19" t="s">
        <v>282</v>
      </c>
      <c r="BE19" t="s">
        <v>191</v>
      </c>
      <c r="BF19" t="s">
        <v>284</v>
      </c>
      <c r="BG19" t="s">
        <v>193</v>
      </c>
      <c r="BH19" t="s">
        <v>635</v>
      </c>
      <c r="BI19" t="s">
        <v>710</v>
      </c>
      <c r="BJ19" t="s">
        <v>463</v>
      </c>
      <c r="BK19" t="s">
        <v>724</v>
      </c>
      <c r="BL19" t="s">
        <v>1148</v>
      </c>
      <c r="BM19" t="s">
        <v>464</v>
      </c>
      <c r="BN19">
        <v>3.71</v>
      </c>
      <c r="BO19">
        <v>11.45</v>
      </c>
      <c r="BP19">
        <v>11.95</v>
      </c>
      <c r="BQ19">
        <v>3.98</v>
      </c>
      <c r="BR19">
        <v>12.1</v>
      </c>
      <c r="BS19">
        <v>14.2</v>
      </c>
      <c r="BT19" t="s">
        <v>383</v>
      </c>
      <c r="BU19" t="s">
        <v>327</v>
      </c>
      <c r="BV19">
        <v>32.9</v>
      </c>
      <c r="BW19">
        <v>38.32</v>
      </c>
      <c r="BX19">
        <v>42.94</v>
      </c>
      <c r="BY19">
        <v>11.89</v>
      </c>
      <c r="BZ19">
        <v>23.62</v>
      </c>
      <c r="CA19">
        <v>24.93</v>
      </c>
      <c r="CB19">
        <v>0.79</v>
      </c>
      <c r="CC19">
        <v>-5.97</v>
      </c>
      <c r="CD19" t="s">
        <v>1149</v>
      </c>
      <c r="CE19" t="s">
        <v>1150</v>
      </c>
      <c r="CF19" s="8">
        <v>-0.80451331719128327</v>
      </c>
      <c r="CG19" s="9">
        <v>-0.33956699403636093</v>
      </c>
      <c r="CH19" s="8">
        <v>5</v>
      </c>
      <c r="CI19" s="8">
        <v>0.37438422441482544</v>
      </c>
      <c r="CJ19" s="8">
        <v>3.5714287310838699E-2</v>
      </c>
      <c r="CK19" s="8">
        <v>-1.0101010091602802E-2</v>
      </c>
      <c r="CL19" s="8">
        <v>0.20000000298023224</v>
      </c>
      <c r="CM19" s="9">
        <v>-3.1505506038665771</v>
      </c>
      <c r="CN19" s="9">
        <v>0.30507466197013855</v>
      </c>
      <c r="CO19" s="9">
        <v>-0.18536294996738434</v>
      </c>
      <c r="CP19" s="9">
        <v>7.8310452401638031E-2</v>
      </c>
      <c r="CQ19" s="9">
        <v>0.20810741186141968</v>
      </c>
      <c r="CR19">
        <v>87.706932709493245</v>
      </c>
      <c r="CS19">
        <v>0.78309796242966512</v>
      </c>
      <c r="CT19">
        <v>1.1135857461024499</v>
      </c>
      <c r="CU19" s="8">
        <v>1.1199995009228587</v>
      </c>
      <c r="CV19" s="9">
        <v>-0.54888420552015305</v>
      </c>
      <c r="CW19">
        <v>0.06</v>
      </c>
      <c r="CX19" t="e">
        <v>#VALUE!</v>
      </c>
      <c r="CY19" t="s">
        <v>313</v>
      </c>
      <c r="CZ19">
        <v>1.1199995009228587</v>
      </c>
      <c r="DA19" t="e">
        <v>#VALUE!</v>
      </c>
      <c r="DB19" t="s">
        <v>313</v>
      </c>
      <c r="DC19">
        <v>1.0639995258767156</v>
      </c>
      <c r="DD19" t="e">
        <v>#VALUE!</v>
      </c>
      <c r="DE19" t="s">
        <v>313</v>
      </c>
      <c r="DF19">
        <v>0.98559956081211564</v>
      </c>
      <c r="DG19" t="e">
        <v>#VALUE!</v>
      </c>
      <c r="DH19" t="s">
        <v>313</v>
      </c>
      <c r="DI19">
        <v>0.89599960073828699</v>
      </c>
      <c r="DJ19" t="e">
        <v>#VALUE!</v>
      </c>
      <c r="DK19" t="s">
        <v>313</v>
      </c>
      <c r="DL19">
        <v>0.78399965064600108</v>
      </c>
      <c r="DM19">
        <v>-142000000</v>
      </c>
      <c r="DN19">
        <v>1.1199995009228587</v>
      </c>
      <c r="DO19">
        <v>1632762900</v>
      </c>
      <c r="DP19">
        <v>153391270</v>
      </c>
      <c r="DQ19">
        <v>2505</v>
      </c>
      <c r="DR19">
        <v>-1.924512818114142</v>
      </c>
      <c r="DS19">
        <v>0.20931721148379212</v>
      </c>
      <c r="DT19" s="10">
        <v>0.10999999999999995</v>
      </c>
      <c r="DU19">
        <v>-0.85333333333333339</v>
      </c>
      <c r="DV19">
        <v>-0.7433333333333334</v>
      </c>
      <c r="DW19">
        <v>-1.0597000000000001</v>
      </c>
      <c r="DX19">
        <v>0.3811441709584088</v>
      </c>
      <c r="DY19">
        <v>-1.013799307006217</v>
      </c>
      <c r="DZ19">
        <v>828</v>
      </c>
      <c r="EA19">
        <v>-1.0115633331899454</v>
      </c>
      <c r="EB19">
        <v>1</v>
      </c>
      <c r="EC19">
        <v>6.0171141317044055E-2</v>
      </c>
      <c r="ED19">
        <v>0.26031866201752946</v>
      </c>
      <c r="EE19" s="11">
        <v>1.08531</v>
      </c>
      <c r="EF19">
        <v>1.07121</v>
      </c>
      <c r="EG19">
        <v>15.231144170958409</v>
      </c>
      <c r="EH19" t="s">
        <v>426</v>
      </c>
      <c r="EI19">
        <v>0</v>
      </c>
      <c r="EJ19">
        <v>1</v>
      </c>
      <c r="EK19" s="13">
        <v>45470</v>
      </c>
      <c r="EL19" s="14">
        <v>0.75</v>
      </c>
      <c r="EM19" s="14">
        <v>-4.17</v>
      </c>
      <c r="EN19" s="14">
        <v>0.56000000000000005</v>
      </c>
      <c r="EO19" s="14">
        <v>2</v>
      </c>
      <c r="EP19" s="14">
        <v>1.41</v>
      </c>
    </row>
    <row r="20" spans="1:146" ht="156" x14ac:dyDescent="0.25">
      <c r="A20" s="6"/>
      <c r="B20" s="6"/>
      <c r="C20" s="6" t="str">
        <f>"公司的主营业务是湿巾类产品研发、生产与销售。公司的主要产品为婴儿系列湿巾、成人功能型系列湿巾、抗菌消毒系列湿巾、家庭清洁系列湿巾、医用护理系列湿巾、宠物清洁系列湿巾、面膜系列产品。"&amp;CHAR(10)&amp;Basic_Fundamental_Information_Constructure(F20)&amp;CHAR(10)&amp;Basic_Fundamental_Information_Concatenate("加工业务 3.12亿 86.75% 77.12% 28.90%
产品销售 3215.07万 8.94% 14.32% 52.07%
其他业务 1548.78万 4.31% 8.55% 64.54%")</f>
        <v>公司的主营业务是湿巾类产品研发、生产与销售。公司的主要产品为婴儿系列湿巾、成人功能型系列湿巾、抗菌消毒系列湿巾、家庭清洁系列湿巾、医用护理系列湿巾、宠物清洁系列湿巾、面膜系列产品。
市值19.896405亿, 利润5.14亿; PE21.67; 平均PE10.11; 平均PEG.15, PB1.06; ROIC10.6167%; ROE15.93%; 股利率1.4694%; 毛利31.31%; 净利20.6333%; 上一年度营收增178.41%, 利润增264.54%; 当季营收增-63.89%, 利润增-87.48%; 过往5年营收增68.95%, 利润增86.66%
Income profile:
加工业务 3.12亿 86.75% 77.12% 28.90%
产品销售 3215.07万 8.94% 14.32% 52.07%
其他业务 1548.78万 4.31% 8.55% 64.54%</v>
      </c>
      <c r="D20" t="s">
        <v>285</v>
      </c>
      <c r="E20" t="s">
        <v>286</v>
      </c>
      <c r="F20">
        <v>24.5</v>
      </c>
      <c r="G20">
        <v>1.7</v>
      </c>
      <c r="H20" t="s">
        <v>1151</v>
      </c>
      <c r="I20">
        <v>1989640500</v>
      </c>
      <c r="J20">
        <v>21.67</v>
      </c>
      <c r="K20">
        <v>1.06</v>
      </c>
      <c r="L20" t="s">
        <v>87</v>
      </c>
      <c r="M20" t="s">
        <v>594</v>
      </c>
      <c r="N20" t="s">
        <v>600</v>
      </c>
      <c r="O20" t="s">
        <v>516</v>
      </c>
      <c r="P20">
        <v>1.43</v>
      </c>
      <c r="Q20" t="s">
        <v>1152</v>
      </c>
      <c r="R20">
        <v>13901684</v>
      </c>
      <c r="S20" s="5">
        <v>-0.627</v>
      </c>
      <c r="T20" t="s">
        <v>730</v>
      </c>
      <c r="U20">
        <v>35238328</v>
      </c>
      <c r="V20">
        <v>81209818</v>
      </c>
      <c r="W20">
        <v>1.1399999999999999</v>
      </c>
      <c r="X20">
        <v>0.06</v>
      </c>
      <c r="Y20">
        <v>10.7</v>
      </c>
      <c r="Z20" t="s">
        <v>511</v>
      </c>
      <c r="AA20" t="s">
        <v>513</v>
      </c>
      <c r="AB20" t="s">
        <v>1153</v>
      </c>
      <c r="AC20" t="s">
        <v>1154</v>
      </c>
      <c r="AD20" t="s">
        <v>9</v>
      </c>
      <c r="AE20">
        <v>-1618343</v>
      </c>
      <c r="AF20" t="s">
        <v>731</v>
      </c>
      <c r="AG20" t="s">
        <v>1155</v>
      </c>
      <c r="AH20" t="s">
        <v>732</v>
      </c>
      <c r="AI20" t="s">
        <v>651</v>
      </c>
      <c r="AJ20" t="s">
        <v>733</v>
      </c>
      <c r="AK20" t="s">
        <v>9</v>
      </c>
      <c r="AL20" t="s">
        <v>734</v>
      </c>
      <c r="AM20" t="s">
        <v>9</v>
      </c>
      <c r="AN20" t="s">
        <v>1156</v>
      </c>
      <c r="AO20" t="s">
        <v>9</v>
      </c>
      <c r="AP20" t="s">
        <v>1157</v>
      </c>
      <c r="AQ20" t="s">
        <v>46</v>
      </c>
      <c r="AR20" t="s">
        <v>9</v>
      </c>
      <c r="AS20" t="s">
        <v>1079</v>
      </c>
      <c r="AT20" t="s">
        <v>9</v>
      </c>
      <c r="AU20" t="s">
        <v>1158</v>
      </c>
      <c r="AV20" t="s">
        <v>1159</v>
      </c>
      <c r="AW20" t="s">
        <v>1160</v>
      </c>
      <c r="AX20" t="s">
        <v>465</v>
      </c>
      <c r="AY20" t="s">
        <v>228</v>
      </c>
      <c r="AZ20" t="s">
        <v>100</v>
      </c>
      <c r="BA20" t="s">
        <v>287</v>
      </c>
      <c r="BB20" t="s">
        <v>196</v>
      </c>
      <c r="BC20" t="s">
        <v>112</v>
      </c>
      <c r="BD20" t="s">
        <v>22</v>
      </c>
      <c r="BE20" t="s">
        <v>113</v>
      </c>
      <c r="BF20" t="s">
        <v>289</v>
      </c>
      <c r="BG20" t="s">
        <v>290</v>
      </c>
      <c r="BH20" t="s">
        <v>729</v>
      </c>
      <c r="BI20" t="s">
        <v>1161</v>
      </c>
      <c r="BJ20" t="s">
        <v>465</v>
      </c>
      <c r="BK20" t="s">
        <v>549</v>
      </c>
      <c r="BL20" t="s">
        <v>964</v>
      </c>
      <c r="BM20" t="s">
        <v>112</v>
      </c>
      <c r="BN20">
        <v>4.6500000000000004</v>
      </c>
      <c r="BO20">
        <v>7.51</v>
      </c>
      <c r="BP20">
        <v>19.690000000000001</v>
      </c>
      <c r="BQ20">
        <v>5.14</v>
      </c>
      <c r="BR20">
        <v>8.14</v>
      </c>
      <c r="BS20">
        <v>34.51</v>
      </c>
      <c r="BT20" t="s">
        <v>735</v>
      </c>
      <c r="BU20" t="s">
        <v>327</v>
      </c>
      <c r="BV20">
        <v>29.62</v>
      </c>
      <c r="BW20">
        <v>31.47</v>
      </c>
      <c r="BX20">
        <v>32.840000000000003</v>
      </c>
      <c r="BY20">
        <v>18.399999999999999</v>
      </c>
      <c r="BZ20">
        <v>21.15</v>
      </c>
      <c r="CA20">
        <v>22.35</v>
      </c>
      <c r="CB20">
        <v>0.78</v>
      </c>
      <c r="CC20">
        <v>-6.45</v>
      </c>
      <c r="CD20" t="s">
        <v>1162</v>
      </c>
      <c r="CE20" t="s">
        <v>1163</v>
      </c>
      <c r="CF20" s="8">
        <v>-0.63888888888888884</v>
      </c>
      <c r="CG20" s="9">
        <v>-0.87475960360360361</v>
      </c>
      <c r="CH20" s="8">
        <v>1.7841078042984009</v>
      </c>
      <c r="CI20" s="8">
        <v>-0.3221544623374939</v>
      </c>
      <c r="CJ20" s="8">
        <v>0.32436069846153259</v>
      </c>
      <c r="CK20" s="8">
        <v>1.6823104619979858</v>
      </c>
      <c r="CL20" s="8">
        <v>-2.1201413124799728E-2</v>
      </c>
      <c r="CM20" s="9">
        <v>2.6453900337219238</v>
      </c>
      <c r="CN20" s="9">
        <v>-0.3590908944606781</v>
      </c>
      <c r="CO20" s="9">
        <v>0.2222222238779068</v>
      </c>
      <c r="CP20" s="9">
        <v>1.6422908306121826</v>
      </c>
      <c r="CQ20" s="9">
        <v>0.18201684951782227</v>
      </c>
      <c r="CR20">
        <v>10.11034462432648</v>
      </c>
      <c r="CS20">
        <v>0.14663626080186484</v>
      </c>
      <c r="CT20">
        <v>1.4693877551020409</v>
      </c>
      <c r="CU20" s="8">
        <v>0.68948461785912518</v>
      </c>
      <c r="CV20" s="9">
        <v>0.86656580865383148</v>
      </c>
      <c r="CW20">
        <v>0.06</v>
      </c>
      <c r="CX20">
        <v>0.49392141108485976</v>
      </c>
      <c r="CY20">
        <v>819240654.32036805</v>
      </c>
      <c r="CZ20">
        <v>0.68948461785912518</v>
      </c>
      <c r="DA20">
        <v>0.10086046523514643</v>
      </c>
      <c r="DB20">
        <v>4011884131.7717481</v>
      </c>
      <c r="DC20">
        <v>0.65501038696616887</v>
      </c>
      <c r="DD20">
        <v>2.406925446229315E-2</v>
      </c>
      <c r="DE20">
        <v>16811509497.89114</v>
      </c>
      <c r="DF20">
        <v>0.60674646371603014</v>
      </c>
      <c r="DG20">
        <v>5.6487490166015081E-3</v>
      </c>
      <c r="DH20">
        <v>71633648230.92218</v>
      </c>
      <c r="DI20">
        <v>0.55158769428730015</v>
      </c>
      <c r="DJ20">
        <v>2.7351244922032089E-4</v>
      </c>
      <c r="DK20">
        <v>1479422604541.3103</v>
      </c>
      <c r="DL20">
        <v>0.48263923250138757</v>
      </c>
      <c r="DM20">
        <v>513999999.99999994</v>
      </c>
      <c r="DN20">
        <v>0.68948461785912518</v>
      </c>
      <c r="DO20">
        <v>404640500</v>
      </c>
      <c r="DP20">
        <v>1401013900</v>
      </c>
      <c r="DQ20">
        <v>2549</v>
      </c>
      <c r="DR20">
        <v>-1.328373506748014</v>
      </c>
      <c r="DS20">
        <v>-1.7413254122574351</v>
      </c>
      <c r="DT20" s="10">
        <v>0.11000000000000003</v>
      </c>
      <c r="DU20">
        <v>0.17666666666666661</v>
      </c>
      <c r="DV20">
        <v>0.28666666666666663</v>
      </c>
      <c r="DW20">
        <v>-2.0644999999999998</v>
      </c>
      <c r="DX20">
        <v>0.35591923658210689</v>
      </c>
      <c r="DY20">
        <v>-2.0068317907595459</v>
      </c>
      <c r="DZ20">
        <v>2349</v>
      </c>
      <c r="EA20">
        <v>-2.0036913061227213</v>
      </c>
      <c r="EB20">
        <v>2</v>
      </c>
      <c r="EC20">
        <v>1.0442087187044305E-2</v>
      </c>
      <c r="ED20">
        <v>9.8585370552117232E-2</v>
      </c>
      <c r="EE20" s="11">
        <v>2.0423999999999998</v>
      </c>
      <c r="EF20">
        <v>2.0261</v>
      </c>
      <c r="EG20">
        <v>25.105919236582107</v>
      </c>
      <c r="EH20" t="s">
        <v>552</v>
      </c>
      <c r="EI20">
        <v>0</v>
      </c>
      <c r="EJ20">
        <v>0</v>
      </c>
      <c r="EK20" s="13">
        <v>45470</v>
      </c>
      <c r="EL20" s="14">
        <v>0.5</v>
      </c>
      <c r="EM20" s="14">
        <v>-4.93</v>
      </c>
      <c r="EN20" s="14">
        <v>1.26</v>
      </c>
      <c r="EO20" s="14">
        <v>5.77</v>
      </c>
      <c r="EP20" s="14">
        <v>-1.63</v>
      </c>
    </row>
    <row r="21" spans="1:146" ht="96" x14ac:dyDescent="0.25">
      <c r="C21" s="6" t="str">
        <f>""&amp;CHAR(10)&amp;Basic_Fundamental_Information_Constructure(F21)&amp;CHAR(10)&amp;Basic_Fundamental_Information_Concatenate("")</f>
        <v xml:space="preserve">
市值119.903976亿, 利润1940.25万; PE16.17; 平均PE22.61; 平均PEG.55, PB2.08; ROIC37.0333%; ROE24.54%; 股利率3.3367%; 毛利82.4167%; 净利45.1667%; 上一年度营收增-82.93%, 利润增-97.71%; 当季营收增902.18%, 利润增4816.82%; 过往5年营收增41.26%, 利润增32.06%
Income profile:
</v>
      </c>
      <c r="D21" t="s">
        <v>467</v>
      </c>
      <c r="E21" t="s">
        <v>468</v>
      </c>
      <c r="F21">
        <v>29.97</v>
      </c>
      <c r="G21">
        <v>1.22</v>
      </c>
      <c r="H21" t="s">
        <v>1164</v>
      </c>
      <c r="I21">
        <v>11990397600</v>
      </c>
      <c r="J21">
        <v>16.170000000000002</v>
      </c>
      <c r="K21">
        <v>2.08</v>
      </c>
      <c r="L21" t="s">
        <v>87</v>
      </c>
      <c r="M21" t="s">
        <v>736</v>
      </c>
      <c r="N21" t="s">
        <v>1165</v>
      </c>
      <c r="O21" t="s">
        <v>737</v>
      </c>
      <c r="P21" s="5">
        <v>9.65</v>
      </c>
      <c r="Q21" t="s">
        <v>1166</v>
      </c>
      <c r="R21">
        <v>151726070</v>
      </c>
      <c r="S21">
        <v>-4.7699999999999999E-2</v>
      </c>
      <c r="T21" t="s">
        <v>1167</v>
      </c>
      <c r="U21">
        <v>40080000</v>
      </c>
      <c r="V21">
        <v>400080000</v>
      </c>
      <c r="W21">
        <v>1.05</v>
      </c>
      <c r="X21">
        <v>7.0000000000000007E-2</v>
      </c>
      <c r="Y21">
        <v>37.090000000000003</v>
      </c>
      <c r="Z21" t="s">
        <v>646</v>
      </c>
      <c r="AA21" t="s">
        <v>1168</v>
      </c>
      <c r="AB21" t="s">
        <v>65</v>
      </c>
      <c r="AC21" t="s">
        <v>1169</v>
      </c>
      <c r="AD21" t="s">
        <v>9</v>
      </c>
      <c r="AE21">
        <v>-25464927</v>
      </c>
      <c r="AF21" t="s">
        <v>739</v>
      </c>
      <c r="AG21" t="s">
        <v>1170</v>
      </c>
      <c r="AH21" t="s">
        <v>740</v>
      </c>
      <c r="AI21" t="s">
        <v>1171</v>
      </c>
      <c r="AJ21" t="s">
        <v>741</v>
      </c>
      <c r="AK21" t="s">
        <v>9</v>
      </c>
      <c r="AL21" t="s">
        <v>742</v>
      </c>
      <c r="AM21" t="s">
        <v>9</v>
      </c>
      <c r="AN21" t="s">
        <v>1172</v>
      </c>
      <c r="AO21" t="s">
        <v>9</v>
      </c>
      <c r="AP21" t="s">
        <v>9</v>
      </c>
      <c r="AQ21" t="s">
        <v>116</v>
      </c>
      <c r="AR21" t="s">
        <v>9</v>
      </c>
      <c r="AS21" t="s">
        <v>508</v>
      </c>
      <c r="AT21" t="s">
        <v>9</v>
      </c>
      <c r="AU21" t="s">
        <v>45</v>
      </c>
      <c r="AV21" t="s">
        <v>1173</v>
      </c>
      <c r="AW21" t="s">
        <v>1174</v>
      </c>
      <c r="AX21" t="s">
        <v>469</v>
      </c>
      <c r="AY21" t="s">
        <v>519</v>
      </c>
      <c r="AZ21" t="s">
        <v>520</v>
      </c>
      <c r="BA21" t="s">
        <v>521</v>
      </c>
      <c r="BB21" t="s">
        <v>340</v>
      </c>
      <c r="BC21" t="s">
        <v>470</v>
      </c>
      <c r="BD21" t="s">
        <v>210</v>
      </c>
      <c r="BE21" t="s">
        <v>522</v>
      </c>
      <c r="BF21" t="s">
        <v>523</v>
      </c>
      <c r="BG21" t="s">
        <v>49</v>
      </c>
      <c r="BH21" t="s">
        <v>738</v>
      </c>
      <c r="BI21" t="s">
        <v>1175</v>
      </c>
      <c r="BJ21" t="s">
        <v>469</v>
      </c>
      <c r="BK21" t="s">
        <v>535</v>
      </c>
      <c r="BL21" t="s">
        <v>1176</v>
      </c>
      <c r="BM21" t="s">
        <v>470</v>
      </c>
      <c r="BN21">
        <v>12.22</v>
      </c>
      <c r="BO21">
        <v>35.049999999999997</v>
      </c>
      <c r="BP21">
        <v>63.83</v>
      </c>
      <c r="BQ21">
        <v>13.13</v>
      </c>
      <c r="BR21">
        <v>35.950000000000003</v>
      </c>
      <c r="BS21" t="s">
        <v>9</v>
      </c>
      <c r="BT21" t="s">
        <v>385</v>
      </c>
      <c r="BU21" t="s">
        <v>329</v>
      </c>
      <c r="BV21">
        <v>82.23</v>
      </c>
      <c r="BW21">
        <v>83.07</v>
      </c>
      <c r="BX21">
        <v>81.95</v>
      </c>
      <c r="BY21">
        <v>38.76</v>
      </c>
      <c r="BZ21">
        <v>47.89</v>
      </c>
      <c r="CA21">
        <v>48.85</v>
      </c>
      <c r="CB21">
        <v>-3.51</v>
      </c>
      <c r="CC21" s="8">
        <v>-12.98</v>
      </c>
      <c r="CD21" s="9" t="s">
        <v>1177</v>
      </c>
      <c r="CE21" s="8" t="s">
        <v>1178</v>
      </c>
      <c r="CF21" s="8">
        <v>9.0217832893502017</v>
      </c>
      <c r="CG21" s="8">
        <v>48.168237634843159</v>
      </c>
      <c r="CH21" s="8">
        <v>-0.82928210496902466</v>
      </c>
      <c r="CI21" s="8">
        <v>7.212124764919281E-2</v>
      </c>
      <c r="CJ21" s="9">
        <v>4.1009504348039627E-2</v>
      </c>
      <c r="CK21" s="9">
        <v>0.18107298016548157</v>
      </c>
      <c r="CL21" s="9">
        <v>2.5978553295135498</v>
      </c>
      <c r="CM21" s="9">
        <v>-0.9770926833152771</v>
      </c>
      <c r="CN21" s="9">
        <v>5.0868485122919083E-2</v>
      </c>
      <c r="CO21">
        <v>0.24382716417312622</v>
      </c>
      <c r="CP21">
        <v>-1.9667170941829681E-2</v>
      </c>
      <c r="CQ21">
        <v>2.3050000667572021</v>
      </c>
      <c r="CR21" s="8">
        <v>22.61341832729433</v>
      </c>
      <c r="CS21" s="9">
        <v>0.54813047658316827</v>
      </c>
      <c r="CT21">
        <v>3.3366700033366703</v>
      </c>
      <c r="CU21">
        <v>0.41255539134144781</v>
      </c>
      <c r="CV21">
        <v>0.32058717235922812</v>
      </c>
      <c r="CW21">
        <v>0.06</v>
      </c>
      <c r="CX21">
        <v>252.37693687617852</v>
      </c>
      <c r="CY21">
        <v>25855760.35896457</v>
      </c>
      <c r="CZ21">
        <v>0.41255539134144781</v>
      </c>
      <c r="DA21">
        <v>63.434973170303529</v>
      </c>
      <c r="DB21">
        <v>102867507.84116043</v>
      </c>
      <c r="DC21">
        <v>0.3919276217743754</v>
      </c>
      <c r="DD21">
        <v>21.23665593351085</v>
      </c>
      <c r="DE21">
        <v>307270486.48479092</v>
      </c>
      <c r="DF21">
        <v>0.36304874438047408</v>
      </c>
      <c r="DG21">
        <v>7.872321868768851</v>
      </c>
      <c r="DH21">
        <v>828903811.19801748</v>
      </c>
      <c r="DI21">
        <v>0.33004431307315829</v>
      </c>
      <c r="DJ21">
        <v>1.2226109610617497</v>
      </c>
      <c r="DK21">
        <v>5337264107.5728302</v>
      </c>
      <c r="DL21">
        <v>0.28878877393901342</v>
      </c>
      <c r="DM21">
        <v>19402500</v>
      </c>
      <c r="DN21">
        <v>0.41255539134144781</v>
      </c>
      <c r="DO21">
        <v>6525397600</v>
      </c>
      <c r="DP21">
        <v>3474230600</v>
      </c>
      <c r="DQ21" s="10">
        <v>2761</v>
      </c>
      <c r="DR21">
        <v>8.6092278980087542</v>
      </c>
      <c r="DS21">
        <v>47.847650462483934</v>
      </c>
      <c r="DT21">
        <v>-0.17833333333333337</v>
      </c>
      <c r="DU21">
        <v>0.5</v>
      </c>
      <c r="DV21">
        <v>0.32166666666666666</v>
      </c>
      <c r="DW21">
        <v>-8.2704160246533132</v>
      </c>
      <c r="DX21">
        <v>0.28490258852833322</v>
      </c>
      <c r="DY21">
        <v>-8.0229590204726087</v>
      </c>
      <c r="DZ21">
        <v>1532</v>
      </c>
      <c r="EA21">
        <v>-8.0160758072898233</v>
      </c>
      <c r="EB21" s="11">
        <v>8</v>
      </c>
      <c r="EC21" s="11">
        <v>8.9287142571485706E-3</v>
      </c>
      <c r="ED21">
        <v>0.10516421715656869</v>
      </c>
      <c r="EE21">
        <v>9.0154999999999994</v>
      </c>
      <c r="EF21">
        <v>9.01051</v>
      </c>
      <c r="EG21">
        <v>20.084902588528333</v>
      </c>
      <c r="EH21" s="13" t="s">
        <v>1179</v>
      </c>
      <c r="EI21">
        <v>0</v>
      </c>
      <c r="EJ21">
        <v>0</v>
      </c>
      <c r="EK21">
        <v>45470</v>
      </c>
      <c r="EL21">
        <v>0.09</v>
      </c>
      <c r="EM21">
        <v>-5.59</v>
      </c>
      <c r="EN21" s="14">
        <v>0.09</v>
      </c>
      <c r="EO21" s="14">
        <v>4.6900000000000004</v>
      </c>
      <c r="EP21" s="14">
        <v>-2.6</v>
      </c>
    </row>
    <row r="22" spans="1:146" ht="96" x14ac:dyDescent="0.25">
      <c r="C22" s="6" t="str">
        <f>""&amp;CHAR(10)&amp;Basic_Fundamental_Information_Constructure(F22)&amp;CHAR(10)&amp;Basic_Fundamental_Information_Concatenate("")</f>
        <v xml:space="preserve">
市值67.500167亿, 利润-1.22亿; PE28.96; 平均PE-176.37; 平均PEG-11.45, PB1.66; ROIC2.2667%; ROE5.1867%; 股利率1.506%; 毛利32.2767%; 净利3.8967%; 上一年度营收增-95.2%, 利润增-368.4%; 当季营收增1258.16%, 利润增1777.13%; 过往5年营收增-15.41%, 利润增-368.4%
Income profile:
</v>
      </c>
      <c r="D22" s="5" t="s">
        <v>471</v>
      </c>
      <c r="E22" t="s">
        <v>491</v>
      </c>
      <c r="F22">
        <v>6.64</v>
      </c>
      <c r="G22">
        <v>-0.75</v>
      </c>
      <c r="H22" t="s">
        <v>1180</v>
      </c>
      <c r="I22">
        <v>6750016700</v>
      </c>
      <c r="J22">
        <v>28.96</v>
      </c>
      <c r="K22">
        <v>1.66</v>
      </c>
      <c r="L22" t="s">
        <v>87</v>
      </c>
      <c r="M22" t="s">
        <v>743</v>
      </c>
      <c r="N22" t="s">
        <v>1181</v>
      </c>
      <c r="O22" t="s">
        <v>717</v>
      </c>
      <c r="P22" s="5">
        <v>-29.99</v>
      </c>
      <c r="Q22" t="s">
        <v>1182</v>
      </c>
      <c r="R22">
        <v>59036698</v>
      </c>
      <c r="S22">
        <v>-0.54349999999999998</v>
      </c>
      <c r="T22" t="s">
        <v>1183</v>
      </c>
      <c r="U22">
        <v>1016568780</v>
      </c>
      <c r="V22">
        <v>1016568780</v>
      </c>
      <c r="W22">
        <v>1.36</v>
      </c>
      <c r="X22" t="s">
        <v>9</v>
      </c>
      <c r="Y22">
        <v>8.1999999999999993</v>
      </c>
      <c r="Z22" t="s">
        <v>9</v>
      </c>
      <c r="AA22" t="s">
        <v>9</v>
      </c>
      <c r="AB22" t="s">
        <v>9</v>
      </c>
      <c r="AC22" t="s">
        <v>9</v>
      </c>
      <c r="AD22" t="s">
        <v>9</v>
      </c>
      <c r="AE22">
        <v>-6632488</v>
      </c>
      <c r="AF22" t="s">
        <v>746</v>
      </c>
      <c r="AG22" t="s">
        <v>1184</v>
      </c>
      <c r="AH22" t="s">
        <v>747</v>
      </c>
      <c r="AI22" t="s">
        <v>1185</v>
      </c>
      <c r="AJ22" t="s">
        <v>748</v>
      </c>
      <c r="AK22" t="s">
        <v>9</v>
      </c>
      <c r="AL22" t="s">
        <v>749</v>
      </c>
      <c r="AM22" t="s">
        <v>9</v>
      </c>
      <c r="AN22" t="s">
        <v>822</v>
      </c>
      <c r="AO22" t="s">
        <v>9</v>
      </c>
      <c r="AP22" t="s">
        <v>1186</v>
      </c>
      <c r="AQ22" t="s">
        <v>1187</v>
      </c>
      <c r="AR22" t="s">
        <v>9</v>
      </c>
      <c r="AS22" t="s">
        <v>9</v>
      </c>
      <c r="AT22" t="s">
        <v>9</v>
      </c>
      <c r="AU22" t="s">
        <v>1188</v>
      </c>
      <c r="AV22" t="s">
        <v>1189</v>
      </c>
      <c r="AW22" t="s">
        <v>1190</v>
      </c>
      <c r="AX22" t="s">
        <v>472</v>
      </c>
      <c r="AY22" t="s">
        <v>9</v>
      </c>
      <c r="AZ22" t="s">
        <v>474</v>
      </c>
      <c r="BA22" t="s">
        <v>475</v>
      </c>
      <c r="BB22" t="s">
        <v>476</v>
      </c>
      <c r="BC22" t="s">
        <v>473</v>
      </c>
      <c r="BD22" t="s">
        <v>9</v>
      </c>
      <c r="BE22" t="s">
        <v>9</v>
      </c>
      <c r="BF22" t="s">
        <v>9</v>
      </c>
      <c r="BG22" t="s">
        <v>9</v>
      </c>
      <c r="BH22" t="s">
        <v>744</v>
      </c>
      <c r="BI22" t="s">
        <v>1191</v>
      </c>
      <c r="BJ22" t="s">
        <v>472</v>
      </c>
      <c r="BK22" t="s">
        <v>745</v>
      </c>
      <c r="BL22" t="s">
        <v>1192</v>
      </c>
      <c r="BM22" t="s">
        <v>473</v>
      </c>
      <c r="BN22">
        <v>3.15</v>
      </c>
      <c r="BO22">
        <v>1.05</v>
      </c>
      <c r="BP22">
        <v>2.6</v>
      </c>
      <c r="BQ22">
        <v>6.21</v>
      </c>
      <c r="BR22">
        <v>1.01</v>
      </c>
      <c r="BS22">
        <v>8.34</v>
      </c>
      <c r="BT22" t="s">
        <v>383</v>
      </c>
      <c r="BU22" t="s">
        <v>329</v>
      </c>
      <c r="BV22">
        <v>46.49</v>
      </c>
      <c r="BW22">
        <v>24.65</v>
      </c>
      <c r="BX22">
        <v>25.69</v>
      </c>
      <c r="BY22">
        <v>8</v>
      </c>
      <c r="BZ22">
        <v>0.5</v>
      </c>
      <c r="CA22">
        <v>3.19</v>
      </c>
      <c r="CB22">
        <v>-6.08</v>
      </c>
      <c r="CC22" s="8">
        <v>-19.12</v>
      </c>
      <c r="CD22" s="9" t="s">
        <v>1193</v>
      </c>
      <c r="CE22" s="8" t="s">
        <v>160</v>
      </c>
      <c r="CF22" s="8">
        <v>12.581551040566309</v>
      </c>
      <c r="CG22" s="8">
        <v>17.771312746796966</v>
      </c>
      <c r="CH22" s="8">
        <v>-0.95197278261184692</v>
      </c>
      <c r="CI22" s="8" t="s">
        <v>9</v>
      </c>
      <c r="CJ22" s="9" t="s">
        <v>9</v>
      </c>
      <c r="CK22" s="9">
        <v>0.32325774431228638</v>
      </c>
      <c r="CL22" s="9">
        <v>0.1664210706949234</v>
      </c>
      <c r="CM22" s="9">
        <v>-3.6839554309844971</v>
      </c>
      <c r="CN22" s="9" t="s">
        <v>9</v>
      </c>
      <c r="CO22" t="s">
        <v>9</v>
      </c>
      <c r="CP22" t="s">
        <v>9</v>
      </c>
      <c r="CQ22" t="s">
        <v>9</v>
      </c>
      <c r="CR22" s="8">
        <v>-176.36797061063666</v>
      </c>
      <c r="CS22" s="9">
        <v>-11.445183128247306</v>
      </c>
      <c r="CT22">
        <v>1.5060240963855422</v>
      </c>
      <c r="CU22">
        <v>-0.15409798920154572</v>
      </c>
      <c r="CV22">
        <v>-3.6839554309844971</v>
      </c>
      <c r="CW22">
        <v>0.06</v>
      </c>
      <c r="CX22" t="e">
        <v>#VALUE!</v>
      </c>
      <c r="CY22" t="s">
        <v>313</v>
      </c>
      <c r="CZ22">
        <v>-0.15409798920154572</v>
      </c>
      <c r="DA22" t="e">
        <v>#VALUE!</v>
      </c>
      <c r="DB22" t="s">
        <v>313</v>
      </c>
      <c r="DC22">
        <v>-0.14639308974146842</v>
      </c>
      <c r="DD22" t="e">
        <v>#VALUE!</v>
      </c>
      <c r="DE22" t="s">
        <v>313</v>
      </c>
      <c r="DF22">
        <v>-0.13560623049736023</v>
      </c>
      <c r="DG22" t="e">
        <v>#VALUE!</v>
      </c>
      <c r="DH22" t="s">
        <v>313</v>
      </c>
      <c r="DI22">
        <v>-0.12327839136123658</v>
      </c>
      <c r="DJ22" t="e">
        <v>#VALUE!</v>
      </c>
      <c r="DK22" t="s">
        <v>313</v>
      </c>
      <c r="DL22">
        <v>-0.10786859244108199</v>
      </c>
      <c r="DM22">
        <v>-122000000</v>
      </c>
      <c r="DN22">
        <v>-0.15409798920154572</v>
      </c>
      <c r="DO22">
        <v>5135016700</v>
      </c>
      <c r="DP22">
        <v>4595805600</v>
      </c>
      <c r="DQ22" s="10">
        <v>3020</v>
      </c>
      <c r="DR22">
        <v>12.735649029767854</v>
      </c>
      <c r="DS22">
        <v>21.455268177781463</v>
      </c>
      <c r="DT22">
        <v>-1.1599999999999999</v>
      </c>
      <c r="DU22">
        <v>-3.57</v>
      </c>
      <c r="DV22">
        <v>-4.7299999999999995</v>
      </c>
      <c r="DW22">
        <v>-9.3179916317991633</v>
      </c>
      <c r="DX22">
        <v>0.50909209302325498</v>
      </c>
      <c r="DY22">
        <v>-9.0664895358567676</v>
      </c>
      <c r="DZ22">
        <v>3851</v>
      </c>
      <c r="EA22">
        <v>-9.0163816684234188</v>
      </c>
      <c r="EB22" s="11">
        <v>9</v>
      </c>
      <c r="EC22" s="11">
        <v>4.4222093855764477E-2</v>
      </c>
      <c r="ED22">
        <v>0.21149577306515355</v>
      </c>
      <c r="EE22">
        <v>2.1326000000000001</v>
      </c>
      <c r="EF22">
        <v>2.1073</v>
      </c>
      <c r="EG22">
        <v>30.209092093023255</v>
      </c>
      <c r="EH22" s="13" t="s">
        <v>552</v>
      </c>
      <c r="EI22">
        <v>0</v>
      </c>
      <c r="EJ22">
        <v>0</v>
      </c>
      <c r="EK22">
        <v>45470</v>
      </c>
      <c r="EL22">
        <v>0.71</v>
      </c>
      <c r="EM22">
        <v>-3.74</v>
      </c>
      <c r="EN22" s="14">
        <v>0.97</v>
      </c>
      <c r="EO22" s="14">
        <v>4.57</v>
      </c>
      <c r="EP22" s="14">
        <v>-2.5299999999999998</v>
      </c>
    </row>
    <row r="23" spans="1:146" ht="96" x14ac:dyDescent="0.25">
      <c r="A23" s="6"/>
      <c r="B23" s="6"/>
      <c r="C23" s="6" t="str">
        <f>""&amp;CHAR(10)&amp;Basic_Fundamental_Information_Constructure(F23)&amp;CHAR(10)&amp;Basic_Fundamental_Information_Concatenate("")</f>
        <v xml:space="preserve">
市值20.625亿, 利润3413.93万; PE121.7; 平均PE-927.01; 平均PEG-146.39, PB.974; ROIC-.82%; ROE.14%; 股利率.8%; 毛利17.6367%; 净利-.6667%; 上一年度营收增27.95%, 利润增188.47%; 当季营收增3.48%, 利润增-119.58%; 过往5年营收增-6.33%, 利润增188.47%
Income profile:
</v>
      </c>
      <c r="D23" t="s">
        <v>194</v>
      </c>
      <c r="E23" t="s">
        <v>195</v>
      </c>
      <c r="F23">
        <v>3.75</v>
      </c>
      <c r="G23">
        <v>1.9</v>
      </c>
      <c r="H23" t="s">
        <v>1194</v>
      </c>
      <c r="I23">
        <v>2062500000</v>
      </c>
      <c r="J23">
        <v>121.7</v>
      </c>
      <c r="K23">
        <v>0.97399999999999998</v>
      </c>
      <c r="L23" t="s">
        <v>87</v>
      </c>
      <c r="M23" t="s">
        <v>751</v>
      </c>
      <c r="N23" t="s">
        <v>1195</v>
      </c>
      <c r="O23" t="s">
        <v>752</v>
      </c>
      <c r="P23">
        <v>10.55</v>
      </c>
      <c r="Q23" t="s">
        <v>510</v>
      </c>
      <c r="R23">
        <v>-1274522</v>
      </c>
      <c r="S23" s="5">
        <v>-1.278</v>
      </c>
      <c r="T23" t="s">
        <v>1196</v>
      </c>
      <c r="U23">
        <v>550000000</v>
      </c>
      <c r="V23">
        <v>550000000</v>
      </c>
      <c r="W23">
        <v>1.24</v>
      </c>
      <c r="X23" t="s">
        <v>9</v>
      </c>
      <c r="Y23">
        <v>-0.56999999999999995</v>
      </c>
      <c r="Z23" t="s">
        <v>9</v>
      </c>
      <c r="AA23" t="s">
        <v>9</v>
      </c>
      <c r="AB23" t="s">
        <v>9</v>
      </c>
      <c r="AC23" t="s">
        <v>9</v>
      </c>
      <c r="AD23" t="s">
        <v>9</v>
      </c>
      <c r="AE23">
        <v>-11059664</v>
      </c>
      <c r="AF23" t="s">
        <v>755</v>
      </c>
      <c r="AG23" t="s">
        <v>1197</v>
      </c>
      <c r="AH23" t="s">
        <v>756</v>
      </c>
      <c r="AI23" t="s">
        <v>1198</v>
      </c>
      <c r="AJ23" t="s">
        <v>757</v>
      </c>
      <c r="AK23" t="s">
        <v>9</v>
      </c>
      <c r="AL23" t="s">
        <v>758</v>
      </c>
      <c r="AM23" t="s">
        <v>9</v>
      </c>
      <c r="AN23" t="s">
        <v>1199</v>
      </c>
      <c r="AO23" t="s">
        <v>9</v>
      </c>
      <c r="AP23" t="s">
        <v>9</v>
      </c>
      <c r="AQ23" t="s">
        <v>109</v>
      </c>
      <c r="AR23" t="s">
        <v>9</v>
      </c>
      <c r="AS23" t="s">
        <v>9</v>
      </c>
      <c r="AT23" t="s">
        <v>9</v>
      </c>
      <c r="AU23" t="s">
        <v>1200</v>
      </c>
      <c r="AV23" t="s">
        <v>1201</v>
      </c>
      <c r="AW23" t="s">
        <v>1202</v>
      </c>
      <c r="AX23" t="s">
        <v>62</v>
      </c>
      <c r="AY23" t="s">
        <v>9</v>
      </c>
      <c r="AZ23" t="s">
        <v>145</v>
      </c>
      <c r="BA23" t="s">
        <v>197</v>
      </c>
      <c r="BB23" t="s">
        <v>198</v>
      </c>
      <c r="BC23" t="s">
        <v>759</v>
      </c>
      <c r="BD23" t="s">
        <v>9</v>
      </c>
      <c r="BE23" t="s">
        <v>9</v>
      </c>
      <c r="BF23" t="s">
        <v>9</v>
      </c>
      <c r="BG23" t="s">
        <v>9</v>
      </c>
      <c r="BH23" t="s">
        <v>753</v>
      </c>
      <c r="BI23" t="s">
        <v>1203</v>
      </c>
      <c r="BJ23" t="s">
        <v>62</v>
      </c>
      <c r="BK23" t="s">
        <v>754</v>
      </c>
      <c r="BL23" t="s">
        <v>1204</v>
      </c>
      <c r="BM23" t="s">
        <v>759</v>
      </c>
      <c r="BN23">
        <v>0.85</v>
      </c>
      <c r="BO23" t="s">
        <v>9</v>
      </c>
      <c r="BP23">
        <v>-2.4900000000000002</v>
      </c>
      <c r="BQ23">
        <v>1.83</v>
      </c>
      <c r="BR23">
        <v>-1.82</v>
      </c>
      <c r="BS23">
        <v>0.41</v>
      </c>
      <c r="BT23" t="s">
        <v>760</v>
      </c>
      <c r="BU23" t="s">
        <v>327</v>
      </c>
      <c r="BV23">
        <v>16.690000000000001</v>
      </c>
      <c r="BW23">
        <v>16.059999999999999</v>
      </c>
      <c r="BX23">
        <v>20.16</v>
      </c>
      <c r="BY23">
        <v>2.48</v>
      </c>
      <c r="BZ23">
        <v>-5.77</v>
      </c>
      <c r="CA23">
        <v>1.29</v>
      </c>
      <c r="CB23">
        <v>2.1800000000000002</v>
      </c>
      <c r="CC23">
        <v>-15.54</v>
      </c>
      <c r="CD23" t="s">
        <v>1205</v>
      </c>
      <c r="CE23" t="s">
        <v>1206</v>
      </c>
      <c r="CF23" s="8">
        <v>3.4825870646766323E-2</v>
      </c>
      <c r="CG23" s="9">
        <v>-1.1957520465680629</v>
      </c>
      <c r="CH23" s="8">
        <v>0.27952167391777039</v>
      </c>
      <c r="CI23" s="8" t="s">
        <v>9</v>
      </c>
      <c r="CJ23" s="8" t="s">
        <v>9</v>
      </c>
      <c r="CK23" s="8">
        <v>-0.42291495203971863</v>
      </c>
      <c r="CL23" s="8">
        <v>-4.658624529838562E-2</v>
      </c>
      <c r="CM23" s="9">
        <v>1.8846876621246338</v>
      </c>
      <c r="CN23" s="9" t="s">
        <v>9</v>
      </c>
      <c r="CO23" s="9" t="s">
        <v>9</v>
      </c>
      <c r="CP23" s="9" t="s">
        <v>9</v>
      </c>
      <c r="CQ23" s="9" t="s">
        <v>9</v>
      </c>
      <c r="CR23">
        <v>-927.00795541372645</v>
      </c>
      <c r="CS23">
        <v>-146.38545334636424</v>
      </c>
      <c r="CT23">
        <v>0.79999999999999993</v>
      </c>
      <c r="CU23" s="8">
        <v>-6.3326507806777954E-2</v>
      </c>
      <c r="CV23" s="9">
        <v>1.8846876621246338</v>
      </c>
      <c r="CW23">
        <v>0.06</v>
      </c>
      <c r="CX23" t="e">
        <v>#VALUE!</v>
      </c>
      <c r="CY23" t="s">
        <v>761</v>
      </c>
      <c r="CZ23">
        <v>-6.3326507806777954E-2</v>
      </c>
      <c r="DA23">
        <v>4.4279369133715907</v>
      </c>
      <c r="DB23" t="s">
        <v>1207</v>
      </c>
      <c r="DC23">
        <v>-6.0160182416439056E-2</v>
      </c>
      <c r="DD23">
        <v>2.2139684566857953</v>
      </c>
      <c r="DE23" t="s">
        <v>1208</v>
      </c>
      <c r="DF23">
        <v>-5.5727326869964601E-2</v>
      </c>
      <c r="DG23">
        <v>1.3283810740114772</v>
      </c>
      <c r="DH23" t="s">
        <v>1209</v>
      </c>
      <c r="DI23">
        <v>-5.0661206245422363E-2</v>
      </c>
      <c r="DJ23">
        <v>0.6641905370057386</v>
      </c>
      <c r="DK23" t="s">
        <v>1210</v>
      </c>
      <c r="DL23">
        <v>-4.4328555464744568E-2</v>
      </c>
      <c r="DM23">
        <v>34139300</v>
      </c>
      <c r="DN23">
        <v>-6.3326507806777954E-2</v>
      </c>
      <c r="DO23">
        <v>453500000.00000024</v>
      </c>
      <c r="DP23">
        <v>1887460900</v>
      </c>
      <c r="DQ23">
        <v>3040</v>
      </c>
      <c r="DR23">
        <v>9.815237845354427E-2</v>
      </c>
      <c r="DS23">
        <v>-3.0804397086926967</v>
      </c>
      <c r="DT23" s="10">
        <v>-0.41000000000000003</v>
      </c>
      <c r="DU23">
        <v>-1.7950000000000002</v>
      </c>
      <c r="DV23">
        <v>-2.2050000000000001</v>
      </c>
      <c r="DW23">
        <v>-2.1554000000000002</v>
      </c>
      <c r="DX23">
        <v>0.33794127906976623</v>
      </c>
      <c r="DY23">
        <v>-2.019882074767442</v>
      </c>
      <c r="DZ23">
        <v>199</v>
      </c>
      <c r="EA23">
        <v>-2.0191078021884361</v>
      </c>
      <c r="EB23">
        <v>2</v>
      </c>
      <c r="EC23">
        <v>4.0010727272727274E-2</v>
      </c>
      <c r="ED23">
        <v>0.31272727272727274</v>
      </c>
      <c r="EE23" s="11">
        <v>1.02471</v>
      </c>
      <c r="EF23">
        <v>1.04101</v>
      </c>
      <c r="EG23">
        <v>21.127941279069766</v>
      </c>
      <c r="EH23" t="s">
        <v>426</v>
      </c>
      <c r="EI23">
        <v>0</v>
      </c>
      <c r="EJ23">
        <v>1</v>
      </c>
      <c r="EK23" s="13">
        <v>45470</v>
      </c>
      <c r="EL23" s="14">
        <v>1.0900000000000001</v>
      </c>
      <c r="EM23" s="14">
        <v>-2.16</v>
      </c>
      <c r="EN23" s="14">
        <v>0.28000000000000003</v>
      </c>
      <c r="EO23" s="14">
        <v>1.38</v>
      </c>
      <c r="EP23" s="14">
        <v>-1.63</v>
      </c>
    </row>
    <row r="24" spans="1:146" ht="156" x14ac:dyDescent="0.25">
      <c r="A24" s="6"/>
      <c r="B24" s="6"/>
      <c r="C24" s="6" t="str">
        <f>"公司主要从事化妆品，日用化学品和婴儿产品的开发、生产和销售。主要产品包括六神、佰草集、高夫、美加净、启初、家安、玉泽、双妹、汤美星等。"&amp;CHAR(10)&amp;Basic_Fundamental_Information_Constructure(F24)&amp;CHAR(10)&amp;Basic_Fundamental_Information_Concatenate("个护家清 6.67亿 40.76%
母婴 4.59亿 28.08%
护肤 4.53亿 27.67%
合作品牌 5723.68万 3.50%")</f>
        <v>公司主要从事化妆品，日用化学品和婴儿产品的开发、生产和销售。主要产品包括六神、佰草集、高夫、美加净、启初、家安、玉泽、双妹、汤美星等。
市值118.812532亿, 利润3250.12万; PE22.6; 平均PE26.59; 平均PEG2.84, PB1.5; ROIC6.3267%; ROE7.19%; 股利率1.309%; 毛利58.2733%; 净利7.57%; 上一年度营收增-47.55%, 利润增-93.11%; 当季营收增1290.51%, 利润增2924.78%; 过往5年营收增-9.38%, 利润增-17.82%
Income profile:
个护家清 6.67亿 40.76%
母婴 4.59亿 28.08%
护肤 4.53亿 27.67%
合作品牌 5723.68万 3.50%</v>
      </c>
      <c r="D24" t="s">
        <v>199</v>
      </c>
      <c r="E24" t="s">
        <v>200</v>
      </c>
      <c r="F24">
        <v>17.57</v>
      </c>
      <c r="G24">
        <v>0.92</v>
      </c>
      <c r="H24" t="s">
        <v>1211</v>
      </c>
      <c r="I24">
        <v>11881253200</v>
      </c>
      <c r="J24">
        <v>22.6</v>
      </c>
      <c r="K24">
        <v>1.5</v>
      </c>
      <c r="L24" t="s">
        <v>87</v>
      </c>
      <c r="M24" t="s">
        <v>762</v>
      </c>
      <c r="N24" t="s">
        <v>1212</v>
      </c>
      <c r="O24" t="s">
        <v>763</v>
      </c>
      <c r="P24">
        <v>-3.76</v>
      </c>
      <c r="Q24" t="s">
        <v>1213</v>
      </c>
      <c r="R24">
        <v>256207190</v>
      </c>
      <c r="S24" s="5">
        <v>0.1118</v>
      </c>
      <c r="T24" t="s">
        <v>1214</v>
      </c>
      <c r="U24">
        <v>673194380</v>
      </c>
      <c r="V24">
        <v>676223860</v>
      </c>
      <c r="W24">
        <v>1.49</v>
      </c>
      <c r="X24">
        <v>0.16</v>
      </c>
      <c r="Y24">
        <v>13.45</v>
      </c>
      <c r="Z24" t="s">
        <v>1215</v>
      </c>
      <c r="AA24" t="s">
        <v>835</v>
      </c>
      <c r="AB24" t="s">
        <v>127</v>
      </c>
      <c r="AC24" t="s">
        <v>511</v>
      </c>
      <c r="AD24" t="s">
        <v>9</v>
      </c>
      <c r="AE24">
        <v>13381833</v>
      </c>
      <c r="AF24" t="s">
        <v>766</v>
      </c>
      <c r="AG24" t="s">
        <v>1216</v>
      </c>
      <c r="AH24" t="s">
        <v>767</v>
      </c>
      <c r="AI24" t="s">
        <v>1101</v>
      </c>
      <c r="AJ24" t="s">
        <v>768</v>
      </c>
      <c r="AK24" t="s">
        <v>9</v>
      </c>
      <c r="AL24" t="s">
        <v>769</v>
      </c>
      <c r="AM24" t="s">
        <v>9</v>
      </c>
      <c r="AN24" t="s">
        <v>1217</v>
      </c>
      <c r="AO24" t="s">
        <v>326</v>
      </c>
      <c r="AP24" t="s">
        <v>9</v>
      </c>
      <c r="AQ24" t="s">
        <v>1218</v>
      </c>
      <c r="AR24" t="s">
        <v>9</v>
      </c>
      <c r="AS24" t="s">
        <v>1219</v>
      </c>
      <c r="AT24" t="s">
        <v>9</v>
      </c>
      <c r="AU24" t="s">
        <v>1132</v>
      </c>
      <c r="AV24" t="s">
        <v>1220</v>
      </c>
      <c r="AW24" t="s">
        <v>1221</v>
      </c>
      <c r="AX24" t="s">
        <v>477</v>
      </c>
      <c r="AY24" t="s">
        <v>291</v>
      </c>
      <c r="AZ24" t="s">
        <v>201</v>
      </c>
      <c r="BA24" t="s">
        <v>203</v>
      </c>
      <c r="BB24" t="s">
        <v>204</v>
      </c>
      <c r="BC24" t="s">
        <v>478</v>
      </c>
      <c r="BD24" t="s">
        <v>292</v>
      </c>
      <c r="BE24" t="s">
        <v>59</v>
      </c>
      <c r="BF24" t="s">
        <v>126</v>
      </c>
      <c r="BG24" t="s">
        <v>205</v>
      </c>
      <c r="BH24" t="s">
        <v>764</v>
      </c>
      <c r="BI24" t="s">
        <v>822</v>
      </c>
      <c r="BJ24" t="s">
        <v>477</v>
      </c>
      <c r="BK24" t="s">
        <v>765</v>
      </c>
      <c r="BL24" t="s">
        <v>1222</v>
      </c>
      <c r="BM24" t="s">
        <v>478</v>
      </c>
      <c r="BN24">
        <v>4.7699999999999996</v>
      </c>
      <c r="BO24">
        <v>5.85</v>
      </c>
      <c r="BP24">
        <v>8.36</v>
      </c>
      <c r="BQ24">
        <v>5.3</v>
      </c>
      <c r="BR24">
        <v>6.64</v>
      </c>
      <c r="BS24">
        <v>9.6300000000000008</v>
      </c>
      <c r="BT24" t="s">
        <v>770</v>
      </c>
      <c r="BU24" t="s">
        <v>329</v>
      </c>
      <c r="BV24">
        <v>58.97</v>
      </c>
      <c r="BW24">
        <v>57.12</v>
      </c>
      <c r="BX24">
        <v>58.73</v>
      </c>
      <c r="BY24">
        <v>7.58</v>
      </c>
      <c r="BZ24">
        <v>6.64</v>
      </c>
      <c r="CA24">
        <v>8.49</v>
      </c>
      <c r="CB24">
        <v>-1.18</v>
      </c>
      <c r="CC24">
        <v>-13.02</v>
      </c>
      <c r="CD24" t="s">
        <v>1223</v>
      </c>
      <c r="CE24" t="s">
        <v>71</v>
      </c>
      <c r="CF24" s="8">
        <v>12.905109489051094</v>
      </c>
      <c r="CG24" s="9">
        <v>29.247760749724367</v>
      </c>
      <c r="CH24" s="8">
        <v>-0.47551363706588745</v>
      </c>
      <c r="CI24" s="8">
        <v>-7.0625193417072296E-2</v>
      </c>
      <c r="CJ24" s="8">
        <v>8.73151496052742E-2</v>
      </c>
      <c r="CK24" s="8">
        <v>-7.4371486902236938E-2</v>
      </c>
      <c r="CL24" s="8">
        <v>6.4303770661354065E-2</v>
      </c>
      <c r="CM24" s="9">
        <v>-0.93114155530929565</v>
      </c>
      <c r="CN24" s="9">
        <v>-0.27272728085517883</v>
      </c>
      <c r="CO24" s="9">
        <v>0.50930231809616089</v>
      </c>
      <c r="CP24" s="9">
        <v>-0.22800718247890472</v>
      </c>
      <c r="CQ24" s="9">
        <v>3.1481482088565826E-2</v>
      </c>
      <c r="CR24">
        <v>26.5948469636947</v>
      </c>
      <c r="CS24">
        <v>2.8359282263574639</v>
      </c>
      <c r="CT24">
        <v>1.3090495162208309</v>
      </c>
      <c r="CU24" s="8">
        <v>-9.3778279423713681E-2</v>
      </c>
      <c r="CV24" s="9">
        <v>-0.17821844369173051</v>
      </c>
      <c r="CW24">
        <v>0.06</v>
      </c>
      <c r="CX24">
        <v>246.15254821360446</v>
      </c>
      <c r="CY24" t="s">
        <v>1224</v>
      </c>
      <c r="CZ24">
        <v>-9.3778279423713681E-2</v>
      </c>
      <c r="DA24">
        <v>82.050849404534816</v>
      </c>
      <c r="DB24" t="s">
        <v>1225</v>
      </c>
      <c r="DC24">
        <v>-8.9089365452527991E-2</v>
      </c>
      <c r="DD24">
        <v>41.025424702267408</v>
      </c>
      <c r="DE24" t="s">
        <v>1226</v>
      </c>
      <c r="DF24">
        <v>-8.2524885892868036E-2</v>
      </c>
      <c r="DG24">
        <v>24.615254821360445</v>
      </c>
      <c r="DH24" t="s">
        <v>1227</v>
      </c>
      <c r="DI24">
        <v>-7.5022623538970948E-2</v>
      </c>
      <c r="DJ24">
        <v>12.307627410680222</v>
      </c>
      <c r="DK24" t="s">
        <v>1228</v>
      </c>
      <c r="DL24">
        <v>-6.5644795596599567E-2</v>
      </c>
      <c r="DM24">
        <v>32501200</v>
      </c>
      <c r="DN24">
        <v>-9.3778279423713681E-2</v>
      </c>
      <c r="DO24">
        <v>8000253200.000001</v>
      </c>
      <c r="DP24">
        <v>2546468700.0000005</v>
      </c>
      <c r="DQ24">
        <v>3089</v>
      </c>
      <c r="DR24">
        <v>12.998887768474807</v>
      </c>
      <c r="DS24">
        <v>29.425979193416097</v>
      </c>
      <c r="DT24" s="10">
        <v>-0.60666666666666669</v>
      </c>
      <c r="DU24">
        <v>-0.68666666666666665</v>
      </c>
      <c r="DV24">
        <v>-1.2933333333333334</v>
      </c>
      <c r="DW24">
        <v>-2.1301999999999999</v>
      </c>
      <c r="DX24">
        <v>0.3146551181102345</v>
      </c>
      <c r="DY24">
        <v>-2.0201360963779527</v>
      </c>
      <c r="DZ24">
        <v>874</v>
      </c>
      <c r="EA24">
        <v>-2.0166920751970658</v>
      </c>
      <c r="EB24">
        <v>2</v>
      </c>
      <c r="EC24">
        <v>2.9045411086204502E-2</v>
      </c>
      <c r="ED24">
        <v>0.18780762926643849</v>
      </c>
      <c r="EE24" s="11">
        <v>9.3909999999999993E-2</v>
      </c>
      <c r="EF24">
        <v>0.11341</v>
      </c>
      <c r="EG24">
        <v>16.154655118110234</v>
      </c>
      <c r="EH24">
        <v>-1</v>
      </c>
      <c r="EI24">
        <v>0</v>
      </c>
      <c r="EJ24">
        <v>1</v>
      </c>
      <c r="EK24" s="13">
        <v>45470</v>
      </c>
      <c r="EL24" s="14">
        <v>0.18</v>
      </c>
      <c r="EM24" s="14">
        <v>-4.2</v>
      </c>
      <c r="EN24" s="14">
        <v>1.28</v>
      </c>
      <c r="EO24" s="14">
        <v>1.99</v>
      </c>
      <c r="EP24" s="14">
        <v>-1.95</v>
      </c>
    </row>
    <row r="25" spans="1:146" ht="156" x14ac:dyDescent="0.25">
      <c r="A25" s="6"/>
      <c r="B25" s="6"/>
      <c r="C25" s="6" t="str">
        <f>"公司主要从事口腔清洁护理用品以及一次性卫生用品的研发、生产和销售,其中口腔清洁护理用品主要包括牙刷、牙线、齿间刷、牙线签等产品,一次性卫生用品主要包括湿巾等产品。"&amp;CHAR(10)&amp;Basic_Fundamental_Information_Constructure(F25)&amp;CHAR(10)&amp;Basic_Fundamental_Information_Concatenate("牙刷 3.17亿 41.97%
湿巾 2.65亿 35.12%
其他业务 1.73亿 22.92% ")</f>
        <v xml:space="preserve">公司主要从事口腔清洁护理用品以及一次性卫生用品的研发、生产和销售,其中口腔清洁护理用品主要包括牙刷、牙线、齿间刷、牙线签等产品,一次性卫生用品主要包括湿巾等产品。
市值19.929022亿, 利润2.57亿; PE19.11; 平均PE16.86; 平均PEG.45, PB1.57; ROIC6.2133%; ROE6.9067%; 股利率1.0081%; 毛利22.5733%; 净利8.38%; 上一年度营收增153.33%, 利润增164.11%; 当季营收增-38.89%, 利润增178.39%; 过往5年营收增37.87%, 利润增35.5%
Income profile:
牙刷 3.17亿 41.97%
湿巾 2.65亿 35.12%
其他业务 1.73亿 22.92% </v>
      </c>
      <c r="D25" t="s">
        <v>206</v>
      </c>
      <c r="E25" t="s">
        <v>207</v>
      </c>
      <c r="F25">
        <v>19.84</v>
      </c>
      <c r="G25">
        <v>1.69</v>
      </c>
      <c r="H25" t="s">
        <v>1229</v>
      </c>
      <c r="I25">
        <v>1992902200</v>
      </c>
      <c r="J25">
        <v>19.11</v>
      </c>
      <c r="K25">
        <v>1.57</v>
      </c>
      <c r="L25" t="s">
        <v>87</v>
      </c>
      <c r="M25" t="s">
        <v>132</v>
      </c>
      <c r="N25" t="s">
        <v>1230</v>
      </c>
      <c r="O25" t="s">
        <v>772</v>
      </c>
      <c r="P25">
        <v>28.29</v>
      </c>
      <c r="Q25" t="s">
        <v>1231</v>
      </c>
      <c r="R25">
        <v>18942787</v>
      </c>
      <c r="S25" s="5">
        <v>1.645</v>
      </c>
      <c r="T25" t="s">
        <v>499</v>
      </c>
      <c r="U25">
        <v>100448700</v>
      </c>
      <c r="V25">
        <v>100448700</v>
      </c>
      <c r="W25">
        <v>1.68</v>
      </c>
      <c r="X25">
        <v>0.14000000000000001</v>
      </c>
      <c r="Y25">
        <v>6.63</v>
      </c>
      <c r="Z25" t="s">
        <v>47</v>
      </c>
      <c r="AA25" t="s">
        <v>1232</v>
      </c>
      <c r="AB25" t="s">
        <v>1233</v>
      </c>
      <c r="AC25" t="s">
        <v>1234</v>
      </c>
      <c r="AD25" t="s">
        <v>9</v>
      </c>
      <c r="AE25">
        <v>485563</v>
      </c>
      <c r="AF25" t="s">
        <v>775</v>
      </c>
      <c r="AG25" t="s">
        <v>1235</v>
      </c>
      <c r="AH25" t="s">
        <v>776</v>
      </c>
      <c r="AI25" t="s">
        <v>1236</v>
      </c>
      <c r="AJ25" t="s">
        <v>777</v>
      </c>
      <c r="AK25" t="s">
        <v>9</v>
      </c>
      <c r="AL25" t="s">
        <v>778</v>
      </c>
      <c r="AM25" t="s">
        <v>9</v>
      </c>
      <c r="AN25" t="s">
        <v>1237</v>
      </c>
      <c r="AO25" t="s">
        <v>442</v>
      </c>
      <c r="AP25" t="s">
        <v>1238</v>
      </c>
      <c r="AQ25" t="s">
        <v>516</v>
      </c>
      <c r="AR25" t="s">
        <v>9</v>
      </c>
      <c r="AS25" t="s">
        <v>1059</v>
      </c>
      <c r="AT25" t="s">
        <v>1103</v>
      </c>
      <c r="AU25" t="s">
        <v>1239</v>
      </c>
      <c r="AV25" t="s">
        <v>1240</v>
      </c>
      <c r="AW25" t="s">
        <v>1241</v>
      </c>
      <c r="AX25" t="s">
        <v>479</v>
      </c>
      <c r="AY25" t="s">
        <v>267</v>
      </c>
      <c r="AZ25" t="s">
        <v>208</v>
      </c>
      <c r="BA25" t="s">
        <v>210</v>
      </c>
      <c r="BB25" t="s">
        <v>211</v>
      </c>
      <c r="BC25" t="s">
        <v>480</v>
      </c>
      <c r="BD25" t="s">
        <v>293</v>
      </c>
      <c r="BE25" t="s">
        <v>209</v>
      </c>
      <c r="BF25" t="s">
        <v>96</v>
      </c>
      <c r="BG25" t="s">
        <v>212</v>
      </c>
      <c r="BH25" t="s">
        <v>773</v>
      </c>
      <c r="BI25" t="s">
        <v>1242</v>
      </c>
      <c r="BJ25" t="s">
        <v>479</v>
      </c>
      <c r="BK25" t="s">
        <v>774</v>
      </c>
      <c r="BL25" t="s">
        <v>1243</v>
      </c>
      <c r="BM25" t="s">
        <v>480</v>
      </c>
      <c r="BN25">
        <v>3.88</v>
      </c>
      <c r="BO25">
        <v>8.02</v>
      </c>
      <c r="BP25">
        <v>6.74</v>
      </c>
      <c r="BQ25">
        <v>4.95</v>
      </c>
      <c r="BR25">
        <v>8.67</v>
      </c>
      <c r="BS25">
        <v>7.1</v>
      </c>
      <c r="BT25" t="s">
        <v>780</v>
      </c>
      <c r="BU25" t="s">
        <v>327</v>
      </c>
      <c r="BV25">
        <v>23.19</v>
      </c>
      <c r="BW25">
        <v>23.97</v>
      </c>
      <c r="BX25">
        <v>20.56</v>
      </c>
      <c r="BY25">
        <v>8.67</v>
      </c>
      <c r="BZ25">
        <v>9.27</v>
      </c>
      <c r="CA25">
        <v>7.2</v>
      </c>
      <c r="CB25">
        <v>0.51</v>
      </c>
      <c r="CC25">
        <v>-16.739999999999998</v>
      </c>
      <c r="CD25" t="s">
        <v>1244</v>
      </c>
      <c r="CE25" t="s">
        <v>1245</v>
      </c>
      <c r="CF25" s="8">
        <v>-0.3888888888888889</v>
      </c>
      <c r="CG25" s="9">
        <v>1.7838708169016415</v>
      </c>
      <c r="CH25" s="8">
        <v>1.5333333015441895</v>
      </c>
      <c r="CI25" s="8">
        <v>1.0587102733552456E-2</v>
      </c>
      <c r="CJ25" s="8">
        <v>0.25483092665672302</v>
      </c>
      <c r="CK25" s="8">
        <v>2.729528583586216E-2</v>
      </c>
      <c r="CL25" s="8">
        <v>6.7549668252468109E-2</v>
      </c>
      <c r="CM25" s="9">
        <v>1.6410849094390869</v>
      </c>
      <c r="CN25" s="9">
        <v>0.3012184202671051</v>
      </c>
      <c r="CO25" s="9">
        <v>-2.7340991422533989E-2</v>
      </c>
      <c r="CP25" s="9">
        <v>-0.29463574290275574</v>
      </c>
      <c r="CQ25" s="9">
        <v>0.15451307594776154</v>
      </c>
      <c r="CR25">
        <v>16.855958777983101</v>
      </c>
      <c r="CS25">
        <v>0.44507794273002044</v>
      </c>
      <c r="CT25">
        <v>1.0080645161290323</v>
      </c>
      <c r="CU25" s="8">
        <v>0.37871925700455905</v>
      </c>
      <c r="CV25" s="9">
        <v>0.35496793426573275</v>
      </c>
      <c r="CW25">
        <v>0.06</v>
      </c>
      <c r="CX25">
        <v>4.4571234376953131</v>
      </c>
      <c r="CY25">
        <v>334274385.89638829</v>
      </c>
      <c r="CZ25">
        <v>0.37871925700455905</v>
      </c>
      <c r="DA25">
        <v>1.1503820144974866</v>
      </c>
      <c r="DB25">
        <v>1295136903.4144921</v>
      </c>
      <c r="DC25">
        <v>0.35978329415433108</v>
      </c>
      <c r="DD25">
        <v>0.40145038021642354</v>
      </c>
      <c r="DE25">
        <v>3711298515.1409936</v>
      </c>
      <c r="DF25">
        <v>0.33327294616401199</v>
      </c>
      <c r="DG25">
        <v>0.15722346455363426</v>
      </c>
      <c r="DH25">
        <v>9476334872.9778423</v>
      </c>
      <c r="DI25">
        <v>0.30297540560364727</v>
      </c>
      <c r="DJ25">
        <v>2.8150397042680977E-2</v>
      </c>
      <c r="DK25">
        <v>52926507492.631271</v>
      </c>
      <c r="DL25">
        <v>0.26510347990319133</v>
      </c>
      <c r="DM25">
        <v>256999999.99999997</v>
      </c>
      <c r="DN25">
        <v>0.37871925700455905</v>
      </c>
      <c r="DO25">
        <v>1489902200</v>
      </c>
      <c r="DP25">
        <v>-167514310</v>
      </c>
      <c r="DQ25">
        <v>3895</v>
      </c>
      <c r="DR25">
        <v>-0.76760814589344795</v>
      </c>
      <c r="DS25">
        <v>1.4289028826359087</v>
      </c>
      <c r="DT25" s="10">
        <v>2.6666666666666616E-2</v>
      </c>
      <c r="DU25">
        <v>0.68666666666666665</v>
      </c>
      <c r="DV25">
        <v>0.71333333333333326</v>
      </c>
      <c r="DW25">
        <v>-3.0083690476190474</v>
      </c>
      <c r="DX25">
        <v>0.29931778571307049</v>
      </c>
      <c r="DY25">
        <v>-3.0009148857542414</v>
      </c>
      <c r="DZ25">
        <v>1199</v>
      </c>
      <c r="EA25">
        <v>-3.0007002188228644</v>
      </c>
      <c r="EB25">
        <v>3</v>
      </c>
      <c r="EC25">
        <v>1.9169984280533247E-2</v>
      </c>
      <c r="ED25">
        <v>0.17536015896671633</v>
      </c>
      <c r="EE25" s="11">
        <v>2.0975000000000001</v>
      </c>
      <c r="EF25">
        <v>2.0396999999999998</v>
      </c>
      <c r="EG25">
        <v>19.10931778571307</v>
      </c>
      <c r="EH25" t="s">
        <v>552</v>
      </c>
      <c r="EI25">
        <v>0</v>
      </c>
      <c r="EJ25">
        <v>1</v>
      </c>
      <c r="EK25" s="13">
        <v>45470</v>
      </c>
      <c r="EL25" s="14">
        <v>-0.63</v>
      </c>
      <c r="EM25" s="14">
        <v>1.26</v>
      </c>
      <c r="EN25" s="14">
        <v>0.87</v>
      </c>
      <c r="EO25" s="14">
        <v>4.43</v>
      </c>
      <c r="EP25" s="14">
        <v>-5.78</v>
      </c>
    </row>
    <row r="26" spans="1:146" ht="96" x14ac:dyDescent="0.25">
      <c r="C26" s="6" t="str">
        <f>""&amp;CHAR(10)&amp;Basic_Fundamental_Information_Constructure(F26)&amp;CHAR(10)&amp;Basic_Fundamental_Information_Concatenate("")</f>
        <v xml:space="preserve">
市值68.619026亿, 利润38.70亿; PE28.55; 平均PE8.01; 平均PEG.02, PB3.51; ROIC24.9333%; ROE23.565%; 股利率1.0024%; 毛利54.53%; 净利20.43%; 上一年度营收增1733.53%, 利润增2318.75%; 当季营收增-94.99%, 利润增-95.18%; 过往5年营收增467.69%, 利润增636.06%
Income profile:
</v>
      </c>
      <c r="D26" t="s">
        <v>526</v>
      </c>
      <c r="E26" t="s">
        <v>527</v>
      </c>
      <c r="F26">
        <v>16.96</v>
      </c>
      <c r="G26">
        <v>0.12</v>
      </c>
      <c r="H26" t="s">
        <v>1246</v>
      </c>
      <c r="I26">
        <v>6861902600</v>
      </c>
      <c r="J26">
        <v>28.55</v>
      </c>
      <c r="K26">
        <v>3.51</v>
      </c>
      <c r="L26" t="s">
        <v>87</v>
      </c>
      <c r="M26" t="s">
        <v>781</v>
      </c>
      <c r="N26" t="s">
        <v>1247</v>
      </c>
      <c r="O26" t="s">
        <v>496</v>
      </c>
      <c r="P26" s="5">
        <v>10.02</v>
      </c>
      <c r="Q26" t="s">
        <v>1248</v>
      </c>
      <c r="R26">
        <v>35472246</v>
      </c>
      <c r="S26">
        <v>0.67930000000000001</v>
      </c>
      <c r="T26" t="s">
        <v>1249</v>
      </c>
      <c r="U26">
        <v>60690000</v>
      </c>
      <c r="V26">
        <v>404593310</v>
      </c>
      <c r="W26">
        <v>1.06</v>
      </c>
      <c r="X26">
        <v>0.08</v>
      </c>
      <c r="Y26">
        <v>21.28</v>
      </c>
      <c r="Z26" t="s">
        <v>516</v>
      </c>
      <c r="AA26" t="s">
        <v>1250</v>
      </c>
      <c r="AB26" t="s">
        <v>1251</v>
      </c>
      <c r="AC26" t="s">
        <v>1252</v>
      </c>
      <c r="AD26" t="s">
        <v>9</v>
      </c>
      <c r="AE26">
        <v>-10410948</v>
      </c>
      <c r="AF26" t="s">
        <v>784</v>
      </c>
      <c r="AG26" t="s">
        <v>1253</v>
      </c>
      <c r="AH26" t="s">
        <v>785</v>
      </c>
      <c r="AI26" t="s">
        <v>513</v>
      </c>
      <c r="AJ26" t="s">
        <v>786</v>
      </c>
      <c r="AK26" t="s">
        <v>9</v>
      </c>
      <c r="AL26" t="s">
        <v>787</v>
      </c>
      <c r="AM26" t="s">
        <v>9</v>
      </c>
      <c r="AN26" t="s">
        <v>1254</v>
      </c>
      <c r="AO26" t="s">
        <v>9</v>
      </c>
      <c r="AP26" t="s">
        <v>9</v>
      </c>
      <c r="AQ26" t="s">
        <v>1255</v>
      </c>
      <c r="AR26" t="s">
        <v>9</v>
      </c>
      <c r="AS26" t="s">
        <v>513</v>
      </c>
      <c r="AT26" t="s">
        <v>9</v>
      </c>
      <c r="AU26" t="s">
        <v>1256</v>
      </c>
      <c r="AV26" t="s">
        <v>1257</v>
      </c>
      <c r="AW26" t="s">
        <v>1258</v>
      </c>
      <c r="AX26" t="s">
        <v>510</v>
      </c>
      <c r="AY26" t="s">
        <v>461</v>
      </c>
      <c r="AZ26" t="s">
        <v>528</v>
      </c>
      <c r="BA26" t="s">
        <v>463</v>
      </c>
      <c r="BB26" t="s">
        <v>9</v>
      </c>
      <c r="BC26" t="s">
        <v>333</v>
      </c>
      <c r="BD26" t="s">
        <v>337</v>
      </c>
      <c r="BE26" t="s">
        <v>529</v>
      </c>
      <c r="BF26" t="s">
        <v>530</v>
      </c>
      <c r="BG26" t="s">
        <v>9</v>
      </c>
      <c r="BH26" t="s">
        <v>782</v>
      </c>
      <c r="BI26" t="s">
        <v>1259</v>
      </c>
      <c r="BJ26" t="s">
        <v>510</v>
      </c>
      <c r="BK26" t="s">
        <v>783</v>
      </c>
      <c r="BL26" t="s">
        <v>1260</v>
      </c>
      <c r="BM26" t="s">
        <v>333</v>
      </c>
      <c r="BN26">
        <v>21.71</v>
      </c>
      <c r="BO26">
        <v>24.21</v>
      </c>
      <c r="BP26">
        <v>28.88</v>
      </c>
      <c r="BQ26">
        <v>22.21</v>
      </c>
      <c r="BR26">
        <v>24.92</v>
      </c>
      <c r="BS26" t="s">
        <v>9</v>
      </c>
      <c r="BT26" t="s">
        <v>789</v>
      </c>
      <c r="BU26" t="s">
        <v>327</v>
      </c>
      <c r="BV26">
        <v>56.35</v>
      </c>
      <c r="BW26">
        <v>54.19</v>
      </c>
      <c r="BX26">
        <v>53.05</v>
      </c>
      <c r="BY26">
        <v>21.88</v>
      </c>
      <c r="BZ26">
        <v>18.690000000000001</v>
      </c>
      <c r="CA26">
        <v>20.72</v>
      </c>
      <c r="CB26">
        <v>-7.78</v>
      </c>
      <c r="CC26" s="8">
        <v>-14.08</v>
      </c>
      <c r="CD26" s="9" t="s">
        <v>1261</v>
      </c>
      <c r="CE26" s="8" t="s">
        <v>1262</v>
      </c>
      <c r="CF26" s="8">
        <v>-0.94991001799640074</v>
      </c>
      <c r="CG26" s="8">
        <v>-0.95180401358695654</v>
      </c>
      <c r="CH26" s="8">
        <v>17.33527946472168</v>
      </c>
      <c r="CI26" s="8">
        <v>0.47079038619995117</v>
      </c>
      <c r="CJ26" s="9">
        <v>0.31376975774765015</v>
      </c>
      <c r="CK26" s="9">
        <v>0.5878136157989502</v>
      </c>
      <c r="CL26" s="9" t="s">
        <v>9</v>
      </c>
      <c r="CM26" s="9">
        <v>23.1875</v>
      </c>
      <c r="CN26" s="9">
        <v>0.32231405377388</v>
      </c>
      <c r="CO26">
        <v>0.27755594253540039</v>
      </c>
      <c r="CP26">
        <v>1.6550972461700439</v>
      </c>
      <c r="CQ26" t="s">
        <v>9</v>
      </c>
      <c r="CR26" s="8">
        <v>8.0136502124932072</v>
      </c>
      <c r="CS26" s="9">
        <v>1.713448526405641E-2</v>
      </c>
      <c r="CT26">
        <v>1.0023584905660377</v>
      </c>
      <c r="CU26">
        <v>4.6769133061170578</v>
      </c>
      <c r="CV26">
        <v>6.3606168106198311</v>
      </c>
      <c r="CW26">
        <v>0.06</v>
      </c>
      <c r="CX26">
        <v>0.24136319518751367</v>
      </c>
      <c r="CY26">
        <v>20726089145.917938</v>
      </c>
      <c r="CZ26">
        <v>4.6769133061170578</v>
      </c>
      <c r="DA26">
        <v>7.7449339777867967E-3</v>
      </c>
      <c r="DB26">
        <v>645908036704.72681</v>
      </c>
      <c r="DC26">
        <v>4.4430676408112051</v>
      </c>
      <c r="DD26">
        <v>8.1112033465196507E-5</v>
      </c>
      <c r="DE26">
        <v>61674142371815.594</v>
      </c>
      <c r="DF26">
        <v>4.1156837093830108</v>
      </c>
      <c r="DG26">
        <v>3.1293956281505718E-7</v>
      </c>
      <c r="DH26">
        <v>1.5985563010952422E+16</v>
      </c>
      <c r="DI26">
        <v>3.7415306448936465</v>
      </c>
      <c r="DJ26">
        <v>7.5411386022291214E-13</v>
      </c>
      <c r="DK26">
        <v>6.6336336777065498E+21</v>
      </c>
      <c r="DL26">
        <v>3.2738393142819402</v>
      </c>
      <c r="DM26">
        <v>3870000000.0000005</v>
      </c>
      <c r="DN26">
        <v>4.6769133061170578</v>
      </c>
      <c r="DO26">
        <v>5002515100</v>
      </c>
      <c r="DP26">
        <v>1653726500</v>
      </c>
      <c r="DQ26" s="10">
        <v>3999</v>
      </c>
      <c r="DR26">
        <v>-5.6268233241134586</v>
      </c>
      <c r="DS26">
        <v>-7.3124208242067876</v>
      </c>
      <c r="DT26">
        <v>0.312</v>
      </c>
      <c r="DU26">
        <v>0.45200000000000007</v>
      </c>
      <c r="DV26">
        <v>0.76400000000000001</v>
      </c>
      <c r="DW26">
        <v>-9.5525568181818183</v>
      </c>
      <c r="DX26">
        <v>0.32250943697989154</v>
      </c>
      <c r="DY26">
        <v>-9.062167856513037</v>
      </c>
      <c r="DZ26">
        <v>2515</v>
      </c>
      <c r="EA26">
        <v>-9.0315705650981073</v>
      </c>
      <c r="EB26" s="11">
        <v>9</v>
      </c>
      <c r="EC26" s="11">
        <v>1.6170064700278906E-2</v>
      </c>
      <c r="ED26">
        <v>0.14372185244486618</v>
      </c>
      <c r="EE26">
        <v>-3.0242</v>
      </c>
      <c r="EF26">
        <v>-3.0196999999999998</v>
      </c>
      <c r="EG26">
        <v>21.112509436979892</v>
      </c>
      <c r="EH26" s="13" t="s">
        <v>536</v>
      </c>
      <c r="EI26">
        <v>0</v>
      </c>
      <c r="EJ26">
        <v>0</v>
      </c>
      <c r="EK26">
        <v>45470</v>
      </c>
      <c r="EL26">
        <v>-0.22</v>
      </c>
      <c r="EM26">
        <v>-6.09</v>
      </c>
      <c r="EN26" s="14">
        <v>1.02</v>
      </c>
      <c r="EO26" s="14">
        <v>3.33</v>
      </c>
      <c r="EP26" s="14">
        <v>-0.45</v>
      </c>
    </row>
    <row r="27" spans="1:146" ht="96" x14ac:dyDescent="0.25">
      <c r="A27" s="6"/>
      <c r="B27" s="6"/>
      <c r="C27" s="6" t="str">
        <f>""&amp;CHAR(10)&amp;Basic_Fundamental_Information_Constructure(F27)&amp;CHAR(10)&amp;Basic_Fundamental_Information_Concatenate("")</f>
        <v xml:space="preserve">
市值17.182871亿, 利润1.51亿; PE18.51; 平均PE14.94; 平均PEG1.57, PB1.25; ROIC4.82%; ROE5.0767%; 股利率3.0992%; 毛利17.8533%; 净利5.2467%; 上一年度营收增-32.91%, 利润增300.27%; 当季营收增95.09%, 利润增-32.55%; 过往5年营收增9.53%, 利润增89.68%
Income profile:
</v>
      </c>
      <c r="D27" t="s">
        <v>213</v>
      </c>
      <c r="E27" t="s">
        <v>214</v>
      </c>
      <c r="F27">
        <v>9.68</v>
      </c>
      <c r="G27">
        <v>0</v>
      </c>
      <c r="H27" t="s">
        <v>1263</v>
      </c>
      <c r="I27">
        <v>1718287100</v>
      </c>
      <c r="J27">
        <v>18.510000000000002</v>
      </c>
      <c r="K27">
        <v>1.25</v>
      </c>
      <c r="L27" t="s">
        <v>87</v>
      </c>
      <c r="M27" t="s">
        <v>790</v>
      </c>
      <c r="N27" t="s">
        <v>1264</v>
      </c>
      <c r="O27" t="s">
        <v>514</v>
      </c>
      <c r="P27">
        <v>9.9499999999999993</v>
      </c>
      <c r="Q27" t="s">
        <v>1265</v>
      </c>
      <c r="R27">
        <v>20484342</v>
      </c>
      <c r="S27" s="5">
        <v>0.98699999999999999</v>
      </c>
      <c r="T27" t="s">
        <v>435</v>
      </c>
      <c r="U27">
        <v>177509000</v>
      </c>
      <c r="V27">
        <v>177509000</v>
      </c>
      <c r="W27">
        <v>1.56</v>
      </c>
      <c r="X27">
        <v>0.17</v>
      </c>
      <c r="Y27">
        <v>5.52</v>
      </c>
      <c r="Z27" t="s">
        <v>541</v>
      </c>
      <c r="AA27" t="s">
        <v>898</v>
      </c>
      <c r="AB27" t="s">
        <v>1266</v>
      </c>
      <c r="AC27" t="s">
        <v>1267</v>
      </c>
      <c r="AD27" t="s">
        <v>9</v>
      </c>
      <c r="AE27">
        <v>-6347530</v>
      </c>
      <c r="AF27" t="s">
        <v>21</v>
      </c>
      <c r="AG27" t="s">
        <v>1268</v>
      </c>
      <c r="AH27" t="s">
        <v>793</v>
      </c>
      <c r="AI27" t="s">
        <v>1269</v>
      </c>
      <c r="AJ27" t="s">
        <v>794</v>
      </c>
      <c r="AK27" t="s">
        <v>9</v>
      </c>
      <c r="AL27" t="s">
        <v>795</v>
      </c>
      <c r="AM27" t="s">
        <v>9</v>
      </c>
      <c r="AN27" t="s">
        <v>1270</v>
      </c>
      <c r="AO27" t="s">
        <v>1271</v>
      </c>
      <c r="AP27" t="s">
        <v>589</v>
      </c>
      <c r="AQ27" t="s">
        <v>1272</v>
      </c>
      <c r="AR27" t="s">
        <v>9</v>
      </c>
      <c r="AS27" t="s">
        <v>564</v>
      </c>
      <c r="AT27" t="s">
        <v>9</v>
      </c>
      <c r="AU27" t="s">
        <v>1273</v>
      </c>
      <c r="AV27" t="s">
        <v>1274</v>
      </c>
      <c r="AW27" t="s">
        <v>1275</v>
      </c>
      <c r="AX27" t="s">
        <v>432</v>
      </c>
      <c r="AY27" t="s">
        <v>294</v>
      </c>
      <c r="AZ27" t="s">
        <v>215</v>
      </c>
      <c r="BA27" t="s">
        <v>56</v>
      </c>
      <c r="BB27" t="s">
        <v>217</v>
      </c>
      <c r="BC27" t="s">
        <v>481</v>
      </c>
      <c r="BD27" t="s">
        <v>295</v>
      </c>
      <c r="BE27" t="s">
        <v>216</v>
      </c>
      <c r="BF27" t="s">
        <v>218</v>
      </c>
      <c r="BG27" t="s">
        <v>219</v>
      </c>
      <c r="BH27" t="s">
        <v>791</v>
      </c>
      <c r="BI27" t="s">
        <v>666</v>
      </c>
      <c r="BJ27" t="s">
        <v>432</v>
      </c>
      <c r="BK27" t="s">
        <v>792</v>
      </c>
      <c r="BL27" t="s">
        <v>1276</v>
      </c>
      <c r="BM27" t="s">
        <v>481</v>
      </c>
      <c r="BN27">
        <v>4.03</v>
      </c>
      <c r="BO27">
        <v>3.24</v>
      </c>
      <c r="BP27">
        <v>7.19</v>
      </c>
      <c r="BQ27">
        <v>4.13</v>
      </c>
      <c r="BR27">
        <v>2.98</v>
      </c>
      <c r="BS27">
        <v>8.1199999999999992</v>
      </c>
      <c r="BT27" t="s">
        <v>384</v>
      </c>
      <c r="BU27" t="s">
        <v>327</v>
      </c>
      <c r="BV27">
        <v>16.16</v>
      </c>
      <c r="BW27">
        <v>13.84</v>
      </c>
      <c r="BX27">
        <v>23.56</v>
      </c>
      <c r="BY27">
        <v>5.19</v>
      </c>
      <c r="BZ27">
        <v>3.26</v>
      </c>
      <c r="CA27">
        <v>7.29</v>
      </c>
      <c r="CB27">
        <v>-2.81</v>
      </c>
      <c r="CC27">
        <v>-13.42</v>
      </c>
      <c r="CD27" t="s">
        <v>1277</v>
      </c>
      <c r="CE27" t="s">
        <v>1278</v>
      </c>
      <c r="CF27" s="8">
        <v>0.95089285714285687</v>
      </c>
      <c r="CG27" s="9">
        <v>-0.32553621346468542</v>
      </c>
      <c r="CH27" s="8">
        <v>-0.32913780212402344</v>
      </c>
      <c r="CI27" s="8">
        <v>4.6082861721515656E-2</v>
      </c>
      <c r="CJ27" s="8">
        <v>-0.24427857995033264</v>
      </c>
      <c r="CK27" s="8">
        <v>0.83060109615325928</v>
      </c>
      <c r="CL27" s="8">
        <v>0.17307692766189575</v>
      </c>
      <c r="CM27" s="9">
        <v>3.0026507377624512</v>
      </c>
      <c r="CN27" s="9">
        <v>-0.60952943563461304</v>
      </c>
      <c r="CO27" s="9">
        <v>-0.63814902305603027</v>
      </c>
      <c r="CP27" s="9">
        <v>2.2353360652923584</v>
      </c>
      <c r="CQ27" s="9">
        <v>0.49358415603637695</v>
      </c>
      <c r="CR27">
        <v>14.939046182166789</v>
      </c>
      <c r="CS27">
        <v>1.5680926381623161</v>
      </c>
      <c r="CT27">
        <v>3.0991735537190084</v>
      </c>
      <c r="CU27" s="8">
        <v>9.5268900692462924E-2</v>
      </c>
      <c r="CV27" s="9">
        <v>0.89677850008010862</v>
      </c>
      <c r="CW27">
        <v>0.06</v>
      </c>
      <c r="CX27">
        <v>6.270100304325136</v>
      </c>
      <c r="CY27">
        <v>156024154.72128481</v>
      </c>
      <c r="CZ27">
        <v>9.5268900692462924E-2</v>
      </c>
      <c r="DA27">
        <v>2.0398942001930354</v>
      </c>
      <c r="DB27">
        <v>479577372.15362674</v>
      </c>
      <c r="DC27">
        <v>9.0505455657839767E-2</v>
      </c>
      <c r="DD27">
        <v>0.99821042222169609</v>
      </c>
      <c r="DE27">
        <v>980040959.52298999</v>
      </c>
      <c r="DF27">
        <v>8.383663260936737E-2</v>
      </c>
      <c r="DG27">
        <v>0.59540686191588499</v>
      </c>
      <c r="DH27">
        <v>1643056475.4529245</v>
      </c>
      <c r="DI27">
        <v>7.6215120553970339E-2</v>
      </c>
      <c r="DJ27">
        <v>0.30303415443766146</v>
      </c>
      <c r="DK27">
        <v>3228306399.3740277</v>
      </c>
      <c r="DL27">
        <v>6.668823048472404E-2</v>
      </c>
      <c r="DM27">
        <v>151000000</v>
      </c>
      <c r="DN27">
        <v>9.5268900692462924E-2</v>
      </c>
      <c r="DO27">
        <v>978287100</v>
      </c>
      <c r="DP27">
        <v>323465720</v>
      </c>
      <c r="DQ27">
        <v>4036</v>
      </c>
      <c r="DR27">
        <v>0.85562395645039391</v>
      </c>
      <c r="DS27">
        <v>-1.222314713544794</v>
      </c>
      <c r="DT27" s="10">
        <v>-0.40666666666666668</v>
      </c>
      <c r="DU27">
        <v>6.666666666666563E-3</v>
      </c>
      <c r="DV27">
        <v>-0.40000000000000013</v>
      </c>
      <c r="DW27">
        <v>-8.2093889716840529</v>
      </c>
      <c r="DX27">
        <v>0.39104005096107985</v>
      </c>
      <c r="DY27">
        <v>-8.0232505620864849</v>
      </c>
      <c r="DZ27">
        <v>2708</v>
      </c>
      <c r="EA27">
        <v>-8.0109291291842926</v>
      </c>
      <c r="EB27">
        <v>8</v>
      </c>
      <c r="EC27">
        <v>2.4746350889250687E-2</v>
      </c>
      <c r="ED27">
        <v>0.22285968598775274</v>
      </c>
      <c r="EE27" s="11">
        <v>1.0944</v>
      </c>
      <c r="EF27">
        <v>1.0860000000000001</v>
      </c>
      <c r="EG27">
        <v>28.11104005096108</v>
      </c>
      <c r="EH27" t="s">
        <v>553</v>
      </c>
      <c r="EI27">
        <v>0</v>
      </c>
      <c r="EJ27">
        <v>0</v>
      </c>
      <c r="EK27" s="13">
        <v>45470</v>
      </c>
      <c r="EL27" s="14">
        <v>0.77</v>
      </c>
      <c r="EM27" s="14">
        <v>-1.1299999999999999</v>
      </c>
      <c r="EN27" s="14">
        <v>1.31</v>
      </c>
      <c r="EO27" s="14">
        <v>0.61</v>
      </c>
      <c r="EP27" s="14">
        <v>-0.84</v>
      </c>
    </row>
    <row r="28" spans="1:146" ht="144" x14ac:dyDescent="0.25">
      <c r="A28" s="6" t="s">
        <v>429</v>
      </c>
      <c r="B28" s="6"/>
      <c r="C28" s="6" t="str">
        <f>"公司主要从事化妆品的研发、生产和销售。目前旗下拥有“珀莱雅”、“优资莱”、“韩雅”、“悠雅”、“猫语玫瑰”等品牌，产品覆盖护肤品、彩妆、清洁洗护、香薰等化妆品领域。"&amp;CHAR(10)&amp;Basic_Fundamental_Information_Constructure(F28)&amp;CHAR(10)&amp;Basic_Fundamental_Information_Concatenate("珀莱雅品牌 21.28亿 81.05% 83.63% 70.29%
其他品牌 4.88亿 18.56% 16.17% 59.33%")</f>
        <v>公司主要从事化妆品的研发、生产和销售。目前旗下拥有“珀莱雅”、“优资莱”、“韩雅”、“悠雅”、“猫语玫瑰”等品牌，产品覆盖护肤品、彩妆、清洁洗护、香薰等化妆品领域。
市值400.76466亿, 利润10.00亿; PE31.1; 平均PE67.75; 平均PEG2.64, PB9.02; ROIC17.2267%; ROE22.5733%; 股利率.9009%; 毛利68.6967%; 净利12.9533%; 上一年度营收增14.49%, 利润增22.4%; 当季营收增51.74%, 利润增18.3%; 过往5年营收增25.64%, 利润增28.66%
Income profile:
珀莱雅品牌 21.28亿 81.05% 83.63% 70.29%
其他品牌 4.88亿 18.56% 16.17% 59.33%</v>
      </c>
      <c r="D28" t="s">
        <v>220</v>
      </c>
      <c r="E28" t="s">
        <v>221</v>
      </c>
      <c r="F28">
        <v>101.01</v>
      </c>
      <c r="G28">
        <v>0.3</v>
      </c>
      <c r="H28" t="s">
        <v>1279</v>
      </c>
      <c r="I28">
        <v>40076466000</v>
      </c>
      <c r="J28">
        <v>31.1</v>
      </c>
      <c r="K28">
        <v>9.02</v>
      </c>
      <c r="L28" t="s">
        <v>87</v>
      </c>
      <c r="M28" t="s">
        <v>796</v>
      </c>
      <c r="N28" t="s">
        <v>1280</v>
      </c>
      <c r="O28" t="s">
        <v>797</v>
      </c>
      <c r="P28">
        <v>34.56</v>
      </c>
      <c r="Q28" t="s">
        <v>800</v>
      </c>
      <c r="R28">
        <v>302845160</v>
      </c>
      <c r="S28" s="5">
        <v>0.45579999999999998</v>
      </c>
      <c r="T28" t="s">
        <v>1041</v>
      </c>
      <c r="U28">
        <v>394800360</v>
      </c>
      <c r="V28">
        <v>396757420</v>
      </c>
      <c r="W28">
        <v>1.7</v>
      </c>
      <c r="X28">
        <v>0.28999999999999998</v>
      </c>
      <c r="Y28">
        <v>14.44</v>
      </c>
      <c r="Z28" t="s">
        <v>1281</v>
      </c>
      <c r="AA28" t="s">
        <v>814</v>
      </c>
      <c r="AB28" t="s">
        <v>1282</v>
      </c>
      <c r="AC28" t="s">
        <v>1283</v>
      </c>
      <c r="AD28" t="s">
        <v>9</v>
      </c>
      <c r="AE28">
        <v>-9638507</v>
      </c>
      <c r="AF28" t="s">
        <v>801</v>
      </c>
      <c r="AG28" t="s">
        <v>1284</v>
      </c>
      <c r="AH28" t="s">
        <v>802</v>
      </c>
      <c r="AI28" t="s">
        <v>1285</v>
      </c>
      <c r="AJ28" t="s">
        <v>803</v>
      </c>
      <c r="AK28" t="s">
        <v>9</v>
      </c>
      <c r="AL28" t="s">
        <v>804</v>
      </c>
      <c r="AM28" t="s">
        <v>9</v>
      </c>
      <c r="AN28" t="s">
        <v>1286</v>
      </c>
      <c r="AO28" t="s">
        <v>49</v>
      </c>
      <c r="AP28" t="s">
        <v>9</v>
      </c>
      <c r="AQ28" t="s">
        <v>1287</v>
      </c>
      <c r="AR28" t="s">
        <v>1288</v>
      </c>
      <c r="AS28" t="s">
        <v>1289</v>
      </c>
      <c r="AT28" t="s">
        <v>9</v>
      </c>
      <c r="AU28" t="s">
        <v>1070</v>
      </c>
      <c r="AV28" t="s">
        <v>1290</v>
      </c>
      <c r="AW28" t="s">
        <v>1291</v>
      </c>
      <c r="AX28" t="s">
        <v>483</v>
      </c>
      <c r="AY28" t="s">
        <v>296</v>
      </c>
      <c r="AZ28" t="s">
        <v>57</v>
      </c>
      <c r="BA28" t="s">
        <v>223</v>
      </c>
      <c r="BB28" t="s">
        <v>224</v>
      </c>
      <c r="BC28" t="s">
        <v>142</v>
      </c>
      <c r="BD28" t="s">
        <v>297</v>
      </c>
      <c r="BE28" t="s">
        <v>222</v>
      </c>
      <c r="BF28" t="s">
        <v>225</v>
      </c>
      <c r="BG28" t="s">
        <v>52</v>
      </c>
      <c r="BH28" t="s">
        <v>798</v>
      </c>
      <c r="BI28" t="s">
        <v>559</v>
      </c>
      <c r="BJ28" t="s">
        <v>483</v>
      </c>
      <c r="BK28" t="s">
        <v>799</v>
      </c>
      <c r="BL28" t="s">
        <v>957</v>
      </c>
      <c r="BM28" t="s">
        <v>142</v>
      </c>
      <c r="BN28">
        <v>15.75</v>
      </c>
      <c r="BO28">
        <v>19.420000000000002</v>
      </c>
      <c r="BP28">
        <v>16.510000000000002</v>
      </c>
      <c r="BQ28">
        <v>19.52</v>
      </c>
      <c r="BR28">
        <v>25.95</v>
      </c>
      <c r="BS28">
        <v>22.25</v>
      </c>
      <c r="BT28" t="s">
        <v>805</v>
      </c>
      <c r="BU28" t="s">
        <v>329</v>
      </c>
      <c r="BV28">
        <v>69.930000000000007</v>
      </c>
      <c r="BW28">
        <v>69.7</v>
      </c>
      <c r="BX28">
        <v>66.459999999999994</v>
      </c>
      <c r="BY28">
        <v>13.82</v>
      </c>
      <c r="BZ28">
        <v>13.02</v>
      </c>
      <c r="CA28">
        <v>12.02</v>
      </c>
      <c r="CB28">
        <v>-8.99</v>
      </c>
      <c r="CC28">
        <v>-7.34</v>
      </c>
      <c r="CD28" t="s">
        <v>1292</v>
      </c>
      <c r="CE28" t="s">
        <v>1293</v>
      </c>
      <c r="CF28" s="8">
        <v>0.51738525730180807</v>
      </c>
      <c r="CG28" s="9">
        <v>0.18298890625</v>
      </c>
      <c r="CH28" s="8">
        <v>0.1448708176612854</v>
      </c>
      <c r="CI28" s="8">
        <v>0.37815672159194946</v>
      </c>
      <c r="CJ28" s="8">
        <v>0.23480808734893799</v>
      </c>
      <c r="CK28" s="8">
        <v>0.20102432370185852</v>
      </c>
      <c r="CL28" s="8">
        <v>0.32316818833351135</v>
      </c>
      <c r="CM28" s="9">
        <v>0.22399020195007324</v>
      </c>
      <c r="CN28" s="9">
        <v>0.41840279102325439</v>
      </c>
      <c r="CO28" s="9">
        <v>0.21008403599262238</v>
      </c>
      <c r="CP28" s="9">
        <v>0.2111959308385849</v>
      </c>
      <c r="CQ28" s="9">
        <v>0.36933797597885132</v>
      </c>
      <c r="CR28">
        <v>67.75395773457312</v>
      </c>
      <c r="CS28">
        <v>2.6424520528300453</v>
      </c>
      <c r="CT28">
        <v>0.9009009009009008</v>
      </c>
      <c r="CU28" s="8">
        <v>0.25640562772750852</v>
      </c>
      <c r="CV28" s="9">
        <v>0.28660218715667723</v>
      </c>
      <c r="CW28">
        <v>0.06</v>
      </c>
      <c r="CX28">
        <v>32.43216447040421</v>
      </c>
      <c r="CY28">
        <v>1185288328.0448194</v>
      </c>
      <c r="CZ28">
        <v>0.25640562772750852</v>
      </c>
      <c r="DA28">
        <v>9.2311026532753484</v>
      </c>
      <c r="DB28">
        <v>4164341730.7639117</v>
      </c>
      <c r="DC28">
        <v>0.24358534634113307</v>
      </c>
      <c r="DD28">
        <v>3.7384119965048854</v>
      </c>
      <c r="DE28">
        <v>10282832934.395588</v>
      </c>
      <c r="DF28">
        <v>0.22563695240020751</v>
      </c>
      <c r="DG28">
        <v>1.7750455614727296</v>
      </c>
      <c r="DH28">
        <v>21656608052.41848</v>
      </c>
      <c r="DI28">
        <v>0.20512450218200684</v>
      </c>
      <c r="DJ28">
        <v>0.52152887486792843</v>
      </c>
      <c r="DK28">
        <v>73709180550.61647</v>
      </c>
      <c r="DL28">
        <v>0.17948393940925594</v>
      </c>
      <c r="DM28">
        <v>1000000000</v>
      </c>
      <c r="DN28">
        <v>0.25640562772750852</v>
      </c>
      <c r="DO28">
        <v>38441466000</v>
      </c>
      <c r="DP28">
        <v>3539164200</v>
      </c>
      <c r="DQ28">
        <v>4207</v>
      </c>
      <c r="DR28">
        <v>0.26097962957429954</v>
      </c>
      <c r="DS28">
        <v>-0.10361328090667724</v>
      </c>
      <c r="DT28" s="10">
        <v>5.9999999999999908E-2</v>
      </c>
      <c r="DU28">
        <v>0.8866666666666666</v>
      </c>
      <c r="DV28">
        <v>0.94666666666666655</v>
      </c>
      <c r="DW28">
        <v>-5.8164627363737482</v>
      </c>
      <c r="DX28">
        <v>0.51048468012897708</v>
      </c>
      <c r="DY28">
        <v>-5.1473590158116451</v>
      </c>
      <c r="DZ28">
        <v>725</v>
      </c>
      <c r="EA28">
        <v>-5.1264519147424785</v>
      </c>
      <c r="EB28">
        <v>5</v>
      </c>
      <c r="EC28">
        <v>2.9541980588541985E-2</v>
      </c>
      <c r="ED28">
        <v>0.16368137488140738</v>
      </c>
      <c r="EE28" s="11">
        <v>1.7010000000000001E-2</v>
      </c>
      <c r="EF28">
        <v>2.2410000000000003E-2</v>
      </c>
      <c r="EG28">
        <v>33.180484680128977</v>
      </c>
      <c r="EH28">
        <v>-1</v>
      </c>
      <c r="EI28">
        <v>0</v>
      </c>
      <c r="EJ28">
        <v>1</v>
      </c>
      <c r="EK28" s="13">
        <v>45470</v>
      </c>
      <c r="EL28" s="14">
        <v>-0.84</v>
      </c>
      <c r="EM28" s="14">
        <v>0.77</v>
      </c>
      <c r="EN28">
        <v>-2.96</v>
      </c>
      <c r="EO28">
        <v>-0.64</v>
      </c>
      <c r="EP28">
        <v>-0.54</v>
      </c>
    </row>
    <row r="29" spans="1:146" ht="156" x14ac:dyDescent="0.25">
      <c r="A29" s="6"/>
      <c r="B29" s="6"/>
      <c r="C29" s="6" t="str">
        <f>"公司主要从事洗护类、护肤类、彩妆类产品的研发、生产和销售,报告期内公司不断的进行产品创新、品牌品类矩阵建设、营销渠道网络的更新升级。主要产品有膏霜、护发素、沐浴露、洗发露、香皂、啫喱水、啫喱膏。"&amp;CHAR(10)&amp;Basic_Fundamental_Information_Constructure(F29)&amp;CHAR(10)&amp;Basic_Fundamental_Information_Concatenate("洗护类 8.52亿 77.34% 75.03% 52.43%
其他 2.10亿 19.04% 23.71% 67.31%
香皂 3698.78万 3.36% 1.18% 19.00%")</f>
        <v>公司主要从事洗护类、护肤类、彩妆类产品的研发、生产和销售,报告期内公司不断的进行产品创新、品牌品类矩阵建设、营销渠道网络的更新升级。主要产品有膏霜、护发素、沐浴露、洗发露、香皂、啫喱水、啫喱膏。
市值23.353715亿, 利润7199.48万; PE40.93; 平均PE28.37; 平均PEG8.15, PB1.18; ROIC2.4767%; ROE3.5767%; 股利率2.2179%; 毛利49.6867%; 净利6%; 上一年度营收增22.89%, 利润增21.54%; 当季营收增-3.86%, 利润增38.85%; 过往5年营收增3.48%, 利润增8.23%
Income profile:
洗护类 8.52亿 77.34% 75.03% 52.43%
其他 2.10亿 19.04% 23.71% 67.31%
香皂 3698.78万 3.36% 1.18% 19.00%</v>
      </c>
      <c r="D29" t="s">
        <v>226</v>
      </c>
      <c r="E29" t="s">
        <v>227</v>
      </c>
      <c r="F29">
        <v>10.37</v>
      </c>
      <c r="G29">
        <v>1.87</v>
      </c>
      <c r="H29" t="s">
        <v>1294</v>
      </c>
      <c r="I29">
        <v>2335371500</v>
      </c>
      <c r="J29">
        <v>40.93</v>
      </c>
      <c r="K29">
        <v>1.18</v>
      </c>
      <c r="L29" t="s">
        <v>87</v>
      </c>
      <c r="M29" t="s">
        <v>515</v>
      </c>
      <c r="N29" t="s">
        <v>89</v>
      </c>
      <c r="O29" t="s">
        <v>666</v>
      </c>
      <c r="P29">
        <v>15.63</v>
      </c>
      <c r="Q29" t="s">
        <v>270</v>
      </c>
      <c r="R29">
        <v>27939763</v>
      </c>
      <c r="S29" s="5">
        <v>-0.2321</v>
      </c>
      <c r="T29" t="s">
        <v>1295</v>
      </c>
      <c r="U29">
        <v>225204580</v>
      </c>
      <c r="V29">
        <v>225204580</v>
      </c>
      <c r="W29">
        <v>1.1200000000000001</v>
      </c>
      <c r="X29">
        <v>0.1</v>
      </c>
      <c r="Y29">
        <v>12.37</v>
      </c>
      <c r="Z29" t="s">
        <v>53</v>
      </c>
      <c r="AA29" t="s">
        <v>1296</v>
      </c>
      <c r="AB29" t="s">
        <v>1297</v>
      </c>
      <c r="AC29" t="s">
        <v>1298</v>
      </c>
      <c r="AD29" t="s">
        <v>9</v>
      </c>
      <c r="AE29">
        <v>-4771664</v>
      </c>
      <c r="AF29" t="s">
        <v>808</v>
      </c>
      <c r="AG29" t="s">
        <v>1299</v>
      </c>
      <c r="AH29" t="s">
        <v>809</v>
      </c>
      <c r="AI29" t="s">
        <v>1300</v>
      </c>
      <c r="AJ29" t="s">
        <v>810</v>
      </c>
      <c r="AK29" t="s">
        <v>9</v>
      </c>
      <c r="AL29" t="s">
        <v>811</v>
      </c>
      <c r="AM29" t="s">
        <v>9</v>
      </c>
      <c r="AN29" t="s">
        <v>1301</v>
      </c>
      <c r="AO29" t="s">
        <v>9</v>
      </c>
      <c r="AP29" t="s">
        <v>9</v>
      </c>
      <c r="AQ29" t="s">
        <v>1302</v>
      </c>
      <c r="AR29" t="s">
        <v>9</v>
      </c>
      <c r="AS29" t="s">
        <v>509</v>
      </c>
      <c r="AT29" t="s">
        <v>9</v>
      </c>
      <c r="AU29" t="s">
        <v>570</v>
      </c>
      <c r="AV29" t="s">
        <v>1303</v>
      </c>
      <c r="AW29" t="s">
        <v>1304</v>
      </c>
      <c r="AX29" t="s">
        <v>484</v>
      </c>
      <c r="AY29" t="s">
        <v>298</v>
      </c>
      <c r="AZ29" t="s">
        <v>228</v>
      </c>
      <c r="BA29" t="s">
        <v>229</v>
      </c>
      <c r="BB29" t="s">
        <v>230</v>
      </c>
      <c r="BC29" t="s">
        <v>485</v>
      </c>
      <c r="BD29" t="s">
        <v>299</v>
      </c>
      <c r="BE29" t="s">
        <v>68</v>
      </c>
      <c r="BF29" t="s">
        <v>231</v>
      </c>
      <c r="BG29" t="s">
        <v>71</v>
      </c>
      <c r="BH29" t="s">
        <v>806</v>
      </c>
      <c r="BI29" t="s">
        <v>845</v>
      </c>
      <c r="BJ29" t="s">
        <v>484</v>
      </c>
      <c r="BK29" t="s">
        <v>807</v>
      </c>
      <c r="BL29" t="s">
        <v>1305</v>
      </c>
      <c r="BM29" t="s">
        <v>485</v>
      </c>
      <c r="BN29">
        <v>2.97</v>
      </c>
      <c r="BO29">
        <v>2.14</v>
      </c>
      <c r="BP29">
        <v>2.3199999999999998</v>
      </c>
      <c r="BQ29">
        <v>3.87</v>
      </c>
      <c r="BR29">
        <v>3.12</v>
      </c>
      <c r="BS29">
        <v>3.74</v>
      </c>
      <c r="BT29" t="s">
        <v>770</v>
      </c>
      <c r="BU29" t="s">
        <v>329</v>
      </c>
      <c r="BV29">
        <v>47.83</v>
      </c>
      <c r="BW29">
        <v>47.18</v>
      </c>
      <c r="BX29">
        <v>54.05</v>
      </c>
      <c r="BY29">
        <v>6.32</v>
      </c>
      <c r="BZ29">
        <v>6.52</v>
      </c>
      <c r="CA29">
        <v>5.16</v>
      </c>
      <c r="CB29">
        <v>-1.33</v>
      </c>
      <c r="CC29">
        <v>-14.65</v>
      </c>
      <c r="CD29" t="s">
        <v>1306</v>
      </c>
      <c r="CE29" t="s">
        <v>1307</v>
      </c>
      <c r="CF29" s="8">
        <v>-3.8626609442059957E-2</v>
      </c>
      <c r="CG29" s="9">
        <v>0.38848368741458567</v>
      </c>
      <c r="CH29" s="8">
        <v>0.22886133193969727</v>
      </c>
      <c r="CI29" s="8">
        <v>-0.19436870515346527</v>
      </c>
      <c r="CJ29" s="8">
        <v>0.11890237033367157</v>
      </c>
      <c r="CK29" s="8">
        <v>1.968911848962307E-2</v>
      </c>
      <c r="CL29" s="8">
        <v>1.0373444529250264E-3</v>
      </c>
      <c r="CM29" s="9">
        <v>0.21543648838996887</v>
      </c>
      <c r="CN29" s="9">
        <v>-0.14214728772640228</v>
      </c>
      <c r="CO29" s="9">
        <v>-0.40983930230140686</v>
      </c>
      <c r="CP29" s="9">
        <v>1.3575067520141602</v>
      </c>
      <c r="CQ29" s="9">
        <v>-0.60922282934188843</v>
      </c>
      <c r="CR29">
        <v>28.370234417075313</v>
      </c>
      <c r="CS29">
        <v>8.1466794520617487</v>
      </c>
      <c r="CT29">
        <v>2.217936354869817</v>
      </c>
      <c r="CU29" s="8">
        <v>3.4824292012490335E-2</v>
      </c>
      <c r="CV29" s="9">
        <v>8.2346764206886289E-2</v>
      </c>
      <c r="CW29">
        <v>0.06</v>
      </c>
      <c r="CX29">
        <v>7.7309875958555994</v>
      </c>
      <c r="CY29">
        <v>70284875.413755506</v>
      </c>
      <c r="CZ29">
        <v>3.4824292012490335E-2</v>
      </c>
      <c r="DA29">
        <v>2.6480119331596113</v>
      </c>
      <c r="DB29">
        <v>205199792.79385212</v>
      </c>
      <c r="DC29">
        <v>3.3083077411865815E-2</v>
      </c>
      <c r="DD29">
        <v>1.3862233183583983</v>
      </c>
      <c r="DE29">
        <v>391979771.80435449</v>
      </c>
      <c r="DF29">
        <v>3.0645376970991494E-2</v>
      </c>
      <c r="DG29">
        <v>0.89052361150367187</v>
      </c>
      <c r="DH29">
        <v>610170795.00284481</v>
      </c>
      <c r="DI29">
        <v>2.7859433609992268E-2</v>
      </c>
      <c r="DJ29">
        <v>0.52996195433989335</v>
      </c>
      <c r="DK29">
        <v>1025302845.8935494</v>
      </c>
      <c r="DL29">
        <v>2.4377004408743234E-2</v>
      </c>
      <c r="DM29">
        <v>71994800</v>
      </c>
      <c r="DN29">
        <v>3.4824292012490335E-2</v>
      </c>
      <c r="DO29">
        <v>543371500</v>
      </c>
      <c r="DP29">
        <v>1335841200</v>
      </c>
      <c r="DQ29">
        <v>4224</v>
      </c>
      <c r="DR29">
        <v>-7.3450901454550299E-2</v>
      </c>
      <c r="DS29">
        <v>0.30613692320769936</v>
      </c>
      <c r="DT29" s="10">
        <v>-0.42333333333333334</v>
      </c>
      <c r="DU29">
        <v>0.28666666666666668</v>
      </c>
      <c r="DV29">
        <v>-0.13666666666666666</v>
      </c>
      <c r="DW29">
        <v>-2.1465000000000001</v>
      </c>
      <c r="DX29">
        <v>0.39433329227185765</v>
      </c>
      <c r="DY29">
        <v>-2.0226098273178272</v>
      </c>
      <c r="DZ29">
        <v>900</v>
      </c>
      <c r="EA29">
        <v>-2.0186276659506954</v>
      </c>
      <c r="EB29">
        <v>2</v>
      </c>
      <c r="EC29">
        <v>3.6717281682281951E-2</v>
      </c>
      <c r="ED29">
        <v>0.23790901588235905</v>
      </c>
      <c r="EE29" s="11">
        <v>-3.0182099999999998</v>
      </c>
      <c r="EF29">
        <v>-3.0584099999999999</v>
      </c>
      <c r="EG29">
        <v>24.154333292271858</v>
      </c>
      <c r="EH29" t="s">
        <v>852</v>
      </c>
      <c r="EI29">
        <v>0</v>
      </c>
      <c r="EJ29">
        <v>1</v>
      </c>
      <c r="EK29" s="13">
        <v>45470</v>
      </c>
      <c r="EL29" s="14">
        <v>0.24</v>
      </c>
      <c r="EM29" s="14">
        <v>-5.73</v>
      </c>
      <c r="EN29">
        <v>-3.17</v>
      </c>
      <c r="EO29">
        <v>4.1900000000000004</v>
      </c>
      <c r="EP29">
        <v>-4.0199999999999996</v>
      </c>
    </row>
    <row r="30" spans="1:146" ht="180" x14ac:dyDescent="0.25">
      <c r="A30" s="6" t="s">
        <v>495</v>
      </c>
      <c r="B30" s="6"/>
      <c r="C30" s="6" t="str">
        <f>"公司主要从事各类化妆品的研发、设计、生产、销售及服务，产品品牌包括“丸美”品牌和“春纪”品牌。主要产品：弹力蛋白凝时紧致系列、巧克力青春丝滑系列、弹力蛋白精华系列、丸美雪绒花纯净保湿系列、丸美BB新肌系列、杨梅水漾保湿系列、弹力娇嫩系列、五谷菁纯系列。"&amp;CHAR(10)&amp;Basic_Fundamental_Information_Constructure(F30)&amp;CHAR(10)&amp;Basic_Fundamental_Information_Concatenate("护肤类 7.94亿 45.88% 45.70% 68.13%
眼部类 4.35亿 25.13% 25.26% 68.74%
美容及其他类 2.94亿 16.95% 17.53% 70.73%
洁肤类 2.07亿 11.93% 11.48% 65.82%")</f>
        <v>公司主要从事各类化妆品的研发、设计、生产、销售及服务，产品品牌包括“丸美”品牌和“春纪”品牌。主要产品：弹力蛋白凝时紧致系列、巧克力青春丝滑系列、弹力蛋白精华系列、丸美雪绒花纯净保湿系列、丸美BB新肌系列、杨梅水漾保湿系列、弹力娇嫩系列、五谷菁纯系列。
市值103.3778亿, 利润-3498.55万; PE35.48; 平均PE34.83; 平均PEG10.09, PB2.99; ROIC5.3933%; ROE6.37%; 股利率2.0171%; 毛利67.7033%; 净利11.88%; 上一年度营收增6.76%, 利润增-120.11%; 当季营收增52.66%, 利润增278.03%; 过往5年营收增3.45%, 利润增-36.46%
Income profile:
护肤类 7.94亿 45.88% 45.70% 68.13%
眼部类 4.35亿 25.13% 25.26% 68.74%
美容及其他类 2.94亿 16.95% 17.53% 70.73%
洁肤类 2.07亿 11.93% 11.48% 65.82%</v>
      </c>
      <c r="D30" t="s">
        <v>232</v>
      </c>
      <c r="E30" t="s">
        <v>233</v>
      </c>
      <c r="F30">
        <v>25.78</v>
      </c>
      <c r="G30">
        <v>1.1000000000000001</v>
      </c>
      <c r="H30" t="s">
        <v>1308</v>
      </c>
      <c r="I30">
        <v>10337780000</v>
      </c>
      <c r="J30">
        <v>35.479999999999997</v>
      </c>
      <c r="K30">
        <v>2.99</v>
      </c>
      <c r="L30" t="s">
        <v>87</v>
      </c>
      <c r="M30" t="s">
        <v>812</v>
      </c>
      <c r="N30" t="s">
        <v>1309</v>
      </c>
      <c r="O30" t="s">
        <v>523</v>
      </c>
      <c r="P30">
        <v>38.729999999999997</v>
      </c>
      <c r="Q30" t="s">
        <v>1310</v>
      </c>
      <c r="R30">
        <v>110628781</v>
      </c>
      <c r="S30" s="5">
        <v>0.40620000000000001</v>
      </c>
      <c r="T30" t="s">
        <v>1311</v>
      </c>
      <c r="U30">
        <v>401000000</v>
      </c>
      <c r="V30">
        <v>401000000</v>
      </c>
      <c r="W30">
        <v>1.24</v>
      </c>
      <c r="X30">
        <v>0.15</v>
      </c>
      <c r="Y30">
        <v>16.73</v>
      </c>
      <c r="Z30" t="s">
        <v>205</v>
      </c>
      <c r="AA30" t="s">
        <v>1312</v>
      </c>
      <c r="AB30" t="s">
        <v>589</v>
      </c>
      <c r="AC30" t="s">
        <v>1313</v>
      </c>
      <c r="AD30" t="s">
        <v>9</v>
      </c>
      <c r="AE30">
        <v>-3559484</v>
      </c>
      <c r="AF30" t="s">
        <v>815</v>
      </c>
      <c r="AG30" t="s">
        <v>1314</v>
      </c>
      <c r="AH30" t="s">
        <v>816</v>
      </c>
      <c r="AI30" t="s">
        <v>1315</v>
      </c>
      <c r="AJ30" t="s">
        <v>817</v>
      </c>
      <c r="AK30" t="s">
        <v>1316</v>
      </c>
      <c r="AL30" t="s">
        <v>818</v>
      </c>
      <c r="AM30" t="s">
        <v>9</v>
      </c>
      <c r="AN30" t="s">
        <v>931</v>
      </c>
      <c r="AO30" t="s">
        <v>534</v>
      </c>
      <c r="AP30" t="s">
        <v>9</v>
      </c>
      <c r="AQ30" t="s">
        <v>599</v>
      </c>
      <c r="AR30" t="s">
        <v>9</v>
      </c>
      <c r="AS30" t="s">
        <v>1317</v>
      </c>
      <c r="AT30" t="s">
        <v>9</v>
      </c>
      <c r="AU30" t="s">
        <v>1318</v>
      </c>
      <c r="AV30" t="s">
        <v>1319</v>
      </c>
      <c r="AW30" t="s">
        <v>1320</v>
      </c>
      <c r="AX30" t="s">
        <v>486</v>
      </c>
      <c r="AY30" t="s">
        <v>300</v>
      </c>
      <c r="AZ30" t="s">
        <v>234</v>
      </c>
      <c r="BA30" t="s">
        <v>237</v>
      </c>
      <c r="BB30" t="s">
        <v>238</v>
      </c>
      <c r="BC30" t="s">
        <v>338</v>
      </c>
      <c r="BD30" t="s">
        <v>283</v>
      </c>
      <c r="BE30" t="s">
        <v>51</v>
      </c>
      <c r="BF30" t="s">
        <v>25</v>
      </c>
      <c r="BG30" t="s">
        <v>69</v>
      </c>
      <c r="BH30" t="s">
        <v>813</v>
      </c>
      <c r="BI30" t="s">
        <v>1321</v>
      </c>
      <c r="BJ30" t="s">
        <v>486</v>
      </c>
      <c r="BK30" t="s">
        <v>507</v>
      </c>
      <c r="BL30" t="s">
        <v>1322</v>
      </c>
      <c r="BM30" t="s">
        <v>338</v>
      </c>
      <c r="BN30">
        <v>4.6500000000000004</v>
      </c>
      <c r="BO30">
        <v>4.7</v>
      </c>
      <c r="BP30">
        <v>6.83</v>
      </c>
      <c r="BQ30">
        <v>5.4</v>
      </c>
      <c r="BR30">
        <v>5.56</v>
      </c>
      <c r="BS30">
        <v>8.15</v>
      </c>
      <c r="BT30" t="s">
        <v>819</v>
      </c>
      <c r="BU30" t="s">
        <v>329</v>
      </c>
      <c r="BV30">
        <v>70.69</v>
      </c>
      <c r="BW30">
        <v>68.400000000000006</v>
      </c>
      <c r="BX30">
        <v>64.02</v>
      </c>
      <c r="BY30">
        <v>12.47</v>
      </c>
      <c r="BZ30">
        <v>9.67</v>
      </c>
      <c r="CA30">
        <v>13.5</v>
      </c>
      <c r="CB30">
        <v>-6.36</v>
      </c>
      <c r="CC30">
        <v>-15.39</v>
      </c>
      <c r="CD30" t="s">
        <v>1323</v>
      </c>
      <c r="CE30" t="s">
        <v>1324</v>
      </c>
      <c r="CF30" s="8">
        <v>0.52655889145496537</v>
      </c>
      <c r="CG30" s="9">
        <v>2.7802677961236708</v>
      </c>
      <c r="CH30" s="8">
        <v>6.7551925778388977E-2</v>
      </c>
      <c r="CI30" s="8">
        <v>-3.0777875334024429E-2</v>
      </c>
      <c r="CJ30" s="8">
        <v>2.4068841710686684E-2</v>
      </c>
      <c r="CK30" s="8">
        <v>-3.1093906611204147E-2</v>
      </c>
      <c r="CL30" s="8">
        <v>0.14276653528213501</v>
      </c>
      <c r="CM30" s="9">
        <v>-1.2010661363601685</v>
      </c>
      <c r="CN30" s="9">
        <v>-0.29838711023330688</v>
      </c>
      <c r="CO30" s="9">
        <v>-0.46551725268363953</v>
      </c>
      <c r="CP30" s="9">
        <v>-9.9029123783111572E-2</v>
      </c>
      <c r="CQ30" s="9">
        <v>0.24096386134624481</v>
      </c>
      <c r="CR30">
        <v>34.82660023262023</v>
      </c>
      <c r="CS30">
        <v>10.093758540064961</v>
      </c>
      <c r="CT30">
        <v>2.0170674941815361</v>
      </c>
      <c r="CU30" s="8">
        <v>3.4503104165196419E-2</v>
      </c>
      <c r="CV30" s="9">
        <v>-0.36460715234279634</v>
      </c>
      <c r="CW30">
        <v>0.06</v>
      </c>
      <c r="CX30" t="e">
        <v>#VALUE!</v>
      </c>
      <c r="CY30" t="s">
        <v>313</v>
      </c>
      <c r="CZ30">
        <v>3.4503104165196419E-2</v>
      </c>
      <c r="DA30" t="e">
        <v>#VALUE!</v>
      </c>
      <c r="DB30" t="s">
        <v>313</v>
      </c>
      <c r="DC30">
        <v>3.2777948956936594E-2</v>
      </c>
      <c r="DD30" t="e">
        <v>#VALUE!</v>
      </c>
      <c r="DE30" t="s">
        <v>313</v>
      </c>
      <c r="DF30">
        <v>3.0362731665372848E-2</v>
      </c>
      <c r="DG30" t="e">
        <v>#VALUE!</v>
      </c>
      <c r="DH30" t="s">
        <v>313</v>
      </c>
      <c r="DI30">
        <v>2.7602483332157136E-2</v>
      </c>
      <c r="DJ30" t="e">
        <v>#VALUE!</v>
      </c>
      <c r="DK30" t="s">
        <v>313</v>
      </c>
      <c r="DL30">
        <v>2.4152172915637492E-2</v>
      </c>
      <c r="DM30">
        <v>-34985500</v>
      </c>
      <c r="DN30">
        <v>3.4503104165196419E-2</v>
      </c>
      <c r="DO30">
        <v>7843780000</v>
      </c>
      <c r="DP30">
        <v>1635888900</v>
      </c>
      <c r="DQ30">
        <v>4413</v>
      </c>
      <c r="DR30">
        <v>0.49205578728976895</v>
      </c>
      <c r="DS30">
        <v>3.1448749484664673</v>
      </c>
      <c r="DT30" s="10">
        <v>-0.44</v>
      </c>
      <c r="DU30">
        <v>-0.49333333333333323</v>
      </c>
      <c r="DV30">
        <v>-0.93333333333333324</v>
      </c>
      <c r="DW30">
        <v>-9.413255360623781</v>
      </c>
      <c r="DX30">
        <v>0.42411291455544942</v>
      </c>
      <c r="DY30">
        <v>-9.0678205416876327</v>
      </c>
      <c r="DZ30">
        <v>4363</v>
      </c>
      <c r="EA30">
        <v>-9.0099142748807566</v>
      </c>
      <c r="EB30">
        <v>9</v>
      </c>
      <c r="EC30">
        <v>1.7478802992518704E-2</v>
      </c>
      <c r="ED30">
        <v>0.10650473815461346</v>
      </c>
      <c r="EE30" s="11">
        <v>-3.0390000000000001</v>
      </c>
      <c r="EF30">
        <v>-3.0215000000000001</v>
      </c>
      <c r="EG30">
        <v>26.164112914555449</v>
      </c>
      <c r="EH30" t="s">
        <v>536</v>
      </c>
      <c r="EI30">
        <v>0</v>
      </c>
      <c r="EJ30">
        <v>0</v>
      </c>
      <c r="EK30" s="13">
        <v>45470</v>
      </c>
      <c r="EL30" s="14">
        <v>-2.44</v>
      </c>
      <c r="EM30" s="14">
        <v>-6.86</v>
      </c>
      <c r="EN30">
        <v>-0.52</v>
      </c>
      <c r="EO30">
        <v>4.62</v>
      </c>
      <c r="EP30">
        <v>-1.75</v>
      </c>
    </row>
    <row r="31" spans="1:146" ht="144" x14ac:dyDescent="0.25">
      <c r="A31" s="6" t="s">
        <v>346</v>
      </c>
      <c r="B31" s="6" t="s">
        <v>253</v>
      </c>
      <c r="C31" s="6" t="str">
        <f>"公司的主营业务是专注于妇、幼、成人卫生护理用品的研发、制造与销售业务；公司产品主要为婴儿纸尿裤、成人纸尿裤、经期裤、卫生巾、湿巾等；"&amp;CHAR(10)&amp;Basic_Fundamental_Information_Constructure(F31)&amp;CHAR(10)&amp;Basic_Fundamental_Information_Concatenate("婴儿卫生用品 9.08亿 71.15% 68.32% 21.69%
成人卫生用品 2.82亿 22.08% 22.19% 22.71%")</f>
        <v>公司的主营业务是专注于妇、幼、成人卫生护理用品的研发、制造与销售业务；公司产品主要为婴儿纸尿裤、成人纸尿裤、经期裤、卫生巾、湿巾等；
市值62.55646亿, 利润2.11亿; PE14.06; 平均PE17.88; 平均PEG.96, PB1.9; ROIC10.9933%; ROE11.9267%; 股利率2.1092%; 毛利25.47%; 净利15.2433%; 上一年度营收增17.42%, 利润增-50.12%; 当季营收增-17.53%, 利润增105.16%; 过往5年营收增18.72%, 利润增17.62%
Income profile:
婴儿卫生用品 9.08亿 71.15% 68.32% 21.69%
成人卫生用品 2.82亿 22.08% 22.19% 22.71%</v>
      </c>
      <c r="D31" t="s">
        <v>239</v>
      </c>
      <c r="E31" t="s">
        <v>1325</v>
      </c>
      <c r="F31">
        <v>40.299999999999997</v>
      </c>
      <c r="G31">
        <v>3.63</v>
      </c>
      <c r="H31" t="s">
        <v>1326</v>
      </c>
      <c r="I31">
        <v>6255646000</v>
      </c>
      <c r="J31">
        <v>14.06</v>
      </c>
      <c r="K31">
        <v>1.9</v>
      </c>
      <c r="L31" t="s">
        <v>87</v>
      </c>
      <c r="M31" t="s">
        <v>820</v>
      </c>
      <c r="N31" t="s">
        <v>1327</v>
      </c>
      <c r="O31" t="s">
        <v>518</v>
      </c>
      <c r="P31">
        <v>1.21</v>
      </c>
      <c r="Q31" t="s">
        <v>1328</v>
      </c>
      <c r="R31">
        <v>85748401</v>
      </c>
      <c r="S31" s="5">
        <v>7.9899999999999999E-2</v>
      </c>
      <c r="T31" t="s">
        <v>1329</v>
      </c>
      <c r="U31">
        <v>154659950</v>
      </c>
      <c r="V31">
        <v>155226950</v>
      </c>
      <c r="W31">
        <v>1.36</v>
      </c>
      <c r="X31">
        <v>0.14000000000000001</v>
      </c>
      <c r="Y31">
        <v>13.4</v>
      </c>
      <c r="Z31" t="s">
        <v>663</v>
      </c>
      <c r="AA31" t="s">
        <v>1330</v>
      </c>
      <c r="AB31" t="s">
        <v>1331</v>
      </c>
      <c r="AC31" t="s">
        <v>1332</v>
      </c>
      <c r="AD31" t="s">
        <v>9</v>
      </c>
      <c r="AE31">
        <v>-13891477</v>
      </c>
      <c r="AF31" t="s">
        <v>21</v>
      </c>
      <c r="AG31" t="s">
        <v>9</v>
      </c>
      <c r="AH31" t="s">
        <v>823</v>
      </c>
      <c r="AI31" t="s">
        <v>1333</v>
      </c>
      <c r="AJ31" t="s">
        <v>824</v>
      </c>
      <c r="AK31" t="s">
        <v>9</v>
      </c>
      <c r="AL31" t="s">
        <v>825</v>
      </c>
      <c r="AM31" t="s">
        <v>9</v>
      </c>
      <c r="AN31" t="s">
        <v>646</v>
      </c>
      <c r="AO31" t="s">
        <v>573</v>
      </c>
      <c r="AP31" t="s">
        <v>1166</v>
      </c>
      <c r="AQ31" t="s">
        <v>779</v>
      </c>
      <c r="AR31" t="s">
        <v>9</v>
      </c>
      <c r="AS31" t="s">
        <v>1334</v>
      </c>
      <c r="AT31" t="s">
        <v>9</v>
      </c>
      <c r="AU31" t="s">
        <v>1335</v>
      </c>
      <c r="AV31" t="s">
        <v>1336</v>
      </c>
      <c r="AW31" t="s">
        <v>1337</v>
      </c>
      <c r="AX31" t="s">
        <v>487</v>
      </c>
      <c r="AY31" t="s">
        <v>301</v>
      </c>
      <c r="AZ31" t="s">
        <v>240</v>
      </c>
      <c r="BA31" t="s">
        <v>242</v>
      </c>
      <c r="BB31" t="s">
        <v>243</v>
      </c>
      <c r="BC31" t="s">
        <v>488</v>
      </c>
      <c r="BD31" t="s">
        <v>202</v>
      </c>
      <c r="BE31" t="s">
        <v>241</v>
      </c>
      <c r="BF31" t="s">
        <v>235</v>
      </c>
      <c r="BG31" t="s">
        <v>42</v>
      </c>
      <c r="BH31" t="s">
        <v>821</v>
      </c>
      <c r="BI31" t="s">
        <v>1338</v>
      </c>
      <c r="BJ31" t="s">
        <v>487</v>
      </c>
      <c r="BK31" t="s">
        <v>531</v>
      </c>
      <c r="BL31" t="s">
        <v>1339</v>
      </c>
      <c r="BM31" t="s">
        <v>488</v>
      </c>
      <c r="BN31">
        <v>8.58</v>
      </c>
      <c r="BO31">
        <v>12.79</v>
      </c>
      <c r="BP31">
        <v>11.61</v>
      </c>
      <c r="BQ31">
        <v>9.16</v>
      </c>
      <c r="BR31">
        <v>14.11</v>
      </c>
      <c r="BS31">
        <v>12.51</v>
      </c>
      <c r="BT31" t="s">
        <v>826</v>
      </c>
      <c r="BU31" t="s">
        <v>327</v>
      </c>
      <c r="BV31">
        <v>26.94</v>
      </c>
      <c r="BW31">
        <v>23.15</v>
      </c>
      <c r="BX31">
        <v>26.32</v>
      </c>
      <c r="BY31">
        <v>15.91</v>
      </c>
      <c r="BZ31">
        <v>15.09</v>
      </c>
      <c r="CA31">
        <v>14.73</v>
      </c>
      <c r="CB31">
        <v>2.1800000000000002</v>
      </c>
      <c r="CC31">
        <v>-5.62</v>
      </c>
      <c r="CD31" t="s">
        <v>1340</v>
      </c>
      <c r="CE31" t="s">
        <v>1341</v>
      </c>
      <c r="CF31" s="8">
        <v>-0.17525773195876287</v>
      </c>
      <c r="CG31" s="9">
        <v>1.0516082037147363</v>
      </c>
      <c r="CH31" s="8">
        <v>0.17416131496429443</v>
      </c>
      <c r="CI31" s="8">
        <v>0.13809899985790253</v>
      </c>
      <c r="CJ31" s="8">
        <v>-4.9787700176239014E-2</v>
      </c>
      <c r="CK31" s="8">
        <v>0.32667699456214905</v>
      </c>
      <c r="CL31" s="8">
        <v>0.34689649939537048</v>
      </c>
      <c r="CM31" s="9">
        <v>-0.50118201971054077</v>
      </c>
      <c r="CN31" s="9">
        <v>0.1652892529964447</v>
      </c>
      <c r="CO31" s="9">
        <v>-0.39700996875762939</v>
      </c>
      <c r="CP31" s="9">
        <v>0.91111111640930176</v>
      </c>
      <c r="CQ31" s="9">
        <v>0.70270270109176636</v>
      </c>
      <c r="CR31">
        <v>17.881789423535018</v>
      </c>
      <c r="CS31">
        <v>0.95517674071705372</v>
      </c>
      <c r="CT31">
        <v>2.1091811414392061</v>
      </c>
      <c r="CU31" s="8">
        <v>0.18720922172069548</v>
      </c>
      <c r="CV31" s="9">
        <v>0.17618221640586854</v>
      </c>
      <c r="CW31">
        <v>0.06</v>
      </c>
      <c r="CX31">
        <v>18.570632663008208</v>
      </c>
      <c r="CY31">
        <v>236321835.64440256</v>
      </c>
      <c r="CZ31">
        <v>0.18720922172069548</v>
      </c>
      <c r="DA31">
        <v>5.5943824205499455</v>
      </c>
      <c r="DB31">
        <v>784473722.04644215</v>
      </c>
      <c r="DC31">
        <v>0.17784876063466071</v>
      </c>
      <c r="DD31">
        <v>2.4606615979269173</v>
      </c>
      <c r="DE31">
        <v>1783522774.4023762</v>
      </c>
      <c r="DF31">
        <v>0.16474411511421203</v>
      </c>
      <c r="DG31">
        <v>1.2945006908850005</v>
      </c>
      <c r="DH31">
        <v>3390222987.8298874</v>
      </c>
      <c r="DI31">
        <v>0.1497673773765564</v>
      </c>
      <c r="DJ31">
        <v>0.49114986152084322</v>
      </c>
      <c r="DK31">
        <v>8935451974.6998978</v>
      </c>
      <c r="DL31">
        <v>0.13104645520448682</v>
      </c>
      <c r="DM31">
        <v>211000000</v>
      </c>
      <c r="DN31">
        <v>0.18720922172069548</v>
      </c>
      <c r="DO31">
        <v>4388646000</v>
      </c>
      <c r="DP31">
        <v>1579089200</v>
      </c>
      <c r="DQ31">
        <v>4433</v>
      </c>
      <c r="DR31">
        <v>-0.36246695367945836</v>
      </c>
      <c r="DS31">
        <v>0.87542598730886778</v>
      </c>
      <c r="DT31" s="10">
        <v>-5.6666666666666719E-2</v>
      </c>
      <c r="DU31">
        <v>0.5033333333333333</v>
      </c>
      <c r="DV31">
        <v>0.4466666666666666</v>
      </c>
      <c r="DW31">
        <v>-1.0562</v>
      </c>
      <c r="DX31">
        <v>0.46441010588506487</v>
      </c>
      <c r="DY31">
        <v>-1.0081158479507406</v>
      </c>
      <c r="DZ31">
        <v>2223</v>
      </c>
      <c r="EA31">
        <v>-1.0045852158578841</v>
      </c>
      <c r="EB31">
        <v>1</v>
      </c>
      <c r="EC31">
        <v>1.977749353446679E-2</v>
      </c>
      <c r="ED31">
        <v>0.13695366687292382</v>
      </c>
      <c r="EE31" s="11">
        <v>6.1170099999999996</v>
      </c>
      <c r="EF31">
        <v>6.1470099999999999</v>
      </c>
      <c r="EG31">
        <v>32.144410105885065</v>
      </c>
      <c r="EH31" t="s">
        <v>1342</v>
      </c>
      <c r="EI31">
        <v>0</v>
      </c>
      <c r="EJ31">
        <v>0</v>
      </c>
      <c r="EK31" s="13">
        <v>45470</v>
      </c>
      <c r="EL31" s="14">
        <v>0.31</v>
      </c>
      <c r="EM31" s="14">
        <v>0.46</v>
      </c>
      <c r="EN31">
        <v>-6.25</v>
      </c>
      <c r="EO31">
        <v>-0.53</v>
      </c>
      <c r="EP31">
        <v>-3</v>
      </c>
    </row>
    <row r="32" spans="1:146" ht="144" x14ac:dyDescent="0.25">
      <c r="A32" s="6" t="s">
        <v>316</v>
      </c>
      <c r="B32" s="6" t="s">
        <v>256</v>
      </c>
      <c r="C32" s="6" t="str">
        <f>"研发、生产和销售透明质酸等生物活性物质原料产品及生物医用材料终端产品；公司的主要产品为玻璃酸钠、透明质酸钠等等玻尿酸各相关系列；"&amp;CHAR(10)&amp;Basic_Fundamental_Information_Constructure(F32)&amp;CHAR(10)&amp;Basic_Fundamental_Information_Concatenate("功能性护肤品 33.19亿 67.09% 67.87% 78.98%
原料产品 9.05亿 18.29% 16.91% 72.19%
医疗终端产品 7.00亿 14.15% 14.87% 82.05%")</f>
        <v>研发、生产和销售透明质酸等生物活性物质原料产品及生物医用材料终端产品；公司的主要产品为玻璃酸钠、透明质酸钠等等玻尿酸各相关系列；
市值285.05718亿, 利润-1844.69万; PE44.86; 平均PE50.44; 平均PEG2.24, PB4.02; ROIC11.7533%; ROE12.6233%; 股利率.6421%; 毛利76.1267%; 净利13.46%; 上一年度营收增-92.53%, 利润增-101.9%; 当季营收增1137.27%, 利润增1512.01%; 过往5年营收增22.57%, 利润增-1.65%
Income profile:
功能性护肤品 33.19亿 67.09% 67.87% 78.98%
原料产品 9.05亿 18.29% 16.91% 72.19%
医疗终端产品 7.00亿 14.15% 14.87% 82.05%</v>
      </c>
      <c r="D32" t="s">
        <v>244</v>
      </c>
      <c r="E32" t="s">
        <v>245</v>
      </c>
      <c r="F32">
        <v>59.18</v>
      </c>
      <c r="G32">
        <v>1.3</v>
      </c>
      <c r="H32" t="s">
        <v>1343</v>
      </c>
      <c r="I32">
        <v>28505718000</v>
      </c>
      <c r="J32">
        <v>44.86</v>
      </c>
      <c r="K32">
        <v>4.0199999999999996</v>
      </c>
      <c r="L32" t="s">
        <v>87</v>
      </c>
      <c r="M32" t="s">
        <v>827</v>
      </c>
      <c r="N32" t="s">
        <v>1344</v>
      </c>
      <c r="O32" t="s">
        <v>828</v>
      </c>
      <c r="P32">
        <v>4.24</v>
      </c>
      <c r="Q32" t="s">
        <v>856</v>
      </c>
      <c r="R32">
        <v>243367320</v>
      </c>
      <c r="S32" s="5">
        <v>0.21390000000000001</v>
      </c>
      <c r="T32" t="s">
        <v>1345</v>
      </c>
      <c r="U32">
        <v>198178240</v>
      </c>
      <c r="V32">
        <v>481678240</v>
      </c>
      <c r="W32">
        <v>1.17</v>
      </c>
      <c r="X32">
        <v>0.16</v>
      </c>
      <c r="Y32">
        <v>17.89</v>
      </c>
      <c r="Z32" t="s">
        <v>1346</v>
      </c>
      <c r="AA32" t="s">
        <v>1347</v>
      </c>
      <c r="AB32" t="s">
        <v>1348</v>
      </c>
      <c r="AC32" t="s">
        <v>971</v>
      </c>
      <c r="AD32" t="s">
        <v>9</v>
      </c>
      <c r="AE32">
        <v>-4676391</v>
      </c>
      <c r="AF32" t="s">
        <v>831</v>
      </c>
      <c r="AG32" t="s">
        <v>1349</v>
      </c>
      <c r="AH32" t="s">
        <v>832</v>
      </c>
      <c r="AI32" t="s">
        <v>1350</v>
      </c>
      <c r="AJ32" t="s">
        <v>833</v>
      </c>
      <c r="AK32" t="s">
        <v>9</v>
      </c>
      <c r="AL32" t="s">
        <v>834</v>
      </c>
      <c r="AM32" t="s">
        <v>9</v>
      </c>
      <c r="AN32" t="s">
        <v>1351</v>
      </c>
      <c r="AO32" t="s">
        <v>9</v>
      </c>
      <c r="AP32" t="s">
        <v>1352</v>
      </c>
      <c r="AQ32" t="s">
        <v>1353</v>
      </c>
      <c r="AR32" t="s">
        <v>9</v>
      </c>
      <c r="AS32" t="s">
        <v>55</v>
      </c>
      <c r="AT32" t="s">
        <v>1354</v>
      </c>
      <c r="AU32" t="s">
        <v>1355</v>
      </c>
      <c r="AV32" t="s">
        <v>1356</v>
      </c>
      <c r="AW32" t="s">
        <v>1357</v>
      </c>
      <c r="AX32" t="s">
        <v>489</v>
      </c>
      <c r="AY32" t="s">
        <v>302</v>
      </c>
      <c r="AZ32" t="s">
        <v>246</v>
      </c>
      <c r="BA32" t="s">
        <v>248</v>
      </c>
      <c r="BB32" t="s">
        <v>249</v>
      </c>
      <c r="BC32" t="s">
        <v>490</v>
      </c>
      <c r="BD32" t="s">
        <v>303</v>
      </c>
      <c r="BE32" t="s">
        <v>247</v>
      </c>
      <c r="BF32" t="s">
        <v>250</v>
      </c>
      <c r="BG32" t="s">
        <v>50</v>
      </c>
      <c r="BH32" t="s">
        <v>829</v>
      </c>
      <c r="BI32" t="s">
        <v>1358</v>
      </c>
      <c r="BJ32" t="s">
        <v>489</v>
      </c>
      <c r="BK32" t="s">
        <v>830</v>
      </c>
      <c r="BL32" t="s">
        <v>1359</v>
      </c>
      <c r="BM32" t="s">
        <v>490</v>
      </c>
      <c r="BN32">
        <v>6.88</v>
      </c>
      <c r="BO32">
        <v>14.53</v>
      </c>
      <c r="BP32">
        <v>13.85</v>
      </c>
      <c r="BQ32">
        <v>7.52</v>
      </c>
      <c r="BR32">
        <v>15.75</v>
      </c>
      <c r="BS32">
        <v>14.6</v>
      </c>
      <c r="BT32" t="s">
        <v>836</v>
      </c>
      <c r="BU32" t="s">
        <v>328</v>
      </c>
      <c r="BV32">
        <v>73.319999999999993</v>
      </c>
      <c r="BW32">
        <v>76.989999999999995</v>
      </c>
      <c r="BX32">
        <v>78.069999999999993</v>
      </c>
      <c r="BY32">
        <v>9.59</v>
      </c>
      <c r="BZ32">
        <v>15.12</v>
      </c>
      <c r="CA32">
        <v>15.67</v>
      </c>
      <c r="CB32">
        <v>4.6100000000000003</v>
      </c>
      <c r="CC32">
        <v>-3.14</v>
      </c>
      <c r="CD32" t="s">
        <v>1360</v>
      </c>
      <c r="CE32" t="s">
        <v>1361</v>
      </c>
      <c r="CF32" s="8">
        <v>11.372727272727271</v>
      </c>
      <c r="CG32" s="9">
        <v>15.120119520756578</v>
      </c>
      <c r="CH32" s="8">
        <v>-0.92530274391174316</v>
      </c>
      <c r="CI32" s="8">
        <v>0.28516581654548645</v>
      </c>
      <c r="CJ32" s="8">
        <v>0.87922519445419312</v>
      </c>
      <c r="CK32" s="8">
        <v>0.39607632160186768</v>
      </c>
      <c r="CL32" s="8">
        <v>0.49326992034912109</v>
      </c>
      <c r="CM32" s="9">
        <v>-1.0189979076385498</v>
      </c>
      <c r="CN32" s="9">
        <v>0.24168798327445984</v>
      </c>
      <c r="CO32" s="9">
        <v>0.21052631735801697</v>
      </c>
      <c r="CP32" s="9">
        <v>0.10238907486200333</v>
      </c>
      <c r="CQ32" s="9">
        <v>0.38207545876502991</v>
      </c>
      <c r="CR32">
        <v>50.444367911536318</v>
      </c>
      <c r="CS32">
        <v>2.2351482300244085</v>
      </c>
      <c r="CT32">
        <v>0.6421088205474822</v>
      </c>
      <c r="CU32" s="8">
        <v>0.22568690180778503</v>
      </c>
      <c r="CV32" s="9">
        <v>-1.6463814675807951E-2</v>
      </c>
      <c r="CW32">
        <v>0.06</v>
      </c>
      <c r="CX32" t="e">
        <v>#VALUE!</v>
      </c>
      <c r="CY32" t="s">
        <v>313</v>
      </c>
      <c r="CZ32">
        <v>0.22568690180778503</v>
      </c>
      <c r="DA32" t="e">
        <v>#VALUE!</v>
      </c>
      <c r="DB32" t="s">
        <v>313</v>
      </c>
      <c r="DC32">
        <v>0.21440255671739578</v>
      </c>
      <c r="DD32" t="e">
        <v>#VALUE!</v>
      </c>
      <c r="DE32" t="s">
        <v>313</v>
      </c>
      <c r="DF32">
        <v>0.19860447359085082</v>
      </c>
      <c r="DG32" t="e">
        <v>#VALUE!</v>
      </c>
      <c r="DH32" t="s">
        <v>313</v>
      </c>
      <c r="DI32">
        <v>0.18054952144622805</v>
      </c>
      <c r="DJ32" t="e">
        <v>#VALUE!</v>
      </c>
      <c r="DK32" t="s">
        <v>313</v>
      </c>
      <c r="DL32">
        <v>0.15798083126544951</v>
      </c>
      <c r="DM32">
        <v>-18446900</v>
      </c>
      <c r="DN32">
        <v>0.22568690180778503</v>
      </c>
      <c r="DO32">
        <v>22865718000</v>
      </c>
      <c r="DP32">
        <v>1936514100</v>
      </c>
      <c r="DQ32">
        <v>4855</v>
      </c>
      <c r="DR32">
        <v>11.147040370919486</v>
      </c>
      <c r="DS32">
        <v>15.136583335432386</v>
      </c>
      <c r="DT32" s="10">
        <v>-0.14000000000000004</v>
      </c>
      <c r="DU32">
        <v>-0.3666666666666667</v>
      </c>
      <c r="DV32">
        <v>-0.50666666666666671</v>
      </c>
      <c r="DW32">
        <v>4.6811279826464212</v>
      </c>
      <c r="DX32">
        <v>0.41439222103460893</v>
      </c>
      <c r="DY32">
        <v>4.1051608620496038</v>
      </c>
      <c r="DZ32">
        <v>4732</v>
      </c>
      <c r="EA32">
        <v>4.0077790226721621</v>
      </c>
      <c r="EB32">
        <v>4</v>
      </c>
      <c r="EC32">
        <v>1.3554691613222968E-2</v>
      </c>
      <c r="ED32">
        <v>8.7793876675849009E-2</v>
      </c>
      <c r="EE32" s="11">
        <v>6.0538100000000004</v>
      </c>
      <c r="EF32">
        <v>6.0821100000000001</v>
      </c>
      <c r="EG32">
        <v>26.154392221034609</v>
      </c>
      <c r="EH32" t="s">
        <v>1342</v>
      </c>
      <c r="EI32">
        <v>0</v>
      </c>
      <c r="EJ32">
        <v>0</v>
      </c>
      <c r="EK32" s="13">
        <v>45470</v>
      </c>
      <c r="EL32" s="14">
        <v>-1.68</v>
      </c>
      <c r="EM32" s="14">
        <v>-6.38</v>
      </c>
      <c r="EN32">
        <v>-1.83</v>
      </c>
      <c r="EO32">
        <v>7.78</v>
      </c>
      <c r="EP32">
        <v>-2.83</v>
      </c>
    </row>
    <row r="33" spans="1:17" x14ac:dyDescent="0.25">
      <c r="A33" s="6"/>
      <c r="B33" s="6"/>
      <c r="C33" s="6"/>
      <c r="Q33" s="5"/>
    </row>
    <row r="34" spans="1:17" x14ac:dyDescent="0.25">
      <c r="A34" s="6"/>
      <c r="B34" s="6"/>
      <c r="C34" s="6"/>
      <c r="Q34" s="5"/>
    </row>
    <row r="35" spans="1:17" x14ac:dyDescent="0.25">
      <c r="A35" s="6"/>
      <c r="B35" s="6"/>
      <c r="C35" s="6"/>
      <c r="Q35" s="5"/>
    </row>
    <row r="36" spans="1:17" x14ac:dyDescent="0.25">
      <c r="A36" s="6"/>
      <c r="B36" s="6"/>
      <c r="C36" s="6"/>
      <c r="Q36" s="5"/>
    </row>
    <row r="37" spans="1:17" x14ac:dyDescent="0.25">
      <c r="A37" s="6"/>
      <c r="B37" s="6"/>
      <c r="C37" s="6"/>
      <c r="Q37" s="5"/>
    </row>
    <row r="38" spans="1:17" x14ac:dyDescent="0.25">
      <c r="A38" s="6"/>
      <c r="B38" s="6"/>
      <c r="C38" s="6"/>
      <c r="Q38" s="5"/>
    </row>
    <row r="39" spans="1:17" x14ac:dyDescent="0.25">
      <c r="A39" s="6"/>
      <c r="B39" s="6"/>
      <c r="C39" s="6"/>
      <c r="Q39" s="5"/>
    </row>
  </sheetData>
  <autoFilter ref="BU1:BU39"/>
  <sortState ref="A2:D71">
    <sortCondition ref="C2:C71"/>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美容护理&quot;,&quot;&quot;'" altText="更新基本面按钮_x000a_">
                <anchor moveWithCells="1" sizeWithCells="1">
                  <from>
                    <xdr:col>147</xdr:col>
                    <xdr:colOff>254000</xdr:colOff>
                    <xdr:row>0</xdr:row>
                    <xdr:rowOff>76200</xdr:rowOff>
                  </from>
                  <to>
                    <xdr:col>147</xdr:col>
                    <xdr:colOff>1473200</xdr:colOff>
                    <xdr:row>0</xdr:row>
                    <xdr:rowOff>387350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美容护理</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2024-07-10T22:32:44Z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