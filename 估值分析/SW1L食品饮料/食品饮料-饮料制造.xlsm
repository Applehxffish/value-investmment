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SW1L食品饮料\"/>
    </mc:Choice>
  </mc:AlternateContent>
  <bookViews>
    <workbookView xWindow="0" yWindow="0" windowWidth="3800" windowHeight="2950"/>
  </bookViews>
  <sheets>
    <sheet name="饮料制造" sheetId="15" r:id="rId1"/>
    <sheet name="估值-增速与年化收益" sheetId="14" r:id="rId2"/>
  </sheets>
  <functionGroups builtInGroupCount="18"/>
  <definedNames>
    <definedName name="_xlnm._FilterDatabase" localSheetId="0" hidden="1">饮料制造!$BU$1:$BU$46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3" i="15" l="1"/>
  <c r="C41" i="15"/>
  <c r="C36" i="15"/>
  <c r="C35" i="15"/>
  <c r="C37" i="15"/>
  <c r="C34" i="15"/>
  <c r="C31" i="15"/>
  <c r="C27" i="15"/>
  <c r="C29" i="15"/>
  <c r="C28" i="15"/>
  <c r="C30" i="15"/>
  <c r="C32" i="15"/>
  <c r="C33" i="15"/>
  <c r="C19" i="15"/>
  <c r="C15" i="15"/>
  <c r="C11" i="15"/>
  <c r="C14" i="15"/>
  <c r="C13" i="15"/>
  <c r="C16" i="15"/>
  <c r="C12" i="15"/>
  <c r="C18" i="15"/>
  <c r="C17" i="15"/>
  <c r="C20" i="15"/>
  <c r="C21" i="15"/>
  <c r="C22" i="15"/>
  <c r="C23" i="15"/>
  <c r="C24" i="15"/>
  <c r="C25" i="15"/>
  <c r="C26" i="15"/>
  <c r="C7" i="15"/>
  <c r="C8" i="15"/>
  <c r="C9" i="15"/>
  <c r="C10" i="15"/>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44" i="15"/>
  <c r="C39" i="15"/>
  <c r="C38" i="15"/>
  <c r="C5" i="15"/>
  <c r="C42" i="15"/>
  <c r="C3" i="15"/>
  <c r="C46" i="15"/>
  <c r="C2" i="15"/>
  <c r="C45" i="15"/>
  <c r="C40" i="15"/>
  <c r="C6" i="15"/>
  <c r="C4" i="15"/>
</calcChain>
</file>

<file path=xl/sharedStrings.xml><?xml version="1.0" encoding="utf-8"?>
<sst xmlns="http://schemas.openxmlformats.org/spreadsheetml/2006/main" count="2808" uniqueCount="1961">
  <si>
    <t>&lt;-增速</t>
    <phoneticPr fontId="1" type="noConversion"/>
  </si>
  <si>
    <t>&lt;-估值</t>
    <phoneticPr fontId="1" type="noConversion"/>
  </si>
  <si>
    <t>&lt;-折合年化收益</t>
    <phoneticPr fontId="1" type="noConversion"/>
  </si>
  <si>
    <t>现价</t>
  </si>
  <si>
    <t>市净率</t>
  </si>
  <si>
    <t>国投中鲁</t>
  </si>
  <si>
    <t>香飘飘</t>
  </si>
  <si>
    <t>金枫酒业</t>
  </si>
  <si>
    <t>惠泉啤酒</t>
  </si>
  <si>
    <t>百润股份</t>
  </si>
  <si>
    <t>古越龙山</t>
  </si>
  <si>
    <t>会稽山</t>
  </si>
  <si>
    <t>重庆啤酒</t>
  </si>
  <si>
    <t>珠江啤酒</t>
  </si>
  <si>
    <t>燕京啤酒</t>
  </si>
  <si>
    <t>张  裕Ａ</t>
  </si>
  <si>
    <t>青岛啤酒</t>
  </si>
  <si>
    <t>承德露露</t>
  </si>
  <si>
    <t>养元饮品</t>
  </si>
  <si>
    <t>兰州黄河</t>
  </si>
  <si>
    <t>--</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</si>
  <si>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</si>
  <si>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</si>
  <si>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</si>
  <si>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</si>
  <si>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</si>
  <si>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</si>
  <si>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</si>
  <si>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</si>
  <si>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</si>
  <si>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</si>
  <si>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</si>
  <si>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</si>
  <si>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</si>
  <si>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</si>
  <si>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</si>
  <si>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饮料制造</t>
  </si>
  <si>
    <t>2.59亿</t>
  </si>
  <si>
    <t>SZ000729</t>
  </si>
  <si>
    <t>114.68亿</t>
  </si>
  <si>
    <t>2.30亿</t>
  </si>
  <si>
    <t>SZ000752</t>
  </si>
  <si>
    <t>*ST西发</t>
  </si>
  <si>
    <t>3.18亿</t>
  </si>
  <si>
    <t>1.61亿</t>
  </si>
  <si>
    <t>2.99亿</t>
  </si>
  <si>
    <t>0亿</t>
  </si>
  <si>
    <t>430.00万</t>
  </si>
  <si>
    <t>1.76亿</t>
  </si>
  <si>
    <t>4.13亿</t>
  </si>
  <si>
    <t>SZ000848</t>
  </si>
  <si>
    <t>22.55亿</t>
  </si>
  <si>
    <t>4.65亿</t>
  </si>
  <si>
    <t>2.22亿</t>
  </si>
  <si>
    <t>8.09亿</t>
  </si>
  <si>
    <t>SZ000869</t>
  </si>
  <si>
    <t>SZ000929</t>
  </si>
  <si>
    <t>4.55亿</t>
  </si>
  <si>
    <t>1563.23万</t>
  </si>
  <si>
    <t>SZ002461</t>
  </si>
  <si>
    <t>42.44亿</t>
  </si>
  <si>
    <t>4.97亿</t>
  </si>
  <si>
    <t>SZ002568</t>
  </si>
  <si>
    <t>14.68亿</t>
  </si>
  <si>
    <t>3.00亿</t>
  </si>
  <si>
    <t>1.97亿</t>
  </si>
  <si>
    <t>3.15亿</t>
  </si>
  <si>
    <t>1.24亿</t>
  </si>
  <si>
    <t>1.40亿</t>
  </si>
  <si>
    <t>2.15亿</t>
  </si>
  <si>
    <t>11.46亿</t>
  </si>
  <si>
    <t>SH600059</t>
  </si>
  <si>
    <t>17.59亿</t>
  </si>
  <si>
    <t>SH600084</t>
  </si>
  <si>
    <t>2.48亿</t>
  </si>
  <si>
    <t>SH600132</t>
  </si>
  <si>
    <t>14.73亿</t>
  </si>
  <si>
    <t>SH600189</t>
  </si>
  <si>
    <t>16.02亿</t>
  </si>
  <si>
    <t>4.28亿</t>
  </si>
  <si>
    <t>1.50亿</t>
  </si>
  <si>
    <t>1.66亿</t>
  </si>
  <si>
    <t>9.14亿</t>
  </si>
  <si>
    <t>SH600238</t>
  </si>
  <si>
    <t>6.25亿</t>
  </si>
  <si>
    <t>-2.68亿</t>
  </si>
  <si>
    <t>3.07亿</t>
  </si>
  <si>
    <t>2.07亿</t>
  </si>
  <si>
    <t>SH600300</t>
  </si>
  <si>
    <t>50.39亿</t>
  </si>
  <si>
    <t>7292.60万</t>
  </si>
  <si>
    <t>1.79亿</t>
  </si>
  <si>
    <t>SH600543</t>
  </si>
  <si>
    <t>1.77亿</t>
  </si>
  <si>
    <t>2742.74万</t>
  </si>
  <si>
    <t>SH600573</t>
  </si>
  <si>
    <t>5.63亿</t>
  </si>
  <si>
    <t>1981.90万</t>
  </si>
  <si>
    <t>2.31亿</t>
  </si>
  <si>
    <t>SH600600</t>
  </si>
  <si>
    <t>279.84亿</t>
  </si>
  <si>
    <t>18.52亿</t>
  </si>
  <si>
    <t>SH600616</t>
  </si>
  <si>
    <t>9.44亿</t>
  </si>
  <si>
    <t>2944.72万</t>
  </si>
  <si>
    <t>2.54亿</t>
  </si>
  <si>
    <t>1.85亿</t>
  </si>
  <si>
    <t>5.00亿</t>
  </si>
  <si>
    <t>SH600962</t>
  </si>
  <si>
    <t>13.30亿</t>
  </si>
  <si>
    <t>359.73万</t>
  </si>
  <si>
    <t>5.36亿</t>
  </si>
  <si>
    <t>SH601579</t>
  </si>
  <si>
    <t>11.71亿</t>
  </si>
  <si>
    <t>SH603156</t>
  </si>
  <si>
    <t>74.59亿</t>
  </si>
  <si>
    <t>26.95亿</t>
  </si>
  <si>
    <t>1.81亿</t>
  </si>
  <si>
    <t>1.08亿</t>
  </si>
  <si>
    <t>SH603711</t>
  </si>
  <si>
    <t>39.78亿</t>
  </si>
  <si>
    <t>3.47亿</t>
  </si>
  <si>
    <t>SH603779</t>
  </si>
  <si>
    <t>6.67亿</t>
  </si>
  <si>
    <t>-2586.51万</t>
  </si>
  <si>
    <t>16.34亿</t>
  </si>
  <si>
    <t>2.71亿</t>
  </si>
  <si>
    <t>SH605388</t>
  </si>
  <si>
    <t>均瑶健康</t>
  </si>
  <si>
    <t>12.46亿</t>
  </si>
  <si>
    <t>1.47亿</t>
  </si>
  <si>
    <t>流动资产</t>
  </si>
  <si>
    <t>营业收入[20191231]</t>
  </si>
  <si>
    <t>营业收入[20181231]</t>
  </si>
  <si>
    <t>营业收入[20171231]</t>
  </si>
  <si>
    <t>净利润[20191231]</t>
  </si>
  <si>
    <t>净利润[20181231]</t>
  </si>
  <si>
    <t>净利润[20171231]</t>
  </si>
  <si>
    <t>109.28亿</t>
  </si>
  <si>
    <t>8.42亿</t>
  </si>
  <si>
    <t>113.44亿</t>
  </si>
  <si>
    <t>1.80亿</t>
  </si>
  <si>
    <t>4.05亿</t>
  </si>
  <si>
    <t>3.23亿</t>
  </si>
  <si>
    <t>3.62亿</t>
  </si>
  <si>
    <t>5.52亿</t>
  </si>
  <si>
    <t>1.72亿</t>
  </si>
  <si>
    <t>8.78亿</t>
  </si>
  <si>
    <t>2.23亿</t>
  </si>
  <si>
    <t>1.09亿</t>
  </si>
  <si>
    <t>18.61亿</t>
  </si>
  <si>
    <t>4.32亿</t>
  </si>
  <si>
    <t>21.22亿</t>
  </si>
  <si>
    <t>4.14亿</t>
  </si>
  <si>
    <t>1.82亿</t>
  </si>
  <si>
    <t>33.95亿</t>
  </si>
  <si>
    <t>4.71亿</t>
  </si>
  <si>
    <t>50.74亿</t>
  </si>
  <si>
    <t>51.42亿</t>
  </si>
  <si>
    <t>11.41亿</t>
  </si>
  <si>
    <t>10.43亿</t>
  </si>
  <si>
    <t>-2988.57万</t>
  </si>
  <si>
    <t>5.09亿</t>
  </si>
  <si>
    <t>5.96亿</t>
  </si>
  <si>
    <t>-6755.04万</t>
  </si>
  <si>
    <t>1.05亿</t>
  </si>
  <si>
    <t>-1.18亿</t>
  </si>
  <si>
    <t>42.49亿</t>
  </si>
  <si>
    <t>5.69亿</t>
  </si>
  <si>
    <t>40.39亿</t>
  </si>
  <si>
    <t>3.66亿</t>
  </si>
  <si>
    <t>19.27亿</t>
  </si>
  <si>
    <t>1.69亿</t>
  </si>
  <si>
    <t>12.30亿</t>
  </si>
  <si>
    <t>1.33亿</t>
  </si>
  <si>
    <t>1.01亿</t>
  </si>
  <si>
    <t>2.16亿</t>
  </si>
  <si>
    <t>SZ300997</t>
  </si>
  <si>
    <t>欢乐家</t>
  </si>
  <si>
    <t>12.47亿</t>
  </si>
  <si>
    <t>14.24亿</t>
  </si>
  <si>
    <t>13.55亿</t>
  </si>
  <si>
    <t>13.01亿</t>
  </si>
  <si>
    <t>17.17亿</t>
  </si>
  <si>
    <t>16.37亿</t>
  </si>
  <si>
    <t>1.64亿</t>
  </si>
  <si>
    <t>1.45亿</t>
  </si>
  <si>
    <t>9461.49万</t>
  </si>
  <si>
    <t>3.42亿</t>
  </si>
  <si>
    <t>109.42亿</t>
  </si>
  <si>
    <t>1.37亿</t>
  </si>
  <si>
    <t>102.12亿</t>
  </si>
  <si>
    <t>34.67亿</t>
  </si>
  <si>
    <t>泉阳泉</t>
  </si>
  <si>
    <t>13.72亿</t>
  </si>
  <si>
    <t>15.46亿</t>
  </si>
  <si>
    <t>2.77亿</t>
  </si>
  <si>
    <t>1.26亿</t>
  </si>
  <si>
    <t>海南椰岛</t>
  </si>
  <si>
    <t>8.08亿</t>
  </si>
  <si>
    <t>7.06亿</t>
  </si>
  <si>
    <t>47.99亿</t>
  </si>
  <si>
    <t>4.36亿</t>
  </si>
  <si>
    <t>50.33亿</t>
  </si>
  <si>
    <t>5966.98万</t>
  </si>
  <si>
    <t>3.58亿</t>
  </si>
  <si>
    <t>185.96万</t>
  </si>
  <si>
    <t>2724.64万</t>
  </si>
  <si>
    <t>6.14亿</t>
  </si>
  <si>
    <t>2867.08万</t>
  </si>
  <si>
    <t>1849.73万</t>
  </si>
  <si>
    <t>277.60亿</t>
  </si>
  <si>
    <t>22.01亿</t>
  </si>
  <si>
    <t>265.75亿</t>
  </si>
  <si>
    <t>14.22亿</t>
  </si>
  <si>
    <t>6.08亿</t>
  </si>
  <si>
    <t>1223.97万</t>
  </si>
  <si>
    <t>8.98亿</t>
  </si>
  <si>
    <t>-6888.02万</t>
  </si>
  <si>
    <t>14.62亿</t>
  </si>
  <si>
    <t>3.35亿</t>
  </si>
  <si>
    <t>44.27亿</t>
  </si>
  <si>
    <t>11.48亿</t>
  </si>
  <si>
    <t>2.14亿</t>
  </si>
  <si>
    <t>9.63亿</t>
  </si>
  <si>
    <t>9.86亿</t>
  </si>
  <si>
    <t>532.38万</t>
  </si>
  <si>
    <t>11.08亿</t>
  </si>
  <si>
    <t>2.89亿</t>
  </si>
  <si>
    <t>11.99亿</t>
  </si>
  <si>
    <t>1.73亿</t>
  </si>
  <si>
    <t>15.78亿</t>
  </si>
  <si>
    <t>2.17亿</t>
  </si>
  <si>
    <t>81.44亿</t>
  </si>
  <si>
    <t>28.37亿</t>
  </si>
  <si>
    <t>1.46亿</t>
  </si>
  <si>
    <t>30.38亿</t>
  </si>
  <si>
    <t>2.84亿</t>
  </si>
  <si>
    <t>37.61亿</t>
  </si>
  <si>
    <t>32.51亿</t>
  </si>
  <si>
    <t>2.66亿</t>
  </si>
  <si>
    <t>3.92亿</t>
  </si>
  <si>
    <t>-2.20亿</t>
  </si>
  <si>
    <t>7.88亿</t>
  </si>
  <si>
    <t>5164.03万</t>
  </si>
  <si>
    <t>3.31亿</t>
  </si>
  <si>
    <t>SH605198</t>
  </si>
  <si>
    <t>1.52亿</t>
  </si>
  <si>
    <t>8.38亿</t>
  </si>
  <si>
    <t>10.68亿</t>
  </si>
  <si>
    <t>SH605337</t>
  </si>
  <si>
    <t>李子园</t>
  </si>
  <si>
    <t>10.88亿</t>
  </si>
  <si>
    <t>9.75亿</t>
  </si>
  <si>
    <t>7.87亿</t>
  </si>
  <si>
    <t>6.02亿</t>
  </si>
  <si>
    <t>8.52亿</t>
  </si>
  <si>
    <t>12.87亿</t>
  </si>
  <si>
    <t>2.95亿</t>
  </si>
  <si>
    <t>SH605499</t>
  </si>
  <si>
    <t>东鹏饮料</t>
  </si>
  <si>
    <t>49.59亿</t>
  </si>
  <si>
    <t>8.12亿</t>
  </si>
  <si>
    <t>42.09亿</t>
  </si>
  <si>
    <t>5.71亿</t>
  </si>
  <si>
    <t>2.96亿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</si>
  <si>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</si>
  <si>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</si>
  <si>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</si>
  <si>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</si>
  <si>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</si>
  <si>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</si>
  <si>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</si>
  <si>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</si>
  <si>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</si>
  <si>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</si>
  <si>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</si>
  <si>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</si>
  <si>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</si>
  <si>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</si>
  <si>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</si>
  <si>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-4.14亿</t>
  </si>
  <si>
    <t>6.66亿</t>
  </si>
  <si>
    <t>6.49亿</t>
  </si>
  <si>
    <t>6.11亿</t>
  </si>
  <si>
    <t>5.82亿</t>
  </si>
  <si>
    <t>1.84亿</t>
  </si>
  <si>
    <t>8.72亿</t>
  </si>
  <si>
    <t>3.09亿</t>
  </si>
  <si>
    <t>威龙股份</t>
  </si>
  <si>
    <t>1.60亿</t>
  </si>
  <si>
    <t>流通股本</t>
  </si>
  <si>
    <t>净利润[20201231]</t>
  </si>
  <si>
    <t>投入资本回报率roic%[20201231]</t>
  </si>
  <si>
    <t>净资产收益率%[20201231]</t>
  </si>
  <si>
    <t>119.61亿</t>
  </si>
  <si>
    <t>2.28亿</t>
  </si>
  <si>
    <t>3.93亿</t>
  </si>
  <si>
    <t>25.24亿</t>
  </si>
  <si>
    <t>5.70亿</t>
  </si>
  <si>
    <t>39.53亿</t>
  </si>
  <si>
    <t>1911.39万</t>
  </si>
  <si>
    <t>45.38亿</t>
  </si>
  <si>
    <t>25.94亿</t>
  </si>
  <si>
    <t>14.71亿</t>
  </si>
  <si>
    <t>1.28亿</t>
  </si>
  <si>
    <t>维维股份</t>
  </si>
  <si>
    <t>45.68亿</t>
  </si>
  <si>
    <t>-9869.57万</t>
  </si>
  <si>
    <t>3103.18万</t>
  </si>
  <si>
    <t>301.67亿</t>
  </si>
  <si>
    <t>31.55亿</t>
  </si>
  <si>
    <t>-1284.58万</t>
  </si>
  <si>
    <t>14.50亿</t>
  </si>
  <si>
    <t>-1947.22万</t>
  </si>
  <si>
    <t>12.50亿</t>
  </si>
  <si>
    <t>69.06亿</t>
  </si>
  <si>
    <t>21.11亿</t>
  </si>
  <si>
    <t>17.27亿</t>
  </si>
  <si>
    <t>34.66亿</t>
  </si>
  <si>
    <t>4.74亿</t>
  </si>
  <si>
    <t>14.70亿</t>
  </si>
  <si>
    <t>2.62亿</t>
  </si>
  <si>
    <t>69.78亿</t>
  </si>
  <si>
    <t>11.93亿</t>
  </si>
  <si>
    <t xml:space="preserve">    名称</t>
  </si>
  <si>
    <t>净利润?</t>
  </si>
  <si>
    <t>投入资本回报率roic%[20211231]</t>
  </si>
  <si>
    <t>净资产收益率%[20211231]</t>
  </si>
  <si>
    <t>单季营收增速</t>
  </si>
  <si>
    <t>单季利润增速</t>
  </si>
  <si>
    <t>3年自由现金流折现</t>
    <phoneticPr fontId="1" type="noConversion"/>
  </si>
  <si>
    <t>价格变动策略</t>
    <phoneticPr fontId="1" type="noConversion"/>
  </si>
  <si>
    <t>综合策略</t>
    <phoneticPr fontId="1" type="noConversion"/>
  </si>
  <si>
    <t>昨日价格累计指数</t>
    <phoneticPr fontId="1" type="noConversion"/>
  </si>
  <si>
    <t/>
  </si>
  <si>
    <t>亏损</t>
  </si>
  <si>
    <t>扭亏</t>
  </si>
  <si>
    <t>-1-0</t>
  </si>
  <si>
    <t>1.19亿</t>
  </si>
  <si>
    <t>300.00万</t>
  </si>
  <si>
    <t>2.21亿</t>
  </si>
  <si>
    <t>3.64亿</t>
  </si>
  <si>
    <t>1.65亿</t>
  </si>
  <si>
    <t>细分行业</t>
  </si>
  <si>
    <t>啤酒</t>
  </si>
  <si>
    <t>1.89亿</t>
  </si>
  <si>
    <t>软饮料</t>
  </si>
  <si>
    <t>其他酒类</t>
  </si>
  <si>
    <t>1.18亿</t>
  </si>
  <si>
    <t>6.03亿</t>
  </si>
  <si>
    <t>1.87亿</t>
  </si>
  <si>
    <t>安德利</t>
  </si>
  <si>
    <t>6增速</t>
    <phoneticPr fontId="1" type="noConversion"/>
  </si>
  <si>
    <t>策略1利润单季最佳增速</t>
    <phoneticPr fontId="1" type="noConversion"/>
  </si>
  <si>
    <t>价格箱体形态过滤</t>
    <phoneticPr fontId="1" type="noConversion"/>
  </si>
  <si>
    <t>N-4</t>
    <phoneticPr fontId="1" type="noConversion"/>
  </si>
  <si>
    <t>10增速</t>
    <phoneticPr fontId="1" type="noConversion"/>
  </si>
  <si>
    <t>成交量综合策略</t>
    <phoneticPr fontId="1" type="noConversion"/>
  </si>
  <si>
    <t>机会区域号</t>
    <phoneticPr fontId="1" type="noConversion"/>
  </si>
  <si>
    <t>今日价格累积指数</t>
    <phoneticPr fontId="1" type="noConversion"/>
  </si>
  <si>
    <t>不分配不转增</t>
  </si>
  <si>
    <t>2.01亿</t>
  </si>
  <si>
    <t>1.30亿</t>
  </si>
  <si>
    <t>2.02亿</t>
  </si>
  <si>
    <t>4.29亿</t>
  </si>
  <si>
    <t>10派0.5元(含税)</t>
  </si>
  <si>
    <t>1.25亿</t>
  </si>
  <si>
    <t>10派1元(含税)</t>
  </si>
  <si>
    <t>10派20元(含税)</t>
  </si>
  <si>
    <t>2.09亿</t>
  </si>
  <si>
    <t>2.05亿</t>
  </si>
  <si>
    <t>1.03亿</t>
  </si>
  <si>
    <t>2.61亿</t>
  </si>
  <si>
    <t>1.94亿</t>
  </si>
  <si>
    <t>5.33亿</t>
  </si>
  <si>
    <t>4.99亿</t>
  </si>
  <si>
    <t>1.57亿</t>
  </si>
  <si>
    <t>1.2021年6月上市；</t>
    <phoneticPr fontId="1" type="noConversion"/>
  </si>
  <si>
    <t>1.问:公司提价情况:答:公司提价的时点选择充分考虑到了冲泡产品的销售节奏,二月份是公司冲泡产品从销售旺季向淡季转换的时节,因此公司选择在这一时点进行了提价。</t>
    <phoneticPr fontId="1" type="noConversion"/>
  </si>
  <si>
    <t>1.问:公司的研发机制是怎样的？答:公司今年成立了品牌创新中心,采用自下而上的驱动研发机制,产品立项、口味、包装测试、定价等全流程都让用户参与进来,使得产品的调性更加契合当下年轻消费者的喜好,同时公司的技术研发部门更加关注当下流行的趋势和方向,从健康化的角度去做基础性的研究;</t>
    <phoneticPr fontId="1" type="noConversion"/>
  </si>
  <si>
    <t>1.葡萄酒；</t>
    <phoneticPr fontId="1" type="noConversion"/>
  </si>
  <si>
    <t>1.黄酒；</t>
    <phoneticPr fontId="1" type="noConversion"/>
  </si>
  <si>
    <t>涨幅%</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</si>
  <si>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</si>
  <si>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</si>
  <si>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</si>
  <si>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</si>
  <si>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</si>
  <si>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</si>
  <si>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</si>
  <si>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</si>
  <si>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</si>
  <si>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</si>
  <si>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</si>
  <si>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</si>
  <si>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</si>
  <si>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</si>
  <si>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</si>
  <si>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</si>
  <si>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</si>
  <si>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</si>
  <si>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</si>
  <si>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</si>
  <si>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</si>
  <si>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</si>
  <si>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</si>
  <si>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</si>
  <si>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</si>
  <si>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</si>
  <si>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</si>
  <si>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</si>
  <si>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</si>
  <si>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</si>
  <si>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</si>
  <si>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</si>
  <si>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</si>
  <si>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</si>
  <si>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</si>
  <si>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</si>
  <si>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</si>
  <si>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</si>
  <si>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</si>
  <si>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</si>
  <si>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</si>
  <si>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</si>
  <si>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</si>
  <si>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</si>
  <si>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</si>
  <si>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</si>
  <si>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</si>
  <si>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5年营收增速PEG</t>
    <phoneticPr fontId="1" type="noConversion"/>
  </si>
  <si>
    <t>股利率</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</si>
  <si>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</si>
  <si>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</si>
  <si>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</si>
  <si>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</si>
  <si>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3增速</t>
    <phoneticPr fontId="1" type="noConversion"/>
  </si>
  <si>
    <t>10年自由现金流折现</t>
    <phoneticPr fontId="1" type="noConversion"/>
  </si>
  <si>
    <t>20年自由现金流折现</t>
    <phoneticPr fontId="1" type="noConversion"/>
  </si>
  <si>
    <t>承担负债现期溢价</t>
    <phoneticPr fontId="1" type="noConversion"/>
  </si>
  <si>
    <t>清算价格</t>
    <phoneticPr fontId="1" type="noConversion"/>
  </si>
  <si>
    <t>策略1营收单季最佳增速</t>
    <phoneticPr fontId="1" type="noConversion"/>
  </si>
  <si>
    <t>营收成长策略</t>
    <phoneticPr fontId="1" type="noConversion"/>
  </si>
  <si>
    <t>营收和利润加权</t>
    <phoneticPr fontId="1" type="noConversion"/>
  </si>
  <si>
    <t>量价齐升策略</t>
    <phoneticPr fontId="1" type="noConversion"/>
  </si>
  <si>
    <t>基本面排序</t>
    <phoneticPr fontId="1" type="noConversion"/>
  </si>
  <si>
    <t>30日成交换手率</t>
    <phoneticPr fontId="1" type="noConversion"/>
  </si>
  <si>
    <t>成交量异动策略</t>
    <phoneticPr fontId="1" type="noConversion"/>
  </si>
  <si>
    <t>价格右侧初期策略</t>
    <phoneticPr fontId="1" type="noConversion"/>
  </si>
  <si>
    <t>N-2</t>
    <phoneticPr fontId="1" type="noConversion"/>
  </si>
  <si>
    <t>6年PE</t>
    <phoneticPr fontId="1" type="noConversion"/>
  </si>
  <si>
    <t>过往营收增速均值</t>
    <phoneticPr fontId="1" type="noConversion"/>
  </si>
  <si>
    <t>6年自由现金流折现</t>
    <phoneticPr fontId="1" type="noConversion"/>
  </si>
  <si>
    <t>原始顺序</t>
    <phoneticPr fontId="1" type="noConversion"/>
  </si>
  <si>
    <t>利润成长策略</t>
    <phoneticPr fontId="1" type="noConversion"/>
  </si>
  <si>
    <t>5日成交换手率</t>
    <phoneticPr fontId="1" type="noConversion"/>
  </si>
  <si>
    <t>N日期</t>
    <phoneticPr fontId="1" type="noConversion"/>
  </si>
  <si>
    <t>N-3</t>
    <phoneticPr fontId="1" type="noConversion"/>
  </si>
  <si>
    <t>N-1</t>
    <phoneticPr fontId="1" type="noConversion"/>
  </si>
  <si>
    <t>N</t>
    <phoneticPr fontId="1" type="noConversion"/>
  </si>
  <si>
    <t>132.02亿</t>
  </si>
  <si>
    <t>3.52亿</t>
  </si>
  <si>
    <t>4.22亿</t>
  </si>
  <si>
    <t>-1-1</t>
  </si>
  <si>
    <t>15.96亿</t>
  </si>
  <si>
    <t>5.21亿</t>
  </si>
  <si>
    <t>26.92亿</t>
  </si>
  <si>
    <t>1.04亿</t>
  </si>
  <si>
    <t>19.67亿</t>
  </si>
  <si>
    <t>39.19亿</t>
  </si>
  <si>
    <t>3.34亿</t>
  </si>
  <si>
    <t>-2924.42万</t>
  </si>
  <si>
    <t>1-1</t>
  </si>
  <si>
    <t>1.36亿</t>
  </si>
  <si>
    <t>1.42亿</t>
  </si>
  <si>
    <t>49.28亿</t>
  </si>
  <si>
    <t>5.98亿</t>
  </si>
  <si>
    <t>6.13亿</t>
  </si>
  <si>
    <t>1.59亿</t>
  </si>
  <si>
    <t>25.93亿</t>
  </si>
  <si>
    <t>3.68亿</t>
  </si>
  <si>
    <t>4.46亿</t>
  </si>
  <si>
    <t>10派0.6元(含税)</t>
  </si>
  <si>
    <t>4.98亿</t>
  </si>
  <si>
    <t>2.03亿</t>
  </si>
  <si>
    <t>16.20亿</t>
  </si>
  <si>
    <t>1.32亿</t>
  </si>
  <si>
    <t>140.39亿</t>
  </si>
  <si>
    <t>12.64亿</t>
  </si>
  <si>
    <t>4.84亿</t>
  </si>
  <si>
    <t>12.69亿</t>
  </si>
  <si>
    <t>6.24亿</t>
  </si>
  <si>
    <t>3.45亿</t>
  </si>
  <si>
    <t>4.16亿</t>
  </si>
  <si>
    <t>1.10亿</t>
  </si>
  <si>
    <t>42.22亿</t>
  </si>
  <si>
    <t>*ST莫高</t>
  </si>
  <si>
    <t>-1.11亿</t>
  </si>
  <si>
    <t>25.00万</t>
  </si>
  <si>
    <t>1.15亿</t>
  </si>
  <si>
    <t>3984.83万</t>
  </si>
  <si>
    <t>321.72亿</t>
  </si>
  <si>
    <t>37.11亿</t>
  </si>
  <si>
    <t>6.62亿</t>
  </si>
  <si>
    <t>1.63亿</t>
  </si>
  <si>
    <t>1.90亿</t>
  </si>
  <si>
    <t>2.72亿</t>
  </si>
  <si>
    <t>9210.51万</t>
  </si>
  <si>
    <t>12.27亿</t>
  </si>
  <si>
    <t>59.23亿</t>
  </si>
  <si>
    <t>14.74亿</t>
  </si>
  <si>
    <t>15.50亿</t>
  </si>
  <si>
    <t>31.28亿</t>
  </si>
  <si>
    <t>10派1.6元(含税)</t>
  </si>
  <si>
    <t>1.56亿</t>
  </si>
  <si>
    <t>1178.95万</t>
  </si>
  <si>
    <t>2-1</t>
  </si>
  <si>
    <t>2.80亿</t>
  </si>
  <si>
    <t>-2-1</t>
  </si>
  <si>
    <t>10.65亿</t>
  </si>
  <si>
    <t>14.04亿</t>
  </si>
  <si>
    <t>2.46亿</t>
  </si>
  <si>
    <t>4.19亿</t>
  </si>
  <si>
    <t>85.05亿</t>
  </si>
  <si>
    <t>14.41亿</t>
  </si>
  <si>
    <t>1.74亿</t>
  </si>
  <si>
    <t>16.51亿</t>
  </si>
  <si>
    <t>28.53亿</t>
  </si>
  <si>
    <t>76.25亿</t>
  </si>
  <si>
    <t>5.14亿</t>
  </si>
  <si>
    <t>4.52亿</t>
  </si>
  <si>
    <t>1.07亿</t>
  </si>
  <si>
    <t>12.01亿</t>
  </si>
  <si>
    <t>2.65亿</t>
  </si>
  <si>
    <t>2.78亿</t>
  </si>
  <si>
    <t>14.94亿</t>
  </si>
  <si>
    <t>8.91亿</t>
  </si>
  <si>
    <t>8.95亿</t>
  </si>
  <si>
    <t>-1.28亿</t>
  </si>
  <si>
    <t>-3-1</t>
  </si>
  <si>
    <t>3.38亿</t>
  </si>
  <si>
    <t>1753.59万</t>
  </si>
  <si>
    <t>2.33亿</t>
  </si>
  <si>
    <t>5.00万</t>
  </si>
  <si>
    <t>11.22亿</t>
  </si>
  <si>
    <t>10.51亿</t>
  </si>
  <si>
    <t>27.73亿</t>
  </si>
  <si>
    <t>8.14亿</t>
  </si>
  <si>
    <t>3.85亿</t>
  </si>
  <si>
    <t>4.39亿</t>
  </si>
  <si>
    <t>3.05亿</t>
  </si>
  <si>
    <t>5.40亿</t>
  </si>
  <si>
    <t>4.44亿</t>
  </si>
  <si>
    <t>1.17亿</t>
  </si>
  <si>
    <t>9.12亿</t>
  </si>
  <si>
    <t>7.43亿</t>
  </si>
  <si>
    <t>7.89亿</t>
  </si>
  <si>
    <t>11.21亿</t>
  </si>
  <si>
    <t>8996.16万</t>
  </si>
  <si>
    <t>中信尼雅</t>
  </si>
  <si>
    <t>27.26万</t>
  </si>
  <si>
    <t>1.21亿</t>
  </si>
  <si>
    <t>1.22亿</t>
  </si>
  <si>
    <t>621.40万</t>
  </si>
  <si>
    <t>8.65亿</t>
  </si>
  <si>
    <t>3.79亿</t>
  </si>
  <si>
    <t>6.35亿</t>
  </si>
  <si>
    <t>3628.89万</t>
  </si>
  <si>
    <t>1.51亿</t>
  </si>
  <si>
    <t>-2.06亿</t>
  </si>
  <si>
    <t>3.53亿</t>
  </si>
  <si>
    <t>7.04亿</t>
  </si>
  <si>
    <t>-1.36亿</t>
  </si>
  <si>
    <t>8.20亿</t>
  </si>
  <si>
    <t>2.24亿</t>
  </si>
  <si>
    <t>-5205.15万</t>
  </si>
  <si>
    <t>8.80亿</t>
  </si>
  <si>
    <t>2.43亿</t>
  </si>
  <si>
    <t>20.09亿</t>
  </si>
  <si>
    <t>6150.05万</t>
  </si>
  <si>
    <t>1.53亿</t>
  </si>
  <si>
    <t>8685.97万</t>
  </si>
  <si>
    <t>-1283.78万</t>
  </si>
  <si>
    <t>-3.24亿</t>
  </si>
  <si>
    <t>2000.00万</t>
  </si>
  <si>
    <t>2227.04万</t>
  </si>
  <si>
    <t>3.37亿</t>
  </si>
  <si>
    <t>215.92亿</t>
  </si>
  <si>
    <t>34.26亿</t>
  </si>
  <si>
    <t>2.41亿</t>
  </si>
  <si>
    <t>5.41亿</t>
  </si>
  <si>
    <t>5.61亿</t>
  </si>
  <si>
    <t>10.55亿</t>
  </si>
  <si>
    <t>7.61亿</t>
  </si>
  <si>
    <t>6.98亿</t>
  </si>
  <si>
    <t>2343.46万</t>
  </si>
  <si>
    <t>6.17亿</t>
  </si>
  <si>
    <t>2001.78万</t>
  </si>
  <si>
    <t>6.22亿</t>
  </si>
  <si>
    <t>7851.37万</t>
  </si>
  <si>
    <t>25.09亿</t>
  </si>
  <si>
    <t>6.64亿</t>
  </si>
  <si>
    <t>10000.00万</t>
  </si>
  <si>
    <t>-1.52亿</t>
  </si>
  <si>
    <t>30.02亿</t>
  </si>
  <si>
    <t>25.30亿</t>
  </si>
  <si>
    <t>19.85亿</t>
  </si>
  <si>
    <t>19.81亿</t>
  </si>
  <si>
    <t>5.32亿</t>
  </si>
  <si>
    <t>7.40亿</t>
  </si>
  <si>
    <t>5.75亿</t>
  </si>
  <si>
    <t>-4404.26万</t>
  </si>
  <si>
    <t>-1.29亿</t>
  </si>
  <si>
    <t>-1306.22万</t>
  </si>
  <si>
    <t>12.26亿</t>
  </si>
  <si>
    <t>2.12亿</t>
  </si>
  <si>
    <t>4.81亿</t>
  </si>
  <si>
    <t>8.11亿</t>
  </si>
  <si>
    <t>6.80亿</t>
  </si>
  <si>
    <t>5.51亿</t>
  </si>
  <si>
    <t>7.01亿</t>
  </si>
  <si>
    <t>1.35亿</t>
  </si>
  <si>
    <t>3.39亿</t>
  </si>
  <si>
    <t>8.79亿</t>
  </si>
  <si>
    <t>4767.72万</t>
  </si>
  <si>
    <t>2.58亿</t>
  </si>
  <si>
    <t>2700.00万</t>
  </si>
  <si>
    <t>54.60亿</t>
  </si>
  <si>
    <t>1-0</t>
  </si>
  <si>
    <r>
      <t>1.2012年对手竞争：冰锐却因费用紧张踌躇不前，叠加大商制导致的渠道窜货，价盘混乱，冰锐市场损失严重，百润抓住机会于2014年成功实现反超；2.供给端看，新入企业众多且同质化高，导致 渠道库存积压明显，价盘体系混乱。且劣质、山寨产品层出不穷，严重损害品类 形象。此外多家白酒、啤酒及饮料企业亦跟风推出预调酒产品（现大部分企业已停产）。3.日本</t>
    </r>
    <r>
      <rPr>
        <b/>
        <sz val="9"/>
        <color rgb="FFFF0000"/>
        <rFont val="宋体"/>
        <family val="3"/>
        <charset val="134"/>
        <scheme val="minor"/>
      </rPr>
      <t>三得利</t>
    </r>
    <r>
      <rPr>
        <sz val="9"/>
        <color theme="1"/>
        <rFont val="宋体"/>
        <family val="3"/>
        <charset val="134"/>
        <scheme val="minor"/>
      </rPr>
      <t>也是预调酒的龙头，也有358度对应的产品；美国预调酒第一</t>
    </r>
    <r>
      <rPr>
        <b/>
        <sz val="9"/>
        <color rgb="FFFF0000"/>
        <rFont val="宋体"/>
        <family val="3"/>
        <charset val="134"/>
        <scheme val="minor"/>
      </rPr>
      <t>white claw</t>
    </r>
    <r>
      <rPr>
        <sz val="9"/>
        <color theme="1"/>
        <rFont val="宋体"/>
        <family val="3"/>
        <charset val="134"/>
        <scheme val="minor"/>
      </rPr>
      <t>以段子营销取胜。4.</t>
    </r>
    <r>
      <rPr>
        <b/>
        <sz val="9"/>
        <color rgb="FFFF0000"/>
        <rFont val="宋体"/>
        <family val="3"/>
        <charset val="134"/>
        <scheme val="minor"/>
      </rPr>
      <t>2024/2/28 董事长刘晓东涉嫌受贿被调查</t>
    </r>
    <r>
      <rPr>
        <sz val="9"/>
        <color theme="1"/>
        <rFont val="宋体"/>
        <family val="3"/>
        <charset val="134"/>
        <scheme val="minor"/>
      </rPr>
      <t>。</t>
    </r>
    <phoneticPr fontId="1" type="noConversion"/>
  </si>
  <si>
    <t>1.43亿</t>
  </si>
  <si>
    <t>2.79亿</t>
  </si>
  <si>
    <t>-2-0</t>
  </si>
  <si>
    <t>2.19亿</t>
  </si>
  <si>
    <t>-3-0</t>
  </si>
  <si>
    <t>1.41亿</t>
  </si>
  <si>
    <t>1.16亿</t>
  </si>
  <si>
    <t>6-1</t>
  </si>
  <si>
    <r>
      <t>0.鸡尾酒RIO预调酒，公司拥有强爽、微醺、清爽等多个知 名预调酒系列；1</t>
    </r>
    <r>
      <rPr>
        <sz val="9"/>
        <color rgb="FFFF0000"/>
        <rFont val="宋体"/>
        <family val="3"/>
        <charset val="134"/>
        <scheme val="minor"/>
      </rPr>
      <t>.布局威士忌酒</t>
    </r>
    <r>
      <rPr>
        <sz val="9"/>
        <color theme="1"/>
        <rFont val="宋体"/>
        <family val="3"/>
        <charset val="134"/>
        <scheme val="minor"/>
      </rPr>
      <t>领域，打造邛崃优势明显，打造有力第三增长曲线。2.2023年年报净利润8.09亿元，</t>
    </r>
    <r>
      <rPr>
        <b/>
        <sz val="9"/>
        <color rgb="FFFF0000"/>
        <rFont val="宋体"/>
        <family val="3"/>
        <charset val="134"/>
        <scheme val="minor"/>
      </rPr>
      <t>同比增长55.28%</t>
    </r>
    <r>
      <rPr>
        <sz val="9"/>
        <color theme="1"/>
        <rFont val="宋体"/>
        <family val="3"/>
        <charset val="134"/>
        <scheme val="minor"/>
      </rPr>
      <t>;</t>
    </r>
    <r>
      <rPr>
        <sz val="9"/>
        <color rgb="FFFF0000"/>
        <rFont val="宋体"/>
        <family val="3"/>
        <charset val="134"/>
        <scheme val="minor"/>
      </rPr>
      <t>2024年一季报</t>
    </r>
    <r>
      <rPr>
        <sz val="9"/>
        <rFont val="宋体"/>
        <family val="3"/>
        <charset val="134"/>
        <scheme val="minor"/>
      </rPr>
      <t>营收8.02亿元 同比增长5.51%</t>
    </r>
    <r>
      <rPr>
        <sz val="9"/>
        <color rgb="FFFF0000"/>
        <rFont val="宋体"/>
        <family val="3"/>
        <charset val="134"/>
        <scheme val="minor"/>
      </rPr>
      <t>,净利润1.69亿元，同比去年增长-9.80%</t>
    </r>
    <r>
      <rPr>
        <sz val="9"/>
        <color theme="1"/>
        <rFont val="宋体"/>
        <family val="3"/>
        <charset val="134"/>
        <scheme val="minor"/>
      </rPr>
      <t>;3.公司产品矩阵的最后一块拼图，形成了</t>
    </r>
    <r>
      <rPr>
        <sz val="9"/>
        <color rgb="FFFF0000"/>
        <rFont val="宋体"/>
        <family val="3"/>
        <charset val="134"/>
        <scheme val="minor"/>
      </rPr>
      <t>微醺</t>
    </r>
    <r>
      <rPr>
        <sz val="9"/>
        <color theme="1"/>
        <rFont val="宋体"/>
        <family val="3"/>
        <charset val="134"/>
        <scheme val="minor"/>
      </rPr>
      <t>（3 度，定位女性聚会小酒）+</t>
    </r>
    <r>
      <rPr>
        <sz val="9"/>
        <color rgb="FFFF0000"/>
        <rFont val="宋体"/>
        <family val="3"/>
        <charset val="134"/>
        <scheme val="minor"/>
      </rPr>
      <t>清爽</t>
    </r>
    <r>
      <rPr>
        <sz val="9"/>
        <color theme="1"/>
        <rFont val="宋体"/>
        <family val="3"/>
        <charset val="134"/>
        <scheme val="minor"/>
      </rPr>
      <t xml:space="preserve"> （5 度气泡酒，定位休闲娱乐全场景）+</t>
    </r>
    <r>
      <rPr>
        <sz val="9"/>
        <color rgb="FFFF0000"/>
        <rFont val="宋体"/>
        <family val="3"/>
        <charset val="134"/>
        <scheme val="minor"/>
      </rPr>
      <t>强爽</t>
    </r>
    <r>
      <rPr>
        <sz val="9"/>
        <color theme="1"/>
        <rFont val="宋体"/>
        <family val="3"/>
        <charset val="134"/>
        <scheme val="minor"/>
      </rPr>
      <t>（8 度，定位男性消费者）的358度产品矩阵，实现了对客群与消费场景的全面覆盖。4.预调酒市场未来拓展主要方向有两个：a.下沉市场：宽价格带布局低端产品;b.餐饮、夜场与啤酒竞争.</t>
    </r>
    <phoneticPr fontId="1" type="noConversion"/>
  </si>
  <si>
    <t>1261.76万</t>
  </si>
  <si>
    <t>64.54亿</t>
  </si>
  <si>
    <t>149.07亿</t>
  </si>
  <si>
    <t>35.87亿</t>
  </si>
  <si>
    <t>34.40亿</t>
  </si>
  <si>
    <t>22.53亿</t>
  </si>
  <si>
    <t>155.28万</t>
  </si>
  <si>
    <t>102645374亿</t>
  </si>
  <si>
    <t>89.70亿</t>
  </si>
  <si>
    <t>189853390亿</t>
  </si>
  <si>
    <t>317.00万</t>
  </si>
  <si>
    <t>13609915000亿</t>
  </si>
  <si>
    <t>15.53亿</t>
  </si>
  <si>
    <t>16.83亿</t>
  </si>
  <si>
    <t>81.75亿</t>
  </si>
  <si>
    <t>-16.13亿</t>
  </si>
  <si>
    <t>10.02亿</t>
  </si>
  <si>
    <t>142.13亿</t>
  </si>
  <si>
    <t>6.45亿</t>
  </si>
  <si>
    <t>8170.82万</t>
  </si>
  <si>
    <t>5.55亿</t>
  </si>
  <si>
    <t>0103000000</t>
  </si>
  <si>
    <t>0309000000</t>
  </si>
  <si>
    <t>0618000000</t>
  </si>
  <si>
    <t>01030000000</t>
  </si>
  <si>
    <t>02060000000</t>
  </si>
  <si>
    <t>245.14万</t>
  </si>
  <si>
    <t>3.76亿</t>
  </si>
  <si>
    <t>5.60亿</t>
  </si>
  <si>
    <t>8967.75万</t>
  </si>
  <si>
    <t>77.79万</t>
  </si>
  <si>
    <t>7547.74万</t>
  </si>
  <si>
    <t>6003.76万</t>
  </si>
  <si>
    <t>205.99万</t>
  </si>
  <si>
    <t>1269.80万</t>
  </si>
  <si>
    <t>-2095413亿</t>
  </si>
  <si>
    <t>2.40万</t>
  </si>
  <si>
    <t>959299亿</t>
  </si>
  <si>
    <t>5.50亿</t>
  </si>
  <si>
    <t>15960亿</t>
  </si>
  <si>
    <t>581009420亿</t>
  </si>
  <si>
    <t>488.70万</t>
  </si>
  <si>
    <t>1485.55万</t>
  </si>
  <si>
    <t>17.02万</t>
  </si>
  <si>
    <t>1300.56万</t>
  </si>
  <si>
    <t>-740.00万</t>
  </si>
  <si>
    <t>-7893.35万</t>
  </si>
  <si>
    <t>-1653.42万</t>
  </si>
  <si>
    <t>1102.72万</t>
  </si>
  <si>
    <t>-3.35亿</t>
  </si>
  <si>
    <t>-4.19亿</t>
  </si>
  <si>
    <t>-2577.33万</t>
  </si>
  <si>
    <t>-3995.36万</t>
  </si>
  <si>
    <t>794.32万</t>
  </si>
  <si>
    <t>7389.00万</t>
  </si>
  <si>
    <t>0777900</t>
  </si>
  <si>
    <t>02333700</t>
  </si>
  <si>
    <t>04667400</t>
  </si>
  <si>
    <t>07779000</t>
  </si>
  <si>
    <t>015558000</t>
  </si>
  <si>
    <t>3-0</t>
  </si>
  <si>
    <t>661.33万</t>
  </si>
  <si>
    <t>10.57亿</t>
  </si>
  <si>
    <t>33.70亿</t>
  </si>
  <si>
    <t>6.91亿</t>
  </si>
  <si>
    <t>1.96亿</t>
  </si>
  <si>
    <t>800.57万</t>
  </si>
  <si>
    <t>2.14万</t>
  </si>
  <si>
    <t>246197520亿</t>
  </si>
  <si>
    <t>31.52亿</t>
  </si>
  <si>
    <t>21108183亿</t>
  </si>
  <si>
    <t>3350502500亿</t>
  </si>
  <si>
    <t>6111.07万</t>
  </si>
  <si>
    <t>-2677.47万</t>
  </si>
  <si>
    <t>-191.06万</t>
  </si>
  <si>
    <t>29.55亿</t>
  </si>
  <si>
    <t>6.38亿</t>
  </si>
  <si>
    <t>10派4元(含税)</t>
  </si>
  <si>
    <t>4592.25万</t>
  </si>
  <si>
    <t>0246000000</t>
  </si>
  <si>
    <t>0738000000</t>
  </si>
  <si>
    <t>01476000000</t>
  </si>
  <si>
    <t>02460000000</t>
  </si>
  <si>
    <t>04920000000</t>
  </si>
  <si>
    <t>79.37万</t>
  </si>
  <si>
    <t>23.46亿</t>
  </si>
  <si>
    <t>111.49亿</t>
  </si>
  <si>
    <t>6.00亿</t>
  </si>
  <si>
    <t>6496.01万</t>
  </si>
  <si>
    <t>-574580亿</t>
  </si>
  <si>
    <t>93.12万</t>
  </si>
  <si>
    <t>154033410亿</t>
  </si>
  <si>
    <t>20.60亿</t>
  </si>
  <si>
    <t>264099700亿</t>
  </si>
  <si>
    <t>5638994400亿</t>
  </si>
  <si>
    <t>534.55万</t>
  </si>
  <si>
    <t>15.63亿</t>
  </si>
  <si>
    <t>5429.08万</t>
  </si>
  <si>
    <t>-6534.62万</t>
  </si>
  <si>
    <t>-6194.96万</t>
  </si>
  <si>
    <t>43.85亿</t>
  </si>
  <si>
    <t>10派5.042206元(含税)</t>
  </si>
  <si>
    <t>518.17万</t>
  </si>
  <si>
    <t>3702.20万</t>
  </si>
  <si>
    <t>0159000000</t>
  </si>
  <si>
    <t>0477000000</t>
  </si>
  <si>
    <t>0954000000</t>
  </si>
  <si>
    <t>01590000000</t>
  </si>
  <si>
    <t>03180000000</t>
  </si>
  <si>
    <t>332.08万</t>
  </si>
  <si>
    <t>1.62亿</t>
  </si>
  <si>
    <t>9.47亿</t>
  </si>
  <si>
    <t>5385.73万</t>
  </si>
  <si>
    <t>-86.66万</t>
  </si>
  <si>
    <t>6982.15万</t>
  </si>
  <si>
    <t>4803.43万</t>
  </si>
  <si>
    <t>870.93万</t>
  </si>
  <si>
    <t>823.37万</t>
  </si>
  <si>
    <t>511000亿</t>
  </si>
  <si>
    <t>2.75万</t>
  </si>
  <si>
    <t>-8206217亿</t>
  </si>
  <si>
    <t>2.27亿</t>
  </si>
  <si>
    <t>2312982亿</t>
  </si>
  <si>
    <t>780752850亿</t>
  </si>
  <si>
    <t>36.12万</t>
  </si>
  <si>
    <t>440.00万</t>
  </si>
  <si>
    <t>5431.36万</t>
  </si>
  <si>
    <t>-79.93万</t>
  </si>
  <si>
    <t>1351.26万</t>
  </si>
  <si>
    <t>-3.49万</t>
  </si>
  <si>
    <t>-4672.07万</t>
  </si>
  <si>
    <t>1718.21万</t>
  </si>
  <si>
    <t>SZ001318</t>
  </si>
  <si>
    <t>阳光乳业</t>
  </si>
  <si>
    <t>76.63万</t>
  </si>
  <si>
    <t>8192.84万</t>
  </si>
  <si>
    <t>13.65亿</t>
  </si>
  <si>
    <t>2150.49万</t>
  </si>
  <si>
    <t>8723.55万</t>
  </si>
  <si>
    <t>7107.81万</t>
  </si>
  <si>
    <t>813.86万</t>
  </si>
  <si>
    <t>616.61万</t>
  </si>
  <si>
    <t>-1.27万</t>
  </si>
  <si>
    <t>22294006亿</t>
  </si>
  <si>
    <t>4.77亿</t>
  </si>
  <si>
    <t>31732740亿</t>
  </si>
  <si>
    <t>1027947800亿</t>
  </si>
  <si>
    <t>233.32万</t>
  </si>
  <si>
    <t>2145.20万</t>
  </si>
  <si>
    <t>5040.64万</t>
  </si>
  <si>
    <t>-585.94万</t>
  </si>
  <si>
    <t>-468.07万</t>
  </si>
  <si>
    <t>6.31亿</t>
  </si>
  <si>
    <t>5.23亿</t>
  </si>
  <si>
    <t>5.43亿</t>
  </si>
  <si>
    <t>1.11亿</t>
  </si>
  <si>
    <t>1.12亿</t>
  </si>
  <si>
    <t>6236.53万</t>
  </si>
  <si>
    <t>乳品</t>
  </si>
  <si>
    <t>681.75万</t>
  </si>
  <si>
    <t>5502.68万</t>
  </si>
  <si>
    <t>021504900</t>
  </si>
  <si>
    <t>064514700</t>
  </si>
  <si>
    <t>0129029400</t>
  </si>
  <si>
    <t>0215049000</t>
  </si>
  <si>
    <t>0430098000</t>
  </si>
  <si>
    <t>SZ002329</t>
  </si>
  <si>
    <t>皇氏集团</t>
  </si>
  <si>
    <t>1049.07万</t>
  </si>
  <si>
    <t>34.68亿</t>
  </si>
  <si>
    <t>17.56亿</t>
  </si>
  <si>
    <t>4.80亿</t>
  </si>
  <si>
    <t>516.45万</t>
  </si>
  <si>
    <t>4.89亿</t>
  </si>
  <si>
    <t>5346.39万</t>
  </si>
  <si>
    <t>3107.94万</t>
  </si>
  <si>
    <t>-214986亿</t>
  </si>
  <si>
    <t>187.07万</t>
  </si>
  <si>
    <t>-6542647亿</t>
  </si>
  <si>
    <t>4.23亿</t>
  </si>
  <si>
    <t>487394330亿</t>
  </si>
  <si>
    <t>2432684500亿</t>
  </si>
  <si>
    <t>9.84亿</t>
  </si>
  <si>
    <t>24.24亿</t>
  </si>
  <si>
    <t>9.34亿</t>
  </si>
  <si>
    <t>-6869.41万</t>
  </si>
  <si>
    <t>-3558.59万</t>
  </si>
  <si>
    <t>1.34亿</t>
  </si>
  <si>
    <t>28.91亿</t>
  </si>
  <si>
    <t>25.69亿</t>
  </si>
  <si>
    <t>24.90亿</t>
  </si>
  <si>
    <t>23.36亿</t>
  </si>
  <si>
    <t>1202.35万</t>
  </si>
  <si>
    <t>-4.72亿</t>
  </si>
  <si>
    <t>-1.37亿</t>
  </si>
  <si>
    <t>4801.92万</t>
  </si>
  <si>
    <t>-6.16亿</t>
  </si>
  <si>
    <t>28.93亿</t>
  </si>
  <si>
    <t>17.24亿</t>
  </si>
  <si>
    <t>6734.52万</t>
  </si>
  <si>
    <t>2.13亿</t>
  </si>
  <si>
    <t>5979.80万</t>
  </si>
  <si>
    <t>05164500</t>
  </si>
  <si>
    <t>015493500</t>
  </si>
  <si>
    <t>030987000</t>
  </si>
  <si>
    <t>051645000</t>
  </si>
  <si>
    <t>0103290000</t>
  </si>
  <si>
    <t>347.61万</t>
  </si>
  <si>
    <t>44.78亿</t>
  </si>
  <si>
    <t>101.66亿</t>
  </si>
  <si>
    <t>10.09亿</t>
  </si>
  <si>
    <t>6.41亿</t>
  </si>
  <si>
    <t>8903.00万</t>
  </si>
  <si>
    <t>85.12万</t>
  </si>
  <si>
    <t>104297993亿</t>
  </si>
  <si>
    <t>67.02亿</t>
  </si>
  <si>
    <t>23446445亿</t>
  </si>
  <si>
    <t>8665453400亿</t>
  </si>
  <si>
    <t>4.25亿</t>
  </si>
  <si>
    <t>10.81亿</t>
  </si>
  <si>
    <t>13.92万</t>
  </si>
  <si>
    <t>29.76亿</t>
  </si>
  <si>
    <t>7623.40万</t>
  </si>
  <si>
    <t>-5.26亿</t>
  </si>
  <si>
    <t>53.78亿</t>
  </si>
  <si>
    <t>10派1.25元(含税)</t>
  </si>
  <si>
    <t>2249.00万</t>
  </si>
  <si>
    <t>0121000000</t>
  </si>
  <si>
    <t>0363000000</t>
  </si>
  <si>
    <t>0726000000</t>
  </si>
  <si>
    <t>01210000000</t>
  </si>
  <si>
    <t>02420000000</t>
  </si>
  <si>
    <t>696.54万</t>
  </si>
  <si>
    <t>30.68亿</t>
  </si>
  <si>
    <t>41.70亿</t>
  </si>
  <si>
    <t>8.02亿</t>
  </si>
  <si>
    <t>2.36亿</t>
  </si>
  <si>
    <t>4691.62万</t>
  </si>
  <si>
    <t>35.79万</t>
  </si>
  <si>
    <t>161034820亿</t>
  </si>
  <si>
    <t>15.65亿</t>
  </si>
  <si>
    <t>184199350亿</t>
  </si>
  <si>
    <t>2747621900亿</t>
  </si>
  <si>
    <t>7.12亿</t>
  </si>
  <si>
    <t>6.93亿</t>
  </si>
  <si>
    <t>6.12亿</t>
  </si>
  <si>
    <t>18.25亿</t>
  </si>
  <si>
    <t>-3.42亿</t>
  </si>
  <si>
    <t>-2.47亿</t>
  </si>
  <si>
    <t>32.64亿</t>
  </si>
  <si>
    <t>4970.70万</t>
  </si>
  <si>
    <t>3.20亿</t>
  </si>
  <si>
    <t>SZ002570</t>
  </si>
  <si>
    <t>贝因美</t>
  </si>
  <si>
    <t>1541.45万</t>
  </si>
  <si>
    <t>22.58亿</t>
  </si>
  <si>
    <t>16.30亿</t>
  </si>
  <si>
    <t>7.20亿</t>
  </si>
  <si>
    <t>2207.50万</t>
  </si>
  <si>
    <t>6.83亿</t>
  </si>
  <si>
    <t>4.01亿</t>
  </si>
  <si>
    <t>4760.45万</t>
  </si>
  <si>
    <t>2231668亿</t>
  </si>
  <si>
    <t>18462398亿</t>
  </si>
  <si>
    <t>8.63亿</t>
  </si>
  <si>
    <t>360740950亿</t>
  </si>
  <si>
    <t>1.67亿</t>
  </si>
  <si>
    <t>2075641400亿</t>
  </si>
  <si>
    <t>5936.60万</t>
  </si>
  <si>
    <t>21.07亿</t>
  </si>
  <si>
    <t>2061.14万</t>
  </si>
  <si>
    <t>8257.77万</t>
  </si>
  <si>
    <t>-1.72亿</t>
  </si>
  <si>
    <t>-7198.60万</t>
  </si>
  <si>
    <t>23.45亿</t>
  </si>
  <si>
    <t>26.65亿</t>
  </si>
  <si>
    <t>27.85亿</t>
  </si>
  <si>
    <t>24.91亿</t>
  </si>
  <si>
    <t>-1.76亿</t>
  </si>
  <si>
    <t>7331.46万</t>
  </si>
  <si>
    <t>-1.03亿</t>
  </si>
  <si>
    <t>4111.36万</t>
  </si>
  <si>
    <t>25.28亿</t>
  </si>
  <si>
    <t>13.42亿</t>
  </si>
  <si>
    <t>4745.31万</t>
  </si>
  <si>
    <t>4421.77万</t>
  </si>
  <si>
    <t>5.68亿</t>
  </si>
  <si>
    <t>022075000</t>
  </si>
  <si>
    <t>066225000</t>
  </si>
  <si>
    <t>0132450000</t>
  </si>
  <si>
    <t>0220750000</t>
  </si>
  <si>
    <t>0441500000</t>
  </si>
  <si>
    <t>SZ002719</t>
  </si>
  <si>
    <t>麦趣尔</t>
  </si>
  <si>
    <t>337.40万</t>
  </si>
  <si>
    <t>9.08亿</t>
  </si>
  <si>
    <t>1.54亿</t>
  </si>
  <si>
    <t>-3196.12万</t>
  </si>
  <si>
    <t>2702.10万</t>
  </si>
  <si>
    <t>1320.97万</t>
  </si>
  <si>
    <t>161887亿</t>
  </si>
  <si>
    <t>24.03万</t>
  </si>
  <si>
    <t>-21917007亿</t>
  </si>
  <si>
    <t>6242.49万</t>
  </si>
  <si>
    <t>97921848亿</t>
  </si>
  <si>
    <t>322991590亿</t>
  </si>
  <si>
    <t>1800.00万</t>
  </si>
  <si>
    <t>2818.37万</t>
  </si>
  <si>
    <t>7.70亿</t>
  </si>
  <si>
    <t>9352.90万</t>
  </si>
  <si>
    <t>-1387.90万</t>
  </si>
  <si>
    <t>2388.66万</t>
  </si>
  <si>
    <t>-1760.49万</t>
  </si>
  <si>
    <t>9.89亿</t>
  </si>
  <si>
    <t>8.75亿</t>
  </si>
  <si>
    <t>6.71亿</t>
  </si>
  <si>
    <t>-3.51亿</t>
  </si>
  <si>
    <t>1845.75万</t>
  </si>
  <si>
    <t>5275.08万</t>
  </si>
  <si>
    <t>-6946.49万</t>
  </si>
  <si>
    <t>-1.54亿</t>
  </si>
  <si>
    <t>7.09亿</t>
  </si>
  <si>
    <t>3.44亿</t>
  </si>
  <si>
    <t>-9709.85万</t>
  </si>
  <si>
    <t>-3736.97万</t>
  </si>
  <si>
    <t>2097.00万</t>
  </si>
  <si>
    <t>SZ002732</t>
  </si>
  <si>
    <t>燕塘乳业</t>
  </si>
  <si>
    <t>48.93万</t>
  </si>
  <si>
    <t>14.34亿</t>
  </si>
  <si>
    <t>1615.89万</t>
  </si>
  <si>
    <t>3.61亿</t>
  </si>
  <si>
    <t>2.87亿</t>
  </si>
  <si>
    <t>4794.91万</t>
  </si>
  <si>
    <t>1945.24万</t>
  </si>
  <si>
    <t>-2961111亿</t>
  </si>
  <si>
    <t>11.08万</t>
  </si>
  <si>
    <t>13404238亿</t>
  </si>
  <si>
    <t>3.04亿</t>
  </si>
  <si>
    <t>99547257亿</t>
  </si>
  <si>
    <t>562694240亿</t>
  </si>
  <si>
    <t>7267.75万</t>
  </si>
  <si>
    <t>7605.95万</t>
  </si>
  <si>
    <t>1.86亿</t>
  </si>
  <si>
    <t>-1944.08万</t>
  </si>
  <si>
    <t>-1807.88万</t>
  </si>
  <si>
    <t>-1605.36万</t>
  </si>
  <si>
    <t>18.75亿</t>
  </si>
  <si>
    <t>12.97亿</t>
  </si>
  <si>
    <t>9936.15万</t>
  </si>
  <si>
    <t>1.58亿</t>
  </si>
  <si>
    <t>4220.09万</t>
  </si>
  <si>
    <t>19.50亿</t>
  </si>
  <si>
    <t>9834.02万</t>
  </si>
  <si>
    <t>10派1.5元(含税)</t>
  </si>
  <si>
    <t>300.75万</t>
  </si>
  <si>
    <t>2478.41万</t>
  </si>
  <si>
    <t>016158900</t>
  </si>
  <si>
    <t>048476700</t>
  </si>
  <si>
    <t>096953400</t>
  </si>
  <si>
    <t>0161589000</t>
  </si>
  <si>
    <t>0323178000</t>
  </si>
  <si>
    <t>SZ002910</t>
  </si>
  <si>
    <t>庄园牧场</t>
  </si>
  <si>
    <t>136.25万</t>
  </si>
  <si>
    <t>12.66亿</t>
  </si>
  <si>
    <t>12.08亿</t>
  </si>
  <si>
    <t>2.25亿</t>
  </si>
  <si>
    <t>-4462.77万</t>
  </si>
  <si>
    <t>2.70亿</t>
  </si>
  <si>
    <t>2.06亿</t>
  </si>
  <si>
    <t>2887.56万</t>
  </si>
  <si>
    <t>2359.55万</t>
  </si>
  <si>
    <t>1.74万</t>
  </si>
  <si>
    <t>-44470515亿</t>
  </si>
  <si>
    <t>44634690亿</t>
  </si>
  <si>
    <t>511910820亿</t>
  </si>
  <si>
    <t>717.91万</t>
  </si>
  <si>
    <t>5.58亿</t>
  </si>
  <si>
    <t>3609.14万</t>
  </si>
  <si>
    <t>9341.94万</t>
  </si>
  <si>
    <t>9.43亿</t>
  </si>
  <si>
    <t>2.60亿</t>
  </si>
  <si>
    <t>803.01万</t>
  </si>
  <si>
    <t>-2320.25万</t>
  </si>
  <si>
    <t>2729.70万</t>
  </si>
  <si>
    <t>10.50亿</t>
  </si>
  <si>
    <t>10.21亿</t>
  </si>
  <si>
    <t>6.58亿</t>
  </si>
  <si>
    <t>6093.97万</t>
  </si>
  <si>
    <t>5353.31万</t>
  </si>
  <si>
    <t>1045.35万</t>
  </si>
  <si>
    <t>5132.12万</t>
  </si>
  <si>
    <t>6353.32万</t>
  </si>
  <si>
    <t>9.56亿</t>
  </si>
  <si>
    <t>-8147.51万</t>
  </si>
  <si>
    <t>-2016.33万</t>
  </si>
  <si>
    <t>888.17万</t>
  </si>
  <si>
    <t>6563.63万</t>
  </si>
  <si>
    <t>SZ002946</t>
  </si>
  <si>
    <t>新乳业</t>
  </si>
  <si>
    <t>414.34万</t>
  </si>
  <si>
    <t>62.99亿</t>
  </si>
  <si>
    <t>26.63亿</t>
  </si>
  <si>
    <t>26.14亿</t>
  </si>
  <si>
    <t>8974.82万</t>
  </si>
  <si>
    <t>24.76亿</t>
  </si>
  <si>
    <t>18.46亿</t>
  </si>
  <si>
    <t>-6046829亿</t>
  </si>
  <si>
    <t>150.61万</t>
  </si>
  <si>
    <t>100271027亿</t>
  </si>
  <si>
    <t>656439310亿</t>
  </si>
  <si>
    <t>617.89万</t>
  </si>
  <si>
    <t>2100284000亿</t>
  </si>
  <si>
    <t>1.14亿</t>
  </si>
  <si>
    <t>8.24亿</t>
  </si>
  <si>
    <t>41.18亿</t>
  </si>
  <si>
    <t>12.94亿</t>
  </si>
  <si>
    <t>-756.50万</t>
  </si>
  <si>
    <t>-1.53亿</t>
  </si>
  <si>
    <t>2.64亿</t>
  </si>
  <si>
    <t>100.06亿</t>
  </si>
  <si>
    <t>89.67亿</t>
  </si>
  <si>
    <t>67.49亿</t>
  </si>
  <si>
    <t>56.75亿</t>
  </si>
  <si>
    <t>49.72亿</t>
  </si>
  <si>
    <t>3.12亿</t>
  </si>
  <si>
    <t>2.44亿</t>
  </si>
  <si>
    <t>109.87亿</t>
  </si>
  <si>
    <t>52.98亿</t>
  </si>
  <si>
    <t>4.31亿</t>
  </si>
  <si>
    <t>2.37亿</t>
  </si>
  <si>
    <t>10派1.50元(含税)</t>
  </si>
  <si>
    <t>2078.13万</t>
  </si>
  <si>
    <t>SZ300106</t>
  </si>
  <si>
    <t>西部牧业</t>
  </si>
  <si>
    <t>522.81万</t>
  </si>
  <si>
    <t>5.26亿</t>
  </si>
  <si>
    <t>6.74亿</t>
  </si>
  <si>
    <t>-426.77万</t>
  </si>
  <si>
    <t>1297.08万</t>
  </si>
  <si>
    <t>987.86万</t>
  </si>
  <si>
    <t>-5912098亿</t>
  </si>
  <si>
    <t>1.18万</t>
  </si>
  <si>
    <t>-4092046亿</t>
  </si>
  <si>
    <t>2.49亿</t>
  </si>
  <si>
    <t>236361180亿</t>
  </si>
  <si>
    <t>17.79万</t>
  </si>
  <si>
    <t>709441660亿</t>
  </si>
  <si>
    <t>470.10万</t>
  </si>
  <si>
    <t>4.50亿</t>
  </si>
  <si>
    <t>1226.68万</t>
  </si>
  <si>
    <t>-4651.07万</t>
  </si>
  <si>
    <t>-432.77万</t>
  </si>
  <si>
    <t>-740.32万</t>
  </si>
  <si>
    <t>13.25亿</t>
  </si>
  <si>
    <t>11.28亿</t>
  </si>
  <si>
    <t>6.78亿</t>
  </si>
  <si>
    <t>1299.35万</t>
  </si>
  <si>
    <t>1440.89万</t>
  </si>
  <si>
    <t>1194.54万</t>
  </si>
  <si>
    <t>-5716.80万</t>
  </si>
  <si>
    <t>1971.01万</t>
  </si>
  <si>
    <t>11.23亿</t>
  </si>
  <si>
    <t>5.73亿</t>
  </si>
  <si>
    <t>-6424.57万</t>
  </si>
  <si>
    <t>309.81万</t>
  </si>
  <si>
    <t>3592.21万</t>
  </si>
  <si>
    <t>SZ300892</t>
  </si>
  <si>
    <t>品渥食品</t>
  </si>
  <si>
    <t>691.24万</t>
  </si>
  <si>
    <t>10.40亿</t>
  </si>
  <si>
    <t>2.08亿</t>
  </si>
  <si>
    <t>-449.36万</t>
  </si>
  <si>
    <t>4310.37万</t>
  </si>
  <si>
    <t>740.29万</t>
  </si>
  <si>
    <t>3010488亿</t>
  </si>
  <si>
    <t>127.36万</t>
  </si>
  <si>
    <t>-6466830亿</t>
  </si>
  <si>
    <t>62083056亿</t>
  </si>
  <si>
    <t>801036520亿</t>
  </si>
  <si>
    <t>3118.55万</t>
  </si>
  <si>
    <t>608.34万</t>
  </si>
  <si>
    <t>2.04亿</t>
  </si>
  <si>
    <t>4600.93万</t>
  </si>
  <si>
    <t>4621.92万</t>
  </si>
  <si>
    <t>-1041.95万</t>
  </si>
  <si>
    <t>-1374.42万</t>
  </si>
  <si>
    <t>15.39亿</t>
  </si>
  <si>
    <t>15.03亿</t>
  </si>
  <si>
    <t>13.80亿</t>
  </si>
  <si>
    <t>1120.38万</t>
  </si>
  <si>
    <t>9546.97万</t>
  </si>
  <si>
    <t>9893.35万</t>
  </si>
  <si>
    <t>7807.00万</t>
  </si>
  <si>
    <t>-7337.08万</t>
  </si>
  <si>
    <t>-5845.78万</t>
  </si>
  <si>
    <t>2257.31万</t>
  </si>
  <si>
    <t>6170.68万</t>
  </si>
  <si>
    <t>SZ300898</t>
  </si>
  <si>
    <t>熊猫乳品</t>
  </si>
  <si>
    <t>172.41万</t>
  </si>
  <si>
    <t>9.81亿</t>
  </si>
  <si>
    <t>2656.61万</t>
  </si>
  <si>
    <t>929.34万</t>
  </si>
  <si>
    <t>1113.60万</t>
  </si>
  <si>
    <t>564180亿</t>
  </si>
  <si>
    <t>24.68万</t>
  </si>
  <si>
    <t>22105171亿</t>
  </si>
  <si>
    <t>19769103亿</t>
  </si>
  <si>
    <t>725164650亿</t>
  </si>
  <si>
    <t>3903.02万</t>
  </si>
  <si>
    <t>8970.07万</t>
  </si>
  <si>
    <t>992.95万</t>
  </si>
  <si>
    <t>-5153.27万</t>
  </si>
  <si>
    <t>-5605.29万</t>
  </si>
  <si>
    <t>8.92亿</t>
  </si>
  <si>
    <t>8.57亿</t>
  </si>
  <si>
    <t>6.84亿</t>
  </si>
  <si>
    <t>6.04亿</t>
  </si>
  <si>
    <t>5340.82万</t>
  </si>
  <si>
    <t>7734.90万</t>
  </si>
  <si>
    <t>8151.29万</t>
  </si>
  <si>
    <t>6661.10万</t>
  </si>
  <si>
    <t>9475.26万</t>
  </si>
  <si>
    <t>4.48亿</t>
  </si>
  <si>
    <t>4718.27万</t>
  </si>
  <si>
    <t>10派5元(含税)</t>
  </si>
  <si>
    <t>1180.58万</t>
  </si>
  <si>
    <t>6325.50万</t>
  </si>
  <si>
    <t>026566100</t>
  </si>
  <si>
    <t>079698300</t>
  </si>
  <si>
    <t>0159396600</t>
  </si>
  <si>
    <t>0265661000</t>
  </si>
  <si>
    <t>0531322000</t>
  </si>
  <si>
    <t>SZ300915</t>
  </si>
  <si>
    <t>海融科技</t>
  </si>
  <si>
    <t>43.96万</t>
  </si>
  <si>
    <t>15.40亿</t>
  </si>
  <si>
    <t>3597.03万</t>
  </si>
  <si>
    <t>3448.91万</t>
  </si>
  <si>
    <t>1810.97万</t>
  </si>
  <si>
    <t>3675070亿</t>
  </si>
  <si>
    <t>2.54万</t>
  </si>
  <si>
    <t>30844061亿</t>
  </si>
  <si>
    <t>38498493亿</t>
  </si>
  <si>
    <t>1211380180亿</t>
  </si>
  <si>
    <t>980.00万</t>
  </si>
  <si>
    <t>7318.64万</t>
  </si>
  <si>
    <t>-1320.29万</t>
  </si>
  <si>
    <t>-2.88亿</t>
  </si>
  <si>
    <t>-406.01万</t>
  </si>
  <si>
    <t>8.68亿</t>
  </si>
  <si>
    <t>7.47亿</t>
  </si>
  <si>
    <t>5.72亿</t>
  </si>
  <si>
    <t>5.84亿</t>
  </si>
  <si>
    <t>9331.18万</t>
  </si>
  <si>
    <t>8682.82万</t>
  </si>
  <si>
    <t>7671.76万</t>
  </si>
  <si>
    <t>7293.24万</t>
  </si>
  <si>
    <t>9.55亿</t>
  </si>
  <si>
    <t>8951.14万</t>
  </si>
  <si>
    <t>4849.27万</t>
  </si>
  <si>
    <t>341.44万</t>
  </si>
  <si>
    <t>1505.28万</t>
  </si>
  <si>
    <t>035970300</t>
  </si>
  <si>
    <t>0107910900</t>
  </si>
  <si>
    <t>0215821800</t>
  </si>
  <si>
    <t>0359703000</t>
  </si>
  <si>
    <t>0719406000</t>
  </si>
  <si>
    <t>129.32万</t>
  </si>
  <si>
    <t>8208.63万</t>
  </si>
  <si>
    <t>4.43亿</t>
  </si>
  <si>
    <t>7135.40万</t>
  </si>
  <si>
    <t>2923.27万</t>
  </si>
  <si>
    <t>81096亿</t>
  </si>
  <si>
    <t>26.42万</t>
  </si>
  <si>
    <t>80269612亿</t>
  </si>
  <si>
    <t>145424330亿</t>
  </si>
  <si>
    <t>5.71万</t>
  </si>
  <si>
    <t>1046870700亿</t>
  </si>
  <si>
    <t>5916.05万</t>
  </si>
  <si>
    <t>-4003.71万</t>
  </si>
  <si>
    <t>-8407.88万</t>
  </si>
  <si>
    <t>-2.25亿</t>
  </si>
  <si>
    <t>19.23亿</t>
  </si>
  <si>
    <t>10派3.4元(含税)</t>
  </si>
  <si>
    <t>703.63万</t>
  </si>
  <si>
    <t>4960.97万</t>
  </si>
  <si>
    <t>082086300</t>
  </si>
  <si>
    <t>0246258900</t>
  </si>
  <si>
    <t>0492517800</t>
  </si>
  <si>
    <t>0820863000</t>
  </si>
  <si>
    <t>01641726000</t>
  </si>
  <si>
    <t>417.35万</t>
  </si>
  <si>
    <t>59.17亿</t>
  </si>
  <si>
    <t>5.67亿</t>
  </si>
  <si>
    <t>6200.45万</t>
  </si>
  <si>
    <t>383027亿</t>
  </si>
  <si>
    <t>10.05万</t>
  </si>
  <si>
    <t>60975160亿</t>
  </si>
  <si>
    <t>19.45亿</t>
  </si>
  <si>
    <t>203987470亿</t>
  </si>
  <si>
    <t>4157902900亿</t>
  </si>
  <si>
    <t>3.83亿</t>
  </si>
  <si>
    <t>-9935.02万</t>
  </si>
  <si>
    <t>-9952.70万</t>
  </si>
  <si>
    <t>-35.42万</t>
  </si>
  <si>
    <t>17.84亿</t>
  </si>
  <si>
    <t>3.97亿</t>
  </si>
  <si>
    <t>10派1.40元(含税)</t>
  </si>
  <si>
    <t>3069.97万</t>
  </si>
  <si>
    <t>062004500</t>
  </si>
  <si>
    <t>0186013500</t>
  </si>
  <si>
    <t>0372027000</t>
  </si>
  <si>
    <t>0620045000</t>
  </si>
  <si>
    <t>01240090000</t>
  </si>
  <si>
    <t>524.10万</t>
  </si>
  <si>
    <t>3737.85万</t>
  </si>
  <si>
    <t>110.46万</t>
  </si>
  <si>
    <t>122996亿</t>
  </si>
  <si>
    <t>7114.92万</t>
  </si>
  <si>
    <t>34477292亿</t>
  </si>
  <si>
    <t>979081130亿</t>
  </si>
  <si>
    <t>16.69万</t>
  </si>
  <si>
    <t>3379.61万</t>
  </si>
  <si>
    <t>57.49万</t>
  </si>
  <si>
    <t>-4374.34万</t>
  </si>
  <si>
    <t>-94.96万</t>
  </si>
  <si>
    <t>-8.83亿</t>
  </si>
  <si>
    <t>367.61万</t>
  </si>
  <si>
    <t>3409.04万</t>
  </si>
  <si>
    <t>01104600</t>
  </si>
  <si>
    <t>03313800</t>
  </si>
  <si>
    <t>06627600</t>
  </si>
  <si>
    <t>011046000</t>
  </si>
  <si>
    <t>022092000</t>
  </si>
  <si>
    <t>-5-1</t>
  </si>
  <si>
    <t>334.39万</t>
  </si>
  <si>
    <t>87.35亿</t>
  </si>
  <si>
    <t>45.49亿</t>
  </si>
  <si>
    <t>42.93亿</t>
  </si>
  <si>
    <t>15097347亿</t>
  </si>
  <si>
    <t>159.28万</t>
  </si>
  <si>
    <t>445935570亿</t>
  </si>
  <si>
    <t>29.45亿</t>
  </si>
  <si>
    <t>105297742亿</t>
  </si>
  <si>
    <t>5929444800亿</t>
  </si>
  <si>
    <t>11.52亿</t>
  </si>
  <si>
    <t>27.97亿</t>
  </si>
  <si>
    <t>-8.49亿</t>
  </si>
  <si>
    <t>-788.33万</t>
  </si>
  <si>
    <t>148.15亿</t>
  </si>
  <si>
    <t>13.37亿</t>
  </si>
  <si>
    <t>10派28元(含税)</t>
  </si>
  <si>
    <t>1833.08万</t>
  </si>
  <si>
    <t>385.94万</t>
  </si>
  <si>
    <t>29.46亿</t>
  </si>
  <si>
    <t>13.76亿</t>
  </si>
  <si>
    <t>-566.25万</t>
  </si>
  <si>
    <t>3232904亿</t>
  </si>
  <si>
    <t>1.50万</t>
  </si>
  <si>
    <t>-26503175亿</t>
  </si>
  <si>
    <t>4.87亿</t>
  </si>
  <si>
    <t>539608000亿</t>
  </si>
  <si>
    <t>2601223300亿</t>
  </si>
  <si>
    <t>7300.70万</t>
  </si>
  <si>
    <t>152.67万</t>
  </si>
  <si>
    <t>3280.85万</t>
  </si>
  <si>
    <t>-2690.58万</t>
  </si>
  <si>
    <t>-2564.69万</t>
  </si>
  <si>
    <t>5773.06万</t>
  </si>
  <si>
    <t>-4.57亿</t>
  </si>
  <si>
    <t>3072.64万</t>
  </si>
  <si>
    <t>3-1</t>
  </si>
  <si>
    <t>597.37万</t>
  </si>
  <si>
    <t>7.67亿</t>
  </si>
  <si>
    <t>2.69亿</t>
  </si>
  <si>
    <t>5429.81万</t>
  </si>
  <si>
    <t>-748.16万</t>
  </si>
  <si>
    <t>-1152196亿</t>
  </si>
  <si>
    <t>14.65万</t>
  </si>
  <si>
    <t>-7789941亿</t>
  </si>
  <si>
    <t>1899.54万</t>
  </si>
  <si>
    <t>70452410亿</t>
  </si>
  <si>
    <t>527263590亿</t>
  </si>
  <si>
    <t>385.58万</t>
  </si>
  <si>
    <t>68.81万</t>
  </si>
  <si>
    <t>-540.71万</t>
  </si>
  <si>
    <t>-60.75万</t>
  </si>
  <si>
    <t>-1420.02万</t>
  </si>
  <si>
    <t>-1.49亿</t>
  </si>
  <si>
    <t>2134.41万</t>
  </si>
  <si>
    <t>1272.18万</t>
  </si>
  <si>
    <t>12.43亿</t>
  </si>
  <si>
    <t>33.49亿</t>
  </si>
  <si>
    <t>11.09亿</t>
  </si>
  <si>
    <t>1.27亿</t>
  </si>
  <si>
    <t>9.25亿</t>
  </si>
  <si>
    <t>6287.77万</t>
  </si>
  <si>
    <t>5400.52万</t>
  </si>
  <si>
    <t>2814958亿</t>
  </si>
  <si>
    <t>92.58万</t>
  </si>
  <si>
    <t>33373451亿</t>
  </si>
  <si>
    <t>61938071亿</t>
  </si>
  <si>
    <t>1498.43万</t>
  </si>
  <si>
    <t>1633381600亿</t>
  </si>
  <si>
    <t>501.15万</t>
  </si>
  <si>
    <t>9998.43万</t>
  </si>
  <si>
    <t>1.68亿</t>
  </si>
  <si>
    <t>308.30万</t>
  </si>
  <si>
    <t>8662.00万</t>
  </si>
  <si>
    <t>-4398.11万</t>
  </si>
  <si>
    <t>9529.05万</t>
  </si>
  <si>
    <t>40.36亿</t>
  </si>
  <si>
    <t>10派0.65元(含税)</t>
  </si>
  <si>
    <t>8813.40万</t>
  </si>
  <si>
    <t>0127000000</t>
  </si>
  <si>
    <t>0381000000</t>
  </si>
  <si>
    <t>0762000000</t>
  </si>
  <si>
    <t>01270000000</t>
  </si>
  <si>
    <t>02540000000</t>
  </si>
  <si>
    <t>SH600419</t>
  </si>
  <si>
    <t>XD天润乳</t>
  </si>
  <si>
    <t>186.14万</t>
  </si>
  <si>
    <t>30.47亿</t>
  </si>
  <si>
    <t>26.53亿</t>
  </si>
  <si>
    <t>454.35万</t>
  </si>
  <si>
    <t>5.35亿</t>
  </si>
  <si>
    <t>3662.15万</t>
  </si>
  <si>
    <t>2653.67万</t>
  </si>
  <si>
    <t>50908亿</t>
  </si>
  <si>
    <t>24.50万</t>
  </si>
  <si>
    <t>22678244亿</t>
  </si>
  <si>
    <t>155913420亿</t>
  </si>
  <si>
    <t>1553971600亿</t>
  </si>
  <si>
    <t>6.40亿</t>
  </si>
  <si>
    <t>7.13亿</t>
  </si>
  <si>
    <t>17.01亿</t>
  </si>
  <si>
    <t>-626.44万</t>
  </si>
  <si>
    <t>24.10亿</t>
  </si>
  <si>
    <t>21.09亿</t>
  </si>
  <si>
    <t>17.68亿</t>
  </si>
  <si>
    <t>16.27亿</t>
  </si>
  <si>
    <t>27.14亿</t>
  </si>
  <si>
    <t>13.89亿</t>
  </si>
  <si>
    <t>10派1.36元(含税)</t>
  </si>
  <si>
    <t>1271.49万</t>
  </si>
  <si>
    <t>6588.32万</t>
  </si>
  <si>
    <t>04543500</t>
  </si>
  <si>
    <t>013630500</t>
  </si>
  <si>
    <t>027261000</t>
  </si>
  <si>
    <t>045435000</t>
  </si>
  <si>
    <t>090870000</t>
  </si>
  <si>
    <t>SH600429</t>
  </si>
  <si>
    <t>三元股份</t>
  </si>
  <si>
    <t>265.89万</t>
  </si>
  <si>
    <t>40.23亿</t>
  </si>
  <si>
    <t>53.70亿</t>
  </si>
  <si>
    <t>20.41亿</t>
  </si>
  <si>
    <t>7327.29万</t>
  </si>
  <si>
    <t>20.05亿</t>
  </si>
  <si>
    <t>15.55亿</t>
  </si>
  <si>
    <t>3.48亿</t>
  </si>
  <si>
    <t>6258.54万</t>
  </si>
  <si>
    <t>81784789亿</t>
  </si>
  <si>
    <t>129.38万</t>
  </si>
  <si>
    <t>67632593亿</t>
  </si>
  <si>
    <t>10.53亿</t>
  </si>
  <si>
    <t>945407880亿</t>
  </si>
  <si>
    <t>2839697900亿</t>
  </si>
  <si>
    <t>2608.30万</t>
  </si>
  <si>
    <t>9.60亿</t>
  </si>
  <si>
    <t>9.37亿</t>
  </si>
  <si>
    <t>501.71万</t>
  </si>
  <si>
    <t>38.79亿</t>
  </si>
  <si>
    <t>2635.54万</t>
  </si>
  <si>
    <t>3803.46万</t>
  </si>
  <si>
    <t>-2638.33万</t>
  </si>
  <si>
    <t>79.51亿</t>
  </si>
  <si>
    <t>88.50亿</t>
  </si>
  <si>
    <t>73.53亿</t>
  </si>
  <si>
    <t>81.51亿</t>
  </si>
  <si>
    <t>74.56亿</t>
  </si>
  <si>
    <t>4028.42万</t>
  </si>
  <si>
    <t>2205.69万</t>
  </si>
  <si>
    <t>78.41亿</t>
  </si>
  <si>
    <t>42.56亿</t>
  </si>
  <si>
    <t>10派0.49元(含税)</t>
  </si>
  <si>
    <t>1707.26万</t>
  </si>
  <si>
    <t>073272900</t>
  </si>
  <si>
    <t>0219818700</t>
  </si>
  <si>
    <t>0439637400</t>
  </si>
  <si>
    <t>0732729000</t>
  </si>
  <si>
    <t>01465458000</t>
  </si>
  <si>
    <t>8103.71万</t>
  </si>
  <si>
    <t>80.68万</t>
  </si>
  <si>
    <t>8014.80万</t>
  </si>
  <si>
    <t>5608.33万</t>
  </si>
  <si>
    <t>1340.01万</t>
  </si>
  <si>
    <t>945.05万</t>
  </si>
  <si>
    <t>-24919亿</t>
  </si>
  <si>
    <t>481134亿</t>
  </si>
  <si>
    <t>1551.98万</t>
  </si>
  <si>
    <t>392521990亿</t>
  </si>
  <si>
    <t>3579.39万</t>
  </si>
  <si>
    <t>67.33万</t>
  </si>
  <si>
    <t>622.49万</t>
  </si>
  <si>
    <t>-3329.67万</t>
  </si>
  <si>
    <t>1489.71万</t>
  </si>
  <si>
    <t>-1590.00万</t>
  </si>
  <si>
    <t>1.98亿</t>
  </si>
  <si>
    <t>-4143.86万</t>
  </si>
  <si>
    <t>3407.10万</t>
  </si>
  <si>
    <t>2.38亿</t>
  </si>
  <si>
    <t>0806800</t>
  </si>
  <si>
    <t>02420400</t>
  </si>
  <si>
    <t>04840800</t>
  </si>
  <si>
    <t>08068000</t>
  </si>
  <si>
    <t>016136000</t>
  </si>
  <si>
    <t>145.30万</t>
  </si>
  <si>
    <t>12.62亿</t>
  </si>
  <si>
    <t>510.57万</t>
  </si>
  <si>
    <t>9767.69万</t>
  </si>
  <si>
    <t>1279.81万</t>
  </si>
  <si>
    <t>1065.96万</t>
  </si>
  <si>
    <t>5105693亿</t>
  </si>
  <si>
    <t>972744亿</t>
  </si>
  <si>
    <t>1231505490亿</t>
  </si>
  <si>
    <t>4000.00万</t>
  </si>
  <si>
    <t>5403.88万</t>
  </si>
  <si>
    <t>-7337.67万</t>
  </si>
  <si>
    <t>1987.35万</t>
  </si>
  <si>
    <t>4853.37万</t>
  </si>
  <si>
    <t>956.34万</t>
  </si>
  <si>
    <t>9780.74万</t>
  </si>
  <si>
    <t>05105700</t>
  </si>
  <si>
    <t>015317100</t>
  </si>
  <si>
    <t>030634200</t>
  </si>
  <si>
    <t>051057000</t>
  </si>
  <si>
    <t>0102114000</t>
  </si>
  <si>
    <t>SH600597</t>
  </si>
  <si>
    <t>光明乳业</t>
  </si>
  <si>
    <t>347.37万</t>
  </si>
  <si>
    <t>128.05亿</t>
  </si>
  <si>
    <t>111.60亿</t>
  </si>
  <si>
    <t>64.17亿</t>
  </si>
  <si>
    <t>62.17亿</t>
  </si>
  <si>
    <t>51.57亿</t>
  </si>
  <si>
    <t>7.39亿</t>
  </si>
  <si>
    <t>830905亿</t>
  </si>
  <si>
    <t>1162.63万</t>
  </si>
  <si>
    <t>185574690亿</t>
  </si>
  <si>
    <t>23.64亿</t>
  </si>
  <si>
    <t>1998725200亿</t>
  </si>
  <si>
    <t>8595160100亿</t>
  </si>
  <si>
    <t>3.27亿</t>
  </si>
  <si>
    <t>27.66亿</t>
  </si>
  <si>
    <t>90.19亿</t>
  </si>
  <si>
    <t>-3.94亿</t>
  </si>
  <si>
    <t>-1.97亿</t>
  </si>
  <si>
    <t>-3.30亿</t>
  </si>
  <si>
    <t>282.15亿</t>
  </si>
  <si>
    <t>292.06亿</t>
  </si>
  <si>
    <t>252.66亿</t>
  </si>
  <si>
    <t>225.63亿</t>
  </si>
  <si>
    <t>209.86亿</t>
  </si>
  <si>
    <t>5.92亿</t>
  </si>
  <si>
    <t>264.85亿</t>
  </si>
  <si>
    <t>141.39亿</t>
  </si>
  <si>
    <t>9.67亿</t>
  </si>
  <si>
    <t>10派2.2元(含税)</t>
  </si>
  <si>
    <t>2676.27万</t>
  </si>
  <si>
    <t>0172000000</t>
  </si>
  <si>
    <t>0516000000</t>
  </si>
  <si>
    <t>01032000000</t>
  </si>
  <si>
    <t>01720000000</t>
  </si>
  <si>
    <t>03440000000</t>
  </si>
  <si>
    <t>486.46万</t>
  </si>
  <si>
    <t>210.01亿</t>
  </si>
  <si>
    <t>298.45亿</t>
  </si>
  <si>
    <t>101.50亿</t>
  </si>
  <si>
    <t>15.97亿</t>
  </si>
  <si>
    <t>81.78亿</t>
  </si>
  <si>
    <t>60.45亿</t>
  </si>
  <si>
    <t>13.02亿</t>
  </si>
  <si>
    <t>34830967亿</t>
  </si>
  <si>
    <t>129.82万</t>
  </si>
  <si>
    <t>1512925100亿</t>
  </si>
  <si>
    <t>216.01亿</t>
  </si>
  <si>
    <t>103336693亿</t>
  </si>
  <si>
    <t>680.00万</t>
  </si>
  <si>
    <t>30113632000亿</t>
  </si>
  <si>
    <t>38.60亿</t>
  </si>
  <si>
    <t>164.68亿</t>
  </si>
  <si>
    <t>-59.26亿</t>
  </si>
  <si>
    <t>-3688.87万</t>
  </si>
  <si>
    <t>339.37亿</t>
  </si>
  <si>
    <t>42.68亿</t>
  </si>
  <si>
    <t>3141.79万</t>
  </si>
  <si>
    <t>01597000000</t>
  </si>
  <si>
    <t>04791000000</t>
  </si>
  <si>
    <t>09582000000</t>
  </si>
  <si>
    <t>015970000000</t>
  </si>
  <si>
    <t>031940000000</t>
  </si>
  <si>
    <t>215.34万</t>
  </si>
  <si>
    <t>267.29万</t>
  </si>
  <si>
    <t>9324.66万</t>
  </si>
  <si>
    <t>3113.19万</t>
  </si>
  <si>
    <t>2743.93万</t>
  </si>
  <si>
    <t>494000亿</t>
  </si>
  <si>
    <t>2.29万</t>
  </si>
  <si>
    <t>1273571亿</t>
  </si>
  <si>
    <t>8.64亿</t>
  </si>
  <si>
    <t>58082063亿</t>
  </si>
  <si>
    <t>301.43万</t>
  </si>
  <si>
    <t>1691082400亿</t>
  </si>
  <si>
    <t>122.68万</t>
  </si>
  <si>
    <t>1301.71万</t>
  </si>
  <si>
    <t>5996.92万</t>
  </si>
  <si>
    <t>46.56万</t>
  </si>
  <si>
    <t>-6485.38万</t>
  </si>
  <si>
    <t>-199.40万</t>
  </si>
  <si>
    <t>515.61万</t>
  </si>
  <si>
    <t>1705.94万</t>
  </si>
  <si>
    <t>02672900</t>
  </si>
  <si>
    <t>08018700</t>
  </si>
  <si>
    <t>016037400</t>
  </si>
  <si>
    <t>026729000</t>
  </si>
  <si>
    <t>053458000</t>
  </si>
  <si>
    <t>5-1</t>
  </si>
  <si>
    <t>SH600882</t>
  </si>
  <si>
    <t>妙可蓝多</t>
  </si>
  <si>
    <t>324.03万</t>
  </si>
  <si>
    <t>43.44亿</t>
  </si>
  <si>
    <t>9.50亿</t>
  </si>
  <si>
    <t>4129.75万</t>
  </si>
  <si>
    <t>9.23亿</t>
  </si>
  <si>
    <t>6.36亿</t>
  </si>
  <si>
    <t>5112.69万</t>
  </si>
  <si>
    <t>6066418亿</t>
  </si>
  <si>
    <t>8.37万</t>
  </si>
  <si>
    <t>30889943亿</t>
  </si>
  <si>
    <t>10.34亿</t>
  </si>
  <si>
    <t>105849874亿</t>
  </si>
  <si>
    <t>3516333800亿</t>
  </si>
  <si>
    <t>8.89亿</t>
  </si>
  <si>
    <t>16.64亿</t>
  </si>
  <si>
    <t>4.63亿</t>
  </si>
  <si>
    <t>2.20亿</t>
  </si>
  <si>
    <t>-15.00亿</t>
  </si>
  <si>
    <t>-7979.28万</t>
  </si>
  <si>
    <t>48.30亿</t>
  </si>
  <si>
    <t>28.47亿</t>
  </si>
  <si>
    <t>17.44亿</t>
  </si>
  <si>
    <t>1.38亿</t>
  </si>
  <si>
    <t>5925.80万</t>
  </si>
  <si>
    <t>1922.99万</t>
  </si>
  <si>
    <t>1064.06万</t>
  </si>
  <si>
    <t>40.49亿</t>
  </si>
  <si>
    <t>20.66亿</t>
  </si>
  <si>
    <t>6343.95万</t>
  </si>
  <si>
    <t>2856.71万</t>
  </si>
  <si>
    <t>1615.41万</t>
  </si>
  <si>
    <t>SH600887</t>
  </si>
  <si>
    <t>伊利股份</t>
  </si>
  <si>
    <t>4081.60万</t>
  </si>
  <si>
    <t>943.00亿</t>
  </si>
  <si>
    <t>628.96亿</t>
  </si>
  <si>
    <t>324.63亿</t>
  </si>
  <si>
    <t>283.73亿</t>
  </si>
  <si>
    <t>208.44亿</t>
  </si>
  <si>
    <t>60.10亿</t>
  </si>
  <si>
    <t>14.55亿</t>
  </si>
  <si>
    <t>2579178700亿</t>
  </si>
  <si>
    <t>5648.59万</t>
  </si>
  <si>
    <t>3727609900亿</t>
  </si>
  <si>
    <t>554.81亿</t>
  </si>
  <si>
    <t>3036157100亿</t>
  </si>
  <si>
    <t>2.82亿</t>
  </si>
  <si>
    <t>79696136000亿</t>
  </si>
  <si>
    <t>34.91亿</t>
  </si>
  <si>
    <t>499.48亿</t>
  </si>
  <si>
    <t>136.80亿</t>
  </si>
  <si>
    <t>812.06亿</t>
  </si>
  <si>
    <t>113.46亿</t>
  </si>
  <si>
    <t>22.68亿</t>
  </si>
  <si>
    <t>-15.91亿</t>
  </si>
  <si>
    <t>99.60亿</t>
  </si>
  <si>
    <t>1226.98亿</t>
  </si>
  <si>
    <t>1101.44亿</t>
  </si>
  <si>
    <t>965.24亿</t>
  </si>
  <si>
    <t>900.09亿</t>
  </si>
  <si>
    <t>789.76亿</t>
  </si>
  <si>
    <t>94.31亿</t>
  </si>
  <si>
    <t>87.05亿</t>
  </si>
  <si>
    <t>70.78亿</t>
  </si>
  <si>
    <t>69.34亿</t>
  </si>
  <si>
    <t>64.40亿</t>
  </si>
  <si>
    <t>1257.58亿</t>
  </si>
  <si>
    <t>659.82亿</t>
  </si>
  <si>
    <t>104.29亿</t>
  </si>
  <si>
    <t>63.05亿</t>
  </si>
  <si>
    <t>10派12元(含税)</t>
  </si>
  <si>
    <t>11.96亿</t>
  </si>
  <si>
    <t>05923000000</t>
  </si>
  <si>
    <t>017769000000</t>
  </si>
  <si>
    <t>035538000000</t>
  </si>
  <si>
    <t>059230000000</t>
  </si>
  <si>
    <t>0118460000000</t>
  </si>
  <si>
    <t>99.19万</t>
  </si>
  <si>
    <t>14.37亿</t>
  </si>
  <si>
    <t>850.64万</t>
  </si>
  <si>
    <t>3.49亿</t>
  </si>
  <si>
    <t>2340.09万</t>
  </si>
  <si>
    <t>1711.51万</t>
  </si>
  <si>
    <t>176557亿</t>
  </si>
  <si>
    <t>119.60万</t>
  </si>
  <si>
    <t>10349630亿</t>
  </si>
  <si>
    <t>303717290亿</t>
  </si>
  <si>
    <t>1447551100亿</t>
  </si>
  <si>
    <t>27.13万</t>
  </si>
  <si>
    <t>7661.27万</t>
  </si>
  <si>
    <t>23.11万</t>
  </si>
  <si>
    <t>1306.20万</t>
  </si>
  <si>
    <t>-257.07万</t>
  </si>
  <si>
    <t>-2.24亿</t>
  </si>
  <si>
    <t>14.87亿</t>
  </si>
  <si>
    <t>5821.99万</t>
  </si>
  <si>
    <t>926.83万</t>
  </si>
  <si>
    <t>08506400</t>
  </si>
  <si>
    <t>025519200</t>
  </si>
  <si>
    <t>051038400</t>
  </si>
  <si>
    <t>085064000</t>
  </si>
  <si>
    <t>0170128000</t>
  </si>
  <si>
    <t>632.23万</t>
  </si>
  <si>
    <t>37.33亿</t>
  </si>
  <si>
    <t>4.37亿</t>
  </si>
  <si>
    <t>9217.94万</t>
  </si>
  <si>
    <t>3.26亿</t>
  </si>
  <si>
    <t>6714.57万</t>
  </si>
  <si>
    <t>3169.30万</t>
  </si>
  <si>
    <t>8060473亿</t>
  </si>
  <si>
    <t>149.14万</t>
  </si>
  <si>
    <t>82132175亿</t>
  </si>
  <si>
    <t>6.47亿</t>
  </si>
  <si>
    <t>137212380亿</t>
  </si>
  <si>
    <t>2014951300亿</t>
  </si>
  <si>
    <t>3.72万</t>
  </si>
  <si>
    <t>100.08万</t>
  </si>
  <si>
    <t>5.87亿</t>
  </si>
  <si>
    <t>-6251.75万</t>
  </si>
  <si>
    <t>2023.57万</t>
  </si>
  <si>
    <t>-2988.56万</t>
  </si>
  <si>
    <t>14.11亿</t>
  </si>
  <si>
    <t>10派2.1元(含税)</t>
  </si>
  <si>
    <t>5463.40万</t>
  </si>
  <si>
    <t>092179400</t>
  </si>
  <si>
    <t>0276538200</t>
  </si>
  <si>
    <t>0553076400</t>
  </si>
  <si>
    <t>0921794000</t>
  </si>
  <si>
    <t>01843588000</t>
  </si>
  <si>
    <t>224.14万</t>
  </si>
  <si>
    <t>50.65亿</t>
  </si>
  <si>
    <t>119.06亿</t>
  </si>
  <si>
    <t>23.16亿</t>
  </si>
  <si>
    <t>14.25亿</t>
  </si>
  <si>
    <t>12.23亿</t>
  </si>
  <si>
    <t>2198.70万</t>
  </si>
  <si>
    <t>11669871亿</t>
  </si>
  <si>
    <t>56.15万</t>
  </si>
  <si>
    <t>706474750亿</t>
  </si>
  <si>
    <t>26.94亿</t>
  </si>
  <si>
    <t>85046195亿</t>
  </si>
  <si>
    <t>7820093100亿</t>
  </si>
  <si>
    <t>3.56亿</t>
  </si>
  <si>
    <t>10.00亿</t>
  </si>
  <si>
    <t>7.99亿</t>
  </si>
  <si>
    <t>1.71亿</t>
  </si>
  <si>
    <t>29.40亿</t>
  </si>
  <si>
    <t>-8.78亿</t>
  </si>
  <si>
    <t>-2.51亿</t>
  </si>
  <si>
    <t>8906.15万</t>
  </si>
  <si>
    <t>61.62亿</t>
  </si>
  <si>
    <t>14.67亿</t>
  </si>
  <si>
    <t>10派16元(含税)</t>
  </si>
  <si>
    <t>1660.89万</t>
  </si>
  <si>
    <t>8871.30万</t>
  </si>
  <si>
    <t>0879000000</t>
  </si>
  <si>
    <t>02637000000</t>
  </si>
  <si>
    <t>05274000000</t>
  </si>
  <si>
    <t>08790000000</t>
  </si>
  <si>
    <t>017580000000</t>
  </si>
  <si>
    <t>179.84万</t>
  </si>
  <si>
    <t>18.84亿</t>
  </si>
  <si>
    <t>33.82亿</t>
  </si>
  <si>
    <t>7.25亿</t>
  </si>
  <si>
    <t>2521.26万</t>
  </si>
  <si>
    <t>5543.42万</t>
  </si>
  <si>
    <t>4577266亿</t>
  </si>
  <si>
    <t>1.23万</t>
  </si>
  <si>
    <t>19767753亿</t>
  </si>
  <si>
    <t>32919975亿</t>
  </si>
  <si>
    <t>2716786000亿</t>
  </si>
  <si>
    <t>5032.13万</t>
  </si>
  <si>
    <t>1.95亿</t>
  </si>
  <si>
    <t>-1.58亿</t>
  </si>
  <si>
    <t>-2.89亿</t>
  </si>
  <si>
    <t>36.25亿</t>
  </si>
  <si>
    <t>10派3.5元(含税)</t>
  </si>
  <si>
    <t>1027.81万</t>
  </si>
  <si>
    <t>6047.29万</t>
  </si>
  <si>
    <t>025212600</t>
  </si>
  <si>
    <t>075637800</t>
  </si>
  <si>
    <t>0151275600</t>
  </si>
  <si>
    <t>0252126000</t>
  </si>
  <si>
    <t>0504252000</t>
  </si>
  <si>
    <t>271.65万</t>
  </si>
  <si>
    <t>5.88亿</t>
  </si>
  <si>
    <t>1846.71万</t>
  </si>
  <si>
    <t>6019.80万</t>
  </si>
  <si>
    <t>2477.94万</t>
  </si>
  <si>
    <t>828.14万</t>
  </si>
  <si>
    <t>12.45万</t>
  </si>
  <si>
    <t>17946971亿</t>
  </si>
  <si>
    <t>4399.95万</t>
  </si>
  <si>
    <t>22507129亿</t>
  </si>
  <si>
    <t>6680.19万</t>
  </si>
  <si>
    <t>568266260亿</t>
  </si>
  <si>
    <t>117.63万</t>
  </si>
  <si>
    <t>5843.87万</t>
  </si>
  <si>
    <t>1250.11万</t>
  </si>
  <si>
    <t>2160.00万</t>
  </si>
  <si>
    <t>-1128.83万</t>
  </si>
  <si>
    <t>-63.07万</t>
  </si>
  <si>
    <t>4285.08万</t>
  </si>
  <si>
    <t>-1.55亿</t>
  </si>
  <si>
    <t>1424.42万</t>
  </si>
  <si>
    <t>018467100</t>
  </si>
  <si>
    <t>055401300</t>
  </si>
  <si>
    <t>0110802600</t>
  </si>
  <si>
    <t>0184671000</t>
  </si>
  <si>
    <t>0369342000</t>
  </si>
  <si>
    <t>SH605179</t>
  </si>
  <si>
    <t>一鸣食品</t>
  </si>
  <si>
    <t>427.85万</t>
  </si>
  <si>
    <t>16.09亿</t>
  </si>
  <si>
    <t>6.43亿</t>
  </si>
  <si>
    <t>1036.51万</t>
  </si>
  <si>
    <t>6.28亿</t>
  </si>
  <si>
    <t>4337.90万</t>
  </si>
  <si>
    <t>5.51万</t>
  </si>
  <si>
    <t>10024355亿</t>
  </si>
  <si>
    <t>3.55亿</t>
  </si>
  <si>
    <t>127487202亿</t>
  </si>
  <si>
    <t>28.00万</t>
  </si>
  <si>
    <t>709675030亿</t>
  </si>
  <si>
    <t>4522.51万</t>
  </si>
  <si>
    <t>3.01亿</t>
  </si>
  <si>
    <t>43.51万</t>
  </si>
  <si>
    <t>14.00亿</t>
  </si>
  <si>
    <t>-8900.95万</t>
  </si>
  <si>
    <t>-2274.97万</t>
  </si>
  <si>
    <t>24.33亿</t>
  </si>
  <si>
    <t>19.47亿</t>
  </si>
  <si>
    <t>19.97亿</t>
  </si>
  <si>
    <t>17.55亿</t>
  </si>
  <si>
    <t>2025.78万</t>
  </si>
  <si>
    <t>26.43亿</t>
  </si>
  <si>
    <t>12.65亿</t>
  </si>
  <si>
    <t>2223.72万</t>
  </si>
  <si>
    <t>2513.79万</t>
  </si>
  <si>
    <t>10派0.45元(含税)</t>
  </si>
  <si>
    <t>2450.26万</t>
  </si>
  <si>
    <t>8398.07万</t>
  </si>
  <si>
    <t>010365100</t>
  </si>
  <si>
    <t>031095300</t>
  </si>
  <si>
    <t>062190600</t>
  </si>
  <si>
    <t>0103651000</t>
  </si>
  <si>
    <t>0207302000</t>
  </si>
  <si>
    <t>108.70万</t>
  </si>
  <si>
    <t>8072.07万</t>
  </si>
  <si>
    <t>25.83亿</t>
  </si>
  <si>
    <t>5335.67万</t>
  </si>
  <si>
    <t>71.24万</t>
  </si>
  <si>
    <t>828.23万</t>
  </si>
  <si>
    <t>1605594亿</t>
  </si>
  <si>
    <t>60051091亿</t>
  </si>
  <si>
    <t>189628250亿</t>
  </si>
  <si>
    <t>1102.01万</t>
  </si>
  <si>
    <t>1817077900亿</t>
  </si>
  <si>
    <t>34.45万</t>
  </si>
  <si>
    <t>2850.30万</t>
  </si>
  <si>
    <t>8291.30万</t>
  </si>
  <si>
    <t>-5.49亿</t>
  </si>
  <si>
    <t>8.76亿</t>
  </si>
  <si>
    <t>2.56亿</t>
  </si>
  <si>
    <t>534.28万</t>
  </si>
  <si>
    <t>4138.74万</t>
  </si>
  <si>
    <t>053356700</t>
  </si>
  <si>
    <t>0160070100</t>
  </si>
  <si>
    <t>0320140200</t>
  </si>
  <si>
    <t>0533567000</t>
  </si>
  <si>
    <t>01067134000</t>
  </si>
  <si>
    <t>SH605300</t>
  </si>
  <si>
    <t>佳禾食品</t>
  </si>
  <si>
    <t>72.97万</t>
  </si>
  <si>
    <t>9.54亿</t>
  </si>
  <si>
    <t>22.75亿</t>
  </si>
  <si>
    <t>4571.85万</t>
  </si>
  <si>
    <t>2497.54万</t>
  </si>
  <si>
    <t>2046.52万</t>
  </si>
  <si>
    <t>-152879亿</t>
  </si>
  <si>
    <t>32.95万</t>
  </si>
  <si>
    <t>40476682亿</t>
  </si>
  <si>
    <t>228886230亿</t>
  </si>
  <si>
    <t>1773258800亿</t>
  </si>
  <si>
    <t>2278.37万</t>
  </si>
  <si>
    <t>1000.40万</t>
  </si>
  <si>
    <t>4.79亿</t>
  </si>
  <si>
    <t>-3.18亿</t>
  </si>
  <si>
    <t>24.28亿</t>
  </si>
  <si>
    <t>23.99亿</t>
  </si>
  <si>
    <t>18.74亿</t>
  </si>
  <si>
    <t>18.36亿</t>
  </si>
  <si>
    <t>15.95亿</t>
  </si>
  <si>
    <t>28.41亿</t>
  </si>
  <si>
    <t>13.27亿</t>
  </si>
  <si>
    <t>10派2.8元(含税)</t>
  </si>
  <si>
    <t>457.45万</t>
  </si>
  <si>
    <t>2209.77万</t>
  </si>
  <si>
    <t>045718500</t>
  </si>
  <si>
    <t>0137155500</t>
  </si>
  <si>
    <t>0274311000</t>
  </si>
  <si>
    <t>0457185000</t>
  </si>
  <si>
    <t>0914370000</t>
  </si>
  <si>
    <t>131.20万</t>
  </si>
  <si>
    <t>13.53亿</t>
  </si>
  <si>
    <t>17.62亿</t>
  </si>
  <si>
    <t>5695.42万</t>
  </si>
  <si>
    <t>3604.63万</t>
  </si>
  <si>
    <t>2170.97万</t>
  </si>
  <si>
    <t>24.48万</t>
  </si>
  <si>
    <t>58780091亿</t>
  </si>
  <si>
    <t>825973亿</t>
  </si>
  <si>
    <t>1507408800亿</t>
  </si>
  <si>
    <t>6939.00万</t>
  </si>
  <si>
    <t>9940.06万</t>
  </si>
  <si>
    <t>5.42万</t>
  </si>
  <si>
    <t>5.13亿</t>
  </si>
  <si>
    <t>8055.66万</t>
  </si>
  <si>
    <t>5609.25万</t>
  </si>
  <si>
    <t>14.12亿</t>
  </si>
  <si>
    <t>856.47万</t>
  </si>
  <si>
    <t>5947.22万</t>
  </si>
  <si>
    <t>056954200</t>
  </si>
  <si>
    <t>0170862600</t>
  </si>
  <si>
    <t>0341725200</t>
  </si>
  <si>
    <t>0569542000</t>
  </si>
  <si>
    <t>01139084000</t>
  </si>
  <si>
    <t>327.98万</t>
  </si>
  <si>
    <t>19.33亿</t>
  </si>
  <si>
    <t>3.96亿</t>
  </si>
  <si>
    <t>2615.03万</t>
  </si>
  <si>
    <t>4289.61万</t>
  </si>
  <si>
    <t>3335.75万</t>
  </si>
  <si>
    <t>835393亿</t>
  </si>
  <si>
    <t>26.98万</t>
  </si>
  <si>
    <t>23794078亿</t>
  </si>
  <si>
    <t>138215680亿</t>
  </si>
  <si>
    <t>965410590亿</t>
  </si>
  <si>
    <t>3136.87万</t>
  </si>
  <si>
    <t>9876.49万</t>
  </si>
  <si>
    <t>-7843.14万</t>
  </si>
  <si>
    <t>-2573.89万</t>
  </si>
  <si>
    <t>7673.58万</t>
  </si>
  <si>
    <t>5757.59万</t>
  </si>
  <si>
    <t>10转4股派1元(含税)</t>
  </si>
  <si>
    <t>1738.83万</t>
  </si>
  <si>
    <t>1.23亿</t>
  </si>
  <si>
    <t>026150300</t>
  </si>
  <si>
    <t>078450900</t>
  </si>
  <si>
    <t>0156901800</t>
  </si>
  <si>
    <t>0261503000</t>
  </si>
  <si>
    <t>0523006000</t>
  </si>
  <si>
    <t>59.57万</t>
  </si>
  <si>
    <t>83.86亿</t>
  </si>
  <si>
    <t>69.88亿</t>
  </si>
  <si>
    <t>34.82亿</t>
  </si>
  <si>
    <t>19.93亿</t>
  </si>
  <si>
    <t>8622338亿</t>
  </si>
  <si>
    <t>43.90万</t>
  </si>
  <si>
    <t>624426050亿</t>
  </si>
  <si>
    <t>70.54亿</t>
  </si>
  <si>
    <t>78193781亿</t>
  </si>
  <si>
    <t>9464442600亿</t>
  </si>
  <si>
    <t>33.67亿</t>
  </si>
  <si>
    <t>7.24亿</t>
  </si>
  <si>
    <t>84.01亿</t>
  </si>
  <si>
    <t>8.60亿</t>
  </si>
  <si>
    <t>-1.90亿</t>
  </si>
  <si>
    <t>112.63亿</t>
  </si>
  <si>
    <t>20.40亿</t>
  </si>
  <si>
    <t>10派25元(含税)</t>
  </si>
  <si>
    <t>533.06万</t>
  </si>
  <si>
    <t>2943.03万</t>
  </si>
  <si>
    <t>1.水牛奶香醇、独特的口感,消费者尝过就会留下很深印象,并且也愿意去复购、推荐亲友去尝试,即使水牛奶价格较贵,这样一来,水牛奶产品的推广成本相对来说是比较低的</t>
  </si>
  <si>
    <t>1.公司以西南为基地，突破其他区域；2.刘永好（新希望）为实控人；3.聚焦低温奶。4.和新希望共用鲜生活冷链运输。</t>
  </si>
  <si>
    <t>1.预计中报业绩：净利润4300万元至4800万元，增长幅度为88.73%至110.67% 变动原因：报告期内，公司依据董事会制定的发展战略及经营计划，积极开发新客户、新渠道。随着餐饮消费市场的逐步恢复，公司主营业务持续稳定向好，实现了净利润和扣除非经常性损益后的净利润的显著增长。本报告期，公司预计非经常性损益影响归属于上市公司股东的净利润为500-800万元。2.熊猫是一家ToB企业，更多关注茶饮渠道对于椰品应用方面的调整。今年也会关注咖啡渠道。</t>
  </si>
  <si>
    <t>1.问：主要几个大品类在四季度增速，以及量价的情况。答：（1）炼乳（原料是奶粉和白砂糖）：公司的核心业务，去年销售不错，淡炼乳连续两年销量很好。其一，竞品是主要是进口产品，与国内交互存在问题，给了国产替代的机会；其二，山东工厂优化炼乳配方，使得淡奶产品的质量稳定性增强；其三，公司在饮品应用渠道这几年的持续开发取得成效。（2）奶酪：主要是饮品烘焙渠道，主要产品为马苏里拉奶酪，去年推出奶油奶酪，还有小包装马苏里拉等。马苏里拉奶酪去年所有品类里增长最快，今年预计上亿级。小包装产品前两年在家庭烘焙场景，通过电商渠道销售的增速比较大，现在开始回归正常的烘焙渠道。ToB的奶酪增速也比较高。（3）奶油：是核心战略新品，比较关注饮品烘焙渠道。去年开发了一两个大客户，希望把经销商和渠道的布局逐渐建立起来。</t>
  </si>
  <si>
    <t>0.建设兵团国资委实控人（兵团有国家退税支持，综合税率有优势）。1.奶啤是公司的重点推广品类，属于差异化的乳酸菌饮料，由公司自主研发并获得国家发明专利，为进一步丰富奶啤的品类，公司于4月15日上新了沙棘奶啤。沙棘奶啤原料中选用了南疆的特色水果沙棘，富含维生素C和黄酮，营养丰富。2.公司疆外形象专卖店的也是天润乳业差异化发展的一部分，近年来逐步发展，主要集中在川渝、江苏、福建等地区。专卖店以天润乳业乳制品为主，辅以公司子公司天润优品的新疆特色干果、水果等产品。</t>
  </si>
  <si>
    <t>1.研报利润2022~2025 ‘cagr 26%（常温乳28%，低温乳8%，畜牧业19%，其他业务80%）。2.ROE不太高原因是投资上游牧场拖累周转率导致。3.天润在新疆的市占率高达40%。</t>
  </si>
  <si>
    <t>1.接近主营30%的销售费用吃掉了仅有32%左右的毛利。因此利润飘忽不定。22亿以上的营收才能稍微让利润为正；</t>
  </si>
  <si>
    <t>1.优倍低温奶，莫斯利安酸奶；</t>
  </si>
  <si>
    <t>1.做好上海为基地的长三角生意，注意其增速天花板</t>
  </si>
  <si>
    <t>1.公司募投项目之一——上海特色奶酪智能化生产加工项目在上海市金山工业区动工投建，项目规划产能82,800.00 吨；2.截至 2021 年 6 月 30 日，公司线下拥有 36.30 万个销售网点，覆盖全国 95%以上地级市以及近 80%县级市</t>
  </si>
  <si>
    <t>1. 市场情绪2年推高了7倍，随时小心；2.2020 年妙可蓝多以 19.8%的市场占有率位列第二，排名第一和第三的分别为法国Savencia Sa 旗下“百吉福”（25.0%）和法国贝勒 Bel 集团的“乐芝牛”（5.9%），前三大品牌市场占有率合计 50.7%；3.2020 年，国产品牌占奶酪市场份额已达 24.1%；国产品牌中，妙可蓝多奶酪产品占比为82%。4.预计中报业绩：净利润2600万元至3400万元，下降幅度为-80.30%至-74.24% 原因：（一）上半年国内消费需求呈现复苏趋势，但整体复苏速度依然较慢。公司积极推进各项应对举措，二季度营业收入环比一季度呈现改善迹象，但受宏观环境影响，公司奶酪业务收入和整体营业收入同比有所下降。 　　（二）在奶酪业务收入下降的同时，主要原材料成本较去年同期上升（包括人民币汇率贬值对进口成本的影响），导致奶酪业务毛利率出现下降，叠加本期锁汇收益减少以及利息净支出较去年同期增加，导致公司归属于母公司股东的净利润出现下降。 　　（三）公司本期取得的政府补助和理财收益等非经常性损益较上年同期有所增加，导致公司归属于母公司股东的扣除非经常性损益的净利润下降幅度略高于归属于母公司股东的净利润</t>
  </si>
  <si>
    <t>1.安慕希酸奶，金典常温白奶；</t>
  </si>
  <si>
    <t>1.持续主营的发展，大概增速为2倍的GPD;2.最近两个季度负增长）。但2020Q2单季度营收22%利润70%恢复中。高周转率和用杠杆2.3左右</t>
  </si>
  <si>
    <t>1.公司以植脂末(又称奶精，佳禾市占率20%，龙头，客户蜜雪冰城，沪上阿姨），咖啡（增速快），植物基(燕麦奶)为主打产品。研报估计，咖啡和植物基增速在50%左右</t>
  </si>
  <si>
    <t>1.最主要为B端客户，即奶茶连锁店，大客户占比约40%，看能否也突破C端客户。2.牛乳会成为植脂末的替代品。</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</si>
</sst>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宋体"/>
      <family val="2"/>
      <charset val="134"/>
      <scheme val="minor"/>
    </font>
    <font>
      <sz val="9"/>
      <name val="宋体"/>
      <family val="2"/>
      <charset val="134"/>
      <scheme val="minor"/>
    </font>
    <font>
      <b/>
      <sz val="11"/>
      <color theme="1"/>
      <name val="宋体"/>
      <family val="3"/>
      <charset val="134"/>
      <scheme val="minor"/>
    </font>
    <font>
      <sz val="9"/>
      <color theme="1"/>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sz val="9"/>
      <color rgb="FFFF0000"/>
      <name val="宋体"/>
      <family val="3"/>
      <charset val="134"/>
      <scheme val="minor"/>
    </font>
    <font>
      <b/>
      <sz val="9"/>
      <color rgb="FFFF0000"/>
      <name val="宋体"/>
      <family val="3"/>
      <charset val="134"/>
      <scheme val="minor"/>
    </font>
    <font>
      <sz val="9"/>
      <name val="宋体"/>
      <family val="3"/>
      <charset val="134"/>
      <scheme val="minor"/>
    </font>
    <font>
      <sz val="9"/>
      <color theme="1"/>
      <name val="宋体"/>
      <family val="2"/>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17">
    <xf numFmtId="0" fontId="0" fillId="0" borderId="0" xfId="0">
      <alignment vertical="center"/>
    </xf>
    <xf numFmtId="0" fontId="0" fillId="0" borderId="0" xfId="0" applyFill="1">
      <alignment vertical="center"/>
    </xf>
    <xf numFmtId="0" fontId="2" fillId="0" borderId="0" xfId="0" applyFont="1">
      <alignment vertical="center"/>
    </xf>
    <xf numFmtId="0" fontId="0" fillId="2" borderId="0" xfId="0" applyFill="1">
      <alignment vertical="center"/>
    </xf>
    <xf numFmtId="10" fontId="0" fillId="0" borderId="0" xfId="0" applyNumberFormat="1">
      <alignment vertical="center"/>
    </xf>
    <xf numFmtId="0" fontId="3" fillId="0" borderId="0" xfId="0" applyFont="1" applyAlignment="1">
      <alignment vertical="center" wrapText="1"/>
    </xf>
    <xf numFmtId="9" fontId="0" fillId="0" borderId="0" xfId="0" applyNumberFormat="1">
      <alignment vertical="center"/>
    </xf>
    <xf numFmtId="0" fontId="0" fillId="4" borderId="0" xfId="0" applyFill="1">
      <alignment vertical="center"/>
    </xf>
    <xf numFmtId="0" fontId="0" fillId="5" borderId="0" xfId="0" applyFill="1">
      <alignment vertical="center"/>
    </xf>
    <xf numFmtId="0" fontId="5" fillId="0" borderId="0" xfId="0" applyFont="1">
      <alignment vertical="center"/>
    </xf>
    <xf numFmtId="0" fontId="4" fillId="0" borderId="0" xfId="0" applyFont="1">
      <alignment vertical="center"/>
    </xf>
    <xf numFmtId="0" fontId="5" fillId="0" borderId="0" xfId="0" applyFont="1" applyFill="1">
      <alignment vertical="center"/>
    </xf>
    <xf numFmtId="14" fontId="0" fillId="0" borderId="0" xfId="0" applyNumberFormat="1">
      <alignment vertical="center"/>
    </xf>
    <xf numFmtId="0" fontId="0" fillId="0" borderId="0" xfId="0" applyNumberFormat="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0" fontId="10" fillId="0" borderId="0" xfId="0" applyFont="1" applyAlignment="1">
      <alignment vertical="center" wrapText="1"/>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139700</xdr:colOff>
          <xdr:row>0</xdr:row>
          <xdr:rowOff>50800</xdr:rowOff>
        </xdr:from>
        <xdr:to>
          <xdr:col>147</xdr:col>
          <xdr:colOff>1352550</xdr:colOff>
          <xdr:row>0</xdr:row>
          <xdr:rowOff>361950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EP46"/>
  <sheetViews>
    <sheetView tabSelected="1" zoomScale="85" zoomScaleNormal="85" workbookViewId="0">
      <pane xSplit="5" ySplit="1" topLeftCell="F2" activePane="bottomRight" state="frozen"/>
      <selection pane="topRight" activeCell="F1" sqref="F1"/>
      <selection pane="bottomLeft" activeCell="A2" sqref="A2"/>
      <selection pane="bottomRight" activeCell="A43" sqref="A43:C43"/>
    </sheetView>
  </sheetViews>
  <sheetFormatPr defaultRowHeight="14" x14ac:dyDescent="0.25"/>
  <cols>
    <col min="1" max="1" width="37.36328125" customWidth="1"/>
    <col min="2" max="2" width="40.36328125" customWidth="1"/>
    <col min="3" max="3" width="44.36328125" customWidth="1"/>
    <col min="9" max="9" width="11" customWidth="1"/>
    <col min="16" max="16" width="13.90625" customWidth="1"/>
    <col min="19" max="19" width="12.7265625" customWidth="1"/>
    <col min="148" max="148" width="26.08984375" customWidth="1"/>
  </cols>
  <sheetData>
    <row r="1" spans="1:146" s="2" customFormat="1" ht="41.5" customHeight="1" x14ac:dyDescent="0.25">
      <c r="A1" s="14" t="s">
        <v>21</v>
      </c>
      <c r="B1" s="15" t="s">
        <v>22</v>
      </c>
      <c r="C1" s="14" t="s">
        <v>23</v>
      </c>
      <c r="D1" t="s">
        <v>24</v>
      </c>
      <c r="E1" t="s">
        <v>325</v>
      </c>
      <c r="F1" t="s">
        <v>3</v>
      </c>
      <c r="G1" t="s">
        <v>383</v>
      </c>
      <c r="H1" t="s">
        <v>384</v>
      </c>
      <c r="I1" t="s">
        <v>25</v>
      </c>
      <c r="J1" t="s">
        <v>26</v>
      </c>
      <c r="K1" t="s">
        <v>4</v>
      </c>
      <c r="L1" t="s">
        <v>27</v>
      </c>
      <c r="M1" t="s">
        <v>28</v>
      </c>
      <c r="N1" t="s">
        <v>29</v>
      </c>
      <c r="O1" t="s">
        <v>30</v>
      </c>
      <c r="P1" t="s">
        <v>385</v>
      </c>
      <c r="Q1" t="s">
        <v>386</v>
      </c>
      <c r="R1" t="s">
        <v>326</v>
      </c>
      <c r="S1" t="s">
        <v>31</v>
      </c>
      <c r="T1" t="s">
        <v>387</v>
      </c>
      <c r="U1" t="s">
        <v>291</v>
      </c>
      <c r="V1" t="s">
        <v>32</v>
      </c>
      <c r="W1" t="s">
        <v>388</v>
      </c>
      <c r="X1" t="s">
        <v>389</v>
      </c>
      <c r="Y1" t="s">
        <v>390</v>
      </c>
      <c r="Z1" t="s">
        <v>391</v>
      </c>
      <c r="AA1" t="s">
        <v>392</v>
      </c>
      <c r="AB1" t="s">
        <v>393</v>
      </c>
      <c r="AC1" t="s">
        <v>394</v>
      </c>
      <c r="AD1" t="s">
        <v>395</v>
      </c>
      <c r="AE1" t="s">
        <v>33</v>
      </c>
      <c r="AF1" t="s">
        <v>34</v>
      </c>
      <c r="AG1" t="s">
        <v>396</v>
      </c>
      <c r="AH1" t="s">
        <v>397</v>
      </c>
      <c r="AI1" t="s">
        <v>398</v>
      </c>
      <c r="AJ1" t="s">
        <v>35</v>
      </c>
      <c r="AK1" t="s">
        <v>399</v>
      </c>
      <c r="AL1" t="s">
        <v>131</v>
      </c>
      <c r="AM1" t="s">
        <v>400</v>
      </c>
      <c r="AN1" t="s">
        <v>401</v>
      </c>
      <c r="AO1" t="s">
        <v>402</v>
      </c>
      <c r="AP1" t="s">
        <v>403</v>
      </c>
      <c r="AQ1" t="s">
        <v>404</v>
      </c>
      <c r="AR1" t="s">
        <v>405</v>
      </c>
      <c r="AS1" t="s">
        <v>406</v>
      </c>
      <c r="AT1" t="s">
        <v>407</v>
      </c>
      <c r="AU1" t="s">
        <v>408</v>
      </c>
      <c r="AV1" t="s">
        <v>409</v>
      </c>
      <c r="AW1" t="s">
        <v>410</v>
      </c>
      <c r="AX1" t="s">
        <v>411</v>
      </c>
      <c r="AY1" t="s">
        <v>412</v>
      </c>
      <c r="AZ1" t="s">
        <v>132</v>
      </c>
      <c r="BA1" t="s">
        <v>133</v>
      </c>
      <c r="BB1" t="s">
        <v>134</v>
      </c>
      <c r="BC1" t="s">
        <v>413</v>
      </c>
      <c r="BD1" t="s">
        <v>292</v>
      </c>
      <c r="BE1" t="s">
        <v>135</v>
      </c>
      <c r="BF1" t="s">
        <v>136</v>
      </c>
      <c r="BG1" t="s">
        <v>137</v>
      </c>
      <c r="BH1" t="s">
        <v>414</v>
      </c>
      <c r="BI1" t="s">
        <v>415</v>
      </c>
      <c r="BJ1" t="s">
        <v>416</v>
      </c>
      <c r="BK1" t="s">
        <v>417</v>
      </c>
      <c r="BL1" t="s">
        <v>418</v>
      </c>
      <c r="BM1" t="s">
        <v>419</v>
      </c>
      <c r="BN1" t="s">
        <v>420</v>
      </c>
      <c r="BO1" t="s">
        <v>327</v>
      </c>
      <c r="BP1" t="s">
        <v>293</v>
      </c>
      <c r="BQ1" t="s">
        <v>421</v>
      </c>
      <c r="BR1" t="s">
        <v>328</v>
      </c>
      <c r="BS1" t="s">
        <v>294</v>
      </c>
      <c r="BT1" t="s">
        <v>422</v>
      </c>
      <c r="BU1" t="s">
        <v>344</v>
      </c>
      <c r="BV1" t="s">
        <v>423</v>
      </c>
      <c r="BW1" t="s">
        <v>424</v>
      </c>
      <c r="BX1" t="s">
        <v>279</v>
      </c>
      <c r="BY1" t="s">
        <v>425</v>
      </c>
      <c r="BZ1" t="s">
        <v>426</v>
      </c>
      <c r="CA1" t="s">
        <v>280</v>
      </c>
      <c r="CB1" t="s">
        <v>427</v>
      </c>
      <c r="CC1" t="s">
        <v>428</v>
      </c>
      <c r="CD1" t="s">
        <v>429</v>
      </c>
      <c r="CE1" t="s">
        <v>430</v>
      </c>
      <c r="CF1" s="1" t="s">
        <v>329</v>
      </c>
      <c r="CG1" s="1" t="s">
        <v>330</v>
      </c>
      <c r="CH1" s="1" t="s">
        <v>266</v>
      </c>
      <c r="CI1" s="1" t="s">
        <v>267</v>
      </c>
      <c r="CJ1" s="1" t="s">
        <v>268</v>
      </c>
      <c r="CK1" s="1" t="s">
        <v>269</v>
      </c>
      <c r="CL1" s="1" t="s">
        <v>270</v>
      </c>
      <c r="CM1" s="1" t="s">
        <v>271</v>
      </c>
      <c r="CN1" s="1" t="s">
        <v>272</v>
      </c>
      <c r="CO1" s="1" t="s">
        <v>273</v>
      </c>
      <c r="CP1" s="1" t="s">
        <v>274</v>
      </c>
      <c r="CQ1" s="1" t="s">
        <v>275</v>
      </c>
      <c r="CR1" s="1" t="s">
        <v>451</v>
      </c>
      <c r="CS1" s="1" t="s">
        <v>431</v>
      </c>
      <c r="CT1" s="1" t="s">
        <v>432</v>
      </c>
      <c r="CU1" s="1" t="s">
        <v>452</v>
      </c>
      <c r="CV1" s="1" t="s">
        <v>433</v>
      </c>
      <c r="CW1" s="1" t="s">
        <v>434</v>
      </c>
      <c r="CX1">
        <v>1</v>
      </c>
      <c r="CY1" t="s">
        <v>435</v>
      </c>
      <c r="CZ1" t="s">
        <v>436</v>
      </c>
      <c r="DA1">
        <v>3</v>
      </c>
      <c r="DB1" t="s">
        <v>331</v>
      </c>
      <c r="DC1" t="s">
        <v>437</v>
      </c>
      <c r="DD1">
        <v>6</v>
      </c>
      <c r="DE1" t="s">
        <v>453</v>
      </c>
      <c r="DF1" t="s">
        <v>353</v>
      </c>
      <c r="DG1">
        <v>10</v>
      </c>
      <c r="DH1" t="s">
        <v>438</v>
      </c>
      <c r="DI1" t="s">
        <v>357</v>
      </c>
      <c r="DJ1">
        <v>20</v>
      </c>
      <c r="DK1" t="s">
        <v>439</v>
      </c>
      <c r="DL1" t="s">
        <v>276</v>
      </c>
      <c r="DM1" t="s">
        <v>277</v>
      </c>
      <c r="DN1" s="3" t="s">
        <v>278</v>
      </c>
      <c r="DO1" t="s">
        <v>440</v>
      </c>
      <c r="DP1" t="s">
        <v>441</v>
      </c>
      <c r="DQ1" s="11" t="s">
        <v>454</v>
      </c>
      <c r="DR1" s="1" t="s">
        <v>442</v>
      </c>
      <c r="DS1" s="1" t="s">
        <v>354</v>
      </c>
      <c r="DT1" t="s">
        <v>443</v>
      </c>
      <c r="DU1" t="s">
        <v>455</v>
      </c>
      <c r="DV1" t="s">
        <v>444</v>
      </c>
      <c r="DW1" t="s">
        <v>332</v>
      </c>
      <c r="DX1" t="s">
        <v>358</v>
      </c>
      <c r="DY1" t="s">
        <v>445</v>
      </c>
      <c r="DZ1" t="s">
        <v>446</v>
      </c>
      <c r="EA1" t="s">
        <v>333</v>
      </c>
      <c r="EB1" t="s">
        <v>359</v>
      </c>
      <c r="EC1" t="s">
        <v>456</v>
      </c>
      <c r="ED1" t="s">
        <v>447</v>
      </c>
      <c r="EE1" t="s">
        <v>334</v>
      </c>
      <c r="EF1" t="s">
        <v>360</v>
      </c>
      <c r="EG1" t="s">
        <v>448</v>
      </c>
      <c r="EH1" t="s">
        <v>355</v>
      </c>
      <c r="EI1" t="s">
        <v>449</v>
      </c>
      <c r="EJ1"/>
      <c r="EK1" s="12" t="s">
        <v>457</v>
      </c>
      <c r="EL1" t="s">
        <v>356</v>
      </c>
      <c r="EM1" t="s">
        <v>458</v>
      </c>
      <c r="EN1" t="s">
        <v>450</v>
      </c>
      <c r="EO1" t="s">
        <v>459</v>
      </c>
      <c r="EP1" t="s">
        <v>460</v>
      </c>
    </row>
    <row r="2" spans="1:146" ht="144" hidden="1" x14ac:dyDescent="0.25">
      <c r="A2" s="5"/>
      <c r="B2" s="5"/>
      <c r="C2" s="5" t="str">
        <f>"公司主营业务为啤酒、饮用水、啤酒原料、茶饮料、酵母、饲料等产品的制造和销售。公司啤酒的生产及销售业务占公司主营业务的90%以上。公司主要产品为啤酒、桶装饮用水、瓶装饮用水、九龙斋酸梅汤、燕京纳豆、饲料。"&amp;CHAR(10)&amp;Basic_Fundamental_Information_Constructure(F2)&amp;CHAR(10)&amp;Basic_Fundamental_Information_Concatenate("啤酒 64.48亿 93.35% 38.01亿 91.56% 96.05% 41.05%
其他行业 4.59亿 6.65% 3.51亿 8.44% 3.95% 23.70%")</f>
        <v>公司主营业务为啤酒、饮用水、啤酒原料、茶饮料、酵母、饲料等产品的制造和销售。公司啤酒的生产及销售业务占公司主营业务的90%以上。公司主要产品为啤酒、桶装饮用水、瓶装饮用水、九龙斋酸梅汤、燕京纳豆、饲料。
市值239.57584亿, 利润1.03亿; PE35.09; 平均PE111.43; 平均PEG9.84, PB1.72; ROIC3.6967%; ROE3.7533%; 股利率1.1765%; 毛利37.8367%; 净利4.2067%; 上一年度营收增-72.83%, 利润增-70.74%; 当季营收增-52.96%, 利润增-80.04%; 过往5年营收增-11.32%, 利润增2.56%
Income profile:
啤酒 64.48亿 93.35% 38.01亿 91.56% 96.05% 41.05%
其他行业 4.59亿 6.65% 3.51亿 8.44% 3.95% 23.70%</v>
      </c>
      <c r="D2" t="s">
        <v>38</v>
      </c>
      <c r="E2" t="s">
        <v>14</v>
      </c>
      <c r="F2">
        <v>8.5</v>
      </c>
      <c r="G2">
        <v>0.24</v>
      </c>
      <c r="H2" t="s">
        <v>640</v>
      </c>
      <c r="I2">
        <v>23957584000</v>
      </c>
      <c r="J2">
        <v>35.090000000000003</v>
      </c>
      <c r="K2">
        <v>1.72</v>
      </c>
      <c r="L2" t="s">
        <v>36</v>
      </c>
      <c r="M2" t="s">
        <v>641</v>
      </c>
      <c r="N2" t="s">
        <v>642</v>
      </c>
      <c r="O2" t="s">
        <v>643</v>
      </c>
      <c r="P2">
        <v>1.72</v>
      </c>
      <c r="Q2" t="s">
        <v>643</v>
      </c>
      <c r="R2">
        <v>102590179</v>
      </c>
      <c r="S2" s="4">
        <v>0.58899999999999997</v>
      </c>
      <c r="T2" t="s">
        <v>372</v>
      </c>
      <c r="U2">
        <v>2509560100</v>
      </c>
      <c r="V2">
        <v>2818539300</v>
      </c>
      <c r="W2">
        <v>1.56</v>
      </c>
      <c r="X2">
        <v>0.16</v>
      </c>
      <c r="Y2">
        <v>3.61</v>
      </c>
      <c r="Z2" t="s">
        <v>644</v>
      </c>
      <c r="AA2" t="s">
        <v>645</v>
      </c>
      <c r="AB2" t="s">
        <v>79</v>
      </c>
      <c r="AC2" t="s">
        <v>463</v>
      </c>
      <c r="AD2" t="s">
        <v>20</v>
      </c>
      <c r="AE2">
        <v>-33978541</v>
      </c>
      <c r="AF2" t="s">
        <v>46</v>
      </c>
      <c r="AG2" t="s">
        <v>646</v>
      </c>
      <c r="AH2" t="s">
        <v>647</v>
      </c>
      <c r="AI2" t="s">
        <v>648</v>
      </c>
      <c r="AJ2" t="s">
        <v>649</v>
      </c>
      <c r="AK2" t="s">
        <v>650</v>
      </c>
      <c r="AL2" t="s">
        <v>651</v>
      </c>
      <c r="AM2" t="s">
        <v>20</v>
      </c>
      <c r="AN2" t="s">
        <v>543</v>
      </c>
      <c r="AO2" t="s">
        <v>652</v>
      </c>
      <c r="AP2" t="s">
        <v>20</v>
      </c>
      <c r="AQ2" t="s">
        <v>653</v>
      </c>
      <c r="AR2" t="s">
        <v>20</v>
      </c>
      <c r="AS2" t="s">
        <v>654</v>
      </c>
      <c r="AT2" t="s">
        <v>20</v>
      </c>
      <c r="AU2" t="s">
        <v>538</v>
      </c>
      <c r="AV2" t="s">
        <v>655</v>
      </c>
      <c r="AW2" t="s">
        <v>656</v>
      </c>
      <c r="AX2" t="s">
        <v>461</v>
      </c>
      <c r="AY2" t="s">
        <v>295</v>
      </c>
      <c r="AZ2" t="s">
        <v>138</v>
      </c>
      <c r="BA2" t="s">
        <v>39</v>
      </c>
      <c r="BB2" t="s">
        <v>140</v>
      </c>
      <c r="BC2" t="s">
        <v>462</v>
      </c>
      <c r="BD2" t="s">
        <v>296</v>
      </c>
      <c r="BE2" t="s">
        <v>65</v>
      </c>
      <c r="BF2" t="s">
        <v>40</v>
      </c>
      <c r="BG2" t="s">
        <v>141</v>
      </c>
      <c r="BH2" t="s">
        <v>657</v>
      </c>
      <c r="BI2" t="s">
        <v>529</v>
      </c>
      <c r="BJ2" t="s">
        <v>461</v>
      </c>
      <c r="BK2" t="s">
        <v>658</v>
      </c>
      <c r="BL2" t="s">
        <v>530</v>
      </c>
      <c r="BM2" t="s">
        <v>462</v>
      </c>
      <c r="BN2">
        <v>6.58</v>
      </c>
      <c r="BO2">
        <v>2.98</v>
      </c>
      <c r="BP2">
        <v>1.53</v>
      </c>
      <c r="BQ2">
        <v>6.93</v>
      </c>
      <c r="BR2">
        <v>2.62</v>
      </c>
      <c r="BS2">
        <v>1.71</v>
      </c>
      <c r="BT2" t="s">
        <v>368</v>
      </c>
      <c r="BU2" t="s">
        <v>345</v>
      </c>
      <c r="BV2">
        <v>37.630000000000003</v>
      </c>
      <c r="BW2">
        <v>37.44</v>
      </c>
      <c r="BX2">
        <v>38.44</v>
      </c>
      <c r="BY2">
        <v>6.01</v>
      </c>
      <c r="BZ2">
        <v>4.16</v>
      </c>
      <c r="CA2">
        <v>2.4500000000000002</v>
      </c>
      <c r="CB2">
        <v>-3.74</v>
      </c>
      <c r="CC2">
        <v>-12.91</v>
      </c>
      <c r="CD2" t="s">
        <v>659</v>
      </c>
      <c r="CE2" t="s">
        <v>660</v>
      </c>
      <c r="CF2" s="7">
        <v>-0.52957377049180332</v>
      </c>
      <c r="CG2" s="8">
        <v>-0.80040821206225676</v>
      </c>
      <c r="CH2" s="7">
        <v>-0.72829872369766235</v>
      </c>
      <c r="CI2" s="7">
        <v>0.10375386476516724</v>
      </c>
      <c r="CJ2" s="7">
        <v>9.452781081199646E-2</v>
      </c>
      <c r="CK2" s="7">
        <v>-4.7087568789720535E-2</v>
      </c>
      <c r="CL2" s="7">
        <v>1.0930910706520081E-2</v>
      </c>
      <c r="CM2" s="8">
        <v>-0.70738637447357178</v>
      </c>
      <c r="CN2" s="8">
        <v>0.54385966062545776</v>
      </c>
      <c r="CO2" s="8">
        <v>0.15736040472984314</v>
      </c>
      <c r="CP2" s="8">
        <v>-0.14347825944423676</v>
      </c>
      <c r="CQ2" s="8">
        <v>0.27777779102325439</v>
      </c>
      <c r="CR2">
        <v>111.43062325581396</v>
      </c>
      <c r="CS2">
        <v>9.8406745169231886</v>
      </c>
      <c r="CT2">
        <v>1.1764705882352942</v>
      </c>
      <c r="CU2" s="7">
        <v>-0.11323474124073982</v>
      </c>
      <c r="CV2" s="8">
        <v>2.5626644492149353E-2</v>
      </c>
      <c r="CW2">
        <v>0.06</v>
      </c>
      <c r="CX2">
        <v>150.52994174757282</v>
      </c>
      <c r="CY2" t="s">
        <v>661</v>
      </c>
      <c r="CZ2">
        <v>-0.11323474124073982</v>
      </c>
      <c r="DA2">
        <v>50.176647249190935</v>
      </c>
      <c r="DB2" t="s">
        <v>662</v>
      </c>
      <c r="DC2">
        <v>-0.10757300417870282</v>
      </c>
      <c r="DD2">
        <v>25.088323624595468</v>
      </c>
      <c r="DE2" t="s">
        <v>663</v>
      </c>
      <c r="DF2">
        <v>-9.9646572291851046E-2</v>
      </c>
      <c r="DG2">
        <v>15.052994174757282</v>
      </c>
      <c r="DH2" t="s">
        <v>664</v>
      </c>
      <c r="DI2">
        <v>-9.0587792992591856E-2</v>
      </c>
      <c r="DJ2">
        <v>7.5264970873786412</v>
      </c>
      <c r="DK2" t="s">
        <v>665</v>
      </c>
      <c r="DL2">
        <v>-7.9264318868517869E-2</v>
      </c>
      <c r="DM2">
        <v>103000000</v>
      </c>
      <c r="DN2">
        <v>-0.11323474124073982</v>
      </c>
      <c r="DO2">
        <v>15504584000</v>
      </c>
      <c r="DP2">
        <v>5434915000</v>
      </c>
      <c r="DQ2">
        <v>252</v>
      </c>
      <c r="DR2">
        <v>-0.41633902925106347</v>
      </c>
      <c r="DS2">
        <v>-0.82603485655440612</v>
      </c>
      <c r="DT2" s="9">
        <v>-0.77333333333333332</v>
      </c>
      <c r="DU2">
        <v>-0.39000000000000007</v>
      </c>
      <c r="DV2">
        <v>-1.1633333333333333</v>
      </c>
      <c r="DW2">
        <v>-8.2896979085979865</v>
      </c>
      <c r="DX2">
        <v>0.32722198198198199</v>
      </c>
      <c r="DY2">
        <v>-8.0426499002798302</v>
      </c>
      <c r="DZ2">
        <v>712</v>
      </c>
      <c r="EA2">
        <v>-8.0367072918651061</v>
      </c>
      <c r="EB2">
        <v>8</v>
      </c>
      <c r="EC2">
        <v>2.898955497977268E-2</v>
      </c>
      <c r="ED2">
        <v>0.19691050609086772</v>
      </c>
      <c r="EE2" s="10">
        <v>-1.0131000000000001</v>
      </c>
      <c r="EF2">
        <v>-1.0035099999999999</v>
      </c>
      <c r="EG2">
        <v>18.147221981981982</v>
      </c>
      <c r="EH2" t="s">
        <v>464</v>
      </c>
      <c r="EI2">
        <v>0</v>
      </c>
      <c r="EJ2">
        <v>1</v>
      </c>
      <c r="EK2" s="12">
        <v>45470</v>
      </c>
      <c r="EL2" s="13">
        <v>-0.22</v>
      </c>
      <c r="EM2" s="13">
        <v>-1.66</v>
      </c>
      <c r="EN2" s="13">
        <v>1.24</v>
      </c>
      <c r="EO2" s="13">
        <v>0.55000000000000004</v>
      </c>
      <c r="EP2" s="13">
        <v>-1.66</v>
      </c>
    </row>
    <row r="3" spans="1:146" ht="96" hidden="1" x14ac:dyDescent="0.25">
      <c r="A3" s="5"/>
      <c r="B3" s="5"/>
      <c r="C3" s="5" t="str">
        <f>""&amp;CHAR(10)&amp;Basic_Fundamental_Information_Constructure(F3)&amp;CHAR(10)&amp;Basic_Fundamental_Information_Concatenate("")</f>
        <v xml:space="preserve">
市值18.410343亿, 利润77.79万; PE534.5; 平均PE-13.19; 平均PEG-.89, PB16.38; ROIC3.62%; ROE-33.92%; 股利率0%; 毛利22.8933%; 净利-10.27%; 上一年度营收增-67.63%, 利润增100.99%; 当季营收增-38.99%, 利润增101.95%; 过往5年营收增-14.86%, 利润增-80.6%
Income profile:
</v>
      </c>
      <c r="D3" t="s">
        <v>41</v>
      </c>
      <c r="E3" t="s">
        <v>42</v>
      </c>
      <c r="F3">
        <v>6.98</v>
      </c>
      <c r="G3">
        <v>4.96</v>
      </c>
      <c r="H3" t="s">
        <v>666</v>
      </c>
      <c r="I3">
        <v>1841034300</v>
      </c>
      <c r="J3">
        <v>534.5</v>
      </c>
      <c r="K3">
        <v>16.38</v>
      </c>
      <c r="L3" t="s">
        <v>36</v>
      </c>
      <c r="M3" t="s">
        <v>667</v>
      </c>
      <c r="N3" t="s">
        <v>668</v>
      </c>
      <c r="O3" t="s">
        <v>669</v>
      </c>
      <c r="P3">
        <v>-0.7</v>
      </c>
      <c r="Q3" t="s">
        <v>669</v>
      </c>
      <c r="R3">
        <v>777863</v>
      </c>
      <c r="S3" s="4">
        <v>1.0269999999999999</v>
      </c>
      <c r="T3" t="s">
        <v>670</v>
      </c>
      <c r="U3">
        <v>263758490</v>
      </c>
      <c r="V3">
        <v>263758490</v>
      </c>
      <c r="W3">
        <v>1.66</v>
      </c>
      <c r="X3">
        <v>0.1</v>
      </c>
      <c r="Y3">
        <v>10.61</v>
      </c>
      <c r="Z3" t="s">
        <v>671</v>
      </c>
      <c r="AA3" t="s">
        <v>672</v>
      </c>
      <c r="AB3" t="s">
        <v>673</v>
      </c>
      <c r="AC3" t="s">
        <v>674</v>
      </c>
      <c r="AD3" t="s">
        <v>20</v>
      </c>
      <c r="AE3">
        <v>-118366</v>
      </c>
      <c r="AF3" t="s">
        <v>675</v>
      </c>
      <c r="AG3" t="s">
        <v>676</v>
      </c>
      <c r="AH3" t="s">
        <v>677</v>
      </c>
      <c r="AI3" t="s">
        <v>678</v>
      </c>
      <c r="AJ3" t="s">
        <v>679</v>
      </c>
      <c r="AK3" t="s">
        <v>20</v>
      </c>
      <c r="AL3" t="s">
        <v>680</v>
      </c>
      <c r="AM3" t="s">
        <v>20</v>
      </c>
      <c r="AN3" t="s">
        <v>681</v>
      </c>
      <c r="AO3" t="s">
        <v>20</v>
      </c>
      <c r="AP3" t="s">
        <v>20</v>
      </c>
      <c r="AQ3" t="s">
        <v>682</v>
      </c>
      <c r="AR3" t="s">
        <v>683</v>
      </c>
      <c r="AS3" t="s">
        <v>623</v>
      </c>
      <c r="AT3" t="s">
        <v>47</v>
      </c>
      <c r="AU3" t="s">
        <v>684</v>
      </c>
      <c r="AV3" t="s">
        <v>685</v>
      </c>
      <c r="AW3" t="s">
        <v>20</v>
      </c>
      <c r="AX3" t="s">
        <v>196</v>
      </c>
      <c r="AY3" t="s">
        <v>297</v>
      </c>
      <c r="AZ3" t="s">
        <v>142</v>
      </c>
      <c r="BA3" t="s">
        <v>43</v>
      </c>
      <c r="BB3" t="s">
        <v>143</v>
      </c>
      <c r="BC3" t="s">
        <v>686</v>
      </c>
      <c r="BD3" t="s">
        <v>687</v>
      </c>
      <c r="BE3" t="s">
        <v>688</v>
      </c>
      <c r="BF3" t="s">
        <v>689</v>
      </c>
      <c r="BG3" t="s">
        <v>690</v>
      </c>
      <c r="BH3" t="s">
        <v>587</v>
      </c>
      <c r="BI3" t="s">
        <v>130</v>
      </c>
      <c r="BJ3" t="s">
        <v>196</v>
      </c>
      <c r="BK3" t="s">
        <v>691</v>
      </c>
      <c r="BL3" t="s">
        <v>692</v>
      </c>
      <c r="BM3" t="s">
        <v>686</v>
      </c>
      <c r="BN3" t="s">
        <v>20</v>
      </c>
      <c r="BO3" t="s">
        <v>20</v>
      </c>
      <c r="BP3">
        <v>3.62</v>
      </c>
      <c r="BQ3" t="s">
        <v>20</v>
      </c>
      <c r="BR3" t="s">
        <v>20</v>
      </c>
      <c r="BS3">
        <v>-33.92</v>
      </c>
      <c r="BT3" t="s">
        <v>361</v>
      </c>
      <c r="BU3" t="s">
        <v>345</v>
      </c>
      <c r="BV3">
        <v>30.09</v>
      </c>
      <c r="BW3">
        <v>14.98</v>
      </c>
      <c r="BX3">
        <v>23.61</v>
      </c>
      <c r="BY3">
        <v>5.07</v>
      </c>
      <c r="BZ3">
        <v>-36.979999999999997</v>
      </c>
      <c r="CA3">
        <v>1.1000000000000001</v>
      </c>
      <c r="CB3">
        <v>5.28</v>
      </c>
      <c r="CC3">
        <v>16.14</v>
      </c>
      <c r="CD3" t="s">
        <v>693</v>
      </c>
      <c r="CE3" t="s">
        <v>694</v>
      </c>
      <c r="CF3" s="7">
        <v>-0.38994897959183672</v>
      </c>
      <c r="CG3" s="8">
        <v>1.0194691592247007</v>
      </c>
      <c r="CH3" s="7">
        <v>-0.6762545108795166</v>
      </c>
      <c r="CI3" s="7">
        <v>-0.29516538977622986</v>
      </c>
      <c r="CJ3" s="7">
        <v>-2.9629629105329514E-2</v>
      </c>
      <c r="CK3" s="7">
        <v>0.27358490228652954</v>
      </c>
      <c r="CL3" s="7">
        <v>-1.5479875728487968E-2</v>
      </c>
      <c r="CM3" s="8">
        <v>1.0098551511764526</v>
      </c>
      <c r="CN3" s="8">
        <v>-3.7739536762237549</v>
      </c>
      <c r="CO3" s="8">
        <v>-2.4994015693664551</v>
      </c>
      <c r="CP3" s="8">
        <v>1.0329170227050781</v>
      </c>
      <c r="CQ3" s="8">
        <v>0.20047733187675476</v>
      </c>
      <c r="CR3">
        <v>-13.186939228276396</v>
      </c>
      <c r="CS3">
        <v>-0.88747808022160068</v>
      </c>
      <c r="CT3">
        <v>0</v>
      </c>
      <c r="CU3" s="7">
        <v>-0.14858890064060687</v>
      </c>
      <c r="CV3" s="8">
        <v>-0.80602114796638491</v>
      </c>
      <c r="CW3">
        <v>0.06</v>
      </c>
      <c r="CX3">
        <v>2130.1379354672836</v>
      </c>
      <c r="CY3" t="s">
        <v>695</v>
      </c>
      <c r="CZ3">
        <v>-0.14858890064060687</v>
      </c>
      <c r="DA3">
        <v>710.04597848909452</v>
      </c>
      <c r="DB3" t="s">
        <v>696</v>
      </c>
      <c r="DC3">
        <v>-0.14115945560857651</v>
      </c>
      <c r="DD3">
        <v>355.02298924454726</v>
      </c>
      <c r="DE3" t="s">
        <v>697</v>
      </c>
      <c r="DF3">
        <v>-0.13075823256373403</v>
      </c>
      <c r="DG3">
        <v>213.01379354672838</v>
      </c>
      <c r="DH3" t="s">
        <v>698</v>
      </c>
      <c r="DI3">
        <v>-0.1188711205124855</v>
      </c>
      <c r="DJ3">
        <v>106.50689677336419</v>
      </c>
      <c r="DK3" t="s">
        <v>699</v>
      </c>
      <c r="DL3">
        <v>-0.10401223044842481</v>
      </c>
      <c r="DM3">
        <v>777900.00000000012</v>
      </c>
      <c r="DN3">
        <v>-0.14858890064060687</v>
      </c>
      <c r="DO3">
        <v>1657034300</v>
      </c>
      <c r="DP3">
        <v>242009420</v>
      </c>
      <c r="DQ3">
        <v>262</v>
      </c>
      <c r="DR3">
        <v>-0.24136007895122985</v>
      </c>
      <c r="DS3">
        <v>1.8254903071910857</v>
      </c>
      <c r="DT3" s="9">
        <v>-0.80666666666666664</v>
      </c>
      <c r="DU3">
        <v>-0.55000000000000016</v>
      </c>
      <c r="DV3">
        <v>-1.3566666666666669</v>
      </c>
      <c r="DW3">
        <v>8.3271375464684017</v>
      </c>
      <c r="DX3">
        <v>0.54750033834077749</v>
      </c>
      <c r="DY3">
        <v>8.0351673969293245</v>
      </c>
      <c r="DZ3">
        <v>3971</v>
      </c>
      <c r="EA3">
        <v>8.0078386820161445</v>
      </c>
      <c r="EB3">
        <v>8</v>
      </c>
      <c r="EC3">
        <v>3.0115428701460951E-2</v>
      </c>
      <c r="ED3">
        <v>0.28014264109564774</v>
      </c>
      <c r="EE3" s="10">
        <v>3.0022000000000002</v>
      </c>
      <c r="EF3">
        <v>3.0112999999999999</v>
      </c>
      <c r="EG3">
        <v>44.107500338340778</v>
      </c>
      <c r="EH3" t="s">
        <v>700</v>
      </c>
      <c r="EI3">
        <v>0</v>
      </c>
      <c r="EJ3">
        <v>0</v>
      </c>
      <c r="EK3" s="12">
        <v>45470</v>
      </c>
      <c r="EL3" s="13">
        <v>1.21</v>
      </c>
      <c r="EM3" s="13">
        <v>2.69</v>
      </c>
      <c r="EN3" s="13">
        <v>-1.6</v>
      </c>
      <c r="EO3" s="13">
        <v>-2.96</v>
      </c>
      <c r="EP3" s="13">
        <v>0.91</v>
      </c>
    </row>
    <row r="4" spans="1:146" ht="156" hidden="1" x14ac:dyDescent="0.25">
      <c r="A4" s="5"/>
      <c r="B4" s="5"/>
      <c r="C4" s="5" t="str">
        <f>"公司的主营业务为植物蛋白饮料的生产和销售。公司主要产品为露露杏仁露。是全国最大的杏仁露生产企业,年生产能力30余万吨,市场占有率90%.继露露杏仁露以后,又开发出纯净水、矿泉水、果汁饮料、米奥渴酸奶系列等八大门类,40多个品种规格的优质系列产品"&amp;CHAR(10)&amp;Basic_Fundamental_Information_Constructure(F4)&amp;CHAR(10)&amp;Basic_Fundamental_Information_Concatenate("杏仁露系列 14.35亿 98.15% 98.86% 45.34%
果仁核桃系列 2529.96万 1.73% 1.08% 28.13%")</f>
        <v>公司的主营业务为植物蛋白饮料的生产和销售。公司主要产品为露露杏仁露。是全国最大的杏仁露生产企业,年生产能力30余万吨,市场占有率90%.继露露杏仁露以后,又开发出纯净水、矿泉水、果汁饮料、米奥渴酸奶系列等八大门类,40多个品种规格的优质系列产品
市值81.257175亿, 利润2.46亿; PE12.59; 平均PE17.87; 平均PEG3.83, PB2.44; ROIC19.9467%; ROE21.47%; 股利率5.1813%; 毛利44.3667%; 净利22.1533%; 上一年度营收增-54.42%, 利润增-59.14%; 当季营收增-17.87%, 利润增-21.8%; 过往5年营收增-4.67%, 利润增-3.22%
Income profile:
杏仁露系列 14.35亿 98.15% 98.86% 45.34%
果仁核桃系列 2529.96万 1.73% 1.08% 28.13%</v>
      </c>
      <c r="D4" t="s">
        <v>50</v>
      </c>
      <c r="E4" t="s">
        <v>17</v>
      </c>
      <c r="F4">
        <v>7.72</v>
      </c>
      <c r="G4">
        <v>0.13</v>
      </c>
      <c r="H4" t="s">
        <v>701</v>
      </c>
      <c r="I4">
        <v>8125717500</v>
      </c>
      <c r="J4">
        <v>12.59</v>
      </c>
      <c r="K4">
        <v>2.44</v>
      </c>
      <c r="L4" t="s">
        <v>36</v>
      </c>
      <c r="M4" t="s">
        <v>702</v>
      </c>
      <c r="N4" t="s">
        <v>703</v>
      </c>
      <c r="O4" t="s">
        <v>509</v>
      </c>
      <c r="P4">
        <v>7.53</v>
      </c>
      <c r="Q4" t="s">
        <v>509</v>
      </c>
      <c r="R4">
        <v>246330520</v>
      </c>
      <c r="S4" s="4">
        <v>3.04E-2</v>
      </c>
      <c r="T4" t="s">
        <v>522</v>
      </c>
      <c r="U4">
        <v>1039527570</v>
      </c>
      <c r="V4">
        <v>1052554070</v>
      </c>
      <c r="W4">
        <v>1.22</v>
      </c>
      <c r="X4">
        <v>0.3</v>
      </c>
      <c r="Y4">
        <v>20.079999999999998</v>
      </c>
      <c r="Z4" t="s">
        <v>217</v>
      </c>
      <c r="AA4" t="s">
        <v>704</v>
      </c>
      <c r="AB4" t="s">
        <v>705</v>
      </c>
      <c r="AC4" t="s">
        <v>706</v>
      </c>
      <c r="AD4" t="s">
        <v>20</v>
      </c>
      <c r="AE4">
        <v>-14512902</v>
      </c>
      <c r="AF4" t="s">
        <v>46</v>
      </c>
      <c r="AG4" t="s">
        <v>707</v>
      </c>
      <c r="AH4" t="s">
        <v>708</v>
      </c>
      <c r="AI4" t="s">
        <v>709</v>
      </c>
      <c r="AJ4" t="s">
        <v>710</v>
      </c>
      <c r="AK4" t="s">
        <v>20</v>
      </c>
      <c r="AL4" t="s">
        <v>711</v>
      </c>
      <c r="AM4" t="s">
        <v>20</v>
      </c>
      <c r="AN4" t="s">
        <v>232</v>
      </c>
      <c r="AO4" t="s">
        <v>20</v>
      </c>
      <c r="AP4" t="s">
        <v>20</v>
      </c>
      <c r="AQ4" t="s">
        <v>170</v>
      </c>
      <c r="AR4" t="s">
        <v>20</v>
      </c>
      <c r="AS4" t="s">
        <v>123</v>
      </c>
      <c r="AT4" t="s">
        <v>20</v>
      </c>
      <c r="AU4" t="s">
        <v>712</v>
      </c>
      <c r="AV4" t="s">
        <v>713</v>
      </c>
      <c r="AW4" t="s">
        <v>714</v>
      </c>
      <c r="AX4" t="s">
        <v>467</v>
      </c>
      <c r="AY4" t="s">
        <v>298</v>
      </c>
      <c r="AZ4" t="s">
        <v>150</v>
      </c>
      <c r="BA4" t="s">
        <v>51</v>
      </c>
      <c r="BB4" t="s">
        <v>152</v>
      </c>
      <c r="BC4" t="s">
        <v>255</v>
      </c>
      <c r="BD4" t="s">
        <v>299</v>
      </c>
      <c r="BE4" t="s">
        <v>151</v>
      </c>
      <c r="BF4" t="s">
        <v>52</v>
      </c>
      <c r="BG4" t="s">
        <v>49</v>
      </c>
      <c r="BH4" t="s">
        <v>715</v>
      </c>
      <c r="BI4" t="s">
        <v>536</v>
      </c>
      <c r="BJ4" t="s">
        <v>467</v>
      </c>
      <c r="BK4" t="s">
        <v>716</v>
      </c>
      <c r="BL4" t="s">
        <v>66</v>
      </c>
      <c r="BM4" t="s">
        <v>255</v>
      </c>
      <c r="BN4">
        <v>14.57</v>
      </c>
      <c r="BO4">
        <v>22.06</v>
      </c>
      <c r="BP4">
        <v>23.21</v>
      </c>
      <c r="BQ4">
        <v>14.88</v>
      </c>
      <c r="BR4">
        <v>23.7</v>
      </c>
      <c r="BS4">
        <v>25.83</v>
      </c>
      <c r="BT4" t="s">
        <v>717</v>
      </c>
      <c r="BU4" t="s">
        <v>347</v>
      </c>
      <c r="BV4">
        <v>41.46</v>
      </c>
      <c r="BW4">
        <v>44.85</v>
      </c>
      <c r="BX4">
        <v>46.79</v>
      </c>
      <c r="BY4">
        <v>21.6</v>
      </c>
      <c r="BZ4">
        <v>22.35</v>
      </c>
      <c r="CA4">
        <v>22.51</v>
      </c>
      <c r="CB4">
        <v>-1.78</v>
      </c>
      <c r="CC4">
        <v>-11.26</v>
      </c>
      <c r="CD4" t="s">
        <v>718</v>
      </c>
      <c r="CE4" t="s">
        <v>578</v>
      </c>
      <c r="CF4" s="7">
        <v>-0.17871485943775101</v>
      </c>
      <c r="CG4" s="8">
        <v>-0.2179983492063492</v>
      </c>
      <c r="CH4" s="7">
        <v>-0.54420500993728638</v>
      </c>
      <c r="CI4" s="7">
        <v>6.6561013460159302E-2</v>
      </c>
      <c r="CJ4" s="7">
        <v>0.35626012086868286</v>
      </c>
      <c r="CK4" s="7">
        <v>-0.17472289502620697</v>
      </c>
      <c r="CL4" s="7">
        <v>6.2676750123500824E-2</v>
      </c>
      <c r="CM4" s="8">
        <v>-0.5913621187210083</v>
      </c>
      <c r="CN4" s="8">
        <v>5.6140352040529251E-2</v>
      </c>
      <c r="CO4" s="8">
        <v>0.3194444477558136</v>
      </c>
      <c r="CP4" s="8">
        <v>-7.0967741310596466E-2</v>
      </c>
      <c r="CQ4" s="8">
        <v>0.12590798735618591</v>
      </c>
      <c r="CR4">
        <v>17.871812683284457</v>
      </c>
      <c r="CS4">
        <v>3.8280878877853599</v>
      </c>
      <c r="CT4">
        <v>5.1813471502590671</v>
      </c>
      <c r="CU4" s="7">
        <v>-4.6686004102230075E-2</v>
      </c>
      <c r="CV4" s="8">
        <v>-3.2167414575815199E-2</v>
      </c>
      <c r="CW4">
        <v>0.06</v>
      </c>
      <c r="CX4">
        <v>23.628932926829268</v>
      </c>
      <c r="CY4" t="s">
        <v>719</v>
      </c>
      <c r="CZ4">
        <v>-4.6686004102230075E-2</v>
      </c>
      <c r="DA4">
        <v>7.8763109756097558</v>
      </c>
      <c r="DB4" t="s">
        <v>720</v>
      </c>
      <c r="DC4">
        <v>-4.4351703897118566E-2</v>
      </c>
      <c r="DD4">
        <v>3.9381554878048779</v>
      </c>
      <c r="DE4" t="s">
        <v>721</v>
      </c>
      <c r="DF4">
        <v>-4.1083683609962465E-2</v>
      </c>
      <c r="DG4">
        <v>2.3628932926829269</v>
      </c>
      <c r="DH4" t="s">
        <v>722</v>
      </c>
      <c r="DI4">
        <v>-3.7348803281784061E-2</v>
      </c>
      <c r="DJ4">
        <v>1.1814466463414635</v>
      </c>
      <c r="DK4" t="s">
        <v>723</v>
      </c>
      <c r="DL4">
        <v>-3.2680202871561051E-2</v>
      </c>
      <c r="DM4">
        <v>246000000</v>
      </c>
      <c r="DN4">
        <v>-4.6686004102230075E-2</v>
      </c>
      <c r="DO4">
        <v>5812717500</v>
      </c>
      <c r="DP4">
        <v>2683502500</v>
      </c>
      <c r="DQ4">
        <v>322</v>
      </c>
      <c r="DR4">
        <v>-0.13202885533552094</v>
      </c>
      <c r="DS4">
        <v>-0.18583093463053399</v>
      </c>
      <c r="DT4" s="9">
        <v>-0.59</v>
      </c>
      <c r="DU4">
        <v>-0.25333333333333335</v>
      </c>
      <c r="DV4">
        <v>-0.84333333333333327</v>
      </c>
      <c r="DW4">
        <v>-2.1126</v>
      </c>
      <c r="DX4">
        <v>0.34898148148148056</v>
      </c>
      <c r="DY4">
        <v>-2.0212793148148149</v>
      </c>
      <c r="DZ4">
        <v>2409</v>
      </c>
      <c r="EA4">
        <v>-2.0112476378306878</v>
      </c>
      <c r="EB4">
        <v>2</v>
      </c>
      <c r="EC4">
        <v>4.362958759923849E-2</v>
      </c>
      <c r="ED4">
        <v>0.23086699954521103</v>
      </c>
      <c r="EE4" s="10">
        <v>-1.1067100000000001</v>
      </c>
      <c r="EF4">
        <v>-1.12401</v>
      </c>
      <c r="EG4">
        <v>16.188981481481481</v>
      </c>
      <c r="EH4" t="s">
        <v>464</v>
      </c>
      <c r="EI4">
        <v>0</v>
      </c>
      <c r="EJ4">
        <v>0</v>
      </c>
      <c r="EK4" s="12">
        <v>45470</v>
      </c>
      <c r="EL4" s="13">
        <v>-1.24</v>
      </c>
      <c r="EM4" s="13">
        <v>-0.76</v>
      </c>
      <c r="EN4" s="13">
        <v>1.9</v>
      </c>
      <c r="EO4" s="13">
        <v>0.75</v>
      </c>
      <c r="EP4" s="13">
        <v>-1.73</v>
      </c>
    </row>
    <row r="5" spans="1:146" ht="156" hidden="1" x14ac:dyDescent="0.25">
      <c r="A5" s="5" t="s">
        <v>381</v>
      </c>
      <c r="B5" s="5"/>
      <c r="C5" s="5" t="str">
        <f>"公司从事的主要业务为生产经营葡萄酒和白兰地，从而为国内外消费者提供健康、时尚的酒类饮品。经过过去10余年的快速发展，公司已居国内葡萄酒行业龙头地位，这在未来的竞争中，具有一定的比较优势。"&amp;CHAR(10)&amp;Basic_Fundamental_Information_Constructure(F5)&amp;CHAR(10)&amp;Basic_Fundamental_Information_Concatenate("葡萄酒 13.97亿 71.51% 71.89% 58.23%
白兰地 5.12亿 26.22% 25.41% 56.14%
旅游业务 2984.78万 1.53% 1.78% 67.47%")</f>
        <v>公司从事的主要业务为生产经营葡萄酒和白兰地，从而为国内外消费者提供健康、时尚的酒类饮品。经过过去10余年的快速发展，公司已居国内葡萄酒行业龙头地位，这在未来的竞争中，具有一定的比较优势。
市值148.90288亿, 利润1.59亿; PE35.91; 平均PE23.87; 平均PEG1.22, PB1.35; ROIC3.93%; ROE4.3%; 股利率2.3441%; 毛利58.2267%; 净利11.9433%; 上一年度营收增-79.31%, 利润增-62.94%; 当季营收增-58.77%, 利润增-56.33%; 过往5年营收增-19.63%, 利润增-24.06%
Income profile:
葡萄酒 13.97亿 71.51% 71.89% 58.23%
白兰地 5.12亿 26.22% 25.41% 56.14%
旅游业务 2984.78万 1.53% 1.78% 67.47%</v>
      </c>
      <c r="D5" t="s">
        <v>55</v>
      </c>
      <c r="E5" t="s">
        <v>15</v>
      </c>
      <c r="F5">
        <v>21.51</v>
      </c>
      <c r="G5">
        <v>0.42</v>
      </c>
      <c r="H5" t="s">
        <v>724</v>
      </c>
      <c r="I5">
        <v>14890288000</v>
      </c>
      <c r="J5">
        <v>35.909999999999997</v>
      </c>
      <c r="K5">
        <v>1.35</v>
      </c>
      <c r="L5" t="s">
        <v>36</v>
      </c>
      <c r="M5" t="s">
        <v>725</v>
      </c>
      <c r="N5" t="s">
        <v>726</v>
      </c>
      <c r="O5" t="s">
        <v>618</v>
      </c>
      <c r="P5">
        <v>-28.34</v>
      </c>
      <c r="Q5" t="s">
        <v>618</v>
      </c>
      <c r="R5">
        <v>158946800</v>
      </c>
      <c r="S5" s="4">
        <v>-0.42570000000000002</v>
      </c>
      <c r="T5" t="s">
        <v>479</v>
      </c>
      <c r="U5">
        <v>453460800</v>
      </c>
      <c r="V5">
        <v>692249560</v>
      </c>
      <c r="W5">
        <v>1.1599999999999999</v>
      </c>
      <c r="X5">
        <v>0.06</v>
      </c>
      <c r="Y5">
        <v>19.78</v>
      </c>
      <c r="Z5" t="s">
        <v>727</v>
      </c>
      <c r="AA5" t="s">
        <v>245</v>
      </c>
      <c r="AB5" t="s">
        <v>186</v>
      </c>
      <c r="AC5" t="s">
        <v>728</v>
      </c>
      <c r="AD5" t="s">
        <v>20</v>
      </c>
      <c r="AE5">
        <v>4818490</v>
      </c>
      <c r="AF5" t="s">
        <v>729</v>
      </c>
      <c r="AG5" t="s">
        <v>730</v>
      </c>
      <c r="AH5" t="s">
        <v>731</v>
      </c>
      <c r="AI5" t="s">
        <v>732</v>
      </c>
      <c r="AJ5" t="s">
        <v>733</v>
      </c>
      <c r="AK5" t="s">
        <v>544</v>
      </c>
      <c r="AL5" t="s">
        <v>734</v>
      </c>
      <c r="AM5" t="s">
        <v>20</v>
      </c>
      <c r="AN5" t="s">
        <v>735</v>
      </c>
      <c r="AO5" t="s">
        <v>551</v>
      </c>
      <c r="AP5" t="s">
        <v>20</v>
      </c>
      <c r="AQ5" t="s">
        <v>571</v>
      </c>
      <c r="AR5" t="s">
        <v>20</v>
      </c>
      <c r="AS5" t="s">
        <v>736</v>
      </c>
      <c r="AT5" t="s">
        <v>737</v>
      </c>
      <c r="AU5" t="s">
        <v>738</v>
      </c>
      <c r="AV5" t="s">
        <v>85</v>
      </c>
      <c r="AW5" t="s">
        <v>739</v>
      </c>
      <c r="AX5" t="s">
        <v>470</v>
      </c>
      <c r="AY5" t="s">
        <v>300</v>
      </c>
      <c r="AZ5" t="s">
        <v>155</v>
      </c>
      <c r="BA5" t="s">
        <v>157</v>
      </c>
      <c r="BB5" t="s">
        <v>158</v>
      </c>
      <c r="BC5" t="s">
        <v>365</v>
      </c>
      <c r="BD5" t="s">
        <v>107</v>
      </c>
      <c r="BE5" t="s">
        <v>156</v>
      </c>
      <c r="BF5" t="s">
        <v>159</v>
      </c>
      <c r="BG5" t="s">
        <v>160</v>
      </c>
      <c r="BH5" t="s">
        <v>740</v>
      </c>
      <c r="BI5" t="s">
        <v>469</v>
      </c>
      <c r="BJ5" t="s">
        <v>470</v>
      </c>
      <c r="BK5" t="s">
        <v>609</v>
      </c>
      <c r="BL5" t="s">
        <v>342</v>
      </c>
      <c r="BM5" t="s">
        <v>365</v>
      </c>
      <c r="BN5">
        <v>3.64</v>
      </c>
      <c r="BO5">
        <v>3.74</v>
      </c>
      <c r="BP5">
        <v>4.41</v>
      </c>
      <c r="BQ5">
        <v>3.97</v>
      </c>
      <c r="BR5">
        <v>4.09</v>
      </c>
      <c r="BS5">
        <v>4.84</v>
      </c>
      <c r="BT5" t="s">
        <v>741</v>
      </c>
      <c r="BU5" t="s">
        <v>348</v>
      </c>
      <c r="BV5">
        <v>59.25</v>
      </c>
      <c r="BW5">
        <v>57.11</v>
      </c>
      <c r="BX5">
        <v>58.32</v>
      </c>
      <c r="BY5">
        <v>12</v>
      </c>
      <c r="BZ5">
        <v>11.01</v>
      </c>
      <c r="CA5">
        <v>12.82</v>
      </c>
      <c r="CB5">
        <v>0.75</v>
      </c>
      <c r="CC5">
        <v>-9.57</v>
      </c>
      <c r="CD5" t="s">
        <v>742</v>
      </c>
      <c r="CE5" t="s">
        <v>743</v>
      </c>
      <c r="CF5" s="7">
        <v>-0.58769700050838847</v>
      </c>
      <c r="CG5" s="8">
        <v>-0.56333296703296698</v>
      </c>
      <c r="CH5" s="7">
        <v>-0.79305946826934814</v>
      </c>
      <c r="CI5" s="7">
        <v>-8.6010303348302841E-3</v>
      </c>
      <c r="CJ5" s="7">
        <v>0.16435931622982025</v>
      </c>
      <c r="CK5" s="7">
        <v>-0.33090260624885559</v>
      </c>
      <c r="CL5" s="7">
        <v>-1.3224476017057896E-2</v>
      </c>
      <c r="CM5" s="8">
        <v>-0.62937062978744507</v>
      </c>
      <c r="CN5" s="8">
        <v>-0.14200000464916229</v>
      </c>
      <c r="CO5" s="8">
        <v>6.1571124941110611E-2</v>
      </c>
      <c r="CP5" s="8">
        <v>-0.58720415830612183</v>
      </c>
      <c r="CQ5" s="8">
        <v>9.3959666788578033E-2</v>
      </c>
      <c r="CR5">
        <v>23.869016297087896</v>
      </c>
      <c r="CS5">
        <v>1.2160346892921785</v>
      </c>
      <c r="CT5">
        <v>2.3441218038121803</v>
      </c>
      <c r="CU5" s="7">
        <v>-0.19628565292805433</v>
      </c>
      <c r="CV5" s="8">
        <v>-0.24060880020260811</v>
      </c>
      <c r="CW5">
        <v>0.06</v>
      </c>
      <c r="CX5">
        <v>38.284830188679244</v>
      </c>
      <c r="CY5" t="s">
        <v>744</v>
      </c>
      <c r="CZ5">
        <v>-0.19628565292805433</v>
      </c>
      <c r="DA5">
        <v>12.761610062893082</v>
      </c>
      <c r="DB5" t="s">
        <v>745</v>
      </c>
      <c r="DC5">
        <v>-0.18647137028165162</v>
      </c>
      <c r="DD5">
        <v>6.380805031446541</v>
      </c>
      <c r="DE5" t="s">
        <v>746</v>
      </c>
      <c r="DF5">
        <v>-0.1727313745766878</v>
      </c>
      <c r="DG5">
        <v>3.8284830188679244</v>
      </c>
      <c r="DH5" t="s">
        <v>747</v>
      </c>
      <c r="DI5">
        <v>-0.15702852234244347</v>
      </c>
      <c r="DJ5">
        <v>1.9142415094339622</v>
      </c>
      <c r="DK5" t="s">
        <v>748</v>
      </c>
      <c r="DL5">
        <v>-0.13739995704963803</v>
      </c>
      <c r="DM5">
        <v>159000000</v>
      </c>
      <c r="DN5">
        <v>-0.19628565292805433</v>
      </c>
      <c r="DO5">
        <v>6087288000</v>
      </c>
      <c r="DP5">
        <v>4075994400</v>
      </c>
      <c r="DQ5">
        <v>334</v>
      </c>
      <c r="DR5">
        <v>-0.39141134758033413</v>
      </c>
      <c r="DS5">
        <v>-0.32272416683035887</v>
      </c>
      <c r="DT5" s="9">
        <v>-0.75666666666666671</v>
      </c>
      <c r="DU5">
        <v>-0.67</v>
      </c>
      <c r="DV5">
        <v>-1.4266666666666667</v>
      </c>
      <c r="DW5">
        <v>-2.0956999999999999</v>
      </c>
      <c r="DX5">
        <v>0.31996272486629734</v>
      </c>
      <c r="DY5">
        <v>-2.0133944327697044</v>
      </c>
      <c r="DZ5">
        <v>3028</v>
      </c>
      <c r="EA5">
        <v>-2.0054573794572454</v>
      </c>
      <c r="EB5">
        <v>2</v>
      </c>
      <c r="EC5">
        <v>7.4853063106316746E-3</v>
      </c>
      <c r="ED5">
        <v>5.3480712938264632E-2</v>
      </c>
      <c r="EE5" s="10">
        <v>1.0928100000000001</v>
      </c>
      <c r="EF5">
        <v>1.10711</v>
      </c>
      <c r="EG5">
        <v>18.139962724866297</v>
      </c>
      <c r="EH5" t="s">
        <v>473</v>
      </c>
      <c r="EI5">
        <v>0</v>
      </c>
      <c r="EJ5">
        <v>0</v>
      </c>
      <c r="EK5" s="12">
        <v>45470</v>
      </c>
      <c r="EL5" s="13">
        <v>1.06</v>
      </c>
      <c r="EM5" s="13">
        <v>-2.27</v>
      </c>
      <c r="EN5" s="13">
        <v>0.42</v>
      </c>
      <c r="EO5" s="13">
        <v>0.56000000000000005</v>
      </c>
      <c r="EP5" s="13">
        <v>-1.43</v>
      </c>
    </row>
    <row r="6" spans="1:146" ht="144" hidden="1" x14ac:dyDescent="0.25">
      <c r="A6" s="5"/>
      <c r="B6" s="5"/>
      <c r="C6" s="5" t="str">
        <f>"公司是西北地区最大的啤酒及啤酒原料生产企业。公司主营业务为啤酒、麦芽、饮料的生产与销售，主要产品包括“黄河”、“青海湖”系列啤酒和“黄河”系列麦芽等。"&amp;CHAR(10)&amp;Basic_Fundamental_Information_Constructure(F6)&amp;CHAR(10)&amp;Basic_Fundamental_Information_Concatenate("啤酒销售 1.06亿 73.87% 75.66% 22.39%
饮料销售 1604.26万 11.13% 5.25% 10.31%
麦芽销售 1562.50万 10.84% 9.72% 19.59%")</f>
        <v>公司是西北地区最大的啤酒及啤酒原料生产企业。公司主营业务为啤酒、麦芽、饮料的生产与销售，主要产品包括“黄河”、“青海湖”系列啤酒和“黄河”系列麦芽等。
市值11.2759962亿, 利润-86.66万; PE; 平均PE-72.9; 平均PEG-2.68, PB1.93; ROIC.81%; ROE.0533%; 股利率0%; 毛利16.5033%; 净利-10.4533%; 上一年度营收增-79.75%, 利润增97.04%; 当季营收增-59.2%, 利润增-104.94%; 过往5年营收增-27.23%, 利润增-32.01%
Income profile:
啤酒销售 1.06亿 73.87% 75.66% 22.39%
饮料销售 1604.26万 11.13% 5.25% 10.31%
麦芽销售 1562.50万 10.84% 9.72% 19.59%</v>
      </c>
      <c r="D6" t="s">
        <v>56</v>
      </c>
      <c r="E6" t="s">
        <v>19</v>
      </c>
      <c r="F6">
        <v>6.07</v>
      </c>
      <c r="G6">
        <v>0.5</v>
      </c>
      <c r="H6" t="s">
        <v>749</v>
      </c>
      <c r="I6">
        <v>1127599620</v>
      </c>
      <c r="K6">
        <v>1.93</v>
      </c>
      <c r="L6" t="s">
        <v>36</v>
      </c>
      <c r="M6" t="s">
        <v>750</v>
      </c>
      <c r="N6" t="s">
        <v>751</v>
      </c>
      <c r="O6" t="s">
        <v>752</v>
      </c>
      <c r="P6">
        <v>-26.86</v>
      </c>
      <c r="Q6" t="s">
        <v>752</v>
      </c>
      <c r="R6">
        <v>-866577</v>
      </c>
      <c r="S6" s="6">
        <v>0.70920000000000005</v>
      </c>
      <c r="T6" t="s">
        <v>753</v>
      </c>
      <c r="U6">
        <v>185754220</v>
      </c>
      <c r="V6">
        <v>185766000</v>
      </c>
      <c r="W6">
        <v>1.17</v>
      </c>
      <c r="X6">
        <v>0.05</v>
      </c>
      <c r="Y6">
        <v>-15.37</v>
      </c>
      <c r="Z6" t="s">
        <v>754</v>
      </c>
      <c r="AA6" t="s">
        <v>755</v>
      </c>
      <c r="AB6" t="s">
        <v>756</v>
      </c>
      <c r="AC6" t="s">
        <v>757</v>
      </c>
      <c r="AD6" t="s">
        <v>20</v>
      </c>
      <c r="AE6">
        <v>-1264314</v>
      </c>
      <c r="AF6" t="s">
        <v>758</v>
      </c>
      <c r="AG6" t="s">
        <v>759</v>
      </c>
      <c r="AH6" t="s">
        <v>760</v>
      </c>
      <c r="AI6" t="s">
        <v>761</v>
      </c>
      <c r="AJ6" t="s">
        <v>762</v>
      </c>
      <c r="AK6" t="s">
        <v>20</v>
      </c>
      <c r="AL6" t="s">
        <v>763</v>
      </c>
      <c r="AM6" t="s">
        <v>20</v>
      </c>
      <c r="AN6" t="s">
        <v>764</v>
      </c>
      <c r="AO6" t="s">
        <v>340</v>
      </c>
      <c r="AP6" t="s">
        <v>765</v>
      </c>
      <c r="AQ6" t="s">
        <v>766</v>
      </c>
      <c r="AR6" t="s">
        <v>20</v>
      </c>
      <c r="AS6" t="s">
        <v>377</v>
      </c>
      <c r="AT6" t="s">
        <v>20</v>
      </c>
      <c r="AU6" t="s">
        <v>767</v>
      </c>
      <c r="AV6" t="s">
        <v>768</v>
      </c>
      <c r="AW6" t="s">
        <v>769</v>
      </c>
      <c r="AX6" t="s">
        <v>240</v>
      </c>
      <c r="AY6" t="s">
        <v>288</v>
      </c>
      <c r="AZ6" t="s">
        <v>86</v>
      </c>
      <c r="BA6" t="s">
        <v>57</v>
      </c>
      <c r="BB6" t="s">
        <v>162</v>
      </c>
      <c r="BC6" t="s">
        <v>472</v>
      </c>
      <c r="BD6" t="s">
        <v>301</v>
      </c>
      <c r="BE6" t="s">
        <v>161</v>
      </c>
      <c r="BF6" t="s">
        <v>58</v>
      </c>
      <c r="BG6" t="s">
        <v>164</v>
      </c>
      <c r="BH6" t="s">
        <v>590</v>
      </c>
      <c r="BI6" t="s">
        <v>487</v>
      </c>
      <c r="BJ6" t="s">
        <v>240</v>
      </c>
      <c r="BK6" t="s">
        <v>770</v>
      </c>
      <c r="BL6" t="s">
        <v>542</v>
      </c>
      <c r="BM6" t="s">
        <v>472</v>
      </c>
      <c r="BN6">
        <v>0.93</v>
      </c>
      <c r="BO6" t="s">
        <v>20</v>
      </c>
      <c r="BP6">
        <v>0.69</v>
      </c>
      <c r="BQ6">
        <v>1.73</v>
      </c>
      <c r="BR6">
        <v>-4.46</v>
      </c>
      <c r="BS6">
        <v>2.89</v>
      </c>
      <c r="BT6" t="s">
        <v>361</v>
      </c>
      <c r="BU6" t="s">
        <v>345</v>
      </c>
      <c r="BV6">
        <v>15.16</v>
      </c>
      <c r="BW6">
        <v>15.76</v>
      </c>
      <c r="BX6">
        <v>18.59</v>
      </c>
      <c r="BY6">
        <v>-23.03</v>
      </c>
      <c r="BZ6">
        <v>-16.02</v>
      </c>
      <c r="CA6">
        <v>7.69</v>
      </c>
      <c r="CB6">
        <v>-0.65</v>
      </c>
      <c r="CC6">
        <v>-23.07</v>
      </c>
      <c r="CD6" t="s">
        <v>771</v>
      </c>
      <c r="CE6" t="s">
        <v>80</v>
      </c>
      <c r="CF6" s="7">
        <v>-0.59199015151515155</v>
      </c>
      <c r="CG6" s="8">
        <v>-1.0494173096333808</v>
      </c>
      <c r="CH6" s="7">
        <v>-0.79752898216247559</v>
      </c>
      <c r="CI6" s="7">
        <v>-0.13915857672691345</v>
      </c>
      <c r="CJ6" s="7">
        <v>6.5146577544510365E-3</v>
      </c>
      <c r="CK6" s="7">
        <v>-0.32527473568916321</v>
      </c>
      <c r="CL6" s="7">
        <v>-0.10609037429094315</v>
      </c>
      <c r="CM6" s="8">
        <v>0.97036677598953247</v>
      </c>
      <c r="CN6" s="8">
        <v>-2.529996395111084</v>
      </c>
      <c r="CO6" s="8">
        <v>1.6395667791366577</v>
      </c>
      <c r="CP6" s="8">
        <v>-2.9117915630340576</v>
      </c>
      <c r="CQ6" s="8">
        <v>1.2314169406890869</v>
      </c>
      <c r="CR6">
        <v>-72.904597917903629</v>
      </c>
      <c r="CS6">
        <v>-2.6772883798593958</v>
      </c>
      <c r="CT6">
        <v>0</v>
      </c>
      <c r="CU6" s="7">
        <v>-0.27230760222300887</v>
      </c>
      <c r="CV6" s="8">
        <v>-0.3200874924659729</v>
      </c>
      <c r="CW6">
        <v>0.06</v>
      </c>
      <c r="CX6" t="e">
        <v>#VALUE!</v>
      </c>
      <c r="CY6" t="s">
        <v>336</v>
      </c>
      <c r="CZ6">
        <v>-0.27230760222300887</v>
      </c>
      <c r="DA6" t="e">
        <v>#VALUE!</v>
      </c>
      <c r="DB6" t="s">
        <v>337</v>
      </c>
      <c r="DC6">
        <v>-0.25869222211185844</v>
      </c>
      <c r="DD6" t="e">
        <v>#VALUE!</v>
      </c>
      <c r="DE6" t="s">
        <v>337</v>
      </c>
      <c r="DF6">
        <v>-0.23963068995624781</v>
      </c>
      <c r="DG6" t="e">
        <v>#VALUE!</v>
      </c>
      <c r="DH6" t="s">
        <v>337</v>
      </c>
      <c r="DI6">
        <v>-0.21784608177840711</v>
      </c>
      <c r="DJ6" t="e">
        <v>#VALUE!</v>
      </c>
      <c r="DK6" t="s">
        <v>337</v>
      </c>
      <c r="DL6">
        <v>-0.19061532155610619</v>
      </c>
      <c r="DM6">
        <v>-866600</v>
      </c>
      <c r="DN6">
        <v>-0.27230760222300887</v>
      </c>
      <c r="DO6">
        <v>342599619.99999988</v>
      </c>
      <c r="DP6">
        <v>623752850</v>
      </c>
      <c r="DQ6">
        <v>378</v>
      </c>
      <c r="DR6">
        <v>-0.31968254929214268</v>
      </c>
      <c r="DS6">
        <v>-0.72932981716740786</v>
      </c>
      <c r="DT6" s="9">
        <v>-0.89</v>
      </c>
      <c r="DU6">
        <v>-1.8816666666666668</v>
      </c>
      <c r="DV6">
        <v>-2.7716666666666669</v>
      </c>
      <c r="DW6">
        <v>-3.0799583333333334</v>
      </c>
      <c r="DX6">
        <v>0.3445473333333342</v>
      </c>
      <c r="DY6">
        <v>-3.0091590138611113</v>
      </c>
      <c r="DZ6">
        <v>4424</v>
      </c>
      <c r="EA6">
        <v>-3.0012295662443682</v>
      </c>
      <c r="EB6">
        <v>3</v>
      </c>
      <c r="EC6">
        <v>9.2493244188925849E-2</v>
      </c>
      <c r="ED6">
        <v>0.80746745906139983</v>
      </c>
      <c r="EE6" s="10">
        <v>1.0289999999999999</v>
      </c>
      <c r="EF6">
        <v>1.0243</v>
      </c>
      <c r="EG6">
        <v>23.114547333333334</v>
      </c>
      <c r="EH6" t="s">
        <v>629</v>
      </c>
      <c r="EI6">
        <v>0</v>
      </c>
      <c r="EJ6">
        <v>0</v>
      </c>
      <c r="EK6" s="12">
        <v>45470</v>
      </c>
      <c r="EL6" s="13">
        <v>-2.54</v>
      </c>
      <c r="EM6" s="13">
        <v>-5.21</v>
      </c>
      <c r="EN6" s="13">
        <v>0.65</v>
      </c>
      <c r="EO6" s="13">
        <v>1.77</v>
      </c>
      <c r="EP6" s="13">
        <v>-0.47</v>
      </c>
    </row>
    <row r="7" spans="1:146" ht="96" x14ac:dyDescent="0.25">
      <c r="A7" s="16"/>
      <c r="B7" s="16"/>
      <c r="C7" s="16" t="str">
        <f>""&amp;CHAR(10)&amp;Basic_Fundamental_Information_Constructure(F7)&amp;CHAR(10)&amp;Basic_Fundamental_Information_Concatenate("")</f>
        <v xml:space="preserve">
市值28.83132亿, 利润2150.49万; PE24.99; 平均PE29.34; 平均PEG2.01, PB2.13; ROIC11.9767%; ROE14.0867%; 股利率1.5686%; 毛利36.4133%; 净利20.0467%; 上一年度营收增-80.88%, 利润增-80.63%; 当季营收增-60.65%, 利润增-65.52%; 过往5年营收增-14.6%, 利润增-15.13%
Income profile:
</v>
      </c>
      <c r="D7" t="s">
        <v>772</v>
      </c>
      <c r="E7" t="s">
        <v>773</v>
      </c>
      <c r="F7">
        <v>10.199999999999999</v>
      </c>
      <c r="G7">
        <v>0.89</v>
      </c>
      <c r="H7" t="s">
        <v>774</v>
      </c>
      <c r="I7">
        <v>2883132000</v>
      </c>
      <c r="J7">
        <v>24.99</v>
      </c>
      <c r="K7">
        <v>2.13</v>
      </c>
      <c r="L7" t="s">
        <v>36</v>
      </c>
      <c r="M7" t="s">
        <v>775</v>
      </c>
      <c r="N7" t="s">
        <v>776</v>
      </c>
      <c r="O7" t="s">
        <v>149</v>
      </c>
      <c r="P7" s="4">
        <v>-6.36</v>
      </c>
      <c r="Q7" t="s">
        <v>149</v>
      </c>
      <c r="R7">
        <v>21504922</v>
      </c>
      <c r="S7">
        <v>-1.9599999999999999E-2</v>
      </c>
      <c r="T7" t="s">
        <v>777</v>
      </c>
      <c r="U7">
        <v>77060000</v>
      </c>
      <c r="V7">
        <v>282660000</v>
      </c>
      <c r="W7">
        <v>1.04</v>
      </c>
      <c r="X7">
        <v>0.08</v>
      </c>
      <c r="Y7">
        <v>18.079999999999998</v>
      </c>
      <c r="Z7" t="s">
        <v>778</v>
      </c>
      <c r="AA7" t="s">
        <v>779</v>
      </c>
      <c r="AB7" t="s">
        <v>780</v>
      </c>
      <c r="AC7" t="s">
        <v>781</v>
      </c>
      <c r="AD7" t="s">
        <v>20</v>
      </c>
      <c r="AE7">
        <v>-4394427</v>
      </c>
      <c r="AF7" t="s">
        <v>46</v>
      </c>
      <c r="AG7" t="s">
        <v>782</v>
      </c>
      <c r="AH7" t="s">
        <v>783</v>
      </c>
      <c r="AI7" t="s">
        <v>784</v>
      </c>
      <c r="AJ7" t="s">
        <v>785</v>
      </c>
      <c r="AK7" t="s">
        <v>20</v>
      </c>
      <c r="AL7" t="s">
        <v>786</v>
      </c>
      <c r="AM7" t="s">
        <v>20</v>
      </c>
      <c r="AN7" t="s">
        <v>787</v>
      </c>
      <c r="AO7" t="s">
        <v>20</v>
      </c>
      <c r="AP7" t="s">
        <v>20</v>
      </c>
      <c r="AQ7" t="s">
        <v>788</v>
      </c>
      <c r="AR7" t="s">
        <v>20</v>
      </c>
      <c r="AS7" t="s">
        <v>789</v>
      </c>
      <c r="AT7" t="s">
        <v>20</v>
      </c>
      <c r="AU7" t="s">
        <v>790</v>
      </c>
      <c r="AV7" t="s">
        <v>791</v>
      </c>
      <c r="AW7" t="s">
        <v>20</v>
      </c>
      <c r="AX7" t="s">
        <v>299</v>
      </c>
      <c r="AY7" t="s">
        <v>792</v>
      </c>
      <c r="AZ7" t="s">
        <v>793</v>
      </c>
      <c r="BA7" t="s">
        <v>794</v>
      </c>
      <c r="BB7" t="s">
        <v>552</v>
      </c>
      <c r="BC7" t="s">
        <v>795</v>
      </c>
      <c r="BD7" t="s">
        <v>474</v>
      </c>
      <c r="BE7" t="s">
        <v>165</v>
      </c>
      <c r="BF7" t="s">
        <v>468</v>
      </c>
      <c r="BG7" t="s">
        <v>796</v>
      </c>
      <c r="BH7" t="s">
        <v>299</v>
      </c>
      <c r="BI7" t="s">
        <v>196</v>
      </c>
      <c r="BJ7" t="s">
        <v>299</v>
      </c>
      <c r="BK7" t="s">
        <v>637</v>
      </c>
      <c r="BL7" t="s">
        <v>797</v>
      </c>
      <c r="BM7" t="s">
        <v>795</v>
      </c>
      <c r="BN7">
        <v>6.11</v>
      </c>
      <c r="BO7">
        <v>10.01</v>
      </c>
      <c r="BP7">
        <v>19.809999999999999</v>
      </c>
      <c r="BQ7">
        <v>7.47</v>
      </c>
      <c r="BR7">
        <v>11.57</v>
      </c>
      <c r="BS7">
        <v>23.22</v>
      </c>
      <c r="BT7" t="s">
        <v>514</v>
      </c>
      <c r="BU7" t="s">
        <v>798</v>
      </c>
      <c r="BV7">
        <v>36.36</v>
      </c>
      <c r="BW7">
        <v>34.35</v>
      </c>
      <c r="BX7">
        <v>38.53</v>
      </c>
      <c r="BY7">
        <v>19.87</v>
      </c>
      <c r="BZ7">
        <v>19.02</v>
      </c>
      <c r="CA7">
        <v>21.25</v>
      </c>
      <c r="CB7">
        <v>-0.87</v>
      </c>
      <c r="CC7" s="7">
        <v>-7.44</v>
      </c>
      <c r="CD7" s="8" t="s">
        <v>799</v>
      </c>
      <c r="CE7" s="7" t="s">
        <v>800</v>
      </c>
      <c r="CF7" s="7">
        <v>-0.60649819494584833</v>
      </c>
      <c r="CG7" s="7">
        <v>-0.65517808781485853</v>
      </c>
      <c r="CH7" s="7">
        <v>-0.80877190828323364</v>
      </c>
      <c r="CI7" s="7">
        <v>-9.6671946346759796E-2</v>
      </c>
      <c r="CJ7" s="8">
        <v>0.20650096237659454</v>
      </c>
      <c r="CK7" s="8">
        <v>-3.6832410842180252E-2</v>
      </c>
      <c r="CL7" s="8">
        <v>5.5555556900799274E-3</v>
      </c>
      <c r="CM7" s="8">
        <v>-0.80626219511032104</v>
      </c>
      <c r="CN7" s="8">
        <v>-0.18382352590560913</v>
      </c>
      <c r="CO7">
        <v>0.29523810744285583</v>
      </c>
      <c r="CP7">
        <v>9.6153849735856056E-3</v>
      </c>
      <c r="CQ7">
        <v>-7.1428574621677399E-2</v>
      </c>
      <c r="CR7" s="7">
        <v>29.344611045641859</v>
      </c>
      <c r="CS7" s="8">
        <v>2.0093000189261159</v>
      </c>
      <c r="CT7">
        <v>1.5686274509803924</v>
      </c>
      <c r="CU7">
        <v>-0.14604394948109983</v>
      </c>
      <c r="CV7">
        <v>-0.15133216064423322</v>
      </c>
      <c r="CW7">
        <v>0.06</v>
      </c>
      <c r="CX7">
        <v>74.404456658714992</v>
      </c>
      <c r="CY7" t="s">
        <v>801</v>
      </c>
      <c r="CZ7">
        <v>-0.14604394948109983</v>
      </c>
      <c r="DA7">
        <v>24.801485552904996</v>
      </c>
      <c r="DB7" t="s">
        <v>802</v>
      </c>
      <c r="DC7">
        <v>-0.13874175200704483</v>
      </c>
      <c r="DD7">
        <v>12.400742776452498</v>
      </c>
      <c r="DE7" t="s">
        <v>803</v>
      </c>
      <c r="DF7">
        <v>-0.12851867554336785</v>
      </c>
      <c r="DG7">
        <v>7.4404456658714988</v>
      </c>
      <c r="DH7" t="s">
        <v>804</v>
      </c>
      <c r="DI7">
        <v>-0.11683515958487987</v>
      </c>
      <c r="DJ7">
        <v>3.7202228329357494</v>
      </c>
      <c r="DK7" t="s">
        <v>805</v>
      </c>
      <c r="DL7">
        <v>-0.10223076463676987</v>
      </c>
      <c r="DM7">
        <v>21504899.999999996</v>
      </c>
      <c r="DN7">
        <v>-0.14604394948109983</v>
      </c>
      <c r="DO7">
        <v>1600060400</v>
      </c>
      <c r="DP7">
        <v>977541400</v>
      </c>
      <c r="DQ7" s="9">
        <v>488</v>
      </c>
      <c r="DR7">
        <v>-0.4604542454647485</v>
      </c>
      <c r="DS7">
        <v>-0.50384592717062526</v>
      </c>
      <c r="DT7">
        <v>-0.64</v>
      </c>
      <c r="DU7">
        <v>-0.79</v>
      </c>
      <c r="DV7">
        <v>-1.4300000000000002</v>
      </c>
      <c r="DW7">
        <v>-2.0743999999999998</v>
      </c>
      <c r="DX7">
        <v>0.24389417520190093</v>
      </c>
      <c r="DY7">
        <v>-2.0092177266350215</v>
      </c>
      <c r="DZ7">
        <v>2506</v>
      </c>
      <c r="EA7">
        <v>-2.0046972524770248</v>
      </c>
      <c r="EB7" s="10">
        <v>2</v>
      </c>
      <c r="EC7" s="10">
        <v>2.4119082997240502E-2</v>
      </c>
      <c r="ED7">
        <v>0.19467487440741527</v>
      </c>
      <c r="EE7">
        <v>-2.0007999999999999</v>
      </c>
      <c r="EF7">
        <v>-2.0007999999999999</v>
      </c>
      <c r="EG7">
        <v>12.123894175201901</v>
      </c>
      <c r="EH7" s="12" t="s">
        <v>633</v>
      </c>
      <c r="EI7">
        <v>0</v>
      </c>
      <c r="EJ7">
        <v>0</v>
      </c>
      <c r="EK7">
        <v>45470</v>
      </c>
      <c r="EL7">
        <v>0.69</v>
      </c>
      <c r="EM7">
        <v>-2.75</v>
      </c>
      <c r="EN7" s="13">
        <v>4.74</v>
      </c>
      <c r="EO7" s="13">
        <v>0.39</v>
      </c>
      <c r="EP7" s="13">
        <v>0</v>
      </c>
    </row>
    <row r="8" spans="1:146" ht="192" x14ac:dyDescent="0.25">
      <c r="A8" s="16" t="s">
        <v>1946</v>
      </c>
      <c r="B8" s="16"/>
      <c r="C8" s="16" t="str">
        <f>"公司的主营业务为乳制品生产销售和信息业务。公司主要产品有低温奶、常温奶、信息服务、信息工程。公司品牌在中国西南片区享有盛名。"&amp;CHAR(10)&amp;Basic_Fundamental_Information_Constructure(F8)&amp;CHAR(10)&amp;Basic_Fundamental_Information_Concatenate("常温奶 12.78亿 44.20% 36.76% 14.58%
低温奶 10.11亿 34.98% 51.16% 25.64%
其他 2.77亿 9.60% 3.01% 5.51%
云通信 1.68亿 5.81% 4.97% 15.00%
其他饮料及食品 5655.43万 1.96% 0.43% 3.86%
呼叫中心服务外包 4189.70万 1.45% 1.14% 13.82%
信息工程 3500.86万 1.21% 0.58% 8.41%")</f>
        <v>公司的主营业务为乳制品生产销售和信息业务。公司主要产品有低温奶、常温奶、信息服务、信息工程。公司品牌在中国西南片区享有盛名。
市值24.159572亿, 利润516.45万; PE35.72; 平均PE-12.5; 平均PEG-1.03, PB1.38; ROIC5.76%; ROE-4.9167%; 股利率0%; 毛利18.93%; 净利-4.9867%; 上一年度营收增-83.4%, 利润增-57.05%; 当季营收增-72.16%, 利润增-97.58%; 过往5年营收增-12.14%, 利润增-95.31%
Income profile:
常温奶 12.78亿 44.20% 36.76% 14.58%
低温奶 10.11亿 34.98% 51.16% 25.64%
其他 2.77亿 9.60% 3.01% 5.51%
云通信 1.68亿 5.81% 4.97% 15.00%
其他饮料及食品 5655.43万 1.96% 0.43% 3.86%
呼叫中心服务外包 4189.70万 1.45% 1.14% 13.82%
信息工程 3500.86万 1.21% 0.58% 8.41%</v>
      </c>
      <c r="D8" t="s">
        <v>806</v>
      </c>
      <c r="E8" t="s">
        <v>807</v>
      </c>
      <c r="F8">
        <v>2.78</v>
      </c>
      <c r="G8">
        <v>2.21</v>
      </c>
      <c r="H8" t="s">
        <v>808</v>
      </c>
      <c r="I8">
        <v>2415957200</v>
      </c>
      <c r="J8">
        <v>35.72</v>
      </c>
      <c r="K8">
        <v>1.38</v>
      </c>
      <c r="L8" t="s">
        <v>36</v>
      </c>
      <c r="M8" t="s">
        <v>809</v>
      </c>
      <c r="N8" t="s">
        <v>810</v>
      </c>
      <c r="O8" t="s">
        <v>811</v>
      </c>
      <c r="P8" s="4">
        <v>-41.78</v>
      </c>
      <c r="Q8" t="s">
        <v>811</v>
      </c>
      <c r="R8">
        <v>5164540</v>
      </c>
      <c r="S8">
        <v>5.8400000000000001E-2</v>
      </c>
      <c r="T8" t="s">
        <v>812</v>
      </c>
      <c r="U8">
        <v>658659140</v>
      </c>
      <c r="V8">
        <v>869049340</v>
      </c>
      <c r="W8">
        <v>2.97</v>
      </c>
      <c r="X8">
        <v>0.09</v>
      </c>
      <c r="Y8">
        <v>1</v>
      </c>
      <c r="Z8" t="s">
        <v>813</v>
      </c>
      <c r="AA8" t="s">
        <v>481</v>
      </c>
      <c r="AB8" t="s">
        <v>814</v>
      </c>
      <c r="AC8" t="s">
        <v>815</v>
      </c>
      <c r="AD8" t="s">
        <v>20</v>
      </c>
      <c r="AE8">
        <v>24891693</v>
      </c>
      <c r="AF8" t="s">
        <v>816</v>
      </c>
      <c r="AG8" t="s">
        <v>817</v>
      </c>
      <c r="AH8" t="s">
        <v>818</v>
      </c>
      <c r="AI8" t="s">
        <v>819</v>
      </c>
      <c r="AJ8" t="s">
        <v>820</v>
      </c>
      <c r="AK8" t="s">
        <v>603</v>
      </c>
      <c r="AL8" t="s">
        <v>821</v>
      </c>
      <c r="AM8" t="s">
        <v>20</v>
      </c>
      <c r="AN8" t="s">
        <v>342</v>
      </c>
      <c r="AO8" t="s">
        <v>822</v>
      </c>
      <c r="AP8" t="s">
        <v>175</v>
      </c>
      <c r="AQ8" t="s">
        <v>220</v>
      </c>
      <c r="AR8" t="s">
        <v>20</v>
      </c>
      <c r="AS8" t="s">
        <v>823</v>
      </c>
      <c r="AT8" t="s">
        <v>824</v>
      </c>
      <c r="AU8" t="s">
        <v>825</v>
      </c>
      <c r="AV8" t="s">
        <v>826</v>
      </c>
      <c r="AW8" t="s">
        <v>827</v>
      </c>
      <c r="AX8" t="s">
        <v>828</v>
      </c>
      <c r="AY8" t="s">
        <v>829</v>
      </c>
      <c r="AZ8" t="s">
        <v>830</v>
      </c>
      <c r="BA8" t="s">
        <v>645</v>
      </c>
      <c r="BB8" t="s">
        <v>831</v>
      </c>
      <c r="BC8" t="s">
        <v>832</v>
      </c>
      <c r="BD8" t="s">
        <v>833</v>
      </c>
      <c r="BE8" t="s">
        <v>834</v>
      </c>
      <c r="BF8" t="s">
        <v>835</v>
      </c>
      <c r="BG8" t="s">
        <v>836</v>
      </c>
      <c r="BH8" t="s">
        <v>837</v>
      </c>
      <c r="BI8" t="s">
        <v>838</v>
      </c>
      <c r="BJ8" t="s">
        <v>828</v>
      </c>
      <c r="BK8" t="s">
        <v>839</v>
      </c>
      <c r="BL8" t="s">
        <v>840</v>
      </c>
      <c r="BM8" t="s">
        <v>832</v>
      </c>
      <c r="BN8">
        <v>5.76</v>
      </c>
      <c r="BO8" t="s">
        <v>20</v>
      </c>
      <c r="BP8" t="s">
        <v>20</v>
      </c>
      <c r="BQ8">
        <v>10.71</v>
      </c>
      <c r="BR8">
        <v>0.77</v>
      </c>
      <c r="BS8">
        <v>-26.23</v>
      </c>
      <c r="BT8" t="s">
        <v>361</v>
      </c>
      <c r="BU8" t="s">
        <v>798</v>
      </c>
      <c r="BV8">
        <v>18.670000000000002</v>
      </c>
      <c r="BW8">
        <v>17.53</v>
      </c>
      <c r="BX8">
        <v>20.59</v>
      </c>
      <c r="BY8">
        <v>2.46</v>
      </c>
      <c r="BZ8">
        <v>0.04</v>
      </c>
      <c r="CA8">
        <v>-17.46</v>
      </c>
      <c r="CB8">
        <v>2.58</v>
      </c>
      <c r="CC8" s="7">
        <v>-21.69</v>
      </c>
      <c r="CD8" s="8" t="s">
        <v>841</v>
      </c>
      <c r="CE8" s="7" t="s">
        <v>463</v>
      </c>
      <c r="CF8" s="7">
        <v>-0.72157772621809746</v>
      </c>
      <c r="CG8" s="7">
        <v>-0.97575333333333336</v>
      </c>
      <c r="CH8" s="7">
        <v>-0.83396750688552856</v>
      </c>
      <c r="CI8" s="7">
        <v>0.12534065544605255</v>
      </c>
      <c r="CJ8" s="8">
        <v>3.1726934015750885E-2</v>
      </c>
      <c r="CK8" s="8">
        <v>0.10519304871559143</v>
      </c>
      <c r="CL8" s="8">
        <v>-3.5530850291252136E-2</v>
      </c>
      <c r="CM8" s="8">
        <v>-0.57046616077423096</v>
      </c>
      <c r="CN8" s="8">
        <v>1.0254734754562378</v>
      </c>
      <c r="CO8">
        <v>-2.4452555179595947</v>
      </c>
      <c r="CP8">
        <v>-3.8530254364013672</v>
      </c>
      <c r="CQ8">
        <v>1.0779532194137573</v>
      </c>
      <c r="CR8" s="7">
        <v>-12.498562846742971</v>
      </c>
      <c r="CS8" s="8">
        <v>-1.029132616081414</v>
      </c>
      <c r="CT8">
        <v>0</v>
      </c>
      <c r="CU8">
        <v>-0.12144754379987717</v>
      </c>
      <c r="CV8">
        <v>-0.95306408405303955</v>
      </c>
      <c r="CW8">
        <v>0.06</v>
      </c>
      <c r="CX8">
        <v>799.29464614193046</v>
      </c>
      <c r="CY8" t="s">
        <v>842</v>
      </c>
      <c r="CZ8">
        <v>-0.12144754379987717</v>
      </c>
      <c r="DA8">
        <v>266.43154871397684</v>
      </c>
      <c r="DB8" t="s">
        <v>843</v>
      </c>
      <c r="DC8">
        <v>-0.11537516660988331</v>
      </c>
      <c r="DD8">
        <v>133.21577435698842</v>
      </c>
      <c r="DE8" t="s">
        <v>844</v>
      </c>
      <c r="DF8">
        <v>-0.10687383854389192</v>
      </c>
      <c r="DG8">
        <v>79.929464614193051</v>
      </c>
      <c r="DH8" t="s">
        <v>845</v>
      </c>
      <c r="DI8">
        <v>-9.7158035039901738E-2</v>
      </c>
      <c r="DJ8">
        <v>39.964732307096526</v>
      </c>
      <c r="DK8" t="s">
        <v>846</v>
      </c>
      <c r="DL8">
        <v>-8.5013280659914009E-2</v>
      </c>
      <c r="DM8">
        <v>5164500</v>
      </c>
      <c r="DN8">
        <v>-0.12144754379987717</v>
      </c>
      <c r="DO8">
        <v>4127957200</v>
      </c>
      <c r="DP8">
        <v>8684500</v>
      </c>
      <c r="DQ8" s="9">
        <v>836</v>
      </c>
      <c r="DR8">
        <v>-0.60013018241822025</v>
      </c>
      <c r="DS8">
        <v>-2.2689249280293811E-2</v>
      </c>
      <c r="DT8">
        <v>-0.77333333333333332</v>
      </c>
      <c r="DU8">
        <v>-1.4400000000000002</v>
      </c>
      <c r="DV8">
        <v>-2.2133333333333334</v>
      </c>
      <c r="DW8">
        <v>6.1063040791100125</v>
      </c>
      <c r="DX8">
        <v>0.3517014218009491</v>
      </c>
      <c r="DY8">
        <v>6.0150634391531295</v>
      </c>
      <c r="DZ8">
        <v>3539</v>
      </c>
      <c r="EA8">
        <v>6.0046310494930655</v>
      </c>
      <c r="EB8" s="10">
        <v>6</v>
      </c>
      <c r="EC8" s="10">
        <v>6.8808521274522805E-2</v>
      </c>
      <c r="ED8">
        <v>0.48558807949845517</v>
      </c>
      <c r="EE8">
        <v>-3.073</v>
      </c>
      <c r="EF8">
        <v>-3.0447000000000002</v>
      </c>
      <c r="EG8">
        <v>21.141701421800949</v>
      </c>
      <c r="EH8" s="12" t="s">
        <v>635</v>
      </c>
      <c r="EI8">
        <v>0</v>
      </c>
      <c r="EJ8">
        <v>0</v>
      </c>
      <c r="EK8">
        <v>45470</v>
      </c>
      <c r="EL8">
        <v>-0.7</v>
      </c>
      <c r="EM8">
        <v>-3.51</v>
      </c>
      <c r="EN8" s="13">
        <v>1.0900000000000001</v>
      </c>
      <c r="EO8" s="13">
        <v>1.8</v>
      </c>
      <c r="EP8" s="13">
        <v>-2.83</v>
      </c>
    </row>
    <row r="9" spans="1:146" ht="180" hidden="1" x14ac:dyDescent="0.25">
      <c r="A9" s="5"/>
      <c r="B9" s="5"/>
      <c r="C9" s="5" t="str">
        <f>"公司是一家主要生产啤酒的企业。其主要产品是啤酒、酵母饲料、包装材料、租赁餐饮服务。公司是中国制造业500强企业之一，也是全国知名的啤酒制造企业，拥有中国最大的啤酒酿造中心，珠江牌啤酒商标被认定为中国驰名商标。"&amp;CHAR(10)&amp;Basic_Fundamental_Information_Constructure(F9)&amp;CHAR(10)&amp;Basic_Fundamental_Information_Concatenate("啤酒销售 23.08亿 94.90% 93.17% 41.76%
其他 5810.37万 2.39% 3.89% 69.19%
租赁餐饮服务等 3826.53万 1.57% 2.58% 69.81%
酵母饲料销售 1525.07万 0.63%
白酒销售 863.45万 0.36% 0.33% 39.59%")</f>
        <v>公司是一家主要生产啤酒的企业。其主要产品是啤酒、酵母饲料、包装材料、租赁餐饮服务。公司是中国制造业500强企业之一，也是全国知名的啤酒制造企业，拥有中国最大的啤酒酿造中心，珠江牌啤酒商标被认定为中国驰名商标。
市值161.13031亿, 利润1.21亿; PE24.5; 平均PE35; 平均PEG3.07, PB1.6; ROIC4.21%; ROE6.56%; 股利率1.717%; 毛利43.4033%; 净利12.6967%; 上一年度营收增-77.52%, 利润增-79.77%; 当季营收增-60.04%, 利润增-66.95%; 过往5年营收增-11.39%, 利润增-4.85%
Income profile:
啤酒销售 23.08亿 94.90% 93.17% 41.76%
其他 5810.37万 2.39% 3.89% 69.19%
租赁餐饮服务等 3826.53万 1.57% 2.58% 69.81%
酵母饲料销售 1525.07万 0.63%
白酒销售 863.45万 0.36% 0.33% 39.59%</v>
      </c>
      <c r="D9" t="s">
        <v>59</v>
      </c>
      <c r="E9" t="s">
        <v>13</v>
      </c>
      <c r="F9">
        <v>7.28</v>
      </c>
      <c r="G9">
        <v>0.14000000000000001</v>
      </c>
      <c r="H9" t="s">
        <v>847</v>
      </c>
      <c r="I9">
        <v>16113031000</v>
      </c>
      <c r="J9">
        <v>24.5</v>
      </c>
      <c r="K9">
        <v>1.6</v>
      </c>
      <c r="L9" t="s">
        <v>36</v>
      </c>
      <c r="M9" t="s">
        <v>848</v>
      </c>
      <c r="N9" t="s">
        <v>849</v>
      </c>
      <c r="O9" t="s">
        <v>227</v>
      </c>
      <c r="P9">
        <v>7.05</v>
      </c>
      <c r="Q9" t="s">
        <v>227</v>
      </c>
      <c r="R9">
        <v>120950776</v>
      </c>
      <c r="S9" s="4">
        <v>0.39369999999999999</v>
      </c>
      <c r="T9" t="s">
        <v>562</v>
      </c>
      <c r="U9">
        <v>2213328500</v>
      </c>
      <c r="V9">
        <v>2213328500</v>
      </c>
      <c r="W9">
        <v>1.38</v>
      </c>
      <c r="X9">
        <v>0.08</v>
      </c>
      <c r="Y9">
        <v>11.37</v>
      </c>
      <c r="Z9" t="s">
        <v>850</v>
      </c>
      <c r="AA9" t="s">
        <v>851</v>
      </c>
      <c r="AB9" t="s">
        <v>286</v>
      </c>
      <c r="AC9" t="s">
        <v>852</v>
      </c>
      <c r="AD9" t="s">
        <v>20</v>
      </c>
      <c r="AE9">
        <v>-39614296</v>
      </c>
      <c r="AF9" t="s">
        <v>46</v>
      </c>
      <c r="AG9" t="s">
        <v>853</v>
      </c>
      <c r="AH9" t="s">
        <v>854</v>
      </c>
      <c r="AI9" t="s">
        <v>855</v>
      </c>
      <c r="AJ9" t="s">
        <v>856</v>
      </c>
      <c r="AK9" t="s">
        <v>20</v>
      </c>
      <c r="AL9" t="s">
        <v>857</v>
      </c>
      <c r="AM9" t="s">
        <v>20</v>
      </c>
      <c r="AN9" t="s">
        <v>858</v>
      </c>
      <c r="AO9" t="s">
        <v>859</v>
      </c>
      <c r="AP9" t="s">
        <v>339</v>
      </c>
      <c r="AQ9" t="s">
        <v>375</v>
      </c>
      <c r="AR9" t="s">
        <v>860</v>
      </c>
      <c r="AS9" t="s">
        <v>861</v>
      </c>
      <c r="AT9" t="s">
        <v>20</v>
      </c>
      <c r="AU9" t="s">
        <v>862</v>
      </c>
      <c r="AV9" t="s">
        <v>146</v>
      </c>
      <c r="AW9" t="s">
        <v>863</v>
      </c>
      <c r="AX9" t="s">
        <v>476</v>
      </c>
      <c r="AY9" t="s">
        <v>302</v>
      </c>
      <c r="AZ9" t="s">
        <v>167</v>
      </c>
      <c r="BA9" t="s">
        <v>60</v>
      </c>
      <c r="BB9" t="s">
        <v>169</v>
      </c>
      <c r="BC9" t="s">
        <v>477</v>
      </c>
      <c r="BD9" t="s">
        <v>284</v>
      </c>
      <c r="BE9" t="s">
        <v>168</v>
      </c>
      <c r="BF9" t="s">
        <v>61</v>
      </c>
      <c r="BG9" t="s">
        <v>170</v>
      </c>
      <c r="BH9" t="s">
        <v>864</v>
      </c>
      <c r="BI9" t="s">
        <v>547</v>
      </c>
      <c r="BJ9" t="s">
        <v>476</v>
      </c>
      <c r="BK9" t="s">
        <v>492</v>
      </c>
      <c r="BL9" t="s">
        <v>170</v>
      </c>
      <c r="BM9" t="s">
        <v>477</v>
      </c>
      <c r="BN9">
        <v>4.6900000000000004</v>
      </c>
      <c r="BO9">
        <v>3.75</v>
      </c>
      <c r="BP9">
        <v>4.1900000000000004</v>
      </c>
      <c r="BQ9">
        <v>6.57</v>
      </c>
      <c r="BR9">
        <v>6.36</v>
      </c>
      <c r="BS9">
        <v>6.75</v>
      </c>
      <c r="BT9" t="s">
        <v>865</v>
      </c>
      <c r="BU9" t="s">
        <v>345</v>
      </c>
      <c r="BV9">
        <v>42.82</v>
      </c>
      <c r="BW9">
        <v>42.44</v>
      </c>
      <c r="BX9">
        <v>44.95</v>
      </c>
      <c r="BY9">
        <v>11.97</v>
      </c>
      <c r="BZ9">
        <v>12.29</v>
      </c>
      <c r="CA9">
        <v>13.83</v>
      </c>
      <c r="CB9">
        <v>-1.89</v>
      </c>
      <c r="CC9">
        <v>-11.7</v>
      </c>
      <c r="CD9" t="s">
        <v>866</v>
      </c>
      <c r="CE9" t="s">
        <v>479</v>
      </c>
      <c r="CF9" s="7">
        <v>-0.60043274432023075</v>
      </c>
      <c r="CG9" s="8">
        <v>-0.66953339890710384</v>
      </c>
      <c r="CH9" s="7">
        <v>-0.77516233921051025</v>
      </c>
      <c r="CI9" s="7">
        <v>8.5940971970558167E-2</v>
      </c>
      <c r="CJ9" s="7">
        <v>6.8015992641448975E-2</v>
      </c>
      <c r="CK9" s="7">
        <v>1.1781187495216727E-3</v>
      </c>
      <c r="CL9" s="7">
        <v>5.0755120813846588E-2</v>
      </c>
      <c r="CM9" s="8">
        <v>-0.79765886068344116</v>
      </c>
      <c r="CN9" s="8">
        <v>-2.1276595070958138E-2</v>
      </c>
      <c r="CO9" s="8">
        <v>7.3813706636428833E-2</v>
      </c>
      <c r="CP9" s="8">
        <v>0.14486920833587646</v>
      </c>
      <c r="CQ9" s="8">
        <v>0.35792350769042969</v>
      </c>
      <c r="CR9">
        <v>35.002963794351921</v>
      </c>
      <c r="CS9">
        <v>3.0743612448369335</v>
      </c>
      <c r="CT9">
        <v>1.7170329670329669</v>
      </c>
      <c r="CU9" s="7">
        <v>-0.11385442700702697</v>
      </c>
      <c r="CV9" s="8">
        <v>-4.8465806618332864E-2</v>
      </c>
      <c r="CW9">
        <v>0.06</v>
      </c>
      <c r="CX9">
        <v>86.157280991735533</v>
      </c>
      <c r="CY9" t="s">
        <v>867</v>
      </c>
      <c r="CZ9">
        <v>-0.11385442700702697</v>
      </c>
      <c r="DA9">
        <v>28.719093663911845</v>
      </c>
      <c r="DB9" t="s">
        <v>868</v>
      </c>
      <c r="DC9">
        <v>-0.10816170565667561</v>
      </c>
      <c r="DD9">
        <v>14.359546831955923</v>
      </c>
      <c r="DE9" t="s">
        <v>869</v>
      </c>
      <c r="DF9">
        <v>-0.10019189576618373</v>
      </c>
      <c r="DG9">
        <v>8.6157280991735536</v>
      </c>
      <c r="DH9" t="s">
        <v>870</v>
      </c>
      <c r="DI9">
        <v>-9.1083541605621585E-2</v>
      </c>
      <c r="DJ9">
        <v>4.3078640495867768</v>
      </c>
      <c r="DK9" t="s">
        <v>871</v>
      </c>
      <c r="DL9">
        <v>-7.9698098904918871E-2</v>
      </c>
      <c r="DM9">
        <v>121000000</v>
      </c>
      <c r="DN9">
        <v>-0.11385442700702697</v>
      </c>
      <c r="DO9">
        <v>10425031000</v>
      </c>
      <c r="DP9">
        <v>5689453400</v>
      </c>
      <c r="DQ9">
        <v>962</v>
      </c>
      <c r="DR9">
        <v>-0.48657831731320378</v>
      </c>
      <c r="DS9">
        <v>-0.62106759228877095</v>
      </c>
      <c r="DT9" s="9">
        <v>-0.77333333333333332</v>
      </c>
      <c r="DU9">
        <v>-0.67333333333333334</v>
      </c>
      <c r="DV9">
        <v>-1.4466666666666668</v>
      </c>
      <c r="DW9">
        <v>-2.117</v>
      </c>
      <c r="DX9">
        <v>0.32144654088050145</v>
      </c>
      <c r="DY9">
        <v>-2.0165492452830187</v>
      </c>
      <c r="DZ9">
        <v>2543</v>
      </c>
      <c r="EA9">
        <v>-2.0083134858398255</v>
      </c>
      <c r="EB9">
        <v>2</v>
      </c>
      <c r="EC9">
        <v>1.0161166767608152E-2</v>
      </c>
      <c r="ED9">
        <v>7.1837506271662799E-2</v>
      </c>
      <c r="EE9" s="10">
        <v>0.10160000000000001</v>
      </c>
      <c r="EF9">
        <v>8.0599999999999991E-2</v>
      </c>
      <c r="EG9">
        <v>18.141446540880501</v>
      </c>
      <c r="EH9" t="s">
        <v>335</v>
      </c>
      <c r="EI9">
        <v>0</v>
      </c>
      <c r="EJ9">
        <v>0</v>
      </c>
      <c r="EK9" s="12">
        <v>45470</v>
      </c>
      <c r="EL9" s="13">
        <v>-0.65</v>
      </c>
      <c r="EM9" s="13">
        <v>-1.96</v>
      </c>
      <c r="EN9" s="13">
        <v>1.07</v>
      </c>
      <c r="EO9" s="13">
        <v>0.79</v>
      </c>
      <c r="EP9" s="13">
        <v>-2.1</v>
      </c>
    </row>
    <row r="10" spans="1:146" ht="156" hidden="1" x14ac:dyDescent="0.25">
      <c r="A10" s="5" t="s">
        <v>639</v>
      </c>
      <c r="B10" s="5" t="s">
        <v>630</v>
      </c>
      <c r="C10" s="5" t="str">
        <f>"公司主营业务为预调鸡尾酒和香精香料的研发、生产和销售业务。主要产品为食用香精、预调鸡尾酒等。"&amp;CHAR(10)&amp;Basic_Fundamental_Information_Constructure(F10)&amp;CHAR(10)&amp;Basic_Fundamental_Information_Concatenate("预调鸡尾酒(含气泡水等) 14.52亿 87.94% 9.67亿 88.90% 66.61%
食用香精 1.63亿 9.90% 1.11亿 10.16% 67.63%
其他业务 3572.36万 2.16% 1022.66万 0.94% 28.63%")</f>
        <v>公司主营业务为预调鸡尾酒和香精香料的研发、生产和销售业务。主要产品为食用香精、预调鸡尾酒等。
市值167.32074亿, 利润1.69亿; PE21.15; 平均PE43.35; 平均PEG13.44, PB4.2; ROIC12.8367%; ROE16.4733%; 股利率0%; 毛利65.3033%; 净利23.47%; 上一年度营收增-69.07%, 利润增-67.56%; 当季营收增-51.42%, 利润增-61.4%; 过往5年营收增3.22%, 利润增31.1%
Income profile:
预调鸡尾酒(含气泡水等) 14.52亿 87.94% 9.67亿 88.90% 66.61%
食用香精 1.63亿 9.90% 1.11亿 10.16% 67.63%
其他业务 3572.36万 2.16% 1022.66万 0.94% 28.63%</v>
      </c>
      <c r="D10" t="s">
        <v>62</v>
      </c>
      <c r="E10" t="s">
        <v>9</v>
      </c>
      <c r="F10">
        <v>15.94</v>
      </c>
      <c r="G10">
        <v>0.44</v>
      </c>
      <c r="H10" t="s">
        <v>872</v>
      </c>
      <c r="I10">
        <v>16732074000</v>
      </c>
      <c r="J10">
        <v>21.15</v>
      </c>
      <c r="K10">
        <v>4.2</v>
      </c>
      <c r="L10" t="s">
        <v>36</v>
      </c>
      <c r="M10" t="s">
        <v>873</v>
      </c>
      <c r="N10" t="s">
        <v>874</v>
      </c>
      <c r="O10" t="s">
        <v>875</v>
      </c>
      <c r="P10">
        <v>5.51</v>
      </c>
      <c r="Q10" t="s">
        <v>875</v>
      </c>
      <c r="R10">
        <v>169451190</v>
      </c>
      <c r="S10" s="4">
        <v>-9.8000000000000004E-2</v>
      </c>
      <c r="T10" t="s">
        <v>172</v>
      </c>
      <c r="U10">
        <v>717279570</v>
      </c>
      <c r="V10">
        <v>1049690960</v>
      </c>
      <c r="W10">
        <v>1.7</v>
      </c>
      <c r="X10">
        <v>0.11</v>
      </c>
      <c r="Y10">
        <v>20.93</v>
      </c>
      <c r="Z10" t="s">
        <v>215</v>
      </c>
      <c r="AA10" t="s">
        <v>105</v>
      </c>
      <c r="AB10" t="s">
        <v>876</v>
      </c>
      <c r="AC10" t="s">
        <v>877</v>
      </c>
      <c r="AD10" t="s">
        <v>20</v>
      </c>
      <c r="AE10">
        <v>3425224</v>
      </c>
      <c r="AF10" t="s">
        <v>46</v>
      </c>
      <c r="AG10" t="s">
        <v>878</v>
      </c>
      <c r="AH10" t="s">
        <v>879</v>
      </c>
      <c r="AI10" t="s">
        <v>880</v>
      </c>
      <c r="AJ10" t="s">
        <v>881</v>
      </c>
      <c r="AK10" t="s">
        <v>20</v>
      </c>
      <c r="AL10" t="s">
        <v>882</v>
      </c>
      <c r="AM10" t="s">
        <v>20</v>
      </c>
      <c r="AN10" t="s">
        <v>883</v>
      </c>
      <c r="AO10" t="s">
        <v>884</v>
      </c>
      <c r="AP10" t="s">
        <v>20</v>
      </c>
      <c r="AQ10" t="s">
        <v>885</v>
      </c>
      <c r="AR10" t="s">
        <v>20</v>
      </c>
      <c r="AS10" t="s">
        <v>886</v>
      </c>
      <c r="AT10" t="s">
        <v>20</v>
      </c>
      <c r="AU10" t="s">
        <v>126</v>
      </c>
      <c r="AV10" t="s">
        <v>887</v>
      </c>
      <c r="AW10" t="s">
        <v>888</v>
      </c>
      <c r="AX10" t="s">
        <v>480</v>
      </c>
      <c r="AY10" t="s">
        <v>303</v>
      </c>
      <c r="AZ10" t="s">
        <v>171</v>
      </c>
      <c r="BA10" t="s">
        <v>63</v>
      </c>
      <c r="BB10" t="s">
        <v>173</v>
      </c>
      <c r="BC10" t="s">
        <v>466</v>
      </c>
      <c r="BD10" t="s">
        <v>282</v>
      </c>
      <c r="BE10" t="s">
        <v>111</v>
      </c>
      <c r="BF10" t="s">
        <v>64</v>
      </c>
      <c r="BG10" t="s">
        <v>67</v>
      </c>
      <c r="BH10" t="s">
        <v>889</v>
      </c>
      <c r="BI10" t="s">
        <v>527</v>
      </c>
      <c r="BJ10" t="s">
        <v>480</v>
      </c>
      <c r="BK10" t="s">
        <v>54</v>
      </c>
      <c r="BL10" t="s">
        <v>550</v>
      </c>
      <c r="BM10" t="s">
        <v>466</v>
      </c>
      <c r="BN10">
        <v>11.73</v>
      </c>
      <c r="BO10">
        <v>10.51</v>
      </c>
      <c r="BP10">
        <v>16.27</v>
      </c>
      <c r="BQ10">
        <v>16.46</v>
      </c>
      <c r="BR10">
        <v>13.71</v>
      </c>
      <c r="BS10">
        <v>19.25</v>
      </c>
      <c r="BT10" t="s">
        <v>361</v>
      </c>
      <c r="BU10" t="s">
        <v>348</v>
      </c>
      <c r="BV10">
        <v>66.7</v>
      </c>
      <c r="BW10">
        <v>63.78</v>
      </c>
      <c r="BX10">
        <v>65.430000000000007</v>
      </c>
      <c r="BY10">
        <v>24.72</v>
      </c>
      <c r="BZ10">
        <v>20.079999999999998</v>
      </c>
      <c r="CA10">
        <v>25.61</v>
      </c>
      <c r="CB10">
        <v>-5.29</v>
      </c>
      <c r="CC10">
        <v>-29.75</v>
      </c>
      <c r="CD10" t="s">
        <v>890</v>
      </c>
      <c r="CE10" t="s">
        <v>891</v>
      </c>
      <c r="CF10" s="7">
        <v>-0.51423379769836475</v>
      </c>
      <c r="CG10" s="8">
        <v>-0.61400640091116165</v>
      </c>
      <c r="CH10" s="7">
        <v>-0.69070571660995483</v>
      </c>
      <c r="CI10" s="7">
        <v>-3.8548035081475973E-4</v>
      </c>
      <c r="CJ10" s="7">
        <v>0.3461337685585022</v>
      </c>
      <c r="CK10" s="7">
        <v>0.31267035007476807</v>
      </c>
      <c r="CL10" s="7">
        <v>0.19349592924118042</v>
      </c>
      <c r="CM10" s="8">
        <v>-0.67562377452850342</v>
      </c>
      <c r="CN10" s="8">
        <v>-0.2177177220582962</v>
      </c>
      <c r="CO10" s="8">
        <v>0.24253731966018677</v>
      </c>
      <c r="CP10" s="8">
        <v>0.78666669130325317</v>
      </c>
      <c r="CQ10" s="8">
        <v>1.4193547964096069</v>
      </c>
      <c r="CR10">
        <v>43.34734196891192</v>
      </c>
      <c r="CS10">
        <v>13.444467137887532</v>
      </c>
      <c r="CT10">
        <v>0</v>
      </c>
      <c r="CU10" s="7">
        <v>3.2241770182736218E-2</v>
      </c>
      <c r="CV10" s="8">
        <v>0.31104346215724943</v>
      </c>
      <c r="CW10">
        <v>0.06</v>
      </c>
      <c r="CX10">
        <v>94.972695835864215</v>
      </c>
      <c r="CY10">
        <v>164574395.43479472</v>
      </c>
      <c r="CZ10">
        <v>3.2241770182736218E-2</v>
      </c>
      <c r="DA10">
        <v>32.602073492522429</v>
      </c>
      <c r="DB10">
        <v>479419629.66204882</v>
      </c>
      <c r="DC10">
        <v>3.0629681673599404E-2</v>
      </c>
      <c r="DD10">
        <v>17.115345439863159</v>
      </c>
      <c r="DE10">
        <v>913219897.01687062</v>
      </c>
      <c r="DF10">
        <v>2.8372757760807873E-2</v>
      </c>
      <c r="DG10">
        <v>11.028113173035395</v>
      </c>
      <c r="DH10">
        <v>1417293580.0311482</v>
      </c>
      <c r="DI10">
        <v>2.5793416146188977E-2</v>
      </c>
      <c r="DJ10">
        <v>6.6022300338089712</v>
      </c>
      <c r="DK10">
        <v>2367393126.2559581</v>
      </c>
      <c r="DL10">
        <v>2.256923912791535E-2</v>
      </c>
      <c r="DM10">
        <v>169000000</v>
      </c>
      <c r="DN10">
        <v>3.2241770182736218E-2</v>
      </c>
      <c r="DO10">
        <v>15630074000</v>
      </c>
      <c r="DP10">
        <v>922621900</v>
      </c>
      <c r="DQ10">
        <v>1061</v>
      </c>
      <c r="DR10">
        <v>-0.54647556788110097</v>
      </c>
      <c r="DS10">
        <v>-0.92504986306841108</v>
      </c>
      <c r="DT10" s="9">
        <v>-0.42333333333333339</v>
      </c>
      <c r="DU10">
        <v>-0.35666666666666674</v>
      </c>
      <c r="DV10">
        <v>-0.78000000000000014</v>
      </c>
      <c r="DW10">
        <v>-8.1778151260504206</v>
      </c>
      <c r="DX10">
        <v>0.31533437499999895</v>
      </c>
      <c r="DY10">
        <v>-8.0276208014705883</v>
      </c>
      <c r="DZ10">
        <v>511</v>
      </c>
      <c r="EA10">
        <v>-8.024858721323529</v>
      </c>
      <c r="EB10">
        <v>8</v>
      </c>
      <c r="EC10">
        <v>4.7353937391248942E-2</v>
      </c>
      <c r="ED10">
        <v>0.30485162985494318</v>
      </c>
      <c r="EE10" s="10">
        <v>9.6000000000000009E-3</v>
      </c>
      <c r="EF10">
        <v>2.4410000000000005E-2</v>
      </c>
      <c r="EG10">
        <v>16.155334374999999</v>
      </c>
      <c r="EH10">
        <v>-1</v>
      </c>
      <c r="EI10">
        <v>0</v>
      </c>
      <c r="EJ10">
        <v>1</v>
      </c>
      <c r="EK10" s="12">
        <v>45470</v>
      </c>
      <c r="EL10" s="13">
        <v>-1.84</v>
      </c>
      <c r="EM10" s="13">
        <v>-1.77</v>
      </c>
      <c r="EN10" s="13">
        <v>-3.88</v>
      </c>
      <c r="EO10" s="13">
        <v>1.29</v>
      </c>
      <c r="EP10" s="13">
        <v>-3.4</v>
      </c>
    </row>
    <row r="11" spans="1:146" ht="96" x14ac:dyDescent="0.25">
      <c r="A11" s="16"/>
      <c r="B11" s="16"/>
      <c r="C11" s="16" t="str">
        <f>""&amp;CHAR(10)&amp;Basic_Fundamental_Information_Constructure(F11)&amp;CHAR(10)&amp;Basic_Fundamental_Information_Concatenate("")</f>
        <v xml:space="preserve">
市值26.461062亿, 利润2207.50万; PE46.17; 平均PE-34.03; 平均PEG-2.47, PB1.68; ROIC3.79%; ROE-.8267%; 股利率0%; 毛利47.92%; 净利-.27%; 上一年度营收增-71.3%, 利润增112.54%; 当季营收增-46.35%, 利润增-50.08%; 过往5年营收增-13.76%, 利润增-134%
Income profile:
</v>
      </c>
      <c r="D11" t="s">
        <v>892</v>
      </c>
      <c r="E11" t="s">
        <v>893</v>
      </c>
      <c r="F11">
        <v>2.4500000000000002</v>
      </c>
      <c r="G11">
        <v>2.08</v>
      </c>
      <c r="H11" t="s">
        <v>894</v>
      </c>
      <c r="I11">
        <v>2646106200</v>
      </c>
      <c r="J11">
        <v>46.17</v>
      </c>
      <c r="K11">
        <v>1.68</v>
      </c>
      <c r="L11" t="s">
        <v>36</v>
      </c>
      <c r="M11" t="s">
        <v>895</v>
      </c>
      <c r="N11" t="s">
        <v>896</v>
      </c>
      <c r="O11" t="s">
        <v>897</v>
      </c>
      <c r="P11" s="4">
        <v>2.2799999999999998</v>
      </c>
      <c r="Q11" t="s">
        <v>897</v>
      </c>
      <c r="R11">
        <v>22074987</v>
      </c>
      <c r="S11">
        <v>0.80710000000000004</v>
      </c>
      <c r="T11" t="s">
        <v>898</v>
      </c>
      <c r="U11">
        <v>1051467540</v>
      </c>
      <c r="V11">
        <v>1080043330</v>
      </c>
      <c r="W11">
        <v>2.33</v>
      </c>
      <c r="X11">
        <v>0.19</v>
      </c>
      <c r="Y11">
        <v>3.4</v>
      </c>
      <c r="Z11" t="s">
        <v>899</v>
      </c>
      <c r="AA11" t="s">
        <v>900</v>
      </c>
      <c r="AB11" t="s">
        <v>371</v>
      </c>
      <c r="AC11" t="s">
        <v>901</v>
      </c>
      <c r="AD11" t="s">
        <v>20</v>
      </c>
      <c r="AE11">
        <v>19364421</v>
      </c>
      <c r="AF11" t="s">
        <v>902</v>
      </c>
      <c r="AG11" t="s">
        <v>561</v>
      </c>
      <c r="AH11" t="s">
        <v>903</v>
      </c>
      <c r="AI11" t="s">
        <v>904</v>
      </c>
      <c r="AJ11" t="s">
        <v>905</v>
      </c>
      <c r="AK11" t="s">
        <v>906</v>
      </c>
      <c r="AL11" t="s">
        <v>907</v>
      </c>
      <c r="AM11" t="s">
        <v>20</v>
      </c>
      <c r="AN11" t="s">
        <v>534</v>
      </c>
      <c r="AO11" t="s">
        <v>577</v>
      </c>
      <c r="AP11" t="s">
        <v>908</v>
      </c>
      <c r="AQ11" t="s">
        <v>153</v>
      </c>
      <c r="AR11" t="s">
        <v>20</v>
      </c>
      <c r="AS11" t="s">
        <v>909</v>
      </c>
      <c r="AT11" t="s">
        <v>910</v>
      </c>
      <c r="AU11" t="s">
        <v>911</v>
      </c>
      <c r="AV11" t="s">
        <v>912</v>
      </c>
      <c r="AW11" t="s">
        <v>913</v>
      </c>
      <c r="AX11" t="s">
        <v>601</v>
      </c>
      <c r="AY11" t="s">
        <v>914</v>
      </c>
      <c r="AZ11" t="s">
        <v>915</v>
      </c>
      <c r="BA11" t="s">
        <v>916</v>
      </c>
      <c r="BB11" t="s">
        <v>917</v>
      </c>
      <c r="BC11" t="s">
        <v>918</v>
      </c>
      <c r="BD11" t="s">
        <v>919</v>
      </c>
      <c r="BE11" t="s">
        <v>584</v>
      </c>
      <c r="BF11" t="s">
        <v>920</v>
      </c>
      <c r="BG11" t="s">
        <v>921</v>
      </c>
      <c r="BH11" t="s">
        <v>922</v>
      </c>
      <c r="BI11" t="s">
        <v>923</v>
      </c>
      <c r="BJ11" t="s">
        <v>601</v>
      </c>
      <c r="BK11" t="s">
        <v>924</v>
      </c>
      <c r="BL11" t="s">
        <v>925</v>
      </c>
      <c r="BM11" t="s">
        <v>918</v>
      </c>
      <c r="BN11">
        <v>3.26</v>
      </c>
      <c r="BO11" t="s">
        <v>20</v>
      </c>
      <c r="BP11">
        <v>4.32</v>
      </c>
      <c r="BQ11">
        <v>3.19</v>
      </c>
      <c r="BR11">
        <v>-10.45</v>
      </c>
      <c r="BS11">
        <v>4.78</v>
      </c>
      <c r="BT11" t="s">
        <v>361</v>
      </c>
      <c r="BU11" t="s">
        <v>798</v>
      </c>
      <c r="BV11">
        <v>47.07</v>
      </c>
      <c r="BW11">
        <v>45.88</v>
      </c>
      <c r="BX11">
        <v>50.81</v>
      </c>
      <c r="BY11">
        <v>2.29</v>
      </c>
      <c r="BZ11">
        <v>-6.56</v>
      </c>
      <c r="CA11">
        <v>3.46</v>
      </c>
      <c r="CB11">
        <v>4.7</v>
      </c>
      <c r="CC11" s="7">
        <v>-19.93</v>
      </c>
      <c r="CD11" s="8" t="s">
        <v>175</v>
      </c>
      <c r="CE11" s="7" t="s">
        <v>926</v>
      </c>
      <c r="CF11" s="7">
        <v>-0.46348733233979134</v>
      </c>
      <c r="CG11" s="7">
        <v>-0.50076582454537444</v>
      </c>
      <c r="CH11" s="7">
        <v>-0.71303308010101318</v>
      </c>
      <c r="CI11" s="7">
        <v>6.9936037063598633E-2</v>
      </c>
      <c r="CJ11" s="8">
        <v>-0.1200750470161438</v>
      </c>
      <c r="CK11" s="8">
        <v>-4.3087970465421677E-2</v>
      </c>
      <c r="CL11" s="8">
        <v>0.11802483350038528</v>
      </c>
      <c r="CM11" s="8">
        <v>1.125426173210144</v>
      </c>
      <c r="CN11" s="8">
        <v>-3.4006130695343018</v>
      </c>
      <c r="CO11">
        <v>1.226279616355896</v>
      </c>
      <c r="CP11">
        <v>-2.1456310749053955</v>
      </c>
      <c r="CQ11">
        <v>-3.505253791809082</v>
      </c>
      <c r="CR11" s="7">
        <v>-34.033753714923655</v>
      </c>
      <c r="CS11" s="8">
        <v>-2.4725379041084836</v>
      </c>
      <c r="CT11">
        <v>0</v>
      </c>
      <c r="CU11">
        <v>-0.13764704540371894</v>
      </c>
      <c r="CV11">
        <v>-1.3399584293365479</v>
      </c>
      <c r="CW11">
        <v>0.06</v>
      </c>
      <c r="CX11">
        <v>148.31738165345413</v>
      </c>
      <c r="CY11" t="s">
        <v>927</v>
      </c>
      <c r="CZ11">
        <v>-0.13764704540371894</v>
      </c>
      <c r="DA11">
        <v>49.439127217818047</v>
      </c>
      <c r="DB11" t="s">
        <v>928</v>
      </c>
      <c r="DC11">
        <v>-0.13076469313353298</v>
      </c>
      <c r="DD11">
        <v>24.719563608909024</v>
      </c>
      <c r="DE11" t="s">
        <v>929</v>
      </c>
      <c r="DF11">
        <v>-0.12112939995527267</v>
      </c>
      <c r="DG11">
        <v>14.831738165345413</v>
      </c>
      <c r="DH11" t="s">
        <v>930</v>
      </c>
      <c r="DI11">
        <v>-0.11011763632297517</v>
      </c>
      <c r="DJ11">
        <v>7.4158690826727067</v>
      </c>
      <c r="DK11" t="s">
        <v>931</v>
      </c>
      <c r="DL11">
        <v>-9.6352931782603249E-2</v>
      </c>
      <c r="DM11">
        <v>22075000</v>
      </c>
      <c r="DN11">
        <v>-0.13764704540371894</v>
      </c>
      <c r="DO11">
        <v>3274106200</v>
      </c>
      <c r="DP11">
        <v>-31358600</v>
      </c>
      <c r="DQ11" s="9">
        <v>1063</v>
      </c>
      <c r="DR11">
        <v>-0.32584028693607237</v>
      </c>
      <c r="DS11">
        <v>0.83919260479117341</v>
      </c>
      <c r="DT11">
        <v>-0.77333333333333332</v>
      </c>
      <c r="DU11">
        <v>-1.8233333333333335</v>
      </c>
      <c r="DV11">
        <v>-2.5966666666666667</v>
      </c>
      <c r="DW11">
        <v>6.1908241981323586</v>
      </c>
      <c r="DX11">
        <v>0.35781690140845185</v>
      </c>
      <c r="DY11">
        <v>6.0339317676256483</v>
      </c>
      <c r="DZ11">
        <v>3934</v>
      </c>
      <c r="EA11">
        <v>6.007808954741245</v>
      </c>
      <c r="EB11" s="10">
        <v>6</v>
      </c>
      <c r="EC11" s="10">
        <v>9.3514766671444566E-2</v>
      </c>
      <c r="ED11">
        <v>0.52590482642950998</v>
      </c>
      <c r="EE11">
        <v>-1.0480100000000001</v>
      </c>
      <c r="EF11">
        <v>-1.0841099999999999</v>
      </c>
      <c r="EG11">
        <v>18.177816901408452</v>
      </c>
      <c r="EH11" s="12" t="s">
        <v>464</v>
      </c>
      <c r="EI11">
        <v>0</v>
      </c>
      <c r="EJ11">
        <v>0</v>
      </c>
      <c r="EK11">
        <v>45470</v>
      </c>
      <c r="EL11">
        <v>0.82</v>
      </c>
      <c r="EM11">
        <v>-2.44</v>
      </c>
      <c r="EN11" s="13">
        <v>-0.42</v>
      </c>
      <c r="EO11" s="13">
        <v>4.18</v>
      </c>
      <c r="EP11" s="13">
        <v>-3.61</v>
      </c>
    </row>
    <row r="12" spans="1:146" ht="96" x14ac:dyDescent="0.25">
      <c r="A12" s="16"/>
      <c r="B12" s="16"/>
      <c r="C12" s="16" t="str">
        <f>""&amp;CHAR(10)&amp;Basic_Fundamental_Information_Constructure(F12)&amp;CHAR(10)&amp;Basic_Fundamental_Information_Concatenate("")</f>
        <v xml:space="preserve">
市值10.5528511亿, 利润-3196.12万; PE; 平均PE-11.83; 平均PEG-2.37, PB2.49; ROIC1.84%; ROE-19.9867%; 股利率0%; 毛利17.2533%; 净利-16.04%; 上一年度营收增-84.43%, 利润增90.89%; 当季营收增-55.23%, 利润增14.47%; 过往5年营收增-4.98%, 利润增-348.99%
Income profile:
</v>
      </c>
      <c r="D12" t="s">
        <v>932</v>
      </c>
      <c r="E12" t="s">
        <v>933</v>
      </c>
      <c r="F12">
        <v>6.06</v>
      </c>
      <c r="G12">
        <v>2.36</v>
      </c>
      <c r="H12" t="s">
        <v>934</v>
      </c>
      <c r="I12">
        <v>1055285110</v>
      </c>
      <c r="K12">
        <v>2.4900000000000002</v>
      </c>
      <c r="L12" t="s">
        <v>36</v>
      </c>
      <c r="M12" t="s">
        <v>935</v>
      </c>
      <c r="N12" t="s">
        <v>523</v>
      </c>
      <c r="O12" t="s">
        <v>936</v>
      </c>
      <c r="P12" s="4">
        <v>-12.27</v>
      </c>
      <c r="Q12" t="s">
        <v>936</v>
      </c>
      <c r="R12">
        <v>-31961190</v>
      </c>
      <c r="S12">
        <v>-2.9460000000000002</v>
      </c>
      <c r="T12" t="s">
        <v>937</v>
      </c>
      <c r="U12">
        <v>161872300</v>
      </c>
      <c r="V12">
        <v>174139460</v>
      </c>
      <c r="W12">
        <v>3.17</v>
      </c>
      <c r="X12">
        <v>0.11</v>
      </c>
      <c r="Y12">
        <v>-21.1</v>
      </c>
      <c r="Z12" t="s">
        <v>48</v>
      </c>
      <c r="AA12" t="s">
        <v>363</v>
      </c>
      <c r="AB12" t="s">
        <v>938</v>
      </c>
      <c r="AC12" t="s">
        <v>939</v>
      </c>
      <c r="AD12" t="s">
        <v>20</v>
      </c>
      <c r="AE12">
        <v>1667137</v>
      </c>
      <c r="AF12" t="s">
        <v>940</v>
      </c>
      <c r="AG12" t="s">
        <v>941</v>
      </c>
      <c r="AH12" t="s">
        <v>942</v>
      </c>
      <c r="AI12" t="s">
        <v>943</v>
      </c>
      <c r="AJ12" t="s">
        <v>944</v>
      </c>
      <c r="AK12">
        <v>2873.3</v>
      </c>
      <c r="AL12" t="s">
        <v>945</v>
      </c>
      <c r="AM12" t="s">
        <v>20</v>
      </c>
      <c r="AN12" t="s">
        <v>637</v>
      </c>
      <c r="AO12" t="s">
        <v>946</v>
      </c>
      <c r="AP12" t="s">
        <v>947</v>
      </c>
      <c r="AQ12" t="s">
        <v>523</v>
      </c>
      <c r="AR12" t="s">
        <v>20</v>
      </c>
      <c r="AS12" t="s">
        <v>948</v>
      </c>
      <c r="AT12" t="s">
        <v>949</v>
      </c>
      <c r="AU12" t="s">
        <v>950</v>
      </c>
      <c r="AV12" t="s">
        <v>951</v>
      </c>
      <c r="AW12" t="s">
        <v>952</v>
      </c>
      <c r="AX12" t="s">
        <v>953</v>
      </c>
      <c r="AY12" t="s">
        <v>70</v>
      </c>
      <c r="AZ12" t="s">
        <v>954</v>
      </c>
      <c r="BA12" t="s">
        <v>955</v>
      </c>
      <c r="BB12" t="s">
        <v>727</v>
      </c>
      <c r="BC12" t="s">
        <v>956</v>
      </c>
      <c r="BD12" t="s">
        <v>957</v>
      </c>
      <c r="BE12" t="s">
        <v>958</v>
      </c>
      <c r="BF12" t="s">
        <v>959</v>
      </c>
      <c r="BG12" t="s">
        <v>960</v>
      </c>
      <c r="BH12" t="s">
        <v>961</v>
      </c>
      <c r="BI12" t="s">
        <v>962</v>
      </c>
      <c r="BJ12" t="s">
        <v>953</v>
      </c>
      <c r="BK12" t="s">
        <v>963</v>
      </c>
      <c r="BL12" t="s">
        <v>964</v>
      </c>
      <c r="BM12" t="s">
        <v>956</v>
      </c>
      <c r="BN12" t="s">
        <v>20</v>
      </c>
      <c r="BO12" t="s">
        <v>20</v>
      </c>
      <c r="BP12">
        <v>1.84</v>
      </c>
      <c r="BQ12">
        <v>-12.16</v>
      </c>
      <c r="BR12">
        <v>-49.9</v>
      </c>
      <c r="BS12">
        <v>2.1</v>
      </c>
      <c r="BT12" t="s">
        <v>361</v>
      </c>
      <c r="BU12" t="s">
        <v>798</v>
      </c>
      <c r="BV12">
        <v>17.809999999999999</v>
      </c>
      <c r="BW12">
        <v>14.69</v>
      </c>
      <c r="BX12">
        <v>19.260000000000002</v>
      </c>
      <c r="BY12">
        <v>-13.93</v>
      </c>
      <c r="BZ12">
        <v>-35.6</v>
      </c>
      <c r="CA12">
        <v>1.41</v>
      </c>
      <c r="CB12">
        <v>1.85</v>
      </c>
      <c r="CC12" s="7">
        <v>-11.4</v>
      </c>
      <c r="CD12" s="8" t="s">
        <v>965</v>
      </c>
      <c r="CE12" s="7" t="s">
        <v>507</v>
      </c>
      <c r="CF12" s="7">
        <v>-0.55232558139534882</v>
      </c>
      <c r="CG12" s="7">
        <v>0.14472982121879491</v>
      </c>
      <c r="CH12" s="7">
        <v>-0.84428715705871582</v>
      </c>
      <c r="CI12" s="7">
        <v>-0.136998251080513</v>
      </c>
      <c r="CJ12" s="8">
        <v>0.30971428751945496</v>
      </c>
      <c r="CK12" s="8">
        <v>0.30402383208274841</v>
      </c>
      <c r="CL12" s="8">
        <v>0.11833333224058151</v>
      </c>
      <c r="CM12" s="8">
        <v>0.90894240140914917</v>
      </c>
      <c r="CN12" s="8">
        <v>-20.016660690307617</v>
      </c>
      <c r="CO12">
        <v>-0.65010011196136475</v>
      </c>
      <c r="CP12">
        <v>1.7593878507614136</v>
      </c>
      <c r="CQ12">
        <v>0.54892927408218384</v>
      </c>
      <c r="CR12" s="7">
        <v>-11.830157106135109</v>
      </c>
      <c r="CS12" s="8">
        <v>-2.3734941016029918</v>
      </c>
      <c r="CT12">
        <v>0</v>
      </c>
      <c r="CU12">
        <v>-4.9842791259288789E-2</v>
      </c>
      <c r="CV12">
        <v>-3.489900255203247</v>
      </c>
      <c r="CW12">
        <v>0.06</v>
      </c>
      <c r="CX12" t="e">
        <v>#VALUE!</v>
      </c>
      <c r="CY12" t="s">
        <v>336</v>
      </c>
      <c r="CZ12">
        <v>-4.9842791259288789E-2</v>
      </c>
      <c r="DA12" t="e">
        <v>#VALUE!</v>
      </c>
      <c r="DB12" t="s">
        <v>337</v>
      </c>
      <c r="DC12">
        <v>-4.7350651696324346E-2</v>
      </c>
      <c r="DD12" t="e">
        <v>#VALUE!</v>
      </c>
      <c r="DE12" t="s">
        <v>337</v>
      </c>
      <c r="DF12">
        <v>-4.3861656308174138E-2</v>
      </c>
      <c r="DG12" t="e">
        <v>#VALUE!</v>
      </c>
      <c r="DH12" t="s">
        <v>337</v>
      </c>
      <c r="DI12">
        <v>-3.9874233007431037E-2</v>
      </c>
      <c r="DJ12" t="e">
        <v>#VALUE!</v>
      </c>
      <c r="DK12" t="s">
        <v>337</v>
      </c>
      <c r="DL12">
        <v>-3.488995388150215E-2</v>
      </c>
      <c r="DM12">
        <v>-31961200</v>
      </c>
      <c r="DN12">
        <v>-4.9842791259288789E-2</v>
      </c>
      <c r="DO12">
        <v>1544285110</v>
      </c>
      <c r="DP12">
        <v>-447008410</v>
      </c>
      <c r="DQ12" s="9">
        <v>1203</v>
      </c>
      <c r="DR12">
        <v>-0.50248279013606001</v>
      </c>
      <c r="DS12">
        <v>3.6346300764220421</v>
      </c>
      <c r="DT12">
        <v>-0.52333333333333332</v>
      </c>
      <c r="DU12">
        <v>-2.0483333333333333</v>
      </c>
      <c r="DV12">
        <v>-2.5716666666666668</v>
      </c>
      <c r="DW12">
        <v>-2.1139999999999999</v>
      </c>
      <c r="DX12">
        <v>0.26709558823529506</v>
      </c>
      <c r="DY12">
        <v>-2.0087888970588237</v>
      </c>
      <c r="DZ12">
        <v>4522</v>
      </c>
      <c r="EA12">
        <v>-2.0010113251410155</v>
      </c>
      <c r="EB12" s="10">
        <v>2</v>
      </c>
      <c r="EC12" s="10">
        <v>0.12042072486040786</v>
      </c>
      <c r="ED12">
        <v>1.5619664836447753</v>
      </c>
      <c r="EE12">
        <v>4.7000000000000028E-3</v>
      </c>
      <c r="EF12">
        <v>3.6099999999999999E-3</v>
      </c>
      <c r="EG12">
        <v>19.077095588235295</v>
      </c>
      <c r="EH12" s="12">
        <v>-1</v>
      </c>
      <c r="EI12">
        <v>0</v>
      </c>
      <c r="EJ12">
        <v>0</v>
      </c>
      <c r="EK12">
        <v>45470</v>
      </c>
      <c r="EL12">
        <v>-0.66</v>
      </c>
      <c r="EM12">
        <v>-4.67</v>
      </c>
      <c r="EN12" s="13">
        <v>3.85</v>
      </c>
      <c r="EO12" s="13">
        <v>1.85</v>
      </c>
      <c r="EP12" s="13">
        <v>-0.83</v>
      </c>
    </row>
    <row r="13" spans="1:146" ht="96" x14ac:dyDescent="0.25">
      <c r="A13" s="16"/>
      <c r="B13" s="16"/>
      <c r="C13" s="16" t="str">
        <f>""&amp;CHAR(10)&amp;Basic_Fundamental_Information_Constructure(F13)&amp;CHAR(10)&amp;Basic_Fundamental_Information_Concatenate("")</f>
        <v xml:space="preserve">
市值22.78428亿, 利润1615.89万; PE13.54; 平均PE25.1; 平均PEG3.19, PB1.61; ROIC10.1967%; ROE11.1233%; 股利率1.0359%; 毛利25.8067%; 净利7.48%; 上一年度营收增-79.79%, 利润增-83.74%; 当季营收增-60.64%, 利润增-83.57%; 过往5年营收增-7.87%, 利润增21.63%
Income profile:
</v>
      </c>
      <c r="D13" t="s">
        <v>966</v>
      </c>
      <c r="E13" t="s">
        <v>967</v>
      </c>
      <c r="F13">
        <v>14.48</v>
      </c>
      <c r="G13">
        <v>0.84</v>
      </c>
      <c r="H13" t="s">
        <v>968</v>
      </c>
      <c r="I13">
        <v>2278428000</v>
      </c>
      <c r="J13">
        <v>13.54</v>
      </c>
      <c r="K13">
        <v>1.61</v>
      </c>
      <c r="L13" t="s">
        <v>36</v>
      </c>
      <c r="M13" t="s">
        <v>793</v>
      </c>
      <c r="N13" t="s">
        <v>969</v>
      </c>
      <c r="O13" t="s">
        <v>566</v>
      </c>
      <c r="P13" s="4">
        <v>-11.55</v>
      </c>
      <c r="Q13" t="s">
        <v>566</v>
      </c>
      <c r="R13">
        <v>16158907</v>
      </c>
      <c r="S13">
        <v>-0.42909999999999998</v>
      </c>
      <c r="T13" t="s">
        <v>970</v>
      </c>
      <c r="U13">
        <v>156566170</v>
      </c>
      <c r="V13">
        <v>157350000</v>
      </c>
      <c r="W13">
        <v>1.3</v>
      </c>
      <c r="X13">
        <v>0.2</v>
      </c>
      <c r="Y13">
        <v>4.28</v>
      </c>
      <c r="Z13" t="s">
        <v>971</v>
      </c>
      <c r="AA13" t="s">
        <v>972</v>
      </c>
      <c r="AB13" t="s">
        <v>973</v>
      </c>
      <c r="AC13" t="s">
        <v>974</v>
      </c>
      <c r="AD13" t="s">
        <v>20</v>
      </c>
      <c r="AE13">
        <v>390664</v>
      </c>
      <c r="AF13" t="s">
        <v>975</v>
      </c>
      <c r="AG13" t="s">
        <v>976</v>
      </c>
      <c r="AH13" t="s">
        <v>977</v>
      </c>
      <c r="AI13" t="s">
        <v>978</v>
      </c>
      <c r="AJ13" t="s">
        <v>979</v>
      </c>
      <c r="AK13" t="s">
        <v>20</v>
      </c>
      <c r="AL13" t="s">
        <v>980</v>
      </c>
      <c r="AM13" t="s">
        <v>20</v>
      </c>
      <c r="AN13" t="s">
        <v>981</v>
      </c>
      <c r="AO13" t="s">
        <v>982</v>
      </c>
      <c r="AP13" t="s">
        <v>20</v>
      </c>
      <c r="AQ13" t="s">
        <v>983</v>
      </c>
      <c r="AR13" t="s">
        <v>20</v>
      </c>
      <c r="AS13" t="s">
        <v>549</v>
      </c>
      <c r="AT13" t="s">
        <v>20</v>
      </c>
      <c r="AU13" t="s">
        <v>984</v>
      </c>
      <c r="AV13" t="s">
        <v>985</v>
      </c>
      <c r="AW13" t="s">
        <v>986</v>
      </c>
      <c r="AX13" t="s">
        <v>987</v>
      </c>
      <c r="AY13" t="s">
        <v>607</v>
      </c>
      <c r="AZ13" t="s">
        <v>184</v>
      </c>
      <c r="BA13" t="s">
        <v>304</v>
      </c>
      <c r="BB13" t="s">
        <v>988</v>
      </c>
      <c r="BC13" t="s">
        <v>989</v>
      </c>
      <c r="BD13" t="s">
        <v>990</v>
      </c>
      <c r="BE13" t="s">
        <v>165</v>
      </c>
      <c r="BF13" t="s">
        <v>67</v>
      </c>
      <c r="BG13" t="s">
        <v>991</v>
      </c>
      <c r="BH13" t="s">
        <v>992</v>
      </c>
      <c r="BI13" t="s">
        <v>224</v>
      </c>
      <c r="BJ13" t="s">
        <v>987</v>
      </c>
      <c r="BK13" t="s">
        <v>141</v>
      </c>
      <c r="BL13" t="s">
        <v>993</v>
      </c>
      <c r="BM13" t="s">
        <v>989</v>
      </c>
      <c r="BN13">
        <v>9.83</v>
      </c>
      <c r="BO13">
        <v>7.62</v>
      </c>
      <c r="BP13">
        <v>13.14</v>
      </c>
      <c r="BQ13">
        <v>11</v>
      </c>
      <c r="BR13">
        <v>8.19</v>
      </c>
      <c r="BS13">
        <v>14.18</v>
      </c>
      <c r="BT13" t="s">
        <v>994</v>
      </c>
      <c r="BU13" t="s">
        <v>798</v>
      </c>
      <c r="BV13">
        <v>26.04</v>
      </c>
      <c r="BW13">
        <v>23.54</v>
      </c>
      <c r="BX13">
        <v>27.84</v>
      </c>
      <c r="BY13">
        <v>9.17</v>
      </c>
      <c r="BZ13">
        <v>5.41</v>
      </c>
      <c r="CA13">
        <v>7.86</v>
      </c>
      <c r="CB13">
        <v>7.0000000000000007E-2</v>
      </c>
      <c r="CC13" s="7">
        <v>-7.95</v>
      </c>
      <c r="CD13" s="8" t="s">
        <v>995</v>
      </c>
      <c r="CE13" s="7" t="s">
        <v>996</v>
      </c>
      <c r="CF13" s="7">
        <v>-0.60643821391484942</v>
      </c>
      <c r="CG13" s="7">
        <v>-0.83568360650069862</v>
      </c>
      <c r="CH13" s="7">
        <v>-0.79786664247512817</v>
      </c>
      <c r="CI13" s="7">
        <v>-5.5415615439414978E-2</v>
      </c>
      <c r="CJ13" s="8">
        <v>0.21258407831192017</v>
      </c>
      <c r="CK13" s="8">
        <v>0.11284831166267395</v>
      </c>
      <c r="CL13" s="8">
        <v>0.13415585458278656</v>
      </c>
      <c r="CM13" s="8">
        <v>-0.83737266063690186</v>
      </c>
      <c r="CN13" s="8">
        <v>-0.37112972140312195</v>
      </c>
      <c r="CO13">
        <v>0.50476193428039551</v>
      </c>
      <c r="CP13">
        <v>-0.15322580933570862</v>
      </c>
      <c r="CQ13">
        <v>1.9383260011672974</v>
      </c>
      <c r="CR13" s="7">
        <v>25.096444732379659</v>
      </c>
      <c r="CS13" s="8">
        <v>3.187303321985234</v>
      </c>
      <c r="CT13">
        <v>1.0359116022099448</v>
      </c>
      <c r="CU13">
        <v>-7.873880267143249E-2</v>
      </c>
      <c r="CV13">
        <v>0.2162719488143921</v>
      </c>
      <c r="CW13">
        <v>0.06</v>
      </c>
      <c r="CX13">
        <v>84.623829592360863</v>
      </c>
      <c r="CY13" t="s">
        <v>997</v>
      </c>
      <c r="CZ13">
        <v>-7.873880267143249E-2</v>
      </c>
      <c r="DA13">
        <v>28.207943197453623</v>
      </c>
      <c r="DB13" t="s">
        <v>998</v>
      </c>
      <c r="DC13">
        <v>-7.4801862537860864E-2</v>
      </c>
      <c r="DD13">
        <v>14.103971598726812</v>
      </c>
      <c r="DE13" t="s">
        <v>999</v>
      </c>
      <c r="DF13">
        <v>-6.9290146350860587E-2</v>
      </c>
      <c r="DG13">
        <v>8.462382959236086</v>
      </c>
      <c r="DH13" t="s">
        <v>1000</v>
      </c>
      <c r="DI13">
        <v>-6.2991042137146E-2</v>
      </c>
      <c r="DJ13">
        <v>4.231191479618043</v>
      </c>
      <c r="DK13" t="s">
        <v>1001</v>
      </c>
      <c r="DL13">
        <v>-5.5117161870002741E-2</v>
      </c>
      <c r="DM13">
        <v>16158900.000000002</v>
      </c>
      <c r="DN13">
        <v>-7.873880267143249E-2</v>
      </c>
      <c r="DO13">
        <v>1367428000</v>
      </c>
      <c r="DP13">
        <v>177694240</v>
      </c>
      <c r="DQ13" s="9">
        <v>1215</v>
      </c>
      <c r="DR13">
        <v>-0.5276994112434169</v>
      </c>
      <c r="DS13">
        <v>-1.0519555553150908</v>
      </c>
      <c r="DT13">
        <v>-0.64</v>
      </c>
      <c r="DU13">
        <v>-0.45333333333333337</v>
      </c>
      <c r="DV13">
        <v>-1.0933333333333333</v>
      </c>
      <c r="DW13">
        <v>-2.0794999999999999</v>
      </c>
      <c r="DX13">
        <v>0.31134796099111967</v>
      </c>
      <c r="DY13">
        <v>-2.0096471628987942</v>
      </c>
      <c r="DZ13">
        <v>1274</v>
      </c>
      <c r="EA13">
        <v>-2.0072419798199168</v>
      </c>
      <c r="EB13" s="10">
        <v>2</v>
      </c>
      <c r="EC13" s="10">
        <v>1.9113441372735938E-2</v>
      </c>
      <c r="ED13">
        <v>0.15750937400699078</v>
      </c>
      <c r="EE13">
        <v>-3.0876999999999999</v>
      </c>
      <c r="EF13">
        <v>-3.0733999999999999</v>
      </c>
      <c r="EG13">
        <v>19.12134796099112</v>
      </c>
      <c r="EH13" s="12" t="s">
        <v>635</v>
      </c>
      <c r="EI13">
        <v>0</v>
      </c>
      <c r="EJ13">
        <v>1</v>
      </c>
      <c r="EK13">
        <v>45470</v>
      </c>
      <c r="EL13">
        <v>1.03</v>
      </c>
      <c r="EM13">
        <v>-4.08</v>
      </c>
      <c r="EN13" s="13">
        <v>2.13</v>
      </c>
      <c r="EO13" s="13">
        <v>1.67</v>
      </c>
      <c r="EP13" s="13">
        <v>-1.43</v>
      </c>
    </row>
    <row r="14" spans="1:146" ht="96" x14ac:dyDescent="0.25">
      <c r="A14" s="16"/>
      <c r="B14" s="16"/>
      <c r="C14" s="16" t="str">
        <f>""&amp;CHAR(10)&amp;Basic_Fundamental_Information_Constructure(F14)&amp;CHAR(10)&amp;Basic_Fundamental_Information_Concatenate("")</f>
        <v xml:space="preserve">
市值11.9474541亿, 利润-4462.77万; PE; 平均PE36.73; 平均PEG7.94, PB.989; ROIC3.305%; ROE1.9767%; 股利率0%; 毛利20.5567%; 净利.84%; 上一年度营收增-78.57%, 利润增-173.23%; 当季营收增-53.22%, 利润增-121.33%; 过往5年营收增-4.63%, 利润增30.77%
Income profile:
</v>
      </c>
      <c r="D14" t="s">
        <v>1002</v>
      </c>
      <c r="E14" t="s">
        <v>1003</v>
      </c>
      <c r="F14">
        <v>6.11</v>
      </c>
      <c r="G14">
        <v>0.66</v>
      </c>
      <c r="H14" t="s">
        <v>1004</v>
      </c>
      <c r="I14">
        <v>1194745410</v>
      </c>
      <c r="K14">
        <v>0.98899999999999999</v>
      </c>
      <c r="L14" t="s">
        <v>36</v>
      </c>
      <c r="M14" t="s">
        <v>1005</v>
      </c>
      <c r="N14" t="s">
        <v>1006</v>
      </c>
      <c r="O14" t="s">
        <v>1007</v>
      </c>
      <c r="P14" s="4">
        <v>-9.9600000000000009</v>
      </c>
      <c r="Q14" t="s">
        <v>1007</v>
      </c>
      <c r="R14">
        <v>-44627733</v>
      </c>
      <c r="S14">
        <v>-8.08</v>
      </c>
      <c r="T14" t="s">
        <v>1008</v>
      </c>
      <c r="U14">
        <v>171061950</v>
      </c>
      <c r="V14">
        <v>195539350</v>
      </c>
      <c r="W14">
        <v>2.06</v>
      </c>
      <c r="X14">
        <v>0.09</v>
      </c>
      <c r="Y14">
        <v>-19.829999999999998</v>
      </c>
      <c r="Z14" t="s">
        <v>1009</v>
      </c>
      <c r="AA14" t="s">
        <v>1010</v>
      </c>
      <c r="AB14" t="s">
        <v>1011</v>
      </c>
      <c r="AC14" t="s">
        <v>1012</v>
      </c>
      <c r="AD14" t="s">
        <v>20</v>
      </c>
      <c r="AE14">
        <v>8162652</v>
      </c>
      <c r="AF14" t="s">
        <v>46</v>
      </c>
      <c r="AG14" t="s">
        <v>1013</v>
      </c>
      <c r="AH14" t="s">
        <v>1014</v>
      </c>
      <c r="AI14" t="s">
        <v>534</v>
      </c>
      <c r="AJ14" t="s">
        <v>1015</v>
      </c>
      <c r="AK14" t="s">
        <v>20</v>
      </c>
      <c r="AL14" t="s">
        <v>1016</v>
      </c>
      <c r="AM14" t="s">
        <v>20</v>
      </c>
      <c r="AN14" t="s">
        <v>1017</v>
      </c>
      <c r="AO14" t="s">
        <v>1018</v>
      </c>
      <c r="AP14" t="s">
        <v>1019</v>
      </c>
      <c r="AQ14" t="s">
        <v>1020</v>
      </c>
      <c r="AR14" t="s">
        <v>20</v>
      </c>
      <c r="AS14" t="s">
        <v>1021</v>
      </c>
      <c r="AT14" t="s">
        <v>1022</v>
      </c>
      <c r="AU14" t="s">
        <v>1023</v>
      </c>
      <c r="AV14" t="s">
        <v>1024</v>
      </c>
      <c r="AW14" t="s">
        <v>1025</v>
      </c>
      <c r="AX14" t="s">
        <v>1026</v>
      </c>
      <c r="AY14" t="s">
        <v>1027</v>
      </c>
      <c r="AZ14" t="s">
        <v>610</v>
      </c>
      <c r="BA14" t="s">
        <v>548</v>
      </c>
      <c r="BB14" t="s">
        <v>1028</v>
      </c>
      <c r="BC14" t="s">
        <v>1029</v>
      </c>
      <c r="BD14" t="s">
        <v>1030</v>
      </c>
      <c r="BE14" t="s">
        <v>1031</v>
      </c>
      <c r="BF14" t="s">
        <v>1032</v>
      </c>
      <c r="BG14" t="s">
        <v>1033</v>
      </c>
      <c r="BH14" t="s">
        <v>1034</v>
      </c>
      <c r="BI14" t="s">
        <v>617</v>
      </c>
      <c r="BJ14" t="s">
        <v>1026</v>
      </c>
      <c r="BK14" t="s">
        <v>1035</v>
      </c>
      <c r="BL14" t="s">
        <v>1036</v>
      </c>
      <c r="BM14" t="s">
        <v>1029</v>
      </c>
      <c r="BN14" t="s">
        <v>20</v>
      </c>
      <c r="BO14">
        <v>3.77</v>
      </c>
      <c r="BP14">
        <v>2.84</v>
      </c>
      <c r="BQ14">
        <v>-1.28</v>
      </c>
      <c r="BR14">
        <v>3.9</v>
      </c>
      <c r="BS14">
        <v>3.31</v>
      </c>
      <c r="BT14" t="s">
        <v>361</v>
      </c>
      <c r="BU14" t="s">
        <v>798</v>
      </c>
      <c r="BV14">
        <v>18.850000000000001</v>
      </c>
      <c r="BW14">
        <v>19.04</v>
      </c>
      <c r="BX14">
        <v>23.78</v>
      </c>
      <c r="BY14">
        <v>-8.5299999999999994</v>
      </c>
      <c r="BZ14">
        <v>5.81</v>
      </c>
      <c r="CA14">
        <v>5.24</v>
      </c>
      <c r="CB14">
        <v>-1.45</v>
      </c>
      <c r="CC14" s="7">
        <v>-16.98</v>
      </c>
      <c r="CD14" s="8" t="s">
        <v>1037</v>
      </c>
      <c r="CE14" s="7" t="s">
        <v>1038</v>
      </c>
      <c r="CF14" s="7">
        <v>-0.53222453222453214</v>
      </c>
      <c r="CG14" s="7">
        <v>-1.213314933567422</v>
      </c>
      <c r="CH14" s="7">
        <v>-0.78571426868438721</v>
      </c>
      <c r="CI14" s="7">
        <v>2.8403526172041893E-2</v>
      </c>
      <c r="CJ14" s="8">
        <v>0.37972971796989441</v>
      </c>
      <c r="CK14" s="8">
        <v>-9.0909093618392944E-2</v>
      </c>
      <c r="CL14" s="8">
        <v>0.23708206415176392</v>
      </c>
      <c r="CM14" s="8">
        <v>-1.732325553894043</v>
      </c>
      <c r="CN14" s="8">
        <v>0.13835552334785461</v>
      </c>
      <c r="CO14">
        <v>4.1210694313049316</v>
      </c>
      <c r="CP14">
        <v>-0.79631227254867554</v>
      </c>
      <c r="CQ14">
        <v>-0.19221445918083191</v>
      </c>
      <c r="CR14" s="7">
        <v>36.732576286298446</v>
      </c>
      <c r="CS14" s="8">
        <v>7.9367540692548975</v>
      </c>
      <c r="CT14">
        <v>0</v>
      </c>
      <c r="CU14">
        <v>-4.6281610801815989E-2</v>
      </c>
      <c r="CV14">
        <v>0.30771453380584718</v>
      </c>
      <c r="CW14">
        <v>0.06</v>
      </c>
      <c r="CX14" t="e">
        <v>#VALUE!</v>
      </c>
      <c r="CY14" t="s">
        <v>336</v>
      </c>
      <c r="CZ14">
        <v>-4.6281610801815989E-2</v>
      </c>
      <c r="DA14" t="e">
        <v>#VALUE!</v>
      </c>
      <c r="DB14" t="s">
        <v>337</v>
      </c>
      <c r="DC14">
        <v>-4.3967530261725188E-2</v>
      </c>
      <c r="DD14" t="e">
        <v>#VALUE!</v>
      </c>
      <c r="DE14" t="s">
        <v>337</v>
      </c>
      <c r="DF14">
        <v>-4.072781750559807E-2</v>
      </c>
      <c r="DG14" t="e">
        <v>#VALUE!</v>
      </c>
      <c r="DH14" t="s">
        <v>337</v>
      </c>
      <c r="DI14">
        <v>-3.702528864145279E-2</v>
      </c>
      <c r="DJ14" t="e">
        <v>#VALUE!</v>
      </c>
      <c r="DK14" t="s">
        <v>337</v>
      </c>
      <c r="DL14">
        <v>-3.2397127561271194E-2</v>
      </c>
      <c r="DM14">
        <v>-44627700.000000007</v>
      </c>
      <c r="DN14">
        <v>-4.6281610801815989E-2</v>
      </c>
      <c r="DO14">
        <v>1252745410</v>
      </c>
      <c r="DP14">
        <v>-431089180</v>
      </c>
      <c r="DQ14" s="9">
        <v>1375</v>
      </c>
      <c r="DR14">
        <v>-0.48594292142271617</v>
      </c>
      <c r="DS14">
        <v>-1.5210294673732692</v>
      </c>
      <c r="DT14">
        <v>-0.54</v>
      </c>
      <c r="DU14">
        <v>-1.656666666666667</v>
      </c>
      <c r="DV14">
        <v>-2.1966666666666672</v>
      </c>
      <c r="DW14">
        <v>-3.0110833333333336</v>
      </c>
      <c r="DX14">
        <v>0.31531689019643167</v>
      </c>
      <c r="DY14">
        <v>-3.0014997621996771</v>
      </c>
      <c r="DZ14">
        <v>4302</v>
      </c>
      <c r="EA14">
        <v>-3.0002371443947826</v>
      </c>
      <c r="EB14" s="10">
        <v>3</v>
      </c>
      <c r="EC14" s="10">
        <v>4.5421548143634513E-2</v>
      </c>
      <c r="ED14">
        <v>0.33566798703176626</v>
      </c>
      <c r="EE14">
        <v>-3.0983000000000001</v>
      </c>
      <c r="EF14">
        <v>-3.0887000000000002</v>
      </c>
      <c r="EG14">
        <v>18.135316890196432</v>
      </c>
      <c r="EH14" s="12" t="s">
        <v>635</v>
      </c>
      <c r="EI14">
        <v>0</v>
      </c>
      <c r="EJ14">
        <v>0</v>
      </c>
      <c r="EK14">
        <v>45470</v>
      </c>
      <c r="EL14">
        <v>0</v>
      </c>
      <c r="EM14">
        <v>-4.63</v>
      </c>
      <c r="EN14" s="13">
        <v>1.17</v>
      </c>
      <c r="EO14" s="13">
        <v>3.48</v>
      </c>
      <c r="EP14" s="13">
        <v>-0.96</v>
      </c>
    </row>
    <row r="15" spans="1:146" ht="132" x14ac:dyDescent="0.25">
      <c r="A15" s="16" t="s">
        <v>1947</v>
      </c>
      <c r="B15" s="16"/>
      <c r="C15" s="16" t="str">
        <f>"公司的主营业务是奶牛养殖，乳制品及含乳饮料的研发、生产和销售。公司主要产品包括液体乳、含乳饮料和奶粉等。"&amp;CHAR(10)&amp;Basic_Fundamental_Information_Constructure(F15)&amp;CHAR(10)&amp;Basic_Fundamental_Information_Concatenate("液体乳 87.76亿 87.71% 95.08% 26.06%
其他 11.59亿 11.59% 4.09% 8.48%
奶粉 7081.59万 0.71% 0.83% 28.29%")</f>
        <v>公司的主营业务是奶牛养殖，乳制品及含乳饮料的研发、生产和销售。公司主要产品包括液体乳、含乳饮料和奶粉等。
市值72.812919亿, 利润8974.82万; PE15.85; 平均PE28.73; 平均PEG39.46, PB2.95; ROIC6.8033%; ROE13.57%; 股利率1.773%; 毛利25.1567%; 净利3.8033%; 上一年度营收增-73.88%, 利润增-75.14%; 当季营收增-50.66%, 利润增-62.13%; 过往5年营收增.73%, 利润增-6.57%
Income profile:
液体乳 87.76亿 87.71% 95.08% 26.06%
其他 11.59亿 11.59% 4.09% 8.48%
奶粉 7081.59万 0.71% 0.83% 28.29%</v>
      </c>
      <c r="D15" t="s">
        <v>1039</v>
      </c>
      <c r="E15" t="s">
        <v>1040</v>
      </c>
      <c r="F15">
        <v>8.4600000000000009</v>
      </c>
      <c r="G15">
        <v>1.44</v>
      </c>
      <c r="H15" t="s">
        <v>1041</v>
      </c>
      <c r="I15">
        <v>7281291900</v>
      </c>
      <c r="J15">
        <v>15.85</v>
      </c>
      <c r="K15">
        <v>2.95</v>
      </c>
      <c r="L15" t="s">
        <v>36</v>
      </c>
      <c r="M15" t="s">
        <v>1042</v>
      </c>
      <c r="N15" t="s">
        <v>1043</v>
      </c>
      <c r="O15" t="s">
        <v>1044</v>
      </c>
      <c r="P15" s="4">
        <v>3.66</v>
      </c>
      <c r="Q15" t="s">
        <v>1044</v>
      </c>
      <c r="R15">
        <v>89748175</v>
      </c>
      <c r="S15">
        <v>0.46929999999999999</v>
      </c>
      <c r="T15" t="s">
        <v>1045</v>
      </c>
      <c r="U15">
        <v>851576590</v>
      </c>
      <c r="V15">
        <v>860672800</v>
      </c>
      <c r="W15">
        <v>3.38</v>
      </c>
      <c r="X15">
        <v>0.28999999999999998</v>
      </c>
      <c r="Y15">
        <v>3.57</v>
      </c>
      <c r="Z15" t="s">
        <v>1046</v>
      </c>
      <c r="AA15" t="s">
        <v>1047</v>
      </c>
      <c r="AB15" t="s">
        <v>482</v>
      </c>
      <c r="AC15" t="s">
        <v>174</v>
      </c>
      <c r="AD15" t="s">
        <v>20</v>
      </c>
      <c r="AE15">
        <v>27288143</v>
      </c>
      <c r="AF15" t="s">
        <v>1048</v>
      </c>
      <c r="AG15" t="s">
        <v>1049</v>
      </c>
      <c r="AH15" t="s">
        <v>1050</v>
      </c>
      <c r="AI15" t="s">
        <v>794</v>
      </c>
      <c r="AJ15" t="s">
        <v>1051</v>
      </c>
      <c r="AK15" t="s">
        <v>1052</v>
      </c>
      <c r="AL15" t="s">
        <v>1053</v>
      </c>
      <c r="AM15" t="s">
        <v>20</v>
      </c>
      <c r="AN15" t="s">
        <v>1054</v>
      </c>
      <c r="AO15" t="s">
        <v>113</v>
      </c>
      <c r="AP15" t="s">
        <v>20</v>
      </c>
      <c r="AQ15" t="s">
        <v>1055</v>
      </c>
      <c r="AR15" t="s">
        <v>20</v>
      </c>
      <c r="AS15" t="s">
        <v>1056</v>
      </c>
      <c r="AT15" t="s">
        <v>1057</v>
      </c>
      <c r="AU15" t="s">
        <v>1058</v>
      </c>
      <c r="AV15" t="s">
        <v>1059</v>
      </c>
      <c r="AW15" t="s">
        <v>1060</v>
      </c>
      <c r="AX15" t="s">
        <v>1061</v>
      </c>
      <c r="AY15" t="s">
        <v>1062</v>
      </c>
      <c r="AZ15" t="s">
        <v>1063</v>
      </c>
      <c r="BA15" t="s">
        <v>1064</v>
      </c>
      <c r="BB15" t="s">
        <v>1065</v>
      </c>
      <c r="BC15" t="s">
        <v>971</v>
      </c>
      <c r="BD15" t="s">
        <v>1066</v>
      </c>
      <c r="BE15" t="s">
        <v>126</v>
      </c>
      <c r="BF15" t="s">
        <v>1067</v>
      </c>
      <c r="BG15" t="s">
        <v>578</v>
      </c>
      <c r="BH15" t="s">
        <v>1068</v>
      </c>
      <c r="BI15" t="s">
        <v>1069</v>
      </c>
      <c r="BJ15" t="s">
        <v>1061</v>
      </c>
      <c r="BK15" t="s">
        <v>1070</v>
      </c>
      <c r="BL15" t="s">
        <v>1071</v>
      </c>
      <c r="BM15" t="s">
        <v>971</v>
      </c>
      <c r="BN15">
        <v>7.11</v>
      </c>
      <c r="BO15">
        <v>6.82</v>
      </c>
      <c r="BP15">
        <v>6.48</v>
      </c>
      <c r="BQ15">
        <v>14.86</v>
      </c>
      <c r="BR15">
        <v>14.05</v>
      </c>
      <c r="BS15">
        <v>11.8</v>
      </c>
      <c r="BT15" t="s">
        <v>1072</v>
      </c>
      <c r="BU15" t="s">
        <v>798</v>
      </c>
      <c r="BV15">
        <v>26.87</v>
      </c>
      <c r="BW15">
        <v>24.04</v>
      </c>
      <c r="BX15">
        <v>24.56</v>
      </c>
      <c r="BY15">
        <v>3.98</v>
      </c>
      <c r="BZ15">
        <v>3.62</v>
      </c>
      <c r="CA15">
        <v>3.81</v>
      </c>
      <c r="CB15">
        <v>-3.42</v>
      </c>
      <c r="CC15" s="7">
        <v>-18.649999999999999</v>
      </c>
      <c r="CD15" s="8" t="s">
        <v>1073</v>
      </c>
      <c r="CE15" s="7" t="s">
        <v>827</v>
      </c>
      <c r="CF15" s="7">
        <v>-0.50660626651566631</v>
      </c>
      <c r="CG15" s="7">
        <v>-0.62131571729957802</v>
      </c>
      <c r="CH15" s="7">
        <v>-0.73875671625137329</v>
      </c>
      <c r="CI15" s="7">
        <v>0.11586924642324448</v>
      </c>
      <c r="CJ15" s="8">
        <v>0.32864126563072205</v>
      </c>
      <c r="CK15" s="8">
        <v>0.18925116956233978</v>
      </c>
      <c r="CL15" s="8">
        <v>0.14139169454574585</v>
      </c>
      <c r="CM15" s="8">
        <v>-0.75139003992080688</v>
      </c>
      <c r="CN15" s="8">
        <v>0.15705128014087677</v>
      </c>
      <c r="CO15">
        <v>0.15129151940345764</v>
      </c>
      <c r="CP15">
        <v>0.11065573990345001</v>
      </c>
      <c r="CQ15">
        <v>4.1152262128889561E-3</v>
      </c>
      <c r="CR15" s="7">
        <v>28.727800828565833</v>
      </c>
      <c r="CS15" s="8">
        <v>39.464886199814494</v>
      </c>
      <c r="CT15">
        <v>1.7730496453900708</v>
      </c>
      <c r="CU15">
        <v>7.2793319821357729E-3</v>
      </c>
      <c r="CV15">
        <v>-6.5655254852026695E-2</v>
      </c>
      <c r="CW15">
        <v>0.06</v>
      </c>
      <c r="CX15">
        <v>128.01035962097299</v>
      </c>
      <c r="CY15">
        <v>85284440.511885956</v>
      </c>
      <c r="CZ15">
        <v>7.2793319821357729E-3</v>
      </c>
      <c r="DA15">
        <v>44.896415950964574</v>
      </c>
      <c r="DB15">
        <v>243166223.15517923</v>
      </c>
      <c r="DC15">
        <v>6.9153653830289841E-3</v>
      </c>
      <c r="DD15">
        <v>24.215809131253195</v>
      </c>
      <c r="DE15">
        <v>450833248.67761779</v>
      </c>
      <c r="DF15">
        <v>6.4058121442794802E-3</v>
      </c>
      <c r="DG15">
        <v>16.050274560208351</v>
      </c>
      <c r="DH15">
        <v>680193467.0367583</v>
      </c>
      <c r="DI15">
        <v>5.8234655857086186E-3</v>
      </c>
      <c r="DJ15">
        <v>10.147501091535794</v>
      </c>
      <c r="DK15">
        <v>1075860135.5664108</v>
      </c>
      <c r="DL15">
        <v>5.0955323874950411E-3</v>
      </c>
      <c r="DM15">
        <v>89748200</v>
      </c>
      <c r="DN15">
        <v>7.2793319821357729E-3</v>
      </c>
      <c r="DO15">
        <v>10917291900</v>
      </c>
      <c r="DP15">
        <v>-2017716000</v>
      </c>
      <c r="DQ15" s="9">
        <v>1407</v>
      </c>
      <c r="DR15">
        <v>-0.51388559849780213</v>
      </c>
      <c r="DS15">
        <v>-0.5556604624475513</v>
      </c>
      <c r="DT15">
        <v>-0.52333333333333332</v>
      </c>
      <c r="DU15">
        <v>-0.49</v>
      </c>
      <c r="DV15">
        <v>-1.0133333333333332</v>
      </c>
      <c r="DW15">
        <v>-8.1833780160857916</v>
      </c>
      <c r="DX15">
        <v>0.39508432835821039</v>
      </c>
      <c r="DY15">
        <v>-8.028439056460325</v>
      </c>
      <c r="DZ15">
        <v>1126</v>
      </c>
      <c r="EA15">
        <v>-8.0221724463675024</v>
      </c>
      <c r="EB15" s="10">
        <v>8</v>
      </c>
      <c r="EC15" s="10">
        <v>2.4145412751512538E-2</v>
      </c>
      <c r="ED15">
        <v>0.15569215153540347</v>
      </c>
      <c r="EE15">
        <v>-2.0256099999999999</v>
      </c>
      <c r="EF15">
        <v>-2.0579100000000001</v>
      </c>
      <c r="EG15">
        <v>24.15508432835821</v>
      </c>
      <c r="EH15" s="12" t="s">
        <v>519</v>
      </c>
      <c r="EI15">
        <v>0</v>
      </c>
      <c r="EJ15">
        <v>1</v>
      </c>
      <c r="EK15">
        <v>45470</v>
      </c>
      <c r="EL15">
        <v>-0.44</v>
      </c>
      <c r="EM15">
        <v>-2.96</v>
      </c>
      <c r="EN15" s="13">
        <v>1.24</v>
      </c>
      <c r="EO15" s="13">
        <v>3.57</v>
      </c>
      <c r="EP15" s="13">
        <v>-3.23</v>
      </c>
    </row>
    <row r="16" spans="1:146" ht="96" x14ac:dyDescent="0.25">
      <c r="A16" s="16"/>
      <c r="B16" s="16"/>
      <c r="C16" s="16" t="str">
        <f>""&amp;CHAR(10)&amp;Basic_Fundamental_Information_Constructure(F16)&amp;CHAR(10)&amp;Basic_Fundamental_Information_Concatenate("")</f>
        <v xml:space="preserve">
市值12.7222051亿, 利润-426.77万; PE; 平均PE-3210.25; 平均PEG-3152.1, PB2.37; ROIC4.11%; ROE.37%; 股利率0%; 毛利15.6833%; 净利1.53%; 上一年度营收增-82.19%, 利润增-132.84%; 当季营收增-58.81%, 利润增-237.75%; 过往5年营收增-1.02%, 利润增-78.24%
Income profile:
</v>
      </c>
      <c r="D16" t="s">
        <v>1074</v>
      </c>
      <c r="E16" t="s">
        <v>1075</v>
      </c>
      <c r="F16">
        <v>6.02</v>
      </c>
      <c r="G16">
        <v>1.18</v>
      </c>
      <c r="H16" t="s">
        <v>1076</v>
      </c>
      <c r="I16">
        <v>1272220510</v>
      </c>
      <c r="K16">
        <v>2.37</v>
      </c>
      <c r="L16" t="s">
        <v>36</v>
      </c>
      <c r="M16" t="s">
        <v>1077</v>
      </c>
      <c r="N16" t="s">
        <v>1078</v>
      </c>
      <c r="O16" t="s">
        <v>876</v>
      </c>
      <c r="P16" s="4">
        <v>-16.23</v>
      </c>
      <c r="Q16" t="s">
        <v>876</v>
      </c>
      <c r="R16">
        <v>-4267655</v>
      </c>
      <c r="S16">
        <v>-2.96</v>
      </c>
      <c r="T16" t="s">
        <v>1079</v>
      </c>
      <c r="U16">
        <v>211332310</v>
      </c>
      <c r="V16">
        <v>211332310</v>
      </c>
      <c r="W16">
        <v>1.78</v>
      </c>
      <c r="X16">
        <v>0.2</v>
      </c>
      <c r="Y16">
        <v>-1.37</v>
      </c>
      <c r="Z16" t="s">
        <v>148</v>
      </c>
      <c r="AA16" t="s">
        <v>65</v>
      </c>
      <c r="AB16" t="s">
        <v>1080</v>
      </c>
      <c r="AC16" t="s">
        <v>1081</v>
      </c>
      <c r="AD16" t="s">
        <v>20</v>
      </c>
      <c r="AE16">
        <v>1493000</v>
      </c>
      <c r="AF16" t="s">
        <v>1082</v>
      </c>
      <c r="AG16" t="s">
        <v>1083</v>
      </c>
      <c r="AH16" t="s">
        <v>1084</v>
      </c>
      <c r="AI16" t="s">
        <v>1085</v>
      </c>
      <c r="AJ16" t="s">
        <v>1086</v>
      </c>
      <c r="AK16" t="s">
        <v>1087</v>
      </c>
      <c r="AL16" t="s">
        <v>1088</v>
      </c>
      <c r="AM16" t="s">
        <v>20</v>
      </c>
      <c r="AN16" t="s">
        <v>1089</v>
      </c>
      <c r="AO16" t="s">
        <v>506</v>
      </c>
      <c r="AP16" t="s">
        <v>20</v>
      </c>
      <c r="AQ16" t="s">
        <v>80</v>
      </c>
      <c r="AR16" t="s">
        <v>20</v>
      </c>
      <c r="AS16" t="s">
        <v>1090</v>
      </c>
      <c r="AT16" t="s">
        <v>1091</v>
      </c>
      <c r="AU16" t="s">
        <v>1092</v>
      </c>
      <c r="AV16" t="s">
        <v>1093</v>
      </c>
      <c r="AW16" t="s">
        <v>1094</v>
      </c>
      <c r="AX16" t="s">
        <v>1095</v>
      </c>
      <c r="AY16" t="s">
        <v>1096</v>
      </c>
      <c r="AZ16" t="s">
        <v>574</v>
      </c>
      <c r="BA16" t="s">
        <v>283</v>
      </c>
      <c r="BB16" t="s">
        <v>1097</v>
      </c>
      <c r="BC16" t="s">
        <v>1098</v>
      </c>
      <c r="BD16" t="s">
        <v>1099</v>
      </c>
      <c r="BE16" t="s">
        <v>1100</v>
      </c>
      <c r="BF16" t="s">
        <v>1101</v>
      </c>
      <c r="BG16" t="s">
        <v>1102</v>
      </c>
      <c r="BH16" t="s">
        <v>1103</v>
      </c>
      <c r="BI16" t="s">
        <v>1104</v>
      </c>
      <c r="BJ16" t="s">
        <v>1095</v>
      </c>
      <c r="BK16" t="s">
        <v>1105</v>
      </c>
      <c r="BL16" t="s">
        <v>1106</v>
      </c>
      <c r="BM16" t="s">
        <v>1098</v>
      </c>
      <c r="BN16">
        <v>0.36</v>
      </c>
      <c r="BO16">
        <v>5.78</v>
      </c>
      <c r="BP16">
        <v>6.19</v>
      </c>
      <c r="BQ16">
        <v>-2.95</v>
      </c>
      <c r="BR16">
        <v>1.88</v>
      </c>
      <c r="BS16">
        <v>2.1800000000000002</v>
      </c>
      <c r="BT16" t="s">
        <v>361</v>
      </c>
      <c r="BU16" t="s">
        <v>798</v>
      </c>
      <c r="BV16">
        <v>13.06</v>
      </c>
      <c r="BW16">
        <v>16.920000000000002</v>
      </c>
      <c r="BX16">
        <v>17.07</v>
      </c>
      <c r="BY16">
        <v>-2.93</v>
      </c>
      <c r="BZ16">
        <v>3.47</v>
      </c>
      <c r="CA16">
        <v>4.05</v>
      </c>
      <c r="CB16">
        <v>0.33</v>
      </c>
      <c r="CC16" s="7">
        <v>-11.6</v>
      </c>
      <c r="CD16" s="8" t="s">
        <v>1107</v>
      </c>
      <c r="CE16" s="7" t="s">
        <v>245</v>
      </c>
      <c r="CF16" s="7">
        <v>-0.58813263525305415</v>
      </c>
      <c r="CG16" s="7">
        <v>-2.377507181821116</v>
      </c>
      <c r="CH16" s="7">
        <v>-0.82188677787780762</v>
      </c>
      <c r="CI16" s="7">
        <v>0.17464533448219299</v>
      </c>
      <c r="CJ16" s="8">
        <v>0.37560975551605225</v>
      </c>
      <c r="CK16" s="8">
        <v>0.26348227262496948</v>
      </c>
      <c r="CL16" s="8">
        <v>-4.2772863060235977E-2</v>
      </c>
      <c r="CM16" s="8">
        <v>-1.3284488916397095</v>
      </c>
      <c r="CN16" s="8">
        <v>-9.8230957984924316E-2</v>
      </c>
      <c r="CO16">
        <v>0.20623001456260681</v>
      </c>
      <c r="CP16">
        <v>1.2089525461196899</v>
      </c>
      <c r="CQ16">
        <v>-3.9004416465759277</v>
      </c>
      <c r="CR16" s="7">
        <v>-3210.2460509714861</v>
      </c>
      <c r="CS16" s="8">
        <v>-3152.1037129603874</v>
      </c>
      <c r="CT16">
        <v>0</v>
      </c>
      <c r="CU16">
        <v>-1.0184455662965775E-2</v>
      </c>
      <c r="CV16">
        <v>-0.78238778710365298</v>
      </c>
      <c r="CW16">
        <v>0.06</v>
      </c>
      <c r="CX16" t="e">
        <v>#VALUE!</v>
      </c>
      <c r="CY16" t="s">
        <v>336</v>
      </c>
      <c r="CZ16">
        <v>-1.0184455662965775E-2</v>
      </c>
      <c r="DA16" t="e">
        <v>#VALUE!</v>
      </c>
      <c r="DB16" t="s">
        <v>337</v>
      </c>
      <c r="DC16">
        <v>-9.6752328798174851E-3</v>
      </c>
      <c r="DD16" t="e">
        <v>#VALUE!</v>
      </c>
      <c r="DE16" t="s">
        <v>337</v>
      </c>
      <c r="DF16">
        <v>-8.9623209834098824E-3</v>
      </c>
      <c r="DG16" t="e">
        <v>#VALUE!</v>
      </c>
      <c r="DH16" t="s">
        <v>337</v>
      </c>
      <c r="DI16">
        <v>-8.1475645303726203E-3</v>
      </c>
      <c r="DJ16" t="e">
        <v>#VALUE!</v>
      </c>
      <c r="DK16" t="s">
        <v>337</v>
      </c>
      <c r="DL16">
        <v>-7.1291189640760415E-3</v>
      </c>
      <c r="DM16">
        <v>-4267700</v>
      </c>
      <c r="DN16">
        <v>-1.0184455662965775E-2</v>
      </c>
      <c r="DO16">
        <v>1124220510</v>
      </c>
      <c r="DP16">
        <v>259441660</v>
      </c>
      <c r="DQ16" s="9">
        <v>1596</v>
      </c>
      <c r="DR16">
        <v>-0.57794817959008837</v>
      </c>
      <c r="DS16">
        <v>-1.5951193947174631</v>
      </c>
      <c r="DT16">
        <v>-0.37333333333333335</v>
      </c>
      <c r="DU16">
        <v>-1.8983333333333334</v>
      </c>
      <c r="DV16">
        <v>-2.2716666666666669</v>
      </c>
      <c r="DW16">
        <v>-2.1160000000000001</v>
      </c>
      <c r="DX16">
        <v>0.27852598187311106</v>
      </c>
      <c r="DY16">
        <v>-2.0125890138972808</v>
      </c>
      <c r="DZ16">
        <v>4463</v>
      </c>
      <c r="EA16">
        <v>-2.001593951466055</v>
      </c>
      <c r="EB16" s="10">
        <v>2</v>
      </c>
      <c r="EC16" s="10">
        <v>0.16997921425266208</v>
      </c>
      <c r="ED16">
        <v>1.5662536410073784</v>
      </c>
      <c r="EE16">
        <v>-1.0154099999999999</v>
      </c>
      <c r="EF16">
        <v>-1.02861</v>
      </c>
      <c r="EG16">
        <v>17.108525981873111</v>
      </c>
      <c r="EH16" s="12" t="s">
        <v>464</v>
      </c>
      <c r="EI16">
        <v>0</v>
      </c>
      <c r="EJ16">
        <v>0</v>
      </c>
      <c r="EK16">
        <v>45470</v>
      </c>
      <c r="EL16">
        <v>1</v>
      </c>
      <c r="EM16">
        <v>-5.09</v>
      </c>
      <c r="EN16" s="13">
        <v>1.73</v>
      </c>
      <c r="EO16" s="13">
        <v>2.89</v>
      </c>
      <c r="EP16" s="13">
        <v>-1.32</v>
      </c>
    </row>
    <row r="17" spans="1:146" ht="96" x14ac:dyDescent="0.25">
      <c r="A17" s="16"/>
      <c r="B17" s="16"/>
      <c r="C17" s="16" t="str">
        <f>""&amp;CHAR(10)&amp;Basic_Fundamental_Information_Constructure(F17)&amp;CHAR(10)&amp;Basic_Fundamental_Information_Concatenate("")</f>
        <v xml:space="preserve">
市值16.07亿, 利润-449.36万; PE; 平均PE23.22; 平均PEG1.81, PB1.54; ROIC4.29%; ROE1.0933%; 股利率0%; 毛利20.2167%; 净利-.0067%; 上一年度营收增-86.48%, 利润增-140.11%; 当季营收增-63.83%, 利润增92.31%; 过往5年营收增-12.82%, 利润增-38.8%
Income profile:
</v>
      </c>
      <c r="D17" t="s">
        <v>1108</v>
      </c>
      <c r="E17" t="s">
        <v>1109</v>
      </c>
      <c r="F17">
        <v>16.07</v>
      </c>
      <c r="G17">
        <v>0.44</v>
      </c>
      <c r="H17" t="s">
        <v>1110</v>
      </c>
      <c r="I17">
        <v>1607000000</v>
      </c>
      <c r="K17">
        <v>1.54</v>
      </c>
      <c r="L17" t="s">
        <v>36</v>
      </c>
      <c r="M17" t="s">
        <v>972</v>
      </c>
      <c r="N17" t="s">
        <v>1111</v>
      </c>
      <c r="O17" t="s">
        <v>1112</v>
      </c>
      <c r="P17" s="4">
        <v>-23.84</v>
      </c>
      <c r="Q17" t="s">
        <v>1112</v>
      </c>
      <c r="R17">
        <v>-4493570</v>
      </c>
      <c r="S17">
        <v>0.79320000000000002</v>
      </c>
      <c r="T17" t="s">
        <v>1113</v>
      </c>
      <c r="U17">
        <v>64562500</v>
      </c>
      <c r="V17">
        <v>100000000</v>
      </c>
      <c r="W17">
        <v>1.26</v>
      </c>
      <c r="X17">
        <v>0.16</v>
      </c>
      <c r="Y17">
        <v>-2.16</v>
      </c>
      <c r="Z17" t="s">
        <v>232</v>
      </c>
      <c r="AA17" t="s">
        <v>505</v>
      </c>
      <c r="AB17" t="s">
        <v>1114</v>
      </c>
      <c r="AC17" t="s">
        <v>1115</v>
      </c>
      <c r="AD17" t="s">
        <v>20</v>
      </c>
      <c r="AE17">
        <v>1817104</v>
      </c>
      <c r="AF17" t="s">
        <v>1116</v>
      </c>
      <c r="AG17" t="s">
        <v>1117</v>
      </c>
      <c r="AH17" t="s">
        <v>1118</v>
      </c>
      <c r="AI17" t="s">
        <v>205</v>
      </c>
      <c r="AJ17" t="s">
        <v>1119</v>
      </c>
      <c r="AK17" t="s">
        <v>20</v>
      </c>
      <c r="AL17" t="s">
        <v>1120</v>
      </c>
      <c r="AM17" t="s">
        <v>20</v>
      </c>
      <c r="AN17" t="s">
        <v>1121</v>
      </c>
      <c r="AO17" t="s">
        <v>1122</v>
      </c>
      <c r="AP17" t="s">
        <v>20</v>
      </c>
      <c r="AQ17" t="s">
        <v>554</v>
      </c>
      <c r="AR17" t="s">
        <v>20</v>
      </c>
      <c r="AS17" t="s">
        <v>1123</v>
      </c>
      <c r="AT17" t="s">
        <v>1124</v>
      </c>
      <c r="AU17" t="s">
        <v>1125</v>
      </c>
      <c r="AV17" t="s">
        <v>1126</v>
      </c>
      <c r="AW17" t="s">
        <v>1127</v>
      </c>
      <c r="AX17" t="s">
        <v>1128</v>
      </c>
      <c r="AY17" t="s">
        <v>527</v>
      </c>
      <c r="AZ17" t="s">
        <v>1129</v>
      </c>
      <c r="BA17" t="s">
        <v>1130</v>
      </c>
      <c r="BB17" t="s">
        <v>315</v>
      </c>
      <c r="BC17" t="s">
        <v>1131</v>
      </c>
      <c r="BD17" t="s">
        <v>1132</v>
      </c>
      <c r="BE17" t="s">
        <v>474</v>
      </c>
      <c r="BF17" t="s">
        <v>1133</v>
      </c>
      <c r="BG17" t="s">
        <v>1134</v>
      </c>
      <c r="BH17" t="s">
        <v>1103</v>
      </c>
      <c r="BI17" t="s">
        <v>611</v>
      </c>
      <c r="BJ17" t="s">
        <v>1128</v>
      </c>
      <c r="BK17" t="s">
        <v>1135</v>
      </c>
      <c r="BL17" t="s">
        <v>1136</v>
      </c>
      <c r="BM17" t="s">
        <v>1131</v>
      </c>
      <c r="BN17" t="s">
        <v>20</v>
      </c>
      <c r="BO17">
        <v>0.68</v>
      </c>
      <c r="BP17">
        <v>7.9</v>
      </c>
      <c r="BQ17">
        <v>-6.33</v>
      </c>
      <c r="BR17">
        <v>0.98</v>
      </c>
      <c r="BS17">
        <v>8.6300000000000008</v>
      </c>
      <c r="BT17" t="s">
        <v>361</v>
      </c>
      <c r="BU17" t="s">
        <v>798</v>
      </c>
      <c r="BV17">
        <v>14.1</v>
      </c>
      <c r="BW17">
        <v>22.29</v>
      </c>
      <c r="BX17">
        <v>24.26</v>
      </c>
      <c r="BY17">
        <v>-6.53</v>
      </c>
      <c r="BZ17">
        <v>0.73</v>
      </c>
      <c r="CA17">
        <v>5.78</v>
      </c>
      <c r="CB17">
        <v>17.82</v>
      </c>
      <c r="CC17" s="7">
        <v>-0.31</v>
      </c>
      <c r="CD17" s="8" t="s">
        <v>1137</v>
      </c>
      <c r="CE17" s="7" t="s">
        <v>1138</v>
      </c>
      <c r="CF17" s="7">
        <v>-0.63826086956521744</v>
      </c>
      <c r="CG17" s="7">
        <v>0.9231313870860689</v>
      </c>
      <c r="CH17" s="7">
        <v>-0.86484730243682861</v>
      </c>
      <c r="CI17" s="7">
        <v>-6.78376704454422E-2</v>
      </c>
      <c r="CJ17" s="8">
        <v>9.8469726741313934E-2</v>
      </c>
      <c r="CK17" s="8">
        <v>8.9130483567714691E-2</v>
      </c>
      <c r="CL17" s="8">
        <v>0.10400000214576721</v>
      </c>
      <c r="CM17" s="8">
        <v>-1.4010782241821289</v>
      </c>
      <c r="CN17" s="8">
        <v>-0.88264548778533936</v>
      </c>
      <c r="CO17">
        <v>-0.29801693558692932</v>
      </c>
      <c r="CP17">
        <v>0.37466070055961609</v>
      </c>
      <c r="CQ17">
        <v>0.26724100112915039</v>
      </c>
      <c r="CR17" s="7">
        <v>23.223471844009179</v>
      </c>
      <c r="CS17" s="8">
        <v>1.8112637577380393</v>
      </c>
      <c r="CT17">
        <v>0</v>
      </c>
      <c r="CU17">
        <v>-0.128216952085495</v>
      </c>
      <c r="CV17">
        <v>-0.38796778917312624</v>
      </c>
      <c r="CW17">
        <v>0.06</v>
      </c>
      <c r="CX17" t="e">
        <v>#VALUE!</v>
      </c>
      <c r="CY17" t="s">
        <v>336</v>
      </c>
      <c r="CZ17">
        <v>-0.128216952085495</v>
      </c>
      <c r="DA17" t="e">
        <v>#VALUE!</v>
      </c>
      <c r="DB17" t="s">
        <v>337</v>
      </c>
      <c r="DC17">
        <v>-0.12180610448122024</v>
      </c>
      <c r="DD17" t="e">
        <v>#VALUE!</v>
      </c>
      <c r="DE17" t="s">
        <v>337</v>
      </c>
      <c r="DF17">
        <v>-0.11283091783523559</v>
      </c>
      <c r="DG17" t="e">
        <v>#VALUE!</v>
      </c>
      <c r="DH17" t="s">
        <v>337</v>
      </c>
      <c r="DI17">
        <v>-0.102573561668396</v>
      </c>
      <c r="DJ17" t="e">
        <v>#VALUE!</v>
      </c>
      <c r="DK17" t="s">
        <v>337</v>
      </c>
      <c r="DL17">
        <v>-8.9751866459846494E-2</v>
      </c>
      <c r="DM17">
        <v>-4493600</v>
      </c>
      <c r="DN17">
        <v>-0.128216952085495</v>
      </c>
      <c r="DO17">
        <v>854000000</v>
      </c>
      <c r="DP17">
        <v>597036520</v>
      </c>
      <c r="DQ17" s="9">
        <v>2348</v>
      </c>
      <c r="DR17">
        <v>-0.51004391747972244</v>
      </c>
      <c r="DS17">
        <v>1.3110991762591953</v>
      </c>
      <c r="DT17">
        <v>-0.77333333333333332</v>
      </c>
      <c r="DU17">
        <v>-1.6450000000000002</v>
      </c>
      <c r="DV17">
        <v>-2.4183333333333334</v>
      </c>
      <c r="DW17">
        <v>5.0173961840628509</v>
      </c>
      <c r="DX17">
        <v>0.805812195738556</v>
      </c>
      <c r="DY17">
        <v>5.0063637362895035</v>
      </c>
      <c r="DZ17">
        <v>845</v>
      </c>
      <c r="EA17">
        <v>5.0053114159050356</v>
      </c>
      <c r="EB17" s="10">
        <v>5</v>
      </c>
      <c r="EC17" s="10">
        <v>0.22573099999999999</v>
      </c>
      <c r="ED17">
        <v>0.61706799999999995</v>
      </c>
      <c r="EE17">
        <v>3.3500000000000002E-2</v>
      </c>
      <c r="EF17">
        <v>5.8000000000000031E-3</v>
      </c>
      <c r="EG17">
        <v>44.365812195738556</v>
      </c>
      <c r="EH17" s="12" t="s">
        <v>335</v>
      </c>
      <c r="EI17">
        <v>1</v>
      </c>
      <c r="EJ17">
        <v>1</v>
      </c>
      <c r="EK17">
        <v>45470</v>
      </c>
      <c r="EL17">
        <v>-0.87</v>
      </c>
      <c r="EM17">
        <v>-5.24</v>
      </c>
      <c r="EN17" s="13">
        <v>1.32</v>
      </c>
      <c r="EO17" s="13">
        <v>3.25</v>
      </c>
      <c r="EP17" s="13">
        <v>-2.77</v>
      </c>
    </row>
    <row r="18" spans="1:146" ht="192" x14ac:dyDescent="0.25">
      <c r="A18" s="16" t="s">
        <v>1948</v>
      </c>
      <c r="B18" s="16" t="s">
        <v>1949</v>
      </c>
      <c r="C18" s="16" t="str">
        <f>"公司的主营业务为浓缩乳制品的研发、生产和销售以及乳品贸易。公司的主要产品包括“熊猫”牌系列调制甜炼乳、全脂甜炼乳、调制淡炼乳、全脂淡炼乳、甜奶酱、马苏里拉奶酪、奶酪棒、稀奶油等，广泛应用于餐饮、烘焙、饮品、食品加工和家庭消费等领域。公司目前已成为国内炼乳领域的领军企业"&amp;CHAR(10)&amp;Basic_Fundamental_Information_Constructure(F18)&amp;CHAR(10)&amp;Basic_Fundamental_Information_Concatenate("浓缩乳制品 5.96亿 66.81% 83.82% 24.18%
乳品贸易 2.17亿 24.39% 3.77% 2.98%
椰品 6206.92万 6.96% 10.24% 28.34%
其他 1642.74万 1.84% 2.17% 22.74%")</f>
        <v>公司的主营业务为浓缩乳制品的研发、生产和销售以及乳品贸易。公司的主要产品包括“熊猫”牌系列调制甜炼乳、全脂甜炼乳、调制淡炼乳、全脂淡炼乳、甜奶酱、马苏里拉奶酪、奶酪棒、稀奶油等，广泛应用于餐饮、烘焙、饮品、食品加工和家庭消费等领域。公司目前已成为国内炼乳领域的领军企业
市值20.7328亿, 利润2656.61万; PE17.81; 平均PE31.08; 平均PEG4.28, PB2.14; ROIC7.66%; ROE8.4167%; 股利率2.9904%; 毛利21.95%; 净利8.9433%; 上一年度营收增-79.26%, 利润增-50.26%; 当季营收增-58.71%, 利润增-43.7%; 过往5年营收增-7.26%, 利润增-18.73%
Income profile:
浓缩乳制品 5.96亿 66.81% 83.82% 24.18%
乳品贸易 2.17亿 24.39% 3.77% 2.98%
椰品 6206.92万 6.96% 10.24% 28.34%
其他 1642.74万 1.84% 2.17% 22.74%</v>
      </c>
      <c r="D18" t="s">
        <v>1139</v>
      </c>
      <c r="E18" t="s">
        <v>1140</v>
      </c>
      <c r="F18">
        <v>16.72</v>
      </c>
      <c r="G18">
        <v>0.42</v>
      </c>
      <c r="H18" t="s">
        <v>1141</v>
      </c>
      <c r="I18">
        <v>2073280000</v>
      </c>
      <c r="J18">
        <v>17.809999999999999</v>
      </c>
      <c r="K18">
        <v>2.14</v>
      </c>
      <c r="L18" t="s">
        <v>36</v>
      </c>
      <c r="M18" t="s">
        <v>65</v>
      </c>
      <c r="N18" t="s">
        <v>1142</v>
      </c>
      <c r="O18" t="s">
        <v>106</v>
      </c>
      <c r="P18" s="4">
        <v>-14.05</v>
      </c>
      <c r="Q18" t="s">
        <v>106</v>
      </c>
      <c r="R18">
        <v>26566061</v>
      </c>
      <c r="S18">
        <v>0.3861</v>
      </c>
      <c r="T18" t="s">
        <v>1143</v>
      </c>
      <c r="U18">
        <v>108590626</v>
      </c>
      <c r="V18">
        <v>124000000</v>
      </c>
      <c r="W18">
        <v>1.1200000000000001</v>
      </c>
      <c r="X18">
        <v>0.17</v>
      </c>
      <c r="Y18">
        <v>14.54</v>
      </c>
      <c r="Z18" t="s">
        <v>515</v>
      </c>
      <c r="AA18" t="s">
        <v>487</v>
      </c>
      <c r="AB18" t="s">
        <v>1144</v>
      </c>
      <c r="AC18" t="s">
        <v>1145</v>
      </c>
      <c r="AD18" t="s">
        <v>20</v>
      </c>
      <c r="AE18">
        <v>-682670</v>
      </c>
      <c r="AF18" t="s">
        <v>1146</v>
      </c>
      <c r="AG18" t="s">
        <v>1147</v>
      </c>
      <c r="AH18" t="s">
        <v>1148</v>
      </c>
      <c r="AI18" t="s">
        <v>990</v>
      </c>
      <c r="AJ18" t="s">
        <v>1149</v>
      </c>
      <c r="AK18" t="s">
        <v>20</v>
      </c>
      <c r="AL18" t="s">
        <v>1150</v>
      </c>
      <c r="AM18" t="s">
        <v>20</v>
      </c>
      <c r="AN18" t="s">
        <v>532</v>
      </c>
      <c r="AO18" t="s">
        <v>598</v>
      </c>
      <c r="AP18" t="s">
        <v>20</v>
      </c>
      <c r="AQ18" t="s">
        <v>1151</v>
      </c>
      <c r="AR18" t="s">
        <v>20</v>
      </c>
      <c r="AS18" t="s">
        <v>1152</v>
      </c>
      <c r="AT18" t="s">
        <v>585</v>
      </c>
      <c r="AU18" t="s">
        <v>1153</v>
      </c>
      <c r="AV18" t="s">
        <v>1154</v>
      </c>
      <c r="AW18" t="s">
        <v>1155</v>
      </c>
      <c r="AX18" t="s">
        <v>1156</v>
      </c>
      <c r="AY18" t="s">
        <v>1157</v>
      </c>
      <c r="AZ18" t="s">
        <v>1158</v>
      </c>
      <c r="BA18" t="s">
        <v>1159</v>
      </c>
      <c r="BB18" t="s">
        <v>255</v>
      </c>
      <c r="BC18" t="s">
        <v>1160</v>
      </c>
      <c r="BD18" t="s">
        <v>1161</v>
      </c>
      <c r="BE18" t="s">
        <v>1162</v>
      </c>
      <c r="BF18" t="s">
        <v>1163</v>
      </c>
      <c r="BG18" t="s">
        <v>1164</v>
      </c>
      <c r="BH18" t="s">
        <v>751</v>
      </c>
      <c r="BI18" t="s">
        <v>1165</v>
      </c>
      <c r="BJ18" t="s">
        <v>1156</v>
      </c>
      <c r="BK18" t="s">
        <v>149</v>
      </c>
      <c r="BL18" t="s">
        <v>1166</v>
      </c>
      <c r="BM18" t="s">
        <v>1160</v>
      </c>
      <c r="BN18">
        <v>7.86</v>
      </c>
      <c r="BO18">
        <v>5.98</v>
      </c>
      <c r="BP18">
        <v>9.14</v>
      </c>
      <c r="BQ18">
        <v>9.1999999999999993</v>
      </c>
      <c r="BR18">
        <v>6.35</v>
      </c>
      <c r="BS18">
        <v>9.6999999999999993</v>
      </c>
      <c r="BT18" t="s">
        <v>1167</v>
      </c>
      <c r="BU18" t="s">
        <v>798</v>
      </c>
      <c r="BV18">
        <v>23.13</v>
      </c>
      <c r="BW18">
        <v>19.27</v>
      </c>
      <c r="BX18">
        <v>23.45</v>
      </c>
      <c r="BY18">
        <v>11.16</v>
      </c>
      <c r="BZ18">
        <v>6.19</v>
      </c>
      <c r="CA18">
        <v>9.48</v>
      </c>
      <c r="CB18">
        <v>0.06</v>
      </c>
      <c r="CC18" s="7">
        <v>-11.86</v>
      </c>
      <c r="CD18" s="8" t="s">
        <v>1168</v>
      </c>
      <c r="CE18" s="7" t="s">
        <v>1169</v>
      </c>
      <c r="CF18" s="7">
        <v>-0.58705357142857151</v>
      </c>
      <c r="CG18" s="7">
        <v>-0.43695335366564447</v>
      </c>
      <c r="CH18" s="7">
        <v>-0.79260087013244629</v>
      </c>
      <c r="CI18" s="7">
        <v>4.0840141475200653E-2</v>
      </c>
      <c r="CJ18" s="8">
        <v>0.25292396545410156</v>
      </c>
      <c r="CK18" s="8">
        <v>0.13245032727718353</v>
      </c>
      <c r="CL18" s="8">
        <v>3.3222590573132038E-3</v>
      </c>
      <c r="CM18" s="8">
        <v>-0.50258386135101318</v>
      </c>
      <c r="CN18" s="8">
        <v>-0.30951660871505737</v>
      </c>
      <c r="CO18">
        <v>-5.1082666963338852E-2</v>
      </c>
      <c r="CP18">
        <v>0.22371524572372437</v>
      </c>
      <c r="CQ18">
        <v>-0.29700082540512085</v>
      </c>
      <c r="CR18" s="7">
        <v>31.08367370498436</v>
      </c>
      <c r="CS18" s="8">
        <v>4.2807409385682922</v>
      </c>
      <c r="CT18">
        <v>2.9904306220095696</v>
      </c>
      <c r="CU18">
        <v>-7.2612835373729465E-2</v>
      </c>
      <c r="CV18">
        <v>-0.18729374334216117</v>
      </c>
      <c r="CW18">
        <v>0.06</v>
      </c>
      <c r="CX18">
        <v>48.531022619052102</v>
      </c>
      <c r="CY18" t="s">
        <v>1170</v>
      </c>
      <c r="CZ18">
        <v>-7.2612835373729465E-2</v>
      </c>
      <c r="DA18">
        <v>16.177007539684034</v>
      </c>
      <c r="DB18" t="s">
        <v>1171</v>
      </c>
      <c r="DC18">
        <v>-6.8982193605042985E-2</v>
      </c>
      <c r="DD18">
        <v>8.088503769842017</v>
      </c>
      <c r="DE18" t="s">
        <v>1172</v>
      </c>
      <c r="DF18">
        <v>-6.3899295128881928E-2</v>
      </c>
      <c r="DG18">
        <v>4.8531022619052102</v>
      </c>
      <c r="DH18" t="s">
        <v>1173</v>
      </c>
      <c r="DI18">
        <v>-5.8090268298983574E-2</v>
      </c>
      <c r="DJ18">
        <v>2.4265511309526051</v>
      </c>
      <c r="DK18" t="s">
        <v>1174</v>
      </c>
      <c r="DL18">
        <v>-5.0828984761610622E-2</v>
      </c>
      <c r="DM18">
        <v>26566100</v>
      </c>
      <c r="DN18">
        <v>-7.2612835373729465E-2</v>
      </c>
      <c r="DO18">
        <v>1289280000</v>
      </c>
      <c r="DP18">
        <v>635463950</v>
      </c>
      <c r="DQ18" s="9">
        <v>2354</v>
      </c>
      <c r="DR18">
        <v>-0.51444073605484208</v>
      </c>
      <c r="DS18">
        <v>-0.2496596103234833</v>
      </c>
      <c r="DT18">
        <v>-0.64</v>
      </c>
      <c r="DU18">
        <v>-0.52</v>
      </c>
      <c r="DV18">
        <v>-1.1600000000000001</v>
      </c>
      <c r="DW18">
        <v>-2.1185999999999998</v>
      </c>
      <c r="DX18">
        <v>0.35663821041814903</v>
      </c>
      <c r="DY18">
        <v>-2.0221352917555926</v>
      </c>
      <c r="DZ18">
        <v>772</v>
      </c>
      <c r="EA18">
        <v>-2.0187911733142387</v>
      </c>
      <c r="EB18" s="10">
        <v>2</v>
      </c>
      <c r="EC18" s="10">
        <v>9.5208064516129037E-2</v>
      </c>
      <c r="ED18">
        <v>0.51012096774193549</v>
      </c>
      <c r="EE18">
        <v>-2.0815000000000001</v>
      </c>
      <c r="EF18">
        <v>-2.0623</v>
      </c>
      <c r="EG18">
        <v>17.186638210418149</v>
      </c>
      <c r="EH18" s="12" t="s">
        <v>633</v>
      </c>
      <c r="EI18">
        <v>0</v>
      </c>
      <c r="EJ18">
        <v>1</v>
      </c>
      <c r="EK18">
        <v>45470</v>
      </c>
      <c r="EL18">
        <v>-1.74</v>
      </c>
      <c r="EM18">
        <v>-5.49</v>
      </c>
      <c r="EN18" s="13">
        <v>1.47</v>
      </c>
      <c r="EO18" s="13">
        <v>5.14</v>
      </c>
      <c r="EP18" s="13">
        <v>-1.92</v>
      </c>
    </row>
    <row r="19" spans="1:146" ht="180" x14ac:dyDescent="0.25">
      <c r="A19" s="16"/>
      <c r="B19" s="16"/>
      <c r="C19" s="16" t="str">
        <f>"公司的主营业务为烘焙食品原料以及冷冻食品（甜品）的研发、生产、销售。公司的主要产品包括奶油、植物基饮品、巧克力、果酱、预混料、油脂和香精香料。其中烘焙食品原料主要产品包括奶油、巧克力、果酱等，广泛应用于蛋糕、西点的表面装饰及夹馅。"&amp;CHAR(10)&amp;Basic_Fundamental_Information_Constructure(F19)&amp;CHAR(10)&amp;Basic_Fundamental_Information_Concatenate("奶油 7.99亿 92.01% 94.31% 33.81%
果酱 2985.98万 3.44% 2.82% 27.01%
巧克力 2876.29万 3.31% 1.81% 18.03%
香精香料 817.16万 0.94% 0.95% 33.14%")</f>
        <v>公司的主营业务为烘焙食品原料以及冷冻食品（甜品）的研发、生产、销售。公司的主要产品包括奶油、植物基饮品、巧克力、果酱、预混料、油脂和香精香料。其中烘焙食品原料主要产品包括奶油、巧克力、果酱等，广泛应用于蛋糕、西点的表面装饰及夹馅。
市值23.049亿, 利润3597.03万; PE22.6; 平均PE28.95; 平均PEG8.02, PB1.5; ROIC6.1067%; ROE6.44%; 股利率1.5619%; 毛利37.2367%; 净利11.7267%; 上一年度营收增-70.74%, 利润增-61.45%; 当季营收增-46.41%, 利润增-25.82%; 过往5年营收增-3.61%, 利润增-6.16%
Income profile:
奶油 7.99亿 92.01% 94.31% 33.81%
果酱 2985.98万 3.44% 2.82% 27.01%
巧克力 2876.29万 3.31% 1.81% 18.03%
香精香料 817.16万 0.94% 0.95% 33.14%</v>
      </c>
      <c r="D19" t="s">
        <v>1175</v>
      </c>
      <c r="E19" t="s">
        <v>1176</v>
      </c>
      <c r="F19">
        <v>25.61</v>
      </c>
      <c r="G19">
        <v>-0.74</v>
      </c>
      <c r="H19" t="s">
        <v>1177</v>
      </c>
      <c r="I19">
        <v>2304900000</v>
      </c>
      <c r="J19">
        <v>22.6</v>
      </c>
      <c r="K19">
        <v>1.5</v>
      </c>
      <c r="L19" t="s">
        <v>36</v>
      </c>
      <c r="M19" t="s">
        <v>1060</v>
      </c>
      <c r="N19" t="s">
        <v>1178</v>
      </c>
      <c r="O19" t="s">
        <v>105</v>
      </c>
      <c r="P19" s="4">
        <v>5.84</v>
      </c>
      <c r="Q19" t="s">
        <v>105</v>
      </c>
      <c r="R19">
        <v>35970313</v>
      </c>
      <c r="S19">
        <v>0.52990000000000004</v>
      </c>
      <c r="T19" t="s">
        <v>1179</v>
      </c>
      <c r="U19">
        <v>41005500</v>
      </c>
      <c r="V19">
        <v>90000000</v>
      </c>
      <c r="W19">
        <v>1.1299999999999999</v>
      </c>
      <c r="X19">
        <v>0.14000000000000001</v>
      </c>
      <c r="Y19">
        <v>14.15</v>
      </c>
      <c r="Z19" t="s">
        <v>232</v>
      </c>
      <c r="AA19" t="s">
        <v>990</v>
      </c>
      <c r="AB19" t="s">
        <v>1180</v>
      </c>
      <c r="AC19" t="s">
        <v>1181</v>
      </c>
      <c r="AD19" t="s">
        <v>20</v>
      </c>
      <c r="AE19">
        <v>-2498384</v>
      </c>
      <c r="AF19" t="s">
        <v>1182</v>
      </c>
      <c r="AG19" t="s">
        <v>1183</v>
      </c>
      <c r="AH19" t="s">
        <v>1184</v>
      </c>
      <c r="AI19" t="s">
        <v>240</v>
      </c>
      <c r="AJ19" t="s">
        <v>1185</v>
      </c>
      <c r="AK19" t="s">
        <v>20</v>
      </c>
      <c r="AL19" t="s">
        <v>1186</v>
      </c>
      <c r="AM19" t="s">
        <v>20</v>
      </c>
      <c r="AN19" t="s">
        <v>377</v>
      </c>
      <c r="AO19" t="s">
        <v>1187</v>
      </c>
      <c r="AP19" t="s">
        <v>20</v>
      </c>
      <c r="AQ19" t="s">
        <v>1188</v>
      </c>
      <c r="AR19" t="s">
        <v>20</v>
      </c>
      <c r="AS19" t="s">
        <v>515</v>
      </c>
      <c r="AT19" t="s">
        <v>20</v>
      </c>
      <c r="AU19" t="s">
        <v>1189</v>
      </c>
      <c r="AV19" t="s">
        <v>1190</v>
      </c>
      <c r="AW19" t="s">
        <v>1191</v>
      </c>
      <c r="AX19" t="s">
        <v>1192</v>
      </c>
      <c r="AY19" t="s">
        <v>1193</v>
      </c>
      <c r="AZ19" t="s">
        <v>1194</v>
      </c>
      <c r="BA19" t="s">
        <v>1195</v>
      </c>
      <c r="BB19" t="s">
        <v>591</v>
      </c>
      <c r="BC19" t="s">
        <v>1196</v>
      </c>
      <c r="BD19" t="s">
        <v>796</v>
      </c>
      <c r="BE19" t="s">
        <v>1197</v>
      </c>
      <c r="BF19" t="s">
        <v>1198</v>
      </c>
      <c r="BG19" t="s">
        <v>1199</v>
      </c>
      <c r="BH19" t="s">
        <v>1200</v>
      </c>
      <c r="BI19" t="s">
        <v>320</v>
      </c>
      <c r="BJ19" t="s">
        <v>1192</v>
      </c>
      <c r="BK19" t="s">
        <v>1201</v>
      </c>
      <c r="BL19" t="s">
        <v>1202</v>
      </c>
      <c r="BM19" t="s">
        <v>1196</v>
      </c>
      <c r="BN19">
        <v>4.2</v>
      </c>
      <c r="BO19">
        <v>6.13</v>
      </c>
      <c r="BP19">
        <v>7.99</v>
      </c>
      <c r="BQ19">
        <v>4.49</v>
      </c>
      <c r="BR19">
        <v>6.56</v>
      </c>
      <c r="BS19">
        <v>8.27</v>
      </c>
      <c r="BT19" t="s">
        <v>717</v>
      </c>
      <c r="BU19" t="s">
        <v>798</v>
      </c>
      <c r="BV19">
        <v>35.07</v>
      </c>
      <c r="BW19">
        <v>32.979999999999997</v>
      </c>
      <c r="BX19">
        <v>43.66</v>
      </c>
      <c r="BY19">
        <v>9.3800000000000008</v>
      </c>
      <c r="BZ19">
        <v>10.75</v>
      </c>
      <c r="CA19">
        <v>15.05</v>
      </c>
      <c r="CB19">
        <v>-2.0299999999999998</v>
      </c>
      <c r="CC19" s="7">
        <v>-14.66</v>
      </c>
      <c r="CD19" s="8" t="s">
        <v>1203</v>
      </c>
      <c r="CE19" s="7" t="s">
        <v>1204</v>
      </c>
      <c r="CF19" s="7">
        <v>-0.46413502109704641</v>
      </c>
      <c r="CG19" s="7">
        <v>-0.25823241436339917</v>
      </c>
      <c r="CH19" s="7">
        <v>-0.70737326145172119</v>
      </c>
      <c r="CI19" s="7">
        <v>0.1619812548160553</v>
      </c>
      <c r="CJ19" s="8">
        <v>0.3059440553188324</v>
      </c>
      <c r="CK19" s="8">
        <v>-2.054794505238533E-2</v>
      </c>
      <c r="CL19" s="8">
        <v>7.9482443630695343E-2</v>
      </c>
      <c r="CM19" s="8">
        <v>-0.61451500654220581</v>
      </c>
      <c r="CN19" s="8">
        <v>-0.16685892641544342</v>
      </c>
      <c r="CO19">
        <v>0.28990352153778076</v>
      </c>
      <c r="CP19">
        <v>0.13178983330726624</v>
      </c>
      <c r="CQ19">
        <v>5.1900114864110947E-2</v>
      </c>
      <c r="CR19" s="7">
        <v>28.946314710535805</v>
      </c>
      <c r="CS19" s="8">
        <v>8.0177721580853571</v>
      </c>
      <c r="CT19">
        <v>1.5618898867629833</v>
      </c>
      <c r="CU19">
        <v>-3.6102690547704694E-2</v>
      </c>
      <c r="CV19">
        <v>-6.155609264969826E-2</v>
      </c>
      <c r="CW19">
        <v>0.06</v>
      </c>
      <c r="CX19">
        <v>28.604153982591193</v>
      </c>
      <c r="CY19" t="s">
        <v>1205</v>
      </c>
      <c r="CZ19">
        <v>-3.6102690547704694E-2</v>
      </c>
      <c r="DA19">
        <v>9.5347179941970648</v>
      </c>
      <c r="DB19" t="s">
        <v>1206</v>
      </c>
      <c r="DC19">
        <v>-3.4297556020319454E-2</v>
      </c>
      <c r="DD19">
        <v>4.7673589970985324</v>
      </c>
      <c r="DE19" t="s">
        <v>1207</v>
      </c>
      <c r="DF19">
        <v>-3.1770367681980133E-2</v>
      </c>
      <c r="DG19">
        <v>2.8604153982591192</v>
      </c>
      <c r="DH19" t="s">
        <v>1208</v>
      </c>
      <c r="DI19">
        <v>-2.8882152438163756E-2</v>
      </c>
      <c r="DJ19">
        <v>1.4302076991295596</v>
      </c>
      <c r="DK19" t="s">
        <v>1209</v>
      </c>
      <c r="DL19">
        <v>-2.5271883383393284E-2</v>
      </c>
      <c r="DM19">
        <v>35970300</v>
      </c>
      <c r="DN19">
        <v>-3.6102690547704694E-2</v>
      </c>
      <c r="DO19">
        <v>1028900000</v>
      </c>
      <c r="DP19">
        <v>1055380180</v>
      </c>
      <c r="DQ19" s="9">
        <v>2370</v>
      </c>
      <c r="DR19">
        <v>-0.4280323305493417</v>
      </c>
      <c r="DS19">
        <v>-0.19667632171370092</v>
      </c>
      <c r="DT19">
        <v>-0.49</v>
      </c>
      <c r="DU19">
        <v>-0.56999999999999995</v>
      </c>
      <c r="DV19">
        <v>-1.06</v>
      </c>
      <c r="DW19">
        <v>-2.1465999999999998</v>
      </c>
      <c r="DX19">
        <v>0.36682823129251696</v>
      </c>
      <c r="DY19">
        <v>-2.0332530187074829</v>
      </c>
      <c r="DZ19">
        <v>2168</v>
      </c>
      <c r="EA19">
        <v>-2.0191448886570282</v>
      </c>
      <c r="EB19" s="10">
        <v>2</v>
      </c>
      <c r="EC19" s="10">
        <v>3.7937777777777779E-2</v>
      </c>
      <c r="ED19">
        <v>0.16725333333333334</v>
      </c>
      <c r="EE19">
        <v>6.0750099999999998</v>
      </c>
      <c r="EF19">
        <v>6.1150099999999998</v>
      </c>
      <c r="EG19">
        <v>14.226828231292517</v>
      </c>
      <c r="EH19" s="12" t="s">
        <v>638</v>
      </c>
      <c r="EI19">
        <v>0</v>
      </c>
      <c r="EJ19">
        <v>0</v>
      </c>
      <c r="EK19">
        <v>45470</v>
      </c>
      <c r="EL19">
        <v>2.12</v>
      </c>
      <c r="EM19">
        <v>-6.07</v>
      </c>
      <c r="EN19" s="13">
        <v>-0.75</v>
      </c>
      <c r="EO19" s="13">
        <v>4.79</v>
      </c>
      <c r="EP19" s="13">
        <v>-4</v>
      </c>
    </row>
    <row r="20" spans="1:146" ht="168" hidden="1" x14ac:dyDescent="0.25">
      <c r="A20" s="5"/>
      <c r="B20" s="5"/>
      <c r="C20" s="5" t="str">
        <f>"公司的主营业务为水果罐头、植物蛋白饮料、果汁饮料、乳酸菌饮料等食品饮料产品的研发、生产和销售。公司的产品主要分为两大类：第一类是椰子汁植物蛋白饮料、果汁饮料、乳酸菌饮料等饮料产品；第二类是水果罐头、八宝粥罐头等罐头食品。"&amp;CHAR(10)&amp;Basic_Fundamental_Information_Constructure(F20)&amp;CHAR(10)&amp;Basic_Fundamental_Information_Concatenate("椰子饮料 3.27亿 46.97% 60.82% 43.68%
罐头产品 2.82亿 40.47% 28.13% 23.45%
其他业务 8753.03万 12.56% 11.05% 29.67%")</f>
        <v>公司的主营业务为水果罐头、植物蛋白饮料、果汁饮料、乳酸菌饮料等食品饮料产品的研发、生产和销售。公司的产品主要分为两大类：第一类是椰子汁植物蛋白饮料、果汁饮料、乳酸菌饮料等饮料产品；第二类是水果罐头、八宝粥罐头等罐头食品。
市值52.22325亿, 利润8208.63万; PE18.98; 平均PE30.84; 平均PEG3.33, PB3.89; ROIC15.3033%; ROE15.32%; 股利率2.9135%; 毛利36.1267%; 净利13.2333%; 上一年度营收增-65.48%, 利润增-59.56%; 当季营收增-39.58%, 利润增-36.86%; 过往5年营收增-9.27%, 利润增-6.28%
Income profile:
椰子饮料 3.27亿 46.97% 60.82% 43.68%
罐头产品 2.82亿 40.47% 28.13% 23.45%
其他业务 8753.03万 12.56% 11.05% 29.67%</v>
      </c>
      <c r="D20" t="s">
        <v>177</v>
      </c>
      <c r="E20" t="s">
        <v>178</v>
      </c>
      <c r="F20">
        <v>11.67</v>
      </c>
      <c r="G20">
        <v>1.21</v>
      </c>
      <c r="H20" t="s">
        <v>1210</v>
      </c>
      <c r="I20">
        <v>5222325000</v>
      </c>
      <c r="J20">
        <v>18.98</v>
      </c>
      <c r="K20">
        <v>3.89</v>
      </c>
      <c r="L20" t="s">
        <v>36</v>
      </c>
      <c r="M20" t="s">
        <v>556</v>
      </c>
      <c r="N20" t="s">
        <v>923</v>
      </c>
      <c r="O20" t="s">
        <v>620</v>
      </c>
      <c r="P20">
        <v>6.61</v>
      </c>
      <c r="Q20" t="s">
        <v>620</v>
      </c>
      <c r="R20">
        <v>82086318</v>
      </c>
      <c r="S20" s="4">
        <v>-3.7400000000000003E-2</v>
      </c>
      <c r="T20" t="s">
        <v>1211</v>
      </c>
      <c r="U20">
        <v>396033780</v>
      </c>
      <c r="V20">
        <v>447500000</v>
      </c>
      <c r="W20">
        <v>1.5</v>
      </c>
      <c r="X20">
        <v>0.26</v>
      </c>
      <c r="Y20">
        <v>14.9</v>
      </c>
      <c r="Z20" t="s">
        <v>1212</v>
      </c>
      <c r="AA20" t="s">
        <v>541</v>
      </c>
      <c r="AB20" t="s">
        <v>1213</v>
      </c>
      <c r="AC20" t="s">
        <v>1214</v>
      </c>
      <c r="AD20" t="s">
        <v>20</v>
      </c>
      <c r="AE20">
        <v>-578242</v>
      </c>
      <c r="AF20" t="s">
        <v>1215</v>
      </c>
      <c r="AG20" t="s">
        <v>1216</v>
      </c>
      <c r="AH20" t="s">
        <v>1217</v>
      </c>
      <c r="AI20" t="s">
        <v>592</v>
      </c>
      <c r="AJ20" t="s">
        <v>1218</v>
      </c>
      <c r="AK20" t="s">
        <v>1219</v>
      </c>
      <c r="AL20" t="s">
        <v>1220</v>
      </c>
      <c r="AM20" t="s">
        <v>20</v>
      </c>
      <c r="AN20" t="s">
        <v>1221</v>
      </c>
      <c r="AO20" t="s">
        <v>20</v>
      </c>
      <c r="AP20" t="s">
        <v>81</v>
      </c>
      <c r="AQ20" t="s">
        <v>265</v>
      </c>
      <c r="AR20" t="s">
        <v>20</v>
      </c>
      <c r="AS20" t="s">
        <v>283</v>
      </c>
      <c r="AT20" t="s">
        <v>20</v>
      </c>
      <c r="AU20" t="s">
        <v>1222</v>
      </c>
      <c r="AV20" t="s">
        <v>1223</v>
      </c>
      <c r="AW20" t="s">
        <v>1224</v>
      </c>
      <c r="AX20" t="s">
        <v>465</v>
      </c>
      <c r="AY20" t="s">
        <v>76</v>
      </c>
      <c r="AZ20" t="s">
        <v>179</v>
      </c>
      <c r="BA20" t="s">
        <v>180</v>
      </c>
      <c r="BB20" t="s">
        <v>181</v>
      </c>
      <c r="BC20" t="s">
        <v>485</v>
      </c>
      <c r="BD20" t="s">
        <v>286</v>
      </c>
      <c r="BE20" t="s">
        <v>91</v>
      </c>
      <c r="BF20" t="s">
        <v>87</v>
      </c>
      <c r="BG20" t="s">
        <v>44</v>
      </c>
      <c r="BH20" t="s">
        <v>1225</v>
      </c>
      <c r="BI20" t="s">
        <v>555</v>
      </c>
      <c r="BJ20" t="s">
        <v>465</v>
      </c>
      <c r="BK20" t="s">
        <v>535</v>
      </c>
      <c r="BL20" t="s">
        <v>363</v>
      </c>
      <c r="BM20" t="s">
        <v>485</v>
      </c>
      <c r="BN20">
        <v>12.64</v>
      </c>
      <c r="BO20">
        <v>15.52</v>
      </c>
      <c r="BP20">
        <v>17.75</v>
      </c>
      <c r="BQ20">
        <v>12.31</v>
      </c>
      <c r="BR20">
        <v>15.82</v>
      </c>
      <c r="BS20">
        <v>17.829999999999998</v>
      </c>
      <c r="BT20" t="s">
        <v>1226</v>
      </c>
      <c r="BU20" t="s">
        <v>347</v>
      </c>
      <c r="BV20">
        <v>38.75</v>
      </c>
      <c r="BW20">
        <v>33.58</v>
      </c>
      <c r="BX20">
        <v>36.049999999999997</v>
      </c>
      <c r="BY20">
        <v>14.48</v>
      </c>
      <c r="BZ20">
        <v>12.74</v>
      </c>
      <c r="CA20">
        <v>12.48</v>
      </c>
      <c r="CB20">
        <v>-1.27</v>
      </c>
      <c r="CC20">
        <v>-16.82</v>
      </c>
      <c r="CD20" t="s">
        <v>1227</v>
      </c>
      <c r="CE20" t="s">
        <v>1228</v>
      </c>
      <c r="CF20" s="7">
        <v>-0.39583333333333326</v>
      </c>
      <c r="CG20" s="8">
        <v>-0.36856678461538461</v>
      </c>
      <c r="CH20" s="7">
        <v>-0.6547619104385376</v>
      </c>
      <c r="CI20" s="7">
        <v>8.3503104746341705E-2</v>
      </c>
      <c r="CJ20" s="7">
        <v>0.18123485147953033</v>
      </c>
      <c r="CK20" s="7">
        <v>-0.12429770827293396</v>
      </c>
      <c r="CL20" s="7">
        <v>5.0922460854053497E-2</v>
      </c>
      <c r="CM20" s="8">
        <v>-0.59563398361206055</v>
      </c>
      <c r="CN20" s="8">
        <v>0.10326086729764938</v>
      </c>
      <c r="CO20" s="8">
        <v>2.7932960540056229E-2</v>
      </c>
      <c r="CP20" s="8">
        <v>-0.13526569306850433</v>
      </c>
      <c r="CQ20" s="8">
        <v>0.28571429848670959</v>
      </c>
      <c r="CR20">
        <v>30.837882569620319</v>
      </c>
      <c r="CS20">
        <v>3.3273560313705364</v>
      </c>
      <c r="CT20">
        <v>2.9134532990574122</v>
      </c>
      <c r="CU20" s="7">
        <v>-9.2679840326309201E-2</v>
      </c>
      <c r="CV20" s="8">
        <v>-6.2798310071229935E-2</v>
      </c>
      <c r="CW20">
        <v>0.06</v>
      </c>
      <c r="CX20">
        <v>56.322735949847903</v>
      </c>
      <c r="CY20" t="s">
        <v>1229</v>
      </c>
      <c r="CZ20">
        <v>-9.2679840326309201E-2</v>
      </c>
      <c r="DA20">
        <v>18.774245316615968</v>
      </c>
      <c r="DB20" t="s">
        <v>1230</v>
      </c>
      <c r="DC20">
        <v>-8.8045848309993735E-2</v>
      </c>
      <c r="DD20">
        <v>9.3871226583079839</v>
      </c>
      <c r="DE20" t="s">
        <v>1231</v>
      </c>
      <c r="DF20">
        <v>-8.1558259487152104E-2</v>
      </c>
      <c r="DG20">
        <v>5.63227359498479</v>
      </c>
      <c r="DH20" t="s">
        <v>1232</v>
      </c>
      <c r="DI20">
        <v>-7.4143872261047364E-2</v>
      </c>
      <c r="DJ20">
        <v>2.816136797492395</v>
      </c>
      <c r="DK20" t="s">
        <v>1233</v>
      </c>
      <c r="DL20">
        <v>-6.4875888228416431E-2</v>
      </c>
      <c r="DM20">
        <v>82086299.999999985</v>
      </c>
      <c r="DN20">
        <v>-9.2679840326309201E-2</v>
      </c>
      <c r="DO20">
        <v>4623325000</v>
      </c>
      <c r="DP20">
        <v>397870700</v>
      </c>
      <c r="DQ20">
        <v>2447</v>
      </c>
      <c r="DR20">
        <v>-0.30315349300702404</v>
      </c>
      <c r="DS20">
        <v>-0.30576847454415468</v>
      </c>
      <c r="DT20" s="9">
        <v>-0.64</v>
      </c>
      <c r="DU20">
        <v>-0.28666666666666668</v>
      </c>
      <c r="DV20">
        <v>-0.92666666666666675</v>
      </c>
      <c r="DW20">
        <v>-3.0092738095238096</v>
      </c>
      <c r="DX20">
        <v>0.36183314956550672</v>
      </c>
      <c r="DY20">
        <v>-3.0013153336132325</v>
      </c>
      <c r="DZ20">
        <v>606</v>
      </c>
      <c r="EA20">
        <v>-3.0011593468872797</v>
      </c>
      <c r="EB20">
        <v>3</v>
      </c>
      <c r="EC20">
        <v>1.5723575418994412E-2</v>
      </c>
      <c r="ED20">
        <v>0.11085966480446928</v>
      </c>
      <c r="EE20" s="10">
        <v>-1.0406</v>
      </c>
      <c r="EF20">
        <v>-1.0956999999999999</v>
      </c>
      <c r="EG20">
        <v>22.141833149565507</v>
      </c>
      <c r="EH20" t="s">
        <v>338</v>
      </c>
      <c r="EI20">
        <v>0</v>
      </c>
      <c r="EJ20">
        <v>1</v>
      </c>
      <c r="EK20" s="12">
        <v>45470</v>
      </c>
      <c r="EL20" s="13">
        <v>-1.1399999999999999</v>
      </c>
      <c r="EM20" s="13">
        <v>-5.05</v>
      </c>
      <c r="EN20" s="13">
        <v>3.19</v>
      </c>
      <c r="EO20" s="13">
        <v>6.38</v>
      </c>
      <c r="EP20" s="13">
        <v>5.51</v>
      </c>
    </row>
    <row r="21" spans="1:146" ht="144" hidden="1" x14ac:dyDescent="0.25">
      <c r="A21" s="5" t="s">
        <v>382</v>
      </c>
      <c r="B21" s="5"/>
      <c r="C21" s="5" t="str">
        <f>"公司所从事的主要业务是黄酒的制造、销售及研发。公司的主要产品为中高档酒、普通酒、玻璃制品。主要产品古越龙山、女儿红、状元红、沈永和、鉴湖牌等绍兴黄酒是中国首批国家地理标志产品。"&amp;CHAR(10)&amp;Basic_Fundamental_Information_Constructure(F21)&amp;CHAR(10)&amp;Basic_Fundamental_Information_Concatenate("酒及酒原料生产与销售 7.48亿 95.33% 94.02% 35.73%
其他业务 2080.37万 2.65% 6.28% 85.82%")</f>
        <v>公司所从事的主要业务是黄酒的制造、销售及研发。公司的主要产品为中高档酒、普通酒、玻璃制品。主要产品古越龙山、女儿红、状元红、沈永和、鉴湖牌等绍兴黄酒是中国首批国家地理标志产品。
市值70.826845亿, 利润6200.45万; PE17.72; 平均PE53.66; 平均PEG1.82, PB1.2; ROIC3.0867%; ROE3.39%; 股利率1.8018%; 毛利36.3233%; 净利15.8333%; 上一年度营收增-65%, 利润增-69.3%; 当季营收增-28.14%, 利润增-31.08%; 过往5年营收增-29.53%, 利润增-69.3%
Income profile:
酒及酒原料生产与销售 7.48亿 95.33% 94.02% 35.73%
其他业务 2080.37万 2.65% 6.28% 85.82%</v>
      </c>
      <c r="D21" t="s">
        <v>71</v>
      </c>
      <c r="E21" t="s">
        <v>10</v>
      </c>
      <c r="F21">
        <v>7.77</v>
      </c>
      <c r="G21">
        <v>0.65</v>
      </c>
      <c r="H21" t="s">
        <v>1234</v>
      </c>
      <c r="I21">
        <v>7082684500</v>
      </c>
      <c r="J21">
        <v>17.72</v>
      </c>
      <c r="K21">
        <v>1.2</v>
      </c>
      <c r="L21" t="s">
        <v>36</v>
      </c>
      <c r="M21" t="s">
        <v>953</v>
      </c>
      <c r="N21" t="s">
        <v>1235</v>
      </c>
      <c r="O21" t="s">
        <v>1236</v>
      </c>
      <c r="P21">
        <v>10.74</v>
      </c>
      <c r="Q21" t="s">
        <v>1236</v>
      </c>
      <c r="R21">
        <v>62004526</v>
      </c>
      <c r="S21" s="4">
        <v>5.3400000000000003E-2</v>
      </c>
      <c r="T21" t="s">
        <v>1237</v>
      </c>
      <c r="U21">
        <v>911542410</v>
      </c>
      <c r="V21">
        <v>911542410</v>
      </c>
      <c r="W21">
        <v>1.1200000000000001</v>
      </c>
      <c r="X21" t="s">
        <v>20</v>
      </c>
      <c r="Y21">
        <v>11.04</v>
      </c>
      <c r="Z21" t="s">
        <v>20</v>
      </c>
      <c r="AA21" t="s">
        <v>20</v>
      </c>
      <c r="AB21" t="s">
        <v>20</v>
      </c>
      <c r="AC21" t="s">
        <v>20</v>
      </c>
      <c r="AD21" t="s">
        <v>20</v>
      </c>
      <c r="AE21">
        <v>-12300607</v>
      </c>
      <c r="AF21" t="s">
        <v>1238</v>
      </c>
      <c r="AG21" t="s">
        <v>1239</v>
      </c>
      <c r="AH21" t="s">
        <v>1240</v>
      </c>
      <c r="AI21" t="s">
        <v>1241</v>
      </c>
      <c r="AJ21" t="s">
        <v>1242</v>
      </c>
      <c r="AK21" t="s">
        <v>20</v>
      </c>
      <c r="AL21" t="s">
        <v>1243</v>
      </c>
      <c r="AM21" t="s">
        <v>20</v>
      </c>
      <c r="AN21" t="s">
        <v>1244</v>
      </c>
      <c r="AO21" t="s">
        <v>20</v>
      </c>
      <c r="AP21" t="s">
        <v>20</v>
      </c>
      <c r="AQ21" t="s">
        <v>471</v>
      </c>
      <c r="AR21" t="s">
        <v>20</v>
      </c>
      <c r="AS21" t="s">
        <v>20</v>
      </c>
      <c r="AT21" t="s">
        <v>20</v>
      </c>
      <c r="AU21" t="s">
        <v>1245</v>
      </c>
      <c r="AV21" t="s">
        <v>1246</v>
      </c>
      <c r="AW21" t="s">
        <v>1247</v>
      </c>
      <c r="AX21" t="s">
        <v>486</v>
      </c>
      <c r="AY21" t="s">
        <v>20</v>
      </c>
      <c r="AZ21" t="s">
        <v>182</v>
      </c>
      <c r="BA21" t="s">
        <v>72</v>
      </c>
      <c r="BB21" t="s">
        <v>183</v>
      </c>
      <c r="BC21" t="s">
        <v>364</v>
      </c>
      <c r="BD21" t="s">
        <v>20</v>
      </c>
      <c r="BE21" t="s">
        <v>20</v>
      </c>
      <c r="BF21" t="s">
        <v>20</v>
      </c>
      <c r="BG21" t="s">
        <v>20</v>
      </c>
      <c r="BH21" t="s">
        <v>1248</v>
      </c>
      <c r="BI21" t="s">
        <v>557</v>
      </c>
      <c r="BJ21" t="s">
        <v>486</v>
      </c>
      <c r="BK21" t="s">
        <v>1249</v>
      </c>
      <c r="BL21" t="s">
        <v>559</v>
      </c>
      <c r="BM21" t="s">
        <v>364</v>
      </c>
      <c r="BN21">
        <v>1.98</v>
      </c>
      <c r="BO21">
        <v>3.4</v>
      </c>
      <c r="BP21">
        <v>3.88</v>
      </c>
      <c r="BQ21">
        <v>2.41</v>
      </c>
      <c r="BR21">
        <v>3.72</v>
      </c>
      <c r="BS21">
        <v>4.04</v>
      </c>
      <c r="BT21" t="s">
        <v>1250</v>
      </c>
      <c r="BU21" t="s">
        <v>348</v>
      </c>
      <c r="BV21">
        <v>37.58</v>
      </c>
      <c r="BW21">
        <v>35.43</v>
      </c>
      <c r="BX21">
        <v>35.96</v>
      </c>
      <c r="BY21">
        <v>22.32</v>
      </c>
      <c r="BZ21">
        <v>12.46</v>
      </c>
      <c r="CA21">
        <v>12.72</v>
      </c>
      <c r="CB21">
        <v>-2.14</v>
      </c>
      <c r="CC21">
        <v>-9.76</v>
      </c>
      <c r="CD21" t="s">
        <v>1251</v>
      </c>
      <c r="CE21" t="s">
        <v>351</v>
      </c>
      <c r="CF21" s="7">
        <v>-0.28136882129277568</v>
      </c>
      <c r="CG21" s="8">
        <v>-0.31076674936861948</v>
      </c>
      <c r="CH21" s="7">
        <v>-0.64999997615814209</v>
      </c>
      <c r="CI21" s="7" t="s">
        <v>20</v>
      </c>
      <c r="CJ21" s="7" t="s">
        <v>20</v>
      </c>
      <c r="CK21" s="7">
        <v>-0.26037529110908508</v>
      </c>
      <c r="CL21" s="7">
        <v>2.4461269378662109E-2</v>
      </c>
      <c r="CM21" s="8">
        <v>-0.69304704666137695</v>
      </c>
      <c r="CN21" s="8" t="s">
        <v>20</v>
      </c>
      <c r="CO21" s="8" t="s">
        <v>20</v>
      </c>
      <c r="CP21" s="8" t="s">
        <v>20</v>
      </c>
      <c r="CQ21" s="8" t="s">
        <v>20</v>
      </c>
      <c r="CR21">
        <v>53.655786170311494</v>
      </c>
      <c r="CS21">
        <v>1.8169637108632952</v>
      </c>
      <c r="CT21">
        <v>1.8018018018018018</v>
      </c>
      <c r="CU21" s="7">
        <v>-0.29530466596285504</v>
      </c>
      <c r="CV21" s="8">
        <v>-0.69304704666137695</v>
      </c>
      <c r="CW21">
        <v>0.06</v>
      </c>
      <c r="CX21">
        <v>34.750453596109956</v>
      </c>
      <c r="CY21" t="s">
        <v>1252</v>
      </c>
      <c r="CZ21">
        <v>-0.29530466596285504</v>
      </c>
      <c r="DA21">
        <v>11.583484532036653</v>
      </c>
      <c r="DB21" t="s">
        <v>1253</v>
      </c>
      <c r="DC21">
        <v>-0.28053943266471226</v>
      </c>
      <c r="DD21">
        <v>5.7917422660183266</v>
      </c>
      <c r="DE21" t="s">
        <v>1254</v>
      </c>
      <c r="DF21">
        <v>-0.25986810604731242</v>
      </c>
      <c r="DG21">
        <v>3.4750453596109958</v>
      </c>
      <c r="DH21" t="s">
        <v>1255</v>
      </c>
      <c r="DI21">
        <v>-0.23624373277028404</v>
      </c>
      <c r="DJ21">
        <v>1.7375226798054979</v>
      </c>
      <c r="DK21" t="s">
        <v>1256</v>
      </c>
      <c r="DL21">
        <v>-0.20671326617399852</v>
      </c>
      <c r="DM21">
        <v>62004500</v>
      </c>
      <c r="DN21">
        <v>-0.29530466596285504</v>
      </c>
      <c r="DO21">
        <v>2154684500</v>
      </c>
      <c r="DP21">
        <v>4157902900</v>
      </c>
      <c r="DQ21">
        <v>2888</v>
      </c>
      <c r="DR21">
        <v>1.3935844670079356E-2</v>
      </c>
      <c r="DS21">
        <v>0.38228029729275748</v>
      </c>
      <c r="DT21" s="9">
        <v>-1.1599999999999999</v>
      </c>
      <c r="DU21">
        <v>-2.3199999999999998</v>
      </c>
      <c r="DV21">
        <v>-3.4799999999999995</v>
      </c>
      <c r="DW21">
        <v>-2.0975999999999999</v>
      </c>
      <c r="DX21">
        <v>0.31416951871657839</v>
      </c>
      <c r="DY21">
        <v>-2.0160229450267382</v>
      </c>
      <c r="DZ21">
        <v>3497</v>
      </c>
      <c r="EA21">
        <v>-2.0050577319624519</v>
      </c>
      <c r="EB21">
        <v>2</v>
      </c>
      <c r="EC21">
        <v>3.367884989574977E-2</v>
      </c>
      <c r="ED21">
        <v>0.20514679070170744</v>
      </c>
      <c r="EE21" s="10">
        <v>1.02451</v>
      </c>
      <c r="EF21">
        <v>1.06141</v>
      </c>
      <c r="EG21">
        <v>15.164169518716578</v>
      </c>
      <c r="EH21" t="s">
        <v>473</v>
      </c>
      <c r="EI21">
        <v>0</v>
      </c>
      <c r="EJ21">
        <v>0</v>
      </c>
      <c r="EK21" s="12">
        <v>45470</v>
      </c>
      <c r="EL21" s="13">
        <v>-1.41</v>
      </c>
      <c r="EM21" s="13">
        <v>-4.29</v>
      </c>
      <c r="EN21" s="13">
        <v>-0.15</v>
      </c>
      <c r="EO21" s="13">
        <v>1.5</v>
      </c>
      <c r="EP21" s="13">
        <v>-3.69</v>
      </c>
    </row>
    <row r="22" spans="1:146" ht="156" hidden="1" x14ac:dyDescent="0.25">
      <c r="A22" s="5" t="s">
        <v>381</v>
      </c>
      <c r="B22" s="5"/>
      <c r="C22" s="5" t="str">
        <f>"公司主营业务为葡萄酒的销售，葡萄种植、生产、销售。其主要产品包括高档酒、中低档酒、原酒。 　　在国内领域，公司尼雅品牌斩获“第十届亚洲葡萄酒质量大赛”金奖等多个奖项"&amp;CHAR(10)&amp;Basic_Fundamental_Information_Constructure(F22)&amp;CHAR(10)&amp;Basic_Fundamental_Information_Concatenate("中低档酒 9472.22万 43.60% 32.15% 40.09%
高档酒 9362.21万 43.10% 58.95% 74.37%
原酒 1269.96万 5.85% 1.91% 17.75%")</f>
        <v>公司主营业务为葡萄酒的销售，葡萄种植、生产、销售。其主要产品包括高档酒、中低档酒、原酒。 　　在国内领域，公司尼雅品牌斩获“第十届亚洲葡萄酒质量大赛”金奖等多个奖项
市值51.354316亿, 利润110.46万; PE; 平均PE-11.65; 平均PEG-.21, PB4.02; ROIC.75%; ROE-16.63%; 股利率0%; 毛利52.5233%; 净利-207.1967%; 上一年度营收增-74.4%, 利润增100.13%; 当季营收增-69.36%, 利润增-82.22%; 过往5年营收增-54.58%, 利润增100.13%
Income profile:
中低档酒 9472.22万 43.60% 32.15% 40.09%
高档酒 9362.21万 43.10% 58.95% 74.37%
原酒 1269.96万 5.85% 1.91% 17.75%</v>
      </c>
      <c r="D22" t="s">
        <v>73</v>
      </c>
      <c r="E22" t="s">
        <v>560</v>
      </c>
      <c r="F22">
        <v>4.57</v>
      </c>
      <c r="G22">
        <v>-0.65</v>
      </c>
      <c r="H22" t="s">
        <v>1257</v>
      </c>
      <c r="I22">
        <v>5135431600</v>
      </c>
      <c r="K22">
        <v>4.0199999999999996</v>
      </c>
      <c r="L22" t="s">
        <v>36</v>
      </c>
      <c r="M22" t="s">
        <v>374</v>
      </c>
      <c r="N22" t="s">
        <v>615</v>
      </c>
      <c r="O22" t="s">
        <v>1258</v>
      </c>
      <c r="P22">
        <v>-55.42</v>
      </c>
      <c r="Q22" t="s">
        <v>1258</v>
      </c>
      <c r="R22">
        <v>1104560</v>
      </c>
      <c r="S22" s="4">
        <v>-0.90590000000000004</v>
      </c>
      <c r="T22" t="s">
        <v>1259</v>
      </c>
      <c r="U22">
        <v>1123726830</v>
      </c>
      <c r="V22">
        <v>1123726830</v>
      </c>
      <c r="W22">
        <v>1.1200000000000001</v>
      </c>
      <c r="X22" t="s">
        <v>20</v>
      </c>
      <c r="Y22">
        <v>2.59</v>
      </c>
      <c r="Z22" t="s">
        <v>20</v>
      </c>
      <c r="AA22" t="s">
        <v>20</v>
      </c>
      <c r="AB22" t="s">
        <v>20</v>
      </c>
      <c r="AC22" t="s">
        <v>20</v>
      </c>
      <c r="AD22" t="s">
        <v>20</v>
      </c>
      <c r="AE22">
        <v>-99146</v>
      </c>
      <c r="AF22" t="s">
        <v>46</v>
      </c>
      <c r="AG22">
        <v>4500.7</v>
      </c>
      <c r="AH22" t="s">
        <v>1260</v>
      </c>
      <c r="AI22" t="s">
        <v>1261</v>
      </c>
      <c r="AJ22" t="s">
        <v>1262</v>
      </c>
      <c r="AK22" t="s">
        <v>20</v>
      </c>
      <c r="AL22" t="s">
        <v>1263</v>
      </c>
      <c r="AM22" t="s">
        <v>20</v>
      </c>
      <c r="AN22" t="s">
        <v>1264</v>
      </c>
      <c r="AO22" t="s">
        <v>20</v>
      </c>
      <c r="AP22" t="s">
        <v>20</v>
      </c>
      <c r="AQ22" t="s">
        <v>1265</v>
      </c>
      <c r="AR22" t="s">
        <v>1266</v>
      </c>
      <c r="AS22" t="s">
        <v>20</v>
      </c>
      <c r="AT22" t="s">
        <v>20</v>
      </c>
      <c r="AU22" t="s">
        <v>1267</v>
      </c>
      <c r="AV22" t="s">
        <v>1268</v>
      </c>
      <c r="AW22" t="s">
        <v>20</v>
      </c>
      <c r="AX22" t="s">
        <v>235</v>
      </c>
      <c r="AY22" t="s">
        <v>20</v>
      </c>
      <c r="AZ22" t="s">
        <v>187</v>
      </c>
      <c r="BA22" t="s">
        <v>74</v>
      </c>
      <c r="BB22" t="s">
        <v>188</v>
      </c>
      <c r="BC22" t="s">
        <v>1269</v>
      </c>
      <c r="BD22" t="s">
        <v>20</v>
      </c>
      <c r="BE22" t="s">
        <v>20</v>
      </c>
      <c r="BF22" t="s">
        <v>20</v>
      </c>
      <c r="BG22" t="s">
        <v>20</v>
      </c>
      <c r="BH22" t="s">
        <v>616</v>
      </c>
      <c r="BI22" t="s">
        <v>563</v>
      </c>
      <c r="BJ22" t="s">
        <v>235</v>
      </c>
      <c r="BK22" t="s">
        <v>1270</v>
      </c>
      <c r="BL22" t="s">
        <v>564</v>
      </c>
      <c r="BM22" t="s">
        <v>1269</v>
      </c>
      <c r="BN22" t="s">
        <v>20</v>
      </c>
      <c r="BO22" t="s">
        <v>20</v>
      </c>
      <c r="BP22">
        <v>0.75</v>
      </c>
      <c r="BQ22">
        <v>0.6</v>
      </c>
      <c r="BR22">
        <v>-51.27</v>
      </c>
      <c r="BS22">
        <v>0.78</v>
      </c>
      <c r="BT22" t="s">
        <v>361</v>
      </c>
      <c r="BU22" t="s">
        <v>348</v>
      </c>
      <c r="BV22">
        <v>53.12</v>
      </c>
      <c r="BW22">
        <v>50.07</v>
      </c>
      <c r="BX22">
        <v>54.38</v>
      </c>
      <c r="BY22">
        <v>2.21</v>
      </c>
      <c r="BZ22">
        <v>-630.87</v>
      </c>
      <c r="CA22">
        <v>7.07</v>
      </c>
      <c r="CB22">
        <v>-1.72</v>
      </c>
      <c r="CC22">
        <v>-19.54</v>
      </c>
      <c r="CD22" t="s">
        <v>1271</v>
      </c>
      <c r="CE22" t="s">
        <v>374</v>
      </c>
      <c r="CF22" s="7">
        <v>-0.69361885245901644</v>
      </c>
      <c r="CG22" s="8">
        <v>-0.82224654007080789</v>
      </c>
      <c r="CH22" s="7">
        <v>-0.74398291110992432</v>
      </c>
      <c r="CI22" s="7" t="s">
        <v>20</v>
      </c>
      <c r="CJ22" s="7" t="s">
        <v>20</v>
      </c>
      <c r="CK22" s="7">
        <v>-0.61848831176757813</v>
      </c>
      <c r="CL22" s="7">
        <v>-0.27485379576683044</v>
      </c>
      <c r="CM22" s="8">
        <v>1.0012509822845459</v>
      </c>
      <c r="CN22" s="8" t="s">
        <v>20</v>
      </c>
      <c r="CO22" s="8" t="s">
        <v>20</v>
      </c>
      <c r="CP22" s="8" t="s">
        <v>20</v>
      </c>
      <c r="CQ22" s="8" t="s">
        <v>20</v>
      </c>
      <c r="CR22">
        <v>-11.646350803054421</v>
      </c>
      <c r="CS22">
        <v>-0.21339106170925054</v>
      </c>
      <c r="CT22">
        <v>0</v>
      </c>
      <c r="CU22" s="7">
        <v>-0.54577500621477759</v>
      </c>
      <c r="CV22" s="8">
        <v>1.0012509822845459</v>
      </c>
      <c r="CW22">
        <v>0.06</v>
      </c>
      <c r="CX22">
        <v>3714.857504979178</v>
      </c>
      <c r="CY22" t="s">
        <v>1272</v>
      </c>
      <c r="CZ22">
        <v>-0.54577500621477759</v>
      </c>
      <c r="DA22">
        <v>1238.2858349930593</v>
      </c>
      <c r="DB22" t="s">
        <v>1273</v>
      </c>
      <c r="DC22">
        <v>-0.51848625590403874</v>
      </c>
      <c r="DD22">
        <v>619.14291749652966</v>
      </c>
      <c r="DE22" t="s">
        <v>1274</v>
      </c>
      <c r="DF22">
        <v>-0.48028200546900429</v>
      </c>
      <c r="DG22">
        <v>371.48575049791782</v>
      </c>
      <c r="DH22" t="s">
        <v>1275</v>
      </c>
      <c r="DI22">
        <v>-0.43662000497182207</v>
      </c>
      <c r="DJ22">
        <v>185.74287524895891</v>
      </c>
      <c r="DK22" t="s">
        <v>1276</v>
      </c>
      <c r="DL22">
        <v>-0.38204250435034431</v>
      </c>
      <c r="DM22">
        <v>1104600</v>
      </c>
      <c r="DN22">
        <v>-0.54577500621477759</v>
      </c>
      <c r="DO22">
        <v>4103431600</v>
      </c>
      <c r="DP22">
        <v>979081130</v>
      </c>
      <c r="DQ22">
        <v>2908</v>
      </c>
      <c r="DR22">
        <v>-0.14784384624423885</v>
      </c>
      <c r="DS22">
        <v>-1.8234975223553538</v>
      </c>
      <c r="DT22" s="9">
        <v>-0.83</v>
      </c>
      <c r="DU22">
        <v>-0.32000000000000006</v>
      </c>
      <c r="DV22">
        <v>-1.1499999999999999</v>
      </c>
      <c r="DW22">
        <v>-3.0400357142857142</v>
      </c>
      <c r="DX22">
        <v>0.35572371134020769</v>
      </c>
      <c r="DY22">
        <v>-3.0070352243004419</v>
      </c>
      <c r="DZ22">
        <v>4248</v>
      </c>
      <c r="EA22">
        <v>-3.0011867638643799</v>
      </c>
      <c r="EB22">
        <v>3</v>
      </c>
      <c r="EC22">
        <v>3.0336910261366635E-2</v>
      </c>
      <c r="ED22">
        <v>0.17263982208202683</v>
      </c>
      <c r="EE22" s="10">
        <v>-4.1341099999999997</v>
      </c>
      <c r="EF22">
        <v>-5.0283100000000003</v>
      </c>
      <c r="EG22">
        <v>18.175723711340208</v>
      </c>
      <c r="EH22" t="s">
        <v>1277</v>
      </c>
      <c r="EI22">
        <v>0</v>
      </c>
      <c r="EJ22">
        <v>0</v>
      </c>
      <c r="EK22" s="12">
        <v>45470</v>
      </c>
      <c r="EL22" s="13">
        <v>-5.07</v>
      </c>
      <c r="EM22" s="13">
        <v>-4.8499999999999996</v>
      </c>
      <c r="EN22" s="13">
        <v>-5.0999999999999996</v>
      </c>
      <c r="EO22" s="13">
        <v>-2.69</v>
      </c>
      <c r="EP22" s="13">
        <v>-4.42</v>
      </c>
    </row>
    <row r="23" spans="1:146" ht="168" hidden="1" x14ac:dyDescent="0.25">
      <c r="A23" s="5"/>
      <c r="B23" s="5"/>
      <c r="C23" s="5" t="str">
        <f>"公司的主营业务是啤酒产品的制造与销售。主要产品山城啤酒、重庆啤酒等。在品牌组合方面，公司“国际高端品牌+本地强势品牌”的品牌组合更加强大。国际高端品牌有嘉士伯、乐堡、1664、格林堡、布鲁克林、夏日纷等，本地强势品牌有乌苏、重庆、山城、乌苏、西夏、大理、风花雪月、天目湖、京A等"&amp;CHAR(10)&amp;Basic_Fundamental_Information_Constructure(F23)&amp;CHAR(10)&amp;Basic_Fundamental_Information_Concatenate("本土品牌 83.20亿 63.42% 61.67% 49.54%
国际品牌 45.15亿 34.42% 36.96% 54.70%")</f>
        <v>公司的主营业务是啤酒产品的制造与销售。主要产品山城啤酒、重庆啤酒等。在品牌组合方面，公司“国际高端品牌+本地强势品牌”的品牌组合更加强大。国际高端品牌有嘉士伯、乐堡、1664、格林堡、布鲁克林、夏日纷等，本地强势品牌有乌苏、重庆、山城、乌苏、西夏、大理、风花雪月、天目湖、京A等
市值279.97734亿, 利润4.52亿; PE19.98; 平均PE32.63; 平均PEG.74, PB10.8; ROIC73.5867%; ROE76.9767%; 股利率4.8401%; 毛利50.19%; 净利18.34%; 上一年度营收增-69.42%, 利润增-64.24%; 当季营收增-49.52%, 利润增-47.75%; 过往5年营收增44.09%, 利润增-64.24%
Income profile:
本土品牌 83.20亿 63.42% 61.67% 49.54%
国际品牌 45.15亿 34.42% 36.96% 54.70%</v>
      </c>
      <c r="D23" t="s">
        <v>75</v>
      </c>
      <c r="E23" t="s">
        <v>12</v>
      </c>
      <c r="F23">
        <v>57.85</v>
      </c>
      <c r="G23">
        <v>0.96</v>
      </c>
      <c r="H23" t="s">
        <v>1278</v>
      </c>
      <c r="I23">
        <v>27997734000</v>
      </c>
      <c r="J23">
        <v>19.98</v>
      </c>
      <c r="K23">
        <v>10.8</v>
      </c>
      <c r="L23" t="s">
        <v>36</v>
      </c>
      <c r="M23" t="s">
        <v>1279</v>
      </c>
      <c r="N23" t="s">
        <v>1280</v>
      </c>
      <c r="O23" t="s">
        <v>1281</v>
      </c>
      <c r="P23">
        <v>7.16</v>
      </c>
      <c r="Q23" t="s">
        <v>1281</v>
      </c>
      <c r="R23">
        <v>451938990</v>
      </c>
      <c r="S23" s="4">
        <v>0.1678</v>
      </c>
      <c r="T23" t="s">
        <v>531</v>
      </c>
      <c r="U23">
        <v>483971200</v>
      </c>
      <c r="V23">
        <v>483971200</v>
      </c>
      <c r="W23">
        <v>2.87</v>
      </c>
      <c r="X23" t="s">
        <v>20</v>
      </c>
      <c r="Y23">
        <v>20.94</v>
      </c>
      <c r="Z23" t="s">
        <v>20</v>
      </c>
      <c r="AA23" t="s">
        <v>20</v>
      </c>
      <c r="AB23" t="s">
        <v>20</v>
      </c>
      <c r="AC23" t="s">
        <v>20</v>
      </c>
      <c r="AD23" t="s">
        <v>20</v>
      </c>
      <c r="AE23">
        <v>-8262691</v>
      </c>
      <c r="AF23" t="s">
        <v>1282</v>
      </c>
      <c r="AG23" t="s">
        <v>1283</v>
      </c>
      <c r="AH23" t="s">
        <v>1284</v>
      </c>
      <c r="AI23" t="s">
        <v>1285</v>
      </c>
      <c r="AJ23" t="s">
        <v>1286</v>
      </c>
      <c r="AK23" t="s">
        <v>20</v>
      </c>
      <c r="AL23" t="s">
        <v>1287</v>
      </c>
      <c r="AM23" t="s">
        <v>20</v>
      </c>
      <c r="AN23" t="s">
        <v>1288</v>
      </c>
      <c r="AO23" t="s">
        <v>20</v>
      </c>
      <c r="AP23" t="s">
        <v>20</v>
      </c>
      <c r="AQ23" t="s">
        <v>1289</v>
      </c>
      <c r="AR23" t="s">
        <v>20</v>
      </c>
      <c r="AS23" t="s">
        <v>20</v>
      </c>
      <c r="AT23" t="s">
        <v>20</v>
      </c>
      <c r="AU23" t="s">
        <v>859</v>
      </c>
      <c r="AV23" t="s">
        <v>1290</v>
      </c>
      <c r="AW23" t="s">
        <v>1291</v>
      </c>
      <c r="AX23" t="s">
        <v>488</v>
      </c>
      <c r="AY23" t="s">
        <v>20</v>
      </c>
      <c r="AZ23" t="s">
        <v>189</v>
      </c>
      <c r="BA23" t="s">
        <v>191</v>
      </c>
      <c r="BB23" t="s">
        <v>192</v>
      </c>
      <c r="BC23" t="s">
        <v>489</v>
      </c>
      <c r="BD23" t="s">
        <v>20</v>
      </c>
      <c r="BE23" t="s">
        <v>20</v>
      </c>
      <c r="BF23" t="s">
        <v>20</v>
      </c>
      <c r="BG23" t="s">
        <v>20</v>
      </c>
      <c r="BH23" t="s">
        <v>1292</v>
      </c>
      <c r="BI23" t="s">
        <v>524</v>
      </c>
      <c r="BJ23" t="s">
        <v>488</v>
      </c>
      <c r="BK23" t="s">
        <v>1293</v>
      </c>
      <c r="BL23" t="s">
        <v>565</v>
      </c>
      <c r="BM23" t="s">
        <v>489</v>
      </c>
      <c r="BN23">
        <v>61.25</v>
      </c>
      <c r="BO23">
        <v>74.650000000000006</v>
      </c>
      <c r="BP23">
        <v>84.86</v>
      </c>
      <c r="BQ23">
        <v>61.99</v>
      </c>
      <c r="BR23">
        <v>69.25</v>
      </c>
      <c r="BS23">
        <v>99.69</v>
      </c>
      <c r="BT23" t="s">
        <v>1294</v>
      </c>
      <c r="BU23" t="s">
        <v>345</v>
      </c>
      <c r="BV23">
        <v>49.15</v>
      </c>
      <c r="BW23">
        <v>50.48</v>
      </c>
      <c r="BX23">
        <v>50.94</v>
      </c>
      <c r="BY23">
        <v>18.3</v>
      </c>
      <c r="BZ23">
        <v>18.43</v>
      </c>
      <c r="CA23">
        <v>18.29</v>
      </c>
      <c r="CB23">
        <v>-4.7</v>
      </c>
      <c r="CC23">
        <v>-14.8</v>
      </c>
      <c r="CD23" t="s">
        <v>1295</v>
      </c>
      <c r="CE23" t="s">
        <v>563</v>
      </c>
      <c r="CF23" s="7">
        <v>-0.49523809523809526</v>
      </c>
      <c r="CG23" s="8">
        <v>-0.47752717919075144</v>
      </c>
      <c r="CH23" s="7">
        <v>-0.69420897960662842</v>
      </c>
      <c r="CI23" s="7" t="s">
        <v>20</v>
      </c>
      <c r="CJ23" s="7" t="s">
        <v>20</v>
      </c>
      <c r="CK23" s="7">
        <v>7.1484565734863281E-2</v>
      </c>
      <c r="CL23" s="7">
        <v>1.9454859495162964</v>
      </c>
      <c r="CM23" s="8">
        <v>-0.64240509271621704</v>
      </c>
      <c r="CN23" s="8" t="s">
        <v>20</v>
      </c>
      <c r="CO23" s="8" t="s">
        <v>20</v>
      </c>
      <c r="CP23" s="8" t="s">
        <v>20</v>
      </c>
      <c r="CQ23" s="8" t="s">
        <v>20</v>
      </c>
      <c r="CR23">
        <v>32.63139160839161</v>
      </c>
      <c r="CS23">
        <v>0.74007424760408325</v>
      </c>
      <c r="CT23">
        <v>4.840103716508211</v>
      </c>
      <c r="CU23" s="7">
        <v>0.44092051188151044</v>
      </c>
      <c r="CV23" s="8">
        <v>-0.64240509271621704</v>
      </c>
      <c r="CW23">
        <v>0.06</v>
      </c>
      <c r="CX23">
        <v>52.379800124107135</v>
      </c>
      <c r="CY23">
        <v>614430256.00985157</v>
      </c>
      <c r="CZ23">
        <v>0.44092051188151044</v>
      </c>
      <c r="DA23">
        <v>12.878867002953838</v>
      </c>
      <c r="DB23">
        <v>2498956934.0702477</v>
      </c>
      <c r="DC23">
        <v>0.4188744862874349</v>
      </c>
      <c r="DD23">
        <v>4.16388738071959</v>
      </c>
      <c r="DE23">
        <v>7729251792.2130032</v>
      </c>
      <c r="DF23">
        <v>0.38801005045572917</v>
      </c>
      <c r="DG23">
        <v>1.4735063377810174</v>
      </c>
      <c r="DH23">
        <v>21841598624.181099</v>
      </c>
      <c r="DI23">
        <v>0.35273640950520835</v>
      </c>
      <c r="DJ23">
        <v>0.20295813383008948</v>
      </c>
      <c r="DK23">
        <v>158573265296.8876</v>
      </c>
      <c r="DL23">
        <v>0.30864435831705728</v>
      </c>
      <c r="DM23">
        <v>451999999.99999994</v>
      </c>
      <c r="DN23">
        <v>0.44092051188151044</v>
      </c>
      <c r="DO23">
        <v>32183734000</v>
      </c>
      <c r="DP23">
        <v>5929444800</v>
      </c>
      <c r="DQ23">
        <v>2947</v>
      </c>
      <c r="DR23">
        <v>-0.93615860711960575</v>
      </c>
      <c r="DS23">
        <v>0.1648779135254656</v>
      </c>
      <c r="DT23" s="9">
        <v>-1.1599999999999999</v>
      </c>
      <c r="DU23">
        <v>-2.3199999999999998</v>
      </c>
      <c r="DV23">
        <v>-3.4799999999999995</v>
      </c>
      <c r="DW23">
        <v>-8.3175675675675684</v>
      </c>
      <c r="DX23">
        <v>0.37025245901639292</v>
      </c>
      <c r="DY23">
        <v>-8.047715307930881</v>
      </c>
      <c r="DZ23">
        <v>2707</v>
      </c>
      <c r="EA23">
        <v>-8.0224383336512535</v>
      </c>
      <c r="EB23">
        <v>8</v>
      </c>
      <c r="EC23">
        <v>3.787580748606529E-2</v>
      </c>
      <c r="ED23">
        <v>0.25208111557051327</v>
      </c>
      <c r="EE23" s="10">
        <v>-1.04081</v>
      </c>
      <c r="EF23">
        <v>-1.0544100000000001</v>
      </c>
      <c r="EG23">
        <v>22.150252459016393</v>
      </c>
      <c r="EH23" t="s">
        <v>464</v>
      </c>
      <c r="EI23">
        <v>0</v>
      </c>
      <c r="EJ23">
        <v>0</v>
      </c>
      <c r="EK23" s="12">
        <v>45470</v>
      </c>
      <c r="EL23" s="13">
        <v>-2.06</v>
      </c>
      <c r="EM23" s="13">
        <v>-2.4900000000000002</v>
      </c>
      <c r="EN23" s="13">
        <v>-2.1</v>
      </c>
      <c r="EO23" s="13">
        <v>-2.15</v>
      </c>
      <c r="EP23" s="13">
        <v>-1.36</v>
      </c>
    </row>
    <row r="24" spans="1:146" ht="144" hidden="1" x14ac:dyDescent="0.25">
      <c r="A24" s="5"/>
      <c r="B24" s="5"/>
      <c r="C24" s="5" t="str">
        <f>"公司的主要业务是长白山天然饮用矿泉水的生产、销售以及园林景观规划设计、园林工程施工、园林养护和苗木种植销售、木材产品业务、进口木材贸易及定制家居业务等。"&amp;CHAR(10)&amp;Basic_Fundamental_Information_Constructure(F24)&amp;CHAR(10)&amp;Basic_Fundamental_Information_Concatenate("矿泉水分部 3.54亿 57.06% 66.79% 49.33%
门业产品分部 1.50亿 24.15% 17.55% 30.62%
园林绿化分部 1.35亿 21.70% 17.61% 34.19%")</f>
        <v>公司的主要业务是长白山天然饮用矿泉水的生产、销售以及园林景观规划设计、园林工程施工、园林养护和苗木种植销售、木材产品业务、进口木材贸易及定制家居业务等。
市值47.632174亿, 利润-566.25万; PE; 平均PE182.96; 平均PEG5.94, PB4.01; ROIC3.0733%; ROE4.2067%; 股利率0%; 毛利34.74%; 净利-7.89%; 上一年度营收增-81.64%, 利润增-109.81%; 当季营收增-63.31%, 利润增-115.6%; 过往5年营收增-30.79%, 利润增-109.81%
Income profile:
矿泉水分部 3.54亿 57.06% 66.79% 49.33%
门业产品分部 1.50亿 24.15% 17.55% 30.62%
园林绿化分部 1.35亿 21.70% 17.61% 34.19%</v>
      </c>
      <c r="D24" t="s">
        <v>77</v>
      </c>
      <c r="E24" t="s">
        <v>193</v>
      </c>
      <c r="F24">
        <v>6.66</v>
      </c>
      <c r="G24">
        <v>0.6</v>
      </c>
      <c r="H24" t="s">
        <v>1296</v>
      </c>
      <c r="I24">
        <v>4763217400</v>
      </c>
      <c r="K24">
        <v>4.01</v>
      </c>
      <c r="L24" t="s">
        <v>36</v>
      </c>
      <c r="M24" t="s">
        <v>1297</v>
      </c>
      <c r="N24" t="s">
        <v>1298</v>
      </c>
      <c r="O24" t="s">
        <v>543</v>
      </c>
      <c r="P24">
        <v>5.97</v>
      </c>
      <c r="Q24" t="s">
        <v>543</v>
      </c>
      <c r="R24">
        <v>-5662522</v>
      </c>
      <c r="S24" s="4">
        <v>0.73060000000000003</v>
      </c>
      <c r="T24" t="s">
        <v>1299</v>
      </c>
      <c r="U24">
        <v>715197810</v>
      </c>
      <c r="V24">
        <v>715197810</v>
      </c>
      <c r="W24">
        <v>3.15</v>
      </c>
      <c r="X24" t="s">
        <v>20</v>
      </c>
      <c r="Y24">
        <v>-0.97</v>
      </c>
      <c r="Z24" t="s">
        <v>20</v>
      </c>
      <c r="AA24" t="s">
        <v>20</v>
      </c>
      <c r="AB24" t="s">
        <v>20</v>
      </c>
      <c r="AC24" t="s">
        <v>20</v>
      </c>
      <c r="AD24" t="s">
        <v>20</v>
      </c>
      <c r="AE24">
        <v>-8411347</v>
      </c>
      <c r="AF24" t="s">
        <v>1300</v>
      </c>
      <c r="AG24" t="s">
        <v>1301</v>
      </c>
      <c r="AH24" t="s">
        <v>1302</v>
      </c>
      <c r="AI24" t="s">
        <v>1303</v>
      </c>
      <c r="AJ24" t="s">
        <v>1304</v>
      </c>
      <c r="AK24" t="s">
        <v>20</v>
      </c>
      <c r="AL24" t="s">
        <v>1305</v>
      </c>
      <c r="AM24" t="s">
        <v>20</v>
      </c>
      <c r="AN24" t="s">
        <v>1306</v>
      </c>
      <c r="AO24" t="s">
        <v>20</v>
      </c>
      <c r="AP24" t="s">
        <v>20</v>
      </c>
      <c r="AQ24" t="s">
        <v>619</v>
      </c>
      <c r="AR24" t="s">
        <v>1307</v>
      </c>
      <c r="AS24" t="s">
        <v>20</v>
      </c>
      <c r="AT24" t="s">
        <v>20</v>
      </c>
      <c r="AU24" t="s">
        <v>1308</v>
      </c>
      <c r="AV24" t="s">
        <v>1309</v>
      </c>
      <c r="AW24" t="s">
        <v>1310</v>
      </c>
      <c r="AX24" t="s">
        <v>491</v>
      </c>
      <c r="AY24" t="s">
        <v>20</v>
      </c>
      <c r="AZ24" t="s">
        <v>194</v>
      </c>
      <c r="BA24" t="s">
        <v>78</v>
      </c>
      <c r="BB24" t="s">
        <v>195</v>
      </c>
      <c r="BC24" t="s">
        <v>1311</v>
      </c>
      <c r="BD24" t="s">
        <v>20</v>
      </c>
      <c r="BE24" t="s">
        <v>20</v>
      </c>
      <c r="BF24" t="s">
        <v>20</v>
      </c>
      <c r="BG24" t="s">
        <v>20</v>
      </c>
      <c r="BH24" t="s">
        <v>545</v>
      </c>
      <c r="BI24" t="s">
        <v>567</v>
      </c>
      <c r="BJ24" t="s">
        <v>491</v>
      </c>
      <c r="BK24" t="s">
        <v>1312</v>
      </c>
      <c r="BL24" t="s">
        <v>568</v>
      </c>
      <c r="BM24" t="s">
        <v>1311</v>
      </c>
      <c r="BN24">
        <v>2.74</v>
      </c>
      <c r="BO24">
        <v>2.56</v>
      </c>
      <c r="BP24">
        <v>3.92</v>
      </c>
      <c r="BQ24">
        <v>2.25</v>
      </c>
      <c r="BR24">
        <v>3.53</v>
      </c>
      <c r="BS24">
        <v>6.84</v>
      </c>
      <c r="BT24" t="s">
        <v>361</v>
      </c>
      <c r="BU24" t="s">
        <v>347</v>
      </c>
      <c r="BV24">
        <v>32.42</v>
      </c>
      <c r="BW24">
        <v>34.229999999999997</v>
      </c>
      <c r="BX24">
        <v>37.57</v>
      </c>
      <c r="BY24">
        <v>-38.44</v>
      </c>
      <c r="BZ24">
        <v>6.32</v>
      </c>
      <c r="CA24">
        <v>8.4499999999999993</v>
      </c>
      <c r="CB24">
        <v>0.3</v>
      </c>
      <c r="CC24">
        <v>-14.72</v>
      </c>
      <c r="CD24" t="s">
        <v>1313</v>
      </c>
      <c r="CE24" t="s">
        <v>371</v>
      </c>
      <c r="CF24" s="7">
        <v>-0.63307086614173225</v>
      </c>
      <c r="CG24" s="8">
        <v>-1.1560400563257636</v>
      </c>
      <c r="CH24" s="7">
        <v>-0.81639087200164795</v>
      </c>
      <c r="CI24" s="7" t="s">
        <v>20</v>
      </c>
      <c r="CJ24" s="7" t="s">
        <v>20</v>
      </c>
      <c r="CK24" s="7">
        <v>-0.14357054233551025</v>
      </c>
      <c r="CL24" s="7">
        <v>3.6222510039806366E-2</v>
      </c>
      <c r="CM24" s="8">
        <v>-1.0980849266052246</v>
      </c>
      <c r="CN24" s="8" t="s">
        <v>20</v>
      </c>
      <c r="CO24" s="8" t="s">
        <v>20</v>
      </c>
      <c r="CP24" s="8" t="s">
        <v>20</v>
      </c>
      <c r="CQ24" s="8" t="s">
        <v>20</v>
      </c>
      <c r="CR24">
        <v>182.96106061100747</v>
      </c>
      <c r="CS24">
        <v>5.9419732056271251</v>
      </c>
      <c r="CT24">
        <v>0</v>
      </c>
      <c r="CU24" s="7">
        <v>-0.30791296809911728</v>
      </c>
      <c r="CV24" s="8">
        <v>-1.0980849266052246</v>
      </c>
      <c r="CW24">
        <v>0.06</v>
      </c>
      <c r="CX24" t="e">
        <v>#VALUE!</v>
      </c>
      <c r="CY24" t="s">
        <v>336</v>
      </c>
      <c r="CZ24">
        <v>-0.30791296809911728</v>
      </c>
      <c r="DA24" t="e">
        <v>#VALUE!</v>
      </c>
      <c r="DB24" t="s">
        <v>337</v>
      </c>
      <c r="DC24">
        <v>-0.29251731969416139</v>
      </c>
      <c r="DD24" t="e">
        <v>#VALUE!</v>
      </c>
      <c r="DE24" t="s">
        <v>337</v>
      </c>
      <c r="DF24">
        <v>-0.27096341192722323</v>
      </c>
      <c r="DG24" t="e">
        <v>#VALUE!</v>
      </c>
      <c r="DH24" t="s">
        <v>337</v>
      </c>
      <c r="DI24">
        <v>-0.24633037447929385</v>
      </c>
      <c r="DJ24" t="e">
        <v>#VALUE!</v>
      </c>
      <c r="DK24" t="s">
        <v>337</v>
      </c>
      <c r="DL24">
        <v>-0.21553907766938207</v>
      </c>
      <c r="DM24">
        <v>-5662500</v>
      </c>
      <c r="DN24">
        <v>-0.30791296809911728</v>
      </c>
      <c r="DO24">
        <v>6333217400</v>
      </c>
      <c r="DP24">
        <v>2601223300</v>
      </c>
      <c r="DQ24">
        <v>2991</v>
      </c>
      <c r="DR24">
        <v>-0.32515789804261497</v>
      </c>
      <c r="DS24">
        <v>-5.7955129720538956E-2</v>
      </c>
      <c r="DT24" s="9">
        <v>-1.1599999999999999</v>
      </c>
      <c r="DU24">
        <v>-4.9450000000000003</v>
      </c>
      <c r="DV24">
        <v>-6.1050000000000004</v>
      </c>
      <c r="DW24">
        <v>-2.1471999999999998</v>
      </c>
      <c r="DX24">
        <v>0.28988487804878049</v>
      </c>
      <c r="DY24">
        <v>-2.0220630540487803</v>
      </c>
      <c r="DZ24">
        <v>2522</v>
      </c>
      <c r="EA24">
        <v>-2.0111740085867402</v>
      </c>
      <c r="EB24">
        <v>2</v>
      </c>
      <c r="EC24">
        <v>4.2962100233500437E-2</v>
      </c>
      <c r="ED24">
        <v>0.28663398731604056</v>
      </c>
      <c r="EE24" s="10">
        <v>3.0302099999999998</v>
      </c>
      <c r="EF24">
        <v>3.0253100000000002</v>
      </c>
      <c r="EG24">
        <v>14.14988487804878</v>
      </c>
      <c r="EH24" t="s">
        <v>1314</v>
      </c>
      <c r="EI24">
        <v>0</v>
      </c>
      <c r="EJ24">
        <v>0</v>
      </c>
      <c r="EK24" s="12">
        <v>45470</v>
      </c>
      <c r="EL24" s="13">
        <v>-0.6</v>
      </c>
      <c r="EM24" s="13">
        <v>-4.41</v>
      </c>
      <c r="EN24" s="13">
        <v>0.31</v>
      </c>
      <c r="EO24" s="13">
        <v>-0.13</v>
      </c>
      <c r="EP24" s="13">
        <v>0.49</v>
      </c>
    </row>
    <row r="25" spans="1:146" ht="168" hidden="1" x14ac:dyDescent="0.25">
      <c r="A25" s="5"/>
      <c r="B25" s="5"/>
      <c r="C25" s="5" t="str">
        <f>"公司主营业务为酒类产品的生产和销售,主要产品有健康保健酒“椰岛鹿龟酒”与“椰岛海王酒”,白酒“海口大曲”与“椰岛原浆”等,同时公司布局椰汁类生态饮品和软饮料(非碳酸),并开展商品贸易与供应链业务协同发展。"&amp;CHAR(10)&amp;Basic_Fundamental_Information_Constructure(F25)&amp;CHAR(10)&amp;Basic_Fundamental_Information_Concatenate("贸易 4.03亿 48.41% 0.32% 0.13%
酒类 3.37亿 40.41% 94.34% 46.13%
食品饮料 6633.80万 7.96% 2.16% 5.36%
其他 2682.33万 3.22% 3.18% 19.53%")</f>
        <v>公司主营业务为酒类产品的生产和销售,主要产品有健康保健酒“椰岛鹿龟酒”与“椰岛海王酒”,白酒“海口大曲”与“椰岛原浆”等,同时公司布局椰汁类生态饮品和软饮料(非碳酸),并开展商品贸易与供应链业务协同发展。
市值34.60104亿, 利润-748.16万; PE; 平均PE-55.15; 平均PEG-2.39, PB14.59; ROIC0%; ROE-19.3533%; 股利率0%; 毛利25.41%; 净利-34.9933%; 上一年度营收增-86.95%, 利润增93.66%; 当季营收增-53.98%, 利润增85.63%; 过往5年营收增-23.05%, 利润增93.66%
Income profile:
贸易 4.03亿 48.41% 0.32% 0.13%
酒类 3.37亿 40.41% 94.34% 46.13%
食品饮料 6633.80万 7.96% 2.16% 5.36%
其他 2682.33万 3.22% 3.18% 19.53%</v>
      </c>
      <c r="D25" t="s">
        <v>83</v>
      </c>
      <c r="E25" t="s">
        <v>198</v>
      </c>
      <c r="F25">
        <v>7.72</v>
      </c>
      <c r="G25">
        <v>3.62</v>
      </c>
      <c r="H25" t="s">
        <v>1315</v>
      </c>
      <c r="I25">
        <v>3460104000</v>
      </c>
      <c r="K25">
        <v>14.59</v>
      </c>
      <c r="L25" t="s">
        <v>36</v>
      </c>
      <c r="M25" t="s">
        <v>1316</v>
      </c>
      <c r="N25" t="s">
        <v>1317</v>
      </c>
      <c r="O25" t="s">
        <v>1318</v>
      </c>
      <c r="P25">
        <v>-28.77</v>
      </c>
      <c r="Q25" t="s">
        <v>1318</v>
      </c>
      <c r="R25">
        <v>-7481622</v>
      </c>
      <c r="S25" s="4">
        <v>0.47560000000000002</v>
      </c>
      <c r="T25" t="s">
        <v>1319</v>
      </c>
      <c r="U25">
        <v>445001580</v>
      </c>
      <c r="V25">
        <v>448200000</v>
      </c>
      <c r="W25">
        <v>3.7</v>
      </c>
      <c r="X25" t="s">
        <v>20</v>
      </c>
      <c r="Y25">
        <v>-14.11</v>
      </c>
      <c r="Z25" t="s">
        <v>20</v>
      </c>
      <c r="AA25" t="s">
        <v>20</v>
      </c>
      <c r="AB25" t="s">
        <v>20</v>
      </c>
      <c r="AC25" t="s">
        <v>20</v>
      </c>
      <c r="AD25" t="s">
        <v>20</v>
      </c>
      <c r="AE25">
        <v>4077486</v>
      </c>
      <c r="AF25" t="s">
        <v>1320</v>
      </c>
      <c r="AG25" t="s">
        <v>1321</v>
      </c>
      <c r="AH25" t="s">
        <v>1322</v>
      </c>
      <c r="AI25" t="s">
        <v>1323</v>
      </c>
      <c r="AJ25" t="s">
        <v>1324</v>
      </c>
      <c r="AK25" t="s">
        <v>20</v>
      </c>
      <c r="AL25" t="s">
        <v>1325</v>
      </c>
      <c r="AM25" t="s">
        <v>20</v>
      </c>
      <c r="AN25" t="s">
        <v>1326</v>
      </c>
      <c r="AO25" t="s">
        <v>20</v>
      </c>
      <c r="AP25" t="s">
        <v>20</v>
      </c>
      <c r="AQ25" t="s">
        <v>500</v>
      </c>
      <c r="AR25" t="s">
        <v>1327</v>
      </c>
      <c r="AS25" t="s">
        <v>20</v>
      </c>
      <c r="AT25" t="s">
        <v>20</v>
      </c>
      <c r="AU25" t="s">
        <v>1328</v>
      </c>
      <c r="AV25" t="s">
        <v>1329</v>
      </c>
      <c r="AW25" t="s">
        <v>1330</v>
      </c>
      <c r="AX25" t="s">
        <v>494</v>
      </c>
      <c r="AY25" t="s">
        <v>20</v>
      </c>
      <c r="AZ25" t="s">
        <v>199</v>
      </c>
      <c r="BA25" t="s">
        <v>84</v>
      </c>
      <c r="BB25" t="s">
        <v>200</v>
      </c>
      <c r="BC25" t="s">
        <v>166</v>
      </c>
      <c r="BD25" t="s">
        <v>20</v>
      </c>
      <c r="BE25" t="s">
        <v>20</v>
      </c>
      <c r="BF25" t="s">
        <v>20</v>
      </c>
      <c r="BG25" t="s">
        <v>20</v>
      </c>
      <c r="BH25" t="s">
        <v>1007</v>
      </c>
      <c r="BI25" t="s">
        <v>349</v>
      </c>
      <c r="BJ25" t="s">
        <v>494</v>
      </c>
      <c r="BK25" t="s">
        <v>1331</v>
      </c>
      <c r="BL25" t="s">
        <v>576</v>
      </c>
      <c r="BM25" t="s">
        <v>166</v>
      </c>
      <c r="BN25" t="s">
        <v>20</v>
      </c>
      <c r="BO25" t="s">
        <v>20</v>
      </c>
      <c r="BP25" t="s">
        <v>20</v>
      </c>
      <c r="BQ25">
        <v>-19.41</v>
      </c>
      <c r="BR25">
        <v>-27.2</v>
      </c>
      <c r="BS25">
        <v>-11.45</v>
      </c>
      <c r="BT25" t="s">
        <v>361</v>
      </c>
      <c r="BU25" t="s">
        <v>348</v>
      </c>
      <c r="BV25">
        <v>27.99</v>
      </c>
      <c r="BW25">
        <v>28.48</v>
      </c>
      <c r="BX25">
        <v>19.760000000000002</v>
      </c>
      <c r="BY25">
        <v>-68.39</v>
      </c>
      <c r="BZ25">
        <v>-28.74</v>
      </c>
      <c r="CA25">
        <v>-7.85</v>
      </c>
      <c r="CB25">
        <v>1.18</v>
      </c>
      <c r="CC25">
        <v>-1.28</v>
      </c>
      <c r="CD25" t="s">
        <v>1332</v>
      </c>
      <c r="CE25" t="s">
        <v>636</v>
      </c>
      <c r="CF25" s="7">
        <v>-0.53984661016949143</v>
      </c>
      <c r="CG25" s="8">
        <v>0.85626500677213913</v>
      </c>
      <c r="CH25" s="7">
        <v>-0.86947566270828247</v>
      </c>
      <c r="CI25" s="7" t="s">
        <v>20</v>
      </c>
      <c r="CJ25" s="7" t="s">
        <v>20</v>
      </c>
      <c r="CK25" s="7">
        <v>0.29280000925064087</v>
      </c>
      <c r="CL25" s="7">
        <v>-0.11473087966442108</v>
      </c>
      <c r="CM25" s="8">
        <v>0.93659663200378418</v>
      </c>
      <c r="CN25" s="8" t="s">
        <v>20</v>
      </c>
      <c r="CO25" s="8" t="s">
        <v>20</v>
      </c>
      <c r="CP25" s="8" t="s">
        <v>20</v>
      </c>
      <c r="CQ25" s="8" t="s">
        <v>20</v>
      </c>
      <c r="CR25">
        <v>-55.149185219187515</v>
      </c>
      <c r="CS25">
        <v>-2.3929128194736626</v>
      </c>
      <c r="CT25">
        <v>0</v>
      </c>
      <c r="CU25" s="7">
        <v>-0.2304688443740209</v>
      </c>
      <c r="CV25" s="8">
        <v>0.93659663200378418</v>
      </c>
      <c r="CW25">
        <v>0.06</v>
      </c>
      <c r="CX25" t="e">
        <v>#VALUE!</v>
      </c>
      <c r="CY25" t="s">
        <v>336</v>
      </c>
      <c r="CZ25">
        <v>-0.2304688443740209</v>
      </c>
      <c r="DA25" t="e">
        <v>#VALUE!</v>
      </c>
      <c r="DB25" t="s">
        <v>337</v>
      </c>
      <c r="DC25">
        <v>-0.21894540215531985</v>
      </c>
      <c r="DD25" t="e">
        <v>#VALUE!</v>
      </c>
      <c r="DE25" t="s">
        <v>337</v>
      </c>
      <c r="DF25">
        <v>-0.20281258304913841</v>
      </c>
      <c r="DG25" t="e">
        <v>#VALUE!</v>
      </c>
      <c r="DH25" t="s">
        <v>337</v>
      </c>
      <c r="DI25">
        <v>-0.18437507549921672</v>
      </c>
      <c r="DJ25" t="e">
        <v>#VALUE!</v>
      </c>
      <c r="DK25" t="s">
        <v>337</v>
      </c>
      <c r="DL25">
        <v>-0.16132819106181462</v>
      </c>
      <c r="DM25">
        <v>-7481600</v>
      </c>
      <c r="DN25">
        <v>-0.2304688443740209</v>
      </c>
      <c r="DO25">
        <v>3958104000</v>
      </c>
      <c r="DP25">
        <v>527263590</v>
      </c>
      <c r="DQ25">
        <v>3034</v>
      </c>
      <c r="DR25">
        <v>-0.30937776579547049</v>
      </c>
      <c r="DS25">
        <v>-8.0331625231645054E-2</v>
      </c>
      <c r="DT25" s="9">
        <v>-1.1599999999999999</v>
      </c>
      <c r="DU25">
        <v>-0.30499999999999994</v>
      </c>
      <c r="DV25">
        <v>-1.4649999999999999</v>
      </c>
      <c r="DW25">
        <v>-1.2800000000000001E-2</v>
      </c>
      <c r="DX25">
        <v>0.53137659574467933</v>
      </c>
      <c r="DY25">
        <v>-1.937620425531915E-3</v>
      </c>
      <c r="DZ25">
        <v>1584</v>
      </c>
      <c r="EA25">
        <v>-1.3369960118249573E-3</v>
      </c>
      <c r="EB25">
        <v>0</v>
      </c>
      <c r="EC25">
        <v>4.762182061579652E-2</v>
      </c>
      <c r="ED25">
        <v>0.31459170013386883</v>
      </c>
      <c r="EE25" s="10">
        <v>4.19E-2</v>
      </c>
      <c r="EF25">
        <v>1.4699999999999998E-2</v>
      </c>
      <c r="EG25">
        <v>38.151376595744679</v>
      </c>
      <c r="EH25" t="s">
        <v>335</v>
      </c>
      <c r="EI25">
        <v>0</v>
      </c>
      <c r="EJ25">
        <v>0</v>
      </c>
      <c r="EK25" s="12">
        <v>45470</v>
      </c>
      <c r="EL25" s="13">
        <v>-0.74</v>
      </c>
      <c r="EM25" s="13">
        <v>-4.87</v>
      </c>
      <c r="EN25" s="13">
        <v>-3.35</v>
      </c>
      <c r="EO25" s="13">
        <v>4.8899999999999997</v>
      </c>
      <c r="EP25" s="13">
        <v>-2.72</v>
      </c>
    </row>
    <row r="26" spans="1:146" ht="192" hidden="1" x14ac:dyDescent="0.25">
      <c r="A26" s="5"/>
      <c r="B26" s="5"/>
      <c r="C26" s="5" t="str">
        <f>"公司的主营业务为从事豆奶粉、植物蛋白饮料（液态豆奶）、乳品、茶叶等系列产品的研发、生产和销售，以及粮食收购、仓储、贸易、加工业务。公司主要产品为固态冲调饮料、动植物蛋白液体饮料、茶类、粮食初加工产品。"&amp;CHAR(10)&amp;Basic_Fundamental_Information_Constructure(F26)&amp;CHAR(10)&amp;Basic_Fundamental_Information_Concatenate("粮食初加工产品 21.38亿 46.81% 7.80% 3.30%
固态冲调饮料（豆奶粉、豆浆粉等） 17.08亿 37.38% 79.13% 41.98%
动植物蛋白液体饮料（牛奶、谷动等） 4.90亿 10.73% 6.03% 11.13%
茶类 6101.39万 1.34% 2.14% 31.75%")</f>
        <v>公司的主营业务为从事豆奶粉、植物蛋白饮料（液态豆奶）、乳品、茶叶等系列产品的研发、生产和销售，以及粮食收购、仓储、贸易、加工业务。公司主要产品为固态冲调饮料、动植物蛋白液体饮料、茶类、粮食初加工产品。
市值39.619983亿, 利润1.27亿; PE13.2; 平均PE23.45; 平均PEG1.29, PB1.2; ROIC3.86%; ROE4.9767%; 股利率2.6531%; 毛利20.9367%; 净利4.0433%; 上一年度营收增-73.73%, 利润增33.28%; 当季营收增-44.8%, 利润增105.99%; 过往5年营收增-18.15%, 利润增89.45%
Income profile:
粮食初加工产品 21.38亿 46.81% 7.80% 3.30%
固态冲调饮料（豆奶粉、豆浆粉等） 17.08亿 37.38% 79.13% 41.98%
动植物蛋白液体饮料（牛奶、谷动等） 4.90亿 10.73% 6.03% 11.13%
茶类 6101.39万 1.34% 2.14% 31.75%</v>
      </c>
      <c r="D26" t="s">
        <v>88</v>
      </c>
      <c r="E26" t="s">
        <v>306</v>
      </c>
      <c r="F26">
        <v>2.4500000000000002</v>
      </c>
      <c r="G26">
        <v>0.41</v>
      </c>
      <c r="H26" t="s">
        <v>1333</v>
      </c>
      <c r="I26">
        <v>3961998300</v>
      </c>
      <c r="J26">
        <v>13.2</v>
      </c>
      <c r="K26">
        <v>1.2</v>
      </c>
      <c r="L26" t="s">
        <v>36</v>
      </c>
      <c r="M26" t="s">
        <v>1334</v>
      </c>
      <c r="N26" t="s">
        <v>1335</v>
      </c>
      <c r="O26" t="s">
        <v>1336</v>
      </c>
      <c r="P26">
        <v>0.83</v>
      </c>
      <c r="Q26" t="s">
        <v>1336</v>
      </c>
      <c r="R26">
        <v>126686117</v>
      </c>
      <c r="S26" s="4">
        <v>2.5150000000000001</v>
      </c>
      <c r="T26" t="s">
        <v>1337</v>
      </c>
      <c r="U26">
        <v>1617142200</v>
      </c>
      <c r="V26">
        <v>1617142200</v>
      </c>
      <c r="W26">
        <v>1.31</v>
      </c>
      <c r="X26">
        <v>0.25</v>
      </c>
      <c r="Y26">
        <v>11.36</v>
      </c>
      <c r="Z26" t="s">
        <v>593</v>
      </c>
      <c r="AA26" t="s">
        <v>1338</v>
      </c>
      <c r="AB26" t="s">
        <v>1339</v>
      </c>
      <c r="AC26" t="s">
        <v>1340</v>
      </c>
      <c r="AD26" t="s">
        <v>20</v>
      </c>
      <c r="AE26">
        <v>2302259</v>
      </c>
      <c r="AF26" t="s">
        <v>1341</v>
      </c>
      <c r="AG26" t="s">
        <v>1342</v>
      </c>
      <c r="AH26" t="s">
        <v>1343</v>
      </c>
      <c r="AI26" t="s">
        <v>466</v>
      </c>
      <c r="AJ26" t="s">
        <v>1344</v>
      </c>
      <c r="AK26" t="s">
        <v>1345</v>
      </c>
      <c r="AL26" t="s">
        <v>1346</v>
      </c>
      <c r="AM26" t="s">
        <v>20</v>
      </c>
      <c r="AN26" t="s">
        <v>1347</v>
      </c>
      <c r="AO26" t="s">
        <v>1348</v>
      </c>
      <c r="AP26" t="s">
        <v>20</v>
      </c>
      <c r="AQ26" t="s">
        <v>1349</v>
      </c>
      <c r="AR26" t="s">
        <v>1350</v>
      </c>
      <c r="AS26" t="s">
        <v>147</v>
      </c>
      <c r="AT26" t="s">
        <v>1351</v>
      </c>
      <c r="AU26" t="s">
        <v>570</v>
      </c>
      <c r="AV26" t="s">
        <v>495</v>
      </c>
      <c r="AW26" t="s">
        <v>1352</v>
      </c>
      <c r="AX26" t="s">
        <v>496</v>
      </c>
      <c r="AY26" t="s">
        <v>307</v>
      </c>
      <c r="AZ26" t="s">
        <v>201</v>
      </c>
      <c r="BA26" t="s">
        <v>89</v>
      </c>
      <c r="BB26" t="s">
        <v>203</v>
      </c>
      <c r="BC26" t="s">
        <v>1353</v>
      </c>
      <c r="BD26" t="s">
        <v>148</v>
      </c>
      <c r="BE26" t="s">
        <v>202</v>
      </c>
      <c r="BF26" t="s">
        <v>90</v>
      </c>
      <c r="BG26" t="s">
        <v>204</v>
      </c>
      <c r="BH26" t="s">
        <v>1354</v>
      </c>
      <c r="BI26" t="s">
        <v>579</v>
      </c>
      <c r="BJ26" t="s">
        <v>496</v>
      </c>
      <c r="BK26" t="s">
        <v>370</v>
      </c>
      <c r="BL26" t="s">
        <v>580</v>
      </c>
      <c r="BM26" t="s">
        <v>1353</v>
      </c>
      <c r="BN26">
        <v>3.55</v>
      </c>
      <c r="BO26">
        <v>2.8</v>
      </c>
      <c r="BP26">
        <v>5.23</v>
      </c>
      <c r="BQ26">
        <v>4.3099999999999996</v>
      </c>
      <c r="BR26">
        <v>3.14</v>
      </c>
      <c r="BS26">
        <v>7.48</v>
      </c>
      <c r="BT26" t="s">
        <v>1355</v>
      </c>
      <c r="BU26" t="s">
        <v>347</v>
      </c>
      <c r="BV26">
        <v>22.2</v>
      </c>
      <c r="BW26">
        <v>20.78</v>
      </c>
      <c r="BX26">
        <v>19.829999999999998</v>
      </c>
      <c r="BY26">
        <v>5.0599999999999996</v>
      </c>
      <c r="BZ26">
        <v>2.1800000000000002</v>
      </c>
      <c r="CA26">
        <v>4.8899999999999997</v>
      </c>
      <c r="CB26">
        <v>2.08</v>
      </c>
      <c r="CC26">
        <v>-13.73</v>
      </c>
      <c r="CD26" t="s">
        <v>1356</v>
      </c>
      <c r="CE26" t="s">
        <v>609</v>
      </c>
      <c r="CF26" s="7">
        <v>-0.44798407167745147</v>
      </c>
      <c r="CG26" s="8">
        <v>1.0599201144706141</v>
      </c>
      <c r="CH26" s="7">
        <v>-0.73732829093933105</v>
      </c>
      <c r="CI26" s="7">
        <v>-7.5744278728961945E-2</v>
      </c>
      <c r="CJ26" s="7">
        <v>-4.8135042190551758E-2</v>
      </c>
      <c r="CK26" s="7">
        <v>-4.7628495842218399E-2</v>
      </c>
      <c r="CL26" s="7">
        <v>1.1921573895961046E-3</v>
      </c>
      <c r="CM26" s="8">
        <v>0.33276671171188354</v>
      </c>
      <c r="CN26" s="8">
        <v>-0.57268834114074707</v>
      </c>
      <c r="CO26" s="8">
        <v>-0.48853209614753723</v>
      </c>
      <c r="CP26" s="8">
        <v>4.9786629676818848</v>
      </c>
      <c r="CQ26" s="8">
        <v>0.22215928137302399</v>
      </c>
      <c r="CR26">
        <v>23.446405972740731</v>
      </c>
      <c r="CS26">
        <v>1.2916081225845699</v>
      </c>
      <c r="CT26">
        <v>2.6530612244897958</v>
      </c>
      <c r="CU26" s="7">
        <v>-0.18152879006229342</v>
      </c>
      <c r="CV26" s="8">
        <v>0.89447370469570164</v>
      </c>
      <c r="CW26">
        <v>0.06</v>
      </c>
      <c r="CX26">
        <v>14.614159842519685</v>
      </c>
      <c r="CY26" t="s">
        <v>1357</v>
      </c>
      <c r="CZ26">
        <v>-0.18152879006229342</v>
      </c>
      <c r="DA26">
        <v>4.871386614173228</v>
      </c>
      <c r="DB26" t="s">
        <v>1358</v>
      </c>
      <c r="DC26">
        <v>-0.17245235055917874</v>
      </c>
      <c r="DD26">
        <v>2.435693307086614</v>
      </c>
      <c r="DE26" t="s">
        <v>1359</v>
      </c>
      <c r="DF26">
        <v>-0.15974533525481821</v>
      </c>
      <c r="DG26">
        <v>1.4614159842519685</v>
      </c>
      <c r="DH26" t="s">
        <v>1360</v>
      </c>
      <c r="DI26">
        <v>-0.14522303204983475</v>
      </c>
      <c r="DJ26">
        <v>0.73070799212598425</v>
      </c>
      <c r="DK26" t="s">
        <v>1361</v>
      </c>
      <c r="DL26">
        <v>-0.12707015304360539</v>
      </c>
      <c r="DM26">
        <v>127000000</v>
      </c>
      <c r="DN26">
        <v>-0.18152879006229342</v>
      </c>
      <c r="DO26">
        <v>1855998300</v>
      </c>
      <c r="DP26">
        <v>755381600.00000012</v>
      </c>
      <c r="DQ26">
        <v>3078</v>
      </c>
      <c r="DR26">
        <v>-0.26645528161515808</v>
      </c>
      <c r="DS26">
        <v>0.16544640977491243</v>
      </c>
      <c r="DT26" s="9">
        <v>-0.77333333333333332</v>
      </c>
      <c r="DU26">
        <v>0.86166666666666647</v>
      </c>
      <c r="DV26">
        <v>8.8333333333333153E-2</v>
      </c>
      <c r="DW26">
        <v>-2.1373000000000002</v>
      </c>
      <c r="DX26">
        <v>0.3256654135338336</v>
      </c>
      <c r="DY26">
        <v>-2.0227458612781954</v>
      </c>
      <c r="DZ26">
        <v>3351</v>
      </c>
      <c r="EA26">
        <v>-2.0078297397237468</v>
      </c>
      <c r="EB26">
        <v>2</v>
      </c>
      <c r="EC26">
        <v>5.4499845468135084E-2</v>
      </c>
      <c r="ED26">
        <v>0.32897539870025033</v>
      </c>
      <c r="EE26" s="10">
        <v>-1.0103</v>
      </c>
      <c r="EF26">
        <v>-1.00301</v>
      </c>
      <c r="EG26">
        <v>16.165665413533834</v>
      </c>
      <c r="EH26" t="s">
        <v>464</v>
      </c>
      <c r="EI26">
        <v>0</v>
      </c>
      <c r="EJ26">
        <v>0</v>
      </c>
      <c r="EK26" s="12">
        <v>45470</v>
      </c>
      <c r="EL26" s="13">
        <v>0.73</v>
      </c>
      <c r="EM26" s="13">
        <v>-1.65</v>
      </c>
      <c r="EN26" s="13">
        <v>2.31</v>
      </c>
      <c r="EO26" s="13">
        <v>0.31</v>
      </c>
      <c r="EP26" s="13">
        <v>-1.33</v>
      </c>
    </row>
    <row r="27" spans="1:146" ht="156" x14ac:dyDescent="0.25">
      <c r="A27" s="16" t="s">
        <v>1950</v>
      </c>
      <c r="B27" s="16" t="s">
        <v>1951</v>
      </c>
      <c r="C27" s="16" t="str">
        <f>"公司集奶牛养殖、乳品生产、科研开发、市场营销为一体，是国家农业产业化重点龙头企业、自治区高新技术企业，是国家经济动员办公室在西北地区设立的唯一乳制品动员中心。"&amp;CHAR(10)&amp;Basic_Fundamental_Information_Constructure(F27)&amp;CHAR(10)&amp;Basic_Fundamental_Information_Concatenate("常温乳制品 12.89亿 53.51% 48.06% 16.07%
低温乳制品 10.04亿 41.68% 48.83% 20.96%
畜牧业产品 8942.41万 3.71% 2.26% 10.89%")</f>
        <v>公司集奶牛养殖、乳品生产、科研开发、市场营销为一体，是国家农业产业化重点龙头企业、自治区高新技术企业，是国家经济动员办公室在西北地区设立的唯一乳制品动员中心。
市值24.814744亿, 利润454.35万; PE27.09; 平均PE19.81; 平均PEG4.98, PB1.04; ROIC6.3%; ROE7.8867%; 股利率1.7548%; 毛利17.7833%; 净利7.04%; 上一年度营收增-73.4%, 利润增-97.68%; 当季营收增-53.85%, 利润增-96.39%; 过往5年营收增-3.98%, 利润增-7.43%
Income profile:
常温乳制品 12.89亿 53.51% 48.06% 16.07%
低温乳制品 10.04亿 41.68% 48.83% 20.96%
畜牧业产品 8942.41万 3.71% 2.26% 10.89%</v>
      </c>
      <c r="D27" t="s">
        <v>1362</v>
      </c>
      <c r="E27" t="s">
        <v>1363</v>
      </c>
      <c r="F27">
        <v>7.75</v>
      </c>
      <c r="G27">
        <v>0.39</v>
      </c>
      <c r="H27" t="s">
        <v>1364</v>
      </c>
      <c r="I27">
        <v>2481474400</v>
      </c>
      <c r="J27">
        <v>27.09</v>
      </c>
      <c r="K27">
        <v>1.04</v>
      </c>
      <c r="L27" t="s">
        <v>36</v>
      </c>
      <c r="M27" t="s">
        <v>1365</v>
      </c>
      <c r="N27" t="s">
        <v>1366</v>
      </c>
      <c r="O27" t="s">
        <v>851</v>
      </c>
      <c r="P27" s="4">
        <v>1.47</v>
      </c>
      <c r="Q27" t="s">
        <v>851</v>
      </c>
      <c r="R27">
        <v>4543539</v>
      </c>
      <c r="S27">
        <v>-0.91739999999999999</v>
      </c>
      <c r="T27" t="s">
        <v>1367</v>
      </c>
      <c r="U27">
        <v>320190250</v>
      </c>
      <c r="V27">
        <v>320190250</v>
      </c>
      <c r="W27">
        <v>2.16</v>
      </c>
      <c r="X27">
        <v>0.11</v>
      </c>
      <c r="Y27">
        <v>0.08</v>
      </c>
      <c r="Z27" t="s">
        <v>597</v>
      </c>
      <c r="AA27" t="s">
        <v>1368</v>
      </c>
      <c r="AB27" t="s">
        <v>1369</v>
      </c>
      <c r="AC27" t="s">
        <v>1370</v>
      </c>
      <c r="AD27" t="s">
        <v>20</v>
      </c>
      <c r="AE27">
        <v>10244934</v>
      </c>
      <c r="AF27" t="s">
        <v>1371</v>
      </c>
      <c r="AG27" t="s">
        <v>1372</v>
      </c>
      <c r="AH27" t="s">
        <v>1373</v>
      </c>
      <c r="AI27" t="s">
        <v>1018</v>
      </c>
      <c r="AJ27" t="s">
        <v>1374</v>
      </c>
      <c r="AK27" t="s">
        <v>20</v>
      </c>
      <c r="AL27" t="s">
        <v>1375</v>
      </c>
      <c r="AM27" t="s">
        <v>20</v>
      </c>
      <c r="AN27" t="s">
        <v>53</v>
      </c>
      <c r="AO27" t="s">
        <v>1376</v>
      </c>
      <c r="AP27" t="s">
        <v>20</v>
      </c>
      <c r="AQ27" t="s">
        <v>1377</v>
      </c>
      <c r="AR27" t="s">
        <v>20</v>
      </c>
      <c r="AS27" t="s">
        <v>1378</v>
      </c>
      <c r="AT27" t="s">
        <v>537</v>
      </c>
      <c r="AU27" t="s">
        <v>1379</v>
      </c>
      <c r="AV27" t="s">
        <v>573</v>
      </c>
      <c r="AW27" t="s">
        <v>346</v>
      </c>
      <c r="AX27" t="s">
        <v>1380</v>
      </c>
      <c r="AY27" t="s">
        <v>1381</v>
      </c>
      <c r="AZ27" t="s">
        <v>1382</v>
      </c>
      <c r="BA27" t="s">
        <v>1383</v>
      </c>
      <c r="BB27" t="s">
        <v>219</v>
      </c>
      <c r="BC27" t="s">
        <v>705</v>
      </c>
      <c r="BD27" t="s">
        <v>80</v>
      </c>
      <c r="BE27" t="s">
        <v>130</v>
      </c>
      <c r="BF27" t="s">
        <v>68</v>
      </c>
      <c r="BG27" t="s">
        <v>1054</v>
      </c>
      <c r="BH27" t="s">
        <v>1384</v>
      </c>
      <c r="BI27" t="s">
        <v>1385</v>
      </c>
      <c r="BJ27" t="s">
        <v>1380</v>
      </c>
      <c r="BK27" t="s">
        <v>475</v>
      </c>
      <c r="BL27" t="s">
        <v>197</v>
      </c>
      <c r="BM27" t="s">
        <v>705</v>
      </c>
      <c r="BN27">
        <v>4.6100000000000003</v>
      </c>
      <c r="BO27">
        <v>7.17</v>
      </c>
      <c r="BP27">
        <v>7.12</v>
      </c>
      <c r="BQ27">
        <v>6.07</v>
      </c>
      <c r="BR27">
        <v>8.57</v>
      </c>
      <c r="BS27">
        <v>9.02</v>
      </c>
      <c r="BT27" t="s">
        <v>1386</v>
      </c>
      <c r="BU27" t="s">
        <v>798</v>
      </c>
      <c r="BV27">
        <v>19.11</v>
      </c>
      <c r="BW27">
        <v>17.89</v>
      </c>
      <c r="BX27">
        <v>16.350000000000001</v>
      </c>
      <c r="BY27">
        <v>5.16</v>
      </c>
      <c r="BZ27">
        <v>8.33</v>
      </c>
      <c r="CA27">
        <v>7.63</v>
      </c>
      <c r="CB27">
        <v>-1.07</v>
      </c>
      <c r="CC27" s="7">
        <v>-16.52</v>
      </c>
      <c r="CD27" s="8" t="s">
        <v>1387</v>
      </c>
      <c r="CE27" s="7" t="s">
        <v>1388</v>
      </c>
      <c r="CF27" s="7">
        <v>-0.5385169186465083</v>
      </c>
      <c r="CG27" s="7">
        <v>-0.96394016666666671</v>
      </c>
      <c r="CH27" s="7">
        <v>-0.73402488231658936</v>
      </c>
      <c r="CI27" s="7">
        <v>0.14272163808345795</v>
      </c>
      <c r="CJ27" s="8">
        <v>0.1928732693195343</v>
      </c>
      <c r="CK27" s="8">
        <v>8.6662523448467255E-2</v>
      </c>
      <c r="CL27" s="8">
        <v>0.11285913735628128</v>
      </c>
      <c r="CM27" s="8">
        <v>-0.97681885957717896</v>
      </c>
      <c r="CN27" s="8">
        <v>0.30666667222976685</v>
      </c>
      <c r="CO27">
        <v>2.0408162847161293E-2</v>
      </c>
      <c r="CP27">
        <v>5.000000074505806E-2</v>
      </c>
      <c r="CQ27">
        <v>0.22807016968727112</v>
      </c>
      <c r="CR27" s="7">
        <v>19.811024112376728</v>
      </c>
      <c r="CS27" s="8">
        <v>4.9799386720294514</v>
      </c>
      <c r="CT27">
        <v>1.7548387096774194</v>
      </c>
      <c r="CU27">
        <v>-3.9781662821769717E-2</v>
      </c>
      <c r="CV27">
        <v>-7.4334770813584333E-2</v>
      </c>
      <c r="CW27">
        <v>0.06</v>
      </c>
      <c r="CX27">
        <v>632.87650489710575</v>
      </c>
      <c r="CY27" t="s">
        <v>1389</v>
      </c>
      <c r="CZ27">
        <v>-3.9781662821769717E-2</v>
      </c>
      <c r="DA27">
        <v>210.95883496570193</v>
      </c>
      <c r="DB27" t="s">
        <v>1390</v>
      </c>
      <c r="DC27">
        <v>-3.7792579680681226E-2</v>
      </c>
      <c r="DD27">
        <v>105.47941748285096</v>
      </c>
      <c r="DE27" t="s">
        <v>1391</v>
      </c>
      <c r="DF27">
        <v>-3.5007863283157352E-2</v>
      </c>
      <c r="DG27">
        <v>63.287650489710579</v>
      </c>
      <c r="DH27" t="s">
        <v>1392</v>
      </c>
      <c r="DI27">
        <v>-3.1825330257415775E-2</v>
      </c>
      <c r="DJ27">
        <v>31.643825244855289</v>
      </c>
      <c r="DK27" t="s">
        <v>1393</v>
      </c>
      <c r="DL27">
        <v>-2.7847163975238801E-2</v>
      </c>
      <c r="DM27">
        <v>4543500</v>
      </c>
      <c r="DN27">
        <v>-3.9781662821769717E-2</v>
      </c>
      <c r="DO27">
        <v>2875474400</v>
      </c>
      <c r="DP27">
        <v>-147028400.00000024</v>
      </c>
      <c r="DQ27" s="9">
        <v>3169</v>
      </c>
      <c r="DR27">
        <v>-0.4987352558247386</v>
      </c>
      <c r="DS27">
        <v>-0.8896053958530824</v>
      </c>
      <c r="DT27">
        <v>-0.64</v>
      </c>
      <c r="DU27">
        <v>-0.52333333333333332</v>
      </c>
      <c r="DV27">
        <v>-1.1633333333333333</v>
      </c>
      <c r="DW27">
        <v>-3.0058809523809522</v>
      </c>
      <c r="DX27">
        <v>0.36299153653738803</v>
      </c>
      <c r="DY27">
        <v>-3.0011349740363031</v>
      </c>
      <c r="DZ27">
        <v>3110</v>
      </c>
      <c r="EA27">
        <v>-3.0004442168439542</v>
      </c>
      <c r="EB27" s="10">
        <v>3</v>
      </c>
      <c r="EC27" s="10">
        <v>3.9710453394505296E-2</v>
      </c>
      <c r="ED27">
        <v>0.2057626676639904</v>
      </c>
      <c r="EE27">
        <v>1.0723100000000001</v>
      </c>
      <c r="EF27">
        <v>1.1044099999999999</v>
      </c>
      <c r="EG27">
        <v>17.192991536537388</v>
      </c>
      <c r="EH27" s="12" t="s">
        <v>473</v>
      </c>
      <c r="EI27">
        <v>0</v>
      </c>
      <c r="EJ27">
        <v>0</v>
      </c>
      <c r="EK27">
        <v>45470</v>
      </c>
      <c r="EL27">
        <v>1.91</v>
      </c>
      <c r="EM27">
        <v>-3.8</v>
      </c>
      <c r="EN27" s="13">
        <v>-3.32</v>
      </c>
      <c r="EO27" s="13">
        <v>2.92</v>
      </c>
      <c r="EP27" s="13">
        <v>-3.21</v>
      </c>
    </row>
    <row r="28" spans="1:146" ht="156" x14ac:dyDescent="0.25">
      <c r="A28" s="16"/>
      <c r="B28" s="16" t="s">
        <v>1952</v>
      </c>
      <c r="C28" s="16" t="str">
        <f>"公司是一家以奶业为主,兼营麦当劳快餐的中外合资股份制企业.公司的主要产品包括液态奶和固态奶。"&amp;CHAR(10)&amp;Basic_Fundamental_Information_Constructure(F28)&amp;CHAR(10)&amp;Basic_Fundamental_Information_Concatenate("液态奶 35.12亿 55.73%
冰淇淋及其他 12.80亿 20.30%
畜牧业务 6.02亿 9.55%
固态奶 5.97亿 9.48%
涂抹酱 2.41亿 3.83%")</f>
        <v>公司是一家以奶业为主,兼营麦当劳快餐的中外合资股份制企业.公司的主要产品包括液态奶和固态奶。
市值57.499607亿, 利润7327.29万; PE21.01; 平均PE46.08; 平均PEG3.57, PB1.11; ROIC2.1133%; ROE3.3633%; 股利率1.2861%; 毛利24.7%; 净利1.9167%; 上一年度营收增-74.33%, 利润增81.89%; 当季营收增-52.04%, 利润增-65.92%; 过往5年营收增-12.92%, 利润增228.37%
Income profile:
液态奶 35.12亿 55.73%
冰淇淋及其他 12.80亿 20.30%
畜牧业务 6.02亿 9.55%
固态奶 5.97亿 9.48%
涂抹酱 2.41亿 3.83%</v>
      </c>
      <c r="D28" t="s">
        <v>1394</v>
      </c>
      <c r="E28" t="s">
        <v>1395</v>
      </c>
      <c r="F28">
        <v>3.81</v>
      </c>
      <c r="G28">
        <v>0.53</v>
      </c>
      <c r="H28" t="s">
        <v>1396</v>
      </c>
      <c r="I28">
        <v>5749960700</v>
      </c>
      <c r="J28">
        <v>21.01</v>
      </c>
      <c r="K28">
        <v>1.1100000000000001</v>
      </c>
      <c r="L28" t="s">
        <v>36</v>
      </c>
      <c r="M28" t="s">
        <v>1397</v>
      </c>
      <c r="N28" t="s">
        <v>1398</v>
      </c>
      <c r="O28" t="s">
        <v>1399</v>
      </c>
      <c r="P28" s="4">
        <v>-5.15</v>
      </c>
      <c r="Q28" t="s">
        <v>1399</v>
      </c>
      <c r="R28">
        <v>73272874</v>
      </c>
      <c r="S28">
        <v>0.73340000000000005</v>
      </c>
      <c r="T28" t="s">
        <v>1400</v>
      </c>
      <c r="U28">
        <v>1497557400</v>
      </c>
      <c r="V28">
        <v>1509176000</v>
      </c>
      <c r="W28">
        <v>1.78</v>
      </c>
      <c r="X28">
        <v>0.22</v>
      </c>
      <c r="Y28">
        <v>3.98</v>
      </c>
      <c r="Z28" t="s">
        <v>1401</v>
      </c>
      <c r="AA28" t="s">
        <v>1402</v>
      </c>
      <c r="AB28" t="s">
        <v>1403</v>
      </c>
      <c r="AC28" t="s">
        <v>1404</v>
      </c>
      <c r="AD28" t="s">
        <v>20</v>
      </c>
      <c r="AE28">
        <v>23823028</v>
      </c>
      <c r="AF28" t="s">
        <v>1405</v>
      </c>
      <c r="AG28" t="s">
        <v>1406</v>
      </c>
      <c r="AH28" t="s">
        <v>1407</v>
      </c>
      <c r="AI28" t="s">
        <v>1408</v>
      </c>
      <c r="AJ28" t="s">
        <v>1409</v>
      </c>
      <c r="AK28" t="s">
        <v>20</v>
      </c>
      <c r="AL28" t="s">
        <v>1410</v>
      </c>
      <c r="AM28" t="s">
        <v>20</v>
      </c>
      <c r="AN28" t="s">
        <v>1411</v>
      </c>
      <c r="AO28" t="s">
        <v>1412</v>
      </c>
      <c r="AP28" t="s">
        <v>20</v>
      </c>
      <c r="AQ28" t="s">
        <v>1413</v>
      </c>
      <c r="AR28" t="s">
        <v>1414</v>
      </c>
      <c r="AS28" t="s">
        <v>1415</v>
      </c>
      <c r="AT28" t="s">
        <v>1416</v>
      </c>
      <c r="AU28" t="s">
        <v>1417</v>
      </c>
      <c r="AV28" t="s">
        <v>604</v>
      </c>
      <c r="AW28" t="s">
        <v>1418</v>
      </c>
      <c r="AX28" t="s">
        <v>1419</v>
      </c>
      <c r="AY28" t="s">
        <v>1420</v>
      </c>
      <c r="AZ28" t="s">
        <v>1421</v>
      </c>
      <c r="BA28" t="s">
        <v>1422</v>
      </c>
      <c r="BB28" t="s">
        <v>1423</v>
      </c>
      <c r="BC28" t="s">
        <v>1424</v>
      </c>
      <c r="BD28" t="s">
        <v>45</v>
      </c>
      <c r="BE28" t="s">
        <v>1425</v>
      </c>
      <c r="BF28" t="s">
        <v>827</v>
      </c>
      <c r="BG28" t="s">
        <v>141</v>
      </c>
      <c r="BH28" t="s">
        <v>1426</v>
      </c>
      <c r="BI28" t="s">
        <v>1427</v>
      </c>
      <c r="BJ28" t="s">
        <v>1419</v>
      </c>
      <c r="BK28" t="s">
        <v>578</v>
      </c>
      <c r="BL28" t="s">
        <v>69</v>
      </c>
      <c r="BM28" t="s">
        <v>1424</v>
      </c>
      <c r="BN28">
        <v>2.65</v>
      </c>
      <c r="BO28">
        <v>0.67</v>
      </c>
      <c r="BP28">
        <v>3.02</v>
      </c>
      <c r="BQ28">
        <v>4.54</v>
      </c>
      <c r="BR28">
        <v>0.69</v>
      </c>
      <c r="BS28">
        <v>4.8600000000000003</v>
      </c>
      <c r="BT28" t="s">
        <v>1428</v>
      </c>
      <c r="BU28" t="s">
        <v>798</v>
      </c>
      <c r="BV28">
        <v>23.04</v>
      </c>
      <c r="BW28">
        <v>25.58</v>
      </c>
      <c r="BX28">
        <v>25.48</v>
      </c>
      <c r="BY28">
        <v>2.81</v>
      </c>
      <c r="BZ28">
        <v>0.24</v>
      </c>
      <c r="CA28">
        <v>2.7</v>
      </c>
      <c r="CB28">
        <v>2.14</v>
      </c>
      <c r="CC28" s="7">
        <v>-11.6</v>
      </c>
      <c r="CD28" s="8" t="s">
        <v>1429</v>
      </c>
      <c r="CE28" s="7" t="s">
        <v>367</v>
      </c>
      <c r="CF28" s="7">
        <v>-0.52044172932330823</v>
      </c>
      <c r="CG28" s="7">
        <v>-0.65919593488372097</v>
      </c>
      <c r="CH28" s="7">
        <v>-0.74330276250839233</v>
      </c>
      <c r="CI28" s="7">
        <v>-0.10158190131187439</v>
      </c>
      <c r="CJ28" s="8">
        <v>0.20359036326408386</v>
      </c>
      <c r="CK28" s="8">
        <v>-9.7902111709117889E-2</v>
      </c>
      <c r="CL28" s="8">
        <v>9.3213528394699097E-2</v>
      </c>
      <c r="CM28" s="8">
        <v>0.81889909505844116</v>
      </c>
      <c r="CN28" s="8">
        <v>-0.86527025699615479</v>
      </c>
      <c r="CO28">
        <v>12.555849075317383</v>
      </c>
      <c r="CP28">
        <v>-0.83539628982543945</v>
      </c>
      <c r="CQ28">
        <v>-0.25555557012557983</v>
      </c>
      <c r="CR28" s="7">
        <v>46.084850403545751</v>
      </c>
      <c r="CS28" s="8">
        <v>3.5670333962576874</v>
      </c>
      <c r="CT28">
        <v>1.2860892388451444</v>
      </c>
      <c r="CU28">
        <v>-0.12919657677412033</v>
      </c>
      <c r="CV28">
        <v>2.2837052106857301</v>
      </c>
      <c r="CW28">
        <v>0.06</v>
      </c>
      <c r="CX28">
        <v>60.089892716133797</v>
      </c>
      <c r="CY28" t="s">
        <v>1430</v>
      </c>
      <c r="CZ28">
        <v>-0.12919657677412033</v>
      </c>
      <c r="DA28">
        <v>20.029964238711266</v>
      </c>
      <c r="DB28" t="s">
        <v>1431</v>
      </c>
      <c r="DC28">
        <v>-0.12273674793541431</v>
      </c>
      <c r="DD28">
        <v>10.014982119355633</v>
      </c>
      <c r="DE28" t="s">
        <v>1432</v>
      </c>
      <c r="DF28">
        <v>-0.11369298756122589</v>
      </c>
      <c r="DG28">
        <v>6.0089892716133795</v>
      </c>
      <c r="DH28" t="s">
        <v>1433</v>
      </c>
      <c r="DI28">
        <v>-0.10335726141929627</v>
      </c>
      <c r="DJ28">
        <v>3.0044946358066897</v>
      </c>
      <c r="DK28" t="s">
        <v>1434</v>
      </c>
      <c r="DL28">
        <v>-9.0437603741884226E-2</v>
      </c>
      <c r="DM28">
        <v>73272900</v>
      </c>
      <c r="DN28">
        <v>-0.12919657677412033</v>
      </c>
      <c r="DO28">
        <v>4402960700</v>
      </c>
      <c r="DP28">
        <v>-1039302100</v>
      </c>
      <c r="DQ28" s="9">
        <v>3177</v>
      </c>
      <c r="DR28">
        <v>-0.3912451525491879</v>
      </c>
      <c r="DS28">
        <v>-2.9429011455694511</v>
      </c>
      <c r="DT28">
        <v>-0.64</v>
      </c>
      <c r="DU28">
        <v>-0.33666666666666667</v>
      </c>
      <c r="DV28">
        <v>-0.97666666666666668</v>
      </c>
      <c r="DW28">
        <v>-2.1160000000000001</v>
      </c>
      <c r="DX28">
        <v>0.31658080000000083</v>
      </c>
      <c r="DY28">
        <v>-2.0158433728</v>
      </c>
      <c r="DZ28">
        <v>358</v>
      </c>
      <c r="EA28">
        <v>-2.0147334065646967</v>
      </c>
      <c r="EB28" s="10">
        <v>2</v>
      </c>
      <c r="EC28" s="10">
        <v>1.1312530811515687E-2</v>
      </c>
      <c r="ED28">
        <v>8.2826655075352376E-2</v>
      </c>
      <c r="EE28">
        <v>2.0969099999999998</v>
      </c>
      <c r="EF28">
        <v>2.13131</v>
      </c>
      <c r="EG28">
        <v>18.136580800000001</v>
      </c>
      <c r="EH28" s="12" t="s">
        <v>517</v>
      </c>
      <c r="EI28">
        <v>0</v>
      </c>
      <c r="EJ28">
        <v>1</v>
      </c>
      <c r="EK28">
        <v>45470</v>
      </c>
      <c r="EL28">
        <v>-1.1100000000000001</v>
      </c>
      <c r="EM28">
        <v>-1.61</v>
      </c>
      <c r="EN28" s="13">
        <v>-0.49</v>
      </c>
      <c r="EO28" s="13">
        <v>0.49</v>
      </c>
      <c r="EP28" s="13">
        <v>-3.44</v>
      </c>
    </row>
    <row r="29" spans="1:146" ht="144" hidden="1" x14ac:dyDescent="0.25">
      <c r="A29" s="5" t="s">
        <v>1953</v>
      </c>
      <c r="B29" s="5" t="s">
        <v>1954</v>
      </c>
      <c r="C29" s="5" t="str">
        <f>"公司主营业务是各类乳制品的开发、生产和销售。公司主要生产销售新鲜牛奶、新鲜酸奶、常温酸奶、乳酸菌饮品、婴幼儿及中老年奶粉、奶酪、黄油、冷饮等产品。"&amp;CHAR(10)&amp;Basic_Fundamental_Information_Constructure(F29)&amp;CHAR(10)&amp;Basic_Fundamental_Information_Concatenate("液态奶 160.91亿 57.03% 79.74% 26.08%
其他乳制品 80.00亿 28.35% 13.77% 9.06%
牧业 26.41亿 9.36% 0.68% 1.35%")</f>
        <v>公司主营业务是各类乳制品的开发、生产和销售。公司主要生产销售新鲜牛奶、新鲜酸奶、常温酸奶、乳酸菌饮品、婴幼儿及中老年奶粉、奶酪、黄油、冷饮等产品。
市值14.675184亿, 利润80.68万; PE; 平均PE-57.79; 平均PEG-3.18, PB1.7; ROIC0%; ROE-7.3233%; 股利率0%; 毛利23.3867%; 净利-71.4633%; 上一年度营收增-24.97%, 利润增100.73%; 当季营收增-6.7%, 利润增106.28%; 过往5年营收增-18.16%, 利润增-1082.33%
Income profile:
液态奶 160.91亿 57.03% 79.74% 26.08%
其他乳制品 80.00亿 28.35% 13.77% 9.06%
牧业 26.41亿 9.36% 0.68% 1.35%</v>
      </c>
      <c r="D29" t="s">
        <v>92</v>
      </c>
      <c r="E29" t="s">
        <v>497</v>
      </c>
      <c r="F29" t="s">
        <v>20</v>
      </c>
      <c r="G29" t="s">
        <v>20</v>
      </c>
      <c r="H29" t="s">
        <v>20</v>
      </c>
      <c r="I29">
        <v>1467518400</v>
      </c>
      <c r="K29">
        <v>1.7</v>
      </c>
      <c r="L29" t="s">
        <v>36</v>
      </c>
      <c r="M29" t="s">
        <v>186</v>
      </c>
      <c r="N29" t="s">
        <v>565</v>
      </c>
      <c r="O29" t="s">
        <v>1435</v>
      </c>
      <c r="P29">
        <v>56.49</v>
      </c>
      <c r="Q29" t="s">
        <v>1435</v>
      </c>
      <c r="R29">
        <v>806850</v>
      </c>
      <c r="S29" s="4">
        <v>1.2250000000000001</v>
      </c>
      <c r="T29" t="s">
        <v>1436</v>
      </c>
      <c r="U29">
        <v>321120000</v>
      </c>
      <c r="V29">
        <v>321120000</v>
      </c>
      <c r="W29">
        <v>1.1599999999999999</v>
      </c>
      <c r="X29">
        <v>0.08</v>
      </c>
      <c r="Y29">
        <v>0.93</v>
      </c>
      <c r="Z29" t="s">
        <v>1437</v>
      </c>
      <c r="AA29" t="s">
        <v>1438</v>
      </c>
      <c r="AB29" t="s">
        <v>1439</v>
      </c>
      <c r="AC29" t="s">
        <v>1440</v>
      </c>
      <c r="AD29" t="s">
        <v>20</v>
      </c>
      <c r="AE29">
        <v>-1117734</v>
      </c>
      <c r="AF29" t="s">
        <v>1441</v>
      </c>
      <c r="AG29" t="s">
        <v>20</v>
      </c>
      <c r="AH29" t="s">
        <v>1442</v>
      </c>
      <c r="AI29" t="s">
        <v>1443</v>
      </c>
      <c r="AJ29" t="s">
        <v>20</v>
      </c>
      <c r="AK29" t="s">
        <v>20</v>
      </c>
      <c r="AL29" t="s">
        <v>1444</v>
      </c>
      <c r="AM29" t="s">
        <v>20</v>
      </c>
      <c r="AN29" t="s">
        <v>499</v>
      </c>
      <c r="AO29" t="s">
        <v>20</v>
      </c>
      <c r="AP29" t="s">
        <v>20</v>
      </c>
      <c r="AQ29" t="s">
        <v>1445</v>
      </c>
      <c r="AR29" t="s">
        <v>1446</v>
      </c>
      <c r="AS29" t="s">
        <v>149</v>
      </c>
      <c r="AT29" t="s">
        <v>1447</v>
      </c>
      <c r="AU29" t="s">
        <v>1448</v>
      </c>
      <c r="AV29" t="s">
        <v>1449</v>
      </c>
      <c r="AW29" t="s">
        <v>1450</v>
      </c>
      <c r="AX29" t="s">
        <v>118</v>
      </c>
      <c r="AY29" t="s">
        <v>68</v>
      </c>
      <c r="AZ29" t="s">
        <v>174</v>
      </c>
      <c r="BA29" t="s">
        <v>93</v>
      </c>
      <c r="BB29" t="s">
        <v>98</v>
      </c>
      <c r="BC29" t="s">
        <v>498</v>
      </c>
      <c r="BD29" t="s">
        <v>308</v>
      </c>
      <c r="BE29" t="s">
        <v>206</v>
      </c>
      <c r="BF29" t="s">
        <v>94</v>
      </c>
      <c r="BG29" t="s">
        <v>207</v>
      </c>
      <c r="BH29" t="s">
        <v>1451</v>
      </c>
      <c r="BI29" t="s">
        <v>582</v>
      </c>
      <c r="BJ29" t="s">
        <v>118</v>
      </c>
      <c r="BK29" t="s">
        <v>1452</v>
      </c>
      <c r="BL29" t="s">
        <v>583</v>
      </c>
      <c r="BM29" t="s">
        <v>498</v>
      </c>
      <c r="BN29" t="s">
        <v>20</v>
      </c>
      <c r="BO29" t="s">
        <v>20</v>
      </c>
      <c r="BP29" t="s">
        <v>20</v>
      </c>
      <c r="BQ29">
        <v>-2.2400000000000002</v>
      </c>
      <c r="BR29">
        <v>-10.94</v>
      </c>
      <c r="BS29">
        <v>-8.7899999999999991</v>
      </c>
      <c r="BT29" t="s">
        <v>361</v>
      </c>
      <c r="BU29" t="s">
        <v>348</v>
      </c>
      <c r="BV29">
        <v>31.74</v>
      </c>
      <c r="BW29">
        <v>14.45</v>
      </c>
      <c r="BX29">
        <v>23.97</v>
      </c>
      <c r="BY29">
        <v>-20.88</v>
      </c>
      <c r="BZ29">
        <v>-120.1</v>
      </c>
      <c r="CA29">
        <v>-73.41</v>
      </c>
      <c r="CB29">
        <v>16.28</v>
      </c>
      <c r="CC29">
        <v>-27.11</v>
      </c>
      <c r="CD29" t="s">
        <v>1453</v>
      </c>
      <c r="CE29" t="s">
        <v>1454</v>
      </c>
      <c r="CF29" s="7">
        <v>-6.7034539608126664E-2</v>
      </c>
      <c r="CG29" s="8">
        <v>1.0628495536618423</v>
      </c>
      <c r="CH29" s="7">
        <v>-0.24965643882751465</v>
      </c>
      <c r="CI29" s="7">
        <v>-0.22857142984867096</v>
      </c>
      <c r="CJ29" s="7">
        <v>5.2631579339504242E-2</v>
      </c>
      <c r="CK29" s="7">
        <v>-0.24858756363391876</v>
      </c>
      <c r="CL29" s="7">
        <v>-0.23376622796058655</v>
      </c>
      <c r="CM29" s="8">
        <v>1.0072684288024902</v>
      </c>
      <c r="CN29" s="8">
        <v>-0.12466910481452942</v>
      </c>
      <c r="CO29" s="8">
        <v>-54.073616027832031</v>
      </c>
      <c r="CP29" s="8">
        <v>-0.93219918012619019</v>
      </c>
      <c r="CQ29" s="8">
        <v>6.6430792212486267E-3</v>
      </c>
      <c r="CR29">
        <v>-57.79319026881209</v>
      </c>
      <c r="CS29">
        <v>-3.1826193687619826</v>
      </c>
      <c r="CT29">
        <v>0</v>
      </c>
      <c r="CU29" s="7">
        <v>-0.18159001618623732</v>
      </c>
      <c r="CV29" s="8">
        <v>-10.823314560949802</v>
      </c>
      <c r="CW29">
        <v>0.06</v>
      </c>
      <c r="CX29">
        <v>926.52255825483394</v>
      </c>
      <c r="CY29" t="s">
        <v>1455</v>
      </c>
      <c r="CZ29">
        <v>-0.18159001618623732</v>
      </c>
      <c r="DA29">
        <v>308.84085275161129</v>
      </c>
      <c r="DB29" t="s">
        <v>1456</v>
      </c>
      <c r="DC29">
        <v>-0.17251051537692544</v>
      </c>
      <c r="DD29">
        <v>154.42042637580565</v>
      </c>
      <c r="DE29" t="s">
        <v>1457</v>
      </c>
      <c r="DF29">
        <v>-0.15979921424388885</v>
      </c>
      <c r="DG29">
        <v>92.652255825483394</v>
      </c>
      <c r="DH29" t="s">
        <v>1458</v>
      </c>
      <c r="DI29">
        <v>-0.14527201294898986</v>
      </c>
      <c r="DJ29">
        <v>46.326127912741697</v>
      </c>
      <c r="DK29" t="s">
        <v>1459</v>
      </c>
      <c r="DL29">
        <v>-0.12711301133036612</v>
      </c>
      <c r="DM29">
        <v>806800.00000000012</v>
      </c>
      <c r="DN29">
        <v>-0.18159001618623732</v>
      </c>
      <c r="DO29">
        <v>747518400</v>
      </c>
      <c r="DP29">
        <v>283521990</v>
      </c>
      <c r="DQ29">
        <v>3257</v>
      </c>
      <c r="DR29">
        <v>0.11455547657811066</v>
      </c>
      <c r="DS29">
        <v>11.886164114611644</v>
      </c>
      <c r="DT29" s="9">
        <v>-0.97333333333333327</v>
      </c>
      <c r="DU29">
        <v>-0.40000000000000008</v>
      </c>
      <c r="DV29">
        <v>-1.3733333333333333</v>
      </c>
      <c r="DW29">
        <v>7.3752016593685177</v>
      </c>
      <c r="DX29">
        <v>0.14315546218487396</v>
      </c>
      <c r="DY29">
        <v>7.053712166959432</v>
      </c>
      <c r="DZ29">
        <v>4047</v>
      </c>
      <c r="EA29">
        <v>7.0111733920700345</v>
      </c>
      <c r="EB29">
        <v>7</v>
      </c>
      <c r="EC29">
        <v>0.10610052316890882</v>
      </c>
      <c r="ED29">
        <v>0.74115595416043845</v>
      </c>
      <c r="EE29" s="10">
        <v>1.0399</v>
      </c>
      <c r="EF29">
        <v>1.0311999999999999</v>
      </c>
      <c r="EG29">
        <v>0.14315546218487396</v>
      </c>
      <c r="EH29" t="s">
        <v>629</v>
      </c>
      <c r="EI29">
        <v>1</v>
      </c>
      <c r="EJ29">
        <v>0</v>
      </c>
      <c r="EK29" s="12">
        <v>45470</v>
      </c>
      <c r="EL29" s="13">
        <v>0.3</v>
      </c>
      <c r="EM29" s="13">
        <v>-4.42</v>
      </c>
      <c r="EN29">
        <v>3.09</v>
      </c>
      <c r="EO29">
        <v>2.69</v>
      </c>
      <c r="EP29">
        <v>-0.87</v>
      </c>
    </row>
    <row r="30" spans="1:146" ht="132" hidden="1" x14ac:dyDescent="0.25">
      <c r="A30" s="5"/>
      <c r="B30" s="5"/>
      <c r="C30" s="5" t="str">
        <f>"公司为生产销售啤酒。主要产品是惠泉一麦、惠泉纯生、惠泉欧骑士和惠泉鲜啤系列产品等,主要市场是福建、江西等地。"&amp;CHAR(10)&amp;Basic_Fundamental_Information_Constructure(F30)&amp;CHAR(10)&amp;Basic_Fundamental_Information_Concatenate("啤酒 3.10亿 98.65% 96.28% 29.33%
其他业务 424.01万 1.35% 3.72% 82.79%")</f>
        <v>公司为生产销售啤酒。主要产品是惠泉一麦、惠泉纯生、惠泉欧骑士和惠泉鲜啤系列产品等,主要市场是福建、江西等地。
市值21.5亿, 利润510.57万; PE40.76; 平均PE90.23; 平均PEG6.85, PB1.72; ROIC1.9333%; ROE3.71%; 股利率.6977%; 毛利27.8367%; 净利6.6133%; 上一年度营收增-77%, 利润增-87.19%; 当季营收增-59.37%, 利润增-77.07%; 过往5年营收增-13.17%, 利润增.25%
Income profile:
啤酒 3.10亿 98.65% 96.28% 29.33%
其他业务 424.01万 1.35% 3.72% 82.79%</v>
      </c>
      <c r="D30" t="s">
        <v>95</v>
      </c>
      <c r="E30" t="s">
        <v>8</v>
      </c>
      <c r="F30">
        <v>8.6</v>
      </c>
      <c r="G30">
        <v>0.57999999999999996</v>
      </c>
      <c r="H30" t="s">
        <v>1460</v>
      </c>
      <c r="I30">
        <v>2150000000</v>
      </c>
      <c r="J30">
        <v>40.76</v>
      </c>
      <c r="K30">
        <v>1.72</v>
      </c>
      <c r="L30" t="s">
        <v>36</v>
      </c>
      <c r="M30" t="s">
        <v>876</v>
      </c>
      <c r="N30" t="s">
        <v>1461</v>
      </c>
      <c r="O30" t="s">
        <v>636</v>
      </c>
      <c r="P30">
        <v>2.86</v>
      </c>
      <c r="Q30" t="s">
        <v>636</v>
      </c>
      <c r="R30">
        <v>5105738</v>
      </c>
      <c r="S30" s="4">
        <v>4.6849999999999996</v>
      </c>
      <c r="T30" t="s">
        <v>1462</v>
      </c>
      <c r="U30">
        <v>250000000</v>
      </c>
      <c r="V30">
        <v>250000000</v>
      </c>
      <c r="W30">
        <v>1.24</v>
      </c>
      <c r="X30">
        <v>0.09</v>
      </c>
      <c r="Y30">
        <v>3.54</v>
      </c>
      <c r="Z30" t="s">
        <v>622</v>
      </c>
      <c r="AA30" t="s">
        <v>1463</v>
      </c>
      <c r="AB30" t="s">
        <v>1464</v>
      </c>
      <c r="AC30" t="s">
        <v>1465</v>
      </c>
      <c r="AD30" t="s">
        <v>20</v>
      </c>
      <c r="AE30">
        <v>-8324666</v>
      </c>
      <c r="AF30" t="s">
        <v>46</v>
      </c>
      <c r="AG30">
        <v>53.01</v>
      </c>
      <c r="AH30" t="s">
        <v>1466</v>
      </c>
      <c r="AI30" t="s">
        <v>558</v>
      </c>
      <c r="AJ30" t="s">
        <v>1467</v>
      </c>
      <c r="AK30" t="s">
        <v>20</v>
      </c>
      <c r="AL30" t="s">
        <v>1468</v>
      </c>
      <c r="AM30" t="s">
        <v>20</v>
      </c>
      <c r="AN30">
        <v>0</v>
      </c>
      <c r="AO30" t="s">
        <v>1469</v>
      </c>
      <c r="AP30" t="s">
        <v>20</v>
      </c>
      <c r="AQ30" t="s">
        <v>487</v>
      </c>
      <c r="AR30" t="s">
        <v>20</v>
      </c>
      <c r="AS30" t="s">
        <v>978</v>
      </c>
      <c r="AT30" t="s">
        <v>20</v>
      </c>
      <c r="AU30" t="s">
        <v>1470</v>
      </c>
      <c r="AV30" t="s">
        <v>1471</v>
      </c>
      <c r="AW30" t="s">
        <v>1472</v>
      </c>
      <c r="AX30" t="s">
        <v>478</v>
      </c>
      <c r="AY30" t="s">
        <v>285</v>
      </c>
      <c r="AZ30" t="s">
        <v>208</v>
      </c>
      <c r="BA30" t="s">
        <v>96</v>
      </c>
      <c r="BB30" t="s">
        <v>145</v>
      </c>
      <c r="BC30" t="s">
        <v>501</v>
      </c>
      <c r="BD30" t="s">
        <v>309</v>
      </c>
      <c r="BE30" t="s">
        <v>209</v>
      </c>
      <c r="BF30" t="s">
        <v>97</v>
      </c>
      <c r="BG30" t="s">
        <v>210</v>
      </c>
      <c r="BH30" t="s">
        <v>208</v>
      </c>
      <c r="BI30" t="s">
        <v>121</v>
      </c>
      <c r="BJ30" t="s">
        <v>478</v>
      </c>
      <c r="BK30" t="s">
        <v>1473</v>
      </c>
      <c r="BL30" t="s">
        <v>586</v>
      </c>
      <c r="BM30" t="s">
        <v>501</v>
      </c>
      <c r="BN30">
        <v>3.47</v>
      </c>
      <c r="BO30">
        <v>1.32</v>
      </c>
      <c r="BP30">
        <v>1.01</v>
      </c>
      <c r="BQ30">
        <v>5.15</v>
      </c>
      <c r="BR30">
        <v>3.33</v>
      </c>
      <c r="BS30">
        <v>2.65</v>
      </c>
      <c r="BT30" t="s">
        <v>483</v>
      </c>
      <c r="BU30" t="s">
        <v>345</v>
      </c>
      <c r="BV30">
        <v>29.48</v>
      </c>
      <c r="BW30">
        <v>27.12</v>
      </c>
      <c r="BX30">
        <v>26.91</v>
      </c>
      <c r="BY30">
        <v>7.95</v>
      </c>
      <c r="BZ30">
        <v>6.53</v>
      </c>
      <c r="CA30">
        <v>5.36</v>
      </c>
      <c r="CB30">
        <v>-1.83</v>
      </c>
      <c r="CC30">
        <v>-11.79</v>
      </c>
      <c r="CD30" t="s">
        <v>1474</v>
      </c>
      <c r="CE30" t="s">
        <v>1475</v>
      </c>
      <c r="CF30" s="7">
        <v>-0.59365994236311237</v>
      </c>
      <c r="CG30" s="8">
        <v>-0.77073882822041817</v>
      </c>
      <c r="CH30" s="7">
        <v>-0.76998370885848999</v>
      </c>
      <c r="CI30" s="7">
        <v>5.3264603018760681E-2</v>
      </c>
      <c r="CJ30" s="7">
        <v>-5.2117262035608292E-2</v>
      </c>
      <c r="CK30" s="7">
        <v>9.0586148202419281E-2</v>
      </c>
      <c r="CL30" s="7">
        <v>1.9927537068724632E-2</v>
      </c>
      <c r="CM30" s="8">
        <v>-0.87187159061431885</v>
      </c>
      <c r="CN30" s="8">
        <v>0.28411176800727844</v>
      </c>
      <c r="CO30" s="8">
        <v>8.2348592579364777E-2</v>
      </c>
      <c r="CP30" s="8">
        <v>0.4466320276260376</v>
      </c>
      <c r="CQ30" s="8">
        <v>7.1453668177127838E-2</v>
      </c>
      <c r="CR30">
        <v>90.226889151720357</v>
      </c>
      <c r="CS30">
        <v>6.8527859920305891</v>
      </c>
      <c r="CT30">
        <v>0.69767441860465118</v>
      </c>
      <c r="CU30" s="7">
        <v>-0.13166453652083873</v>
      </c>
      <c r="CV30" s="8">
        <v>2.5348931550979613E-3</v>
      </c>
      <c r="CW30">
        <v>0.06</v>
      </c>
      <c r="CX30">
        <v>220.14611120904087</v>
      </c>
      <c r="CY30" t="s">
        <v>1476</v>
      </c>
      <c r="CZ30">
        <v>-0.13166453652083873</v>
      </c>
      <c r="DA30">
        <v>73.382037069680294</v>
      </c>
      <c r="DB30" t="s">
        <v>1477</v>
      </c>
      <c r="DC30">
        <v>-0.12508130969479678</v>
      </c>
      <c r="DD30">
        <v>36.691018534840147</v>
      </c>
      <c r="DE30" t="s">
        <v>1478</v>
      </c>
      <c r="DF30">
        <v>-0.11586479213833809</v>
      </c>
      <c r="DG30">
        <v>22.014611120904089</v>
      </c>
      <c r="DH30" t="s">
        <v>1479</v>
      </c>
      <c r="DI30">
        <v>-0.105331629216671</v>
      </c>
      <c r="DJ30">
        <v>11.007305560452044</v>
      </c>
      <c r="DK30" t="s">
        <v>1480</v>
      </c>
      <c r="DL30">
        <v>-9.2165175564587101E-2</v>
      </c>
      <c r="DM30">
        <v>5105700</v>
      </c>
      <c r="DN30">
        <v>-0.13166453652083873</v>
      </c>
      <c r="DO30">
        <v>1124000000</v>
      </c>
      <c r="DP30">
        <v>927505490</v>
      </c>
      <c r="DQ30">
        <v>3282</v>
      </c>
      <c r="DR30">
        <v>-0.46199540584227361</v>
      </c>
      <c r="DS30">
        <v>-0.77327372137551609</v>
      </c>
      <c r="DT30" s="9">
        <v>-0.77333333333333332</v>
      </c>
      <c r="DU30">
        <v>-0.50666666666666671</v>
      </c>
      <c r="DV30">
        <v>-1.28</v>
      </c>
      <c r="DW30">
        <v>-2.1179000000000001</v>
      </c>
      <c r="DX30">
        <v>0.26777787774749318</v>
      </c>
      <c r="DY30">
        <v>-2.0115280117864294</v>
      </c>
      <c r="DZ30">
        <v>2642</v>
      </c>
      <c r="EA30">
        <v>-2.0055677364166158</v>
      </c>
      <c r="EB30">
        <v>2</v>
      </c>
      <c r="EC30">
        <v>3.8253599999999999E-2</v>
      </c>
      <c r="ED30">
        <v>0.39122960000000001</v>
      </c>
      <c r="EE30" s="10">
        <v>7.8209999999999988E-2</v>
      </c>
      <c r="EF30">
        <v>0.11291</v>
      </c>
      <c r="EG30">
        <v>17.097777877747493</v>
      </c>
      <c r="EH30">
        <v>-1</v>
      </c>
      <c r="EI30">
        <v>0</v>
      </c>
      <c r="EJ30">
        <v>0</v>
      </c>
      <c r="EK30" s="12">
        <v>45470</v>
      </c>
      <c r="EL30" s="13">
        <v>-0.41</v>
      </c>
      <c r="EM30" s="13">
        <v>-4.12</v>
      </c>
      <c r="EN30">
        <v>-0.86</v>
      </c>
      <c r="EO30">
        <v>-0.22</v>
      </c>
      <c r="EP30">
        <v>-3.47</v>
      </c>
    </row>
    <row r="31" spans="1:146" ht="144" x14ac:dyDescent="0.25">
      <c r="A31" s="16" t="s">
        <v>1953</v>
      </c>
      <c r="B31" s="16" t="s">
        <v>1954</v>
      </c>
      <c r="C31" s="16" t="str">
        <f>"公司主营业务是各类乳制品的开发、生产和销售。公司主要生产销售新鲜牛奶、新鲜酸奶、常温酸奶、乳酸菌饮品、婴幼儿及中老年奶粉、奶酪、黄油、冷饮等产品。"&amp;CHAR(10)&amp;Basic_Fundamental_Information_Constructure(F31)&amp;CHAR(10)&amp;Basic_Fundamental_Information_Concatenate("液态奶 160.91亿 57.03% 79.74% 26.08%
其他乳制品 80.00亿 28.35% 13.77% 9.06%
牧业 26.41亿 9.36% 0.68% 1.35%")</f>
        <v>公司主营业务是各类乳制品的开发、生产和销售。公司主要生产销售新鲜牛奶、新鲜酸奶、常温酸奶、乳酸菌饮品、婴幼儿及中老年奶粉、奶酪、黄油、冷饮等产品。
市值107.383106亿, 利润1.72亿; PE11.28; 平均PE25.04; 平均PEG2.75, PB1.2; ROIC3.9533%; ROE5.9767%; 股利率2.8241%; 毛利18.8867%; 净利2.1567%; 上一年度营收增-77.26%, 利润增-52.35%; 当季营收增-54.61%, 利润增-49.02%; 过往5年营收增-9.11%, 利润增-5.26%
Income profile:
液态奶 160.91亿 57.03% 79.74% 26.08%
其他乳制品 80.00亿 28.35% 13.77% 9.06%
牧业 26.41亿 9.36% 0.68% 1.35%</v>
      </c>
      <c r="D31" t="s">
        <v>1481</v>
      </c>
      <c r="E31" t="s">
        <v>1482</v>
      </c>
      <c r="F31">
        <v>7.79</v>
      </c>
      <c r="G31">
        <v>0.91</v>
      </c>
      <c r="H31" t="s">
        <v>1483</v>
      </c>
      <c r="I31">
        <v>10738310600</v>
      </c>
      <c r="J31">
        <v>11.28</v>
      </c>
      <c r="K31">
        <v>1.2</v>
      </c>
      <c r="L31" t="s">
        <v>36</v>
      </c>
      <c r="M31" t="s">
        <v>1484</v>
      </c>
      <c r="N31" t="s">
        <v>1485</v>
      </c>
      <c r="O31" t="s">
        <v>1486</v>
      </c>
      <c r="P31" s="4">
        <v>-9.25</v>
      </c>
      <c r="Q31" t="s">
        <v>1486</v>
      </c>
      <c r="R31">
        <v>172327250</v>
      </c>
      <c r="S31">
        <v>-8.0699999999999994E-2</v>
      </c>
      <c r="T31" t="s">
        <v>146</v>
      </c>
      <c r="U31">
        <v>1378455400</v>
      </c>
      <c r="V31">
        <v>1378473800</v>
      </c>
      <c r="W31">
        <v>2.0299999999999998</v>
      </c>
      <c r="X31">
        <v>0.27</v>
      </c>
      <c r="Y31">
        <v>2.33</v>
      </c>
      <c r="Z31" t="s">
        <v>1487</v>
      </c>
      <c r="AA31" t="s">
        <v>1488</v>
      </c>
      <c r="AB31" t="s">
        <v>1489</v>
      </c>
      <c r="AC31" t="s">
        <v>223</v>
      </c>
      <c r="AD31" t="s">
        <v>20</v>
      </c>
      <c r="AE31">
        <v>64575971</v>
      </c>
      <c r="AF31" t="s">
        <v>1490</v>
      </c>
      <c r="AG31" t="s">
        <v>1491</v>
      </c>
      <c r="AH31" t="s">
        <v>1492</v>
      </c>
      <c r="AI31" t="s">
        <v>1493</v>
      </c>
      <c r="AJ31" t="s">
        <v>1494</v>
      </c>
      <c r="AK31" t="s">
        <v>20</v>
      </c>
      <c r="AL31" t="s">
        <v>1495</v>
      </c>
      <c r="AM31" t="s">
        <v>20</v>
      </c>
      <c r="AN31" t="s">
        <v>1496</v>
      </c>
      <c r="AO31" t="s">
        <v>512</v>
      </c>
      <c r="AP31" t="s">
        <v>20</v>
      </c>
      <c r="AQ31" t="s">
        <v>1497</v>
      </c>
      <c r="AR31" t="s">
        <v>20</v>
      </c>
      <c r="AS31" t="s">
        <v>1498</v>
      </c>
      <c r="AT31" t="s">
        <v>490</v>
      </c>
      <c r="AU31" t="s">
        <v>1499</v>
      </c>
      <c r="AV31" t="s">
        <v>1500</v>
      </c>
      <c r="AW31" t="s">
        <v>1501</v>
      </c>
      <c r="AX31" t="s">
        <v>1502</v>
      </c>
      <c r="AY31" t="s">
        <v>1503</v>
      </c>
      <c r="AZ31" t="s">
        <v>1504</v>
      </c>
      <c r="BA31" t="s">
        <v>1505</v>
      </c>
      <c r="BB31" t="s">
        <v>1506</v>
      </c>
      <c r="BC31" t="s">
        <v>971</v>
      </c>
      <c r="BD31" t="s">
        <v>1507</v>
      </c>
      <c r="BE31" t="s">
        <v>215</v>
      </c>
      <c r="BF31" t="s">
        <v>484</v>
      </c>
      <c r="BG31" t="s">
        <v>188</v>
      </c>
      <c r="BH31" t="s">
        <v>1508</v>
      </c>
      <c r="BI31" t="s">
        <v>1509</v>
      </c>
      <c r="BJ31" t="s">
        <v>1502</v>
      </c>
      <c r="BK31" t="s">
        <v>1510</v>
      </c>
      <c r="BL31" t="s">
        <v>541</v>
      </c>
      <c r="BM31" t="s">
        <v>971</v>
      </c>
      <c r="BN31">
        <v>3.22</v>
      </c>
      <c r="BO31">
        <v>3.6</v>
      </c>
      <c r="BP31">
        <v>5.04</v>
      </c>
      <c r="BQ31">
        <v>4.01</v>
      </c>
      <c r="BR31">
        <v>4.57</v>
      </c>
      <c r="BS31">
        <v>9.35</v>
      </c>
      <c r="BT31" t="s">
        <v>1511</v>
      </c>
      <c r="BU31" t="s">
        <v>798</v>
      </c>
      <c r="BV31">
        <v>19.66</v>
      </c>
      <c r="BW31">
        <v>18.649999999999999</v>
      </c>
      <c r="BX31">
        <v>18.350000000000001</v>
      </c>
      <c r="BY31">
        <v>3.14</v>
      </c>
      <c r="BZ31">
        <v>1.39</v>
      </c>
      <c r="CA31">
        <v>1.94</v>
      </c>
      <c r="CB31">
        <v>0.26</v>
      </c>
      <c r="CC31" s="7">
        <v>-9.84</v>
      </c>
      <c r="CD31" s="8" t="s">
        <v>1512</v>
      </c>
      <c r="CE31" s="7" t="s">
        <v>634</v>
      </c>
      <c r="CF31" s="7">
        <v>-0.54614894971355821</v>
      </c>
      <c r="CG31" s="7">
        <v>-0.49015606508875742</v>
      </c>
      <c r="CH31" s="7">
        <v>-0.7725677490234375</v>
      </c>
      <c r="CI31" s="7">
        <v>-3.393140435218811E-2</v>
      </c>
      <c r="CJ31" s="8">
        <v>0.15594078600406647</v>
      </c>
      <c r="CK31" s="8">
        <v>0.11979787796735764</v>
      </c>
      <c r="CL31" s="8">
        <v>7.5145386159420013E-2</v>
      </c>
      <c r="CM31" s="8">
        <v>-0.52354568243026733</v>
      </c>
      <c r="CN31" s="8">
        <v>-0.39020270109176636</v>
      </c>
      <c r="CO31">
        <v>-2.6315789669752121E-2</v>
      </c>
      <c r="CP31">
        <v>0.22088353335857391</v>
      </c>
      <c r="CQ31">
        <v>0.45614033937454224</v>
      </c>
      <c r="CR31" s="7">
        <v>25.040755382821612</v>
      </c>
      <c r="CS31" s="8">
        <v>2.7480163853752169</v>
      </c>
      <c r="CT31">
        <v>2.8241335044929401</v>
      </c>
      <c r="CU31">
        <v>-9.1123020648956304E-2</v>
      </c>
      <c r="CV31">
        <v>-5.2608060091733931E-2</v>
      </c>
      <c r="CW31">
        <v>0.06</v>
      </c>
      <c r="CX31">
        <v>71.995991860465111</v>
      </c>
      <c r="CY31" t="s">
        <v>1513</v>
      </c>
      <c r="CZ31">
        <v>-9.1123020648956304E-2</v>
      </c>
      <c r="DA31">
        <v>23.998663953488371</v>
      </c>
      <c r="DB31" t="s">
        <v>1514</v>
      </c>
      <c r="DC31">
        <v>-8.6566869616508488E-2</v>
      </c>
      <c r="DD31">
        <v>11.999331976744186</v>
      </c>
      <c r="DE31" t="s">
        <v>1515</v>
      </c>
      <c r="DF31">
        <v>-8.018825817108155E-2</v>
      </c>
      <c r="DG31">
        <v>7.1995991860465116</v>
      </c>
      <c r="DH31" t="s">
        <v>1516</v>
      </c>
      <c r="DI31">
        <v>-7.2898416519165052E-2</v>
      </c>
      <c r="DJ31">
        <v>3.5997995930232558</v>
      </c>
      <c r="DK31" t="s">
        <v>1517</v>
      </c>
      <c r="DL31">
        <v>-6.3786114454269405E-2</v>
      </c>
      <c r="DM31">
        <v>172000000</v>
      </c>
      <c r="DN31">
        <v>-9.1123020648956304E-2</v>
      </c>
      <c r="DO31">
        <v>12383310600</v>
      </c>
      <c r="DP31">
        <v>-423839900</v>
      </c>
      <c r="DQ31" s="9">
        <v>3304</v>
      </c>
      <c r="DR31">
        <v>-0.45502592906460193</v>
      </c>
      <c r="DS31">
        <v>-0.43754800499702351</v>
      </c>
      <c r="DT31">
        <v>-0.64</v>
      </c>
      <c r="DU31">
        <v>-0.32</v>
      </c>
      <c r="DV31">
        <v>-0.96</v>
      </c>
      <c r="DW31">
        <v>-2.0983999999999998</v>
      </c>
      <c r="DX31">
        <v>0.26220410958904183</v>
      </c>
      <c r="DY31">
        <v>-2.0120248843835618</v>
      </c>
      <c r="DZ31">
        <v>2911</v>
      </c>
      <c r="EA31">
        <v>-2.0051747007357048</v>
      </c>
      <c r="EB31" s="10">
        <v>2</v>
      </c>
      <c r="EC31" s="10">
        <v>1.9414732438150076E-2</v>
      </c>
      <c r="ED31">
        <v>0.15887135468225802</v>
      </c>
      <c r="EE31">
        <v>-1.09141</v>
      </c>
      <c r="EF31">
        <v>-1.12331</v>
      </c>
      <c r="EG31">
        <v>14.122204109589042</v>
      </c>
      <c r="EH31" s="12" t="s">
        <v>464</v>
      </c>
      <c r="EI31">
        <v>0</v>
      </c>
      <c r="EJ31">
        <v>0</v>
      </c>
      <c r="EK31">
        <v>45470</v>
      </c>
      <c r="EL31">
        <v>-0.26</v>
      </c>
      <c r="EM31">
        <v>-2.98</v>
      </c>
      <c r="EN31">
        <v>1.2</v>
      </c>
      <c r="EO31">
        <v>3.3</v>
      </c>
      <c r="EP31">
        <v>-3.19</v>
      </c>
    </row>
    <row r="32" spans="1:146" ht="168" hidden="1" x14ac:dyDescent="0.25">
      <c r="A32" s="5"/>
      <c r="B32" s="5"/>
      <c r="C32" s="5" t="str">
        <f>"公司的主营业务为啤酒制造、销售以及与之相关的业务。公司主要产品为啤酒，公司拥有的“青岛啤酒”品牌是我国首批十大驰名商标之一，在国内外市场具有强大的品牌影响力和较高的知名度"&amp;CHAR(10)&amp;Basic_Fundamental_Information_Constructure(F32)&amp;CHAR(10)&amp;Basic_Fundamental_Information_Concatenate("销售啤酒等 190.68亿 98.94% 98.88% 38.07%
其他 6536.17万 0.34% 0.42% 47.65%
餐饮相关 6055.16万 0.31% 0.33% 40.15%
销售包装物 5453.00万 0.28% 0.27% 36.28%")</f>
        <v>公司的主营业务为啤酒制造、销售以及与之相关的业务。公司主要产品为啤酒，公司拥有的“青岛啤酒”品牌是我国首批十大驰名商标之一，在国内外市场具有强大的品牌影响力和较高的知名度
市值927.5174亿, 利润15.97亿; PE21.01; 平均PE39.93; 平均PEG4.11, PB3.19; ROIC14.64%; ROE15.9433%; 股利率2.9416%; 毛利37.4067%; 净利11.81%; 上一年度营收增-68.45%, 利润增-56.97%; 当季营收增-52.99%, 利润增-53.38%; 过往5年营收增-9.73%, 利润增10.62%
Income profile:
销售啤酒等 190.68亿 98.94% 98.88% 38.07%
其他 6536.17万 0.34% 0.42% 47.65%
餐饮相关 6055.16万 0.31% 0.33% 40.15%
销售包装物 5453.00万 0.28% 0.27% 36.28%</v>
      </c>
      <c r="D32" t="s">
        <v>99</v>
      </c>
      <c r="E32" t="s">
        <v>16</v>
      </c>
      <c r="F32">
        <v>67.989999999999995</v>
      </c>
      <c r="G32">
        <v>-1.02</v>
      </c>
      <c r="H32" t="s">
        <v>1518</v>
      </c>
      <c r="I32">
        <v>92751740000</v>
      </c>
      <c r="J32">
        <v>21.01</v>
      </c>
      <c r="K32">
        <v>3.19</v>
      </c>
      <c r="L32" t="s">
        <v>36</v>
      </c>
      <c r="M32" t="s">
        <v>1519</v>
      </c>
      <c r="N32" t="s">
        <v>1520</v>
      </c>
      <c r="O32" t="s">
        <v>1521</v>
      </c>
      <c r="P32">
        <v>-5.19</v>
      </c>
      <c r="Q32" t="s">
        <v>1521</v>
      </c>
      <c r="R32">
        <v>1597244500</v>
      </c>
      <c r="S32" s="4">
        <v>0.10059999999999999</v>
      </c>
      <c r="T32" t="s">
        <v>1522</v>
      </c>
      <c r="U32">
        <v>704795080</v>
      </c>
      <c r="V32">
        <v>1364196800</v>
      </c>
      <c r="W32">
        <v>1.69</v>
      </c>
      <c r="X32">
        <v>0.2</v>
      </c>
      <c r="Y32">
        <v>15.99</v>
      </c>
      <c r="Z32" t="s">
        <v>1523</v>
      </c>
      <c r="AA32" t="s">
        <v>1524</v>
      </c>
      <c r="AB32" t="s">
        <v>1525</v>
      </c>
      <c r="AC32" t="s">
        <v>493</v>
      </c>
      <c r="AD32" t="s">
        <v>20</v>
      </c>
      <c r="AE32">
        <v>-141213380</v>
      </c>
      <c r="AF32" t="s">
        <v>1526</v>
      </c>
      <c r="AG32" t="s">
        <v>1527</v>
      </c>
      <c r="AH32" t="s">
        <v>1528</v>
      </c>
      <c r="AI32" t="s">
        <v>1529</v>
      </c>
      <c r="AJ32" t="s">
        <v>1530</v>
      </c>
      <c r="AK32" t="s">
        <v>1531</v>
      </c>
      <c r="AL32" t="s">
        <v>1532</v>
      </c>
      <c r="AM32" t="s">
        <v>20</v>
      </c>
      <c r="AN32" t="s">
        <v>350</v>
      </c>
      <c r="AO32" t="s">
        <v>20</v>
      </c>
      <c r="AP32" t="s">
        <v>37</v>
      </c>
      <c r="AQ32" t="s">
        <v>1533</v>
      </c>
      <c r="AR32" t="s">
        <v>20</v>
      </c>
      <c r="AS32" t="s">
        <v>1534</v>
      </c>
      <c r="AT32" t="s">
        <v>20</v>
      </c>
      <c r="AU32" t="s">
        <v>528</v>
      </c>
      <c r="AV32" t="s">
        <v>1535</v>
      </c>
      <c r="AW32" t="s">
        <v>1536</v>
      </c>
      <c r="AX32" t="s">
        <v>502</v>
      </c>
      <c r="AY32" t="s">
        <v>310</v>
      </c>
      <c r="AZ32" t="s">
        <v>211</v>
      </c>
      <c r="BA32" t="s">
        <v>100</v>
      </c>
      <c r="BB32" t="s">
        <v>213</v>
      </c>
      <c r="BC32" t="s">
        <v>503</v>
      </c>
      <c r="BD32" t="s">
        <v>311</v>
      </c>
      <c r="BE32" t="s">
        <v>212</v>
      </c>
      <c r="BF32" t="s">
        <v>101</v>
      </c>
      <c r="BG32" t="s">
        <v>214</v>
      </c>
      <c r="BH32" t="s">
        <v>1537</v>
      </c>
      <c r="BI32" t="s">
        <v>588</v>
      </c>
      <c r="BJ32" t="s">
        <v>502</v>
      </c>
      <c r="BK32" t="s">
        <v>1538</v>
      </c>
      <c r="BL32" t="s">
        <v>589</v>
      </c>
      <c r="BM32" t="s">
        <v>503</v>
      </c>
      <c r="BN32">
        <v>17.079999999999998</v>
      </c>
      <c r="BO32">
        <v>13.69</v>
      </c>
      <c r="BP32">
        <v>13.15</v>
      </c>
      <c r="BQ32">
        <v>18.059999999999999</v>
      </c>
      <c r="BR32">
        <v>15.3</v>
      </c>
      <c r="BS32">
        <v>14.47</v>
      </c>
      <c r="BT32" t="s">
        <v>369</v>
      </c>
      <c r="BU32" t="s">
        <v>345</v>
      </c>
      <c r="BV32">
        <v>38.659999999999997</v>
      </c>
      <c r="BW32">
        <v>36.85</v>
      </c>
      <c r="BX32">
        <v>36.71</v>
      </c>
      <c r="BY32">
        <v>12.81</v>
      </c>
      <c r="BZ32">
        <v>11.83</v>
      </c>
      <c r="CA32">
        <v>10.79</v>
      </c>
      <c r="CB32">
        <v>-6.57</v>
      </c>
      <c r="CC32">
        <v>-19.72</v>
      </c>
      <c r="CD32" t="s">
        <v>1539</v>
      </c>
      <c r="CE32" t="s">
        <v>286</v>
      </c>
      <c r="CF32" s="7">
        <v>-0.52991848832901078</v>
      </c>
      <c r="CG32" s="8">
        <v>-0.53378736135434912</v>
      </c>
      <c r="CH32" s="7">
        <v>-0.68450832366943359</v>
      </c>
      <c r="CI32" s="7">
        <v>6.6463366150856018E-2</v>
      </c>
      <c r="CJ32" s="7">
        <v>8.6707420647144318E-2</v>
      </c>
      <c r="CK32" s="7">
        <v>-8.0045014619827271E-3</v>
      </c>
      <c r="CL32" s="7">
        <v>5.3019735962152481E-2</v>
      </c>
      <c r="CM32" s="8">
        <v>-0.56965780258178711</v>
      </c>
      <c r="CN32" s="8">
        <v>0.17622821033000946</v>
      </c>
      <c r="CO32" s="8">
        <v>0.43343940377235413</v>
      </c>
      <c r="CP32" s="8">
        <v>0.18844488263130188</v>
      </c>
      <c r="CQ32" s="8">
        <v>0.30239099264144897</v>
      </c>
      <c r="CR32">
        <v>39.927567800258288</v>
      </c>
      <c r="CS32">
        <v>4.1050521028518618</v>
      </c>
      <c r="CT32">
        <v>2.9416090601559053</v>
      </c>
      <c r="CU32" s="7">
        <v>-9.7264460474252704E-2</v>
      </c>
      <c r="CV32" s="8">
        <v>0.10616913735866547</v>
      </c>
      <c r="CW32">
        <v>0.06</v>
      </c>
      <c r="CX32">
        <v>52.540851596743892</v>
      </c>
      <c r="CY32" t="s">
        <v>1540</v>
      </c>
      <c r="CZ32">
        <v>-9.7264460474252704E-2</v>
      </c>
      <c r="DA32">
        <v>17.513617198914631</v>
      </c>
      <c r="DB32" t="s">
        <v>1541</v>
      </c>
      <c r="DC32">
        <v>-9.2401237450540061E-2</v>
      </c>
      <c r="DD32">
        <v>8.7568085994573153</v>
      </c>
      <c r="DE32" t="s">
        <v>1542</v>
      </c>
      <c r="DF32">
        <v>-8.5592725217342375E-2</v>
      </c>
      <c r="DG32">
        <v>5.2540851596743892</v>
      </c>
      <c r="DH32" t="s">
        <v>1543</v>
      </c>
      <c r="DI32">
        <v>-7.7811568379402174E-2</v>
      </c>
      <c r="DJ32">
        <v>2.6270425798371946</v>
      </c>
      <c r="DK32" t="s">
        <v>1544</v>
      </c>
      <c r="DL32">
        <v>-6.8085122331976888E-2</v>
      </c>
      <c r="DM32">
        <v>1597000000</v>
      </c>
      <c r="DN32">
        <v>-9.7264460474252704E-2</v>
      </c>
      <c r="DO32">
        <v>83907740000</v>
      </c>
      <c r="DP32">
        <v>13645632000</v>
      </c>
      <c r="DQ32">
        <v>3307</v>
      </c>
      <c r="DR32">
        <v>-0.43265402785475809</v>
      </c>
      <c r="DS32">
        <v>-0.63995649871301463</v>
      </c>
      <c r="DT32" s="9">
        <v>-0.77333333333333332</v>
      </c>
      <c r="DU32">
        <v>0.11333333333333324</v>
      </c>
      <c r="DV32">
        <v>-0.66</v>
      </c>
      <c r="DW32">
        <v>-9.3331643002028404</v>
      </c>
      <c r="DX32">
        <v>0.35074945652174022</v>
      </c>
      <c r="DY32">
        <v>-9.0568876231920807</v>
      </c>
      <c r="DZ32">
        <v>3942</v>
      </c>
      <c r="EA32">
        <v>-9.0130028853010469</v>
      </c>
      <c r="EB32">
        <v>9</v>
      </c>
      <c r="EC32">
        <v>2.3030328175524237E-2</v>
      </c>
      <c r="ED32">
        <v>0.134877900314676</v>
      </c>
      <c r="EE32" s="10">
        <v>0.11401</v>
      </c>
      <c r="EF32">
        <v>-1.0074099999999999</v>
      </c>
      <c r="EG32">
        <v>18.17074945652174</v>
      </c>
      <c r="EH32" t="s">
        <v>464</v>
      </c>
      <c r="EI32">
        <v>0</v>
      </c>
      <c r="EJ32">
        <v>0</v>
      </c>
      <c r="EK32" s="12">
        <v>45470</v>
      </c>
      <c r="EL32" s="13">
        <v>0</v>
      </c>
      <c r="EM32" s="13">
        <v>-4.17</v>
      </c>
      <c r="EN32">
        <v>-4.99</v>
      </c>
      <c r="EO32">
        <v>-2.23</v>
      </c>
      <c r="EP32">
        <v>-4.34</v>
      </c>
    </row>
    <row r="33" spans="1:146" ht="132" hidden="1" x14ac:dyDescent="0.25">
      <c r="A33" s="5" t="s">
        <v>382</v>
      </c>
      <c r="B33" s="5"/>
      <c r="C33" s="5" t="str">
        <f>"公司主营业务是从事以黄酒为核心的酒类生产经营业务。主要产品是黄酒、葡萄酒。"&amp;CHAR(10)&amp;Basic_Fundamental_Information_Constructure(F33)&amp;CHAR(10)&amp;Basic_Fundamental_Information_Concatenate("黄酒 6.31亿 97.63% 99.06% 43.35%
其他业务 1068.89万 1.65% 0.66% 16.99%
葡萄酒 462.34万 0.72% 0.29% 17.17%")</f>
        <v>公司主营业务是从事以黄酒为核心的酒类生产经营业务。主要产品是黄酒、葡萄酒。
市值31.242531亿, 利润267.29万; PE; 平均PE-581.98; 平均PEG-29.64, PB1.57; ROIC2.955%; ROE1.88%; 股利率1.0707%; 毛利41.9333%; 净利5.2967%; 上一年度营收增-76.44%, 利润增-48.16%; 当季营收增-22.39%, 利润增-97.73%; 过往5年营收增-19.63%, 利润增-5.73%
Income profile:
黄酒 6.31亿 97.63% 99.06% 43.35%
其他业务 1068.89万 1.65% 0.66% 16.99%
葡萄酒 462.34万 0.72% 0.29% 17.17%</v>
      </c>
      <c r="D33" t="s">
        <v>102</v>
      </c>
      <c r="E33" t="s">
        <v>7</v>
      </c>
      <c r="F33">
        <v>4.67</v>
      </c>
      <c r="G33">
        <v>0.43</v>
      </c>
      <c r="H33" t="s">
        <v>1545</v>
      </c>
      <c r="I33">
        <v>3124253100</v>
      </c>
      <c r="K33">
        <v>1.57</v>
      </c>
      <c r="L33" t="s">
        <v>36</v>
      </c>
      <c r="M33" t="s">
        <v>962</v>
      </c>
      <c r="N33" t="s">
        <v>608</v>
      </c>
      <c r="O33" t="s">
        <v>515</v>
      </c>
      <c r="P33">
        <v>42.44</v>
      </c>
      <c r="Q33" t="s">
        <v>515</v>
      </c>
      <c r="R33">
        <v>2672876</v>
      </c>
      <c r="S33" s="4">
        <v>-0.97989999999999999</v>
      </c>
      <c r="T33" t="s">
        <v>1546</v>
      </c>
      <c r="U33">
        <v>669004950</v>
      </c>
      <c r="V33">
        <v>669004950</v>
      </c>
      <c r="W33">
        <v>1.1399999999999999</v>
      </c>
      <c r="X33">
        <v>7.0000000000000007E-2</v>
      </c>
      <c r="Y33">
        <v>1.52</v>
      </c>
      <c r="Z33" t="s">
        <v>515</v>
      </c>
      <c r="AA33" t="s">
        <v>1547</v>
      </c>
      <c r="AB33" t="s">
        <v>1548</v>
      </c>
      <c r="AC33" t="s">
        <v>1549</v>
      </c>
      <c r="AD33" t="s">
        <v>20</v>
      </c>
      <c r="AE33">
        <v>-3318004</v>
      </c>
      <c r="AF33" t="s">
        <v>1550</v>
      </c>
      <c r="AG33" t="s">
        <v>1551</v>
      </c>
      <c r="AH33" t="s">
        <v>1552</v>
      </c>
      <c r="AI33" t="s">
        <v>1553</v>
      </c>
      <c r="AJ33" t="s">
        <v>1554</v>
      </c>
      <c r="AK33" t="s">
        <v>1555</v>
      </c>
      <c r="AL33" t="s">
        <v>1556</v>
      </c>
      <c r="AM33" t="s">
        <v>20</v>
      </c>
      <c r="AN33" t="s">
        <v>1557</v>
      </c>
      <c r="AO33" t="s">
        <v>20</v>
      </c>
      <c r="AP33" t="s">
        <v>1558</v>
      </c>
      <c r="AQ33" t="s">
        <v>1559</v>
      </c>
      <c r="AR33">
        <v>5342.7</v>
      </c>
      <c r="AS33" t="s">
        <v>296</v>
      </c>
      <c r="AT33" t="s">
        <v>20</v>
      </c>
      <c r="AU33" t="s">
        <v>1560</v>
      </c>
      <c r="AV33" t="s">
        <v>1561</v>
      </c>
      <c r="AW33" t="s">
        <v>1562</v>
      </c>
      <c r="AX33" t="s">
        <v>504</v>
      </c>
      <c r="AY33" t="s">
        <v>283</v>
      </c>
      <c r="AZ33" t="s">
        <v>215</v>
      </c>
      <c r="BA33" t="s">
        <v>103</v>
      </c>
      <c r="BB33" t="s">
        <v>217</v>
      </c>
      <c r="BC33" t="s">
        <v>1563</v>
      </c>
      <c r="BD33" t="s">
        <v>312</v>
      </c>
      <c r="BE33" t="s">
        <v>216</v>
      </c>
      <c r="BF33" t="s">
        <v>104</v>
      </c>
      <c r="BG33" t="s">
        <v>218</v>
      </c>
      <c r="BH33" t="s">
        <v>1104</v>
      </c>
      <c r="BI33" t="s">
        <v>362</v>
      </c>
      <c r="BJ33" t="s">
        <v>504</v>
      </c>
      <c r="BK33" t="s">
        <v>165</v>
      </c>
      <c r="BL33" t="s">
        <v>349</v>
      </c>
      <c r="BM33" t="s">
        <v>1563</v>
      </c>
      <c r="BN33">
        <v>5.82</v>
      </c>
      <c r="BO33">
        <v>0.09</v>
      </c>
      <c r="BP33" t="s">
        <v>20</v>
      </c>
      <c r="BQ33">
        <v>6.03</v>
      </c>
      <c r="BR33">
        <v>0.27</v>
      </c>
      <c r="BS33">
        <v>-0.66</v>
      </c>
      <c r="BT33" t="s">
        <v>366</v>
      </c>
      <c r="BU33" t="s">
        <v>348</v>
      </c>
      <c r="BV33">
        <v>40.880000000000003</v>
      </c>
      <c r="BW33">
        <v>42.3</v>
      </c>
      <c r="BX33">
        <v>42.62</v>
      </c>
      <c r="BY33">
        <v>18.190000000000001</v>
      </c>
      <c r="BZ33">
        <v>0.33</v>
      </c>
      <c r="CA33">
        <v>-2.63</v>
      </c>
      <c r="CB33">
        <v>-2.71</v>
      </c>
      <c r="CC33">
        <v>-14.31</v>
      </c>
      <c r="CD33" t="s">
        <v>1564</v>
      </c>
      <c r="CE33" t="s">
        <v>339</v>
      </c>
      <c r="CF33" s="7">
        <v>-0.22388059701492527</v>
      </c>
      <c r="CG33" s="8">
        <v>-0.97734850847457622</v>
      </c>
      <c r="CH33" s="7">
        <v>-0.76435047388076782</v>
      </c>
      <c r="CI33" s="7">
        <v>2.003081701695919E-2</v>
      </c>
      <c r="CJ33" s="7">
        <v>6.7434214055538177E-2</v>
      </c>
      <c r="CK33" s="7">
        <v>-0.35593220591545105</v>
      </c>
      <c r="CL33" s="7">
        <v>5.1224943250417709E-2</v>
      </c>
      <c r="CM33" s="8">
        <v>-0.48160430788993835</v>
      </c>
      <c r="CN33" s="8">
        <v>1.4013841152191162</v>
      </c>
      <c r="CO33" s="8">
        <v>-2.0495193004608154</v>
      </c>
      <c r="CP33" s="8">
        <v>-0.58435100317001343</v>
      </c>
      <c r="CQ33" s="8">
        <v>1.4275132417678833</v>
      </c>
      <c r="CR33">
        <v>-581.97641733493526</v>
      </c>
      <c r="CS33">
        <v>-29.644495832633467</v>
      </c>
      <c r="CT33">
        <v>1.0706638115631693</v>
      </c>
      <c r="CU33" s="7">
        <v>-0.19631854109466076</v>
      </c>
      <c r="CV33" s="8">
        <v>-5.7315450906753537E-2</v>
      </c>
      <c r="CW33">
        <v>0.06</v>
      </c>
      <c r="CX33">
        <v>556.41928242732627</v>
      </c>
      <c r="CY33" t="s">
        <v>1565</v>
      </c>
      <c r="CZ33">
        <v>-0.19631854109466076</v>
      </c>
      <c r="DA33">
        <v>185.47309414244208</v>
      </c>
      <c r="DB33" t="s">
        <v>1566</v>
      </c>
      <c r="DC33">
        <v>-0.18650261403992771</v>
      </c>
      <c r="DD33">
        <v>92.73654707122104</v>
      </c>
      <c r="DE33" t="s">
        <v>1567</v>
      </c>
      <c r="DF33">
        <v>-0.17276031616330148</v>
      </c>
      <c r="DG33">
        <v>55.641928242732618</v>
      </c>
      <c r="DH33" t="s">
        <v>1568</v>
      </c>
      <c r="DI33">
        <v>-0.15705483287572863</v>
      </c>
      <c r="DJ33">
        <v>27.820964121366309</v>
      </c>
      <c r="DK33" t="s">
        <v>1569</v>
      </c>
      <c r="DL33">
        <v>-0.13742297876626253</v>
      </c>
      <c r="DM33">
        <v>2672900</v>
      </c>
      <c r="DN33">
        <v>-0.19631854109466076</v>
      </c>
      <c r="DO33">
        <v>1487253100.0000002</v>
      </c>
      <c r="DP33">
        <v>1463082400</v>
      </c>
      <c r="DQ33">
        <v>3321</v>
      </c>
      <c r="DR33">
        <v>-2.7562055920264505E-2</v>
      </c>
      <c r="DS33">
        <v>-0.92003305756782272</v>
      </c>
      <c r="DT33" s="9">
        <v>-0.89</v>
      </c>
      <c r="DU33">
        <v>-0.90666666666666662</v>
      </c>
      <c r="DV33">
        <v>-1.7966666666666666</v>
      </c>
      <c r="DW33">
        <v>-8.1893780573025854</v>
      </c>
      <c r="DX33">
        <v>0.28335630252100807</v>
      </c>
      <c r="DY33">
        <v>-8.0271485380735097</v>
      </c>
      <c r="DZ33">
        <v>3966</v>
      </c>
      <c r="EA33">
        <v>-8.0060778723201746</v>
      </c>
      <c r="EB33">
        <v>8</v>
      </c>
      <c r="EC33">
        <v>2.549966184854088E-2</v>
      </c>
      <c r="ED33">
        <v>0.1778761128748001</v>
      </c>
      <c r="EE33" s="10">
        <v>5.0171999999999999</v>
      </c>
      <c r="EF33">
        <v>5.00671</v>
      </c>
      <c r="EG33">
        <v>14.143356302521008</v>
      </c>
      <c r="EH33" t="s">
        <v>1570</v>
      </c>
      <c r="EI33">
        <v>0</v>
      </c>
      <c r="EJ33">
        <v>0</v>
      </c>
      <c r="EK33" s="12">
        <v>45470</v>
      </c>
      <c r="EL33" s="13">
        <v>-0.78</v>
      </c>
      <c r="EM33" s="13">
        <v>-4.4800000000000004</v>
      </c>
      <c r="EN33">
        <v>1.76</v>
      </c>
      <c r="EO33">
        <v>1.38</v>
      </c>
      <c r="EP33">
        <v>-2.39</v>
      </c>
    </row>
    <row r="34" spans="1:146" ht="252" x14ac:dyDescent="0.25">
      <c r="A34" s="16" t="s">
        <v>1955</v>
      </c>
      <c r="B34" s="16" t="s">
        <v>1956</v>
      </c>
      <c r="C34" s="16" t="str">
        <f>"公司主营业务为以奶酪为核心的特色乳制品的研发,生产和销售，也从事液态奶的研发,生产和销售，以及乳制品贸易业务。"&amp;CHAR(10)&amp;Basic_Fundamental_Information_Constructure(F34)&amp;CHAR(10)&amp;Basic_Fundamental_Information_Concatenate("奶酪 38.69亿 80.11% 95.54% 40.73%
贸易产品 6.00亿 12.42% 2.22% 6.10%
液态奶 3.49亿 7.22% 1.82% 8.61%
奶酪细分类：
即食营养系列 116,281.81 76.38%（毛利56.92%）
家庭餐桌系列 14,608.12 9.59%（毛利36.83%）
餐饮工业系列 21,358.45 14.03%（毛利22.68%）
其他业务 166.31万 0.06%（毛利3.83%）")</f>
        <v>公司主营业务为以奶酪为核心的特色乳制品的研发,生产和销售，也从事液态奶的研发,生产和销售，以及乳制品贸易业务。
市值63.443447亿, 利润4129.75万; PE78.78; 平均PE90.11; 平均PEG4.99, PB1.47; ROIC2.82%; ROE2.9333%; 股利率0%; 毛利33.8667%; 净利3.28%; 上一年度营收增-80.33%, 利润增-70.07%; 当季营收增-54.02%, 利润增44.56%; 过往5年营收增18.06%, 利润增73.66%
Income profile:
奶酪 38.69亿 80.11% 95.54% 40.73%
贸易产品 6.00亿 12.42% 2.22% 6.10%
液态奶 3.49亿 7.22% 1.82% 8.61%
奶酪细分类：
即食营养系列 116,281.81 76.38%（毛利56.92%）
家庭餐桌系列 14,608.12 9.59%（毛利36.83%）
餐饮工业系列 21,358.45 14.03%（毛利22.68%）
其他业务 166.31万 0.06%（毛利3.83%）</v>
      </c>
      <c r="D34" t="s">
        <v>1571</v>
      </c>
      <c r="E34" t="s">
        <v>1572</v>
      </c>
      <c r="F34">
        <v>12.39</v>
      </c>
      <c r="G34">
        <v>0</v>
      </c>
      <c r="H34" t="s">
        <v>1573</v>
      </c>
      <c r="I34">
        <v>6344344700</v>
      </c>
      <c r="J34">
        <v>78.78</v>
      </c>
      <c r="K34">
        <v>1.47</v>
      </c>
      <c r="L34" t="s">
        <v>36</v>
      </c>
      <c r="M34" t="s">
        <v>606</v>
      </c>
      <c r="N34" t="s">
        <v>1574</v>
      </c>
      <c r="O34" t="s">
        <v>1575</v>
      </c>
      <c r="P34" s="4">
        <v>-7.13</v>
      </c>
      <c r="Q34" t="s">
        <v>1575</v>
      </c>
      <c r="R34">
        <v>41297504</v>
      </c>
      <c r="S34">
        <v>0.70630000000000004</v>
      </c>
      <c r="T34" t="s">
        <v>1576</v>
      </c>
      <c r="U34">
        <v>512053650</v>
      </c>
      <c r="V34">
        <v>512053650</v>
      </c>
      <c r="W34">
        <v>1.56</v>
      </c>
      <c r="X34">
        <v>0.14000000000000001</v>
      </c>
      <c r="Y34">
        <v>4.3499999999999996</v>
      </c>
      <c r="Z34" t="s">
        <v>1577</v>
      </c>
      <c r="AA34" t="s">
        <v>1578</v>
      </c>
      <c r="AB34" t="s">
        <v>840</v>
      </c>
      <c r="AC34" t="s">
        <v>1579</v>
      </c>
      <c r="AD34" t="s">
        <v>20</v>
      </c>
      <c r="AE34">
        <v>7445648</v>
      </c>
      <c r="AF34" t="s">
        <v>1580</v>
      </c>
      <c r="AG34" t="s">
        <v>1581</v>
      </c>
      <c r="AH34" t="s">
        <v>1582</v>
      </c>
      <c r="AI34" t="s">
        <v>1583</v>
      </c>
      <c r="AJ34" t="s">
        <v>1584</v>
      </c>
      <c r="AK34" t="s">
        <v>20</v>
      </c>
      <c r="AL34" t="s">
        <v>1585</v>
      </c>
      <c r="AM34" t="s">
        <v>20</v>
      </c>
      <c r="AN34" t="s">
        <v>978</v>
      </c>
      <c r="AO34" t="s">
        <v>1586</v>
      </c>
      <c r="AP34" t="s">
        <v>80</v>
      </c>
      <c r="AQ34" t="s">
        <v>534</v>
      </c>
      <c r="AR34" t="s">
        <v>20</v>
      </c>
      <c r="AS34" t="s">
        <v>1587</v>
      </c>
      <c r="AT34" t="s">
        <v>1588</v>
      </c>
      <c r="AU34" t="s">
        <v>1589</v>
      </c>
      <c r="AV34" t="s">
        <v>1590</v>
      </c>
      <c r="AW34" t="s">
        <v>1591</v>
      </c>
      <c r="AX34" t="s">
        <v>1592</v>
      </c>
      <c r="AY34" t="s">
        <v>848</v>
      </c>
      <c r="AZ34" t="s">
        <v>1593</v>
      </c>
      <c r="BA34" t="s">
        <v>1594</v>
      </c>
      <c r="BB34" t="s">
        <v>615</v>
      </c>
      <c r="BC34" t="s">
        <v>1595</v>
      </c>
      <c r="BD34" t="s">
        <v>936</v>
      </c>
      <c r="BE34" t="s">
        <v>1596</v>
      </c>
      <c r="BF34" t="s">
        <v>1597</v>
      </c>
      <c r="BG34" t="s">
        <v>1598</v>
      </c>
      <c r="BH34" t="s">
        <v>1599</v>
      </c>
      <c r="BI34" t="s">
        <v>1600</v>
      </c>
      <c r="BJ34" t="s">
        <v>1592</v>
      </c>
      <c r="BK34" t="s">
        <v>1601</v>
      </c>
      <c r="BL34" t="s">
        <v>1602</v>
      </c>
      <c r="BM34" t="s">
        <v>1595</v>
      </c>
      <c r="BN34">
        <v>1.36</v>
      </c>
      <c r="BO34">
        <v>2.75</v>
      </c>
      <c r="BP34">
        <v>4.3499999999999996</v>
      </c>
      <c r="BQ34">
        <v>0.76</v>
      </c>
      <c r="BR34">
        <v>3.07</v>
      </c>
      <c r="BS34">
        <v>4.97</v>
      </c>
      <c r="BT34" t="s">
        <v>361</v>
      </c>
      <c r="BU34" t="s">
        <v>798</v>
      </c>
      <c r="BV34">
        <v>29.24</v>
      </c>
      <c r="BW34">
        <v>34.15</v>
      </c>
      <c r="BX34">
        <v>38.21</v>
      </c>
      <c r="BY34">
        <v>1.97</v>
      </c>
      <c r="BZ34">
        <v>3.54</v>
      </c>
      <c r="CA34">
        <v>4.33</v>
      </c>
      <c r="CB34">
        <v>-0.64</v>
      </c>
      <c r="CC34" s="7">
        <v>-16.45</v>
      </c>
      <c r="CD34" s="8" t="s">
        <v>1603</v>
      </c>
      <c r="CE34" s="7" t="s">
        <v>500</v>
      </c>
      <c r="CF34" s="7">
        <v>-0.54017424975798645</v>
      </c>
      <c r="CG34" s="7">
        <v>0.44563165319545911</v>
      </c>
      <c r="CH34" s="7">
        <v>-0.80331259965896606</v>
      </c>
      <c r="CI34" s="7">
        <v>7.8606516122817993E-2</v>
      </c>
      <c r="CJ34" s="8">
        <v>0.5728837251663208</v>
      </c>
      <c r="CK34" s="8">
        <v>0.63245415687561035</v>
      </c>
      <c r="CL34" s="8">
        <v>0.4225122332572937</v>
      </c>
      <c r="CM34" s="8">
        <v>-0.70074272155761719</v>
      </c>
      <c r="CN34" s="8">
        <v>-0.10389610379934311</v>
      </c>
      <c r="CO34">
        <v>1.5988051891326904</v>
      </c>
      <c r="CP34">
        <v>2.0815553665161133</v>
      </c>
      <c r="CQ34">
        <v>0.80721950531005859</v>
      </c>
      <c r="CR34" s="7">
        <v>90.112985943100099</v>
      </c>
      <c r="CS34" s="8">
        <v>4.9888491078873445</v>
      </c>
      <c r="CT34">
        <v>0</v>
      </c>
      <c r="CU34">
        <v>0.18062880635261536</v>
      </c>
      <c r="CV34">
        <v>0.7365882471203804</v>
      </c>
      <c r="CW34">
        <v>0.06</v>
      </c>
      <c r="CX34">
        <v>98.491777515226204</v>
      </c>
      <c r="CY34">
        <v>45997186.915421821</v>
      </c>
      <c r="CZ34">
        <v>0.18062880635261536</v>
      </c>
      <c r="DA34">
        <v>29.832652974909795</v>
      </c>
      <c r="DB34">
        <v>151858592.79126677</v>
      </c>
      <c r="DC34">
        <v>0.17159736603498457</v>
      </c>
      <c r="DD34">
        <v>13.22401937705172</v>
      </c>
      <c r="DE34">
        <v>342584547.92207325</v>
      </c>
      <c r="DF34">
        <v>0.15895334959030152</v>
      </c>
      <c r="DG34">
        <v>7.0227753795112982</v>
      </c>
      <c r="DH34">
        <v>645093208.19474339</v>
      </c>
      <c r="DI34">
        <v>0.1445030450820923</v>
      </c>
      <c r="DJ34">
        <v>2.7264104700519893</v>
      </c>
      <c r="DK34">
        <v>1661651739.4439187</v>
      </c>
      <c r="DL34">
        <v>0.12644016444683073</v>
      </c>
      <c r="DM34">
        <v>41297500</v>
      </c>
      <c r="DN34">
        <v>0.18062880635261536</v>
      </c>
      <c r="DO34">
        <v>4530344700</v>
      </c>
      <c r="DP34">
        <v>1852333800</v>
      </c>
      <c r="DQ34" s="9">
        <v>3545</v>
      </c>
      <c r="DR34">
        <v>-0.7208030561106018</v>
      </c>
      <c r="DS34">
        <v>-0.29095659392492129</v>
      </c>
      <c r="DT34">
        <v>-0.3066666666666667</v>
      </c>
      <c r="DU34">
        <v>0.79666666666666675</v>
      </c>
      <c r="DV34">
        <v>0.49000000000000005</v>
      </c>
      <c r="DW34">
        <v>-3.0050892857142859</v>
      </c>
      <c r="DX34">
        <v>0.39047043478261045</v>
      </c>
      <c r="DY34">
        <v>-3.0007148941770185</v>
      </c>
      <c r="DZ34">
        <v>4941</v>
      </c>
      <c r="EA34">
        <v>-3.0000236432712164</v>
      </c>
      <c r="EB34" s="10">
        <v>3</v>
      </c>
      <c r="EC34" s="10">
        <v>3.1547670834882247E-2</v>
      </c>
      <c r="ED34">
        <v>0.22458584173748197</v>
      </c>
      <c r="EE34">
        <v>-5.0153100000000004</v>
      </c>
      <c r="EF34">
        <v>-5.0273099999999999</v>
      </c>
      <c r="EG34">
        <v>25.14047043478261</v>
      </c>
      <c r="EH34" s="12" t="s">
        <v>1277</v>
      </c>
      <c r="EI34">
        <v>0</v>
      </c>
      <c r="EJ34">
        <v>0</v>
      </c>
      <c r="EK34">
        <v>45470</v>
      </c>
      <c r="EL34">
        <v>-10.1</v>
      </c>
      <c r="EM34">
        <v>-3.37</v>
      </c>
      <c r="EN34">
        <v>-1.1599999999999999</v>
      </c>
      <c r="EO34">
        <v>-2.35</v>
      </c>
      <c r="EP34">
        <v>-1.2</v>
      </c>
    </row>
    <row r="35" spans="1:146" ht="144" x14ac:dyDescent="0.25">
      <c r="A35" s="16" t="s">
        <v>1957</v>
      </c>
      <c r="B35" s="16" t="s">
        <v>1958</v>
      </c>
      <c r="C35" s="16" t="str">
        <f>"公司主要从事各类乳制品及健康饮品的加工、制造与销售。公司的主要产品有液体乳、冷饮系列、奶粉及奶制品、混合饲料等。"&amp;CHAR(10)&amp;Basic_Fundamental_Information_Constructure(F35)&amp;CHAR(10)&amp;Basic_Fundamental_Information_Concatenate("液体乳 849.26亿 69.22% 62.47% 29.11%
奶粉及奶制品 262.60亿 21.40% 154.27.25% 41.06%
冷饮产品 95.67亿 7.80% 9.30% 38.48%")</f>
        <v>公司主要从事各类乳制品及健康饮品的加工、制造与销售。公司的主要产品有液体乳、冷饮系列、奶粉及奶制品、混合饲料等。
市值1620.1721亿, 利润59.23亿; PE12.72; 平均PE21.84; 平均PEG4.07, PB2.74; ROIC11.66%; ROE20.95%; 股利率4.7151%; 毛利31.82%; 净利7.9%; 上一年度营收增-73.54%, 利润增-37.2%; 当季营收增-50.8%, 利润增-6.06%; 过往5年营收增-5.37%, 利润增.78%
Income profile:
液体乳 849.26亿 69.22% 62.47% 29.11%
奶粉及奶制品 262.60亿 21.40% 154.27.25% 41.06%
冷饮产品 95.67亿 7.80% 9.30% 38.48%</v>
      </c>
      <c r="D35" t="s">
        <v>1604</v>
      </c>
      <c r="E35" t="s">
        <v>1605</v>
      </c>
      <c r="F35">
        <v>25.45</v>
      </c>
      <c r="G35">
        <v>-0.62</v>
      </c>
      <c r="H35" t="s">
        <v>1606</v>
      </c>
      <c r="I35">
        <v>162017210000</v>
      </c>
      <c r="J35">
        <v>12.72</v>
      </c>
      <c r="K35">
        <v>2.74</v>
      </c>
      <c r="L35" t="s">
        <v>36</v>
      </c>
      <c r="M35" t="s">
        <v>1607</v>
      </c>
      <c r="N35" t="s">
        <v>1608</v>
      </c>
      <c r="O35" t="s">
        <v>1609</v>
      </c>
      <c r="P35" s="4">
        <v>-2.6</v>
      </c>
      <c r="Q35" t="s">
        <v>1609</v>
      </c>
      <c r="R35">
        <v>5922814500</v>
      </c>
      <c r="S35">
        <v>0.63839999999999997</v>
      </c>
      <c r="T35" t="s">
        <v>510</v>
      </c>
      <c r="U35">
        <v>6305094200</v>
      </c>
      <c r="V35">
        <v>6366098700</v>
      </c>
      <c r="W35">
        <v>2.56</v>
      </c>
      <c r="X35">
        <v>0.21</v>
      </c>
      <c r="Y35">
        <v>18.28</v>
      </c>
      <c r="Z35" t="s">
        <v>1610</v>
      </c>
      <c r="AA35" t="s">
        <v>1611</v>
      </c>
      <c r="AB35" t="s">
        <v>1612</v>
      </c>
      <c r="AC35" t="s">
        <v>1613</v>
      </c>
      <c r="AD35" t="s">
        <v>20</v>
      </c>
      <c r="AE35">
        <v>-262395300</v>
      </c>
      <c r="AF35" t="s">
        <v>1614</v>
      </c>
      <c r="AG35" t="s">
        <v>1615</v>
      </c>
      <c r="AH35" t="s">
        <v>1616</v>
      </c>
      <c r="AI35" t="s">
        <v>1617</v>
      </c>
      <c r="AJ35" t="s">
        <v>1618</v>
      </c>
      <c r="AK35" t="s">
        <v>1619</v>
      </c>
      <c r="AL35" t="s">
        <v>1620</v>
      </c>
      <c r="AM35" t="s">
        <v>20</v>
      </c>
      <c r="AN35" t="s">
        <v>1621</v>
      </c>
      <c r="AO35" t="s">
        <v>1622</v>
      </c>
      <c r="AP35" t="s">
        <v>1413</v>
      </c>
      <c r="AQ35" t="s">
        <v>1623</v>
      </c>
      <c r="AR35" t="s">
        <v>20</v>
      </c>
      <c r="AS35" t="s">
        <v>1624</v>
      </c>
      <c r="AT35" t="s">
        <v>1625</v>
      </c>
      <c r="AU35" t="s">
        <v>1626</v>
      </c>
      <c r="AV35" t="s">
        <v>1627</v>
      </c>
      <c r="AW35" t="s">
        <v>1628</v>
      </c>
      <c r="AX35" t="s">
        <v>1629</v>
      </c>
      <c r="AY35" t="s">
        <v>1630</v>
      </c>
      <c r="AZ35" t="s">
        <v>1631</v>
      </c>
      <c r="BA35" t="s">
        <v>1632</v>
      </c>
      <c r="BB35" t="s">
        <v>1633</v>
      </c>
      <c r="BC35" t="s">
        <v>1634</v>
      </c>
      <c r="BD35" t="s">
        <v>1635</v>
      </c>
      <c r="BE35" t="s">
        <v>1636</v>
      </c>
      <c r="BF35" t="s">
        <v>1637</v>
      </c>
      <c r="BG35" t="s">
        <v>1638</v>
      </c>
      <c r="BH35" t="s">
        <v>1639</v>
      </c>
      <c r="BI35" t="s">
        <v>1640</v>
      </c>
      <c r="BJ35" t="s">
        <v>1629</v>
      </c>
      <c r="BK35" t="s">
        <v>1641</v>
      </c>
      <c r="BL35" t="s">
        <v>1642</v>
      </c>
      <c r="BM35" t="s">
        <v>1634</v>
      </c>
      <c r="BN35">
        <v>8.76</v>
      </c>
      <c r="BO35">
        <v>10.87</v>
      </c>
      <c r="BP35">
        <v>15.35</v>
      </c>
      <c r="BQ35">
        <v>18.03</v>
      </c>
      <c r="BR35">
        <v>19.23</v>
      </c>
      <c r="BS35">
        <v>25.59</v>
      </c>
      <c r="BT35" t="s">
        <v>1643</v>
      </c>
      <c r="BU35" t="s">
        <v>798</v>
      </c>
      <c r="BV35">
        <v>32.58</v>
      </c>
      <c r="BW35">
        <v>32.26</v>
      </c>
      <c r="BX35">
        <v>30.62</v>
      </c>
      <c r="BY35">
        <v>8.18</v>
      </c>
      <c r="BZ35">
        <v>7.59</v>
      </c>
      <c r="CA35">
        <v>7.93</v>
      </c>
      <c r="CB35">
        <v>-1.51</v>
      </c>
      <c r="CC35" s="7">
        <v>-9.4</v>
      </c>
      <c r="CD35" s="8" t="s">
        <v>81</v>
      </c>
      <c r="CE35" s="7" t="s">
        <v>1644</v>
      </c>
      <c r="CF35" s="7">
        <v>-0.50800218241338557</v>
      </c>
      <c r="CG35" s="7">
        <v>-6.0616256938937352E-2</v>
      </c>
      <c r="CH35" s="7">
        <v>-0.7354235053062439</v>
      </c>
      <c r="CI35" s="7">
        <v>0.11397808790206909</v>
      </c>
      <c r="CJ35" s="8">
        <v>0.14110474288463593</v>
      </c>
      <c r="CK35" s="8">
        <v>7.2381637990474701E-2</v>
      </c>
      <c r="CL35" s="8">
        <v>0.13970069587230682</v>
      </c>
      <c r="CM35" s="8">
        <v>-0.37196481227874756</v>
      </c>
      <c r="CN35" s="8">
        <v>8.3400294184684753E-2</v>
      </c>
      <c r="CO35">
        <v>0.22986723482608795</v>
      </c>
      <c r="CP35">
        <v>2.0767234265804291E-2</v>
      </c>
      <c r="CQ35">
        <v>7.6708093285560608E-2</v>
      </c>
      <c r="CR35" s="7">
        <v>21.839618521264406</v>
      </c>
      <c r="CS35" s="8">
        <v>4.0706317775238707</v>
      </c>
      <c r="CT35">
        <v>4.7151277013752457</v>
      </c>
      <c r="CU35">
        <v>-5.3651668131351471E-2</v>
      </c>
      <c r="CV35">
        <v>7.7556088566780087E-3</v>
      </c>
      <c r="CW35">
        <v>0.06</v>
      </c>
      <c r="CX35">
        <v>32.655953064325509</v>
      </c>
      <c r="CY35" t="s">
        <v>1645</v>
      </c>
      <c r="CZ35">
        <v>-5.3651668131351471E-2</v>
      </c>
      <c r="DA35">
        <v>10.885317688108504</v>
      </c>
      <c r="DB35" t="s">
        <v>1646</v>
      </c>
      <c r="DC35">
        <v>-5.0969084724783897E-2</v>
      </c>
      <c r="DD35">
        <v>5.442658844054252</v>
      </c>
      <c r="DE35" t="s">
        <v>1647</v>
      </c>
      <c r="DF35">
        <v>-4.7213467955589297E-2</v>
      </c>
      <c r="DG35">
        <v>3.2655953064325511</v>
      </c>
      <c r="DH35" t="s">
        <v>1648</v>
      </c>
      <c r="DI35">
        <v>-4.2921334505081177E-2</v>
      </c>
      <c r="DJ35">
        <v>1.6327976532162756</v>
      </c>
      <c r="DK35" t="s">
        <v>1649</v>
      </c>
      <c r="DL35">
        <v>-3.755616769194603E-2</v>
      </c>
      <c r="DM35">
        <v>5923000000</v>
      </c>
      <c r="DN35">
        <v>-5.3651668131351471E-2</v>
      </c>
      <c r="DO35">
        <v>193421210000</v>
      </c>
      <c r="DP35">
        <v>-1509864000</v>
      </c>
      <c r="DQ35" s="9">
        <v>3550</v>
      </c>
      <c r="DR35">
        <v>-0.4543505142820341</v>
      </c>
      <c r="DS35">
        <v>-6.8371865795615355E-2</v>
      </c>
      <c r="DT35">
        <v>-0.77333333333333332</v>
      </c>
      <c r="DU35">
        <v>-3.3333333333333326E-2</v>
      </c>
      <c r="DV35">
        <v>-0.80666666666666664</v>
      </c>
      <c r="DW35">
        <v>-2.0939999999999999</v>
      </c>
      <c r="DX35">
        <v>0.45879598662207116</v>
      </c>
      <c r="DY35">
        <v>-2.0130468227424747</v>
      </c>
      <c r="DZ35">
        <v>639</v>
      </c>
      <c r="EA35">
        <v>-2.0114153316010968</v>
      </c>
      <c r="EB35" s="10">
        <v>2</v>
      </c>
      <c r="EC35" s="10">
        <v>2.6075624620774417E-2</v>
      </c>
      <c r="ED35">
        <v>0.18787016293039879</v>
      </c>
      <c r="EE35">
        <v>1.0108999999999999</v>
      </c>
      <c r="EF35">
        <v>1.0187999999999999</v>
      </c>
      <c r="EG35">
        <v>32.138795986622071</v>
      </c>
      <c r="EH35" s="12" t="s">
        <v>629</v>
      </c>
      <c r="EI35">
        <v>0</v>
      </c>
      <c r="EJ35">
        <v>1</v>
      </c>
      <c r="EK35">
        <v>45470</v>
      </c>
      <c r="EL35">
        <v>0.34</v>
      </c>
      <c r="EM35">
        <v>1.8</v>
      </c>
      <c r="EN35">
        <v>-1.21</v>
      </c>
      <c r="EO35">
        <v>-1.06</v>
      </c>
      <c r="EP35">
        <v>0.79</v>
      </c>
    </row>
    <row r="36" spans="1:146" ht="96" hidden="1" x14ac:dyDescent="0.25">
      <c r="A36" s="5"/>
      <c r="B36" s="5"/>
      <c r="C36" s="5" t="str">
        <f>""&amp;CHAR(10)&amp;Basic_Fundamental_Information_Constructure(F36)&amp;CHAR(10)&amp;Basic_Fundamental_Information_Concatenate("")</f>
        <v xml:space="preserve">
市值30.993222亿, 利润850.64万; PE51.36; 平均PE-665.58; 平均PEG-361.61, PB3.6; ROIC4.95%; ROE4.8467%; 股利率0%; 毛利20.2033%; 净利3.2433%; 上一年度营收增-79.04%, 利润增-90.76%; 当季营收增-48.14%, 利润增-63.7%; 过往5年营收增-1.84%, 利润增-569.39%
Income profile:
</v>
      </c>
      <c r="D36" t="s">
        <v>108</v>
      </c>
      <c r="E36" t="s">
        <v>5</v>
      </c>
      <c r="F36">
        <v>11.82</v>
      </c>
      <c r="G36">
        <v>0.6</v>
      </c>
      <c r="H36" t="s">
        <v>1650</v>
      </c>
      <c r="I36">
        <v>3099322200</v>
      </c>
      <c r="J36">
        <v>51.36</v>
      </c>
      <c r="K36">
        <v>3.6</v>
      </c>
      <c r="L36" t="s">
        <v>36</v>
      </c>
      <c r="M36" t="s">
        <v>1651</v>
      </c>
      <c r="N36" t="s">
        <v>953</v>
      </c>
      <c r="O36" t="s">
        <v>144</v>
      </c>
      <c r="P36">
        <v>11.72</v>
      </c>
      <c r="Q36" t="s">
        <v>144</v>
      </c>
      <c r="R36">
        <v>8506383</v>
      </c>
      <c r="S36" s="4">
        <v>0.33360000000000001</v>
      </c>
      <c r="T36" t="s">
        <v>1652</v>
      </c>
      <c r="U36">
        <v>262210000</v>
      </c>
      <c r="V36">
        <v>262210000</v>
      </c>
      <c r="W36">
        <v>2.2400000000000002</v>
      </c>
      <c r="X36">
        <v>0.16</v>
      </c>
      <c r="Y36">
        <v>3.17</v>
      </c>
      <c r="Z36" t="s">
        <v>1653</v>
      </c>
      <c r="AA36" t="s">
        <v>265</v>
      </c>
      <c r="AB36" t="s">
        <v>1654</v>
      </c>
      <c r="AC36" t="s">
        <v>1655</v>
      </c>
      <c r="AD36" t="s">
        <v>20</v>
      </c>
      <c r="AE36">
        <v>7173710</v>
      </c>
      <c r="AF36" t="s">
        <v>1656</v>
      </c>
      <c r="AG36" t="s">
        <v>1657</v>
      </c>
      <c r="AH36" t="s">
        <v>1658</v>
      </c>
      <c r="AI36" t="s">
        <v>363</v>
      </c>
      <c r="AJ36" t="s">
        <v>1659</v>
      </c>
      <c r="AK36" t="s">
        <v>20</v>
      </c>
      <c r="AL36" t="s">
        <v>1660</v>
      </c>
      <c r="AM36" t="s">
        <v>20</v>
      </c>
      <c r="AN36" t="s">
        <v>1661</v>
      </c>
      <c r="AO36" t="s">
        <v>546</v>
      </c>
      <c r="AP36" t="s">
        <v>20</v>
      </c>
      <c r="AQ36" t="s">
        <v>1662</v>
      </c>
      <c r="AR36" t="s">
        <v>1663</v>
      </c>
      <c r="AS36" t="s">
        <v>533</v>
      </c>
      <c r="AT36" t="s">
        <v>1664</v>
      </c>
      <c r="AU36" t="s">
        <v>117</v>
      </c>
      <c r="AV36" t="s">
        <v>1665</v>
      </c>
      <c r="AW36" t="s">
        <v>1666</v>
      </c>
      <c r="AX36" t="s">
        <v>318</v>
      </c>
      <c r="AY36" t="s">
        <v>313</v>
      </c>
      <c r="AZ36" t="s">
        <v>222</v>
      </c>
      <c r="BA36" t="s">
        <v>109</v>
      </c>
      <c r="BB36" t="s">
        <v>224</v>
      </c>
      <c r="BC36" t="s">
        <v>508</v>
      </c>
      <c r="BD36" t="s">
        <v>314</v>
      </c>
      <c r="BE36" t="s">
        <v>166</v>
      </c>
      <c r="BF36" t="s">
        <v>110</v>
      </c>
      <c r="BG36" t="s">
        <v>226</v>
      </c>
      <c r="BH36" t="s">
        <v>1667</v>
      </c>
      <c r="BI36" t="s">
        <v>595</v>
      </c>
      <c r="BJ36" t="s">
        <v>318</v>
      </c>
      <c r="BK36" t="s">
        <v>1668</v>
      </c>
      <c r="BL36" t="s">
        <v>596</v>
      </c>
      <c r="BM36" t="s">
        <v>508</v>
      </c>
      <c r="BN36">
        <v>3.32</v>
      </c>
      <c r="BO36">
        <v>6.58</v>
      </c>
      <c r="BP36" t="s">
        <v>20</v>
      </c>
      <c r="BQ36">
        <v>4.7</v>
      </c>
      <c r="BR36">
        <v>12.64</v>
      </c>
      <c r="BS36">
        <v>-2.8</v>
      </c>
      <c r="BT36" t="s">
        <v>361</v>
      </c>
      <c r="BU36" t="s">
        <v>347</v>
      </c>
      <c r="BV36">
        <v>22.73</v>
      </c>
      <c r="BW36">
        <v>22.06</v>
      </c>
      <c r="BX36">
        <v>15.82</v>
      </c>
      <c r="BY36">
        <v>4.5199999999999996</v>
      </c>
      <c r="BZ36">
        <v>5.79</v>
      </c>
      <c r="CA36">
        <v>-0.57999999999999996</v>
      </c>
      <c r="CB36">
        <v>-1.17</v>
      </c>
      <c r="CC36">
        <v>6.29</v>
      </c>
      <c r="CD36" t="s">
        <v>1669</v>
      </c>
      <c r="CE36" t="s">
        <v>581</v>
      </c>
      <c r="CF36" s="7">
        <v>-0.48137535816618909</v>
      </c>
      <c r="CG36" s="8">
        <v>-0.63701607878948219</v>
      </c>
      <c r="CH36" s="7">
        <v>-0.79038798809051514</v>
      </c>
      <c r="CI36" s="7">
        <v>0.19103452563285828</v>
      </c>
      <c r="CJ36" s="7">
        <v>0.26306620240211487</v>
      </c>
      <c r="CK36" s="7">
        <v>-0.13684210181236267</v>
      </c>
      <c r="CL36" s="7">
        <v>0.38110071420669556</v>
      </c>
      <c r="CM36" s="8">
        <v>-0.90764462947845459</v>
      </c>
      <c r="CN36" s="8">
        <v>5.7300820350646973</v>
      </c>
      <c r="CO36" s="8">
        <v>0.83498138189315796</v>
      </c>
      <c r="CP36" s="8">
        <v>-33.802379608154297</v>
      </c>
      <c r="CQ36" s="8">
        <v>-0.3242984414100647</v>
      </c>
      <c r="CR36">
        <v>-665.57621440536013</v>
      </c>
      <c r="CS36">
        <v>-361.6136014817842</v>
      </c>
      <c r="CT36">
        <v>0</v>
      </c>
      <c r="CU36" s="7">
        <v>-1.8405729532241823E-2</v>
      </c>
      <c r="CV36" s="8">
        <v>-5.6938518524169925</v>
      </c>
      <c r="CW36">
        <v>0.06</v>
      </c>
      <c r="CX36">
        <v>417.01803348067335</v>
      </c>
      <c r="CY36" t="s">
        <v>1670</v>
      </c>
      <c r="CZ36">
        <v>-1.8405729532241823E-2</v>
      </c>
      <c r="DA36">
        <v>139.00601116022446</v>
      </c>
      <c r="DB36" t="s">
        <v>1671</v>
      </c>
      <c r="DC36">
        <v>-1.748544305562973E-2</v>
      </c>
      <c r="DD36">
        <v>69.50300558011223</v>
      </c>
      <c r="DE36" t="s">
        <v>1672</v>
      </c>
      <c r="DF36">
        <v>-1.6197041988372803E-2</v>
      </c>
      <c r="DG36">
        <v>41.701803348067337</v>
      </c>
      <c r="DH36" t="s">
        <v>1673</v>
      </c>
      <c r="DI36">
        <v>-1.4724583625793458E-2</v>
      </c>
      <c r="DJ36">
        <v>20.850901674033668</v>
      </c>
      <c r="DK36" t="s">
        <v>1674</v>
      </c>
      <c r="DL36">
        <v>-1.2884010672569276E-2</v>
      </c>
      <c r="DM36">
        <v>8506400</v>
      </c>
      <c r="DN36">
        <v>-1.8405729532241823E-2</v>
      </c>
      <c r="DO36">
        <v>3547322200</v>
      </c>
      <c r="DP36">
        <v>246551100</v>
      </c>
      <c r="DQ36">
        <v>3587</v>
      </c>
      <c r="DR36">
        <v>-0.46296962863394725</v>
      </c>
      <c r="DS36">
        <v>5.05683577362751</v>
      </c>
      <c r="DT36" s="9">
        <v>-0.39000000000000007</v>
      </c>
      <c r="DU36">
        <v>-1.3566666666666667</v>
      </c>
      <c r="DV36">
        <v>-1.7466666666666668</v>
      </c>
      <c r="DW36">
        <v>2.0629</v>
      </c>
      <c r="DX36">
        <v>0.1705771241830073</v>
      </c>
      <c r="DY36">
        <v>2.0038103011111112</v>
      </c>
      <c r="DZ36">
        <v>363</v>
      </c>
      <c r="EA36">
        <v>2.0035396280576214</v>
      </c>
      <c r="EB36">
        <v>2</v>
      </c>
      <c r="EC36">
        <v>3.5346859387513828E-2</v>
      </c>
      <c r="ED36">
        <v>0.58350177338774267</v>
      </c>
      <c r="EE36" s="10">
        <v>5.0121099999999998</v>
      </c>
      <c r="EF36">
        <v>5.0498099999999999</v>
      </c>
      <c r="EG36">
        <v>11.060577124183007</v>
      </c>
      <c r="EH36" t="s">
        <v>1570</v>
      </c>
      <c r="EI36">
        <v>1</v>
      </c>
      <c r="EJ36">
        <v>1</v>
      </c>
      <c r="EK36" s="12">
        <v>45470</v>
      </c>
      <c r="EL36" s="13">
        <v>0.31</v>
      </c>
      <c r="EM36" s="13">
        <v>-2.99</v>
      </c>
      <c r="EN36">
        <v>0.85</v>
      </c>
      <c r="EO36">
        <v>0.84</v>
      </c>
      <c r="EP36">
        <v>-3.77</v>
      </c>
    </row>
    <row r="37" spans="1:146" ht="204" hidden="1" x14ac:dyDescent="0.25">
      <c r="A37" s="5" t="s">
        <v>1959</v>
      </c>
      <c r="B37" s="5" t="s">
        <v>1960</v>
      </c>
      <c r="C37" s="5" t="str">
        <f>"公司主营业务是从事粉末油脂、咖啡、植物基及其他产品的研发、生产和销售。主要产品有非氢化粉末油脂、耐酸粉末油脂、冷溶粉末油脂、低糖粉末油脂、发泡粉末油脂、特殊食品用脂肪粉、速溶咖啡粉、三合一咖啡饮料、冷萃咖啡液、烘焙咖啡豆、研磨咖啡粉以及咖啡浓缩液、椰浆系列、植物浓浆系列、燕麦浓浆、燕麦奶等。"&amp;CHAR(10)&amp;Basic_Fundamental_Information_Constructure(F37)&amp;CHAR(10)&amp;Basic_Fundamental_Information_Concatenate("粉末油脂 17.50亿 72.08% 78.86% 13.44%
其他产品 2.56亿 10.54% 6.87% 8.01%
咖啡 2.14亿 8.80% 7.70% 10.76%
其他业务 1.20亿 4.96% 4.86% 12.03%
植物基 8809.37万 3.63% 1.71% 5.80%")</f>
        <v>公司主营业务是从事粉末油脂、咖啡、植物基及其他产品的研发、生产和销售。主要产品有非氢化粉末油脂、耐酸粉末油脂、冷溶粉末油脂、低糖粉末油脂、发泡粉末油脂、特殊食品用脂肪粉、速溶咖啡粉、三合一咖啡饮料、冷萃咖啡液、烘焙咖啡豆、研磨咖啡粉以及咖啡浓缩液、椰浆系列、植物浓浆系列、燕麦浓浆、燕麦奶等。
市值47.658663亿, 利润9217.94万; PE26.56; 平均PE24.88; 平均PEG2.04, PB1.29; ROIC4.6967%; ROE4.95%; 股利率2.1127%; 毛利43.73%; 净利15.48%; 上一年度营收增-64.38%, 利润增-36.43%; 当季营收增-29.74%, 利润增17.41%; 过往5年营收增-12.22%, 利润增-3.41%
Income profile:
粉末油脂 17.50亿 72.08% 78.86% 13.44%
其他产品 2.56亿 10.54% 6.87% 8.01%
咖啡 2.14亿 8.80% 7.70% 10.76%
其他业务 1.20亿 4.96% 4.86% 12.03%
植物基 8809.37万 3.63% 1.71% 5.80%</v>
      </c>
      <c r="D37" t="s">
        <v>112</v>
      </c>
      <c r="E37" t="s">
        <v>11</v>
      </c>
      <c r="F37">
        <v>9.94</v>
      </c>
      <c r="G37">
        <v>-0.6</v>
      </c>
      <c r="H37" t="s">
        <v>1675</v>
      </c>
      <c r="I37">
        <v>4765866300</v>
      </c>
      <c r="J37">
        <v>26.56</v>
      </c>
      <c r="K37">
        <v>1.29</v>
      </c>
      <c r="L37" t="s">
        <v>36</v>
      </c>
      <c r="M37" t="s">
        <v>1157</v>
      </c>
      <c r="N37" t="s">
        <v>1676</v>
      </c>
      <c r="O37" t="s">
        <v>1677</v>
      </c>
      <c r="P37">
        <v>18.190000000000001</v>
      </c>
      <c r="Q37" t="s">
        <v>1677</v>
      </c>
      <c r="R37">
        <v>92179386</v>
      </c>
      <c r="S37" s="4">
        <v>0.16109999999999999</v>
      </c>
      <c r="T37" t="s">
        <v>1678</v>
      </c>
      <c r="U37">
        <v>479463410</v>
      </c>
      <c r="V37">
        <v>479463410</v>
      </c>
      <c r="W37">
        <v>1.18</v>
      </c>
      <c r="X37">
        <v>0.1</v>
      </c>
      <c r="Y37">
        <v>21.19</v>
      </c>
      <c r="Z37" t="s">
        <v>1679</v>
      </c>
      <c r="AA37" t="s">
        <v>485</v>
      </c>
      <c r="AB37" t="s">
        <v>1680</v>
      </c>
      <c r="AC37" t="s">
        <v>1681</v>
      </c>
      <c r="AD37" t="s">
        <v>20</v>
      </c>
      <c r="AE37">
        <v>-2345441</v>
      </c>
      <c r="AF37" t="s">
        <v>1682</v>
      </c>
      <c r="AG37" t="s">
        <v>1683</v>
      </c>
      <c r="AH37" t="s">
        <v>1684</v>
      </c>
      <c r="AI37" t="s">
        <v>1685</v>
      </c>
      <c r="AJ37" t="s">
        <v>1686</v>
      </c>
      <c r="AK37" t="s">
        <v>20</v>
      </c>
      <c r="AL37" t="s">
        <v>1687</v>
      </c>
      <c r="AM37" t="s">
        <v>20</v>
      </c>
      <c r="AN37" t="s">
        <v>1688</v>
      </c>
      <c r="AO37" t="s">
        <v>1689</v>
      </c>
      <c r="AP37" t="s">
        <v>130</v>
      </c>
      <c r="AQ37" t="s">
        <v>1589</v>
      </c>
      <c r="AR37" t="s">
        <v>20</v>
      </c>
      <c r="AS37" t="s">
        <v>1690</v>
      </c>
      <c r="AT37" t="s">
        <v>20</v>
      </c>
      <c r="AU37" t="s">
        <v>1691</v>
      </c>
      <c r="AV37" t="s">
        <v>1692</v>
      </c>
      <c r="AW37" t="s">
        <v>1693</v>
      </c>
      <c r="AX37" t="s">
        <v>509</v>
      </c>
      <c r="AY37" t="s">
        <v>315</v>
      </c>
      <c r="AZ37" t="s">
        <v>227</v>
      </c>
      <c r="BA37" t="s">
        <v>113</v>
      </c>
      <c r="BB37" t="s">
        <v>229</v>
      </c>
      <c r="BC37" t="s">
        <v>186</v>
      </c>
      <c r="BD37" t="s">
        <v>237</v>
      </c>
      <c r="BE37" t="s">
        <v>228</v>
      </c>
      <c r="BF37" t="s">
        <v>81</v>
      </c>
      <c r="BG37" t="s">
        <v>230</v>
      </c>
      <c r="BH37" t="s">
        <v>1694</v>
      </c>
      <c r="BI37" t="s">
        <v>599</v>
      </c>
      <c r="BJ37" t="s">
        <v>509</v>
      </c>
      <c r="BK37" t="s">
        <v>906</v>
      </c>
      <c r="BL37" t="s">
        <v>600</v>
      </c>
      <c r="BM37" t="s">
        <v>186</v>
      </c>
      <c r="BN37">
        <v>2.64</v>
      </c>
      <c r="BO37">
        <v>3.6</v>
      </c>
      <c r="BP37">
        <v>7.85</v>
      </c>
      <c r="BQ37">
        <v>2.78</v>
      </c>
      <c r="BR37">
        <v>3.96</v>
      </c>
      <c r="BS37">
        <v>8.11</v>
      </c>
      <c r="BT37" t="s">
        <v>1695</v>
      </c>
      <c r="BU37" t="s">
        <v>348</v>
      </c>
      <c r="BV37">
        <v>46.93</v>
      </c>
      <c r="BW37">
        <v>42.82</v>
      </c>
      <c r="BX37">
        <v>41.44</v>
      </c>
      <c r="BY37">
        <v>11.89</v>
      </c>
      <c r="BZ37">
        <v>11.5</v>
      </c>
      <c r="CA37">
        <v>23.05</v>
      </c>
      <c r="CB37">
        <v>-2.93</v>
      </c>
      <c r="CC37">
        <v>-11.01</v>
      </c>
      <c r="CD37" t="s">
        <v>1696</v>
      </c>
      <c r="CE37" t="s">
        <v>143</v>
      </c>
      <c r="CF37" s="7">
        <v>-0.297427652733119</v>
      </c>
      <c r="CG37" s="8">
        <v>0.17405479553249942</v>
      </c>
      <c r="CH37" s="7">
        <v>-0.64384680986404419</v>
      </c>
      <c r="CI37" s="7">
        <v>-1.8399948254227638E-2</v>
      </c>
      <c r="CJ37" s="7">
        <v>0.12815883755683899</v>
      </c>
      <c r="CK37" s="7">
        <v>-5.3800221532583237E-2</v>
      </c>
      <c r="CL37" s="7">
        <v>-2.3352792486548424E-2</v>
      </c>
      <c r="CM37" s="8">
        <v>-0.36427998542785645</v>
      </c>
      <c r="CN37" s="8">
        <v>-0.48943662643432617</v>
      </c>
      <c r="CO37" s="8">
        <v>-1.7301037907600403E-2</v>
      </c>
      <c r="CP37" s="8">
        <v>0.74096387624740601</v>
      </c>
      <c r="CQ37" s="8">
        <v>-4.0462426841259003E-2</v>
      </c>
      <c r="CR37">
        <v>24.88314513817425</v>
      </c>
      <c r="CS37">
        <v>2.0354612829758483</v>
      </c>
      <c r="CT37">
        <v>2.1126760563380285</v>
      </c>
      <c r="CU37" s="7">
        <v>-0.1222481869161129</v>
      </c>
      <c r="CV37" s="8">
        <v>-3.4103240072727206E-2</v>
      </c>
      <c r="CW37">
        <v>0.06</v>
      </c>
      <c r="CX37">
        <v>20.502046010279955</v>
      </c>
      <c r="CY37" t="s">
        <v>1697</v>
      </c>
      <c r="CZ37">
        <v>-0.1222481869161129</v>
      </c>
      <c r="DA37">
        <v>6.8340153367599843</v>
      </c>
      <c r="DB37" t="s">
        <v>1698</v>
      </c>
      <c r="DC37">
        <v>-0.11613577757030726</v>
      </c>
      <c r="DD37">
        <v>3.4170076683799921</v>
      </c>
      <c r="DE37" t="s">
        <v>1699</v>
      </c>
      <c r="DF37">
        <v>-0.10757840448617935</v>
      </c>
      <c r="DG37">
        <v>2.0502046010279953</v>
      </c>
      <c r="DH37" t="s">
        <v>1700</v>
      </c>
      <c r="DI37">
        <v>-9.7798549532890328E-2</v>
      </c>
      <c r="DJ37">
        <v>1.0251023005139976</v>
      </c>
      <c r="DK37" t="s">
        <v>1701</v>
      </c>
      <c r="DL37">
        <v>-8.5573730841279033E-2</v>
      </c>
      <c r="DM37">
        <v>92179400</v>
      </c>
      <c r="DN37">
        <v>-0.1222481869161129</v>
      </c>
      <c r="DO37">
        <v>1889866300</v>
      </c>
      <c r="DP37">
        <v>1427951300</v>
      </c>
      <c r="DQ37">
        <v>3739</v>
      </c>
      <c r="DR37">
        <v>-0.17517946581700611</v>
      </c>
      <c r="DS37">
        <v>0.20815803560522661</v>
      </c>
      <c r="DT37" s="9">
        <v>-0.77333333333333332</v>
      </c>
      <c r="DU37">
        <v>0.35666666666666669</v>
      </c>
      <c r="DV37">
        <v>-0.41666666666666663</v>
      </c>
      <c r="DW37">
        <v>-8.266121707538602</v>
      </c>
      <c r="DX37">
        <v>0.29914551083591256</v>
      </c>
      <c r="DY37">
        <v>-8.0450132921661428</v>
      </c>
      <c r="DZ37">
        <v>1885</v>
      </c>
      <c r="EA37">
        <v>-8.0284085845862645</v>
      </c>
      <c r="EB37">
        <v>8</v>
      </c>
      <c r="EC37">
        <v>0.11394821556873339</v>
      </c>
      <c r="ED37">
        <v>0.6736697592836125</v>
      </c>
      <c r="EE37" s="10">
        <v>2.1044100000000001</v>
      </c>
      <c r="EF37">
        <v>2.0968100000000001</v>
      </c>
      <c r="EG37">
        <v>13.169145510835913</v>
      </c>
      <c r="EH37" t="s">
        <v>517</v>
      </c>
      <c r="EI37">
        <v>0</v>
      </c>
      <c r="EJ37">
        <v>0</v>
      </c>
      <c r="EK37" s="12">
        <v>45470</v>
      </c>
      <c r="EL37" s="13">
        <v>0.38</v>
      </c>
      <c r="EM37" s="13">
        <v>-0.76</v>
      </c>
      <c r="EN37">
        <v>0.64</v>
      </c>
      <c r="EO37">
        <v>-0.25</v>
      </c>
      <c r="EP37">
        <v>0.76</v>
      </c>
    </row>
    <row r="38" spans="1:146" ht="156" hidden="1" x14ac:dyDescent="0.25">
      <c r="A38" s="5"/>
      <c r="B38" s="5"/>
      <c r="C38" s="5" t="str">
        <f>"公司的主营业务是以核桃仁为原料的植物蛋白饮料的研发、生产和销售。公司的主要产品为核桃露(乳)饮料,杏仁露(乳)饮料,花生露(乳)饮料,椰子汁(乳)饮料,豆奶(乳)饮料等品种。公司与其“养元.六个核桃”核桃乳是我国核桃乳产销量最大的企业和品牌"&amp;CHAR(10)&amp;Basic_Fundamental_Information_Constructure(F38)&amp;CHAR(10)&amp;Basic_Fundamental_Information_Concatenate("核桃乳 67.06亿 97.11% 97.99% 49.56%
功能性饮料 1.94亿 2.80% 1.86% 32.60%")</f>
        <v>公司的主营业务是以核桃仁为原料的植物蛋白饮料的研发、生产和销售。公司的主要产品为核桃露(乳)饮料,杏仁露(乳)饮料,花生露(乳)饮料,椰子汁(乳)饮料,豆奶(乳)饮料等品种。公司与其“养元.六个核桃”核桃乳是我国核桃乳产销量最大的企业和品牌
市值266.3864亿, 利润8.79亿; PE16.51; 平均PE13.81; 平均PEG1.01, PB2.24; ROIC12.9733%; ROE13.8667%; 股利率7.601%; 毛利46.6467%; 净利26.4267%; 上一年度营收增-60.9%, 利润增-40.37%; 当季营收增-22.85%, 利润增-3.62%; 过往5年营收增-13.64%, 利润增-16.64%
Income profile:
核桃乳 67.06亿 97.11% 97.99% 49.56%
功能性饮料 1.94亿 2.80% 1.86% 32.60%</v>
      </c>
      <c r="D38" t="s">
        <v>114</v>
      </c>
      <c r="E38" t="s">
        <v>18</v>
      </c>
      <c r="F38">
        <v>21.05</v>
      </c>
      <c r="G38">
        <v>1.3</v>
      </c>
      <c r="H38" t="s">
        <v>1702</v>
      </c>
      <c r="I38">
        <v>26638640000</v>
      </c>
      <c r="J38">
        <v>16.510000000000002</v>
      </c>
      <c r="K38">
        <v>2.2400000000000002</v>
      </c>
      <c r="L38" t="s">
        <v>36</v>
      </c>
      <c r="M38" t="s">
        <v>1703</v>
      </c>
      <c r="N38" t="s">
        <v>1704</v>
      </c>
      <c r="O38" t="s">
        <v>1705</v>
      </c>
      <c r="P38">
        <v>3.91</v>
      </c>
      <c r="Q38" t="s">
        <v>1705</v>
      </c>
      <c r="R38">
        <v>878948800</v>
      </c>
      <c r="S38" s="4">
        <v>0.1996</v>
      </c>
      <c r="T38" t="s">
        <v>624</v>
      </c>
      <c r="U38">
        <v>1265493600</v>
      </c>
      <c r="V38">
        <v>1265493600</v>
      </c>
      <c r="W38">
        <v>1.26</v>
      </c>
      <c r="X38">
        <v>0.15</v>
      </c>
      <c r="Y38">
        <v>37.950000000000003</v>
      </c>
      <c r="Z38" t="s">
        <v>1706</v>
      </c>
      <c r="AA38" t="s">
        <v>1707</v>
      </c>
      <c r="AB38" t="s">
        <v>1349</v>
      </c>
      <c r="AC38" t="s">
        <v>1708</v>
      </c>
      <c r="AD38" t="s">
        <v>20</v>
      </c>
      <c r="AE38">
        <v>-19378699</v>
      </c>
      <c r="AF38" t="s">
        <v>1709</v>
      </c>
      <c r="AG38" t="s">
        <v>1710</v>
      </c>
      <c r="AH38" t="s">
        <v>1711</v>
      </c>
      <c r="AI38" t="s">
        <v>1712</v>
      </c>
      <c r="AJ38" t="s">
        <v>1713</v>
      </c>
      <c r="AK38" t="s">
        <v>20</v>
      </c>
      <c r="AL38" t="s">
        <v>1714</v>
      </c>
      <c r="AM38" t="s">
        <v>20</v>
      </c>
      <c r="AN38" t="s">
        <v>1715</v>
      </c>
      <c r="AO38" t="s">
        <v>1716</v>
      </c>
      <c r="AP38" t="s">
        <v>1717</v>
      </c>
      <c r="AQ38" t="s">
        <v>1718</v>
      </c>
      <c r="AR38" t="s">
        <v>20</v>
      </c>
      <c r="AS38" t="s">
        <v>1719</v>
      </c>
      <c r="AT38" t="s">
        <v>20</v>
      </c>
      <c r="AU38" t="s">
        <v>1720</v>
      </c>
      <c r="AV38" t="s">
        <v>1721</v>
      </c>
      <c r="AW38" t="s">
        <v>1722</v>
      </c>
      <c r="AX38" t="s">
        <v>510</v>
      </c>
      <c r="AY38" t="s">
        <v>316</v>
      </c>
      <c r="AZ38" t="s">
        <v>221</v>
      </c>
      <c r="BA38" t="s">
        <v>115</v>
      </c>
      <c r="BB38" t="s">
        <v>233</v>
      </c>
      <c r="BC38" t="s">
        <v>511</v>
      </c>
      <c r="BD38" t="s">
        <v>317</v>
      </c>
      <c r="BE38" t="s">
        <v>231</v>
      </c>
      <c r="BF38" t="s">
        <v>116</v>
      </c>
      <c r="BG38" t="s">
        <v>234</v>
      </c>
      <c r="BH38" t="s">
        <v>1723</v>
      </c>
      <c r="BI38" t="s">
        <v>605</v>
      </c>
      <c r="BJ38" t="s">
        <v>510</v>
      </c>
      <c r="BK38" t="s">
        <v>1724</v>
      </c>
      <c r="BL38" t="s">
        <v>555</v>
      </c>
      <c r="BM38" t="s">
        <v>511</v>
      </c>
      <c r="BN38">
        <v>10.46</v>
      </c>
      <c r="BO38">
        <v>11.59</v>
      </c>
      <c r="BP38">
        <v>16.87</v>
      </c>
      <c r="BQ38">
        <v>11.53</v>
      </c>
      <c r="BR38">
        <v>12.51</v>
      </c>
      <c r="BS38">
        <v>17.559999999999999</v>
      </c>
      <c r="BT38" t="s">
        <v>1725</v>
      </c>
      <c r="BU38" t="s">
        <v>347</v>
      </c>
      <c r="BV38">
        <v>45.71</v>
      </c>
      <c r="BW38">
        <v>45.11</v>
      </c>
      <c r="BX38">
        <v>49.12</v>
      </c>
      <c r="BY38">
        <v>23.82</v>
      </c>
      <c r="BZ38">
        <v>24.89</v>
      </c>
      <c r="CA38">
        <v>30.57</v>
      </c>
      <c r="CB38">
        <v>-1.03</v>
      </c>
      <c r="CC38">
        <v>-11.48</v>
      </c>
      <c r="CD38" t="s">
        <v>1726</v>
      </c>
      <c r="CE38" t="s">
        <v>1727</v>
      </c>
      <c r="CF38" s="7">
        <v>-0.22851432378414391</v>
      </c>
      <c r="CG38" s="8">
        <v>-3.6240350877192858E-2</v>
      </c>
      <c r="CH38" s="7">
        <v>-0.6089819073677063</v>
      </c>
      <c r="CI38" s="7">
        <v>-0.14234000444412231</v>
      </c>
      <c r="CJ38" s="7">
        <v>0.55997294187545776</v>
      </c>
      <c r="CK38" s="7">
        <v>-0.4064888060092926</v>
      </c>
      <c r="CL38" s="7">
        <v>-8.4111027419567108E-2</v>
      </c>
      <c r="CM38" s="8">
        <v>-0.40366348624229431</v>
      </c>
      <c r="CN38" s="8">
        <v>-0.30175274610519409</v>
      </c>
      <c r="CO38" s="8">
        <v>0.33776935935020447</v>
      </c>
      <c r="CP38" s="8">
        <v>-0.41447126865386963</v>
      </c>
      <c r="CQ38" s="8">
        <v>-5.0052829086780548E-2</v>
      </c>
      <c r="CR38">
        <v>13.809559357179886</v>
      </c>
      <c r="CS38">
        <v>1.0125070451794542</v>
      </c>
      <c r="CT38">
        <v>7.6009501187648452</v>
      </c>
      <c r="CU38" s="7">
        <v>-0.13638976067304612</v>
      </c>
      <c r="CV38" s="8">
        <v>-0.16643419414758681</v>
      </c>
      <c r="CW38">
        <v>0.06</v>
      </c>
      <c r="CX38">
        <v>22.522912400455063</v>
      </c>
      <c r="CY38" t="s">
        <v>1728</v>
      </c>
      <c r="CZ38">
        <v>-0.13638976067304612</v>
      </c>
      <c r="DA38">
        <v>7.5076374668183545</v>
      </c>
      <c r="DB38" t="s">
        <v>1729</v>
      </c>
      <c r="DC38">
        <v>-0.1295702726393938</v>
      </c>
      <c r="DD38">
        <v>3.7538187334091773</v>
      </c>
      <c r="DE38" t="s">
        <v>1730</v>
      </c>
      <c r="DF38">
        <v>-0.12002298939228058</v>
      </c>
      <c r="DG38">
        <v>2.2522912400455062</v>
      </c>
      <c r="DH38" t="s">
        <v>1731</v>
      </c>
      <c r="DI38">
        <v>-0.1091118085384369</v>
      </c>
      <c r="DJ38">
        <v>1.1261456200227531</v>
      </c>
      <c r="DK38" t="s">
        <v>1732</v>
      </c>
      <c r="DL38">
        <v>-9.547283247113228E-2</v>
      </c>
      <c r="DM38">
        <v>878999999.99999988</v>
      </c>
      <c r="DN38">
        <v>-0.13638976067304612</v>
      </c>
      <c r="DO38">
        <v>19797640000</v>
      </c>
      <c r="DP38">
        <v>4880093100</v>
      </c>
      <c r="DQ38">
        <v>3967</v>
      </c>
      <c r="DR38">
        <v>-9.212456311109779E-2</v>
      </c>
      <c r="DS38">
        <v>0.13019384327039396</v>
      </c>
      <c r="DT38" s="9">
        <v>-0.75666666666666671</v>
      </c>
      <c r="DU38">
        <v>-0.51999999999999991</v>
      </c>
      <c r="DV38">
        <v>-1.2766666666666666</v>
      </c>
      <c r="DW38">
        <v>-2.1147999999999998</v>
      </c>
      <c r="DX38">
        <v>0.33722058773798624</v>
      </c>
      <c r="DY38">
        <v>-2.0214929234723207</v>
      </c>
      <c r="DZ38">
        <v>2947</v>
      </c>
      <c r="EA38">
        <v>-2.0090976895245851</v>
      </c>
      <c r="EB38">
        <v>2</v>
      </c>
      <c r="EC38">
        <v>1.3124444090432383E-2</v>
      </c>
      <c r="ED38">
        <v>7.0101500315766119E-2</v>
      </c>
      <c r="EE38" s="10">
        <v>3.0032999999999999</v>
      </c>
      <c r="EF38">
        <v>3.0020099999999998</v>
      </c>
      <c r="EG38">
        <v>15.187220587737986</v>
      </c>
      <c r="EH38" t="s">
        <v>1314</v>
      </c>
      <c r="EI38">
        <v>0</v>
      </c>
      <c r="EJ38">
        <v>0</v>
      </c>
      <c r="EK38" s="12">
        <v>45470</v>
      </c>
      <c r="EL38" s="13">
        <v>1.1399999999999999</v>
      </c>
      <c r="EM38" s="13">
        <v>-2.25</v>
      </c>
      <c r="EN38">
        <v>3.17</v>
      </c>
      <c r="EO38">
        <v>4.5599999999999996</v>
      </c>
      <c r="EP38">
        <v>-0.53</v>
      </c>
    </row>
    <row r="39" spans="1:146" ht="144" hidden="1" x14ac:dyDescent="0.25">
      <c r="A39" s="5" t="s">
        <v>380</v>
      </c>
      <c r="B39" s="5" t="s">
        <v>379</v>
      </c>
      <c r="C39" s="5" t="str">
        <f>"公司主营业务为奶茶产品的研发、生产和销售,主要产品为“香飘飘”品牌杯装奶茶、“MECO蜜谷”品牌果汁茶、“MECO牛乳茶”和“兰芳园”系列液体奶茶。目前公司产品按性态可分为固体冲泡奶茶、果汁茶类及液体奶茶。"&amp;CHAR(10)&amp;Basic_Fundamental_Information_Constructure(F39)&amp;CHAR(10)&amp;Basic_Fundamental_Information_Concatenate("冲泡类 4.53亿 52.76%
即饮类 3.88亿 45.14%")</f>
        <v>公司主营业务为奶茶产品的研发、生产和销售,主要产品为“香飘飘”品牌杯装奶茶、“MECO蜜谷”品牌果汁茶、“MECO牛乳茶”和“兰芳园”系列液体奶茶。目前公司产品按性态可分为固体冲泡奶茶、果汁茶类及液体奶茶。
市值54.218446亿, 利润2521.26万; PE18.09; 平均PE21.95; 平均PEG1.42, PB1.6; ROIC5.075%; ROE4.92%; 股利率2.6515%; 毛利34.9767%; 净利6.9933%; 上一年度营收增-76.82%, 利润增-88.22%; 当季营收增-38.09%, 利润增157.25%; 过往5年营收增-15.5%, 利润增-23.33%
Income profile:
冲泡类 4.53亿 52.76%
即饮类 3.88亿 45.14%</v>
      </c>
      <c r="D39" t="s">
        <v>119</v>
      </c>
      <c r="E39" t="s">
        <v>6</v>
      </c>
      <c r="F39">
        <v>13.2</v>
      </c>
      <c r="G39">
        <v>-0.6</v>
      </c>
      <c r="H39" t="s">
        <v>1733</v>
      </c>
      <c r="I39">
        <v>5421844600</v>
      </c>
      <c r="J39">
        <v>18.09</v>
      </c>
      <c r="K39">
        <v>1.6</v>
      </c>
      <c r="L39" t="s">
        <v>36</v>
      </c>
      <c r="M39" t="s">
        <v>1734</v>
      </c>
      <c r="N39" t="s">
        <v>1735</v>
      </c>
      <c r="O39" t="s">
        <v>1736</v>
      </c>
      <c r="P39">
        <v>6.76</v>
      </c>
      <c r="Q39" t="s">
        <v>1736</v>
      </c>
      <c r="R39">
        <v>25212645</v>
      </c>
      <c r="S39" s="4">
        <v>3.3130000000000002</v>
      </c>
      <c r="T39" t="s">
        <v>1737</v>
      </c>
      <c r="U39">
        <v>410745800</v>
      </c>
      <c r="V39">
        <v>410745800</v>
      </c>
      <c r="W39">
        <v>1.37</v>
      </c>
      <c r="X39">
        <v>0.15</v>
      </c>
      <c r="Y39">
        <v>3.49</v>
      </c>
      <c r="Z39" t="s">
        <v>572</v>
      </c>
      <c r="AA39" t="s">
        <v>617</v>
      </c>
      <c r="AB39" t="s">
        <v>526</v>
      </c>
      <c r="AC39" t="s">
        <v>1738</v>
      </c>
      <c r="AD39" t="s">
        <v>20</v>
      </c>
      <c r="AE39">
        <v>-19254838</v>
      </c>
      <c r="AF39" t="s">
        <v>1739</v>
      </c>
      <c r="AG39" t="s">
        <v>1740</v>
      </c>
      <c r="AH39" t="s">
        <v>1741</v>
      </c>
      <c r="AI39" t="s">
        <v>725</v>
      </c>
      <c r="AJ39" t="s">
        <v>1742</v>
      </c>
      <c r="AK39" t="s">
        <v>20</v>
      </c>
      <c r="AL39" t="s">
        <v>1743</v>
      </c>
      <c r="AM39" t="s">
        <v>20</v>
      </c>
      <c r="AN39" t="s">
        <v>1744</v>
      </c>
      <c r="AO39" t="s">
        <v>884</v>
      </c>
      <c r="AP39" t="s">
        <v>20</v>
      </c>
      <c r="AQ39" t="s">
        <v>1745</v>
      </c>
      <c r="AR39" t="s">
        <v>20</v>
      </c>
      <c r="AS39" t="s">
        <v>113</v>
      </c>
      <c r="AT39" t="s">
        <v>20</v>
      </c>
      <c r="AU39" t="s">
        <v>1746</v>
      </c>
      <c r="AV39" t="s">
        <v>118</v>
      </c>
      <c r="AW39" t="s">
        <v>1747</v>
      </c>
      <c r="AX39" t="s">
        <v>513</v>
      </c>
      <c r="AY39" t="s">
        <v>319</v>
      </c>
      <c r="AZ39" t="s">
        <v>238</v>
      </c>
      <c r="BA39" t="s">
        <v>120</v>
      </c>
      <c r="BB39" t="s">
        <v>239</v>
      </c>
      <c r="BC39" t="s">
        <v>223</v>
      </c>
      <c r="BD39" t="s">
        <v>148</v>
      </c>
      <c r="BE39" t="s">
        <v>205</v>
      </c>
      <c r="BF39" t="s">
        <v>121</v>
      </c>
      <c r="BG39" t="s">
        <v>66</v>
      </c>
      <c r="BH39" t="s">
        <v>1748</v>
      </c>
      <c r="BI39" t="s">
        <v>113</v>
      </c>
      <c r="BJ39" t="s">
        <v>513</v>
      </c>
      <c r="BK39" t="s">
        <v>518</v>
      </c>
      <c r="BL39" t="s">
        <v>612</v>
      </c>
      <c r="BM39" t="s">
        <v>223</v>
      </c>
      <c r="BN39" t="s">
        <v>20</v>
      </c>
      <c r="BO39">
        <v>4.4800000000000004</v>
      </c>
      <c r="BP39">
        <v>5.67</v>
      </c>
      <c r="BQ39">
        <v>0.11</v>
      </c>
      <c r="BR39">
        <v>7.01</v>
      </c>
      <c r="BS39">
        <v>7.64</v>
      </c>
      <c r="BT39" t="s">
        <v>1749</v>
      </c>
      <c r="BU39" t="s">
        <v>347</v>
      </c>
      <c r="BV39">
        <v>37.53</v>
      </c>
      <c r="BW39">
        <v>33.799999999999997</v>
      </c>
      <c r="BX39">
        <v>33.6</v>
      </c>
      <c r="BY39">
        <v>7.72</v>
      </c>
      <c r="BZ39">
        <v>6.84</v>
      </c>
      <c r="CA39">
        <v>6.42</v>
      </c>
      <c r="CB39">
        <v>-4.6900000000000004</v>
      </c>
      <c r="CC39">
        <v>-18.57</v>
      </c>
      <c r="CD39" t="s">
        <v>1750</v>
      </c>
      <c r="CE39" t="s">
        <v>1751</v>
      </c>
      <c r="CF39" s="7">
        <v>-0.38087105038428692</v>
      </c>
      <c r="CG39" s="8">
        <v>1.572460413327097</v>
      </c>
      <c r="CH39" s="7">
        <v>-0.76822251081466675</v>
      </c>
      <c r="CI39" s="7">
        <v>-9.7518719732761383E-2</v>
      </c>
      <c r="CJ39" s="7">
        <v>-7.8436605632305145E-2</v>
      </c>
      <c r="CK39" s="7">
        <v>-5.4550010710954666E-2</v>
      </c>
      <c r="CL39" s="7">
        <v>0.22362343966960907</v>
      </c>
      <c r="CM39" s="8">
        <v>-0.88218408823013306</v>
      </c>
      <c r="CN39" s="8">
        <v>-4.0358744561672211E-2</v>
      </c>
      <c r="CO39" s="8">
        <v>-0.37709498405456543</v>
      </c>
      <c r="CP39" s="8">
        <v>3.1700287014245987E-2</v>
      </c>
      <c r="CQ39" s="8">
        <v>0.10158730298280716</v>
      </c>
      <c r="CR39">
        <v>21.947639360237524</v>
      </c>
      <c r="CS39">
        <v>1.415785999651626</v>
      </c>
      <c r="CT39">
        <v>2.6515151515151518</v>
      </c>
      <c r="CU39" s="7">
        <v>-0.15502088144421577</v>
      </c>
      <c r="CV39" s="8">
        <v>-0.23327004536986351</v>
      </c>
      <c r="CW39">
        <v>0.06</v>
      </c>
      <c r="CX39">
        <v>155.6303038956712</v>
      </c>
      <c r="CY39" t="s">
        <v>1752</v>
      </c>
      <c r="CZ39">
        <v>-0.15502088144421577</v>
      </c>
      <c r="DA39">
        <v>51.876767965223735</v>
      </c>
      <c r="DB39" t="s">
        <v>1753</v>
      </c>
      <c r="DC39">
        <v>-0.14726983737200497</v>
      </c>
      <c r="DD39">
        <v>25.938383982611867</v>
      </c>
      <c r="DE39" t="s">
        <v>1754</v>
      </c>
      <c r="DF39">
        <v>-0.13641837567090989</v>
      </c>
      <c r="DG39">
        <v>15.563030389567121</v>
      </c>
      <c r="DH39" t="s">
        <v>1755</v>
      </c>
      <c r="DI39">
        <v>-0.12401670515537262</v>
      </c>
      <c r="DJ39">
        <v>7.7815151947835606</v>
      </c>
      <c r="DK39" t="s">
        <v>1756</v>
      </c>
      <c r="DL39">
        <v>-0.10851461701095104</v>
      </c>
      <c r="DM39">
        <v>25212600.000000004</v>
      </c>
      <c r="DN39">
        <v>-0.15502088144421577</v>
      </c>
      <c r="DO39">
        <v>3923844600</v>
      </c>
      <c r="DP39">
        <v>1545786000</v>
      </c>
      <c r="DQ39">
        <v>4272</v>
      </c>
      <c r="DR39">
        <v>-0.22585016894007115</v>
      </c>
      <c r="DS39">
        <v>1.8057304586969605</v>
      </c>
      <c r="DT39" s="9">
        <v>-0.67333333333333334</v>
      </c>
      <c r="DU39">
        <v>-0.68666666666666665</v>
      </c>
      <c r="DV39">
        <v>-1.3599999999999999</v>
      </c>
      <c r="DW39">
        <v>-8.2525578890683899</v>
      </c>
      <c r="DX39">
        <v>0.37996208218888139</v>
      </c>
      <c r="DY39">
        <v>-8.0429252646992921</v>
      </c>
      <c r="DZ39">
        <v>2059</v>
      </c>
      <c r="EA39">
        <v>-8.0256291551071506</v>
      </c>
      <c r="EB39">
        <v>8</v>
      </c>
      <c r="EC39">
        <v>2.5023019103299411E-2</v>
      </c>
      <c r="ED39">
        <v>0.14722706842041963</v>
      </c>
      <c r="EE39" s="10">
        <v>9.9709999999999993E-2</v>
      </c>
      <c r="EF39">
        <v>0.13201000000000002</v>
      </c>
      <c r="EG39">
        <v>21.169962082188881</v>
      </c>
      <c r="EH39">
        <v>-1</v>
      </c>
      <c r="EI39">
        <v>0</v>
      </c>
      <c r="EJ39">
        <v>0</v>
      </c>
      <c r="EK39" s="12">
        <v>45470</v>
      </c>
      <c r="EL39" s="13">
        <v>0.36</v>
      </c>
      <c r="EM39" s="13">
        <v>-5.69</v>
      </c>
      <c r="EN39">
        <v>-2.1</v>
      </c>
      <c r="EO39">
        <v>2.2000000000000002</v>
      </c>
      <c r="EP39">
        <v>-3.23</v>
      </c>
    </row>
    <row r="40" spans="1:146" ht="156" hidden="1" x14ac:dyDescent="0.25">
      <c r="A40" s="5" t="s">
        <v>381</v>
      </c>
      <c r="B40" s="5"/>
      <c r="C40" s="5" t="str">
        <f>"公司的主营业务是酿酒葡萄种植、葡萄酒生产及销售。公司主要产品有有机葡萄酒、传统葡萄酒、 葡萄蒸馏酒、白兰地等系列产品。威龙甘肃武威有机酒庄获“2019葡萄酒行业十大中国精品酒庄”；澳洲威龙单蔓有机葡萄酒·A30获“2019葡萄酒行业十大影响力品牌”。"&amp;CHAR(10)&amp;Basic_Fundamental_Information_Constructure(F40)&amp;CHAR(10)&amp;Basic_Fundamental_Information_Concatenate("酒类生产与销售分部 2.12亿 94.41% 100.86% 53.69%
农牧业生产分部 1253.64万 5.59% -0.86% -7.74%")</f>
        <v>公司的主营业务是酿酒葡萄种植、葡萄酒生产及销售。公司主要产品有有机葡萄酒、传统葡萄酒、 葡萄蒸馏酒、白兰地等系列产品。威龙甘肃武威有机酒庄获“2019葡萄酒行业十大中国精品酒庄”；澳洲威龙单蔓有机葡萄酒·A30获“2019葡萄酒行业十大影响力品牌”。
市值27.263994亿, 利润1846.71万; PE; 平均PE-28.3; 平均PEG-1.37, PB4.82; ROIC2.53%; ROE-7.9033%; 股利率0%; 毛利47.3567%; 净利-41.7567%; 上一年度营收增-72.75%, 利润增56.64%; 当季营收增-23.16%, 利润增241.38%; 过往5年营收增-20.63%, 利润增-165.87%
Income profile:
酒类生产与销售分部 2.12亿 94.41% 100.86% 53.69%
农牧业生产分部 1253.64万 5.59% -0.86% -7.74%</v>
      </c>
      <c r="D40" t="s">
        <v>122</v>
      </c>
      <c r="E40" t="s">
        <v>289</v>
      </c>
      <c r="F40">
        <v>8.2100000000000009</v>
      </c>
      <c r="G40">
        <v>0.86</v>
      </c>
      <c r="H40" t="s">
        <v>1757</v>
      </c>
      <c r="I40">
        <v>2726399400</v>
      </c>
      <c r="K40">
        <v>4.82</v>
      </c>
      <c r="L40" t="s">
        <v>36</v>
      </c>
      <c r="M40" t="s">
        <v>1758</v>
      </c>
      <c r="N40" t="s">
        <v>1236</v>
      </c>
      <c r="O40" t="s">
        <v>474</v>
      </c>
      <c r="P40">
        <v>114.89</v>
      </c>
      <c r="Q40" t="s">
        <v>474</v>
      </c>
      <c r="R40">
        <v>18467063</v>
      </c>
      <c r="S40" s="4">
        <v>2.0409999999999999</v>
      </c>
      <c r="T40" t="s">
        <v>1759</v>
      </c>
      <c r="U40">
        <v>332082750</v>
      </c>
      <c r="V40">
        <v>332082750</v>
      </c>
      <c r="W40">
        <v>2.0499999999999998</v>
      </c>
      <c r="X40">
        <v>0.12</v>
      </c>
      <c r="Y40">
        <v>13.56</v>
      </c>
      <c r="Z40" t="s">
        <v>149</v>
      </c>
      <c r="AA40" t="s">
        <v>1760</v>
      </c>
      <c r="AB40" t="s">
        <v>1761</v>
      </c>
      <c r="AC40" t="s">
        <v>1762</v>
      </c>
      <c r="AD40" t="s">
        <v>20</v>
      </c>
      <c r="AE40">
        <v>4431416</v>
      </c>
      <c r="AF40" t="s">
        <v>46</v>
      </c>
      <c r="AG40" t="s">
        <v>1763</v>
      </c>
      <c r="AH40" t="s">
        <v>1764</v>
      </c>
      <c r="AI40" t="s">
        <v>1765</v>
      </c>
      <c r="AJ40" t="s">
        <v>1766</v>
      </c>
      <c r="AK40" t="s">
        <v>1767</v>
      </c>
      <c r="AL40" t="s">
        <v>1768</v>
      </c>
      <c r="AM40" t="s">
        <v>20</v>
      </c>
      <c r="AN40" t="s">
        <v>1769</v>
      </c>
      <c r="AO40" t="s">
        <v>575</v>
      </c>
      <c r="AP40" t="s">
        <v>20</v>
      </c>
      <c r="AQ40" t="s">
        <v>1770</v>
      </c>
      <c r="AR40" t="s">
        <v>1771</v>
      </c>
      <c r="AS40" t="s">
        <v>320</v>
      </c>
      <c r="AT40" t="s">
        <v>1772</v>
      </c>
      <c r="AU40" t="s">
        <v>1773</v>
      </c>
      <c r="AV40" t="s">
        <v>1774</v>
      </c>
      <c r="AW40" t="s">
        <v>1775</v>
      </c>
      <c r="AX40" t="s">
        <v>376</v>
      </c>
      <c r="AY40" t="s">
        <v>320</v>
      </c>
      <c r="AZ40" t="s">
        <v>241</v>
      </c>
      <c r="BA40" t="s">
        <v>123</v>
      </c>
      <c r="BB40" t="s">
        <v>243</v>
      </c>
      <c r="BC40" t="s">
        <v>516</v>
      </c>
      <c r="BD40" t="s">
        <v>281</v>
      </c>
      <c r="BE40" t="s">
        <v>242</v>
      </c>
      <c r="BF40" t="s">
        <v>124</v>
      </c>
      <c r="BG40" t="s">
        <v>244</v>
      </c>
      <c r="BH40" t="s">
        <v>549</v>
      </c>
      <c r="BI40" t="s">
        <v>93</v>
      </c>
      <c r="BJ40" t="s">
        <v>376</v>
      </c>
      <c r="BK40" t="s">
        <v>1776</v>
      </c>
      <c r="BL40" t="s">
        <v>614</v>
      </c>
      <c r="BM40" t="s">
        <v>516</v>
      </c>
      <c r="BN40" t="s">
        <v>20</v>
      </c>
      <c r="BO40">
        <v>2.5299999999999998</v>
      </c>
      <c r="BP40" t="s">
        <v>20</v>
      </c>
      <c r="BQ40">
        <v>-0.4</v>
      </c>
      <c r="BR40">
        <v>1.69</v>
      </c>
      <c r="BS40">
        <v>-25</v>
      </c>
      <c r="BT40" t="s">
        <v>361</v>
      </c>
      <c r="BU40" t="s">
        <v>348</v>
      </c>
      <c r="BV40">
        <v>48.65</v>
      </c>
      <c r="BW40">
        <v>48.27</v>
      </c>
      <c r="BX40">
        <v>45.15</v>
      </c>
      <c r="BY40">
        <v>-40.299999999999997</v>
      </c>
      <c r="BZ40">
        <v>2.38</v>
      </c>
      <c r="CA40">
        <v>-87.35</v>
      </c>
      <c r="CB40">
        <v>-3.41</v>
      </c>
      <c r="CC40">
        <v>-9.08</v>
      </c>
      <c r="CD40" t="s">
        <v>1777</v>
      </c>
      <c r="CE40" t="s">
        <v>377</v>
      </c>
      <c r="CF40" s="7">
        <v>-0.23163841807909605</v>
      </c>
      <c r="CG40" s="8">
        <v>2.413778919324463</v>
      </c>
      <c r="CH40" s="7">
        <v>-0.72745490074157715</v>
      </c>
      <c r="CI40" s="7">
        <v>5.2742615342140198E-2</v>
      </c>
      <c r="CJ40" s="7">
        <v>0.20918367803096771</v>
      </c>
      <c r="CK40" s="7">
        <v>-0.41229385137557983</v>
      </c>
      <c r="CL40" s="7">
        <v>-0.15355329215526581</v>
      </c>
      <c r="CM40" s="8">
        <v>0.56640231609344482</v>
      </c>
      <c r="CN40" s="8">
        <v>1.0284770727157593</v>
      </c>
      <c r="CO40" s="8">
        <v>-0.88181817531585693</v>
      </c>
      <c r="CP40" s="8">
        <v>-7.5056695938110352</v>
      </c>
      <c r="CQ40" s="8">
        <v>-1.5008704662322998</v>
      </c>
      <c r="CR40">
        <v>-28.303281045566177</v>
      </c>
      <c r="CS40">
        <v>-1.3721129772969234</v>
      </c>
      <c r="CT40">
        <v>0</v>
      </c>
      <c r="CU40" s="7">
        <v>-0.20627515017986298</v>
      </c>
      <c r="CV40" s="8">
        <v>-1.6586957693099975</v>
      </c>
      <c r="CW40">
        <v>0.06</v>
      </c>
      <c r="CX40">
        <v>148.77264973926606</v>
      </c>
      <c r="CY40" t="s">
        <v>1778</v>
      </c>
      <c r="CZ40">
        <v>-0.20627515017986298</v>
      </c>
      <c r="DA40">
        <v>49.590883246422017</v>
      </c>
      <c r="DB40" t="s">
        <v>1779</v>
      </c>
      <c r="DC40">
        <v>-0.19596139267086982</v>
      </c>
      <c r="DD40">
        <v>24.795441623211008</v>
      </c>
      <c r="DE40" t="s">
        <v>1780</v>
      </c>
      <c r="DF40">
        <v>-0.18152213215827942</v>
      </c>
      <c r="DG40">
        <v>14.877264973926605</v>
      </c>
      <c r="DH40" t="s">
        <v>1781</v>
      </c>
      <c r="DI40">
        <v>-0.16502012014389039</v>
      </c>
      <c r="DJ40">
        <v>7.4386324869633027</v>
      </c>
      <c r="DK40" t="s">
        <v>1782</v>
      </c>
      <c r="DL40">
        <v>-0.14439260512590407</v>
      </c>
      <c r="DM40">
        <v>18467100</v>
      </c>
      <c r="DN40">
        <v>-0.20627515017986298</v>
      </c>
      <c r="DO40">
        <v>2747399400</v>
      </c>
      <c r="DP40">
        <v>94266260</v>
      </c>
      <c r="DQ40">
        <v>4302</v>
      </c>
      <c r="DR40">
        <v>-2.5363267899233072E-2</v>
      </c>
      <c r="DS40">
        <v>4.0724746886344603</v>
      </c>
      <c r="DT40" s="9">
        <v>-0.85666666666666658</v>
      </c>
      <c r="DU40">
        <v>-0.88333333333333319</v>
      </c>
      <c r="DV40">
        <v>-1.7399999999999998</v>
      </c>
      <c r="DW40">
        <v>-8.3755506607929515</v>
      </c>
      <c r="DX40">
        <v>0.3207273885350328</v>
      </c>
      <c r="DY40">
        <v>-8.0340727307163498</v>
      </c>
      <c r="DZ40">
        <v>1090</v>
      </c>
      <c r="EA40">
        <v>-8.0268047705439773</v>
      </c>
      <c r="EB40">
        <v>8</v>
      </c>
      <c r="EC40">
        <v>4.2893525785365247E-2</v>
      </c>
      <c r="ED40">
        <v>0.47277372883716484</v>
      </c>
      <c r="EE40" s="10">
        <v>6.8409999999999999E-2</v>
      </c>
      <c r="EF40">
        <v>7.9809999999999992E-2</v>
      </c>
      <c r="EG40">
        <v>23.090727388535033</v>
      </c>
      <c r="EH40">
        <v>-1</v>
      </c>
      <c r="EI40">
        <v>0</v>
      </c>
      <c r="EJ40">
        <v>1</v>
      </c>
      <c r="EK40" s="12">
        <v>45470</v>
      </c>
      <c r="EL40" s="13">
        <v>1.88</v>
      </c>
      <c r="EM40" s="13">
        <v>-3.2</v>
      </c>
      <c r="EN40">
        <v>-0.26</v>
      </c>
      <c r="EO40">
        <v>-0.48</v>
      </c>
      <c r="EP40">
        <v>-1.1399999999999999</v>
      </c>
    </row>
    <row r="41" spans="1:146" ht="96" x14ac:dyDescent="0.25">
      <c r="A41" s="16"/>
      <c r="B41" s="16"/>
      <c r="C41" s="16" t="str">
        <f>""&amp;CHAR(10)&amp;Basic_Fundamental_Information_Constructure(F41)&amp;CHAR(10)&amp;Basic_Fundamental_Information_Concatenate("")</f>
        <v xml:space="preserve">
市值36.8519亿, 利润1036.51万; PE131.5; 平均PE60.64; 平均PEG7.92, PB3.32; ROIC2.105%; ROE-2.1433%; 股利率.4897%; 毛利30.3733%; 净利-1.2%; 上一年度营收增-73.57%, 利润增108.03%; 当季营收增-49.17%, 利润增-58.77%; 过往5年营收增-7.66%, 利润增-145.34%
Income profile:
</v>
      </c>
      <c r="D41" t="s">
        <v>1783</v>
      </c>
      <c r="E41" t="s">
        <v>1784</v>
      </c>
      <c r="F41">
        <v>9.19</v>
      </c>
      <c r="G41">
        <v>0.44</v>
      </c>
      <c r="H41" t="s">
        <v>1785</v>
      </c>
      <c r="I41">
        <v>3685190000</v>
      </c>
      <c r="J41">
        <v>131.5</v>
      </c>
      <c r="K41">
        <v>3.32</v>
      </c>
      <c r="L41" t="s">
        <v>36</v>
      </c>
      <c r="M41" t="s">
        <v>1786</v>
      </c>
      <c r="N41" t="s">
        <v>1336</v>
      </c>
      <c r="O41" t="s">
        <v>1787</v>
      </c>
      <c r="P41" s="4">
        <v>11.14</v>
      </c>
      <c r="Q41" t="s">
        <v>1787</v>
      </c>
      <c r="R41">
        <v>10365134</v>
      </c>
      <c r="S41">
        <v>1.264</v>
      </c>
      <c r="T41" t="s">
        <v>1788</v>
      </c>
      <c r="U41">
        <v>401000000</v>
      </c>
      <c r="V41">
        <v>401000000</v>
      </c>
      <c r="W41">
        <v>2.4700000000000002</v>
      </c>
      <c r="X41">
        <v>0.24</v>
      </c>
      <c r="Y41">
        <v>1.61</v>
      </c>
      <c r="Z41" t="s">
        <v>1789</v>
      </c>
      <c r="AA41" t="s">
        <v>482</v>
      </c>
      <c r="AB41" t="s">
        <v>339</v>
      </c>
      <c r="AC41" t="s">
        <v>1790</v>
      </c>
      <c r="AD41" t="s">
        <v>20</v>
      </c>
      <c r="AE41">
        <v>4550885</v>
      </c>
      <c r="AF41" t="s">
        <v>46</v>
      </c>
      <c r="AG41" t="s">
        <v>1791</v>
      </c>
      <c r="AH41" t="s">
        <v>1792</v>
      </c>
      <c r="AI41" t="s">
        <v>1793</v>
      </c>
      <c r="AJ41" t="s">
        <v>1794</v>
      </c>
      <c r="AK41" t="s">
        <v>1795</v>
      </c>
      <c r="AL41" t="s">
        <v>1796</v>
      </c>
      <c r="AM41" t="s">
        <v>20</v>
      </c>
      <c r="AN41" t="s">
        <v>1797</v>
      </c>
      <c r="AO41" t="s">
        <v>507</v>
      </c>
      <c r="AP41" t="s">
        <v>175</v>
      </c>
      <c r="AQ41" t="s">
        <v>1798</v>
      </c>
      <c r="AR41" t="s">
        <v>1799</v>
      </c>
      <c r="AS41" t="s">
        <v>1800</v>
      </c>
      <c r="AT41" t="s">
        <v>1054</v>
      </c>
      <c r="AU41" t="s">
        <v>149</v>
      </c>
      <c r="AV41" t="s">
        <v>1801</v>
      </c>
      <c r="AW41" t="s">
        <v>1802</v>
      </c>
      <c r="AX41" t="s">
        <v>1803</v>
      </c>
      <c r="AY41" t="s">
        <v>1705</v>
      </c>
      <c r="AZ41" t="s">
        <v>1804</v>
      </c>
      <c r="BA41" t="s">
        <v>1805</v>
      </c>
      <c r="BB41" t="s">
        <v>1806</v>
      </c>
      <c r="BC41" t="s">
        <v>613</v>
      </c>
      <c r="BD41" t="s">
        <v>1807</v>
      </c>
      <c r="BE41" t="s">
        <v>487</v>
      </c>
      <c r="BF41" t="s">
        <v>526</v>
      </c>
      <c r="BG41" t="s">
        <v>377</v>
      </c>
      <c r="BH41" t="s">
        <v>1808</v>
      </c>
      <c r="BI41" t="s">
        <v>1809</v>
      </c>
      <c r="BJ41" t="s">
        <v>1803</v>
      </c>
      <c r="BK41" t="s">
        <v>1810</v>
      </c>
      <c r="BL41" t="s">
        <v>1811</v>
      </c>
      <c r="BM41" t="s">
        <v>613</v>
      </c>
      <c r="BN41">
        <v>2.6</v>
      </c>
      <c r="BO41" t="s">
        <v>20</v>
      </c>
      <c r="BP41">
        <v>1.61</v>
      </c>
      <c r="BQ41">
        <v>3.24</v>
      </c>
      <c r="BR41">
        <v>-11.3</v>
      </c>
      <c r="BS41">
        <v>1.63</v>
      </c>
      <c r="BT41" t="s">
        <v>1812</v>
      </c>
      <c r="BU41" t="s">
        <v>798</v>
      </c>
      <c r="BV41">
        <v>30.54</v>
      </c>
      <c r="BW41">
        <v>29.51</v>
      </c>
      <c r="BX41">
        <v>31.07</v>
      </c>
      <c r="BY41">
        <v>0.84</v>
      </c>
      <c r="BZ41">
        <v>-5.31</v>
      </c>
      <c r="CA41">
        <v>0.87</v>
      </c>
      <c r="CB41">
        <v>0.66</v>
      </c>
      <c r="CC41" s="7">
        <v>-16.190000000000001</v>
      </c>
      <c r="CD41" s="8" t="s">
        <v>1813</v>
      </c>
      <c r="CE41" s="7" t="s">
        <v>1814</v>
      </c>
      <c r="CF41" s="7">
        <v>-0.491699604743083</v>
      </c>
      <c r="CG41" s="7">
        <v>-0.58766905747894616</v>
      </c>
      <c r="CH41" s="7">
        <v>-0.73571717739105225</v>
      </c>
      <c r="CI41" s="7">
        <v>5.0518106669187546E-2</v>
      </c>
      <c r="CJ41" s="8">
        <v>0.18952229619026184</v>
      </c>
      <c r="CK41" s="8">
        <v>-2.50374935567379E-2</v>
      </c>
      <c r="CL41" s="8">
        <v>0.13789166510105133</v>
      </c>
      <c r="CM41" s="8">
        <v>1.0803496837615967</v>
      </c>
      <c r="CN41" s="8">
        <v>-7.3679170608520508</v>
      </c>
      <c r="CO41">
        <v>-0.84653180837631226</v>
      </c>
      <c r="CP41">
        <v>-0.24137930572032928</v>
      </c>
      <c r="CQ41">
        <v>0.10828025639057159</v>
      </c>
      <c r="CR41" s="7">
        <v>60.641117165158853</v>
      </c>
      <c r="CS41" s="8">
        <v>7.9202634186117109</v>
      </c>
      <c r="CT41">
        <v>0.48966267682263331</v>
      </c>
      <c r="CU41">
        <v>-7.6564520597457886E-2</v>
      </c>
      <c r="CV41">
        <v>-1.4534396469593047</v>
      </c>
      <c r="CW41">
        <v>0.06</v>
      </c>
      <c r="CX41">
        <v>403.77709814666525</v>
      </c>
      <c r="CY41" t="s">
        <v>1815</v>
      </c>
      <c r="CZ41">
        <v>-7.6564520597457886E-2</v>
      </c>
      <c r="DA41">
        <v>134.59236604888841</v>
      </c>
      <c r="DB41" t="s">
        <v>1816</v>
      </c>
      <c r="DC41">
        <v>-7.2736294567584986E-2</v>
      </c>
      <c r="DD41">
        <v>67.296183024444204</v>
      </c>
      <c r="DE41" t="s">
        <v>1817</v>
      </c>
      <c r="DF41">
        <v>-6.737677812576294E-2</v>
      </c>
      <c r="DG41">
        <v>40.377709814666524</v>
      </c>
      <c r="DH41" t="s">
        <v>1818</v>
      </c>
      <c r="DI41">
        <v>-6.1251616477966314E-2</v>
      </c>
      <c r="DJ41">
        <v>20.188854907333262</v>
      </c>
      <c r="DK41" t="s">
        <v>1819</v>
      </c>
      <c r="DL41">
        <v>-5.3595164418220514E-2</v>
      </c>
      <c r="DM41">
        <v>10365100</v>
      </c>
      <c r="DN41">
        <v>-7.6564520597457886E-2</v>
      </c>
      <c r="DO41">
        <v>4185190000</v>
      </c>
      <c r="DP41">
        <v>-690324970</v>
      </c>
      <c r="DQ41" s="9">
        <v>4479</v>
      </c>
      <c r="DR41">
        <v>-0.41513508414562511</v>
      </c>
      <c r="DS41">
        <v>0.86577058948035857</v>
      </c>
      <c r="DT41">
        <v>-0.64</v>
      </c>
      <c r="DU41">
        <v>-1.2066666666666666</v>
      </c>
      <c r="DV41">
        <v>-1.8466666666666667</v>
      </c>
      <c r="DW41">
        <v>-3.0021488095238094</v>
      </c>
      <c r="DX41">
        <v>0.50176464155385059</v>
      </c>
      <c r="DY41">
        <v>-3.0006269466404816</v>
      </c>
      <c r="DZ41">
        <v>2183</v>
      </c>
      <c r="EA41">
        <v>-3.0003591140541466</v>
      </c>
      <c r="EB41" s="10">
        <v>3</v>
      </c>
      <c r="EC41" s="10">
        <v>6.1103740648379062E-2</v>
      </c>
      <c r="ED41">
        <v>0.2094281795511222</v>
      </c>
      <c r="EE41">
        <v>-3.02311</v>
      </c>
      <c r="EF41">
        <v>-3.0521099999999999</v>
      </c>
      <c r="EG41">
        <v>21.291764641553851</v>
      </c>
      <c r="EH41" s="12" t="s">
        <v>540</v>
      </c>
      <c r="EI41">
        <v>0</v>
      </c>
      <c r="EJ41">
        <v>0</v>
      </c>
      <c r="EK41">
        <v>45470</v>
      </c>
      <c r="EL41">
        <v>-0.16</v>
      </c>
      <c r="EM41">
        <v>-3.95</v>
      </c>
      <c r="EN41">
        <v>2.74</v>
      </c>
      <c r="EO41">
        <v>3.59</v>
      </c>
      <c r="EP41">
        <v>-2.9</v>
      </c>
    </row>
    <row r="42" spans="1:146" ht="132" hidden="1" x14ac:dyDescent="0.25">
      <c r="C42" s="5" t="str">
        <f>"公司主要从事浓缩果汁的加工生产及销售。主要产品有果汁、香精、果渣。公司在中国、北美洲、亚洲（中国以外）、欧洲、大洋洲和非洲运营业务。"&amp;CHAR(10)&amp;Basic_Fundamental_Information_Constructure(F42)&amp;CHAR(10)&amp;Basic_Fundamental_Information_Concatenate("果汁、香精 7.83亿 96.66%
饲料 1979.18万 2.44%")</f>
        <v>公司主要从事浓缩果汁的加工生产及销售。主要产品有果汁、香精、果渣。公司在中国、北美洲、亚洲（中国以外）、欧洲、大洋洲和非洲运营业务。
市值86.6916亿, 利润5335.67万; PE35.1; 平均PE60.11; 平均PEG4.29, PB3.36; ROIC7.6133%; ROE8.0133%; 股利率.8857%; 毛利24.5333%; 净利21.9233%; 上一年度营收增-74.65%, 利润增-72.5%; 当季营收增-45.78%, 利润增-67.47%; 过往5年营收增-14%, 利润增-6.54%
Income profile:
果汁、香精 7.83亿 96.66%
饲料 1979.18万 2.44%</v>
      </c>
      <c r="D42" t="s">
        <v>246</v>
      </c>
      <c r="E42" t="s">
        <v>352</v>
      </c>
      <c r="F42">
        <v>24.84</v>
      </c>
      <c r="G42">
        <v>-0.64</v>
      </c>
      <c r="H42" t="s">
        <v>1820</v>
      </c>
      <c r="I42">
        <v>8669160000</v>
      </c>
      <c r="J42">
        <v>35.1</v>
      </c>
      <c r="K42">
        <v>3.36</v>
      </c>
      <c r="L42" t="s">
        <v>36</v>
      </c>
      <c r="M42" t="s">
        <v>1821</v>
      </c>
      <c r="N42" t="s">
        <v>1822</v>
      </c>
      <c r="O42" t="s">
        <v>1009</v>
      </c>
      <c r="P42">
        <v>20.93</v>
      </c>
      <c r="Q42" t="s">
        <v>1009</v>
      </c>
      <c r="R42">
        <v>53356721</v>
      </c>
      <c r="S42" s="4">
        <v>-0.13819999999999999</v>
      </c>
      <c r="T42" t="s">
        <v>1823</v>
      </c>
      <c r="U42">
        <v>270536000</v>
      </c>
      <c r="V42">
        <v>349000000</v>
      </c>
      <c r="W42">
        <v>1.03</v>
      </c>
      <c r="X42">
        <v>0.1</v>
      </c>
      <c r="Y42">
        <v>19.739999999999998</v>
      </c>
      <c r="Z42" t="s">
        <v>370</v>
      </c>
      <c r="AA42" t="s">
        <v>362</v>
      </c>
      <c r="AB42" t="s">
        <v>1824</v>
      </c>
      <c r="AC42" t="s">
        <v>1825</v>
      </c>
      <c r="AD42" t="s">
        <v>20</v>
      </c>
      <c r="AE42">
        <v>-4437384</v>
      </c>
      <c r="AF42" t="s">
        <v>1826</v>
      </c>
      <c r="AG42">
        <v>43.7</v>
      </c>
      <c r="AH42" t="s">
        <v>1827</v>
      </c>
      <c r="AI42" t="s">
        <v>750</v>
      </c>
      <c r="AJ42" t="s">
        <v>1828</v>
      </c>
      <c r="AK42" t="s">
        <v>1829</v>
      </c>
      <c r="AL42" t="s">
        <v>1830</v>
      </c>
      <c r="AM42" t="s">
        <v>20</v>
      </c>
      <c r="AN42" t="s">
        <v>1831</v>
      </c>
      <c r="AO42" t="s">
        <v>20</v>
      </c>
      <c r="AP42" t="s">
        <v>20</v>
      </c>
      <c r="AQ42" t="s">
        <v>1832</v>
      </c>
      <c r="AR42" t="s">
        <v>20</v>
      </c>
      <c r="AS42" t="s">
        <v>1833</v>
      </c>
      <c r="AT42" t="s">
        <v>20</v>
      </c>
      <c r="AU42" t="s">
        <v>343</v>
      </c>
      <c r="AV42" t="s">
        <v>1834</v>
      </c>
      <c r="AW42" t="s">
        <v>20</v>
      </c>
      <c r="AX42" t="s">
        <v>520</v>
      </c>
      <c r="AY42" t="s">
        <v>287</v>
      </c>
      <c r="AZ42" t="s">
        <v>139</v>
      </c>
      <c r="BA42" t="s">
        <v>248</v>
      </c>
      <c r="BB42" t="s">
        <v>249</v>
      </c>
      <c r="BC42" t="s">
        <v>374</v>
      </c>
      <c r="BD42" t="s">
        <v>290</v>
      </c>
      <c r="BE42" t="s">
        <v>247</v>
      </c>
      <c r="BF42" t="s">
        <v>172</v>
      </c>
      <c r="BG42" t="s">
        <v>190</v>
      </c>
      <c r="BH42" t="s">
        <v>1835</v>
      </c>
      <c r="BI42" t="s">
        <v>484</v>
      </c>
      <c r="BJ42" t="s">
        <v>520</v>
      </c>
      <c r="BK42" t="s">
        <v>1836</v>
      </c>
      <c r="BL42" t="s">
        <v>185</v>
      </c>
      <c r="BM42" t="s">
        <v>374</v>
      </c>
      <c r="BN42">
        <v>7.96</v>
      </c>
      <c r="BO42">
        <v>7.83</v>
      </c>
      <c r="BP42">
        <v>7.05</v>
      </c>
      <c r="BQ42">
        <v>8.65</v>
      </c>
      <c r="BR42">
        <v>8.1999999999999993</v>
      </c>
      <c r="BS42">
        <v>7.19</v>
      </c>
      <c r="BT42" t="s">
        <v>1511</v>
      </c>
      <c r="BU42" t="s">
        <v>347</v>
      </c>
      <c r="BV42">
        <v>32.99</v>
      </c>
      <c r="BW42">
        <v>20</v>
      </c>
      <c r="BX42">
        <v>20.61</v>
      </c>
      <c r="BY42">
        <v>29.17</v>
      </c>
      <c r="BZ42">
        <v>18.239999999999998</v>
      </c>
      <c r="CA42">
        <v>18.36</v>
      </c>
      <c r="CB42">
        <v>-5.91</v>
      </c>
      <c r="CC42">
        <v>-35.14</v>
      </c>
      <c r="CD42" t="s">
        <v>1837</v>
      </c>
      <c r="CE42" t="s">
        <v>1838</v>
      </c>
      <c r="CF42" s="7">
        <v>-0.45783132530120491</v>
      </c>
      <c r="CG42" s="8">
        <v>-0.67465414024390247</v>
      </c>
      <c r="CH42" s="7">
        <v>-0.7464788556098938</v>
      </c>
      <c r="CI42" s="7">
        <v>0.22133027017116547</v>
      </c>
      <c r="CJ42" s="7">
        <v>3.5629455000162125E-2</v>
      </c>
      <c r="CK42" s="7">
        <v>4.7732698731124401E-3</v>
      </c>
      <c r="CL42" s="7">
        <v>-0.21535579860210419</v>
      </c>
      <c r="CM42" s="8">
        <v>-0.72496545314788818</v>
      </c>
      <c r="CN42" s="8">
        <v>0.21250000596046448</v>
      </c>
      <c r="CO42" s="8">
        <v>5.2631579339504242E-2</v>
      </c>
      <c r="CP42" s="8">
        <v>-0.10059171915054321</v>
      </c>
      <c r="CQ42" s="8">
        <v>0.23357664048671722</v>
      </c>
      <c r="CR42">
        <v>60.108114954214841</v>
      </c>
      <c r="CS42">
        <v>4.2928133483989459</v>
      </c>
      <c r="CT42">
        <v>0.88566827697262485</v>
      </c>
      <c r="CU42" s="7">
        <v>-0.14002033183351159</v>
      </c>
      <c r="CV42" s="8">
        <v>-6.5369789302349088E-2</v>
      </c>
      <c r="CW42">
        <v>0.06</v>
      </c>
      <c r="CX42">
        <v>115.57837534930009</v>
      </c>
      <c r="CY42" t="s">
        <v>1839</v>
      </c>
      <c r="CZ42">
        <v>-0.14002033183351159</v>
      </c>
      <c r="DA42">
        <v>38.526125116433363</v>
      </c>
      <c r="DB42" t="s">
        <v>1840</v>
      </c>
      <c r="DC42">
        <v>-0.13301931524183599</v>
      </c>
      <c r="DD42">
        <v>19.263062558216681</v>
      </c>
      <c r="DE42" t="s">
        <v>1841</v>
      </c>
      <c r="DF42">
        <v>-0.1232178920134902</v>
      </c>
      <c r="DG42">
        <v>11.557837534930009</v>
      </c>
      <c r="DH42" t="s">
        <v>1842</v>
      </c>
      <c r="DI42">
        <v>-0.11201626546680928</v>
      </c>
      <c r="DJ42">
        <v>5.7789187674650044</v>
      </c>
      <c r="DK42" t="s">
        <v>1843</v>
      </c>
      <c r="DL42">
        <v>-9.8014232283458111E-2</v>
      </c>
      <c r="DM42">
        <v>53356700</v>
      </c>
      <c r="DN42">
        <v>-0.14002033183351159</v>
      </c>
      <c r="DO42">
        <v>6166880700</v>
      </c>
      <c r="DP42">
        <v>1734164900</v>
      </c>
      <c r="DQ42">
        <v>4486</v>
      </c>
      <c r="DR42">
        <v>-0.31781099346769331</v>
      </c>
      <c r="DS42">
        <v>-0.60928435094155342</v>
      </c>
      <c r="DT42" s="9">
        <v>-0.72333333333333327</v>
      </c>
      <c r="DU42">
        <v>-0.52333333333333332</v>
      </c>
      <c r="DV42">
        <v>-1.2466666666666666</v>
      </c>
      <c r="DW42">
        <v>-8.1681844052361985</v>
      </c>
      <c r="DX42">
        <v>0.37909242909677943</v>
      </c>
      <c r="DY42">
        <v>-8.0217113334081382</v>
      </c>
      <c r="DZ42">
        <v>1668</v>
      </c>
      <c r="EA42">
        <v>-8.0146243462995717</v>
      </c>
      <c r="EB42">
        <v>8</v>
      </c>
      <c r="EC42">
        <v>1.5308882521489972E-2</v>
      </c>
      <c r="ED42">
        <v>0.11858853868194842</v>
      </c>
      <c r="EE42" s="10">
        <v>-1.06951</v>
      </c>
      <c r="EF42">
        <v>-1.0865100000000001</v>
      </c>
      <c r="EG42">
        <v>25.129092429096779</v>
      </c>
      <c r="EH42" t="s">
        <v>464</v>
      </c>
      <c r="EI42">
        <v>0</v>
      </c>
      <c r="EJ42">
        <v>0</v>
      </c>
      <c r="EK42" s="12">
        <v>45470</v>
      </c>
      <c r="EL42" s="13">
        <v>1.21</v>
      </c>
      <c r="EM42" s="13">
        <v>-4.08</v>
      </c>
      <c r="EN42">
        <v>0.21</v>
      </c>
      <c r="EO42">
        <v>3.62</v>
      </c>
      <c r="EP42">
        <v>-1.7</v>
      </c>
    </row>
    <row r="43" spans="1:146" ht="204" x14ac:dyDescent="0.25">
      <c r="A43" s="16" t="s">
        <v>1959</v>
      </c>
      <c r="B43" s="16" t="s">
        <v>1960</v>
      </c>
      <c r="C43" s="16" t="str">
        <f>"公司主营业务是从事粉末油脂、咖啡、植物基及其他产品的研发、生产和销售。主要产品有非氢化粉末油脂、耐酸粉末油脂、冷溶粉末油脂、低糖粉末油脂、发泡粉末油脂、特殊食品用脂肪粉、速溶咖啡粉、三合一咖啡饮料、冷萃咖啡液、烘焙咖啡豆、研磨咖啡粉以及咖啡浓缩液、椰浆系列、植物浓浆系列、燕麦浓浆、燕麦奶等。"&amp;CHAR(10)&amp;Basic_Fundamental_Information_Constructure(F43)&amp;CHAR(10)&amp;Basic_Fundamental_Information_Concatenate("粉末油脂 17.50亿 72.08% 78.86% 13.44%
其他产品 2.56亿 10.54% 6.87% 8.01%
咖啡 2.14亿 8.80% 7.70% 10.76%
其他业务 1.20亿 4.96% 4.86% 12.03%
植物基 8809.37万 3.63% 1.71% 5.80%")</f>
        <v>公司主营业务是从事粉末油脂、咖啡、植物基及其他产品的研发、生产和销售。主要产品有非氢化粉末油脂、耐酸粉末油脂、冷溶粉末油脂、低糖粉末油脂、发泡粉末油脂、特殊食品用脂肪粉、速溶咖啡粉、三合一咖啡饮料、冷萃咖啡液、烘焙咖啡豆、研磨咖啡粉以及咖啡浓缩液、椰浆系列、植物浓浆系列、燕麦浓浆、燕麦奶等。
市值44.161104亿, 利润4571.85万; PE18.38; 平均PE28.5; 平均PEG4.55, PB1.94; ROIC7.0067%; ROE8.0667%; 股利率2.5362%; 毛利14.6167%; 净利6.6833%; 上一年度营收增-77.72%, 利润增-60.24%; 当季营收增-59.23%, 利润增-66.38%; 过往5年营收增-6.26%, 利润增-5.11%
Income profile:
粉末油脂 17.50亿 72.08% 78.86% 13.44%
其他产品 2.56亿 10.54% 6.87% 8.01%
咖啡 2.14亿 8.80% 7.70% 10.76%
其他业务 1.20亿 4.96% 4.86% 12.03%
植物基 8809.37万 3.63% 1.71% 5.80%</v>
      </c>
      <c r="D43" t="s">
        <v>1844</v>
      </c>
      <c r="E43" t="s">
        <v>1845</v>
      </c>
      <c r="F43">
        <v>11.04</v>
      </c>
      <c r="G43">
        <v>1.28</v>
      </c>
      <c r="H43" t="s">
        <v>1846</v>
      </c>
      <c r="I43">
        <v>4416110400</v>
      </c>
      <c r="J43">
        <v>18.38</v>
      </c>
      <c r="K43">
        <v>1.94</v>
      </c>
      <c r="L43" t="s">
        <v>36</v>
      </c>
      <c r="M43" t="s">
        <v>1847</v>
      </c>
      <c r="N43" t="s">
        <v>1848</v>
      </c>
      <c r="O43" t="s">
        <v>591</v>
      </c>
      <c r="P43" s="4">
        <v>-15.61</v>
      </c>
      <c r="Q43" t="s">
        <v>591</v>
      </c>
      <c r="R43">
        <v>45718480</v>
      </c>
      <c r="S43">
        <v>-0.27710000000000001</v>
      </c>
      <c r="T43" t="s">
        <v>1849</v>
      </c>
      <c r="U43">
        <v>400010000</v>
      </c>
      <c r="V43">
        <v>400010000</v>
      </c>
      <c r="W43">
        <v>1.24</v>
      </c>
      <c r="X43">
        <v>0.18</v>
      </c>
      <c r="Y43">
        <v>8.57</v>
      </c>
      <c r="Z43" t="s">
        <v>61</v>
      </c>
      <c r="AA43" t="s">
        <v>553</v>
      </c>
      <c r="AB43" t="s">
        <v>1850</v>
      </c>
      <c r="AC43" t="s">
        <v>1851</v>
      </c>
      <c r="AD43" t="s">
        <v>20</v>
      </c>
      <c r="AE43">
        <v>-2147511</v>
      </c>
      <c r="AF43" t="s">
        <v>1852</v>
      </c>
      <c r="AG43" t="s">
        <v>1853</v>
      </c>
      <c r="AH43" t="s">
        <v>1854</v>
      </c>
      <c r="AI43" t="s">
        <v>594</v>
      </c>
      <c r="AJ43" t="s">
        <v>1855</v>
      </c>
      <c r="AK43" t="s">
        <v>20</v>
      </c>
      <c r="AL43" t="s">
        <v>1856</v>
      </c>
      <c r="AM43" t="s">
        <v>20</v>
      </c>
      <c r="AN43" t="s">
        <v>1857</v>
      </c>
      <c r="AO43" t="s">
        <v>1836</v>
      </c>
      <c r="AP43" t="s">
        <v>1858</v>
      </c>
      <c r="AQ43" t="s">
        <v>305</v>
      </c>
      <c r="AR43" t="s">
        <v>20</v>
      </c>
      <c r="AS43" t="s">
        <v>1859</v>
      </c>
      <c r="AT43" t="s">
        <v>20</v>
      </c>
      <c r="AU43" t="s">
        <v>631</v>
      </c>
      <c r="AV43" t="s">
        <v>507</v>
      </c>
      <c r="AW43" t="s">
        <v>1860</v>
      </c>
      <c r="AX43" t="s">
        <v>1861</v>
      </c>
      <c r="AY43" t="s">
        <v>1862</v>
      </c>
      <c r="AZ43" t="s">
        <v>1863</v>
      </c>
      <c r="BA43" t="s">
        <v>1864</v>
      </c>
      <c r="BB43" t="s">
        <v>1865</v>
      </c>
      <c r="BC43" t="s">
        <v>500</v>
      </c>
      <c r="BD43" t="s">
        <v>569</v>
      </c>
      <c r="BE43" t="s">
        <v>176</v>
      </c>
      <c r="BF43" t="s">
        <v>507</v>
      </c>
      <c r="BG43" t="s">
        <v>363</v>
      </c>
      <c r="BH43" t="s">
        <v>1866</v>
      </c>
      <c r="BI43" t="s">
        <v>1867</v>
      </c>
      <c r="BJ43" t="s">
        <v>1861</v>
      </c>
      <c r="BK43" t="s">
        <v>626</v>
      </c>
      <c r="BL43" t="s">
        <v>474</v>
      </c>
      <c r="BM43" t="s">
        <v>500</v>
      </c>
      <c r="BN43">
        <v>7.29</v>
      </c>
      <c r="BO43">
        <v>5</v>
      </c>
      <c r="BP43">
        <v>8.73</v>
      </c>
      <c r="BQ43">
        <v>9.77</v>
      </c>
      <c r="BR43">
        <v>5.8</v>
      </c>
      <c r="BS43">
        <v>8.6300000000000008</v>
      </c>
      <c r="BT43" t="s">
        <v>1868</v>
      </c>
      <c r="BU43" t="s">
        <v>798</v>
      </c>
      <c r="BV43">
        <v>17.97</v>
      </c>
      <c r="BW43">
        <v>12.29</v>
      </c>
      <c r="BX43">
        <v>13.59</v>
      </c>
      <c r="BY43">
        <v>9.0299999999999994</v>
      </c>
      <c r="BZ43">
        <v>4.75</v>
      </c>
      <c r="CA43">
        <v>6.27</v>
      </c>
      <c r="CB43">
        <v>0.91</v>
      </c>
      <c r="CC43" s="7">
        <v>-14.75</v>
      </c>
      <c r="CD43" s="8" t="s">
        <v>1869</v>
      </c>
      <c r="CE43" s="7" t="s">
        <v>1870</v>
      </c>
      <c r="CF43" s="7">
        <v>-0.59231348907309722</v>
      </c>
      <c r="CG43" s="7">
        <v>-0.66383470588235294</v>
      </c>
      <c r="CH43" s="7">
        <v>-0.77718287706375122</v>
      </c>
      <c r="CI43" s="7">
        <v>1.2088343501091003E-2</v>
      </c>
      <c r="CJ43" s="8">
        <v>0.28014945983886719</v>
      </c>
      <c r="CK43" s="8">
        <v>2.069716714322567E-2</v>
      </c>
      <c r="CL43" s="8">
        <v>0.1510971337556839</v>
      </c>
      <c r="CM43" s="8">
        <v>-0.60244786739349365</v>
      </c>
      <c r="CN43" s="8">
        <v>-0.2384105920791626</v>
      </c>
      <c r="CO43">
        <v>-0.30092594027519226</v>
      </c>
      <c r="CP43">
        <v>-0.20588235557079315</v>
      </c>
      <c r="CQ43">
        <v>1.0923076868057251</v>
      </c>
      <c r="CR43" s="7">
        <v>28.499661349107281</v>
      </c>
      <c r="CS43" s="8">
        <v>4.550469585627452</v>
      </c>
      <c r="CT43">
        <v>2.5362318840579712</v>
      </c>
      <c r="CU43">
        <v>-6.2630154564976698E-2</v>
      </c>
      <c r="CV43">
        <v>-5.1071813702583312E-2</v>
      </c>
      <c r="CW43">
        <v>0.06</v>
      </c>
      <c r="CX43">
        <v>67.699298970876129</v>
      </c>
      <c r="CY43" t="s">
        <v>1871</v>
      </c>
      <c r="CZ43">
        <v>-6.2630154564976698E-2</v>
      </c>
      <c r="DA43">
        <v>22.566432990292039</v>
      </c>
      <c r="DB43" t="s">
        <v>1872</v>
      </c>
      <c r="DC43">
        <v>-5.9498646836727863E-2</v>
      </c>
      <c r="DD43">
        <v>11.28321649514602</v>
      </c>
      <c r="DE43" t="s">
        <v>1873</v>
      </c>
      <c r="DF43">
        <v>-5.5114536017179493E-2</v>
      </c>
      <c r="DG43">
        <v>6.7699298970876125</v>
      </c>
      <c r="DH43" t="s">
        <v>1874</v>
      </c>
      <c r="DI43">
        <v>-5.0104123651981358E-2</v>
      </c>
      <c r="DJ43">
        <v>3.3849649485438063</v>
      </c>
      <c r="DK43" t="s">
        <v>1875</v>
      </c>
      <c r="DL43">
        <v>-4.3841108195483688E-2</v>
      </c>
      <c r="DM43">
        <v>45718500</v>
      </c>
      <c r="DN43">
        <v>-6.2630154564976698E-2</v>
      </c>
      <c r="DO43">
        <v>3095110400</v>
      </c>
      <c r="DP43">
        <v>1294258800</v>
      </c>
      <c r="DQ43" s="9">
        <v>4505</v>
      </c>
      <c r="DR43">
        <v>-0.52968333450812055</v>
      </c>
      <c r="DS43">
        <v>-0.61276289217976965</v>
      </c>
      <c r="DT43">
        <v>-0.54</v>
      </c>
      <c r="DU43">
        <v>-0.97333333333333327</v>
      </c>
      <c r="DV43">
        <v>-1.5133333333333332</v>
      </c>
      <c r="DW43">
        <v>-2.1475</v>
      </c>
      <c r="DX43">
        <v>0.38701249451300185</v>
      </c>
      <c r="DY43">
        <v>-2.0305343429406681</v>
      </c>
      <c r="DZ43">
        <v>4238</v>
      </c>
      <c r="EA43">
        <v>-2.0052105571515191</v>
      </c>
      <c r="EB43" s="10">
        <v>2</v>
      </c>
      <c r="EC43" s="10">
        <v>1.1435964100897478E-2</v>
      </c>
      <c r="ED43">
        <v>5.5242868928276796E-2</v>
      </c>
      <c r="EE43">
        <v>-3.0708000000000002</v>
      </c>
      <c r="EF43">
        <v>-3.0606</v>
      </c>
      <c r="EG43">
        <v>18.207012494513002</v>
      </c>
      <c r="EH43" s="12" t="s">
        <v>635</v>
      </c>
      <c r="EI43">
        <v>0</v>
      </c>
      <c r="EJ43">
        <v>0</v>
      </c>
      <c r="EK43">
        <v>45470</v>
      </c>
      <c r="EL43">
        <v>1</v>
      </c>
      <c r="EM43">
        <v>-6.06</v>
      </c>
      <c r="EN43">
        <v>-0.6</v>
      </c>
      <c r="EO43">
        <v>3.47</v>
      </c>
      <c r="EP43">
        <v>-1.02</v>
      </c>
    </row>
    <row r="44" spans="1:146" ht="144" hidden="1" x14ac:dyDescent="0.25">
      <c r="C44" s="5" t="str">
        <f>"公司的主营业务为甜牛奶乳饮料系列等含乳饮料和其他饮料的研发、生产与销售。公司的主要产品包括配制型含乳饮料,发酵型含乳饮料,复合蛋白饮料,乳味风味饮料等，其中甜牛奶乳饮料系列是公司畅销二十余年的经典产品。"&amp;CHAR(10)&amp;Basic_Fundamental_Information_Constructure(F44)&amp;CHAR(10)&amp;Basic_Fundamental_Information_Concatenate("含乳饮料 10.29亿 96.91%
其他 2860.65万 2.69%")</f>
        <v>公司的主营业务为甜牛奶乳饮料系列等含乳饮料和其他饮料的研发、生产与销售。公司的主要产品包括配制型含乳饮料,发酵型含乳饮料,复合蛋白饮料,乳味风味饮料等，其中甜牛奶乳饮料系列是公司畅销二十余年的经典产品。
市值38.10216亿, 利润5695.42万; PE16.23; 平均PE21.55; 平均PEG10.65, PB2.21; ROIC13.4367%; ROE13.9867%; 股利率5.176%; 毛利34.7333%; 净利16.7967%; 上一年度营收增-76.21%, 利润增-74.23%; 当季营收增-52.35%, 利润增-57.81%; 过往5年营收增-2.02%, 利润增-.62%
Income profile:
含乳饮料 10.29亿 96.91%
其他 2860.65万 2.69%</v>
      </c>
      <c r="D44" t="s">
        <v>250</v>
      </c>
      <c r="E44" t="s">
        <v>251</v>
      </c>
      <c r="F44">
        <v>9.66</v>
      </c>
      <c r="G44">
        <v>0.42</v>
      </c>
      <c r="H44" t="s">
        <v>1876</v>
      </c>
      <c r="I44">
        <v>3810216000</v>
      </c>
      <c r="J44">
        <v>16.23</v>
      </c>
      <c r="K44">
        <v>2.21</v>
      </c>
      <c r="L44" t="s">
        <v>36</v>
      </c>
      <c r="M44" t="s">
        <v>1877</v>
      </c>
      <c r="N44" t="s">
        <v>1878</v>
      </c>
      <c r="O44" t="s">
        <v>471</v>
      </c>
      <c r="P44">
        <v>-3.17</v>
      </c>
      <c r="Q44" t="s">
        <v>471</v>
      </c>
      <c r="R44">
        <v>56954193</v>
      </c>
      <c r="S44" s="4">
        <v>-3.7900000000000003E-2</v>
      </c>
      <c r="T44" t="s">
        <v>1879</v>
      </c>
      <c r="U44">
        <v>394432300</v>
      </c>
      <c r="V44">
        <v>394432300</v>
      </c>
      <c r="W44">
        <v>1.66</v>
      </c>
      <c r="X44">
        <v>0.11</v>
      </c>
      <c r="Y44">
        <v>17.03</v>
      </c>
      <c r="Z44" t="s">
        <v>373</v>
      </c>
      <c r="AA44" t="s">
        <v>87</v>
      </c>
      <c r="AB44" t="s">
        <v>1880</v>
      </c>
      <c r="AC44" t="s">
        <v>1881</v>
      </c>
      <c r="AD44" t="s">
        <v>20</v>
      </c>
      <c r="AE44">
        <v>-11048435</v>
      </c>
      <c r="AF44" t="s">
        <v>46</v>
      </c>
      <c r="AG44" t="s">
        <v>1882</v>
      </c>
      <c r="AH44" t="s">
        <v>1883</v>
      </c>
      <c r="AI44" t="s">
        <v>702</v>
      </c>
      <c r="AJ44" t="s">
        <v>1884</v>
      </c>
      <c r="AK44" t="s">
        <v>20</v>
      </c>
      <c r="AL44" t="s">
        <v>1885</v>
      </c>
      <c r="AM44" t="s">
        <v>20</v>
      </c>
      <c r="AN44" t="s">
        <v>372</v>
      </c>
      <c r="AO44" t="s">
        <v>1886</v>
      </c>
      <c r="AP44" t="s">
        <v>1887</v>
      </c>
      <c r="AQ44" t="s">
        <v>1745</v>
      </c>
      <c r="AR44" t="s">
        <v>1888</v>
      </c>
      <c r="AS44" t="s">
        <v>1889</v>
      </c>
      <c r="AT44" t="s">
        <v>20</v>
      </c>
      <c r="AU44" t="s">
        <v>1890</v>
      </c>
      <c r="AV44" t="s">
        <v>1891</v>
      </c>
      <c r="AW44" t="s">
        <v>539</v>
      </c>
      <c r="AX44" t="s">
        <v>521</v>
      </c>
      <c r="AY44" t="s">
        <v>321</v>
      </c>
      <c r="AZ44" t="s">
        <v>252</v>
      </c>
      <c r="BA44" t="s">
        <v>253</v>
      </c>
      <c r="BB44" t="s">
        <v>254</v>
      </c>
      <c r="BC44" t="s">
        <v>341</v>
      </c>
      <c r="BD44" t="s">
        <v>322</v>
      </c>
      <c r="BE44" t="s">
        <v>69</v>
      </c>
      <c r="BF44" t="s">
        <v>154</v>
      </c>
      <c r="BG44" t="s">
        <v>67</v>
      </c>
      <c r="BH44" t="s">
        <v>1892</v>
      </c>
      <c r="BI44" t="s">
        <v>621</v>
      </c>
      <c r="BJ44" t="s">
        <v>521</v>
      </c>
      <c r="BK44" t="s">
        <v>1071</v>
      </c>
      <c r="BL44" t="s">
        <v>622</v>
      </c>
      <c r="BM44" t="s">
        <v>341</v>
      </c>
      <c r="BN44">
        <v>8.11</v>
      </c>
      <c r="BO44">
        <v>11.8</v>
      </c>
      <c r="BP44">
        <v>20.399999999999999</v>
      </c>
      <c r="BQ44">
        <v>10.52</v>
      </c>
      <c r="BR44">
        <v>13.32</v>
      </c>
      <c r="BS44">
        <v>18.12</v>
      </c>
      <c r="BT44" t="s">
        <v>1167</v>
      </c>
      <c r="BU44" t="s">
        <v>347</v>
      </c>
      <c r="BV44">
        <v>35.85</v>
      </c>
      <c r="BW44">
        <v>32.47</v>
      </c>
      <c r="BX44">
        <v>35.880000000000003</v>
      </c>
      <c r="BY44">
        <v>16.78</v>
      </c>
      <c r="BZ44">
        <v>15.75</v>
      </c>
      <c r="CA44">
        <v>17.86</v>
      </c>
      <c r="CB44">
        <v>-1.63</v>
      </c>
      <c r="CC44">
        <v>-16</v>
      </c>
      <c r="CD44" t="s">
        <v>1893</v>
      </c>
      <c r="CE44" t="s">
        <v>1894</v>
      </c>
      <c r="CF44" s="7">
        <v>-0.52353780313837373</v>
      </c>
      <c r="CG44" s="8">
        <v>-0.57811708888888891</v>
      </c>
      <c r="CH44" s="7">
        <v>-0.76210826635360718</v>
      </c>
      <c r="CI44" s="7">
        <v>-4.4897958636283875E-2</v>
      </c>
      <c r="CJ44" s="7">
        <v>0.35110294818878174</v>
      </c>
      <c r="CK44" s="7">
        <v>0.11589743942022324</v>
      </c>
      <c r="CL44" s="7">
        <v>0.23888182640075684</v>
      </c>
      <c r="CM44" s="8">
        <v>-0.74228864908218384</v>
      </c>
      <c r="CN44" s="8">
        <v>-0.15648855268955231</v>
      </c>
      <c r="CO44" s="8">
        <v>0.21860465407371521</v>
      </c>
      <c r="CP44" s="8">
        <v>0.18131868541240692</v>
      </c>
      <c r="CQ44" s="8">
        <v>0.46774193644523621</v>
      </c>
      <c r="CR44">
        <v>21.547863234812585</v>
      </c>
      <c r="CS44">
        <v>10.6541774925476</v>
      </c>
      <c r="CT44">
        <v>5.1759834368530022</v>
      </c>
      <c r="CU44" s="7">
        <v>-2.0224802196025848E-2</v>
      </c>
      <c r="CV44" s="8">
        <v>-6.2223851680755617E-3</v>
      </c>
      <c r="CW44">
        <v>0.06</v>
      </c>
      <c r="CX44">
        <v>59.718440431083224</v>
      </c>
      <c r="CY44" t="s">
        <v>1895</v>
      </c>
      <c r="CZ44">
        <v>-2.0224802196025848E-2</v>
      </c>
      <c r="DA44">
        <v>19.906146810361072</v>
      </c>
      <c r="DB44" t="s">
        <v>1896</v>
      </c>
      <c r="DC44">
        <v>-1.9213562086224555E-2</v>
      </c>
      <c r="DD44">
        <v>9.9530734051805361</v>
      </c>
      <c r="DE44" t="s">
        <v>1897</v>
      </c>
      <c r="DF44">
        <v>-1.7797825932502748E-2</v>
      </c>
      <c r="DG44">
        <v>5.9718440431083222</v>
      </c>
      <c r="DH44" t="s">
        <v>1898</v>
      </c>
      <c r="DI44">
        <v>-1.6179841756820679E-2</v>
      </c>
      <c r="DJ44">
        <v>2.9859220215541611</v>
      </c>
      <c r="DK44" t="s">
        <v>1899</v>
      </c>
      <c r="DL44">
        <v>-1.4157361537218093E-2</v>
      </c>
      <c r="DM44">
        <v>56954200</v>
      </c>
      <c r="DN44">
        <v>-2.0224802196025848E-2</v>
      </c>
      <c r="DO44">
        <v>3401216000</v>
      </c>
      <c r="DP44">
        <v>994408800</v>
      </c>
      <c r="DQ44">
        <v>4512</v>
      </c>
      <c r="DR44">
        <v>-0.50331300094234788</v>
      </c>
      <c r="DS44">
        <v>-0.5718947037208133</v>
      </c>
      <c r="DT44" s="9">
        <v>-0.54</v>
      </c>
      <c r="DU44">
        <v>-0.35333333333333333</v>
      </c>
      <c r="DV44">
        <v>-0.89333333333333331</v>
      </c>
      <c r="DW44">
        <v>-3</v>
      </c>
      <c r="DX44">
        <v>0.3240118240118906</v>
      </c>
      <c r="DY44">
        <v>-3</v>
      </c>
      <c r="DZ44">
        <v>2172</v>
      </c>
      <c r="EA44">
        <v>-3</v>
      </c>
      <c r="EB44">
        <v>3</v>
      </c>
      <c r="EC44">
        <v>2.1713992489965958E-2</v>
      </c>
      <c r="ED44">
        <v>0.15077923385077743</v>
      </c>
      <c r="EE44" s="10">
        <v>-3.00691</v>
      </c>
      <c r="EF44">
        <v>-3.0321099999999999</v>
      </c>
      <c r="EG44">
        <v>18.144011824011891</v>
      </c>
      <c r="EH44" t="s">
        <v>540</v>
      </c>
      <c r="EI44">
        <v>0</v>
      </c>
      <c r="EJ44">
        <v>0</v>
      </c>
      <c r="EK44" s="12">
        <v>45470</v>
      </c>
      <c r="EL44" s="13">
        <v>-1.01</v>
      </c>
      <c r="EM44" s="13">
        <v>-2.3199999999999998</v>
      </c>
      <c r="EN44">
        <v>0.97</v>
      </c>
      <c r="EO44">
        <v>2.13</v>
      </c>
      <c r="EP44">
        <v>-2.52</v>
      </c>
    </row>
    <row r="45" spans="1:146" ht="168" hidden="1" x14ac:dyDescent="0.25">
      <c r="C45" s="5" t="str">
        <f>"公司的主营业务是常温乳酸菌系列饮品的研发、生产和销售；公司目前主要产品为“味动力”系列常温乳酸菌饮品。2011年起,本公司进入含乳饮品中的常温乳酸菌市场,并以此为主营业务"&amp;CHAR(10)&amp;Basic_Fundamental_Information_Constructure(F45)&amp;CHAR(10)&amp;Basic_Fundamental_Information_Concatenate("乳酸菌饮品 5.16亿 61.08%
其他饮品 2.68亿 31.70%
益生菌食品 3700.44万 4.38%
益生菌饮品 2273.82万 2.69%")</f>
        <v>公司的主营业务是常温乳酸菌系列饮品的研发、生产和销售；公司目前主要产品为“味动力”系列常温乳酸菌饮品。2011年起,本公司进入含乳饮品中的常温乳酸菌市场,并以此为主营业务
市值32.065846亿, 利润2615.03万; PE53.61; 平均PE18.99; 平均PEG1.19, PB1.66; ROIC4.73%; ROE5.19%; 股利率1.8727%; 毛利33.5633%; 净利9.1067%; 上一年度营收增-59.84%, 利润增-65.92%; 当季营收增-54.95%, 利润增-45.15%; 过往5年营收增-15.9%, 利润增-31.27%
Income profile:
乳酸菌饮品 5.16亿 61.08%
其他饮品 2.68亿 31.70%
益生菌食品 3700.44万 4.38%
益生菌饮品 2273.82万 2.69%</v>
      </c>
      <c r="D45" t="s">
        <v>127</v>
      </c>
      <c r="E45" t="s">
        <v>128</v>
      </c>
      <c r="F45">
        <v>5.34</v>
      </c>
      <c r="G45">
        <v>1.1399999999999999</v>
      </c>
      <c r="H45" t="s">
        <v>1900</v>
      </c>
      <c r="I45">
        <v>3206584600</v>
      </c>
      <c r="J45">
        <v>53.61</v>
      </c>
      <c r="K45">
        <v>1.66</v>
      </c>
      <c r="L45" t="s">
        <v>36</v>
      </c>
      <c r="M45" t="s">
        <v>299</v>
      </c>
      <c r="N45" t="s">
        <v>1901</v>
      </c>
      <c r="O45" t="s">
        <v>1902</v>
      </c>
      <c r="P45">
        <v>-11.1</v>
      </c>
      <c r="Q45" t="s">
        <v>1902</v>
      </c>
      <c r="R45">
        <v>26150322</v>
      </c>
      <c r="S45" s="4">
        <v>9.3399999999999997E-2</v>
      </c>
      <c r="T45" t="s">
        <v>1903</v>
      </c>
      <c r="U45">
        <v>600484000</v>
      </c>
      <c r="V45">
        <v>600484000</v>
      </c>
      <c r="W45">
        <v>1.18</v>
      </c>
      <c r="X45">
        <v>0.17</v>
      </c>
      <c r="Y45">
        <v>6.49</v>
      </c>
      <c r="Z45" t="s">
        <v>342</v>
      </c>
      <c r="AA45" t="s">
        <v>632</v>
      </c>
      <c r="AB45" t="s">
        <v>1904</v>
      </c>
      <c r="AC45" t="s">
        <v>1905</v>
      </c>
      <c r="AD45" t="s">
        <v>20</v>
      </c>
      <c r="AE45">
        <v>-1275777</v>
      </c>
      <c r="AF45" t="s">
        <v>1906</v>
      </c>
      <c r="AG45" t="s">
        <v>1907</v>
      </c>
      <c r="AH45" t="s">
        <v>1908</v>
      </c>
      <c r="AI45" t="s">
        <v>626</v>
      </c>
      <c r="AJ45" t="s">
        <v>1909</v>
      </c>
      <c r="AK45" t="s">
        <v>20</v>
      </c>
      <c r="AL45" t="s">
        <v>1910</v>
      </c>
      <c r="AM45" t="s">
        <v>20</v>
      </c>
      <c r="AN45" t="s">
        <v>515</v>
      </c>
      <c r="AO45" t="s">
        <v>20</v>
      </c>
      <c r="AP45" t="s">
        <v>1911</v>
      </c>
      <c r="AQ45" t="s">
        <v>1912</v>
      </c>
      <c r="AR45" t="s">
        <v>20</v>
      </c>
      <c r="AS45" t="s">
        <v>258</v>
      </c>
      <c r="AT45" t="s">
        <v>20</v>
      </c>
      <c r="AU45" t="s">
        <v>613</v>
      </c>
      <c r="AV45" t="s">
        <v>1913</v>
      </c>
      <c r="AW45" t="s">
        <v>1914</v>
      </c>
      <c r="AX45" t="s">
        <v>225</v>
      </c>
      <c r="AY45" t="s">
        <v>82</v>
      </c>
      <c r="AZ45" t="s">
        <v>256</v>
      </c>
      <c r="BA45" t="s">
        <v>129</v>
      </c>
      <c r="BB45" t="s">
        <v>257</v>
      </c>
      <c r="BC45" t="s">
        <v>1915</v>
      </c>
      <c r="BD45" t="s">
        <v>130</v>
      </c>
      <c r="BE45" t="s">
        <v>223</v>
      </c>
      <c r="BF45" t="s">
        <v>258</v>
      </c>
      <c r="BG45" t="s">
        <v>105</v>
      </c>
      <c r="BH45" t="s">
        <v>125</v>
      </c>
      <c r="BI45" t="s">
        <v>624</v>
      </c>
      <c r="BJ45" t="s">
        <v>225</v>
      </c>
      <c r="BK45" t="s">
        <v>1916</v>
      </c>
      <c r="BL45" t="s">
        <v>625</v>
      </c>
      <c r="BM45" t="s">
        <v>1915</v>
      </c>
      <c r="BN45">
        <v>4.3</v>
      </c>
      <c r="BO45">
        <v>3.12</v>
      </c>
      <c r="BP45">
        <v>6.77</v>
      </c>
      <c r="BQ45">
        <v>4.25</v>
      </c>
      <c r="BR45">
        <v>3.99</v>
      </c>
      <c r="BS45">
        <v>7.33</v>
      </c>
      <c r="BT45" t="s">
        <v>1917</v>
      </c>
      <c r="BU45" t="s">
        <v>347</v>
      </c>
      <c r="BV45">
        <v>24.43</v>
      </c>
      <c r="BW45">
        <v>35.64</v>
      </c>
      <c r="BX45">
        <v>40.619999999999997</v>
      </c>
      <c r="BY45">
        <v>3.96</v>
      </c>
      <c r="BZ45">
        <v>7.43</v>
      </c>
      <c r="CA45">
        <v>15.93</v>
      </c>
      <c r="CB45">
        <v>-2.5499999999999998</v>
      </c>
      <c r="CC45">
        <v>-18.3</v>
      </c>
      <c r="CD45" t="s">
        <v>1918</v>
      </c>
      <c r="CE45" t="s">
        <v>1919</v>
      </c>
      <c r="CF45" s="7">
        <v>-0.54948805460750849</v>
      </c>
      <c r="CG45" s="8">
        <v>-0.4515130502630188</v>
      </c>
      <c r="CH45" s="7">
        <v>-0.5983772873878479</v>
      </c>
      <c r="CI45" s="7">
        <v>7.8774616122245789E-2</v>
      </c>
      <c r="CJ45" s="7">
        <v>7.2769954800605774E-2</v>
      </c>
      <c r="CK45" s="7">
        <v>-0.31621187925338745</v>
      </c>
      <c r="CL45" s="7">
        <v>-3.185708075761795E-2</v>
      </c>
      <c r="CM45" s="8">
        <v>-0.65921640396118164</v>
      </c>
      <c r="CN45" s="8">
        <v>-0.47798776626586914</v>
      </c>
      <c r="CO45" s="8">
        <v>-0.31308412551879883</v>
      </c>
      <c r="CP45" s="8">
        <v>-0.27457627654075623</v>
      </c>
      <c r="CQ45" s="8">
        <v>0.16141732037067413</v>
      </c>
      <c r="CR45">
        <v>18.994739487490254</v>
      </c>
      <c r="CS45">
        <v>1.1947854715628916</v>
      </c>
      <c r="CT45">
        <v>1.8726591760299627</v>
      </c>
      <c r="CU45" s="7">
        <v>-0.15898033529520034</v>
      </c>
      <c r="CV45" s="8">
        <v>-0.31268945038318635</v>
      </c>
      <c r="CW45">
        <v>0.06</v>
      </c>
      <c r="CX45">
        <v>70.499558322466669</v>
      </c>
      <c r="CY45" t="s">
        <v>1920</v>
      </c>
      <c r="CZ45">
        <v>-0.15898033529520034</v>
      </c>
      <c r="DA45">
        <v>23.499852774155556</v>
      </c>
      <c r="DB45" t="s">
        <v>1921</v>
      </c>
      <c r="DC45">
        <v>-0.1510313185304403</v>
      </c>
      <c r="DD45">
        <v>11.749926387077778</v>
      </c>
      <c r="DE45" t="s">
        <v>1922</v>
      </c>
      <c r="DF45">
        <v>-0.13990269505977629</v>
      </c>
      <c r="DG45">
        <v>7.0499558322466669</v>
      </c>
      <c r="DH45" t="s">
        <v>1923</v>
      </c>
      <c r="DI45">
        <v>-0.12718426823616027</v>
      </c>
      <c r="DJ45">
        <v>3.5249779161233334</v>
      </c>
      <c r="DK45" t="s">
        <v>1924</v>
      </c>
      <c r="DL45">
        <v>-0.11128623470664023</v>
      </c>
      <c r="DM45">
        <v>26150300.000000004</v>
      </c>
      <c r="DN45">
        <v>-0.15898033529520034</v>
      </c>
      <c r="DO45">
        <v>1843584600.0000002</v>
      </c>
      <c r="DP45">
        <v>670410590</v>
      </c>
      <c r="DQ45">
        <v>4523</v>
      </c>
      <c r="DR45">
        <v>-0.39050771931230815</v>
      </c>
      <c r="DS45">
        <v>-0.13882359987983245</v>
      </c>
      <c r="DT45" s="9">
        <v>-0.72333333333333327</v>
      </c>
      <c r="DU45">
        <v>-0.85333333333333339</v>
      </c>
      <c r="DV45">
        <v>-1.5766666666666667</v>
      </c>
      <c r="DW45">
        <v>-8.1393442622950811</v>
      </c>
      <c r="DX45">
        <v>0.3713682926829267</v>
      </c>
      <c r="DY45">
        <v>-8.0196988604558168</v>
      </c>
      <c r="DZ45">
        <v>2920</v>
      </c>
      <c r="EA45">
        <v>-8.0084423687667794</v>
      </c>
      <c r="EB45">
        <v>8</v>
      </c>
      <c r="EC45">
        <v>2.8957141239400217E-2</v>
      </c>
      <c r="ED45">
        <v>0.20483476662159192</v>
      </c>
      <c r="EE45" s="10">
        <v>-2.0007999999999999</v>
      </c>
      <c r="EF45">
        <v>-2.02651</v>
      </c>
      <c r="EG45">
        <v>23.141368292682927</v>
      </c>
      <c r="EH45" t="s">
        <v>519</v>
      </c>
      <c r="EI45">
        <v>0</v>
      </c>
      <c r="EJ45">
        <v>0</v>
      </c>
      <c r="EK45" s="12">
        <v>45470</v>
      </c>
      <c r="EL45" s="13">
        <v>-2.27</v>
      </c>
      <c r="EM45" s="13">
        <v>-4.79</v>
      </c>
      <c r="EN45">
        <v>2.34</v>
      </c>
      <c r="EO45">
        <v>3.26</v>
      </c>
      <c r="EP45">
        <v>-2.73</v>
      </c>
    </row>
    <row r="46" spans="1:146" ht="144" hidden="1" x14ac:dyDescent="0.25">
      <c r="B46" t="s">
        <v>378</v>
      </c>
      <c r="C46" s="5" t="str">
        <f>"公司主营业务为饮料的研发、生产和销售，主要产品包括东鹏特饮、东鹏大咖、东鹏0糖特饮、东鹏加気、风味饮料、茶饮料、清凉饮料、包装饮用水，其中东鹏特饮是公司的主导产品。"&amp;CHAR(10)&amp;Basic_Fundamental_Information_Constructure(F46)&amp;CHAR(10)&amp;Basic_Fundamental_Information_Concatenate("东鹏特饮 63.92亿 96.20%
其他饮料 2.41亿 3.63% ")</f>
        <v xml:space="preserve">公司主营业务为饮料的研发、生产和销售，主要产品包括东鹏特饮、东鹏大咖、东鹏0糖特饮、东鹏加気、风味饮料、茶饮料、清凉饮料、包装饮用水，其中东鹏特饮是公司的主导产品。
市值817.90045亿, 利润6.64亿; PE37.07; 平均PE100.21; 平均PEG8.36, PB11.7; ROIC23.99%; ROE32.6267%; 股利率1.2227%; 毛利43.2567%; 净利17.3833%; 上一年度营收增-59.06%, 利润增-53.92%; 当季营收增-36.23%, 利润增-40.08%; 过往5年营收增11.98%, 利润增44.07%
Income profile:
东鹏特饮 63.92亿 96.20%
其他饮料 2.41亿 3.63% </v>
      </c>
      <c r="D46" t="s">
        <v>259</v>
      </c>
      <c r="E46" t="s">
        <v>260</v>
      </c>
      <c r="F46">
        <v>204.47</v>
      </c>
      <c r="G46">
        <v>0.01</v>
      </c>
      <c r="H46" t="s">
        <v>1925</v>
      </c>
      <c r="I46">
        <v>81790045000</v>
      </c>
      <c r="J46">
        <v>37.07</v>
      </c>
      <c r="K46">
        <v>11.7</v>
      </c>
      <c r="L46" t="s">
        <v>36</v>
      </c>
      <c r="M46" t="s">
        <v>1926</v>
      </c>
      <c r="N46" t="s">
        <v>1927</v>
      </c>
      <c r="O46" t="s">
        <v>1928</v>
      </c>
      <c r="P46">
        <v>39.799999999999997</v>
      </c>
      <c r="Q46" t="s">
        <v>1928</v>
      </c>
      <c r="R46">
        <v>663880400</v>
      </c>
      <c r="S46" s="4">
        <v>0.33510000000000001</v>
      </c>
      <c r="T46" t="s">
        <v>602</v>
      </c>
      <c r="U46">
        <v>400010000</v>
      </c>
      <c r="V46">
        <v>400010000</v>
      </c>
      <c r="W46">
        <v>2.2599999999999998</v>
      </c>
      <c r="X46">
        <v>0.23</v>
      </c>
      <c r="Y46">
        <v>19.07</v>
      </c>
      <c r="Z46" t="s">
        <v>1712</v>
      </c>
      <c r="AA46" t="s">
        <v>1929</v>
      </c>
      <c r="AB46" t="s">
        <v>163</v>
      </c>
      <c r="AC46" t="s">
        <v>372</v>
      </c>
      <c r="AD46" t="s">
        <v>20</v>
      </c>
      <c r="AE46">
        <v>-45066576</v>
      </c>
      <c r="AF46" t="s">
        <v>1930</v>
      </c>
      <c r="AG46" t="s">
        <v>1931</v>
      </c>
      <c r="AH46" t="s">
        <v>1932</v>
      </c>
      <c r="AI46" t="s">
        <v>1933</v>
      </c>
      <c r="AJ46" t="s">
        <v>1934</v>
      </c>
      <c r="AK46" t="s">
        <v>20</v>
      </c>
      <c r="AL46" t="s">
        <v>1935</v>
      </c>
      <c r="AM46" t="s">
        <v>20</v>
      </c>
      <c r="AN46" t="s">
        <v>374</v>
      </c>
      <c r="AO46" t="s">
        <v>1936</v>
      </c>
      <c r="AP46" t="s">
        <v>627</v>
      </c>
      <c r="AQ46" t="s">
        <v>1937</v>
      </c>
      <c r="AR46" t="s">
        <v>20</v>
      </c>
      <c r="AS46" t="s">
        <v>1938</v>
      </c>
      <c r="AT46" t="s">
        <v>64</v>
      </c>
      <c r="AU46" t="s">
        <v>1939</v>
      </c>
      <c r="AV46" t="s">
        <v>1940</v>
      </c>
      <c r="AW46" t="s">
        <v>494</v>
      </c>
      <c r="AX46" t="s">
        <v>524</v>
      </c>
      <c r="AY46" t="s">
        <v>323</v>
      </c>
      <c r="AZ46" t="s">
        <v>261</v>
      </c>
      <c r="BA46" t="s">
        <v>263</v>
      </c>
      <c r="BB46" t="s">
        <v>236</v>
      </c>
      <c r="BC46" t="s">
        <v>525</v>
      </c>
      <c r="BD46" t="s">
        <v>324</v>
      </c>
      <c r="BE46" t="s">
        <v>262</v>
      </c>
      <c r="BF46" t="s">
        <v>264</v>
      </c>
      <c r="BG46" t="s">
        <v>176</v>
      </c>
      <c r="BH46" t="s">
        <v>1941</v>
      </c>
      <c r="BI46" t="s">
        <v>628</v>
      </c>
      <c r="BJ46" t="s">
        <v>524</v>
      </c>
      <c r="BK46" t="s">
        <v>1942</v>
      </c>
      <c r="BL46" t="s">
        <v>227</v>
      </c>
      <c r="BM46" t="s">
        <v>525</v>
      </c>
      <c r="BN46">
        <v>17.510000000000002</v>
      </c>
      <c r="BO46">
        <v>22.19</v>
      </c>
      <c r="BP46">
        <v>32.270000000000003</v>
      </c>
      <c r="BQ46">
        <v>29.75</v>
      </c>
      <c r="BR46">
        <v>31.65</v>
      </c>
      <c r="BS46">
        <v>36.479999999999997</v>
      </c>
      <c r="BT46" t="s">
        <v>1943</v>
      </c>
      <c r="BU46" t="s">
        <v>347</v>
      </c>
      <c r="BV46">
        <v>43.07</v>
      </c>
      <c r="BW46">
        <v>42.33</v>
      </c>
      <c r="BX46">
        <v>44.37</v>
      </c>
      <c r="BY46">
        <v>18.11</v>
      </c>
      <c r="BZ46">
        <v>16.940000000000001</v>
      </c>
      <c r="CA46">
        <v>17.100000000000001</v>
      </c>
      <c r="CB46">
        <v>-5.23</v>
      </c>
      <c r="CC46">
        <v>-8.11</v>
      </c>
      <c r="CD46" t="s">
        <v>1944</v>
      </c>
      <c r="CE46" t="s">
        <v>1945</v>
      </c>
      <c r="CF46" s="7">
        <v>-0.36227106227106226</v>
      </c>
      <c r="CG46" s="8">
        <v>-0.40082996389891695</v>
      </c>
      <c r="CH46" s="7">
        <v>-0.59059375524520874</v>
      </c>
      <c r="CI46" s="7">
        <v>0.21883063018321991</v>
      </c>
      <c r="CJ46" s="7">
        <v>0.40713849663734436</v>
      </c>
      <c r="CK46" s="7">
        <v>0.17818962037563324</v>
      </c>
      <c r="CL46" s="7">
        <v>0.38545086979866028</v>
      </c>
      <c r="CM46" s="8">
        <v>-0.53920888900756836</v>
      </c>
      <c r="CN46" s="8">
        <v>0.20787930488586426</v>
      </c>
      <c r="CO46" s="8">
        <v>0.46921175718307495</v>
      </c>
      <c r="CP46" s="8">
        <v>0.42206653952598572</v>
      </c>
      <c r="CQ46" s="8">
        <v>1.6435185670852661</v>
      </c>
      <c r="CR46">
        <v>100.21243005921994</v>
      </c>
      <c r="CS46">
        <v>8.3647559654357231</v>
      </c>
      <c r="CT46">
        <v>1.2226732527999218</v>
      </c>
      <c r="CU46" s="7">
        <v>0.11980317234992981</v>
      </c>
      <c r="CV46" s="8">
        <v>0.44069345593452453</v>
      </c>
      <c r="CW46">
        <v>0.06</v>
      </c>
      <c r="CX46">
        <v>118.59244159899387</v>
      </c>
      <c r="CY46">
        <v>701461609.84938991</v>
      </c>
      <c r="CZ46">
        <v>0.11980317234992981</v>
      </c>
      <c r="DA46">
        <v>37.792342283429143</v>
      </c>
      <c r="DB46">
        <v>2201187859.0673003</v>
      </c>
      <c r="DC46">
        <v>0.11381301373243331</v>
      </c>
      <c r="DD46">
        <v>17.982188131113151</v>
      </c>
      <c r="DE46">
        <v>4626135840.2799902</v>
      </c>
      <c r="DF46">
        <v>0.10542679166793822</v>
      </c>
      <c r="DG46">
        <v>10.386780728424069</v>
      </c>
      <c r="DH46">
        <v>8009030629.8996725</v>
      </c>
      <c r="DI46">
        <v>9.5842537879943845E-2</v>
      </c>
      <c r="DJ46">
        <v>4.9178385476660207</v>
      </c>
      <c r="DK46">
        <v>16915570569.001413</v>
      </c>
      <c r="DL46">
        <v>8.3862220644950858E-2</v>
      </c>
      <c r="DM46">
        <v>664000000</v>
      </c>
      <c r="DN46">
        <v>0.11980317234992981</v>
      </c>
      <c r="DO46">
        <v>83188045000</v>
      </c>
      <c r="DP46">
        <v>1063442599.999999</v>
      </c>
      <c r="DQ46">
        <v>4528</v>
      </c>
      <c r="DR46">
        <v>-0.48207423462099208</v>
      </c>
      <c r="DS46">
        <v>-0.84152341983344148</v>
      </c>
      <c r="DT46" s="9">
        <v>-0.10666666666666676</v>
      </c>
      <c r="DU46">
        <v>0.21333333333333335</v>
      </c>
      <c r="DV46">
        <v>0.10666666666666659</v>
      </c>
      <c r="DW46">
        <v>-8.6448828606658452</v>
      </c>
      <c r="DX46">
        <v>0.30112625423458084</v>
      </c>
      <c r="DY46">
        <v>-8.1168052169724856</v>
      </c>
      <c r="DZ46">
        <v>2688</v>
      </c>
      <c r="EA46">
        <v>-8.0553624727020274</v>
      </c>
      <c r="EB46">
        <v>8</v>
      </c>
      <c r="EC46">
        <v>1.3326166845828852E-2</v>
      </c>
      <c r="ED46">
        <v>7.3573910652233704E-2</v>
      </c>
      <c r="EE46" s="10">
        <v>7.0909999999999987E-2</v>
      </c>
      <c r="EF46">
        <v>7.7410000000000007E-2</v>
      </c>
      <c r="EG46">
        <v>12.181126254234581</v>
      </c>
      <c r="EH46">
        <v>-1</v>
      </c>
      <c r="EI46">
        <v>0</v>
      </c>
      <c r="EJ46">
        <v>0</v>
      </c>
      <c r="EK46" s="12">
        <v>45470</v>
      </c>
      <c r="EL46" s="13">
        <v>0.33</v>
      </c>
      <c r="EM46" s="13">
        <v>-3.57</v>
      </c>
      <c r="EN46">
        <v>1.68</v>
      </c>
      <c r="EO46">
        <v>2.48</v>
      </c>
      <c r="EP46">
        <v>-0.65</v>
      </c>
    </row>
  </sheetData>
  <autoFilter ref="BU1:BU46">
    <filterColumn colId="0">
      <filters>
        <filter val="乳品"/>
      </filters>
    </filterColumn>
  </autoFilter>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饮料制造&quot;,&quot;&quot;'" altText="更新基本面按钮_x000a_">
                <anchor moveWithCells="1" sizeWithCells="1">
                  <from>
                    <xdr:col>147</xdr:col>
                    <xdr:colOff>139700</xdr:colOff>
                    <xdr:row>0</xdr:row>
                    <xdr:rowOff>50800</xdr:rowOff>
                  </from>
                  <to>
                    <xdr:col>147</xdr:col>
                    <xdr:colOff>1352550</xdr:colOff>
                    <xdr:row>0</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11" sqref="A11"/>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3" customFormat="1" x14ac:dyDescent="0.25">
      <c r="A3" s="3">
        <v>1</v>
      </c>
      <c r="B3" s="3">
        <v>2</v>
      </c>
      <c r="C3" s="3">
        <v>3</v>
      </c>
      <c r="D3" s="3">
        <v>4</v>
      </c>
      <c r="E3" s="3">
        <v>5</v>
      </c>
      <c r="F3" s="3">
        <v>6</v>
      </c>
      <c r="G3" s="3">
        <v>7</v>
      </c>
      <c r="H3" s="3">
        <v>8</v>
      </c>
      <c r="I3" s="3">
        <v>9</v>
      </c>
      <c r="J3" s="3">
        <v>10</v>
      </c>
      <c r="K3" s="3">
        <v>11</v>
      </c>
      <c r="L3" s="3">
        <v>12</v>
      </c>
      <c r="M3" s="3">
        <v>13</v>
      </c>
      <c r="N3" s="3">
        <v>14</v>
      </c>
      <c r="O3" s="3">
        <v>15</v>
      </c>
      <c r="P3" s="3">
        <v>16</v>
      </c>
      <c r="Q3" s="3">
        <v>17</v>
      </c>
      <c r="R3" s="3">
        <v>18</v>
      </c>
      <c r="S3" s="3">
        <v>19</v>
      </c>
      <c r="T3" s="3">
        <v>20</v>
      </c>
      <c r="U3" s="3">
        <v>21</v>
      </c>
      <c r="V3" s="3">
        <v>22</v>
      </c>
      <c r="W3" s="3">
        <v>23</v>
      </c>
      <c r="X3" s="3">
        <v>24</v>
      </c>
      <c r="Y3" s="3">
        <v>25</v>
      </c>
      <c r="Z3" s="3">
        <v>26</v>
      </c>
      <c r="AA3" s="3">
        <v>27</v>
      </c>
      <c r="AB3" s="3">
        <v>28</v>
      </c>
      <c r="AC3" s="3">
        <v>29</v>
      </c>
      <c r="AD3" s="3">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饮料制造</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2024-07-07T14:47:03Z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