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食品饮料\"/>
    </mc:Choice>
  </mc:AlternateContent>
  <bookViews>
    <workbookView xWindow="-110" yWindow="-110" windowWidth="23260" windowHeight="12460"/>
  </bookViews>
  <sheets>
    <sheet name="食品加工制造" sheetId="15" r:id="rId1"/>
    <sheet name="估值-增速与年化收益" sheetId="14" r:id="rId2"/>
  </sheets>
  <functionGroups builtInGroupCount="18"/>
  <definedNames>
    <definedName name="_xlnm._FilterDatabase" localSheetId="0" hidden="1">食品加工制造!$BU$1:$BU$64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14" l="1"/>
  <c r="B8"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4" i="15"/>
  <c r="C31" i="15"/>
  <c r="C28" i="15"/>
  <c r="C48" i="15"/>
  <c r="C60" i="15"/>
  <c r="C11" i="15"/>
  <c r="C17" i="15"/>
  <c r="C30" i="15"/>
  <c r="C49" i="15"/>
  <c r="C54" i="15"/>
  <c r="C13" i="15"/>
  <c r="C33" i="15"/>
  <c r="C55" i="15"/>
  <c r="C4" i="15"/>
  <c r="C53" i="15"/>
  <c r="C16" i="15"/>
  <c r="C47" i="15"/>
  <c r="C50" i="15"/>
  <c r="C57" i="15"/>
  <c r="C7" i="15"/>
  <c r="C23" i="15"/>
  <c r="C32" i="15"/>
  <c r="C38" i="15"/>
  <c r="C34" i="15"/>
  <c r="C36" i="15"/>
  <c r="C35" i="15"/>
  <c r="C39" i="15"/>
  <c r="C56" i="15"/>
  <c r="C6" i="15"/>
  <c r="C42" i="15"/>
  <c r="C51" i="15"/>
  <c r="C18" i="15"/>
  <c r="C37" i="15"/>
  <c r="C24" i="15"/>
  <c r="C61" i="15"/>
  <c r="C3" i="15"/>
  <c r="C26" i="15"/>
  <c r="C8" i="15"/>
  <c r="C41" i="15"/>
  <c r="C9" i="15"/>
  <c r="C22" i="15"/>
  <c r="C58" i="15"/>
  <c r="C59" i="15"/>
  <c r="C15" i="15"/>
  <c r="C10" i="15"/>
  <c r="C12" i="15"/>
  <c r="C29" i="15"/>
  <c r="C40" i="15"/>
  <c r="C21" i="15"/>
  <c r="C52" i="15"/>
  <c r="C27" i="15"/>
  <c r="C45" i="15"/>
  <c r="C25" i="15"/>
  <c r="C14" i="15"/>
  <c r="C43" i="15"/>
  <c r="C2" i="15"/>
  <c r="C46" i="15"/>
  <c r="C20" i="15"/>
  <c r="C5" i="15"/>
  <c r="C5" i="14" l="1"/>
  <c r="D5" i="14" l="1"/>
  <c r="C8" i="14"/>
  <c r="E5" i="14" l="1"/>
  <c r="D8" i="14"/>
  <c r="F5" i="14" l="1"/>
  <c r="E8" i="14"/>
  <c r="G5" i="14" l="1"/>
  <c r="F8" i="14"/>
  <c r="H5" i="14" l="1"/>
  <c r="G8" i="14"/>
  <c r="I5" i="14" l="1"/>
  <c r="H8" i="14"/>
  <c r="J5" i="14" l="1"/>
  <c r="I8" i="14"/>
  <c r="K5" i="14" l="1"/>
  <c r="J8" i="14"/>
  <c r="L5" i="14" l="1"/>
  <c r="K8" i="14"/>
  <c r="M5" i="14" l="1"/>
  <c r="L8" i="14"/>
  <c r="M8" i="14" l="1"/>
  <c r="N5" i="14"/>
  <c r="O5" i="14" s="1"/>
  <c r="P5" i="14" s="1"/>
  <c r="Q5" i="14" s="1"/>
  <c r="R5" i="14" s="1"/>
  <c r="S5" i="14" s="1"/>
  <c r="T5" i="14" s="1"/>
  <c r="U5" i="14" s="1"/>
  <c r="V5" i="14" s="1"/>
  <c r="W5" i="14" s="1"/>
  <c r="X5" i="14" s="1"/>
  <c r="Y5" i="14" s="1"/>
  <c r="Z5" i="14" s="1"/>
  <c r="AA5" i="14" s="1"/>
  <c r="AB5" i="14" s="1"/>
  <c r="AC5" i="14" s="1"/>
  <c r="AD5" i="14" s="1"/>
</calcChain>
</file>

<file path=xl/sharedStrings.xml><?xml version="1.0" encoding="utf-8"?>
<sst xmlns="http://schemas.openxmlformats.org/spreadsheetml/2006/main" count="3618" uniqueCount="2533">
  <si>
    <t>&lt;-增速</t>
    <phoneticPr fontId="1" type="noConversion"/>
  </si>
  <si>
    <t>&lt;-估值</t>
    <phoneticPr fontId="1" type="noConversion"/>
  </si>
  <si>
    <t>&lt;-折合年化收益</t>
    <phoneticPr fontId="1" type="noConversion"/>
  </si>
  <si>
    <t>现价</t>
  </si>
  <si>
    <t>市净率</t>
  </si>
  <si>
    <t>得利斯</t>
  </si>
  <si>
    <t>金字火腿</t>
  </si>
  <si>
    <t>来伊份</t>
  </si>
  <si>
    <t>佳隆股份</t>
  </si>
  <si>
    <t>海欣食品</t>
  </si>
  <si>
    <t>三全食品</t>
  </si>
  <si>
    <t>安记食品</t>
  </si>
  <si>
    <t>中炬高新</t>
  </si>
  <si>
    <t>桃李面包</t>
  </si>
  <si>
    <t>盐津铺子</t>
  </si>
  <si>
    <t>黑芝麻</t>
  </si>
  <si>
    <t>煌上煌</t>
  </si>
  <si>
    <t>好想你</t>
  </si>
  <si>
    <t>恒顺醋业</t>
  </si>
  <si>
    <t>华统股份</t>
  </si>
  <si>
    <t>广州酒家</t>
  </si>
  <si>
    <t>桂发祥</t>
  </si>
  <si>
    <t>安井食品</t>
  </si>
  <si>
    <t>涪陵榨菜</t>
  </si>
  <si>
    <t>洽洽食品</t>
  </si>
  <si>
    <t>千禾味业</t>
  </si>
  <si>
    <t>绝味食品</t>
  </si>
  <si>
    <t>汤臣倍健</t>
  </si>
  <si>
    <t>双汇发展</t>
  </si>
  <si>
    <t>元祖股份</t>
  </si>
  <si>
    <t>--</t>
  </si>
  <si>
    <t>三只松鼠</t>
  </si>
  <si>
    <t>天味食品</t>
  </si>
  <si>
    <t>有友食品</t>
  </si>
  <si>
    <t>西麦食品</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</si>
  <si>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</si>
  <si>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</si>
  <si>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</si>
  <si>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</si>
  <si>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</si>
  <si>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</si>
  <si>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</si>
  <si>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</si>
  <si>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</si>
  <si>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</si>
  <si>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</si>
  <si>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</si>
  <si>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</si>
  <si>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</si>
  <si>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</si>
  <si>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SZ000639</t>
  </si>
  <si>
    <t>西王食品</t>
  </si>
  <si>
    <t>食品加工制造</t>
  </si>
  <si>
    <t>1.62亿</t>
  </si>
  <si>
    <t>1.79亿</t>
  </si>
  <si>
    <t>SZ000716</t>
  </si>
  <si>
    <t>1.28亿</t>
  </si>
  <si>
    <t>SZ000895</t>
  </si>
  <si>
    <t>SZ002216</t>
  </si>
  <si>
    <t>2.20亿</t>
  </si>
  <si>
    <t>7.77亿</t>
  </si>
  <si>
    <t>1.19亿</t>
  </si>
  <si>
    <t>SZ002330</t>
  </si>
  <si>
    <t>SZ002495</t>
  </si>
  <si>
    <t>0亿</t>
  </si>
  <si>
    <t>SZ002507</t>
  </si>
  <si>
    <t>1.90亿</t>
  </si>
  <si>
    <t>4.66亿</t>
  </si>
  <si>
    <t>SZ002515</t>
  </si>
  <si>
    <t>2.48亿</t>
  </si>
  <si>
    <t>SZ002557</t>
  </si>
  <si>
    <t>2.70亿</t>
  </si>
  <si>
    <t>1.27亿</t>
  </si>
  <si>
    <t>1.43亿</t>
  </si>
  <si>
    <t>SZ002582</t>
  </si>
  <si>
    <t>1.16亿</t>
  </si>
  <si>
    <t>SZ002650</t>
  </si>
  <si>
    <t>1.32亿</t>
  </si>
  <si>
    <t>1.05亿</t>
  </si>
  <si>
    <t>3.00亿</t>
  </si>
  <si>
    <t>1.36亿</t>
  </si>
  <si>
    <t>1.37亿</t>
  </si>
  <si>
    <t>SZ002695</t>
  </si>
  <si>
    <t>1.08亿</t>
  </si>
  <si>
    <t>SZ002702</t>
  </si>
  <si>
    <t>1.61亿</t>
  </si>
  <si>
    <t>1.54亿</t>
  </si>
  <si>
    <t>1.31亿</t>
  </si>
  <si>
    <t>SZ002726</t>
  </si>
  <si>
    <t>1.47亿</t>
  </si>
  <si>
    <t>9.68亿</t>
  </si>
  <si>
    <t>1.30亿</t>
  </si>
  <si>
    <t>2.50亿</t>
  </si>
  <si>
    <t>SZ002820</t>
  </si>
  <si>
    <t>1.44亿</t>
  </si>
  <si>
    <t>1.10亿</t>
  </si>
  <si>
    <t>SZ002840</t>
  </si>
  <si>
    <t>1.20亿</t>
  </si>
  <si>
    <t>SZ002847</t>
  </si>
  <si>
    <t>1.04亿</t>
  </si>
  <si>
    <t>2.16亿</t>
  </si>
  <si>
    <t>1.49亿</t>
  </si>
  <si>
    <t>2.06亿</t>
  </si>
  <si>
    <t>1.78亿</t>
  </si>
  <si>
    <t>SZ002956</t>
  </si>
  <si>
    <t>1.57亿</t>
  </si>
  <si>
    <t>1.35亿</t>
  </si>
  <si>
    <t>SZ002991</t>
  </si>
  <si>
    <t>甘源食品</t>
  </si>
  <si>
    <t>SZ003000</t>
  </si>
  <si>
    <t>1.18亿</t>
  </si>
  <si>
    <t>SZ300146</t>
  </si>
  <si>
    <t>1.81亿</t>
  </si>
  <si>
    <t>2.17亿</t>
  </si>
  <si>
    <t>SZ300783</t>
  </si>
  <si>
    <t>SZ300791</t>
  </si>
  <si>
    <t>仙乐健康</t>
  </si>
  <si>
    <t>SH600073</t>
  </si>
  <si>
    <t>SH600186</t>
  </si>
  <si>
    <t>17.03亿</t>
  </si>
  <si>
    <t>1.14亿</t>
  </si>
  <si>
    <t>SH600305</t>
  </si>
  <si>
    <t>8.51亿</t>
  </si>
  <si>
    <t>1.40亿</t>
  </si>
  <si>
    <t>1.58亿</t>
  </si>
  <si>
    <t>SH600872</t>
  </si>
  <si>
    <t>4.20亿</t>
  </si>
  <si>
    <t>1.76亿</t>
  </si>
  <si>
    <t>SH603027</t>
  </si>
  <si>
    <t>SH603043</t>
  </si>
  <si>
    <t>SH603288</t>
  </si>
  <si>
    <t>9.09亿</t>
  </si>
  <si>
    <t>SH603317</t>
  </si>
  <si>
    <t>SH603345</t>
  </si>
  <si>
    <t>3.73亿</t>
  </si>
  <si>
    <t>SH603517</t>
  </si>
  <si>
    <t>SH603536</t>
  </si>
  <si>
    <t>1.15亿</t>
  </si>
  <si>
    <t>SH603696</t>
  </si>
  <si>
    <t>1.55亿</t>
  </si>
  <si>
    <t>SH603697</t>
  </si>
  <si>
    <t>10.08亿</t>
  </si>
  <si>
    <t>SH603719</t>
  </si>
  <si>
    <t>良品铺子</t>
  </si>
  <si>
    <t>3.40亿</t>
  </si>
  <si>
    <t>SH603755</t>
  </si>
  <si>
    <t>日辰股份</t>
  </si>
  <si>
    <t>SH603777</t>
  </si>
  <si>
    <t>SH603866</t>
  </si>
  <si>
    <t>SH603886</t>
  </si>
  <si>
    <t>4.05亿</t>
  </si>
  <si>
    <t>SH605338</t>
  </si>
  <si>
    <t>巴比食品</t>
  </si>
  <si>
    <t>1.85亿</t>
  </si>
  <si>
    <t>24.36亿</t>
  </si>
  <si>
    <t>2.67亿</t>
  </si>
  <si>
    <t>1.74亿</t>
  </si>
  <si>
    <t>4.58亿</t>
  </si>
  <si>
    <t>2.59亿</t>
  </si>
  <si>
    <t>3.43亿</t>
  </si>
  <si>
    <t>3.04亿</t>
  </si>
  <si>
    <t>1.01亿</t>
  </si>
  <si>
    <t>8.90亿</t>
  </si>
  <si>
    <t>60.95亿</t>
  </si>
  <si>
    <t>15.24亿</t>
  </si>
  <si>
    <t>SZ300908</t>
  </si>
  <si>
    <t>仲景食品</t>
  </si>
  <si>
    <t>1.63亿</t>
  </si>
  <si>
    <t>1.46亿</t>
  </si>
  <si>
    <t>20.19亿</t>
  </si>
  <si>
    <t>4.83亿</t>
  </si>
  <si>
    <t>1.02亿</t>
  </si>
  <si>
    <t>2.66亿</t>
  </si>
  <si>
    <t>1.71亿</t>
  </si>
  <si>
    <t>流动资产</t>
  </si>
  <si>
    <t>营业收入[20191231]</t>
  </si>
  <si>
    <t>营业收入[20181231]</t>
  </si>
  <si>
    <t>营业收入[20171231]</t>
  </si>
  <si>
    <t>净利润[20191231]</t>
  </si>
  <si>
    <t>净利润[20181231]</t>
  </si>
  <si>
    <t>净利润[20171231]</t>
  </si>
  <si>
    <t>57.80亿</t>
  </si>
  <si>
    <t>3.13亿</t>
  </si>
  <si>
    <t>2.80亿</t>
  </si>
  <si>
    <t>1.03亿</t>
  </si>
  <si>
    <t>57.27亿</t>
  </si>
  <si>
    <t>58.45亿</t>
  </si>
  <si>
    <t>-7.52亿</t>
  </si>
  <si>
    <t>4.68亿</t>
  </si>
  <si>
    <t>1.24亿</t>
  </si>
  <si>
    <t>38.41亿</t>
  </si>
  <si>
    <t>911.08万</t>
  </si>
  <si>
    <t>44.76亿</t>
  </si>
  <si>
    <t>39.64亿</t>
  </si>
  <si>
    <t>3384.65万</t>
  </si>
  <si>
    <t>5991.30万</t>
  </si>
  <si>
    <t>1.11亿</t>
  </si>
  <si>
    <t>62.56亿</t>
  </si>
  <si>
    <t>603.10亿</t>
  </si>
  <si>
    <t>487.39亿</t>
  </si>
  <si>
    <t>54.38亿</t>
  </si>
  <si>
    <t>49.12亿</t>
  </si>
  <si>
    <t>69.26亿</t>
  </si>
  <si>
    <t>7.68亿</t>
  </si>
  <si>
    <t>59.86亿</t>
  </si>
  <si>
    <t>55.39亿</t>
  </si>
  <si>
    <t>32.81亿</t>
  </si>
  <si>
    <t>22.53亿</t>
  </si>
  <si>
    <t>3.50亿</t>
  </si>
  <si>
    <t>2910.40万</t>
  </si>
  <si>
    <t>5.00亿</t>
  </si>
  <si>
    <t>23.46亿</t>
  </si>
  <si>
    <t>799.37万</t>
  </si>
  <si>
    <t>799.95万</t>
  </si>
  <si>
    <t>3.19亿</t>
  </si>
  <si>
    <t>2.43亿</t>
  </si>
  <si>
    <t>974.90万</t>
  </si>
  <si>
    <t>2.97亿</t>
  </si>
  <si>
    <t>2.98亿</t>
  </si>
  <si>
    <t>2797.79万</t>
  </si>
  <si>
    <t>3519.40万</t>
  </si>
  <si>
    <t>22.73亿</t>
  </si>
  <si>
    <t>2.83亿</t>
  </si>
  <si>
    <t>19.90亿</t>
  </si>
  <si>
    <t>19.14亿</t>
  </si>
  <si>
    <t>6.05亿</t>
  </si>
  <si>
    <t>6.62亿</t>
  </si>
  <si>
    <t>4.14亿</t>
  </si>
  <si>
    <t>2.57亿</t>
  </si>
  <si>
    <t>1.59亿</t>
  </si>
  <si>
    <t>7.10亿</t>
  </si>
  <si>
    <t>5930.14万</t>
  </si>
  <si>
    <t>1.00亿</t>
  </si>
  <si>
    <t>2.82亿</t>
  </si>
  <si>
    <t>4.26亿</t>
  </si>
  <si>
    <t>3.72亿</t>
  </si>
  <si>
    <t>3354.60万</t>
  </si>
  <si>
    <t>-842.99万</t>
  </si>
  <si>
    <t>52.89亿</t>
  </si>
  <si>
    <t>8.05亿</t>
  </si>
  <si>
    <t>1.77亿</t>
  </si>
  <si>
    <t>48.37亿</t>
  </si>
  <si>
    <t>41.97亿</t>
  </si>
  <si>
    <t>36.03亿</t>
  </si>
  <si>
    <t>6.16亿</t>
  </si>
  <si>
    <t>4.33亿</t>
  </si>
  <si>
    <t>3.64亿</t>
  </si>
  <si>
    <t>-1.03亿</t>
  </si>
  <si>
    <t>30.01亿</t>
  </si>
  <si>
    <t>21.55亿</t>
  </si>
  <si>
    <t>59.61亿</t>
  </si>
  <si>
    <t>49.49亿</t>
  </si>
  <si>
    <t>40.70亿</t>
  </si>
  <si>
    <t>1.93亿</t>
  </si>
  <si>
    <t>1.07亿</t>
  </si>
  <si>
    <t>1.98亿</t>
  </si>
  <si>
    <t>8.57亿</t>
  </si>
  <si>
    <t>20.73亿</t>
  </si>
  <si>
    <t>20.40亿</t>
  </si>
  <si>
    <t>17.88亿</t>
  </si>
  <si>
    <t>17.55亿</t>
  </si>
  <si>
    <t>1.50亿</t>
  </si>
  <si>
    <t>1.73亿</t>
  </si>
  <si>
    <t>2.07亿</t>
  </si>
  <si>
    <t>1.13亿</t>
  </si>
  <si>
    <t>3.66亿</t>
  </si>
  <si>
    <t>21.17亿</t>
  </si>
  <si>
    <t>18.98亿</t>
  </si>
  <si>
    <t>14.78亿</t>
  </si>
  <si>
    <t>1.41亿</t>
  </si>
  <si>
    <t>16.06亿</t>
  </si>
  <si>
    <t>7102.05万</t>
  </si>
  <si>
    <t>13.85亿</t>
  </si>
  <si>
    <t>11.45亿</t>
  </si>
  <si>
    <t>683.99万</t>
  </si>
  <si>
    <t>3489.45万</t>
  </si>
  <si>
    <t>2.26亿</t>
  </si>
  <si>
    <t>6.00亿</t>
  </si>
  <si>
    <t>241.02亿</t>
  </si>
  <si>
    <t>9.06亿</t>
  </si>
  <si>
    <t>23.22亿</t>
  </si>
  <si>
    <t>168.22亿</t>
  </si>
  <si>
    <t>87.78亿</t>
  </si>
  <si>
    <t>2.41亿</t>
  </si>
  <si>
    <t>1.88亿</t>
  </si>
  <si>
    <t>2.81亿</t>
  </si>
  <si>
    <t>12.97亿</t>
  </si>
  <si>
    <t>12.39亿</t>
  </si>
  <si>
    <t>11.01亿</t>
  </si>
  <si>
    <t>6.83亿</t>
  </si>
  <si>
    <t>3.49亿</t>
  </si>
  <si>
    <t>2503.71万</t>
  </si>
  <si>
    <t>5.07亿</t>
  </si>
  <si>
    <t>4.81亿</t>
  </si>
  <si>
    <t>8459.96万</t>
  </si>
  <si>
    <t>8413.08万</t>
  </si>
  <si>
    <t>88.36亿</t>
  </si>
  <si>
    <t>77.06亿</t>
  </si>
  <si>
    <t>51.18亿</t>
  </si>
  <si>
    <t>19.59亿</t>
  </si>
  <si>
    <t>2.42亿</t>
  </si>
  <si>
    <t>13.99亿</t>
  </si>
  <si>
    <t>11.08亿</t>
  </si>
  <si>
    <t>7051.33万</t>
  </si>
  <si>
    <t>4.64亿</t>
  </si>
  <si>
    <t>2.15亿</t>
  </si>
  <si>
    <t>1.75亿</t>
  </si>
  <si>
    <t>6.28亿</t>
  </si>
  <si>
    <t>3.07亿</t>
  </si>
  <si>
    <t>2.22亿</t>
  </si>
  <si>
    <t>10.24亿</t>
  </si>
  <si>
    <t>9.73亿</t>
  </si>
  <si>
    <t>14.62亿</t>
  </si>
  <si>
    <t>11.72亿</t>
  </si>
  <si>
    <t>11.09亿</t>
  </si>
  <si>
    <t>9.11亿</t>
  </si>
  <si>
    <t>1.68亿</t>
  </si>
  <si>
    <t>劲仔食品</t>
  </si>
  <si>
    <t>8.89亿</t>
  </si>
  <si>
    <t>8.95亿</t>
  </si>
  <si>
    <t>2.63亿</t>
  </si>
  <si>
    <t>8.01亿</t>
  </si>
  <si>
    <t>2.38亿</t>
  </si>
  <si>
    <t>6.49亿</t>
  </si>
  <si>
    <t>2.53亿</t>
  </si>
  <si>
    <t>52.62亿</t>
  </si>
  <si>
    <t>43.51亿</t>
  </si>
  <si>
    <t>-3.56亿</t>
  </si>
  <si>
    <t>10.02亿</t>
  </si>
  <si>
    <t>97.94亿</t>
  </si>
  <si>
    <t>3.01亿</t>
  </si>
  <si>
    <t>101.73亿</t>
  </si>
  <si>
    <t>70.01亿</t>
  </si>
  <si>
    <t>2.39亿</t>
  </si>
  <si>
    <t>20.67亿</t>
  </si>
  <si>
    <t>3.28亿</t>
  </si>
  <si>
    <t>1.84亿</t>
  </si>
  <si>
    <t>15.80亿</t>
  </si>
  <si>
    <t>15.95亿</t>
  </si>
  <si>
    <t>2.03亿</t>
  </si>
  <si>
    <t>3.39亿</t>
  </si>
  <si>
    <t>2.61亿</t>
  </si>
  <si>
    <t>1.51亿</t>
  </si>
  <si>
    <t>6.04亿</t>
  </si>
  <si>
    <t>7.27亿</t>
  </si>
  <si>
    <t>5.30亿</t>
  </si>
  <si>
    <t>9163.81万</t>
  </si>
  <si>
    <t>8153.39万</t>
  </si>
  <si>
    <t>5.72亿</t>
  </si>
  <si>
    <t>SZ300973</t>
  </si>
  <si>
    <t>立高食品</t>
  </si>
  <si>
    <t>18.10亿</t>
  </si>
  <si>
    <t>2.32亿</t>
  </si>
  <si>
    <t>15.84亿</t>
  </si>
  <si>
    <t>13.13亿</t>
  </si>
  <si>
    <t>5230.86万</t>
  </si>
  <si>
    <t>238.67亿</t>
  </si>
  <si>
    <t>234.04亿</t>
  </si>
  <si>
    <t>222.00亿</t>
  </si>
  <si>
    <t>1.48亿</t>
  </si>
  <si>
    <t>16.55亿</t>
  </si>
  <si>
    <t>13.55亿</t>
  </si>
  <si>
    <t>17.29亿</t>
  </si>
  <si>
    <t>3.15亿</t>
  </si>
  <si>
    <t>18.32亿</t>
  </si>
  <si>
    <t>17.04亿</t>
  </si>
  <si>
    <t>3.25亿</t>
  </si>
  <si>
    <t>1.70亿</t>
  </si>
  <si>
    <t>2.40亿</t>
  </si>
  <si>
    <t>1.34亿</t>
  </si>
  <si>
    <t>1.80亿</t>
  </si>
  <si>
    <t>3.42亿</t>
  </si>
  <si>
    <t>6.87亿</t>
  </si>
  <si>
    <t>51.23亿</t>
  </si>
  <si>
    <t>46.75亿</t>
  </si>
  <si>
    <t>41.66亿</t>
  </si>
  <si>
    <t>7.18亿</t>
  </si>
  <si>
    <t>6.07亿</t>
  </si>
  <si>
    <t>2.47亿</t>
  </si>
  <si>
    <t>2.34亿</t>
  </si>
  <si>
    <t>16.93亿</t>
  </si>
  <si>
    <t>10.65亿</t>
  </si>
  <si>
    <t>3.59亿</t>
  </si>
  <si>
    <t>32.87亿</t>
  </si>
  <si>
    <t>30.29亿</t>
  </si>
  <si>
    <t>25.37亿</t>
  </si>
  <si>
    <t>3.84亿</t>
  </si>
  <si>
    <t>227.92亿</t>
  </si>
  <si>
    <t>64.03亿</t>
  </si>
  <si>
    <t>197.97亿</t>
  </si>
  <si>
    <t>170.34亿</t>
  </si>
  <si>
    <t>53.53亿</t>
  </si>
  <si>
    <t>43.65亿</t>
  </si>
  <si>
    <t>23.65亿</t>
  </si>
  <si>
    <t>1.25亿</t>
  </si>
  <si>
    <t>17.27亿</t>
  </si>
  <si>
    <t>14.13亿</t>
  </si>
  <si>
    <t>69.65亿</t>
  </si>
  <si>
    <t>52.67亿</t>
  </si>
  <si>
    <t>42.59亿</t>
  </si>
  <si>
    <t>52.76亿</t>
  </si>
  <si>
    <t>7.01亿</t>
  </si>
  <si>
    <t>51.72亿</t>
  </si>
  <si>
    <t>43.68亿</t>
  </si>
  <si>
    <t>6.41亿</t>
  </si>
  <si>
    <t>14.09亿</t>
  </si>
  <si>
    <t>2307.56万</t>
  </si>
  <si>
    <t>12.10亿</t>
  </si>
  <si>
    <t>10.42亿</t>
  </si>
  <si>
    <t>595.14万</t>
  </si>
  <si>
    <t>4546.08万</t>
  </si>
  <si>
    <t>5281.75万</t>
  </si>
  <si>
    <t>4.21亿</t>
  </si>
  <si>
    <t>2.54亿</t>
  </si>
  <si>
    <t>4279.70万</t>
  </si>
  <si>
    <t>3948.23万</t>
  </si>
  <si>
    <t>10.93亿</t>
  </si>
  <si>
    <t>9.90亿</t>
  </si>
  <si>
    <t>78.94亿</t>
  </si>
  <si>
    <t>3.44亿</t>
  </si>
  <si>
    <t>77.15亿</t>
  </si>
  <si>
    <t>63.78亿</t>
  </si>
  <si>
    <t>8125.05万</t>
  </si>
  <si>
    <t>2.86亿</t>
  </si>
  <si>
    <t>8527.28万</t>
  </si>
  <si>
    <t>6980.71万</t>
  </si>
  <si>
    <t>40.26亿</t>
  </si>
  <si>
    <t>-6519.54万</t>
  </si>
  <si>
    <t>40.02亿</t>
  </si>
  <si>
    <t>38.91亿</t>
  </si>
  <si>
    <t>36.36亿</t>
  </si>
  <si>
    <t>1037.07万</t>
  </si>
  <si>
    <t>1010.90万</t>
  </si>
  <si>
    <t>59.63亿</t>
  </si>
  <si>
    <t>8.83亿</t>
  </si>
  <si>
    <t>2.49亿</t>
  </si>
  <si>
    <t>56.44亿</t>
  </si>
  <si>
    <t>48.33亿</t>
  </si>
  <si>
    <t>6.42亿</t>
  </si>
  <si>
    <t>4.36亿</t>
  </si>
  <si>
    <t>23.03亿</t>
  </si>
  <si>
    <t>22.23亿</t>
  </si>
  <si>
    <t>19.73亿</t>
  </si>
  <si>
    <t>SH605089</t>
  </si>
  <si>
    <t>味知香</t>
  </si>
  <si>
    <t>6.22亿</t>
  </si>
  <si>
    <t>5.42亿</t>
  </si>
  <si>
    <t>8624.33万</t>
  </si>
  <si>
    <t>7112.49万</t>
  </si>
  <si>
    <t>19.97亿</t>
  </si>
  <si>
    <t>2.72亿</t>
  </si>
  <si>
    <t>9.75亿</t>
  </si>
  <si>
    <t>10.64亿</t>
  </si>
  <si>
    <t>SH605339</t>
  </si>
  <si>
    <t>南侨食品</t>
  </si>
  <si>
    <t>23.51亿</t>
  </si>
  <si>
    <t>23.64亿</t>
  </si>
  <si>
    <t>2.77亿</t>
  </si>
  <si>
    <t>扣非会出现亏损；2020年的巨额利润来自于投资收益（将所持有的郝姆斯 100% 股权出售给百事饮料
(香港)有限公司，增加归属于上市公司股东的净利润 22.31 亿元）</t>
    <phoneticPr fontId="1" type="noConversion"/>
  </si>
  <si>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</si>
  <si>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</si>
  <si>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</si>
  <si>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</si>
  <si>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</si>
  <si>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</si>
  <si>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</si>
  <si>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</si>
  <si>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</si>
  <si>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</si>
  <si>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</si>
  <si>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</si>
  <si>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</si>
  <si>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2.21亿</t>
  </si>
  <si>
    <t>销售毛利率%[20201231]</t>
  </si>
  <si>
    <t>销售净利率%[20201231]</t>
  </si>
  <si>
    <t>4.80亿</t>
  </si>
  <si>
    <t>SH605567</t>
  </si>
  <si>
    <t>春雪食品</t>
  </si>
  <si>
    <t>18.63亿</t>
  </si>
  <si>
    <t>19.43亿</t>
  </si>
  <si>
    <t>15.99亿</t>
  </si>
  <si>
    <t>9752.65万</t>
  </si>
  <si>
    <t>7194.59万</t>
  </si>
  <si>
    <t>SH600298</t>
  </si>
  <si>
    <t>安琪酵母</t>
  </si>
  <si>
    <t>89.33亿</t>
  </si>
  <si>
    <t>13.72亿</t>
  </si>
  <si>
    <t>76.53亿</t>
  </si>
  <si>
    <t>66.86亿</t>
  </si>
  <si>
    <t>9.02亿</t>
  </si>
  <si>
    <t>-3.20亿</t>
  </si>
  <si>
    <t>4.74亿</t>
  </si>
  <si>
    <t>SZ001215</t>
  </si>
  <si>
    <t>千味央厨</t>
  </si>
  <si>
    <t>9.44亿</t>
  </si>
  <si>
    <t>7658.83万</t>
  </si>
  <si>
    <t>1.60亿</t>
  </si>
  <si>
    <t>7412.13万</t>
  </si>
  <si>
    <t>5867.89万</t>
  </si>
  <si>
    <t>SZ002626</t>
  </si>
  <si>
    <t>金达威</t>
  </si>
  <si>
    <t>35.04亿</t>
  </si>
  <si>
    <t>9.59亿</t>
  </si>
  <si>
    <t>31.92亿</t>
  </si>
  <si>
    <t>28.73亿</t>
  </si>
  <si>
    <t>4.51亿</t>
  </si>
  <si>
    <t>4.23亿</t>
  </si>
  <si>
    <t>SH600381</t>
  </si>
  <si>
    <t>3.33亿</t>
  </si>
  <si>
    <t>580.78万</t>
  </si>
  <si>
    <t>6844.69万</t>
  </si>
  <si>
    <t>SH600530</t>
  </si>
  <si>
    <t>-7779.43万</t>
  </si>
  <si>
    <t>-5.06亿</t>
  </si>
  <si>
    <t>SZ001219</t>
  </si>
  <si>
    <t>青岛食品</t>
  </si>
  <si>
    <t>7909.52万</t>
  </si>
  <si>
    <t>7513.51万</t>
  </si>
  <si>
    <t>6691.79万</t>
  </si>
  <si>
    <t>5.78亿</t>
  </si>
  <si>
    <t>1.公司作为主要起草单位参与制定了《儿童零食通用要求》团体标准，致力满足3-12岁儿童健康成长需求。自2020年5月创立儿童零食品牌“小食仙”。2.健身零食“良品飞扬”定位为为泛健身人群提供体重管理的解决方案，满足用户营养补充、减脂、增肌塑形等不同场景的功能需求；</t>
    <phoneticPr fontId="1" type="noConversion"/>
  </si>
  <si>
    <t>流通股本</t>
  </si>
  <si>
    <t>投入资本回报率roic%[20201231]</t>
  </si>
  <si>
    <t>净资产收益率%[20201231]</t>
  </si>
  <si>
    <t>休闲食品</t>
  </si>
  <si>
    <t>5.93亿</t>
  </si>
  <si>
    <t>龙大美食</t>
  </si>
  <si>
    <t>1.89亿</t>
  </si>
  <si>
    <t>-1.09亿</t>
  </si>
  <si>
    <t>3.76亿</t>
  </si>
  <si>
    <t>SZ301116</t>
  </si>
  <si>
    <t>益客食品</t>
  </si>
  <si>
    <t>143.92亿</t>
  </si>
  <si>
    <t>155.54亿</t>
  </si>
  <si>
    <t>99.05亿</t>
  </si>
  <si>
    <t>3.63亿</t>
  </si>
  <si>
    <t>SH603102</t>
  </si>
  <si>
    <t>百合股份</t>
  </si>
  <si>
    <t>7433.47万</t>
  </si>
  <si>
    <t>7462.96万</t>
  </si>
  <si>
    <t>4.34亿</t>
  </si>
  <si>
    <t>-2.49亿</t>
  </si>
  <si>
    <t>调味发酵品</t>
  </si>
  <si>
    <t>其他食品</t>
  </si>
  <si>
    <t xml:space="preserve">1.安井的渠道模式是“餐饮流通渠道为主,商超渠道为辅”,餐饮流通做销量,商超做品牌,餐饮流通渠道(B2B)约占80%,商超渠道(B2C)约占20%。其他企业则可能以商超渠道为主、餐饮流通渠道为辅,商超渠道毛利虽高但因为商超费用太高,从利润角度无法实现较高盈利和持续成长。2.公司坚持“高质中高价”的销售定价策略、“BC 兼顾、全渠发力”的渠道策略。传统产品的市场占有率逐年扩大，规模效应使生产成本、期间费用比逐年下降。
</t>
    <phoneticPr fontId="1" type="noConversion"/>
  </si>
  <si>
    <t>1.拟向特定对象以非公开发行股票的方式募集总额不超574,000.00 万元（含本数）资金，用于新基地建设及老基地扩建类项目、老基地技术升级改造类项目、信息化建设项目、品牌形象及配套营销服务体系建设项目建设及补充流动资金。2.风险：食品安全，原材料成本上涨；3.在速冻鱼糜制品、速冻肉制品为主的火锅料制品市场，公司的主要竞争对手为海欣食品股份有限公司、海霸王（汕头）食品有限公司、山东惠发食品股份有限公司、福建海壹食品有限公司、福建升隆食品有限公司等。在速冻面米制品市场，公司主要市场集中在华东地区，在该区域公司的主要竞争对手为三全食品股份有限公司、郑州思念食品有限公司、通用磨坊（中国）投资有限公司（即湾仔码头）等</t>
    <phoneticPr fontId="1" type="noConversion"/>
  </si>
  <si>
    <t>1.营收增速2021年来几乎没增长；利润出现下降；</t>
    <phoneticPr fontId="1" type="noConversion"/>
  </si>
  <si>
    <t>公司主营业务为速冻鱼肉制品及肉制品、速冻米面制品、常温休闲食品品、速冻菜肴制品的生产和销售，速冻产品主要包括鱼丸、肉丸、蛋黄烧麦、流沙包、脆毛肚、牛黄喉等，常温休闲食品包括蟹柳、鱼豆腐、速食关东煮等。
2021H1:
速冻鱼肉制品及肉制品 5.95亿 86.38% 利润占比100.00% 18.45%
常温休闲食品 5709.65万 8.29% 
速冻米面制品 2927.00万 4.25%
速冻菜肴制品 465.38万 0.68%</t>
    <phoneticPr fontId="1" type="noConversion"/>
  </si>
  <si>
    <r>
      <t>1.营收和利润都开始下滑；</t>
    </r>
    <r>
      <rPr>
        <sz val="9"/>
        <color rgb="FFFF0000"/>
        <rFont val="宋体"/>
        <family val="3"/>
        <charset val="134"/>
        <scheme val="minor"/>
      </rPr>
      <t>2021年预告还是亏损3千万</t>
    </r>
    <phoneticPr fontId="1" type="noConversion"/>
  </si>
  <si>
    <t>1.毛利有点低，导致利润有时候会为负；</t>
    <phoneticPr fontId="1" type="noConversion"/>
  </si>
  <si>
    <t>1.公司采取“一个区域市场、一个生产基地、一条冷链配送链”的生产经营模式，业务范围覆盖全国 31 个省级行政区及香港、澳门特别行政区；2017 年开始探索海外市场</t>
    <phoneticPr fontId="1" type="noConversion"/>
  </si>
  <si>
    <t>1.2020年中国休闲卤制品行业内前五大卤制品企业分别为绝味食品、煌上煌、周黑鸭、紫燕及久久丫，市场份额合计占比仅19.23%，其中绝味和周黑鸭、煌上煌分别占比8.6%和3.32%、3.15%，上述三者在卤制品有着“鸭脖三巨头”之称。</t>
    <phoneticPr fontId="1" type="noConversion"/>
  </si>
  <si>
    <t/>
  </si>
  <si>
    <t>1.营收增速不快，估计需要市场营销上再下功夫；</t>
    <phoneticPr fontId="1" type="noConversion"/>
  </si>
  <si>
    <t>净利润[20201231]</t>
  </si>
  <si>
    <t>63.55亿</t>
  </si>
  <si>
    <t>40.25亿</t>
  </si>
  <si>
    <t>48.66亿</t>
  </si>
  <si>
    <t>1.17亿</t>
  </si>
  <si>
    <t>12.74亿</t>
  </si>
  <si>
    <t>8846.41万</t>
  </si>
  <si>
    <t>6803.58万</t>
  </si>
  <si>
    <t>5.23亿</t>
  </si>
  <si>
    <t>5.43亿</t>
  </si>
  <si>
    <t>5.40亿</t>
  </si>
  <si>
    <t>1.12亿</t>
  </si>
  <si>
    <t>69.43亿</t>
  </si>
  <si>
    <t>31.30亿</t>
  </si>
  <si>
    <t>4374.35万</t>
  </si>
  <si>
    <t>2671.62万</t>
  </si>
  <si>
    <t>25.19亿</t>
  </si>
  <si>
    <t>7.42亿</t>
  </si>
  <si>
    <t>5.06亿</t>
  </si>
  <si>
    <t>4285.39万</t>
  </si>
  <si>
    <t>59.85亿</t>
  </si>
  <si>
    <t>9.29亿</t>
  </si>
  <si>
    <t>12.81亿</t>
  </si>
  <si>
    <t>6163.41万</t>
  </si>
  <si>
    <t>6.82亿</t>
  </si>
  <si>
    <t>36.16亿</t>
  </si>
  <si>
    <t>7.89亿</t>
  </si>
  <si>
    <t>-8016.39万</t>
  </si>
  <si>
    <t>23.39亿</t>
  </si>
  <si>
    <t>1.45亿</t>
  </si>
  <si>
    <t>1.66亿</t>
  </si>
  <si>
    <t>15.50亿</t>
  </si>
  <si>
    <t>-3443.45万</t>
  </si>
  <si>
    <t>2.46亿</t>
  </si>
  <si>
    <t>195.10亿</t>
  </si>
  <si>
    <t>-6.59亿</t>
  </si>
  <si>
    <t>9.81亿</t>
  </si>
  <si>
    <t>2128.66万</t>
  </si>
  <si>
    <t>83.42亿</t>
  </si>
  <si>
    <t>-1.92亿</t>
  </si>
  <si>
    <t>22.82亿</t>
  </si>
  <si>
    <t>11.54亿</t>
  </si>
  <si>
    <t>4.11亿</t>
  </si>
  <si>
    <t>12.94亿</t>
  </si>
  <si>
    <t>2.08亿</t>
  </si>
  <si>
    <t>11.11亿</t>
  </si>
  <si>
    <t>8493.89万</t>
  </si>
  <si>
    <t>11.28亿</t>
  </si>
  <si>
    <t>2.36亿</t>
  </si>
  <si>
    <t>74.31亿</t>
  </si>
  <si>
    <t>17.54亿</t>
  </si>
  <si>
    <t>97.70亿</t>
  </si>
  <si>
    <t>13.09亿</t>
  </si>
  <si>
    <t>1.99亿</t>
  </si>
  <si>
    <t>23.69亿</t>
  </si>
  <si>
    <t>16.51亿</t>
  </si>
  <si>
    <t>3.18亿</t>
  </si>
  <si>
    <t>8.06亿</t>
  </si>
  <si>
    <t>7.47亿</t>
  </si>
  <si>
    <t>28.17亿</t>
  </si>
  <si>
    <t>164.14亿</t>
  </si>
  <si>
    <t>106.75亿</t>
  </si>
  <si>
    <t>3.37亿</t>
  </si>
  <si>
    <t>18.93亿</t>
  </si>
  <si>
    <t>20.24亿</t>
  </si>
  <si>
    <t>1.33亿</t>
  </si>
  <si>
    <t>10000.00万</t>
  </si>
  <si>
    <t>51.16亿</t>
  </si>
  <si>
    <t>5.49亿</t>
  </si>
  <si>
    <t>19.25亿</t>
  </si>
  <si>
    <t>38.90亿</t>
  </si>
  <si>
    <t>5.58亿</t>
  </si>
  <si>
    <t>250.04亿</t>
  </si>
  <si>
    <t>66.71亿</t>
  </si>
  <si>
    <t>20.26亿</t>
  </si>
  <si>
    <t>92.72亿</t>
  </si>
  <si>
    <t>65.49亿</t>
  </si>
  <si>
    <t>-1.38亿</t>
  </si>
  <si>
    <t>1.94亿</t>
  </si>
  <si>
    <t>4539.27万</t>
  </si>
  <si>
    <t>12.20亿</t>
  </si>
  <si>
    <t>93.24亿</t>
  </si>
  <si>
    <t>8128.79万</t>
  </si>
  <si>
    <t>1.92亿</t>
  </si>
  <si>
    <t>41.72亿</t>
  </si>
  <si>
    <t>3100.10万</t>
  </si>
  <si>
    <t>63.35亿</t>
  </si>
  <si>
    <t>7.63亿</t>
  </si>
  <si>
    <t>25.84亿</t>
  </si>
  <si>
    <t>7.65亿</t>
  </si>
  <si>
    <t>13.75亿</t>
  </si>
  <si>
    <t>3.14亿</t>
  </si>
  <si>
    <t>3.68亿</t>
  </si>
  <si>
    <t>20.33亿</t>
  </si>
  <si>
    <t>5658.14万</t>
  </si>
  <si>
    <t xml:space="preserve">    名称</t>
  </si>
  <si>
    <t>净利润?</t>
  </si>
  <si>
    <t>投入资本回报率roic%[20211231]</t>
  </si>
  <si>
    <t>净资产收益率%[20211231]</t>
  </si>
  <si>
    <t>单季营收增速</t>
  </si>
  <si>
    <t>单季利润增速</t>
  </si>
  <si>
    <t>2.75亿</t>
  </si>
  <si>
    <t>扭亏</t>
  </si>
  <si>
    <t>1-0</t>
  </si>
  <si>
    <t>2.74亿</t>
  </si>
  <si>
    <t>1.29亿</t>
  </si>
  <si>
    <t>3.78亿</t>
  </si>
  <si>
    <t>亏损</t>
  </si>
  <si>
    <t>2.23亿</t>
  </si>
  <si>
    <t>4.17亿</t>
  </si>
  <si>
    <t>1.09亿</t>
  </si>
  <si>
    <t>海天味业</t>
  </si>
  <si>
    <t>3.52亿</t>
  </si>
  <si>
    <r>
      <t>1.问：去年三季度开始公司营收有所承压，什么原因导致答：2021 年 7 月公司启动线下销售变革和线上线下一体化经营相关变革，短期对公司及相关方带来一定压力和挑战。今年因疫情反复，各地防控力度较大，对公司线下门店动销和线上物流都产生了影响。2.问：考虑疫情影响，</t>
    </r>
    <r>
      <rPr>
        <sz val="9"/>
        <color rgb="FFFF0000"/>
        <rFont val="宋体"/>
        <family val="3"/>
        <charset val="134"/>
        <scheme val="minor"/>
      </rPr>
      <t>今年 20%的收入指引</t>
    </r>
    <r>
      <rPr>
        <sz val="9"/>
        <color theme="1"/>
        <rFont val="宋体"/>
        <family val="2"/>
        <charset val="134"/>
        <scheme val="minor"/>
      </rPr>
      <t>目前看是否能完成；答：疫情影响线上物流和线下零售终端销售，对公司上半年的经营产生了较大影响，基于目前情况预计公司较难达成年初设定的收入目标，公司将稳步推进各项经营计划，实现收入的增长；</t>
    </r>
    <r>
      <rPr>
        <sz val="9"/>
        <color theme="1"/>
        <rFont val="宋体"/>
        <family val="3"/>
        <charset val="134"/>
        <scheme val="minor"/>
      </rPr>
      <t>3.去年中旬出现过一个高点；</t>
    </r>
    <phoneticPr fontId="1" type="noConversion"/>
  </si>
  <si>
    <r>
      <t>1。公司未来营收增长的驱动力包括：（1）公司搭建大单品矩阵并匹配专项资源投入，每年选定一些形象产品、明星产品等重点产品作为市场推广的落脚点，以带动业务增长。大单品矩阵中会有不同梯队收入规模的大单品，继健力多后，今年公司将加快 Life-Space 全球全渠道扩张。（2）行业增长空间很大程度来自于复购率和渗透率提升。公司持续聚焦推进“用户资产运营”等战略项目，在会员活跃度和复购率等方面仍有较大提升空间。（3）新品牌和新业务拓展。公司在膳食营养补充剂行业细分品类及渠道培育新品牌，新布局 OTC 药品和功能食品业务。</t>
    </r>
    <r>
      <rPr>
        <sz val="9"/>
        <color rgb="FFFF0000"/>
        <rFont val="宋体"/>
        <family val="3"/>
        <charset val="134"/>
        <scheme val="minor"/>
      </rPr>
      <t>2.利用线上，然后优化客户画像，包括加大营销宣传，希望可以提高销售增速；</t>
    </r>
    <phoneticPr fontId="1" type="noConversion"/>
  </si>
  <si>
    <t>细分行业</t>
  </si>
  <si>
    <t>30日成交换手率</t>
    <phoneticPr fontId="1" type="noConversion"/>
  </si>
  <si>
    <t>价格右侧初期策略</t>
    <phoneticPr fontId="1" type="noConversion"/>
  </si>
  <si>
    <t>N-3</t>
    <phoneticPr fontId="1" type="noConversion"/>
  </si>
  <si>
    <t>N-2</t>
    <phoneticPr fontId="1" type="noConversion"/>
  </si>
  <si>
    <t>肉制品</t>
  </si>
  <si>
    <t>4.29亿</t>
  </si>
  <si>
    <t>8.99亿</t>
  </si>
  <si>
    <t>1.42亿</t>
  </si>
  <si>
    <t>5.50亿</t>
  </si>
  <si>
    <t>5.01亿</t>
  </si>
  <si>
    <t>5.70亿</t>
  </si>
  <si>
    <t>3.09亿</t>
  </si>
  <si>
    <t>12.96亿</t>
  </si>
  <si>
    <t>SH603170</t>
  </si>
  <si>
    <t>宝立食品</t>
  </si>
  <si>
    <t>15.78亿</t>
  </si>
  <si>
    <t>9.05亿</t>
  </si>
  <si>
    <t>7.43亿</t>
  </si>
  <si>
    <t>7.11亿</t>
  </si>
  <si>
    <t>8149.83万</t>
  </si>
  <si>
    <t>9239.30万</t>
  </si>
  <si>
    <t>SH603237</t>
  </si>
  <si>
    <t>五芳斋</t>
  </si>
  <si>
    <t>28.92亿</t>
  </si>
  <si>
    <t>24.21亿</t>
  </si>
  <si>
    <t>25.07亿</t>
  </si>
  <si>
    <t>24.23亿</t>
  </si>
  <si>
    <t>9698.50万</t>
  </si>
  <si>
    <t>1.38亿</t>
  </si>
  <si>
    <t>惠发食品</t>
  </si>
  <si>
    <t>SH603057</t>
  </si>
  <si>
    <t>紫燕食品</t>
  </si>
  <si>
    <t>30.92亿</t>
  </si>
  <si>
    <t>26.13亿</t>
  </si>
  <si>
    <t>24.35亿</t>
  </si>
  <si>
    <t>20.02亿</t>
  </si>
  <si>
    <t>7.80亿</t>
  </si>
  <si>
    <t>-1.06亿</t>
  </si>
  <si>
    <t>2.85亿</t>
  </si>
  <si>
    <t>1.69亿</t>
  </si>
  <si>
    <t>5.16亿</t>
  </si>
  <si>
    <t>15.25亿</t>
  </si>
  <si>
    <t>1.23亿</t>
  </si>
  <si>
    <t>2.35亿</t>
  </si>
  <si>
    <t>1.26亿</t>
  </si>
  <si>
    <t>6.40亿</t>
  </si>
  <si>
    <t>1.56亿</t>
  </si>
  <si>
    <t>5.69亿</t>
  </si>
  <si>
    <t>4.45亿</t>
  </si>
  <si>
    <t>3.35亿</t>
  </si>
  <si>
    <t>30.16亿</t>
  </si>
  <si>
    <t>4.94亿</t>
  </si>
  <si>
    <t>4.00亿</t>
  </si>
  <si>
    <t>14.89亿</t>
  </si>
  <si>
    <t>4.60亿</t>
  </si>
  <si>
    <t>7.96亿</t>
  </si>
  <si>
    <r>
      <t>1.浙江省内自繁自养的建成产能有310万头。省内有一个稿岭在建项目,有8000头母猪;省外一个在建项目是安徽绩溪项目,第一期约有20万头育肥产能,这些产能都会对应到明年的产能规划里。2.目前做得好的场,满产完全</t>
    </r>
    <r>
      <rPr>
        <b/>
        <sz val="9"/>
        <color rgb="FFFF0000"/>
        <rFont val="宋体"/>
        <family val="3"/>
        <charset val="134"/>
        <scheme val="minor"/>
      </rPr>
      <t>成本在16元/公斤</t>
    </r>
    <r>
      <rPr>
        <sz val="9"/>
        <color theme="1"/>
        <rFont val="宋体"/>
        <family val="2"/>
        <charset val="134"/>
        <scheme val="minor"/>
      </rPr>
      <t>左右。</t>
    </r>
    <r>
      <rPr>
        <sz val="9"/>
        <color theme="1"/>
        <rFont val="宋体"/>
        <family val="3"/>
        <charset val="134"/>
        <scheme val="minor"/>
      </rPr>
      <t>3.最好的场全程存活率有89%,整体的话全程养殖存活率是87-88%。4.今年及明年</t>
    </r>
    <r>
      <rPr>
        <sz val="9"/>
        <color rgb="FFFF0000"/>
        <rFont val="宋体"/>
        <family val="3"/>
        <charset val="134"/>
        <scheme val="minor"/>
      </rPr>
      <t>屠宰量增量</t>
    </r>
    <r>
      <rPr>
        <sz val="9"/>
        <color theme="1"/>
        <rFont val="宋体"/>
        <family val="3"/>
        <charset val="134"/>
        <scheme val="minor"/>
      </rPr>
      <t>主要来源三个方面：渠道方面，大力拓展商超、企事业单位、团膳、零售终端等渠道；区域方面，向有热鲜肉消费习惯的南方省份继续拓展；产品方面，今年将加大冷鲜肉和精细分割肉的销量;</t>
    </r>
    <phoneticPr fontId="1" type="noConversion"/>
  </si>
  <si>
    <r>
      <t>1.问：猪肉价格变化对屠宰和加工端的影响？答：屠宰端，生猪价格按</t>
    </r>
    <r>
      <rPr>
        <sz val="9"/>
        <color rgb="FFFF0000"/>
        <rFont val="宋体"/>
        <family val="3"/>
        <charset val="134"/>
        <scheme val="minor"/>
      </rPr>
      <t>周期平稳波动，规模效益会维持稳定</t>
    </r>
    <r>
      <rPr>
        <sz val="9"/>
        <color theme="1"/>
        <rFont val="宋体"/>
        <family val="2"/>
        <charset val="134"/>
        <scheme val="minor"/>
      </rPr>
      <t>，对盈利不会产生较大影响。前两年受非瘟等因素影响，生猪供应偏紧，生猪</t>
    </r>
    <r>
      <rPr>
        <sz val="9"/>
        <color rgb="FFFF0000"/>
        <rFont val="宋体"/>
        <family val="3"/>
        <charset val="134"/>
        <scheme val="minor"/>
      </rPr>
      <t>价格剧烈波动持续走高，采购价格不能及时传导至销售端，会对公司屠宰业务造成影响</t>
    </r>
    <r>
      <rPr>
        <sz val="9"/>
        <color theme="1"/>
        <rFont val="宋体"/>
        <family val="2"/>
        <charset val="134"/>
        <scheme val="minor"/>
      </rPr>
      <t>。</t>
    </r>
    <phoneticPr fontId="1" type="noConversion"/>
  </si>
  <si>
    <t>1.2020年2月上市后，最高炒到81元对应PE111，目前回退到PE41，对应价格38.期间经历了高瓴减持等等，最近一次机构调研包括了高毅；</t>
    <phoneticPr fontId="1" type="noConversion"/>
  </si>
  <si>
    <t xml:space="preserve">
</t>
    <phoneticPr fontId="1" type="noConversion"/>
  </si>
  <si>
    <t>价格箱体形态过滤</t>
    <phoneticPr fontId="1" type="noConversion"/>
  </si>
  <si>
    <t>昨日价格累计指数</t>
    <phoneticPr fontId="1" type="noConversion"/>
  </si>
  <si>
    <t>今日价格累积指数</t>
    <phoneticPr fontId="1" type="noConversion"/>
  </si>
  <si>
    <t>成交量异动策略</t>
    <phoneticPr fontId="1" type="noConversion"/>
  </si>
  <si>
    <t>N日期</t>
    <phoneticPr fontId="1" type="noConversion"/>
  </si>
  <si>
    <t>N-4</t>
    <phoneticPr fontId="1" type="noConversion"/>
  </si>
  <si>
    <t>N-1</t>
    <phoneticPr fontId="1" type="noConversion"/>
  </si>
  <si>
    <t>不分配不转增</t>
  </si>
  <si>
    <t>10派1.5元(含税)</t>
  </si>
  <si>
    <t>10转3股派3元(含税)</t>
  </si>
  <si>
    <t>10派2元(含税)</t>
  </si>
  <si>
    <t>10派0.2元(含税)</t>
  </si>
  <si>
    <t>10派6元(含税)</t>
  </si>
  <si>
    <t>10派10元(含税)</t>
  </si>
  <si>
    <t>1.67亿</t>
  </si>
  <si>
    <t>10派5元(含税)</t>
  </si>
  <si>
    <t>10派4元(含税)</t>
  </si>
  <si>
    <t>10派0.5元(含税)</t>
  </si>
  <si>
    <t>10派3元(含税)</t>
  </si>
  <si>
    <t>3.23亿</t>
  </si>
  <si>
    <t>3.10亿</t>
  </si>
  <si>
    <t>2.14亿</t>
  </si>
  <si>
    <t>2.76亿</t>
  </si>
  <si>
    <r>
      <t>1.问：奥尔良烤翅产品反馈高的原因是什么？答：奥尔良烤翅产品是公司</t>
    </r>
    <r>
      <rPr>
        <sz val="9"/>
        <color rgb="FFFF0000"/>
        <rFont val="宋体"/>
        <family val="3"/>
        <charset val="134"/>
        <scheme val="minor"/>
      </rPr>
      <t>全熟蒸烤类的主打产品</t>
    </r>
    <r>
      <rPr>
        <sz val="9"/>
        <color theme="1"/>
        <rFont val="宋体"/>
        <family val="2"/>
        <charset val="134"/>
        <scheme val="minor"/>
      </rPr>
      <t>，采用无油蒸烤工艺，口感及营养保持较好，且易于加工，复原度高，口味受年轻人喜欢。2.问：预制菜的主要客户？答：①目前占比较</t>
    </r>
    <r>
      <rPr>
        <b/>
        <sz val="9"/>
        <color rgb="FFFF0000"/>
        <rFont val="宋体"/>
        <family val="3"/>
        <charset val="134"/>
        <scheme val="minor"/>
      </rPr>
      <t>高的还是B端客户，占比约为65-70%</t>
    </r>
    <r>
      <rPr>
        <sz val="9"/>
        <color theme="1"/>
        <rFont val="宋体"/>
        <family val="2"/>
        <charset val="134"/>
        <scheme val="minor"/>
      </rPr>
      <t>，主要客户有海底捞、正新鸡排、锅圈食汇、全家、便利蜂等。浪潮、潍柴、魏桥、歌尔、海尔、太阳纸业以及福田汽车等企事业单位也与公司保持常年合作；①今年新开发的客户有元初食品、快乐蜂、九田家以及中水集团等。近期公司与中信银行、大唐电力、美菜云杉、美团买菜等均达成了合作意向，并开始合作。</t>
    </r>
    <r>
      <rPr>
        <sz val="9"/>
        <color theme="1"/>
        <rFont val="宋体"/>
        <family val="3"/>
        <charset val="134"/>
        <scheme val="minor"/>
      </rPr>
      <t>3.山东得利斯集团职业中等专业学校是一所集</t>
    </r>
    <r>
      <rPr>
        <b/>
        <sz val="9"/>
        <color rgb="FFFF0000"/>
        <rFont val="宋体"/>
        <family val="3"/>
        <charset val="134"/>
        <scheme val="minor"/>
      </rPr>
      <t>职业教育、成人教育、社区教育、科技推广</t>
    </r>
    <r>
      <rPr>
        <sz val="9"/>
        <color theme="1"/>
        <rFont val="宋体"/>
        <family val="3"/>
        <charset val="134"/>
        <scheme val="minor"/>
      </rPr>
      <t>、试验示范等多功能于一体的综合性学校，是第三批省级教学改革试点专业的学校。资料显示，得利斯集团有限公司与本公司同受一实际控制人控制。</t>
    </r>
    <phoneticPr fontId="1" type="noConversion"/>
  </si>
  <si>
    <t>60.71亿</t>
  </si>
  <si>
    <t>-6.19亿</t>
  </si>
  <si>
    <t>-1.40亿</t>
  </si>
  <si>
    <t>2.24亿</t>
  </si>
  <si>
    <t>6.81亿</t>
  </si>
  <si>
    <t>56.21亿</t>
  </si>
  <si>
    <t>666.82亿</t>
  </si>
  <si>
    <t>738.63亿</t>
  </si>
  <si>
    <t>9142.95万</t>
  </si>
  <si>
    <t>1-1</t>
  </si>
  <si>
    <t>74.34亿</t>
  </si>
  <si>
    <t>2.12亿</t>
  </si>
  <si>
    <t>5.65亿</t>
  </si>
  <si>
    <t>30.75亿</t>
  </si>
  <si>
    <t>3163.93万</t>
  </si>
  <si>
    <t>8.19亿</t>
  </si>
  <si>
    <t>8531.00万</t>
  </si>
  <si>
    <t>7.07亿</t>
  </si>
  <si>
    <t>-5476.98万</t>
  </si>
  <si>
    <t>2.79亿</t>
  </si>
  <si>
    <t>25.48亿</t>
  </si>
  <si>
    <t>4902.88万</t>
  </si>
  <si>
    <t>-1-0</t>
  </si>
  <si>
    <t>68.83亿</t>
  </si>
  <si>
    <t>9.76亿</t>
  </si>
  <si>
    <t>26.55亿</t>
  </si>
  <si>
    <t>6.96亿</t>
  </si>
  <si>
    <t>14.00亿</t>
  </si>
  <si>
    <t>2-0</t>
  </si>
  <si>
    <t>30.09亿</t>
  </si>
  <si>
    <t>1.86亿</t>
  </si>
  <si>
    <t>16.86亿</t>
  </si>
  <si>
    <t>SZ002661</t>
  </si>
  <si>
    <t>克明食品</t>
  </si>
  <si>
    <t>5.36亿</t>
  </si>
  <si>
    <t>43.27亿</t>
  </si>
  <si>
    <t>39.58亿</t>
  </si>
  <si>
    <t>30.34亿</t>
  </si>
  <si>
    <t>28.56亿</t>
  </si>
  <si>
    <t>6746.79万</t>
  </si>
  <si>
    <t>2.93亿</t>
  </si>
  <si>
    <t>19.54亿</t>
  </si>
  <si>
    <t>16.21亿</t>
  </si>
  <si>
    <t>6321.57万</t>
  </si>
  <si>
    <t>3.22亿</t>
  </si>
  <si>
    <t>3.46亿</t>
  </si>
  <si>
    <t>161.16亿</t>
  </si>
  <si>
    <t>7537.56万</t>
  </si>
  <si>
    <t>1.96亿</t>
  </si>
  <si>
    <t>-1-1</t>
  </si>
  <si>
    <t>94.52亿</t>
  </si>
  <si>
    <t>8774.47万</t>
  </si>
  <si>
    <t>8.04亿</t>
  </si>
  <si>
    <t>28.94亿</t>
  </si>
  <si>
    <t>4.28亿</t>
  </si>
  <si>
    <t>13.27亿</t>
  </si>
  <si>
    <t>5.03亿</t>
  </si>
  <si>
    <t>14.51亿</t>
  </si>
  <si>
    <t>2251.29万</t>
  </si>
  <si>
    <t>2.05亿</t>
  </si>
  <si>
    <t>4.46亿</t>
  </si>
  <si>
    <t>78.61亿</t>
  </si>
  <si>
    <t>13.86亿</t>
  </si>
  <si>
    <t>10派1.8元(含税)</t>
  </si>
  <si>
    <t>72.93亿</t>
  </si>
  <si>
    <t>1.65亿</t>
  </si>
  <si>
    <t>8.82亿</t>
  </si>
  <si>
    <t>29.11亿</t>
  </si>
  <si>
    <t>187.15亿</t>
  </si>
  <si>
    <t>249.87亿</t>
  </si>
  <si>
    <t>2.28亿</t>
  </si>
  <si>
    <t>16.91亿</t>
  </si>
  <si>
    <t>128.43亿</t>
  </si>
  <si>
    <t>13.21亿</t>
  </si>
  <si>
    <t>21.39亿</t>
  </si>
  <si>
    <t>10派1.1元(含税)</t>
  </si>
  <si>
    <t>-2.88亿</t>
  </si>
  <si>
    <t>5.05亿</t>
  </si>
  <si>
    <t>3.99亿</t>
  </si>
  <si>
    <t>3.71亿</t>
  </si>
  <si>
    <t>53.41亿</t>
  </si>
  <si>
    <t>-5.92亿</t>
  </si>
  <si>
    <t>4.82亿</t>
  </si>
  <si>
    <t>41.12亿</t>
  </si>
  <si>
    <t>5.20亿</t>
  </si>
  <si>
    <t>50.00万</t>
  </si>
  <si>
    <t>10派7.5元(含税)</t>
  </si>
  <si>
    <t>7.25亿</t>
  </si>
  <si>
    <t>12.23亿</t>
  </si>
  <si>
    <t>20.37亿</t>
  </si>
  <si>
    <t>4.24亿</t>
  </si>
  <si>
    <t>10派2.5元(含税)</t>
  </si>
  <si>
    <t>24.62亿</t>
  </si>
  <si>
    <t>256.10亿</t>
  </si>
  <si>
    <t>61.98亿</t>
  </si>
  <si>
    <t>18.29亿</t>
  </si>
  <si>
    <t>26.91亿</t>
  </si>
  <si>
    <t>121.83亿</t>
  </si>
  <si>
    <t>66.23亿</t>
  </si>
  <si>
    <t>15.81亿</t>
  </si>
  <si>
    <t>-1.20亿</t>
  </si>
  <si>
    <t>5.57亿</t>
  </si>
  <si>
    <t>2-1</t>
  </si>
  <si>
    <t>94.40亿</t>
  </si>
  <si>
    <t>5106.05万</t>
  </si>
  <si>
    <t>43.82亿</t>
  </si>
  <si>
    <t>25.87亿</t>
  </si>
  <si>
    <t>4.57亿</t>
  </si>
  <si>
    <t>7.98亿</t>
  </si>
  <si>
    <t>5.56亿</t>
  </si>
  <si>
    <t>28.61亿</t>
  </si>
  <si>
    <t>6.60亿</t>
  </si>
  <si>
    <t>24.95亿</t>
  </si>
  <si>
    <t>涨幅%</t>
  </si>
  <si>
    <t>成交量[20230512]</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</si>
  <si>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</si>
  <si>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</si>
  <si>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</si>
  <si>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</si>
  <si>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</si>
  <si>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</si>
  <si>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</si>
  <si>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</si>
  <si>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</si>
  <si>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</si>
  <si>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</si>
  <si>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</si>
  <si>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</si>
  <si>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</si>
  <si>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</si>
  <si>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</si>
  <si>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</si>
  <si>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</si>
  <si>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</si>
  <si>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</si>
  <si>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</si>
  <si>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</si>
  <si>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</si>
  <si>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</si>
  <si>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</si>
  <si>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</si>
  <si>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</si>
  <si>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</si>
  <si>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</si>
  <si>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</si>
  <si>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</si>
  <si>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</si>
  <si>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</si>
  <si>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</si>
  <si>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</si>
  <si>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</si>
  <si>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</si>
  <si>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</si>
  <si>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</si>
  <si>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</si>
  <si>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</si>
  <si>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</si>
  <si>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区间涨跌幅:前复权%[20230508-20230512]</t>
  </si>
  <si>
    <t>区间涨跌幅:前复权%[20230328-20230512]</t>
  </si>
  <si>
    <t>区间成交量[20230508-20230512]</t>
  </si>
  <si>
    <t>区间成交量[20230328-20230512]</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</si>
  <si>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</si>
  <si>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</si>
  <si>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</si>
  <si>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</si>
  <si>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</si>
  <si>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</si>
  <si>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</si>
  <si>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</si>
  <si>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</si>
  <si>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</si>
  <si>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</si>
  <si>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</si>
  <si>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</si>
  <si>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</si>
  <si>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</si>
  <si>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</si>
  <si>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</si>
  <si>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</si>
  <si>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</si>
  <si>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</si>
  <si>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</si>
  <si>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</si>
  <si>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</si>
  <si>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</si>
  <si>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</si>
  <si>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</si>
  <si>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</si>
  <si>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</si>
  <si>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</si>
  <si>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</si>
  <si>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N</t>
    <phoneticPr fontId="1" type="noConversion"/>
  </si>
  <si>
    <t>1.公司产品和纯休闲属性产品不太一样，在零食渠道中的总销量虽然不如纯休闲食品，但增速不错。</t>
    <phoneticPr fontId="1" type="noConversion"/>
  </si>
  <si>
    <r>
      <t>1.公司</t>
    </r>
    <r>
      <rPr>
        <sz val="9"/>
        <color rgb="FFFF0000"/>
        <rFont val="宋体"/>
        <family val="3"/>
        <charset val="134"/>
        <scheme val="minor"/>
      </rPr>
      <t>热食燕麦新品</t>
    </r>
    <r>
      <rPr>
        <sz val="9"/>
        <color theme="1"/>
        <rFont val="宋体"/>
        <family val="2"/>
        <charset val="134"/>
        <scheme val="minor"/>
      </rPr>
      <t>对公司的销售收入增长产生了重要的贡献，全年销售超亿元，同比增长超过35%。2.新推便利性产品：</t>
    </r>
    <r>
      <rPr>
        <sz val="9"/>
        <color rgb="FFFF0000"/>
        <rFont val="宋体"/>
        <family val="3"/>
        <charset val="134"/>
        <scheme val="minor"/>
      </rPr>
      <t>即食的燕麦粥类产品</t>
    </r>
    <r>
      <rPr>
        <sz val="9"/>
        <color theme="1"/>
        <rFont val="宋体"/>
        <family val="2"/>
        <charset val="134"/>
        <scheme val="minor"/>
      </rPr>
      <t>，不用冲泡直接食用，解决了消费者吃燕麦便利性的痛点。3.：目前</t>
    </r>
    <r>
      <rPr>
        <sz val="9"/>
        <color rgb="FFFF0000"/>
        <rFont val="宋体"/>
        <family val="3"/>
        <charset val="134"/>
        <scheme val="minor"/>
      </rPr>
      <t>公司线上业务占公司整体收入比例超过 20%</t>
    </r>
    <r>
      <rPr>
        <sz val="9"/>
        <color theme="1"/>
        <rFont val="宋体"/>
        <family val="2"/>
        <charset val="134"/>
        <scheme val="minor"/>
      </rPr>
      <t xml:space="preserve">。其中包括线上自营和线上经销模式。
</t>
    </r>
    <phoneticPr fontId="1" type="noConversion"/>
  </si>
  <si>
    <t>1.问：公司的产能是什么水平？答：目前挂面年产能七十多万吨，面粉产能九十多万吨，方便食品产能不到十万吨。</t>
    <phoneticPr fontId="1" type="noConversion"/>
  </si>
  <si>
    <t>SZ000529</t>
  </si>
  <si>
    <t>广弘控股</t>
  </si>
  <si>
    <t>34.18亿</t>
  </si>
  <si>
    <t>9.17亿</t>
  </si>
  <si>
    <t>36.38亿</t>
  </si>
  <si>
    <t>33.95亿</t>
  </si>
  <si>
    <t>30.19亿</t>
  </si>
  <si>
    <t>24.99亿</t>
  </si>
  <si>
    <t>3.31亿</t>
  </si>
  <si>
    <t>2.60亿</t>
  </si>
  <si>
    <t>2.55亿</t>
  </si>
  <si>
    <t>1.87亿</t>
  </si>
  <si>
    <t>1.39亿</t>
  </si>
  <si>
    <t>2.91亿</t>
  </si>
  <si>
    <t>3.88亿</t>
  </si>
  <si>
    <t>-2-0</t>
  </si>
  <si>
    <t>1.83亿</t>
  </si>
  <si>
    <t>2.52亿</t>
  </si>
  <si>
    <t>13.57亿</t>
  </si>
  <si>
    <t>-1.48亿</t>
  </si>
  <si>
    <t>27.33亿</t>
  </si>
  <si>
    <t>5.90亿</t>
  </si>
  <si>
    <t>26.72亿</t>
  </si>
  <si>
    <t>12.24亿</t>
  </si>
  <si>
    <t>8.72亿</t>
  </si>
  <si>
    <t>3.29亿</t>
  </si>
  <si>
    <t>6.18亿</t>
  </si>
  <si>
    <t>4-1</t>
  </si>
  <si>
    <t>304.27亿</t>
  </si>
  <si>
    <t>5.73亿</t>
  </si>
  <si>
    <t>14.88亿</t>
  </si>
  <si>
    <t>40.13亿</t>
  </si>
  <si>
    <t>38.55亿</t>
  </si>
  <si>
    <t>-2.14亿</t>
  </si>
  <si>
    <t>14.83亿</t>
  </si>
  <si>
    <t>6.32亿</t>
  </si>
  <si>
    <t>15.43亿</t>
  </si>
  <si>
    <t>13.37亿</t>
  </si>
  <si>
    <t>8.30亿</t>
  </si>
  <si>
    <t>7.60亿</t>
  </si>
  <si>
    <t>4.25亿</t>
  </si>
  <si>
    <t>26.86亿</t>
  </si>
  <si>
    <t>24.51亿</t>
  </si>
  <si>
    <t>26.78亿</t>
  </si>
  <si>
    <t>7.73亿</t>
  </si>
  <si>
    <t>9.96亿</t>
  </si>
  <si>
    <t>7.52亿</t>
  </si>
  <si>
    <t>9.33亿</t>
  </si>
  <si>
    <t>15.52亿</t>
  </si>
  <si>
    <t>4.63亿</t>
  </si>
  <si>
    <t>8.54亿</t>
  </si>
  <si>
    <t>1.06亿</t>
  </si>
  <si>
    <t>11.47亿</t>
  </si>
  <si>
    <t>2.31亿</t>
  </si>
  <si>
    <t>3.56亿</t>
  </si>
  <si>
    <t>7.34亿</t>
  </si>
  <si>
    <t>5.98亿</t>
  </si>
  <si>
    <t>7.08亿</t>
  </si>
  <si>
    <t>67.26亿</t>
  </si>
  <si>
    <t>8.53亿</t>
  </si>
  <si>
    <t>4.84亿</t>
  </si>
  <si>
    <t>3.77亿</t>
  </si>
  <si>
    <t>41.18亿</t>
  </si>
  <si>
    <t>2.58亿</t>
  </si>
  <si>
    <t>18.94亿</t>
  </si>
  <si>
    <t>2.65亿</t>
  </si>
  <si>
    <t>-1.10亿</t>
  </si>
  <si>
    <t>4.96亿</t>
  </si>
  <si>
    <t>2.30亿</t>
  </si>
  <si>
    <t>3.60亿</t>
  </si>
  <si>
    <t>8.26亿</t>
  </si>
  <si>
    <t>9.25亿</t>
  </si>
  <si>
    <t>4.37亿</t>
  </si>
  <si>
    <t>4.77亿</t>
  </si>
  <si>
    <t>55.96亿</t>
  </si>
  <si>
    <t>2.96亿</t>
  </si>
  <si>
    <t>28.93亿</t>
  </si>
  <si>
    <t>15.45亿</t>
  </si>
  <si>
    <t>5.25亿</t>
  </si>
  <si>
    <t>7.02亿</t>
  </si>
  <si>
    <t>10.89亿</t>
  </si>
  <si>
    <t>17.92万</t>
  </si>
  <si>
    <t>3.70亿</t>
  </si>
  <si>
    <t>-3-1</t>
  </si>
  <si>
    <t>4.48亿</t>
  </si>
  <si>
    <t>-1.08亿</t>
  </si>
  <si>
    <t>16.36亿</t>
  </si>
  <si>
    <t>-1.91亿</t>
  </si>
  <si>
    <t>108.34亿</t>
  </si>
  <si>
    <t>114.10亿</t>
  </si>
  <si>
    <t>34.23亿</t>
  </si>
  <si>
    <t>2.01亿</t>
  </si>
  <si>
    <t>9.74亿</t>
  </si>
  <si>
    <t>67.14亿</t>
  </si>
  <si>
    <t>11.39亿</t>
  </si>
  <si>
    <t>5.04亿</t>
  </si>
  <si>
    <t>8.03亿</t>
  </si>
  <si>
    <t>18.23亿</t>
  </si>
  <si>
    <t>14.53亿</t>
  </si>
  <si>
    <t>4.85亿</t>
  </si>
  <si>
    <t>-891.57万</t>
  </si>
  <si>
    <t>8953.31万</t>
  </si>
  <si>
    <t>4.76亿</t>
  </si>
  <si>
    <t>26.54亿</t>
  </si>
  <si>
    <t>2.25亿</t>
  </si>
  <si>
    <t>4.49亿</t>
  </si>
  <si>
    <t>5.51亿</t>
  </si>
  <si>
    <t>15.31亿</t>
  </si>
  <si>
    <t>10.15亿</t>
  </si>
  <si>
    <t>17.34亿</t>
  </si>
  <si>
    <t>17.43亿</t>
  </si>
  <si>
    <t>15.62亿</t>
  </si>
  <si>
    <t>18.66亿</t>
  </si>
  <si>
    <t>101.18万</t>
  </si>
  <si>
    <t>129.66亿</t>
  </si>
  <si>
    <t>1.64亿</t>
  </si>
  <si>
    <t>10.61亿</t>
  </si>
  <si>
    <t>17.16亿</t>
  </si>
  <si>
    <t>-2-1</t>
  </si>
  <si>
    <t>14.26亿</t>
  </si>
  <si>
    <t>2.18亿</t>
  </si>
  <si>
    <t>68.94亿</t>
  </si>
  <si>
    <t>48.23亿</t>
  </si>
  <si>
    <t>8.27亿</t>
  </si>
  <si>
    <t>12.30亿</t>
  </si>
  <si>
    <t>37.00亿</t>
  </si>
  <si>
    <t>2.62亿</t>
  </si>
  <si>
    <t>3.82亿</t>
  </si>
  <si>
    <t>5.66亿</t>
  </si>
  <si>
    <t>18.24亿</t>
  </si>
  <si>
    <t>8.45亿</t>
  </si>
  <si>
    <t>7.16亿</t>
  </si>
  <si>
    <t>3.97亿</t>
  </si>
  <si>
    <t>4.89亿</t>
  </si>
  <si>
    <t>39.87亿</t>
  </si>
  <si>
    <t>5.61亿</t>
  </si>
  <si>
    <t>6.86亿</t>
  </si>
  <si>
    <t>21.10亿</t>
  </si>
  <si>
    <t>20.64亿</t>
  </si>
  <si>
    <t>-1.98亿</t>
  </si>
  <si>
    <t>32.07亿</t>
  </si>
  <si>
    <t>7.75亿</t>
  </si>
  <si>
    <t>16.94亿</t>
  </si>
  <si>
    <t>10.73亿</t>
  </si>
  <si>
    <t>3.08亿</t>
  </si>
  <si>
    <t>-1.71亿</t>
  </si>
  <si>
    <t>7.37亿</t>
  </si>
  <si>
    <t>13.77亿</t>
  </si>
  <si>
    <t>364.75万</t>
  </si>
  <si>
    <t>38.32亿</t>
  </si>
  <si>
    <t>31.84亿</t>
  </si>
  <si>
    <t>1368.70万</t>
  </si>
  <si>
    <t>5.60亿</t>
  </si>
  <si>
    <t>832.49万</t>
  </si>
  <si>
    <t>2389.22万</t>
  </si>
  <si>
    <t>2197420亿</t>
  </si>
  <si>
    <t>292.80万</t>
  </si>
  <si>
    <t>3701916亿</t>
  </si>
  <si>
    <t>29.23亿</t>
  </si>
  <si>
    <t>23183200亿</t>
  </si>
  <si>
    <t>4066907000亿</t>
  </si>
  <si>
    <t>4292.17万</t>
  </si>
  <si>
    <t>4210.95万</t>
  </si>
  <si>
    <t>64.23万</t>
  </si>
  <si>
    <t>24.88亿</t>
  </si>
  <si>
    <t>5.94亿</t>
  </si>
  <si>
    <t>-7268.36万</t>
  </si>
  <si>
    <t>-8963.44万</t>
  </si>
  <si>
    <t>9385.99万</t>
  </si>
  <si>
    <t>27.90亿</t>
  </si>
  <si>
    <t>2.13亿</t>
  </si>
  <si>
    <t>2285.68万</t>
  </si>
  <si>
    <t>013687000</t>
  </si>
  <si>
    <t>041061000</t>
  </si>
  <si>
    <t>082122000</t>
  </si>
  <si>
    <t>0136870000</t>
  </si>
  <si>
    <t>0273740000</t>
  </si>
  <si>
    <t>883.66万</t>
  </si>
  <si>
    <t>32.43亿</t>
  </si>
  <si>
    <t>39.67亿</t>
  </si>
  <si>
    <t>12.98亿</t>
  </si>
  <si>
    <t>5085.73万</t>
  </si>
  <si>
    <t>1.72亿</t>
  </si>
  <si>
    <t>5373.04万</t>
  </si>
  <si>
    <t>285041亿</t>
  </si>
  <si>
    <t>71.94万</t>
  </si>
  <si>
    <t>51459776亿</t>
  </si>
  <si>
    <t>15.53亿</t>
  </si>
  <si>
    <t>384938060亿</t>
  </si>
  <si>
    <t>2996078400亿</t>
  </si>
  <si>
    <t>8208.03万</t>
  </si>
  <si>
    <t>10.52亿</t>
  </si>
  <si>
    <t>1200.00万</t>
  </si>
  <si>
    <t>25.12亿</t>
  </si>
  <si>
    <t>3924.84万</t>
  </si>
  <si>
    <t>-1.02亿</t>
  </si>
  <si>
    <t>15.63万</t>
  </si>
  <si>
    <t>-7025.70万</t>
  </si>
  <si>
    <t>54.90亿</t>
  </si>
  <si>
    <t>-1686.58万</t>
  </si>
  <si>
    <t>-5126.10万</t>
  </si>
  <si>
    <t>4392.13万</t>
  </si>
  <si>
    <t>3.27亿</t>
  </si>
  <si>
    <t>050857300</t>
  </si>
  <si>
    <t>0152571900</t>
  </si>
  <si>
    <t>0305143800</t>
  </si>
  <si>
    <t>0508573000</t>
  </si>
  <si>
    <t>01017146000</t>
  </si>
  <si>
    <t>606.84万</t>
  </si>
  <si>
    <t>17.95亿</t>
  </si>
  <si>
    <t>4.59亿</t>
  </si>
  <si>
    <t>319.79万</t>
  </si>
  <si>
    <t>4.52亿</t>
  </si>
  <si>
    <t>3493.64万</t>
  </si>
  <si>
    <t>3165.46万</t>
  </si>
  <si>
    <t>-96161亿</t>
  </si>
  <si>
    <t>2.75万</t>
  </si>
  <si>
    <t>3491330亿</t>
  </si>
  <si>
    <t>8570.19万</t>
  </si>
  <si>
    <t>413445580亿</t>
  </si>
  <si>
    <t>1357080000亿</t>
  </si>
  <si>
    <t>5000.00万</t>
  </si>
  <si>
    <t>126.41万</t>
  </si>
  <si>
    <t>14.12亿</t>
  </si>
  <si>
    <t>6435.15万</t>
  </si>
  <si>
    <t>-9139.54万</t>
  </si>
  <si>
    <t>-3863.83万</t>
  </si>
  <si>
    <t>26.77亿</t>
  </si>
  <si>
    <t>4307.82万</t>
  </si>
  <si>
    <t>1739.31万</t>
  </si>
  <si>
    <t>5240.72万</t>
  </si>
  <si>
    <t>03197900</t>
  </si>
  <si>
    <t>09593700</t>
  </si>
  <si>
    <t>019187400</t>
  </si>
  <si>
    <t>031979000</t>
  </si>
  <si>
    <t>063958000</t>
  </si>
  <si>
    <t>3-1</t>
  </si>
  <si>
    <t>534.46万</t>
  </si>
  <si>
    <t>155.29亿</t>
  </si>
  <si>
    <t>224.33亿</t>
  </si>
  <si>
    <t>142.69亿</t>
  </si>
  <si>
    <t>12.72亿</t>
  </si>
  <si>
    <t>124.93亿</t>
  </si>
  <si>
    <t>115.04亿</t>
  </si>
  <si>
    <t>5379326亿</t>
  </si>
  <si>
    <t>151.12万</t>
  </si>
  <si>
    <t>1244885440亿</t>
  </si>
  <si>
    <t>205241150亿</t>
  </si>
  <si>
    <t>1110.00万</t>
  </si>
  <si>
    <t>21284599000亿</t>
  </si>
  <si>
    <t>109.02亿</t>
  </si>
  <si>
    <t>25.52亿</t>
  </si>
  <si>
    <t>1086.54万</t>
  </si>
  <si>
    <t>175.79亿</t>
  </si>
  <si>
    <t>8.11亿</t>
  </si>
  <si>
    <t>14.46亿</t>
  </si>
  <si>
    <t>-31.44亿</t>
  </si>
  <si>
    <t>49.06亿</t>
  </si>
  <si>
    <t>625.76亿</t>
  </si>
  <si>
    <t>598.93亿</t>
  </si>
  <si>
    <t>50.53亿</t>
  </si>
  <si>
    <t>28.37亿</t>
  </si>
  <si>
    <t>10派7.00元(含税)</t>
  </si>
  <si>
    <t>2726.07万</t>
  </si>
  <si>
    <t>01272000000</t>
  </si>
  <si>
    <t>03816000000</t>
  </si>
  <si>
    <t>07632000000</t>
  </si>
  <si>
    <t>012720000000</t>
  </si>
  <si>
    <t>025440000000</t>
  </si>
  <si>
    <t>80.76万</t>
  </si>
  <si>
    <t>3457.51万</t>
  </si>
  <si>
    <t>2729.72万</t>
  </si>
  <si>
    <t>3868.78万</t>
  </si>
  <si>
    <t>250087亿</t>
  </si>
  <si>
    <t>142.37万</t>
  </si>
  <si>
    <t>33673861亿</t>
  </si>
  <si>
    <t>80734911亿</t>
  </si>
  <si>
    <t>470.00万</t>
  </si>
  <si>
    <t>990261580亿</t>
  </si>
  <si>
    <t>4011.91万</t>
  </si>
  <si>
    <t>3750.00万</t>
  </si>
  <si>
    <t>-7799.89万</t>
  </si>
  <si>
    <t>-3815.71万</t>
  </si>
  <si>
    <t>19.01亿</t>
  </si>
  <si>
    <t>5589.86万</t>
  </si>
  <si>
    <t>10派1.9元(含税)</t>
  </si>
  <si>
    <t>预加工食品</t>
  </si>
  <si>
    <t>567.32万</t>
  </si>
  <si>
    <t>4572.89万</t>
  </si>
  <si>
    <t>-4-0</t>
  </si>
  <si>
    <t>135.66万</t>
  </si>
  <si>
    <t>9980.63万</t>
  </si>
  <si>
    <t>10.04亿</t>
  </si>
  <si>
    <t>2866.41万</t>
  </si>
  <si>
    <t>9886.70万</t>
  </si>
  <si>
    <t>8614.74万</t>
  </si>
  <si>
    <t>436.33万</t>
  </si>
  <si>
    <t>742.38万</t>
  </si>
  <si>
    <t>4166410亿</t>
  </si>
  <si>
    <t>24912596亿</t>
  </si>
  <si>
    <t>10128483亿</t>
  </si>
  <si>
    <t>678.09万</t>
  </si>
  <si>
    <t>991324740亿</t>
  </si>
  <si>
    <t>40.15万</t>
  </si>
  <si>
    <t>2639.88万</t>
  </si>
  <si>
    <t>6101.77万</t>
  </si>
  <si>
    <t>-39.68万</t>
  </si>
  <si>
    <t>3142.15万</t>
  </si>
  <si>
    <t>-1.59万</t>
  </si>
  <si>
    <t>8610.74万</t>
  </si>
  <si>
    <t>5335.68万</t>
  </si>
  <si>
    <t>901.35万</t>
  </si>
  <si>
    <t>4400.27万</t>
  </si>
  <si>
    <t>028664100</t>
  </si>
  <si>
    <t>085992300</t>
  </si>
  <si>
    <t>0171984600</t>
  </si>
  <si>
    <t>0286641000</t>
  </si>
  <si>
    <t>0573282000</t>
  </si>
  <si>
    <t>204.41万</t>
  </si>
  <si>
    <t>31.80亿</t>
  </si>
  <si>
    <t>45.71亿</t>
  </si>
  <si>
    <t>22.54亿</t>
  </si>
  <si>
    <t>19.98亿</t>
  </si>
  <si>
    <t>16.54亿</t>
  </si>
  <si>
    <t>4204.11万</t>
  </si>
  <si>
    <t>13821819亿</t>
  </si>
  <si>
    <t>184.72万</t>
  </si>
  <si>
    <t>197411460亿</t>
  </si>
  <si>
    <t>4.38亿</t>
  </si>
  <si>
    <t>387824640亿</t>
  </si>
  <si>
    <t>2965664300亿</t>
  </si>
  <si>
    <t>8389.67万</t>
  </si>
  <si>
    <t>10.29亿</t>
  </si>
  <si>
    <t>-5.41亿</t>
  </si>
  <si>
    <t>-508.02万</t>
  </si>
  <si>
    <t>8.02亿</t>
  </si>
  <si>
    <t>70.56亿</t>
  </si>
  <si>
    <t>7.49亿</t>
  </si>
  <si>
    <t>1252.19万</t>
  </si>
  <si>
    <t>9724.73万</t>
  </si>
  <si>
    <t>0230000000</t>
  </si>
  <si>
    <t>0690000000</t>
  </si>
  <si>
    <t>01380000000</t>
  </si>
  <si>
    <t>02300000000</t>
  </si>
  <si>
    <t>04600000000</t>
  </si>
  <si>
    <t>423.70万</t>
  </si>
  <si>
    <t>10.01亿</t>
  </si>
  <si>
    <t>23.58亿</t>
  </si>
  <si>
    <t>7.84亿</t>
  </si>
  <si>
    <t>1347.38万</t>
  </si>
  <si>
    <t>2779.31万</t>
  </si>
  <si>
    <t>2044.35万</t>
  </si>
  <si>
    <t>15671亿</t>
  </si>
  <si>
    <t>6.62万</t>
  </si>
  <si>
    <t>12920319亿</t>
  </si>
  <si>
    <t>6.97亿</t>
  </si>
  <si>
    <t>196765170亿</t>
  </si>
  <si>
    <t>1702982900亿</t>
  </si>
  <si>
    <t>5712.07万</t>
  </si>
  <si>
    <t>-9788.90万</t>
  </si>
  <si>
    <t>-2329.86万</t>
  </si>
  <si>
    <t>-3399.70万</t>
  </si>
  <si>
    <t>2565.69万</t>
  </si>
  <si>
    <t>10派0.1元(含税)</t>
  </si>
  <si>
    <t>2372.41万</t>
  </si>
  <si>
    <t>013473800</t>
  </si>
  <si>
    <t>040421400</t>
  </si>
  <si>
    <t>080842800</t>
  </si>
  <si>
    <t>0134738000</t>
  </si>
  <si>
    <t>0269476000</t>
  </si>
  <si>
    <t>2886.50万</t>
  </si>
  <si>
    <t>4741.85万</t>
  </si>
  <si>
    <t>11.21亿</t>
  </si>
  <si>
    <t>5475.41万</t>
  </si>
  <si>
    <t>196.57万</t>
  </si>
  <si>
    <t>5086.27万</t>
  </si>
  <si>
    <t>4052.01万</t>
  </si>
  <si>
    <t>63.87万</t>
  </si>
  <si>
    <t>678.28万</t>
  </si>
  <si>
    <t>1759634亿</t>
  </si>
  <si>
    <t>2.51亿</t>
  </si>
  <si>
    <t>38326616亿</t>
  </si>
  <si>
    <t>364190130亿</t>
  </si>
  <si>
    <t>155.23万</t>
  </si>
  <si>
    <t>918.44万</t>
  </si>
  <si>
    <t>30.72万</t>
  </si>
  <si>
    <t>1811.66万</t>
  </si>
  <si>
    <t>-4607.96万</t>
  </si>
  <si>
    <t>-2386.95万</t>
  </si>
  <si>
    <t>-16.96万</t>
  </si>
  <si>
    <t>-4471.47万</t>
  </si>
  <si>
    <t>439.73万</t>
  </si>
  <si>
    <t>01965700</t>
  </si>
  <si>
    <t>05897100</t>
  </si>
  <si>
    <t>011794200</t>
  </si>
  <si>
    <t>019657000</t>
  </si>
  <si>
    <t>039314000</t>
  </si>
  <si>
    <t>655.44万</t>
  </si>
  <si>
    <t>85.16亿</t>
  </si>
  <si>
    <t>9143.52万</t>
  </si>
  <si>
    <t>1923.50万</t>
  </si>
  <si>
    <t>9610354亿</t>
  </si>
  <si>
    <t>10.23万</t>
  </si>
  <si>
    <t>258823620亿</t>
  </si>
  <si>
    <t>43.80亿</t>
  </si>
  <si>
    <t>160127930亿</t>
  </si>
  <si>
    <t>7291364500亿</t>
  </si>
  <si>
    <t>-3390.83万</t>
  </si>
  <si>
    <t>24.50亿</t>
  </si>
  <si>
    <t>4.70亿</t>
  </si>
  <si>
    <t>3671.96万</t>
  </si>
  <si>
    <t>2.29亿</t>
  </si>
  <si>
    <t>0272000000</t>
  </si>
  <si>
    <t>0816000000</t>
  </si>
  <si>
    <t>01632000000</t>
  </si>
  <si>
    <t>02720000000</t>
  </si>
  <si>
    <t>05440000000</t>
  </si>
  <si>
    <t>1502.71万</t>
  </si>
  <si>
    <t>5975.11万</t>
  </si>
  <si>
    <t>26.12亿</t>
  </si>
  <si>
    <t>2364.35万</t>
  </si>
  <si>
    <t>9444.77万</t>
  </si>
  <si>
    <t>1016.43万</t>
  </si>
  <si>
    <t>557.47万</t>
  </si>
  <si>
    <t>-1684794亿</t>
  </si>
  <si>
    <t>1.71万</t>
  </si>
  <si>
    <t>19967314亿</t>
  </si>
  <si>
    <t>14.16亿</t>
  </si>
  <si>
    <t>29347305亿</t>
  </si>
  <si>
    <t>1723845900亿</t>
  </si>
  <si>
    <t>1623.51万</t>
  </si>
  <si>
    <t>649.28万</t>
  </si>
  <si>
    <t>9233.53万</t>
  </si>
  <si>
    <t>3.24亿</t>
  </si>
  <si>
    <t>4006.30万</t>
  </si>
  <si>
    <t>2669.63万</t>
  </si>
  <si>
    <t>4802.87万</t>
  </si>
  <si>
    <t>-3-0</t>
  </si>
  <si>
    <t>238.80万</t>
  </si>
  <si>
    <t>38.66亿</t>
  </si>
  <si>
    <t>57.07亿</t>
  </si>
  <si>
    <t>18.22亿</t>
  </si>
  <si>
    <t>15.58亿</t>
  </si>
  <si>
    <t>12.67亿</t>
  </si>
  <si>
    <t>6813.59万</t>
  </si>
  <si>
    <t>3440379亿</t>
  </si>
  <si>
    <t>1982.78万</t>
  </si>
  <si>
    <t>221375690亿</t>
  </si>
  <si>
    <t>203724360亿</t>
  </si>
  <si>
    <t>3829.00万</t>
  </si>
  <si>
    <t>7232655500亿</t>
  </si>
  <si>
    <t>3058.02万</t>
  </si>
  <si>
    <t>8.50亿</t>
  </si>
  <si>
    <t>21.36亿</t>
  </si>
  <si>
    <t>9908.17万</t>
  </si>
  <si>
    <t>153.02万</t>
  </si>
  <si>
    <t>68.06亿</t>
  </si>
  <si>
    <t>1784.84万</t>
  </si>
  <si>
    <t>0240000000</t>
  </si>
  <si>
    <t>0720000000</t>
  </si>
  <si>
    <t>01440000000</t>
  </si>
  <si>
    <t>02400000000</t>
  </si>
  <si>
    <t>04800000000</t>
  </si>
  <si>
    <t>273.96万</t>
  </si>
  <si>
    <t>15.21亿</t>
  </si>
  <si>
    <t>1259.38万</t>
  </si>
  <si>
    <t>3200.88万</t>
  </si>
  <si>
    <t>14459638亿</t>
  </si>
  <si>
    <t>174.20万</t>
  </si>
  <si>
    <t>14515298亿</t>
  </si>
  <si>
    <t>16.59亿</t>
  </si>
  <si>
    <t>87157035亿</t>
  </si>
  <si>
    <t>104.41万</t>
  </si>
  <si>
    <t>2584367300亿</t>
  </si>
  <si>
    <t>1998.48万</t>
  </si>
  <si>
    <t>1423.89万</t>
  </si>
  <si>
    <t>5941.49万</t>
  </si>
  <si>
    <t>10.77万</t>
  </si>
  <si>
    <t>3.54亿</t>
  </si>
  <si>
    <t>2471.24万</t>
  </si>
  <si>
    <t>-1.89亿</t>
  </si>
  <si>
    <t>17.28亿</t>
  </si>
  <si>
    <t>-5189.19万</t>
  </si>
  <si>
    <t>-1823.29万</t>
  </si>
  <si>
    <t>2086.52万</t>
  </si>
  <si>
    <t>账面净赚</t>
  </si>
  <si>
    <t>012593800</t>
  </si>
  <si>
    <t>037781400</t>
  </si>
  <si>
    <t>075562800</t>
  </si>
  <si>
    <t>0125938000</t>
  </si>
  <si>
    <t>0251876000</t>
  </si>
  <si>
    <t>765.56万</t>
  </si>
  <si>
    <t>14.17亿</t>
  </si>
  <si>
    <t>7079.38万</t>
  </si>
  <si>
    <t>4.55亿</t>
  </si>
  <si>
    <t>7102.02万</t>
  </si>
  <si>
    <t>2102512亿</t>
  </si>
  <si>
    <t>20.60万</t>
  </si>
  <si>
    <t>69715676亿</t>
  </si>
  <si>
    <t>405232150亿</t>
  </si>
  <si>
    <t>982.00万</t>
  </si>
  <si>
    <t>2254333200亿</t>
  </si>
  <si>
    <t>8369.59万</t>
  </si>
  <si>
    <t>1560.31万</t>
  </si>
  <si>
    <t>8.34亿</t>
  </si>
  <si>
    <t>4.06亿</t>
  </si>
  <si>
    <t>395.01万</t>
  </si>
  <si>
    <t>-2875.24万</t>
  </si>
  <si>
    <t>31.03亿</t>
  </si>
  <si>
    <t>6061.10万</t>
  </si>
  <si>
    <t>070793800</t>
  </si>
  <si>
    <t>0212381400</t>
  </si>
  <si>
    <t>0424762800</t>
  </si>
  <si>
    <t>0707938000</t>
  </si>
  <si>
    <t>01415876000</t>
  </si>
  <si>
    <t>ST加加</t>
  </si>
  <si>
    <t>526.38万</t>
  </si>
  <si>
    <t>5.68亿</t>
  </si>
  <si>
    <t>4.87亿</t>
  </si>
  <si>
    <t>656.63万</t>
  </si>
  <si>
    <t>6855.14万</t>
  </si>
  <si>
    <t>3264.42万</t>
  </si>
  <si>
    <t>54637亿</t>
  </si>
  <si>
    <t>3.69万</t>
  </si>
  <si>
    <t>3640721亿</t>
  </si>
  <si>
    <t>44931549亿</t>
  </si>
  <si>
    <t>854922080亿</t>
  </si>
  <si>
    <t>2701.33万</t>
  </si>
  <si>
    <t>-39.33万</t>
  </si>
  <si>
    <t>4673.56万</t>
  </si>
  <si>
    <t>-7959.04万</t>
  </si>
  <si>
    <t>14.54亿</t>
  </si>
  <si>
    <t>389.43万</t>
  </si>
  <si>
    <t>3229.25万</t>
  </si>
  <si>
    <t>06566300</t>
  </si>
  <si>
    <t>019698900</t>
  </si>
  <si>
    <t>039397800</t>
  </si>
  <si>
    <t>065663000</t>
  </si>
  <si>
    <t>0131326000</t>
  </si>
  <si>
    <t>-4-1</t>
  </si>
  <si>
    <t>323.30万</t>
  </si>
  <si>
    <t>30.43亿</t>
  </si>
  <si>
    <t>28.30亿</t>
  </si>
  <si>
    <t>4881.95万</t>
  </si>
  <si>
    <t>10.74亿</t>
  </si>
  <si>
    <t>7068.48万</t>
  </si>
  <si>
    <t>4680.71万</t>
  </si>
  <si>
    <t>289451亿</t>
  </si>
  <si>
    <t>68.04万</t>
  </si>
  <si>
    <t>46376494亿</t>
  </si>
  <si>
    <t>8.71亿</t>
  </si>
  <si>
    <t>71760166亿</t>
  </si>
  <si>
    <t>1473477700亿</t>
  </si>
  <si>
    <t>8.61亿</t>
  </si>
  <si>
    <t>-2.07亿</t>
  </si>
  <si>
    <t>60.58亿</t>
  </si>
  <si>
    <t>51.84亿</t>
  </si>
  <si>
    <t>-6565.34万</t>
  </si>
  <si>
    <t>1111.14万</t>
  </si>
  <si>
    <t>1362.58万</t>
  </si>
  <si>
    <t>8967.76万</t>
  </si>
  <si>
    <t>209.71万</t>
  </si>
  <si>
    <t>5.64亿</t>
  </si>
  <si>
    <t>28.31亿</t>
  </si>
  <si>
    <t>3257.33万</t>
  </si>
  <si>
    <t>2.95亿</t>
  </si>
  <si>
    <t>6493.94万</t>
  </si>
  <si>
    <t>4176.56万</t>
  </si>
  <si>
    <t>355809亿</t>
  </si>
  <si>
    <t>185.82万</t>
  </si>
  <si>
    <t>26634659亿</t>
  </si>
  <si>
    <t>11.63亿</t>
  </si>
  <si>
    <t>48601444亿</t>
  </si>
  <si>
    <t>1930330000亿</t>
  </si>
  <si>
    <t>9832.23万</t>
  </si>
  <si>
    <t>-3358.75万</t>
  </si>
  <si>
    <t>-2950.00万</t>
  </si>
  <si>
    <t>3082.26万</t>
  </si>
  <si>
    <t>19.21亿</t>
  </si>
  <si>
    <t>7058.55万</t>
  </si>
  <si>
    <t>8256.88万</t>
  </si>
  <si>
    <t>1454.74万</t>
  </si>
  <si>
    <t>7968.22万</t>
  </si>
  <si>
    <t>032573300</t>
  </si>
  <si>
    <t>097719900</t>
  </si>
  <si>
    <t>0195439800</t>
  </si>
  <si>
    <t>0325733000</t>
  </si>
  <si>
    <t>0651466000</t>
  </si>
  <si>
    <t>731.58万</t>
  </si>
  <si>
    <t>12.02亿</t>
  </si>
  <si>
    <t>1039.77万</t>
  </si>
  <si>
    <t>4343.47万</t>
  </si>
  <si>
    <t>2305.94万</t>
  </si>
  <si>
    <t>-314441亿</t>
  </si>
  <si>
    <t>8860734亿</t>
  </si>
  <si>
    <t>153467410亿</t>
  </si>
  <si>
    <t>909212170亿</t>
  </si>
  <si>
    <t>4.32亿</t>
  </si>
  <si>
    <t>8855.63万</t>
  </si>
  <si>
    <t>9685.31万</t>
  </si>
  <si>
    <t>-3022.33万</t>
  </si>
  <si>
    <t>227.01万</t>
  </si>
  <si>
    <t>119.07万</t>
  </si>
  <si>
    <t>10派0.4元(含税)</t>
  </si>
  <si>
    <t>4799.30万</t>
  </si>
  <si>
    <t>010397700</t>
  </si>
  <si>
    <t>031193100</t>
  </si>
  <si>
    <t>062386200</t>
  </si>
  <si>
    <t>0103977000</t>
  </si>
  <si>
    <t>0207954000</t>
  </si>
  <si>
    <t>1000.99万</t>
  </si>
  <si>
    <t>46.61亿</t>
  </si>
  <si>
    <t>16.87亿</t>
  </si>
  <si>
    <t>25.23亿</t>
  </si>
  <si>
    <t>3034.87万</t>
  </si>
  <si>
    <t>24.94亿</t>
  </si>
  <si>
    <t>3489.52万</t>
  </si>
  <si>
    <t>6317.09万</t>
  </si>
  <si>
    <t>55.81万</t>
  </si>
  <si>
    <t>30136183亿</t>
  </si>
  <si>
    <t>419467800亿</t>
  </si>
  <si>
    <t>328.60万</t>
  </si>
  <si>
    <t>2644353700亿</t>
  </si>
  <si>
    <t>8.79亿</t>
  </si>
  <si>
    <t>16.40亿</t>
  </si>
  <si>
    <t>3.47亿</t>
  </si>
  <si>
    <t>29.17亿</t>
  </si>
  <si>
    <t>-1.42亿</t>
  </si>
  <si>
    <t>-8118.00万</t>
  </si>
  <si>
    <t>133.18亿</t>
  </si>
  <si>
    <t>-15.38亿</t>
  </si>
  <si>
    <t>-6.24亿</t>
  </si>
  <si>
    <t>3353.86万</t>
  </si>
  <si>
    <t>2.89亿</t>
  </si>
  <si>
    <t>182.29万</t>
  </si>
  <si>
    <t>7610.26万</t>
  </si>
  <si>
    <t>9.51亿</t>
  </si>
  <si>
    <t>1869.86万</t>
  </si>
  <si>
    <t>8727.50万</t>
  </si>
  <si>
    <t>4068.59万</t>
  </si>
  <si>
    <t>1266.04万</t>
  </si>
  <si>
    <t>1447355亿</t>
  </si>
  <si>
    <t>33.28万</t>
  </si>
  <si>
    <t>18072191亿</t>
  </si>
  <si>
    <t>6.11亿</t>
  </si>
  <si>
    <t>20703929亿</t>
  </si>
  <si>
    <t>690303080亿</t>
  </si>
  <si>
    <t>4450.57万</t>
  </si>
  <si>
    <t>2306.92万</t>
  </si>
  <si>
    <t>116.92万</t>
  </si>
  <si>
    <t>5072.89万</t>
  </si>
  <si>
    <t>2789.93万</t>
  </si>
  <si>
    <t>-510.03万</t>
  </si>
  <si>
    <t>-5303.24万</t>
  </si>
  <si>
    <t>-6972.01万</t>
  </si>
  <si>
    <t>6103.50万</t>
  </si>
  <si>
    <t>4013.03万</t>
  </si>
  <si>
    <t>1269.36万</t>
  </si>
  <si>
    <t>9924.04万</t>
  </si>
  <si>
    <t>018698600</t>
  </si>
  <si>
    <t>056095800</t>
  </si>
  <si>
    <t>0112191600</t>
  </si>
  <si>
    <t>0186986000</t>
  </si>
  <si>
    <t>0373972000</t>
  </si>
  <si>
    <t>469.77万</t>
  </si>
  <si>
    <t>66.53亿</t>
  </si>
  <si>
    <t>21.32亿</t>
  </si>
  <si>
    <t>19.96亿</t>
  </si>
  <si>
    <t>-1.57亿</t>
  </si>
  <si>
    <t>21.59亿</t>
  </si>
  <si>
    <t>2376.85万</t>
  </si>
  <si>
    <t>6378.62万</t>
  </si>
  <si>
    <t>-1288505亿</t>
  </si>
  <si>
    <t>175.34万</t>
  </si>
  <si>
    <t>-160498250亿</t>
  </si>
  <si>
    <t>82473247亿</t>
  </si>
  <si>
    <t>192.00万</t>
  </si>
  <si>
    <t>2228414200亿</t>
  </si>
  <si>
    <t>21.50亿</t>
  </si>
  <si>
    <t>561.26万</t>
  </si>
  <si>
    <t>36.89亿</t>
  </si>
  <si>
    <t>2036.89万</t>
  </si>
  <si>
    <t>-1.84亿</t>
  </si>
  <si>
    <t>85.78亿</t>
  </si>
  <si>
    <t>-6.05亿</t>
  </si>
  <si>
    <t>3932.37万</t>
  </si>
  <si>
    <t>92.69万</t>
  </si>
  <si>
    <t>14.08亿</t>
  </si>
  <si>
    <t>16.52亿</t>
  </si>
  <si>
    <t>10.70亿</t>
  </si>
  <si>
    <t>8.31亿</t>
  </si>
  <si>
    <t>5171.90万</t>
  </si>
  <si>
    <t>752096亿</t>
  </si>
  <si>
    <t>11.48万</t>
  </si>
  <si>
    <t>137780930亿</t>
  </si>
  <si>
    <t>194189020亿</t>
  </si>
  <si>
    <t>82.87万</t>
  </si>
  <si>
    <t>1443626500亿</t>
  </si>
  <si>
    <t>3439.19万</t>
  </si>
  <si>
    <t>13.78亿</t>
  </si>
  <si>
    <t>500.12万</t>
  </si>
  <si>
    <t>-1.04亿</t>
  </si>
  <si>
    <t>6448.53万</t>
  </si>
  <si>
    <t>41.15亿</t>
  </si>
  <si>
    <t>10转4股派15元(含税)</t>
  </si>
  <si>
    <t>587.16万</t>
  </si>
  <si>
    <t>4597.69万</t>
  </si>
  <si>
    <t>462.84万</t>
  </si>
  <si>
    <t>14.95亿</t>
  </si>
  <si>
    <t>4500.34万</t>
  </si>
  <si>
    <t>5.18亿</t>
  </si>
  <si>
    <t>2505.78万</t>
  </si>
  <si>
    <t>1337863亿</t>
  </si>
  <si>
    <t>39.18万</t>
  </si>
  <si>
    <t>41841353亿</t>
  </si>
  <si>
    <t>4.43亿</t>
  </si>
  <si>
    <t>81227941亿</t>
  </si>
  <si>
    <t>124.62万</t>
  </si>
  <si>
    <t>1284519100亿</t>
  </si>
  <si>
    <t>5000.42万</t>
  </si>
  <si>
    <t>6518.43万</t>
  </si>
  <si>
    <t>3.87万</t>
  </si>
  <si>
    <t>5512.91万</t>
  </si>
  <si>
    <t>-7244.53万</t>
  </si>
  <si>
    <t>-3486.79万</t>
  </si>
  <si>
    <t>6533.66万</t>
  </si>
  <si>
    <t>10派3.1元(含税)</t>
  </si>
  <si>
    <t>1294.04万</t>
  </si>
  <si>
    <t>045003400</t>
  </si>
  <si>
    <t>0135010200</t>
  </si>
  <si>
    <t>0270020400</t>
  </si>
  <si>
    <t>0450034000</t>
  </si>
  <si>
    <t>0900068000</t>
  </si>
  <si>
    <t>94.13万</t>
  </si>
  <si>
    <t>4.10亿</t>
  </si>
  <si>
    <t>17.57亿</t>
  </si>
  <si>
    <t>5.86亿</t>
  </si>
  <si>
    <t>9129.27万</t>
  </si>
  <si>
    <t>3.79亿</t>
  </si>
  <si>
    <t>7676.04万</t>
  </si>
  <si>
    <t>2042.80万</t>
  </si>
  <si>
    <t>1405098亿</t>
  </si>
  <si>
    <t>8.75万</t>
  </si>
  <si>
    <t>83513756亿</t>
  </si>
  <si>
    <t>33101124亿</t>
  </si>
  <si>
    <t>160.00万</t>
  </si>
  <si>
    <t>1253634220亿</t>
  </si>
  <si>
    <t>7774.81万</t>
  </si>
  <si>
    <t>8665.39万</t>
  </si>
  <si>
    <t>-7733.89万</t>
  </si>
  <si>
    <t>-1962.29万</t>
  </si>
  <si>
    <t>18.48亿</t>
  </si>
  <si>
    <t>10派21.8元(含税)</t>
  </si>
  <si>
    <t>408.70万</t>
  </si>
  <si>
    <t>2125.94万</t>
  </si>
  <si>
    <t>091292700</t>
  </si>
  <si>
    <t>0273878100</t>
  </si>
  <si>
    <t>0547756200</t>
  </si>
  <si>
    <t>0912927000</t>
  </si>
  <si>
    <t>01825854000</t>
  </si>
  <si>
    <t>302.38万</t>
  </si>
  <si>
    <t>13.69亿</t>
  </si>
  <si>
    <t>7359.00万</t>
  </si>
  <si>
    <t>7085.08万</t>
  </si>
  <si>
    <t>2096.34万</t>
  </si>
  <si>
    <t>1293144亿</t>
  </si>
  <si>
    <t>4.75万</t>
  </si>
  <si>
    <t>58395188亿</t>
  </si>
  <si>
    <t>6057016亿</t>
  </si>
  <si>
    <t>1153155510亿</t>
  </si>
  <si>
    <t>2915.38万</t>
  </si>
  <si>
    <t>7000.00万</t>
  </si>
  <si>
    <t>8825.33万</t>
  </si>
  <si>
    <t>-2.05亿</t>
  </si>
  <si>
    <t>20.65亿</t>
  </si>
  <si>
    <t>2.10亿</t>
  </si>
  <si>
    <t>8312.91万</t>
  </si>
  <si>
    <t>2175.09万</t>
  </si>
  <si>
    <t>702.67万</t>
  </si>
  <si>
    <t>126.81亿</t>
  </si>
  <si>
    <t>26.46亿</t>
  </si>
  <si>
    <t>17.78亿</t>
  </si>
  <si>
    <t>23622033亿</t>
  </si>
  <si>
    <t>705.79万</t>
  </si>
  <si>
    <t>709494090亿</t>
  </si>
  <si>
    <t>486810920亿</t>
  </si>
  <si>
    <t>8399349000亿</t>
  </si>
  <si>
    <t>1817.58万</t>
  </si>
  <si>
    <t>16.17万</t>
  </si>
  <si>
    <t>16.13亿</t>
  </si>
  <si>
    <t>-1.69亿</t>
  </si>
  <si>
    <t>-2.02亿</t>
  </si>
  <si>
    <t>94.07亿</t>
  </si>
  <si>
    <t>17.46亿</t>
  </si>
  <si>
    <t>10派9元(含税)</t>
  </si>
  <si>
    <t>3428.28万</t>
  </si>
  <si>
    <t>0727000000</t>
  </si>
  <si>
    <t>02181000000</t>
  </si>
  <si>
    <t>04362000000</t>
  </si>
  <si>
    <t>07270000000</t>
  </si>
  <si>
    <t>014540000000</t>
  </si>
  <si>
    <t>397.09万</t>
  </si>
  <si>
    <t>28.28亿</t>
  </si>
  <si>
    <t>36.46亿</t>
  </si>
  <si>
    <t>33.07亿</t>
  </si>
  <si>
    <t>26.47亿</t>
  </si>
  <si>
    <t>4841.48万</t>
  </si>
  <si>
    <t>12318147亿</t>
  </si>
  <si>
    <t>3258.19万</t>
  </si>
  <si>
    <t>263253540亿</t>
  </si>
  <si>
    <t>469479970亿</t>
  </si>
  <si>
    <t>3579457300亿</t>
  </si>
  <si>
    <t>6.24亿</t>
  </si>
  <si>
    <t>6268.33万</t>
  </si>
  <si>
    <t>2906.30万</t>
  </si>
  <si>
    <t>71.15亿</t>
  </si>
  <si>
    <t>10派2.51元(含税)</t>
  </si>
  <si>
    <t>3029.93万</t>
  </si>
  <si>
    <t>0308000000</t>
  </si>
  <si>
    <t>0924000000</t>
  </si>
  <si>
    <t>01848000000</t>
  </si>
  <si>
    <t>03080000000</t>
  </si>
  <si>
    <t>06160000000</t>
  </si>
  <si>
    <t>153.39万</t>
  </si>
  <si>
    <t>26.30亿</t>
  </si>
  <si>
    <t>25.78亿</t>
  </si>
  <si>
    <t>9.52亿</t>
  </si>
  <si>
    <t>6302.97万</t>
  </si>
  <si>
    <t>7308.62万</t>
  </si>
  <si>
    <t>9197.13万</t>
  </si>
  <si>
    <t>-4869172亿</t>
  </si>
  <si>
    <t>115.33万</t>
  </si>
  <si>
    <t>64930449亿</t>
  </si>
  <si>
    <t>623889290亿</t>
  </si>
  <si>
    <t>1750.98万</t>
  </si>
  <si>
    <t>1845498300亿</t>
  </si>
  <si>
    <t>1882.74万</t>
  </si>
  <si>
    <t>-7230.13万</t>
  </si>
  <si>
    <t>-7714.49万</t>
  </si>
  <si>
    <t>2835.25万</t>
  </si>
  <si>
    <t>35.82亿</t>
  </si>
  <si>
    <t>10转3股派11元(含税)</t>
  </si>
  <si>
    <t>728.71万</t>
  </si>
  <si>
    <t>2951.92万</t>
  </si>
  <si>
    <t>063029700</t>
  </si>
  <si>
    <t>0189089100</t>
  </si>
  <si>
    <t>0378178200</t>
  </si>
  <si>
    <t>0630297000</t>
  </si>
  <si>
    <t>01260594000</t>
  </si>
  <si>
    <t>108.45万</t>
  </si>
  <si>
    <t>5086.77万</t>
  </si>
  <si>
    <t>1.52亿</t>
  </si>
  <si>
    <t>4597.76万</t>
  </si>
  <si>
    <t>1197.24万</t>
  </si>
  <si>
    <t>23.80万</t>
  </si>
  <si>
    <t>49789826亿</t>
  </si>
  <si>
    <t>100720438亿</t>
  </si>
  <si>
    <t>239.79万</t>
  </si>
  <si>
    <t>1155325510亿</t>
  </si>
  <si>
    <t>1000.86万</t>
  </si>
  <si>
    <t>6107.82万</t>
  </si>
  <si>
    <t>-9649.91万</t>
  </si>
  <si>
    <t>-7.08万</t>
  </si>
  <si>
    <t>9.94亿</t>
  </si>
  <si>
    <t>8955.38万</t>
  </si>
  <si>
    <t>10转4.6股派10元(含税)</t>
  </si>
  <si>
    <t>411.84万</t>
  </si>
  <si>
    <t>2499.67万</t>
  </si>
  <si>
    <t>050867700</t>
  </si>
  <si>
    <t>0152603100</t>
  </si>
  <si>
    <t>0305206200</t>
  </si>
  <si>
    <t>0508677000</t>
  </si>
  <si>
    <t>01017354000</t>
  </si>
  <si>
    <t>174.85万</t>
  </si>
  <si>
    <t>25.18亿</t>
  </si>
  <si>
    <t>9.16亿</t>
  </si>
  <si>
    <t>7677.18万</t>
  </si>
  <si>
    <t>6021.33万</t>
  </si>
  <si>
    <t>2961456亿</t>
  </si>
  <si>
    <t>8.52万</t>
  </si>
  <si>
    <t>67765557亿</t>
  </si>
  <si>
    <t>8.23亿</t>
  </si>
  <si>
    <t>267623360亿</t>
  </si>
  <si>
    <t>1871981500亿</t>
  </si>
  <si>
    <t>7803.59万</t>
  </si>
  <si>
    <t>18.03万</t>
  </si>
  <si>
    <t>2030.34万</t>
  </si>
  <si>
    <t>-4111.19万</t>
  </si>
  <si>
    <t>34.99亿</t>
  </si>
  <si>
    <t>7302.70万</t>
  </si>
  <si>
    <t>1030.85万</t>
  </si>
  <si>
    <t>4869.70万</t>
  </si>
  <si>
    <t>-5-1</t>
  </si>
  <si>
    <t>184.06万</t>
  </si>
  <si>
    <t>28.75亿</t>
  </si>
  <si>
    <t>18.89亿</t>
  </si>
  <si>
    <t>45.89亿</t>
  </si>
  <si>
    <t>7843.87万</t>
  </si>
  <si>
    <t>44.48亿</t>
  </si>
  <si>
    <t>43.05亿</t>
  </si>
  <si>
    <t>3119.72万</t>
  </si>
  <si>
    <t>7970.97万</t>
  </si>
  <si>
    <t>-369438亿</t>
  </si>
  <si>
    <t>111.42万</t>
  </si>
  <si>
    <t>75404847亿</t>
  </si>
  <si>
    <t>4.93亿</t>
  </si>
  <si>
    <t>541107910亿</t>
  </si>
  <si>
    <t>2289271100亿</t>
  </si>
  <si>
    <t>2947.66万</t>
  </si>
  <si>
    <t>11.38亿</t>
  </si>
  <si>
    <t>7.05亿</t>
  </si>
  <si>
    <t>4.72万</t>
  </si>
  <si>
    <t>22.84亿</t>
  </si>
  <si>
    <t>-1.23亿</t>
  </si>
  <si>
    <t>6.83万</t>
  </si>
  <si>
    <t>5218.23万</t>
  </si>
  <si>
    <t>218.88亿</t>
  </si>
  <si>
    <t>7864.43万</t>
  </si>
  <si>
    <t>1346.25万</t>
  </si>
  <si>
    <t>光明肉业</t>
  </si>
  <si>
    <t>482.17万</t>
  </si>
  <si>
    <t>85.66亿</t>
  </si>
  <si>
    <t>65.82亿</t>
  </si>
  <si>
    <t>56.74亿</t>
  </si>
  <si>
    <t>9932.03万</t>
  </si>
  <si>
    <t>12183262亿</t>
  </si>
  <si>
    <t>57.90万</t>
  </si>
  <si>
    <t>98491071亿</t>
  </si>
  <si>
    <t>33.44亿</t>
  </si>
  <si>
    <t>1910139900亿</t>
  </si>
  <si>
    <t>8887673000亿</t>
  </si>
  <si>
    <t>7.48亿</t>
  </si>
  <si>
    <t>19.76亿</t>
  </si>
  <si>
    <t>-3.26亿</t>
  </si>
  <si>
    <t>223.67亿</t>
  </si>
  <si>
    <t>3.34亿</t>
  </si>
  <si>
    <t>10派0.73元(含税)</t>
  </si>
  <si>
    <t>3035.21万</t>
  </si>
  <si>
    <t>099320300</t>
  </si>
  <si>
    <t>0297960900</t>
  </si>
  <si>
    <t>0595921800</t>
  </si>
  <si>
    <t>0993203000</t>
  </si>
  <si>
    <t>01986406000</t>
  </si>
  <si>
    <t>5-1</t>
  </si>
  <si>
    <t>莲花控股</t>
  </si>
  <si>
    <t>2135.66万</t>
  </si>
  <si>
    <t>11.07亿</t>
  </si>
  <si>
    <t>13.79亿</t>
  </si>
  <si>
    <t>5.76亿</t>
  </si>
  <si>
    <t>4922.33万</t>
  </si>
  <si>
    <t>241025亿</t>
  </si>
  <si>
    <t>95.11万</t>
  </si>
  <si>
    <t>48652295亿</t>
  </si>
  <si>
    <t>111927014亿</t>
  </si>
  <si>
    <t>1764542600亿</t>
  </si>
  <si>
    <t>1.82亿</t>
  </si>
  <si>
    <t>4619.47万</t>
  </si>
  <si>
    <t>21.01亿</t>
  </si>
  <si>
    <t>5015.96万</t>
  </si>
  <si>
    <t>9.13亿</t>
  </si>
  <si>
    <t>049223300</t>
  </si>
  <si>
    <t>0147669900</t>
  </si>
  <si>
    <t>0295339800</t>
  </si>
  <si>
    <t>0492233000</t>
  </si>
  <si>
    <t>0984466000</t>
  </si>
  <si>
    <t>1172.20万</t>
  </si>
  <si>
    <t>86.89亿</t>
  </si>
  <si>
    <t>107.02亿</t>
  </si>
  <si>
    <t>34.83亿</t>
  </si>
  <si>
    <t>31.09亿</t>
  </si>
  <si>
    <t>26.24亿</t>
  </si>
  <si>
    <t>-690994亿</t>
  </si>
  <si>
    <t>341.35万</t>
  </si>
  <si>
    <t>294662120亿</t>
  </si>
  <si>
    <t>12.28亿</t>
  </si>
  <si>
    <t>1807697700亿</t>
  </si>
  <si>
    <t>9278473500亿</t>
  </si>
  <si>
    <t>38.68亿</t>
  </si>
  <si>
    <t>67.92亿</t>
  </si>
  <si>
    <t>-4.56亿</t>
  </si>
  <si>
    <t>135.81亿</t>
  </si>
  <si>
    <t>12.70亿</t>
  </si>
  <si>
    <t>6.69亿</t>
  </si>
  <si>
    <t>3274.89万</t>
  </si>
  <si>
    <t>0319000000</t>
  </si>
  <si>
    <t>0957000000</t>
  </si>
  <si>
    <t>01914000000</t>
  </si>
  <si>
    <t>03190000000</t>
  </si>
  <si>
    <t>06380000000</t>
  </si>
  <si>
    <t>-6-1</t>
  </si>
  <si>
    <t>296.62万</t>
  </si>
  <si>
    <t>33.79亿</t>
  </si>
  <si>
    <t>5521.61万</t>
  </si>
  <si>
    <t>7836.62万</t>
  </si>
  <si>
    <t>2829.28万</t>
  </si>
  <si>
    <t>-4526631亿</t>
  </si>
  <si>
    <t>62.37万</t>
  </si>
  <si>
    <t>45413325亿</t>
  </si>
  <si>
    <t>46787195亿</t>
  </si>
  <si>
    <t>1859175700亿</t>
  </si>
  <si>
    <t>38.61万</t>
  </si>
  <si>
    <t>-3776.24万</t>
  </si>
  <si>
    <t>2751.09万</t>
  </si>
  <si>
    <t>21.06亿</t>
  </si>
  <si>
    <t>8689.94万</t>
  </si>
  <si>
    <t>10派0.7元(含税)</t>
  </si>
  <si>
    <t>2009.15万</t>
  </si>
  <si>
    <t>055216100</t>
  </si>
  <si>
    <t>0165648300</t>
  </si>
  <si>
    <t>0331296600</t>
  </si>
  <si>
    <t>0552161000</t>
  </si>
  <si>
    <t>01104322000</t>
  </si>
  <si>
    <t>ST春天</t>
  </si>
  <si>
    <t>1804.63万</t>
  </si>
  <si>
    <t>9199.43万</t>
  </si>
  <si>
    <t>12.41亿</t>
  </si>
  <si>
    <t>8449.94万</t>
  </si>
  <si>
    <t>-2690.51万</t>
  </si>
  <si>
    <t>3864.84万</t>
  </si>
  <si>
    <t>5408.25万</t>
  </si>
  <si>
    <t>1358.00万</t>
  </si>
  <si>
    <t>58636亿</t>
  </si>
  <si>
    <t>1.80万</t>
  </si>
  <si>
    <t>-26985126亿</t>
  </si>
  <si>
    <t>1017.72万</t>
  </si>
  <si>
    <t>694964600亿</t>
  </si>
  <si>
    <t>381.23万</t>
  </si>
  <si>
    <t>3.53万</t>
  </si>
  <si>
    <t>4439.75万</t>
  </si>
  <si>
    <t>1386.38万</t>
  </si>
  <si>
    <t>-218.16万</t>
  </si>
  <si>
    <t>-143.18万</t>
  </si>
  <si>
    <t>-2.68亿</t>
  </si>
  <si>
    <t>-5059.07万</t>
  </si>
  <si>
    <t>9558.80万</t>
  </si>
  <si>
    <t>交大昂立</t>
  </si>
  <si>
    <t>465.94万</t>
  </si>
  <si>
    <t>7555.03万</t>
  </si>
  <si>
    <t>-331.93万</t>
  </si>
  <si>
    <t>7656.16万</t>
  </si>
  <si>
    <t>5411.02万</t>
  </si>
  <si>
    <t>582.59万</t>
  </si>
  <si>
    <t>1228.65万</t>
  </si>
  <si>
    <t>-40636亿</t>
  </si>
  <si>
    <t>7.41万</t>
  </si>
  <si>
    <t>-3949689亿</t>
  </si>
  <si>
    <t>42465450亿</t>
  </si>
  <si>
    <t>214892430亿</t>
  </si>
  <si>
    <t>2002.52万</t>
  </si>
  <si>
    <t>2368.00万</t>
  </si>
  <si>
    <t>173.47万</t>
  </si>
  <si>
    <t>-2271.87万</t>
  </si>
  <si>
    <t>-131.78万</t>
  </si>
  <si>
    <t>-3420.46万</t>
  </si>
  <si>
    <t>-4.99亿</t>
  </si>
  <si>
    <t>-3508.44万</t>
  </si>
  <si>
    <t>-2067.41万</t>
  </si>
  <si>
    <t>2388.69万</t>
  </si>
  <si>
    <t>1138.52万</t>
  </si>
  <si>
    <t>15.18亿</t>
  </si>
  <si>
    <t>53.62亿</t>
  </si>
  <si>
    <t>14.85亿</t>
  </si>
  <si>
    <t>11.99亿</t>
  </si>
  <si>
    <t>9.36亿</t>
  </si>
  <si>
    <t>9448.46万</t>
  </si>
  <si>
    <t>13240933亿</t>
  </si>
  <si>
    <t>108.49万</t>
  </si>
  <si>
    <t>236617160亿</t>
  </si>
  <si>
    <t>37813009亿</t>
  </si>
  <si>
    <t>3778319400亿</t>
  </si>
  <si>
    <t>11.43亿</t>
  </si>
  <si>
    <t>535.76万</t>
  </si>
  <si>
    <t>4.03亿</t>
  </si>
  <si>
    <t>-77.10万</t>
  </si>
  <si>
    <t>-1.96亿</t>
  </si>
  <si>
    <t>51.39亿</t>
  </si>
  <si>
    <t>16.97亿</t>
  </si>
  <si>
    <t>-14.43亿</t>
  </si>
  <si>
    <t>5621.41万</t>
  </si>
  <si>
    <t>0239000000</t>
  </si>
  <si>
    <t>0717000000</t>
  </si>
  <si>
    <t>01434000000</t>
  </si>
  <si>
    <t>02390000000</t>
  </si>
  <si>
    <t>04780000000</t>
  </si>
  <si>
    <t>533.05万</t>
  </si>
  <si>
    <t>6.15亿</t>
  </si>
  <si>
    <t>36.07亿</t>
  </si>
  <si>
    <t>7.21亿</t>
  </si>
  <si>
    <t>2384.02万</t>
  </si>
  <si>
    <t>170878亿</t>
  </si>
  <si>
    <t>94.42万</t>
  </si>
  <si>
    <t>151599810亿</t>
  </si>
  <si>
    <t>126702851亿</t>
  </si>
  <si>
    <t>2367031400亿</t>
  </si>
  <si>
    <t>-8203.12万</t>
  </si>
  <si>
    <t>3374.48万</t>
  </si>
  <si>
    <t>150.53万</t>
  </si>
  <si>
    <t>39.71亿</t>
  </si>
  <si>
    <t>10.12亿</t>
  </si>
  <si>
    <t>7078.16万</t>
  </si>
  <si>
    <t>9.12亿</t>
  </si>
  <si>
    <t>9916.32万</t>
  </si>
  <si>
    <t>8530.09万</t>
  </si>
  <si>
    <t>-247822亿</t>
  </si>
  <si>
    <t>58.65万</t>
  </si>
  <si>
    <t>66611205亿</t>
  </si>
  <si>
    <t>9.78亿</t>
  </si>
  <si>
    <t>175534660亿</t>
  </si>
  <si>
    <t>1871768000亿</t>
  </si>
  <si>
    <t>9838.49万</t>
  </si>
  <si>
    <t>326.20万</t>
  </si>
  <si>
    <t>15.76亿</t>
  </si>
  <si>
    <t>1.22亿</t>
  </si>
  <si>
    <t>-2.21亿</t>
  </si>
  <si>
    <t>49.01亿</t>
  </si>
  <si>
    <t>8004.91万</t>
  </si>
  <si>
    <t>10派4.8元(含税)</t>
  </si>
  <si>
    <t>926.32万</t>
  </si>
  <si>
    <t>5092.81万</t>
  </si>
  <si>
    <t>070781600</t>
  </si>
  <si>
    <t>0212344800</t>
  </si>
  <si>
    <t>0424689600</t>
  </si>
  <si>
    <t>0707816000</t>
  </si>
  <si>
    <t>01415632000</t>
  </si>
  <si>
    <t>64.00万</t>
  </si>
  <si>
    <t>21.44亿</t>
  </si>
  <si>
    <t>6.95亿</t>
  </si>
  <si>
    <t>5396.40万</t>
  </si>
  <si>
    <t>3627.21万</t>
  </si>
  <si>
    <t>4429.33万</t>
  </si>
  <si>
    <t>1702841亿</t>
  </si>
  <si>
    <t>70.56万</t>
  </si>
  <si>
    <t>38737926亿</t>
  </si>
  <si>
    <t>3.32亿</t>
  </si>
  <si>
    <t>169684960亿</t>
  </si>
  <si>
    <t>1785710800亿</t>
  </si>
  <si>
    <t>4944.40万</t>
  </si>
  <si>
    <t>7.72亿</t>
  </si>
  <si>
    <t>-8189.01万</t>
  </si>
  <si>
    <t>35.50亿</t>
  </si>
  <si>
    <t>10派8元(含税)</t>
  </si>
  <si>
    <t>433.67万</t>
  </si>
  <si>
    <t>2816.78万</t>
  </si>
  <si>
    <t>053964000</t>
  </si>
  <si>
    <t>0161892000</t>
  </si>
  <si>
    <t>0323784000</t>
  </si>
  <si>
    <t>0539640000</t>
  </si>
  <si>
    <t>01079280000</t>
  </si>
  <si>
    <t>25.80万</t>
  </si>
  <si>
    <t>15.49亿</t>
  </si>
  <si>
    <t>3485.05万</t>
  </si>
  <si>
    <t>1957.63万</t>
  </si>
  <si>
    <t>869.83万</t>
  </si>
  <si>
    <t>248630亿</t>
  </si>
  <si>
    <t>1.65万</t>
  </si>
  <si>
    <t>34730393亿</t>
  </si>
  <si>
    <t>10.91亿</t>
  </si>
  <si>
    <t>40649184亿</t>
  </si>
  <si>
    <t>832.21万</t>
  </si>
  <si>
    <t>1321413290亿</t>
  </si>
  <si>
    <t>3065.19万</t>
  </si>
  <si>
    <t>8233.91万</t>
  </si>
  <si>
    <t>46.70万</t>
  </si>
  <si>
    <t>2677.16万</t>
  </si>
  <si>
    <t>-7123.33万</t>
  </si>
  <si>
    <t>-64.11万</t>
  </si>
  <si>
    <t>9746.38万</t>
  </si>
  <si>
    <t>236.53万</t>
  </si>
  <si>
    <t>1128.15万</t>
  </si>
  <si>
    <t>034850500</t>
  </si>
  <si>
    <t>0104551500</t>
  </si>
  <si>
    <t>0209103000</t>
  </si>
  <si>
    <t>0348505000</t>
  </si>
  <si>
    <t>0697010000</t>
  </si>
  <si>
    <t>155.64万</t>
  </si>
  <si>
    <t>4.02亿</t>
  </si>
  <si>
    <t>15.66亿</t>
  </si>
  <si>
    <t>6079.64万</t>
  </si>
  <si>
    <t>5.46亿</t>
  </si>
  <si>
    <t>9269.50万</t>
  </si>
  <si>
    <t>1477.86万</t>
  </si>
  <si>
    <t>163943亿</t>
  </si>
  <si>
    <t>28.82万</t>
  </si>
  <si>
    <t>52369941亿</t>
  </si>
  <si>
    <t>269077820亿</t>
  </si>
  <si>
    <t>641.64万</t>
  </si>
  <si>
    <t>1210004980亿</t>
  </si>
  <si>
    <t>3000.83万</t>
  </si>
  <si>
    <t>7723.70万</t>
  </si>
  <si>
    <t>-5796.34万</t>
  </si>
  <si>
    <t>10派3.75元(含税)</t>
  </si>
  <si>
    <t>987.74万</t>
  </si>
  <si>
    <t>4180.00万</t>
  </si>
  <si>
    <t>62.02万</t>
  </si>
  <si>
    <t>16.81亿</t>
  </si>
  <si>
    <t>-6975.96万</t>
  </si>
  <si>
    <t>9909.49万</t>
  </si>
  <si>
    <t>4182.74万</t>
  </si>
  <si>
    <t>21.28万</t>
  </si>
  <si>
    <t>-70523263亿</t>
  </si>
  <si>
    <t>69015940亿</t>
  </si>
  <si>
    <t>10.00万</t>
  </si>
  <si>
    <t>1315247320亿</t>
  </si>
  <si>
    <t>6904.59万</t>
  </si>
  <si>
    <t>5049.00万</t>
  </si>
  <si>
    <t>3161.35万</t>
  </si>
  <si>
    <t>376.93万</t>
  </si>
  <si>
    <t>9.07亿</t>
  </si>
  <si>
    <t>-4616.97万</t>
  </si>
  <si>
    <t>2618.68万</t>
  </si>
  <si>
    <t>26.35亿</t>
  </si>
  <si>
    <t>2.56亿</t>
  </si>
  <si>
    <t>10转4股派10元(含税)</t>
  </si>
  <si>
    <t>209.72万</t>
  </si>
  <si>
    <t>2018.74万</t>
  </si>
  <si>
    <t>998.37万</t>
  </si>
  <si>
    <t>93.91亿</t>
  </si>
  <si>
    <t>307.04亿</t>
  </si>
  <si>
    <t>76.94亿</t>
  </si>
  <si>
    <t>19.19亿</t>
  </si>
  <si>
    <t>55.22亿</t>
  </si>
  <si>
    <t>498166亿</t>
  </si>
  <si>
    <t>125.69万</t>
  </si>
  <si>
    <t>1860291200亿</t>
  </si>
  <si>
    <t>208.52亿</t>
  </si>
  <si>
    <t>183149480亿</t>
  </si>
  <si>
    <t>29260203000亿</t>
  </si>
  <si>
    <t>10.56亿</t>
  </si>
  <si>
    <t>58.47亿</t>
  </si>
  <si>
    <t>6791.43万</t>
  </si>
  <si>
    <t>-5.54亿</t>
  </si>
  <si>
    <t>-1.34亿</t>
  </si>
  <si>
    <t>-6407.67万</t>
  </si>
  <si>
    <t>245.59亿</t>
  </si>
  <si>
    <t>56.27亿</t>
  </si>
  <si>
    <t>30.96亿</t>
  </si>
  <si>
    <t>10派6.6元(含税)</t>
  </si>
  <si>
    <t>4294.53万</t>
  </si>
  <si>
    <t>01919000000</t>
  </si>
  <si>
    <t>05757000000</t>
  </si>
  <si>
    <t>011514000000</t>
  </si>
  <si>
    <t>019190000000</t>
  </si>
  <si>
    <t>038380000000</t>
  </si>
  <si>
    <t>429.53万</t>
  </si>
  <si>
    <t>45.61亿</t>
  </si>
  <si>
    <t>4327.71万</t>
  </si>
  <si>
    <t>34378626亿</t>
  </si>
  <si>
    <t>93.80万</t>
  </si>
  <si>
    <t>146902760亿</t>
  </si>
  <si>
    <t>9.99亿</t>
  </si>
  <si>
    <t>30803051亿</t>
  </si>
  <si>
    <t>3543777900亿</t>
  </si>
  <si>
    <t>4563.13万</t>
  </si>
  <si>
    <t>93.87万</t>
  </si>
  <si>
    <t>360.00万</t>
  </si>
  <si>
    <t>-2718.92万</t>
  </si>
  <si>
    <t>31.49亿</t>
  </si>
  <si>
    <t>2040.85万</t>
  </si>
  <si>
    <t>255.58万</t>
  </si>
  <si>
    <t>44.00亿</t>
  </si>
  <si>
    <t>133.31亿</t>
  </si>
  <si>
    <t>37.55亿</t>
  </si>
  <si>
    <t>31.97亿</t>
  </si>
  <si>
    <t>27.58亿</t>
  </si>
  <si>
    <t>3186581亿</t>
  </si>
  <si>
    <t>903.72万</t>
  </si>
  <si>
    <t>419764180亿</t>
  </si>
  <si>
    <t>53.15亿</t>
  </si>
  <si>
    <t>510213200亿</t>
  </si>
  <si>
    <t>10437114100亿</t>
  </si>
  <si>
    <t>7.24亿</t>
  </si>
  <si>
    <t>13.43亿</t>
  </si>
  <si>
    <t>121.51万</t>
  </si>
  <si>
    <t>9.47亿</t>
  </si>
  <si>
    <t>-4.63亿</t>
  </si>
  <si>
    <t>-1.41亿</t>
  </si>
  <si>
    <t>140.45亿</t>
  </si>
  <si>
    <t>7.35亿</t>
  </si>
  <si>
    <t>10派17.75元(含税)</t>
  </si>
  <si>
    <t>1566.07万</t>
  </si>
  <si>
    <t>882.41万</t>
  </si>
  <si>
    <t>24.61亿</t>
  </si>
  <si>
    <t>68.93亿</t>
  </si>
  <si>
    <t>16.95亿</t>
  </si>
  <si>
    <t>14.57亿</t>
  </si>
  <si>
    <t>11.86亿</t>
  </si>
  <si>
    <t>-14288344亿</t>
  </si>
  <si>
    <t>594.17万</t>
  </si>
  <si>
    <t>155932170亿</t>
  </si>
  <si>
    <t>9.27亿</t>
  </si>
  <si>
    <t>185200930亿</t>
  </si>
  <si>
    <t>2947154300亿</t>
  </si>
  <si>
    <t>8.63亿</t>
  </si>
  <si>
    <t>6.45亿</t>
  </si>
  <si>
    <t>21.74亿</t>
  </si>
  <si>
    <t>-5.01亿</t>
  </si>
  <si>
    <t>-4881.88万</t>
  </si>
  <si>
    <t>72.61亿</t>
  </si>
  <si>
    <t>4671.16万</t>
  </si>
  <si>
    <t>0165000000</t>
  </si>
  <si>
    <t>0495000000</t>
  </si>
  <si>
    <t>0990000000</t>
  </si>
  <si>
    <t>01650000000</t>
  </si>
  <si>
    <t>03300000000</t>
  </si>
  <si>
    <t>1229.75万</t>
  </si>
  <si>
    <t>8.96亿</t>
  </si>
  <si>
    <t>4.22亿</t>
  </si>
  <si>
    <t>-405.48万</t>
  </si>
  <si>
    <t>2843.10万</t>
  </si>
  <si>
    <t>3757.41万</t>
  </si>
  <si>
    <t>-2028058亿</t>
  </si>
  <si>
    <t>14.08万</t>
  </si>
  <si>
    <t>-5390925亿</t>
  </si>
  <si>
    <t>176438370亿</t>
  </si>
  <si>
    <t>723157810亿</t>
  </si>
  <si>
    <t>3303.11万</t>
  </si>
  <si>
    <t>4.65亿</t>
  </si>
  <si>
    <t>2938.00万</t>
  </si>
  <si>
    <t>-1357.43万</t>
  </si>
  <si>
    <t>-1974.01万</t>
  </si>
  <si>
    <t>751.59万</t>
  </si>
  <si>
    <t>-3055.60万</t>
  </si>
  <si>
    <t>5848.16万</t>
  </si>
  <si>
    <t>176.30万</t>
  </si>
  <si>
    <t>7076.39万</t>
  </si>
  <si>
    <t>672.13万</t>
  </si>
  <si>
    <t>614.11万</t>
  </si>
  <si>
    <t>453.79万</t>
  </si>
  <si>
    <t>216430亿</t>
  </si>
  <si>
    <t>31.79万</t>
  </si>
  <si>
    <t>9055920亿</t>
  </si>
  <si>
    <t>16421198亿</t>
  </si>
  <si>
    <t>345004650亿</t>
  </si>
  <si>
    <t>1672.43万</t>
  </si>
  <si>
    <t>503.32万</t>
  </si>
  <si>
    <t>4831.08万</t>
  </si>
  <si>
    <t>-3422.69万</t>
  </si>
  <si>
    <t>582.07万</t>
  </si>
  <si>
    <t>-17.42万</t>
  </si>
  <si>
    <t>1383.56万</t>
  </si>
  <si>
    <t>3109.23万</t>
  </si>
  <si>
    <t>2064.07万</t>
  </si>
  <si>
    <t>10派0.75元(含税)</t>
  </si>
  <si>
    <t>1291.77万</t>
  </si>
  <si>
    <t>7411.36万</t>
  </si>
  <si>
    <t>06721300</t>
  </si>
  <si>
    <t>020163900</t>
  </si>
  <si>
    <t>040327800</t>
  </si>
  <si>
    <t>067213000</t>
  </si>
  <si>
    <t>0134426000</t>
  </si>
  <si>
    <t>137.52万</t>
  </si>
  <si>
    <t>18.78亿</t>
  </si>
  <si>
    <t>4328.79万</t>
  </si>
  <si>
    <t>3235.61万</t>
  </si>
  <si>
    <t>1015.67万</t>
  </si>
  <si>
    <t>6012567亿</t>
  </si>
  <si>
    <t>29.43万</t>
  </si>
  <si>
    <t>34652538亿</t>
  </si>
  <si>
    <t>6213.22万</t>
  </si>
  <si>
    <t>6299398亿</t>
  </si>
  <si>
    <t>1459873400亿</t>
  </si>
  <si>
    <t>10.11万</t>
  </si>
  <si>
    <t>1973.24万</t>
  </si>
  <si>
    <t>17.27万</t>
  </si>
  <si>
    <t>8607.23万</t>
  </si>
  <si>
    <t>6265.95万</t>
  </si>
  <si>
    <t>9.66亿</t>
  </si>
  <si>
    <t>8033.07万</t>
  </si>
  <si>
    <t>978.15万</t>
  </si>
  <si>
    <t>7489.48万</t>
  </si>
  <si>
    <t>043287900</t>
  </si>
  <si>
    <t>0129863700</t>
  </si>
  <si>
    <t>0259727400</t>
  </si>
  <si>
    <t>0432879000</t>
  </si>
  <si>
    <t>0865758000</t>
  </si>
  <si>
    <t>256.35万</t>
  </si>
  <si>
    <t>6248.28万</t>
  </si>
  <si>
    <t>18.04亿</t>
  </si>
  <si>
    <t>-3601937亿</t>
  </si>
  <si>
    <t>70.33万</t>
  </si>
  <si>
    <t>54882483亿</t>
  </si>
  <si>
    <t>15.22亿</t>
  </si>
  <si>
    <t>425716310亿</t>
  </si>
  <si>
    <t>2983631200亿</t>
  </si>
  <si>
    <t>769.56万</t>
  </si>
  <si>
    <t>4.30亿</t>
  </si>
  <si>
    <t>210.91万</t>
  </si>
  <si>
    <t>19.46亿</t>
  </si>
  <si>
    <t>-5448.28万</t>
  </si>
  <si>
    <t>-3036.23万</t>
  </si>
  <si>
    <t>-3.17亿</t>
  </si>
  <si>
    <t>80.46亿</t>
  </si>
  <si>
    <t>10派2.25元(含税)</t>
  </si>
  <si>
    <t>1403.45万</t>
  </si>
  <si>
    <t>9541.77万</t>
  </si>
  <si>
    <t>062482800</t>
  </si>
  <si>
    <t>0187448400</t>
  </si>
  <si>
    <t>0374896800</t>
  </si>
  <si>
    <t>0624828000</t>
  </si>
  <si>
    <t>01249656000</t>
  </si>
  <si>
    <t>35.15万</t>
  </si>
  <si>
    <t>7.14亿</t>
  </si>
  <si>
    <t>9175.42万</t>
  </si>
  <si>
    <t>1290.49万</t>
  </si>
  <si>
    <t>7842.35万</t>
  </si>
  <si>
    <t>5663.48万</t>
  </si>
  <si>
    <t>743.87万</t>
  </si>
  <si>
    <t>910.61万</t>
  </si>
  <si>
    <t>1112909亿</t>
  </si>
  <si>
    <t>12128969亿</t>
  </si>
  <si>
    <t>55055129亿</t>
  </si>
  <si>
    <t>334873810亿</t>
  </si>
  <si>
    <t>9786.29万</t>
  </si>
  <si>
    <t>4712.32万</t>
  </si>
  <si>
    <t>1647.84万</t>
  </si>
  <si>
    <t>1191.81万</t>
  </si>
  <si>
    <t>4072.70万</t>
  </si>
  <si>
    <t>5643.06万</t>
  </si>
  <si>
    <t>2380.72万</t>
  </si>
  <si>
    <t>238.32万</t>
  </si>
  <si>
    <t>2726.62万</t>
  </si>
  <si>
    <t>012904900</t>
  </si>
  <si>
    <t>038714700</t>
  </si>
  <si>
    <t>077429400</t>
  </si>
  <si>
    <t>0129049000</t>
  </si>
  <si>
    <t>0258098000</t>
  </si>
  <si>
    <t>317.35万</t>
  </si>
  <si>
    <t>15.33亿</t>
  </si>
  <si>
    <t>6131.18万</t>
  </si>
  <si>
    <t>6.21亿</t>
  </si>
  <si>
    <t>16825222亿</t>
  </si>
  <si>
    <t>101.82万</t>
  </si>
  <si>
    <t>47182864亿</t>
  </si>
  <si>
    <t>61777570亿</t>
  </si>
  <si>
    <t>1604953600亿</t>
  </si>
  <si>
    <t>769.60万</t>
  </si>
  <si>
    <t>149.94万</t>
  </si>
  <si>
    <t>10.72亿</t>
  </si>
  <si>
    <t>5541.64万</t>
  </si>
  <si>
    <t>778.91万</t>
  </si>
  <si>
    <t>-9413.05万</t>
  </si>
  <si>
    <t>39.77亿</t>
  </si>
  <si>
    <t>5704.54万</t>
  </si>
  <si>
    <t>5438.09万</t>
  </si>
  <si>
    <t>10派0.5117元(含税)</t>
  </si>
  <si>
    <t>1133.62万</t>
  </si>
  <si>
    <t>6258.09万</t>
  </si>
  <si>
    <t>061311800</t>
  </si>
  <si>
    <t>0183935400</t>
  </si>
  <si>
    <t>0367870800</t>
  </si>
  <si>
    <t>0613118000</t>
  </si>
  <si>
    <t>01226236000</t>
  </si>
  <si>
    <t>659.10万</t>
  </si>
  <si>
    <t>19.60亿</t>
  </si>
  <si>
    <t>52.06亿</t>
  </si>
  <si>
    <t>12.63亿</t>
  </si>
  <si>
    <t>10.77亿</t>
  </si>
  <si>
    <t>3514.57万</t>
  </si>
  <si>
    <t>3280694亿</t>
  </si>
  <si>
    <t>434.85万</t>
  </si>
  <si>
    <t>108989466亿</t>
  </si>
  <si>
    <t>426715930亿</t>
  </si>
  <si>
    <t>1050132450亿</t>
  </si>
  <si>
    <t>13.14亿</t>
  </si>
  <si>
    <t>447.84万</t>
  </si>
  <si>
    <t>-12.01万</t>
  </si>
  <si>
    <t>67.59亿</t>
  </si>
  <si>
    <t>5.74亿</t>
  </si>
  <si>
    <t>2.92亿</t>
  </si>
  <si>
    <t>4715.81万</t>
  </si>
  <si>
    <t>0115000000</t>
  </si>
  <si>
    <t>0345000000</t>
  </si>
  <si>
    <t>01150000000</t>
  </si>
  <si>
    <t>88.60万</t>
  </si>
  <si>
    <t>14.91亿</t>
  </si>
  <si>
    <t>16.50亿</t>
  </si>
  <si>
    <t>-839.45万</t>
  </si>
  <si>
    <t>2571.23万</t>
  </si>
  <si>
    <t>-3379495亿</t>
  </si>
  <si>
    <t>109.65万</t>
  </si>
  <si>
    <t>-16667335亿</t>
  </si>
  <si>
    <t>81865401亿</t>
  </si>
  <si>
    <t>1772926800亿</t>
  </si>
  <si>
    <t>1234.12万</t>
  </si>
  <si>
    <t>8509.03万</t>
  </si>
  <si>
    <t>12.32亿</t>
  </si>
  <si>
    <t>-1256.56万</t>
  </si>
  <si>
    <t>-3994.62万</t>
  </si>
  <si>
    <t>-3617.74万</t>
  </si>
  <si>
    <t>26.59亿</t>
  </si>
  <si>
    <t>4799.64万</t>
  </si>
  <si>
    <t>438.75万</t>
  </si>
  <si>
    <t>3775.80万</t>
  </si>
  <si>
    <t>1890.58万</t>
  </si>
  <si>
    <t>996.47万</t>
  </si>
  <si>
    <t>1249.96万</t>
  </si>
  <si>
    <t>100632亿</t>
  </si>
  <si>
    <t>18641039亿</t>
  </si>
  <si>
    <t>9.72亿</t>
  </si>
  <si>
    <t>15135910亿</t>
  </si>
  <si>
    <t>1103537410亿</t>
  </si>
  <si>
    <t>665.20万</t>
  </si>
  <si>
    <t>3202.95万</t>
  </si>
  <si>
    <t>236.73万</t>
  </si>
  <si>
    <t>9544.79万</t>
  </si>
  <si>
    <t>3141.38万</t>
  </si>
  <si>
    <t>7.99亿</t>
  </si>
  <si>
    <t>7468.19万</t>
  </si>
  <si>
    <t>10派7元(含税)</t>
  </si>
  <si>
    <t>253.00万</t>
  </si>
  <si>
    <t>1194.37万</t>
  </si>
  <si>
    <t>018905800</t>
  </si>
  <si>
    <t>056717400</t>
  </si>
  <si>
    <t>0113434800</t>
  </si>
  <si>
    <t>0189058000</t>
  </si>
  <si>
    <t>0378116000</t>
  </si>
  <si>
    <t>113.29万</t>
  </si>
  <si>
    <t>22.52亿</t>
  </si>
  <si>
    <t>3962.38万</t>
  </si>
  <si>
    <t>1772.48万</t>
  </si>
  <si>
    <t>2697.41万</t>
  </si>
  <si>
    <t>-2530543亿</t>
  </si>
  <si>
    <t>24.16万</t>
  </si>
  <si>
    <t>37703969亿</t>
  </si>
  <si>
    <t>13.04亿</t>
  </si>
  <si>
    <t>123061111亿</t>
  </si>
  <si>
    <t>1516350200亿</t>
  </si>
  <si>
    <t>1252.41万</t>
  </si>
  <si>
    <t>-147.17万</t>
  </si>
  <si>
    <t>16.30亿</t>
  </si>
  <si>
    <t>8196.02万</t>
  </si>
  <si>
    <t>989.22万</t>
  </si>
  <si>
    <t>5841.14万</t>
  </si>
  <si>
    <t>039623800</t>
  </si>
  <si>
    <t>0118871400</t>
  </si>
  <si>
    <t>0237742800</t>
  </si>
  <si>
    <t>0396238000</t>
  </si>
  <si>
    <t>0792476000</t>
  </si>
  <si>
    <t>71.18万</t>
  </si>
  <si>
    <t>7663.26万</t>
  </si>
  <si>
    <t>5955.88万</t>
  </si>
  <si>
    <t>4467.99万</t>
  </si>
  <si>
    <t>46.07万</t>
  </si>
  <si>
    <t>72202963亿</t>
  </si>
  <si>
    <t>17.74亿</t>
  </si>
  <si>
    <t>164599290亿</t>
  </si>
  <si>
    <t>32.43万</t>
  </si>
  <si>
    <t>2415666800亿</t>
  </si>
  <si>
    <t>5693.33万</t>
  </si>
  <si>
    <t>-6194.57万</t>
  </si>
  <si>
    <t>-167.77万</t>
  </si>
  <si>
    <t>30.83亿</t>
  </si>
  <si>
    <t>9335.80万</t>
  </si>
  <si>
    <t>370.75万</t>
  </si>
  <si>
    <t>2427.51万</t>
  </si>
  <si>
    <t>076632600</t>
  </si>
  <si>
    <t>0229897800</t>
  </si>
  <si>
    <t>0459795600</t>
  </si>
  <si>
    <t>0766326000</t>
  </si>
  <si>
    <t>01532652000</t>
  </si>
  <si>
    <t>126.69万</t>
  </si>
  <si>
    <t>5.29亿</t>
  </si>
  <si>
    <t>-597.53万</t>
  </si>
  <si>
    <t>4.91亿</t>
  </si>
  <si>
    <t>1319.96万</t>
  </si>
  <si>
    <t>1952.99万</t>
  </si>
  <si>
    <t>6.21万</t>
  </si>
  <si>
    <t>-6301921亿</t>
  </si>
  <si>
    <t>3.38亿</t>
  </si>
  <si>
    <t>112665633亿</t>
  </si>
  <si>
    <t>871465070亿</t>
  </si>
  <si>
    <t>2339.42万</t>
  </si>
  <si>
    <t>7732.77万</t>
  </si>
  <si>
    <t>133.31万</t>
  </si>
  <si>
    <t>2582.38万</t>
  </si>
  <si>
    <t>2564.01万</t>
  </si>
  <si>
    <t>-5207.37万</t>
  </si>
  <si>
    <t>-2322.12万</t>
  </si>
  <si>
    <t>7925.18万</t>
  </si>
  <si>
    <t>27.96亿</t>
  </si>
  <si>
    <t>-3468.63万</t>
  </si>
  <si>
    <t>1373.01万</t>
  </si>
  <si>
    <t>858.21万</t>
  </si>
  <si>
    <t>8866.46万</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</si>
</sst>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9"/>
      <color theme="1"/>
      <name val="宋体"/>
      <family val="2"/>
      <charset val="134"/>
      <scheme val="minor"/>
    </font>
    <font>
      <sz val="9"/>
      <color rgb="FFFF0000"/>
      <name val="宋体"/>
      <family val="3"/>
      <charset val="134"/>
      <scheme val="minor"/>
    </font>
    <font>
      <sz val="9"/>
      <color theme="1"/>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b/>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2">
    <xf numFmtId="0" fontId="0" fillId="0" borderId="0" xfId="0">
      <alignment vertical="center"/>
    </xf>
    <xf numFmtId="0" fontId="0" fillId="2" borderId="0" xfId="0" applyFill="1">
      <alignment vertical="center"/>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0" fontId="2" fillId="0" borderId="0" xfId="0" applyFont="1" applyAlignment="1">
      <alignment vertical="center" wrapText="1"/>
    </xf>
    <xf numFmtId="0" fontId="4" fillId="0" borderId="0" xfId="0" applyFont="1" applyAlignment="1">
      <alignment vertical="center" wrapText="1"/>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14"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508000</xdr:colOff>
          <xdr:row>0</xdr:row>
          <xdr:rowOff>120650</xdr:rowOff>
        </xdr:from>
        <xdr:to>
          <xdr:col>147</xdr:col>
          <xdr:colOff>1555750</xdr:colOff>
          <xdr:row>0</xdr:row>
          <xdr:rowOff>431800</xdr:rowOff>
        </xdr:to>
        <xdr:sp macro="" textlink="">
          <xdr:nvSpPr>
            <xdr:cNvPr id="1026" name="Button 2" descr="更新基本面按钮&#10;"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64"/>
  <sheetViews>
    <sheetView tabSelected="1" zoomScale="85" zoomScaleNormal="85" workbookViewId="0">
      <pane xSplit="5" ySplit="1" topLeftCell="F2" activePane="bottomRight" state="frozen"/>
      <selection pane="topRight" activeCell="F1" sqref="F1"/>
      <selection pane="bottomLeft" activeCell="A2" sqref="A2"/>
      <selection pane="bottomRight" activeCell="D61" sqref="D61:EP61"/>
    </sheetView>
  </sheetViews>
  <sheetFormatPr defaultRowHeight="14" x14ac:dyDescent="0.25"/>
  <cols>
    <col min="1" max="1" width="36.81640625" customWidth="1"/>
    <col min="2" max="2" width="39.36328125" customWidth="1"/>
    <col min="3" max="3" width="42.54296875" customWidth="1"/>
    <col min="148" max="148" width="28.90625" customWidth="1"/>
  </cols>
  <sheetData>
    <row r="1" spans="1:146" ht="40" customHeight="1" x14ac:dyDescent="0.25">
      <c r="A1" s="2" t="s">
        <v>35</v>
      </c>
      <c r="B1" s="3" t="s">
        <v>36</v>
      </c>
      <c r="C1" s="2" t="s">
        <v>37</v>
      </c>
      <c r="D1" t="s">
        <v>38</v>
      </c>
      <c r="E1" t="s">
        <v>649</v>
      </c>
      <c r="F1" t="s">
        <v>3</v>
      </c>
      <c r="G1" t="s">
        <v>867</v>
      </c>
      <c r="H1" t="s">
        <v>868</v>
      </c>
      <c r="I1" t="s">
        <v>39</v>
      </c>
      <c r="J1" t="s">
        <v>40</v>
      </c>
      <c r="K1" t="s">
        <v>4</v>
      </c>
      <c r="L1" t="s">
        <v>41</v>
      </c>
      <c r="M1" t="s">
        <v>42</v>
      </c>
      <c r="N1" t="s">
        <v>43</v>
      </c>
      <c r="O1" t="s">
        <v>44</v>
      </c>
      <c r="P1" t="s">
        <v>869</v>
      </c>
      <c r="Q1" t="s">
        <v>870</v>
      </c>
      <c r="R1" t="s">
        <v>650</v>
      </c>
      <c r="S1" t="s">
        <v>45</v>
      </c>
      <c r="T1" t="s">
        <v>871</v>
      </c>
      <c r="U1" t="s">
        <v>521</v>
      </c>
      <c r="V1" t="s">
        <v>46</v>
      </c>
      <c r="W1" t="s">
        <v>872</v>
      </c>
      <c r="X1" t="s">
        <v>873</v>
      </c>
      <c r="Y1" t="s">
        <v>874</v>
      </c>
      <c r="Z1" t="s">
        <v>875</v>
      </c>
      <c r="AA1" t="s">
        <v>876</v>
      </c>
      <c r="AB1" t="s">
        <v>877</v>
      </c>
      <c r="AC1" t="s">
        <v>878</v>
      </c>
      <c r="AD1" t="s">
        <v>879</v>
      </c>
      <c r="AE1" t="s">
        <v>47</v>
      </c>
      <c r="AF1" t="s">
        <v>48</v>
      </c>
      <c r="AG1" t="s">
        <v>880</v>
      </c>
      <c r="AH1" t="s">
        <v>881</v>
      </c>
      <c r="AI1" t="s">
        <v>882</v>
      </c>
      <c r="AJ1" t="s">
        <v>49</v>
      </c>
      <c r="AK1" t="s">
        <v>883</v>
      </c>
      <c r="AL1" t="s">
        <v>174</v>
      </c>
      <c r="AM1" t="s">
        <v>884</v>
      </c>
      <c r="AN1" t="s">
        <v>885</v>
      </c>
      <c r="AO1" t="s">
        <v>886</v>
      </c>
      <c r="AP1" t="s">
        <v>887</v>
      </c>
      <c r="AQ1" t="s">
        <v>888</v>
      </c>
      <c r="AR1" t="s">
        <v>889</v>
      </c>
      <c r="AS1" t="s">
        <v>890</v>
      </c>
      <c r="AT1" t="s">
        <v>891</v>
      </c>
      <c r="AU1" t="s">
        <v>892</v>
      </c>
      <c r="AV1" t="s">
        <v>893</v>
      </c>
      <c r="AW1" t="s">
        <v>894</v>
      </c>
      <c r="AX1" t="s">
        <v>895</v>
      </c>
      <c r="AY1" t="s">
        <v>896</v>
      </c>
      <c r="AZ1" t="s">
        <v>175</v>
      </c>
      <c r="BA1" t="s">
        <v>176</v>
      </c>
      <c r="BB1" t="s">
        <v>177</v>
      </c>
      <c r="BC1" t="s">
        <v>897</v>
      </c>
      <c r="BD1" t="s">
        <v>554</v>
      </c>
      <c r="BE1" t="s">
        <v>178</v>
      </c>
      <c r="BF1" t="s">
        <v>179</v>
      </c>
      <c r="BG1" t="s">
        <v>180</v>
      </c>
      <c r="BH1" t="s">
        <v>898</v>
      </c>
      <c r="BI1" t="s">
        <v>899</v>
      </c>
      <c r="BJ1" t="s">
        <v>900</v>
      </c>
      <c r="BK1" t="s">
        <v>901</v>
      </c>
      <c r="BL1" t="s">
        <v>902</v>
      </c>
      <c r="BM1" t="s">
        <v>903</v>
      </c>
      <c r="BN1" t="s">
        <v>904</v>
      </c>
      <c r="BO1" t="s">
        <v>651</v>
      </c>
      <c r="BP1" t="s">
        <v>522</v>
      </c>
      <c r="BQ1" t="s">
        <v>905</v>
      </c>
      <c r="BR1" t="s">
        <v>652</v>
      </c>
      <c r="BS1" t="s">
        <v>523</v>
      </c>
      <c r="BT1" t="s">
        <v>906</v>
      </c>
      <c r="BU1" t="s">
        <v>669</v>
      </c>
      <c r="BV1" t="s">
        <v>907</v>
      </c>
      <c r="BW1" t="s">
        <v>908</v>
      </c>
      <c r="BX1" t="s">
        <v>473</v>
      </c>
      <c r="BY1" t="s">
        <v>909</v>
      </c>
      <c r="BZ1" t="s">
        <v>910</v>
      </c>
      <c r="CA1" t="s">
        <v>474</v>
      </c>
      <c r="CB1" t="s">
        <v>911</v>
      </c>
      <c r="CC1" t="s">
        <v>912</v>
      </c>
      <c r="CD1" t="s">
        <v>913</v>
      </c>
      <c r="CE1" t="s">
        <v>914</v>
      </c>
      <c r="CF1" t="s">
        <v>653</v>
      </c>
      <c r="CG1" t="s">
        <v>654</v>
      </c>
      <c r="CH1" t="s">
        <v>459</v>
      </c>
      <c r="CI1" t="s">
        <v>460</v>
      </c>
      <c r="CJ1" t="s">
        <v>461</v>
      </c>
      <c r="CK1" t="s">
        <v>462</v>
      </c>
      <c r="CL1" t="s">
        <v>463</v>
      </c>
      <c r="CM1" t="s">
        <v>464</v>
      </c>
      <c r="CN1" t="s">
        <v>465</v>
      </c>
      <c r="CO1" t="s">
        <v>466</v>
      </c>
      <c r="CP1" t="s">
        <v>467</v>
      </c>
      <c r="CQ1" t="s">
        <v>468</v>
      </c>
      <c r="CR1" t="s">
        <v>915</v>
      </c>
      <c r="CS1" t="s">
        <v>916</v>
      </c>
      <c r="CT1" t="s">
        <v>917</v>
      </c>
      <c r="CU1" t="s">
        <v>918</v>
      </c>
      <c r="CV1" t="s">
        <v>919</v>
      </c>
      <c r="CW1" t="s">
        <v>920</v>
      </c>
      <c r="CX1">
        <v>1</v>
      </c>
      <c r="CY1" t="s">
        <v>921</v>
      </c>
      <c r="CZ1" t="s">
        <v>922</v>
      </c>
      <c r="DA1">
        <v>3</v>
      </c>
      <c r="DB1" t="s">
        <v>923</v>
      </c>
      <c r="DC1" t="s">
        <v>924</v>
      </c>
      <c r="DD1">
        <v>6</v>
      </c>
      <c r="DE1" t="s">
        <v>925</v>
      </c>
      <c r="DF1" t="s">
        <v>926</v>
      </c>
      <c r="DG1">
        <v>10</v>
      </c>
      <c r="DH1" t="s">
        <v>927</v>
      </c>
      <c r="DI1" t="s">
        <v>928</v>
      </c>
      <c r="DJ1">
        <v>20</v>
      </c>
      <c r="DK1" t="s">
        <v>929</v>
      </c>
      <c r="DL1" t="s">
        <v>469</v>
      </c>
      <c r="DM1" t="s">
        <v>470</v>
      </c>
      <c r="DN1" s="1" t="s">
        <v>471</v>
      </c>
      <c r="DO1" t="s">
        <v>930</v>
      </c>
      <c r="DP1" t="s">
        <v>931</v>
      </c>
      <c r="DQ1" s="9" t="s">
        <v>932</v>
      </c>
      <c r="DR1" t="s">
        <v>933</v>
      </c>
      <c r="DS1" t="s">
        <v>934</v>
      </c>
      <c r="DT1" t="s">
        <v>935</v>
      </c>
      <c r="DU1" t="s">
        <v>936</v>
      </c>
      <c r="DV1" t="s">
        <v>937</v>
      </c>
      <c r="DW1" t="s">
        <v>938</v>
      </c>
      <c r="DX1" t="s">
        <v>939</v>
      </c>
      <c r="DY1" t="s">
        <v>940</v>
      </c>
      <c r="DZ1" t="s">
        <v>941</v>
      </c>
      <c r="EA1" t="s">
        <v>942</v>
      </c>
      <c r="EB1" t="s">
        <v>943</v>
      </c>
      <c r="EC1" t="s">
        <v>944</v>
      </c>
      <c r="ED1" t="s">
        <v>670</v>
      </c>
      <c r="EE1" t="s">
        <v>731</v>
      </c>
      <c r="EF1" t="s">
        <v>732</v>
      </c>
      <c r="EG1" t="s">
        <v>733</v>
      </c>
      <c r="EH1" t="s">
        <v>730</v>
      </c>
      <c r="EI1" t="s">
        <v>671</v>
      </c>
      <c r="EK1" s="11" t="s">
        <v>734</v>
      </c>
      <c r="EL1" t="s">
        <v>735</v>
      </c>
      <c r="EM1" t="s">
        <v>672</v>
      </c>
      <c r="EN1" t="s">
        <v>673</v>
      </c>
      <c r="EO1" t="s">
        <v>736</v>
      </c>
      <c r="EP1" t="s">
        <v>945</v>
      </c>
    </row>
    <row r="2" spans="1:146" ht="96" x14ac:dyDescent="0.25">
      <c r="C2" s="5" t="str">
        <f>""&amp;CHAR(10)&amp;Basic_Fundamental_Information_Constructure(F2)&amp;CHAR(10)&amp;Basic_Fundamental_Information_Concatenate("")</f>
        <v xml:space="preserve">
市值34.034976亿, 利润1368.70万; PE16.51; 平均PE10.26; 平均PEG1.04, PB1.08; ROIC12.3267%; ROE18.06%; 股利率2.5729%; 毛利10.8033%; 净利15.2567%; 上一年度营收增-83.73%, 利润增-98.51%; 当季营收增-59.03%, 利润增-89.22%; 过往5年营收增-9.87%, 利润增31.79%
Income profile:
</v>
      </c>
      <c r="D2" t="s">
        <v>949</v>
      </c>
      <c r="E2" t="s">
        <v>950</v>
      </c>
      <c r="F2">
        <v>5.83</v>
      </c>
      <c r="G2">
        <v>2.1</v>
      </c>
      <c r="H2" t="s">
        <v>1097</v>
      </c>
      <c r="I2">
        <v>3403497600</v>
      </c>
      <c r="J2">
        <v>16.510000000000002</v>
      </c>
      <c r="K2">
        <v>1.08</v>
      </c>
      <c r="L2" t="s">
        <v>52</v>
      </c>
      <c r="M2" t="s">
        <v>1098</v>
      </c>
      <c r="N2" t="s">
        <v>1099</v>
      </c>
      <c r="O2" t="s">
        <v>863</v>
      </c>
      <c r="P2" s="4">
        <v>-4.49</v>
      </c>
      <c r="Q2" t="s">
        <v>863</v>
      </c>
      <c r="R2">
        <v>13686954</v>
      </c>
      <c r="S2">
        <v>-0.3286</v>
      </c>
      <c r="T2" t="s">
        <v>1100</v>
      </c>
      <c r="U2">
        <v>569884380</v>
      </c>
      <c r="V2">
        <v>583790330</v>
      </c>
      <c r="W2">
        <v>2.2200000000000002</v>
      </c>
      <c r="X2">
        <v>0.08</v>
      </c>
      <c r="Y2">
        <v>2.48</v>
      </c>
      <c r="Z2" t="s">
        <v>1101</v>
      </c>
      <c r="AA2" t="s">
        <v>788</v>
      </c>
      <c r="AB2" t="s">
        <v>1102</v>
      </c>
      <c r="AC2" t="s">
        <v>1103</v>
      </c>
      <c r="AD2" t="s">
        <v>30</v>
      </c>
      <c r="AE2">
        <v>-9773941</v>
      </c>
      <c r="AF2" t="s">
        <v>1104</v>
      </c>
      <c r="AG2" t="s">
        <v>1105</v>
      </c>
      <c r="AH2" t="s">
        <v>1106</v>
      </c>
      <c r="AI2" t="s">
        <v>1107</v>
      </c>
      <c r="AJ2" t="s">
        <v>1108</v>
      </c>
      <c r="AK2" t="s">
        <v>30</v>
      </c>
      <c r="AL2" t="s">
        <v>1109</v>
      </c>
      <c r="AM2" t="s">
        <v>30</v>
      </c>
      <c r="AN2" t="s">
        <v>715</v>
      </c>
      <c r="AO2" t="s">
        <v>207</v>
      </c>
      <c r="AP2" t="s">
        <v>1110</v>
      </c>
      <c r="AQ2" t="s">
        <v>1111</v>
      </c>
      <c r="AR2" t="s">
        <v>1112</v>
      </c>
      <c r="AS2" t="s">
        <v>1113</v>
      </c>
      <c r="AT2" t="s">
        <v>1114</v>
      </c>
      <c r="AU2" t="s">
        <v>1115</v>
      </c>
      <c r="AV2" t="s">
        <v>1116</v>
      </c>
      <c r="AW2" t="s">
        <v>1117</v>
      </c>
      <c r="AX2" t="s">
        <v>951</v>
      </c>
      <c r="AY2" t="s">
        <v>953</v>
      </c>
      <c r="AZ2" t="s">
        <v>954</v>
      </c>
      <c r="BA2" t="s">
        <v>955</v>
      </c>
      <c r="BB2" t="s">
        <v>956</v>
      </c>
      <c r="BC2" t="s">
        <v>952</v>
      </c>
      <c r="BD2" t="s">
        <v>957</v>
      </c>
      <c r="BE2" t="s">
        <v>363</v>
      </c>
      <c r="BF2" t="s">
        <v>587</v>
      </c>
      <c r="BG2" t="s">
        <v>744</v>
      </c>
      <c r="BH2" t="s">
        <v>1118</v>
      </c>
      <c r="BI2" t="s">
        <v>967</v>
      </c>
      <c r="BJ2" t="s">
        <v>951</v>
      </c>
      <c r="BK2" t="s">
        <v>1119</v>
      </c>
      <c r="BL2" t="s">
        <v>72</v>
      </c>
      <c r="BM2" t="s">
        <v>952</v>
      </c>
      <c r="BN2">
        <v>2.4900000000000002</v>
      </c>
      <c r="BO2">
        <v>22.75</v>
      </c>
      <c r="BP2">
        <v>11.74</v>
      </c>
      <c r="BQ2">
        <v>5.15</v>
      </c>
      <c r="BR2">
        <v>33.78</v>
      </c>
      <c r="BS2">
        <v>15.25</v>
      </c>
      <c r="BT2" t="s">
        <v>738</v>
      </c>
      <c r="BU2" t="s">
        <v>674</v>
      </c>
      <c r="BV2">
        <v>4.04</v>
      </c>
      <c r="BW2">
        <v>10.17</v>
      </c>
      <c r="BX2">
        <v>18.2</v>
      </c>
      <c r="BY2">
        <v>7.67</v>
      </c>
      <c r="BZ2">
        <v>27.52</v>
      </c>
      <c r="CA2">
        <v>10.58</v>
      </c>
      <c r="CB2">
        <v>1.75</v>
      </c>
      <c r="CC2" s="7">
        <v>-20.68</v>
      </c>
      <c r="CD2" s="8" t="s">
        <v>1120</v>
      </c>
      <c r="CE2" s="7" t="s">
        <v>749</v>
      </c>
      <c r="CF2" s="7">
        <v>-0.59027266028002945</v>
      </c>
      <c r="CG2" s="7">
        <v>-0.89222870866141735</v>
      </c>
      <c r="CH2" s="7">
        <v>-0.83733177185058594</v>
      </c>
      <c r="CI2" s="7">
        <v>-6.047285720705986E-2</v>
      </c>
      <c r="CJ2" s="8">
        <v>7.1575865149497986E-2</v>
      </c>
      <c r="CK2" s="8">
        <v>0.12454454600811005</v>
      </c>
      <c r="CL2" s="8">
        <v>0.20808322727680206</v>
      </c>
      <c r="CM2" s="8">
        <v>-0.98507416248321533</v>
      </c>
      <c r="CN2" s="8">
        <v>1.7703927755355835</v>
      </c>
      <c r="CO2">
        <v>5.079365149140358E-2</v>
      </c>
      <c r="CP2">
        <v>0.28048780560493469</v>
      </c>
      <c r="CQ2">
        <v>0.47305390238761902</v>
      </c>
      <c r="CR2" s="7">
        <v>10.263416105146186</v>
      </c>
      <c r="CS2" s="8">
        <v>1.0396470327366325</v>
      </c>
      <c r="CT2">
        <v>2.5728987993138936</v>
      </c>
      <c r="CU2">
        <v>-9.8720198124647135E-2</v>
      </c>
      <c r="CV2">
        <v>0.31793079450726508</v>
      </c>
      <c r="CW2">
        <v>0.06</v>
      </c>
      <c r="CX2">
        <v>296.01063783151898</v>
      </c>
      <c r="CY2" t="s">
        <v>1121</v>
      </c>
      <c r="CZ2">
        <v>-9.8720198124647135E-2</v>
      </c>
      <c r="DA2">
        <v>98.670212610506326</v>
      </c>
      <c r="DB2" t="s">
        <v>1122</v>
      </c>
      <c r="DC2">
        <v>-9.3784188218414777E-2</v>
      </c>
      <c r="DD2">
        <v>49.335106305253163</v>
      </c>
      <c r="DE2" t="s">
        <v>1123</v>
      </c>
      <c r="DF2">
        <v>-8.6873774349689473E-2</v>
      </c>
      <c r="DG2">
        <v>29.601063783151897</v>
      </c>
      <c r="DH2" t="s">
        <v>1124</v>
      </c>
      <c r="DI2">
        <v>-7.8976158499717716E-2</v>
      </c>
      <c r="DJ2">
        <v>14.800531891575949</v>
      </c>
      <c r="DK2" t="s">
        <v>1125</v>
      </c>
      <c r="DL2">
        <v>-6.9104138687252986E-2</v>
      </c>
      <c r="DM2">
        <v>13687000</v>
      </c>
      <c r="DN2">
        <v>-9.8720198124647135E-2</v>
      </c>
      <c r="DO2">
        <v>4051497600</v>
      </c>
      <c r="DP2">
        <v>1578907000</v>
      </c>
      <c r="DQ2" s="9">
        <v>114</v>
      </c>
      <c r="DR2">
        <v>-0.49155246215538229</v>
      </c>
      <c r="DS2">
        <v>-1.2101595031686825</v>
      </c>
      <c r="DT2">
        <v>-0.67333333333333334</v>
      </c>
      <c r="DU2">
        <v>-0.25666666666666677</v>
      </c>
      <c r="DV2">
        <v>-0.93000000000000016</v>
      </c>
      <c r="DW2">
        <v>-3.0529285714285712</v>
      </c>
      <c r="DX2">
        <v>0.25076408668730493</v>
      </c>
      <c r="DY2">
        <v>-3.0037454420168066</v>
      </c>
      <c r="DZ2">
        <v>2948</v>
      </c>
      <c r="EA2">
        <v>-3.0015846664658192</v>
      </c>
      <c r="EB2" s="10">
        <v>3</v>
      </c>
      <c r="EC2" s="10">
        <v>3.9152412819170881E-2</v>
      </c>
      <c r="ED2">
        <v>0.55328083286340146</v>
      </c>
      <c r="EE2">
        <v>4.0752100000000002</v>
      </c>
      <c r="EF2">
        <v>4.0904100000000003</v>
      </c>
      <c r="EG2">
        <v>18.070764086687305</v>
      </c>
      <c r="EH2" s="11" t="s">
        <v>976</v>
      </c>
      <c r="EI2">
        <v>0</v>
      </c>
      <c r="EJ2">
        <v>0</v>
      </c>
      <c r="EK2">
        <v>45470</v>
      </c>
      <c r="EL2">
        <v>1.1599999999999999</v>
      </c>
      <c r="EM2">
        <v>-6.08</v>
      </c>
      <c r="EN2">
        <v>0.87</v>
      </c>
      <c r="EO2">
        <v>2.4300000000000002</v>
      </c>
      <c r="EP2">
        <v>-1.52</v>
      </c>
    </row>
    <row r="3" spans="1:146" ht="96" x14ac:dyDescent="0.25">
      <c r="A3" s="5"/>
      <c r="B3" s="5"/>
      <c r="C3" s="5" t="str">
        <f>""&amp;CHAR(10)&amp;Basic_Fundamental_Information_Constructure(F3)&amp;CHAR(10)&amp;Basic_Fundamental_Information_Concatenate("")</f>
        <v xml:space="preserve">
市值26.769817亿, 利润5085.73万; PE35.12; 平均PE-45.23; 平均PEG-3.05, PB.789; ROIC4.18%; ROE-4.0967%; 股利率0%; 毛利19.5767%; 净利-3.1833%; 上一年度营收增-78.62%, 利润增108.22%; 当季营收增-52.51%, 利润增199.21%; 过往5年营收增-14.85%, 利润增-97.69%
Income profile:
</v>
      </c>
      <c r="D3" t="s">
        <v>50</v>
      </c>
      <c r="E3" t="s">
        <v>51</v>
      </c>
      <c r="F3">
        <v>2.48</v>
      </c>
      <c r="G3">
        <v>2.48</v>
      </c>
      <c r="H3" t="s">
        <v>1126</v>
      </c>
      <c r="I3">
        <v>2676981700</v>
      </c>
      <c r="J3">
        <v>35.119999999999997</v>
      </c>
      <c r="K3">
        <v>0.78900000000000003</v>
      </c>
      <c r="L3" t="s">
        <v>52</v>
      </c>
      <c r="M3" t="s">
        <v>1127</v>
      </c>
      <c r="N3" t="s">
        <v>1128</v>
      </c>
      <c r="O3" t="s">
        <v>1129</v>
      </c>
      <c r="P3">
        <v>-8.6</v>
      </c>
      <c r="Q3" t="s">
        <v>1129</v>
      </c>
      <c r="R3">
        <v>50857341</v>
      </c>
      <c r="S3" s="4">
        <v>2.2040000000000002</v>
      </c>
      <c r="T3" t="s">
        <v>1130</v>
      </c>
      <c r="U3">
        <v>1079426770</v>
      </c>
      <c r="V3">
        <v>1079428100</v>
      </c>
      <c r="W3">
        <v>1.77</v>
      </c>
      <c r="X3">
        <v>0.18</v>
      </c>
      <c r="Y3">
        <v>3.87</v>
      </c>
      <c r="Z3" t="s">
        <v>287</v>
      </c>
      <c r="AA3" t="s">
        <v>90</v>
      </c>
      <c r="AB3" t="s">
        <v>1131</v>
      </c>
      <c r="AC3" t="s">
        <v>1132</v>
      </c>
      <c r="AD3" t="s">
        <v>30</v>
      </c>
      <c r="AE3">
        <v>25362798</v>
      </c>
      <c r="AF3" t="s">
        <v>1133</v>
      </c>
      <c r="AG3" t="s">
        <v>1134</v>
      </c>
      <c r="AH3" t="s">
        <v>1135</v>
      </c>
      <c r="AI3" t="s">
        <v>1136</v>
      </c>
      <c r="AJ3" t="s">
        <v>1137</v>
      </c>
      <c r="AK3" t="s">
        <v>30</v>
      </c>
      <c r="AL3" t="s">
        <v>1138</v>
      </c>
      <c r="AM3" t="s">
        <v>30</v>
      </c>
      <c r="AN3" t="s">
        <v>1139</v>
      </c>
      <c r="AO3" t="s">
        <v>1140</v>
      </c>
      <c r="AP3" t="s">
        <v>1141</v>
      </c>
      <c r="AQ3" t="s">
        <v>439</v>
      </c>
      <c r="AR3" t="s">
        <v>30</v>
      </c>
      <c r="AS3" t="s">
        <v>1142</v>
      </c>
      <c r="AT3" t="s">
        <v>1143</v>
      </c>
      <c r="AU3" t="s">
        <v>1144</v>
      </c>
      <c r="AV3" t="s">
        <v>1145</v>
      </c>
      <c r="AW3" t="s">
        <v>1146</v>
      </c>
      <c r="AX3" t="s">
        <v>754</v>
      </c>
      <c r="AY3" t="s">
        <v>555</v>
      </c>
      <c r="AZ3" t="s">
        <v>181</v>
      </c>
      <c r="BA3" t="s">
        <v>185</v>
      </c>
      <c r="BB3" t="s">
        <v>186</v>
      </c>
      <c r="BC3" t="s">
        <v>755</v>
      </c>
      <c r="BD3" t="s">
        <v>336</v>
      </c>
      <c r="BE3" t="s">
        <v>182</v>
      </c>
      <c r="BF3" t="s">
        <v>187</v>
      </c>
      <c r="BG3" t="s">
        <v>188</v>
      </c>
      <c r="BH3" t="s">
        <v>1147</v>
      </c>
      <c r="BI3" t="s">
        <v>969</v>
      </c>
      <c r="BJ3" t="s">
        <v>754</v>
      </c>
      <c r="BK3" t="s">
        <v>1148</v>
      </c>
      <c r="BL3" t="s">
        <v>1149</v>
      </c>
      <c r="BM3" t="s">
        <v>755</v>
      </c>
      <c r="BN3" t="s">
        <v>30</v>
      </c>
      <c r="BO3" t="s">
        <v>30</v>
      </c>
      <c r="BP3">
        <v>4.18</v>
      </c>
      <c r="BQ3">
        <v>0.19</v>
      </c>
      <c r="BR3">
        <v>-17.420000000000002</v>
      </c>
      <c r="BS3">
        <v>4.9400000000000004</v>
      </c>
      <c r="BT3" t="s">
        <v>737</v>
      </c>
      <c r="BU3" t="s">
        <v>543</v>
      </c>
      <c r="BV3">
        <v>20.72</v>
      </c>
      <c r="BW3">
        <v>15.34</v>
      </c>
      <c r="BX3">
        <v>22.67</v>
      </c>
      <c r="BY3">
        <v>-0.78</v>
      </c>
      <c r="BZ3">
        <v>-12.3</v>
      </c>
      <c r="CA3">
        <v>3.53</v>
      </c>
      <c r="CB3">
        <v>4.2</v>
      </c>
      <c r="CC3">
        <v>-22.74</v>
      </c>
      <c r="CD3" t="s">
        <v>1150</v>
      </c>
      <c r="CE3" t="s">
        <v>1151</v>
      </c>
      <c r="CF3" s="7">
        <v>-0.52506403219904862</v>
      </c>
      <c r="CG3" s="8">
        <v>1.9921254169836717</v>
      </c>
      <c r="CH3" s="7">
        <v>-0.78619670867919922</v>
      </c>
      <c r="CI3" s="7">
        <v>-4.4689182192087173E-2</v>
      </c>
      <c r="CJ3" s="7">
        <v>9.9480986595153809E-2</v>
      </c>
      <c r="CK3" s="7">
        <v>9.2543531209230423E-3</v>
      </c>
      <c r="CL3" s="7">
        <v>-2.0188216120004654E-2</v>
      </c>
      <c r="CM3" s="8">
        <v>1.0821603536605835</v>
      </c>
      <c r="CN3" s="8">
        <v>-4.3641304969787598</v>
      </c>
      <c r="CO3" s="8">
        <v>-0.41214057803153992</v>
      </c>
      <c r="CP3" s="8">
        <v>1.416223406791687</v>
      </c>
      <c r="CQ3" s="8">
        <v>-2.6068375110626221</v>
      </c>
      <c r="CR3">
        <v>-45.226581315060116</v>
      </c>
      <c r="CS3">
        <v>-3.0462225138171211</v>
      </c>
      <c r="CT3">
        <v>0</v>
      </c>
      <c r="CU3" s="7">
        <v>-0.14846775345504284</v>
      </c>
      <c r="CV3" s="8">
        <v>-0.9769449651241302</v>
      </c>
      <c r="CW3">
        <v>0.06</v>
      </c>
      <c r="CX3">
        <v>38.401206906383152</v>
      </c>
      <c r="CY3" t="s">
        <v>1152</v>
      </c>
      <c r="CZ3">
        <v>-0.14846775345504284</v>
      </c>
      <c r="DA3">
        <v>12.800402302127718</v>
      </c>
      <c r="DB3" t="s">
        <v>1153</v>
      </c>
      <c r="DC3">
        <v>-0.14104436578229071</v>
      </c>
      <c r="DD3">
        <v>6.4002011510638592</v>
      </c>
      <c r="DE3" t="s">
        <v>1154</v>
      </c>
      <c r="DF3">
        <v>-0.1306516230404377</v>
      </c>
      <c r="DG3">
        <v>3.8401206906383156</v>
      </c>
      <c r="DH3" t="s">
        <v>1155</v>
      </c>
      <c r="DI3">
        <v>-0.11877420276403428</v>
      </c>
      <c r="DJ3">
        <v>1.9200603453191578</v>
      </c>
      <c r="DK3" t="s">
        <v>1156</v>
      </c>
      <c r="DL3">
        <v>-0.10392742741852999</v>
      </c>
      <c r="DM3">
        <v>50857299.999999993</v>
      </c>
      <c r="DN3">
        <v>-0.14846775345504284</v>
      </c>
      <c r="DO3">
        <v>1952981700</v>
      </c>
      <c r="DP3">
        <v>484078400</v>
      </c>
      <c r="DQ3">
        <v>195</v>
      </c>
      <c r="DR3">
        <v>-0.37659627874400581</v>
      </c>
      <c r="DS3">
        <v>2.9690703821078017</v>
      </c>
      <c r="DT3" s="9">
        <v>-0.77333333333333332</v>
      </c>
      <c r="DU3">
        <v>-0.3000000000000001</v>
      </c>
      <c r="DV3">
        <v>-1.0733333333333335</v>
      </c>
      <c r="DW3">
        <v>6.1559020044543429</v>
      </c>
      <c r="DX3">
        <v>0.38431590214067413</v>
      </c>
      <c r="DY3">
        <v>6.020940118373824</v>
      </c>
      <c r="DZ3">
        <v>3716</v>
      </c>
      <c r="EA3">
        <v>6.0057124315094148</v>
      </c>
      <c r="EB3">
        <v>6</v>
      </c>
      <c r="EC3">
        <v>4.068941692364688E-2</v>
      </c>
      <c r="ED3">
        <v>0.30293819477184258</v>
      </c>
      <c r="EE3" s="10">
        <v>-1.0121100000000001</v>
      </c>
      <c r="EF3">
        <v>-1.02851</v>
      </c>
      <c r="EG3">
        <v>25.134315902140674</v>
      </c>
      <c r="EH3" t="s">
        <v>803</v>
      </c>
      <c r="EI3">
        <v>0</v>
      </c>
      <c r="EJ3">
        <v>0</v>
      </c>
      <c r="EK3" s="11">
        <v>45470</v>
      </c>
      <c r="EL3">
        <v>-2.0099999999999998</v>
      </c>
      <c r="EM3">
        <v>-5.74</v>
      </c>
      <c r="EN3">
        <v>2.17</v>
      </c>
      <c r="EO3">
        <v>3.83</v>
      </c>
      <c r="EP3">
        <v>-1.64</v>
      </c>
    </row>
    <row r="4" spans="1:146" ht="96" x14ac:dyDescent="0.25">
      <c r="A4" s="5"/>
      <c r="B4" s="5"/>
      <c r="C4" s="5" t="str">
        <f>""&amp;CHAR(10)&amp;Basic_Fundamental_Information_Constructure(F4)&amp;CHAR(10)&amp;Basic_Fundamental_Information_Concatenate("")</f>
        <v xml:space="preserve">
市值27.803764亿, 利润319.79万; PE77.4; 平均PE-116.71; 平均PEG-5.49, PB1.1; ROIC2.12%; ROE-2.6167%; 股利率1.355%; 毛利20.6667%; 净利-1.7933%; 上一年度营收增-84.78%, 利润增102.28%; 当季营收增-62.5%, 利润增-81.61%; 过往5年营收增-21.27%, 利润增-267.83%
Income profile:
</v>
      </c>
      <c r="D4" t="s">
        <v>55</v>
      </c>
      <c r="E4" t="s">
        <v>15</v>
      </c>
      <c r="F4">
        <v>3.69</v>
      </c>
      <c r="G4">
        <v>1.1000000000000001</v>
      </c>
      <c r="H4" t="s">
        <v>1157</v>
      </c>
      <c r="I4">
        <v>2780376400</v>
      </c>
      <c r="J4">
        <v>77.400000000000006</v>
      </c>
      <c r="K4">
        <v>1.1000000000000001</v>
      </c>
      <c r="L4" t="s">
        <v>52</v>
      </c>
      <c r="M4" t="s">
        <v>1158</v>
      </c>
      <c r="N4" t="s">
        <v>779</v>
      </c>
      <c r="O4" t="s">
        <v>1159</v>
      </c>
      <c r="P4">
        <v>-25.7</v>
      </c>
      <c r="Q4" t="s">
        <v>1159</v>
      </c>
      <c r="R4">
        <v>3197883</v>
      </c>
      <c r="S4" s="4">
        <v>-0.69120000000000004</v>
      </c>
      <c r="T4" t="s">
        <v>1160</v>
      </c>
      <c r="U4">
        <v>700691740</v>
      </c>
      <c r="V4">
        <v>753489550</v>
      </c>
      <c r="W4">
        <v>1.66</v>
      </c>
      <c r="X4">
        <v>0.1</v>
      </c>
      <c r="Y4">
        <v>0.55000000000000004</v>
      </c>
      <c r="Z4" t="s">
        <v>1161</v>
      </c>
      <c r="AA4" t="s">
        <v>265</v>
      </c>
      <c r="AB4" t="s">
        <v>1162</v>
      </c>
      <c r="AC4" t="s">
        <v>1163</v>
      </c>
      <c r="AD4" t="s">
        <v>30</v>
      </c>
      <c r="AE4">
        <v>15570229</v>
      </c>
      <c r="AF4" t="s">
        <v>1164</v>
      </c>
      <c r="AG4" t="s">
        <v>1165</v>
      </c>
      <c r="AH4" t="s">
        <v>1166</v>
      </c>
      <c r="AI4" t="s">
        <v>1167</v>
      </c>
      <c r="AJ4" t="s">
        <v>1168</v>
      </c>
      <c r="AK4" t="s">
        <v>30</v>
      </c>
      <c r="AL4" t="s">
        <v>1169</v>
      </c>
      <c r="AM4" t="s">
        <v>30</v>
      </c>
      <c r="AN4" t="s">
        <v>370</v>
      </c>
      <c r="AO4" t="s">
        <v>725</v>
      </c>
      <c r="AP4" t="s">
        <v>1170</v>
      </c>
      <c r="AQ4" t="s">
        <v>103</v>
      </c>
      <c r="AR4" t="s">
        <v>1171</v>
      </c>
      <c r="AS4" t="s">
        <v>1172</v>
      </c>
      <c r="AT4" t="s">
        <v>708</v>
      </c>
      <c r="AU4" t="s">
        <v>1173</v>
      </c>
      <c r="AV4" t="s">
        <v>1174</v>
      </c>
      <c r="AW4" t="s">
        <v>1175</v>
      </c>
      <c r="AX4" t="s">
        <v>720</v>
      </c>
      <c r="AY4" t="s">
        <v>556</v>
      </c>
      <c r="AZ4" t="s">
        <v>190</v>
      </c>
      <c r="BA4" t="s">
        <v>192</v>
      </c>
      <c r="BB4" t="s">
        <v>193</v>
      </c>
      <c r="BC4" t="s">
        <v>756</v>
      </c>
      <c r="BD4" t="s">
        <v>528</v>
      </c>
      <c r="BE4" t="s">
        <v>191</v>
      </c>
      <c r="BF4" t="s">
        <v>194</v>
      </c>
      <c r="BG4" t="s">
        <v>195</v>
      </c>
      <c r="BH4" t="s">
        <v>1176</v>
      </c>
      <c r="BI4" t="s">
        <v>972</v>
      </c>
      <c r="BJ4" t="s">
        <v>720</v>
      </c>
      <c r="BK4" t="s">
        <v>1177</v>
      </c>
      <c r="BL4" t="s">
        <v>1178</v>
      </c>
      <c r="BM4" t="s">
        <v>756</v>
      </c>
      <c r="BN4">
        <v>2.12</v>
      </c>
      <c r="BO4" t="s">
        <v>30</v>
      </c>
      <c r="BP4" t="s">
        <v>30</v>
      </c>
      <c r="BQ4">
        <v>1.76</v>
      </c>
      <c r="BR4">
        <v>-5.52</v>
      </c>
      <c r="BS4">
        <v>-4.09</v>
      </c>
      <c r="BT4" t="s">
        <v>747</v>
      </c>
      <c r="BU4" t="s">
        <v>524</v>
      </c>
      <c r="BV4">
        <v>23.63</v>
      </c>
      <c r="BW4">
        <v>20.12</v>
      </c>
      <c r="BX4">
        <v>18.25</v>
      </c>
      <c r="BY4">
        <v>2.12</v>
      </c>
      <c r="BZ4">
        <v>-4.8</v>
      </c>
      <c r="CA4">
        <v>-2.7</v>
      </c>
      <c r="CB4">
        <v>1.93</v>
      </c>
      <c r="CC4">
        <v>-15.56</v>
      </c>
      <c r="CD4" t="s">
        <v>1179</v>
      </c>
      <c r="CE4" t="s">
        <v>602</v>
      </c>
      <c r="CF4" s="7">
        <v>-0.625</v>
      </c>
      <c r="CG4" s="8">
        <v>-0.81614071097159213</v>
      </c>
      <c r="CH4" s="7">
        <v>-0.84781163930892944</v>
      </c>
      <c r="CI4" s="7">
        <v>-0.25068321824073792</v>
      </c>
      <c r="CJ4" s="7">
        <v>4.790419340133667E-2</v>
      </c>
      <c r="CK4" s="7">
        <v>-0.14186780154705048</v>
      </c>
      <c r="CL4" s="7">
        <v>0.12916252017021179</v>
      </c>
      <c r="CM4" s="8">
        <v>1.0228421688079834</v>
      </c>
      <c r="CN4" s="8">
        <v>-0.28440368175506592</v>
      </c>
      <c r="CO4" s="8">
        <v>-12.963823318481445</v>
      </c>
      <c r="CP4" s="8">
        <v>-0.73082000017166138</v>
      </c>
      <c r="CQ4" s="8">
        <v>-0.43507251143455505</v>
      </c>
      <c r="CR4">
        <v>-116.71481363839257</v>
      </c>
      <c r="CS4">
        <v>-5.4883503567177758</v>
      </c>
      <c r="CT4">
        <v>1.3550135501355014</v>
      </c>
      <c r="CU4" s="7">
        <v>-0.21265918910503387</v>
      </c>
      <c r="CV4" s="8">
        <v>-2.6782554686069489</v>
      </c>
      <c r="CW4">
        <v>0.06</v>
      </c>
      <c r="CX4">
        <v>600.51171081021926</v>
      </c>
      <c r="CY4" t="s">
        <v>1180</v>
      </c>
      <c r="CZ4">
        <v>-0.21265918910503387</v>
      </c>
      <c r="DA4">
        <v>200.17057027007306</v>
      </c>
      <c r="DB4" t="s">
        <v>1181</v>
      </c>
      <c r="DC4">
        <v>-0.20202622964978217</v>
      </c>
      <c r="DD4">
        <v>100.08528513503653</v>
      </c>
      <c r="DE4" t="s">
        <v>1182</v>
      </c>
      <c r="DF4">
        <v>-0.1871400864124298</v>
      </c>
      <c r="DG4">
        <v>60.05117108102192</v>
      </c>
      <c r="DH4" t="s">
        <v>1183</v>
      </c>
      <c r="DI4">
        <v>-0.17012735128402712</v>
      </c>
      <c r="DJ4">
        <v>30.02558554051096</v>
      </c>
      <c r="DK4" t="s">
        <v>1184</v>
      </c>
      <c r="DL4">
        <v>-0.1488614323735237</v>
      </c>
      <c r="DM4">
        <v>3197900</v>
      </c>
      <c r="DN4">
        <v>-0.21265918910503387</v>
      </c>
      <c r="DO4">
        <v>1920376400</v>
      </c>
      <c r="DP4">
        <v>-54920000</v>
      </c>
      <c r="DQ4">
        <v>240</v>
      </c>
      <c r="DR4">
        <v>-0.4123408108949661</v>
      </c>
      <c r="DS4">
        <v>1.8621147576353567</v>
      </c>
      <c r="DT4" s="9">
        <v>-0.92333333333333334</v>
      </c>
      <c r="DU4">
        <v>-1.6900000000000002</v>
      </c>
      <c r="DV4">
        <v>-2.6133333333333333</v>
      </c>
      <c r="DW4">
        <v>-2.1556000000000002</v>
      </c>
      <c r="DX4">
        <v>0.35206440677966022</v>
      </c>
      <c r="DY4">
        <v>-2.0345532216949151</v>
      </c>
      <c r="DZ4">
        <v>4565</v>
      </c>
      <c r="EA4">
        <v>-2.0036852261885967</v>
      </c>
      <c r="EB4">
        <v>2</v>
      </c>
      <c r="EC4">
        <v>6.9552656702405499E-2</v>
      </c>
      <c r="ED4">
        <v>0.31320938691186889</v>
      </c>
      <c r="EE4" s="10">
        <v>3.03891</v>
      </c>
      <c r="EF4">
        <v>3.05741</v>
      </c>
      <c r="EG4">
        <v>13.22206440677966</v>
      </c>
      <c r="EH4" t="s">
        <v>1185</v>
      </c>
      <c r="EI4">
        <v>0</v>
      </c>
      <c r="EJ4">
        <v>0</v>
      </c>
      <c r="EK4" s="11">
        <v>45470</v>
      </c>
      <c r="EL4">
        <v>-0.52</v>
      </c>
      <c r="EM4">
        <v>-3.37</v>
      </c>
      <c r="EN4">
        <v>0.27</v>
      </c>
      <c r="EO4">
        <v>1.07</v>
      </c>
      <c r="EP4">
        <v>-1.85</v>
      </c>
    </row>
    <row r="5" spans="1:146" ht="96" x14ac:dyDescent="0.25">
      <c r="A5" s="5"/>
      <c r="B5" s="5"/>
      <c r="C5" s="5" t="str">
        <f>""&amp;CHAR(10)&amp;Basic_Fundamental_Information_Constructure(F5)&amp;CHAR(10)&amp;Basic_Fundamental_Information_Concatenate("")</f>
        <v xml:space="preserve">
市值810.73072亿, 利润12.72亿; PE16.76; 平均PE17.15; 平均PEG1.83, PB3.67; ROIC18.0367%; ROE22.36%; 股利率2.9915%; 毛利16.2633%; 净利8.3267%; 上一年度营收增-77.2%, 利润增-77.37%; 当季营收增-53.1%, 利润增-55.17%; 过往5年营收增-9.37%, 利润增-11.66%
Income profile:
</v>
      </c>
      <c r="D5" t="s">
        <v>57</v>
      </c>
      <c r="E5" t="s">
        <v>28</v>
      </c>
      <c r="F5">
        <v>23.4</v>
      </c>
      <c r="G5">
        <v>0.13</v>
      </c>
      <c r="H5" t="s">
        <v>1186</v>
      </c>
      <c r="I5">
        <v>81073072000</v>
      </c>
      <c r="J5">
        <v>16.760000000000002</v>
      </c>
      <c r="K5">
        <v>3.67</v>
      </c>
      <c r="L5" t="s">
        <v>52</v>
      </c>
      <c r="M5" t="s">
        <v>1187</v>
      </c>
      <c r="N5" t="s">
        <v>1188</v>
      </c>
      <c r="O5" t="s">
        <v>1189</v>
      </c>
      <c r="P5">
        <v>-8.92</v>
      </c>
      <c r="Q5" t="s">
        <v>1189</v>
      </c>
      <c r="R5">
        <v>1271715270</v>
      </c>
      <c r="S5" s="4">
        <v>-0.1454</v>
      </c>
      <c r="T5" t="s">
        <v>1190</v>
      </c>
      <c r="U5">
        <v>3464123700</v>
      </c>
      <c r="V5">
        <v>3464661200</v>
      </c>
      <c r="W5">
        <v>1.85</v>
      </c>
      <c r="X5">
        <v>0.37</v>
      </c>
      <c r="Y5">
        <v>8.99</v>
      </c>
      <c r="Z5" t="s">
        <v>1191</v>
      </c>
      <c r="AA5" t="s">
        <v>1192</v>
      </c>
      <c r="AB5" t="s">
        <v>1009</v>
      </c>
      <c r="AC5" t="s">
        <v>182</v>
      </c>
      <c r="AD5" t="s">
        <v>30</v>
      </c>
      <c r="AE5">
        <v>37708990</v>
      </c>
      <c r="AF5" t="s">
        <v>1193</v>
      </c>
      <c r="AG5" t="s">
        <v>1194</v>
      </c>
      <c r="AH5" t="s">
        <v>1195</v>
      </c>
      <c r="AI5" t="s">
        <v>754</v>
      </c>
      <c r="AJ5" t="s">
        <v>1196</v>
      </c>
      <c r="AK5" t="s">
        <v>1197</v>
      </c>
      <c r="AL5" t="s">
        <v>1198</v>
      </c>
      <c r="AM5" t="s">
        <v>30</v>
      </c>
      <c r="AN5" t="s">
        <v>963</v>
      </c>
      <c r="AO5" t="s">
        <v>1199</v>
      </c>
      <c r="AP5" t="s">
        <v>30</v>
      </c>
      <c r="AQ5" t="s">
        <v>1200</v>
      </c>
      <c r="AR5" t="s">
        <v>1201</v>
      </c>
      <c r="AS5" t="s">
        <v>1202</v>
      </c>
      <c r="AT5" t="s">
        <v>1203</v>
      </c>
      <c r="AU5" t="s">
        <v>1204</v>
      </c>
      <c r="AV5" t="s">
        <v>1205</v>
      </c>
      <c r="AW5" t="s">
        <v>1206</v>
      </c>
      <c r="AX5" t="s">
        <v>1207</v>
      </c>
      <c r="AY5" t="s">
        <v>760</v>
      </c>
      <c r="AZ5" t="s">
        <v>761</v>
      </c>
      <c r="BA5" t="s">
        <v>198</v>
      </c>
      <c r="BB5" t="s">
        <v>199</v>
      </c>
      <c r="BC5" t="s">
        <v>759</v>
      </c>
      <c r="BD5" t="s">
        <v>557</v>
      </c>
      <c r="BE5" t="s">
        <v>197</v>
      </c>
      <c r="BF5" t="s">
        <v>200</v>
      </c>
      <c r="BG5" t="s">
        <v>201</v>
      </c>
      <c r="BH5" t="s">
        <v>1208</v>
      </c>
      <c r="BI5" t="s">
        <v>977</v>
      </c>
      <c r="BJ5" t="s">
        <v>1207</v>
      </c>
      <c r="BK5" t="s">
        <v>1209</v>
      </c>
      <c r="BL5" t="s">
        <v>1210</v>
      </c>
      <c r="BM5" t="s">
        <v>759</v>
      </c>
      <c r="BN5">
        <v>14.53</v>
      </c>
      <c r="BO5">
        <v>21.54</v>
      </c>
      <c r="BP5">
        <v>18.04</v>
      </c>
      <c r="BQ5">
        <v>19.850000000000001</v>
      </c>
      <c r="BR5">
        <v>25.43</v>
      </c>
      <c r="BS5">
        <v>21.8</v>
      </c>
      <c r="BT5" t="s">
        <v>1211</v>
      </c>
      <c r="BU5" t="s">
        <v>674</v>
      </c>
      <c r="BV5">
        <v>17.05</v>
      </c>
      <c r="BW5">
        <v>16.39</v>
      </c>
      <c r="BX5">
        <v>15.35</v>
      </c>
      <c r="BY5">
        <v>8.52</v>
      </c>
      <c r="BZ5">
        <v>9.14</v>
      </c>
      <c r="CA5">
        <v>7.32</v>
      </c>
      <c r="CB5">
        <v>-1.56</v>
      </c>
      <c r="CC5">
        <v>-8.31</v>
      </c>
      <c r="CD5" t="s">
        <v>1212</v>
      </c>
      <c r="CE5" t="s">
        <v>757</v>
      </c>
      <c r="CF5" s="7">
        <v>-0.53104150918592041</v>
      </c>
      <c r="CG5" s="8">
        <v>-0.55173941839971796</v>
      </c>
      <c r="CH5" s="7">
        <v>-0.77197331190109253</v>
      </c>
      <c r="CI5" s="7">
        <v>-6.1575811356306076E-2</v>
      </c>
      <c r="CJ5" s="7">
        <v>-9.7220487892627716E-2</v>
      </c>
      <c r="CK5" s="7">
        <v>0.22472220659255981</v>
      </c>
      <c r="CL5" s="7">
        <v>0.23740740120410919</v>
      </c>
      <c r="CM5" s="8">
        <v>-0.77370578050613403</v>
      </c>
      <c r="CN5" s="8">
        <v>0.15515831112861633</v>
      </c>
      <c r="CO5" s="8">
        <v>-0.22218671441078186</v>
      </c>
      <c r="CP5" s="8">
        <v>0.15042291581630707</v>
      </c>
      <c r="CQ5" s="8">
        <v>0.10708471387624741</v>
      </c>
      <c r="CR5">
        <v>17.149248439978848</v>
      </c>
      <c r="CS5">
        <v>1.829682519339713</v>
      </c>
      <c r="CT5">
        <v>2.9914529914529915</v>
      </c>
      <c r="CU5" s="7">
        <v>-9.3728000670671469E-2</v>
      </c>
      <c r="CV5" s="8">
        <v>-0.11664531081914901</v>
      </c>
      <c r="CW5">
        <v>0.06</v>
      </c>
      <c r="CX5">
        <v>58.309018867924529</v>
      </c>
      <c r="CY5" t="s">
        <v>1213</v>
      </c>
      <c r="CZ5">
        <v>-9.3728000670671469E-2</v>
      </c>
      <c r="DA5">
        <v>19.436339622641508</v>
      </c>
      <c r="DB5" t="s">
        <v>1214</v>
      </c>
      <c r="DC5">
        <v>-8.9041600637137897E-2</v>
      </c>
      <c r="DD5">
        <v>9.7181698113207542</v>
      </c>
      <c r="DE5" t="s">
        <v>1215</v>
      </c>
      <c r="DF5">
        <v>-8.248064059019089E-2</v>
      </c>
      <c r="DG5">
        <v>5.8309018867924527</v>
      </c>
      <c r="DH5" t="s">
        <v>1216</v>
      </c>
      <c r="DI5">
        <v>-7.498240053653718E-2</v>
      </c>
      <c r="DJ5">
        <v>2.9154509433962263</v>
      </c>
      <c r="DK5" t="s">
        <v>1217</v>
      </c>
      <c r="DL5">
        <v>-6.5609600469470022E-2</v>
      </c>
      <c r="DM5">
        <v>1272000000</v>
      </c>
      <c r="DN5">
        <v>-9.3728000670671469E-2</v>
      </c>
      <c r="DO5">
        <v>74169072000</v>
      </c>
      <c r="DP5">
        <v>3705599000</v>
      </c>
      <c r="DQ5">
        <v>351</v>
      </c>
      <c r="DR5">
        <v>-0.43731350851524897</v>
      </c>
      <c r="DS5">
        <v>-0.43509410758056893</v>
      </c>
      <c r="DT5" s="9">
        <v>-0.55666666666666675</v>
      </c>
      <c r="DU5">
        <v>-0.42</v>
      </c>
      <c r="DV5">
        <v>-0.97666666666666679</v>
      </c>
      <c r="DW5">
        <v>-2.0831</v>
      </c>
      <c r="DX5">
        <v>0.36169955357142825</v>
      </c>
      <c r="DY5">
        <v>-2.0101132329017859</v>
      </c>
      <c r="DZ5">
        <v>1919</v>
      </c>
      <c r="EA5">
        <v>-2.0063153280214481</v>
      </c>
      <c r="EB5">
        <v>2</v>
      </c>
      <c r="EC5">
        <v>7.8682152240455716E-3</v>
      </c>
      <c r="ED5">
        <v>6.4652786252231545E-2</v>
      </c>
      <c r="EE5" s="10">
        <v>1.026</v>
      </c>
      <c r="EF5">
        <v>1.0218</v>
      </c>
      <c r="EG5">
        <v>24.121699553571428</v>
      </c>
      <c r="EH5" t="s">
        <v>657</v>
      </c>
      <c r="EI5">
        <v>0</v>
      </c>
      <c r="EJ5">
        <v>0</v>
      </c>
      <c r="EK5" s="11">
        <v>45470</v>
      </c>
      <c r="EL5">
        <v>-0.16</v>
      </c>
      <c r="EM5">
        <v>-1.32</v>
      </c>
      <c r="EN5">
        <v>0</v>
      </c>
      <c r="EO5">
        <v>0.46</v>
      </c>
      <c r="EP5">
        <v>-0.42</v>
      </c>
    </row>
    <row r="6" spans="1:146" ht="96" x14ac:dyDescent="0.25">
      <c r="A6" s="5"/>
      <c r="B6" s="5"/>
      <c r="C6" s="5" t="str">
        <f>""&amp;CHAR(10)&amp;Basic_Fundamental_Information_Constructure(F6)&amp;CHAR(10)&amp;Basic_Fundamental_Information_Concatenate("")</f>
        <v xml:space="preserve">
市值28.330544亿, 利润3457.51万; PE20.45; 平均PE39.13; 平均PEG12.28, PB1.55; ROIC9.1533%; ROE10.4433%; 股利率.6657%; 毛利23.1567%; 净利6.8667%; 上一年度营收增-68.91%, 利润增-66.1%; 当季营收增-45.59%, 利润增-38.15%; 过往5年营收增3.19%, 利润增-1.13%
Income profile:
</v>
      </c>
      <c r="D6" t="s">
        <v>492</v>
      </c>
      <c r="E6" t="s">
        <v>493</v>
      </c>
      <c r="F6">
        <v>28.54</v>
      </c>
      <c r="G6">
        <v>-0.59</v>
      </c>
      <c r="H6" t="s">
        <v>1218</v>
      </c>
      <c r="I6">
        <v>2833054400</v>
      </c>
      <c r="J6">
        <v>20.45</v>
      </c>
      <c r="K6">
        <v>1.55</v>
      </c>
      <c r="L6" t="s">
        <v>52</v>
      </c>
      <c r="M6" t="s">
        <v>525</v>
      </c>
      <c r="N6" t="s">
        <v>849</v>
      </c>
      <c r="O6" t="s">
        <v>998</v>
      </c>
      <c r="P6">
        <v>8.0399999999999991</v>
      </c>
      <c r="Q6" t="s">
        <v>998</v>
      </c>
      <c r="R6">
        <v>34575082</v>
      </c>
      <c r="S6" s="4">
        <v>0.1416</v>
      </c>
      <c r="T6" t="s">
        <v>1219</v>
      </c>
      <c r="U6">
        <v>45747983</v>
      </c>
      <c r="V6">
        <v>99266097</v>
      </c>
      <c r="W6">
        <v>1.17</v>
      </c>
      <c r="X6">
        <v>0.23</v>
      </c>
      <c r="Y6">
        <v>7.44</v>
      </c>
      <c r="Z6" t="s">
        <v>412</v>
      </c>
      <c r="AA6" t="s">
        <v>799</v>
      </c>
      <c r="AB6" t="s">
        <v>1220</v>
      </c>
      <c r="AC6" t="s">
        <v>1221</v>
      </c>
      <c r="AD6" t="s">
        <v>30</v>
      </c>
      <c r="AE6">
        <v>-625292</v>
      </c>
      <c r="AF6" t="s">
        <v>1222</v>
      </c>
      <c r="AG6" t="s">
        <v>1223</v>
      </c>
      <c r="AH6" t="s">
        <v>1224</v>
      </c>
      <c r="AI6" t="s">
        <v>970</v>
      </c>
      <c r="AJ6" t="s">
        <v>1225</v>
      </c>
      <c r="AK6" t="s">
        <v>1226</v>
      </c>
      <c r="AL6" t="s">
        <v>1227</v>
      </c>
      <c r="AM6" t="s">
        <v>30</v>
      </c>
      <c r="AN6" t="s">
        <v>1228</v>
      </c>
      <c r="AO6" t="s">
        <v>30</v>
      </c>
      <c r="AP6" t="s">
        <v>30</v>
      </c>
      <c r="AQ6" t="s">
        <v>72</v>
      </c>
      <c r="AR6" t="s">
        <v>30</v>
      </c>
      <c r="AS6" t="s">
        <v>713</v>
      </c>
      <c r="AT6" t="s">
        <v>1229</v>
      </c>
      <c r="AU6" t="s">
        <v>1230</v>
      </c>
      <c r="AV6" t="s">
        <v>1231</v>
      </c>
      <c r="AW6" t="s">
        <v>844</v>
      </c>
      <c r="AX6" t="s">
        <v>723</v>
      </c>
      <c r="AY6" t="s">
        <v>559</v>
      </c>
      <c r="AZ6" t="s">
        <v>494</v>
      </c>
      <c r="BA6" t="s">
        <v>318</v>
      </c>
      <c r="BB6" t="s">
        <v>401</v>
      </c>
      <c r="BC6" t="s">
        <v>171</v>
      </c>
      <c r="BD6" t="s">
        <v>560</v>
      </c>
      <c r="BE6" t="s">
        <v>495</v>
      </c>
      <c r="BF6" t="s">
        <v>497</v>
      </c>
      <c r="BG6" t="s">
        <v>498</v>
      </c>
      <c r="BH6" t="s">
        <v>1232</v>
      </c>
      <c r="BI6" t="s">
        <v>122</v>
      </c>
      <c r="BJ6" t="s">
        <v>723</v>
      </c>
      <c r="BK6" t="s">
        <v>369</v>
      </c>
      <c r="BL6" t="s">
        <v>1233</v>
      </c>
      <c r="BM6" t="s">
        <v>171</v>
      </c>
      <c r="BN6">
        <v>7.45</v>
      </c>
      <c r="BO6">
        <v>9.1300000000000008</v>
      </c>
      <c r="BP6">
        <v>10.88</v>
      </c>
      <c r="BQ6">
        <v>8.51</v>
      </c>
      <c r="BR6">
        <v>10.130000000000001</v>
      </c>
      <c r="BS6">
        <v>12.69</v>
      </c>
      <c r="BT6" t="s">
        <v>1234</v>
      </c>
      <c r="BU6" t="s">
        <v>1235</v>
      </c>
      <c r="BV6">
        <v>23.7</v>
      </c>
      <c r="BW6">
        <v>23.41</v>
      </c>
      <c r="BX6">
        <v>22.36</v>
      </c>
      <c r="BY6">
        <v>6.97</v>
      </c>
      <c r="BZ6">
        <v>6.78</v>
      </c>
      <c r="CA6">
        <v>6.85</v>
      </c>
      <c r="CB6">
        <v>0.96</v>
      </c>
      <c r="CC6">
        <v>-26.29</v>
      </c>
      <c r="CD6" t="s">
        <v>1236</v>
      </c>
      <c r="CE6" t="s">
        <v>1237</v>
      </c>
      <c r="CF6" s="7">
        <v>-0.45593419506462984</v>
      </c>
      <c r="CG6" s="8">
        <v>-0.38146783640377396</v>
      </c>
      <c r="CH6" s="7">
        <v>-0.68905305862426758</v>
      </c>
      <c r="CI6" s="7">
        <v>0.16875976324081421</v>
      </c>
      <c r="CJ6" s="7">
        <v>0.34957626461982727</v>
      </c>
      <c r="CK6" s="7">
        <v>6.1867266893386841E-2</v>
      </c>
      <c r="CL6" s="7">
        <v>0.26818829774856567</v>
      </c>
      <c r="CM6" s="8">
        <v>-0.66102838516235352</v>
      </c>
      <c r="CN6" s="8">
        <v>0.15301014482975006</v>
      </c>
      <c r="CO6" s="8">
        <v>0.15506012737751007</v>
      </c>
      <c r="CP6" s="8">
        <v>3.328339010477066E-2</v>
      </c>
      <c r="CQ6" s="8">
        <v>0.26316776871681213</v>
      </c>
      <c r="CR6">
        <v>39.12809058906695</v>
      </c>
      <c r="CS6">
        <v>12.278288759373742</v>
      </c>
      <c r="CT6">
        <v>0.66573230553608964</v>
      </c>
      <c r="CU6" s="7">
        <v>3.1867706775665285E-2</v>
      </c>
      <c r="CV6" s="8">
        <v>-1.1301390826702118E-2</v>
      </c>
      <c r="CW6">
        <v>0.06</v>
      </c>
      <c r="CX6">
        <v>47.450206741498953</v>
      </c>
      <c r="CY6">
        <v>33657480.328810662</v>
      </c>
      <c r="CZ6">
        <v>3.1867706775665285E-2</v>
      </c>
      <c r="DA6">
        <v>16.29385605258458</v>
      </c>
      <c r="DB6">
        <v>98015742.550190896</v>
      </c>
      <c r="DC6">
        <v>3.027432143688202E-2</v>
      </c>
      <c r="DD6">
        <v>8.5574011831868582</v>
      </c>
      <c r="DE6">
        <v>186628436.11186659</v>
      </c>
      <c r="DF6">
        <v>2.804358196258545E-2</v>
      </c>
      <c r="DG6">
        <v>5.5162722580234629</v>
      </c>
      <c r="DH6">
        <v>289516964.59091038</v>
      </c>
      <c r="DI6">
        <v>2.549416542053223E-2</v>
      </c>
      <c r="DJ6">
        <v>3.3052791228947362</v>
      </c>
      <c r="DK6">
        <v>483182914.54953218</v>
      </c>
      <c r="DL6">
        <v>2.2307394742965697E-2</v>
      </c>
      <c r="DM6">
        <v>34575100</v>
      </c>
      <c r="DN6">
        <v>3.1867706775665285E-2</v>
      </c>
      <c r="DO6">
        <v>1597054400</v>
      </c>
      <c r="DP6">
        <v>755261580</v>
      </c>
      <c r="DQ6">
        <v>440</v>
      </c>
      <c r="DR6">
        <v>-0.48780190184029515</v>
      </c>
      <c r="DS6">
        <v>-0.37016644557707185</v>
      </c>
      <c r="DT6" s="9">
        <v>-0.39000000000000007</v>
      </c>
      <c r="DU6">
        <v>-0.17000000000000004</v>
      </c>
      <c r="DV6">
        <v>-0.56000000000000005</v>
      </c>
      <c r="DW6">
        <v>-3.1163750000000001</v>
      </c>
      <c r="DX6">
        <v>0.28406158906074797</v>
      </c>
      <c r="DY6">
        <v>-3.0144376674269444</v>
      </c>
      <c r="DZ6">
        <v>508</v>
      </c>
      <c r="EA6">
        <v>-3.0130023768099408</v>
      </c>
      <c r="EB6">
        <v>3</v>
      </c>
      <c r="EC6">
        <v>5.7151436104111164E-2</v>
      </c>
      <c r="ED6">
        <v>0.46066986999599674</v>
      </c>
      <c r="EE6" s="10">
        <v>-4.0354000000000001</v>
      </c>
      <c r="EF6">
        <v>-4.0129999999999999</v>
      </c>
      <c r="EG6">
        <v>16.124061589060748</v>
      </c>
      <c r="EH6" t="s">
        <v>1238</v>
      </c>
      <c r="EI6">
        <v>0</v>
      </c>
      <c r="EJ6">
        <v>1</v>
      </c>
      <c r="EK6" s="11">
        <v>45470</v>
      </c>
      <c r="EL6">
        <v>-0.52</v>
      </c>
      <c r="EM6">
        <v>-4.0599999999999996</v>
      </c>
      <c r="EN6">
        <v>-1.2</v>
      </c>
      <c r="EO6">
        <v>2.04</v>
      </c>
      <c r="EP6">
        <v>-2.2400000000000002</v>
      </c>
    </row>
    <row r="7" spans="1:146" ht="108" x14ac:dyDescent="0.25">
      <c r="A7" s="5"/>
      <c r="B7" s="5"/>
      <c r="C7" s="5" t="str">
        <f>""&amp;CHAR(10)&amp;Basic_Fundamental_Information_Constructure(F7)&amp;CHAR(10)&amp;Basic_Fundamental_Information_Concatenate("")</f>
        <v xml:space="preserve">
市值22.150154亿, 利润2866.41万; PE25.2; 平均PE32.47; 平均PEG2.4, PB2.21; ROIC9.3167%; ROE10.2967%; 股利率2.6408%; 毛利31.4833%; 净利17.2633%; 上一年度营收增-73.28%, 利润增-68.65%; 当季营收增-47.62%, 利润增-46.28%; 过往5年营收增-13.55%, 利润增-6.14%
Income profile:
</v>
      </c>
      <c r="D7" t="s">
        <v>514</v>
      </c>
      <c r="E7" t="s">
        <v>515</v>
      </c>
      <c r="F7">
        <v>11.36</v>
      </c>
      <c r="G7">
        <v>0.18</v>
      </c>
      <c r="H7" t="s">
        <v>1239</v>
      </c>
      <c r="I7">
        <v>2215015400</v>
      </c>
      <c r="J7">
        <v>25.2</v>
      </c>
      <c r="K7">
        <v>2.21</v>
      </c>
      <c r="L7" t="s">
        <v>52</v>
      </c>
      <c r="M7" t="s">
        <v>1240</v>
      </c>
      <c r="N7" t="s">
        <v>1241</v>
      </c>
      <c r="O7" t="s">
        <v>77</v>
      </c>
      <c r="P7">
        <v>0.73</v>
      </c>
      <c r="Q7" t="s">
        <v>77</v>
      </c>
      <c r="R7">
        <v>28664145</v>
      </c>
      <c r="S7" s="4">
        <v>6.6000000000000003E-2</v>
      </c>
      <c r="T7" t="s">
        <v>1242</v>
      </c>
      <c r="U7">
        <v>98639419</v>
      </c>
      <c r="V7">
        <v>194983750</v>
      </c>
      <c r="W7">
        <v>1.06</v>
      </c>
      <c r="X7">
        <v>0.12</v>
      </c>
      <c r="Y7">
        <v>21.73</v>
      </c>
      <c r="Z7" t="s">
        <v>1243</v>
      </c>
      <c r="AA7" t="s">
        <v>1244</v>
      </c>
      <c r="AB7" t="s">
        <v>1245</v>
      </c>
      <c r="AC7" t="s">
        <v>1246</v>
      </c>
      <c r="AD7" t="s">
        <v>30</v>
      </c>
      <c r="AE7">
        <v>-960693</v>
      </c>
      <c r="AF7" t="s">
        <v>1247</v>
      </c>
      <c r="AG7">
        <v>4716.8100000000004</v>
      </c>
      <c r="AH7" t="s">
        <v>1248</v>
      </c>
      <c r="AI7" t="s">
        <v>1040</v>
      </c>
      <c r="AJ7" t="s">
        <v>1249</v>
      </c>
      <c r="AK7" t="s">
        <v>1250</v>
      </c>
      <c r="AL7" t="s">
        <v>1251</v>
      </c>
      <c r="AM7" t="s">
        <v>30</v>
      </c>
      <c r="AN7" t="s">
        <v>1252</v>
      </c>
      <c r="AO7" t="s">
        <v>30</v>
      </c>
      <c r="AP7" t="s">
        <v>30</v>
      </c>
      <c r="AQ7" t="s">
        <v>1253</v>
      </c>
      <c r="AR7" t="s">
        <v>30</v>
      </c>
      <c r="AS7" t="s">
        <v>1254</v>
      </c>
      <c r="AT7" t="s">
        <v>30</v>
      </c>
      <c r="AU7" t="s">
        <v>1255</v>
      </c>
      <c r="AV7" t="s">
        <v>1256</v>
      </c>
      <c r="AW7" t="s">
        <v>1257</v>
      </c>
      <c r="AX7" t="s">
        <v>721</v>
      </c>
      <c r="AY7" t="s">
        <v>540</v>
      </c>
      <c r="AZ7" t="s">
        <v>475</v>
      </c>
      <c r="BA7" t="s">
        <v>170</v>
      </c>
      <c r="BB7" t="s">
        <v>491</v>
      </c>
      <c r="BC7" t="s">
        <v>762</v>
      </c>
      <c r="BD7" t="s">
        <v>561</v>
      </c>
      <c r="BE7" t="s">
        <v>516</v>
      </c>
      <c r="BF7" t="s">
        <v>517</v>
      </c>
      <c r="BG7" t="s">
        <v>518</v>
      </c>
      <c r="BH7" t="s">
        <v>1082</v>
      </c>
      <c r="BI7" t="s">
        <v>966</v>
      </c>
      <c r="BJ7" t="s">
        <v>721</v>
      </c>
      <c r="BK7" t="s">
        <v>1258</v>
      </c>
      <c r="BL7" t="s">
        <v>1259</v>
      </c>
      <c r="BM7" t="s">
        <v>762</v>
      </c>
      <c r="BN7">
        <v>7.77</v>
      </c>
      <c r="BO7">
        <v>10.050000000000001</v>
      </c>
      <c r="BP7">
        <v>10.130000000000001</v>
      </c>
      <c r="BQ7">
        <v>7.92</v>
      </c>
      <c r="BR7">
        <v>10.3</v>
      </c>
      <c r="BS7">
        <v>12.67</v>
      </c>
      <c r="BT7" t="s">
        <v>739</v>
      </c>
      <c r="BU7" t="s">
        <v>524</v>
      </c>
      <c r="BV7">
        <v>30.55</v>
      </c>
      <c r="BW7">
        <v>31.98</v>
      </c>
      <c r="BX7">
        <v>31.92</v>
      </c>
      <c r="BY7">
        <v>17.600000000000001</v>
      </c>
      <c r="BZ7">
        <v>18.52</v>
      </c>
      <c r="CA7">
        <v>15.67</v>
      </c>
      <c r="CB7">
        <v>-3.48</v>
      </c>
      <c r="CC7">
        <v>-10.01</v>
      </c>
      <c r="CD7" t="s">
        <v>1260</v>
      </c>
      <c r="CE7" t="s">
        <v>1261</v>
      </c>
      <c r="CF7" s="7">
        <v>-0.47619047619047616</v>
      </c>
      <c r="CG7" s="8">
        <v>-0.46278365644116587</v>
      </c>
      <c r="CH7" s="7">
        <v>-0.73279350996017456</v>
      </c>
      <c r="CI7" s="7">
        <v>0.13824884593486786</v>
      </c>
      <c r="CJ7" s="7">
        <v>-9.5833331346511841E-2</v>
      </c>
      <c r="CK7" s="7">
        <v>-6.2111802399158478E-3</v>
      </c>
      <c r="CL7" s="7">
        <v>1.8987340852618217E-2</v>
      </c>
      <c r="CM7" s="8">
        <v>-0.68648958206176758</v>
      </c>
      <c r="CN7" s="8">
        <v>0.34384402632713318</v>
      </c>
      <c r="CO7" s="8">
        <v>-0.13982391357421875</v>
      </c>
      <c r="CP7" s="8">
        <v>5.2706334739923477E-2</v>
      </c>
      <c r="CQ7" s="8">
        <v>0.12279530614614487</v>
      </c>
      <c r="CR7">
        <v>32.472073722089853</v>
      </c>
      <c r="CS7">
        <v>2.3961028480415423</v>
      </c>
      <c r="CT7">
        <v>2.6408450704225355</v>
      </c>
      <c r="CU7" s="7">
        <v>-0.13552036695182323</v>
      </c>
      <c r="CV7" s="8">
        <v>-6.1393565684556964E-2</v>
      </c>
      <c r="CW7">
        <v>0.06</v>
      </c>
      <c r="CX7">
        <v>45.73043284107996</v>
      </c>
      <c r="CY7" t="s">
        <v>1262</v>
      </c>
      <c r="CZ7">
        <v>-0.13552036695182323</v>
      </c>
      <c r="DA7">
        <v>15.243477613693319</v>
      </c>
      <c r="DB7" t="s">
        <v>1263</v>
      </c>
      <c r="DC7">
        <v>-0.12874434860423206</v>
      </c>
      <c r="DD7">
        <v>7.6217388068466594</v>
      </c>
      <c r="DE7" t="s">
        <v>1264</v>
      </c>
      <c r="DF7">
        <v>-0.11925792291760445</v>
      </c>
      <c r="DG7">
        <v>4.573043284107996</v>
      </c>
      <c r="DH7" t="s">
        <v>1265</v>
      </c>
      <c r="DI7">
        <v>-0.1084162935614586</v>
      </c>
      <c r="DJ7">
        <v>2.286521642053998</v>
      </c>
      <c r="DK7" t="s">
        <v>1266</v>
      </c>
      <c r="DL7">
        <v>-9.4864256866276253E-2</v>
      </c>
      <c r="DM7">
        <v>28664100</v>
      </c>
      <c r="DN7">
        <v>-0.13552036695182323</v>
      </c>
      <c r="DO7">
        <v>1310821700</v>
      </c>
      <c r="DP7">
        <v>930307040</v>
      </c>
      <c r="DQ7">
        <v>444</v>
      </c>
      <c r="DR7">
        <v>-0.34067010923865293</v>
      </c>
      <c r="DS7">
        <v>-0.40139009075660892</v>
      </c>
      <c r="DT7" s="9">
        <v>-0.77333333333333332</v>
      </c>
      <c r="DU7">
        <v>-0.40333333333333332</v>
      </c>
      <c r="DV7">
        <v>-1.1766666666666667</v>
      </c>
      <c r="DW7">
        <v>-8.3476523476523479</v>
      </c>
      <c r="DX7">
        <v>0.374839703018223</v>
      </c>
      <c r="DY7">
        <v>-8.0712130036466956</v>
      </c>
      <c r="DZ7">
        <v>2410</v>
      </c>
      <c r="EA7">
        <v>-8.037627223061854</v>
      </c>
      <c r="EB7">
        <v>8</v>
      </c>
      <c r="EC7">
        <v>4.6226929167174184E-2</v>
      </c>
      <c r="ED7">
        <v>0.22567367793469972</v>
      </c>
      <c r="EE7" s="10">
        <v>-1.0638099999999999</v>
      </c>
      <c r="EF7">
        <v>-1.0864099999999999</v>
      </c>
      <c r="EG7">
        <v>17.204839703018223</v>
      </c>
      <c r="EH7" t="s">
        <v>803</v>
      </c>
      <c r="EI7">
        <v>0</v>
      </c>
      <c r="EJ7">
        <v>0</v>
      </c>
      <c r="EK7" s="11">
        <v>45470</v>
      </c>
      <c r="EL7">
        <v>1.6</v>
      </c>
      <c r="EM7">
        <v>-1.64</v>
      </c>
      <c r="EN7">
        <v>1.22</v>
      </c>
      <c r="EO7">
        <v>0.51</v>
      </c>
      <c r="EP7">
        <v>-2.2599999999999998</v>
      </c>
    </row>
    <row r="8" spans="1:146" ht="157.9" customHeight="1" x14ac:dyDescent="0.25">
      <c r="A8" s="5"/>
      <c r="B8" s="5" t="s">
        <v>546</v>
      </c>
      <c r="C8" s="5" t="str">
        <f>"公司主营业务为速冻面米制品、速冻调制食品、冷藏产品、常温产品等的研发、生产和销售。公司的主要产品为汤圆、水饺、粽子、面点及其他。"&amp;CHAR(10)&amp;Basic_Fundamental_Information_Constructure(C8)&amp;CHAR(10)&amp;Basic_Fundamental_Information_Concatenate("速冻面米制品 32.17亿 88.40% 利润占比94.74% 28.75%
速冻调制食品 2.43亿 6.67% 利润占比3.62% 14.56%
其他新产品 1.06亿 2.91% 利润占比0.34% 3.10%
冷藏及短保类 5667.81万 1.56% 利润占比0.21% 3.54%")</f>
        <v>公司主营业务为速冻面米制品、速冻调制食品、冷藏产品、常温产品等的研发、生产和销售。公司的主要产品为汤圆、水饺、粽子、面点及其他。
市值131.350097亿, 利润8.01亿; PE16.28; 平均PE30.26; 平均PEG4.15, PB3.27; ROIC23.08%; ROE24.3767%; 股利率2.3427%; 毛利28.44%; 净利10.6933%; 上一年度营收增7.07%, 利润增24.96%; 当季营收增.27%, 利润增-7.18%; 过往5年营收增7.3%, 利润增82.97%
Income profile:
速冻面米制品 32.17亿 88.40% 利润占比94.74% 28.75%
速冻调制食品 2.43亿 6.67% 利润占比3.62% 14.56%
其他新产品 1.06亿 2.91% 利润占比0.34% 3.10%
冷藏及短保类 5667.81万 1.56% 利润占比0.21% 3.54%</v>
      </c>
      <c r="D8" t="s">
        <v>58</v>
      </c>
      <c r="E8" t="s">
        <v>10</v>
      </c>
      <c r="F8">
        <v>10.91</v>
      </c>
      <c r="G8">
        <v>0.37</v>
      </c>
      <c r="H8" t="s">
        <v>1267</v>
      </c>
      <c r="I8">
        <v>9591898000</v>
      </c>
      <c r="J8">
        <v>13.71</v>
      </c>
      <c r="K8">
        <v>2.1</v>
      </c>
      <c r="L8" t="s">
        <v>52</v>
      </c>
      <c r="M8" t="s">
        <v>1268</v>
      </c>
      <c r="N8" t="s">
        <v>1269</v>
      </c>
      <c r="O8" t="s">
        <v>1270</v>
      </c>
      <c r="P8">
        <v>-5.01</v>
      </c>
      <c r="Q8" t="s">
        <v>1270</v>
      </c>
      <c r="R8">
        <v>229695070</v>
      </c>
      <c r="S8" s="4">
        <v>-0.17760000000000001</v>
      </c>
      <c r="T8" t="s">
        <v>1017</v>
      </c>
      <c r="U8">
        <v>630256230</v>
      </c>
      <c r="V8">
        <v>879184050</v>
      </c>
      <c r="W8">
        <v>1.55</v>
      </c>
      <c r="X8">
        <v>0.31</v>
      </c>
      <c r="Y8">
        <v>10.19</v>
      </c>
      <c r="Z8" t="s">
        <v>1271</v>
      </c>
      <c r="AA8" t="s">
        <v>1272</v>
      </c>
      <c r="AB8" t="s">
        <v>752</v>
      </c>
      <c r="AC8" t="s">
        <v>1273</v>
      </c>
      <c r="AD8" t="s">
        <v>30</v>
      </c>
      <c r="AE8">
        <v>-2610552</v>
      </c>
      <c r="AF8" t="s">
        <v>1274</v>
      </c>
      <c r="AG8" t="s">
        <v>1275</v>
      </c>
      <c r="AH8" t="s">
        <v>1276</v>
      </c>
      <c r="AI8" t="s">
        <v>1277</v>
      </c>
      <c r="AJ8" t="s">
        <v>1278</v>
      </c>
      <c r="AK8" t="s">
        <v>30</v>
      </c>
      <c r="AL8" t="s">
        <v>1279</v>
      </c>
      <c r="AM8" t="s">
        <v>30</v>
      </c>
      <c r="AN8" t="s">
        <v>1017</v>
      </c>
      <c r="AO8" t="s">
        <v>92</v>
      </c>
      <c r="AP8" t="s">
        <v>1280</v>
      </c>
      <c r="AQ8" t="s">
        <v>1281</v>
      </c>
      <c r="AR8" t="s">
        <v>30</v>
      </c>
      <c r="AS8" t="s">
        <v>221</v>
      </c>
      <c r="AT8" t="s">
        <v>30</v>
      </c>
      <c r="AU8" t="s">
        <v>744</v>
      </c>
      <c r="AV8" t="s">
        <v>1282</v>
      </c>
      <c r="AW8" t="s">
        <v>1283</v>
      </c>
      <c r="AX8" t="s">
        <v>764</v>
      </c>
      <c r="AY8" t="s">
        <v>566</v>
      </c>
      <c r="AZ8" t="s">
        <v>202</v>
      </c>
      <c r="BA8" t="s">
        <v>204</v>
      </c>
      <c r="BB8" t="s">
        <v>205</v>
      </c>
      <c r="BC8" t="s">
        <v>1284</v>
      </c>
      <c r="BD8" t="s">
        <v>404</v>
      </c>
      <c r="BE8" t="s">
        <v>203</v>
      </c>
      <c r="BF8" t="s">
        <v>59</v>
      </c>
      <c r="BG8" t="s">
        <v>171</v>
      </c>
      <c r="BH8" t="s">
        <v>1285</v>
      </c>
      <c r="BI8" t="s">
        <v>981</v>
      </c>
      <c r="BJ8" t="s">
        <v>764</v>
      </c>
      <c r="BK8" t="s">
        <v>1286</v>
      </c>
      <c r="BL8" t="s">
        <v>1021</v>
      </c>
      <c r="BM8" t="s">
        <v>1284</v>
      </c>
      <c r="BN8">
        <v>12.9</v>
      </c>
      <c r="BO8">
        <v>21.55</v>
      </c>
      <c r="BP8">
        <v>20.07</v>
      </c>
      <c r="BQ8">
        <v>13.73</v>
      </c>
      <c r="BR8">
        <v>22.62</v>
      </c>
      <c r="BS8">
        <v>21.12</v>
      </c>
      <c r="BT8" t="s">
        <v>745</v>
      </c>
      <c r="BU8" t="s">
        <v>1235</v>
      </c>
      <c r="BV8">
        <v>25.84</v>
      </c>
      <c r="BW8">
        <v>28.07</v>
      </c>
      <c r="BX8">
        <v>27.17</v>
      </c>
      <c r="BY8">
        <v>10.62</v>
      </c>
      <c r="BZ8">
        <v>10.78</v>
      </c>
      <c r="CA8">
        <v>9.2200000000000006</v>
      </c>
      <c r="CB8">
        <v>-0.64</v>
      </c>
      <c r="CC8">
        <v>-10.06</v>
      </c>
      <c r="CD8" t="s">
        <v>1287</v>
      </c>
      <c r="CE8" t="s">
        <v>1288</v>
      </c>
      <c r="CF8" s="7">
        <v>-0.41530479896238642</v>
      </c>
      <c r="CG8" s="8">
        <v>-0.47438199084668192</v>
      </c>
      <c r="CH8" s="7">
        <v>-0.69679844379425049</v>
      </c>
      <c r="CI8" s="7">
        <v>7.0718683302402496E-2</v>
      </c>
      <c r="CJ8" s="7">
        <v>2.4545099586248398E-3</v>
      </c>
      <c r="CK8" s="7">
        <v>0.15703313052654266</v>
      </c>
      <c r="CL8" s="7">
        <v>8.0700501799583435E-2</v>
      </c>
      <c r="CM8" s="8">
        <v>-0.71321696043014526</v>
      </c>
      <c r="CN8" s="8">
        <v>0.25117003917694092</v>
      </c>
      <c r="CO8" s="8">
        <v>-0.1653645783662796</v>
      </c>
      <c r="CP8" s="8">
        <v>2.4909090995788574</v>
      </c>
      <c r="CQ8" s="8">
        <v>1.156862735748291</v>
      </c>
      <c r="CR8">
        <v>20.829311617806731</v>
      </c>
      <c r="CS8">
        <v>2.6988551493528723</v>
      </c>
      <c r="CT8">
        <v>4.5829514207149407</v>
      </c>
      <c r="CU8" s="7">
        <v>-7.7178323641419411E-2</v>
      </c>
      <c r="CV8" s="8">
        <v>0.60407206714153294</v>
      </c>
      <c r="CW8">
        <v>0.06</v>
      </c>
      <c r="CX8">
        <v>35.656078260869563</v>
      </c>
      <c r="CY8" t="s">
        <v>1289</v>
      </c>
      <c r="CZ8">
        <v>-7.7178323641419411E-2</v>
      </c>
      <c r="DA8">
        <v>11.885359420289856</v>
      </c>
      <c r="DB8" t="s">
        <v>1290</v>
      </c>
      <c r="DC8">
        <v>-7.3319407459348437E-2</v>
      </c>
      <c r="DD8">
        <v>5.9426797101449278</v>
      </c>
      <c r="DE8" t="s">
        <v>1291</v>
      </c>
      <c r="DF8">
        <v>-6.791692480444908E-2</v>
      </c>
      <c r="DG8">
        <v>3.5656078260869566</v>
      </c>
      <c r="DH8" t="s">
        <v>1292</v>
      </c>
      <c r="DI8">
        <v>-6.1742658913135531E-2</v>
      </c>
      <c r="DJ8">
        <v>1.7828039130434783</v>
      </c>
      <c r="DK8" t="s">
        <v>1293</v>
      </c>
      <c r="DL8">
        <v>-5.4024826548993585E-2</v>
      </c>
      <c r="DM8">
        <v>229999999.99999997</v>
      </c>
      <c r="DN8">
        <v>-7.7178323641419411E-2</v>
      </c>
      <c r="DO8">
        <v>8200898000</v>
      </c>
      <c r="DP8">
        <v>692664300</v>
      </c>
      <c r="DQ8">
        <v>726</v>
      </c>
      <c r="DR8">
        <v>-0.33812647532096701</v>
      </c>
      <c r="DS8">
        <v>-1.0784540579882149</v>
      </c>
      <c r="DT8" s="9">
        <v>-0.65666666666666662</v>
      </c>
      <c r="DU8">
        <v>8.1666666666666596E-2</v>
      </c>
      <c r="DV8">
        <v>-0.57500000000000007</v>
      </c>
      <c r="DW8">
        <v>-2.1006</v>
      </c>
      <c r="DX8">
        <v>0.31876347739272731</v>
      </c>
      <c r="DY8">
        <v>-2.0129536058257087</v>
      </c>
      <c r="DZ8">
        <v>1432</v>
      </c>
      <c r="EA8">
        <v>-2.0093235542518508</v>
      </c>
      <c r="EB8">
        <v>2</v>
      </c>
      <c r="EC8">
        <v>1.4242637818554602E-2</v>
      </c>
      <c r="ED8">
        <v>0.11061085559957554</v>
      </c>
      <c r="EE8" s="10">
        <v>-1.0727100000000001</v>
      </c>
      <c r="EF8">
        <v>-1.0886100000000001</v>
      </c>
      <c r="EG8">
        <v>19.128763477392727</v>
      </c>
      <c r="EH8" t="s">
        <v>803</v>
      </c>
      <c r="EI8">
        <v>0</v>
      </c>
      <c r="EJ8">
        <v>1</v>
      </c>
      <c r="EK8" s="11">
        <v>45470</v>
      </c>
      <c r="EL8">
        <v>-0.26</v>
      </c>
      <c r="EM8">
        <v>-2.78</v>
      </c>
      <c r="EN8">
        <v>-0.18</v>
      </c>
      <c r="EO8">
        <v>1.25</v>
      </c>
      <c r="EP8">
        <v>-1.59</v>
      </c>
    </row>
    <row r="9" spans="1:146" ht="204" x14ac:dyDescent="0.25">
      <c r="A9" s="5" t="s">
        <v>753</v>
      </c>
      <c r="B9" s="5" t="s">
        <v>727</v>
      </c>
      <c r="C9" s="5" t="str">
        <f>"公司主营业务为生产和销售以“得利斯”为商标的冷却肉及冷冻肉等猪肉生肉制品、火腿等各类低温深加工熟肉制品。主要产品为冷却肉及冷冻肉、低温肉制品、中式酱卤类产品、速冻调理类产品、牛肉类产品。"&amp;CHAR(10)&amp;Basic_Fundamental_Information_Constructure(F9)&amp;CHAR(10)&amp;Basic_Fundamental_Information_Concatenate("冷却肉及冷冻肉 7.41亿 52.81% 15.62% 3.16%
预制菜类 3.05亿 21.75% 29.07% 14.28%
低温肉制品 1.67亿 11.90% 41.24% 37.01%
牛肉贸易类 1.03亿 7.31% 4.74% 6.93%
电力蒸汽类 5237.56万 3.73% 3.04% 8.71%")</f>
        <v>公司主营业务为生产和销售以“得利斯”为商标的冷却肉及冷冻肉等猪肉生肉制品、火腿等各类低温深加工熟肉制品。主要产品为冷却肉及冷冻肉、低温肉制品、中式酱卤类产品、速冻调理类产品、牛肉类产品。
市值23.445348亿, 利润1347.38万; PE; 平均PE105.02; 平均PEG21.16, PB.989; ROIC1.6967%; ROE1.9067%; 股利率.271%; 毛利6.6667%; 净利.2133%; 上一年度营收增-74.5%, 利润增-57.41%; 当季营收增-49.19%, 利润增-47.48%; 过往5年营收增-4.96%, 利润增45.85%
Income profile:
冷却肉及冷冻肉 7.41亿 52.81% 15.62% 3.16%
预制菜类 3.05亿 21.75% 29.07% 14.28%
低温肉制品 1.67亿 11.90% 41.24% 37.01%
牛肉贸易类 1.03亿 7.31% 4.74% 6.93%
电力蒸汽类 5237.56万 3.73% 3.04% 8.71%</v>
      </c>
      <c r="D9" t="s">
        <v>62</v>
      </c>
      <c r="E9" t="s">
        <v>5</v>
      </c>
      <c r="F9">
        <v>3.69</v>
      </c>
      <c r="G9">
        <v>1.37</v>
      </c>
      <c r="H9" t="s">
        <v>1294</v>
      </c>
      <c r="I9">
        <v>2344534800</v>
      </c>
      <c r="K9">
        <v>0.98899999999999999</v>
      </c>
      <c r="L9" t="s">
        <v>52</v>
      </c>
      <c r="M9" t="s">
        <v>1295</v>
      </c>
      <c r="N9" t="s">
        <v>1296</v>
      </c>
      <c r="O9" t="s">
        <v>1297</v>
      </c>
      <c r="P9">
        <v>-0.51</v>
      </c>
      <c r="Q9" t="s">
        <v>1297</v>
      </c>
      <c r="R9">
        <v>13473805</v>
      </c>
      <c r="S9" s="4">
        <v>-0.39450000000000002</v>
      </c>
      <c r="T9" t="s">
        <v>1298</v>
      </c>
      <c r="U9">
        <v>635178720</v>
      </c>
      <c r="V9">
        <v>635375290</v>
      </c>
      <c r="W9">
        <v>1.4</v>
      </c>
      <c r="X9">
        <v>0.24</v>
      </c>
      <c r="Y9">
        <v>1.52</v>
      </c>
      <c r="Z9" t="s">
        <v>988</v>
      </c>
      <c r="AA9" t="s">
        <v>1028</v>
      </c>
      <c r="AB9" t="s">
        <v>1299</v>
      </c>
      <c r="AC9" t="s">
        <v>1300</v>
      </c>
      <c r="AD9" t="s">
        <v>30</v>
      </c>
      <c r="AE9">
        <v>2245867</v>
      </c>
      <c r="AF9" t="s">
        <v>1301</v>
      </c>
      <c r="AG9" t="s">
        <v>1302</v>
      </c>
      <c r="AH9" t="s">
        <v>1303</v>
      </c>
      <c r="AI9" t="s">
        <v>1304</v>
      </c>
      <c r="AJ9" t="s">
        <v>1305</v>
      </c>
      <c r="AK9" t="s">
        <v>839</v>
      </c>
      <c r="AL9" t="s">
        <v>1306</v>
      </c>
      <c r="AM9" t="s">
        <v>30</v>
      </c>
      <c r="AN9" t="s">
        <v>168</v>
      </c>
      <c r="AO9" t="s">
        <v>832</v>
      </c>
      <c r="AP9" t="s">
        <v>30</v>
      </c>
      <c r="AQ9" t="s">
        <v>306</v>
      </c>
      <c r="AR9" t="s">
        <v>30</v>
      </c>
      <c r="AS9" t="s">
        <v>993</v>
      </c>
      <c r="AT9" t="s">
        <v>770</v>
      </c>
      <c r="AU9" t="s">
        <v>1307</v>
      </c>
      <c r="AV9" t="s">
        <v>1308</v>
      </c>
      <c r="AW9" t="s">
        <v>1309</v>
      </c>
      <c r="AX9" t="s">
        <v>767</v>
      </c>
      <c r="AY9" t="s">
        <v>567</v>
      </c>
      <c r="AZ9" t="s">
        <v>206</v>
      </c>
      <c r="BA9" t="s">
        <v>211</v>
      </c>
      <c r="BB9" t="s">
        <v>169</v>
      </c>
      <c r="BC9" t="s">
        <v>768</v>
      </c>
      <c r="BD9" t="s">
        <v>568</v>
      </c>
      <c r="BE9" t="s">
        <v>209</v>
      </c>
      <c r="BF9" t="s">
        <v>212</v>
      </c>
      <c r="BG9" t="s">
        <v>213</v>
      </c>
      <c r="BH9" t="s">
        <v>702</v>
      </c>
      <c r="BI9" t="s">
        <v>985</v>
      </c>
      <c r="BJ9" t="s">
        <v>767</v>
      </c>
      <c r="BK9" t="s">
        <v>1310</v>
      </c>
      <c r="BL9" t="s">
        <v>1311</v>
      </c>
      <c r="BM9" t="s">
        <v>768</v>
      </c>
      <c r="BN9">
        <v>0.82</v>
      </c>
      <c r="BO9">
        <v>1.04</v>
      </c>
      <c r="BP9">
        <v>3.23</v>
      </c>
      <c r="BQ9">
        <v>1.17</v>
      </c>
      <c r="BR9">
        <v>1.37</v>
      </c>
      <c r="BS9">
        <v>3.18</v>
      </c>
      <c r="BT9" t="s">
        <v>1312</v>
      </c>
      <c r="BU9" t="s">
        <v>674</v>
      </c>
      <c r="BV9">
        <v>5.3</v>
      </c>
      <c r="BW9">
        <v>6.92</v>
      </c>
      <c r="BX9">
        <v>7.78</v>
      </c>
      <c r="BY9">
        <v>-1.56</v>
      </c>
      <c r="BZ9">
        <v>0.79</v>
      </c>
      <c r="CA9">
        <v>1.41</v>
      </c>
      <c r="CB9">
        <v>1.1000000000000001</v>
      </c>
      <c r="CC9">
        <v>-18.36</v>
      </c>
      <c r="CD9" t="s">
        <v>1313</v>
      </c>
      <c r="CE9" t="s">
        <v>435</v>
      </c>
      <c r="CF9" s="7">
        <v>-0.49189889825016203</v>
      </c>
      <c r="CG9" s="8">
        <v>-0.4748467273910722</v>
      </c>
      <c r="CH9" s="7">
        <v>-0.7450406551361084</v>
      </c>
      <c r="CI9" s="7">
        <v>-1.7571823671460152E-2</v>
      </c>
      <c r="CJ9" s="7">
        <v>-4.6022575348615646E-2</v>
      </c>
      <c r="CK9" s="7">
        <v>0.39855077862739563</v>
      </c>
      <c r="CL9" s="7">
        <v>0.16196127235889435</v>
      </c>
      <c r="CM9" s="8">
        <v>-0.57414352893829346</v>
      </c>
      <c r="CN9" s="8">
        <v>-0.27670854330062866</v>
      </c>
      <c r="CO9" s="8">
        <v>0.5030064582824707</v>
      </c>
      <c r="CP9" s="8">
        <v>2.6408672332763672</v>
      </c>
      <c r="CQ9" s="8">
        <v>-7.250453345477581E-4</v>
      </c>
      <c r="CR9">
        <v>105.01537694339392</v>
      </c>
      <c r="CS9">
        <v>21.161959109347073</v>
      </c>
      <c r="CT9">
        <v>0.2710027100271003</v>
      </c>
      <c r="CU9" s="7">
        <v>-4.9624600633978846E-2</v>
      </c>
      <c r="CV9" s="8">
        <v>0.45845931479707358</v>
      </c>
      <c r="CW9">
        <v>0.06</v>
      </c>
      <c r="CX9">
        <v>73.292968576051294</v>
      </c>
      <c r="CY9" t="s">
        <v>1314</v>
      </c>
      <c r="CZ9">
        <v>-4.9624600633978846E-2</v>
      </c>
      <c r="DA9">
        <v>24.430989525350434</v>
      </c>
      <c r="DB9" t="s">
        <v>1315</v>
      </c>
      <c r="DC9">
        <v>-4.7143370602279903E-2</v>
      </c>
      <c r="DD9">
        <v>12.215494762675217</v>
      </c>
      <c r="DE9" t="s">
        <v>1316</v>
      </c>
      <c r="DF9">
        <v>-4.3669648557901383E-2</v>
      </c>
      <c r="DG9">
        <v>7.3292968576051303</v>
      </c>
      <c r="DH9" t="s">
        <v>1317</v>
      </c>
      <c r="DI9">
        <v>-3.9699680507183081E-2</v>
      </c>
      <c r="DJ9">
        <v>3.6646484288025651</v>
      </c>
      <c r="DK9" t="s">
        <v>1318</v>
      </c>
      <c r="DL9">
        <v>-3.4737220443785188E-2</v>
      </c>
      <c r="DM9">
        <v>13473800.000000002</v>
      </c>
      <c r="DN9">
        <v>-4.9624600633978846E-2</v>
      </c>
      <c r="DO9">
        <v>987534800</v>
      </c>
      <c r="DP9">
        <v>929982900</v>
      </c>
      <c r="DQ9">
        <v>837</v>
      </c>
      <c r="DR9">
        <v>-0.4422742976161832</v>
      </c>
      <c r="DS9">
        <v>-0.93330604218814583</v>
      </c>
      <c r="DT9" s="9">
        <v>-0.55666666666666675</v>
      </c>
      <c r="DU9">
        <v>2.833333333333336E-2</v>
      </c>
      <c r="DV9">
        <v>-0.52833333333333343</v>
      </c>
      <c r="DW9">
        <v>-3.0266904761904763</v>
      </c>
      <c r="DX9">
        <v>0.30527751004016235</v>
      </c>
      <c r="DY9">
        <v>-3.0025430021132147</v>
      </c>
      <c r="DZ9">
        <v>3390</v>
      </c>
      <c r="EA9">
        <v>-3.0008559615723542</v>
      </c>
      <c r="EB9">
        <v>3</v>
      </c>
      <c r="EC9">
        <v>3.7338719924093995E-2</v>
      </c>
      <c r="ED9">
        <v>0.3918943715925749</v>
      </c>
      <c r="EE9" s="10">
        <v>4.1009999999999998E-2</v>
      </c>
      <c r="EF9">
        <v>5.7010000000000005E-2</v>
      </c>
      <c r="EG9">
        <v>21.095277510040162</v>
      </c>
      <c r="EH9">
        <v>-1</v>
      </c>
      <c r="EI9">
        <v>0</v>
      </c>
      <c r="EJ9">
        <v>0</v>
      </c>
      <c r="EK9" s="11">
        <v>45470</v>
      </c>
      <c r="EL9">
        <v>0</v>
      </c>
      <c r="EM9">
        <v>-3.76</v>
      </c>
      <c r="EN9">
        <v>1.68</v>
      </c>
      <c r="EO9">
        <v>3.02</v>
      </c>
      <c r="EP9">
        <v>-1.6</v>
      </c>
    </row>
    <row r="10" spans="1:146" ht="96" x14ac:dyDescent="0.25">
      <c r="A10" s="5"/>
      <c r="B10" s="5"/>
      <c r="C10" s="5" t="str">
        <f>""&amp;CHAR(10)&amp;Basic_Fundamental_Information_Constructure(F10)&amp;CHAR(10)&amp;Basic_Fundamental_Information_Concatenate("")</f>
        <v xml:space="preserve">
市值13.753696亿, 利润196.57万; PE; 平均PE176.21; 平均PEG8.06, PB1.23; ROIC2.02%; ROE-1.6133%; 股利率0%; 毛利26.07%; 净利-11.3467%; 上一年度营收增-73.68%, 利润增103.59%; 当季营收增-62.5%, 利润增-55.3%; 过往5年营收增-21.85%, 利润增-22.61%
Income profile:
</v>
      </c>
      <c r="D10" t="s">
        <v>63</v>
      </c>
      <c r="E10" t="s">
        <v>8</v>
      </c>
      <c r="F10">
        <v>1.47</v>
      </c>
      <c r="G10">
        <v>3.52</v>
      </c>
      <c r="H10" t="s">
        <v>1319</v>
      </c>
      <c r="I10">
        <v>1375369600</v>
      </c>
      <c r="K10">
        <v>1.23</v>
      </c>
      <c r="L10" t="s">
        <v>52</v>
      </c>
      <c r="M10" t="s">
        <v>1320</v>
      </c>
      <c r="N10" t="s">
        <v>1321</v>
      </c>
      <c r="O10" t="s">
        <v>1322</v>
      </c>
      <c r="P10">
        <v>-19.809999999999999</v>
      </c>
      <c r="Q10" t="s">
        <v>1322</v>
      </c>
      <c r="R10">
        <v>1965654</v>
      </c>
      <c r="S10" s="4">
        <v>2.2690000000000001</v>
      </c>
      <c r="T10" t="s">
        <v>1323</v>
      </c>
      <c r="U10">
        <v>713934900</v>
      </c>
      <c r="V10">
        <v>935625600</v>
      </c>
      <c r="W10">
        <v>1.03</v>
      </c>
      <c r="X10">
        <v>0.05</v>
      </c>
      <c r="Y10">
        <v>3.19</v>
      </c>
      <c r="Z10" t="s">
        <v>1324</v>
      </c>
      <c r="AA10" t="s">
        <v>1325</v>
      </c>
      <c r="AB10" t="s">
        <v>1326</v>
      </c>
      <c r="AC10" t="s">
        <v>1327</v>
      </c>
      <c r="AD10" t="s">
        <v>30</v>
      </c>
      <c r="AE10">
        <v>-352528</v>
      </c>
      <c r="AF10" t="s">
        <v>64</v>
      </c>
      <c r="AG10">
        <v>0.94</v>
      </c>
      <c r="AH10" t="s">
        <v>1328</v>
      </c>
      <c r="AI10" t="s">
        <v>1329</v>
      </c>
      <c r="AJ10" t="s">
        <v>1330</v>
      </c>
      <c r="AK10" t="s">
        <v>30</v>
      </c>
      <c r="AL10" t="s">
        <v>1331</v>
      </c>
      <c r="AM10" t="s">
        <v>30</v>
      </c>
      <c r="AN10" t="s">
        <v>1332</v>
      </c>
      <c r="AO10" t="s">
        <v>30</v>
      </c>
      <c r="AP10" t="s">
        <v>30</v>
      </c>
      <c r="AQ10" t="s">
        <v>1333</v>
      </c>
      <c r="AR10" t="s">
        <v>1334</v>
      </c>
      <c r="AS10" t="s">
        <v>1335</v>
      </c>
      <c r="AT10" t="s">
        <v>30</v>
      </c>
      <c r="AU10" t="s">
        <v>1336</v>
      </c>
      <c r="AV10" t="s">
        <v>1337</v>
      </c>
      <c r="AW10" t="s">
        <v>1338</v>
      </c>
      <c r="AX10" t="s">
        <v>598</v>
      </c>
      <c r="AY10" t="s">
        <v>183</v>
      </c>
      <c r="AZ10" t="s">
        <v>215</v>
      </c>
      <c r="BA10" t="s">
        <v>217</v>
      </c>
      <c r="BB10" t="s">
        <v>214</v>
      </c>
      <c r="BC10" t="s">
        <v>772</v>
      </c>
      <c r="BD10" t="s">
        <v>569</v>
      </c>
      <c r="BE10" t="s">
        <v>216</v>
      </c>
      <c r="BF10" t="s">
        <v>219</v>
      </c>
      <c r="BG10" t="s">
        <v>220</v>
      </c>
      <c r="BH10" t="s">
        <v>958</v>
      </c>
      <c r="BI10" t="s">
        <v>168</v>
      </c>
      <c r="BJ10" t="s">
        <v>598</v>
      </c>
      <c r="BK10" t="s">
        <v>1339</v>
      </c>
      <c r="BL10" t="s">
        <v>1340</v>
      </c>
      <c r="BM10" t="s">
        <v>772</v>
      </c>
      <c r="BN10" t="s">
        <v>30</v>
      </c>
      <c r="BO10" t="s">
        <v>30</v>
      </c>
      <c r="BP10">
        <v>2.02</v>
      </c>
      <c r="BQ10">
        <v>-2.4500000000000002</v>
      </c>
      <c r="BR10">
        <v>-4.5999999999999996</v>
      </c>
      <c r="BS10">
        <v>2.21</v>
      </c>
      <c r="BT10" t="s">
        <v>737</v>
      </c>
      <c r="BU10" t="s">
        <v>542</v>
      </c>
      <c r="BV10">
        <v>20.260000000000002</v>
      </c>
      <c r="BW10">
        <v>25.06</v>
      </c>
      <c r="BX10">
        <v>32.89</v>
      </c>
      <c r="BY10">
        <v>-17.21</v>
      </c>
      <c r="BZ10">
        <v>-26.38</v>
      </c>
      <c r="CA10">
        <v>9.5500000000000007</v>
      </c>
      <c r="CB10">
        <v>6.52</v>
      </c>
      <c r="CC10">
        <v>-21.81</v>
      </c>
      <c r="CD10" t="s">
        <v>269</v>
      </c>
      <c r="CE10" t="s">
        <v>1028</v>
      </c>
      <c r="CF10" s="7">
        <v>-0.62497191780821915</v>
      </c>
      <c r="CG10" s="8">
        <v>-0.55298615059240896</v>
      </c>
      <c r="CH10" s="7">
        <v>-0.73675912618637085</v>
      </c>
      <c r="CI10" s="7">
        <v>-0.25714287161827087</v>
      </c>
      <c r="CJ10" s="7">
        <v>0.15226337313652039</v>
      </c>
      <c r="CK10" s="7">
        <v>-0.18181818723678589</v>
      </c>
      <c r="CL10" s="7">
        <v>-6.8965516984462738E-2</v>
      </c>
      <c r="CM10" s="8">
        <v>1.0358902215957642</v>
      </c>
      <c r="CN10" s="8">
        <v>-3.0500595569610596</v>
      </c>
      <c r="CO10" s="8">
        <v>1.7404041290283203</v>
      </c>
      <c r="CP10" s="8">
        <v>-0.6515464186668396</v>
      </c>
      <c r="CQ10" s="8">
        <v>-0.20503778755664825</v>
      </c>
      <c r="CR10">
        <v>176.20518864902951</v>
      </c>
      <c r="CS10">
        <v>8.064884064946364</v>
      </c>
      <c r="CT10">
        <v>0</v>
      </c>
      <c r="CU10" s="7">
        <v>-0.218484465777874</v>
      </c>
      <c r="CV10" s="8">
        <v>-0.22606988251209259</v>
      </c>
      <c r="CW10">
        <v>0.06</v>
      </c>
      <c r="CX10">
        <v>153.52703871394414</v>
      </c>
      <c r="CY10" t="s">
        <v>1341</v>
      </c>
      <c r="CZ10">
        <v>-0.218484465777874</v>
      </c>
      <c r="DA10">
        <v>51.175679571314717</v>
      </c>
      <c r="DB10" t="s">
        <v>1342</v>
      </c>
      <c r="DC10">
        <v>-0.20756024248898031</v>
      </c>
      <c r="DD10">
        <v>25.587839785657359</v>
      </c>
      <c r="DE10" t="s">
        <v>1343</v>
      </c>
      <c r="DF10">
        <v>-0.19226632988452913</v>
      </c>
      <c r="DG10">
        <v>15.352703871394414</v>
      </c>
      <c r="DH10" t="s">
        <v>1344</v>
      </c>
      <c r="DI10">
        <v>-0.17478757262229921</v>
      </c>
      <c r="DJ10">
        <v>7.6763519356972072</v>
      </c>
      <c r="DK10" t="s">
        <v>1345</v>
      </c>
      <c r="DL10">
        <v>-0.15293912604451179</v>
      </c>
      <c r="DM10">
        <v>1965700</v>
      </c>
      <c r="DN10">
        <v>-0.218484465777874</v>
      </c>
      <c r="DO10">
        <v>301788100</v>
      </c>
      <c r="DP10">
        <v>346073530</v>
      </c>
      <c r="DQ10">
        <v>993</v>
      </c>
      <c r="DR10">
        <v>-0.40648745203034514</v>
      </c>
      <c r="DS10">
        <v>-0.32691626808031637</v>
      </c>
      <c r="DT10" s="9">
        <v>-0.90666666666666662</v>
      </c>
      <c r="DU10">
        <v>-0.67</v>
      </c>
      <c r="DV10">
        <v>-1.5766666666666667</v>
      </c>
      <c r="DW10">
        <v>7.2301447229085776</v>
      </c>
      <c r="DX10">
        <v>0.45085470085470192</v>
      </c>
      <c r="DY10">
        <v>7.0462256494730902</v>
      </c>
      <c r="DZ10">
        <v>3566</v>
      </c>
      <c r="EA10">
        <v>7.0139672021108517</v>
      </c>
      <c r="EB10">
        <v>7</v>
      </c>
      <c r="EC10">
        <v>0.15070130616349103</v>
      </c>
      <c r="ED10">
        <v>0.75030012004801916</v>
      </c>
      <c r="EE10" s="10">
        <v>-1.0169999999999999</v>
      </c>
      <c r="EF10">
        <v>-1.0112099999999999</v>
      </c>
      <c r="EG10">
        <v>25.200854700854702</v>
      </c>
      <c r="EH10" t="s">
        <v>803</v>
      </c>
      <c r="EI10">
        <v>1</v>
      </c>
      <c r="EJ10">
        <v>0</v>
      </c>
      <c r="EK10" s="11">
        <v>45470</v>
      </c>
      <c r="EL10">
        <v>-0.74</v>
      </c>
      <c r="EM10">
        <v>-4.4400000000000004</v>
      </c>
      <c r="EN10">
        <v>6.2</v>
      </c>
      <c r="EO10">
        <v>3.65</v>
      </c>
      <c r="EP10">
        <v>-2.82</v>
      </c>
    </row>
    <row r="11" spans="1:146" ht="96" x14ac:dyDescent="0.25">
      <c r="A11" s="5"/>
      <c r="B11" s="5"/>
      <c r="C11" s="5" t="str">
        <f>""&amp;CHAR(10)&amp;Basic_Fundamental_Information_Constructure(F11)&amp;CHAR(10)&amp;Basic_Fundamental_Information_Concatenate("")</f>
        <v xml:space="preserve">
市值140.08577亿, 利润2.72亿; PE16.74; 平均PE21.24; 平均PEG2.63, PB1.65; ROIC10.27%; ROE10.9933%; 股利率2.4712%; 毛利52.0767%; 净利32.8233%; 上一年度营收增-70.6%, 利润增-69.74%; 当季营收增-43.98%, 利润增-42.21%; 过往5年营收增-8.09%, 利润增-6.65%
Income profile:
</v>
      </c>
      <c r="D11" t="s">
        <v>65</v>
      </c>
      <c r="E11" t="s">
        <v>23</v>
      </c>
      <c r="F11">
        <v>12.14</v>
      </c>
      <c r="G11">
        <v>0.41</v>
      </c>
      <c r="H11" t="s">
        <v>1346</v>
      </c>
      <c r="I11">
        <v>14008577000</v>
      </c>
      <c r="J11">
        <v>16.739999999999998</v>
      </c>
      <c r="K11">
        <v>1.65</v>
      </c>
      <c r="L11" t="s">
        <v>52</v>
      </c>
      <c r="M11" t="s">
        <v>1027</v>
      </c>
      <c r="N11" t="s">
        <v>1347</v>
      </c>
      <c r="O11" t="s">
        <v>1286</v>
      </c>
      <c r="P11">
        <v>-1.53</v>
      </c>
      <c r="Q11" t="s">
        <v>1286</v>
      </c>
      <c r="R11">
        <v>271629100</v>
      </c>
      <c r="S11" s="4">
        <v>3.9300000000000002E-2</v>
      </c>
      <c r="T11" t="s">
        <v>450</v>
      </c>
      <c r="U11">
        <v>1138320420</v>
      </c>
      <c r="V11">
        <v>1153919030</v>
      </c>
      <c r="W11">
        <v>1.08</v>
      </c>
      <c r="X11">
        <v>0.08</v>
      </c>
      <c r="Y11">
        <v>36.29</v>
      </c>
      <c r="Z11" t="s">
        <v>1054</v>
      </c>
      <c r="AA11" t="s">
        <v>382</v>
      </c>
      <c r="AB11" t="s">
        <v>1348</v>
      </c>
      <c r="AC11" t="s">
        <v>1349</v>
      </c>
      <c r="AD11" t="s">
        <v>30</v>
      </c>
      <c r="AE11">
        <v>-31974875</v>
      </c>
      <c r="AF11" t="s">
        <v>1350</v>
      </c>
      <c r="AG11" t="s">
        <v>1351</v>
      </c>
      <c r="AH11" t="s">
        <v>1352</v>
      </c>
      <c r="AI11" t="s">
        <v>1353</v>
      </c>
      <c r="AJ11" t="s">
        <v>1354</v>
      </c>
      <c r="AK11" t="s">
        <v>30</v>
      </c>
      <c r="AL11" t="s">
        <v>1355</v>
      </c>
      <c r="AM11" t="s">
        <v>30</v>
      </c>
      <c r="AN11" t="s">
        <v>607</v>
      </c>
      <c r="AO11" t="s">
        <v>30</v>
      </c>
      <c r="AP11" t="s">
        <v>30</v>
      </c>
      <c r="AQ11" t="s">
        <v>450</v>
      </c>
      <c r="AR11" t="s">
        <v>30</v>
      </c>
      <c r="AS11" t="s">
        <v>678</v>
      </c>
      <c r="AT11" t="s">
        <v>30</v>
      </c>
      <c r="AU11" t="s">
        <v>1356</v>
      </c>
      <c r="AV11" t="s">
        <v>565</v>
      </c>
      <c r="AW11" t="s">
        <v>30</v>
      </c>
      <c r="AX11" t="s">
        <v>774</v>
      </c>
      <c r="AY11" t="s">
        <v>570</v>
      </c>
      <c r="AZ11" t="s">
        <v>221</v>
      </c>
      <c r="BA11" t="s">
        <v>223</v>
      </c>
      <c r="BB11" t="s">
        <v>224</v>
      </c>
      <c r="BC11" t="s">
        <v>676</v>
      </c>
      <c r="BD11" t="s">
        <v>571</v>
      </c>
      <c r="BE11" t="s">
        <v>60</v>
      </c>
      <c r="BF11" t="s">
        <v>225</v>
      </c>
      <c r="BG11" t="s">
        <v>226</v>
      </c>
      <c r="BH11" t="s">
        <v>1357</v>
      </c>
      <c r="BI11" t="s">
        <v>986</v>
      </c>
      <c r="BJ11" t="s">
        <v>774</v>
      </c>
      <c r="BK11" t="s">
        <v>1072</v>
      </c>
      <c r="BL11" t="s">
        <v>1358</v>
      </c>
      <c r="BM11" t="s">
        <v>676</v>
      </c>
      <c r="BN11">
        <v>7.52</v>
      </c>
      <c r="BO11">
        <v>10.83</v>
      </c>
      <c r="BP11">
        <v>12.46</v>
      </c>
      <c r="BQ11">
        <v>8.27</v>
      </c>
      <c r="BR11">
        <v>12.09</v>
      </c>
      <c r="BS11">
        <v>12.62</v>
      </c>
      <c r="BT11" t="s">
        <v>748</v>
      </c>
      <c r="BU11" t="s">
        <v>542</v>
      </c>
      <c r="BV11">
        <v>50.72</v>
      </c>
      <c r="BW11">
        <v>53.15</v>
      </c>
      <c r="BX11">
        <v>52.36</v>
      </c>
      <c r="BY11">
        <v>33.74</v>
      </c>
      <c r="BZ11">
        <v>35.270000000000003</v>
      </c>
      <c r="CA11">
        <v>29.46</v>
      </c>
      <c r="CB11">
        <v>-0.9</v>
      </c>
      <c r="CC11">
        <v>-13.29</v>
      </c>
      <c r="CD11" t="s">
        <v>1359</v>
      </c>
      <c r="CE11" t="s">
        <v>1360</v>
      </c>
      <c r="CF11" s="7">
        <v>-0.43979057591623039</v>
      </c>
      <c r="CG11" s="8">
        <v>-0.42206574468085106</v>
      </c>
      <c r="CH11" s="7">
        <v>-0.70604395866394043</v>
      </c>
      <c r="CI11" s="7">
        <v>1.1512478813529015E-2</v>
      </c>
      <c r="CJ11" s="7">
        <v>0.10822707414627075</v>
      </c>
      <c r="CK11" s="7">
        <v>0.14221101999282837</v>
      </c>
      <c r="CL11" s="7">
        <v>3.9707418531179428E-2</v>
      </c>
      <c r="CM11" s="8">
        <v>-0.69744157791137695</v>
      </c>
      <c r="CN11" s="8">
        <v>0.21159029006958008</v>
      </c>
      <c r="CO11" s="8">
        <v>-4.5045044273138046E-2</v>
      </c>
      <c r="CP11" s="8">
        <v>0.28429752588272095</v>
      </c>
      <c r="CQ11" s="8">
        <v>-8.6102716624736786E-2</v>
      </c>
      <c r="CR11">
        <v>21.241208491281274</v>
      </c>
      <c r="CS11">
        <v>2.6263533128264345</v>
      </c>
      <c r="CT11">
        <v>2.4711696869851729</v>
      </c>
      <c r="CU11" s="7">
        <v>-8.0877193436026576E-2</v>
      </c>
      <c r="CV11" s="8">
        <v>-6.6540304571390152E-2</v>
      </c>
      <c r="CW11">
        <v>0.06</v>
      </c>
      <c r="CX11">
        <v>22.123444852941176</v>
      </c>
      <c r="CY11" t="s">
        <v>1361</v>
      </c>
      <c r="CZ11">
        <v>-8.0877193436026576E-2</v>
      </c>
      <c r="DA11">
        <v>7.3744816176470591</v>
      </c>
      <c r="DB11" t="s">
        <v>1362</v>
      </c>
      <c r="DC11">
        <v>-7.6833333764225242E-2</v>
      </c>
      <c r="DD11">
        <v>3.6872408088235296</v>
      </c>
      <c r="DE11" t="s">
        <v>1363</v>
      </c>
      <c r="DF11">
        <v>-7.1171930223703384E-2</v>
      </c>
      <c r="DG11">
        <v>2.2123444852941176</v>
      </c>
      <c r="DH11" t="s">
        <v>1364</v>
      </c>
      <c r="DI11">
        <v>-6.4701754748821269E-2</v>
      </c>
      <c r="DJ11">
        <v>1.1061722426470588</v>
      </c>
      <c r="DK11" t="s">
        <v>1365</v>
      </c>
      <c r="DL11">
        <v>-5.6614035405218602E-2</v>
      </c>
      <c r="DM11">
        <v>272000000</v>
      </c>
      <c r="DN11">
        <v>-8.0877193436026576E-2</v>
      </c>
      <c r="DO11">
        <v>6017577000</v>
      </c>
      <c r="DP11">
        <v>6741364500</v>
      </c>
      <c r="DQ11">
        <v>1002</v>
      </c>
      <c r="DR11">
        <v>-0.35891338248020382</v>
      </c>
      <c r="DS11">
        <v>-0.35552544010946091</v>
      </c>
      <c r="DT11" s="9">
        <v>-0.77333333333333332</v>
      </c>
      <c r="DU11">
        <v>-0.28666666666666668</v>
      </c>
      <c r="DV11">
        <v>-1.06</v>
      </c>
      <c r="DW11">
        <v>-2.1328999999999998</v>
      </c>
      <c r="DX11">
        <v>0.37034759825327423</v>
      </c>
      <c r="DY11">
        <v>-2.0213101958078603</v>
      </c>
      <c r="DZ11">
        <v>2129</v>
      </c>
      <c r="EA11">
        <v>-2.0124316426033722</v>
      </c>
      <c r="EB11">
        <v>2</v>
      </c>
      <c r="EC11">
        <v>3.1821643499544333E-2</v>
      </c>
      <c r="ED11">
        <v>0.19845413243596477</v>
      </c>
      <c r="EE11" s="10">
        <v>-1.0347999999999999</v>
      </c>
      <c r="EF11">
        <v>-1.0133000000000001</v>
      </c>
      <c r="EG11">
        <v>21.160347598253274</v>
      </c>
      <c r="EH11" t="s">
        <v>776</v>
      </c>
      <c r="EI11">
        <v>0</v>
      </c>
      <c r="EJ11">
        <v>0</v>
      </c>
      <c r="EK11" s="11">
        <v>45470</v>
      </c>
      <c r="EL11">
        <v>0.96</v>
      </c>
      <c r="EM11">
        <v>-1.91</v>
      </c>
      <c r="EN11">
        <v>-0.16</v>
      </c>
      <c r="EO11">
        <v>2.0299999999999998</v>
      </c>
      <c r="EP11">
        <v>-2.15</v>
      </c>
    </row>
    <row r="12" spans="1:146" ht="108" x14ac:dyDescent="0.25">
      <c r="A12" s="5"/>
      <c r="B12" s="5"/>
      <c r="C12" s="5" t="str">
        <f>""&amp;CHAR(10)&amp;Basic_Fundamental_Information_Constructure(F12)&amp;CHAR(10)&amp;Basic_Fundamental_Information_Concatenate("")</f>
        <v xml:space="preserve">
市值49.998365亿, 利润2364.35万; PE116.7; 平均PE150.04; 平均PEG106.11, PB1.92; ROIC2.2633%; ROE2.8433%; 股利率.4843%; 毛利23.4667%; 净利10.7767%; 上一年度营收增-70.11%, 利润增-51.78%; 当季营收增-24.86%, 利润增-11.44%; 过往5年营收增1.41%, 利润增101.92%
Income profile:
</v>
      </c>
      <c r="D12" t="s">
        <v>68</v>
      </c>
      <c r="E12" t="s">
        <v>6</v>
      </c>
      <c r="F12">
        <v>4.13</v>
      </c>
      <c r="G12">
        <v>4.5599999999999996</v>
      </c>
      <c r="H12" t="s">
        <v>1366</v>
      </c>
      <c r="I12">
        <v>4999836500</v>
      </c>
      <c r="J12">
        <v>116.7</v>
      </c>
      <c r="K12">
        <v>1.92</v>
      </c>
      <c r="L12" t="s">
        <v>52</v>
      </c>
      <c r="M12" t="s">
        <v>1367</v>
      </c>
      <c r="N12" t="s">
        <v>1368</v>
      </c>
      <c r="O12" t="s">
        <v>619</v>
      </c>
      <c r="P12">
        <v>10.9</v>
      </c>
      <c r="Q12" t="s">
        <v>619</v>
      </c>
      <c r="R12">
        <v>23643496</v>
      </c>
      <c r="S12" s="4">
        <v>0.13370000000000001</v>
      </c>
      <c r="T12" t="s">
        <v>1369</v>
      </c>
      <c r="U12">
        <v>1128586290</v>
      </c>
      <c r="V12">
        <v>1210614160</v>
      </c>
      <c r="W12">
        <v>1.06</v>
      </c>
      <c r="X12">
        <v>0.05</v>
      </c>
      <c r="Y12">
        <v>17.59</v>
      </c>
      <c r="Z12" t="s">
        <v>664</v>
      </c>
      <c r="AA12" t="s">
        <v>1370</v>
      </c>
      <c r="AB12" t="s">
        <v>1371</v>
      </c>
      <c r="AC12" t="s">
        <v>1372</v>
      </c>
      <c r="AD12" t="s">
        <v>30</v>
      </c>
      <c r="AE12">
        <v>-4167243</v>
      </c>
      <c r="AF12" t="s">
        <v>1373</v>
      </c>
      <c r="AG12" t="s">
        <v>1374</v>
      </c>
      <c r="AH12" t="s">
        <v>1375</v>
      </c>
      <c r="AI12" t="s">
        <v>1376</v>
      </c>
      <c r="AJ12" t="s">
        <v>1377</v>
      </c>
      <c r="AK12" t="s">
        <v>30</v>
      </c>
      <c r="AL12" t="s">
        <v>1378</v>
      </c>
      <c r="AM12" t="s">
        <v>30</v>
      </c>
      <c r="AN12" t="s">
        <v>1014</v>
      </c>
      <c r="AO12" t="s">
        <v>232</v>
      </c>
      <c r="AP12" t="s">
        <v>30</v>
      </c>
      <c r="AQ12" t="s">
        <v>1379</v>
      </c>
      <c r="AR12" t="s">
        <v>1380</v>
      </c>
      <c r="AS12" t="s">
        <v>89</v>
      </c>
      <c r="AT12" t="s">
        <v>30</v>
      </c>
      <c r="AU12" t="s">
        <v>1381</v>
      </c>
      <c r="AV12" t="s">
        <v>1382</v>
      </c>
      <c r="AW12" t="s">
        <v>620</v>
      </c>
      <c r="AX12" t="s">
        <v>718</v>
      </c>
      <c r="AY12" t="s">
        <v>572</v>
      </c>
      <c r="AZ12" t="s">
        <v>230</v>
      </c>
      <c r="BA12" t="s">
        <v>233</v>
      </c>
      <c r="BB12" t="s">
        <v>234</v>
      </c>
      <c r="BC12" t="s">
        <v>775</v>
      </c>
      <c r="BD12" t="s">
        <v>573</v>
      </c>
      <c r="BE12" t="s">
        <v>231</v>
      </c>
      <c r="BF12" t="s">
        <v>236</v>
      </c>
      <c r="BG12" t="s">
        <v>237</v>
      </c>
      <c r="BH12" t="s">
        <v>645</v>
      </c>
      <c r="BI12" t="s">
        <v>240</v>
      </c>
      <c r="BJ12" t="s">
        <v>718</v>
      </c>
      <c r="BK12" t="s">
        <v>1383</v>
      </c>
      <c r="BL12" t="s">
        <v>1384</v>
      </c>
      <c r="BM12" t="s">
        <v>775</v>
      </c>
      <c r="BN12">
        <v>0.77</v>
      </c>
      <c r="BO12">
        <v>2.94</v>
      </c>
      <c r="BP12">
        <v>3.08</v>
      </c>
      <c r="BQ12">
        <v>1.78</v>
      </c>
      <c r="BR12">
        <v>3.53</v>
      </c>
      <c r="BS12">
        <v>3.22</v>
      </c>
      <c r="BT12" t="s">
        <v>741</v>
      </c>
      <c r="BU12" t="s">
        <v>674</v>
      </c>
      <c r="BV12">
        <v>25.02</v>
      </c>
      <c r="BW12">
        <v>25.03</v>
      </c>
      <c r="BX12">
        <v>20.350000000000001</v>
      </c>
      <c r="BY12">
        <v>12.71</v>
      </c>
      <c r="BZ12">
        <v>11.34</v>
      </c>
      <c r="CA12">
        <v>8.2799999999999994</v>
      </c>
      <c r="CB12">
        <v>8.9700000000000006</v>
      </c>
      <c r="CC12">
        <v>0.24</v>
      </c>
      <c r="CD12" t="s">
        <v>1385</v>
      </c>
      <c r="CE12" t="s">
        <v>472</v>
      </c>
      <c r="CF12" s="7">
        <v>-0.24858757062146894</v>
      </c>
      <c r="CG12" s="8">
        <v>-0.11435307514524484</v>
      </c>
      <c r="CH12" s="7">
        <v>-0.70112359523773193</v>
      </c>
      <c r="CI12" s="7">
        <v>-0.12055335938930511</v>
      </c>
      <c r="CJ12" s="7">
        <v>-0.28732395172119141</v>
      </c>
      <c r="CK12" s="7">
        <v>1.5177304744720459</v>
      </c>
      <c r="CL12" s="7">
        <v>-0.33802816271781921</v>
      </c>
      <c r="CM12" s="8">
        <v>-0.51776301860809326</v>
      </c>
      <c r="CN12" s="8">
        <v>0.1440919041633606</v>
      </c>
      <c r="CO12" s="8">
        <v>-0.27735432982444763</v>
      </c>
      <c r="CP12" s="8">
        <v>0.76776367425918579</v>
      </c>
      <c r="CQ12" s="8">
        <v>4.9794068336486816</v>
      </c>
      <c r="CR12">
        <v>150.03733050853816</v>
      </c>
      <c r="CS12">
        <v>106.1063281889225</v>
      </c>
      <c r="CT12">
        <v>0.48426150121065381</v>
      </c>
      <c r="CU12" s="7">
        <v>1.4140281081199645E-2</v>
      </c>
      <c r="CV12" s="8">
        <v>1.0192290127277375</v>
      </c>
      <c r="CW12">
        <v>0.06</v>
      </c>
      <c r="CX12">
        <v>108.20175626401803</v>
      </c>
      <c r="CY12">
        <v>22620590.316739004</v>
      </c>
      <c r="CZ12">
        <v>1.4140281081199645E-2</v>
      </c>
      <c r="DA12">
        <v>37.725457625216229</v>
      </c>
      <c r="DB12">
        <v>64878937.303175293</v>
      </c>
      <c r="DC12">
        <v>1.3433267027139663E-2</v>
      </c>
      <c r="DD12">
        <v>20.198282521757495</v>
      </c>
      <c r="DE12">
        <v>121178005.96973877</v>
      </c>
      <c r="DF12">
        <v>1.2443447351455687E-2</v>
      </c>
      <c r="DG12">
        <v>13.285760566103423</v>
      </c>
      <c r="DH12">
        <v>184226381.90881172</v>
      </c>
      <c r="DI12">
        <v>1.1312224864959718E-2</v>
      </c>
      <c r="DJ12">
        <v>8.2793607091943269</v>
      </c>
      <c r="DK12">
        <v>295625192.08541369</v>
      </c>
      <c r="DL12">
        <v>9.8981967568397503E-3</v>
      </c>
      <c r="DM12">
        <v>23643500</v>
      </c>
      <c r="DN12">
        <v>1.4140281081199645E-2</v>
      </c>
      <c r="DO12">
        <v>2447587600</v>
      </c>
      <c r="DP12">
        <v>1576845900</v>
      </c>
      <c r="DQ12">
        <v>1009</v>
      </c>
      <c r="DR12">
        <v>-0.2627278517026686</v>
      </c>
      <c r="DS12">
        <v>-1.1335820878729823</v>
      </c>
      <c r="DT12" s="9">
        <v>-0.77333333333333332</v>
      </c>
      <c r="DU12">
        <v>0.42666666666666658</v>
      </c>
      <c r="DV12">
        <v>-0.34666666666666673</v>
      </c>
      <c r="DW12">
        <v>5.0267558528428093</v>
      </c>
      <c r="DX12">
        <v>0.66732443438914113</v>
      </c>
      <c r="DY12">
        <v>5.0058147005856624</v>
      </c>
      <c r="DZ12">
        <v>2154</v>
      </c>
      <c r="EA12">
        <v>5.0033636506714716</v>
      </c>
      <c r="EB12">
        <v>5</v>
      </c>
      <c r="EC12">
        <v>3.9673003659563999E-2</v>
      </c>
      <c r="ED12">
        <v>0.18255197015042349</v>
      </c>
      <c r="EE12" s="10">
        <v>-3.0392999999999999</v>
      </c>
      <c r="EF12">
        <v>-3.0135999999999998</v>
      </c>
      <c r="EG12">
        <v>45.217324434389141</v>
      </c>
      <c r="EH12" t="s">
        <v>1386</v>
      </c>
      <c r="EI12">
        <v>1</v>
      </c>
      <c r="EJ12">
        <v>0</v>
      </c>
      <c r="EK12" s="11">
        <v>45470</v>
      </c>
      <c r="EL12">
        <v>-0.26</v>
      </c>
      <c r="EM12">
        <v>-4.4000000000000004</v>
      </c>
      <c r="EN12">
        <v>1.63</v>
      </c>
      <c r="EO12">
        <v>3.73</v>
      </c>
      <c r="EP12">
        <v>-2.57</v>
      </c>
    </row>
    <row r="13" spans="1:146" ht="96" x14ac:dyDescent="0.25">
      <c r="A13" s="5"/>
      <c r="B13" s="5"/>
      <c r="C13" s="5" t="str">
        <f>""&amp;CHAR(10)&amp;Basic_Fundamental_Information_Constructure(F13)&amp;CHAR(10)&amp;Basic_Fundamental_Information_Concatenate("")</f>
        <v xml:space="preserve">
市值140.23685亿, 利润2.40亿; PE16.21; 平均PE21.04; 平均PEG5.06, PB2.51; ROIC12.07%; ROE16.42%; 股利率3.6153%; 毛利30.22%; 净利13.8467%; 上一年度营收增-73.53%, 利润增-75.41%; 当季营收增-32.17%, 利润增-9.93%; 过往5年营收增-4.15%, 利润增3.6%
Income profile:
</v>
      </c>
      <c r="D13" t="s">
        <v>70</v>
      </c>
      <c r="E13" t="s">
        <v>24</v>
      </c>
      <c r="F13">
        <v>27.66</v>
      </c>
      <c r="G13">
        <v>0.57999999999999996</v>
      </c>
      <c r="H13" t="s">
        <v>1387</v>
      </c>
      <c r="I13">
        <v>14023685000</v>
      </c>
      <c r="J13">
        <v>16.21</v>
      </c>
      <c r="K13">
        <v>2.5099999999999998</v>
      </c>
      <c r="L13" t="s">
        <v>52</v>
      </c>
      <c r="M13" t="s">
        <v>1388</v>
      </c>
      <c r="N13" t="s">
        <v>1389</v>
      </c>
      <c r="O13" t="s">
        <v>1390</v>
      </c>
      <c r="P13">
        <v>36.39</v>
      </c>
      <c r="Q13" t="s">
        <v>1390</v>
      </c>
      <c r="R13">
        <v>240476530</v>
      </c>
      <c r="S13" s="4">
        <v>0.35149999999999998</v>
      </c>
      <c r="T13" t="s">
        <v>368</v>
      </c>
      <c r="U13">
        <v>506998600</v>
      </c>
      <c r="V13">
        <v>507002350</v>
      </c>
      <c r="W13">
        <v>1.65</v>
      </c>
      <c r="X13">
        <v>0.19</v>
      </c>
      <c r="Y13">
        <v>13.21</v>
      </c>
      <c r="Z13" t="s">
        <v>1391</v>
      </c>
      <c r="AA13" t="s">
        <v>1392</v>
      </c>
      <c r="AB13" t="s">
        <v>1053</v>
      </c>
      <c r="AC13" t="s">
        <v>1393</v>
      </c>
      <c r="AD13" t="s">
        <v>30</v>
      </c>
      <c r="AE13">
        <v>-35295375</v>
      </c>
      <c r="AF13" t="s">
        <v>1394</v>
      </c>
      <c r="AG13" t="s">
        <v>1395</v>
      </c>
      <c r="AH13" t="s">
        <v>1396</v>
      </c>
      <c r="AI13" t="s">
        <v>238</v>
      </c>
      <c r="AJ13" t="s">
        <v>1397</v>
      </c>
      <c r="AK13" t="s">
        <v>1398</v>
      </c>
      <c r="AL13" t="s">
        <v>1399</v>
      </c>
      <c r="AM13" t="s">
        <v>30</v>
      </c>
      <c r="AN13" t="s">
        <v>1400</v>
      </c>
      <c r="AO13" t="s">
        <v>1401</v>
      </c>
      <c r="AP13" t="s">
        <v>637</v>
      </c>
      <c r="AQ13" t="s">
        <v>290</v>
      </c>
      <c r="AR13" t="s">
        <v>30</v>
      </c>
      <c r="AS13" t="s">
        <v>1402</v>
      </c>
      <c r="AT13" t="s">
        <v>1403</v>
      </c>
      <c r="AU13" t="s">
        <v>563</v>
      </c>
      <c r="AV13" t="s">
        <v>1404</v>
      </c>
      <c r="AW13" t="s">
        <v>450</v>
      </c>
      <c r="AX13" t="s">
        <v>777</v>
      </c>
      <c r="AY13" t="s">
        <v>574</v>
      </c>
      <c r="AZ13" t="s">
        <v>238</v>
      </c>
      <c r="BA13" t="s">
        <v>241</v>
      </c>
      <c r="BB13" t="s">
        <v>242</v>
      </c>
      <c r="BC13" t="s">
        <v>778</v>
      </c>
      <c r="BD13" t="s">
        <v>575</v>
      </c>
      <c r="BE13" t="s">
        <v>239</v>
      </c>
      <c r="BF13" t="s">
        <v>244</v>
      </c>
      <c r="BG13" t="s">
        <v>245</v>
      </c>
      <c r="BH13" t="s">
        <v>1405</v>
      </c>
      <c r="BI13" t="s">
        <v>990</v>
      </c>
      <c r="BJ13" t="s">
        <v>777</v>
      </c>
      <c r="BK13" t="s">
        <v>1045</v>
      </c>
      <c r="BL13" t="s">
        <v>155</v>
      </c>
      <c r="BM13" t="s">
        <v>778</v>
      </c>
      <c r="BN13">
        <v>6.29</v>
      </c>
      <c r="BO13">
        <v>14.61</v>
      </c>
      <c r="BP13">
        <v>15.31</v>
      </c>
      <c r="BQ13">
        <v>9.5</v>
      </c>
      <c r="BR13">
        <v>19.57</v>
      </c>
      <c r="BS13">
        <v>20.190000000000001</v>
      </c>
      <c r="BT13" t="s">
        <v>743</v>
      </c>
      <c r="BU13" t="s">
        <v>524</v>
      </c>
      <c r="BV13">
        <v>26.75</v>
      </c>
      <c r="BW13">
        <v>31.96</v>
      </c>
      <c r="BX13">
        <v>31.95</v>
      </c>
      <c r="BY13">
        <v>11.8</v>
      </c>
      <c r="BZ13">
        <v>14.21</v>
      </c>
      <c r="CA13">
        <v>15.53</v>
      </c>
      <c r="CB13">
        <v>-1.88</v>
      </c>
      <c r="CC13">
        <v>-16.079999999999998</v>
      </c>
      <c r="CD13" t="s">
        <v>1406</v>
      </c>
      <c r="CE13" t="s">
        <v>72</v>
      </c>
      <c r="CF13" s="7">
        <v>-0.32166790766939685</v>
      </c>
      <c r="CG13" s="8">
        <v>-9.9338838951310862E-2</v>
      </c>
      <c r="CH13" s="7">
        <v>-0.7352898120880127</v>
      </c>
      <c r="CI13" s="7">
        <v>0.15004174411296844</v>
      </c>
      <c r="CJ13" s="7">
        <v>0.13159388303756714</v>
      </c>
      <c r="CK13" s="7">
        <v>9.3446291983127594E-2</v>
      </c>
      <c r="CL13" s="7">
        <v>0.15248993039131165</v>
      </c>
      <c r="CM13" s="8">
        <v>-0.75409835577011108</v>
      </c>
      <c r="CN13" s="8">
        <v>5.0592035055160522E-2</v>
      </c>
      <c r="CO13" s="8">
        <v>0.15403726696968079</v>
      </c>
      <c r="CP13" s="8">
        <v>0.30681818723678589</v>
      </c>
      <c r="CQ13" s="8">
        <v>0.42263278365135193</v>
      </c>
      <c r="CR13">
        <v>21.04078769692423</v>
      </c>
      <c r="CS13">
        <v>5.0647492006231314</v>
      </c>
      <c r="CT13">
        <v>3.6153289949385394</v>
      </c>
      <c r="CU13" s="7">
        <v>-4.1543592512607572E-2</v>
      </c>
      <c r="CV13" s="8">
        <v>3.5996383428573607E-2</v>
      </c>
      <c r="CW13">
        <v>0.06</v>
      </c>
      <c r="CX13">
        <v>50.761187499999998</v>
      </c>
      <c r="CY13" t="s">
        <v>1407</v>
      </c>
      <c r="CZ13">
        <v>-4.1543592512607572E-2</v>
      </c>
      <c r="DA13">
        <v>16.920395833333334</v>
      </c>
      <c r="DB13" t="s">
        <v>1408</v>
      </c>
      <c r="DC13">
        <v>-3.9466412886977192E-2</v>
      </c>
      <c r="DD13">
        <v>8.460197916666667</v>
      </c>
      <c r="DE13" t="s">
        <v>1409</v>
      </c>
      <c r="DF13">
        <v>-3.6558361411094663E-2</v>
      </c>
      <c r="DG13">
        <v>5.07611875</v>
      </c>
      <c r="DH13" t="s">
        <v>1410</v>
      </c>
      <c r="DI13">
        <v>-3.3234874010086062E-2</v>
      </c>
      <c r="DJ13">
        <v>2.538059375</v>
      </c>
      <c r="DK13" t="s">
        <v>1411</v>
      </c>
      <c r="DL13">
        <v>-2.9080514758825299E-2</v>
      </c>
      <c r="DM13">
        <v>240000000</v>
      </c>
      <c r="DN13">
        <v>-4.1543592512607572E-2</v>
      </c>
      <c r="DO13">
        <v>12182685000</v>
      </c>
      <c r="DP13">
        <v>5096655500</v>
      </c>
      <c r="DQ13">
        <v>1050</v>
      </c>
      <c r="DR13">
        <v>-0.28012431515678926</v>
      </c>
      <c r="DS13">
        <v>-0.13533522237988446</v>
      </c>
      <c r="DT13" s="9">
        <v>-0.52333333333333332</v>
      </c>
      <c r="DU13">
        <v>1.6666666666666607E-2</v>
      </c>
      <c r="DV13">
        <v>-0.50666666666666671</v>
      </c>
      <c r="DW13">
        <v>-3.0009047619047617</v>
      </c>
      <c r="DX13">
        <v>0.29053858267716459</v>
      </c>
      <c r="DY13">
        <v>-3.0001271539557557</v>
      </c>
      <c r="DZ13">
        <v>1237</v>
      </c>
      <c r="EA13">
        <v>-3.000096373242787</v>
      </c>
      <c r="EB13">
        <v>3</v>
      </c>
      <c r="EC13">
        <v>3.5203781599828878E-2</v>
      </c>
      <c r="ED13">
        <v>0.25049193558964766</v>
      </c>
      <c r="EE13" s="10">
        <v>1.1293</v>
      </c>
      <c r="EF13">
        <v>1.107</v>
      </c>
      <c r="EG13">
        <v>15.140538582677165</v>
      </c>
      <c r="EH13" t="s">
        <v>657</v>
      </c>
      <c r="EI13">
        <v>0</v>
      </c>
      <c r="EJ13">
        <v>1</v>
      </c>
      <c r="EK13" s="11">
        <v>45470</v>
      </c>
      <c r="EL13">
        <v>0.24</v>
      </c>
      <c r="EM13">
        <v>-1.97</v>
      </c>
      <c r="EN13">
        <v>1.48</v>
      </c>
      <c r="EO13">
        <v>1.28</v>
      </c>
      <c r="EP13">
        <v>-2.23</v>
      </c>
    </row>
    <row r="14" spans="1:146" ht="132" x14ac:dyDescent="0.25">
      <c r="A14" s="5"/>
      <c r="B14" s="5" t="s">
        <v>458</v>
      </c>
      <c r="C14" s="5" t="str">
        <f>""&amp;CHAR(10)&amp;Basic_Fundamental_Information_Constructure(F14)&amp;CHAR(10)&amp;Basic_Fundamental_Information_Concatenate("坚果类 11.87亿 39.55%（毛利20.90%）红枣及相关类 6.66亿 22.18%（毛利29.34%）其他 4.80亿 15.99%（毛利27.21%）肉脯/海鲜类 3.27亿 10.89%（毛利28.91%）果干类 2.93亿 9.76%（毛利29.50%）")</f>
        <v xml:space="preserve">
市值24.883061亿, 利润1259.38万; PE; 平均PE6.32; 平均PEG.22, PB.607; ROIC.19%; ROE-1.3633%; 股利率10.929%; 毛利24.87%; 净利-4.4967%; 上一年度营收增-64.71%, 利润增106.66%; 当季营收增-29.53%, 利润增169.07%; 过往5年营收增-28.39%, 利润增133.58%
Income profile:
坚果类 11.87亿 39.55%（毛利20.90%）红枣及相关类 6.66亿 22.18%（毛利29.34%）其他 4.80亿 15.99%（毛利27.21%）肉脯/海鲜类 3.27亿 10.89%（毛利28.91%）果干类 2.93亿 9.76%（毛利29.50%）</v>
      </c>
      <c r="D14" t="s">
        <v>74</v>
      </c>
      <c r="E14" t="s">
        <v>17</v>
      </c>
      <c r="F14">
        <v>5.49</v>
      </c>
      <c r="G14">
        <v>1.1000000000000001</v>
      </c>
      <c r="H14" t="s">
        <v>1412</v>
      </c>
      <c r="I14">
        <v>2488306100</v>
      </c>
      <c r="K14">
        <v>0.60699999999999998</v>
      </c>
      <c r="L14" t="s">
        <v>52</v>
      </c>
      <c r="M14" t="s">
        <v>1413</v>
      </c>
      <c r="N14" t="s">
        <v>252</v>
      </c>
      <c r="O14" t="s">
        <v>721</v>
      </c>
      <c r="P14">
        <v>19.05</v>
      </c>
      <c r="Q14" t="s">
        <v>721</v>
      </c>
      <c r="R14">
        <v>12593799</v>
      </c>
      <c r="S14" s="4">
        <v>2.63E-2</v>
      </c>
      <c r="T14" t="s">
        <v>1414</v>
      </c>
      <c r="U14">
        <v>339842150</v>
      </c>
      <c r="V14">
        <v>453243370</v>
      </c>
      <c r="W14">
        <v>1.34</v>
      </c>
      <c r="X14">
        <v>0.09</v>
      </c>
      <c r="Y14">
        <v>2.4500000000000002</v>
      </c>
      <c r="Z14" t="s">
        <v>721</v>
      </c>
      <c r="AA14" t="s">
        <v>290</v>
      </c>
      <c r="AB14" t="s">
        <v>83</v>
      </c>
      <c r="AC14" t="s">
        <v>1415</v>
      </c>
      <c r="AD14" t="s">
        <v>30</v>
      </c>
      <c r="AE14">
        <v>-5385693</v>
      </c>
      <c r="AF14" t="s">
        <v>1416</v>
      </c>
      <c r="AG14" t="s">
        <v>1417</v>
      </c>
      <c r="AH14" t="s">
        <v>1418</v>
      </c>
      <c r="AI14" t="s">
        <v>1419</v>
      </c>
      <c r="AJ14" t="s">
        <v>1420</v>
      </c>
      <c r="AK14" t="s">
        <v>1421</v>
      </c>
      <c r="AL14" t="s">
        <v>1422</v>
      </c>
      <c r="AM14" t="s">
        <v>30</v>
      </c>
      <c r="AN14" t="s">
        <v>1423</v>
      </c>
      <c r="AO14" t="s">
        <v>139</v>
      </c>
      <c r="AP14" t="s">
        <v>1424</v>
      </c>
      <c r="AQ14" t="s">
        <v>1425</v>
      </c>
      <c r="AR14" t="s">
        <v>1426</v>
      </c>
      <c r="AS14" t="s">
        <v>706</v>
      </c>
      <c r="AT14" t="s">
        <v>1427</v>
      </c>
      <c r="AU14" t="s">
        <v>1428</v>
      </c>
      <c r="AV14" t="s">
        <v>962</v>
      </c>
      <c r="AW14" t="s">
        <v>247</v>
      </c>
      <c r="AX14" t="s">
        <v>781</v>
      </c>
      <c r="AY14" t="s">
        <v>576</v>
      </c>
      <c r="AZ14" t="s">
        <v>248</v>
      </c>
      <c r="BA14" t="s">
        <v>250</v>
      </c>
      <c r="BB14" t="s">
        <v>251</v>
      </c>
      <c r="BC14" t="s">
        <v>1429</v>
      </c>
      <c r="BD14" t="s">
        <v>577</v>
      </c>
      <c r="BE14" t="s">
        <v>249</v>
      </c>
      <c r="BF14" t="s">
        <v>253</v>
      </c>
      <c r="BG14" t="s">
        <v>91</v>
      </c>
      <c r="BH14" t="s">
        <v>1430</v>
      </c>
      <c r="BI14" t="s">
        <v>401</v>
      </c>
      <c r="BJ14" t="s">
        <v>781</v>
      </c>
      <c r="BK14" t="s">
        <v>1431</v>
      </c>
      <c r="BL14" t="s">
        <v>1432</v>
      </c>
      <c r="BM14" t="s">
        <v>1429</v>
      </c>
      <c r="BN14" t="s">
        <v>30</v>
      </c>
      <c r="BO14" t="s">
        <v>30</v>
      </c>
      <c r="BP14">
        <v>0.19</v>
      </c>
      <c r="BQ14">
        <v>-0.98</v>
      </c>
      <c r="BR14">
        <v>-4.38</v>
      </c>
      <c r="BS14">
        <v>1.27</v>
      </c>
      <c r="BT14" t="s">
        <v>742</v>
      </c>
      <c r="BU14" t="s">
        <v>524</v>
      </c>
      <c r="BV14">
        <v>25.74</v>
      </c>
      <c r="BW14">
        <v>22.79</v>
      </c>
      <c r="BX14">
        <v>26.08</v>
      </c>
      <c r="BY14">
        <v>-3.27</v>
      </c>
      <c r="BZ14">
        <v>-14.51</v>
      </c>
      <c r="CA14">
        <v>4.29</v>
      </c>
      <c r="CB14">
        <v>2.23</v>
      </c>
      <c r="CC14">
        <v>-12.16</v>
      </c>
      <c r="CD14" t="s">
        <v>1433</v>
      </c>
      <c r="CE14" t="s">
        <v>101</v>
      </c>
      <c r="CF14" s="7">
        <v>-0.29529243937232519</v>
      </c>
      <c r="CG14" s="8">
        <v>1.6907183717346117</v>
      </c>
      <c r="CH14" s="7">
        <v>-0.64714282751083374</v>
      </c>
      <c r="CI14" s="7">
        <v>9.2896230518817902E-2</v>
      </c>
      <c r="CJ14" s="7">
        <v>-0.57314229011535645</v>
      </c>
      <c r="CK14" s="7">
        <v>-0.49656099081039429</v>
      </c>
      <c r="CL14" s="7">
        <v>0.2044856995344162</v>
      </c>
      <c r="CM14" s="8">
        <v>1.0666338205337524</v>
      </c>
      <c r="CN14" s="8">
        <v>-4.0664844512939453</v>
      </c>
      <c r="CO14" s="8">
        <v>-0.97139948606491089</v>
      </c>
      <c r="CP14" s="8">
        <v>10.165803909301758</v>
      </c>
      <c r="CQ14" s="8">
        <v>0.48461538553237915</v>
      </c>
      <c r="CR14">
        <v>6.3175610782184819</v>
      </c>
      <c r="CS14">
        <v>0.22253330427167417</v>
      </c>
      <c r="CT14">
        <v>10.928961748633879</v>
      </c>
      <c r="CU14" s="7">
        <v>-0.28389283567667006</v>
      </c>
      <c r="CV14" s="8">
        <v>1.3358338356018067</v>
      </c>
      <c r="CW14">
        <v>0.06</v>
      </c>
      <c r="CX14" t="s">
        <v>1434</v>
      </c>
      <c r="CY14" t="s">
        <v>1435</v>
      </c>
      <c r="CZ14">
        <v>-0.28389283567667006</v>
      </c>
      <c r="DA14" t="s">
        <v>1434</v>
      </c>
      <c r="DB14" t="s">
        <v>1436</v>
      </c>
      <c r="DC14">
        <v>-0.26969819389283656</v>
      </c>
      <c r="DD14" t="s">
        <v>1434</v>
      </c>
      <c r="DE14" t="s">
        <v>1437</v>
      </c>
      <c r="DF14">
        <v>-0.24982569539546964</v>
      </c>
      <c r="DG14" t="s">
        <v>1434</v>
      </c>
      <c r="DH14" t="s">
        <v>1438</v>
      </c>
      <c r="DI14">
        <v>-0.22711426854133607</v>
      </c>
      <c r="DJ14" t="s">
        <v>1434</v>
      </c>
      <c r="DK14" t="s">
        <v>1439</v>
      </c>
      <c r="DL14">
        <v>-0.19872498497366903</v>
      </c>
      <c r="DM14">
        <v>12593800.000000002</v>
      </c>
      <c r="DN14">
        <v>-0.28389283567667006</v>
      </c>
      <c r="DO14">
        <v>-60693900.000000477</v>
      </c>
      <c r="DP14">
        <v>1804367300</v>
      </c>
      <c r="DQ14">
        <v>1075</v>
      </c>
      <c r="DR14">
        <v>-1.1399603695655125E-2</v>
      </c>
      <c r="DS14">
        <v>0.35488453613280502</v>
      </c>
      <c r="DT14" s="9">
        <v>-0.92333333333333334</v>
      </c>
      <c r="DU14">
        <v>0.27499999999999991</v>
      </c>
      <c r="DV14">
        <v>-0.64833333333333343</v>
      </c>
      <c r="DW14">
        <v>-2.1215999999999999</v>
      </c>
      <c r="DX14">
        <v>0.29003489932885851</v>
      </c>
      <c r="DY14">
        <v>-2.0170282437583893</v>
      </c>
      <c r="DZ14">
        <v>3608</v>
      </c>
      <c r="EA14">
        <v>-2.0050051706702741</v>
      </c>
      <c r="EB14">
        <v>2</v>
      </c>
      <c r="EC14">
        <v>4.6035312110577591E-2</v>
      </c>
      <c r="ED14">
        <v>0.32874170889692222</v>
      </c>
      <c r="EE14" s="10">
        <v>1.6199999999999999E-2</v>
      </c>
      <c r="EF14">
        <v>8.8999999999999982E-3</v>
      </c>
      <c r="EG14">
        <v>15.140034899328858</v>
      </c>
      <c r="EH14" t="s">
        <v>552</v>
      </c>
      <c r="EI14">
        <v>0</v>
      </c>
      <c r="EJ14">
        <v>0</v>
      </c>
      <c r="EK14" s="11">
        <v>45470</v>
      </c>
      <c r="EL14">
        <v>1.3</v>
      </c>
      <c r="EM14">
        <v>-3.66</v>
      </c>
      <c r="EN14">
        <v>1.33</v>
      </c>
      <c r="EO14">
        <v>2.44</v>
      </c>
      <c r="EP14">
        <v>-0.73</v>
      </c>
    </row>
    <row r="15" spans="1:146" ht="96" x14ac:dyDescent="0.25">
      <c r="A15" s="5"/>
      <c r="B15" s="5"/>
      <c r="C15" s="5" t="str">
        <f>""&amp;CHAR(10)&amp;Basic_Fundamental_Information_Constructure(F15)&amp;CHAR(10)&amp;Basic_Fundamental_Information_Concatenate("")</f>
        <v xml:space="preserve">
市值87.098685亿, 利润7079.38万; PE33.43; 平均PE16.26; 平均PEG1.2, PB2.18; ROIC9.24%; ROE10.8367%; 股利率1.4006%; 毛利42.4%; 净利12.8833%; 上一年度营收增-75.31%, 利润增-72.45%; 当季营收增-52.13%, 利润增-61.53%; 过往5年营收增-13.6%, 利润增-15.86%
Income profile:
</v>
      </c>
      <c r="D15" t="s">
        <v>499</v>
      </c>
      <c r="E15" t="s">
        <v>500</v>
      </c>
      <c r="F15">
        <v>14.28</v>
      </c>
      <c r="G15">
        <v>-0.42</v>
      </c>
      <c r="H15" t="s">
        <v>1440</v>
      </c>
      <c r="I15">
        <v>8709868500</v>
      </c>
      <c r="J15">
        <v>33.43</v>
      </c>
      <c r="K15">
        <v>2.1800000000000002</v>
      </c>
      <c r="L15" t="s">
        <v>52</v>
      </c>
      <c r="M15" t="s">
        <v>1441</v>
      </c>
      <c r="N15" t="s">
        <v>980</v>
      </c>
      <c r="O15" t="s">
        <v>687</v>
      </c>
      <c r="P15">
        <v>-5.99</v>
      </c>
      <c r="Q15" t="s">
        <v>687</v>
      </c>
      <c r="R15">
        <v>70793791</v>
      </c>
      <c r="S15" s="4">
        <v>-0.18579999999999999</v>
      </c>
      <c r="T15" t="s">
        <v>1442</v>
      </c>
      <c r="U15">
        <v>609844770</v>
      </c>
      <c r="V15">
        <v>609934770</v>
      </c>
      <c r="W15">
        <v>1.39</v>
      </c>
      <c r="X15">
        <v>0.14000000000000001</v>
      </c>
      <c r="Y15">
        <v>9.5399999999999991</v>
      </c>
      <c r="Z15" t="s">
        <v>323</v>
      </c>
      <c r="AA15" t="s">
        <v>1443</v>
      </c>
      <c r="AB15" t="s">
        <v>1444</v>
      </c>
      <c r="AC15" t="s">
        <v>161</v>
      </c>
      <c r="AD15" t="s">
        <v>30</v>
      </c>
      <c r="AE15">
        <v>1853820</v>
      </c>
      <c r="AF15" t="s">
        <v>1445</v>
      </c>
      <c r="AG15" t="s">
        <v>1446</v>
      </c>
      <c r="AH15" t="s">
        <v>1447</v>
      </c>
      <c r="AI15" t="s">
        <v>1095</v>
      </c>
      <c r="AJ15" t="s">
        <v>1448</v>
      </c>
      <c r="AK15" t="s">
        <v>1449</v>
      </c>
      <c r="AL15" t="s">
        <v>1450</v>
      </c>
      <c r="AM15" t="s">
        <v>30</v>
      </c>
      <c r="AN15" t="s">
        <v>757</v>
      </c>
      <c r="AO15" t="s">
        <v>1451</v>
      </c>
      <c r="AP15" t="s">
        <v>1452</v>
      </c>
      <c r="AQ15" t="s">
        <v>158</v>
      </c>
      <c r="AR15" t="s">
        <v>30</v>
      </c>
      <c r="AS15" t="s">
        <v>1453</v>
      </c>
      <c r="AT15" t="s">
        <v>1454</v>
      </c>
      <c r="AU15" t="s">
        <v>1455</v>
      </c>
      <c r="AV15" t="s">
        <v>1456</v>
      </c>
      <c r="AW15" t="s">
        <v>716</v>
      </c>
      <c r="AX15" t="s">
        <v>783</v>
      </c>
      <c r="AY15" t="s">
        <v>579</v>
      </c>
      <c r="AZ15" t="s">
        <v>501</v>
      </c>
      <c r="BA15" t="s">
        <v>503</v>
      </c>
      <c r="BB15" t="s">
        <v>504</v>
      </c>
      <c r="BC15" t="s">
        <v>228</v>
      </c>
      <c r="BD15" t="s">
        <v>580</v>
      </c>
      <c r="BE15" t="s">
        <v>502</v>
      </c>
      <c r="BF15" t="s">
        <v>505</v>
      </c>
      <c r="BG15" t="s">
        <v>372</v>
      </c>
      <c r="BH15" t="s">
        <v>1457</v>
      </c>
      <c r="BI15" t="s">
        <v>997</v>
      </c>
      <c r="BJ15" t="s">
        <v>783</v>
      </c>
      <c r="BK15" t="s">
        <v>457</v>
      </c>
      <c r="BL15" t="s">
        <v>336</v>
      </c>
      <c r="BM15" t="s">
        <v>228</v>
      </c>
      <c r="BN15">
        <v>5.01</v>
      </c>
      <c r="BO15">
        <v>5.61</v>
      </c>
      <c r="BP15">
        <v>17.100000000000001</v>
      </c>
      <c r="BQ15">
        <v>6.55</v>
      </c>
      <c r="BR15">
        <v>6.27</v>
      </c>
      <c r="BS15">
        <v>19.690000000000001</v>
      </c>
      <c r="BT15" t="s">
        <v>740</v>
      </c>
      <c r="BU15" t="s">
        <v>543</v>
      </c>
      <c r="BV15">
        <v>37.33</v>
      </c>
      <c r="BW15">
        <v>40.49</v>
      </c>
      <c r="BX15">
        <v>49.38</v>
      </c>
      <c r="BY15">
        <v>8.9</v>
      </c>
      <c r="BZ15">
        <v>8.1300000000000008</v>
      </c>
      <c r="CA15">
        <v>21.62</v>
      </c>
      <c r="CB15">
        <v>-1.18</v>
      </c>
      <c r="CC15">
        <v>-5.18</v>
      </c>
      <c r="CD15" t="s">
        <v>1458</v>
      </c>
      <c r="CE15" t="s">
        <v>527</v>
      </c>
      <c r="CF15" s="7">
        <v>-0.52126288659793818</v>
      </c>
      <c r="CG15" s="8">
        <v>-0.61525113586956526</v>
      </c>
      <c r="CH15" s="7">
        <v>-0.75307410955429077</v>
      </c>
      <c r="CI15" s="7">
        <v>-0.16786506772041321</v>
      </c>
      <c r="CJ15" s="7">
        <v>3.1963471323251724E-2</v>
      </c>
      <c r="CK15" s="7">
        <v>9.7744360566139221E-2</v>
      </c>
      <c r="CL15" s="7">
        <v>0.11103378981351852</v>
      </c>
      <c r="CM15" s="8">
        <v>-0.72453778982162476</v>
      </c>
      <c r="CN15" s="8">
        <v>-0.67427122592926025</v>
      </c>
      <c r="CO15" s="8">
        <v>-0.17726798355579376</v>
      </c>
      <c r="CP15" s="8">
        <v>1.1263858079910278</v>
      </c>
      <c r="CQ15" s="8">
        <v>-0.34352254867553711</v>
      </c>
      <c r="CR15">
        <v>16.260909769631144</v>
      </c>
      <c r="CS15">
        <v>1.1953078658127294</v>
      </c>
      <c r="CT15">
        <v>1.400560224089636</v>
      </c>
      <c r="CU15" s="7">
        <v>-0.13603951111435891</v>
      </c>
      <c r="CV15" s="8">
        <v>-0.1586427479982376</v>
      </c>
      <c r="CW15">
        <v>0.06</v>
      </c>
      <c r="CX15">
        <v>86.361637601032854</v>
      </c>
      <c r="CY15" t="s">
        <v>1459</v>
      </c>
      <c r="CZ15">
        <v>-0.13603951111435891</v>
      </c>
      <c r="DA15">
        <v>28.787212533677618</v>
      </c>
      <c r="DB15" t="s">
        <v>1460</v>
      </c>
      <c r="DC15">
        <v>-0.12923753555864095</v>
      </c>
      <c r="DD15">
        <v>14.393606266838809</v>
      </c>
      <c r="DE15" t="s">
        <v>1461</v>
      </c>
      <c r="DF15">
        <v>-0.11971476978063585</v>
      </c>
      <c r="DG15">
        <v>8.636163760103285</v>
      </c>
      <c r="DH15" t="s">
        <v>1462</v>
      </c>
      <c r="DI15">
        <v>-0.10883160889148713</v>
      </c>
      <c r="DJ15">
        <v>4.3180818800516425</v>
      </c>
      <c r="DK15" t="s">
        <v>1463</v>
      </c>
      <c r="DL15">
        <v>-9.5227657780051239E-2</v>
      </c>
      <c r="DM15">
        <v>70793800</v>
      </c>
      <c r="DN15">
        <v>-0.13603951111435891</v>
      </c>
      <c r="DO15">
        <v>6113868500</v>
      </c>
      <c r="DP15">
        <v>1420333200</v>
      </c>
      <c r="DQ15">
        <v>1116</v>
      </c>
      <c r="DR15">
        <v>-0.38522337548357927</v>
      </c>
      <c r="DS15">
        <v>-0.45660838787132763</v>
      </c>
      <c r="DT15" s="9">
        <v>-0.92333333333333334</v>
      </c>
      <c r="DU15">
        <v>-1.0733333333333335</v>
      </c>
      <c r="DV15">
        <v>-1.9966666666666668</v>
      </c>
      <c r="DW15">
        <v>-1.0518000000000001</v>
      </c>
      <c r="DX15">
        <v>0.46069312169312171</v>
      </c>
      <c r="DY15">
        <v>-1.0166119037037038</v>
      </c>
      <c r="DZ15">
        <v>3673</v>
      </c>
      <c r="EA15">
        <v>-1.0046714883800827</v>
      </c>
      <c r="EB15">
        <v>1</v>
      </c>
      <c r="EC15">
        <v>9.9372921468307174E-2</v>
      </c>
      <c r="ED15">
        <v>0.30986920125901329</v>
      </c>
      <c r="EE15" s="10">
        <v>4.81E-3</v>
      </c>
      <c r="EF15">
        <v>2.4109999999999996E-2</v>
      </c>
      <c r="EG15">
        <v>14.320693121693122</v>
      </c>
      <c r="EH15">
        <v>-1</v>
      </c>
      <c r="EI15">
        <v>0</v>
      </c>
      <c r="EJ15">
        <v>0</v>
      </c>
      <c r="EK15" s="11">
        <v>45470</v>
      </c>
      <c r="EL15">
        <v>1.34</v>
      </c>
      <c r="EM15">
        <v>-4.59</v>
      </c>
      <c r="EN15">
        <v>6.42</v>
      </c>
      <c r="EO15">
        <v>-0.69</v>
      </c>
      <c r="EP15">
        <v>-1.93</v>
      </c>
    </row>
    <row r="16" spans="1:146" ht="96" x14ac:dyDescent="0.25">
      <c r="A16" s="5"/>
      <c r="B16" s="5"/>
      <c r="C16" s="5" t="str">
        <f>""&amp;CHAR(10)&amp;Basic_Fundamental_Information_Constructure(F16)&amp;CHAR(10)&amp;Basic_Fundamental_Information_Concatenate("")</f>
        <v xml:space="preserve">
市值21.657604亿, 利润656.63万; PE; 平均PE43.34; 平均PEG2.9, PB1.05; ROIC0%; ROE-2.4533%; 股利率0%; 毛利19.78%; 净利-7.5733%; 上一年度营收增-71.12%, 利润增108.25%; 当季营收增-42.97%, 利润增68.61%; 过往5年营收增-14.94%, 利润增2.59%
Income profile:
</v>
      </c>
      <c r="D16" t="s">
        <v>76</v>
      </c>
      <c r="E16" t="s">
        <v>1464</v>
      </c>
      <c r="F16">
        <v>1.88</v>
      </c>
      <c r="G16">
        <v>2.17</v>
      </c>
      <c r="H16" t="s">
        <v>1465</v>
      </c>
      <c r="I16">
        <v>2165760400</v>
      </c>
      <c r="K16">
        <v>1.05</v>
      </c>
      <c r="L16" t="s">
        <v>52</v>
      </c>
      <c r="M16" t="s">
        <v>1466</v>
      </c>
      <c r="N16" t="s">
        <v>1087</v>
      </c>
      <c r="O16" t="s">
        <v>1467</v>
      </c>
      <c r="P16">
        <v>12.05</v>
      </c>
      <c r="Q16" t="s">
        <v>1467</v>
      </c>
      <c r="R16">
        <v>6566307</v>
      </c>
      <c r="S16" s="4">
        <v>-0.49030000000000001</v>
      </c>
      <c r="T16" t="s">
        <v>1468</v>
      </c>
      <c r="U16">
        <v>1151962700</v>
      </c>
      <c r="V16">
        <v>1152000200</v>
      </c>
      <c r="W16">
        <v>1.32</v>
      </c>
      <c r="X16">
        <v>0.18</v>
      </c>
      <c r="Y16">
        <v>1.1200000000000001</v>
      </c>
      <c r="Z16" t="s">
        <v>836</v>
      </c>
      <c r="AA16" t="s">
        <v>646</v>
      </c>
      <c r="AB16" t="s">
        <v>1469</v>
      </c>
      <c r="AC16" t="s">
        <v>1470</v>
      </c>
      <c r="AD16" t="s">
        <v>30</v>
      </c>
      <c r="AE16">
        <v>1806166</v>
      </c>
      <c r="AF16" t="s">
        <v>1471</v>
      </c>
      <c r="AG16" t="s">
        <v>1472</v>
      </c>
      <c r="AH16" t="s">
        <v>1473</v>
      </c>
      <c r="AI16" t="s">
        <v>966</v>
      </c>
      <c r="AJ16" t="s">
        <v>1474</v>
      </c>
      <c r="AK16" t="s">
        <v>30</v>
      </c>
      <c r="AL16" t="s">
        <v>1475</v>
      </c>
      <c r="AM16" t="s">
        <v>30</v>
      </c>
      <c r="AN16" t="s">
        <v>1476</v>
      </c>
      <c r="AO16" t="s">
        <v>69</v>
      </c>
      <c r="AP16" t="s">
        <v>30</v>
      </c>
      <c r="AQ16" t="s">
        <v>342</v>
      </c>
      <c r="AR16" t="s">
        <v>30</v>
      </c>
      <c r="AS16" t="s">
        <v>680</v>
      </c>
      <c r="AT16" t="s">
        <v>30</v>
      </c>
      <c r="AU16" t="s">
        <v>95</v>
      </c>
      <c r="AV16" t="s">
        <v>1477</v>
      </c>
      <c r="AW16" t="s">
        <v>1478</v>
      </c>
      <c r="AX16" t="s">
        <v>785</v>
      </c>
      <c r="AY16" t="s">
        <v>260</v>
      </c>
      <c r="AZ16" t="s">
        <v>257</v>
      </c>
      <c r="BA16" t="s">
        <v>258</v>
      </c>
      <c r="BB16" t="s">
        <v>259</v>
      </c>
      <c r="BC16" t="s">
        <v>1479</v>
      </c>
      <c r="BD16" t="s">
        <v>581</v>
      </c>
      <c r="BE16" t="s">
        <v>127</v>
      </c>
      <c r="BF16" t="s">
        <v>53</v>
      </c>
      <c r="BG16" t="s">
        <v>137</v>
      </c>
      <c r="BH16" t="s">
        <v>1480</v>
      </c>
      <c r="BI16" t="s">
        <v>999</v>
      </c>
      <c r="BJ16" t="s">
        <v>785</v>
      </c>
      <c r="BK16" t="s">
        <v>1036</v>
      </c>
      <c r="BL16" t="s">
        <v>1481</v>
      </c>
      <c r="BM16" t="s">
        <v>1479</v>
      </c>
      <c r="BN16" t="s">
        <v>30</v>
      </c>
      <c r="BO16" t="s">
        <v>30</v>
      </c>
      <c r="BP16" t="s">
        <v>30</v>
      </c>
      <c r="BQ16">
        <v>-1.1200000000000001</v>
      </c>
      <c r="BR16">
        <v>-3.16</v>
      </c>
      <c r="BS16">
        <v>-3.08</v>
      </c>
      <c r="BT16" t="s">
        <v>737</v>
      </c>
      <c r="BU16" t="s">
        <v>542</v>
      </c>
      <c r="BV16">
        <v>18.71</v>
      </c>
      <c r="BW16">
        <v>20.58</v>
      </c>
      <c r="BX16">
        <v>20.05</v>
      </c>
      <c r="BY16">
        <v>-13.15</v>
      </c>
      <c r="BZ16">
        <v>-5</v>
      </c>
      <c r="CA16">
        <v>-4.57</v>
      </c>
      <c r="CB16">
        <v>2.17</v>
      </c>
      <c r="CC16">
        <v>-5.53</v>
      </c>
      <c r="CD16" t="s">
        <v>1482</v>
      </c>
      <c r="CE16" t="s">
        <v>366</v>
      </c>
      <c r="CF16" s="7">
        <v>-0.42974238875878212</v>
      </c>
      <c r="CG16" s="8">
        <v>0.68613280949079425</v>
      </c>
      <c r="CH16" s="7">
        <v>-0.71115070581436157</v>
      </c>
      <c r="CI16" s="7">
        <v>-3.9316274225711823E-2</v>
      </c>
      <c r="CJ16" s="7">
        <v>-0.15340080857276917</v>
      </c>
      <c r="CK16" s="7">
        <v>1.6176439821720123E-2</v>
      </c>
      <c r="CL16" s="7">
        <v>0.14093959331512451</v>
      </c>
      <c r="CM16" s="8">
        <v>1.0825011730194092</v>
      </c>
      <c r="CN16" s="8">
        <v>7.1541424840688705E-3</v>
      </c>
      <c r="CO16" s="8">
        <v>-1.4554767608642578</v>
      </c>
      <c r="CP16" s="8">
        <v>8.6419753730297089E-2</v>
      </c>
      <c r="CQ16" s="8">
        <v>0.40869563817977905</v>
      </c>
      <c r="CR16">
        <v>43.342369218043309</v>
      </c>
      <c r="CS16">
        <v>2.9020600822301259</v>
      </c>
      <c r="CT16">
        <v>0</v>
      </c>
      <c r="CU16" s="7">
        <v>-0.14935035109519959</v>
      </c>
      <c r="CV16" s="8">
        <v>2.5858789309859277E-2</v>
      </c>
      <c r="CW16">
        <v>0.06</v>
      </c>
      <c r="CX16">
        <v>101.99966495591124</v>
      </c>
      <c r="CY16" t="s">
        <v>1483</v>
      </c>
      <c r="CZ16">
        <v>-0.14935035109519959</v>
      </c>
      <c r="DA16">
        <v>33.999888318637083</v>
      </c>
      <c r="DB16" t="s">
        <v>1484</v>
      </c>
      <c r="DC16">
        <v>-0.1418828335404396</v>
      </c>
      <c r="DD16">
        <v>16.999944159318542</v>
      </c>
      <c r="DE16" t="s">
        <v>1485</v>
      </c>
      <c r="DF16">
        <v>-0.13142830896377564</v>
      </c>
      <c r="DG16">
        <v>10.199966495591124</v>
      </c>
      <c r="DH16" t="s">
        <v>1486</v>
      </c>
      <c r="DI16">
        <v>-0.11948028087615968</v>
      </c>
      <c r="DJ16">
        <v>5.0999832477955618</v>
      </c>
      <c r="DK16" t="s">
        <v>1487</v>
      </c>
      <c r="DL16">
        <v>-0.10454524576663971</v>
      </c>
      <c r="DM16">
        <v>6566300</v>
      </c>
      <c r="DN16">
        <v>-0.14935035109519959</v>
      </c>
      <c r="DO16">
        <v>669760400</v>
      </c>
      <c r="DP16">
        <v>284922080</v>
      </c>
      <c r="DQ16">
        <v>1140</v>
      </c>
      <c r="DR16">
        <v>-0.28039203766358256</v>
      </c>
      <c r="DS16">
        <v>0.66027402018093495</v>
      </c>
      <c r="DT16" s="9">
        <v>-0.90666666666666662</v>
      </c>
      <c r="DU16">
        <v>-6.6666666666666693E-2</v>
      </c>
      <c r="DV16">
        <v>-0.97333333333333327</v>
      </c>
      <c r="DW16">
        <v>-1.0552999999999999</v>
      </c>
      <c r="DX16">
        <v>0.28936153846153673</v>
      </c>
      <c r="DY16">
        <v>-1.0054946930769231</v>
      </c>
      <c r="DZ16">
        <v>4701</v>
      </c>
      <c r="EA16">
        <v>-1.0004397905026343</v>
      </c>
      <c r="EB16">
        <v>1</v>
      </c>
      <c r="EC16">
        <v>2.8031679161166813E-2</v>
      </c>
      <c r="ED16">
        <v>0.28211800657673497</v>
      </c>
      <c r="EE16" s="10">
        <v>-4</v>
      </c>
      <c r="EF16">
        <v>-4.0106099999999998</v>
      </c>
      <c r="EG16">
        <v>19.099361538461537</v>
      </c>
      <c r="EH16" t="s">
        <v>1488</v>
      </c>
      <c r="EI16">
        <v>0</v>
      </c>
      <c r="EJ16">
        <v>0</v>
      </c>
      <c r="EK16" s="11">
        <v>45470</v>
      </c>
      <c r="EL16">
        <v>-5.16</v>
      </c>
      <c r="EM16">
        <v>-4.95</v>
      </c>
      <c r="EN16">
        <v>0.52</v>
      </c>
      <c r="EO16">
        <v>-2.0699999999999998</v>
      </c>
      <c r="EP16">
        <v>-1.06</v>
      </c>
    </row>
    <row r="17" spans="1:146" ht="168" x14ac:dyDescent="0.25">
      <c r="A17" s="5"/>
      <c r="B17" s="5" t="s">
        <v>948</v>
      </c>
      <c r="C17" s="5" t="str">
        <f>"公司一直致力于米面制品的研发、生产及销售。公司主要产品包括面条、面粉、方便食品等产品。公司产品的市场占有率较高，“陈克明”品牌超市综合权数市场占有率稳居第一。"&amp;CHAR(10)&amp;Basic_Fundamental_Information_Constructure(F17)&amp;CHAR(10)&amp;Basic_Fundamental_Information_Concatenate("面条 31.32亿 62.39% 84.83% 21.42%
其他 8.28亿 16.50% 1.92% 1.83%
面粉 6.35亿 12.65% 0.77% 0.96%
方便食品 4.25亿 8.46% 12.49% 23.26%")</f>
        <v>公司一直致力于米面制品的研发、生产及销售。公司主要产品包括面条、面粉、方便食品等产品。公司产品的市场占有率较高，“陈克明”品牌超市综合权数市场占有率稳居第一。
市值26.337749亿, 利润4881.95万; PE; 平均PE16.29; 平均PEG10.97, PB1.04; ROIC3.35%; ROE3.0267%; 股利率0%; 毛利14.6733%; 净利.2333%; 上一年度营收增-78.59%, 利润增-70.94%; 当季营收增-51.57%, 利润增339.36%; 过往5年营收增1.48%, 利润增10.79%
Income profile:
面条 31.32亿 62.39% 84.83% 21.42%
其他 8.28亿 16.50% 1.92% 1.83%
面粉 6.35亿 12.65% 0.77% 0.96%
方便食品 4.25亿 8.46% 12.49% 23.26%</v>
      </c>
      <c r="D17" t="s">
        <v>786</v>
      </c>
      <c r="E17" t="s">
        <v>787</v>
      </c>
      <c r="F17">
        <v>7.66</v>
      </c>
      <c r="G17">
        <v>2.41</v>
      </c>
      <c r="H17" t="s">
        <v>1489</v>
      </c>
      <c r="I17">
        <v>2633774900</v>
      </c>
      <c r="K17">
        <v>1.04</v>
      </c>
      <c r="L17" t="s">
        <v>52</v>
      </c>
      <c r="M17" t="s">
        <v>1490</v>
      </c>
      <c r="N17" t="s">
        <v>1491</v>
      </c>
      <c r="O17" t="s">
        <v>286</v>
      </c>
      <c r="P17" s="4">
        <v>-11.18</v>
      </c>
      <c r="Q17" t="s">
        <v>286</v>
      </c>
      <c r="R17">
        <v>48819527</v>
      </c>
      <c r="S17">
        <v>0.4042</v>
      </c>
      <c r="T17" t="s">
        <v>1492</v>
      </c>
      <c r="U17">
        <v>322814800</v>
      </c>
      <c r="V17">
        <v>343834840</v>
      </c>
      <c r="W17">
        <v>2.14</v>
      </c>
      <c r="X17">
        <v>0.22</v>
      </c>
      <c r="Y17">
        <v>3.13</v>
      </c>
      <c r="Z17" t="s">
        <v>1073</v>
      </c>
      <c r="AA17" t="s">
        <v>1493</v>
      </c>
      <c r="AB17" t="s">
        <v>1494</v>
      </c>
      <c r="AC17" t="s">
        <v>1495</v>
      </c>
      <c r="AD17" t="s">
        <v>30</v>
      </c>
      <c r="AE17">
        <v>21033443</v>
      </c>
      <c r="AF17" t="s">
        <v>1496</v>
      </c>
      <c r="AG17" t="s">
        <v>1497</v>
      </c>
      <c r="AH17" t="s">
        <v>1498</v>
      </c>
      <c r="AI17" t="s">
        <v>1499</v>
      </c>
      <c r="AJ17" t="s">
        <v>1500</v>
      </c>
      <c r="AK17" t="s">
        <v>30</v>
      </c>
      <c r="AL17" t="s">
        <v>1501</v>
      </c>
      <c r="AM17" t="s">
        <v>30</v>
      </c>
      <c r="AN17" t="s">
        <v>1502</v>
      </c>
      <c r="AO17" t="s">
        <v>417</v>
      </c>
      <c r="AP17" t="s">
        <v>110</v>
      </c>
      <c r="AQ17" t="s">
        <v>960</v>
      </c>
      <c r="AR17" t="s">
        <v>30</v>
      </c>
      <c r="AS17" t="s">
        <v>1078</v>
      </c>
      <c r="AT17" t="s">
        <v>313</v>
      </c>
      <c r="AU17" t="s">
        <v>336</v>
      </c>
      <c r="AV17" t="s">
        <v>1503</v>
      </c>
      <c r="AW17" t="s">
        <v>666</v>
      </c>
      <c r="AX17" t="s">
        <v>1504</v>
      </c>
      <c r="AY17" t="s">
        <v>789</v>
      </c>
      <c r="AZ17" t="s">
        <v>790</v>
      </c>
      <c r="BA17" t="s">
        <v>791</v>
      </c>
      <c r="BB17" t="s">
        <v>792</v>
      </c>
      <c r="BC17" t="s">
        <v>316</v>
      </c>
      <c r="BD17" t="s">
        <v>793</v>
      </c>
      <c r="BE17" t="s">
        <v>794</v>
      </c>
      <c r="BF17" t="s">
        <v>263</v>
      </c>
      <c r="BG17" t="s">
        <v>784</v>
      </c>
      <c r="BH17" t="s">
        <v>1505</v>
      </c>
      <c r="BI17" t="s">
        <v>992</v>
      </c>
      <c r="BJ17" t="s">
        <v>1504</v>
      </c>
      <c r="BK17" t="s">
        <v>1506</v>
      </c>
      <c r="BL17" t="s">
        <v>1507</v>
      </c>
      <c r="BM17" t="s">
        <v>316</v>
      </c>
      <c r="BN17" t="s">
        <v>30</v>
      </c>
      <c r="BO17">
        <v>4.26</v>
      </c>
      <c r="BP17">
        <v>2.44</v>
      </c>
      <c r="BQ17">
        <v>0.45</v>
      </c>
      <c r="BR17">
        <v>6.01</v>
      </c>
      <c r="BS17">
        <v>2.62</v>
      </c>
      <c r="BT17" t="s">
        <v>737</v>
      </c>
      <c r="BU17" t="s">
        <v>1235</v>
      </c>
      <c r="BV17">
        <v>12.45</v>
      </c>
      <c r="BW17">
        <v>15.75</v>
      </c>
      <c r="BX17">
        <v>15.82</v>
      </c>
      <c r="BY17">
        <v>-3.94</v>
      </c>
      <c r="BZ17">
        <v>3.08</v>
      </c>
      <c r="CA17">
        <v>1.56</v>
      </c>
      <c r="CB17">
        <v>2.54</v>
      </c>
      <c r="CC17" s="7">
        <v>-11.45</v>
      </c>
      <c r="CD17" s="8" t="s">
        <v>1508</v>
      </c>
      <c r="CE17" s="7" t="s">
        <v>1509</v>
      </c>
      <c r="CF17" s="7">
        <v>-0.51568334578043318</v>
      </c>
      <c r="CG17" s="7">
        <v>3.3936431952769222</v>
      </c>
      <c r="CH17" s="7">
        <v>-0.78590291738510132</v>
      </c>
      <c r="CI17" s="7">
        <v>0.40004616975784302</v>
      </c>
      <c r="CJ17" s="8">
        <v>9.3228884041309357E-2</v>
      </c>
      <c r="CK17" s="8">
        <v>0.30454856157302856</v>
      </c>
      <c r="CL17" s="8">
        <v>6.2324885278940201E-2</v>
      </c>
      <c r="CM17" s="8">
        <v>-0.70940768718719482</v>
      </c>
      <c r="CN17" s="8">
        <v>1.4900729656219482</v>
      </c>
      <c r="CO17">
        <v>-0.76973414421081543</v>
      </c>
      <c r="CP17">
        <v>0.41545894742012024</v>
      </c>
      <c r="CQ17">
        <v>0.11290322244167328</v>
      </c>
      <c r="CR17" s="7">
        <v>16.286565609323588</v>
      </c>
      <c r="CS17" s="8">
        <v>10.968036678336329</v>
      </c>
      <c r="CT17">
        <v>0</v>
      </c>
      <c r="CU17">
        <v>1.4849116653203964E-2</v>
      </c>
      <c r="CV17">
        <v>0.1078586608171463</v>
      </c>
      <c r="CW17">
        <v>0.06</v>
      </c>
      <c r="CX17">
        <v>60.90657638388155</v>
      </c>
      <c r="CY17">
        <v>46740024.953255735</v>
      </c>
      <c r="CZ17">
        <v>1.4849116653203964E-2</v>
      </c>
      <c r="DA17">
        <v>21.22264234829553</v>
      </c>
      <c r="DB17">
        <v>134138570.17802663</v>
      </c>
      <c r="DC17">
        <v>1.4106660820543765E-2</v>
      </c>
      <c r="DD17">
        <v>11.35395257869151</v>
      </c>
      <c r="DE17">
        <v>250729856.43278751</v>
      </c>
      <c r="DF17">
        <v>1.3067222654819488E-2</v>
      </c>
      <c r="DG17">
        <v>7.4623272874969278</v>
      </c>
      <c r="DH17">
        <v>381486202.67161822</v>
      </c>
      <c r="DI17">
        <v>1.1879293322563171E-2</v>
      </c>
      <c r="DJ17">
        <v>4.6432997482977676</v>
      </c>
      <c r="DK17">
        <v>613093070.51383591</v>
      </c>
      <c r="DL17">
        <v>1.0394381657242774E-2</v>
      </c>
      <c r="DM17">
        <v>48819500</v>
      </c>
      <c r="DN17">
        <v>1.4849116653203964E-2</v>
      </c>
      <c r="DO17">
        <v>2846774900</v>
      </c>
      <c r="DP17">
        <v>-350522299.99999976</v>
      </c>
      <c r="DQ17" s="9">
        <v>1151</v>
      </c>
      <c r="DR17">
        <v>-0.53053246243363716</v>
      </c>
      <c r="DS17">
        <v>3.285784534459776</v>
      </c>
      <c r="DT17">
        <v>-0.50666666666666671</v>
      </c>
      <c r="DU17">
        <v>-0.18333333333333335</v>
      </c>
      <c r="DV17">
        <v>-0.69000000000000006</v>
      </c>
      <c r="DW17">
        <v>6.1815582558970696</v>
      </c>
      <c r="DX17">
        <v>0.46194206803036536</v>
      </c>
      <c r="DY17">
        <v>6.0275863368689873</v>
      </c>
      <c r="DZ17">
        <v>2958</v>
      </c>
      <c r="EA17">
        <v>6.0116175727870962</v>
      </c>
      <c r="EB17" s="10">
        <v>6</v>
      </c>
      <c r="EC17" s="10">
        <v>3.9628910205841854E-2</v>
      </c>
      <c r="ED17">
        <v>0.26081591964327988</v>
      </c>
      <c r="EE17">
        <v>1.012</v>
      </c>
      <c r="EF17">
        <v>1.0051099999999999</v>
      </c>
      <c r="EG17">
        <v>31.151942068030365</v>
      </c>
      <c r="EH17" s="11" t="s">
        <v>763</v>
      </c>
      <c r="EI17">
        <v>0</v>
      </c>
      <c r="EJ17">
        <v>0</v>
      </c>
      <c r="EK17">
        <v>45470</v>
      </c>
      <c r="EL17">
        <v>0.53</v>
      </c>
      <c r="EM17">
        <v>-3.32</v>
      </c>
      <c r="EN17">
        <v>2.19</v>
      </c>
      <c r="EO17">
        <v>2.15</v>
      </c>
      <c r="EP17">
        <v>-1.71</v>
      </c>
    </row>
    <row r="18" spans="1:146" ht="156" x14ac:dyDescent="0.25">
      <c r="A18" s="5"/>
      <c r="B18" s="5" t="s">
        <v>551</v>
      </c>
      <c r="C18" s="5" t="str">
        <f>"公司专注于酱卤肉制品及佐餐凉菜快捷消费食品的开发、生产和销售。主要产品为鲜货产品、包装产品、禽肉产品、畜肉产品、屠宰加工、米制品业务、检测业务等。"&amp;CHAR(10)&amp;Basic_Fundamental_Information_Constructure(F18)&amp;CHAR(10)&amp;Basic_Fundamental_Information_Concatenate("鲜货产品 9.46亿 67.25% 利润占比76.88% 37.74%
米制品业务 3.72亿 26.48% 利润占比18.84% 23.49%
包装产品 4598.52万 3.27%
其他业务 3122.67万 2.22% 利润占比4.28% 63.71%")</f>
        <v>公司专注于酱卤肉制品及佐餐凉菜快捷消费食品的开发、生产和销售。主要产品为鲜货产品、包装产品、禽肉产品、畜肉产品、屠宰加工、米制品业务、检测业务等。
市值36.090171亿, 利润3257.33万; PE53.92; 平均PE24.51; 平均PEG1.74, PB1.28; ROIC3.2167%; ROE3.7267%; 股利率2.7778%; 毛利30.0733%; 净利3.5433%; 上一年度营收增-76.56%, 利润增5.68%; 当季营收增-60.07%, 利润增-60.55%; 过往5年营收增-14.08%, 利润增-13.26%
Income profile:
鲜货产品 9.46亿 67.25% 利润占比76.88% 37.74%
米制品业务 3.72亿 26.48% 利润占比18.84% 23.49%
包装产品 4598.52万 3.27%
其他业务 3122.67万 2.22% 利润占比4.28% 63.71%</v>
      </c>
      <c r="D18" t="s">
        <v>82</v>
      </c>
      <c r="E18" t="s">
        <v>16</v>
      </c>
      <c r="F18">
        <v>6.48</v>
      </c>
      <c r="G18">
        <v>0.31</v>
      </c>
      <c r="H18" t="s">
        <v>1510</v>
      </c>
      <c r="I18">
        <v>3609017100</v>
      </c>
      <c r="J18">
        <v>53.92</v>
      </c>
      <c r="K18">
        <v>1.28</v>
      </c>
      <c r="L18" t="s">
        <v>52</v>
      </c>
      <c r="M18" t="s">
        <v>1511</v>
      </c>
      <c r="N18" t="s">
        <v>1512</v>
      </c>
      <c r="O18" t="s">
        <v>157</v>
      </c>
      <c r="P18">
        <v>-10.56</v>
      </c>
      <c r="Q18" t="s">
        <v>157</v>
      </c>
      <c r="R18">
        <v>32573317</v>
      </c>
      <c r="S18" s="4">
        <v>-0.1008</v>
      </c>
      <c r="T18" t="s">
        <v>1513</v>
      </c>
      <c r="U18">
        <v>464353510</v>
      </c>
      <c r="V18">
        <v>556947080</v>
      </c>
      <c r="W18">
        <v>1.18</v>
      </c>
      <c r="X18">
        <v>0.14000000000000001</v>
      </c>
      <c r="Y18">
        <v>6.95</v>
      </c>
      <c r="Z18" t="s">
        <v>844</v>
      </c>
      <c r="AA18" t="s">
        <v>1514</v>
      </c>
      <c r="AB18" t="s">
        <v>1515</v>
      </c>
      <c r="AC18" t="s">
        <v>1516</v>
      </c>
      <c r="AD18" t="s">
        <v>30</v>
      </c>
      <c r="AE18">
        <v>-3295097</v>
      </c>
      <c r="AF18" t="s">
        <v>1517</v>
      </c>
      <c r="AG18" t="s">
        <v>1518</v>
      </c>
      <c r="AH18" t="s">
        <v>1519</v>
      </c>
      <c r="AI18" t="s">
        <v>1520</v>
      </c>
      <c r="AJ18" t="s">
        <v>1521</v>
      </c>
      <c r="AK18" t="s">
        <v>30</v>
      </c>
      <c r="AL18" t="s">
        <v>1522</v>
      </c>
      <c r="AM18" t="s">
        <v>30</v>
      </c>
      <c r="AN18" t="s">
        <v>378</v>
      </c>
      <c r="AO18" t="s">
        <v>30</v>
      </c>
      <c r="AP18" t="s">
        <v>30</v>
      </c>
      <c r="AQ18" t="s">
        <v>91</v>
      </c>
      <c r="AR18" t="s">
        <v>30</v>
      </c>
      <c r="AS18" t="s">
        <v>330</v>
      </c>
      <c r="AT18" t="s">
        <v>30</v>
      </c>
      <c r="AU18" t="s">
        <v>1523</v>
      </c>
      <c r="AV18" t="s">
        <v>1524</v>
      </c>
      <c r="AW18" t="s">
        <v>1525</v>
      </c>
      <c r="AX18" t="s">
        <v>795</v>
      </c>
      <c r="AY18" t="s">
        <v>582</v>
      </c>
      <c r="AZ18" t="s">
        <v>154</v>
      </c>
      <c r="BA18" t="s">
        <v>266</v>
      </c>
      <c r="BB18" t="s">
        <v>267</v>
      </c>
      <c r="BC18" t="s">
        <v>1526</v>
      </c>
      <c r="BD18" t="s">
        <v>583</v>
      </c>
      <c r="BE18" t="s">
        <v>233</v>
      </c>
      <c r="BF18" t="s">
        <v>59</v>
      </c>
      <c r="BG18" t="s">
        <v>262</v>
      </c>
      <c r="BH18" t="s">
        <v>1527</v>
      </c>
      <c r="BI18" t="s">
        <v>1001</v>
      </c>
      <c r="BJ18" t="s">
        <v>795</v>
      </c>
      <c r="BK18" t="s">
        <v>1528</v>
      </c>
      <c r="BL18" t="s">
        <v>1529</v>
      </c>
      <c r="BM18" t="s">
        <v>1526</v>
      </c>
      <c r="BN18">
        <v>3.4</v>
      </c>
      <c r="BO18">
        <v>0.59</v>
      </c>
      <c r="BP18">
        <v>5.66</v>
      </c>
      <c r="BQ18">
        <v>4.21</v>
      </c>
      <c r="BR18">
        <v>1.32</v>
      </c>
      <c r="BS18">
        <v>5.65</v>
      </c>
      <c r="BT18" t="s">
        <v>817</v>
      </c>
      <c r="BU18" t="s">
        <v>524</v>
      </c>
      <c r="BV18">
        <v>29.06</v>
      </c>
      <c r="BW18">
        <v>28.16</v>
      </c>
      <c r="BX18">
        <v>33</v>
      </c>
      <c r="BY18">
        <v>3.45</v>
      </c>
      <c r="BZ18">
        <v>0.99</v>
      </c>
      <c r="CA18">
        <v>6.19</v>
      </c>
      <c r="CB18">
        <v>-0.15</v>
      </c>
      <c r="CC18">
        <v>-17.87</v>
      </c>
      <c r="CD18" t="s">
        <v>1530</v>
      </c>
      <c r="CE18" t="s">
        <v>1531</v>
      </c>
      <c r="CF18" s="7">
        <v>-0.60069747166521359</v>
      </c>
      <c r="CG18" s="8">
        <v>-0.60550090348896912</v>
      </c>
      <c r="CH18" s="7">
        <v>-0.7656090259552002</v>
      </c>
      <c r="CI18" s="7">
        <v>-0.16460028290748596</v>
      </c>
      <c r="CJ18" s="7">
        <v>-3.9819348603487015E-2</v>
      </c>
      <c r="CK18" s="7">
        <v>0.1506848931312561</v>
      </c>
      <c r="CL18" s="7">
        <v>0.11538464576005936</v>
      </c>
      <c r="CM18" s="8">
        <v>5.6799232959747314E-2</v>
      </c>
      <c r="CN18" s="8">
        <v>-0.78743034601211548</v>
      </c>
      <c r="CO18" s="8">
        <v>-0.4858156144618988</v>
      </c>
      <c r="CP18" s="8">
        <v>0.28181818127632141</v>
      </c>
      <c r="CQ18" s="8">
        <v>0.27167630195617676</v>
      </c>
      <c r="CR18">
        <v>24.512342201271252</v>
      </c>
      <c r="CS18">
        <v>1.7410344972088501</v>
      </c>
      <c r="CT18">
        <v>2.7777777777777777</v>
      </c>
      <c r="CU18" s="7">
        <v>-0.14079182371497154</v>
      </c>
      <c r="CV18" s="8">
        <v>-0.13259044885635377</v>
      </c>
      <c r="CW18">
        <v>0.06</v>
      </c>
      <c r="CX18">
        <v>41.199912198027221</v>
      </c>
      <c r="CY18" t="s">
        <v>1532</v>
      </c>
      <c r="CZ18">
        <v>-0.14079182371497154</v>
      </c>
      <c r="DA18">
        <v>13.733304066009072</v>
      </c>
      <c r="DB18" t="s">
        <v>1533</v>
      </c>
      <c r="DC18">
        <v>-0.13375223252922294</v>
      </c>
      <c r="DD18">
        <v>6.8666520330045362</v>
      </c>
      <c r="DE18" t="s">
        <v>1534</v>
      </c>
      <c r="DF18">
        <v>-0.12389680486917495</v>
      </c>
      <c r="DG18">
        <v>4.1199912198027215</v>
      </c>
      <c r="DH18" t="s">
        <v>1535</v>
      </c>
      <c r="DI18">
        <v>-0.11263345897197724</v>
      </c>
      <c r="DJ18">
        <v>2.0599956099013608</v>
      </c>
      <c r="DK18" t="s">
        <v>1536</v>
      </c>
      <c r="DL18">
        <v>-9.8554276600480065E-2</v>
      </c>
      <c r="DM18">
        <v>32573300</v>
      </c>
      <c r="DN18">
        <v>-0.14079182371497154</v>
      </c>
      <c r="DO18">
        <v>1342017100</v>
      </c>
      <c r="DP18">
        <v>1629330000</v>
      </c>
      <c r="DQ18">
        <v>1183</v>
      </c>
      <c r="DR18">
        <v>-0.45990564795024202</v>
      </c>
      <c r="DS18">
        <v>-0.47291045463261538</v>
      </c>
      <c r="DT18" s="9">
        <v>-0.80666666666666664</v>
      </c>
      <c r="DU18">
        <v>-0.65666666666666673</v>
      </c>
      <c r="DV18">
        <v>-1.4633333333333334</v>
      </c>
      <c r="DW18">
        <v>-3.0211488095238095</v>
      </c>
      <c r="DX18">
        <v>0.34256775038841869</v>
      </c>
      <c r="DY18">
        <v>-3.0038610905781549</v>
      </c>
      <c r="DZ18">
        <v>2587</v>
      </c>
      <c r="EA18">
        <v>-3.0019063662482748</v>
      </c>
      <c r="EB18">
        <v>3</v>
      </c>
      <c r="EC18">
        <v>2.6119896346345869E-2</v>
      </c>
      <c r="ED18">
        <v>0.14306960725963408</v>
      </c>
      <c r="EE18" s="10">
        <v>-1.0185</v>
      </c>
      <c r="EF18">
        <v>-1.00221</v>
      </c>
      <c r="EG18">
        <v>16.182567750388419</v>
      </c>
      <c r="EH18" t="s">
        <v>803</v>
      </c>
      <c r="EI18">
        <v>0</v>
      </c>
      <c r="EJ18">
        <v>0</v>
      </c>
      <c r="EK18" s="11">
        <v>45470</v>
      </c>
      <c r="EL18">
        <v>-0.15</v>
      </c>
      <c r="EM18">
        <v>-3.96</v>
      </c>
      <c r="EN18">
        <v>1.07</v>
      </c>
      <c r="EO18">
        <v>2.27</v>
      </c>
      <c r="EP18">
        <v>-2.0699999999999998</v>
      </c>
    </row>
    <row r="19" spans="1:146" ht="120" x14ac:dyDescent="0.25">
      <c r="A19" s="5"/>
      <c r="B19" s="5" t="s">
        <v>548</v>
      </c>
      <c r="C19" s="5" t="s">
        <v>547</v>
      </c>
      <c r="D19" t="s">
        <v>84</v>
      </c>
      <c r="E19" t="s">
        <v>9</v>
      </c>
      <c r="F19">
        <v>3.68</v>
      </c>
      <c r="G19">
        <v>1.1000000000000001</v>
      </c>
      <c r="H19" t="s">
        <v>1537</v>
      </c>
      <c r="I19">
        <v>2045196800</v>
      </c>
      <c r="K19">
        <v>1.75</v>
      </c>
      <c r="L19" t="s">
        <v>52</v>
      </c>
      <c r="M19" t="s">
        <v>1041</v>
      </c>
      <c r="N19" t="s">
        <v>1538</v>
      </c>
      <c r="O19" t="s">
        <v>1159</v>
      </c>
      <c r="P19">
        <v>14.46</v>
      </c>
      <c r="Q19" t="s">
        <v>1159</v>
      </c>
      <c r="R19">
        <v>10397650</v>
      </c>
      <c r="S19" s="4">
        <v>-0.2487</v>
      </c>
      <c r="T19" t="s">
        <v>1539</v>
      </c>
      <c r="U19">
        <v>461899980</v>
      </c>
      <c r="V19">
        <v>555760000</v>
      </c>
      <c r="W19">
        <v>1.64</v>
      </c>
      <c r="X19">
        <v>0.22</v>
      </c>
      <c r="Y19">
        <v>2.38</v>
      </c>
      <c r="Z19" t="s">
        <v>814</v>
      </c>
      <c r="AA19" t="s">
        <v>833</v>
      </c>
      <c r="AB19" t="s">
        <v>1540</v>
      </c>
      <c r="AC19" t="s">
        <v>1541</v>
      </c>
      <c r="AD19" t="s">
        <v>30</v>
      </c>
      <c r="AE19">
        <v>1190314</v>
      </c>
      <c r="AF19" t="s">
        <v>1542</v>
      </c>
      <c r="AG19" t="s">
        <v>1030</v>
      </c>
      <c r="AH19" t="s">
        <v>1543</v>
      </c>
      <c r="AI19" t="s">
        <v>658</v>
      </c>
      <c r="AJ19" t="s">
        <v>1544</v>
      </c>
      <c r="AK19" t="s">
        <v>30</v>
      </c>
      <c r="AL19" t="s">
        <v>1545</v>
      </c>
      <c r="AM19" t="s">
        <v>30</v>
      </c>
      <c r="AN19" t="s">
        <v>1546</v>
      </c>
      <c r="AO19" t="s">
        <v>1547</v>
      </c>
      <c r="AP19" t="s">
        <v>1548</v>
      </c>
      <c r="AQ19" t="s">
        <v>607</v>
      </c>
      <c r="AR19" t="s">
        <v>30</v>
      </c>
      <c r="AS19" t="s">
        <v>679</v>
      </c>
      <c r="AT19" t="s">
        <v>757</v>
      </c>
      <c r="AU19" t="s">
        <v>619</v>
      </c>
      <c r="AV19" t="s">
        <v>1034</v>
      </c>
      <c r="AW19" t="s">
        <v>1549</v>
      </c>
      <c r="AX19" t="s">
        <v>796</v>
      </c>
      <c r="AY19" t="s">
        <v>585</v>
      </c>
      <c r="AZ19" t="s">
        <v>270</v>
      </c>
      <c r="BA19" t="s">
        <v>272</v>
      </c>
      <c r="BB19" t="s">
        <v>273</v>
      </c>
      <c r="BC19" t="s">
        <v>797</v>
      </c>
      <c r="BD19" t="s">
        <v>586</v>
      </c>
      <c r="BE19" t="s">
        <v>271</v>
      </c>
      <c r="BF19" t="s">
        <v>274</v>
      </c>
      <c r="BG19" t="s">
        <v>275</v>
      </c>
      <c r="BH19" t="s">
        <v>1066</v>
      </c>
      <c r="BI19" t="s">
        <v>1004</v>
      </c>
      <c r="BJ19" t="s">
        <v>796</v>
      </c>
      <c r="BK19" t="s">
        <v>1550</v>
      </c>
      <c r="BL19" t="s">
        <v>1551</v>
      </c>
      <c r="BM19" t="s">
        <v>797</v>
      </c>
      <c r="BN19">
        <v>0.39</v>
      </c>
      <c r="BO19">
        <v>6.3</v>
      </c>
      <c r="BP19" t="s">
        <v>30</v>
      </c>
      <c r="BQ19">
        <v>0.44</v>
      </c>
      <c r="BR19">
        <v>7.8</v>
      </c>
      <c r="BS19">
        <v>-4.28</v>
      </c>
      <c r="BT19" t="s">
        <v>1552</v>
      </c>
      <c r="BU19" t="s">
        <v>1235</v>
      </c>
      <c r="BV19">
        <v>19.68</v>
      </c>
      <c r="BW19">
        <v>22.45</v>
      </c>
      <c r="BX19">
        <v>19.22</v>
      </c>
      <c r="BY19">
        <v>-0.03</v>
      </c>
      <c r="BZ19">
        <v>3.96</v>
      </c>
      <c r="CA19">
        <v>-2.36</v>
      </c>
      <c r="CB19">
        <v>2.2200000000000002</v>
      </c>
      <c r="CC19">
        <v>-11.33</v>
      </c>
      <c r="CD19" t="s">
        <v>1553</v>
      </c>
      <c r="CE19" t="s">
        <v>1018</v>
      </c>
      <c r="CF19" s="7">
        <v>-0.37465940054495911</v>
      </c>
      <c r="CG19" s="8">
        <v>7.7323843117493913</v>
      </c>
      <c r="CH19" s="7">
        <v>-0.71684139966964722</v>
      </c>
      <c r="CI19" s="7">
        <v>4.5806411653757095E-2</v>
      </c>
      <c r="CJ19" s="7">
        <v>-3.48692387342453E-2</v>
      </c>
      <c r="CK19" s="7">
        <v>0.15956683456897736</v>
      </c>
      <c r="CL19" s="7">
        <v>0.20960700511932373</v>
      </c>
      <c r="CM19" s="8">
        <v>-0.83552026748657227</v>
      </c>
      <c r="CN19" s="8">
        <v>2.8358244895935059</v>
      </c>
      <c r="CO19" s="8">
        <v>-1.4848529100418091</v>
      </c>
      <c r="CP19" s="8">
        <v>9.383265495300293</v>
      </c>
      <c r="CQ19" s="8">
        <v>-0.80398344993591309</v>
      </c>
      <c r="CR19">
        <v>80.766628623782196</v>
      </c>
      <c r="CS19">
        <v>11.992774000665241</v>
      </c>
      <c r="CT19">
        <v>1.0869565217391304</v>
      </c>
      <c r="CU19" s="7">
        <v>-6.7346077412366867E-2</v>
      </c>
      <c r="CV19" s="8">
        <v>1.8189466714859008</v>
      </c>
      <c r="CW19">
        <v>0.06</v>
      </c>
      <c r="CX19">
        <v>174.76911239985765</v>
      </c>
      <c r="CY19" t="s">
        <v>1554</v>
      </c>
      <c r="CZ19">
        <v>-6.7346077412366867E-2</v>
      </c>
      <c r="DA19">
        <v>58.256370799952556</v>
      </c>
      <c r="DB19" t="s">
        <v>1555</v>
      </c>
      <c r="DC19">
        <v>-6.3978773541748524E-2</v>
      </c>
      <c r="DD19">
        <v>29.128185399976278</v>
      </c>
      <c r="DE19" t="s">
        <v>1556</v>
      </c>
      <c r="DF19">
        <v>-5.9264548122882843E-2</v>
      </c>
      <c r="DG19">
        <v>17.476911239985768</v>
      </c>
      <c r="DH19" t="s">
        <v>1557</v>
      </c>
      <c r="DI19">
        <v>-5.3876861929893494E-2</v>
      </c>
      <c r="DJ19">
        <v>8.7384556199928838</v>
      </c>
      <c r="DK19" t="s">
        <v>1558</v>
      </c>
      <c r="DL19">
        <v>-4.7142254188656807E-2</v>
      </c>
      <c r="DM19">
        <v>10397700</v>
      </c>
      <c r="DN19">
        <v>-6.7346077412366867E-2</v>
      </c>
      <c r="DO19">
        <v>1817196800</v>
      </c>
      <c r="DP19">
        <v>408212170</v>
      </c>
      <c r="DQ19">
        <v>1189</v>
      </c>
      <c r="DR19">
        <v>-0.30731332313259224</v>
      </c>
      <c r="DS19">
        <v>5.9134376402634903</v>
      </c>
      <c r="DT19" s="9">
        <v>-0.55666666666666675</v>
      </c>
      <c r="DU19">
        <v>4.4999999999999818E-2</v>
      </c>
      <c r="DV19">
        <v>-0.51166666666666694</v>
      </c>
      <c r="DW19">
        <v>-2.1133000000000002</v>
      </c>
      <c r="DX19">
        <v>0.30331388888888899</v>
      </c>
      <c r="DY19">
        <v>-2.0151044636111113</v>
      </c>
      <c r="DZ19">
        <v>3565</v>
      </c>
      <c r="EA19">
        <v>-2.004566809447978</v>
      </c>
      <c r="EB19">
        <v>2</v>
      </c>
      <c r="EC19">
        <v>8.6355621131423629E-2</v>
      </c>
      <c r="ED19">
        <v>0.64776162372247015</v>
      </c>
      <c r="EE19" s="10">
        <v>-1.0055000000000001</v>
      </c>
      <c r="EF19">
        <v>-1.00271</v>
      </c>
      <c r="EG19">
        <v>17.133313888888889</v>
      </c>
      <c r="EH19" t="s">
        <v>803</v>
      </c>
      <c r="EI19">
        <v>0</v>
      </c>
      <c r="EJ19">
        <v>0</v>
      </c>
      <c r="EK19" s="11">
        <v>45470</v>
      </c>
      <c r="EL19">
        <v>0.56000000000000005</v>
      </c>
      <c r="EM19">
        <v>-4.42</v>
      </c>
      <c r="EN19">
        <v>2.31</v>
      </c>
      <c r="EO19">
        <v>3.11</v>
      </c>
      <c r="EP19">
        <v>-0.82</v>
      </c>
    </row>
    <row r="20" spans="1:146" ht="96" x14ac:dyDescent="0.25">
      <c r="A20" s="5"/>
      <c r="B20" s="5"/>
      <c r="C20" s="5" t="str">
        <f>""&amp;CHAR(10)&amp;Basic_Fundamental_Information_Constructure(F20)&amp;CHAR(10)&amp;Basic_Fundamental_Information_Concatenate("")</f>
        <v xml:space="preserve">
市值70.361228亿, 利润3034.87万; PE; 平均PE54.78; 平均PEG19.39, PB5.25; ROIC1.98%; ROE-13.9533%; 股利率0%; 毛利1.44%; 净利-4.9567%; 上一年度营收增-84.34%, 利润增-59.74%; 当季营收增-62.49%, 利润增104.86%; 过往5年营收增2.82%, 利润增38.21%
Income profile:
</v>
      </c>
      <c r="D20" t="s">
        <v>88</v>
      </c>
      <c r="E20" t="s">
        <v>526</v>
      </c>
      <c r="F20">
        <v>6.52</v>
      </c>
      <c r="G20">
        <v>-0.46</v>
      </c>
      <c r="H20" t="s">
        <v>1559</v>
      </c>
      <c r="I20">
        <v>7036122800</v>
      </c>
      <c r="K20">
        <v>5.25</v>
      </c>
      <c r="L20" t="s">
        <v>52</v>
      </c>
      <c r="M20" t="s">
        <v>1560</v>
      </c>
      <c r="N20" t="s">
        <v>1561</v>
      </c>
      <c r="O20" t="s">
        <v>1562</v>
      </c>
      <c r="P20">
        <v>-27.43</v>
      </c>
      <c r="Q20" t="s">
        <v>1562</v>
      </c>
      <c r="R20">
        <v>30348718</v>
      </c>
      <c r="S20" s="4">
        <v>0.43240000000000001</v>
      </c>
      <c r="T20" t="s">
        <v>1563</v>
      </c>
      <c r="U20">
        <v>1077112440</v>
      </c>
      <c r="V20">
        <v>1079159940</v>
      </c>
      <c r="W20">
        <v>3.55</v>
      </c>
      <c r="X20">
        <v>0.41</v>
      </c>
      <c r="Y20">
        <v>1.18</v>
      </c>
      <c r="Z20" t="s">
        <v>1564</v>
      </c>
      <c r="AA20" t="s">
        <v>608</v>
      </c>
      <c r="AB20" t="s">
        <v>1565</v>
      </c>
      <c r="AC20" t="s">
        <v>1566</v>
      </c>
      <c r="AD20" t="s">
        <v>30</v>
      </c>
      <c r="AE20">
        <v>20068928</v>
      </c>
      <c r="AF20" t="s">
        <v>64</v>
      </c>
      <c r="AG20" t="s">
        <v>1567</v>
      </c>
      <c r="AH20" t="s">
        <v>1568</v>
      </c>
      <c r="AI20" t="s">
        <v>1029</v>
      </c>
      <c r="AJ20" t="s">
        <v>1569</v>
      </c>
      <c r="AK20" t="s">
        <v>1570</v>
      </c>
      <c r="AL20" t="s">
        <v>1571</v>
      </c>
      <c r="AM20" t="s">
        <v>30</v>
      </c>
      <c r="AN20" t="s">
        <v>1572</v>
      </c>
      <c r="AO20" t="s">
        <v>1573</v>
      </c>
      <c r="AP20" t="s">
        <v>1076</v>
      </c>
      <c r="AQ20" t="s">
        <v>1574</v>
      </c>
      <c r="AR20" t="s">
        <v>30</v>
      </c>
      <c r="AS20" t="s">
        <v>1575</v>
      </c>
      <c r="AT20" t="s">
        <v>366</v>
      </c>
      <c r="AU20" t="s">
        <v>1576</v>
      </c>
      <c r="AV20" t="s">
        <v>1577</v>
      </c>
      <c r="AW20" t="s">
        <v>712</v>
      </c>
      <c r="AX20" t="s">
        <v>800</v>
      </c>
      <c r="AY20" t="s">
        <v>588</v>
      </c>
      <c r="AZ20" t="s">
        <v>278</v>
      </c>
      <c r="BA20" t="s">
        <v>281</v>
      </c>
      <c r="BB20" t="s">
        <v>282</v>
      </c>
      <c r="BC20" t="s">
        <v>801</v>
      </c>
      <c r="BD20" t="s">
        <v>589</v>
      </c>
      <c r="BE20" t="s">
        <v>279</v>
      </c>
      <c r="BF20" t="s">
        <v>283</v>
      </c>
      <c r="BG20" t="s">
        <v>240</v>
      </c>
      <c r="BH20" t="s">
        <v>1578</v>
      </c>
      <c r="BI20" t="s">
        <v>1007</v>
      </c>
      <c r="BJ20" t="s">
        <v>800</v>
      </c>
      <c r="BK20" t="s">
        <v>1579</v>
      </c>
      <c r="BL20" t="s">
        <v>1580</v>
      </c>
      <c r="BM20" t="s">
        <v>801</v>
      </c>
      <c r="BN20" t="s">
        <v>30</v>
      </c>
      <c r="BO20">
        <v>1.98</v>
      </c>
      <c r="BP20" t="s">
        <v>30</v>
      </c>
      <c r="BQ20">
        <v>-23.38</v>
      </c>
      <c r="BR20">
        <v>2.42</v>
      </c>
      <c r="BS20">
        <v>-20.9</v>
      </c>
      <c r="BT20" t="s">
        <v>737</v>
      </c>
      <c r="BU20" t="s">
        <v>674</v>
      </c>
      <c r="BV20">
        <v>-1.58</v>
      </c>
      <c r="BW20">
        <v>4.03</v>
      </c>
      <c r="BX20">
        <v>1.87</v>
      </c>
      <c r="BY20">
        <v>-11.14</v>
      </c>
      <c r="BZ20">
        <v>0.62</v>
      </c>
      <c r="CA20">
        <v>-4.3499999999999996</v>
      </c>
      <c r="CB20">
        <v>-0.61</v>
      </c>
      <c r="CC20">
        <v>-2.98</v>
      </c>
      <c r="CD20" t="s">
        <v>1581</v>
      </c>
      <c r="CE20" t="s">
        <v>1582</v>
      </c>
      <c r="CF20" s="7">
        <v>-0.62488849241748445</v>
      </c>
      <c r="CG20" s="8">
        <v>1.0486357660256411</v>
      </c>
      <c r="CH20" s="7">
        <v>-0.84344750642776489</v>
      </c>
      <c r="CI20" s="7">
        <v>-0.1739620715379715</v>
      </c>
      <c r="CJ20" s="7">
        <v>-0.19052363932132721</v>
      </c>
      <c r="CK20" s="7">
        <v>0.43276667594909668</v>
      </c>
      <c r="CL20" s="7">
        <v>0.91638171672821045</v>
      </c>
      <c r="CM20" s="8">
        <v>-0.5973670482635498</v>
      </c>
      <c r="CN20" s="8">
        <v>1.114378809928894</v>
      </c>
      <c r="CO20" s="8">
        <v>-1.7273730039596558</v>
      </c>
      <c r="CP20" s="8">
        <v>2.759335994720459</v>
      </c>
      <c r="CQ20" s="8">
        <v>0.36158192157745361</v>
      </c>
      <c r="CR20">
        <v>54.775406458574096</v>
      </c>
      <c r="CS20">
        <v>19.394305996931294</v>
      </c>
      <c r="CT20">
        <v>0</v>
      </c>
      <c r="CU20" s="7">
        <v>2.8243035078048706E-2</v>
      </c>
      <c r="CV20" s="8">
        <v>0.38211133480072024</v>
      </c>
      <c r="CW20">
        <v>0.06</v>
      </c>
      <c r="CX20">
        <v>340.02386644504594</v>
      </c>
      <c r="CY20">
        <v>29439471.13082375</v>
      </c>
      <c r="CZ20">
        <v>2.8243035078048706E-2</v>
      </c>
      <c r="DA20">
        <v>117.12393129824282</v>
      </c>
      <c r="DB20">
        <v>85466075.882565424</v>
      </c>
      <c r="DC20">
        <v>2.6830883324146269E-2</v>
      </c>
      <c r="DD20">
        <v>61.756395819229297</v>
      </c>
      <c r="DE20">
        <v>162090463.13682565</v>
      </c>
      <c r="DF20">
        <v>2.4853870868682862E-2</v>
      </c>
      <c r="DG20">
        <v>39.976342754172187</v>
      </c>
      <c r="DH20">
        <v>250401165.04792774</v>
      </c>
      <c r="DI20">
        <v>2.2594428062438967E-2</v>
      </c>
      <c r="DJ20">
        <v>24.151916051807525</v>
      </c>
      <c r="DK20">
        <v>414464955.01754797</v>
      </c>
      <c r="DL20">
        <v>1.9770124554634092E-2</v>
      </c>
      <c r="DM20">
        <v>30348700</v>
      </c>
      <c r="DN20">
        <v>2.8243035078048706E-2</v>
      </c>
      <c r="DO20">
        <v>10010122800</v>
      </c>
      <c r="DP20">
        <v>-272646300</v>
      </c>
      <c r="DQ20">
        <v>1209</v>
      </c>
      <c r="DR20">
        <v>-0.65313152749553316</v>
      </c>
      <c r="DS20">
        <v>0.66652443122492089</v>
      </c>
      <c r="DT20" s="9">
        <v>-0.7400000000000001</v>
      </c>
      <c r="DU20">
        <v>0.38499999999999995</v>
      </c>
      <c r="DV20">
        <v>-0.35500000000000015</v>
      </c>
      <c r="DW20">
        <v>-1.0298</v>
      </c>
      <c r="DX20">
        <v>0.53605051903114109</v>
      </c>
      <c r="DY20">
        <v>-1.003458305467128</v>
      </c>
      <c r="DZ20">
        <v>3385</v>
      </c>
      <c r="EA20">
        <v>-1.0011674318846959</v>
      </c>
      <c r="EB20">
        <v>1</v>
      </c>
      <c r="EC20">
        <v>3.1078433100472577E-2</v>
      </c>
      <c r="ED20">
        <v>0.26780089705702009</v>
      </c>
      <c r="EE20" s="10">
        <v>3.0019100000000001</v>
      </c>
      <c r="EF20">
        <v>3.0080100000000001</v>
      </c>
      <c r="EG20">
        <v>42.116050519031141</v>
      </c>
      <c r="EH20" t="s">
        <v>1185</v>
      </c>
      <c r="EI20">
        <v>0</v>
      </c>
      <c r="EJ20">
        <v>0</v>
      </c>
      <c r="EK20" s="11">
        <v>45470</v>
      </c>
      <c r="EL20">
        <v>-0.15</v>
      </c>
      <c r="EM20">
        <v>-0.6</v>
      </c>
      <c r="EN20">
        <v>-0.45</v>
      </c>
      <c r="EO20">
        <v>0.15</v>
      </c>
      <c r="EP20">
        <v>-0.61</v>
      </c>
    </row>
    <row r="21" spans="1:146" ht="108" x14ac:dyDescent="0.25">
      <c r="A21" s="5"/>
      <c r="B21" s="5"/>
      <c r="C21" s="5" t="str">
        <f>""&amp;CHAR(10)&amp;Basic_Fundamental_Information_Constructure(F21)&amp;CHAR(10)&amp;Basic_Fundamental_Information_Concatenate("")</f>
        <v xml:space="preserve">
市值14.984775亿, 利润1869.86万; PE27.65; 平均PE54.81; 平均PEG3.28, PB1.58; ROIC3.945%; ROE.4767%; 股利率2.681%; 毛利39.1633%; 净利-4.1733%; 上一年度营收增-32.2%, 利润增126.82%; 当季营收增-38.46%, 利润增-53.41%; 过往5年营收增-16.73%, 利润增-77.11%
Income profile:
</v>
      </c>
      <c r="D21" t="s">
        <v>93</v>
      </c>
      <c r="E21" t="s">
        <v>21</v>
      </c>
      <c r="F21">
        <v>7.46</v>
      </c>
      <c r="G21">
        <v>1.08</v>
      </c>
      <c r="H21" t="s">
        <v>1583</v>
      </c>
      <c r="I21">
        <v>1498477500</v>
      </c>
      <c r="J21">
        <v>27.65</v>
      </c>
      <c r="K21">
        <v>1.58</v>
      </c>
      <c r="L21" t="s">
        <v>52</v>
      </c>
      <c r="M21" t="s">
        <v>1584</v>
      </c>
      <c r="N21" t="s">
        <v>1585</v>
      </c>
      <c r="O21" t="s">
        <v>496</v>
      </c>
      <c r="P21">
        <v>12.44</v>
      </c>
      <c r="Q21" t="s">
        <v>496</v>
      </c>
      <c r="R21">
        <v>18698588</v>
      </c>
      <c r="S21" s="4">
        <v>-0.26779999999999998</v>
      </c>
      <c r="T21" t="s">
        <v>1586</v>
      </c>
      <c r="U21">
        <v>200335580</v>
      </c>
      <c r="V21">
        <v>200868300</v>
      </c>
      <c r="W21">
        <v>1.08</v>
      </c>
      <c r="X21">
        <v>0.15</v>
      </c>
      <c r="Y21">
        <v>11.66</v>
      </c>
      <c r="Z21" t="s">
        <v>677</v>
      </c>
      <c r="AA21" t="s">
        <v>1587</v>
      </c>
      <c r="AB21" t="s">
        <v>1588</v>
      </c>
      <c r="AC21" t="s">
        <v>1589</v>
      </c>
      <c r="AD21" t="s">
        <v>30</v>
      </c>
      <c r="AE21">
        <v>-760315</v>
      </c>
      <c r="AF21" t="s">
        <v>1590</v>
      </c>
      <c r="AG21" t="s">
        <v>1591</v>
      </c>
      <c r="AH21" t="s">
        <v>1592</v>
      </c>
      <c r="AI21" t="s">
        <v>1593</v>
      </c>
      <c r="AJ21" t="s">
        <v>1594</v>
      </c>
      <c r="AK21" t="s">
        <v>30</v>
      </c>
      <c r="AL21" t="s">
        <v>1595</v>
      </c>
      <c r="AM21" t="s">
        <v>30</v>
      </c>
      <c r="AN21" t="s">
        <v>1596</v>
      </c>
      <c r="AO21" t="s">
        <v>30</v>
      </c>
      <c r="AP21" t="s">
        <v>30</v>
      </c>
      <c r="AQ21" t="s">
        <v>1597</v>
      </c>
      <c r="AR21" t="s">
        <v>1598</v>
      </c>
      <c r="AS21" t="s">
        <v>1599</v>
      </c>
      <c r="AT21" t="s">
        <v>30</v>
      </c>
      <c r="AU21" t="s">
        <v>1600</v>
      </c>
      <c r="AV21" t="s">
        <v>1601</v>
      </c>
      <c r="AW21" t="s">
        <v>1602</v>
      </c>
      <c r="AX21" t="s">
        <v>602</v>
      </c>
      <c r="AY21" t="s">
        <v>150</v>
      </c>
      <c r="AZ21" t="s">
        <v>290</v>
      </c>
      <c r="BA21" t="s">
        <v>292</v>
      </c>
      <c r="BB21" t="s">
        <v>293</v>
      </c>
      <c r="BC21" t="s">
        <v>1603</v>
      </c>
      <c r="BD21" t="s">
        <v>591</v>
      </c>
      <c r="BE21" t="s">
        <v>291</v>
      </c>
      <c r="BF21" t="s">
        <v>294</v>
      </c>
      <c r="BG21" t="s">
        <v>295</v>
      </c>
      <c r="BH21" t="s">
        <v>1044</v>
      </c>
      <c r="BI21" t="s">
        <v>958</v>
      </c>
      <c r="BJ21" t="s">
        <v>602</v>
      </c>
      <c r="BK21" t="s">
        <v>1604</v>
      </c>
      <c r="BL21" t="s">
        <v>1605</v>
      </c>
      <c r="BM21" t="s">
        <v>1603</v>
      </c>
      <c r="BN21">
        <v>6.3</v>
      </c>
      <c r="BO21" t="s">
        <v>30</v>
      </c>
      <c r="BP21">
        <v>1.59</v>
      </c>
      <c r="BQ21">
        <v>6.47</v>
      </c>
      <c r="BR21">
        <v>-7.06</v>
      </c>
      <c r="BS21">
        <v>2.02</v>
      </c>
      <c r="BT21" t="s">
        <v>740</v>
      </c>
      <c r="BU21" t="s">
        <v>524</v>
      </c>
      <c r="BV21">
        <v>46.04</v>
      </c>
      <c r="BW21">
        <v>28.42</v>
      </c>
      <c r="BX21">
        <v>43.03</v>
      </c>
      <c r="BY21">
        <v>12.11</v>
      </c>
      <c r="BZ21">
        <v>-29.88</v>
      </c>
      <c r="CA21">
        <v>5.25</v>
      </c>
      <c r="CB21">
        <v>0.95</v>
      </c>
      <c r="CC21">
        <v>-11.51</v>
      </c>
      <c r="CD21" t="s">
        <v>1606</v>
      </c>
      <c r="CE21" t="s">
        <v>1607</v>
      </c>
      <c r="CF21" s="7">
        <v>-0.38461538461538464</v>
      </c>
      <c r="CG21" s="8">
        <v>-0.5340531219552308</v>
      </c>
      <c r="CH21" s="7">
        <v>-0.32203391194343567</v>
      </c>
      <c r="CI21" s="7">
        <v>-0.41728395223617554</v>
      </c>
      <c r="CJ21" s="7">
        <v>0.16045844554901123</v>
      </c>
      <c r="CK21" s="7">
        <v>-0.31163707375526428</v>
      </c>
      <c r="CL21" s="7">
        <v>5.4054055362939835E-2</v>
      </c>
      <c r="CM21" s="8">
        <v>1.2681952714920044</v>
      </c>
      <c r="CN21" s="8">
        <v>-4.2753043174743652</v>
      </c>
      <c r="CO21" s="8">
        <v>-0.14979769289493561</v>
      </c>
      <c r="CP21" s="8">
        <v>-0.70405179262161255</v>
      </c>
      <c r="CQ21" s="8">
        <v>5.5722757242619991E-3</v>
      </c>
      <c r="CR21">
        <v>54.811452113787134</v>
      </c>
      <c r="CS21">
        <v>3.2764628913899134</v>
      </c>
      <c r="CT21">
        <v>2.6809651474530831</v>
      </c>
      <c r="CU21" s="7">
        <v>-0.16728848740458488</v>
      </c>
      <c r="CV21" s="8">
        <v>-0.77107725115492942</v>
      </c>
      <c r="CW21">
        <v>0.06</v>
      </c>
      <c r="CX21">
        <v>33.349026130298526</v>
      </c>
      <c r="CY21" t="s">
        <v>1608</v>
      </c>
      <c r="CZ21">
        <v>-0.16728848740458488</v>
      </c>
      <c r="DA21">
        <v>11.116342043432841</v>
      </c>
      <c r="DB21" t="s">
        <v>1609</v>
      </c>
      <c r="DC21">
        <v>-0.15892406303435563</v>
      </c>
      <c r="DD21">
        <v>5.5581710217164204</v>
      </c>
      <c r="DE21" t="s">
        <v>1610</v>
      </c>
      <c r="DF21">
        <v>-0.14721386891603469</v>
      </c>
      <c r="DG21">
        <v>3.3349026130298527</v>
      </c>
      <c r="DH21" t="s">
        <v>1611</v>
      </c>
      <c r="DI21">
        <v>-0.1338307899236679</v>
      </c>
      <c r="DJ21">
        <v>1.6674513065149263</v>
      </c>
      <c r="DK21" t="s">
        <v>1612</v>
      </c>
      <c r="DL21">
        <v>-0.11710194118320941</v>
      </c>
      <c r="DM21">
        <v>18698600</v>
      </c>
      <c r="DN21">
        <v>-0.16728848740458488</v>
      </c>
      <c r="DO21">
        <v>623580100</v>
      </c>
      <c r="DP21">
        <v>639574180</v>
      </c>
      <c r="DQ21">
        <v>1291</v>
      </c>
      <c r="DR21">
        <v>-0.21732689721079976</v>
      </c>
      <c r="DS21">
        <v>0.23702412919969862</v>
      </c>
      <c r="DT21" s="9">
        <v>-0.73999999999999988</v>
      </c>
      <c r="DU21">
        <v>-1.0566666666666666</v>
      </c>
      <c r="DV21">
        <v>-1.7966666666666664</v>
      </c>
      <c r="DW21">
        <v>-2.1151</v>
      </c>
      <c r="DX21">
        <v>0.28790758602343292</v>
      </c>
      <c r="DY21">
        <v>-2.0147221631512973</v>
      </c>
      <c r="DZ21">
        <v>3881</v>
      </c>
      <c r="EA21">
        <v>-2.0035408098851164</v>
      </c>
      <c r="EB21">
        <v>2</v>
      </c>
      <c r="EC21">
        <v>6.3193644791139258E-2</v>
      </c>
      <c r="ED21">
        <v>0.49405705131173022</v>
      </c>
      <c r="EE21" s="10">
        <v>1.1311</v>
      </c>
      <c r="EF21">
        <v>1.1127</v>
      </c>
      <c r="EG21">
        <v>16.127907586023433</v>
      </c>
      <c r="EH21" t="s">
        <v>657</v>
      </c>
      <c r="EI21">
        <v>0</v>
      </c>
      <c r="EJ21">
        <v>0</v>
      </c>
      <c r="EK21" s="11">
        <v>45470</v>
      </c>
      <c r="EL21">
        <v>0.94</v>
      </c>
      <c r="EM21">
        <v>-3.6</v>
      </c>
      <c r="EN21">
        <v>1.38</v>
      </c>
      <c r="EO21">
        <v>3.41</v>
      </c>
      <c r="EP21">
        <v>-1.84</v>
      </c>
    </row>
    <row r="22" spans="1:146" ht="172.9" customHeight="1" x14ac:dyDescent="0.25">
      <c r="A22" s="5" t="s">
        <v>726</v>
      </c>
      <c r="B22" s="5"/>
      <c r="C22" s="5" t="str">
        <f>"公司主营业务是饲料加工、畜禽养殖、畜禽屠宰加工、肉制品深加工。公司主要产品包括饲料、生鲜猪肉、生鲜禽肉等。公司2010年成功通过中央储备冻肉冷库资质审定,获得中央储备冻猪肉收储资格。"&amp;CHAR(10)&amp;Basic_Fundamental_Information_Constructure(F22)&amp;CHAR(10)&amp;Basic_Fundamental_Information_Concatenate("屠宰及肉类加工行业 79.48亿 95.28% 85.03% 2.43%
其他行业 2.26亿 2.71% 7.53% 7.58%
畜禽养殖行业 1.07亿 1.28% 6.97% 14.87%
饲料行业 6133.07万 0.74% 0.47% 1.74%")</f>
        <v>公司主营业务是饲料加工、畜禽养殖、畜禽屠宰加工、肉制品深加工。公司主要产品包括饲料、生鲜猪肉、生鲜禽肉等。公司2010年成功通过中央储备冻肉冷库资质审定,获得中央储备冻猪肉收储资格。
市值104.750528亿, 利润-1.57亿; PE; 平均PE403.55; 平均PEG339.87, PB5.43; ROIC4.35%; ROE-7.42%; 股利率0%; 毛利2.87%; 净利-3.0733%; 上一年度营收增-78.88%, 利润增-278.93%; 当季营收增-51.53%, 利润增55.82%; 过往5年营收增-1.19%, 利润增-77.04%
Income profile:
屠宰及肉类加工行业 79.48亿 95.28% 85.03% 2.43%
其他行业 2.26亿 2.71% 7.53% 7.58%
畜禽养殖行业 1.07亿 1.28% 6.97% 14.87%
饲料行业 6133.07万 0.74% 0.47% 1.74%</v>
      </c>
      <c r="D22" t="s">
        <v>96</v>
      </c>
      <c r="E22" t="s">
        <v>19</v>
      </c>
      <c r="F22">
        <v>16.920000000000002</v>
      </c>
      <c r="G22">
        <v>0.83</v>
      </c>
      <c r="H22" t="s">
        <v>1613</v>
      </c>
      <c r="I22">
        <v>10475052800</v>
      </c>
      <c r="K22">
        <v>5.43</v>
      </c>
      <c r="L22" t="s">
        <v>52</v>
      </c>
      <c r="M22" t="s">
        <v>1614</v>
      </c>
      <c r="N22" t="s">
        <v>1615</v>
      </c>
      <c r="O22" t="s">
        <v>1616</v>
      </c>
      <c r="P22">
        <v>0.52</v>
      </c>
      <c r="Q22" t="s">
        <v>1616</v>
      </c>
      <c r="R22">
        <v>-157297080</v>
      </c>
      <c r="S22" s="4">
        <v>-0.50409999999999999</v>
      </c>
      <c r="T22" t="s">
        <v>1617</v>
      </c>
      <c r="U22">
        <v>469955850</v>
      </c>
      <c r="V22">
        <v>619092950</v>
      </c>
      <c r="W22">
        <v>4.3099999999999996</v>
      </c>
      <c r="X22">
        <v>0.22</v>
      </c>
      <c r="Y22">
        <v>-8.26</v>
      </c>
      <c r="Z22" t="s">
        <v>1618</v>
      </c>
      <c r="AA22" t="s">
        <v>449</v>
      </c>
      <c r="AB22" t="s">
        <v>1619</v>
      </c>
      <c r="AC22" t="s">
        <v>1620</v>
      </c>
      <c r="AD22" t="s">
        <v>30</v>
      </c>
      <c r="AE22">
        <v>60945158</v>
      </c>
      <c r="AF22" t="s">
        <v>1621</v>
      </c>
      <c r="AG22" t="s">
        <v>1622</v>
      </c>
      <c r="AH22" t="s">
        <v>1623</v>
      </c>
      <c r="AI22" t="s">
        <v>995</v>
      </c>
      <c r="AJ22" t="s">
        <v>1624</v>
      </c>
      <c r="AK22" t="s">
        <v>1625</v>
      </c>
      <c r="AL22" t="s">
        <v>1626</v>
      </c>
      <c r="AM22" t="s">
        <v>30</v>
      </c>
      <c r="AN22" t="s">
        <v>853</v>
      </c>
      <c r="AO22" t="s">
        <v>1627</v>
      </c>
      <c r="AP22" t="s">
        <v>30</v>
      </c>
      <c r="AQ22" t="s">
        <v>277</v>
      </c>
      <c r="AR22" t="s">
        <v>1628</v>
      </c>
      <c r="AS22" t="s">
        <v>1629</v>
      </c>
      <c r="AT22" t="s">
        <v>1046</v>
      </c>
      <c r="AU22" t="s">
        <v>1630</v>
      </c>
      <c r="AV22" t="s">
        <v>1631</v>
      </c>
      <c r="AW22" t="s">
        <v>960</v>
      </c>
      <c r="AX22" t="s">
        <v>804</v>
      </c>
      <c r="AY22" t="s">
        <v>592</v>
      </c>
      <c r="AZ22" t="s">
        <v>296</v>
      </c>
      <c r="BA22" t="s">
        <v>297</v>
      </c>
      <c r="BB22" t="s">
        <v>298</v>
      </c>
      <c r="BC22" t="s">
        <v>805</v>
      </c>
      <c r="BD22" t="s">
        <v>593</v>
      </c>
      <c r="BE22" t="s">
        <v>106</v>
      </c>
      <c r="BF22" t="s">
        <v>77</v>
      </c>
      <c r="BG22" t="s">
        <v>261</v>
      </c>
      <c r="BH22" t="s">
        <v>1632</v>
      </c>
      <c r="BI22" t="s">
        <v>1011</v>
      </c>
      <c r="BJ22" t="s">
        <v>804</v>
      </c>
      <c r="BK22" t="s">
        <v>1633</v>
      </c>
      <c r="BL22" t="s">
        <v>327</v>
      </c>
      <c r="BM22" t="s">
        <v>805</v>
      </c>
      <c r="BN22" t="s">
        <v>30</v>
      </c>
      <c r="BO22">
        <v>4.3499999999999996</v>
      </c>
      <c r="BP22" t="s">
        <v>30</v>
      </c>
      <c r="BQ22">
        <v>-14.36</v>
      </c>
      <c r="BR22">
        <v>4.1900000000000004</v>
      </c>
      <c r="BS22">
        <v>-12.09</v>
      </c>
      <c r="BT22" t="s">
        <v>737</v>
      </c>
      <c r="BU22" t="s">
        <v>674</v>
      </c>
      <c r="BV22">
        <v>-0.38</v>
      </c>
      <c r="BW22">
        <v>6.26</v>
      </c>
      <c r="BX22">
        <v>2.73</v>
      </c>
      <c r="BY22">
        <v>-7.58</v>
      </c>
      <c r="BZ22">
        <v>1.32</v>
      </c>
      <c r="CA22">
        <v>-2.96</v>
      </c>
      <c r="CB22">
        <v>1.99</v>
      </c>
      <c r="CC22">
        <v>-24.8</v>
      </c>
      <c r="CD22" t="s">
        <v>1634</v>
      </c>
      <c r="CE22" t="s">
        <v>824</v>
      </c>
      <c r="CF22" s="7">
        <v>-0.51529868868382711</v>
      </c>
      <c r="CG22" s="8">
        <v>0.55815426966292137</v>
      </c>
      <c r="CH22" s="7">
        <v>-0.78882771730422974</v>
      </c>
      <c r="CI22" s="7">
        <v>0.13306163251399994</v>
      </c>
      <c r="CJ22" s="7">
        <v>-5.5907607078552246E-2</v>
      </c>
      <c r="CK22" s="7">
        <v>0.14663897454738617</v>
      </c>
      <c r="CL22" s="7">
        <v>0.50566619634628296</v>
      </c>
      <c r="CM22" s="8">
        <v>-2.7892818450927734</v>
      </c>
      <c r="CN22" s="8">
        <v>1.4570037126541138</v>
      </c>
      <c r="CO22" s="8">
        <v>-2.4222221374511719</v>
      </c>
      <c r="CP22" s="8">
        <v>2.2727273404598236E-2</v>
      </c>
      <c r="CQ22" s="8">
        <v>-0.11999999731779099</v>
      </c>
      <c r="CR22">
        <v>403.54706644913119</v>
      </c>
      <c r="CS22">
        <v>339.86619493038808</v>
      </c>
      <c r="CT22">
        <v>0</v>
      </c>
      <c r="CU22" s="7">
        <v>-1.1873704195022584E-2</v>
      </c>
      <c r="CV22" s="8">
        <v>-0.77035459876060486</v>
      </c>
      <c r="CW22">
        <v>0.06</v>
      </c>
      <c r="CX22" t="e">
        <v>#VALUE!</v>
      </c>
      <c r="CY22" t="s">
        <v>661</v>
      </c>
      <c r="CZ22">
        <v>-1.1873704195022584E-2</v>
      </c>
      <c r="DA22" t="e">
        <v>#VALUE!</v>
      </c>
      <c r="DB22" t="s">
        <v>656</v>
      </c>
      <c r="DC22">
        <v>-1.1280018985271454E-2</v>
      </c>
      <c r="DD22" t="e">
        <v>#VALUE!</v>
      </c>
      <c r="DE22" t="s">
        <v>656</v>
      </c>
      <c r="DF22">
        <v>-1.0448859691619874E-2</v>
      </c>
      <c r="DG22" t="e">
        <v>#VALUE!</v>
      </c>
      <c r="DH22" t="s">
        <v>656</v>
      </c>
      <c r="DI22">
        <v>-9.4989633560180683E-3</v>
      </c>
      <c r="DJ22" t="e">
        <v>#VALUE!</v>
      </c>
      <c r="DK22" t="s">
        <v>656</v>
      </c>
      <c r="DL22">
        <v>-8.3115929365158072E-3</v>
      </c>
      <c r="DM22">
        <v>-157000000</v>
      </c>
      <c r="DN22">
        <v>-1.1873704195022584E-2</v>
      </c>
      <c r="DO22">
        <v>14996052800</v>
      </c>
      <c r="DP22">
        <v>-1460585800</v>
      </c>
      <c r="DQ22">
        <v>1310</v>
      </c>
      <c r="DR22">
        <v>-0.50342498448880457</v>
      </c>
      <c r="DS22">
        <v>1.3285088684235262</v>
      </c>
      <c r="DT22" s="9">
        <v>-0.67333333333333334</v>
      </c>
      <c r="DU22">
        <v>-2.0316666666666667</v>
      </c>
      <c r="DV22">
        <v>-2.7050000000000001</v>
      </c>
      <c r="DW22">
        <v>-3.0995238095238093</v>
      </c>
      <c r="DX22">
        <v>0.30247236842105274</v>
      </c>
      <c r="DY22">
        <v>-3.0171651071428571</v>
      </c>
      <c r="DZ22">
        <v>4612</v>
      </c>
      <c r="EA22">
        <v>-3.0016728421442549</v>
      </c>
      <c r="EB22">
        <v>3</v>
      </c>
      <c r="EC22">
        <v>6.3518248754084503E-2</v>
      </c>
      <c r="ED22">
        <v>0.36828072424342739</v>
      </c>
      <c r="EE22" s="10">
        <v>-1.03271</v>
      </c>
      <c r="EF22">
        <v>-1.00671</v>
      </c>
      <c r="EG22">
        <v>13.172472368421053</v>
      </c>
      <c r="EH22" t="s">
        <v>803</v>
      </c>
      <c r="EI22">
        <v>0</v>
      </c>
      <c r="EJ22">
        <v>0</v>
      </c>
      <c r="EK22" s="11">
        <v>45470</v>
      </c>
      <c r="EL22">
        <v>0.11</v>
      </c>
      <c r="EM22">
        <v>-5.43</v>
      </c>
      <c r="EN22">
        <v>-1.0900000000000001</v>
      </c>
      <c r="EO22">
        <v>-1.34</v>
      </c>
      <c r="EP22">
        <v>2.6</v>
      </c>
    </row>
    <row r="23" spans="1:146" ht="96" x14ac:dyDescent="0.25">
      <c r="A23" s="5"/>
      <c r="B23" s="5"/>
      <c r="C23" s="5" t="str">
        <f>""&amp;CHAR(10)&amp;Basic_Fundamental_Information_Constructure(F23)&amp;CHAR(10)&amp;Basic_Fundamental_Information_Concatenate("")</f>
        <v xml:space="preserve">
市值115.874795亿, 利润1.60亿; PE20.92; 平均PE66.06; 平均PEG6.37, PB7.08; ROIC17.8733%; ROE27.07%; 股利率3.552%; 毛利34.6567%; 净利9.89%; 上一年度营收增-57.74%, 利润增-46.84%; 当季营收增-35.43%, 利润增-35.11%; 过往5年营收增10.37%, 利润增37.1%
Income profile:
</v>
      </c>
      <c r="D23" t="s">
        <v>98</v>
      </c>
      <c r="E23" t="s">
        <v>14</v>
      </c>
      <c r="F23">
        <v>42.23</v>
      </c>
      <c r="G23">
        <v>-0.12</v>
      </c>
      <c r="H23" t="s">
        <v>1635</v>
      </c>
      <c r="I23">
        <v>11587479500</v>
      </c>
      <c r="J23">
        <v>20.92</v>
      </c>
      <c r="K23">
        <v>7.08</v>
      </c>
      <c r="L23" t="s">
        <v>52</v>
      </c>
      <c r="M23" t="s">
        <v>1636</v>
      </c>
      <c r="N23" t="s">
        <v>1637</v>
      </c>
      <c r="O23" t="s">
        <v>842</v>
      </c>
      <c r="P23">
        <v>37</v>
      </c>
      <c r="Q23" t="s">
        <v>842</v>
      </c>
      <c r="R23">
        <v>159624450</v>
      </c>
      <c r="S23" s="4">
        <v>0.43099999999999999</v>
      </c>
      <c r="T23" t="s">
        <v>496</v>
      </c>
      <c r="U23">
        <v>244705540</v>
      </c>
      <c r="V23">
        <v>274389760</v>
      </c>
      <c r="W23">
        <v>1.86</v>
      </c>
      <c r="X23">
        <v>0.41</v>
      </c>
      <c r="Y23">
        <v>13.06</v>
      </c>
      <c r="Z23" t="s">
        <v>1638</v>
      </c>
      <c r="AA23" t="s">
        <v>1639</v>
      </c>
      <c r="AB23" t="s">
        <v>229</v>
      </c>
      <c r="AC23" t="s">
        <v>1640</v>
      </c>
      <c r="AD23" t="s">
        <v>30</v>
      </c>
      <c r="AE23">
        <v>3655918</v>
      </c>
      <c r="AF23" t="s">
        <v>1641</v>
      </c>
      <c r="AG23" t="s">
        <v>1642</v>
      </c>
      <c r="AH23" t="s">
        <v>1643</v>
      </c>
      <c r="AI23" t="s">
        <v>170</v>
      </c>
      <c r="AJ23" t="s">
        <v>1644</v>
      </c>
      <c r="AK23" t="s">
        <v>1645</v>
      </c>
      <c r="AL23" t="s">
        <v>1646</v>
      </c>
      <c r="AM23" t="s">
        <v>30</v>
      </c>
      <c r="AN23" t="s">
        <v>1647</v>
      </c>
      <c r="AO23" t="s">
        <v>1031</v>
      </c>
      <c r="AP23" t="s">
        <v>812</v>
      </c>
      <c r="AQ23" t="s">
        <v>368</v>
      </c>
      <c r="AR23" t="s">
        <v>30</v>
      </c>
      <c r="AS23" t="s">
        <v>1648</v>
      </c>
      <c r="AT23" t="s">
        <v>1649</v>
      </c>
      <c r="AU23" t="s">
        <v>751</v>
      </c>
      <c r="AV23" t="s">
        <v>1650</v>
      </c>
      <c r="AW23" t="s">
        <v>1651</v>
      </c>
      <c r="AX23" t="s">
        <v>807</v>
      </c>
      <c r="AY23" t="s">
        <v>594</v>
      </c>
      <c r="AZ23" t="s">
        <v>299</v>
      </c>
      <c r="BA23" t="s">
        <v>301</v>
      </c>
      <c r="BB23" t="s">
        <v>302</v>
      </c>
      <c r="BC23" t="s">
        <v>330</v>
      </c>
      <c r="BD23" t="s">
        <v>342</v>
      </c>
      <c r="BE23" t="s">
        <v>300</v>
      </c>
      <c r="BF23" t="s">
        <v>56</v>
      </c>
      <c r="BG23" t="s">
        <v>303</v>
      </c>
      <c r="BH23" t="s">
        <v>1652</v>
      </c>
      <c r="BI23" t="s">
        <v>1013</v>
      </c>
      <c r="BJ23" t="s">
        <v>807</v>
      </c>
      <c r="BK23" t="s">
        <v>572</v>
      </c>
      <c r="BL23" t="s">
        <v>587</v>
      </c>
      <c r="BM23" t="s">
        <v>330</v>
      </c>
      <c r="BN23">
        <v>21.87</v>
      </c>
      <c r="BO23">
        <v>19.57</v>
      </c>
      <c r="BP23">
        <v>12.18</v>
      </c>
      <c r="BQ23">
        <v>32.42</v>
      </c>
      <c r="BR23">
        <v>30.65</v>
      </c>
      <c r="BS23">
        <v>18.14</v>
      </c>
      <c r="BT23" t="s">
        <v>1653</v>
      </c>
      <c r="BU23" t="s">
        <v>524</v>
      </c>
      <c r="BV23">
        <v>33.54</v>
      </c>
      <c r="BW23">
        <v>34.72</v>
      </c>
      <c r="BX23">
        <v>35.71</v>
      </c>
      <c r="BY23">
        <v>12.47</v>
      </c>
      <c r="BZ23">
        <v>10.43</v>
      </c>
      <c r="CA23">
        <v>6.77</v>
      </c>
      <c r="CB23">
        <v>-1.26</v>
      </c>
      <c r="CC23">
        <v>-12.5</v>
      </c>
      <c r="CD23" t="s">
        <v>1654</v>
      </c>
      <c r="CE23" t="s">
        <v>1655</v>
      </c>
      <c r="CF23" s="7">
        <v>-0.35427666314677936</v>
      </c>
      <c r="CG23" s="8">
        <v>-0.3511201219512195</v>
      </c>
      <c r="CH23" s="7">
        <v>-0.57740151882171631</v>
      </c>
      <c r="CI23" s="7">
        <v>0.26818594336509705</v>
      </c>
      <c r="CJ23" s="7">
        <v>0.1648799329996109</v>
      </c>
      <c r="CK23" s="7">
        <v>0.40028589963912964</v>
      </c>
      <c r="CL23" s="7">
        <v>0.26263543963432312</v>
      </c>
      <c r="CM23" s="8">
        <v>-0.4684385359287262</v>
      </c>
      <c r="CN23" s="8">
        <v>0.99337750673294067</v>
      </c>
      <c r="CO23" s="8">
        <v>-0.37603306770324707</v>
      </c>
      <c r="CP23" s="8">
        <v>0.890625</v>
      </c>
      <c r="CQ23" s="8">
        <v>0.81526046991348267</v>
      </c>
      <c r="CR23">
        <v>66.056055538680596</v>
      </c>
      <c r="CS23">
        <v>6.3688659313391565</v>
      </c>
      <c r="CT23">
        <v>3.5519772673454892</v>
      </c>
      <c r="CU23" s="7">
        <v>0.10371713936328888</v>
      </c>
      <c r="CV23" s="8">
        <v>0.37095827460288999</v>
      </c>
      <c r="CW23">
        <v>0.06</v>
      </c>
      <c r="CX23">
        <v>68.088597166165926</v>
      </c>
      <c r="CY23">
        <v>166598813.48879832</v>
      </c>
      <c r="CZ23">
        <v>0.10371713936328888</v>
      </c>
      <c r="DA23">
        <v>21.994160558400324</v>
      </c>
      <c r="DB23">
        <v>515749599.53029603</v>
      </c>
      <c r="DC23">
        <v>9.8531282395124431E-2</v>
      </c>
      <c r="DD23">
        <v>10.659727086789584</v>
      </c>
      <c r="DE23">
        <v>1064143519.5895191</v>
      </c>
      <c r="DF23">
        <v>9.1271082639694218E-2</v>
      </c>
      <c r="DG23">
        <v>6.2890743520701049</v>
      </c>
      <c r="DH23">
        <v>1803680297.7637229</v>
      </c>
      <c r="DI23">
        <v>8.2973711490631111E-2</v>
      </c>
      <c r="DJ23">
        <v>3.1238815225603158</v>
      </c>
      <c r="DK23">
        <v>3631213097.577064</v>
      </c>
      <c r="DL23">
        <v>7.2601997554302217E-2</v>
      </c>
      <c r="DM23">
        <v>160000000</v>
      </c>
      <c r="DN23">
        <v>0.10371713936328888</v>
      </c>
      <c r="DO23">
        <v>11343479500</v>
      </c>
      <c r="DP23">
        <v>65626500</v>
      </c>
      <c r="DQ23">
        <v>1316</v>
      </c>
      <c r="DR23">
        <v>-0.45799380251006827</v>
      </c>
      <c r="DS23">
        <v>-0.72207839655410955</v>
      </c>
      <c r="DT23" s="9">
        <v>-0.10666666666666676</v>
      </c>
      <c r="DU23">
        <v>0.21333333333333326</v>
      </c>
      <c r="DV23">
        <v>0.10666666666666651</v>
      </c>
      <c r="DW23">
        <v>-2.125</v>
      </c>
      <c r="DX23">
        <v>0.30770760969095462</v>
      </c>
      <c r="DY23">
        <v>-2.0159634512113693</v>
      </c>
      <c r="DZ23">
        <v>73</v>
      </c>
      <c r="EA23">
        <v>-2.0157354019083495</v>
      </c>
      <c r="EB23">
        <v>2</v>
      </c>
      <c r="EC23">
        <v>2.1398757737898091E-2</v>
      </c>
      <c r="ED23">
        <v>0.16756055328012237</v>
      </c>
      <c r="EE23" s="10">
        <v>-2.10731</v>
      </c>
      <c r="EF23">
        <v>-2.1231100000000001</v>
      </c>
      <c r="EG23">
        <v>18.127707609690955</v>
      </c>
      <c r="EH23" t="s">
        <v>1067</v>
      </c>
      <c r="EI23">
        <v>0</v>
      </c>
      <c r="EJ23">
        <v>1</v>
      </c>
      <c r="EK23" s="11">
        <v>45470</v>
      </c>
      <c r="EL23">
        <v>-2.41</v>
      </c>
      <c r="EM23">
        <v>-2.4700000000000002</v>
      </c>
      <c r="EN23">
        <v>-1.1299999999999999</v>
      </c>
      <c r="EO23">
        <v>-1.34</v>
      </c>
      <c r="EP23">
        <v>-1.58</v>
      </c>
    </row>
    <row r="24" spans="1:146" ht="153" customHeight="1" x14ac:dyDescent="0.25">
      <c r="A24" s="5" t="s">
        <v>947</v>
      </c>
      <c r="B24" s="5" t="s">
        <v>946</v>
      </c>
      <c r="C24" s="5" t="str">
        <f>"公司为燕麦食品的研发、生产和销售。公司的主要产品为以燕麦为主的谷物健康食品,旗下有以热食冲调燕麦产品为主的西麦品牌和冷食休闲燕麦产品为主的西澳阳光子品牌。"&amp;CHAR(10)&amp;Basic_Fundamental_Information_Constructure(F24)&amp;CHAR(10)&amp;Basic_Fundamental_Information_Concatenate("纯燕麦片 6.20亿 46.68% 48.12% 44.44%
复合燕麦片 4.94亿 37.21% 39.47% 45.73%
冷食燕麦片 9829.26万 7.41% 7.69% 44.77%")</f>
        <v>公司为燕麦食品的研发、生产和销售。公司的主要产品为以燕麦为主的谷物健康食品,旗下有以热食冲调燕麦产品为主的西麦品牌和冷食休闲燕麦产品为主的西澳阳光子品牌。
市值29.446264亿, 利润4500.34万; PE24.3; 平均PE25.83; 平均PEG12.81, PB1.97; ROIC6.5467%; ROE7.4167%; 股利率2.3503%; 毛利44.7867%; 净利8.1867%; 上一年度营收增-57.35%, 利润增-58.71%; 当季营收增-19.26%, 利润增-31.12%; 过往5年营收增-2.02%, 利润增-15.29%
Income profile:
纯燕麦片 6.20亿 46.68% 48.12% 44.44%
复合燕麦片 4.94亿 37.21% 39.47% 45.73%
冷食燕麦片 9829.26万 7.41% 7.69% 44.77%</v>
      </c>
      <c r="D24" t="s">
        <v>104</v>
      </c>
      <c r="E24" t="s">
        <v>34</v>
      </c>
      <c r="F24">
        <v>13.19</v>
      </c>
      <c r="G24">
        <v>-3.58</v>
      </c>
      <c r="H24" t="s">
        <v>1656</v>
      </c>
      <c r="I24">
        <v>2944626400</v>
      </c>
      <c r="J24">
        <v>24.3</v>
      </c>
      <c r="K24">
        <v>1.97</v>
      </c>
      <c r="L24" t="s">
        <v>52</v>
      </c>
      <c r="M24" t="s">
        <v>1055</v>
      </c>
      <c r="N24" t="s">
        <v>1657</v>
      </c>
      <c r="O24" t="s">
        <v>1077</v>
      </c>
      <c r="P24">
        <v>46.07</v>
      </c>
      <c r="Q24" t="s">
        <v>1077</v>
      </c>
      <c r="R24">
        <v>45003373</v>
      </c>
      <c r="S24" s="4">
        <v>0.1459</v>
      </c>
      <c r="T24" t="s">
        <v>1658</v>
      </c>
      <c r="U24">
        <v>223224300</v>
      </c>
      <c r="V24">
        <v>223246890</v>
      </c>
      <c r="W24">
        <v>1.28</v>
      </c>
      <c r="X24">
        <v>0.28999999999999998</v>
      </c>
      <c r="Y24">
        <v>7.96</v>
      </c>
      <c r="Z24" t="s">
        <v>1659</v>
      </c>
      <c r="AA24" t="s">
        <v>610</v>
      </c>
      <c r="AB24" t="s">
        <v>173</v>
      </c>
      <c r="AC24" t="s">
        <v>1660</v>
      </c>
      <c r="AD24" t="s">
        <v>30</v>
      </c>
      <c r="AE24">
        <v>-2415954</v>
      </c>
      <c r="AF24" t="s">
        <v>1661</v>
      </c>
      <c r="AG24" t="s">
        <v>1662</v>
      </c>
      <c r="AH24" t="s">
        <v>1663</v>
      </c>
      <c r="AI24" t="s">
        <v>1664</v>
      </c>
      <c r="AJ24" t="s">
        <v>1665</v>
      </c>
      <c r="AK24" t="s">
        <v>1666</v>
      </c>
      <c r="AL24" t="s">
        <v>1667</v>
      </c>
      <c r="AM24" t="s">
        <v>30</v>
      </c>
      <c r="AN24" t="s">
        <v>73</v>
      </c>
      <c r="AO24" t="s">
        <v>1668</v>
      </c>
      <c r="AP24" t="s">
        <v>1669</v>
      </c>
      <c r="AQ24" t="s">
        <v>370</v>
      </c>
      <c r="AR24" t="s">
        <v>1670</v>
      </c>
      <c r="AS24" t="s">
        <v>150</v>
      </c>
      <c r="AT24" t="s">
        <v>30</v>
      </c>
      <c r="AU24" t="s">
        <v>1671</v>
      </c>
      <c r="AV24" t="s">
        <v>1672</v>
      </c>
      <c r="AW24" t="s">
        <v>1673</v>
      </c>
      <c r="AX24" t="s">
        <v>809</v>
      </c>
      <c r="AY24" t="s">
        <v>595</v>
      </c>
      <c r="AZ24" t="s">
        <v>310</v>
      </c>
      <c r="BA24" t="s">
        <v>311</v>
      </c>
      <c r="BB24" t="s">
        <v>122</v>
      </c>
      <c r="BC24" t="s">
        <v>664</v>
      </c>
      <c r="BD24" t="s">
        <v>99</v>
      </c>
      <c r="BE24" t="s">
        <v>77</v>
      </c>
      <c r="BF24" t="s">
        <v>105</v>
      </c>
      <c r="BG24" t="s">
        <v>81</v>
      </c>
      <c r="BH24" t="s">
        <v>685</v>
      </c>
      <c r="BI24" t="s">
        <v>401</v>
      </c>
      <c r="BJ24" t="s">
        <v>809</v>
      </c>
      <c r="BK24" t="s">
        <v>137</v>
      </c>
      <c r="BL24" t="s">
        <v>1674</v>
      </c>
      <c r="BM24" t="s">
        <v>664</v>
      </c>
      <c r="BN24">
        <v>5.47</v>
      </c>
      <c r="BO24">
        <v>6.92</v>
      </c>
      <c r="BP24">
        <v>7.25</v>
      </c>
      <c r="BQ24">
        <v>6.55</v>
      </c>
      <c r="BR24">
        <v>7.91</v>
      </c>
      <c r="BS24">
        <v>7.79</v>
      </c>
      <c r="BT24" t="s">
        <v>1675</v>
      </c>
      <c r="BU24" t="s">
        <v>524</v>
      </c>
      <c r="BV24">
        <v>44.55</v>
      </c>
      <c r="BW24">
        <v>43.11</v>
      </c>
      <c r="BX24">
        <v>46.7</v>
      </c>
      <c r="BY24">
        <v>7.32</v>
      </c>
      <c r="BZ24">
        <v>8.1999999999999993</v>
      </c>
      <c r="CA24">
        <v>9.0399999999999991</v>
      </c>
      <c r="CB24">
        <v>-4</v>
      </c>
      <c r="CC24">
        <v>-8.02</v>
      </c>
      <c r="CD24" t="s">
        <v>1676</v>
      </c>
      <c r="CE24" t="s">
        <v>78</v>
      </c>
      <c r="CF24" s="7">
        <v>-0.19258202567760344</v>
      </c>
      <c r="CG24" s="8">
        <v>-0.31120730187980394</v>
      </c>
      <c r="CH24" s="7">
        <v>-0.57347404956817627</v>
      </c>
      <c r="CI24" s="7">
        <v>0.14991340041160583</v>
      </c>
      <c r="CJ24" s="7">
        <v>0.126953125</v>
      </c>
      <c r="CK24" s="7">
        <v>5.2415210753679276E-2</v>
      </c>
      <c r="CL24" s="7">
        <v>0.14336074888706207</v>
      </c>
      <c r="CM24" s="8">
        <v>-0.58712476491928101</v>
      </c>
      <c r="CN24" s="8">
        <v>4.8076923936605453E-2</v>
      </c>
      <c r="CO24" s="8">
        <v>-0.21212121844291687</v>
      </c>
      <c r="CP24" s="8">
        <v>-0.15923567116260529</v>
      </c>
      <c r="CQ24" s="8">
        <v>0.14598539471626282</v>
      </c>
      <c r="CR24">
        <v>25.82992774597319</v>
      </c>
      <c r="CS24">
        <v>12.808453320149697</v>
      </c>
      <c r="CT24">
        <v>2.350265352539803</v>
      </c>
      <c r="CU24" s="7">
        <v>-2.0166312903165819E-2</v>
      </c>
      <c r="CV24" s="8">
        <v>-0.15288386717438698</v>
      </c>
      <c r="CW24">
        <v>0.06</v>
      </c>
      <c r="CX24">
        <v>44.455005621797461</v>
      </c>
      <c r="CY24" t="s">
        <v>1677</v>
      </c>
      <c r="CZ24">
        <v>-2.0166312903165819E-2</v>
      </c>
      <c r="DA24">
        <v>14.818335207265822</v>
      </c>
      <c r="DB24" t="s">
        <v>1678</v>
      </c>
      <c r="DC24">
        <v>-1.9157997258007528E-2</v>
      </c>
      <c r="DD24">
        <v>7.4091676036329108</v>
      </c>
      <c r="DE24" t="s">
        <v>1679</v>
      </c>
      <c r="DF24">
        <v>-1.7746355354785921E-2</v>
      </c>
      <c r="DG24">
        <v>4.4455005621797463</v>
      </c>
      <c r="DH24" t="s">
        <v>1680</v>
      </c>
      <c r="DI24">
        <v>-1.6133050322532656E-2</v>
      </c>
      <c r="DJ24">
        <v>2.2227502810898732</v>
      </c>
      <c r="DK24" t="s">
        <v>1681</v>
      </c>
      <c r="DL24">
        <v>-1.4116419032216072E-2</v>
      </c>
      <c r="DM24">
        <v>45003400</v>
      </c>
      <c r="DN24">
        <v>-2.0166312903165819E-2</v>
      </c>
      <c r="DO24">
        <v>2000626400</v>
      </c>
      <c r="DP24">
        <v>879519100</v>
      </c>
      <c r="DQ24">
        <v>1416</v>
      </c>
      <c r="DR24">
        <v>-0.17241571277443762</v>
      </c>
      <c r="DS24">
        <v>-0.15832343470541696</v>
      </c>
      <c r="DT24" s="9">
        <v>-0.60666666666666669</v>
      </c>
      <c r="DU24">
        <v>-0.6366666666666666</v>
      </c>
      <c r="DV24">
        <v>-1.2433333333333332</v>
      </c>
      <c r="DW24">
        <v>-8.4987531172069826</v>
      </c>
      <c r="DX24">
        <v>0.67324190476190471</v>
      </c>
      <c r="DY24">
        <v>-8.0614672841705257</v>
      </c>
      <c r="DZ24">
        <v>2452</v>
      </c>
      <c r="EA24">
        <v>-8.0319726108268608</v>
      </c>
      <c r="EB24">
        <v>8</v>
      </c>
      <c r="EC24">
        <v>5.7964525284092426E-2</v>
      </c>
      <c r="ED24">
        <v>0.47033130002393314</v>
      </c>
      <c r="EE24" s="10">
        <v>2.0150000000000001</v>
      </c>
      <c r="EF24">
        <v>2.0078</v>
      </c>
      <c r="EG24">
        <v>55.123241904761905</v>
      </c>
      <c r="EH24" t="s">
        <v>782</v>
      </c>
      <c r="EI24">
        <v>0</v>
      </c>
      <c r="EJ24">
        <v>0</v>
      </c>
      <c r="EK24" s="11">
        <v>45470</v>
      </c>
      <c r="EL24">
        <v>0.57999999999999996</v>
      </c>
      <c r="EM24">
        <v>-1.6</v>
      </c>
      <c r="EN24">
        <v>2.36</v>
      </c>
      <c r="EO24">
        <v>-7.0000000000000007E-2</v>
      </c>
      <c r="EP24">
        <v>-0.72</v>
      </c>
    </row>
    <row r="25" spans="1:146" ht="96" x14ac:dyDescent="0.25">
      <c r="A25" s="5"/>
      <c r="B25" s="5"/>
      <c r="C25" s="5" t="str">
        <f>""&amp;CHAR(10)&amp;Basic_Fundamental_Information_Constructure(F25)&amp;CHAR(10)&amp;Basic_Fundamental_Information_Concatenate("")</f>
        <v xml:space="preserve">
市值53.487244亿, 利润9129.27万; PE14.65; 平均PE36.88; 平均PEG19.09, PB3.04; ROIC11.1133%; ROE11.6367%; 股利率3.7992%; 毛利35.2%; 净利13.53%; 上一年度营收增-59.61%, 利润增-42.22%; 当季营收增-29.06%, 利润增-23.92%; 过往5年营收增-1.93%, 利润增-1.41%
Income profile:
</v>
      </c>
      <c r="D25" t="s">
        <v>107</v>
      </c>
      <c r="E25" t="s">
        <v>108</v>
      </c>
      <c r="F25">
        <v>57.38</v>
      </c>
      <c r="G25">
        <v>-0.97</v>
      </c>
      <c r="H25" t="s">
        <v>1682</v>
      </c>
      <c r="I25">
        <v>5348724400</v>
      </c>
      <c r="J25">
        <v>14.65</v>
      </c>
      <c r="K25">
        <v>3.04</v>
      </c>
      <c r="L25" t="s">
        <v>52</v>
      </c>
      <c r="M25" t="s">
        <v>1683</v>
      </c>
      <c r="N25" t="s">
        <v>1684</v>
      </c>
      <c r="O25" t="s">
        <v>1685</v>
      </c>
      <c r="P25">
        <v>49.75</v>
      </c>
      <c r="Q25" t="s">
        <v>1685</v>
      </c>
      <c r="R25">
        <v>91292733</v>
      </c>
      <c r="S25" s="4">
        <v>0.65300000000000002</v>
      </c>
      <c r="T25" t="s">
        <v>1686</v>
      </c>
      <c r="U25">
        <v>49685531</v>
      </c>
      <c r="V25">
        <v>93215831</v>
      </c>
      <c r="W25">
        <v>1.21</v>
      </c>
      <c r="X25">
        <v>0.28000000000000003</v>
      </c>
      <c r="Y25">
        <v>15.58</v>
      </c>
      <c r="Z25" t="s">
        <v>1048</v>
      </c>
      <c r="AA25" t="s">
        <v>1687</v>
      </c>
      <c r="AB25" t="s">
        <v>1688</v>
      </c>
      <c r="AC25" t="s">
        <v>1689</v>
      </c>
      <c r="AD25" t="s">
        <v>30</v>
      </c>
      <c r="AE25">
        <v>-3325140</v>
      </c>
      <c r="AF25" t="s">
        <v>1690</v>
      </c>
      <c r="AG25" t="s">
        <v>1691</v>
      </c>
      <c r="AH25" t="s">
        <v>1692</v>
      </c>
      <c r="AI25" t="s">
        <v>1085</v>
      </c>
      <c r="AJ25" t="s">
        <v>1693</v>
      </c>
      <c r="AK25" t="s">
        <v>1694</v>
      </c>
      <c r="AL25" t="s">
        <v>1695</v>
      </c>
      <c r="AM25" t="s">
        <v>30</v>
      </c>
      <c r="AN25" t="s">
        <v>583</v>
      </c>
      <c r="AO25" t="s">
        <v>30</v>
      </c>
      <c r="AP25" t="s">
        <v>30</v>
      </c>
      <c r="AQ25" t="s">
        <v>1696</v>
      </c>
      <c r="AR25" t="s">
        <v>30</v>
      </c>
      <c r="AS25" t="s">
        <v>959</v>
      </c>
      <c r="AT25" t="s">
        <v>30</v>
      </c>
      <c r="AU25" t="s">
        <v>1697</v>
      </c>
      <c r="AV25" t="s">
        <v>1698</v>
      </c>
      <c r="AW25" t="s">
        <v>1699</v>
      </c>
      <c r="AX25" t="s">
        <v>811</v>
      </c>
      <c r="AY25" t="s">
        <v>597</v>
      </c>
      <c r="AZ25" t="s">
        <v>313</v>
      </c>
      <c r="BA25" t="s">
        <v>314</v>
      </c>
      <c r="BB25" t="s">
        <v>315</v>
      </c>
      <c r="BC25" t="s">
        <v>124</v>
      </c>
      <c r="BD25" t="s">
        <v>86</v>
      </c>
      <c r="BE25" t="s">
        <v>54</v>
      </c>
      <c r="BF25" t="s">
        <v>316</v>
      </c>
      <c r="BG25" t="s">
        <v>97</v>
      </c>
      <c r="BH25" t="s">
        <v>1700</v>
      </c>
      <c r="BI25" t="s">
        <v>1019</v>
      </c>
      <c r="BJ25" t="s">
        <v>811</v>
      </c>
      <c r="BK25" t="s">
        <v>974</v>
      </c>
      <c r="BL25" t="s">
        <v>97</v>
      </c>
      <c r="BM25" t="s">
        <v>124</v>
      </c>
      <c r="BN25">
        <v>13.07</v>
      </c>
      <c r="BO25">
        <v>10.11</v>
      </c>
      <c r="BP25">
        <v>10.16</v>
      </c>
      <c r="BQ25">
        <v>13.5</v>
      </c>
      <c r="BR25">
        <v>10.73</v>
      </c>
      <c r="BS25">
        <v>10.68</v>
      </c>
      <c r="BT25" t="s">
        <v>1701</v>
      </c>
      <c r="BU25" t="s">
        <v>524</v>
      </c>
      <c r="BV25">
        <v>36.24</v>
      </c>
      <c r="BW25">
        <v>34.26</v>
      </c>
      <c r="BX25">
        <v>35.1</v>
      </c>
      <c r="BY25">
        <v>17.809999999999999</v>
      </c>
      <c r="BZ25">
        <v>10.91</v>
      </c>
      <c r="CA25">
        <v>11.87</v>
      </c>
      <c r="CB25">
        <v>-5.39</v>
      </c>
      <c r="CC25">
        <v>-23.1</v>
      </c>
      <c r="CD25" t="s">
        <v>1702</v>
      </c>
      <c r="CE25" t="s">
        <v>1703</v>
      </c>
      <c r="CF25" s="7">
        <v>-0.29055690072639223</v>
      </c>
      <c r="CG25" s="8">
        <v>-0.23922722499999999</v>
      </c>
      <c r="CH25" s="7">
        <v>-0.59614062309265137</v>
      </c>
      <c r="CI25" s="7">
        <v>0.12132926285266876</v>
      </c>
      <c r="CJ25" s="7">
        <v>0.10409556329250336</v>
      </c>
      <c r="CK25" s="7">
        <v>5.6807994842529297E-2</v>
      </c>
      <c r="CL25" s="7">
        <v>0.21734350919723511</v>
      </c>
      <c r="CM25" s="8">
        <v>-0.422198086977005</v>
      </c>
      <c r="CN25" s="8">
        <v>2.5974025949835777E-2</v>
      </c>
      <c r="CO25" s="8">
        <v>-0.13966479897499084</v>
      </c>
      <c r="CP25" s="8">
        <v>6.5476194024085999E-2</v>
      </c>
      <c r="CQ25" s="8">
        <v>0.40000000596046448</v>
      </c>
      <c r="CR25">
        <v>36.875348259269551</v>
      </c>
      <c r="CS25">
        <v>19.093676942527196</v>
      </c>
      <c r="CT25">
        <v>3.7992331822934822</v>
      </c>
      <c r="CU25" s="7">
        <v>-1.9312858581542969E-2</v>
      </c>
      <c r="CV25" s="8">
        <v>-1.4082532003521919E-2</v>
      </c>
      <c r="CW25">
        <v>0.06</v>
      </c>
      <c r="CX25">
        <v>43.834002061501081</v>
      </c>
      <c r="CY25" t="s">
        <v>1704</v>
      </c>
      <c r="CZ25">
        <v>-1.9312858581542969E-2</v>
      </c>
      <c r="DA25">
        <v>14.611334020500362</v>
      </c>
      <c r="DB25" t="s">
        <v>1705</v>
      </c>
      <c r="DC25">
        <v>-1.8347215652465821E-2</v>
      </c>
      <c r="DD25">
        <v>7.3056670102501808</v>
      </c>
      <c r="DE25" t="s">
        <v>1706</v>
      </c>
      <c r="DF25">
        <v>-1.6995315551757813E-2</v>
      </c>
      <c r="DG25">
        <v>4.3834002061501085</v>
      </c>
      <c r="DH25" t="s">
        <v>1707</v>
      </c>
      <c r="DI25">
        <v>-1.5450286865234376E-2</v>
      </c>
      <c r="DJ25">
        <v>2.1917001030750543</v>
      </c>
      <c r="DK25" t="s">
        <v>1708</v>
      </c>
      <c r="DL25">
        <v>-1.3519001007080077E-2</v>
      </c>
      <c r="DM25">
        <v>91292700</v>
      </c>
      <c r="DN25">
        <v>-1.9312858581542969E-2</v>
      </c>
      <c r="DO25">
        <v>4001724400</v>
      </c>
      <c r="DP25">
        <v>998634220</v>
      </c>
      <c r="DQ25">
        <v>1449</v>
      </c>
      <c r="DR25">
        <v>-0.27124404214484926</v>
      </c>
      <c r="DS25">
        <v>-0.22514469299647807</v>
      </c>
      <c r="DT25" s="9">
        <v>-0.50666666666666671</v>
      </c>
      <c r="DU25">
        <v>-0.28666666666666668</v>
      </c>
      <c r="DV25">
        <v>-0.79333333333333345</v>
      </c>
      <c r="DW25">
        <v>-8.2333333333333325</v>
      </c>
      <c r="DX25">
        <v>0.48224437190137065</v>
      </c>
      <c r="DY25">
        <v>-8.0448570201103191</v>
      </c>
      <c r="DZ25">
        <v>736</v>
      </c>
      <c r="EA25">
        <v>-8.0383962046893416</v>
      </c>
      <c r="EB25">
        <v>8</v>
      </c>
      <c r="EC25">
        <v>4.384448388385874E-2</v>
      </c>
      <c r="ED25">
        <v>0.22806641073660547</v>
      </c>
      <c r="EE25" s="10">
        <v>1.0722</v>
      </c>
      <c r="EF25">
        <v>1.0270999999999999</v>
      </c>
      <c r="EG25">
        <v>29.192244371901371</v>
      </c>
      <c r="EH25" t="s">
        <v>657</v>
      </c>
      <c r="EI25">
        <v>0</v>
      </c>
      <c r="EJ25">
        <v>1</v>
      </c>
      <c r="EK25" s="11">
        <v>45470</v>
      </c>
      <c r="EL25">
        <v>-0.15</v>
      </c>
      <c r="EM25">
        <v>-2.25</v>
      </c>
      <c r="EN25">
        <v>1.25</v>
      </c>
      <c r="EO25">
        <v>2.12</v>
      </c>
      <c r="EP25">
        <v>-4.51</v>
      </c>
    </row>
    <row r="26" spans="1:146" ht="96" x14ac:dyDescent="0.25">
      <c r="A26" s="5"/>
      <c r="B26" s="5"/>
      <c r="C26" s="5" t="str">
        <f>""&amp;CHAR(10)&amp;Basic_Fundamental_Information_Constructure(F26)&amp;CHAR(10)&amp;Basic_Fundamental_Information_Concatenate("")</f>
        <v xml:space="preserve">
市值56.416242亿, 利润7359.00万; PE23.12; 平均PE54.64; 平均PEG78.16, PB4.14; ROIC10.34%; ROE11.6033%; 股利率2.3981%; 毛利26.8733%; 净利8.7233%; 上一年度营收增-63.06%, 利润增-41.13%; 当季营收增-41.62%, 利润增-11.47%; 过往5年营收增.7%, 利润增-4.32%
Income profile:
</v>
      </c>
      <c r="D26" t="s">
        <v>109</v>
      </c>
      <c r="E26" t="s">
        <v>317</v>
      </c>
      <c r="F26">
        <v>12.51</v>
      </c>
      <c r="G26">
        <v>2.04</v>
      </c>
      <c r="H26" t="s">
        <v>1709</v>
      </c>
      <c r="I26">
        <v>5641624200</v>
      </c>
      <c r="J26">
        <v>23.12</v>
      </c>
      <c r="K26">
        <v>4.1399999999999997</v>
      </c>
      <c r="L26" t="s">
        <v>52</v>
      </c>
      <c r="M26" t="s">
        <v>831</v>
      </c>
      <c r="N26" t="s">
        <v>1710</v>
      </c>
      <c r="O26" t="s">
        <v>564</v>
      </c>
      <c r="P26">
        <v>23.58</v>
      </c>
      <c r="Q26" t="s">
        <v>564</v>
      </c>
      <c r="R26">
        <v>73590036</v>
      </c>
      <c r="S26" s="4">
        <v>0.87729999999999997</v>
      </c>
      <c r="T26" t="s">
        <v>1711</v>
      </c>
      <c r="U26">
        <v>304140440</v>
      </c>
      <c r="V26">
        <v>450969160</v>
      </c>
      <c r="W26">
        <v>1.29</v>
      </c>
      <c r="X26">
        <v>0.3</v>
      </c>
      <c r="Y26">
        <v>13.8</v>
      </c>
      <c r="Z26" t="s">
        <v>491</v>
      </c>
      <c r="AA26" t="s">
        <v>660</v>
      </c>
      <c r="AB26" t="s">
        <v>1712</v>
      </c>
      <c r="AC26" t="s">
        <v>1713</v>
      </c>
      <c r="AD26" t="s">
        <v>30</v>
      </c>
      <c r="AE26">
        <v>-8084615</v>
      </c>
      <c r="AF26" t="s">
        <v>1714</v>
      </c>
      <c r="AG26" t="s">
        <v>1715</v>
      </c>
      <c r="AH26" t="s">
        <v>1716</v>
      </c>
      <c r="AI26" t="s">
        <v>855</v>
      </c>
      <c r="AJ26" t="s">
        <v>1717</v>
      </c>
      <c r="AK26" t="s">
        <v>30</v>
      </c>
      <c r="AL26" t="s">
        <v>1718</v>
      </c>
      <c r="AM26" t="s">
        <v>30</v>
      </c>
      <c r="AN26" t="s">
        <v>1719</v>
      </c>
      <c r="AO26" t="s">
        <v>1720</v>
      </c>
      <c r="AP26" t="s">
        <v>30</v>
      </c>
      <c r="AQ26" t="s">
        <v>1721</v>
      </c>
      <c r="AR26" t="s">
        <v>30</v>
      </c>
      <c r="AS26" t="s">
        <v>1018</v>
      </c>
      <c r="AT26" t="s">
        <v>30</v>
      </c>
      <c r="AU26" t="s">
        <v>659</v>
      </c>
      <c r="AV26" t="s">
        <v>1722</v>
      </c>
      <c r="AW26" t="s">
        <v>1144</v>
      </c>
      <c r="AX26" t="s">
        <v>312</v>
      </c>
      <c r="AY26" t="s">
        <v>599</v>
      </c>
      <c r="AZ26" t="s">
        <v>131</v>
      </c>
      <c r="BA26" t="s">
        <v>319</v>
      </c>
      <c r="BB26" t="s">
        <v>239</v>
      </c>
      <c r="BC26" t="s">
        <v>394</v>
      </c>
      <c r="BD26" t="s">
        <v>600</v>
      </c>
      <c r="BE26" t="s">
        <v>184</v>
      </c>
      <c r="BF26" t="s">
        <v>110</v>
      </c>
      <c r="BG26" t="s">
        <v>137</v>
      </c>
      <c r="BH26" t="s">
        <v>1723</v>
      </c>
      <c r="BI26" t="s">
        <v>1020</v>
      </c>
      <c r="BJ26" t="s">
        <v>312</v>
      </c>
      <c r="BK26" t="s">
        <v>1724</v>
      </c>
      <c r="BL26" t="s">
        <v>1725</v>
      </c>
      <c r="BM26" t="s">
        <v>394</v>
      </c>
      <c r="BN26">
        <v>11.16</v>
      </c>
      <c r="BO26">
        <v>11.69</v>
      </c>
      <c r="BP26">
        <v>8.17</v>
      </c>
      <c r="BQ26">
        <v>11.42</v>
      </c>
      <c r="BR26">
        <v>13.59</v>
      </c>
      <c r="BS26">
        <v>9.8000000000000007</v>
      </c>
      <c r="BT26" t="s">
        <v>748</v>
      </c>
      <c r="BU26" t="s">
        <v>524</v>
      </c>
      <c r="BV26">
        <v>28.17</v>
      </c>
      <c r="BW26">
        <v>25.62</v>
      </c>
      <c r="BX26">
        <v>26.83</v>
      </c>
      <c r="BY26">
        <v>10.27</v>
      </c>
      <c r="BZ26">
        <v>8.35</v>
      </c>
      <c r="CA26">
        <v>7.55</v>
      </c>
      <c r="CB26">
        <v>3.82</v>
      </c>
      <c r="CC26">
        <v>-7.95</v>
      </c>
      <c r="CD26" t="s">
        <v>1726</v>
      </c>
      <c r="CE26" t="s">
        <v>97</v>
      </c>
      <c r="CF26" s="7">
        <v>-0.41621621621621624</v>
      </c>
      <c r="CG26" s="8">
        <v>-0.11474999729336659</v>
      </c>
      <c r="CH26" s="7">
        <v>-0.63064295053482056</v>
      </c>
      <c r="CI26" s="7">
        <v>0.3159315288066864</v>
      </c>
      <c r="CJ26" s="7">
        <v>0.22222229838371277</v>
      </c>
      <c r="CK26" s="7">
        <v>1.5642458572983742E-2</v>
      </c>
      <c r="CL26" s="7">
        <v>0.11180124431848526</v>
      </c>
      <c r="CM26" s="8">
        <v>-0.41128000617027283</v>
      </c>
      <c r="CN26" s="8">
        <v>0.47164615988731384</v>
      </c>
      <c r="CO26" s="8">
        <v>-0.17535051703453064</v>
      </c>
      <c r="CP26" s="8">
        <v>-0.12711864709854126</v>
      </c>
      <c r="CQ26" s="8">
        <v>2.6086956262588501E-2</v>
      </c>
      <c r="CR26">
        <v>54.637879201438381</v>
      </c>
      <c r="CS26">
        <v>78.155537714160957</v>
      </c>
      <c r="CT26">
        <v>2.3980815347721824</v>
      </c>
      <c r="CU26" s="7">
        <v>6.9909159094095228E-3</v>
      </c>
      <c r="CV26" s="8">
        <v>-4.3203210830688475E-2</v>
      </c>
      <c r="CW26">
        <v>0.06</v>
      </c>
      <c r="CX26">
        <v>68.339767260555618</v>
      </c>
      <c r="CY26">
        <v>69909869.341295689</v>
      </c>
      <c r="CZ26">
        <v>6.9909159094095228E-3</v>
      </c>
      <c r="DA26">
        <v>23.974414535781388</v>
      </c>
      <c r="DB26">
        <v>199280119.76557261</v>
      </c>
      <c r="DC26">
        <v>6.6413701139390463E-3</v>
      </c>
      <c r="DD26">
        <v>12.935099971222886</v>
      </c>
      <c r="DE26">
        <v>369353480.88757932</v>
      </c>
      <c r="DF26">
        <v>6.1520060002803805E-3</v>
      </c>
      <c r="DG26">
        <v>8.5761320552947851</v>
      </c>
      <c r="DH26">
        <v>557083795.95791805</v>
      </c>
      <c r="DI26">
        <v>5.5927327275276184E-3</v>
      </c>
      <c r="DJ26">
        <v>5.4253462387746616</v>
      </c>
      <c r="DK26">
        <v>880611852.17167771</v>
      </c>
      <c r="DL26">
        <v>4.8936411365866654E-3</v>
      </c>
      <c r="DM26">
        <v>73590000</v>
      </c>
      <c r="DN26">
        <v>6.9909159094095228E-3</v>
      </c>
      <c r="DO26">
        <v>4777624200</v>
      </c>
      <c r="DP26">
        <v>793155510</v>
      </c>
      <c r="DQ26">
        <v>1457</v>
      </c>
      <c r="DR26">
        <v>-0.42320713212562577</v>
      </c>
      <c r="DS26">
        <v>-7.1546786462678119E-2</v>
      </c>
      <c r="DT26" s="9">
        <v>-0.49</v>
      </c>
      <c r="DU26">
        <v>-0.15</v>
      </c>
      <c r="DV26">
        <v>-0.64</v>
      </c>
      <c r="DW26">
        <v>6.3245539507221746</v>
      </c>
      <c r="DX26">
        <v>0.34125750000000099</v>
      </c>
      <c r="DY26">
        <v>6.0588278377230242</v>
      </c>
      <c r="DZ26">
        <v>599</v>
      </c>
      <c r="EA26">
        <v>6.0519319718138087</v>
      </c>
      <c r="EB26">
        <v>6</v>
      </c>
      <c r="EC26">
        <v>4.8231457778620604E-2</v>
      </c>
      <c r="ED26">
        <v>0.26609358387167759</v>
      </c>
      <c r="EE26" s="10">
        <v>1.0720000000000001</v>
      </c>
      <c r="EF26">
        <v>1.0333000000000001</v>
      </c>
      <c r="EG26">
        <v>16.181257500000001</v>
      </c>
      <c r="EH26" t="s">
        <v>657</v>
      </c>
      <c r="EI26">
        <v>0</v>
      </c>
      <c r="EJ26">
        <v>1</v>
      </c>
      <c r="EK26" s="11">
        <v>45470</v>
      </c>
      <c r="EL26">
        <v>-0.49</v>
      </c>
      <c r="EM26">
        <v>-2.63</v>
      </c>
      <c r="EN26">
        <v>3.12</v>
      </c>
      <c r="EO26">
        <v>3.51</v>
      </c>
      <c r="EP26">
        <v>-3.87</v>
      </c>
    </row>
    <row r="27" spans="1:146" ht="170" customHeight="1" x14ac:dyDescent="0.25">
      <c r="A27" s="5" t="s">
        <v>668</v>
      </c>
      <c r="B27" s="5" t="s">
        <v>667</v>
      </c>
      <c r="C27" s="5" t="str">
        <f>"公司是膳食营养补充剂的研发、生产和销售。主要产品涵盖了片剂、粉剂、胶囊。公司拥有144个保健食品批准证书及90款保健食品备案凭证。"&amp;CHAR(10)&amp;Basic_Fundamental_Information_Constructure(F27)&amp;CHAR(10)&amp;Basic_Fundamental_Information_Concatenate("片剂 26.25亿 35.33% 39.18% 73.26%
其他 20.33亿 27.35% 24.30% 58.68%
胶囊 14.48亿 19.48% 19.58% 66.37%
粉剂 13.25亿 17.84% 16.95% 62.79%")</f>
        <v>公司是膳食营养补充剂的研发、生产和销售。主要产品涵盖了片剂、粉剂、胶囊。公司拥有144个保健食品批准证书及90款保健食品备案凭证。
市值229.9543亿, 利润7.27亿; PE15.93; 平均PE22.85; 平均PEG61.25, PB1.82; ROIC16.3%; ROE16.4667%; 股利率6.6568%; 毛利67.7433%; 净利20.21%; 上一年度营收增-66.34%, 利润增-47.55%; 当季营收增-52.72%, 利润增-52.97%; 过往5年营收增-.37%, 利润增67.83%
Income profile:
片剂 26.25亿 35.33% 39.18% 73.26%
其他 20.33亿 27.35% 24.30% 58.68%
胶囊 14.48亿 19.48% 19.58% 66.37%
粉剂 13.25亿 17.84% 16.95% 62.79%</v>
      </c>
      <c r="D27" t="s">
        <v>111</v>
      </c>
      <c r="E27" t="s">
        <v>27</v>
      </c>
      <c r="F27">
        <v>13.52</v>
      </c>
      <c r="G27">
        <v>0.67</v>
      </c>
      <c r="H27" t="s">
        <v>1727</v>
      </c>
      <c r="I27">
        <v>22995430000</v>
      </c>
      <c r="J27">
        <v>15.93</v>
      </c>
      <c r="K27">
        <v>1.82</v>
      </c>
      <c r="L27" t="s">
        <v>52</v>
      </c>
      <c r="M27" t="s">
        <v>792</v>
      </c>
      <c r="N27" t="s">
        <v>1728</v>
      </c>
      <c r="O27" t="s">
        <v>1729</v>
      </c>
      <c r="P27">
        <v>-14.87</v>
      </c>
      <c r="Q27" t="s">
        <v>1729</v>
      </c>
      <c r="R27">
        <v>726556180</v>
      </c>
      <c r="S27" s="4">
        <v>-0.29430000000000001</v>
      </c>
      <c r="T27" t="s">
        <v>344</v>
      </c>
      <c r="U27">
        <v>1129987060</v>
      </c>
      <c r="V27">
        <v>1700845400</v>
      </c>
      <c r="W27">
        <v>1.1599999999999999</v>
      </c>
      <c r="X27">
        <v>0.18</v>
      </c>
      <c r="Y27">
        <v>27.17</v>
      </c>
      <c r="Z27" t="s">
        <v>1730</v>
      </c>
      <c r="AA27" t="s">
        <v>725</v>
      </c>
      <c r="AB27" t="s">
        <v>1019</v>
      </c>
      <c r="AC27" t="s">
        <v>714</v>
      </c>
      <c r="AD27" t="s">
        <v>30</v>
      </c>
      <c r="AE27">
        <v>-12379991</v>
      </c>
      <c r="AF27" t="s">
        <v>1731</v>
      </c>
      <c r="AG27" t="s">
        <v>1732</v>
      </c>
      <c r="AH27" t="s">
        <v>1733</v>
      </c>
      <c r="AI27" t="s">
        <v>702</v>
      </c>
      <c r="AJ27" t="s">
        <v>1734</v>
      </c>
      <c r="AK27" t="s">
        <v>30</v>
      </c>
      <c r="AL27" t="s">
        <v>1735</v>
      </c>
      <c r="AM27" t="s">
        <v>30</v>
      </c>
      <c r="AN27" t="s">
        <v>979</v>
      </c>
      <c r="AO27" t="s">
        <v>30</v>
      </c>
      <c r="AP27" t="s">
        <v>1736</v>
      </c>
      <c r="AQ27" t="s">
        <v>750</v>
      </c>
      <c r="AR27" t="s">
        <v>1737</v>
      </c>
      <c r="AS27" t="s">
        <v>1738</v>
      </c>
      <c r="AT27" t="s">
        <v>30</v>
      </c>
      <c r="AU27" t="s">
        <v>101</v>
      </c>
      <c r="AV27" t="s">
        <v>1739</v>
      </c>
      <c r="AW27" t="s">
        <v>1740</v>
      </c>
      <c r="AX27" t="s">
        <v>815</v>
      </c>
      <c r="AY27" t="s">
        <v>603</v>
      </c>
      <c r="AZ27" t="s">
        <v>163</v>
      </c>
      <c r="BA27" t="s">
        <v>325</v>
      </c>
      <c r="BB27" t="s">
        <v>326</v>
      </c>
      <c r="BC27" t="s">
        <v>816</v>
      </c>
      <c r="BD27" t="s">
        <v>604</v>
      </c>
      <c r="BE27" t="s">
        <v>164</v>
      </c>
      <c r="BF27" t="s">
        <v>327</v>
      </c>
      <c r="BG27" t="s">
        <v>328</v>
      </c>
      <c r="BH27" t="s">
        <v>1741</v>
      </c>
      <c r="BI27" t="s">
        <v>1023</v>
      </c>
      <c r="BJ27" t="s">
        <v>815</v>
      </c>
      <c r="BK27" t="s">
        <v>1742</v>
      </c>
      <c r="BL27" t="s">
        <v>1026</v>
      </c>
      <c r="BM27" t="s">
        <v>816</v>
      </c>
      <c r="BN27">
        <v>16.43</v>
      </c>
      <c r="BO27">
        <v>12.92</v>
      </c>
      <c r="BP27">
        <v>19.55</v>
      </c>
      <c r="BQ27">
        <v>16.600000000000001</v>
      </c>
      <c r="BR27">
        <v>13.46</v>
      </c>
      <c r="BS27">
        <v>19.34</v>
      </c>
      <c r="BT27" t="s">
        <v>1743</v>
      </c>
      <c r="BU27" t="s">
        <v>543</v>
      </c>
      <c r="BV27">
        <v>68.89</v>
      </c>
      <c r="BW27">
        <v>68.28</v>
      </c>
      <c r="BX27">
        <v>66.06</v>
      </c>
      <c r="BY27">
        <v>18.91</v>
      </c>
      <c r="BZ27">
        <v>17.95</v>
      </c>
      <c r="CA27">
        <v>23.77</v>
      </c>
      <c r="CB27">
        <v>-0.22</v>
      </c>
      <c r="CC27">
        <v>-11.92</v>
      </c>
      <c r="CD27" t="s">
        <v>1744</v>
      </c>
      <c r="CE27" t="s">
        <v>263</v>
      </c>
      <c r="CF27" s="7">
        <v>-0.52716225875625444</v>
      </c>
      <c r="CG27" s="8">
        <v>-0.52973710032362464</v>
      </c>
      <c r="CH27" s="7">
        <v>-0.66340160369873047</v>
      </c>
      <c r="CI27" s="7">
        <v>5.786571279168129E-2</v>
      </c>
      <c r="CJ27" s="7">
        <v>0.21919606626033783</v>
      </c>
      <c r="CK27" s="7">
        <v>0.15830481052398682</v>
      </c>
      <c r="CL27" s="7">
        <v>0.20937716960906982</v>
      </c>
      <c r="CM27" s="8">
        <v>-0.4754689633846283</v>
      </c>
      <c r="CN27" s="8">
        <v>-0.2098061591386795</v>
      </c>
      <c r="CO27" s="8">
        <v>0.1509186327457428</v>
      </c>
      <c r="CP27" s="8">
        <v>5.2808990478515625</v>
      </c>
      <c r="CQ27" s="8">
        <v>-1.3552894592285156</v>
      </c>
      <c r="CR27">
        <v>22.854493953950637</v>
      </c>
      <c r="CS27">
        <v>61.246340479535611</v>
      </c>
      <c r="CT27">
        <v>6.6568047337278111</v>
      </c>
      <c r="CU27" s="7">
        <v>-3.7315689027309419E-3</v>
      </c>
      <c r="CV27" s="8">
        <v>0.6782506197690964</v>
      </c>
      <c r="CW27">
        <v>0.06</v>
      </c>
      <c r="CX27">
        <v>18.116134800550206</v>
      </c>
      <c r="CY27" t="s">
        <v>1745</v>
      </c>
      <c r="CZ27">
        <v>-3.7315689027309419E-3</v>
      </c>
      <c r="DA27">
        <v>6.0387116001834018</v>
      </c>
      <c r="DB27" t="s">
        <v>1746</v>
      </c>
      <c r="DC27">
        <v>-3.5449904575943947E-3</v>
      </c>
      <c r="DD27">
        <v>3.0193558000917009</v>
      </c>
      <c r="DE27" t="s">
        <v>1747</v>
      </c>
      <c r="DF27">
        <v>-3.2837806344032288E-3</v>
      </c>
      <c r="DG27">
        <v>1.8116134800550205</v>
      </c>
      <c r="DH27" t="s">
        <v>1748</v>
      </c>
      <c r="DI27">
        <v>-2.9852551221847537E-3</v>
      </c>
      <c r="DJ27">
        <v>0.90580674002751027</v>
      </c>
      <c r="DK27" t="s">
        <v>1749</v>
      </c>
      <c r="DL27">
        <v>-2.6120982319116593E-3</v>
      </c>
      <c r="DM27">
        <v>727000000</v>
      </c>
      <c r="DN27">
        <v>-3.7315689027309419E-3</v>
      </c>
      <c r="DO27">
        <v>13170430000</v>
      </c>
      <c r="DP27">
        <v>6786349000</v>
      </c>
      <c r="DQ27">
        <v>1636</v>
      </c>
      <c r="DR27">
        <v>-0.52343068985352348</v>
      </c>
      <c r="DS27">
        <v>-1.2079877200927212</v>
      </c>
      <c r="DT27" s="9">
        <v>-0.42333333333333339</v>
      </c>
      <c r="DU27">
        <v>-0.58833333333333326</v>
      </c>
      <c r="DV27">
        <v>-1.0116666666666667</v>
      </c>
      <c r="DW27">
        <v>-2.1192000000000002</v>
      </c>
      <c r="DX27">
        <v>0.41561739130434816</v>
      </c>
      <c r="DY27">
        <v>-2.0197415930434781</v>
      </c>
      <c r="DZ27">
        <v>2060</v>
      </c>
      <c r="EA27">
        <v>-2.0117831426189059</v>
      </c>
      <c r="EB27">
        <v>2</v>
      </c>
      <c r="EC27">
        <v>2.0156329317173684E-2</v>
      </c>
      <c r="ED27">
        <v>0.12170418310800027</v>
      </c>
      <c r="EE27" s="10">
        <v>-1.07701</v>
      </c>
      <c r="EF27">
        <v>-1.0942099999999999</v>
      </c>
      <c r="EG27">
        <v>25.165617391304348</v>
      </c>
      <c r="EH27" t="s">
        <v>803</v>
      </c>
      <c r="EI27">
        <v>0</v>
      </c>
      <c r="EJ27">
        <v>0</v>
      </c>
      <c r="EK27" s="11">
        <v>45470</v>
      </c>
      <c r="EL27">
        <v>-2.15</v>
      </c>
      <c r="EM27">
        <v>-0.73</v>
      </c>
      <c r="EN27">
        <v>1.99</v>
      </c>
      <c r="EO27">
        <v>0.65</v>
      </c>
      <c r="EP27">
        <v>-1.72</v>
      </c>
    </row>
    <row r="28" spans="1:146" ht="96" x14ac:dyDescent="0.25">
      <c r="A28" s="6"/>
      <c r="B28" s="6"/>
      <c r="C28" s="6" t="str">
        <f>""&amp;CHAR(10)&amp;Basic_Fundamental_Information_Constructure(F28)&amp;CHAR(10)&amp;Basic_Fundamental_Information_Concatenate("")</f>
        <v xml:space="preserve">
市值84.1699亿, 利润3.08亿; PE25.03; 平均PE29.85; 平均PEG4.39, PB2.98; ROIC9.1567%; ROE10.74%; 股利率1.1958%; 毛利26.4833%; 净利3.0233%; 上一年度营收增-50.01%, 利润增138.76%; 当季营收增26.03%, 利润增100.17%; 过往5年营收增-6.8%, 利润增22.25%
Income profile:
</v>
      </c>
      <c r="D28" t="s">
        <v>114</v>
      </c>
      <c r="E28" t="s">
        <v>31</v>
      </c>
      <c r="F28">
        <v>20.99</v>
      </c>
      <c r="G28">
        <v>1.06</v>
      </c>
      <c r="H28" t="s">
        <v>1750</v>
      </c>
      <c r="I28">
        <v>8416990000</v>
      </c>
      <c r="J28">
        <v>25.03</v>
      </c>
      <c r="K28">
        <v>2.98</v>
      </c>
      <c r="L28" t="s">
        <v>52</v>
      </c>
      <c r="M28" t="s">
        <v>384</v>
      </c>
      <c r="N28" t="s">
        <v>1751</v>
      </c>
      <c r="O28" t="s">
        <v>1752</v>
      </c>
      <c r="P28">
        <v>91.83</v>
      </c>
      <c r="Q28" t="s">
        <v>1752</v>
      </c>
      <c r="R28">
        <v>308255630</v>
      </c>
      <c r="S28" s="4">
        <v>0.60799999999999998</v>
      </c>
      <c r="T28" t="s">
        <v>1093</v>
      </c>
      <c r="U28">
        <v>279596000</v>
      </c>
      <c r="V28">
        <v>401000000</v>
      </c>
      <c r="W28">
        <v>1.69</v>
      </c>
      <c r="X28">
        <v>0.71</v>
      </c>
      <c r="Y28">
        <v>8.4600000000000009</v>
      </c>
      <c r="Z28" t="s">
        <v>1753</v>
      </c>
      <c r="AA28" t="s">
        <v>1754</v>
      </c>
      <c r="AB28" t="s">
        <v>525</v>
      </c>
      <c r="AC28" t="s">
        <v>1755</v>
      </c>
      <c r="AD28" t="s">
        <v>30</v>
      </c>
      <c r="AE28">
        <v>2055391</v>
      </c>
      <c r="AF28" t="s">
        <v>1756</v>
      </c>
      <c r="AG28" t="s">
        <v>1757</v>
      </c>
      <c r="AH28" t="s">
        <v>1758</v>
      </c>
      <c r="AI28" t="s">
        <v>1006</v>
      </c>
      <c r="AJ28" t="s">
        <v>1759</v>
      </c>
      <c r="AK28" t="s">
        <v>30</v>
      </c>
      <c r="AL28" t="s">
        <v>1760</v>
      </c>
      <c r="AM28" t="s">
        <v>30</v>
      </c>
      <c r="AN28" t="s">
        <v>324</v>
      </c>
      <c r="AO28" t="s">
        <v>722</v>
      </c>
      <c r="AP28" t="s">
        <v>30</v>
      </c>
      <c r="AQ28" t="s">
        <v>1761</v>
      </c>
      <c r="AR28" t="s">
        <v>30</v>
      </c>
      <c r="AS28" t="s">
        <v>1091</v>
      </c>
      <c r="AT28" t="s">
        <v>394</v>
      </c>
      <c r="AU28" t="s">
        <v>962</v>
      </c>
      <c r="AV28" t="s">
        <v>1762</v>
      </c>
      <c r="AW28" t="s">
        <v>1763</v>
      </c>
      <c r="AX28" t="s">
        <v>818</v>
      </c>
      <c r="AY28" t="s">
        <v>605</v>
      </c>
      <c r="AZ28" t="s">
        <v>329</v>
      </c>
      <c r="BA28" t="s">
        <v>331</v>
      </c>
      <c r="BB28" t="s">
        <v>332</v>
      </c>
      <c r="BC28" t="s">
        <v>659</v>
      </c>
      <c r="BD28" t="s">
        <v>596</v>
      </c>
      <c r="BE28" t="s">
        <v>330</v>
      </c>
      <c r="BF28" t="s">
        <v>333</v>
      </c>
      <c r="BG28" t="s">
        <v>160</v>
      </c>
      <c r="BH28" t="s">
        <v>1764</v>
      </c>
      <c r="BI28" t="s">
        <v>1025</v>
      </c>
      <c r="BJ28" t="s">
        <v>818</v>
      </c>
      <c r="BK28" t="s">
        <v>59</v>
      </c>
      <c r="BL28" t="s">
        <v>86</v>
      </c>
      <c r="BM28" t="s">
        <v>659</v>
      </c>
      <c r="BN28">
        <v>6.14</v>
      </c>
      <c r="BO28">
        <v>4.99</v>
      </c>
      <c r="BP28">
        <v>16.34</v>
      </c>
      <c r="BQ28">
        <v>7.06</v>
      </c>
      <c r="BR28">
        <v>5.67</v>
      </c>
      <c r="BS28">
        <v>19.489999999999998</v>
      </c>
      <c r="BT28" t="s">
        <v>1765</v>
      </c>
      <c r="BU28" t="s">
        <v>524</v>
      </c>
      <c r="BV28">
        <v>23.33</v>
      </c>
      <c r="BW28">
        <v>26.74</v>
      </c>
      <c r="BX28">
        <v>29.38</v>
      </c>
      <c r="BY28">
        <v>3.09</v>
      </c>
      <c r="BZ28">
        <v>1.77</v>
      </c>
      <c r="CA28">
        <v>4.21</v>
      </c>
      <c r="CB28">
        <v>-4.0199999999999996</v>
      </c>
      <c r="CC28">
        <v>-11.62</v>
      </c>
      <c r="CD28" t="s">
        <v>1766</v>
      </c>
      <c r="CE28" t="s">
        <v>716</v>
      </c>
      <c r="CF28" s="7">
        <v>0.26028344279294852</v>
      </c>
      <c r="CG28" s="8">
        <v>1.0016599350649351</v>
      </c>
      <c r="CH28" s="7">
        <v>-0.5000685453414917</v>
      </c>
      <c r="CI28" s="7">
        <v>-0.25353121757507324</v>
      </c>
      <c r="CJ28" s="7">
        <v>-2.4504277389496565E-3</v>
      </c>
      <c r="CK28" s="7">
        <v>-3.7255462259054184E-2</v>
      </c>
      <c r="CL28" s="7">
        <v>0.45307809114456177</v>
      </c>
      <c r="CM28" s="8">
        <v>1.3875968456268311</v>
      </c>
      <c r="CN28" s="8">
        <v>-0.68613135814666748</v>
      </c>
      <c r="CO28" s="8">
        <v>0.36544850468635559</v>
      </c>
      <c r="CP28" s="8">
        <v>0.25941422581672668</v>
      </c>
      <c r="CQ28" s="8">
        <v>-0.21381579339504242</v>
      </c>
      <c r="CR28">
        <v>29.847482269503548</v>
      </c>
      <c r="CS28">
        <v>4.3863998134402129</v>
      </c>
      <c r="CT28">
        <v>1.1958075273939972</v>
      </c>
      <c r="CU28" s="7">
        <v>-6.80455123540014E-2</v>
      </c>
      <c r="CV28" s="8">
        <v>0.22250248491764069</v>
      </c>
      <c r="CW28">
        <v>0.06</v>
      </c>
      <c r="CX28">
        <v>27.980487012987012</v>
      </c>
      <c r="CY28" t="s">
        <v>1767</v>
      </c>
      <c r="CZ28">
        <v>-6.80455123540014E-2</v>
      </c>
      <c r="DA28">
        <v>9.3268290043290047</v>
      </c>
      <c r="DB28" t="s">
        <v>1768</v>
      </c>
      <c r="DC28">
        <v>-6.4643236736301332E-2</v>
      </c>
      <c r="DD28">
        <v>4.6634145021645024</v>
      </c>
      <c r="DE28" t="s">
        <v>1769</v>
      </c>
      <c r="DF28">
        <v>-5.9880050871521234E-2</v>
      </c>
      <c r="DG28">
        <v>2.7980487012987014</v>
      </c>
      <c r="DH28" t="s">
        <v>1770</v>
      </c>
      <c r="DI28">
        <v>-5.4436409883201121E-2</v>
      </c>
      <c r="DJ28">
        <v>1.3990243506493507</v>
      </c>
      <c r="DK28" t="s">
        <v>1771</v>
      </c>
      <c r="DL28">
        <v>-4.7631858647800979E-2</v>
      </c>
      <c r="DM28">
        <v>308000000</v>
      </c>
      <c r="DN28">
        <v>-6.80455123540014E-2</v>
      </c>
      <c r="DO28">
        <v>8617990000</v>
      </c>
      <c r="DP28">
        <v>1885457299.9999998</v>
      </c>
      <c r="DQ28">
        <v>2241</v>
      </c>
      <c r="DR28">
        <v>0.32832895514694993</v>
      </c>
      <c r="DS28">
        <v>0.77915745014729443</v>
      </c>
      <c r="DT28" s="9">
        <v>-0.65666666666666662</v>
      </c>
      <c r="DU28">
        <v>0.78333333333333333</v>
      </c>
      <c r="DV28">
        <v>0.12666666666666671</v>
      </c>
      <c r="DW28">
        <v>-8.3459552495697071</v>
      </c>
      <c r="DX28">
        <v>0.34422628205128236</v>
      </c>
      <c r="DY28">
        <v>-8.0671936018800476</v>
      </c>
      <c r="DZ28">
        <v>40</v>
      </c>
      <c r="EA28">
        <v>-8.0666676245659179</v>
      </c>
      <c r="EB28">
        <v>8</v>
      </c>
      <c r="EC28">
        <v>7.5559351620947637E-2</v>
      </c>
      <c r="ED28">
        <v>0.38902743142144636</v>
      </c>
      <c r="EE28" s="10">
        <v>-4.0064000000000002</v>
      </c>
      <c r="EF28">
        <v>-4.0203100000000003</v>
      </c>
      <c r="EG28">
        <v>15.194226282051282</v>
      </c>
      <c r="EH28" t="s">
        <v>1488</v>
      </c>
      <c r="EI28">
        <v>0</v>
      </c>
      <c r="EJ28">
        <v>1</v>
      </c>
      <c r="EK28" s="11">
        <v>45470</v>
      </c>
      <c r="EL28">
        <v>-2.33</v>
      </c>
      <c r="EM28">
        <v>-3.85</v>
      </c>
      <c r="EN28">
        <v>-5.62</v>
      </c>
      <c r="EO28">
        <v>3.08</v>
      </c>
      <c r="EP28">
        <v>-2.67</v>
      </c>
    </row>
    <row r="29" spans="1:146" ht="156" x14ac:dyDescent="0.25">
      <c r="A29" s="6"/>
      <c r="B29" s="6"/>
      <c r="C29" s="6" t="str">
        <f>""&amp;CHAR(10)&amp;Basic_Fundamental_Information_Constructure(F29)&amp;CHAR(10)&amp;Basic_Fundamental_Information_Concatenate("软胶囊 4.27亿 36.62% 利润比例31.87% 毛利30.25%
营养软糖 2.42亿 20.74% 利润比例25.38% 毛利42.55%
粉剂 1.70亿 14.63% 利润比例9.71% 毛利23.06%
片剂 1.44亿 12.39% 利润比例17.40% 毛利48.82%
功能饮品 1.23亿 10.53% 利润比例6.03% 毛利19.92%
服务收入 2894.15万 2.48% 利润比例6.09% 毛利85.21%")</f>
        <v xml:space="preserve">
市值55.687169亿, 利润6302.97万; PE17.7; 平均PE30.1; 平均PEG12.85, PB2.51; ROIC6.7267%; ROE8.2%; 股利率4.661%; 毛利31.39%; 净利8.3233%; 上一年度营收增-62.03%, 利润增-70.27%; 当季营收增-38.38%, 利润增-37.59%; 过往5年营收增-2.34%, 利润增-7.69%
Income profile:
软胶囊 4.27亿 36.62% 利润比例31.87% 毛利30.25%
营养软糖 2.42亿 20.74% 利润比例25.38% 毛利42.55%
粉剂 1.70亿 14.63% 利润比例9.71% 毛利23.06%
片剂 1.44亿 12.39% 利润比例17.40% 毛利48.82%
功能饮品 1.23亿 10.53% 利润比例6.03% 毛利19.92%
服务收入 2894.15万 2.48% 利润比例6.09% 毛利85.21%</v>
      </c>
      <c r="D29" t="s">
        <v>115</v>
      </c>
      <c r="E29" t="s">
        <v>116</v>
      </c>
      <c r="F29">
        <v>23.6</v>
      </c>
      <c r="G29">
        <v>-0.8</v>
      </c>
      <c r="H29" t="s">
        <v>1772</v>
      </c>
      <c r="I29">
        <v>5568716900</v>
      </c>
      <c r="J29">
        <v>17.7</v>
      </c>
      <c r="K29">
        <v>2.5099999999999998</v>
      </c>
      <c r="L29" t="s">
        <v>52</v>
      </c>
      <c r="M29" t="s">
        <v>1773</v>
      </c>
      <c r="N29" t="s">
        <v>1774</v>
      </c>
      <c r="O29" t="s">
        <v>1775</v>
      </c>
      <c r="P29">
        <v>35.51</v>
      </c>
      <c r="Q29" t="s">
        <v>1775</v>
      </c>
      <c r="R29">
        <v>63029723</v>
      </c>
      <c r="S29" s="4">
        <v>1.1439999999999999</v>
      </c>
      <c r="T29" t="s">
        <v>1776</v>
      </c>
      <c r="U29">
        <v>194487770</v>
      </c>
      <c r="V29">
        <v>235962580</v>
      </c>
      <c r="W29">
        <v>1.99</v>
      </c>
      <c r="X29">
        <v>0.18</v>
      </c>
      <c r="Y29">
        <v>5.66</v>
      </c>
      <c r="Z29" t="s">
        <v>1572</v>
      </c>
      <c r="AA29" t="s">
        <v>865</v>
      </c>
      <c r="AB29" t="s">
        <v>1777</v>
      </c>
      <c r="AC29" t="s">
        <v>1778</v>
      </c>
      <c r="AD29" t="s">
        <v>30</v>
      </c>
      <c r="AE29">
        <v>16080788</v>
      </c>
      <c r="AF29" t="s">
        <v>1779</v>
      </c>
      <c r="AG29" t="s">
        <v>1780</v>
      </c>
      <c r="AH29" t="s">
        <v>1781</v>
      </c>
      <c r="AI29" t="s">
        <v>227</v>
      </c>
      <c r="AJ29" t="s">
        <v>1782</v>
      </c>
      <c r="AK29" t="s">
        <v>1783</v>
      </c>
      <c r="AL29" t="s">
        <v>1784</v>
      </c>
      <c r="AM29" t="s">
        <v>30</v>
      </c>
      <c r="AN29" t="s">
        <v>66</v>
      </c>
      <c r="AO29" t="s">
        <v>1785</v>
      </c>
      <c r="AP29" t="s">
        <v>30</v>
      </c>
      <c r="AQ29" t="s">
        <v>974</v>
      </c>
      <c r="AR29" t="s">
        <v>30</v>
      </c>
      <c r="AS29" t="s">
        <v>1593</v>
      </c>
      <c r="AT29" t="s">
        <v>184</v>
      </c>
      <c r="AU29" t="s">
        <v>1786</v>
      </c>
      <c r="AV29" t="s">
        <v>1787</v>
      </c>
      <c r="AW29" t="s">
        <v>1788</v>
      </c>
      <c r="AX29" t="s">
        <v>695</v>
      </c>
      <c r="AY29" t="s">
        <v>608</v>
      </c>
      <c r="AZ29" t="s">
        <v>334</v>
      </c>
      <c r="BA29" t="s">
        <v>337</v>
      </c>
      <c r="BB29" t="s">
        <v>338</v>
      </c>
      <c r="BC29" t="s">
        <v>765</v>
      </c>
      <c r="BD29" t="s">
        <v>352</v>
      </c>
      <c r="BE29" t="s">
        <v>228</v>
      </c>
      <c r="BF29" t="s">
        <v>73</v>
      </c>
      <c r="BG29" t="s">
        <v>339</v>
      </c>
      <c r="BH29" t="s">
        <v>1789</v>
      </c>
      <c r="BI29" t="s">
        <v>1026</v>
      </c>
      <c r="BJ29" t="s">
        <v>695</v>
      </c>
      <c r="BK29" t="s">
        <v>285</v>
      </c>
      <c r="BL29" t="s">
        <v>161</v>
      </c>
      <c r="BM29" t="s">
        <v>765</v>
      </c>
      <c r="BN29">
        <v>4.9400000000000004</v>
      </c>
      <c r="BO29">
        <v>6.8</v>
      </c>
      <c r="BP29">
        <v>8.44</v>
      </c>
      <c r="BQ29">
        <v>6.71</v>
      </c>
      <c r="BR29">
        <v>8.1199999999999992</v>
      </c>
      <c r="BS29">
        <v>9.77</v>
      </c>
      <c r="BT29" t="s">
        <v>1790</v>
      </c>
      <c r="BU29" t="s">
        <v>543</v>
      </c>
      <c r="BV29">
        <v>30.27</v>
      </c>
      <c r="BW29">
        <v>31.18</v>
      </c>
      <c r="BX29">
        <v>32.72</v>
      </c>
      <c r="BY29">
        <v>6.71</v>
      </c>
      <c r="BZ29">
        <v>8.4700000000000006</v>
      </c>
      <c r="CA29">
        <v>9.7899999999999991</v>
      </c>
      <c r="CB29">
        <v>-6.35</v>
      </c>
      <c r="CC29">
        <v>-20.350000000000001</v>
      </c>
      <c r="CD29" t="s">
        <v>1791</v>
      </c>
      <c r="CE29" t="s">
        <v>1792</v>
      </c>
      <c r="CF29" s="7">
        <v>-0.38381877022653721</v>
      </c>
      <c r="CG29" s="8">
        <v>-0.37594333663366336</v>
      </c>
      <c r="CH29" s="7">
        <v>-0.62026327848434448</v>
      </c>
      <c r="CI29" s="7">
        <v>5.8252483606338501E-2</v>
      </c>
      <c r="CJ29" s="7">
        <v>0.14610539376735687</v>
      </c>
      <c r="CK29" s="7">
        <v>0.30822789669036865</v>
      </c>
      <c r="CL29" s="7">
        <v>-9.4044283032417297E-3</v>
      </c>
      <c r="CM29" s="8">
        <v>-0.70269012451171875</v>
      </c>
      <c r="CN29" s="8">
        <v>-8.6206898093223572E-2</v>
      </c>
      <c r="CO29" s="8">
        <v>-9.7276262938976288E-2</v>
      </c>
      <c r="CP29" s="8">
        <v>0.79720282554626465</v>
      </c>
      <c r="CQ29" s="8">
        <v>-0.29556649923324585</v>
      </c>
      <c r="CR29">
        <v>30.100367044233142</v>
      </c>
      <c r="CS29">
        <v>12.854403042402916</v>
      </c>
      <c r="CT29">
        <v>4.6610169491525424</v>
      </c>
      <c r="CU29" s="7">
        <v>-2.3416386544704439E-2</v>
      </c>
      <c r="CV29" s="8">
        <v>-7.6907391846179965E-2</v>
      </c>
      <c r="CW29">
        <v>0.06</v>
      </c>
      <c r="CX29">
        <v>89.175688603943854</v>
      </c>
      <c r="CY29" t="s">
        <v>1793</v>
      </c>
      <c r="CZ29">
        <v>-2.3416386544704439E-2</v>
      </c>
      <c r="DA29">
        <v>29.725229534647951</v>
      </c>
      <c r="DB29" t="s">
        <v>1794</v>
      </c>
      <c r="DC29">
        <v>-2.2245567217469217E-2</v>
      </c>
      <c r="DD29">
        <v>14.862614767323976</v>
      </c>
      <c r="DE29" t="s">
        <v>1795</v>
      </c>
      <c r="DF29">
        <v>-2.0606420159339906E-2</v>
      </c>
      <c r="DG29">
        <v>8.9175688603943861</v>
      </c>
      <c r="DH29" t="s">
        <v>1796</v>
      </c>
      <c r="DI29">
        <v>-1.8733109235763552E-2</v>
      </c>
      <c r="DJ29">
        <v>4.4587844301971931</v>
      </c>
      <c r="DK29" t="s">
        <v>1797</v>
      </c>
      <c r="DL29">
        <v>-1.6391470581293106E-2</v>
      </c>
      <c r="DM29">
        <v>63029700</v>
      </c>
      <c r="DN29">
        <v>-2.3416386544704439E-2</v>
      </c>
      <c r="DO29">
        <v>5620716900</v>
      </c>
      <c r="DP29">
        <v>1234498300</v>
      </c>
      <c r="DQ29">
        <v>2249</v>
      </c>
      <c r="DR29">
        <v>-0.36040238368183275</v>
      </c>
      <c r="DS29">
        <v>-0.29903594478748341</v>
      </c>
      <c r="DT29" s="9">
        <v>-0.65666666666666662</v>
      </c>
      <c r="DU29">
        <v>-0.42</v>
      </c>
      <c r="DV29">
        <v>-1.0766666666666667</v>
      </c>
      <c r="DW29">
        <v>-9.3120393120393121</v>
      </c>
      <c r="DX29">
        <v>0.5068596709937927</v>
      </c>
      <c r="DY29">
        <v>-9.0770299219071546</v>
      </c>
      <c r="DZ29">
        <v>1772</v>
      </c>
      <c r="EA29">
        <v>-9.0503181759933629</v>
      </c>
      <c r="EB29">
        <v>9</v>
      </c>
      <c r="EC29">
        <v>3.0882439071483282E-2</v>
      </c>
      <c r="ED29">
        <v>0.12510119189237548</v>
      </c>
      <c r="EE29" s="10">
        <v>-1.0354099999999999</v>
      </c>
      <c r="EF29">
        <v>-1.06511</v>
      </c>
      <c r="EG29">
        <v>26.246859670993793</v>
      </c>
      <c r="EH29" t="s">
        <v>803</v>
      </c>
      <c r="EI29">
        <v>0</v>
      </c>
      <c r="EJ29">
        <v>0</v>
      </c>
      <c r="EK29" s="11">
        <v>45470</v>
      </c>
      <c r="EL29">
        <v>0.22</v>
      </c>
      <c r="EM29">
        <v>-3.6</v>
      </c>
      <c r="EN29">
        <v>0.3</v>
      </c>
      <c r="EO29">
        <v>2.5099999999999998</v>
      </c>
      <c r="EP29">
        <v>-2.97</v>
      </c>
    </row>
    <row r="30" spans="1:146" ht="96" x14ac:dyDescent="0.25">
      <c r="A30" s="6"/>
      <c r="B30" s="6"/>
      <c r="C30" s="6" t="str">
        <f>""&amp;CHAR(10)&amp;Basic_Fundamental_Information_Constructure(F30)&amp;CHAR(10)&amp;Basic_Fundamental_Information_Concatenate("")</f>
        <v xml:space="preserve">
市值39.0404亿, 利润5086.77万; PE21.21; 平均PE39.23; 平均PEG13.64, PB2.26; ROIC7.73%; ROE8.1633%; 股利率3.7397%; 毛利39.15%; 净利15.4333%; 上一年度营收增-68.93%, 利润增-59.63%; 当季营收增-40.43%, 利润增-43.2%; 过往5年营收增-2.88%, 利润增-1.74%
Income profile:
</v>
      </c>
      <c r="D30" t="s">
        <v>165</v>
      </c>
      <c r="E30" t="s">
        <v>166</v>
      </c>
      <c r="F30">
        <v>26.74</v>
      </c>
      <c r="G30">
        <v>7.0000000000000007E-2</v>
      </c>
      <c r="H30" t="s">
        <v>1798</v>
      </c>
      <c r="I30">
        <v>3904040000</v>
      </c>
      <c r="J30">
        <v>21.21</v>
      </c>
      <c r="K30">
        <v>2.2599999999999998</v>
      </c>
      <c r="L30" t="s">
        <v>52</v>
      </c>
      <c r="M30" t="s">
        <v>1069</v>
      </c>
      <c r="N30" t="s">
        <v>1430</v>
      </c>
      <c r="O30" t="s">
        <v>658</v>
      </c>
      <c r="P30">
        <v>22.78</v>
      </c>
      <c r="Q30" t="s">
        <v>658</v>
      </c>
      <c r="R30">
        <v>50867712</v>
      </c>
      <c r="S30" s="4">
        <v>0.30120000000000002</v>
      </c>
      <c r="T30" t="s">
        <v>1799</v>
      </c>
      <c r="U30">
        <v>123581550</v>
      </c>
      <c r="V30">
        <v>146000000</v>
      </c>
      <c r="W30">
        <v>1.1200000000000001</v>
      </c>
      <c r="X30">
        <v>0.14000000000000001</v>
      </c>
      <c r="Y30">
        <v>18.559999999999999</v>
      </c>
      <c r="Z30" t="s">
        <v>100</v>
      </c>
      <c r="AA30" t="s">
        <v>1800</v>
      </c>
      <c r="AB30" t="s">
        <v>1801</v>
      </c>
      <c r="AC30" t="s">
        <v>1802</v>
      </c>
      <c r="AD30" t="s">
        <v>30</v>
      </c>
      <c r="AE30">
        <v>-5159246</v>
      </c>
      <c r="AF30" t="s">
        <v>64</v>
      </c>
      <c r="AG30" t="s">
        <v>1803</v>
      </c>
      <c r="AH30" t="s">
        <v>1804</v>
      </c>
      <c r="AI30" t="s">
        <v>780</v>
      </c>
      <c r="AJ30" t="s">
        <v>1805</v>
      </c>
      <c r="AK30" t="s">
        <v>1806</v>
      </c>
      <c r="AL30" t="s">
        <v>1807</v>
      </c>
      <c r="AM30" t="s">
        <v>30</v>
      </c>
      <c r="AN30" t="s">
        <v>263</v>
      </c>
      <c r="AO30" t="s">
        <v>1808</v>
      </c>
      <c r="AP30" t="s">
        <v>30</v>
      </c>
      <c r="AQ30" t="s">
        <v>120</v>
      </c>
      <c r="AR30" t="s">
        <v>30</v>
      </c>
      <c r="AS30" t="s">
        <v>370</v>
      </c>
      <c r="AT30" t="s">
        <v>30</v>
      </c>
      <c r="AU30" t="s">
        <v>1809</v>
      </c>
      <c r="AV30" t="s">
        <v>1810</v>
      </c>
      <c r="AW30" t="s">
        <v>1811</v>
      </c>
      <c r="AX30" t="s">
        <v>820</v>
      </c>
      <c r="AY30" t="s">
        <v>611</v>
      </c>
      <c r="AZ30" t="s">
        <v>344</v>
      </c>
      <c r="BA30" t="s">
        <v>307</v>
      </c>
      <c r="BB30" t="s">
        <v>345</v>
      </c>
      <c r="BC30" t="s">
        <v>714</v>
      </c>
      <c r="BD30" t="s">
        <v>61</v>
      </c>
      <c r="BE30" t="s">
        <v>56</v>
      </c>
      <c r="BF30" t="s">
        <v>346</v>
      </c>
      <c r="BG30" t="s">
        <v>347</v>
      </c>
      <c r="BH30" t="s">
        <v>1812</v>
      </c>
      <c r="BI30" t="s">
        <v>724</v>
      </c>
      <c r="BJ30" t="s">
        <v>820</v>
      </c>
      <c r="BK30" t="s">
        <v>1131</v>
      </c>
      <c r="BL30" t="s">
        <v>1813</v>
      </c>
      <c r="BM30" t="s">
        <v>714</v>
      </c>
      <c r="BN30">
        <v>7.89</v>
      </c>
      <c r="BO30">
        <v>7.56</v>
      </c>
      <c r="BP30">
        <v>7.74</v>
      </c>
      <c r="BQ30">
        <v>8.52</v>
      </c>
      <c r="BR30">
        <v>8.0399999999999991</v>
      </c>
      <c r="BS30">
        <v>7.93</v>
      </c>
      <c r="BT30" t="s">
        <v>1814</v>
      </c>
      <c r="BU30" t="s">
        <v>542</v>
      </c>
      <c r="BV30">
        <v>41.59</v>
      </c>
      <c r="BW30">
        <v>36.880000000000003</v>
      </c>
      <c r="BX30">
        <v>38.979999999999997</v>
      </c>
      <c r="BY30">
        <v>17.329999999999998</v>
      </c>
      <c r="BZ30">
        <v>14.28</v>
      </c>
      <c r="CA30">
        <v>14.69</v>
      </c>
      <c r="CB30">
        <v>-3.74</v>
      </c>
      <c r="CC30">
        <v>-16.649999999999999</v>
      </c>
      <c r="CD30" t="s">
        <v>1815</v>
      </c>
      <c r="CE30" t="s">
        <v>1816</v>
      </c>
      <c r="CF30" s="7">
        <v>-0.40434782608695646</v>
      </c>
      <c r="CG30" s="8">
        <v>-0.43198711835790321</v>
      </c>
      <c r="CH30" s="7">
        <v>-0.68934237957000732</v>
      </c>
      <c r="CI30" s="7">
        <v>9.4292804598808289E-2</v>
      </c>
      <c r="CJ30" s="7">
        <v>0.10866574943065643</v>
      </c>
      <c r="CK30" s="7">
        <v>0.15764331817626953</v>
      </c>
      <c r="CL30" s="7">
        <v>0.18490566313266754</v>
      </c>
      <c r="CM30" s="8">
        <v>-0.59628814458847046</v>
      </c>
      <c r="CN30" s="8">
        <v>5.8823529630899429E-2</v>
      </c>
      <c r="CO30" s="8">
        <v>-7.03125E-2</v>
      </c>
      <c r="CP30" s="8">
        <v>0.3967989981174469</v>
      </c>
      <c r="CQ30" s="8">
        <v>0.12392625957727432</v>
      </c>
      <c r="CR30">
        <v>39.23397388816857</v>
      </c>
      <c r="CS30">
        <v>13.63854985826428</v>
      </c>
      <c r="CT30">
        <v>3.7397157816005984</v>
      </c>
      <c r="CU30" s="7">
        <v>-2.8766968846321107E-2</v>
      </c>
      <c r="CV30" s="8">
        <v>-1.7410371452569962E-2</v>
      </c>
      <c r="CW30">
        <v>0.06</v>
      </c>
      <c r="CX30">
        <v>47.064050468175289</v>
      </c>
      <c r="CY30" t="s">
        <v>1817</v>
      </c>
      <c r="CZ30">
        <v>-2.8766968846321107E-2</v>
      </c>
      <c r="DA30">
        <v>15.688016822725096</v>
      </c>
      <c r="DB30" t="s">
        <v>1818</v>
      </c>
      <c r="DC30">
        <v>-2.732862040400505E-2</v>
      </c>
      <c r="DD30">
        <v>7.8440084113625481</v>
      </c>
      <c r="DE30" t="s">
        <v>1819</v>
      </c>
      <c r="DF30">
        <v>-2.5314932584762573E-2</v>
      </c>
      <c r="DG30">
        <v>4.7064050468175287</v>
      </c>
      <c r="DH30" t="s">
        <v>1820</v>
      </c>
      <c r="DI30">
        <v>-2.3013575077056887E-2</v>
      </c>
      <c r="DJ30">
        <v>2.3532025234087643</v>
      </c>
      <c r="DK30" t="s">
        <v>1821</v>
      </c>
      <c r="DL30">
        <v>-2.0136878192424774E-2</v>
      </c>
      <c r="DM30">
        <v>50867700.000000007</v>
      </c>
      <c r="DN30">
        <v>-2.8766968846321107E-2</v>
      </c>
      <c r="DO30">
        <v>2394040000</v>
      </c>
      <c r="DP30">
        <v>975325510</v>
      </c>
      <c r="DQ30">
        <v>2364</v>
      </c>
      <c r="DR30">
        <v>-0.37558085724063534</v>
      </c>
      <c r="DS30">
        <v>-0.41457674690533325</v>
      </c>
      <c r="DT30" s="9">
        <v>-0.55666666666666675</v>
      </c>
      <c r="DU30">
        <v>-0.27</v>
      </c>
      <c r="DV30">
        <v>-0.82666666666666677</v>
      </c>
      <c r="DW30">
        <v>-8.2246246246246244</v>
      </c>
      <c r="DX30">
        <v>0.51475774802273688</v>
      </c>
      <c r="DY30">
        <v>-8.0370086473036064</v>
      </c>
      <c r="DZ30">
        <v>696</v>
      </c>
      <c r="EA30">
        <v>-8.0319679391777132</v>
      </c>
      <c r="EB30">
        <v>8</v>
      </c>
      <c r="EC30">
        <v>2.8208219178082188E-2</v>
      </c>
      <c r="ED30">
        <v>0.17121027397260274</v>
      </c>
      <c r="EE30" s="10">
        <v>-3.0211100000000002</v>
      </c>
      <c r="EF30">
        <v>-3.0418099999999999</v>
      </c>
      <c r="EG30">
        <v>35.164757748022737</v>
      </c>
      <c r="EH30" t="s">
        <v>1032</v>
      </c>
      <c r="EI30">
        <v>0</v>
      </c>
      <c r="EJ30">
        <v>1</v>
      </c>
      <c r="EK30" s="11">
        <v>45470</v>
      </c>
      <c r="EL30">
        <v>0</v>
      </c>
      <c r="EM30">
        <v>-4.29</v>
      </c>
      <c r="EN30">
        <v>1.34</v>
      </c>
      <c r="EO30">
        <v>4.1399999999999997</v>
      </c>
      <c r="EP30">
        <v>-2.0699999999999998</v>
      </c>
    </row>
    <row r="31" spans="1:146" ht="96" x14ac:dyDescent="0.25">
      <c r="A31" s="6"/>
      <c r="B31" s="6"/>
      <c r="C31" s="6" t="str">
        <f>""&amp;CHAR(10)&amp;Basic_Fundamental_Information_Constructure(F31)&amp;CHAR(10)&amp;Basic_Fundamental_Information_Concatenate("")</f>
        <v xml:space="preserve">
市值45.010631亿, 利润7677.18万; PE45.04; 平均PE27.87; 平均PEG5.5, PB1.99; ROIC11.01%; ROE10.94%; 股利率1.8811%; 毛利32.6867%; 净利5.6667%; 上一年度营收增-68.53%, 利润增-46.69%; 当季营收增-44.01%, 利润增-28.92%; 过往5年营收增5.07%, 利润增40.08%
Income profile:
</v>
      </c>
      <c r="D31" t="s">
        <v>349</v>
      </c>
      <c r="E31" t="s">
        <v>350</v>
      </c>
      <c r="F31">
        <v>26.58</v>
      </c>
      <c r="G31">
        <v>0.23</v>
      </c>
      <c r="H31" t="s">
        <v>1822</v>
      </c>
      <c r="I31">
        <v>4501063100</v>
      </c>
      <c r="J31">
        <v>45.04</v>
      </c>
      <c r="K31">
        <v>1.99</v>
      </c>
      <c r="L31" t="s">
        <v>52</v>
      </c>
      <c r="M31" t="s">
        <v>1047</v>
      </c>
      <c r="N31" t="s">
        <v>1823</v>
      </c>
      <c r="O31" t="s">
        <v>1824</v>
      </c>
      <c r="P31">
        <v>15.31</v>
      </c>
      <c r="Q31" t="s">
        <v>1824</v>
      </c>
      <c r="R31">
        <v>76771771</v>
      </c>
      <c r="S31" s="4">
        <v>0.53959999999999997</v>
      </c>
      <c r="T31" t="s">
        <v>1825</v>
      </c>
      <c r="U31">
        <v>116526872</v>
      </c>
      <c r="V31">
        <v>169340220</v>
      </c>
      <c r="W31">
        <v>1.55</v>
      </c>
      <c r="X31">
        <v>0.23</v>
      </c>
      <c r="Y31">
        <v>8.3000000000000007</v>
      </c>
      <c r="Z31" t="s">
        <v>987</v>
      </c>
      <c r="AA31" t="s">
        <v>975</v>
      </c>
      <c r="AB31" t="s">
        <v>196</v>
      </c>
      <c r="AC31" t="s">
        <v>1826</v>
      </c>
      <c r="AD31" t="s">
        <v>30</v>
      </c>
      <c r="AE31">
        <v>1760321</v>
      </c>
      <c r="AF31" t="s">
        <v>1827</v>
      </c>
      <c r="AG31" t="s">
        <v>1828</v>
      </c>
      <c r="AH31" t="s">
        <v>1829</v>
      </c>
      <c r="AI31" t="s">
        <v>1830</v>
      </c>
      <c r="AJ31" t="s">
        <v>1831</v>
      </c>
      <c r="AK31" t="s">
        <v>30</v>
      </c>
      <c r="AL31" t="s">
        <v>1832</v>
      </c>
      <c r="AM31" t="s">
        <v>30</v>
      </c>
      <c r="AN31" t="s">
        <v>616</v>
      </c>
      <c r="AO31" t="s">
        <v>1833</v>
      </c>
      <c r="AP31" t="s">
        <v>30</v>
      </c>
      <c r="AQ31" t="s">
        <v>113</v>
      </c>
      <c r="AR31" t="s">
        <v>1834</v>
      </c>
      <c r="AS31" t="s">
        <v>293</v>
      </c>
      <c r="AT31" t="s">
        <v>99</v>
      </c>
      <c r="AU31" t="s">
        <v>1835</v>
      </c>
      <c r="AV31" t="s">
        <v>982</v>
      </c>
      <c r="AW31" t="s">
        <v>1836</v>
      </c>
      <c r="AX31" t="s">
        <v>821</v>
      </c>
      <c r="AY31" t="s">
        <v>613</v>
      </c>
      <c r="AZ31" t="s">
        <v>351</v>
      </c>
      <c r="BA31" t="s">
        <v>353</v>
      </c>
      <c r="BB31" t="s">
        <v>354</v>
      </c>
      <c r="BC31" t="s">
        <v>94</v>
      </c>
      <c r="BD31" t="s">
        <v>222</v>
      </c>
      <c r="BE31" t="s">
        <v>352</v>
      </c>
      <c r="BF31" t="s">
        <v>112</v>
      </c>
      <c r="BG31" t="s">
        <v>355</v>
      </c>
      <c r="BH31" t="s">
        <v>1837</v>
      </c>
      <c r="BI31" t="s">
        <v>1035</v>
      </c>
      <c r="BJ31" t="s">
        <v>821</v>
      </c>
      <c r="BK31" t="s">
        <v>1838</v>
      </c>
      <c r="BL31" t="s">
        <v>83</v>
      </c>
      <c r="BM31" t="s">
        <v>94</v>
      </c>
      <c r="BN31">
        <v>5.77</v>
      </c>
      <c r="BO31">
        <v>6.34</v>
      </c>
      <c r="BP31">
        <v>20.92</v>
      </c>
      <c r="BQ31">
        <v>6.73</v>
      </c>
      <c r="BR31">
        <v>7.04</v>
      </c>
      <c r="BS31">
        <v>19.05</v>
      </c>
      <c r="BT31" t="s">
        <v>745</v>
      </c>
      <c r="BU31" t="s">
        <v>524</v>
      </c>
      <c r="BV31">
        <v>31.39</v>
      </c>
      <c r="BW31">
        <v>31.77</v>
      </c>
      <c r="BX31">
        <v>34.9</v>
      </c>
      <c r="BY31">
        <v>2.02</v>
      </c>
      <c r="BZ31">
        <v>4.93</v>
      </c>
      <c r="CA31">
        <v>10.050000000000001</v>
      </c>
      <c r="CB31">
        <v>-5.38</v>
      </c>
      <c r="CC31">
        <v>-24.42</v>
      </c>
      <c r="CD31" t="s">
        <v>1839</v>
      </c>
      <c r="CE31" t="s">
        <v>1840</v>
      </c>
      <c r="CF31" s="7">
        <v>-0.44009779951100242</v>
      </c>
      <c r="CG31" s="8">
        <v>-0.28915026851851849</v>
      </c>
      <c r="CH31" s="7">
        <v>-0.68533152341842651</v>
      </c>
      <c r="CI31" s="7">
        <v>3.3368878066539764E-2</v>
      </c>
      <c r="CJ31" s="7">
        <v>0.55635356903076172</v>
      </c>
      <c r="CK31" s="7">
        <v>0.14267677068710327</v>
      </c>
      <c r="CL31" s="7">
        <v>0.20639762282371521</v>
      </c>
      <c r="CM31" s="8">
        <v>-0.46686249971389771</v>
      </c>
      <c r="CN31" s="8">
        <v>-0.49116608500480652</v>
      </c>
      <c r="CO31" s="8">
        <v>0.21982759237289429</v>
      </c>
      <c r="CP31" s="8">
        <v>0.28176796436309814</v>
      </c>
      <c r="CQ31" s="8">
        <v>2.4602341651916504</v>
      </c>
      <c r="CR31">
        <v>27.86804748089013</v>
      </c>
      <c r="CS31">
        <v>5.497408440310136</v>
      </c>
      <c r="CT31">
        <v>1.8811136192626037</v>
      </c>
      <c r="CU31" s="7">
        <v>5.0693063437938689E-2</v>
      </c>
      <c r="CV31" s="8">
        <v>0.40076022744178774</v>
      </c>
      <c r="CW31">
        <v>0.06</v>
      </c>
      <c r="CX31">
        <v>45.153290810282677</v>
      </c>
      <c r="CY31">
        <v>76097733.705325231</v>
      </c>
      <c r="CZ31">
        <v>5.0693063437938689E-2</v>
      </c>
      <c r="DA31">
        <v>15.257302830583562</v>
      </c>
      <c r="DB31">
        <v>225207766.9397991</v>
      </c>
      <c r="DC31">
        <v>4.815841026604175E-2</v>
      </c>
      <c r="DD31">
        <v>7.8488087214565203</v>
      </c>
      <c r="DE31">
        <v>437781480.21453661</v>
      </c>
      <c r="DF31">
        <v>4.4609895825386048E-2</v>
      </c>
      <c r="DG31">
        <v>4.9484734509304609</v>
      </c>
      <c r="DH31">
        <v>694368300.46120942</v>
      </c>
      <c r="DI31">
        <v>4.0554450750350954E-2</v>
      </c>
      <c r="DJ31">
        <v>2.8352050001071776</v>
      </c>
      <c r="DK31">
        <v>1211927567.8020139</v>
      </c>
      <c r="DL31">
        <v>3.5485144406557083E-2</v>
      </c>
      <c r="DM31">
        <v>76771800</v>
      </c>
      <c r="DN31">
        <v>5.0693063437938689E-2</v>
      </c>
      <c r="DO31">
        <v>3436063100</v>
      </c>
      <c r="DP31">
        <v>1390981500</v>
      </c>
      <c r="DQ31">
        <v>2424</v>
      </c>
      <c r="DR31">
        <v>-0.49079086294894109</v>
      </c>
      <c r="DS31">
        <v>-0.68991049596030618</v>
      </c>
      <c r="DT31" s="9">
        <v>-0.54</v>
      </c>
      <c r="DU31">
        <v>0.20666666666666667</v>
      </c>
      <c r="DV31">
        <v>-0.33333333333333337</v>
      </c>
      <c r="DW31">
        <v>-8.2203112203112205</v>
      </c>
      <c r="DX31">
        <v>0.41168655153294936</v>
      </c>
      <c r="DY31">
        <v>-8.0466369224916985</v>
      </c>
      <c r="DZ31">
        <v>3404</v>
      </c>
      <c r="EA31">
        <v>-8.0155699784287346</v>
      </c>
      <c r="EB31">
        <v>8</v>
      </c>
      <c r="EC31">
        <v>6.0874492781454993E-2</v>
      </c>
      <c r="ED31">
        <v>0.28756901343343005</v>
      </c>
      <c r="EE31" s="10">
        <v>-5.0181100000000001</v>
      </c>
      <c r="EF31">
        <v>-5.0243099999999998</v>
      </c>
      <c r="EG31">
        <v>20.211686551532949</v>
      </c>
      <c r="EH31" t="s">
        <v>1841</v>
      </c>
      <c r="EI31">
        <v>0</v>
      </c>
      <c r="EJ31">
        <v>0</v>
      </c>
      <c r="EK31" s="11">
        <v>45470</v>
      </c>
      <c r="EL31">
        <v>1.72</v>
      </c>
      <c r="EM31">
        <v>-3.67</v>
      </c>
      <c r="EN31">
        <v>-1.51</v>
      </c>
      <c r="EO31">
        <v>4.12</v>
      </c>
      <c r="EP31">
        <v>-0.62</v>
      </c>
    </row>
    <row r="32" spans="1:146" ht="108" x14ac:dyDescent="0.25">
      <c r="A32" s="6"/>
      <c r="B32" s="6"/>
      <c r="C32" s="6" t="str">
        <f>""&amp;CHAR(10)&amp;Basic_Fundamental_Information_Constructure(F32)&amp;CHAR(10)&amp;Basic_Fundamental_Information_Concatenate("")</f>
        <v xml:space="preserve">
市值40.453061亿, 利润7843.87万; PE; 平均PE26.19; 平均PEG60.93, PB2.24; ROIC4.02%; ROE3.4667%; 股利率0%; 毛利2.9067%; 净利.0567%; 上一年度营收增-75.48%, 利润增50.32%; 当季营收增-57.64%, 利润增-.26%; 过往5年营收增.43%, 利润增10.19%
Income profile:
</v>
      </c>
      <c r="D32" t="s">
        <v>530</v>
      </c>
      <c r="E32" t="s">
        <v>531</v>
      </c>
      <c r="F32">
        <v>9.01</v>
      </c>
      <c r="G32">
        <v>1.01</v>
      </c>
      <c r="H32" t="s">
        <v>1842</v>
      </c>
      <c r="I32">
        <v>4045306100</v>
      </c>
      <c r="K32">
        <v>2.2400000000000002</v>
      </c>
      <c r="L32" t="s">
        <v>52</v>
      </c>
      <c r="M32" t="s">
        <v>1843</v>
      </c>
      <c r="N32" t="s">
        <v>1844</v>
      </c>
      <c r="O32" t="s">
        <v>1845</v>
      </c>
      <c r="P32">
        <v>-11.08</v>
      </c>
      <c r="Q32" t="s">
        <v>1845</v>
      </c>
      <c r="R32">
        <v>78438709</v>
      </c>
      <c r="S32" s="4">
        <v>-0.32969999999999999</v>
      </c>
      <c r="T32" t="s">
        <v>1846</v>
      </c>
      <c r="U32">
        <v>116498567</v>
      </c>
      <c r="V32">
        <v>448979590</v>
      </c>
      <c r="W32">
        <v>2.68</v>
      </c>
      <c r="X32">
        <v>0.94</v>
      </c>
      <c r="Y32">
        <v>2.27</v>
      </c>
      <c r="Z32" t="s">
        <v>1847</v>
      </c>
      <c r="AA32" t="s">
        <v>1848</v>
      </c>
      <c r="AB32" t="s">
        <v>1849</v>
      </c>
      <c r="AC32" t="s">
        <v>1850</v>
      </c>
      <c r="AD32" t="s">
        <v>30</v>
      </c>
      <c r="AE32">
        <v>20166008</v>
      </c>
      <c r="AF32" t="s">
        <v>1851</v>
      </c>
      <c r="AG32" t="s">
        <v>1852</v>
      </c>
      <c r="AH32" t="s">
        <v>1853</v>
      </c>
      <c r="AI32" t="s">
        <v>1854</v>
      </c>
      <c r="AJ32" t="s">
        <v>1855</v>
      </c>
      <c r="AK32" t="s">
        <v>30</v>
      </c>
      <c r="AL32" t="s">
        <v>1856</v>
      </c>
      <c r="AM32" t="s">
        <v>30</v>
      </c>
      <c r="AN32" t="s">
        <v>1857</v>
      </c>
      <c r="AO32" t="s">
        <v>1858</v>
      </c>
      <c r="AP32" t="s">
        <v>30</v>
      </c>
      <c r="AQ32" t="s">
        <v>1859</v>
      </c>
      <c r="AR32" t="s">
        <v>1860</v>
      </c>
      <c r="AS32" t="s">
        <v>1861</v>
      </c>
      <c r="AT32" t="s">
        <v>658</v>
      </c>
      <c r="AU32" t="s">
        <v>56</v>
      </c>
      <c r="AV32" t="s">
        <v>1862</v>
      </c>
      <c r="AW32" t="s">
        <v>1863</v>
      </c>
      <c r="AX32" t="s">
        <v>822</v>
      </c>
      <c r="AY32" t="s">
        <v>614</v>
      </c>
      <c r="AZ32" t="s">
        <v>532</v>
      </c>
      <c r="BA32" t="s">
        <v>533</v>
      </c>
      <c r="BB32" t="s">
        <v>534</v>
      </c>
      <c r="BC32" t="s">
        <v>1864</v>
      </c>
      <c r="BD32" t="s">
        <v>558</v>
      </c>
      <c r="BE32" t="s">
        <v>94</v>
      </c>
      <c r="BF32" t="s">
        <v>529</v>
      </c>
      <c r="BG32" t="s">
        <v>229</v>
      </c>
      <c r="BH32" t="s">
        <v>1865</v>
      </c>
      <c r="BI32" t="s">
        <v>1037</v>
      </c>
      <c r="BJ32" t="s">
        <v>822</v>
      </c>
      <c r="BK32" t="s">
        <v>1094</v>
      </c>
      <c r="BL32" t="s">
        <v>1866</v>
      </c>
      <c r="BM32" t="s">
        <v>1864</v>
      </c>
      <c r="BN32">
        <v>1.68</v>
      </c>
      <c r="BO32">
        <v>3.6</v>
      </c>
      <c r="BP32">
        <v>6.78</v>
      </c>
      <c r="BQ32">
        <v>-0.28000000000000003</v>
      </c>
      <c r="BR32">
        <v>2.7</v>
      </c>
      <c r="BS32">
        <v>7.98</v>
      </c>
      <c r="BT32" t="s">
        <v>737</v>
      </c>
      <c r="BU32" t="s">
        <v>674</v>
      </c>
      <c r="BV32">
        <v>2.21</v>
      </c>
      <c r="BW32">
        <v>2.96</v>
      </c>
      <c r="BX32">
        <v>3.55</v>
      </c>
      <c r="BY32">
        <v>-0.77</v>
      </c>
      <c r="BZ32">
        <v>0.26</v>
      </c>
      <c r="CA32">
        <v>0.68</v>
      </c>
      <c r="CB32">
        <v>0.9</v>
      </c>
      <c r="CC32">
        <v>-18.02</v>
      </c>
      <c r="CD32" t="s">
        <v>1867</v>
      </c>
      <c r="CE32" t="s">
        <v>558</v>
      </c>
      <c r="CF32" s="7">
        <v>-0.57642606608824076</v>
      </c>
      <c r="CG32" s="8">
        <v>-2.6141881865564321E-3</v>
      </c>
      <c r="CH32" s="7">
        <v>-0.7547956109046936</v>
      </c>
      <c r="CI32" s="7">
        <v>0.14018525183200836</v>
      </c>
      <c r="CJ32" s="7">
        <v>0.14049476385116577</v>
      </c>
      <c r="CK32" s="7">
        <v>-7.4707493185997009E-2</v>
      </c>
      <c r="CL32" s="7">
        <v>0.57031792402267456</v>
      </c>
      <c r="CM32" s="8">
        <v>0.50316685438156128</v>
      </c>
      <c r="CN32" s="8">
        <v>-0.5539974570274353</v>
      </c>
      <c r="CO32" s="8">
        <v>-0.1875</v>
      </c>
      <c r="CP32" s="8">
        <v>-0.61702126264572144</v>
      </c>
      <c r="CQ32" s="8">
        <v>1.3647798299789429</v>
      </c>
      <c r="CR32">
        <v>26.193920275927265</v>
      </c>
      <c r="CS32">
        <v>60.930729466605939</v>
      </c>
      <c r="CT32">
        <v>0</v>
      </c>
      <c r="CU32" s="7">
        <v>4.298967123031616E-3</v>
      </c>
      <c r="CV32" s="8">
        <v>0.10188559293746949</v>
      </c>
      <c r="CW32">
        <v>0.06</v>
      </c>
      <c r="CX32">
        <v>67.700706699964641</v>
      </c>
      <c r="CY32">
        <v>74316891.879691824</v>
      </c>
      <c r="CZ32">
        <v>4.298967123031616E-3</v>
      </c>
      <c r="DA32">
        <v>23.805409838957413</v>
      </c>
      <c r="DB32">
        <v>211351374.92009473</v>
      </c>
      <c r="DC32">
        <v>4.0840187668800352E-3</v>
      </c>
      <c r="DD32">
        <v>12.881044343326716</v>
      </c>
      <c r="DE32">
        <v>390597684.93123537</v>
      </c>
      <c r="DF32">
        <v>3.7830910682678221E-3</v>
      </c>
      <c r="DG32">
        <v>8.5656151376537668</v>
      </c>
      <c r="DH32">
        <v>587384095.49627984</v>
      </c>
      <c r="DI32">
        <v>3.4391736984252931E-3</v>
      </c>
      <c r="DJ32">
        <v>5.4487830636440622</v>
      </c>
      <c r="DK32">
        <v>923381614.06542397</v>
      </c>
      <c r="DL32">
        <v>3.009276986122131E-3</v>
      </c>
      <c r="DM32">
        <v>78438700</v>
      </c>
      <c r="DN32">
        <v>4.298967123031616E-3</v>
      </c>
      <c r="DO32">
        <v>5031306100</v>
      </c>
      <c r="DP32">
        <v>5271100</v>
      </c>
      <c r="DQ32">
        <v>2556</v>
      </c>
      <c r="DR32">
        <v>-0.58072503321127233</v>
      </c>
      <c r="DS32">
        <v>-0.10449978112402591</v>
      </c>
      <c r="DT32" s="9">
        <v>-0.67333333333333334</v>
      </c>
      <c r="DU32">
        <v>-0.15</v>
      </c>
      <c r="DV32">
        <v>-0.82333333333333336</v>
      </c>
      <c r="DW32">
        <v>-3.022845238095238</v>
      </c>
      <c r="DX32">
        <v>0.26506410256410329</v>
      </c>
      <c r="DY32">
        <v>-3.0026286668192919</v>
      </c>
      <c r="DZ32">
        <v>1202</v>
      </c>
      <c r="EA32">
        <v>-3.00201033853812</v>
      </c>
      <c r="EB32">
        <v>3</v>
      </c>
      <c r="EC32">
        <v>2.9984659213573607E-2</v>
      </c>
      <c r="ED32">
        <v>0.26059091015696284</v>
      </c>
      <c r="EE32" s="10">
        <v>-3.0300099999999999</v>
      </c>
      <c r="EF32">
        <v>-3.04691</v>
      </c>
      <c r="EG32">
        <v>15.115064102564103</v>
      </c>
      <c r="EH32" t="s">
        <v>1032</v>
      </c>
      <c r="EI32">
        <v>0</v>
      </c>
      <c r="EJ32">
        <v>1</v>
      </c>
      <c r="EK32" s="11">
        <v>45470</v>
      </c>
      <c r="EL32">
        <v>0.49</v>
      </c>
      <c r="EM32">
        <v>-3.94</v>
      </c>
      <c r="EN32">
        <v>0.43</v>
      </c>
      <c r="EO32">
        <v>1.43</v>
      </c>
      <c r="EP32">
        <v>-1.69</v>
      </c>
    </row>
    <row r="33" spans="1:146" ht="96" x14ac:dyDescent="0.25">
      <c r="A33" s="6"/>
      <c r="B33" s="6"/>
      <c r="C33" s="6" t="str">
        <f>""&amp;CHAR(10)&amp;Basic_Fundamental_Information_Constructure(F33)&amp;CHAR(10)&amp;Basic_Fundamental_Information_Concatenate("")</f>
        <v xml:space="preserve">
市值51.575121亿, 利润9932.03万; PE41.46; 平均PE17.13; 平均PEG.74, PB1.04; ROIC2.4533%; ROE8.0967%; 股利率1.3273%; 毛利10.59%; 净利.5433%; 上一年度营收增-77.29%, 利润增-80.25%; 当季营收增-50.27%, 利润增-70.26%; 过往5年营收增-23.3%, 利润增-80.25%
Income profile:
</v>
      </c>
      <c r="D33" t="s">
        <v>117</v>
      </c>
      <c r="E33" t="s">
        <v>1868</v>
      </c>
      <c r="F33">
        <v>5.5</v>
      </c>
      <c r="G33">
        <v>0.73</v>
      </c>
      <c r="H33" t="s">
        <v>1869</v>
      </c>
      <c r="I33">
        <v>5157512100</v>
      </c>
      <c r="J33">
        <v>41.46</v>
      </c>
      <c r="K33">
        <v>1.04</v>
      </c>
      <c r="L33" t="s">
        <v>52</v>
      </c>
      <c r="M33" t="s">
        <v>1870</v>
      </c>
      <c r="N33" t="s">
        <v>1871</v>
      </c>
      <c r="O33" t="s">
        <v>1872</v>
      </c>
      <c r="P33">
        <v>-1.24</v>
      </c>
      <c r="Q33" t="s">
        <v>1872</v>
      </c>
      <c r="R33">
        <v>99320347</v>
      </c>
      <c r="S33" s="4">
        <v>-0.50460000000000005</v>
      </c>
      <c r="T33" t="s">
        <v>1873</v>
      </c>
      <c r="U33">
        <v>937729470</v>
      </c>
      <c r="V33">
        <v>937729470</v>
      </c>
      <c r="W33">
        <v>2.29</v>
      </c>
      <c r="X33" t="s">
        <v>30</v>
      </c>
      <c r="Y33">
        <v>0.57999999999999996</v>
      </c>
      <c r="Z33" t="s">
        <v>30</v>
      </c>
      <c r="AA33" t="s">
        <v>30</v>
      </c>
      <c r="AB33" t="s">
        <v>30</v>
      </c>
      <c r="AC33" t="s">
        <v>30</v>
      </c>
      <c r="AD33" t="s">
        <v>30</v>
      </c>
      <c r="AE33">
        <v>-80500105</v>
      </c>
      <c r="AF33" t="s">
        <v>1874</v>
      </c>
      <c r="AG33" t="s">
        <v>1875</v>
      </c>
      <c r="AH33" t="s">
        <v>1876</v>
      </c>
      <c r="AI33" t="s">
        <v>1877</v>
      </c>
      <c r="AJ33" t="s">
        <v>1878</v>
      </c>
      <c r="AK33" t="s">
        <v>30</v>
      </c>
      <c r="AL33" t="s">
        <v>1879</v>
      </c>
      <c r="AM33" t="s">
        <v>30</v>
      </c>
      <c r="AN33" t="s">
        <v>1880</v>
      </c>
      <c r="AO33" t="s">
        <v>30</v>
      </c>
      <c r="AP33" t="s">
        <v>30</v>
      </c>
      <c r="AQ33" t="s">
        <v>1881</v>
      </c>
      <c r="AR33" t="s">
        <v>30</v>
      </c>
      <c r="AS33" t="s">
        <v>30</v>
      </c>
      <c r="AT33" t="s">
        <v>30</v>
      </c>
      <c r="AU33" t="s">
        <v>1882</v>
      </c>
      <c r="AV33" t="s">
        <v>1015</v>
      </c>
      <c r="AW33" t="s">
        <v>1119</v>
      </c>
      <c r="AX33" t="s">
        <v>823</v>
      </c>
      <c r="AY33" t="s">
        <v>30</v>
      </c>
      <c r="AZ33" t="s">
        <v>356</v>
      </c>
      <c r="BA33" t="s">
        <v>357</v>
      </c>
      <c r="BB33" t="s">
        <v>358</v>
      </c>
      <c r="BC33" t="s">
        <v>810</v>
      </c>
      <c r="BD33" t="s">
        <v>30</v>
      </c>
      <c r="BE33" t="s">
        <v>30</v>
      </c>
      <c r="BF33" t="s">
        <v>30</v>
      </c>
      <c r="BG33" t="s">
        <v>30</v>
      </c>
      <c r="BH33" t="s">
        <v>1883</v>
      </c>
      <c r="BI33" t="s">
        <v>1038</v>
      </c>
      <c r="BJ33" t="s">
        <v>823</v>
      </c>
      <c r="BK33" t="s">
        <v>276</v>
      </c>
      <c r="BL33" t="s">
        <v>1884</v>
      </c>
      <c r="BM33" t="s">
        <v>810</v>
      </c>
      <c r="BN33">
        <v>1.76</v>
      </c>
      <c r="BO33">
        <v>6.97</v>
      </c>
      <c r="BP33">
        <v>-1.37</v>
      </c>
      <c r="BQ33">
        <v>6.49</v>
      </c>
      <c r="BR33">
        <v>10.88</v>
      </c>
      <c r="BS33">
        <v>6.92</v>
      </c>
      <c r="BT33" t="s">
        <v>1885</v>
      </c>
      <c r="BU33" t="s">
        <v>674</v>
      </c>
      <c r="BV33">
        <v>9.39</v>
      </c>
      <c r="BW33">
        <v>13.15</v>
      </c>
      <c r="BX33">
        <v>9.23</v>
      </c>
      <c r="BY33">
        <v>-0.6</v>
      </c>
      <c r="BZ33">
        <v>2.66</v>
      </c>
      <c r="CA33">
        <v>-0.43</v>
      </c>
      <c r="CB33">
        <v>-0.18</v>
      </c>
      <c r="CC33">
        <v>-13.07</v>
      </c>
      <c r="CD33" t="s">
        <v>1886</v>
      </c>
      <c r="CE33" t="s">
        <v>713</v>
      </c>
      <c r="CF33" s="7">
        <v>-0.50271691498685367</v>
      </c>
      <c r="CG33" s="8">
        <v>-0.70263369161676648</v>
      </c>
      <c r="CH33" s="7">
        <v>-0.77292191982269287</v>
      </c>
      <c r="CI33" s="7" t="s">
        <v>30</v>
      </c>
      <c r="CJ33" s="7" t="s">
        <v>30</v>
      </c>
      <c r="CK33" s="7">
        <v>1.9783012568950653E-2</v>
      </c>
      <c r="CL33" s="7">
        <v>5.4234176874160767E-2</v>
      </c>
      <c r="CM33" s="8">
        <v>-0.80254411697387695</v>
      </c>
      <c r="CN33" s="8" t="s">
        <v>30</v>
      </c>
      <c r="CO33" s="8" t="s">
        <v>30</v>
      </c>
      <c r="CP33" s="8" t="s">
        <v>30</v>
      </c>
      <c r="CQ33" s="8" t="s">
        <v>30</v>
      </c>
      <c r="CR33">
        <v>17.125479914922344</v>
      </c>
      <c r="CS33">
        <v>0.73509932772760078</v>
      </c>
      <c r="CT33">
        <v>1.3272727272727272</v>
      </c>
      <c r="CU33" s="7">
        <v>-0.23296824345986047</v>
      </c>
      <c r="CV33" s="8">
        <v>-0.80254411697387695</v>
      </c>
      <c r="CW33">
        <v>0.06</v>
      </c>
      <c r="CX33">
        <v>71.903851478499377</v>
      </c>
      <c r="CY33" t="s">
        <v>1887</v>
      </c>
      <c r="CZ33">
        <v>-0.23296824345986047</v>
      </c>
      <c r="DA33">
        <v>23.967950492833122</v>
      </c>
      <c r="DB33" t="s">
        <v>1888</v>
      </c>
      <c r="DC33">
        <v>-0.22131983128686744</v>
      </c>
      <c r="DD33">
        <v>11.983975246416561</v>
      </c>
      <c r="DE33" t="s">
        <v>1889</v>
      </c>
      <c r="DF33">
        <v>-0.20501205424467722</v>
      </c>
      <c r="DG33">
        <v>7.1903851478499368</v>
      </c>
      <c r="DH33" t="s">
        <v>1890</v>
      </c>
      <c r="DI33">
        <v>-0.1863745947678884</v>
      </c>
      <c r="DJ33">
        <v>3.5951925739249684</v>
      </c>
      <c r="DK33" t="s">
        <v>1891</v>
      </c>
      <c r="DL33">
        <v>-0.16307777042190233</v>
      </c>
      <c r="DM33">
        <v>99320300</v>
      </c>
      <c r="DN33">
        <v>-0.23296824345986047</v>
      </c>
      <c r="DO33">
        <v>7141512100.000001</v>
      </c>
      <c r="DP33">
        <v>8887673000</v>
      </c>
      <c r="DQ33">
        <v>2899</v>
      </c>
      <c r="DR33">
        <v>-0.26974867152699322</v>
      </c>
      <c r="DS33">
        <v>9.9910425357110477E-2</v>
      </c>
      <c r="DT33" s="9">
        <v>-1.1599999999999999</v>
      </c>
      <c r="DU33">
        <v>-2.3199999999999998</v>
      </c>
      <c r="DV33">
        <v>-3.4799999999999995</v>
      </c>
      <c r="DW33">
        <v>-2.1307</v>
      </c>
      <c r="DX33">
        <v>0.30915787234042497</v>
      </c>
      <c r="DY33">
        <v>-2.0168809339148934</v>
      </c>
      <c r="DZ33">
        <v>3477</v>
      </c>
      <c r="EA33">
        <v>-2.0053946311317068</v>
      </c>
      <c r="EB33">
        <v>2</v>
      </c>
      <c r="EC33">
        <v>3.2367650768190107E-2</v>
      </c>
      <c r="ED33">
        <v>0.25060532650210937</v>
      </c>
      <c r="EE33" s="10">
        <v>5.0344100000000003</v>
      </c>
      <c r="EF33">
        <v>5.0591100000000004</v>
      </c>
      <c r="EG33">
        <v>18.129157872340425</v>
      </c>
      <c r="EH33" t="s">
        <v>1892</v>
      </c>
      <c r="EI33">
        <v>0</v>
      </c>
      <c r="EJ33">
        <v>0</v>
      </c>
      <c r="EK33" s="11">
        <v>45470</v>
      </c>
      <c r="EL33">
        <v>0.28999999999999998</v>
      </c>
      <c r="EM33">
        <v>-3.89</v>
      </c>
      <c r="EN33">
        <v>-3.75</v>
      </c>
      <c r="EO33">
        <v>4.12</v>
      </c>
      <c r="EP33">
        <v>-2.4700000000000002</v>
      </c>
    </row>
    <row r="34" spans="1:146" ht="108" x14ac:dyDescent="0.25">
      <c r="A34" s="6"/>
      <c r="B34" s="6"/>
      <c r="C34" s="6" t="str">
        <f>""&amp;CHAR(10)&amp;Basic_Fundamental_Information_Constructure(F34)&amp;CHAR(10)&amp;Basic_Fundamental_Information_Concatenate("")</f>
        <v xml:space="preserve">
市值62.584465亿, 利润4922.33万; PE39.57; 平均PE131.18; 平均PEG5.6, PB3.94; ROIC5.34%; ROE5.0333%; 股利率0%; 毛利14.5233%; 净利3.79%; 上一年度营收增-65.94%, 利润增6.56%; 当季营收增-40.86%, 利润增-1.87%; 过往5年营收增-23.42%, 利润增6.56%
Income profile:
</v>
      </c>
      <c r="D34" t="s">
        <v>118</v>
      </c>
      <c r="E34" t="s">
        <v>1893</v>
      </c>
      <c r="F34">
        <v>3.49</v>
      </c>
      <c r="G34">
        <v>1.75</v>
      </c>
      <c r="H34" t="s">
        <v>1894</v>
      </c>
      <c r="I34">
        <v>6258446500</v>
      </c>
      <c r="J34">
        <v>39.57</v>
      </c>
      <c r="K34">
        <v>3.94</v>
      </c>
      <c r="L34" t="s">
        <v>52</v>
      </c>
      <c r="M34" t="s">
        <v>1895</v>
      </c>
      <c r="N34" t="s">
        <v>1896</v>
      </c>
      <c r="O34" t="s">
        <v>1897</v>
      </c>
      <c r="P34">
        <v>26.45</v>
      </c>
      <c r="Q34" t="s">
        <v>1897</v>
      </c>
      <c r="R34">
        <v>49223279</v>
      </c>
      <c r="S34" s="4">
        <v>1.345</v>
      </c>
      <c r="T34" t="s">
        <v>1898</v>
      </c>
      <c r="U34">
        <v>1785951100</v>
      </c>
      <c r="V34">
        <v>1793251100</v>
      </c>
      <c r="W34">
        <v>1.92</v>
      </c>
      <c r="X34" t="s">
        <v>30</v>
      </c>
      <c r="Y34">
        <v>8.7799999999999994</v>
      </c>
      <c r="Z34" t="s">
        <v>30</v>
      </c>
      <c r="AA34" t="s">
        <v>30</v>
      </c>
      <c r="AB34" t="s">
        <v>30</v>
      </c>
      <c r="AC34" t="s">
        <v>30</v>
      </c>
      <c r="AD34" t="s">
        <v>30</v>
      </c>
      <c r="AE34">
        <v>-1877642</v>
      </c>
      <c r="AF34" t="s">
        <v>1899</v>
      </c>
      <c r="AG34" t="s">
        <v>1900</v>
      </c>
      <c r="AH34" t="s">
        <v>1901</v>
      </c>
      <c r="AI34" t="s">
        <v>682</v>
      </c>
      <c r="AJ34" t="s">
        <v>1902</v>
      </c>
      <c r="AK34" t="s">
        <v>30</v>
      </c>
      <c r="AL34" t="s">
        <v>1903</v>
      </c>
      <c r="AM34" t="s">
        <v>30</v>
      </c>
      <c r="AN34">
        <v>0</v>
      </c>
      <c r="AO34" t="s">
        <v>30</v>
      </c>
      <c r="AP34" t="s">
        <v>170</v>
      </c>
      <c r="AQ34" t="s">
        <v>83</v>
      </c>
      <c r="AR34" t="s">
        <v>30</v>
      </c>
      <c r="AS34" t="s">
        <v>30</v>
      </c>
      <c r="AT34" t="s">
        <v>30</v>
      </c>
      <c r="AU34" t="s">
        <v>306</v>
      </c>
      <c r="AV34" t="s">
        <v>1088</v>
      </c>
      <c r="AW34" t="s">
        <v>1904</v>
      </c>
      <c r="AX34" t="s">
        <v>825</v>
      </c>
      <c r="AY34" t="s">
        <v>30</v>
      </c>
      <c r="AZ34" t="s">
        <v>360</v>
      </c>
      <c r="BA34" t="s">
        <v>119</v>
      </c>
      <c r="BB34" t="s">
        <v>362</v>
      </c>
      <c r="BC34" t="s">
        <v>1905</v>
      </c>
      <c r="BD34" t="s">
        <v>30</v>
      </c>
      <c r="BE34" t="s">
        <v>30</v>
      </c>
      <c r="BF34" t="s">
        <v>30</v>
      </c>
      <c r="BG34" t="s">
        <v>30</v>
      </c>
      <c r="BH34" t="s">
        <v>1906</v>
      </c>
      <c r="BI34" t="s">
        <v>1041</v>
      </c>
      <c r="BJ34" t="s">
        <v>825</v>
      </c>
      <c r="BK34" t="s">
        <v>91</v>
      </c>
      <c r="BL34" t="s">
        <v>1907</v>
      </c>
      <c r="BM34" t="s">
        <v>1905</v>
      </c>
      <c r="BN34">
        <v>6.92</v>
      </c>
      <c r="BO34">
        <v>3.2</v>
      </c>
      <c r="BP34">
        <v>5.9</v>
      </c>
      <c r="BQ34">
        <v>6.43</v>
      </c>
      <c r="BR34">
        <v>3.22</v>
      </c>
      <c r="BS34">
        <v>5.45</v>
      </c>
      <c r="BT34" t="s">
        <v>737</v>
      </c>
      <c r="BU34" t="s">
        <v>542</v>
      </c>
      <c r="BV34">
        <v>17.149999999999999</v>
      </c>
      <c r="BW34">
        <v>14.11</v>
      </c>
      <c r="BX34">
        <v>12.31</v>
      </c>
      <c r="BY34">
        <v>6.22</v>
      </c>
      <c r="BZ34">
        <v>2.78</v>
      </c>
      <c r="CA34">
        <v>2.37</v>
      </c>
      <c r="CB34">
        <v>1.75</v>
      </c>
      <c r="CC34">
        <v>-12.75</v>
      </c>
      <c r="CD34" t="s">
        <v>106</v>
      </c>
      <c r="CE34" t="s">
        <v>1908</v>
      </c>
      <c r="CF34" s="7">
        <v>-0.40862422997946612</v>
      </c>
      <c r="CG34" s="8">
        <v>-1.8666835461207825E-2</v>
      </c>
      <c r="CH34" s="7">
        <v>-0.65937316417694092</v>
      </c>
      <c r="CI34" s="7" t="s">
        <v>30</v>
      </c>
      <c r="CJ34" s="7" t="s">
        <v>30</v>
      </c>
      <c r="CK34" s="7">
        <v>-2.8185553848743439E-2</v>
      </c>
      <c r="CL34" s="7">
        <v>-1.5037520788609982E-2</v>
      </c>
      <c r="CM34" s="8">
        <v>6.5561637282371521E-2</v>
      </c>
      <c r="CN34" s="8" t="s">
        <v>30</v>
      </c>
      <c r="CO34" s="8" t="s">
        <v>30</v>
      </c>
      <c r="CP34" s="8" t="s">
        <v>30</v>
      </c>
      <c r="CQ34" s="8" t="s">
        <v>30</v>
      </c>
      <c r="CR34">
        <v>131.17957827663543</v>
      </c>
      <c r="CS34">
        <v>5.6012075369780607</v>
      </c>
      <c r="CT34">
        <v>0</v>
      </c>
      <c r="CU34" s="7">
        <v>-0.23419874627143145</v>
      </c>
      <c r="CV34" s="8">
        <v>6.5561637282371521E-2</v>
      </c>
      <c r="CW34">
        <v>0.06</v>
      </c>
      <c r="CX34">
        <v>121.61814628438158</v>
      </c>
      <c r="CY34" t="s">
        <v>1909</v>
      </c>
      <c r="CZ34">
        <v>-0.23419874627143145</v>
      </c>
      <c r="DA34">
        <v>40.539382094793858</v>
      </c>
      <c r="DB34" t="s">
        <v>1910</v>
      </c>
      <c r="DC34">
        <v>-0.22248880895785986</v>
      </c>
      <c r="DD34">
        <v>20.269691047396929</v>
      </c>
      <c r="DE34" t="s">
        <v>1911</v>
      </c>
      <c r="DF34">
        <v>-0.20609489671885967</v>
      </c>
      <c r="DG34">
        <v>12.161814628438158</v>
      </c>
      <c r="DH34" t="s">
        <v>1912</v>
      </c>
      <c r="DI34">
        <v>-0.18735899701714517</v>
      </c>
      <c r="DJ34">
        <v>6.080907314219079</v>
      </c>
      <c r="DK34" t="s">
        <v>1913</v>
      </c>
      <c r="DL34">
        <v>-0.163939122390002</v>
      </c>
      <c r="DM34">
        <v>49223300</v>
      </c>
      <c r="DN34">
        <v>-0.23419874627143145</v>
      </c>
      <c r="DO34">
        <v>5986446500</v>
      </c>
      <c r="DP34">
        <v>1764542600</v>
      </c>
      <c r="DQ34">
        <v>2988</v>
      </c>
      <c r="DR34">
        <v>-0.17442548370803468</v>
      </c>
      <c r="DS34">
        <v>-8.422847274357935E-2</v>
      </c>
      <c r="DT34" s="9">
        <v>-1.1599999999999999</v>
      </c>
      <c r="DU34">
        <v>0</v>
      </c>
      <c r="DV34">
        <v>-1.1599999999999999</v>
      </c>
      <c r="DW34">
        <v>-2.1274999999999999</v>
      </c>
      <c r="DX34">
        <v>0.32786418400876399</v>
      </c>
      <c r="DY34">
        <v>-2.0188526834611173</v>
      </c>
      <c r="DZ34">
        <v>4105</v>
      </c>
      <c r="EA34">
        <v>-2.0037078173930376</v>
      </c>
      <c r="EB34">
        <v>2</v>
      </c>
      <c r="EC34">
        <v>7.5282262478467185E-2</v>
      </c>
      <c r="ED34">
        <v>0.50913115290992994</v>
      </c>
      <c r="EE34" s="10">
        <v>2.0409999999999999</v>
      </c>
      <c r="EF34">
        <v>2.0112000000000001</v>
      </c>
      <c r="EG34">
        <v>18.147864184008764</v>
      </c>
      <c r="EH34" t="s">
        <v>782</v>
      </c>
      <c r="EI34">
        <v>0</v>
      </c>
      <c r="EJ34">
        <v>0</v>
      </c>
      <c r="EK34" s="11">
        <v>45470</v>
      </c>
      <c r="EL34">
        <v>-1.35</v>
      </c>
      <c r="EM34">
        <v>-4.32</v>
      </c>
      <c r="EN34">
        <v>1.66</v>
      </c>
      <c r="EO34">
        <v>1.87</v>
      </c>
      <c r="EP34">
        <v>-2.98</v>
      </c>
    </row>
    <row r="35" spans="1:146" ht="96" x14ac:dyDescent="0.25">
      <c r="A35" s="6"/>
      <c r="B35" s="6"/>
      <c r="C35" s="6" t="str">
        <f>""&amp;CHAR(10)&amp;Basic_Fundamental_Information_Constructure(F35)&amp;CHAR(10)&amp;Basic_Fundamental_Information_Concatenate("")</f>
        <v xml:space="preserve">
市值256.08385亿, 利润3.19亿; PE20.7; 平均PE25.27; 平均PEG67.15, PB2.52; ROIC10.58%; ROE15.5167%; 股利率1.6961%; 毛利25.4433%; 净利10.8467%; 上一年度营收增-72.88%, 利润增-75.85%; 当季营收增-48.12%, 利润增-52.31%; 过往5年营收增-.38%, 利润增-4.43%
Income profile:
</v>
      </c>
      <c r="D35" t="s">
        <v>483</v>
      </c>
      <c r="E35" t="s">
        <v>484</v>
      </c>
      <c r="F35">
        <v>29.48</v>
      </c>
      <c r="G35">
        <v>2.54</v>
      </c>
      <c r="H35" t="s">
        <v>1914</v>
      </c>
      <c r="I35">
        <v>25608385000</v>
      </c>
      <c r="J35">
        <v>20.7</v>
      </c>
      <c r="K35">
        <v>2.52</v>
      </c>
      <c r="L35" t="s">
        <v>52</v>
      </c>
      <c r="M35" t="s">
        <v>1915</v>
      </c>
      <c r="N35" t="s">
        <v>1916</v>
      </c>
      <c r="O35" t="s">
        <v>1917</v>
      </c>
      <c r="P35">
        <v>2.52</v>
      </c>
      <c r="Q35" t="s">
        <v>1917</v>
      </c>
      <c r="R35">
        <v>319015410</v>
      </c>
      <c r="S35" s="4">
        <v>-9.4500000000000001E-2</v>
      </c>
      <c r="T35" t="s">
        <v>214</v>
      </c>
      <c r="U35">
        <v>865971880</v>
      </c>
      <c r="V35">
        <v>868669780</v>
      </c>
      <c r="W35">
        <v>1.91</v>
      </c>
      <c r="X35">
        <v>0.18</v>
      </c>
      <c r="Y35">
        <v>9.4700000000000006</v>
      </c>
      <c r="Z35" t="s">
        <v>1918</v>
      </c>
      <c r="AA35" t="s">
        <v>1919</v>
      </c>
      <c r="AB35" t="s">
        <v>709</v>
      </c>
      <c r="AC35" t="s">
        <v>56</v>
      </c>
      <c r="AD35" t="s">
        <v>30</v>
      </c>
      <c r="AE35">
        <v>19616287</v>
      </c>
      <c r="AF35" t="s">
        <v>1920</v>
      </c>
      <c r="AG35" t="s">
        <v>1921</v>
      </c>
      <c r="AH35" t="s">
        <v>1922</v>
      </c>
      <c r="AI35" t="s">
        <v>1923</v>
      </c>
      <c r="AJ35" t="s">
        <v>1924</v>
      </c>
      <c r="AK35" t="s">
        <v>30</v>
      </c>
      <c r="AL35" t="s">
        <v>1925</v>
      </c>
      <c r="AM35" t="s">
        <v>30</v>
      </c>
      <c r="AN35" t="s">
        <v>131</v>
      </c>
      <c r="AO35" t="s">
        <v>1926</v>
      </c>
      <c r="AP35" t="s">
        <v>316</v>
      </c>
      <c r="AQ35" t="s">
        <v>353</v>
      </c>
      <c r="AR35" t="s">
        <v>30</v>
      </c>
      <c r="AS35" t="s">
        <v>1927</v>
      </c>
      <c r="AT35" t="s">
        <v>1562</v>
      </c>
      <c r="AU35" t="s">
        <v>589</v>
      </c>
      <c r="AV35" t="s">
        <v>1928</v>
      </c>
      <c r="AW35" t="s">
        <v>1001</v>
      </c>
      <c r="AX35" t="s">
        <v>826</v>
      </c>
      <c r="AY35" t="s">
        <v>615</v>
      </c>
      <c r="AZ35" t="s">
        <v>485</v>
      </c>
      <c r="BA35" t="s">
        <v>487</v>
      </c>
      <c r="BB35" t="s">
        <v>488</v>
      </c>
      <c r="BC35" t="s">
        <v>827</v>
      </c>
      <c r="BD35" t="s">
        <v>606</v>
      </c>
      <c r="BE35" t="s">
        <v>486</v>
      </c>
      <c r="BF35" t="s">
        <v>489</v>
      </c>
      <c r="BG35" t="s">
        <v>256</v>
      </c>
      <c r="BH35" t="s">
        <v>1929</v>
      </c>
      <c r="BI35" t="s">
        <v>1042</v>
      </c>
      <c r="BJ35" t="s">
        <v>826</v>
      </c>
      <c r="BK35" t="s">
        <v>1930</v>
      </c>
      <c r="BL35" t="s">
        <v>1931</v>
      </c>
      <c r="BM35" t="s">
        <v>827</v>
      </c>
      <c r="BN35">
        <v>6.48</v>
      </c>
      <c r="BO35">
        <v>11.28</v>
      </c>
      <c r="BP35">
        <v>13.98</v>
      </c>
      <c r="BQ35">
        <v>9.5399999999999991</v>
      </c>
      <c r="BR35">
        <v>16.47</v>
      </c>
      <c r="BS35">
        <v>20.54</v>
      </c>
      <c r="BT35" t="s">
        <v>745</v>
      </c>
      <c r="BU35" t="s">
        <v>542</v>
      </c>
      <c r="BV35">
        <v>24.19</v>
      </c>
      <c r="BW35">
        <v>24.8</v>
      </c>
      <c r="BX35">
        <v>27.34</v>
      </c>
      <c r="BY35">
        <v>9.66</v>
      </c>
      <c r="BZ35">
        <v>10.5</v>
      </c>
      <c r="CA35">
        <v>12.38</v>
      </c>
      <c r="CB35">
        <v>5.55</v>
      </c>
      <c r="CC35">
        <v>-4.5</v>
      </c>
      <c r="CD35" t="s">
        <v>1932</v>
      </c>
      <c r="CE35" t="s">
        <v>1040</v>
      </c>
      <c r="CF35" s="7">
        <v>-0.48123324396782841</v>
      </c>
      <c r="CG35" s="8">
        <v>-0.52314587443946192</v>
      </c>
      <c r="CH35" s="7">
        <v>-0.7288016676902771</v>
      </c>
      <c r="CI35" s="7">
        <v>0.20309127867221832</v>
      </c>
      <c r="CJ35" s="7">
        <v>0.19500727951526642</v>
      </c>
      <c r="CK35" s="7">
        <v>0.16725467145442963</v>
      </c>
      <c r="CL35" s="7">
        <v>0.14463058114051819</v>
      </c>
      <c r="CM35" s="8">
        <v>-0.75851625204086304</v>
      </c>
      <c r="CN35" s="8">
        <v>9.1673033311963081E-3</v>
      </c>
      <c r="CO35" s="8">
        <v>-4.5918412506580353E-2</v>
      </c>
      <c r="CP35" s="8">
        <v>0.52106428146362305</v>
      </c>
      <c r="CQ35" s="8">
        <v>5.2508752793073654E-2</v>
      </c>
      <c r="CR35">
        <v>25.271432565789471</v>
      </c>
      <c r="CS35">
        <v>67.147477764204496</v>
      </c>
      <c r="CT35">
        <v>1.6960651289009498</v>
      </c>
      <c r="CU35" s="7">
        <v>-3.7635713815689087E-3</v>
      </c>
      <c r="CV35" s="8">
        <v>-4.4338865391910079E-2</v>
      </c>
      <c r="CW35">
        <v>0.06</v>
      </c>
      <c r="CX35">
        <v>73.966724137931038</v>
      </c>
      <c r="CY35" t="s">
        <v>1933</v>
      </c>
      <c r="CZ35">
        <v>-3.7635713815689087E-3</v>
      </c>
      <c r="DA35">
        <v>24.655574712643677</v>
      </c>
      <c r="DB35" t="s">
        <v>1934</v>
      </c>
      <c r="DC35">
        <v>-3.5753928124904631E-3</v>
      </c>
      <c r="DD35">
        <v>12.327787356321839</v>
      </c>
      <c r="DE35" t="s">
        <v>1935</v>
      </c>
      <c r="DF35">
        <v>-3.3119428157806397E-3</v>
      </c>
      <c r="DG35">
        <v>7.3966724137931035</v>
      </c>
      <c r="DH35" t="s">
        <v>1936</v>
      </c>
      <c r="DI35">
        <v>-3.0108571052551271E-3</v>
      </c>
      <c r="DJ35">
        <v>3.6983362068965517</v>
      </c>
      <c r="DK35" t="s">
        <v>1937</v>
      </c>
      <c r="DL35">
        <v>-2.6344999670982359E-3</v>
      </c>
      <c r="DM35">
        <v>319000000</v>
      </c>
      <c r="DN35">
        <v>-3.7635713815689087E-3</v>
      </c>
      <c r="DO35">
        <v>23595385000</v>
      </c>
      <c r="DP35">
        <v>2486473500</v>
      </c>
      <c r="DQ35">
        <v>3076</v>
      </c>
      <c r="DR35">
        <v>-0.4774696725862595</v>
      </c>
      <c r="DS35">
        <v>-0.47880700904755186</v>
      </c>
      <c r="DT35" s="9">
        <v>-0.37333333333333335</v>
      </c>
      <c r="DU35">
        <v>-0.4366666666666667</v>
      </c>
      <c r="DV35">
        <v>-0.81</v>
      </c>
      <c r="DW35">
        <v>4.8108108108108105</v>
      </c>
      <c r="DX35">
        <v>0.71292985074626647</v>
      </c>
      <c r="DY35">
        <v>4.1321052843888664</v>
      </c>
      <c r="DZ35">
        <v>4112</v>
      </c>
      <c r="EA35">
        <v>4.0258006015303502</v>
      </c>
      <c r="EB35">
        <v>4</v>
      </c>
      <c r="EC35">
        <v>3.7700056746534913E-2</v>
      </c>
      <c r="ED35">
        <v>0.23138827276804769</v>
      </c>
      <c r="EE35" s="10">
        <v>-6.0325100000000003</v>
      </c>
      <c r="EF35">
        <v>-6.1222099999999999</v>
      </c>
      <c r="EG35">
        <v>55.162929850746266</v>
      </c>
      <c r="EH35" t="s">
        <v>1938</v>
      </c>
      <c r="EI35">
        <v>0</v>
      </c>
      <c r="EJ35">
        <v>0</v>
      </c>
      <c r="EK35" s="11">
        <v>45470</v>
      </c>
      <c r="EL35">
        <v>-10.199999999999999</v>
      </c>
      <c r="EM35">
        <v>-10.23</v>
      </c>
      <c r="EN35">
        <v>-10.130000000000001</v>
      </c>
      <c r="EO35">
        <v>9.86</v>
      </c>
      <c r="EP35">
        <v>-8.9700000000000006</v>
      </c>
    </row>
    <row r="36" spans="1:146" ht="96" x14ac:dyDescent="0.25">
      <c r="A36" s="5"/>
      <c r="B36" s="5"/>
      <c r="C36" s="6" t="str">
        <f>""&amp;CHAR(10)&amp;Basic_Fundamental_Information_Constructure(F36)&amp;CHAR(10)&amp;Basic_Fundamental_Information_Concatenate("")</f>
        <v xml:space="preserve">
市值78.129513亿, 利润5521.61万; PE112.8; 平均PE37.23; 平均PEG3.45, PB2.34; ROIC4.97%; ROE5.4633%; 股利率.9972%; 毛利34.9767%; 净利5.3633%; 上一年度营收增-78.49%, 利润增-59.99%; 当季营收增-59.61%, 利润增-55.47%; 过往5年营收增-10.8%, 利润增-20.69%
Income profile:
</v>
      </c>
      <c r="D36" t="s">
        <v>121</v>
      </c>
      <c r="E36" t="s">
        <v>18</v>
      </c>
      <c r="F36">
        <v>7.02</v>
      </c>
      <c r="G36">
        <v>0.72</v>
      </c>
      <c r="H36" t="s">
        <v>1939</v>
      </c>
      <c r="I36">
        <v>7812951300</v>
      </c>
      <c r="J36">
        <v>112.8</v>
      </c>
      <c r="K36">
        <v>2.34</v>
      </c>
      <c r="L36" t="s">
        <v>52</v>
      </c>
      <c r="M36" t="s">
        <v>1080</v>
      </c>
      <c r="N36" t="s">
        <v>1940</v>
      </c>
      <c r="O36" t="s">
        <v>724</v>
      </c>
      <c r="P36">
        <v>-24.89</v>
      </c>
      <c r="Q36" t="s">
        <v>724</v>
      </c>
      <c r="R36">
        <v>55216145</v>
      </c>
      <c r="S36" s="4">
        <v>-0.24229999999999999</v>
      </c>
      <c r="T36" t="s">
        <v>1941</v>
      </c>
      <c r="U36">
        <v>1112956030</v>
      </c>
      <c r="V36">
        <v>1112956030</v>
      </c>
      <c r="W36">
        <v>1.1599999999999999</v>
      </c>
      <c r="X36">
        <v>0.12</v>
      </c>
      <c r="Y36">
        <v>11.67</v>
      </c>
      <c r="Z36" t="s">
        <v>150</v>
      </c>
      <c r="AA36" t="s">
        <v>71</v>
      </c>
      <c r="AB36" t="s">
        <v>1942</v>
      </c>
      <c r="AC36" t="s">
        <v>1943</v>
      </c>
      <c r="AD36" t="s">
        <v>30</v>
      </c>
      <c r="AE36">
        <v>-747414</v>
      </c>
      <c r="AF36" t="s">
        <v>1944</v>
      </c>
      <c r="AG36" t="s">
        <v>1945</v>
      </c>
      <c r="AH36" t="s">
        <v>1946</v>
      </c>
      <c r="AI36" t="s">
        <v>348</v>
      </c>
      <c r="AJ36" t="s">
        <v>1947</v>
      </c>
      <c r="AK36" t="s">
        <v>30</v>
      </c>
      <c r="AL36" t="s">
        <v>1948</v>
      </c>
      <c r="AM36" t="s">
        <v>30</v>
      </c>
      <c r="AN36" t="s">
        <v>863</v>
      </c>
      <c r="AO36" t="s">
        <v>30</v>
      </c>
      <c r="AP36" t="s">
        <v>30</v>
      </c>
      <c r="AQ36" t="s">
        <v>369</v>
      </c>
      <c r="AR36" t="s">
        <v>1949</v>
      </c>
      <c r="AS36" t="s">
        <v>1683</v>
      </c>
      <c r="AT36" t="s">
        <v>30</v>
      </c>
      <c r="AU36" t="s">
        <v>1950</v>
      </c>
      <c r="AV36" t="s">
        <v>1951</v>
      </c>
      <c r="AW36">
        <v>0</v>
      </c>
      <c r="AX36" t="s">
        <v>828</v>
      </c>
      <c r="AY36" t="s">
        <v>617</v>
      </c>
      <c r="AZ36" t="s">
        <v>618</v>
      </c>
      <c r="BA36" t="s">
        <v>364</v>
      </c>
      <c r="BB36" t="s">
        <v>365</v>
      </c>
      <c r="BC36" t="s">
        <v>698</v>
      </c>
      <c r="BD36" t="s">
        <v>61</v>
      </c>
      <c r="BE36" t="s">
        <v>363</v>
      </c>
      <c r="BF36" t="s">
        <v>366</v>
      </c>
      <c r="BG36" t="s">
        <v>308</v>
      </c>
      <c r="BH36" t="s">
        <v>1952</v>
      </c>
      <c r="BI36" t="s">
        <v>1043</v>
      </c>
      <c r="BJ36" t="s">
        <v>828</v>
      </c>
      <c r="BK36" t="s">
        <v>1953</v>
      </c>
      <c r="BL36" t="s">
        <v>189</v>
      </c>
      <c r="BM36" t="s">
        <v>698</v>
      </c>
      <c r="BN36">
        <v>4.58</v>
      </c>
      <c r="BO36">
        <v>5.55</v>
      </c>
      <c r="BP36">
        <v>4.78</v>
      </c>
      <c r="BQ36">
        <v>4.92</v>
      </c>
      <c r="BR36">
        <v>6.34</v>
      </c>
      <c r="BS36">
        <v>5.13</v>
      </c>
      <c r="BT36" t="s">
        <v>1954</v>
      </c>
      <c r="BU36" t="s">
        <v>542</v>
      </c>
      <c r="BV36">
        <v>32.979999999999997</v>
      </c>
      <c r="BW36">
        <v>34.369999999999997</v>
      </c>
      <c r="BX36">
        <v>37.58</v>
      </c>
      <c r="BY36">
        <v>3.79</v>
      </c>
      <c r="BZ36">
        <v>6.05</v>
      </c>
      <c r="CA36">
        <v>6.25</v>
      </c>
      <c r="CB36">
        <v>-2.9</v>
      </c>
      <c r="CC36">
        <v>-12.58</v>
      </c>
      <c r="CD36" t="s">
        <v>1955</v>
      </c>
      <c r="CE36" t="s">
        <v>75</v>
      </c>
      <c r="CF36" s="7">
        <v>-0.59613696224758561</v>
      </c>
      <c r="CG36" s="8">
        <v>-0.5547085080645161</v>
      </c>
      <c r="CH36" s="7">
        <v>-0.7849462628364563</v>
      </c>
      <c r="CI36" s="7">
        <v>0.12995253503322601</v>
      </c>
      <c r="CJ36" s="7">
        <v>-6.472335010766983E-2</v>
      </c>
      <c r="CK36" s="7">
        <v>0.10480349510908127</v>
      </c>
      <c r="CL36" s="7">
        <v>7.511737197637558E-2</v>
      </c>
      <c r="CM36" s="8">
        <v>-0.59988337755203247</v>
      </c>
      <c r="CN36" s="8">
        <v>0.15966387093067169</v>
      </c>
      <c r="CO36" s="8">
        <v>-0.62222224473953247</v>
      </c>
      <c r="CP36" s="8">
        <v>-3.0769230797886848E-2</v>
      </c>
      <c r="CQ36" s="8">
        <v>5.8631923049688339E-2</v>
      </c>
      <c r="CR36">
        <v>37.227690942007492</v>
      </c>
      <c r="CS36">
        <v>3.4483097690774644</v>
      </c>
      <c r="CT36">
        <v>0.9971509971509972</v>
      </c>
      <c r="CU36" s="7">
        <v>-0.10795924216508865</v>
      </c>
      <c r="CV36" s="8">
        <v>-0.20691581182181834</v>
      </c>
      <c r="CW36">
        <v>0.06</v>
      </c>
      <c r="CX36">
        <v>93.269015739974392</v>
      </c>
      <c r="CY36" t="s">
        <v>1956</v>
      </c>
      <c r="CZ36">
        <v>-0.10795924216508865</v>
      </c>
      <c r="DA36">
        <v>31.089671913324796</v>
      </c>
      <c r="DB36" t="s">
        <v>1957</v>
      </c>
      <c r="DC36">
        <v>-0.10256128005683421</v>
      </c>
      <c r="DD36">
        <v>15.544835956662398</v>
      </c>
      <c r="DE36" t="s">
        <v>1958</v>
      </c>
      <c r="DF36">
        <v>-9.5004133105278013E-2</v>
      </c>
      <c r="DG36">
        <v>9.3269015739974392</v>
      </c>
      <c r="DH36" t="s">
        <v>1959</v>
      </c>
      <c r="DI36">
        <v>-8.6367393732070918E-2</v>
      </c>
      <c r="DJ36">
        <v>4.6634507869987196</v>
      </c>
      <c r="DK36" t="s">
        <v>1960</v>
      </c>
      <c r="DL36">
        <v>-7.5571469515562054E-2</v>
      </c>
      <c r="DM36">
        <v>55216100</v>
      </c>
      <c r="DN36">
        <v>-0.10795924216508865</v>
      </c>
      <c r="DO36">
        <v>5149951300</v>
      </c>
      <c r="DP36">
        <v>1449175700</v>
      </c>
      <c r="DQ36">
        <v>3082</v>
      </c>
      <c r="DR36">
        <v>-0.48817772008249694</v>
      </c>
      <c r="DS36">
        <v>-0.34779269624269776</v>
      </c>
      <c r="DT36" s="9">
        <v>-0.77333333333333332</v>
      </c>
      <c r="DU36">
        <v>-0.5033333333333333</v>
      </c>
      <c r="DV36">
        <v>-1.2766666666666666</v>
      </c>
      <c r="DW36">
        <v>-8.2305246422893479</v>
      </c>
      <c r="DX36">
        <v>0.34320258620689803</v>
      </c>
      <c r="DY36">
        <v>-8.0399274642289349</v>
      </c>
      <c r="DZ36">
        <v>4587</v>
      </c>
      <c r="EA36">
        <v>-8.0040865095482836</v>
      </c>
      <c r="EB36">
        <v>8</v>
      </c>
      <c r="EC36">
        <v>1.805237534855712E-2</v>
      </c>
      <c r="ED36">
        <v>0.10422693877672776</v>
      </c>
      <c r="EE36" s="10">
        <v>-3.1112099999999998</v>
      </c>
      <c r="EF36">
        <v>-3.14391</v>
      </c>
      <c r="EG36">
        <v>17.173202586206898</v>
      </c>
      <c r="EH36" t="s">
        <v>1032</v>
      </c>
      <c r="EI36">
        <v>0</v>
      </c>
      <c r="EJ36">
        <v>0</v>
      </c>
      <c r="EK36" s="11">
        <v>45470</v>
      </c>
      <c r="EL36">
        <v>-0.72</v>
      </c>
      <c r="EM36">
        <v>-5.05</v>
      </c>
      <c r="EN36">
        <v>-4.9400000000000004</v>
      </c>
      <c r="EO36">
        <v>-2</v>
      </c>
      <c r="EP36">
        <v>-3.27</v>
      </c>
    </row>
    <row r="37" spans="1:146" ht="96" x14ac:dyDescent="0.25">
      <c r="A37" s="5"/>
      <c r="B37" s="5"/>
      <c r="C37" s="6" t="str">
        <f>""&amp;CHAR(10)&amp;Basic_Fundamental_Information_Constructure(F37)&amp;CHAR(10)&amp;Basic_Fundamental_Information_Concatenate("")</f>
        <v xml:space="preserve">
市值13.443691亿, 利润-2690.51万; PE; 平均PE-9.96; 平均PEG-.52, PB1.09; ROIC0%; ROE-11.5433%; 股利率0%; 毛利42.22%; 净利-166.5133%; 上一年度营收增-47.19%, 利润增90.66%; 当季营收增-21.03%, 利润增46.82%; 过往5年营收增-19.14%, 利润增-1120.83%
Income profile:
</v>
      </c>
      <c r="D37" t="s">
        <v>507</v>
      </c>
      <c r="E37" t="s">
        <v>1961</v>
      </c>
      <c r="F37">
        <v>2.29</v>
      </c>
      <c r="G37">
        <v>-1.29</v>
      </c>
      <c r="H37" t="s">
        <v>1962</v>
      </c>
      <c r="I37">
        <v>1344369100</v>
      </c>
      <c r="K37">
        <v>1.0900000000000001</v>
      </c>
      <c r="L37" t="s">
        <v>52</v>
      </c>
      <c r="M37" t="s">
        <v>1963</v>
      </c>
      <c r="N37" t="s">
        <v>1964</v>
      </c>
      <c r="O37" t="s">
        <v>1965</v>
      </c>
      <c r="P37">
        <v>49.96</v>
      </c>
      <c r="Q37" t="s">
        <v>1965</v>
      </c>
      <c r="R37">
        <v>-26905065</v>
      </c>
      <c r="S37" s="4">
        <v>6.3100000000000003E-2</v>
      </c>
      <c r="T37" t="s">
        <v>1966</v>
      </c>
      <c r="U37">
        <v>587060740</v>
      </c>
      <c r="V37">
        <v>587060740</v>
      </c>
      <c r="W37">
        <v>1.04</v>
      </c>
      <c r="X37">
        <v>0.06</v>
      </c>
      <c r="Y37">
        <v>-30.73</v>
      </c>
      <c r="Z37" t="s">
        <v>664</v>
      </c>
      <c r="AA37" t="s">
        <v>1967</v>
      </c>
      <c r="AB37" t="s">
        <v>1968</v>
      </c>
      <c r="AC37" t="s">
        <v>1969</v>
      </c>
      <c r="AD37" t="s">
        <v>30</v>
      </c>
      <c r="AE37">
        <v>37528</v>
      </c>
      <c r="AF37" t="s">
        <v>1970</v>
      </c>
      <c r="AG37" t="s">
        <v>1971</v>
      </c>
      <c r="AH37" t="s">
        <v>1972</v>
      </c>
      <c r="AI37" t="s">
        <v>965</v>
      </c>
      <c r="AJ37" t="s">
        <v>30</v>
      </c>
      <c r="AK37" t="s">
        <v>1973</v>
      </c>
      <c r="AL37" t="s">
        <v>1974</v>
      </c>
      <c r="AM37" t="s">
        <v>30</v>
      </c>
      <c r="AN37">
        <v>0</v>
      </c>
      <c r="AO37" t="s">
        <v>30</v>
      </c>
      <c r="AP37" t="s">
        <v>30</v>
      </c>
      <c r="AQ37" t="s">
        <v>1975</v>
      </c>
      <c r="AR37" t="s">
        <v>1976</v>
      </c>
      <c r="AS37" t="s">
        <v>1977</v>
      </c>
      <c r="AT37" t="s">
        <v>30</v>
      </c>
      <c r="AU37" t="s">
        <v>1978</v>
      </c>
      <c r="AV37" t="s">
        <v>1979</v>
      </c>
      <c r="AW37" t="s">
        <v>1980</v>
      </c>
      <c r="AX37" t="s">
        <v>496</v>
      </c>
      <c r="AY37" t="s">
        <v>56</v>
      </c>
      <c r="AZ37" t="s">
        <v>189</v>
      </c>
      <c r="BA37" t="s">
        <v>379</v>
      </c>
      <c r="BB37" t="s">
        <v>508</v>
      </c>
      <c r="BC37" t="s">
        <v>830</v>
      </c>
      <c r="BD37" t="s">
        <v>541</v>
      </c>
      <c r="BE37" t="s">
        <v>490</v>
      </c>
      <c r="BF37" t="s">
        <v>509</v>
      </c>
      <c r="BG37" t="s">
        <v>510</v>
      </c>
      <c r="BH37" t="s">
        <v>751</v>
      </c>
      <c r="BI37" t="s">
        <v>254</v>
      </c>
      <c r="BJ37" t="s">
        <v>496</v>
      </c>
      <c r="BK37" t="s">
        <v>1981</v>
      </c>
      <c r="BL37" t="s">
        <v>1982</v>
      </c>
      <c r="BM37" t="s">
        <v>830</v>
      </c>
      <c r="BN37" t="s">
        <v>30</v>
      </c>
      <c r="BO37" t="s">
        <v>30</v>
      </c>
      <c r="BP37" t="s">
        <v>30</v>
      </c>
      <c r="BQ37">
        <v>-4.7</v>
      </c>
      <c r="BR37">
        <v>-17.149999999999999</v>
      </c>
      <c r="BS37">
        <v>-12.78</v>
      </c>
      <c r="BT37" t="s">
        <v>737</v>
      </c>
      <c r="BU37" t="s">
        <v>543</v>
      </c>
      <c r="BV37">
        <v>61.21</v>
      </c>
      <c r="BW37">
        <v>46.11</v>
      </c>
      <c r="BX37">
        <v>19.34</v>
      </c>
      <c r="BY37">
        <v>-124.47</v>
      </c>
      <c r="BZ37">
        <v>-179.52</v>
      </c>
      <c r="CA37">
        <v>-195.55</v>
      </c>
      <c r="CB37">
        <v>13.93</v>
      </c>
      <c r="CC37">
        <v>-21.84</v>
      </c>
      <c r="CD37" t="s">
        <v>1983</v>
      </c>
      <c r="CE37" t="s">
        <v>1055</v>
      </c>
      <c r="CF37" s="7">
        <v>-0.21028598130841122</v>
      </c>
      <c r="CG37" s="8">
        <v>0.46818160254750379</v>
      </c>
      <c r="CH37" s="7">
        <v>-0.47187873721122742</v>
      </c>
      <c r="CI37" s="7">
        <v>0.25</v>
      </c>
      <c r="CJ37" s="7">
        <v>3.2258063554763794E-2</v>
      </c>
      <c r="CK37" s="7">
        <v>-0.47008547186851501</v>
      </c>
      <c r="CL37" s="7">
        <v>-0.29729729890823364</v>
      </c>
      <c r="CM37" s="8">
        <v>0.90657949447631836</v>
      </c>
      <c r="CN37" s="8">
        <v>-0.15662650763988495</v>
      </c>
      <c r="CO37" s="8">
        <v>0.22187499701976776</v>
      </c>
      <c r="CP37" s="8">
        <v>-56.098316192626953</v>
      </c>
      <c r="CQ37" s="8">
        <v>-0.91514879465103149</v>
      </c>
      <c r="CR37">
        <v>-9.9625895324698153</v>
      </c>
      <c r="CS37">
        <v>-0.5205095964085158</v>
      </c>
      <c r="CT37">
        <v>0</v>
      </c>
      <c r="CU37" s="7">
        <v>-0.19140068888664247</v>
      </c>
      <c r="CV37" s="8">
        <v>-11.208327400684357</v>
      </c>
      <c r="CW37">
        <v>0.06</v>
      </c>
      <c r="CX37" t="e">
        <v>#VALUE!</v>
      </c>
      <c r="CY37" t="s">
        <v>661</v>
      </c>
      <c r="CZ37">
        <v>-0.19140068888664247</v>
      </c>
      <c r="DA37" t="e">
        <v>#VALUE!</v>
      </c>
      <c r="DB37" t="s">
        <v>656</v>
      </c>
      <c r="DC37">
        <v>-0.18183065444231034</v>
      </c>
      <c r="DD37" t="e">
        <v>#VALUE!</v>
      </c>
      <c r="DE37" t="s">
        <v>656</v>
      </c>
      <c r="DF37">
        <v>-0.16843260622024536</v>
      </c>
      <c r="DG37" t="e">
        <v>#VALUE!</v>
      </c>
      <c r="DH37" t="s">
        <v>656</v>
      </c>
      <c r="DI37">
        <v>-0.153120551109314</v>
      </c>
      <c r="DJ37" t="e">
        <v>#VALUE!</v>
      </c>
      <c r="DK37" t="s">
        <v>656</v>
      </c>
      <c r="DL37">
        <v>-0.1339804822206497</v>
      </c>
      <c r="DM37">
        <v>-26905100.000000004</v>
      </c>
      <c r="DN37">
        <v>-0.19140068888664247</v>
      </c>
      <c r="DO37">
        <v>195363400</v>
      </c>
      <c r="DP37">
        <v>650567100</v>
      </c>
      <c r="DQ37">
        <v>3144</v>
      </c>
      <c r="DR37">
        <v>-1.8885292421768757E-2</v>
      </c>
      <c r="DS37">
        <v>11.67650900323186</v>
      </c>
      <c r="DT37" s="9">
        <v>-0.67333333333333334</v>
      </c>
      <c r="DU37">
        <v>-2.6816666666666666</v>
      </c>
      <c r="DV37">
        <v>-3.355</v>
      </c>
      <c r="DW37">
        <v>7.3894324853228959</v>
      </c>
      <c r="DX37">
        <v>0.40348094373865662</v>
      </c>
      <c r="DY37">
        <v>7.0675591150763069</v>
      </c>
      <c r="DZ37">
        <v>1618</v>
      </c>
      <c r="EA37">
        <v>7.046167598795785</v>
      </c>
      <c r="EB37">
        <v>7</v>
      </c>
      <c r="EC37">
        <v>0.16282471895497561</v>
      </c>
      <c r="ED37">
        <v>0.93857409030622618</v>
      </c>
      <c r="EE37" s="10">
        <v>-2.03091</v>
      </c>
      <c r="EF37">
        <v>-2.0764100000000001</v>
      </c>
      <c r="EG37">
        <v>23.173480943738657</v>
      </c>
      <c r="EH37" t="s">
        <v>1067</v>
      </c>
      <c r="EI37">
        <v>1</v>
      </c>
      <c r="EJ37">
        <v>0</v>
      </c>
      <c r="EK37" s="11">
        <v>45470</v>
      </c>
      <c r="EL37">
        <v>-0.5</v>
      </c>
      <c r="EM37">
        <v>-0.67</v>
      </c>
      <c r="EN37">
        <v>-0.17</v>
      </c>
      <c r="EO37">
        <v>0.42</v>
      </c>
      <c r="EP37">
        <v>-4.55</v>
      </c>
    </row>
    <row r="38" spans="1:146" ht="96" x14ac:dyDescent="0.25">
      <c r="A38" s="5"/>
      <c r="B38" s="5"/>
      <c r="C38" s="5" t="str">
        <f>""&amp;CHAR(10)&amp;Basic_Fundamental_Information_Constructure(F38)&amp;CHAR(10)&amp;Basic_Fundamental_Information_Concatenate("")</f>
        <v xml:space="preserve">
市值19.527984亿, 利润-331.93万; PE; 平均PE-11.65; 平均PEG-1.74, PB6.7; ROIC-1.26%; ROE-27.39%; 股利率0%; 毛利34.71%; 净利-47.85%; 上一年度营收增-79.96%, 利润增99.33%; 当季营收增-58.72%, 利润增83.94%; 过往5年营收增-6.71%, 利润增-1041.56%
Income profile:
</v>
      </c>
      <c r="D38" t="s">
        <v>511</v>
      </c>
      <c r="E38" t="s">
        <v>1984</v>
      </c>
      <c r="F38">
        <v>2.52</v>
      </c>
      <c r="G38">
        <v>2.86</v>
      </c>
      <c r="H38" t="s">
        <v>1985</v>
      </c>
      <c r="I38">
        <v>1952798400</v>
      </c>
      <c r="K38">
        <v>6.7</v>
      </c>
      <c r="L38" t="s">
        <v>52</v>
      </c>
      <c r="M38" t="s">
        <v>1051</v>
      </c>
      <c r="N38" t="s">
        <v>616</v>
      </c>
      <c r="O38" t="s">
        <v>1986</v>
      </c>
      <c r="P38">
        <v>-17.28</v>
      </c>
      <c r="Q38" t="s">
        <v>1986</v>
      </c>
      <c r="R38">
        <v>-3319302</v>
      </c>
      <c r="S38" s="4">
        <v>-3.2839999999999998</v>
      </c>
      <c r="T38" t="s">
        <v>1987</v>
      </c>
      <c r="U38">
        <v>774920000</v>
      </c>
      <c r="V38">
        <v>774920000</v>
      </c>
      <c r="W38">
        <v>2.3199999999999998</v>
      </c>
      <c r="X38">
        <v>0.09</v>
      </c>
      <c r="Y38">
        <v>-2.87</v>
      </c>
      <c r="Z38" t="s">
        <v>1988</v>
      </c>
      <c r="AA38" t="s">
        <v>1989</v>
      </c>
      <c r="AB38" t="s">
        <v>1990</v>
      </c>
      <c r="AC38" t="s">
        <v>1991</v>
      </c>
      <c r="AD38" t="s">
        <v>30</v>
      </c>
      <c r="AE38">
        <v>2237293</v>
      </c>
      <c r="AF38" t="s">
        <v>1992</v>
      </c>
      <c r="AG38" t="s">
        <v>1993</v>
      </c>
      <c r="AH38" t="s">
        <v>1994</v>
      </c>
      <c r="AI38" t="s">
        <v>1000</v>
      </c>
      <c r="AJ38" t="s">
        <v>1995</v>
      </c>
      <c r="AK38" t="s">
        <v>30</v>
      </c>
      <c r="AL38" t="s">
        <v>1996</v>
      </c>
      <c r="AM38" t="s">
        <v>30</v>
      </c>
      <c r="AN38">
        <v>0</v>
      </c>
      <c r="AO38" t="s">
        <v>1997</v>
      </c>
      <c r="AP38" t="s">
        <v>30</v>
      </c>
      <c r="AQ38" t="s">
        <v>1998</v>
      </c>
      <c r="AR38" t="s">
        <v>1999</v>
      </c>
      <c r="AS38" t="s">
        <v>655</v>
      </c>
      <c r="AT38" t="s">
        <v>30</v>
      </c>
      <c r="AU38" t="s">
        <v>2000</v>
      </c>
      <c r="AV38" t="s">
        <v>2001</v>
      </c>
      <c r="AW38" t="s">
        <v>2002</v>
      </c>
      <c r="AX38" t="s">
        <v>1010</v>
      </c>
      <c r="AY38" t="s">
        <v>535</v>
      </c>
      <c r="AZ38" t="s">
        <v>159</v>
      </c>
      <c r="BA38" t="s">
        <v>508</v>
      </c>
      <c r="BB38" t="s">
        <v>435</v>
      </c>
      <c r="BC38" t="s">
        <v>2003</v>
      </c>
      <c r="BD38" t="s">
        <v>1049</v>
      </c>
      <c r="BE38" t="s">
        <v>1050</v>
      </c>
      <c r="BF38" t="s">
        <v>512</v>
      </c>
      <c r="BG38" t="s">
        <v>513</v>
      </c>
      <c r="BH38" t="s">
        <v>1024</v>
      </c>
      <c r="BI38" t="s">
        <v>965</v>
      </c>
      <c r="BJ38" t="s">
        <v>1010</v>
      </c>
      <c r="BK38" t="s">
        <v>2004</v>
      </c>
      <c r="BL38" t="s">
        <v>2005</v>
      </c>
      <c r="BM38" t="s">
        <v>2003</v>
      </c>
      <c r="BN38" t="s">
        <v>30</v>
      </c>
      <c r="BO38" t="s">
        <v>30</v>
      </c>
      <c r="BP38">
        <v>-1.26</v>
      </c>
      <c r="BQ38">
        <v>-0.08</v>
      </c>
      <c r="BR38">
        <v>-86.26</v>
      </c>
      <c r="BS38">
        <v>4.17</v>
      </c>
      <c r="BT38" t="s">
        <v>737</v>
      </c>
      <c r="BU38" t="s">
        <v>543</v>
      </c>
      <c r="BV38">
        <v>22.48</v>
      </c>
      <c r="BW38">
        <v>38.83</v>
      </c>
      <c r="BX38">
        <v>42.82</v>
      </c>
      <c r="BY38">
        <v>-10.78</v>
      </c>
      <c r="BZ38">
        <v>-131.22</v>
      </c>
      <c r="CA38">
        <v>-1.55</v>
      </c>
      <c r="CB38">
        <v>2.86</v>
      </c>
      <c r="CC38">
        <v>-3.08</v>
      </c>
      <c r="CD38" t="s">
        <v>2006</v>
      </c>
      <c r="CE38" t="s">
        <v>598</v>
      </c>
      <c r="CF38" s="7">
        <v>-0.58715683060109292</v>
      </c>
      <c r="CG38" s="8">
        <v>0.83944636042197729</v>
      </c>
      <c r="CH38" s="7">
        <v>-0.79960131645202637</v>
      </c>
      <c r="CI38" s="7">
        <v>3.8567494601011276E-2</v>
      </c>
      <c r="CJ38" s="7">
        <v>5.8309037238359451E-2</v>
      </c>
      <c r="CK38" s="7">
        <v>3.0030030757188797E-2</v>
      </c>
      <c r="CL38" s="7">
        <v>0.33734938502311707</v>
      </c>
      <c r="CM38" s="8">
        <v>0.99334812164306641</v>
      </c>
      <c r="CN38" s="8">
        <v>-54.968681335449219</v>
      </c>
      <c r="CO38" s="8">
        <v>-1.099579930305481</v>
      </c>
      <c r="CP38" s="8">
        <v>2.150895357131958</v>
      </c>
      <c r="CQ38" s="8">
        <v>0.8462563157081604</v>
      </c>
      <c r="CR38">
        <v>-11.652744585210765</v>
      </c>
      <c r="CS38">
        <v>-1.737424409018208</v>
      </c>
      <c r="CT38">
        <v>0</v>
      </c>
      <c r="CU38" s="7">
        <v>-6.706907376646995E-2</v>
      </c>
      <c r="CV38" s="8">
        <v>-10.415552294254303</v>
      </c>
      <c r="CW38">
        <v>0.06</v>
      </c>
      <c r="CX38" t="e">
        <v>#VALUE!</v>
      </c>
      <c r="CY38" t="s">
        <v>661</v>
      </c>
      <c r="CZ38">
        <v>-6.706907376646995E-2</v>
      </c>
      <c r="DA38" t="e">
        <v>#VALUE!</v>
      </c>
      <c r="DB38" t="s">
        <v>656</v>
      </c>
      <c r="DC38">
        <v>-6.3715620078146448E-2</v>
      </c>
      <c r="DD38" t="e">
        <v>#VALUE!</v>
      </c>
      <c r="DE38" t="s">
        <v>656</v>
      </c>
      <c r="DF38">
        <v>-5.9020784914493557E-2</v>
      </c>
      <c r="DG38" t="e">
        <v>#VALUE!</v>
      </c>
      <c r="DH38" t="s">
        <v>656</v>
      </c>
      <c r="DI38">
        <v>-5.3655259013175964E-2</v>
      </c>
      <c r="DJ38" t="e">
        <v>#VALUE!</v>
      </c>
      <c r="DK38" t="s">
        <v>656</v>
      </c>
      <c r="DL38">
        <v>-4.6948351636528961E-2</v>
      </c>
      <c r="DM38">
        <v>-3319300</v>
      </c>
      <c r="DN38">
        <v>-6.706907376646995E-2</v>
      </c>
      <c r="DO38">
        <v>2091798400</v>
      </c>
      <c r="DP38">
        <v>-60107570</v>
      </c>
      <c r="DQ38">
        <v>3248</v>
      </c>
      <c r="DR38">
        <v>-0.52008775683462294</v>
      </c>
      <c r="DS38">
        <v>11.25499865467628</v>
      </c>
      <c r="DT38" s="9">
        <v>-0.67333333333333334</v>
      </c>
      <c r="DU38">
        <v>-2.2966666666666669</v>
      </c>
      <c r="DV38">
        <v>-2.97</v>
      </c>
      <c r="DW38">
        <v>6.4814814814814818</v>
      </c>
      <c r="DX38">
        <v>0.35484086538461468</v>
      </c>
      <c r="DY38">
        <v>6.0552937499999997</v>
      </c>
      <c r="DZ38">
        <v>818</v>
      </c>
      <c r="EA38">
        <v>6.0464424217221131</v>
      </c>
      <c r="EB38">
        <v>6</v>
      </c>
      <c r="EC38">
        <v>3.0824988385897898E-2</v>
      </c>
      <c r="ED38">
        <v>0.26841480410881124</v>
      </c>
      <c r="EE38" s="10">
        <v>1.0105</v>
      </c>
      <c r="EF38">
        <v>1.0031000000000001</v>
      </c>
      <c r="EG38">
        <v>24.114840865384615</v>
      </c>
      <c r="EH38" t="s">
        <v>657</v>
      </c>
      <c r="EI38">
        <v>0</v>
      </c>
      <c r="EJ38">
        <v>1</v>
      </c>
      <c r="EK38" s="11">
        <v>45470</v>
      </c>
      <c r="EL38">
        <v>0.93</v>
      </c>
      <c r="EM38">
        <v>-2.4300000000000002</v>
      </c>
      <c r="EN38">
        <v>1.31</v>
      </c>
      <c r="EO38">
        <v>3.03</v>
      </c>
      <c r="EP38">
        <v>-0.74</v>
      </c>
    </row>
    <row r="39" spans="1:146" ht="96" x14ac:dyDescent="0.25">
      <c r="A39" s="5"/>
      <c r="B39" s="5"/>
      <c r="C39" s="5" t="str">
        <f>""&amp;CHAR(10)&amp;Basic_Fundamental_Information_Constructure(F39)&amp;CHAR(10)&amp;Basic_Fundamental_Information_Concatenate("")</f>
        <v xml:space="preserve">
市值167.76623亿, 利润2.39亿; PE9.39; 平均PE38.66; 平均PEG4.19, PB3.47; ROIC16.6%; ROE-17.8367%; 股利率1.8674%; 毛利33.0933%; 净利12.9167%; 上一年度营收增-72.2%, 利润增140.37%; 当季营收增-44.05%, 利润增116.56%; 过往5年营收增-9.23%, 利润增-2.76%
Income profile:
</v>
      </c>
      <c r="D39" t="s">
        <v>125</v>
      </c>
      <c r="E39" t="s">
        <v>12</v>
      </c>
      <c r="F39">
        <v>21.42</v>
      </c>
      <c r="G39">
        <v>-0.33</v>
      </c>
      <c r="H39" t="s">
        <v>2007</v>
      </c>
      <c r="I39">
        <v>16776623000</v>
      </c>
      <c r="J39">
        <v>9.39</v>
      </c>
      <c r="K39">
        <v>3.47</v>
      </c>
      <c r="L39" t="s">
        <v>52</v>
      </c>
      <c r="M39" t="s">
        <v>2008</v>
      </c>
      <c r="N39" t="s">
        <v>2009</v>
      </c>
      <c r="O39" t="s">
        <v>2010</v>
      </c>
      <c r="P39">
        <v>8.64</v>
      </c>
      <c r="Q39" t="s">
        <v>2010</v>
      </c>
      <c r="R39">
        <v>239018830</v>
      </c>
      <c r="S39" s="4">
        <v>0.59699999999999998</v>
      </c>
      <c r="T39" t="s">
        <v>333</v>
      </c>
      <c r="U39">
        <v>770987950</v>
      </c>
      <c r="V39">
        <v>783222370</v>
      </c>
      <c r="W39">
        <v>1.25</v>
      </c>
      <c r="X39">
        <v>0.22</v>
      </c>
      <c r="Y39">
        <v>17.63</v>
      </c>
      <c r="Z39" t="s">
        <v>2011</v>
      </c>
      <c r="AA39" t="s">
        <v>2012</v>
      </c>
      <c r="AB39" t="s">
        <v>137</v>
      </c>
      <c r="AC39" t="s">
        <v>2013</v>
      </c>
      <c r="AD39" t="s">
        <v>30</v>
      </c>
      <c r="AE39">
        <v>-1576758</v>
      </c>
      <c r="AF39" t="s">
        <v>2014</v>
      </c>
      <c r="AG39" t="s">
        <v>2015</v>
      </c>
      <c r="AH39" t="s">
        <v>2016</v>
      </c>
      <c r="AI39" t="s">
        <v>771</v>
      </c>
      <c r="AJ39" t="s">
        <v>2017</v>
      </c>
      <c r="AK39" t="s">
        <v>30</v>
      </c>
      <c r="AL39" t="s">
        <v>2018</v>
      </c>
      <c r="AM39" t="s">
        <v>30</v>
      </c>
      <c r="AN39" t="s">
        <v>59</v>
      </c>
      <c r="AO39" t="s">
        <v>30</v>
      </c>
      <c r="AP39" t="s">
        <v>30</v>
      </c>
      <c r="AQ39" t="s">
        <v>293</v>
      </c>
      <c r="AR39" t="s">
        <v>30</v>
      </c>
      <c r="AS39" t="s">
        <v>2019</v>
      </c>
      <c r="AT39" t="s">
        <v>2020</v>
      </c>
      <c r="AU39" t="s">
        <v>2021</v>
      </c>
      <c r="AV39" t="s">
        <v>2022</v>
      </c>
      <c r="AW39" t="s">
        <v>2023</v>
      </c>
      <c r="AX39" t="s">
        <v>834</v>
      </c>
      <c r="AY39" t="s">
        <v>621</v>
      </c>
      <c r="AZ39" t="s">
        <v>373</v>
      </c>
      <c r="BA39" t="s">
        <v>374</v>
      </c>
      <c r="BB39" t="s">
        <v>375</v>
      </c>
      <c r="BC39" t="s">
        <v>835</v>
      </c>
      <c r="BD39" t="s">
        <v>571</v>
      </c>
      <c r="BE39" t="s">
        <v>162</v>
      </c>
      <c r="BF39" t="s">
        <v>376</v>
      </c>
      <c r="BG39" t="s">
        <v>377</v>
      </c>
      <c r="BH39" t="s">
        <v>2024</v>
      </c>
      <c r="BI39" t="s">
        <v>1052</v>
      </c>
      <c r="BJ39" t="s">
        <v>834</v>
      </c>
      <c r="BK39" t="s">
        <v>2025</v>
      </c>
      <c r="BL39" t="s">
        <v>2026</v>
      </c>
      <c r="BM39" t="s">
        <v>835</v>
      </c>
      <c r="BN39" t="s">
        <v>30</v>
      </c>
      <c r="BO39" t="s">
        <v>30</v>
      </c>
      <c r="BP39">
        <v>16.600000000000001</v>
      </c>
      <c r="BQ39">
        <v>-53.62</v>
      </c>
      <c r="BR39">
        <v>-17.41</v>
      </c>
      <c r="BS39">
        <v>17.52</v>
      </c>
      <c r="BT39" t="s">
        <v>746</v>
      </c>
      <c r="BU39" t="s">
        <v>542</v>
      </c>
      <c r="BV39">
        <v>32.71</v>
      </c>
      <c r="BW39">
        <v>31.7</v>
      </c>
      <c r="BX39">
        <v>34.869999999999997</v>
      </c>
      <c r="BY39">
        <v>33.799999999999997</v>
      </c>
      <c r="BZ39">
        <v>-10.38</v>
      </c>
      <c r="CA39">
        <v>15.33</v>
      </c>
      <c r="CB39">
        <v>-5.6</v>
      </c>
      <c r="CC39">
        <v>-20.7</v>
      </c>
      <c r="CD39" t="s">
        <v>2027</v>
      </c>
      <c r="CE39" t="s">
        <v>308</v>
      </c>
      <c r="CF39" s="7">
        <v>-0.44046721929163529</v>
      </c>
      <c r="CG39" s="8">
        <v>1.1656402148302147</v>
      </c>
      <c r="CH39" s="7">
        <v>-0.72196221351623535</v>
      </c>
      <c r="CI39" s="7">
        <v>4.397965595126152E-2</v>
      </c>
      <c r="CJ39" s="7">
        <v>-1.3662994606420398E-3</v>
      </c>
      <c r="CK39" s="7">
        <v>9.5828883349895477E-2</v>
      </c>
      <c r="CL39" s="7">
        <v>0.1221795380115509</v>
      </c>
      <c r="CM39" s="8">
        <v>1.4037162065505981</v>
      </c>
      <c r="CN39" s="8">
        <v>-1.7978436946868896</v>
      </c>
      <c r="CO39" s="8">
        <v>-0.16629213094711304</v>
      </c>
      <c r="CP39" s="8">
        <v>0.23955431580543518</v>
      </c>
      <c r="CQ39" s="8">
        <v>0.18286655843257904</v>
      </c>
      <c r="CR39">
        <v>38.655813364055298</v>
      </c>
      <c r="CS39">
        <v>4.1895106493759204</v>
      </c>
      <c r="CT39">
        <v>1.8674136321195143</v>
      </c>
      <c r="CU39" s="7">
        <v>-9.2268087132833895E-2</v>
      </c>
      <c r="CV39" s="8">
        <v>-2.7599748969078065E-2</v>
      </c>
      <c r="CW39">
        <v>0.06</v>
      </c>
      <c r="CX39">
        <v>54.111393305439329</v>
      </c>
      <c r="CY39" t="s">
        <v>2028</v>
      </c>
      <c r="CZ39">
        <v>-9.2268087132833895E-2</v>
      </c>
      <c r="DA39">
        <v>18.03713110181311</v>
      </c>
      <c r="DB39" t="s">
        <v>2029</v>
      </c>
      <c r="DC39">
        <v>-8.7654682776192192E-2</v>
      </c>
      <c r="DD39">
        <v>9.0185655509065548</v>
      </c>
      <c r="DE39" t="s">
        <v>2030</v>
      </c>
      <c r="DF39">
        <v>-8.1195916676893826E-2</v>
      </c>
      <c r="DG39">
        <v>5.411139330543933</v>
      </c>
      <c r="DH39" t="s">
        <v>2031</v>
      </c>
      <c r="DI39">
        <v>-7.3814469706267122E-2</v>
      </c>
      <c r="DJ39">
        <v>2.7055696652719665</v>
      </c>
      <c r="DK39" t="s">
        <v>2032</v>
      </c>
      <c r="DL39">
        <v>-6.4587660992983728E-2</v>
      </c>
      <c r="DM39">
        <v>239000000</v>
      </c>
      <c r="DN39">
        <v>-9.2268087132833895E-2</v>
      </c>
      <c r="DO39">
        <v>12932623000</v>
      </c>
      <c r="DP39">
        <v>2635319400</v>
      </c>
      <c r="DQ39">
        <v>3536</v>
      </c>
      <c r="DR39">
        <v>-0.34819913215880138</v>
      </c>
      <c r="DS39">
        <v>1.1932399637992928</v>
      </c>
      <c r="DT39" s="9">
        <v>-0.77333333333333332</v>
      </c>
      <c r="DU39">
        <v>0.3</v>
      </c>
      <c r="DV39">
        <v>-0.47333333333333333</v>
      </c>
      <c r="DW39">
        <v>-8.270531400966183</v>
      </c>
      <c r="DX39">
        <v>0.43310781758957617</v>
      </c>
      <c r="DY39">
        <v>-8.049536414420368</v>
      </c>
      <c r="DZ39">
        <v>248</v>
      </c>
      <c r="EA39">
        <v>-8.0471322988085774</v>
      </c>
      <c r="EB39">
        <v>8</v>
      </c>
      <c r="EC39">
        <v>7.1772847856733199E-2</v>
      </c>
      <c r="ED39">
        <v>0.39197041831172419</v>
      </c>
      <c r="EE39" s="10">
        <v>7.0510000000000003E-2</v>
      </c>
      <c r="EF39">
        <v>7.6309999999999989E-2</v>
      </c>
      <c r="EG39">
        <v>25.183107817589576</v>
      </c>
      <c r="EH39">
        <v>-1</v>
      </c>
      <c r="EI39">
        <v>0</v>
      </c>
      <c r="EJ39">
        <v>1</v>
      </c>
      <c r="EK39" s="11">
        <v>45470</v>
      </c>
      <c r="EL39">
        <v>-0.57999999999999996</v>
      </c>
      <c r="EM39">
        <v>-1.75</v>
      </c>
      <c r="EN39">
        <v>1.79</v>
      </c>
      <c r="EO39">
        <v>0.57999999999999996</v>
      </c>
      <c r="EP39">
        <v>-0.57999999999999996</v>
      </c>
    </row>
    <row r="40" spans="1:146" ht="96" x14ac:dyDescent="0.25">
      <c r="A40" s="5"/>
      <c r="B40" s="5"/>
      <c r="C40" s="5" t="str">
        <f>""&amp;CHAR(10)&amp;Basic_Fundamental_Information_Constructure(F40)&amp;CHAR(10)&amp;Basic_Fundamental_Information_Concatenate("")</f>
        <v xml:space="preserve">
市值134.94109亿, 利润1.55亿; PE24.98; 平均PE59.36; 平均PEG10.18, PB3.74; ROIC12.84%; ROE13.5267%; 股利率2.2848%; 毛利38.03%; 净利14.0533%; 上一年度营收增-63.26%, 利润增-54.94%; 当季营收增-41.54%, 利润增-39.73%; 过往5年营收增5.83%, 利润增-1.09%
Income profile:
</v>
      </c>
      <c r="D40" t="s">
        <v>128</v>
      </c>
      <c r="E40" t="s">
        <v>25</v>
      </c>
      <c r="F40">
        <v>13.13</v>
      </c>
      <c r="G40">
        <v>0.54</v>
      </c>
      <c r="H40" t="s">
        <v>2033</v>
      </c>
      <c r="I40">
        <v>13494109000</v>
      </c>
      <c r="J40">
        <v>24.98</v>
      </c>
      <c r="K40">
        <v>3.74</v>
      </c>
      <c r="L40" t="s">
        <v>52</v>
      </c>
      <c r="M40" t="s">
        <v>2034</v>
      </c>
      <c r="N40" t="s">
        <v>2035</v>
      </c>
      <c r="O40" t="s">
        <v>319</v>
      </c>
      <c r="P40">
        <v>9.2799999999999994</v>
      </c>
      <c r="Q40" t="s">
        <v>319</v>
      </c>
      <c r="R40">
        <v>154905330</v>
      </c>
      <c r="S40" s="4">
        <v>6.6600000000000006E-2</v>
      </c>
      <c r="T40" t="s">
        <v>139</v>
      </c>
      <c r="U40">
        <v>961242590</v>
      </c>
      <c r="V40">
        <v>1027731090</v>
      </c>
      <c r="W40">
        <v>1.1599999999999999</v>
      </c>
      <c r="X40">
        <v>0.21</v>
      </c>
      <c r="Y40">
        <v>17.32</v>
      </c>
      <c r="Z40" t="s">
        <v>2036</v>
      </c>
      <c r="AA40" t="s">
        <v>978</v>
      </c>
      <c r="AB40" t="s">
        <v>1000</v>
      </c>
      <c r="AC40" t="s">
        <v>2037</v>
      </c>
      <c r="AD40" t="s">
        <v>30</v>
      </c>
      <c r="AE40">
        <v>-11278919</v>
      </c>
      <c r="AF40" t="s">
        <v>2038</v>
      </c>
      <c r="AG40" t="s">
        <v>2039</v>
      </c>
      <c r="AH40" t="s">
        <v>2040</v>
      </c>
      <c r="AI40" t="s">
        <v>983</v>
      </c>
      <c r="AJ40" t="s">
        <v>2041</v>
      </c>
      <c r="AK40" t="s">
        <v>839</v>
      </c>
      <c r="AL40" t="s">
        <v>2042</v>
      </c>
      <c r="AM40" t="s">
        <v>30</v>
      </c>
      <c r="AN40" t="s">
        <v>535</v>
      </c>
      <c r="AO40" t="s">
        <v>30</v>
      </c>
      <c r="AP40" t="s">
        <v>30</v>
      </c>
      <c r="AQ40" t="s">
        <v>263</v>
      </c>
      <c r="AR40" t="s">
        <v>30</v>
      </c>
      <c r="AS40" t="s">
        <v>710</v>
      </c>
      <c r="AT40" t="s">
        <v>30</v>
      </c>
      <c r="AU40" t="s">
        <v>167</v>
      </c>
      <c r="AV40" t="s">
        <v>2043</v>
      </c>
      <c r="AW40" t="s">
        <v>1722</v>
      </c>
      <c r="AX40" t="s">
        <v>154</v>
      </c>
      <c r="AY40" t="s">
        <v>623</v>
      </c>
      <c r="AZ40" t="s">
        <v>380</v>
      </c>
      <c r="BA40" t="s">
        <v>361</v>
      </c>
      <c r="BB40" t="s">
        <v>381</v>
      </c>
      <c r="BC40" t="s">
        <v>419</v>
      </c>
      <c r="BD40" t="s">
        <v>472</v>
      </c>
      <c r="BE40" t="s">
        <v>102</v>
      </c>
      <c r="BF40" t="s">
        <v>255</v>
      </c>
      <c r="BG40" t="s">
        <v>368</v>
      </c>
      <c r="BH40" t="s">
        <v>1089</v>
      </c>
      <c r="BI40" t="s">
        <v>1056</v>
      </c>
      <c r="BJ40" t="s">
        <v>154</v>
      </c>
      <c r="BK40" t="s">
        <v>345</v>
      </c>
      <c r="BL40" t="s">
        <v>228</v>
      </c>
      <c r="BM40" t="s">
        <v>419</v>
      </c>
      <c r="BN40">
        <v>12.5</v>
      </c>
      <c r="BO40">
        <v>15</v>
      </c>
      <c r="BP40">
        <v>11.02</v>
      </c>
      <c r="BQ40">
        <v>13.84</v>
      </c>
      <c r="BR40">
        <v>15.54</v>
      </c>
      <c r="BS40">
        <v>11.2</v>
      </c>
      <c r="BT40" t="s">
        <v>748</v>
      </c>
      <c r="BU40" t="s">
        <v>542</v>
      </c>
      <c r="BV40">
        <v>37.15</v>
      </c>
      <c r="BW40">
        <v>36.56</v>
      </c>
      <c r="BX40">
        <v>40.380000000000003</v>
      </c>
      <c r="BY40">
        <v>16.54</v>
      </c>
      <c r="BZ40">
        <v>14.12</v>
      </c>
      <c r="CA40">
        <v>11.5</v>
      </c>
      <c r="CB40">
        <v>-1.28</v>
      </c>
      <c r="CC40">
        <v>-16.53</v>
      </c>
      <c r="CD40" t="s">
        <v>2044</v>
      </c>
      <c r="CE40" t="s">
        <v>305</v>
      </c>
      <c r="CF40" s="7">
        <v>-0.41541476159372964</v>
      </c>
      <c r="CG40" s="8">
        <v>-0.39725552529182873</v>
      </c>
      <c r="CH40" s="7">
        <v>-0.63259440660476685</v>
      </c>
      <c r="CI40" s="7">
        <v>0.26545459032058716</v>
      </c>
      <c r="CJ40" s="7">
        <v>0.13703484833240509</v>
      </c>
      <c r="CK40" s="7">
        <v>0.24944639205932617</v>
      </c>
      <c r="CL40" s="7">
        <v>0.27230054140090942</v>
      </c>
      <c r="CM40" s="8">
        <v>-0.54941862821578979</v>
      </c>
      <c r="CN40" s="8">
        <v>0.55656111240386963</v>
      </c>
      <c r="CO40" s="8">
        <v>7.2815537452697754E-2</v>
      </c>
      <c r="CP40" s="8">
        <v>4.0404040366411209E-2</v>
      </c>
      <c r="CQ40" s="8">
        <v>-0.17499999701976776</v>
      </c>
      <c r="CR40">
        <v>59.35825073313783</v>
      </c>
      <c r="CS40">
        <v>10.176561975511675</v>
      </c>
      <c r="CT40">
        <v>2.2848438690022848</v>
      </c>
      <c r="CU40" s="7">
        <v>5.8328393101692202E-2</v>
      </c>
      <c r="CV40" s="8">
        <v>-1.0927587002515792E-2</v>
      </c>
      <c r="CW40">
        <v>0.06</v>
      </c>
      <c r="CX40">
        <v>67.862560354375574</v>
      </c>
      <c r="CY40">
        <v>154755566.91581348</v>
      </c>
      <c r="CZ40">
        <v>5.8328393101692202E-2</v>
      </c>
      <c r="DA40">
        <v>22.781826576007415</v>
      </c>
      <c r="DB40">
        <v>460986258.71642143</v>
      </c>
      <c r="DC40">
        <v>5.5411973446607588E-2</v>
      </c>
      <c r="DD40">
        <v>11.62080296708546</v>
      </c>
      <c r="DE40">
        <v>903733505.31335676</v>
      </c>
      <c r="DF40">
        <v>5.1328985929489139E-2</v>
      </c>
      <c r="DG40">
        <v>7.2594338180825355</v>
      </c>
      <c r="DH40">
        <v>1446684309.4347496</v>
      </c>
      <c r="DI40">
        <v>4.6662714481353763E-2</v>
      </c>
      <c r="DJ40">
        <v>4.0807201182849662</v>
      </c>
      <c r="DK40">
        <v>2573592085.6081152</v>
      </c>
      <c r="DL40">
        <v>4.082987517118454E-2</v>
      </c>
      <c r="DM40">
        <v>155000000</v>
      </c>
      <c r="DN40">
        <v>5.8328393101692202E-2</v>
      </c>
      <c r="DO40">
        <v>10502109000</v>
      </c>
      <c r="DP40">
        <v>1851031400</v>
      </c>
      <c r="DQ40">
        <v>3869</v>
      </c>
      <c r="DR40">
        <v>-0.47374315469542183</v>
      </c>
      <c r="DS40">
        <v>-0.38632793828931294</v>
      </c>
      <c r="DT40" s="9">
        <v>-0.40666666666666673</v>
      </c>
      <c r="DU40">
        <v>-0.33666666666666667</v>
      </c>
      <c r="DV40">
        <v>-0.7433333333333334</v>
      </c>
      <c r="DW40">
        <v>-3.0059940476190476</v>
      </c>
      <c r="DX40">
        <v>0.33695255813953323</v>
      </c>
      <c r="DY40">
        <v>-3.0009407811074196</v>
      </c>
      <c r="DZ40">
        <v>2327</v>
      </c>
      <c r="EA40">
        <v>-3.0005123666970546</v>
      </c>
      <c r="EB40">
        <v>3</v>
      </c>
      <c r="EC40">
        <v>3.2834269906148308E-2</v>
      </c>
      <c r="ED40">
        <v>0.20919869223767473</v>
      </c>
      <c r="EE40" s="10">
        <v>2.1045099999999999</v>
      </c>
      <c r="EF40">
        <v>2.13571</v>
      </c>
      <c r="EG40">
        <v>18.156952558139533</v>
      </c>
      <c r="EH40" t="s">
        <v>856</v>
      </c>
      <c r="EI40">
        <v>0</v>
      </c>
      <c r="EJ40">
        <v>0</v>
      </c>
      <c r="EK40" s="11">
        <v>45470</v>
      </c>
      <c r="EL40">
        <v>-0.96</v>
      </c>
      <c r="EM40">
        <v>-2.91</v>
      </c>
      <c r="EN40">
        <v>0.32</v>
      </c>
      <c r="EO40">
        <v>4.04</v>
      </c>
      <c r="EP40">
        <v>-3.12</v>
      </c>
    </row>
    <row r="41" spans="1:146" ht="96" x14ac:dyDescent="0.25">
      <c r="A41" s="5"/>
      <c r="B41" s="5"/>
      <c r="C41" s="5" t="str">
        <f>""&amp;CHAR(10)&amp;Basic_Fundamental_Information_Constructure(F41)&amp;CHAR(10)&amp;Basic_Fundamental_Information_Concatenate("")</f>
        <v xml:space="preserve">
市值88.614491亿, 利润7078.16万; PE16.05; 平均PE22.3; 平均PEG4.76, PB2.38; ROIC14.2133%; ROE17.1167%; 股利率3.0809%; 毛利36.36%; 净利13.1267%; 上一年度营收增-75.39%, 利润增-86.47%; 当季营收增-41.64%, 利润增-11.58%; 过往5年营收增-4.69%, 利润增-10.33%
Income profile:
</v>
      </c>
      <c r="D41" t="s">
        <v>129</v>
      </c>
      <c r="E41" t="s">
        <v>20</v>
      </c>
      <c r="F41">
        <v>15.58</v>
      </c>
      <c r="G41">
        <v>0.06</v>
      </c>
      <c r="H41" t="s">
        <v>2045</v>
      </c>
      <c r="I41">
        <v>8861449100</v>
      </c>
      <c r="J41">
        <v>16.05</v>
      </c>
      <c r="K41">
        <v>2.38</v>
      </c>
      <c r="L41" t="s">
        <v>52</v>
      </c>
      <c r="M41" t="s">
        <v>971</v>
      </c>
      <c r="N41" t="s">
        <v>2046</v>
      </c>
      <c r="O41" t="s">
        <v>2047</v>
      </c>
      <c r="P41">
        <v>10.039999999999999</v>
      </c>
      <c r="Q41" t="s">
        <v>2047</v>
      </c>
      <c r="R41">
        <v>70781639</v>
      </c>
      <c r="S41" s="4">
        <v>2.2200000000000001E-2</v>
      </c>
      <c r="T41" t="s">
        <v>2048</v>
      </c>
      <c r="U41">
        <v>568770810</v>
      </c>
      <c r="V41">
        <v>568770810</v>
      </c>
      <c r="W41">
        <v>1.61</v>
      </c>
      <c r="X41">
        <v>0.16</v>
      </c>
      <c r="Y41">
        <v>7.96</v>
      </c>
      <c r="Z41" t="s">
        <v>2049</v>
      </c>
      <c r="AA41" t="s">
        <v>688</v>
      </c>
      <c r="AB41" t="s">
        <v>2050</v>
      </c>
      <c r="AC41" t="s">
        <v>2051</v>
      </c>
      <c r="AD41" t="s">
        <v>30</v>
      </c>
      <c r="AE41">
        <v>-7056720</v>
      </c>
      <c r="AF41" t="s">
        <v>2052</v>
      </c>
      <c r="AG41" t="s">
        <v>2053</v>
      </c>
      <c r="AH41" t="s">
        <v>2054</v>
      </c>
      <c r="AI41" t="s">
        <v>2055</v>
      </c>
      <c r="AJ41" t="s">
        <v>2056</v>
      </c>
      <c r="AK41" t="s">
        <v>30</v>
      </c>
      <c r="AL41" t="s">
        <v>2057</v>
      </c>
      <c r="AM41" t="s">
        <v>30</v>
      </c>
      <c r="AN41" t="s">
        <v>2058</v>
      </c>
      <c r="AO41" t="s">
        <v>1003</v>
      </c>
      <c r="AP41" t="s">
        <v>2059</v>
      </c>
      <c r="AQ41" t="s">
        <v>813</v>
      </c>
      <c r="AR41" t="s">
        <v>30</v>
      </c>
      <c r="AS41" t="s">
        <v>2060</v>
      </c>
      <c r="AT41" t="s">
        <v>802</v>
      </c>
      <c r="AU41" t="s">
        <v>2061</v>
      </c>
      <c r="AV41" t="s">
        <v>101</v>
      </c>
      <c r="AW41" t="s">
        <v>2062</v>
      </c>
      <c r="AX41" t="s">
        <v>837</v>
      </c>
      <c r="AY41" t="s">
        <v>624</v>
      </c>
      <c r="AZ41" t="s">
        <v>383</v>
      </c>
      <c r="BA41" t="s">
        <v>384</v>
      </c>
      <c r="BB41" t="s">
        <v>385</v>
      </c>
      <c r="BC41" t="s">
        <v>562</v>
      </c>
      <c r="BD41" t="s">
        <v>625</v>
      </c>
      <c r="BE41" t="s">
        <v>304</v>
      </c>
      <c r="BF41" t="s">
        <v>386</v>
      </c>
      <c r="BG41" t="s">
        <v>386</v>
      </c>
      <c r="BH41" t="s">
        <v>2063</v>
      </c>
      <c r="BI41" t="s">
        <v>1058</v>
      </c>
      <c r="BJ41" t="s">
        <v>837</v>
      </c>
      <c r="BK41" t="s">
        <v>678</v>
      </c>
      <c r="BL41" t="s">
        <v>2064</v>
      </c>
      <c r="BM41" t="s">
        <v>562</v>
      </c>
      <c r="BN41">
        <v>11.41</v>
      </c>
      <c r="BO41">
        <v>13.07</v>
      </c>
      <c r="BP41">
        <v>18.16</v>
      </c>
      <c r="BQ41">
        <v>14.16</v>
      </c>
      <c r="BR41">
        <v>16.7</v>
      </c>
      <c r="BS41">
        <v>20.49</v>
      </c>
      <c r="BT41" t="s">
        <v>2065</v>
      </c>
      <c r="BU41" t="s">
        <v>524</v>
      </c>
      <c r="BV41">
        <v>35.619999999999997</v>
      </c>
      <c r="BW41">
        <v>35.630000000000003</v>
      </c>
      <c r="BX41">
        <v>37.83</v>
      </c>
      <c r="BY41">
        <v>11.9</v>
      </c>
      <c r="BZ41">
        <v>12.96</v>
      </c>
      <c r="CA41">
        <v>14.52</v>
      </c>
      <c r="CB41">
        <v>-2.44</v>
      </c>
      <c r="CC41">
        <v>-10.36</v>
      </c>
      <c r="CD41" t="s">
        <v>2066</v>
      </c>
      <c r="CE41" t="s">
        <v>2067</v>
      </c>
      <c r="CF41" s="7">
        <v>-0.41637831603229536</v>
      </c>
      <c r="CG41" s="8">
        <v>-0.11577220730776486</v>
      </c>
      <c r="CH41" s="7">
        <v>-0.75389105081558228</v>
      </c>
      <c r="CI41" s="7">
        <v>5.7069443166255951E-2</v>
      </c>
      <c r="CJ41" s="7">
        <v>0.18344989418983459</v>
      </c>
      <c r="CK41" s="7">
        <v>8.5176669061183929E-2</v>
      </c>
      <c r="CL41" s="7">
        <v>0.19392983615398407</v>
      </c>
      <c r="CM41" s="8">
        <v>-0.86466234922409058</v>
      </c>
      <c r="CN41" s="8">
        <v>-6.2724016606807709E-2</v>
      </c>
      <c r="CO41" s="8">
        <v>0.20258620381355286</v>
      </c>
      <c r="CP41" s="8">
        <v>0.2083333283662796</v>
      </c>
      <c r="CQ41" s="8">
        <v>0</v>
      </c>
      <c r="CR41">
        <v>22.304348099674904</v>
      </c>
      <c r="CS41">
        <v>4.760490955279387</v>
      </c>
      <c r="CT41">
        <v>3.0808729139922977</v>
      </c>
      <c r="CU41" s="7">
        <v>-4.6853041648864745E-2</v>
      </c>
      <c r="CV41" s="8">
        <v>-0.10329336673021317</v>
      </c>
      <c r="CW41">
        <v>0.06</v>
      </c>
      <c r="CX41">
        <v>106.84201967743029</v>
      </c>
      <c r="CY41" t="s">
        <v>2068</v>
      </c>
      <c r="CZ41">
        <v>-4.6853041648864745E-2</v>
      </c>
      <c r="DA41">
        <v>35.614006559143434</v>
      </c>
      <c r="DB41" t="s">
        <v>2069</v>
      </c>
      <c r="DC41">
        <v>-4.4510389566421504E-2</v>
      </c>
      <c r="DD41">
        <v>17.807003279571717</v>
      </c>
      <c r="DE41" t="s">
        <v>2070</v>
      </c>
      <c r="DF41">
        <v>-4.1230676651000976E-2</v>
      </c>
      <c r="DG41">
        <v>10.684201967743029</v>
      </c>
      <c r="DH41" t="s">
        <v>2071</v>
      </c>
      <c r="DI41">
        <v>-3.7482433319091797E-2</v>
      </c>
      <c r="DJ41">
        <v>5.3421009838715143</v>
      </c>
      <c r="DK41" t="s">
        <v>2072</v>
      </c>
      <c r="DL41">
        <v>-3.2797129154205316E-2</v>
      </c>
      <c r="DM41">
        <v>70781600</v>
      </c>
      <c r="DN41">
        <v>-4.6853041648864745E-2</v>
      </c>
      <c r="DO41">
        <v>7562449100</v>
      </c>
      <c r="DP41">
        <v>295768000</v>
      </c>
      <c r="DQ41">
        <v>3884</v>
      </c>
      <c r="DR41">
        <v>-0.36952527438343064</v>
      </c>
      <c r="DS41">
        <v>-1.2478840577551692E-2</v>
      </c>
      <c r="DT41" s="9">
        <v>-0.54</v>
      </c>
      <c r="DU41">
        <v>-8.3333333333333329E-2</v>
      </c>
      <c r="DV41">
        <v>-0.62333333333333341</v>
      </c>
      <c r="DW41">
        <v>-2.1036000000000001</v>
      </c>
      <c r="DX41">
        <v>0.37188779868088645</v>
      </c>
      <c r="DY41">
        <v>-2.0188435759433396</v>
      </c>
      <c r="DZ41">
        <v>4052</v>
      </c>
      <c r="EA41">
        <v>-2.003901468365568</v>
      </c>
      <c r="EB41">
        <v>2</v>
      </c>
      <c r="EC41">
        <v>1.6286349153536904E-2</v>
      </c>
      <c r="ED41">
        <v>8.954063588460176E-2</v>
      </c>
      <c r="EE41" s="10">
        <v>4.7099999999999954E-3</v>
      </c>
      <c r="EF41">
        <v>3.4410000000000003E-2</v>
      </c>
      <c r="EG41">
        <v>19.181887798680886</v>
      </c>
      <c r="EH41">
        <v>-1</v>
      </c>
      <c r="EI41">
        <v>0</v>
      </c>
      <c r="EJ41">
        <v>0</v>
      </c>
      <c r="EK41" s="11">
        <v>45470</v>
      </c>
      <c r="EL41">
        <v>-1.1200000000000001</v>
      </c>
      <c r="EM41">
        <v>-4.96</v>
      </c>
      <c r="EN41">
        <v>-0.76</v>
      </c>
      <c r="EO41">
        <v>7.12</v>
      </c>
      <c r="EP41">
        <v>-2.97</v>
      </c>
    </row>
    <row r="42" spans="1:146" ht="156" x14ac:dyDescent="0.25">
      <c r="C42" s="5" t="str">
        <f>"公司主营业务为卤制食品的研发、生产和销售，主要产品为夫妻肺片、百味鸡、藤椒鸡等以鸡、鸭、牛、猪等禽畜产品以及蔬菜、水产品、豆制品为原材料的卤制食品，应用场景以佐餐消费为主、休闲消费为辅，主要品牌为“紫燕”。"&amp;CHAR(10)&amp;Basic_Fundamental_Information_Constructure(F42)&amp;CHAR(10)&amp;Basic_Fundamental_Information_Concatenate("卤制食品销售 34.13亿 94.74% 96.98% 14.76%
其他 9810.96万 2.72% 1.74% 9.21%")</f>
        <v>公司主营业务为卤制食品的研发、生产和销售，主要产品为夫妻肺片、百味鸡、藤椒鸡等以鸡、鸭、牛、猪等禽畜产品以及蔬菜、水产品、豆制品为原材料的卤制食品，应用场景以佐餐消费为主、休闲消费为辅，主要品牌为“紫燕”。
市值61.310554亿, 利润5396.40万; PE17.99; 平均PE27.58; 平均PEG8.15, PB2.85; ROIC18.0867%; ROE20.02%; 股利率5.4054%; 毛利20.02%; 净利8.6433%; 上一年度营收增-80.71%, 利润增-75.69%; 当季营收增-60.13%, 利润增-70.02%; 过往5年营收增-3.38%, 利润增5.58%
Income profile:
卤制食品销售 34.13亿 94.74% 96.98% 14.76%
其他 9810.96万 2.72% 1.74% 9.21%</v>
      </c>
      <c r="D42" t="s">
        <v>700</v>
      </c>
      <c r="E42" t="s">
        <v>701</v>
      </c>
      <c r="F42">
        <v>14.8</v>
      </c>
      <c r="G42">
        <v>0.48</v>
      </c>
      <c r="H42" t="s">
        <v>2073</v>
      </c>
      <c r="I42">
        <v>6131055400</v>
      </c>
      <c r="J42">
        <v>17.989999999999998</v>
      </c>
      <c r="K42">
        <v>2.85</v>
      </c>
      <c r="L42" t="s">
        <v>52</v>
      </c>
      <c r="M42" t="s">
        <v>769</v>
      </c>
      <c r="N42" t="s">
        <v>2074</v>
      </c>
      <c r="O42" t="s">
        <v>2075</v>
      </c>
      <c r="P42">
        <v>-8</v>
      </c>
      <c r="Q42" t="s">
        <v>2075</v>
      </c>
      <c r="R42">
        <v>53963965</v>
      </c>
      <c r="S42">
        <v>0.2087</v>
      </c>
      <c r="T42" t="s">
        <v>2076</v>
      </c>
      <c r="U42">
        <v>68061925</v>
      </c>
      <c r="V42">
        <v>414260500</v>
      </c>
      <c r="W42">
        <v>1.45</v>
      </c>
      <c r="X42">
        <v>0.23</v>
      </c>
      <c r="Y42">
        <v>7.74</v>
      </c>
      <c r="Z42" t="s">
        <v>404</v>
      </c>
      <c r="AA42" t="s">
        <v>678</v>
      </c>
      <c r="AB42" t="s">
        <v>2077</v>
      </c>
      <c r="AC42" t="s">
        <v>2078</v>
      </c>
      <c r="AD42" t="s">
        <v>30</v>
      </c>
      <c r="AE42">
        <v>343388</v>
      </c>
      <c r="AF42" t="s">
        <v>2079</v>
      </c>
      <c r="AG42" t="s">
        <v>2080</v>
      </c>
      <c r="AH42" t="s">
        <v>2081</v>
      </c>
      <c r="AI42" t="s">
        <v>2082</v>
      </c>
      <c r="AJ42" t="s">
        <v>2083</v>
      </c>
      <c r="AK42" t="s">
        <v>30</v>
      </c>
      <c r="AL42" t="s">
        <v>2084</v>
      </c>
      <c r="AM42" t="s">
        <v>30</v>
      </c>
      <c r="AN42" t="s">
        <v>2085</v>
      </c>
      <c r="AO42" t="s">
        <v>607</v>
      </c>
      <c r="AP42" t="s">
        <v>30</v>
      </c>
      <c r="AQ42" t="s">
        <v>106</v>
      </c>
      <c r="AR42" t="s">
        <v>30</v>
      </c>
      <c r="AS42" t="s">
        <v>2086</v>
      </c>
      <c r="AT42" t="s">
        <v>30</v>
      </c>
      <c r="AU42" t="s">
        <v>2087</v>
      </c>
      <c r="AV42" t="s">
        <v>968</v>
      </c>
      <c r="AW42" t="s">
        <v>80</v>
      </c>
      <c r="AX42" t="s">
        <v>243</v>
      </c>
      <c r="AY42" t="s">
        <v>702</v>
      </c>
      <c r="AZ42" t="s">
        <v>703</v>
      </c>
      <c r="BA42" t="s">
        <v>704</v>
      </c>
      <c r="BB42" t="s">
        <v>705</v>
      </c>
      <c r="BC42" t="s">
        <v>309</v>
      </c>
      <c r="BD42" t="s">
        <v>335</v>
      </c>
      <c r="BE42" t="s">
        <v>382</v>
      </c>
      <c r="BF42" t="s">
        <v>378</v>
      </c>
      <c r="BG42" t="s">
        <v>189</v>
      </c>
      <c r="BH42" t="s">
        <v>2088</v>
      </c>
      <c r="BI42" t="s">
        <v>1059</v>
      </c>
      <c r="BJ42" t="s">
        <v>243</v>
      </c>
      <c r="BK42" t="s">
        <v>2082</v>
      </c>
      <c r="BL42" t="s">
        <v>370</v>
      </c>
      <c r="BM42" t="s">
        <v>309</v>
      </c>
      <c r="BN42">
        <v>16.399999999999999</v>
      </c>
      <c r="BO42">
        <v>12.82</v>
      </c>
      <c r="BP42">
        <v>25.04</v>
      </c>
      <c r="BQ42">
        <v>16.510000000000002</v>
      </c>
      <c r="BR42">
        <v>15.02</v>
      </c>
      <c r="BS42">
        <v>28.53</v>
      </c>
      <c r="BT42" t="s">
        <v>2089</v>
      </c>
      <c r="BU42" t="s">
        <v>524</v>
      </c>
      <c r="BV42">
        <v>22.46</v>
      </c>
      <c r="BW42">
        <v>15.98</v>
      </c>
      <c r="BX42">
        <v>21.62</v>
      </c>
      <c r="BY42">
        <v>9.61</v>
      </c>
      <c r="BZ42">
        <v>5.98</v>
      </c>
      <c r="CA42">
        <v>10.34</v>
      </c>
      <c r="CB42">
        <v>-3.39</v>
      </c>
      <c r="CC42">
        <v>-21.23</v>
      </c>
      <c r="CD42" t="s">
        <v>2090</v>
      </c>
      <c r="CE42" t="s">
        <v>2091</v>
      </c>
      <c r="CF42" s="7">
        <v>-0.60126219162363737</v>
      </c>
      <c r="CG42" s="8">
        <v>-0.70020019444444448</v>
      </c>
      <c r="CH42" s="7">
        <v>-0.80710518360137939</v>
      </c>
      <c r="CI42" s="7">
        <v>0.16526521742343903</v>
      </c>
      <c r="CJ42" s="7">
        <v>0.18331423401832581</v>
      </c>
      <c r="CK42" s="7">
        <v>7.3100559413433075E-2</v>
      </c>
      <c r="CL42" s="7">
        <v>0.21628375351428986</v>
      </c>
      <c r="CM42" s="8">
        <v>-0.75691890716552734</v>
      </c>
      <c r="CN42" s="8">
        <v>-0.32317072153091431</v>
      </c>
      <c r="CO42" s="8">
        <v>-8.6350977420806885E-2</v>
      </c>
      <c r="CP42" s="8">
        <v>0.45344129204750061</v>
      </c>
      <c r="CQ42" s="8">
        <v>0.99193549156188965</v>
      </c>
      <c r="CR42">
        <v>27.576705518289849</v>
      </c>
      <c r="CS42">
        <v>8.151967047315118</v>
      </c>
      <c r="CT42">
        <v>5.4054054054054053</v>
      </c>
      <c r="CU42" s="7">
        <v>-3.3828283846378329E-2</v>
      </c>
      <c r="CV42" s="8">
        <v>5.5787235498428345E-2</v>
      </c>
      <c r="CW42">
        <v>0.06</v>
      </c>
      <c r="CX42">
        <v>89.060399525609668</v>
      </c>
      <c r="CY42" t="s">
        <v>2092</v>
      </c>
      <c r="CZ42">
        <v>-3.3828283846378329E-2</v>
      </c>
      <c r="DA42">
        <v>29.686799841869888</v>
      </c>
      <c r="DB42" t="s">
        <v>2093</v>
      </c>
      <c r="DC42">
        <v>-3.2136869654059409E-2</v>
      </c>
      <c r="DD42">
        <v>14.843399920934944</v>
      </c>
      <c r="DE42" t="s">
        <v>2094</v>
      </c>
      <c r="DF42">
        <v>-2.976888978481293E-2</v>
      </c>
      <c r="DG42">
        <v>8.9060399525609668</v>
      </c>
      <c r="DH42" t="s">
        <v>2095</v>
      </c>
      <c r="DI42">
        <v>-2.7062627077102663E-2</v>
      </c>
      <c r="DJ42">
        <v>4.4530199762804834</v>
      </c>
      <c r="DK42" t="s">
        <v>2096</v>
      </c>
      <c r="DL42">
        <v>-2.367979869246483E-2</v>
      </c>
      <c r="DM42">
        <v>53964000</v>
      </c>
      <c r="DN42">
        <v>-3.3828283846378329E-2</v>
      </c>
      <c r="DO42">
        <v>4806055400</v>
      </c>
      <c r="DP42">
        <v>1013710800</v>
      </c>
      <c r="DQ42" s="9">
        <v>3893</v>
      </c>
      <c r="DR42">
        <v>-0.56743390777725899</v>
      </c>
      <c r="DS42">
        <v>-0.75598742994287282</v>
      </c>
      <c r="DT42">
        <v>-0.39000000000000007</v>
      </c>
      <c r="DU42">
        <v>-0.60666666666666669</v>
      </c>
      <c r="DV42">
        <v>-0.99666666666666681</v>
      </c>
      <c r="DW42">
        <v>-8.1596796985398026</v>
      </c>
      <c r="DX42">
        <v>0.32395948565383226</v>
      </c>
      <c r="DY42">
        <v>-8.0245842042565467</v>
      </c>
      <c r="DZ42">
        <v>1338</v>
      </c>
      <c r="EA42">
        <v>-8.0181470877604095</v>
      </c>
      <c r="EB42" s="10">
        <v>8</v>
      </c>
      <c r="EC42">
        <v>1.0468533688343445E-2</v>
      </c>
      <c r="ED42">
        <v>6.7995379718800139E-2</v>
      </c>
      <c r="EE42">
        <v>-1.1163099999999999</v>
      </c>
      <c r="EF42">
        <v>-1.1291100000000001</v>
      </c>
      <c r="EG42">
        <v>17.153959485653832</v>
      </c>
      <c r="EH42" s="11" t="s">
        <v>803</v>
      </c>
      <c r="EI42">
        <v>0</v>
      </c>
      <c r="EJ42">
        <v>1</v>
      </c>
      <c r="EK42">
        <v>45470</v>
      </c>
      <c r="EL42">
        <v>0.3</v>
      </c>
      <c r="EM42">
        <v>-1.79</v>
      </c>
      <c r="EN42">
        <v>0.68</v>
      </c>
      <c r="EO42">
        <v>0.3</v>
      </c>
      <c r="EP42">
        <v>-1.28</v>
      </c>
    </row>
    <row r="43" spans="1:146" ht="96" x14ac:dyDescent="0.25">
      <c r="A43" s="5"/>
      <c r="B43" s="5"/>
      <c r="C43" s="5" t="str">
        <f>""&amp;CHAR(10)&amp;Basic_Fundamental_Information_Constructure(F43)&amp;CHAR(10)&amp;Basic_Fundamental_Information_Concatenate("")</f>
        <v xml:space="preserve">
市值18.9824亿, 利润3485.05万; PE11.93; 平均PE19.08; 平均PEG2.68, PB1.23; ROIC14.31%; ROE14.11%; 股利率2.5287%; 毛利38.4533%; 净利20.2567%; 上一年度营收增-73.93%, 利润增-74.75%; 当季营收增-57.81%, 利润增-64.24%; 过往5年营收增-7.13%, 利润增1.1%
Income profile:
</v>
      </c>
      <c r="D43" t="s">
        <v>536</v>
      </c>
      <c r="E43" t="s">
        <v>537</v>
      </c>
      <c r="F43">
        <v>29.66</v>
      </c>
      <c r="G43">
        <v>1.02</v>
      </c>
      <c r="H43" t="s">
        <v>2097</v>
      </c>
      <c r="I43">
        <v>1898240000</v>
      </c>
      <c r="J43">
        <v>11.93</v>
      </c>
      <c r="K43">
        <v>1.23</v>
      </c>
      <c r="L43" t="s">
        <v>52</v>
      </c>
      <c r="M43" t="s">
        <v>309</v>
      </c>
      <c r="N43" t="s">
        <v>2098</v>
      </c>
      <c r="O43" t="s">
        <v>527</v>
      </c>
      <c r="P43">
        <v>-18.68</v>
      </c>
      <c r="Q43" t="s">
        <v>527</v>
      </c>
      <c r="R43">
        <v>34850457</v>
      </c>
      <c r="S43" s="4">
        <v>-0.2218</v>
      </c>
      <c r="T43" t="s">
        <v>2099</v>
      </c>
      <c r="U43">
        <v>35789350</v>
      </c>
      <c r="V43">
        <v>64000000</v>
      </c>
      <c r="W43">
        <v>1.1200000000000001</v>
      </c>
      <c r="X43">
        <v>0.11</v>
      </c>
      <c r="Y43">
        <v>18.47</v>
      </c>
      <c r="Z43" t="s">
        <v>168</v>
      </c>
      <c r="AA43" t="s">
        <v>264</v>
      </c>
      <c r="AB43" t="s">
        <v>2100</v>
      </c>
      <c r="AC43" t="s">
        <v>2101</v>
      </c>
      <c r="AD43" t="s">
        <v>30</v>
      </c>
      <c r="AE43">
        <v>-3508024</v>
      </c>
      <c r="AF43" t="s">
        <v>2102</v>
      </c>
      <c r="AG43" t="s">
        <v>2103</v>
      </c>
      <c r="AH43" t="s">
        <v>2104</v>
      </c>
      <c r="AI43" t="s">
        <v>2105</v>
      </c>
      <c r="AJ43" t="s">
        <v>2106</v>
      </c>
      <c r="AK43" t="s">
        <v>2107</v>
      </c>
      <c r="AL43" t="s">
        <v>2108</v>
      </c>
      <c r="AM43" t="s">
        <v>30</v>
      </c>
      <c r="AN43" t="s">
        <v>2109</v>
      </c>
      <c r="AO43" t="s">
        <v>30</v>
      </c>
      <c r="AP43" t="s">
        <v>30</v>
      </c>
      <c r="AQ43" t="s">
        <v>2110</v>
      </c>
      <c r="AR43" t="s">
        <v>2111</v>
      </c>
      <c r="AS43" t="s">
        <v>127</v>
      </c>
      <c r="AT43" t="s">
        <v>30</v>
      </c>
      <c r="AU43" t="s">
        <v>2112</v>
      </c>
      <c r="AV43" t="s">
        <v>2113</v>
      </c>
      <c r="AW43" t="s">
        <v>2114</v>
      </c>
      <c r="AX43" t="s">
        <v>841</v>
      </c>
      <c r="AY43" t="s">
        <v>226</v>
      </c>
      <c r="AZ43" t="s">
        <v>519</v>
      </c>
      <c r="BA43" t="s">
        <v>210</v>
      </c>
      <c r="BB43" t="s">
        <v>292</v>
      </c>
      <c r="BC43" t="s">
        <v>698</v>
      </c>
      <c r="BD43" t="s">
        <v>359</v>
      </c>
      <c r="BE43" t="s">
        <v>72</v>
      </c>
      <c r="BF43" t="s">
        <v>538</v>
      </c>
      <c r="BG43" t="s">
        <v>539</v>
      </c>
      <c r="BH43" t="s">
        <v>1499</v>
      </c>
      <c r="BI43" t="s">
        <v>1033</v>
      </c>
      <c r="BJ43" t="s">
        <v>841</v>
      </c>
      <c r="BK43" t="s">
        <v>709</v>
      </c>
      <c r="BL43" t="s">
        <v>2115</v>
      </c>
      <c r="BM43" t="s">
        <v>698</v>
      </c>
      <c r="BN43">
        <v>8.06</v>
      </c>
      <c r="BO43">
        <v>12.22</v>
      </c>
      <c r="BP43">
        <v>22.65</v>
      </c>
      <c r="BQ43">
        <v>8.76</v>
      </c>
      <c r="BR43">
        <v>10.47</v>
      </c>
      <c r="BS43">
        <v>23.1</v>
      </c>
      <c r="BT43" t="s">
        <v>840</v>
      </c>
      <c r="BU43" t="s">
        <v>543</v>
      </c>
      <c r="BV43">
        <v>37.409999999999997</v>
      </c>
      <c r="BW43">
        <v>36.4</v>
      </c>
      <c r="BX43">
        <v>41.55</v>
      </c>
      <c r="BY43">
        <v>19.399999999999999</v>
      </c>
      <c r="BZ43">
        <v>19</v>
      </c>
      <c r="CA43">
        <v>22.37</v>
      </c>
      <c r="CB43">
        <v>-1.49</v>
      </c>
      <c r="CC43">
        <v>-10.53</v>
      </c>
      <c r="CD43" t="s">
        <v>2116</v>
      </c>
      <c r="CE43" t="s">
        <v>2117</v>
      </c>
      <c r="CF43" s="7">
        <v>-0.57812500000000011</v>
      </c>
      <c r="CG43" s="8">
        <v>-0.64242665481953298</v>
      </c>
      <c r="CH43" s="7">
        <v>-0.73931032419204712</v>
      </c>
      <c r="CI43" s="7">
        <v>9.51661616563797E-2</v>
      </c>
      <c r="CJ43" s="7">
        <v>0.14532871544361115</v>
      </c>
      <c r="CK43" s="7">
        <v>0.15600000321865082</v>
      </c>
      <c r="CL43" s="7">
        <v>-1.3806706294417381E-2</v>
      </c>
      <c r="CM43" s="8">
        <v>-0.74746018648147583</v>
      </c>
      <c r="CN43" s="8">
        <v>-6.756756454706192E-2</v>
      </c>
      <c r="CO43" s="8">
        <v>0.16535432636737823</v>
      </c>
      <c r="CP43" s="8">
        <v>0.70848870277404785</v>
      </c>
      <c r="CQ43" s="8">
        <v>-3.9514615200459957E-3</v>
      </c>
      <c r="CR43">
        <v>19.083709050110688</v>
      </c>
      <c r="CS43">
        <v>2.6756202665945015</v>
      </c>
      <c r="CT43">
        <v>2.5286581254214431</v>
      </c>
      <c r="CU43" s="7">
        <v>-7.1324430033564562E-2</v>
      </c>
      <c r="CV43" s="8">
        <v>1.0972763318568468E-2</v>
      </c>
      <c r="CW43">
        <v>0.06</v>
      </c>
      <c r="CX43">
        <v>16.391156511384342</v>
      </c>
      <c r="CY43" t="s">
        <v>2118</v>
      </c>
      <c r="CZ43">
        <v>-7.1324430033564562E-2</v>
      </c>
      <c r="DA43">
        <v>5.4637188371281136</v>
      </c>
      <c r="DB43" t="s">
        <v>2119</v>
      </c>
      <c r="DC43">
        <v>-6.7758208531886327E-2</v>
      </c>
      <c r="DD43">
        <v>2.7318594185640568</v>
      </c>
      <c r="DE43" t="s">
        <v>2120</v>
      </c>
      <c r="DF43">
        <v>-6.2765498429536812E-2</v>
      </c>
      <c r="DG43">
        <v>1.6391156511384342</v>
      </c>
      <c r="DH43" t="s">
        <v>2121</v>
      </c>
      <c r="DI43">
        <v>-5.705954402685165E-2</v>
      </c>
      <c r="DJ43">
        <v>0.81955782556921708</v>
      </c>
      <c r="DK43" t="s">
        <v>2122</v>
      </c>
      <c r="DL43">
        <v>-4.9927101023495193E-2</v>
      </c>
      <c r="DM43">
        <v>34850500</v>
      </c>
      <c r="DN43">
        <v>-7.1324430033564562E-2</v>
      </c>
      <c r="DO43">
        <v>571240000</v>
      </c>
      <c r="DP43">
        <v>1145413290</v>
      </c>
      <c r="DQ43">
        <v>3931</v>
      </c>
      <c r="DR43">
        <v>-0.50680056996643552</v>
      </c>
      <c r="DS43">
        <v>-0.65339941813810143</v>
      </c>
      <c r="DT43" s="9">
        <v>-0.65666666666666662</v>
      </c>
      <c r="DU43">
        <v>-0.40666666666666668</v>
      </c>
      <c r="DV43">
        <v>-1.0633333333333332</v>
      </c>
      <c r="DW43">
        <v>-2.1053000000000002</v>
      </c>
      <c r="DX43">
        <v>0.3296618357487916</v>
      </c>
      <c r="DY43">
        <v>-2.0220773913043479</v>
      </c>
      <c r="DZ43">
        <v>3629</v>
      </c>
      <c r="EA43">
        <v>-2.0063985550923169</v>
      </c>
      <c r="EB43">
        <v>2</v>
      </c>
      <c r="EC43">
        <v>3.6957812499999999E-2</v>
      </c>
      <c r="ED43">
        <v>0.17627343749999999</v>
      </c>
      <c r="EE43" s="10">
        <v>-1.0582100000000001</v>
      </c>
      <c r="EF43">
        <v>-1.0702099999999999</v>
      </c>
      <c r="EG43">
        <v>12.209661835748792</v>
      </c>
      <c r="EH43" t="s">
        <v>803</v>
      </c>
      <c r="EI43">
        <v>0</v>
      </c>
      <c r="EJ43">
        <v>0</v>
      </c>
      <c r="EK43" s="11">
        <v>45470</v>
      </c>
      <c r="EL43">
        <v>0.2</v>
      </c>
      <c r="EM43">
        <v>-2.99</v>
      </c>
      <c r="EN43">
        <v>0.82</v>
      </c>
      <c r="EO43">
        <v>1.63</v>
      </c>
      <c r="EP43">
        <v>-1.2</v>
      </c>
    </row>
    <row r="44" spans="1:146" ht="96" x14ac:dyDescent="0.25">
      <c r="A44" s="5"/>
      <c r="B44" s="5"/>
      <c r="C44" s="5" t="str">
        <f>""&amp;CHAR(10)&amp;Basic_Fundamental_Information_Constructure(F44)&amp;CHAR(10)&amp;Basic_Fundamental_Information_Concatenate("")</f>
        <v xml:space="preserve">
市值47.121178亿, 利润6079.64万; PE16.5; 平均PE36.78; 平均PEG3.05, PB3.33; ROIC23.27%; ROE25.7633%; 股利率3.1834%; 毛利32.9833%; 净利12.27%; 上一年度营收增-69.37%, 利润增-71.72%; 当季营收增-44.68%, 利润增-63.38%; 过往5年营收增12.08%, 利润增7.04%
Income profile:
</v>
      </c>
      <c r="D44" t="s">
        <v>683</v>
      </c>
      <c r="E44" t="s">
        <v>684</v>
      </c>
      <c r="F44">
        <v>11.78</v>
      </c>
      <c r="G44">
        <v>2.2599999999999998</v>
      </c>
      <c r="H44" t="s">
        <v>2123</v>
      </c>
      <c r="I44">
        <v>4712117800</v>
      </c>
      <c r="J44">
        <v>16.5</v>
      </c>
      <c r="K44">
        <v>3.33</v>
      </c>
      <c r="L44" t="s">
        <v>52</v>
      </c>
      <c r="M44" t="s">
        <v>2124</v>
      </c>
      <c r="N44" t="s">
        <v>2125</v>
      </c>
      <c r="O44" t="s">
        <v>1761</v>
      </c>
      <c r="P44">
        <v>15.72</v>
      </c>
      <c r="Q44" t="s">
        <v>1761</v>
      </c>
      <c r="R44">
        <v>60796433</v>
      </c>
      <c r="S44" s="4">
        <v>-0.2036</v>
      </c>
      <c r="T44" t="s">
        <v>2126</v>
      </c>
      <c r="U44">
        <v>158810000</v>
      </c>
      <c r="V44">
        <v>400010000</v>
      </c>
      <c r="W44">
        <v>1.26</v>
      </c>
      <c r="X44">
        <v>0.32</v>
      </c>
      <c r="Y44">
        <v>10.75</v>
      </c>
      <c r="Z44" t="s">
        <v>2127</v>
      </c>
      <c r="AA44" t="s">
        <v>844</v>
      </c>
      <c r="AB44" t="s">
        <v>2128</v>
      </c>
      <c r="AC44" t="s">
        <v>2129</v>
      </c>
      <c r="AD44" t="s">
        <v>30</v>
      </c>
      <c r="AE44">
        <v>-1121499</v>
      </c>
      <c r="AF44" t="s">
        <v>2130</v>
      </c>
      <c r="AG44" t="s">
        <v>2131</v>
      </c>
      <c r="AH44" t="s">
        <v>2132</v>
      </c>
      <c r="AI44" t="s">
        <v>1084</v>
      </c>
      <c r="AJ44" t="s">
        <v>2133</v>
      </c>
      <c r="AK44" t="s">
        <v>2134</v>
      </c>
      <c r="AL44" t="s">
        <v>2135</v>
      </c>
      <c r="AM44" t="s">
        <v>30</v>
      </c>
      <c r="AN44" t="s">
        <v>802</v>
      </c>
      <c r="AO44" t="s">
        <v>1170</v>
      </c>
      <c r="AP44" t="s">
        <v>30</v>
      </c>
      <c r="AQ44" t="s">
        <v>91</v>
      </c>
      <c r="AR44" t="s">
        <v>2136</v>
      </c>
      <c r="AS44" t="s">
        <v>798</v>
      </c>
      <c r="AT44" t="s">
        <v>30</v>
      </c>
      <c r="AU44" t="s">
        <v>2137</v>
      </c>
      <c r="AV44" t="s">
        <v>2138</v>
      </c>
      <c r="AW44" t="s">
        <v>1170</v>
      </c>
      <c r="AX44" t="s">
        <v>843</v>
      </c>
      <c r="AY44" t="s">
        <v>685</v>
      </c>
      <c r="AZ44" t="s">
        <v>686</v>
      </c>
      <c r="BA44" t="s">
        <v>687</v>
      </c>
      <c r="BB44" t="s">
        <v>688</v>
      </c>
      <c r="BC44" t="s">
        <v>305</v>
      </c>
      <c r="BD44" t="s">
        <v>153</v>
      </c>
      <c r="BE44" t="s">
        <v>369</v>
      </c>
      <c r="BF44" t="s">
        <v>689</v>
      </c>
      <c r="BG44" t="s">
        <v>690</v>
      </c>
      <c r="BH44" t="s">
        <v>608</v>
      </c>
      <c r="BI44" t="s">
        <v>601</v>
      </c>
      <c r="BJ44" t="s">
        <v>843</v>
      </c>
      <c r="BK44" t="s">
        <v>330</v>
      </c>
      <c r="BL44" t="s">
        <v>584</v>
      </c>
      <c r="BM44" t="s">
        <v>305</v>
      </c>
      <c r="BN44">
        <v>19.399999999999999</v>
      </c>
      <c r="BO44">
        <v>23.07</v>
      </c>
      <c r="BP44">
        <v>27.34</v>
      </c>
      <c r="BQ44">
        <v>20.02</v>
      </c>
      <c r="BR44">
        <v>24.44</v>
      </c>
      <c r="BS44">
        <v>32.83</v>
      </c>
      <c r="BT44" t="s">
        <v>2139</v>
      </c>
      <c r="BU44" t="s">
        <v>542</v>
      </c>
      <c r="BV44">
        <v>33.14</v>
      </c>
      <c r="BW44">
        <v>34.57</v>
      </c>
      <c r="BX44">
        <v>31.24</v>
      </c>
      <c r="BY44">
        <v>13.14</v>
      </c>
      <c r="BZ44">
        <v>11.32</v>
      </c>
      <c r="CA44">
        <v>12.35</v>
      </c>
      <c r="CB44">
        <v>-0.84</v>
      </c>
      <c r="CC44">
        <v>-13.54</v>
      </c>
      <c r="CD44" t="s">
        <v>2140</v>
      </c>
      <c r="CE44" t="s">
        <v>2141</v>
      </c>
      <c r="CF44" s="7">
        <v>-0.44680851063829785</v>
      </c>
      <c r="CG44" s="8">
        <v>-0.6337564277108434</v>
      </c>
      <c r="CH44" s="7">
        <v>-0.69366717338562012</v>
      </c>
      <c r="CI44" s="7">
        <v>0.29087448120117188</v>
      </c>
      <c r="CJ44" s="7">
        <v>0.74364638328552246</v>
      </c>
      <c r="CK44" s="7">
        <v>0.21803499758243561</v>
      </c>
      <c r="CL44" s="7">
        <v>4.5007031410932541E-2</v>
      </c>
      <c r="CM44" s="8">
        <v>-0.71722602844238281</v>
      </c>
      <c r="CN44" s="8">
        <v>0.16216215491294861</v>
      </c>
      <c r="CO44" s="8">
        <v>0.38059702515602112</v>
      </c>
      <c r="CP44" s="8">
        <v>0.64420598745346069</v>
      </c>
      <c r="CQ44" s="8">
        <v>-0.11791689693927765</v>
      </c>
      <c r="CR44">
        <v>36.780485494954583</v>
      </c>
      <c r="CS44">
        <v>3.0452679387430117</v>
      </c>
      <c r="CT44">
        <v>3.1833616298811545</v>
      </c>
      <c r="CU44" s="7">
        <v>0.12077914401888848</v>
      </c>
      <c r="CV44" s="8">
        <v>7.0364448428153994E-2</v>
      </c>
      <c r="CW44">
        <v>0.06</v>
      </c>
      <c r="CX44">
        <v>55.195794752768187</v>
      </c>
      <c r="CY44">
        <v>64282393.539084867</v>
      </c>
      <c r="CZ44">
        <v>0.12077914401888848</v>
      </c>
      <c r="DA44">
        <v>17.575042009122896</v>
      </c>
      <c r="DB44">
        <v>201883887.28506222</v>
      </c>
      <c r="DC44">
        <v>0.11474018681794405</v>
      </c>
      <c r="DD44">
        <v>8.3531008869294396</v>
      </c>
      <c r="DE44">
        <v>424766544.54777831</v>
      </c>
      <c r="DF44">
        <v>0.10628564673662186</v>
      </c>
      <c r="DG44">
        <v>4.8186060366594754</v>
      </c>
      <c r="DH44">
        <v>736336976.50446475</v>
      </c>
      <c r="DI44">
        <v>9.6623315215110792E-2</v>
      </c>
      <c r="DJ44">
        <v>2.2746964412530795</v>
      </c>
      <c r="DK44">
        <v>1559820350.3784537</v>
      </c>
      <c r="DL44">
        <v>8.4545400813221927E-2</v>
      </c>
      <c r="DM44">
        <v>60796400</v>
      </c>
      <c r="DN44">
        <v>0.12077914401888848</v>
      </c>
      <c r="DO44">
        <v>3548117800</v>
      </c>
      <c r="DP44">
        <v>888004980</v>
      </c>
      <c r="DQ44">
        <v>3979</v>
      </c>
      <c r="DR44">
        <v>-0.5675876546571863</v>
      </c>
      <c r="DS44">
        <v>-0.70412087613899743</v>
      </c>
      <c r="DT44" s="9">
        <v>-0.24000000000000007</v>
      </c>
      <c r="DU44">
        <v>-0.25666666666666665</v>
      </c>
      <c r="DV44">
        <v>-0.4966666666666667</v>
      </c>
      <c r="DW44">
        <v>-2.1354000000000002</v>
      </c>
      <c r="DX44">
        <v>0.41630143540669834</v>
      </c>
      <c r="DY44">
        <v>-2.0319952143540672</v>
      </c>
      <c r="DZ44">
        <v>3112</v>
      </c>
      <c r="EA44">
        <v>-2.0125100661994964</v>
      </c>
      <c r="EB44">
        <v>2</v>
      </c>
      <c r="EC44">
        <v>2.4692882677933053E-2</v>
      </c>
      <c r="ED44">
        <v>0.10449738756531086</v>
      </c>
      <c r="EE44" s="10">
        <v>-3.0537999999999998</v>
      </c>
      <c r="EF44">
        <v>-3.0190999999999999</v>
      </c>
      <c r="EG44">
        <v>18.236301435406698</v>
      </c>
      <c r="EH44" t="s">
        <v>1386</v>
      </c>
      <c r="EI44">
        <v>0</v>
      </c>
      <c r="EJ44">
        <v>0</v>
      </c>
      <c r="EK44" s="11">
        <v>45470</v>
      </c>
      <c r="EL44">
        <v>-0.66</v>
      </c>
      <c r="EM44">
        <v>-3.3</v>
      </c>
      <c r="EN44">
        <v>1.82</v>
      </c>
      <c r="EO44">
        <v>3.13</v>
      </c>
      <c r="EP44">
        <v>-3.47</v>
      </c>
    </row>
    <row r="45" spans="1:146" ht="96" x14ac:dyDescent="0.25">
      <c r="A45" s="5"/>
      <c r="B45" s="5"/>
      <c r="C45" s="5" t="str">
        <f>""&amp;CHAR(10)&amp;Basic_Fundamental_Information_Constructure(F45)&amp;CHAR(10)&amp;Basic_Fundamental_Information_Concatenate("")</f>
        <v xml:space="preserve">
市值34.080464亿, 利润-6975.96万; PE21.31; 平均PE30.79; 平均PEG1.77, PB2.05; ROIC14.17%; ROE16.6533%; 股利率4.1859%; 毛利39.04%; 净利6.1667%; 上一年度营收增-91.59%, 利润增-150.55%; 当季营收增-88.91%, 利润增-127.25%; 过往5年营收增-17.39%, 利润增-17.52%
Income profile:
</v>
      </c>
      <c r="D45" t="s">
        <v>691</v>
      </c>
      <c r="E45" t="s">
        <v>692</v>
      </c>
      <c r="F45">
        <v>23.89</v>
      </c>
      <c r="G45">
        <v>-0.87</v>
      </c>
      <c r="H45" t="s">
        <v>2142</v>
      </c>
      <c r="I45">
        <v>3408046400</v>
      </c>
      <c r="J45">
        <v>21.31</v>
      </c>
      <c r="K45">
        <v>2.0499999999999998</v>
      </c>
      <c r="L45" t="s">
        <v>52</v>
      </c>
      <c r="M45" t="s">
        <v>717</v>
      </c>
      <c r="N45" t="s">
        <v>2143</v>
      </c>
      <c r="O45" t="s">
        <v>263</v>
      </c>
      <c r="P45">
        <v>-4.13</v>
      </c>
      <c r="Q45" t="s">
        <v>263</v>
      </c>
      <c r="R45">
        <v>-69759577</v>
      </c>
      <c r="S45" s="4">
        <v>-9.11E-2</v>
      </c>
      <c r="T45" t="s">
        <v>2144</v>
      </c>
      <c r="U45">
        <v>88085854</v>
      </c>
      <c r="V45">
        <v>142655770</v>
      </c>
      <c r="W45">
        <v>1.58</v>
      </c>
      <c r="X45">
        <v>0.08</v>
      </c>
      <c r="Y45">
        <v>-34.03</v>
      </c>
      <c r="Z45" t="s">
        <v>708</v>
      </c>
      <c r="AA45" t="s">
        <v>80</v>
      </c>
      <c r="AB45" t="s">
        <v>2145</v>
      </c>
      <c r="AC45" t="s">
        <v>2146</v>
      </c>
      <c r="AD45" t="s">
        <v>30</v>
      </c>
      <c r="AE45">
        <v>-452865</v>
      </c>
      <c r="AF45" t="s">
        <v>64</v>
      </c>
      <c r="AG45" t="s">
        <v>2147</v>
      </c>
      <c r="AH45" t="s">
        <v>2148</v>
      </c>
      <c r="AI45" t="s">
        <v>806</v>
      </c>
      <c r="AJ45" t="s">
        <v>2149</v>
      </c>
      <c r="AK45" t="s">
        <v>2150</v>
      </c>
      <c r="AL45" t="s">
        <v>2151</v>
      </c>
      <c r="AM45" t="s">
        <v>30</v>
      </c>
      <c r="AN45" t="s">
        <v>2152</v>
      </c>
      <c r="AO45" t="s">
        <v>2153</v>
      </c>
      <c r="AP45" t="s">
        <v>2154</v>
      </c>
      <c r="AQ45" t="s">
        <v>156</v>
      </c>
      <c r="AR45" t="s">
        <v>2155</v>
      </c>
      <c r="AS45" t="s">
        <v>2156</v>
      </c>
      <c r="AT45" t="s">
        <v>30</v>
      </c>
      <c r="AU45" t="s">
        <v>637</v>
      </c>
      <c r="AV45" t="s">
        <v>2157</v>
      </c>
      <c r="AW45" t="s">
        <v>2158</v>
      </c>
      <c r="AX45" t="s">
        <v>846</v>
      </c>
      <c r="AY45" t="s">
        <v>693</v>
      </c>
      <c r="AZ45" t="s">
        <v>694</v>
      </c>
      <c r="BA45" t="s">
        <v>695</v>
      </c>
      <c r="BB45" t="s">
        <v>696</v>
      </c>
      <c r="BC45" t="s">
        <v>698</v>
      </c>
      <c r="BD45" t="s">
        <v>632</v>
      </c>
      <c r="BE45" t="s">
        <v>677</v>
      </c>
      <c r="BF45" t="s">
        <v>167</v>
      </c>
      <c r="BG45" t="s">
        <v>697</v>
      </c>
      <c r="BH45" t="s">
        <v>2159</v>
      </c>
      <c r="BI45" t="s">
        <v>1061</v>
      </c>
      <c r="BJ45" t="s">
        <v>846</v>
      </c>
      <c r="BK45" t="s">
        <v>584</v>
      </c>
      <c r="BL45" t="s">
        <v>2160</v>
      </c>
      <c r="BM45" t="s">
        <v>698</v>
      </c>
      <c r="BN45">
        <v>12.77</v>
      </c>
      <c r="BO45">
        <v>10.39</v>
      </c>
      <c r="BP45">
        <v>19.350000000000001</v>
      </c>
      <c r="BQ45">
        <v>13.31</v>
      </c>
      <c r="BR45">
        <v>11.85</v>
      </c>
      <c r="BS45">
        <v>24.8</v>
      </c>
      <c r="BT45" t="s">
        <v>2161</v>
      </c>
      <c r="BU45" t="s">
        <v>1235</v>
      </c>
      <c r="BV45">
        <v>36.39</v>
      </c>
      <c r="BW45">
        <v>37.49</v>
      </c>
      <c r="BX45">
        <v>43.24</v>
      </c>
      <c r="BY45">
        <v>6.22</v>
      </c>
      <c r="BZ45">
        <v>5.58</v>
      </c>
      <c r="CA45">
        <v>6.7</v>
      </c>
      <c r="CB45">
        <v>-3.12</v>
      </c>
      <c r="CC45">
        <v>-14.4</v>
      </c>
      <c r="CD45" t="s">
        <v>2162</v>
      </c>
      <c r="CE45" t="s">
        <v>2163</v>
      </c>
      <c r="CF45" s="7">
        <v>-0.88906752411575563</v>
      </c>
      <c r="CG45" s="8">
        <v>-1.2724983476562499</v>
      </c>
      <c r="CH45" s="7">
        <v>-0.91592198610305786</v>
      </c>
      <c r="CI45" s="7">
        <v>-0.1486859917640686</v>
      </c>
      <c r="CJ45" s="7">
        <v>0.19454774260520935</v>
      </c>
      <c r="CK45" s="7">
        <v>-3.4304000437259674E-2</v>
      </c>
      <c r="CL45" s="7">
        <v>3.4667767584323883E-2</v>
      </c>
      <c r="CM45" s="8">
        <v>-1.5055043697357178</v>
      </c>
      <c r="CN45" s="8">
        <v>-0.28865978121757507</v>
      </c>
      <c r="CO45" s="8">
        <v>0.36619716882705688</v>
      </c>
      <c r="CP45" s="8">
        <v>-0.12883435189723969</v>
      </c>
      <c r="CQ45" s="8">
        <v>0.680672287940979</v>
      </c>
      <c r="CR45">
        <v>30.785149739832292</v>
      </c>
      <c r="CS45">
        <v>1.7698789674610234</v>
      </c>
      <c r="CT45">
        <v>4.1858518208455422</v>
      </c>
      <c r="CU45" s="7">
        <v>-0.17393929362297059</v>
      </c>
      <c r="CV45" s="8">
        <v>-0.17522580921649933</v>
      </c>
      <c r="CW45">
        <v>0.06</v>
      </c>
      <c r="CX45" t="e">
        <v>#VALUE!</v>
      </c>
      <c r="CY45" t="s">
        <v>661</v>
      </c>
      <c r="CZ45">
        <v>-0.17393929362297059</v>
      </c>
      <c r="DA45" t="e">
        <v>#VALUE!</v>
      </c>
      <c r="DB45" t="s">
        <v>656</v>
      </c>
      <c r="DC45">
        <v>-0.16524232894182206</v>
      </c>
      <c r="DD45" t="e">
        <v>#VALUE!</v>
      </c>
      <c r="DE45" t="s">
        <v>656</v>
      </c>
      <c r="DF45">
        <v>-0.15306657838821411</v>
      </c>
      <c r="DG45" t="e">
        <v>#VALUE!</v>
      </c>
      <c r="DH45" t="s">
        <v>656</v>
      </c>
      <c r="DI45">
        <v>-0.13915143489837647</v>
      </c>
      <c r="DJ45" t="e">
        <v>#VALUE!</v>
      </c>
      <c r="DK45" t="s">
        <v>656</v>
      </c>
      <c r="DL45">
        <v>-0.12175750553607941</v>
      </c>
      <c r="DM45">
        <v>-69759600</v>
      </c>
      <c r="DN45">
        <v>-0.17393929362297059</v>
      </c>
      <c r="DO45">
        <v>2296046400</v>
      </c>
      <c r="DP45">
        <v>408247320</v>
      </c>
      <c r="DQ45">
        <v>4035</v>
      </c>
      <c r="DR45">
        <v>-0.71512823049278507</v>
      </c>
      <c r="DS45">
        <v>-1.0972725384397506</v>
      </c>
      <c r="DT45" s="9">
        <v>-0.64</v>
      </c>
      <c r="DU45">
        <v>-1.4650000000000001</v>
      </c>
      <c r="DV45">
        <v>-2.105</v>
      </c>
      <c r="DW45">
        <v>-8.2166666666666668</v>
      </c>
      <c r="DX45">
        <v>0.51388658271991594</v>
      </c>
      <c r="DY45">
        <v>-8.0225087595893143</v>
      </c>
      <c r="DZ45">
        <v>501</v>
      </c>
      <c r="EA45">
        <v>-8.0203019320835907</v>
      </c>
      <c r="EB45">
        <v>8</v>
      </c>
      <c r="EC45">
        <v>1.470112284978028E-2</v>
      </c>
      <c r="ED45">
        <v>0.14151127570935265</v>
      </c>
      <c r="EE45" s="10">
        <v>-1.09741</v>
      </c>
      <c r="EF45">
        <v>-1.11531</v>
      </c>
      <c r="EG45">
        <v>41.103886582719916</v>
      </c>
      <c r="EH45" t="s">
        <v>803</v>
      </c>
      <c r="EI45">
        <v>0</v>
      </c>
      <c r="EJ45">
        <v>1</v>
      </c>
      <c r="EK45" s="11">
        <v>45470</v>
      </c>
      <c r="EL45">
        <v>2.2000000000000002</v>
      </c>
      <c r="EM45">
        <v>-6.51</v>
      </c>
      <c r="EN45">
        <v>-2.21</v>
      </c>
      <c r="EO45">
        <v>1.49</v>
      </c>
      <c r="EP45">
        <v>-1.79</v>
      </c>
    </row>
    <row r="46" spans="1:146" ht="96" x14ac:dyDescent="0.25">
      <c r="A46" s="5"/>
      <c r="B46" s="5"/>
      <c r="C46" s="5" t="str">
        <f>""&amp;CHAR(10)&amp;Basic_Fundamental_Information_Constructure(F46)&amp;CHAR(10)&amp;Basic_Fundamental_Information_Concatenate("")</f>
        <v xml:space="preserve">
市值1874.4784亿, 利润19.19亿; PE32.15; 平均PE36.39; 平均PEG6.87, PB6.21; ROIC21.5033%; ROE24.4067%; 股利率1.9579%; 毛利36.36%; 净利24.6233%; 上一年度营收增-69.96%, 利润增-69.04%; 当季营收增-40.66%, 利润增-38.02%; 过往5年营收增-5.3%, 利润增-5.94%
Income profile:
</v>
      </c>
      <c r="D46" t="s">
        <v>130</v>
      </c>
      <c r="E46" t="s">
        <v>665</v>
      </c>
      <c r="F46">
        <v>33.71</v>
      </c>
      <c r="G46">
        <v>-1.49</v>
      </c>
      <c r="H46" t="s">
        <v>2164</v>
      </c>
      <c r="I46">
        <v>187447840000</v>
      </c>
      <c r="J46">
        <v>32.15</v>
      </c>
      <c r="K46">
        <v>6.21</v>
      </c>
      <c r="L46" t="s">
        <v>52</v>
      </c>
      <c r="M46" t="s">
        <v>2165</v>
      </c>
      <c r="N46" t="s">
        <v>2166</v>
      </c>
      <c r="O46" t="s">
        <v>2167</v>
      </c>
      <c r="P46">
        <v>10.210000000000001</v>
      </c>
      <c r="Q46" t="s">
        <v>2167</v>
      </c>
      <c r="R46">
        <v>1918879900</v>
      </c>
      <c r="S46" s="4">
        <v>0.11849999999999999</v>
      </c>
      <c r="T46" t="s">
        <v>2168</v>
      </c>
      <c r="U46">
        <v>5560600500</v>
      </c>
      <c r="V46">
        <v>5560600500</v>
      </c>
      <c r="W46">
        <v>1.21</v>
      </c>
      <c r="X46">
        <v>0.2</v>
      </c>
      <c r="Y46">
        <v>25.06</v>
      </c>
      <c r="Z46" t="s">
        <v>2169</v>
      </c>
      <c r="AA46" t="s">
        <v>1071</v>
      </c>
      <c r="AB46" t="s">
        <v>506</v>
      </c>
      <c r="AC46" t="s">
        <v>189</v>
      </c>
      <c r="AD46" t="s">
        <v>30</v>
      </c>
      <c r="AE46">
        <v>-102087413</v>
      </c>
      <c r="AF46" t="s">
        <v>2170</v>
      </c>
      <c r="AG46" t="s">
        <v>2171</v>
      </c>
      <c r="AH46" t="s">
        <v>2172</v>
      </c>
      <c r="AI46" t="s">
        <v>2173</v>
      </c>
      <c r="AJ46" t="s">
        <v>2174</v>
      </c>
      <c r="AK46" t="s">
        <v>1694</v>
      </c>
      <c r="AL46" t="s">
        <v>2175</v>
      </c>
      <c r="AM46" t="s">
        <v>30</v>
      </c>
      <c r="AN46" t="s">
        <v>268</v>
      </c>
      <c r="AO46" t="s">
        <v>717</v>
      </c>
      <c r="AP46" t="s">
        <v>157</v>
      </c>
      <c r="AQ46" t="s">
        <v>2176</v>
      </c>
      <c r="AR46" t="s">
        <v>30</v>
      </c>
      <c r="AS46" t="s">
        <v>2177</v>
      </c>
      <c r="AT46" t="s">
        <v>2178</v>
      </c>
      <c r="AU46" t="s">
        <v>2179</v>
      </c>
      <c r="AV46" t="s">
        <v>2180</v>
      </c>
      <c r="AW46" t="s">
        <v>2181</v>
      </c>
      <c r="AX46" t="s">
        <v>847</v>
      </c>
      <c r="AY46" t="s">
        <v>626</v>
      </c>
      <c r="AZ46" t="s">
        <v>387</v>
      </c>
      <c r="BA46" t="s">
        <v>389</v>
      </c>
      <c r="BB46" t="s">
        <v>390</v>
      </c>
      <c r="BC46" t="s">
        <v>848</v>
      </c>
      <c r="BD46" t="s">
        <v>627</v>
      </c>
      <c r="BE46" t="s">
        <v>388</v>
      </c>
      <c r="BF46" t="s">
        <v>391</v>
      </c>
      <c r="BG46" t="s">
        <v>392</v>
      </c>
      <c r="BH46" t="s">
        <v>2182</v>
      </c>
      <c r="BI46" t="s">
        <v>1063</v>
      </c>
      <c r="BJ46" t="s">
        <v>847</v>
      </c>
      <c r="BK46" t="s">
        <v>2183</v>
      </c>
      <c r="BL46" t="s">
        <v>2184</v>
      </c>
      <c r="BM46" t="s">
        <v>848</v>
      </c>
      <c r="BN46">
        <v>14.44</v>
      </c>
      <c r="BO46">
        <v>22</v>
      </c>
      <c r="BP46">
        <v>28.07</v>
      </c>
      <c r="BQ46">
        <v>16.07</v>
      </c>
      <c r="BR46">
        <v>25.52</v>
      </c>
      <c r="BS46">
        <v>31.63</v>
      </c>
      <c r="BT46" t="s">
        <v>2185</v>
      </c>
      <c r="BU46" t="s">
        <v>542</v>
      </c>
      <c r="BV46">
        <v>34.74</v>
      </c>
      <c r="BW46">
        <v>35.68</v>
      </c>
      <c r="BX46">
        <v>38.659999999999997</v>
      </c>
      <c r="BY46">
        <v>22.97</v>
      </c>
      <c r="BZ46">
        <v>24.22</v>
      </c>
      <c r="CA46">
        <v>26.68</v>
      </c>
      <c r="CB46">
        <v>-2.2000000000000002</v>
      </c>
      <c r="CC46">
        <v>-7.47</v>
      </c>
      <c r="CD46" t="s">
        <v>2186</v>
      </c>
      <c r="CE46" t="s">
        <v>1012</v>
      </c>
      <c r="CF46" s="7">
        <v>-0.40660188184482493</v>
      </c>
      <c r="CG46" s="8">
        <v>-0.38020675064599485</v>
      </c>
      <c r="CH46" s="7">
        <v>-0.69957047700881958</v>
      </c>
      <c r="CI46" s="7">
        <v>2.4236168712377548E-2</v>
      </c>
      <c r="CJ46" s="7">
        <v>9.705159068107605E-2</v>
      </c>
      <c r="CK46" s="7">
        <v>0.15128551423549652</v>
      </c>
      <c r="CL46" s="7">
        <v>0.16220498085021973</v>
      </c>
      <c r="CM46" s="8">
        <v>-0.69038397073745728</v>
      </c>
      <c r="CN46" s="8">
        <v>-7.0903904736042023E-2</v>
      </c>
      <c r="CO46" s="8">
        <v>4.1855420917272568E-2</v>
      </c>
      <c r="CP46" s="8">
        <v>0.19615167379379272</v>
      </c>
      <c r="CQ46" s="8">
        <v>0.22634586691856384</v>
      </c>
      <c r="CR46">
        <v>36.387040667766669</v>
      </c>
      <c r="CS46">
        <v>6.8708665836460288</v>
      </c>
      <c r="CT46">
        <v>1.9578760011865914</v>
      </c>
      <c r="CU46" s="7">
        <v>-5.2958444505929944E-2</v>
      </c>
      <c r="CV46" s="8">
        <v>-5.9386982768774035E-2</v>
      </c>
      <c r="CW46">
        <v>0.06</v>
      </c>
      <c r="CX46">
        <v>86.573652944241786</v>
      </c>
      <c r="CY46" t="s">
        <v>2187</v>
      </c>
      <c r="CZ46">
        <v>-5.2958444505929944E-2</v>
      </c>
      <c r="DA46">
        <v>28.857884314747263</v>
      </c>
      <c r="DB46" t="s">
        <v>2188</v>
      </c>
      <c r="DC46">
        <v>-5.0310522280633443E-2</v>
      </c>
      <c r="DD46">
        <v>14.428942157373632</v>
      </c>
      <c r="DE46" t="s">
        <v>2189</v>
      </c>
      <c r="DF46">
        <v>-4.6603431165218354E-2</v>
      </c>
      <c r="DG46">
        <v>8.6573652944241797</v>
      </c>
      <c r="DH46" t="s">
        <v>2190</v>
      </c>
      <c r="DI46">
        <v>-4.2366755604743955E-2</v>
      </c>
      <c r="DJ46">
        <v>4.3286826472120898</v>
      </c>
      <c r="DK46" t="s">
        <v>2191</v>
      </c>
      <c r="DL46">
        <v>-3.7070911154150961E-2</v>
      </c>
      <c r="DM46">
        <v>1919000000.0000002</v>
      </c>
      <c r="DN46">
        <v>-5.2958444505929944E-2</v>
      </c>
      <c r="DO46">
        <v>166134840000</v>
      </c>
      <c r="DP46">
        <v>23413203000</v>
      </c>
      <c r="DQ46">
        <v>4062</v>
      </c>
      <c r="DR46">
        <v>-0.35364343733889497</v>
      </c>
      <c r="DS46">
        <v>-0.32081976787722083</v>
      </c>
      <c r="DT46" s="9">
        <v>-0.55666666666666675</v>
      </c>
      <c r="DU46">
        <v>-0.33666666666666667</v>
      </c>
      <c r="DV46">
        <v>-0.89333333333333342</v>
      </c>
      <c r="DW46">
        <v>-2.0747</v>
      </c>
      <c r="DX46">
        <v>0.46645465116279111</v>
      </c>
      <c r="DY46">
        <v>-2.0124341624418607</v>
      </c>
      <c r="DZ46">
        <v>1730</v>
      </c>
      <c r="EA46">
        <v>-2.0082245536308196</v>
      </c>
      <c r="EB46">
        <v>2</v>
      </c>
      <c r="EC46">
        <v>7.7231406931679413E-3</v>
      </c>
      <c r="ED46">
        <v>4.6397866561354299E-2</v>
      </c>
      <c r="EE46" s="10">
        <v>-1.00701</v>
      </c>
      <c r="EF46">
        <v>-1.00841</v>
      </c>
      <c r="EG46">
        <v>30.166454651162791</v>
      </c>
      <c r="EH46" t="s">
        <v>803</v>
      </c>
      <c r="EI46">
        <v>0</v>
      </c>
      <c r="EJ46">
        <v>0</v>
      </c>
      <c r="EK46" s="11">
        <v>45470</v>
      </c>
      <c r="EL46">
        <v>-0.92</v>
      </c>
      <c r="EM46">
        <v>3</v>
      </c>
      <c r="EN46">
        <v>-0.34</v>
      </c>
      <c r="EO46">
        <v>-0.94</v>
      </c>
      <c r="EP46">
        <v>-0.14000000000000001</v>
      </c>
    </row>
    <row r="47" spans="1:146" ht="96" x14ac:dyDescent="0.25">
      <c r="A47" s="5"/>
      <c r="B47" s="5"/>
      <c r="C47" s="5" t="str">
        <f>""&amp;CHAR(10)&amp;Basic_Fundamental_Information_Constructure(F47)&amp;CHAR(10)&amp;Basic_Fundamental_Information_Concatenate("")</f>
        <v xml:space="preserve">
市值118.011284亿, 利润1.76亿; PE23.4; 平均PE43.41; 平均PEG23.21, PB2.63; ROIC6.6567%; ROE7.1933%; 股利率3.6101%; 毛利34.7733%; 净利12.18%; 上一年度营收增-68.3%, 利润增-48.54%; 当季营收增-40.18%, 利润增-15.39%; 过往5年营收增1.87%, 利润增4.19%
Income profile:
</v>
      </c>
      <c r="D47" t="s">
        <v>132</v>
      </c>
      <c r="E47" t="s">
        <v>32</v>
      </c>
      <c r="F47">
        <v>11.08</v>
      </c>
      <c r="G47">
        <v>1.0900000000000001</v>
      </c>
      <c r="H47" t="s">
        <v>2192</v>
      </c>
      <c r="I47">
        <v>11801128400</v>
      </c>
      <c r="J47">
        <v>23.4</v>
      </c>
      <c r="K47">
        <v>2.63</v>
      </c>
      <c r="L47" t="s">
        <v>52</v>
      </c>
      <c r="M47" t="s">
        <v>973</v>
      </c>
      <c r="N47" t="s">
        <v>2193</v>
      </c>
      <c r="O47" t="s">
        <v>1008</v>
      </c>
      <c r="P47">
        <v>11.34</v>
      </c>
      <c r="Q47" t="s">
        <v>1008</v>
      </c>
      <c r="R47">
        <v>175982010</v>
      </c>
      <c r="S47" s="4">
        <v>0.372</v>
      </c>
      <c r="T47" t="s">
        <v>127</v>
      </c>
      <c r="U47">
        <v>1063826170</v>
      </c>
      <c r="V47">
        <v>1065083790</v>
      </c>
      <c r="W47">
        <v>1.19</v>
      </c>
      <c r="X47">
        <v>0.16</v>
      </c>
      <c r="Y47">
        <v>20.9</v>
      </c>
      <c r="Z47" t="s">
        <v>758</v>
      </c>
      <c r="AA47" t="s">
        <v>1022</v>
      </c>
      <c r="AB47" t="s">
        <v>583</v>
      </c>
      <c r="AC47" t="s">
        <v>2194</v>
      </c>
      <c r="AD47" t="s">
        <v>30</v>
      </c>
      <c r="AE47">
        <v>-2283815</v>
      </c>
      <c r="AF47" t="s">
        <v>2195</v>
      </c>
      <c r="AG47" t="s">
        <v>2196</v>
      </c>
      <c r="AH47" t="s">
        <v>2197</v>
      </c>
      <c r="AI47" t="s">
        <v>2198</v>
      </c>
      <c r="AJ47" t="s">
        <v>2199</v>
      </c>
      <c r="AK47" t="s">
        <v>30</v>
      </c>
      <c r="AL47" t="s">
        <v>2200</v>
      </c>
      <c r="AM47" t="s">
        <v>30</v>
      </c>
      <c r="AN47" t="s">
        <v>2201</v>
      </c>
      <c r="AO47" t="s">
        <v>30</v>
      </c>
      <c r="AP47" t="s">
        <v>2202</v>
      </c>
      <c r="AQ47" t="s">
        <v>1761</v>
      </c>
      <c r="AR47" t="s">
        <v>2203</v>
      </c>
      <c r="AS47" t="s">
        <v>1502</v>
      </c>
      <c r="AT47" t="s">
        <v>30</v>
      </c>
      <c r="AU47" t="s">
        <v>284</v>
      </c>
      <c r="AV47" t="s">
        <v>1031</v>
      </c>
      <c r="AW47" t="s">
        <v>2204</v>
      </c>
      <c r="AX47" t="s">
        <v>850</v>
      </c>
      <c r="AY47" t="s">
        <v>628</v>
      </c>
      <c r="AZ47" t="s">
        <v>393</v>
      </c>
      <c r="BA47" t="s">
        <v>395</v>
      </c>
      <c r="BB47" t="s">
        <v>396</v>
      </c>
      <c r="BC47" t="s">
        <v>371</v>
      </c>
      <c r="BD47" t="s">
        <v>153</v>
      </c>
      <c r="BE47" t="s">
        <v>246</v>
      </c>
      <c r="BF47" t="s">
        <v>217</v>
      </c>
      <c r="BG47" t="s">
        <v>155</v>
      </c>
      <c r="BH47" t="s">
        <v>2205</v>
      </c>
      <c r="BI47" t="s">
        <v>1068</v>
      </c>
      <c r="BJ47" t="s">
        <v>850</v>
      </c>
      <c r="BK47" t="s">
        <v>861</v>
      </c>
      <c r="BL47" t="s">
        <v>598</v>
      </c>
      <c r="BM47" t="s">
        <v>371</v>
      </c>
      <c r="BN47">
        <v>7.55</v>
      </c>
      <c r="BO47">
        <v>8.31</v>
      </c>
      <c r="BP47">
        <v>4.1100000000000003</v>
      </c>
      <c r="BQ47">
        <v>7.9</v>
      </c>
      <c r="BR47">
        <v>8.76</v>
      </c>
      <c r="BS47">
        <v>4.92</v>
      </c>
      <c r="BT47" t="s">
        <v>746</v>
      </c>
      <c r="BU47" t="s">
        <v>542</v>
      </c>
      <c r="BV47">
        <v>37.880000000000003</v>
      </c>
      <c r="BW47">
        <v>34.22</v>
      </c>
      <c r="BX47">
        <v>32.22</v>
      </c>
      <c r="BY47">
        <v>14.78</v>
      </c>
      <c r="BZ47">
        <v>12.66</v>
      </c>
      <c r="CA47">
        <v>9.1</v>
      </c>
      <c r="CB47">
        <v>-2.89</v>
      </c>
      <c r="CC47">
        <v>-16.82</v>
      </c>
      <c r="CD47" t="s">
        <v>2206</v>
      </c>
      <c r="CE47" t="s">
        <v>137</v>
      </c>
      <c r="CF47" s="7">
        <v>-0.40182328190743344</v>
      </c>
      <c r="CG47" s="8">
        <v>-0.15393264423076924</v>
      </c>
      <c r="CH47" s="7">
        <v>-0.68301749229431152</v>
      </c>
      <c r="CI47" s="7">
        <v>0.32823300361633301</v>
      </c>
      <c r="CJ47" s="7">
        <v>-0.14334036409854889</v>
      </c>
      <c r="CK47" s="7">
        <v>0.3694266676902771</v>
      </c>
      <c r="CL47" s="7">
        <v>0.22222232818603516</v>
      </c>
      <c r="CM47" s="8">
        <v>-0.48538011312484741</v>
      </c>
      <c r="CN47" s="8">
        <v>0.84864866733551025</v>
      </c>
      <c r="CO47" s="8">
        <v>-0.49175822734832764</v>
      </c>
      <c r="CP47" s="8">
        <v>0.22558923065662384</v>
      </c>
      <c r="CQ47" s="8">
        <v>0.11235955357551575</v>
      </c>
      <c r="CR47">
        <v>43.413102636419374</v>
      </c>
      <c r="CS47">
        <v>23.209569848771618</v>
      </c>
      <c r="CT47">
        <v>3.6101083032490973</v>
      </c>
      <c r="CU47" s="7">
        <v>1.8704828619956971E-2</v>
      </c>
      <c r="CV47" s="8">
        <v>4.189182221889496E-2</v>
      </c>
      <c r="CW47">
        <v>0.06</v>
      </c>
      <c r="CX47">
        <v>47.960052393913159</v>
      </c>
      <c r="CY47">
        <v>169143443.24255887</v>
      </c>
      <c r="CZ47">
        <v>1.8704828619956971E-2</v>
      </c>
      <c r="DA47">
        <v>16.656143083033577</v>
      </c>
      <c r="DB47">
        <v>487035225.35557747</v>
      </c>
      <c r="DC47">
        <v>1.7769587188959123E-2</v>
      </c>
      <c r="DD47">
        <v>8.8738372316185199</v>
      </c>
      <c r="DE47">
        <v>914162406.66388798</v>
      </c>
      <c r="DF47">
        <v>1.6460249185562135E-2</v>
      </c>
      <c r="DG47">
        <v>5.8070391738837088</v>
      </c>
      <c r="DH47">
        <v>1396947421.4128063</v>
      </c>
      <c r="DI47">
        <v>1.4963862895965577E-2</v>
      </c>
      <c r="DJ47">
        <v>3.5833861450256088</v>
      </c>
      <c r="DK47">
        <v>2263816421.5880303</v>
      </c>
      <c r="DL47">
        <v>1.3093380033969879E-2</v>
      </c>
      <c r="DM47">
        <v>176000000</v>
      </c>
      <c r="DN47">
        <v>1.8704828619956971E-2</v>
      </c>
      <c r="DO47">
        <v>8112128400</v>
      </c>
      <c r="DP47">
        <v>2682777900</v>
      </c>
      <c r="DQ47">
        <v>4083</v>
      </c>
      <c r="DR47">
        <v>-0.42052811052739042</v>
      </c>
      <c r="DS47">
        <v>-0.1958244664496642</v>
      </c>
      <c r="DT47" s="9">
        <v>-0.40666666666666673</v>
      </c>
      <c r="DU47">
        <v>-0.10333333333333335</v>
      </c>
      <c r="DV47">
        <v>-0.51000000000000012</v>
      </c>
      <c r="DW47">
        <v>-8.1718192627824013</v>
      </c>
      <c r="DX47">
        <v>0.43746521739130473</v>
      </c>
      <c r="DY47">
        <v>-8.0304919428216923</v>
      </c>
      <c r="DZ47">
        <v>388</v>
      </c>
      <c r="EA47">
        <v>-8.028176703327599</v>
      </c>
      <c r="EB47">
        <v>8</v>
      </c>
      <c r="EC47">
        <v>1.9161403254480101E-2</v>
      </c>
      <c r="ED47">
        <v>0.10797272578901983</v>
      </c>
      <c r="EE47" s="10">
        <v>-4.0101000000000004</v>
      </c>
      <c r="EF47">
        <v>-4.02081</v>
      </c>
      <c r="EG47">
        <v>26.177465217391305</v>
      </c>
      <c r="EH47" t="s">
        <v>1488</v>
      </c>
      <c r="EI47">
        <v>0</v>
      </c>
      <c r="EJ47">
        <v>1</v>
      </c>
      <c r="EK47" s="11">
        <v>45470</v>
      </c>
      <c r="EL47">
        <v>0.33</v>
      </c>
      <c r="EM47">
        <v>-2.82</v>
      </c>
      <c r="EN47">
        <v>0.43</v>
      </c>
      <c r="EO47">
        <v>2.04</v>
      </c>
      <c r="EP47">
        <v>-3.09</v>
      </c>
    </row>
    <row r="48" spans="1:146" ht="202" customHeight="1" x14ac:dyDescent="0.25">
      <c r="A48" s="5" t="s">
        <v>544</v>
      </c>
      <c r="B48" s="5" t="s">
        <v>545</v>
      </c>
      <c r="C48" s="5" t="str">
        <f>"公司主要从事速冻火锅料制品（以速冻鱼糜制品、速冻肉制品为主）和速冻面米制品等速冻食品的研发、生产和销售。公司主要经营“安井”品牌速冻食品，包括：爆汁小鱼丸、蟹排、鱼排等速冻鱼糜制品；霞迷饺、迷你燕饺、贡丸、撒尿肉丸等速冻肉制品；手抓饼、紫薯包、红糖馒头等速冻面米制品。"&amp;CHAR(10)&amp;Basic_Fundamental_Information_Constructure(F48)&amp;CHAR(10)&amp;Basic_Fundamental_Information_Concatenate("鱼糜制品 23.15亿 37.97%
肉制品 14.21亿 23.31%
面米制品 14.07亿 23.08%
菜肴制品 9.18亿 15.06% ")</f>
        <v xml:space="preserve">公司主要从事速冻火锅料制品（以速冻鱼糜制品、速冻肉制品为主）和速冻面米制品等速冻食品的研发、生产和销售。公司主要经营“安井”品牌速冻食品，包括：爆汁小鱼丸、蟹排、鱼排等速冻鱼糜制品；霞迷饺、迷你燕饺、贡丸、撒尿肉丸等速冻肉制品；手抓饼、紫薯包、红糖馒头等速冻面米制品。
市值214.13412亿, 利润4.38亿; PE13.77; 平均PE37.05; 平均PEG3.61, PB1.64; ROIC11.2567%; ROE11.5667%; 股利率2.4312%; 毛利22.43%; 净利9.09%; 上一年度营收增-69.18%, 利润增-60.22%; 当季营收增-45.53%, 利润增-40.35%; 过往5年营收增10.25%, 利润增22.84%
Income profile:
鱼糜制品 23.15亿 37.97%
肉制品 14.21亿 23.31%
面米制品 14.07亿 23.08%
菜肴制品 9.18亿 15.06% </v>
      </c>
      <c r="D48" t="s">
        <v>133</v>
      </c>
      <c r="E48" t="s">
        <v>22</v>
      </c>
      <c r="F48">
        <v>73.010000000000005</v>
      </c>
      <c r="G48">
        <v>0.66</v>
      </c>
      <c r="H48" t="s">
        <v>2207</v>
      </c>
      <c r="I48">
        <v>21413412000</v>
      </c>
      <c r="J48">
        <v>13.77</v>
      </c>
      <c r="K48">
        <v>1.64</v>
      </c>
      <c r="L48" t="s">
        <v>52</v>
      </c>
      <c r="M48" t="s">
        <v>2208</v>
      </c>
      <c r="N48" t="s">
        <v>2209</v>
      </c>
      <c r="O48" t="s">
        <v>2210</v>
      </c>
      <c r="P48">
        <v>17.670000000000002</v>
      </c>
      <c r="Q48" t="s">
        <v>2210</v>
      </c>
      <c r="R48">
        <v>438407730</v>
      </c>
      <c r="S48" s="4">
        <v>0.21240000000000001</v>
      </c>
      <c r="T48" t="s">
        <v>1277</v>
      </c>
      <c r="U48">
        <v>293294230</v>
      </c>
      <c r="V48">
        <v>293294230</v>
      </c>
      <c r="W48">
        <v>1.3</v>
      </c>
      <c r="X48">
        <v>0.22</v>
      </c>
      <c r="Y48">
        <v>11.75</v>
      </c>
      <c r="Z48" t="s">
        <v>2211</v>
      </c>
      <c r="AA48" t="s">
        <v>2212</v>
      </c>
      <c r="AB48" t="s">
        <v>183</v>
      </c>
      <c r="AC48" t="s">
        <v>558</v>
      </c>
      <c r="AD48" t="s">
        <v>30</v>
      </c>
      <c r="AE48">
        <v>-17930975</v>
      </c>
      <c r="AF48" t="s">
        <v>2213</v>
      </c>
      <c r="AG48" t="s">
        <v>2214</v>
      </c>
      <c r="AH48" t="s">
        <v>2215</v>
      </c>
      <c r="AI48" t="s">
        <v>2216</v>
      </c>
      <c r="AJ48" t="s">
        <v>2217</v>
      </c>
      <c r="AK48" t="s">
        <v>30</v>
      </c>
      <c r="AL48" t="s">
        <v>2218</v>
      </c>
      <c r="AM48" t="s">
        <v>30</v>
      </c>
      <c r="AN48" t="s">
        <v>2219</v>
      </c>
      <c r="AO48" t="s">
        <v>276</v>
      </c>
      <c r="AP48" t="s">
        <v>215</v>
      </c>
      <c r="AQ48" t="s">
        <v>2220</v>
      </c>
      <c r="AR48" t="s">
        <v>30</v>
      </c>
      <c r="AS48" t="s">
        <v>430</v>
      </c>
      <c r="AT48" t="s">
        <v>2221</v>
      </c>
      <c r="AU48" t="s">
        <v>2222</v>
      </c>
      <c r="AV48" t="s">
        <v>2223</v>
      </c>
      <c r="AW48" t="s">
        <v>2224</v>
      </c>
      <c r="AX48" t="s">
        <v>851</v>
      </c>
      <c r="AY48" t="s">
        <v>629</v>
      </c>
      <c r="AZ48" t="s">
        <v>397</v>
      </c>
      <c r="BA48" t="s">
        <v>398</v>
      </c>
      <c r="BB48" t="s">
        <v>399</v>
      </c>
      <c r="BC48" t="s">
        <v>288</v>
      </c>
      <c r="BD48" t="s">
        <v>578</v>
      </c>
      <c r="BE48" t="s">
        <v>343</v>
      </c>
      <c r="BF48" t="s">
        <v>134</v>
      </c>
      <c r="BG48" t="s">
        <v>71</v>
      </c>
      <c r="BH48" t="s">
        <v>2225</v>
      </c>
      <c r="BI48" t="s">
        <v>1070</v>
      </c>
      <c r="BJ48" t="s">
        <v>851</v>
      </c>
      <c r="BK48" t="s">
        <v>268</v>
      </c>
      <c r="BL48" t="s">
        <v>2226</v>
      </c>
      <c r="BM48" t="s">
        <v>288</v>
      </c>
      <c r="BN48">
        <v>8.52</v>
      </c>
      <c r="BO48">
        <v>11.78</v>
      </c>
      <c r="BP48">
        <v>13.47</v>
      </c>
      <c r="BQ48">
        <v>9.32</v>
      </c>
      <c r="BR48">
        <v>10.72</v>
      </c>
      <c r="BS48">
        <v>14.66</v>
      </c>
      <c r="BT48" t="s">
        <v>2227</v>
      </c>
      <c r="BU48" t="s">
        <v>1235</v>
      </c>
      <c r="BV48">
        <v>23.21</v>
      </c>
      <c r="BW48">
        <v>21.96</v>
      </c>
      <c r="BX48">
        <v>22.12</v>
      </c>
      <c r="BY48">
        <v>10.69</v>
      </c>
      <c r="BZ48">
        <v>9.17</v>
      </c>
      <c r="CA48">
        <v>7.41</v>
      </c>
      <c r="CB48">
        <v>-1.75</v>
      </c>
      <c r="CC48">
        <v>-22.74</v>
      </c>
      <c r="CD48" t="s">
        <v>2228</v>
      </c>
      <c r="CE48" t="s">
        <v>394</v>
      </c>
      <c r="CF48" s="7">
        <v>-0.45532346968378307</v>
      </c>
      <c r="CG48" s="8">
        <v>-0.40352689795918367</v>
      </c>
      <c r="CH48" s="7">
        <v>-0.69178366661071777</v>
      </c>
      <c r="CI48" s="7">
        <v>0.31395593285560608</v>
      </c>
      <c r="CJ48" s="7">
        <v>0.33122760057449341</v>
      </c>
      <c r="CK48" s="7">
        <v>0.32238474488258362</v>
      </c>
      <c r="CL48" s="7">
        <v>0.23667521774768829</v>
      </c>
      <c r="CM48" s="8">
        <v>-0.60217982530593872</v>
      </c>
      <c r="CN48" s="8">
        <v>0.61436939239501953</v>
      </c>
      <c r="CO48" s="8">
        <v>0.12913906574249268</v>
      </c>
      <c r="CP48" s="8">
        <v>0.61930292844772339</v>
      </c>
      <c r="CQ48" s="8">
        <v>0.38148146867752075</v>
      </c>
      <c r="CR48">
        <v>37.047425605536333</v>
      </c>
      <c r="CS48">
        <v>3.6146663090961395</v>
      </c>
      <c r="CT48">
        <v>2.4311738118066017</v>
      </c>
      <c r="CU48" s="7">
        <v>0.10249196588993073</v>
      </c>
      <c r="CV48" s="8">
        <v>0.22842260599136352</v>
      </c>
      <c r="CW48">
        <v>0.06</v>
      </c>
      <c r="CX48">
        <v>27.400269499394518</v>
      </c>
      <c r="CY48">
        <v>455558000.99980158</v>
      </c>
      <c r="CZ48">
        <v>0.10249196588993073</v>
      </c>
      <c r="DA48">
        <v>8.8600679790731576</v>
      </c>
      <c r="DB48">
        <v>1408839303.4322715</v>
      </c>
      <c r="DC48">
        <v>9.7367367595434184E-2</v>
      </c>
      <c r="DD48">
        <v>4.3001385374221952</v>
      </c>
      <c r="DE48">
        <v>2902792989.42839</v>
      </c>
      <c r="DF48">
        <v>9.0192929983139047E-2</v>
      </c>
      <c r="DG48">
        <v>2.5410642729379744</v>
      </c>
      <c r="DH48">
        <v>4912277163.9175644</v>
      </c>
      <c r="DI48">
        <v>8.1993572711944587E-2</v>
      </c>
      <c r="DJ48">
        <v>1.2666948424258531</v>
      </c>
      <c r="DK48">
        <v>9854316589.8543301</v>
      </c>
      <c r="DL48">
        <v>7.1744376122951509E-2</v>
      </c>
      <c r="DM48">
        <v>438000000</v>
      </c>
      <c r="DN48">
        <v>0.10249196588993073</v>
      </c>
      <c r="DO48">
        <v>12482412000</v>
      </c>
      <c r="DP48">
        <v>6801114100</v>
      </c>
      <c r="DQ48">
        <v>4107</v>
      </c>
      <c r="DR48">
        <v>-0.55781543557371382</v>
      </c>
      <c r="DS48">
        <v>-0.63194950395054716</v>
      </c>
      <c r="DT48" s="9">
        <v>-0.27333333333333343</v>
      </c>
      <c r="DU48">
        <v>7.999999999999996E-2</v>
      </c>
      <c r="DV48">
        <v>-0.19333333333333347</v>
      </c>
      <c r="DW48">
        <v>-3.0762261904761905</v>
      </c>
      <c r="DX48">
        <v>0.31528560000000155</v>
      </c>
      <c r="DY48">
        <v>-3.009550044009524</v>
      </c>
      <c r="DZ48">
        <v>109</v>
      </c>
      <c r="EA48">
        <v>-3.0093463346558962</v>
      </c>
      <c r="EB48">
        <v>3</v>
      </c>
      <c r="EC48">
        <v>5.3395868033271572E-2</v>
      </c>
      <c r="ED48">
        <v>0.426193178092866</v>
      </c>
      <c r="EE48" s="10">
        <v>-2.0606100000000001</v>
      </c>
      <c r="EF48">
        <v>-2.0512100000000002</v>
      </c>
      <c r="EG48">
        <v>19.125285600000002</v>
      </c>
      <c r="EH48" t="s">
        <v>1067</v>
      </c>
      <c r="EI48">
        <v>0</v>
      </c>
      <c r="EJ48">
        <v>1</v>
      </c>
      <c r="EK48" s="11">
        <v>45470</v>
      </c>
      <c r="EL48">
        <v>-0.32</v>
      </c>
      <c r="EM48">
        <v>-2.35</v>
      </c>
      <c r="EN48">
        <v>0.59</v>
      </c>
      <c r="EO48">
        <v>1.76</v>
      </c>
      <c r="EP48">
        <v>0.94</v>
      </c>
    </row>
    <row r="49" spans="1:146" ht="180" x14ac:dyDescent="0.25">
      <c r="A49" s="5" t="s">
        <v>550</v>
      </c>
      <c r="B49" s="5"/>
      <c r="C49" s="5" t="str">
        <f>"公司主营业务为休闲卤制食品的开发、生产和销售。公司休闲卤制食品主要分为两类：一类是以鸭、鸡、猪等禽畜为原料的休闲卤制肉制品；另一类是以毛豆、萝卜、花生等为原料的休闲卤制素食品。"&amp;CHAR(10)&amp;Basic_Fundamental_Information_Constructure(F49)&amp;CHAR(10)&amp;Basic_Fundamental_Information_Concatenate("鲜货类产品 43.18亿 89.10%
其他 2.45亿 5.06%
其他业务 1.35亿 2.79%
包装产品 9811.79万 2.02%
加盟商管理 4914.38万 1.01%")</f>
        <v>公司主营业务为休闲卤制食品的开发、生产和销售。公司休闲卤制食品主要分为两类：一类是以鸭、鸡、猪等禽畜为原料的休闲卤制肉制品；另一类是以毛豆、萝卜、花生等为原料的休闲卤制素食品。
市值91.438974亿, 利润1.65亿; PE24.59; 平均PE15.57; 平均PEG2.71, PB1.32; ROIC8.3967%; ROE9.3267%; 股利率3.3898%; 毛利27.34%; 净利7.3567%; 上一年度营收增-74.41%, 利润增-29.79%; 当季营收增-54.19%, 利润增-31.81%; 过往5年营收增-5.75%, 利润增-10.68%
Income profile:
鲜货类产品 43.18亿 89.10%
其他 2.45亿 5.06%
其他业务 1.35亿 2.79%
包装产品 9811.79万 2.02%
加盟商管理 4914.38万 1.01%</v>
      </c>
      <c r="D49" t="s">
        <v>135</v>
      </c>
      <c r="E49" t="s">
        <v>26</v>
      </c>
      <c r="F49">
        <v>14.75</v>
      </c>
      <c r="G49">
        <v>0.27</v>
      </c>
      <c r="H49" t="s">
        <v>2229</v>
      </c>
      <c r="I49">
        <v>9143897400</v>
      </c>
      <c r="J49">
        <v>24.59</v>
      </c>
      <c r="K49">
        <v>1.32</v>
      </c>
      <c r="L49" t="s">
        <v>52</v>
      </c>
      <c r="M49" t="s">
        <v>2230</v>
      </c>
      <c r="N49" t="s">
        <v>2231</v>
      </c>
      <c r="O49" t="s">
        <v>2232</v>
      </c>
      <c r="P49">
        <v>-7.04</v>
      </c>
      <c r="Q49" t="s">
        <v>2232</v>
      </c>
      <c r="R49">
        <v>165014630</v>
      </c>
      <c r="S49" s="4">
        <v>0.20019999999999999</v>
      </c>
      <c r="T49" t="s">
        <v>819</v>
      </c>
      <c r="U49">
        <v>619925250</v>
      </c>
      <c r="V49">
        <v>619925250</v>
      </c>
      <c r="W49">
        <v>1.37</v>
      </c>
      <c r="X49">
        <v>0.18</v>
      </c>
      <c r="Y49">
        <v>9.4</v>
      </c>
      <c r="Z49" t="s">
        <v>2233</v>
      </c>
      <c r="AA49" t="s">
        <v>2234</v>
      </c>
      <c r="AB49" t="s">
        <v>369</v>
      </c>
      <c r="AC49" t="s">
        <v>1000</v>
      </c>
      <c r="AD49" t="s">
        <v>30</v>
      </c>
      <c r="AE49">
        <v>8320301</v>
      </c>
      <c r="AF49" t="s">
        <v>2235</v>
      </c>
      <c r="AG49" t="s">
        <v>2236</v>
      </c>
      <c r="AH49" t="s">
        <v>2237</v>
      </c>
      <c r="AI49" t="s">
        <v>2238</v>
      </c>
      <c r="AJ49" t="s">
        <v>2239</v>
      </c>
      <c r="AK49" t="s">
        <v>30</v>
      </c>
      <c r="AL49" t="s">
        <v>2240</v>
      </c>
      <c r="AM49" t="s">
        <v>30</v>
      </c>
      <c r="AN49" t="s">
        <v>1016</v>
      </c>
      <c r="AO49" t="s">
        <v>2241</v>
      </c>
      <c r="AP49" t="s">
        <v>30</v>
      </c>
      <c r="AQ49" t="s">
        <v>2242</v>
      </c>
      <c r="AR49" t="s">
        <v>30</v>
      </c>
      <c r="AS49" t="s">
        <v>2243</v>
      </c>
      <c r="AT49" t="s">
        <v>30</v>
      </c>
      <c r="AU49" t="s">
        <v>963</v>
      </c>
      <c r="AV49" t="s">
        <v>2244</v>
      </c>
      <c r="AW49" t="s">
        <v>2245</v>
      </c>
      <c r="AX49" t="s">
        <v>852</v>
      </c>
      <c r="AY49" t="s">
        <v>630</v>
      </c>
      <c r="AZ49" t="s">
        <v>400</v>
      </c>
      <c r="BA49" t="s">
        <v>402</v>
      </c>
      <c r="BB49" t="s">
        <v>403</v>
      </c>
      <c r="BC49" t="s">
        <v>713</v>
      </c>
      <c r="BD49" t="s">
        <v>590</v>
      </c>
      <c r="BE49" t="s">
        <v>401</v>
      </c>
      <c r="BF49" t="s">
        <v>321</v>
      </c>
      <c r="BG49" t="s">
        <v>404</v>
      </c>
      <c r="BH49" t="s">
        <v>2246</v>
      </c>
      <c r="BI49" t="s">
        <v>1074</v>
      </c>
      <c r="BJ49" t="s">
        <v>852</v>
      </c>
      <c r="BK49" t="s">
        <v>419</v>
      </c>
      <c r="BL49" t="s">
        <v>300</v>
      </c>
      <c r="BM49" t="s">
        <v>713</v>
      </c>
      <c r="BN49">
        <v>4.8899999999999997</v>
      </c>
      <c r="BO49">
        <v>2.91</v>
      </c>
      <c r="BP49">
        <v>17.39</v>
      </c>
      <c r="BQ49">
        <v>5.47</v>
      </c>
      <c r="BR49">
        <v>4.05</v>
      </c>
      <c r="BS49">
        <v>18.46</v>
      </c>
      <c r="BT49" t="s">
        <v>745</v>
      </c>
      <c r="BU49" t="s">
        <v>524</v>
      </c>
      <c r="BV49">
        <v>24.77</v>
      </c>
      <c r="BW49">
        <v>25.57</v>
      </c>
      <c r="BX49">
        <v>31.68</v>
      </c>
      <c r="BY49">
        <v>4.37</v>
      </c>
      <c r="BZ49">
        <v>2.93</v>
      </c>
      <c r="CA49">
        <v>14.77</v>
      </c>
      <c r="CB49">
        <v>-4.22</v>
      </c>
      <c r="CC49">
        <v>-24.24</v>
      </c>
      <c r="CD49" t="s">
        <v>2247</v>
      </c>
      <c r="CE49" t="s">
        <v>773</v>
      </c>
      <c r="CF49" s="7">
        <v>-0.54189189189189191</v>
      </c>
      <c r="CG49" s="8">
        <v>-0.31812136363636362</v>
      </c>
      <c r="CH49" s="7">
        <v>-0.74407368898391724</v>
      </c>
      <c r="CI49" s="7">
        <v>1.1299415491521358E-2</v>
      </c>
      <c r="CJ49" s="7">
        <v>0.24128125607967377</v>
      </c>
      <c r="CK49" s="7">
        <v>2.0108375698328018E-2</v>
      </c>
      <c r="CL49" s="7">
        <v>0.18406587839126587</v>
      </c>
      <c r="CM49" s="8">
        <v>-0.29787233471870422</v>
      </c>
      <c r="CN49" s="8">
        <v>-0.76044851541519165</v>
      </c>
      <c r="CO49" s="8">
        <v>0.39942938089370728</v>
      </c>
      <c r="CP49" s="8">
        <v>-0.12484394758939743</v>
      </c>
      <c r="CQ49" s="8">
        <v>0.24960997700691223</v>
      </c>
      <c r="CR49">
        <v>15.568497275822928</v>
      </c>
      <c r="CS49">
        <v>2.7092726377765448</v>
      </c>
      <c r="CT49">
        <v>3.3898305084745761</v>
      </c>
      <c r="CU49" s="7">
        <v>-5.7463752664625646E-2</v>
      </c>
      <c r="CV49" s="8">
        <v>-0.10682508796453476</v>
      </c>
      <c r="CW49">
        <v>0.06</v>
      </c>
      <c r="CX49">
        <v>28.556953939393935</v>
      </c>
      <c r="CY49" t="s">
        <v>2248</v>
      </c>
      <c r="CZ49">
        <v>-5.7463752664625646E-2</v>
      </c>
      <c r="DA49">
        <v>9.518984646464645</v>
      </c>
      <c r="DB49" t="s">
        <v>2249</v>
      </c>
      <c r="DC49">
        <v>-5.459056503139436E-2</v>
      </c>
      <c r="DD49">
        <v>4.7594923232323225</v>
      </c>
      <c r="DE49" t="s">
        <v>2250</v>
      </c>
      <c r="DF49">
        <v>-5.0568102344870566E-2</v>
      </c>
      <c r="DG49">
        <v>2.8556953939393934</v>
      </c>
      <c r="DH49" t="s">
        <v>2251</v>
      </c>
      <c r="DI49">
        <v>-4.5971002131700522E-2</v>
      </c>
      <c r="DJ49">
        <v>1.4278476969696967</v>
      </c>
      <c r="DK49" t="s">
        <v>2252</v>
      </c>
      <c r="DL49">
        <v>-4.022462686523795E-2</v>
      </c>
      <c r="DM49">
        <v>165000000</v>
      </c>
      <c r="DN49">
        <v>-5.7463752664625646E-2</v>
      </c>
      <c r="DO49">
        <v>4711897399.999999</v>
      </c>
      <c r="DP49">
        <v>773154300</v>
      </c>
      <c r="DQ49">
        <v>4167</v>
      </c>
      <c r="DR49">
        <v>-0.48442813922726624</v>
      </c>
      <c r="DS49">
        <v>-0.21129627567182885</v>
      </c>
      <c r="DT49" s="9">
        <v>-0.54</v>
      </c>
      <c r="DU49">
        <v>-0.45333333333333337</v>
      </c>
      <c r="DV49">
        <v>-0.9933333333333334</v>
      </c>
      <c r="DW49">
        <v>-8.1740924092409237</v>
      </c>
      <c r="DX49">
        <v>0.39742508960573586</v>
      </c>
      <c r="DY49">
        <v>-8.0291474372168405</v>
      </c>
      <c r="DZ49">
        <v>2877</v>
      </c>
      <c r="EA49">
        <v>-8.0127370307837982</v>
      </c>
      <c r="EB49">
        <v>8</v>
      </c>
      <c r="EC49">
        <v>7.5350374904071094E-2</v>
      </c>
      <c r="ED49">
        <v>0.45005426057415793</v>
      </c>
      <c r="EE49" s="10">
        <v>2.0828099999999998</v>
      </c>
      <c r="EF49">
        <v>2.1063100000000001</v>
      </c>
      <c r="EG49">
        <v>23.167425089605736</v>
      </c>
      <c r="EH49" t="s">
        <v>856</v>
      </c>
      <c r="EI49">
        <v>0</v>
      </c>
      <c r="EJ49">
        <v>0</v>
      </c>
      <c r="EK49" s="11">
        <v>45470</v>
      </c>
      <c r="EL49">
        <v>0.8</v>
      </c>
      <c r="EM49">
        <v>-4.29</v>
      </c>
      <c r="EN49">
        <v>2.48</v>
      </c>
      <c r="EO49">
        <v>2.65</v>
      </c>
      <c r="EP49">
        <v>-2.35</v>
      </c>
    </row>
    <row r="50" spans="1:146" ht="168" x14ac:dyDescent="0.25">
      <c r="A50" s="5"/>
      <c r="B50" s="5" t="s">
        <v>549</v>
      </c>
      <c r="C50" s="5" t="str">
        <f>"公司主要从事包括速冻丸类制品、肠类制品、油炸类制品和串类制品等在内的速冻调理肉制品的研发、生产和销售业务。公司速冻丸类制品主要包括鸡肉丸,鱼丸,四喜丸子等产品，肠类制品包括亲亲肠,桂花肠,腰花肠等产品，油炸类包括鱼豆腐,五福脆,甜不辣等产品，串类制品包括川香鸡柳,骨肉相连等产品。"&amp;CHAR(10)&amp;Basic_Fundamental_Information_Constructure(F50)&amp;CHAR(10)&amp;Basic_Fundamental_Information_Concatenate("速冻食品 7.24亿 98.87% 利润占比99.42% 15.69%
其他业务 823.92万 1.13% 利润占比0.58% 8.03%")</f>
        <v>公司主要从事包括速冻丸类制品、肠类制品、油炸类制品和串类制品等在内的速冻调理肉制品的研发、生产和销售业务。公司速冻丸类制品主要包括鸡肉丸,鱼丸,四喜丸子等产品，肠类制品包括亲亲肠,桂花肠,腰花肠等产品，油炸类包括鱼豆腐,五福脆,甜不辣等产品，串类制品包括川香鸡柳,骨肉相连等产品。
市值19.791562亿, 利润-405.48万; PE98.93; 平均PE-63.31; 平均PEG-11.39, PB3.97; ROIC0%; ROE-17.0533%; 股利率.2472%; 毛利15.7133%; 净利-5.23%; 上一年度营收增-73.31%, 利润增96.62%; 当季营收增-50.06%, 利润增86.73%; 过往5年营收增-5.56%, 利润增-77.51%
Income profile:
速冻食品 7.24亿 98.87% 利润占比99.42% 15.69%
其他业务 823.92万 1.13% 利润占比0.58% 8.03%</v>
      </c>
      <c r="D50" t="s">
        <v>136</v>
      </c>
      <c r="E50" t="s">
        <v>699</v>
      </c>
      <c r="F50">
        <v>8.09</v>
      </c>
      <c r="G50">
        <v>-2.5299999999999998</v>
      </c>
      <c r="H50" t="s">
        <v>2253</v>
      </c>
      <c r="I50">
        <v>1979156200</v>
      </c>
      <c r="J50">
        <v>98.93</v>
      </c>
      <c r="K50">
        <v>3.97</v>
      </c>
      <c r="L50" t="s">
        <v>52</v>
      </c>
      <c r="M50" t="s">
        <v>2254</v>
      </c>
      <c r="N50" t="s">
        <v>838</v>
      </c>
      <c r="O50" t="s">
        <v>2255</v>
      </c>
      <c r="P50">
        <v>8.4</v>
      </c>
      <c r="Q50" t="s">
        <v>2255</v>
      </c>
      <c r="R50">
        <v>-4054818</v>
      </c>
      <c r="S50" s="4">
        <v>0.75490000000000002</v>
      </c>
      <c r="T50" t="s">
        <v>2256</v>
      </c>
      <c r="U50">
        <v>244642300</v>
      </c>
      <c r="V50">
        <v>244642300</v>
      </c>
      <c r="W50">
        <v>2.92</v>
      </c>
      <c r="X50">
        <v>0.28999999999999998</v>
      </c>
      <c r="Y50">
        <v>-1.1399999999999999</v>
      </c>
      <c r="Z50" t="s">
        <v>675</v>
      </c>
      <c r="AA50" t="s">
        <v>208</v>
      </c>
      <c r="AB50" t="s">
        <v>2257</v>
      </c>
      <c r="AC50" t="s">
        <v>2258</v>
      </c>
      <c r="AD50" t="s">
        <v>30</v>
      </c>
      <c r="AE50">
        <v>6508148</v>
      </c>
      <c r="AF50" t="s">
        <v>2259</v>
      </c>
      <c r="AG50" t="s">
        <v>2260</v>
      </c>
      <c r="AH50" t="s">
        <v>2261</v>
      </c>
      <c r="AI50" t="s">
        <v>363</v>
      </c>
      <c r="AJ50" t="s">
        <v>2262</v>
      </c>
      <c r="AK50" t="s">
        <v>30</v>
      </c>
      <c r="AL50" t="s">
        <v>2263</v>
      </c>
      <c r="AM50" t="s">
        <v>30</v>
      </c>
      <c r="AN50" t="s">
        <v>2264</v>
      </c>
      <c r="AO50" t="s">
        <v>2265</v>
      </c>
      <c r="AP50" t="s">
        <v>30</v>
      </c>
      <c r="AQ50" t="s">
        <v>285</v>
      </c>
      <c r="AR50" t="s">
        <v>30</v>
      </c>
      <c r="AS50" t="s">
        <v>996</v>
      </c>
      <c r="AT50" t="s">
        <v>2266</v>
      </c>
      <c r="AU50" t="s">
        <v>120</v>
      </c>
      <c r="AV50" t="s">
        <v>2267</v>
      </c>
      <c r="AW50" t="s">
        <v>2268</v>
      </c>
      <c r="AX50" t="s">
        <v>853</v>
      </c>
      <c r="AY50" t="s">
        <v>609</v>
      </c>
      <c r="AZ50" t="s">
        <v>405</v>
      </c>
      <c r="BA50" t="s">
        <v>407</v>
      </c>
      <c r="BB50" t="s">
        <v>408</v>
      </c>
      <c r="BC50" t="s">
        <v>854</v>
      </c>
      <c r="BD50" t="s">
        <v>631</v>
      </c>
      <c r="BE50" t="s">
        <v>406</v>
      </c>
      <c r="BF50" t="s">
        <v>409</v>
      </c>
      <c r="BG50" t="s">
        <v>410</v>
      </c>
      <c r="BH50" t="s">
        <v>449</v>
      </c>
      <c r="BI50" t="s">
        <v>1079</v>
      </c>
      <c r="BJ50" t="s">
        <v>853</v>
      </c>
      <c r="BK50" t="s">
        <v>2269</v>
      </c>
      <c r="BL50" t="s">
        <v>2270</v>
      </c>
      <c r="BM50" t="s">
        <v>854</v>
      </c>
      <c r="BN50" t="s">
        <v>30</v>
      </c>
      <c r="BO50" t="s">
        <v>30</v>
      </c>
      <c r="BP50" t="s">
        <v>30</v>
      </c>
      <c r="BQ50">
        <v>-6.24</v>
      </c>
      <c r="BR50">
        <v>-22.36</v>
      </c>
      <c r="BS50">
        <v>-22.56</v>
      </c>
      <c r="BT50" t="s">
        <v>741</v>
      </c>
      <c r="BU50" t="s">
        <v>1235</v>
      </c>
      <c r="BV50">
        <v>18.079999999999998</v>
      </c>
      <c r="BW50">
        <v>13.93</v>
      </c>
      <c r="BX50">
        <v>15.13</v>
      </c>
      <c r="BY50">
        <v>0.64</v>
      </c>
      <c r="BZ50">
        <v>-7.85</v>
      </c>
      <c r="CA50">
        <v>-8.48</v>
      </c>
      <c r="CB50">
        <v>2.2799999999999998</v>
      </c>
      <c r="CC50">
        <v>-13.1</v>
      </c>
      <c r="CD50" t="s">
        <v>2271</v>
      </c>
      <c r="CE50" t="s">
        <v>367</v>
      </c>
      <c r="CF50" s="7">
        <v>-0.50059171597633134</v>
      </c>
      <c r="CG50" s="8">
        <v>0.86729879565388135</v>
      </c>
      <c r="CH50" s="7">
        <v>-0.73308032751083374</v>
      </c>
      <c r="CI50" s="7">
        <v>-4.2398620396852493E-2</v>
      </c>
      <c r="CJ50" s="7">
        <v>0.17175310850143433</v>
      </c>
      <c r="CK50" s="7">
        <v>0.16446276009082794</v>
      </c>
      <c r="CL50" s="7">
        <v>0.16122840344905853</v>
      </c>
      <c r="CM50" s="8">
        <v>0.9662100076675415</v>
      </c>
      <c r="CN50" s="8">
        <v>0.1304347813129425</v>
      </c>
      <c r="CO50" s="8">
        <v>-6.9803428649902344</v>
      </c>
      <c r="CP50" s="8">
        <v>2.8773398399353027</v>
      </c>
      <c r="CQ50" s="8">
        <v>-0.86908721923828125</v>
      </c>
      <c r="CR50">
        <v>-63.310375492490678</v>
      </c>
      <c r="CS50">
        <v>-11.385338050948755</v>
      </c>
      <c r="CT50">
        <v>0.24721878862793575</v>
      </c>
      <c r="CU50" s="7">
        <v>-5.5606935173273087E-2</v>
      </c>
      <c r="CV50" s="8">
        <v>-0.77508909106254575</v>
      </c>
      <c r="CW50">
        <v>0.06</v>
      </c>
      <c r="CX50" t="e">
        <v>#VALUE!</v>
      </c>
      <c r="CY50" t="s">
        <v>661</v>
      </c>
      <c r="CZ50">
        <v>-5.5606935173273087E-2</v>
      </c>
      <c r="DA50" t="e">
        <v>#VALUE!</v>
      </c>
      <c r="DB50" t="s">
        <v>656</v>
      </c>
      <c r="DC50">
        <v>-5.2826588414609431E-2</v>
      </c>
      <c r="DD50" t="e">
        <v>#VALUE!</v>
      </c>
      <c r="DE50" t="s">
        <v>656</v>
      </c>
      <c r="DF50">
        <v>-4.8934102952480317E-2</v>
      </c>
      <c r="DG50" t="e">
        <v>#VALUE!</v>
      </c>
      <c r="DH50" t="s">
        <v>656</v>
      </c>
      <c r="DI50">
        <v>-4.4485548138618471E-2</v>
      </c>
      <c r="DJ50" t="e">
        <v>#VALUE!</v>
      </c>
      <c r="DK50" t="s">
        <v>656</v>
      </c>
      <c r="DL50">
        <v>-3.8924854621291159E-2</v>
      </c>
      <c r="DM50">
        <v>-4054800</v>
      </c>
      <c r="DN50">
        <v>-5.5606935173273087E-2</v>
      </c>
      <c r="DO50">
        <v>2355156200</v>
      </c>
      <c r="DP50">
        <v>-209842190</v>
      </c>
      <c r="DQ50">
        <v>4177</v>
      </c>
      <c r="DR50">
        <v>-0.44498478080305826</v>
      </c>
      <c r="DS50">
        <v>1.6423878867164272</v>
      </c>
      <c r="DT50" s="9">
        <v>-0.42333333333333339</v>
      </c>
      <c r="DU50">
        <v>-1.9500000000000004</v>
      </c>
      <c r="DV50">
        <v>-2.373333333333334</v>
      </c>
      <c r="DW50">
        <v>-2.1310000000000002</v>
      </c>
      <c r="DX50">
        <v>0.60400941176470568</v>
      </c>
      <c r="DY50">
        <v>-2.0450652329411763</v>
      </c>
      <c r="DZ50">
        <v>3248</v>
      </c>
      <c r="EA50">
        <v>-2.0164210300854148</v>
      </c>
      <c r="EB50">
        <v>2</v>
      </c>
      <c r="EC50">
        <v>0.23904942031692802</v>
      </c>
      <c r="ED50">
        <v>0.69489209347688441</v>
      </c>
      <c r="EE50" s="10">
        <v>-4.0533999999999999</v>
      </c>
      <c r="EF50">
        <v>-4.0228999999999999</v>
      </c>
      <c r="EG50">
        <v>26.344009411764706</v>
      </c>
      <c r="EH50" t="s">
        <v>1238</v>
      </c>
      <c r="EI50">
        <v>0</v>
      </c>
      <c r="EJ50">
        <v>0</v>
      </c>
      <c r="EK50" s="11">
        <v>45470</v>
      </c>
      <c r="EL50">
        <v>3.14</v>
      </c>
      <c r="EM50">
        <v>-4.3499999999999996</v>
      </c>
      <c r="EN50">
        <v>1.55</v>
      </c>
      <c r="EO50">
        <v>2.86</v>
      </c>
      <c r="EP50">
        <v>-3.05</v>
      </c>
    </row>
    <row r="51" spans="1:146" ht="108" x14ac:dyDescent="0.25">
      <c r="A51" s="5"/>
      <c r="B51" s="5"/>
      <c r="C51" s="5" t="str">
        <f>""&amp;CHAR(10)&amp;Basic_Fundamental_Information_Constructure(F51)&amp;CHAR(10)&amp;Basic_Fundamental_Information_Concatenate("")</f>
        <v xml:space="preserve">
市值15.94656亿, 利润672.13万; PE65.07; 平均PE47.59; 平均PEG12.7, PB2.82; ROIC5.0267%; ROE5.34%; 股利率1.1062%; 毛利18.22%; 净利5.2233%; 上一年度营收增-74.87%, 利润增-51.42%; 当季营收增-53.02%, 利润增-67.44%; 过往5年营收增-3.75%, 利润增-20.64%
Income profile:
</v>
      </c>
      <c r="D51" t="s">
        <v>138</v>
      </c>
      <c r="E51" t="s">
        <v>11</v>
      </c>
      <c r="F51">
        <v>6.78</v>
      </c>
      <c r="G51">
        <v>1.04</v>
      </c>
      <c r="H51" t="s">
        <v>2272</v>
      </c>
      <c r="I51">
        <v>1594656000</v>
      </c>
      <c r="J51">
        <v>65.069999999999993</v>
      </c>
      <c r="K51">
        <v>2.82</v>
      </c>
      <c r="L51" t="s">
        <v>52</v>
      </c>
      <c r="M51" t="s">
        <v>2273</v>
      </c>
      <c r="N51" t="s">
        <v>766</v>
      </c>
      <c r="O51" t="s">
        <v>123</v>
      </c>
      <c r="P51">
        <v>-3.48</v>
      </c>
      <c r="Q51" t="s">
        <v>123</v>
      </c>
      <c r="R51">
        <v>6721265</v>
      </c>
      <c r="S51" s="4">
        <v>-0.49480000000000002</v>
      </c>
      <c r="T51" t="s">
        <v>2274</v>
      </c>
      <c r="U51">
        <v>235200000</v>
      </c>
      <c r="V51">
        <v>235200000</v>
      </c>
      <c r="W51">
        <v>1.0900000000000001</v>
      </c>
      <c r="X51">
        <v>0.23</v>
      </c>
      <c r="Y51">
        <v>4.79</v>
      </c>
      <c r="Z51" t="s">
        <v>87</v>
      </c>
      <c r="AA51" t="s">
        <v>110</v>
      </c>
      <c r="AB51" t="s">
        <v>2275</v>
      </c>
      <c r="AC51" t="s">
        <v>2276</v>
      </c>
      <c r="AD51" t="s">
        <v>30</v>
      </c>
      <c r="AE51">
        <v>-850330</v>
      </c>
      <c r="AF51" t="s">
        <v>2277</v>
      </c>
      <c r="AG51" t="s">
        <v>2278</v>
      </c>
      <c r="AH51" t="s">
        <v>2279</v>
      </c>
      <c r="AI51" t="s">
        <v>961</v>
      </c>
      <c r="AJ51" t="s">
        <v>2280</v>
      </c>
      <c r="AK51" t="s">
        <v>30</v>
      </c>
      <c r="AL51" t="s">
        <v>2281</v>
      </c>
      <c r="AM51" t="s">
        <v>30</v>
      </c>
      <c r="AN51" t="s">
        <v>101</v>
      </c>
      <c r="AO51" t="s">
        <v>30</v>
      </c>
      <c r="AP51" t="s">
        <v>2282</v>
      </c>
      <c r="AQ51" t="s">
        <v>2283</v>
      </c>
      <c r="AR51" t="s">
        <v>30</v>
      </c>
      <c r="AS51" t="s">
        <v>2284</v>
      </c>
      <c r="AT51" t="s">
        <v>30</v>
      </c>
      <c r="AU51" t="s">
        <v>2285</v>
      </c>
      <c r="AV51" t="s">
        <v>2286</v>
      </c>
      <c r="AW51" t="s">
        <v>2287</v>
      </c>
      <c r="AX51" t="s">
        <v>855</v>
      </c>
      <c r="AY51" t="s">
        <v>622</v>
      </c>
      <c r="AZ51" t="s">
        <v>126</v>
      </c>
      <c r="BA51" t="s">
        <v>412</v>
      </c>
      <c r="BB51" t="s">
        <v>340</v>
      </c>
      <c r="BC51" t="s">
        <v>2288</v>
      </c>
      <c r="BD51" t="s">
        <v>633</v>
      </c>
      <c r="BE51" t="s">
        <v>411</v>
      </c>
      <c r="BF51" t="s">
        <v>414</v>
      </c>
      <c r="BG51" t="s">
        <v>415</v>
      </c>
      <c r="BH51" t="s">
        <v>984</v>
      </c>
      <c r="BI51" t="s">
        <v>218</v>
      </c>
      <c r="BJ51" t="s">
        <v>855</v>
      </c>
      <c r="BK51" t="s">
        <v>2289</v>
      </c>
      <c r="BL51" t="s">
        <v>2290</v>
      </c>
      <c r="BM51" t="s">
        <v>2288</v>
      </c>
      <c r="BN51">
        <v>4.83</v>
      </c>
      <c r="BO51">
        <v>2.31</v>
      </c>
      <c r="BP51">
        <v>7.94</v>
      </c>
      <c r="BQ51">
        <v>5.23</v>
      </c>
      <c r="BR51">
        <v>2.57</v>
      </c>
      <c r="BS51">
        <v>8.2200000000000006</v>
      </c>
      <c r="BT51" t="s">
        <v>2291</v>
      </c>
      <c r="BU51" t="s">
        <v>542</v>
      </c>
      <c r="BV51">
        <v>16.79</v>
      </c>
      <c r="BW51">
        <v>16.3</v>
      </c>
      <c r="BX51">
        <v>21.57</v>
      </c>
      <c r="BY51">
        <v>4.92</v>
      </c>
      <c r="BZ51">
        <v>2.48</v>
      </c>
      <c r="CA51">
        <v>8.27</v>
      </c>
      <c r="CB51">
        <v>0</v>
      </c>
      <c r="CC51">
        <v>-16.350000000000001</v>
      </c>
      <c r="CD51" t="s">
        <v>2292</v>
      </c>
      <c r="CE51" t="s">
        <v>2293</v>
      </c>
      <c r="CF51" s="7">
        <v>-0.53020134228187921</v>
      </c>
      <c r="CG51" s="8">
        <v>-0.67436835960020736</v>
      </c>
      <c r="CH51" s="7">
        <v>-0.74865347146987915</v>
      </c>
      <c r="CI51" s="7">
        <v>1.4571948908269405E-2</v>
      </c>
      <c r="CJ51" s="7">
        <v>0.30714285373687744</v>
      </c>
      <c r="CK51" s="7">
        <v>-2.3752970155328512E-3</v>
      </c>
      <c r="CL51" s="7">
        <v>0.24188791215419769</v>
      </c>
      <c r="CM51" s="8">
        <v>-0.51420247554779053</v>
      </c>
      <c r="CN51" s="8">
        <v>-0.69520211219787598</v>
      </c>
      <c r="CO51" s="8">
        <v>-0.1405746191740036</v>
      </c>
      <c r="CP51" s="8">
        <v>0.23414024710655212</v>
      </c>
      <c r="CQ51" s="8">
        <v>8.3954073488712311E-2</v>
      </c>
      <c r="CR51">
        <v>47.590685533289829</v>
      </c>
      <c r="CS51">
        <v>12.695856471748234</v>
      </c>
      <c r="CT51">
        <v>1.1061946902654867</v>
      </c>
      <c r="CU51" s="7">
        <v>-3.748521073721349E-2</v>
      </c>
      <c r="CV51" s="8">
        <v>-0.20637697726488113</v>
      </c>
      <c r="CW51">
        <v>0.06</v>
      </c>
      <c r="CX51">
        <v>163.72128903634714</v>
      </c>
      <c r="CY51" t="s">
        <v>2294</v>
      </c>
      <c r="CZ51">
        <v>-3.748521073721349E-2</v>
      </c>
      <c r="DA51">
        <v>54.573763012115712</v>
      </c>
      <c r="DB51" t="s">
        <v>2295</v>
      </c>
      <c r="DC51">
        <v>-3.5610950200352813E-2</v>
      </c>
      <c r="DD51">
        <v>27.286881506057856</v>
      </c>
      <c r="DE51" t="s">
        <v>2296</v>
      </c>
      <c r="DF51">
        <v>-3.2986985448747869E-2</v>
      </c>
      <c r="DG51">
        <v>16.372128903634714</v>
      </c>
      <c r="DH51" t="s">
        <v>2297</v>
      </c>
      <c r="DI51">
        <v>-2.9988168589770794E-2</v>
      </c>
      <c r="DJ51">
        <v>8.1860644518173569</v>
      </c>
      <c r="DK51" t="s">
        <v>2298</v>
      </c>
      <c r="DL51">
        <v>-2.6239647516049441E-2</v>
      </c>
      <c r="DM51">
        <v>6721300</v>
      </c>
      <c r="DN51">
        <v>-3.748521073721349E-2</v>
      </c>
      <c r="DO51">
        <v>1100419900</v>
      </c>
      <c r="DP51">
        <v>296693850</v>
      </c>
      <c r="DQ51">
        <v>4261</v>
      </c>
      <c r="DR51">
        <v>-0.4927161315446657</v>
      </c>
      <c r="DS51">
        <v>-0.46799138233532622</v>
      </c>
      <c r="DT51" s="9">
        <v>-0.54</v>
      </c>
      <c r="DU51">
        <v>-0.79</v>
      </c>
      <c r="DV51">
        <v>-1.33</v>
      </c>
      <c r="DW51">
        <v>-3.0039583333333333</v>
      </c>
      <c r="DX51">
        <v>0.32429594568338305</v>
      </c>
      <c r="DY51">
        <v>-3.0006899214516634</v>
      </c>
      <c r="DZ51">
        <v>3328</v>
      </c>
      <c r="EA51">
        <v>-3.0002405949171944</v>
      </c>
      <c r="EB51">
        <v>3</v>
      </c>
      <c r="EC51">
        <v>5.4922193877551019E-2</v>
      </c>
      <c r="ED51">
        <v>0.31510884353741497</v>
      </c>
      <c r="EE51" s="10">
        <v>1.0056</v>
      </c>
      <c r="EF51">
        <v>1.02101</v>
      </c>
      <c r="EG51">
        <v>15.174295945683383</v>
      </c>
      <c r="EH51" t="s">
        <v>763</v>
      </c>
      <c r="EI51">
        <v>0</v>
      </c>
      <c r="EJ51">
        <v>0</v>
      </c>
      <c r="EK51" s="11">
        <v>45470</v>
      </c>
      <c r="EL51">
        <v>0.34</v>
      </c>
      <c r="EM51">
        <v>-4.01</v>
      </c>
      <c r="EN51">
        <v>1.05</v>
      </c>
      <c r="EO51">
        <v>3.62</v>
      </c>
      <c r="EP51">
        <v>-2.66</v>
      </c>
    </row>
    <row r="52" spans="1:146" ht="192" x14ac:dyDescent="0.25">
      <c r="A52" s="5"/>
      <c r="B52" s="5" t="s">
        <v>553</v>
      </c>
      <c r="C52" s="5" t="str">
        <f>"公司主要业务为泡卤风味休闲食品的研发、生产和销售，公司的主要产品是泡椒凤爪、豆干、花生、竹笋等泡卤风味休闲食品系列，其中泡椒凤爪为公司的主导产品；"&amp;CHAR(10)&amp;Basic_Fundamental_Information_Constructure(F52)&amp;CHAR(10)&amp;Basic_Fundamental_Information_Concatenate("泡椒凤爪 7.40亿 79.68%
猪皮晶 7202.04万 7.76%
其他 4171.70万 4.49%
竹笋 3252.20万 3.50%
豆干 1844.77万 1.99%
花生 1287.83万 1.39%
其他业务 1104.67万 1.19%")</f>
        <v>公司主要业务为泡卤风味休闲食品的研发、生产和销售，公司的主要产品是泡椒凤爪、豆干、花生、竹笋等泡卤风味休闲食品系列，其中泡椒凤爪为公司的主导产品；
市值24.977219亿, 利润4328.79万; PE22.3; 平均PE14.98; 平均PEG.97, PB1.33; ROIC8.5567%; ROE8.68%; 股利率4.2808%; 毛利30.8567%; 净利15.01%; 上一年度营收增-73.14%, 利润增-71.89%; 当季营收增-42.71%, 利润增-46.11%; 过往5年营收增-15.52%, 利润增-15.55%
Income profile:
泡椒凤爪 7.40亿 79.68%
猪皮晶 7202.04万 7.76%
其他 4171.70万 4.49%
竹笋 3252.20万 3.50%
豆干 1844.77万 1.99%
花生 1287.83万 1.39%
其他业务 1104.67万 1.19%</v>
      </c>
      <c r="D52" t="s">
        <v>140</v>
      </c>
      <c r="E52" t="s">
        <v>33</v>
      </c>
      <c r="F52">
        <v>5.84</v>
      </c>
      <c r="G52">
        <v>1.57</v>
      </c>
      <c r="H52" t="s">
        <v>2299</v>
      </c>
      <c r="I52">
        <v>2497721900</v>
      </c>
      <c r="J52">
        <v>22.3</v>
      </c>
      <c r="K52">
        <v>1.33</v>
      </c>
      <c r="L52" t="s">
        <v>52</v>
      </c>
      <c r="M52" t="s">
        <v>89</v>
      </c>
      <c r="N52" t="s">
        <v>2300</v>
      </c>
      <c r="O52" t="s">
        <v>655</v>
      </c>
      <c r="P52">
        <v>17.96</v>
      </c>
      <c r="Q52" t="s">
        <v>655</v>
      </c>
      <c r="R52">
        <v>43287938</v>
      </c>
      <c r="S52" s="4">
        <v>-8.77E-2</v>
      </c>
      <c r="T52" t="s">
        <v>2301</v>
      </c>
      <c r="U52">
        <v>427692100</v>
      </c>
      <c r="V52">
        <v>427692100</v>
      </c>
      <c r="W52">
        <v>1.07</v>
      </c>
      <c r="X52">
        <v>0.14000000000000001</v>
      </c>
      <c r="Y52">
        <v>15.74</v>
      </c>
      <c r="Z52" t="s">
        <v>713</v>
      </c>
      <c r="AA52" t="s">
        <v>527</v>
      </c>
      <c r="AB52" t="s">
        <v>2302</v>
      </c>
      <c r="AC52" t="s">
        <v>2303</v>
      </c>
      <c r="AD52" t="s">
        <v>30</v>
      </c>
      <c r="AE52">
        <v>-14446</v>
      </c>
      <c r="AF52" t="s">
        <v>2304</v>
      </c>
      <c r="AG52" t="s">
        <v>2305</v>
      </c>
      <c r="AH52" t="s">
        <v>2306</v>
      </c>
      <c r="AI52" t="s">
        <v>2307</v>
      </c>
      <c r="AJ52" t="s">
        <v>2308</v>
      </c>
      <c r="AK52" t="s">
        <v>30</v>
      </c>
      <c r="AL52" t="s">
        <v>2309</v>
      </c>
      <c r="AM52" t="s">
        <v>30</v>
      </c>
      <c r="AN52" t="s">
        <v>2310</v>
      </c>
      <c r="AO52" t="s">
        <v>30</v>
      </c>
      <c r="AP52" t="s">
        <v>30</v>
      </c>
      <c r="AQ52" t="s">
        <v>2311</v>
      </c>
      <c r="AR52" t="s">
        <v>2312</v>
      </c>
      <c r="AS52" t="s">
        <v>2313</v>
      </c>
      <c r="AT52" t="s">
        <v>30</v>
      </c>
      <c r="AU52" t="s">
        <v>2314</v>
      </c>
      <c r="AV52" t="s">
        <v>707</v>
      </c>
      <c r="AW52" t="s">
        <v>30</v>
      </c>
      <c r="AX52" t="s">
        <v>310</v>
      </c>
      <c r="AY52" t="s">
        <v>634</v>
      </c>
      <c r="AZ52" t="s">
        <v>416</v>
      </c>
      <c r="BA52" t="s">
        <v>141</v>
      </c>
      <c r="BB52" t="s">
        <v>288</v>
      </c>
      <c r="BC52" t="s">
        <v>86</v>
      </c>
      <c r="BD52" t="s">
        <v>59</v>
      </c>
      <c r="BE52" t="s">
        <v>276</v>
      </c>
      <c r="BF52" t="s">
        <v>54</v>
      </c>
      <c r="BG52" t="s">
        <v>103</v>
      </c>
      <c r="BH52" t="s">
        <v>2315</v>
      </c>
      <c r="BI52" t="s">
        <v>475</v>
      </c>
      <c r="BJ52" t="s">
        <v>310</v>
      </c>
      <c r="BK52" t="s">
        <v>75</v>
      </c>
      <c r="BL52" t="s">
        <v>2316</v>
      </c>
      <c r="BM52" t="s">
        <v>86</v>
      </c>
      <c r="BN52">
        <v>5.72</v>
      </c>
      <c r="BO52">
        <v>8.08</v>
      </c>
      <c r="BP52">
        <v>11.87</v>
      </c>
      <c r="BQ52">
        <v>5.78</v>
      </c>
      <c r="BR52">
        <v>8.24</v>
      </c>
      <c r="BS52">
        <v>12.02</v>
      </c>
      <c r="BT52" t="s">
        <v>845</v>
      </c>
      <c r="BU52" t="s">
        <v>524</v>
      </c>
      <c r="BV52">
        <v>29.37</v>
      </c>
      <c r="BW52">
        <v>31.24</v>
      </c>
      <c r="BX52">
        <v>31.96</v>
      </c>
      <c r="BY52">
        <v>12.02</v>
      </c>
      <c r="BZ52">
        <v>14.99</v>
      </c>
      <c r="CA52">
        <v>18.02</v>
      </c>
      <c r="CB52">
        <v>0.69</v>
      </c>
      <c r="CC52">
        <v>-14.99</v>
      </c>
      <c r="CD52" t="s">
        <v>2317</v>
      </c>
      <c r="CE52" t="s">
        <v>2318</v>
      </c>
      <c r="CF52" s="7">
        <v>-0.42708333333333331</v>
      </c>
      <c r="CG52" s="8">
        <v>-0.46112833574212597</v>
      </c>
      <c r="CH52" s="7">
        <v>-0.7314453125</v>
      </c>
      <c r="CI52" s="7">
        <v>-0.16065573692321777</v>
      </c>
      <c r="CJ52" s="7">
        <v>0.11619402468204498</v>
      </c>
      <c r="CK52" s="7">
        <v>8.4325335919857025E-2</v>
      </c>
      <c r="CL52" s="7">
        <v>-8.446861058473587E-2</v>
      </c>
      <c r="CM52" s="8">
        <v>-0.71890974044799805</v>
      </c>
      <c r="CN52" s="8">
        <v>-0.30000001192092896</v>
      </c>
      <c r="CO52" s="8">
        <v>-2.6548672467470169E-2</v>
      </c>
      <c r="CP52" s="8">
        <v>0.2625698447227478</v>
      </c>
      <c r="CQ52" s="8">
        <v>5.6179775856435299E-3</v>
      </c>
      <c r="CR52">
        <v>14.982018076995633</v>
      </c>
      <c r="CS52">
        <v>0.96527364840024454</v>
      </c>
      <c r="CT52">
        <v>4.2808219178082192</v>
      </c>
      <c r="CU52" s="7">
        <v>-0.15521005988121034</v>
      </c>
      <c r="CV52" s="8">
        <v>-0.15545412050560117</v>
      </c>
      <c r="CW52">
        <v>0.06</v>
      </c>
      <c r="CX52">
        <v>17.712152818686054</v>
      </c>
      <c r="CY52" t="s">
        <v>2319</v>
      </c>
      <c r="CZ52">
        <v>-0.15521005988121034</v>
      </c>
      <c r="DA52">
        <v>5.9040509395620173</v>
      </c>
      <c r="DB52" t="s">
        <v>2320</v>
      </c>
      <c r="DC52">
        <v>-0.14744955688714981</v>
      </c>
      <c r="DD52">
        <v>2.9520254697810087</v>
      </c>
      <c r="DE52" t="s">
        <v>2321</v>
      </c>
      <c r="DF52">
        <v>-0.13658485269546511</v>
      </c>
      <c r="DG52">
        <v>1.7712152818686053</v>
      </c>
      <c r="DH52" t="s">
        <v>2322</v>
      </c>
      <c r="DI52">
        <v>-0.12416804790496827</v>
      </c>
      <c r="DJ52">
        <v>0.88560764093430266</v>
      </c>
      <c r="DK52" t="s">
        <v>2323</v>
      </c>
      <c r="DL52">
        <v>-0.10864704191684724</v>
      </c>
      <c r="DM52">
        <v>43287900</v>
      </c>
      <c r="DN52">
        <v>-0.15521005988121034</v>
      </c>
      <c r="DO52">
        <v>766721900</v>
      </c>
      <c r="DP52">
        <v>1373801100</v>
      </c>
      <c r="DQ52">
        <v>4262</v>
      </c>
      <c r="DR52">
        <v>-0.27187327345212298</v>
      </c>
      <c r="DS52">
        <v>-0.30567421523652483</v>
      </c>
      <c r="DT52" s="9">
        <v>-0.92333333333333334</v>
      </c>
      <c r="DU52">
        <v>-0.58666666666666667</v>
      </c>
      <c r="DV52">
        <v>-1.51</v>
      </c>
      <c r="DW52">
        <v>-2.1499000000000001</v>
      </c>
      <c r="DX52">
        <v>0.29060319274502422</v>
      </c>
      <c r="DY52">
        <v>-2.0195774185924789</v>
      </c>
      <c r="DZ52">
        <v>3062</v>
      </c>
      <c r="EA52">
        <v>-2.0078462922264966</v>
      </c>
      <c r="EB52">
        <v>2</v>
      </c>
      <c r="EC52">
        <v>2.2870424775206274E-2</v>
      </c>
      <c r="ED52">
        <v>0.17511382604448386</v>
      </c>
      <c r="EE52" s="10">
        <v>-1.0679099999999999</v>
      </c>
      <c r="EF52">
        <v>-1.0878099999999999</v>
      </c>
      <c r="EG52">
        <v>16.130603192745024</v>
      </c>
      <c r="EH52" t="s">
        <v>803</v>
      </c>
      <c r="EI52">
        <v>0</v>
      </c>
      <c r="EJ52">
        <v>0</v>
      </c>
      <c r="EK52" s="11">
        <v>45470</v>
      </c>
      <c r="EL52">
        <v>-0.17</v>
      </c>
      <c r="EM52">
        <v>-3</v>
      </c>
      <c r="EN52">
        <v>0.95</v>
      </c>
      <c r="EO52">
        <v>2.72</v>
      </c>
      <c r="EP52">
        <v>-1.99</v>
      </c>
    </row>
    <row r="53" spans="1:146" ht="204" x14ac:dyDescent="0.25">
      <c r="A53" s="5" t="s">
        <v>520</v>
      </c>
      <c r="B53" s="5" t="s">
        <v>728</v>
      </c>
      <c r="C53" s="5" t="str">
        <f>"主要从事休闲食品的研发、采购、销售、物流配送和运营业务。公司采取了精选优质好原料，开发营养配方，优化健康工艺，满足顾客定制需求，高端广告投放，国际金牌品质传播，主打“高端零食”的细分市场："&amp;CHAR(10)&amp;Basic_Fundamental_Information_Constructure(F53)&amp;CHAR(10)&amp;Basic_Fundamental_Information_Concatenate("肉类零食 20.10亿 25.46% 毛利31.50%
糖果糕点 19.04亿 24.12% 毛利32.67%
坚果炒货 13.34亿 16.90% 毛利23.45%
其他 9.37亿 11.87% 毛利26.73%
果干果脯 8.02亿 10.16% 毛利36.79%
素食山珍 6.99亿 8.86% 毛利39.90%
其他业务 2.08亿 2.64% 毛利6.09%")</f>
        <v>主要从事休闲食品的研发、采购、销售、物流配送和运营业务。公司采取了精选优质好原料，开发营养配方，优化健康工艺，满足顾客定制需求，高端广告投放，国际金牌品质传播，主打“高端零食”的细分市场：
市值46.4759亿, 利润6248.28万; PE49.4; 平均PE17.4; 平均PEG2.77, PB1.82; ROIC9.5%; ROE11.9567%; 股利率1.9413%; 毛利27.3633%; 净利2.9333%; 上一年度营收增-74.04%, 利润增-81.35%; 当季营收增-38.53%, 利润增-66.94%; 过往5年营收增-6.28%, 利润增-7.43%
Income profile:
肉类零食 20.10亿 25.46% 毛利31.50%
糖果糕点 19.04亿 24.12% 毛利32.67%
坚果炒货 13.34亿 16.90% 毛利23.45%
其他 9.37亿 11.87% 毛利26.73%
果干果脯 8.02亿 10.16% 毛利36.79%
素食山珍 6.99亿 8.86% 毛利39.90%
其他业务 2.08亿 2.64% 毛利6.09%</v>
      </c>
      <c r="D53" t="s">
        <v>142</v>
      </c>
      <c r="E53" t="s">
        <v>143</v>
      </c>
      <c r="F53">
        <v>11.59</v>
      </c>
      <c r="G53">
        <v>1.05</v>
      </c>
      <c r="H53" t="s">
        <v>2324</v>
      </c>
      <c r="I53">
        <v>4647590000</v>
      </c>
      <c r="J53">
        <v>49.4</v>
      </c>
      <c r="K53">
        <v>1.82</v>
      </c>
      <c r="L53" t="s">
        <v>52</v>
      </c>
      <c r="M53" t="s">
        <v>791</v>
      </c>
      <c r="N53" t="s">
        <v>1200</v>
      </c>
      <c r="O53" t="s">
        <v>991</v>
      </c>
      <c r="P53">
        <v>2.79</v>
      </c>
      <c r="Q53" t="s">
        <v>991</v>
      </c>
      <c r="R53">
        <v>62482769</v>
      </c>
      <c r="S53" s="4">
        <v>-0.57979999999999998</v>
      </c>
      <c r="T53" t="s">
        <v>2325</v>
      </c>
      <c r="U53">
        <v>401000000</v>
      </c>
      <c r="V53">
        <v>401000000</v>
      </c>
      <c r="W53">
        <v>1.89</v>
      </c>
      <c r="X53">
        <v>0.47</v>
      </c>
      <c r="Y53">
        <v>2.54</v>
      </c>
      <c r="Z53" t="s">
        <v>608</v>
      </c>
      <c r="AA53" t="s">
        <v>2326</v>
      </c>
      <c r="AB53" t="s">
        <v>808</v>
      </c>
      <c r="AC53" t="s">
        <v>61</v>
      </c>
      <c r="AD53" t="s">
        <v>30</v>
      </c>
      <c r="AE53">
        <v>-3756483</v>
      </c>
      <c r="AF53" t="s">
        <v>2327</v>
      </c>
      <c r="AG53" t="s">
        <v>2328</v>
      </c>
      <c r="AH53" t="s">
        <v>2329</v>
      </c>
      <c r="AI53" t="s">
        <v>2330</v>
      </c>
      <c r="AJ53" t="s">
        <v>2331</v>
      </c>
      <c r="AK53" t="s">
        <v>30</v>
      </c>
      <c r="AL53" t="s">
        <v>2332</v>
      </c>
      <c r="AM53" t="s">
        <v>30</v>
      </c>
      <c r="AN53" t="s">
        <v>2333</v>
      </c>
      <c r="AO53" t="s">
        <v>30</v>
      </c>
      <c r="AP53" t="s">
        <v>1081</v>
      </c>
      <c r="AQ53" t="s">
        <v>2334</v>
      </c>
      <c r="AR53" t="s">
        <v>2335</v>
      </c>
      <c r="AS53" t="s">
        <v>2336</v>
      </c>
      <c r="AT53" t="s">
        <v>30</v>
      </c>
      <c r="AU53" t="s">
        <v>2337</v>
      </c>
      <c r="AV53" t="s">
        <v>2338</v>
      </c>
      <c r="AW53" t="s">
        <v>2339</v>
      </c>
      <c r="AX53" t="s">
        <v>857</v>
      </c>
      <c r="AY53" t="s">
        <v>635</v>
      </c>
      <c r="AZ53" t="s">
        <v>418</v>
      </c>
      <c r="BA53" t="s">
        <v>420</v>
      </c>
      <c r="BB53" t="s">
        <v>421</v>
      </c>
      <c r="BC53" t="s">
        <v>719</v>
      </c>
      <c r="BD53" t="s">
        <v>233</v>
      </c>
      <c r="BE53" t="s">
        <v>419</v>
      </c>
      <c r="BF53" t="s">
        <v>144</v>
      </c>
      <c r="BG53" t="s">
        <v>333</v>
      </c>
      <c r="BH53" t="s">
        <v>2340</v>
      </c>
      <c r="BI53" t="s">
        <v>1083</v>
      </c>
      <c r="BJ53" t="s">
        <v>857</v>
      </c>
      <c r="BK53" t="s">
        <v>370</v>
      </c>
      <c r="BL53" t="s">
        <v>527</v>
      </c>
      <c r="BM53" t="s">
        <v>719</v>
      </c>
      <c r="BN53">
        <v>6.58</v>
      </c>
      <c r="BO53">
        <v>11.63</v>
      </c>
      <c r="BP53">
        <v>10.29</v>
      </c>
      <c r="BQ53">
        <v>7.83</v>
      </c>
      <c r="BR53">
        <v>14.86</v>
      </c>
      <c r="BS53">
        <v>13.18</v>
      </c>
      <c r="BT53" t="s">
        <v>2341</v>
      </c>
      <c r="BU53" t="s">
        <v>524</v>
      </c>
      <c r="BV53">
        <v>27.75</v>
      </c>
      <c r="BW53">
        <v>27.57</v>
      </c>
      <c r="BX53">
        <v>26.77</v>
      </c>
      <c r="BY53">
        <v>2.23</v>
      </c>
      <c r="BZ53">
        <v>3.54</v>
      </c>
      <c r="CA53">
        <v>3.03</v>
      </c>
      <c r="CB53">
        <v>-0.69</v>
      </c>
      <c r="CC53">
        <v>-17.54</v>
      </c>
      <c r="CD53" t="s">
        <v>2342</v>
      </c>
      <c r="CE53" t="s">
        <v>2343</v>
      </c>
      <c r="CF53" s="7">
        <v>-0.38525206922498112</v>
      </c>
      <c r="CG53" s="8">
        <v>-0.66940333862433865</v>
      </c>
      <c r="CH53" s="7">
        <v>-0.74036014080047607</v>
      </c>
      <c r="CI53" s="7">
        <v>1.2440985068678856E-2</v>
      </c>
      <c r="CJ53" s="7">
        <v>0.18115025758743286</v>
      </c>
      <c r="CK53" s="7">
        <v>2.3201597854495049E-2</v>
      </c>
      <c r="CL53" s="7">
        <v>0.20962683856487274</v>
      </c>
      <c r="CM53" s="8">
        <v>-0.81348413228988647</v>
      </c>
      <c r="CN53" s="8">
        <v>0.18794326484203339</v>
      </c>
      <c r="CO53" s="8">
        <v>-0.18023255467414856</v>
      </c>
      <c r="CP53" s="8">
        <v>1.1764706112444401E-2</v>
      </c>
      <c r="CQ53" s="8">
        <v>0.42259413003921509</v>
      </c>
      <c r="CR53">
        <v>17.401459784778972</v>
      </c>
      <c r="CS53">
        <v>2.7714585894987604</v>
      </c>
      <c r="CT53">
        <v>1.9413287316652286</v>
      </c>
      <c r="CU53" s="7">
        <v>-6.2788092344999311E-2</v>
      </c>
      <c r="CV53" s="8">
        <v>-7.4282917194068432E-2</v>
      </c>
      <c r="CW53">
        <v>0.06</v>
      </c>
      <c r="CX53">
        <v>82.096032828234328</v>
      </c>
      <c r="CY53" t="s">
        <v>2344</v>
      </c>
      <c r="CZ53">
        <v>-6.2788092344999311E-2</v>
      </c>
      <c r="DA53">
        <v>27.365344276078108</v>
      </c>
      <c r="DB53" t="s">
        <v>2345</v>
      </c>
      <c r="DC53">
        <v>-5.9648687727749339E-2</v>
      </c>
      <c r="DD53">
        <v>13.682672138039054</v>
      </c>
      <c r="DE53" t="s">
        <v>2346</v>
      </c>
      <c r="DF53">
        <v>-5.5253521263599392E-2</v>
      </c>
      <c r="DG53">
        <v>8.2096032828234335</v>
      </c>
      <c r="DH53" t="s">
        <v>2347</v>
      </c>
      <c r="DI53">
        <v>-5.0230473875999451E-2</v>
      </c>
      <c r="DJ53">
        <v>4.1048016414117168</v>
      </c>
      <c r="DK53" t="s">
        <v>2348</v>
      </c>
      <c r="DL53">
        <v>-4.3951664641499515E-2</v>
      </c>
      <c r="DM53">
        <v>62482800</v>
      </c>
      <c r="DN53">
        <v>-6.2788092344999311E-2</v>
      </c>
      <c r="DO53">
        <v>5129590000</v>
      </c>
      <c r="DP53">
        <v>1037631200</v>
      </c>
      <c r="DQ53">
        <v>4278</v>
      </c>
      <c r="DR53">
        <v>-0.3224639768799818</v>
      </c>
      <c r="DS53">
        <v>-0.59512042143027022</v>
      </c>
      <c r="DT53" s="9">
        <v>-0.54</v>
      </c>
      <c r="DU53">
        <v>-0.65666666666666662</v>
      </c>
      <c r="DV53">
        <v>-1.1966666666666668</v>
      </c>
      <c r="DW53">
        <v>-3.0174166666666666</v>
      </c>
      <c r="DX53">
        <v>0.3670848761638521</v>
      </c>
      <c r="DY53">
        <v>-3.0025617282598538</v>
      </c>
      <c r="DZ53">
        <v>4847</v>
      </c>
      <c r="EA53">
        <v>-3.0001318462881295</v>
      </c>
      <c r="EB53">
        <v>3</v>
      </c>
      <c r="EC53">
        <v>3.4998753117206981E-2</v>
      </c>
      <c r="ED53">
        <v>0.23794937655860349</v>
      </c>
      <c r="EE53" s="10">
        <v>2.0262000000000002</v>
      </c>
      <c r="EF53">
        <v>2.0451999999999999</v>
      </c>
      <c r="EG53">
        <v>22.147084876163852</v>
      </c>
      <c r="EH53" t="s">
        <v>782</v>
      </c>
      <c r="EI53">
        <v>0</v>
      </c>
      <c r="EJ53">
        <v>0</v>
      </c>
      <c r="EK53" s="11">
        <v>45470</v>
      </c>
      <c r="EL53">
        <v>0</v>
      </c>
      <c r="EM53">
        <v>-5.58</v>
      </c>
      <c r="EN53">
        <v>0</v>
      </c>
      <c r="EO53">
        <v>9.99</v>
      </c>
      <c r="EP53">
        <v>1.9</v>
      </c>
    </row>
    <row r="54" spans="1:146" ht="96" x14ac:dyDescent="0.25">
      <c r="A54" s="5"/>
      <c r="B54" s="5" t="s">
        <v>729</v>
      </c>
      <c r="C54" s="5" t="str">
        <f>""&amp;CHAR(10)&amp;Basic_Fundamental_Information_Constructure(F54)&amp;CHAR(10)&amp;Basic_Fundamental_Information_Concatenate("")</f>
        <v xml:space="preserve">
市值22.247246亿, 利润1290.49万; PE37.92; 平均PE34.98; 平均PEG4.59, PB3.12; ROIC7.8033%; ROE8.7967%; 股利率0%; 毛利40.52%; 净利18.7533%; 上一年度营收增-70.31%, 利润增-74.73%; 当季营收增-43.71%, 利润增-45.79%; 过往5年营收增-7.63%, 利润增-18.89%
Income profile:
</v>
      </c>
      <c r="D54" t="s">
        <v>145</v>
      </c>
      <c r="E54" t="s">
        <v>146</v>
      </c>
      <c r="F54">
        <v>22.56</v>
      </c>
      <c r="G54">
        <v>0.94</v>
      </c>
      <c r="H54" t="s">
        <v>2349</v>
      </c>
      <c r="I54">
        <v>2224724600</v>
      </c>
      <c r="J54">
        <v>37.92</v>
      </c>
      <c r="K54">
        <v>3.12</v>
      </c>
      <c r="L54" t="s">
        <v>52</v>
      </c>
      <c r="M54" t="s">
        <v>341</v>
      </c>
      <c r="N54" t="s">
        <v>2350</v>
      </c>
      <c r="O54" t="s">
        <v>2351</v>
      </c>
      <c r="P54">
        <v>14.73</v>
      </c>
      <c r="Q54" t="s">
        <v>2351</v>
      </c>
      <c r="R54">
        <v>12904905</v>
      </c>
      <c r="S54" s="4">
        <v>0.21060000000000001</v>
      </c>
      <c r="T54" t="s">
        <v>2352</v>
      </c>
      <c r="U54">
        <v>98613681</v>
      </c>
      <c r="V54">
        <v>98613681</v>
      </c>
      <c r="W54">
        <v>1.4</v>
      </c>
      <c r="X54">
        <v>0.09</v>
      </c>
      <c r="Y54">
        <v>14.06</v>
      </c>
      <c r="Z54" t="s">
        <v>2353</v>
      </c>
      <c r="AA54" t="s">
        <v>2354</v>
      </c>
      <c r="AB54" t="s">
        <v>2355</v>
      </c>
      <c r="AC54" t="s">
        <v>2356</v>
      </c>
      <c r="AD54" t="s">
        <v>30</v>
      </c>
      <c r="AE54">
        <v>768259</v>
      </c>
      <c r="AF54" t="s">
        <v>2357</v>
      </c>
      <c r="AG54">
        <v>3811</v>
      </c>
      <c r="AH54" t="s">
        <v>2358</v>
      </c>
      <c r="AI54" t="s">
        <v>120</v>
      </c>
      <c r="AJ54" t="s">
        <v>2359</v>
      </c>
      <c r="AK54" t="s">
        <v>30</v>
      </c>
      <c r="AL54" t="s">
        <v>2360</v>
      </c>
      <c r="AM54" t="s">
        <v>30</v>
      </c>
      <c r="AN54" t="s">
        <v>235</v>
      </c>
      <c r="AO54" t="s">
        <v>137</v>
      </c>
      <c r="AP54" t="s">
        <v>30</v>
      </c>
      <c r="AQ54" t="s">
        <v>2361</v>
      </c>
      <c r="AR54" t="s">
        <v>30</v>
      </c>
      <c r="AS54" t="s">
        <v>713</v>
      </c>
      <c r="AT54" t="s">
        <v>2362</v>
      </c>
      <c r="AU54" t="s">
        <v>2363</v>
      </c>
      <c r="AV54" t="s">
        <v>2364</v>
      </c>
      <c r="AW54" t="s">
        <v>2365</v>
      </c>
      <c r="AX54" t="s">
        <v>681</v>
      </c>
      <c r="AY54" t="s">
        <v>340</v>
      </c>
      <c r="AZ54" t="s">
        <v>320</v>
      </c>
      <c r="BA54" t="s">
        <v>423</v>
      </c>
      <c r="BB54" t="s">
        <v>322</v>
      </c>
      <c r="BC54" t="s">
        <v>858</v>
      </c>
      <c r="BD54" t="s">
        <v>636</v>
      </c>
      <c r="BE54" t="s">
        <v>422</v>
      </c>
      <c r="BF54" t="s">
        <v>424</v>
      </c>
      <c r="BG54" t="s">
        <v>425</v>
      </c>
      <c r="BH54" t="s">
        <v>382</v>
      </c>
      <c r="BI54" t="s">
        <v>167</v>
      </c>
      <c r="BJ54" t="s">
        <v>681</v>
      </c>
      <c r="BK54" t="s">
        <v>2366</v>
      </c>
      <c r="BL54" t="s">
        <v>2367</v>
      </c>
      <c r="BM54" t="s">
        <v>858</v>
      </c>
      <c r="BN54">
        <v>5.17</v>
      </c>
      <c r="BO54">
        <v>6.68</v>
      </c>
      <c r="BP54">
        <v>11.56</v>
      </c>
      <c r="BQ54">
        <v>5.93</v>
      </c>
      <c r="BR54">
        <v>7.61</v>
      </c>
      <c r="BS54">
        <v>12.85</v>
      </c>
      <c r="BT54" t="s">
        <v>737</v>
      </c>
      <c r="BU54" t="s">
        <v>542</v>
      </c>
      <c r="BV54">
        <v>38.76</v>
      </c>
      <c r="BW54">
        <v>39.380000000000003</v>
      </c>
      <c r="BX54">
        <v>43.42</v>
      </c>
      <c r="BY54">
        <v>15.7</v>
      </c>
      <c r="BZ54">
        <v>16.55</v>
      </c>
      <c r="CA54">
        <v>24.01</v>
      </c>
      <c r="CB54">
        <v>-2.46</v>
      </c>
      <c r="CC54">
        <v>-1.05</v>
      </c>
      <c r="CD54" t="s">
        <v>2368</v>
      </c>
      <c r="CE54" t="s">
        <v>2369</v>
      </c>
      <c r="CF54" s="7">
        <v>-0.43709079754601227</v>
      </c>
      <c r="CG54" s="8">
        <v>-0.45794108504990078</v>
      </c>
      <c r="CH54" s="7">
        <v>-0.7030608057975769</v>
      </c>
      <c r="CI54" s="7">
        <v>-8.849557489156723E-2</v>
      </c>
      <c r="CJ54" s="7">
        <v>0.28897339105606079</v>
      </c>
      <c r="CK54" s="7">
        <v>-8.0419577658176422E-2</v>
      </c>
      <c r="CL54" s="7">
        <v>0.20168067514896393</v>
      </c>
      <c r="CM54" s="8">
        <v>-0.74726253747940063</v>
      </c>
      <c r="CN54" s="8">
        <v>-0.37185612320899963</v>
      </c>
      <c r="CO54" s="8">
        <v>4.6040333108976483E-4</v>
      </c>
      <c r="CP54" s="8">
        <v>-4.716983437538147E-2</v>
      </c>
      <c r="CQ54" s="8">
        <v>0.22154903411865234</v>
      </c>
      <c r="CR54">
        <v>34.981440769089453</v>
      </c>
      <c r="CS54">
        <v>4.5868649938456221</v>
      </c>
      <c r="CT54">
        <v>0</v>
      </c>
      <c r="CU54" s="7">
        <v>-7.6264378428459165E-2</v>
      </c>
      <c r="CV54" s="8">
        <v>-0.18885581152280792</v>
      </c>
      <c r="CW54">
        <v>0.06</v>
      </c>
      <c r="CX54">
        <v>137.29084301311906</v>
      </c>
      <c r="CY54" t="s">
        <v>2370</v>
      </c>
      <c r="CZ54">
        <v>-7.6264378428459165E-2</v>
      </c>
      <c r="DA54">
        <v>45.76361433770635</v>
      </c>
      <c r="DB54" t="s">
        <v>2371</v>
      </c>
      <c r="DC54">
        <v>-7.2451159507036206E-2</v>
      </c>
      <c r="DD54">
        <v>22.881807168853175</v>
      </c>
      <c r="DE54" t="s">
        <v>2372</v>
      </c>
      <c r="DF54">
        <v>-6.7112653017044069E-2</v>
      </c>
      <c r="DG54">
        <v>13.729084301311905</v>
      </c>
      <c r="DH54" t="s">
        <v>2373</v>
      </c>
      <c r="DI54">
        <v>-6.1011502742767336E-2</v>
      </c>
      <c r="DJ54">
        <v>6.8645421506559527</v>
      </c>
      <c r="DK54" t="s">
        <v>2374</v>
      </c>
      <c r="DL54">
        <v>-5.3385064899921411E-2</v>
      </c>
      <c r="DM54">
        <v>12904900</v>
      </c>
      <c r="DN54">
        <v>-7.6264378428459165E-2</v>
      </c>
      <c r="DO54">
        <v>1771724600</v>
      </c>
      <c r="DP54">
        <v>99873810</v>
      </c>
      <c r="DQ54">
        <v>4291</v>
      </c>
      <c r="DR54">
        <v>-0.36082641911755309</v>
      </c>
      <c r="DS54">
        <v>-0.26908527352709288</v>
      </c>
      <c r="DT54" s="9">
        <v>-0.54</v>
      </c>
      <c r="DU54">
        <v>-0.60333333333333328</v>
      </c>
      <c r="DV54">
        <v>-1.1433333333333333</v>
      </c>
      <c r="DW54">
        <v>-1.0500000000000001E-2</v>
      </c>
      <c r="DX54">
        <v>0.25740491891059325</v>
      </c>
      <c r="DY54">
        <v>-9.1775164856122238E-4</v>
      </c>
      <c r="DZ54">
        <v>2352</v>
      </c>
      <c r="EA54">
        <v>-4.9533445141523511E-4</v>
      </c>
      <c r="EB54">
        <v>0</v>
      </c>
      <c r="EC54">
        <v>2.4167032158550091E-2</v>
      </c>
      <c r="ED54">
        <v>0.27649510416308259</v>
      </c>
      <c r="EE54" s="10">
        <v>2.4210000000000002E-2</v>
      </c>
      <c r="EF54">
        <v>3.9210000000000002E-2</v>
      </c>
      <c r="EG54">
        <v>17.087404918910593</v>
      </c>
      <c r="EH54">
        <v>-1</v>
      </c>
      <c r="EI54">
        <v>0</v>
      </c>
      <c r="EJ54">
        <v>0</v>
      </c>
      <c r="EK54" s="11">
        <v>45470</v>
      </c>
      <c r="EL54">
        <v>0.36</v>
      </c>
      <c r="EM54">
        <v>-2.31</v>
      </c>
      <c r="EN54">
        <v>-0.63</v>
      </c>
      <c r="EO54">
        <v>2.12</v>
      </c>
      <c r="EP54">
        <v>-1.5</v>
      </c>
    </row>
    <row r="55" spans="1:146" ht="96" x14ac:dyDescent="0.25">
      <c r="A55" s="5"/>
      <c r="B55" s="5"/>
      <c r="C55" s="5" t="str">
        <f>""&amp;CHAR(10)&amp;Basic_Fundamental_Information_Constructure(F55)&amp;CHAR(10)&amp;Basic_Fundamental_Information_Concatenate("")</f>
        <v xml:space="preserve">
市值30.39136亿, 利润6131.18万; PE64.47; 平均PE121.89; 平均PEG9.57, PB1.61; ROIC2.3967%; ROE2.6433%; 股利率.5667%; 毛利42.9667%; 净利1.5433%; 上一年度营收增-75.79%, 利润增-39.89%; 当季营收增-49.72%, 利润增12.75%; 过往5年营收增-12.73%, 利润增-77.88%
Income profile:
</v>
      </c>
      <c r="D55" t="s">
        <v>147</v>
      </c>
      <c r="E55" t="s">
        <v>7</v>
      </c>
      <c r="F55">
        <v>9.0299999999999994</v>
      </c>
      <c r="G55">
        <v>-2.9</v>
      </c>
      <c r="H55" t="s">
        <v>2375</v>
      </c>
      <c r="I55">
        <v>3039136000</v>
      </c>
      <c r="J55">
        <v>64.47</v>
      </c>
      <c r="K55">
        <v>1.61</v>
      </c>
      <c r="L55" t="s">
        <v>52</v>
      </c>
      <c r="M55" t="s">
        <v>2376</v>
      </c>
      <c r="N55" t="s">
        <v>1844</v>
      </c>
      <c r="O55" t="s">
        <v>1065</v>
      </c>
      <c r="P55">
        <v>-12.47</v>
      </c>
      <c r="Q55" t="s">
        <v>1065</v>
      </c>
      <c r="R55">
        <v>61311792</v>
      </c>
      <c r="S55" s="4">
        <v>-0.13900000000000001</v>
      </c>
      <c r="T55" t="s">
        <v>2377</v>
      </c>
      <c r="U55">
        <v>335459910</v>
      </c>
      <c r="V55">
        <v>336559910</v>
      </c>
      <c r="W55">
        <v>1.69</v>
      </c>
      <c r="X55">
        <v>0.32</v>
      </c>
      <c r="Y55">
        <v>5.85</v>
      </c>
      <c r="Z55" t="s">
        <v>1057</v>
      </c>
      <c r="AA55" t="s">
        <v>2378</v>
      </c>
      <c r="AB55" t="s">
        <v>71</v>
      </c>
      <c r="AC55" t="s">
        <v>565</v>
      </c>
      <c r="AD55" t="s">
        <v>30</v>
      </c>
      <c r="AE55">
        <v>4645976</v>
      </c>
      <c r="AF55" t="s">
        <v>2379</v>
      </c>
      <c r="AG55" t="s">
        <v>2380</v>
      </c>
      <c r="AH55" t="s">
        <v>2381</v>
      </c>
      <c r="AI55" t="s">
        <v>1005</v>
      </c>
      <c r="AJ55" t="s">
        <v>2382</v>
      </c>
      <c r="AK55" t="s">
        <v>30</v>
      </c>
      <c r="AL55" t="s">
        <v>2383</v>
      </c>
      <c r="AM55" t="s">
        <v>30</v>
      </c>
      <c r="AN55" t="s">
        <v>2384</v>
      </c>
      <c r="AO55" t="s">
        <v>30</v>
      </c>
      <c r="AP55" t="s">
        <v>30</v>
      </c>
      <c r="AQ55" t="s">
        <v>833</v>
      </c>
      <c r="AR55" t="s">
        <v>2385</v>
      </c>
      <c r="AS55" t="s">
        <v>2386</v>
      </c>
      <c r="AT55" t="s">
        <v>30</v>
      </c>
      <c r="AU55" t="s">
        <v>2387</v>
      </c>
      <c r="AV55" t="s">
        <v>2388</v>
      </c>
      <c r="AW55" t="s">
        <v>2389</v>
      </c>
      <c r="AX55" t="s">
        <v>859</v>
      </c>
      <c r="AY55" t="s">
        <v>638</v>
      </c>
      <c r="AZ55" t="s">
        <v>426</v>
      </c>
      <c r="BA55" t="s">
        <v>428</v>
      </c>
      <c r="BB55" t="s">
        <v>429</v>
      </c>
      <c r="BC55" t="s">
        <v>171</v>
      </c>
      <c r="BD55" t="s">
        <v>639</v>
      </c>
      <c r="BE55" t="s">
        <v>427</v>
      </c>
      <c r="BF55" t="s">
        <v>431</v>
      </c>
      <c r="BG55" t="s">
        <v>432</v>
      </c>
      <c r="BH55" t="s">
        <v>2390</v>
      </c>
      <c r="BI55" t="s">
        <v>1086</v>
      </c>
      <c r="BJ55" t="s">
        <v>859</v>
      </c>
      <c r="BK55" t="s">
        <v>2391</v>
      </c>
      <c r="BL55" t="s">
        <v>2392</v>
      </c>
      <c r="BM55" t="s">
        <v>171</v>
      </c>
      <c r="BN55">
        <v>0.25</v>
      </c>
      <c r="BO55">
        <v>5</v>
      </c>
      <c r="BP55">
        <v>1.94</v>
      </c>
      <c r="BQ55">
        <v>0.25</v>
      </c>
      <c r="BR55">
        <v>5.84</v>
      </c>
      <c r="BS55">
        <v>1.84</v>
      </c>
      <c r="BT55" t="s">
        <v>2393</v>
      </c>
      <c r="BU55" t="s">
        <v>524</v>
      </c>
      <c r="BV55">
        <v>42.23</v>
      </c>
      <c r="BW55">
        <v>43.13</v>
      </c>
      <c r="BX55">
        <v>43.54</v>
      </c>
      <c r="BY55">
        <v>1.56</v>
      </c>
      <c r="BZ55">
        <v>2.33</v>
      </c>
      <c r="CA55">
        <v>0.74</v>
      </c>
      <c r="CB55">
        <v>-3.1</v>
      </c>
      <c r="CC55">
        <v>-18.71</v>
      </c>
      <c r="CD55" t="s">
        <v>2394</v>
      </c>
      <c r="CE55" t="s">
        <v>2395</v>
      </c>
      <c r="CF55" s="7">
        <v>-0.49715639810426548</v>
      </c>
      <c r="CG55" s="8">
        <v>0.12745085130992684</v>
      </c>
      <c r="CH55" s="7">
        <v>-0.75787311792373657</v>
      </c>
      <c r="CI55" s="7">
        <v>5.0335600972175598E-2</v>
      </c>
      <c r="CJ55" s="7">
        <v>3.6264315247535706E-2</v>
      </c>
      <c r="CK55" s="7">
        <v>5.9969373978674412E-3</v>
      </c>
      <c r="CL55" s="7">
        <v>2.8527386486530304E-2</v>
      </c>
      <c r="CM55" s="8">
        <v>-0.39890393614768982</v>
      </c>
      <c r="CN55" s="8">
        <v>2.2902164459228516</v>
      </c>
      <c r="CO55" s="8">
        <v>1.4755090475082397</v>
      </c>
      <c r="CP55" s="8">
        <v>-7.2864990234375</v>
      </c>
      <c r="CQ55" s="8">
        <v>2.5887822732329369E-2</v>
      </c>
      <c r="CR55">
        <v>121.89284417946605</v>
      </c>
      <c r="CS55">
        <v>9.5715005102839577</v>
      </c>
      <c r="CT55">
        <v>0.56666666666666676</v>
      </c>
      <c r="CU55" s="7">
        <v>-0.12734977556392552</v>
      </c>
      <c r="CV55" s="8">
        <v>-0.77875792868435378</v>
      </c>
      <c r="CW55">
        <v>0.06</v>
      </c>
      <c r="CX55">
        <v>43.762146927671346</v>
      </c>
      <c r="CY55" t="s">
        <v>2396</v>
      </c>
      <c r="CZ55">
        <v>-0.12734977556392552</v>
      </c>
      <c r="DA55">
        <v>14.587382309223782</v>
      </c>
      <c r="DB55" t="s">
        <v>2397</v>
      </c>
      <c r="DC55">
        <v>-0.12098228678572924</v>
      </c>
      <c r="DD55">
        <v>7.2936911546118912</v>
      </c>
      <c r="DE55" t="s">
        <v>2398</v>
      </c>
      <c r="DF55">
        <v>-0.11206780249625445</v>
      </c>
      <c r="DG55">
        <v>4.3762146927671344</v>
      </c>
      <c r="DH55" t="s">
        <v>2399</v>
      </c>
      <c r="DI55">
        <v>-0.10187982045114041</v>
      </c>
      <c r="DJ55">
        <v>2.1881073463835672</v>
      </c>
      <c r="DK55" t="s">
        <v>2400</v>
      </c>
      <c r="DL55">
        <v>-8.9144842894747861E-2</v>
      </c>
      <c r="DM55">
        <v>61311800</v>
      </c>
      <c r="DN55">
        <v>-0.12734977556392552</v>
      </c>
      <c r="DO55">
        <v>2683136000</v>
      </c>
      <c r="DP55">
        <v>532953599.99999988</v>
      </c>
      <c r="DQ55">
        <v>4300</v>
      </c>
      <c r="DR55">
        <v>-0.36980662254033997</v>
      </c>
      <c r="DS55">
        <v>0.90620877999428062</v>
      </c>
      <c r="DT55" s="9">
        <v>-0.77333333333333332</v>
      </c>
      <c r="DU55">
        <v>0.22333333333333336</v>
      </c>
      <c r="DV55">
        <v>-0.54999999999999993</v>
      </c>
      <c r="DW55">
        <v>-8.165686798503474</v>
      </c>
      <c r="DX55">
        <v>0.56114472626631795</v>
      </c>
      <c r="DY55">
        <v>-8.0300132897608556</v>
      </c>
      <c r="DZ55">
        <v>4843</v>
      </c>
      <c r="EA55">
        <v>-8.0015682090736107</v>
      </c>
      <c r="EB55">
        <v>8</v>
      </c>
      <c r="EC55">
        <v>3.3682561895146686E-2</v>
      </c>
      <c r="ED55">
        <v>0.18594282367142301</v>
      </c>
      <c r="EE55" s="10">
        <v>1.04511</v>
      </c>
      <c r="EF55">
        <v>1.07931</v>
      </c>
      <c r="EG55">
        <v>38.181144726266318</v>
      </c>
      <c r="EH55" t="s">
        <v>763</v>
      </c>
      <c r="EI55">
        <v>0</v>
      </c>
      <c r="EJ55">
        <v>0</v>
      </c>
      <c r="EK55" s="11">
        <v>45470</v>
      </c>
      <c r="EL55">
        <v>0</v>
      </c>
      <c r="EM55">
        <v>-4.1900000000000004</v>
      </c>
      <c r="EN55">
        <v>-2.69</v>
      </c>
      <c r="EO55">
        <v>1.04</v>
      </c>
      <c r="EP55">
        <v>-3.42</v>
      </c>
    </row>
    <row r="56" spans="1:146" ht="96" x14ac:dyDescent="0.25">
      <c r="A56" s="5"/>
      <c r="B56" s="5"/>
      <c r="C56" s="5" t="str">
        <f>""&amp;CHAR(10)&amp;Basic_Fundamental_Information_Constructure(F56)&amp;CHAR(10)&amp;Basic_Fundamental_Information_Concatenate("")</f>
        <v xml:space="preserve">
市值81.585677亿, 利润1.15亿; PE14.82; 平均PE13.14; 平均PEG1.46, PB1.57; ROIC11.68%; ROE12.7867%; 股利率3.5294%; 毛利24.35%; 净利10.0367%; 上一年度营收增-79.06%, 利润增-82.03%; 当季营收增-56.35%, 利润增-60.54%; 过往5年营收增-8.97%, 利润增-15.21%
Income profile:
</v>
      </c>
      <c r="D56" t="s">
        <v>148</v>
      </c>
      <c r="E56" t="s">
        <v>13</v>
      </c>
      <c r="F56">
        <v>5.0999999999999996</v>
      </c>
      <c r="G56">
        <v>1.59</v>
      </c>
      <c r="H56" t="s">
        <v>2401</v>
      </c>
      <c r="I56">
        <v>8158567700</v>
      </c>
      <c r="J56">
        <v>14.82</v>
      </c>
      <c r="K56">
        <v>1.57</v>
      </c>
      <c r="L56" t="s">
        <v>52</v>
      </c>
      <c r="M56" t="s">
        <v>2402</v>
      </c>
      <c r="N56" t="s">
        <v>2403</v>
      </c>
      <c r="O56" t="s">
        <v>781</v>
      </c>
      <c r="P56">
        <v>-5.15</v>
      </c>
      <c r="Q56" t="s">
        <v>781</v>
      </c>
      <c r="R56">
        <v>115230925</v>
      </c>
      <c r="S56" s="4">
        <v>-0.16950000000000001</v>
      </c>
      <c r="T56" t="s">
        <v>137</v>
      </c>
      <c r="U56">
        <v>1599719200</v>
      </c>
      <c r="V56">
        <v>1599719200</v>
      </c>
      <c r="W56">
        <v>1.37</v>
      </c>
      <c r="X56">
        <v>0.2</v>
      </c>
      <c r="Y56">
        <v>8.23</v>
      </c>
      <c r="Z56" t="s">
        <v>2404</v>
      </c>
      <c r="AA56" t="s">
        <v>2405</v>
      </c>
      <c r="AB56" t="s">
        <v>137</v>
      </c>
      <c r="AC56" t="s">
        <v>2406</v>
      </c>
      <c r="AD56" t="s">
        <v>30</v>
      </c>
      <c r="AE56">
        <v>8629839</v>
      </c>
      <c r="AF56" t="s">
        <v>2407</v>
      </c>
      <c r="AG56" t="s">
        <v>2408</v>
      </c>
      <c r="AH56" t="s">
        <v>2409</v>
      </c>
      <c r="AI56" t="s">
        <v>833</v>
      </c>
      <c r="AJ56" t="s">
        <v>2410</v>
      </c>
      <c r="AK56" t="s">
        <v>30</v>
      </c>
      <c r="AL56" t="s">
        <v>2411</v>
      </c>
      <c r="AM56" t="s">
        <v>30</v>
      </c>
      <c r="AN56" t="s">
        <v>1019</v>
      </c>
      <c r="AO56" t="s">
        <v>309</v>
      </c>
      <c r="AP56" t="s">
        <v>30</v>
      </c>
      <c r="AQ56" t="s">
        <v>724</v>
      </c>
      <c r="AR56" t="s">
        <v>30</v>
      </c>
      <c r="AS56" t="s">
        <v>2412</v>
      </c>
      <c r="AT56" t="s">
        <v>1077</v>
      </c>
      <c r="AU56" t="s">
        <v>253</v>
      </c>
      <c r="AV56" t="s">
        <v>2413</v>
      </c>
      <c r="AW56" t="s">
        <v>2414</v>
      </c>
      <c r="AX56" t="s">
        <v>488</v>
      </c>
      <c r="AY56" t="s">
        <v>640</v>
      </c>
      <c r="AZ56" t="s">
        <v>433</v>
      </c>
      <c r="BA56" t="s">
        <v>436</v>
      </c>
      <c r="BB56" t="s">
        <v>437</v>
      </c>
      <c r="BC56" t="s">
        <v>715</v>
      </c>
      <c r="BD56" t="s">
        <v>641</v>
      </c>
      <c r="BE56" t="s">
        <v>434</v>
      </c>
      <c r="BF56" t="s">
        <v>289</v>
      </c>
      <c r="BG56" t="s">
        <v>438</v>
      </c>
      <c r="BH56" t="s">
        <v>2415</v>
      </c>
      <c r="BI56" t="s">
        <v>1089</v>
      </c>
      <c r="BJ56" t="s">
        <v>488</v>
      </c>
      <c r="BK56" t="s">
        <v>2416</v>
      </c>
      <c r="BL56" t="s">
        <v>2417</v>
      </c>
      <c r="BM56" t="s">
        <v>715</v>
      </c>
      <c r="BN56">
        <v>8.16</v>
      </c>
      <c r="BO56">
        <v>11.95</v>
      </c>
      <c r="BP56">
        <v>14.93</v>
      </c>
      <c r="BQ56">
        <v>9.25</v>
      </c>
      <c r="BR56">
        <v>13.1</v>
      </c>
      <c r="BS56">
        <v>16.010000000000002</v>
      </c>
      <c r="BT56" t="s">
        <v>817</v>
      </c>
      <c r="BU56" t="s">
        <v>524</v>
      </c>
      <c r="BV56">
        <v>22.79</v>
      </c>
      <c r="BW56">
        <v>23.98</v>
      </c>
      <c r="BX56">
        <v>26.28</v>
      </c>
      <c r="BY56">
        <v>8.49</v>
      </c>
      <c r="BZ56">
        <v>9.57</v>
      </c>
      <c r="CA56">
        <v>12.05</v>
      </c>
      <c r="CB56">
        <v>0.59</v>
      </c>
      <c r="CC56">
        <v>-18.010000000000002</v>
      </c>
      <c r="CD56" t="s">
        <v>2418</v>
      </c>
      <c r="CE56" t="s">
        <v>363</v>
      </c>
      <c r="CF56" s="7">
        <v>-0.56345494231368876</v>
      </c>
      <c r="CG56" s="8">
        <v>-0.60537354452054792</v>
      </c>
      <c r="CH56" s="7">
        <v>-0.79060721397399902</v>
      </c>
      <c r="CI56" s="7">
        <v>5.5406481027603149E-2</v>
      </c>
      <c r="CJ56" s="7">
        <v>6.2384750694036484E-2</v>
      </c>
      <c r="CK56" s="7">
        <v>5.6520115584135056E-2</v>
      </c>
      <c r="CL56" s="7">
        <v>0.16780474781990051</v>
      </c>
      <c r="CM56" s="8">
        <v>-0.8203125</v>
      </c>
      <c r="CN56" s="8">
        <v>-0.16120576858520508</v>
      </c>
      <c r="CO56" s="8">
        <v>-0.13590033352375031</v>
      </c>
      <c r="CP56" s="8">
        <v>0.29282575845718384</v>
      </c>
      <c r="CQ56" s="8">
        <v>6.3862927258014679E-2</v>
      </c>
      <c r="CR56">
        <v>13.137790177133656</v>
      </c>
      <c r="CS56">
        <v>1.4646655892395446</v>
      </c>
      <c r="CT56">
        <v>3.5294117647058827</v>
      </c>
      <c r="CU56" s="7">
        <v>-8.969822376966477E-2</v>
      </c>
      <c r="CV56" s="8">
        <v>-0.15214598327875137</v>
      </c>
      <c r="CW56">
        <v>0.06</v>
      </c>
      <c r="CX56">
        <v>42.717979999999997</v>
      </c>
      <c r="CY56" t="s">
        <v>2419</v>
      </c>
      <c r="CZ56">
        <v>-8.969822376966477E-2</v>
      </c>
      <c r="DA56">
        <v>14.239326666666667</v>
      </c>
      <c r="DB56" t="s">
        <v>2420</v>
      </c>
      <c r="DC56">
        <v>-8.5213312581181533E-2</v>
      </c>
      <c r="DD56">
        <v>7.1196633333333335</v>
      </c>
      <c r="DE56" t="s">
        <v>1290</v>
      </c>
      <c r="DF56">
        <v>-7.8934436917304993E-2</v>
      </c>
      <c r="DG56">
        <v>4.2717980000000004</v>
      </c>
      <c r="DH56" t="s">
        <v>2421</v>
      </c>
      <c r="DI56">
        <v>-7.1758579015731822E-2</v>
      </c>
      <c r="DJ56">
        <v>2.1358990000000002</v>
      </c>
      <c r="DK56" t="s">
        <v>1292</v>
      </c>
      <c r="DL56">
        <v>-6.2788756638765333E-2</v>
      </c>
      <c r="DM56">
        <v>114999999.99999999</v>
      </c>
      <c r="DN56">
        <v>-8.969822376966477E-2</v>
      </c>
      <c r="DO56">
        <v>4912567700</v>
      </c>
      <c r="DP56">
        <v>-263867550</v>
      </c>
      <c r="DQ56">
        <v>4344</v>
      </c>
      <c r="DR56">
        <v>-0.47375671854402401</v>
      </c>
      <c r="DS56">
        <v>-0.45322756124179653</v>
      </c>
      <c r="DT56" s="9">
        <v>-0.67333333333333334</v>
      </c>
      <c r="DU56">
        <v>-0.80666666666666664</v>
      </c>
      <c r="DV56">
        <v>-1.48</v>
      </c>
      <c r="DW56">
        <v>-3.022732142857143</v>
      </c>
      <c r="DX56">
        <v>0.30970825396825308</v>
      </c>
      <c r="DY56">
        <v>-3.0034031894160997</v>
      </c>
      <c r="DZ56">
        <v>2088</v>
      </c>
      <c r="EA56">
        <v>-3.0020126102574274</v>
      </c>
      <c r="EB56">
        <v>3</v>
      </c>
      <c r="EC56">
        <v>2.9478986062053895E-2</v>
      </c>
      <c r="ED56">
        <v>0.19690955762736359</v>
      </c>
      <c r="EE56" s="10">
        <v>-3.0747100000000001</v>
      </c>
      <c r="EF56">
        <v>-3.0845099999999999</v>
      </c>
      <c r="EG56">
        <v>16.149708253968253</v>
      </c>
      <c r="EH56" t="s">
        <v>1032</v>
      </c>
      <c r="EI56">
        <v>0</v>
      </c>
      <c r="EJ56">
        <v>0</v>
      </c>
      <c r="EK56" s="11">
        <v>45470</v>
      </c>
      <c r="EL56">
        <v>0.46</v>
      </c>
      <c r="EM56">
        <v>-6.17</v>
      </c>
      <c r="EN56">
        <v>1.55</v>
      </c>
      <c r="EO56">
        <v>2.4500000000000002</v>
      </c>
      <c r="EP56">
        <v>-0.98</v>
      </c>
    </row>
    <row r="57" spans="1:146" ht="96" x14ac:dyDescent="0.25">
      <c r="A57" s="5"/>
      <c r="B57" s="5"/>
      <c r="C57" s="5" t="str">
        <f>""&amp;CHAR(10)&amp;Basic_Fundamental_Information_Constructure(F57)&amp;CHAR(10)&amp;Basic_Fundamental_Information_Concatenate("")</f>
        <v xml:space="preserve">
市值35.256亿, 利润-839.45万; PE12.74; 平均PE15.11; 平均PEG1.37, PB2.14; ROIC18.26%; ROE19.0133%; 股利率6.8074%; 毛利61.4367%; 净利11.28%; 上一年度营收增-83.73%, 利润增-103.16%; 当季营收增-60.76%, 利润增-117.49%; 过往5年营收增-11.03%, 利润增-18.6%
Income profile:
</v>
      </c>
      <c r="D57" t="s">
        <v>149</v>
      </c>
      <c r="E57" t="s">
        <v>29</v>
      </c>
      <c r="F57">
        <v>14.69</v>
      </c>
      <c r="G57">
        <v>0.89</v>
      </c>
      <c r="H57" t="s">
        <v>2422</v>
      </c>
      <c r="I57">
        <v>3525600000</v>
      </c>
      <c r="J57">
        <v>12.74</v>
      </c>
      <c r="K57">
        <v>2.14</v>
      </c>
      <c r="L57" t="s">
        <v>52</v>
      </c>
      <c r="M57" t="s">
        <v>2423</v>
      </c>
      <c r="N57" t="s">
        <v>2424</v>
      </c>
      <c r="O57" t="s">
        <v>412</v>
      </c>
      <c r="P57">
        <v>-5.96</v>
      </c>
      <c r="Q57" t="s">
        <v>412</v>
      </c>
      <c r="R57">
        <v>-8394514</v>
      </c>
      <c r="S57" s="4">
        <v>4.7100000000000003E-2</v>
      </c>
      <c r="T57" t="s">
        <v>2425</v>
      </c>
      <c r="U57">
        <v>240000000</v>
      </c>
      <c r="V57">
        <v>240000000</v>
      </c>
      <c r="W57">
        <v>1.87</v>
      </c>
      <c r="X57">
        <v>0.13</v>
      </c>
      <c r="Y57">
        <v>-1.99</v>
      </c>
      <c r="Z57" t="s">
        <v>989</v>
      </c>
      <c r="AA57" t="s">
        <v>1064</v>
      </c>
      <c r="AB57" t="s">
        <v>276</v>
      </c>
      <c r="AC57" t="s">
        <v>2426</v>
      </c>
      <c r="AD57" t="s">
        <v>30</v>
      </c>
      <c r="AE57">
        <v>1261381</v>
      </c>
      <c r="AF57" t="s">
        <v>2427</v>
      </c>
      <c r="AG57" t="s">
        <v>2428</v>
      </c>
      <c r="AH57" t="s">
        <v>2429</v>
      </c>
      <c r="AI57" t="s">
        <v>1002</v>
      </c>
      <c r="AJ57" t="s">
        <v>2430</v>
      </c>
      <c r="AK57" t="s">
        <v>30</v>
      </c>
      <c r="AL57" t="s">
        <v>2431</v>
      </c>
      <c r="AM57" t="s">
        <v>30</v>
      </c>
      <c r="AN57" t="s">
        <v>2432</v>
      </c>
      <c r="AO57" t="s">
        <v>30</v>
      </c>
      <c r="AP57" t="s">
        <v>30</v>
      </c>
      <c r="AQ57" t="s">
        <v>2433</v>
      </c>
      <c r="AR57" t="s">
        <v>30</v>
      </c>
      <c r="AS57" t="s">
        <v>2434</v>
      </c>
      <c r="AT57" t="s">
        <v>30</v>
      </c>
      <c r="AU57" t="s">
        <v>2435</v>
      </c>
      <c r="AV57" t="s">
        <v>2436</v>
      </c>
      <c r="AW57" t="s">
        <v>2437</v>
      </c>
      <c r="AX57" t="s">
        <v>860</v>
      </c>
      <c r="AY57" t="s">
        <v>642</v>
      </c>
      <c r="AZ57" t="s">
        <v>440</v>
      </c>
      <c r="BA57" t="s">
        <v>441</v>
      </c>
      <c r="BB57" t="s">
        <v>442</v>
      </c>
      <c r="BC57" t="s">
        <v>172</v>
      </c>
      <c r="BD57" t="s">
        <v>144</v>
      </c>
      <c r="BE57" t="s">
        <v>79</v>
      </c>
      <c r="BF57" t="s">
        <v>69</v>
      </c>
      <c r="BG57" t="s">
        <v>413</v>
      </c>
      <c r="BH57" t="s">
        <v>2438</v>
      </c>
      <c r="BI57" t="s">
        <v>1092</v>
      </c>
      <c r="BJ57" t="s">
        <v>860</v>
      </c>
      <c r="BK57" t="s">
        <v>752</v>
      </c>
      <c r="BL57" t="s">
        <v>2439</v>
      </c>
      <c r="BM57" t="s">
        <v>172</v>
      </c>
      <c r="BN57">
        <v>17.11</v>
      </c>
      <c r="BO57">
        <v>15.75</v>
      </c>
      <c r="BP57">
        <v>21.92</v>
      </c>
      <c r="BQ57">
        <v>18.399999999999999</v>
      </c>
      <c r="BR57">
        <v>16.97</v>
      </c>
      <c r="BS57">
        <v>21.67</v>
      </c>
      <c r="BT57" t="s">
        <v>743</v>
      </c>
      <c r="BU57" t="s">
        <v>524</v>
      </c>
      <c r="BV57">
        <v>62.05</v>
      </c>
      <c r="BW57">
        <v>60.14</v>
      </c>
      <c r="BX57">
        <v>62.12</v>
      </c>
      <c r="BY57">
        <v>10.39</v>
      </c>
      <c r="BZ57">
        <v>10.3</v>
      </c>
      <c r="CA57">
        <v>13.15</v>
      </c>
      <c r="CB57">
        <v>-2.46</v>
      </c>
      <c r="CC57">
        <v>-5.23</v>
      </c>
      <c r="CD57" t="s">
        <v>2440</v>
      </c>
      <c r="CE57" t="s">
        <v>2441</v>
      </c>
      <c r="CF57" s="7">
        <v>-0.60764212488350422</v>
      </c>
      <c r="CG57" s="8">
        <v>-1.1748988257452642</v>
      </c>
      <c r="CH57" s="7">
        <v>-0.83726328611373901</v>
      </c>
      <c r="CI57" s="7">
        <v>1.1610154761001468E-3</v>
      </c>
      <c r="CJ57" s="7">
        <v>0.12201473116874695</v>
      </c>
      <c r="CK57" s="7">
        <v>3.5987403243780136E-2</v>
      </c>
      <c r="CL57" s="7">
        <v>0.1267106682062149</v>
      </c>
      <c r="CM57" s="8">
        <v>-1.0315582752227783</v>
      </c>
      <c r="CN57" s="8">
        <v>-0.21764706075191498</v>
      </c>
      <c r="CO57" s="8">
        <v>0.13333334028720856</v>
      </c>
      <c r="CP57" s="8">
        <v>0.20967741310596466</v>
      </c>
      <c r="CQ57" s="8">
        <v>-2.3622047156095505E-2</v>
      </c>
      <c r="CR57">
        <v>15.113973187444603</v>
      </c>
      <c r="CS57">
        <v>1.3705351719672878</v>
      </c>
      <c r="CT57">
        <v>6.8073519400953035</v>
      </c>
      <c r="CU57" s="7">
        <v>-0.11027789360377938</v>
      </c>
      <c r="CV57" s="8">
        <v>-0.18596332594752313</v>
      </c>
      <c r="CW57">
        <v>0.06</v>
      </c>
      <c r="CX57" t="e">
        <v>#VALUE!</v>
      </c>
      <c r="CY57" t="s">
        <v>661</v>
      </c>
      <c r="CZ57">
        <v>-0.11027789360377938</v>
      </c>
      <c r="DA57" t="e">
        <v>#VALUE!</v>
      </c>
      <c r="DB57" t="s">
        <v>656</v>
      </c>
      <c r="DC57">
        <v>-0.1047639989235904</v>
      </c>
      <c r="DD57" t="e">
        <v>#VALUE!</v>
      </c>
      <c r="DE57" t="s">
        <v>656</v>
      </c>
      <c r="DF57">
        <v>-9.7044546371325854E-2</v>
      </c>
      <c r="DG57" t="e">
        <v>#VALUE!</v>
      </c>
      <c r="DH57" t="s">
        <v>656</v>
      </c>
      <c r="DI57">
        <v>-8.8222314883023512E-2</v>
      </c>
      <c r="DJ57" t="e">
        <v>#VALUE!</v>
      </c>
      <c r="DK57" t="s">
        <v>656</v>
      </c>
      <c r="DL57">
        <v>-7.7194525522645552E-2</v>
      </c>
      <c r="DM57">
        <v>-8394500</v>
      </c>
      <c r="DN57">
        <v>-0.11027789360377938</v>
      </c>
      <c r="DO57">
        <v>3366600000</v>
      </c>
      <c r="DP57">
        <v>540926800</v>
      </c>
      <c r="DQ57">
        <v>4358</v>
      </c>
      <c r="DR57">
        <v>-0.49736423127972484</v>
      </c>
      <c r="DS57">
        <v>-0.98893549979774109</v>
      </c>
      <c r="DT57" s="9">
        <v>-0.77333333333333332</v>
      </c>
      <c r="DU57">
        <v>-1.6816666666666666</v>
      </c>
      <c r="DV57">
        <v>-2.4550000000000001</v>
      </c>
      <c r="DW57">
        <v>-1.0523</v>
      </c>
      <c r="DX57">
        <v>0.36620054028285409</v>
      </c>
      <c r="DY57">
        <v>-1.0060772882567932</v>
      </c>
      <c r="DZ57">
        <v>4235</v>
      </c>
      <c r="EA57">
        <v>-1.0010406315508207</v>
      </c>
      <c r="EB57">
        <v>1</v>
      </c>
      <c r="EC57">
        <v>1.8281249999999999E-2</v>
      </c>
      <c r="ED57">
        <v>0.15732499999999999</v>
      </c>
      <c r="EE57" s="10">
        <v>-2.0226999999999999</v>
      </c>
      <c r="EF57">
        <v>-2.1221000000000001</v>
      </c>
      <c r="EG57">
        <v>25.116200540282854</v>
      </c>
      <c r="EH57" t="s">
        <v>964</v>
      </c>
      <c r="EI57">
        <v>0</v>
      </c>
      <c r="EJ57">
        <v>0</v>
      </c>
      <c r="EK57" s="11">
        <v>45470</v>
      </c>
      <c r="EL57">
        <v>0.45</v>
      </c>
      <c r="EM57">
        <v>-4.03</v>
      </c>
      <c r="EN57">
        <v>8.6199999999999992</v>
      </c>
      <c r="EO57">
        <v>10.09</v>
      </c>
      <c r="EP57">
        <v>9.94</v>
      </c>
    </row>
    <row r="58" spans="1:146" ht="96" x14ac:dyDescent="0.25">
      <c r="A58" s="5"/>
      <c r="B58" s="5"/>
      <c r="C58" s="5" t="str">
        <f>""&amp;CHAR(10)&amp;Basic_Fundamental_Information_Constructure(F58)&amp;CHAR(10)&amp;Basic_Fundamental_Information_Concatenate("")</f>
        <v xml:space="preserve">
市值28.3176亿, 利润1890.58万; PE23.86; 平均PE29.43; 平均PEG7.07, PB2.23; ROIC11.2367%; ROE16.3233%; 股利率3.4113%; 毛利25.19%; 净利17.4133%; 上一年度营收增-79.2%, 利润增-86.78%; 当季营收增-60.19%, 利润增-74.68%; 过往5年营收增-4.16%, 利润增-1.33%
Income profile:
</v>
      </c>
      <c r="D58" t="s">
        <v>443</v>
      </c>
      <c r="E58" t="s">
        <v>444</v>
      </c>
      <c r="F58">
        <v>20.52</v>
      </c>
      <c r="G58">
        <v>-3.21</v>
      </c>
      <c r="H58" t="s">
        <v>1062</v>
      </c>
      <c r="I58">
        <v>2831760000</v>
      </c>
      <c r="J58">
        <v>23.86</v>
      </c>
      <c r="K58">
        <v>2.23</v>
      </c>
      <c r="L58" t="s">
        <v>52</v>
      </c>
      <c r="M58" t="s">
        <v>196</v>
      </c>
      <c r="N58" t="s">
        <v>1930</v>
      </c>
      <c r="O58" t="s">
        <v>584</v>
      </c>
      <c r="P58">
        <v>-17.920000000000002</v>
      </c>
      <c r="Q58" t="s">
        <v>584</v>
      </c>
      <c r="R58">
        <v>18905846</v>
      </c>
      <c r="S58" s="4">
        <v>-0.46939999999999998</v>
      </c>
      <c r="T58" t="s">
        <v>2442</v>
      </c>
      <c r="U58">
        <v>138000000</v>
      </c>
      <c r="V58">
        <v>138000000</v>
      </c>
      <c r="W58">
        <v>1.0900000000000001</v>
      </c>
      <c r="X58">
        <v>0.12</v>
      </c>
      <c r="Y58">
        <v>11.39</v>
      </c>
      <c r="Z58" t="s">
        <v>583</v>
      </c>
      <c r="AA58" t="s">
        <v>189</v>
      </c>
      <c r="AB58" t="s">
        <v>2443</v>
      </c>
      <c r="AC58" t="s">
        <v>2444</v>
      </c>
      <c r="AD58" t="s">
        <v>30</v>
      </c>
      <c r="AE58">
        <v>-3543249</v>
      </c>
      <c r="AF58" t="s">
        <v>2445</v>
      </c>
      <c r="AG58">
        <v>1486.86</v>
      </c>
      <c r="AH58" t="s">
        <v>2446</v>
      </c>
      <c r="AI58" t="s">
        <v>2447</v>
      </c>
      <c r="AJ58" t="s">
        <v>2448</v>
      </c>
      <c r="AK58" t="s">
        <v>30</v>
      </c>
      <c r="AL58" t="s">
        <v>2449</v>
      </c>
      <c r="AM58" t="s">
        <v>30</v>
      </c>
      <c r="AN58" t="s">
        <v>2450</v>
      </c>
      <c r="AO58" t="s">
        <v>1170</v>
      </c>
      <c r="AP58" t="s">
        <v>30</v>
      </c>
      <c r="AQ58" t="s">
        <v>2451</v>
      </c>
      <c r="AR58" t="s">
        <v>30</v>
      </c>
      <c r="AS58" t="s">
        <v>120</v>
      </c>
      <c r="AT58" t="s">
        <v>30</v>
      </c>
      <c r="AU58" t="s">
        <v>2452</v>
      </c>
      <c r="AV58" t="s">
        <v>2453</v>
      </c>
      <c r="AW58" t="s">
        <v>2454</v>
      </c>
      <c r="AX58" t="s">
        <v>862</v>
      </c>
      <c r="AY58" t="s">
        <v>643</v>
      </c>
      <c r="AZ58" t="s">
        <v>445</v>
      </c>
      <c r="BA58" t="s">
        <v>446</v>
      </c>
      <c r="BB58" t="s">
        <v>67</v>
      </c>
      <c r="BC58" t="s">
        <v>73</v>
      </c>
      <c r="BD58" t="s">
        <v>619</v>
      </c>
      <c r="BE58" t="s">
        <v>394</v>
      </c>
      <c r="BF58" t="s">
        <v>447</v>
      </c>
      <c r="BG58" t="s">
        <v>448</v>
      </c>
      <c r="BH58" t="s">
        <v>2455</v>
      </c>
      <c r="BI58" t="s">
        <v>663</v>
      </c>
      <c r="BJ58" t="s">
        <v>862</v>
      </c>
      <c r="BK58" t="s">
        <v>106</v>
      </c>
      <c r="BL58" t="s">
        <v>2456</v>
      </c>
      <c r="BM58" t="s">
        <v>73</v>
      </c>
      <c r="BN58">
        <v>7.66</v>
      </c>
      <c r="BO58">
        <v>10.75</v>
      </c>
      <c r="BP58">
        <v>15.3</v>
      </c>
      <c r="BQ58">
        <v>8.4600000000000009</v>
      </c>
      <c r="BR58">
        <v>11.53</v>
      </c>
      <c r="BS58">
        <v>28.98</v>
      </c>
      <c r="BT58" t="s">
        <v>2457</v>
      </c>
      <c r="BU58" t="s">
        <v>1235</v>
      </c>
      <c r="BV58">
        <v>26.38</v>
      </c>
      <c r="BW58">
        <v>24.08</v>
      </c>
      <c r="BX58">
        <v>25.11</v>
      </c>
      <c r="BY58">
        <v>16.95</v>
      </c>
      <c r="BZ58">
        <v>17.940000000000001</v>
      </c>
      <c r="CA58">
        <v>17.350000000000001</v>
      </c>
      <c r="CB58">
        <v>-3.84</v>
      </c>
      <c r="CC58">
        <v>-20.5</v>
      </c>
      <c r="CD58" t="s">
        <v>2458</v>
      </c>
      <c r="CE58" t="s">
        <v>2459</v>
      </c>
      <c r="CF58" s="7">
        <v>-0.60191846522781778</v>
      </c>
      <c r="CG58" s="8">
        <v>-0.74684835281373396</v>
      </c>
      <c r="CH58" s="7">
        <v>-0.79197996854782104</v>
      </c>
      <c r="CI58" s="7">
        <v>4.3137256056070328E-2</v>
      </c>
      <c r="CJ58" s="7">
        <v>0.22990353405475616</v>
      </c>
      <c r="CK58" s="7">
        <v>0.14760147035121918</v>
      </c>
      <c r="CL58" s="7">
        <v>0.16309012472629547</v>
      </c>
      <c r="CM58" s="8">
        <v>-0.86779159307479858</v>
      </c>
      <c r="CN58" s="8">
        <v>7.5187966227531433E-2</v>
      </c>
      <c r="CO58" s="8">
        <v>6.4000003039836884E-2</v>
      </c>
      <c r="CP58" s="8">
        <v>0.44938802719116211</v>
      </c>
      <c r="CQ58" s="8">
        <v>0.21256129443645477</v>
      </c>
      <c r="CR58">
        <v>29.432401251398819</v>
      </c>
      <c r="CS58">
        <v>7.0666849469729964</v>
      </c>
      <c r="CT58">
        <v>3.4113060428849904</v>
      </c>
      <c r="CU58" s="7">
        <v>-4.1649516671895981E-2</v>
      </c>
      <c r="CV58" s="8">
        <v>-1.3330860435962677E-2</v>
      </c>
      <c r="CW58">
        <v>0.06</v>
      </c>
      <c r="CX58">
        <v>88.478667922013344</v>
      </c>
      <c r="CY58" t="s">
        <v>2460</v>
      </c>
      <c r="CZ58">
        <v>-4.1649516671895981E-2</v>
      </c>
      <c r="DA58">
        <v>29.492889307337784</v>
      </c>
      <c r="DB58" t="s">
        <v>2461</v>
      </c>
      <c r="DC58">
        <v>-3.9567040838301183E-2</v>
      </c>
      <c r="DD58">
        <v>14.746444653668892</v>
      </c>
      <c r="DE58" t="s">
        <v>2462</v>
      </c>
      <c r="DF58">
        <v>-3.6651574671268464E-2</v>
      </c>
      <c r="DG58">
        <v>8.8478667922013354</v>
      </c>
      <c r="DH58" t="s">
        <v>2463</v>
      </c>
      <c r="DI58">
        <v>-3.3319613337516783E-2</v>
      </c>
      <c r="DJ58">
        <v>4.4239333961006677</v>
      </c>
      <c r="DK58" t="s">
        <v>2464</v>
      </c>
      <c r="DL58">
        <v>-2.9154661670327185E-2</v>
      </c>
      <c r="DM58">
        <v>18905800</v>
      </c>
      <c r="DN58">
        <v>-4.1649516671895981E-2</v>
      </c>
      <c r="DO58">
        <v>1672760000</v>
      </c>
      <c r="DP58">
        <v>989537410</v>
      </c>
      <c r="DQ58">
        <v>4453</v>
      </c>
      <c r="DR58">
        <v>-0.5602689485559218</v>
      </c>
      <c r="DS58">
        <v>-0.73351749237777131</v>
      </c>
      <c r="DT58" s="9">
        <v>-0.54</v>
      </c>
      <c r="DU58">
        <v>-0.55666666666666675</v>
      </c>
      <c r="DV58">
        <v>-1.0966666666666667</v>
      </c>
      <c r="DW58">
        <v>-8.1873170731707319</v>
      </c>
      <c r="DX58">
        <v>0.87182715573901592</v>
      </c>
      <c r="DY58">
        <v>-8.0396788428311119</v>
      </c>
      <c r="DZ58">
        <v>414</v>
      </c>
      <c r="EA58">
        <v>-8.0364641577172016</v>
      </c>
      <c r="EB58">
        <v>8</v>
      </c>
      <c r="EC58">
        <v>1.8333333333333333E-2</v>
      </c>
      <c r="ED58">
        <v>8.6548550724637671E-2</v>
      </c>
      <c r="EE58" s="10">
        <v>3.0394100000000002</v>
      </c>
      <c r="EF58">
        <v>3.0563099999999999</v>
      </c>
      <c r="EG58">
        <v>66.211827155739016</v>
      </c>
      <c r="EH58" t="s">
        <v>1185</v>
      </c>
      <c r="EI58">
        <v>0</v>
      </c>
      <c r="EJ58">
        <v>1</v>
      </c>
      <c r="EK58" s="11">
        <v>45470</v>
      </c>
      <c r="EL58">
        <v>0.89</v>
      </c>
      <c r="EM58">
        <v>-2.7</v>
      </c>
      <c r="EN58">
        <v>-0.69</v>
      </c>
      <c r="EO58">
        <v>1.29</v>
      </c>
      <c r="EP58">
        <v>-1.69</v>
      </c>
    </row>
    <row r="59" spans="1:146" ht="174" customHeight="1" x14ac:dyDescent="0.25">
      <c r="A59" s="5"/>
      <c r="B59" s="5"/>
      <c r="C59" s="5" t="str">
        <f>"公司的主营业务是中式面点食品的研发、生产与销售。公司的主要产品可以分为面点系列产品、馅料系列产品以及外部采购系列产品，具体包括包子、馒头、粗粮点心等各种单品以及丰富的馅料系列产品，外部采购系列产品包括粥品、饮品、粽子、糕点等，共计近百余种产品。"&amp;CHAR(10)&amp;Basic_Fundamental_Information_Constructure(F59)&amp;CHAR(10)&amp;Basic_Fundamental_Information_Concatenate("食品类 12.39亿 90.06% 利润占比85.84% 24.49%
包装物及辅料 9039.35万 6.57% 利润占比7.36% 28.76%
加盟商管理 4556.28万 3.31% 利润占比6.60% 51.22%
其他业务 82.85万 0.06% 利润占比0.20% 87.44%")</f>
        <v>公司的主营业务是中式面点食品的研发、生产与销售。公司的主要产品可以分为面点系列产品、馅料系列产品以及外部采购系列产品，具体包括包子、馒头、粗粮点心等各种单品以及丰富的馅料系列产品，外部采购系列产品包括粥品、饮品、粽子、糕点等，共计近百余种产品。
市值34.069545亿, 利润3962.38万; PE16.05; 平均PE19.48; 平均PEG3.78, PB1.52; ROIC10.36%; ROE12.01%; 股利率2.9369%; 毛利26.5867%; 净利16.8%; 上一年度营收增-76.79%, 利润增-82.23%; 当季营收增-51.97%, 利润增-51.65%; 过往5年营收增-5.15%, 利润增-2.1%
Income profile:
食品类 12.39亿 90.06% 利润占比85.84% 24.49%
包装物及辅料 9039.35万 6.57% 利润占比7.36% 28.76%
加盟商管理 4556.28万 3.31% 利润占比6.60% 51.22%
其他业务 82.85万 0.06% 利润占比0.20% 87.44%</v>
      </c>
      <c r="D59" t="s">
        <v>151</v>
      </c>
      <c r="E59" t="s">
        <v>152</v>
      </c>
      <c r="F59">
        <v>13.62</v>
      </c>
      <c r="G59">
        <v>0.44</v>
      </c>
      <c r="H59" t="s">
        <v>2465</v>
      </c>
      <c r="I59">
        <v>3406954500</v>
      </c>
      <c r="J59">
        <v>16.05</v>
      </c>
      <c r="K59">
        <v>1.52</v>
      </c>
      <c r="L59" t="s">
        <v>52</v>
      </c>
      <c r="M59" t="s">
        <v>680</v>
      </c>
      <c r="N59" t="s">
        <v>2466</v>
      </c>
      <c r="O59" t="s">
        <v>1427</v>
      </c>
      <c r="P59">
        <v>10.74</v>
      </c>
      <c r="Q59" t="s">
        <v>1427</v>
      </c>
      <c r="R59">
        <v>39623755</v>
      </c>
      <c r="S59" s="4">
        <v>-3.4299999999999997E-2</v>
      </c>
      <c r="T59" t="s">
        <v>2467</v>
      </c>
      <c r="U59">
        <v>248000000</v>
      </c>
      <c r="V59">
        <v>250143500</v>
      </c>
      <c r="W59">
        <v>1.23</v>
      </c>
      <c r="X59">
        <v>0.13</v>
      </c>
      <c r="Y59">
        <v>11.39</v>
      </c>
      <c r="Z59" t="s">
        <v>160</v>
      </c>
      <c r="AA59" t="s">
        <v>1075</v>
      </c>
      <c r="AB59" t="s">
        <v>2468</v>
      </c>
      <c r="AC59" t="s">
        <v>2469</v>
      </c>
      <c r="AD59" t="s">
        <v>30</v>
      </c>
      <c r="AE59">
        <v>-8968807</v>
      </c>
      <c r="AF59" t="s">
        <v>2470</v>
      </c>
      <c r="AG59" t="s">
        <v>2471</v>
      </c>
      <c r="AH59" t="s">
        <v>2472</v>
      </c>
      <c r="AI59" t="s">
        <v>2473</v>
      </c>
      <c r="AJ59" t="s">
        <v>2474</v>
      </c>
      <c r="AK59" t="s">
        <v>30</v>
      </c>
      <c r="AL59" t="s">
        <v>2475</v>
      </c>
      <c r="AM59" t="s">
        <v>30</v>
      </c>
      <c r="AN59" t="s">
        <v>565</v>
      </c>
      <c r="AO59" t="s">
        <v>30</v>
      </c>
      <c r="AP59" t="s">
        <v>30</v>
      </c>
      <c r="AQ59" t="s">
        <v>72</v>
      </c>
      <c r="AR59" t="s">
        <v>30</v>
      </c>
      <c r="AS59" t="s">
        <v>1683</v>
      </c>
      <c r="AT59" t="s">
        <v>30</v>
      </c>
      <c r="AU59" t="s">
        <v>2476</v>
      </c>
      <c r="AV59" t="s">
        <v>253</v>
      </c>
      <c r="AW59" t="s">
        <v>2477</v>
      </c>
      <c r="AX59" t="s">
        <v>711</v>
      </c>
      <c r="AY59" t="s">
        <v>644</v>
      </c>
      <c r="AZ59" t="s">
        <v>451</v>
      </c>
      <c r="BA59" t="s">
        <v>452</v>
      </c>
      <c r="BB59" t="s">
        <v>417</v>
      </c>
      <c r="BC59" t="s">
        <v>662</v>
      </c>
      <c r="BD59" t="s">
        <v>645</v>
      </c>
      <c r="BE59" t="s">
        <v>306</v>
      </c>
      <c r="BF59" t="s">
        <v>139</v>
      </c>
      <c r="BG59" t="s">
        <v>73</v>
      </c>
      <c r="BH59" t="s">
        <v>2478</v>
      </c>
      <c r="BI59" t="s">
        <v>1095</v>
      </c>
      <c r="BJ59" t="s">
        <v>711</v>
      </c>
      <c r="BK59" t="s">
        <v>751</v>
      </c>
      <c r="BL59" t="s">
        <v>2479</v>
      </c>
      <c r="BM59" t="s">
        <v>662</v>
      </c>
      <c r="BN59">
        <v>6.21</v>
      </c>
      <c r="BO59">
        <v>9.42</v>
      </c>
      <c r="BP59">
        <v>15.45</v>
      </c>
      <c r="BQ59">
        <v>7.12</v>
      </c>
      <c r="BR59">
        <v>11.19</v>
      </c>
      <c r="BS59">
        <v>17.72</v>
      </c>
      <c r="BT59" t="s">
        <v>746</v>
      </c>
      <c r="BU59" t="s">
        <v>1235</v>
      </c>
      <c r="BV59">
        <v>26.35</v>
      </c>
      <c r="BW59">
        <v>27.71</v>
      </c>
      <c r="BX59">
        <v>25.7</v>
      </c>
      <c r="BY59">
        <v>13.21</v>
      </c>
      <c r="BZ59">
        <v>14.42</v>
      </c>
      <c r="CA59">
        <v>22.77</v>
      </c>
      <c r="CB59">
        <v>2.79</v>
      </c>
      <c r="CC59">
        <v>-17</v>
      </c>
      <c r="CD59" t="s">
        <v>2480</v>
      </c>
      <c r="CE59" t="s">
        <v>2481</v>
      </c>
      <c r="CF59" s="7">
        <v>-0.51967435549525098</v>
      </c>
      <c r="CG59" s="8">
        <v>-0.5165488249174599</v>
      </c>
      <c r="CH59" s="7">
        <v>-0.76786881685256958</v>
      </c>
      <c r="CI59" s="7">
        <v>0.10909081250429153</v>
      </c>
      <c r="CJ59" s="7">
        <v>0.41025647521018982</v>
      </c>
      <c r="CK59" s="7">
        <v>-8.3646617829799652E-2</v>
      </c>
      <c r="CL59" s="7">
        <v>7.4747473001480103E-2</v>
      </c>
      <c r="CM59" s="8">
        <v>-0.82231473922729492</v>
      </c>
      <c r="CN59" s="8">
        <v>-0.28980892896652222</v>
      </c>
      <c r="CO59" s="8">
        <v>0.79428571462631226</v>
      </c>
      <c r="CP59" s="8">
        <v>0.12903225421905518</v>
      </c>
      <c r="CQ59" s="8">
        <v>8.3916082978248596E-2</v>
      </c>
      <c r="CR59">
        <v>19.475289146454188</v>
      </c>
      <c r="CS59">
        <v>3.7827748732014475</v>
      </c>
      <c r="CT59">
        <v>2.9368575624082234</v>
      </c>
      <c r="CU59" s="7">
        <v>-5.1484134793281552E-2</v>
      </c>
      <c r="CV59" s="8">
        <v>-2.0977923274040224E-2</v>
      </c>
      <c r="CW59">
        <v>0.06</v>
      </c>
      <c r="CX59">
        <v>43.53329312181063</v>
      </c>
      <c r="CY59" t="s">
        <v>2482</v>
      </c>
      <c r="CZ59">
        <v>-5.1484134793281552E-2</v>
      </c>
      <c r="DA59">
        <v>14.51109770727021</v>
      </c>
      <c r="DB59" t="s">
        <v>2483</v>
      </c>
      <c r="DC59">
        <v>-4.890992805361747E-2</v>
      </c>
      <c r="DD59">
        <v>7.2555488536351049</v>
      </c>
      <c r="DE59" t="s">
        <v>2484</v>
      </c>
      <c r="DF59">
        <v>-4.5306038618087768E-2</v>
      </c>
      <c r="DG59">
        <v>4.3533293121810628</v>
      </c>
      <c r="DH59" t="s">
        <v>2485</v>
      </c>
      <c r="DI59">
        <v>-4.1187307834625243E-2</v>
      </c>
      <c r="DJ59">
        <v>2.1766646560905314</v>
      </c>
      <c r="DK59" t="s">
        <v>2486</v>
      </c>
      <c r="DL59">
        <v>-3.6038894355297085E-2</v>
      </c>
      <c r="DM59">
        <v>39623800</v>
      </c>
      <c r="DN59">
        <v>-5.1484134793281552E-2</v>
      </c>
      <c r="DO59">
        <v>1724954500</v>
      </c>
      <c r="DP59">
        <v>1106350200</v>
      </c>
      <c r="DQ59">
        <v>4513</v>
      </c>
      <c r="DR59">
        <v>-0.46819022070196942</v>
      </c>
      <c r="DS59">
        <v>-0.49557090164341966</v>
      </c>
      <c r="DT59" s="9">
        <v>-0.64</v>
      </c>
      <c r="DU59">
        <v>-0.43666666666666659</v>
      </c>
      <c r="DV59">
        <v>-1.0766666666666667</v>
      </c>
      <c r="DW59">
        <v>6.1409802930773116</v>
      </c>
      <c r="DX59">
        <v>0.28935392748675859</v>
      </c>
      <c r="DY59">
        <v>6.0238755663308767</v>
      </c>
      <c r="DZ59">
        <v>1870</v>
      </c>
      <c r="EA59">
        <v>6.015138323857542</v>
      </c>
      <c r="EB59">
        <v>6</v>
      </c>
      <c r="EC59">
        <v>3.9546100538291024E-2</v>
      </c>
      <c r="ED59">
        <v>0.23351156436205617</v>
      </c>
      <c r="EE59" s="10">
        <v>-1.0266</v>
      </c>
      <c r="EF59">
        <v>-1.0087999999999999</v>
      </c>
      <c r="EG59">
        <v>12.169353927486759</v>
      </c>
      <c r="EH59" t="s">
        <v>776</v>
      </c>
      <c r="EI59">
        <v>0</v>
      </c>
      <c r="EJ59">
        <v>0</v>
      </c>
      <c r="EK59" s="11">
        <v>45470</v>
      </c>
      <c r="EL59">
        <v>2.11</v>
      </c>
      <c r="EM59">
        <v>-3.65</v>
      </c>
      <c r="EN59">
        <v>0.79</v>
      </c>
      <c r="EO59">
        <v>3.48</v>
      </c>
      <c r="EP59">
        <v>-1.78</v>
      </c>
    </row>
    <row r="60" spans="1:146" ht="96" x14ac:dyDescent="0.25">
      <c r="A60" s="5"/>
      <c r="B60" s="5"/>
      <c r="C60" s="5" t="str">
        <f>""&amp;CHAR(10)&amp;Basic_Fundamental_Information_Constructure(F60)&amp;CHAR(10)&amp;Basic_Fundamental_Information_Concatenate("")</f>
        <v xml:space="preserve">
市值60.92295亿, 利润7663.26万; PE22.56; 平均PE24.28; 平均PEG2.36, PB1.78; ROIC6.1333%; ROE7.54%; 股利率.7692%; 毛利25.5367%; 净利8.6667%; 上一年度营收增-72.91%, 利润增-52.4%; 当季营收增-50.38%, 利润增-17.92%; 过往5年营收增-10.28%, 利润增-15.76%
Income profile:
</v>
      </c>
      <c r="D60" t="s">
        <v>453</v>
      </c>
      <c r="E60" t="s">
        <v>454</v>
      </c>
      <c r="F60">
        <v>14.3</v>
      </c>
      <c r="G60">
        <v>-0.63</v>
      </c>
      <c r="H60" t="s">
        <v>2487</v>
      </c>
      <c r="I60">
        <v>6092295000</v>
      </c>
      <c r="J60">
        <v>22.56</v>
      </c>
      <c r="K60">
        <v>1.78</v>
      </c>
      <c r="L60" t="s">
        <v>52</v>
      </c>
      <c r="M60" t="s">
        <v>612</v>
      </c>
      <c r="N60" t="s">
        <v>1039</v>
      </c>
      <c r="O60" t="s">
        <v>1090</v>
      </c>
      <c r="P60">
        <v>4.5</v>
      </c>
      <c r="Q60" t="s">
        <v>1090</v>
      </c>
      <c r="R60">
        <v>76632574</v>
      </c>
      <c r="S60" s="4">
        <v>0.96740000000000004</v>
      </c>
      <c r="T60" t="s">
        <v>2488</v>
      </c>
      <c r="U60">
        <v>424290620</v>
      </c>
      <c r="V60">
        <v>426034620</v>
      </c>
      <c r="W60">
        <v>1.21</v>
      </c>
      <c r="X60">
        <v>0.19</v>
      </c>
      <c r="Y60">
        <v>9.89</v>
      </c>
      <c r="Z60" t="s">
        <v>1085</v>
      </c>
      <c r="AA60" t="s">
        <v>1077</v>
      </c>
      <c r="AB60" t="s">
        <v>2489</v>
      </c>
      <c r="AC60" t="s">
        <v>2490</v>
      </c>
      <c r="AD60" t="s">
        <v>30</v>
      </c>
      <c r="AE60">
        <v>-10526724</v>
      </c>
      <c r="AF60" t="s">
        <v>64</v>
      </c>
      <c r="AG60" t="s">
        <v>2491</v>
      </c>
      <c r="AH60" t="s">
        <v>2492</v>
      </c>
      <c r="AI60" t="s">
        <v>2493</v>
      </c>
      <c r="AJ60" t="s">
        <v>2494</v>
      </c>
      <c r="AK60" t="s">
        <v>2495</v>
      </c>
      <c r="AL60" t="s">
        <v>2496</v>
      </c>
      <c r="AM60" t="s">
        <v>30</v>
      </c>
      <c r="AN60" t="s">
        <v>2497</v>
      </c>
      <c r="AO60" t="s">
        <v>368</v>
      </c>
      <c r="AP60" t="s">
        <v>30</v>
      </c>
      <c r="AQ60" t="s">
        <v>66</v>
      </c>
      <c r="AR60" t="s">
        <v>30</v>
      </c>
      <c r="AS60" t="s">
        <v>323</v>
      </c>
      <c r="AT60" t="s">
        <v>30</v>
      </c>
      <c r="AU60" t="s">
        <v>87</v>
      </c>
      <c r="AV60" t="s">
        <v>2498</v>
      </c>
      <c r="AW60" t="s">
        <v>2499</v>
      </c>
      <c r="AX60" t="s">
        <v>864</v>
      </c>
      <c r="AY60" t="s">
        <v>504</v>
      </c>
      <c r="AZ60" t="s">
        <v>280</v>
      </c>
      <c r="BA60" t="s">
        <v>455</v>
      </c>
      <c r="BB60" t="s">
        <v>456</v>
      </c>
      <c r="BC60" t="s">
        <v>85</v>
      </c>
      <c r="BD60" t="s">
        <v>646</v>
      </c>
      <c r="BE60" t="s">
        <v>366</v>
      </c>
      <c r="BF60" t="s">
        <v>218</v>
      </c>
      <c r="BG60" t="s">
        <v>457</v>
      </c>
      <c r="BH60" t="s">
        <v>2500</v>
      </c>
      <c r="BI60" t="s">
        <v>1060</v>
      </c>
      <c r="BJ60" t="s">
        <v>864</v>
      </c>
      <c r="BK60" t="s">
        <v>352</v>
      </c>
      <c r="BL60" t="s">
        <v>2501</v>
      </c>
      <c r="BM60" t="s">
        <v>85</v>
      </c>
      <c r="BN60">
        <v>2.84</v>
      </c>
      <c r="BO60">
        <v>3.67</v>
      </c>
      <c r="BP60">
        <v>11.89</v>
      </c>
      <c r="BQ60">
        <v>3.84</v>
      </c>
      <c r="BR60">
        <v>4.9800000000000004</v>
      </c>
      <c r="BS60">
        <v>13.8</v>
      </c>
      <c r="BT60" t="s">
        <v>829</v>
      </c>
      <c r="BU60" t="s">
        <v>524</v>
      </c>
      <c r="BV60">
        <v>23.76</v>
      </c>
      <c r="BW60">
        <v>21.73</v>
      </c>
      <c r="BX60">
        <v>31.12</v>
      </c>
      <c r="BY60">
        <v>7.54</v>
      </c>
      <c r="BZ60">
        <v>5.61</v>
      </c>
      <c r="CA60">
        <v>12.85</v>
      </c>
      <c r="CB60">
        <v>0.56000000000000005</v>
      </c>
      <c r="CC60">
        <v>-12.7</v>
      </c>
      <c r="CD60" t="s">
        <v>2502</v>
      </c>
      <c r="CE60" t="s">
        <v>2503</v>
      </c>
      <c r="CF60" s="7">
        <v>-0.50384122919334184</v>
      </c>
      <c r="CG60" s="8">
        <v>-0.17915364510807857</v>
      </c>
      <c r="CH60" s="7">
        <v>-0.72911566495895386</v>
      </c>
      <c r="CI60" s="7">
        <v>-4.1768187656998634E-3</v>
      </c>
      <c r="CJ60" s="7">
        <v>0.2372954785823822</v>
      </c>
      <c r="CK60" s="7">
        <v>-1.2335257604718208E-2</v>
      </c>
      <c r="CL60" s="7">
        <v>-5.4991268552839756E-3</v>
      </c>
      <c r="CM60" s="8">
        <v>-0.52402108907699585</v>
      </c>
      <c r="CN60" s="8">
        <v>-0.5625</v>
      </c>
      <c r="CO60" s="8">
        <v>0.13230769336223602</v>
      </c>
      <c r="CP60" s="8">
        <v>9.0604029595851898E-2</v>
      </c>
      <c r="CQ60" s="8">
        <v>7.5812272727489471E-2</v>
      </c>
      <c r="CR60">
        <v>24.278014437253816</v>
      </c>
      <c r="CS60">
        <v>2.3624495241567454</v>
      </c>
      <c r="CT60">
        <v>0.76923076923076927</v>
      </c>
      <c r="CU60" s="7">
        <v>-0.10276627792045474</v>
      </c>
      <c r="CV60" s="8">
        <v>-0.15755941867828369</v>
      </c>
      <c r="CW60">
        <v>0.06</v>
      </c>
      <c r="CX60">
        <v>44.580178670696291</v>
      </c>
      <c r="CY60" t="s">
        <v>2504</v>
      </c>
      <c r="CZ60">
        <v>-0.10276627792045474</v>
      </c>
      <c r="DA60">
        <v>14.860059556898763</v>
      </c>
      <c r="DB60" t="s">
        <v>2505</v>
      </c>
      <c r="DC60">
        <v>-9.7627964024431996E-2</v>
      </c>
      <c r="DD60">
        <v>7.4300297784493816</v>
      </c>
      <c r="DE60" t="s">
        <v>2506</v>
      </c>
      <c r="DF60">
        <v>-9.0434324570000169E-2</v>
      </c>
      <c r="DG60">
        <v>4.4580178670696293</v>
      </c>
      <c r="DH60" t="s">
        <v>2507</v>
      </c>
      <c r="DI60">
        <v>-8.2213022336363795E-2</v>
      </c>
      <c r="DJ60">
        <v>2.2290089335348147</v>
      </c>
      <c r="DK60" t="s">
        <v>2508</v>
      </c>
      <c r="DL60">
        <v>-7.1936394544318313E-2</v>
      </c>
      <c r="DM60">
        <v>76632600</v>
      </c>
      <c r="DN60">
        <v>-0.10276627792045474</v>
      </c>
      <c r="DO60">
        <v>3416295000.0000005</v>
      </c>
      <c r="DP60">
        <v>1766666800</v>
      </c>
      <c r="DQ60">
        <v>4514</v>
      </c>
      <c r="DR60">
        <v>-0.40107495127288711</v>
      </c>
      <c r="DS60">
        <v>-2.1594226429794888E-2</v>
      </c>
      <c r="DT60" s="9">
        <v>-0.64</v>
      </c>
      <c r="DU60">
        <v>-0.53666666666666663</v>
      </c>
      <c r="DV60">
        <v>-1.1766666666666667</v>
      </c>
      <c r="DW60">
        <v>-2.1269999999999998</v>
      </c>
      <c r="DX60">
        <v>0.38272851605142888</v>
      </c>
      <c r="DY60">
        <v>-2.0193965215385314</v>
      </c>
      <c r="DZ60">
        <v>3466</v>
      </c>
      <c r="EA60">
        <v>-2.0062402899039817</v>
      </c>
      <c r="EB60">
        <v>2</v>
      </c>
      <c r="EC60">
        <v>8.7023444244977086E-3</v>
      </c>
      <c r="ED60">
        <v>5.6979172256001173E-2</v>
      </c>
      <c r="EE60" s="10">
        <v>-3.0120100000000001</v>
      </c>
      <c r="EF60">
        <v>-3.0207099999999998</v>
      </c>
      <c r="EG60">
        <v>23.152728516051429</v>
      </c>
      <c r="EH60" t="s">
        <v>1032</v>
      </c>
      <c r="EI60">
        <v>0</v>
      </c>
      <c r="EJ60">
        <v>0</v>
      </c>
      <c r="EK60" s="11">
        <v>45470</v>
      </c>
      <c r="EL60">
        <v>-2.92</v>
      </c>
      <c r="EM60">
        <v>-3.86</v>
      </c>
      <c r="EN60">
        <v>-4.91</v>
      </c>
      <c r="EO60">
        <v>2.76</v>
      </c>
      <c r="EP60">
        <v>-0.87</v>
      </c>
    </row>
    <row r="61" spans="1:146" ht="96" x14ac:dyDescent="0.25">
      <c r="C61" s="5" t="str">
        <f>""&amp;CHAR(10)&amp;Basic_Fundamental_Information_Constructure(F61)&amp;CHAR(10)&amp;Basic_Fundamental_Information_Concatenate("")</f>
        <v xml:space="preserve">
市值15.16亿, 利润-597.53万; PE; 平均PE20.33; 平均PEG3.44, PB1.43; ROIC4.5333%; ROE5.84%; 股利率0%; 毛利7.9533%; 净利1.5733%; 上一年度营收增-78.8%, 利润增-107.54%; 当季营收增-61.58%, 利润增-143.52%; 过往5年营收增-5.91%, 利润增-8.39%
Income profile:
</v>
      </c>
      <c r="D61" t="s">
        <v>476</v>
      </c>
      <c r="E61" t="s">
        <v>477</v>
      </c>
      <c r="F61">
        <v>7.58</v>
      </c>
      <c r="G61">
        <v>1.61</v>
      </c>
      <c r="H61" t="s">
        <v>2509</v>
      </c>
      <c r="I61">
        <v>1516000000</v>
      </c>
      <c r="K61">
        <v>1.43</v>
      </c>
      <c r="L61" t="s">
        <v>52</v>
      </c>
      <c r="M61" t="s">
        <v>601</v>
      </c>
      <c r="N61" t="s">
        <v>1065</v>
      </c>
      <c r="O61" t="s">
        <v>2510</v>
      </c>
      <c r="P61">
        <v>-23.24</v>
      </c>
      <c r="Q61" t="s">
        <v>2510</v>
      </c>
      <c r="R61">
        <v>-5975251</v>
      </c>
      <c r="S61" s="4">
        <v>-1.7090000000000001</v>
      </c>
      <c r="T61" t="s">
        <v>2511</v>
      </c>
      <c r="U61">
        <v>123588050</v>
      </c>
      <c r="V61">
        <v>200000000</v>
      </c>
      <c r="W61">
        <v>2.02</v>
      </c>
      <c r="X61">
        <v>0.24</v>
      </c>
      <c r="Y61">
        <v>-1.1299999999999999</v>
      </c>
      <c r="Z61" t="s">
        <v>345</v>
      </c>
      <c r="AA61" t="s">
        <v>2512</v>
      </c>
      <c r="AB61" t="s">
        <v>2513</v>
      </c>
      <c r="AC61" t="s">
        <v>2514</v>
      </c>
      <c r="AD61" t="s">
        <v>30</v>
      </c>
      <c r="AE61">
        <v>591922</v>
      </c>
      <c r="AF61" t="s">
        <v>64</v>
      </c>
      <c r="AG61" t="s">
        <v>2515</v>
      </c>
      <c r="AH61" t="s">
        <v>2516</v>
      </c>
      <c r="AI61" t="s">
        <v>2517</v>
      </c>
      <c r="AJ61" t="s">
        <v>2518</v>
      </c>
      <c r="AK61" t="s">
        <v>30</v>
      </c>
      <c r="AL61" t="s">
        <v>2519</v>
      </c>
      <c r="AM61" t="s">
        <v>30</v>
      </c>
      <c r="AN61" t="s">
        <v>2520</v>
      </c>
      <c r="AO61" t="s">
        <v>1358</v>
      </c>
      <c r="AP61" t="s">
        <v>2521</v>
      </c>
      <c r="AQ61" t="s">
        <v>155</v>
      </c>
      <c r="AR61" t="s">
        <v>2522</v>
      </c>
      <c r="AS61" t="s">
        <v>994</v>
      </c>
      <c r="AT61" t="s">
        <v>2523</v>
      </c>
      <c r="AU61" t="s">
        <v>2524</v>
      </c>
      <c r="AV61" t="s">
        <v>2525</v>
      </c>
      <c r="AW61" t="s">
        <v>2526</v>
      </c>
      <c r="AX61" t="s">
        <v>866</v>
      </c>
      <c r="AY61" t="s">
        <v>647</v>
      </c>
      <c r="AZ61" t="s">
        <v>478</v>
      </c>
      <c r="BA61" t="s">
        <v>479</v>
      </c>
      <c r="BB61" t="s">
        <v>480</v>
      </c>
      <c r="BC61" t="s">
        <v>2527</v>
      </c>
      <c r="BD61" t="s">
        <v>648</v>
      </c>
      <c r="BE61" t="s">
        <v>359</v>
      </c>
      <c r="BF61" t="s">
        <v>481</v>
      </c>
      <c r="BG61" t="s">
        <v>482</v>
      </c>
      <c r="BH61" t="s">
        <v>2528</v>
      </c>
      <c r="BI61" t="s">
        <v>1096</v>
      </c>
      <c r="BJ61" t="s">
        <v>866</v>
      </c>
      <c r="BK61" t="s">
        <v>2529</v>
      </c>
      <c r="BL61" t="s">
        <v>2530</v>
      </c>
      <c r="BM61" t="s">
        <v>2527</v>
      </c>
      <c r="BN61">
        <v>1.47</v>
      </c>
      <c r="BO61">
        <v>5.81</v>
      </c>
      <c r="BP61">
        <v>6.32</v>
      </c>
      <c r="BQ61">
        <v>1.81</v>
      </c>
      <c r="BR61">
        <v>7.09</v>
      </c>
      <c r="BS61">
        <v>8.6199999999999992</v>
      </c>
      <c r="BT61" t="s">
        <v>737</v>
      </c>
      <c r="BU61" t="s">
        <v>674</v>
      </c>
      <c r="BV61">
        <v>5.19</v>
      </c>
      <c r="BW61">
        <v>9.77</v>
      </c>
      <c r="BX61">
        <v>8.9</v>
      </c>
      <c r="BY61">
        <v>-1.24</v>
      </c>
      <c r="BZ61">
        <v>3.18</v>
      </c>
      <c r="CA61">
        <v>2.78</v>
      </c>
      <c r="CB61">
        <v>-1.04</v>
      </c>
      <c r="CC61">
        <v>-24.05</v>
      </c>
      <c r="CD61" t="s">
        <v>2531</v>
      </c>
      <c r="CE61" t="s">
        <v>2532</v>
      </c>
      <c r="CF61" s="7">
        <v>-0.61583151779230205</v>
      </c>
      <c r="CG61" s="8">
        <v>-1.4351935528510353</v>
      </c>
      <c r="CH61" s="7">
        <v>-0.7879759669303894</v>
      </c>
      <c r="CI61" s="7">
        <v>0.22725044190883636</v>
      </c>
      <c r="CJ61" s="7">
        <v>9.1250598430633545E-2</v>
      </c>
      <c r="CK61" s="7">
        <v>-4.1173443198204041E-2</v>
      </c>
      <c r="CL61" s="7">
        <v>0.21513445675373077</v>
      </c>
      <c r="CM61" s="8">
        <v>-1.0753964185714722</v>
      </c>
      <c r="CN61" s="8">
        <v>0.40066877007484436</v>
      </c>
      <c r="CO61" s="8">
        <v>-0.61769324541091919</v>
      </c>
      <c r="CP61" s="8">
        <v>0.51753634214401245</v>
      </c>
      <c r="CQ61" s="8">
        <v>0.35555315017700195</v>
      </c>
      <c r="CR61">
        <v>20.333967987413327</v>
      </c>
      <c r="CS61">
        <v>3.4404417339528095</v>
      </c>
      <c r="CT61">
        <v>0</v>
      </c>
      <c r="CU61" s="7">
        <v>-5.9102782607078554E-2</v>
      </c>
      <c r="CV61" s="8">
        <v>-8.3866280317306516E-2</v>
      </c>
      <c r="CW61">
        <v>0.06</v>
      </c>
      <c r="CX61" t="e">
        <v>#VALUE!</v>
      </c>
      <c r="CY61" t="s">
        <v>661</v>
      </c>
      <c r="CZ61">
        <v>-5.9102782607078554E-2</v>
      </c>
      <c r="DA61" t="e">
        <v>#VALUE!</v>
      </c>
      <c r="DB61" t="s">
        <v>656</v>
      </c>
      <c r="DC61">
        <v>-5.6147643476724622E-2</v>
      </c>
      <c r="DD61" t="e">
        <v>#VALUE!</v>
      </c>
      <c r="DE61" t="s">
        <v>656</v>
      </c>
      <c r="DF61">
        <v>-5.2010448694229126E-2</v>
      </c>
      <c r="DG61" t="e">
        <v>#VALUE!</v>
      </c>
      <c r="DH61" t="s">
        <v>656</v>
      </c>
      <c r="DI61">
        <v>-4.7282226085662848E-2</v>
      </c>
      <c r="DJ61" t="e">
        <v>#VALUE!</v>
      </c>
      <c r="DK61" t="s">
        <v>656</v>
      </c>
      <c r="DL61">
        <v>-4.1371947824954985E-2</v>
      </c>
      <c r="DM61">
        <v>-5975300</v>
      </c>
      <c r="DN61">
        <v>-5.9102782607078554E-2</v>
      </c>
      <c r="DO61">
        <v>1583000000</v>
      </c>
      <c r="DP61">
        <v>-124534930.00000012</v>
      </c>
      <c r="DQ61">
        <v>4533</v>
      </c>
      <c r="DR61">
        <v>-0.55672873518522348</v>
      </c>
      <c r="DS61">
        <v>-1.3513272725337289</v>
      </c>
      <c r="DT61" s="9">
        <v>-0.52333333333333332</v>
      </c>
      <c r="DU61">
        <v>-1.5483333333333336</v>
      </c>
      <c r="DV61">
        <v>-2.0716666666666668</v>
      </c>
      <c r="DW61">
        <v>-3.0910416666666665</v>
      </c>
      <c r="DX61">
        <v>0.26679285757788496</v>
      </c>
      <c r="DY61">
        <v>-3.0088121830753196</v>
      </c>
      <c r="DZ61">
        <v>2173</v>
      </c>
      <c r="EA61">
        <v>-3.0050648496462258</v>
      </c>
      <c r="EB61">
        <v>3</v>
      </c>
      <c r="EC61">
        <v>4.2910499999999997E-2</v>
      </c>
      <c r="ED61">
        <v>0.44332299999999991</v>
      </c>
      <c r="EE61" s="10">
        <v>5.0091000000000001</v>
      </c>
      <c r="EF61">
        <v>5.0271100000000004</v>
      </c>
      <c r="EG61">
        <v>17.096792857577885</v>
      </c>
      <c r="EH61" t="s">
        <v>1892</v>
      </c>
      <c r="EI61">
        <v>0</v>
      </c>
      <c r="EJ61">
        <v>0</v>
      </c>
      <c r="EK61" s="11">
        <v>45470</v>
      </c>
      <c r="EL61">
        <v>-0.86</v>
      </c>
      <c r="EM61">
        <v>-5.77</v>
      </c>
      <c r="EN61">
        <v>1.1200000000000001</v>
      </c>
      <c r="EO61">
        <v>5.92</v>
      </c>
      <c r="EP61">
        <v>-3.62</v>
      </c>
    </row>
    <row r="62" spans="1:146" x14ac:dyDescent="0.25">
      <c r="S62" s="4"/>
    </row>
    <row r="63" spans="1:146" x14ac:dyDescent="0.25">
      <c r="S63" s="4"/>
    </row>
    <row r="64" spans="1:146" x14ac:dyDescent="0.25">
      <c r="Q64" s="4"/>
    </row>
  </sheetData>
  <autoFilter ref="BU1:BU64"/>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asic_Fundamental_Tabel_Update_Buttom &quot;食品加工制造&quot;,&quot;休闲食品&quot;'" altText="更新基本面按钮_x000a_">
                <anchor moveWithCells="1" sizeWithCells="1">
                  <from>
                    <xdr:col>147</xdr:col>
                    <xdr:colOff>508000</xdr:colOff>
                    <xdr:row>0</xdr:row>
                    <xdr:rowOff>120650</xdr:rowOff>
                  </from>
                  <to>
                    <xdr:col>147</xdr:col>
                    <xdr:colOff>1555750</xdr:colOff>
                    <xdr:row>0</xdr:row>
                    <xdr:rowOff>431800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8"/>
  <sheetViews>
    <sheetView workbookViewId="0">
      <selection activeCell="J8" sqref="J8"/>
    </sheetView>
  </sheetViews>
  <sheetFormatPr defaultRowHeight="14" x14ac:dyDescent="0.25"/>
  <cols>
    <col min="1" max="1" width="16.08984375" customWidth="1"/>
  </cols>
  <sheetData>
    <row r="1" spans="1:30" x14ac:dyDescent="0.25">
      <c r="A1">
        <v>1</v>
      </c>
      <c r="B1">
        <f>A1+A1*$A$2</f>
        <v>1.18</v>
      </c>
      <c r="C1">
        <f t="shared" ref="C1:AD1" si="0">B1+B1*$A$2</f>
        <v>1.3923999999999999</v>
      </c>
      <c r="D1">
        <f t="shared" si="0"/>
        <v>1.6430319999999998</v>
      </c>
      <c r="E1">
        <f t="shared" si="0"/>
        <v>1.9387777599999998</v>
      </c>
      <c r="F1">
        <f t="shared" si="0"/>
        <v>2.2877577567999996</v>
      </c>
      <c r="G1">
        <f t="shared" si="0"/>
        <v>2.6995541530239997</v>
      </c>
      <c r="H1">
        <f t="shared" si="0"/>
        <v>3.1854739005683195</v>
      </c>
      <c r="I1">
        <f t="shared" si="0"/>
        <v>3.7588592026706169</v>
      </c>
      <c r="J1">
        <f t="shared" si="0"/>
        <v>4.4354538591513277</v>
      </c>
      <c r="K1">
        <f t="shared" si="0"/>
        <v>5.233835553798567</v>
      </c>
      <c r="L1">
        <f t="shared" si="0"/>
        <v>6.1759259534823094</v>
      </c>
      <c r="M1">
        <f t="shared" si="0"/>
        <v>7.2875926251091254</v>
      </c>
      <c r="N1">
        <f t="shared" si="0"/>
        <v>8.5993592976287676</v>
      </c>
      <c r="O1">
        <f t="shared" si="0"/>
        <v>10.147243971201945</v>
      </c>
      <c r="P1">
        <f t="shared" si="0"/>
        <v>11.973747886018295</v>
      </c>
      <c r="Q1">
        <f t="shared" si="0"/>
        <v>14.129022505501588</v>
      </c>
      <c r="R1">
        <f t="shared" si="0"/>
        <v>16.672246556491874</v>
      </c>
      <c r="S1">
        <f t="shared" si="0"/>
        <v>19.673250936660413</v>
      </c>
      <c r="T1">
        <f t="shared" si="0"/>
        <v>23.214436105259288</v>
      </c>
      <c r="U1">
        <f t="shared" si="0"/>
        <v>27.393034604205958</v>
      </c>
      <c r="V1">
        <f t="shared" si="0"/>
        <v>32.323780832963031</v>
      </c>
      <c r="W1">
        <f t="shared" si="0"/>
        <v>38.142061382896379</v>
      </c>
      <c r="X1">
        <f t="shared" si="0"/>
        <v>45.007632431817726</v>
      </c>
      <c r="Y1">
        <f t="shared" si="0"/>
        <v>53.109006269544913</v>
      </c>
      <c r="Z1">
        <f t="shared" si="0"/>
        <v>62.668627398062995</v>
      </c>
      <c r="AA1">
        <f t="shared" si="0"/>
        <v>73.948980329714331</v>
      </c>
      <c r="AB1">
        <f t="shared" si="0"/>
        <v>87.259796789062904</v>
      </c>
      <c r="AC1">
        <f t="shared" si="0"/>
        <v>102.96656021109422</v>
      </c>
      <c r="AD1">
        <f t="shared" si="0"/>
        <v>121.50054104909118</v>
      </c>
    </row>
    <row r="2" spans="1:30" x14ac:dyDescent="0.25">
      <c r="A2">
        <v>0.18</v>
      </c>
      <c r="B2" t="s">
        <v>2</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0.15</v>
      </c>
      <c r="B4" t="s">
        <v>0</v>
      </c>
    </row>
    <row r="5" spans="1:30" x14ac:dyDescent="0.25">
      <c r="A5">
        <v>1</v>
      </c>
      <c r="B5">
        <f>A5*$A$4+A5</f>
        <v>1.1499999999999999</v>
      </c>
      <c r="C5">
        <f t="shared" ref="C5:AD5" si="1">B5*$A$4+B5</f>
        <v>1.3224999999999998</v>
      </c>
      <c r="D5">
        <f t="shared" si="1"/>
        <v>1.5208749999999998</v>
      </c>
      <c r="E5">
        <f t="shared" si="1"/>
        <v>1.7490062499999997</v>
      </c>
      <c r="F5">
        <f t="shared" si="1"/>
        <v>2.0113571874999998</v>
      </c>
      <c r="G5">
        <f t="shared" si="1"/>
        <v>2.313060765625</v>
      </c>
      <c r="H5">
        <f t="shared" si="1"/>
        <v>2.66001988046875</v>
      </c>
      <c r="I5">
        <f t="shared" si="1"/>
        <v>3.0590228625390625</v>
      </c>
      <c r="J5">
        <f t="shared" si="1"/>
        <v>3.5178762919199218</v>
      </c>
      <c r="K5">
        <f t="shared" si="1"/>
        <v>4.0455577357079102</v>
      </c>
      <c r="L5">
        <f t="shared" si="1"/>
        <v>4.6523913960640968</v>
      </c>
      <c r="M5">
        <f t="shared" si="1"/>
        <v>5.3502501054737115</v>
      </c>
      <c r="N5">
        <f t="shared" si="1"/>
        <v>6.1527876212947685</v>
      </c>
      <c r="O5">
        <f t="shared" si="1"/>
        <v>7.0757057644889834</v>
      </c>
      <c r="P5">
        <f t="shared" si="1"/>
        <v>8.1370616291623303</v>
      </c>
      <c r="Q5">
        <f t="shared" si="1"/>
        <v>9.3576208735366802</v>
      </c>
      <c r="R5">
        <f t="shared" si="1"/>
        <v>10.761264004567183</v>
      </c>
      <c r="S5">
        <f t="shared" si="1"/>
        <v>12.375453605252261</v>
      </c>
      <c r="T5">
        <f t="shared" si="1"/>
        <v>14.2317716460401</v>
      </c>
      <c r="U5">
        <f t="shared" si="1"/>
        <v>16.366537392946114</v>
      </c>
      <c r="V5">
        <f t="shared" si="1"/>
        <v>18.82151800188803</v>
      </c>
      <c r="W5">
        <f t="shared" si="1"/>
        <v>21.644745702171235</v>
      </c>
      <c r="X5">
        <f t="shared" si="1"/>
        <v>24.891457557496921</v>
      </c>
      <c r="Y5">
        <f t="shared" si="1"/>
        <v>28.625176191121458</v>
      </c>
      <c r="Z5">
        <f t="shared" si="1"/>
        <v>32.918952619789678</v>
      </c>
      <c r="AA5">
        <f t="shared" si="1"/>
        <v>37.856795512758133</v>
      </c>
      <c r="AB5">
        <f t="shared" si="1"/>
        <v>43.535314839671855</v>
      </c>
      <c r="AC5">
        <f t="shared" si="1"/>
        <v>50.065612065622631</v>
      </c>
      <c r="AD5">
        <f t="shared" si="1"/>
        <v>57.575453875466025</v>
      </c>
    </row>
    <row r="6" spans="1:30" x14ac:dyDescent="0.25">
      <c r="A6">
        <v>30</v>
      </c>
      <c r="B6" t="s">
        <v>1</v>
      </c>
    </row>
    <row r="7" spans="1:30" x14ac:dyDescent="0.25">
      <c r="B7">
        <v>30</v>
      </c>
      <c r="C7">
        <v>28</v>
      </c>
      <c r="D7">
        <v>25</v>
      </c>
      <c r="E7">
        <v>20</v>
      </c>
      <c r="J7">
        <v>20</v>
      </c>
      <c r="M7">
        <v>10</v>
      </c>
    </row>
    <row r="8" spans="1:30" x14ac:dyDescent="0.25">
      <c r="B8">
        <f>B5*B7</f>
        <v>34.5</v>
      </c>
      <c r="C8">
        <f t="shared" ref="C8:E8" si="2">C5*C7</f>
        <v>37.029999999999994</v>
      </c>
      <c r="D8">
        <f t="shared" si="2"/>
        <v>38.021874999999994</v>
      </c>
      <c r="E8">
        <f t="shared" si="2"/>
        <v>34.980124999999994</v>
      </c>
      <c r="F8">
        <f t="shared" ref="F8" si="3">F5*F7</f>
        <v>0</v>
      </c>
      <c r="G8">
        <f t="shared" ref="G8" si="4">G5*G7</f>
        <v>0</v>
      </c>
      <c r="H8">
        <f t="shared" ref="H8" si="5">H5*H7</f>
        <v>0</v>
      </c>
      <c r="I8">
        <f t="shared" ref="I8" si="6">I5*I7</f>
        <v>0</v>
      </c>
      <c r="J8">
        <f t="shared" ref="J8" si="7">J5*J7</f>
        <v>70.357525838398431</v>
      </c>
      <c r="K8">
        <f t="shared" ref="K8" si="8">K5*K7</f>
        <v>0</v>
      </c>
      <c r="L8">
        <f t="shared" ref="L8" si="9">L5*L7</f>
        <v>0</v>
      </c>
      <c r="M8">
        <f t="shared" ref="M8" si="10">M5*M7</f>
        <v>53.502501054737117</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食品加工制造</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2024-07-07T14:48:48Z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