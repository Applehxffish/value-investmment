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食品饮料\"/>
    </mc:Choice>
  </mc:AlternateContent>
  <bookViews>
    <workbookView xWindow="0" yWindow="0" windowWidth="3800" windowHeight="2950"/>
  </bookViews>
  <sheets>
    <sheet name="饮料制造" sheetId="15" r:id="rId1"/>
    <sheet name="估值-增速与年化收益" sheetId="14" r:id="rId2"/>
  </sheets>
  <functionGroups builtInGroupCount="18"/>
  <definedNames>
    <definedName name="_xlnm._FilterDatabase" localSheetId="0" hidden="1">饮料制造!$BU$1:$BU$1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5" l="1"/>
  <c r="C21" i="15"/>
  <c r="C17" i="15"/>
  <c r="C13" i="15"/>
  <c r="C9" i="15"/>
  <c r="C5" i="15"/>
  <c r="C16" i="15"/>
  <c r="C12" i="15"/>
  <c r="C8" i="15"/>
  <c r="C4" i="15"/>
  <c r="C19" i="15"/>
  <c r="C15" i="15"/>
  <c r="C11" i="15"/>
  <c r="C3" i="15"/>
  <c r="C18" i="15"/>
  <c r="C10" i="15"/>
  <c r="C20" i="15"/>
  <c r="C7" i="15"/>
  <c r="C14" i="15"/>
  <c r="C6" i="15"/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</calcChain>
</file>

<file path=xl/sharedStrings.xml><?xml version="1.0" encoding="utf-8"?>
<sst xmlns="http://schemas.openxmlformats.org/spreadsheetml/2006/main" count="1284" uniqueCount="991">
  <si>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</si>
  <si>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</si>
  <si>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</si>
  <si>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</si>
  <si>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</si>
  <si>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金种子酒</t>
  </si>
  <si>
    <t>顺鑫农业</t>
  </si>
  <si>
    <t>老白干酒</t>
  </si>
  <si>
    <t>水井坊</t>
  </si>
  <si>
    <t>酒鬼酒</t>
  </si>
  <si>
    <t>古井贡酒</t>
  </si>
  <si>
    <t>五 粮 液</t>
  </si>
  <si>
    <t>泸州老窖</t>
  </si>
  <si>
    <t>迎驾贡酒</t>
  </si>
  <si>
    <t>口子窖</t>
  </si>
  <si>
    <t>洋河股份</t>
  </si>
  <si>
    <t>伊力特</t>
  </si>
  <si>
    <t>--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</si>
  <si>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</si>
  <si>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</si>
  <si>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</si>
  <si>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</si>
  <si>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</si>
  <si>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</si>
  <si>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</si>
  <si>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净利润增长率</t>
  </si>
  <si>
    <t>总股本</t>
  </si>
  <si>
    <t>财务费用</t>
  </si>
  <si>
    <t>投资收益</t>
  </si>
  <si>
    <t>应收账款</t>
  </si>
  <si>
    <t>SZ000568</t>
  </si>
  <si>
    <t>158.17亿</t>
  </si>
  <si>
    <t>46.42亿</t>
  </si>
  <si>
    <t>SZ000596</t>
  </si>
  <si>
    <t>104.17亿</t>
  </si>
  <si>
    <t>20.98亿</t>
  </si>
  <si>
    <t>2.59亿</t>
  </si>
  <si>
    <t>2.99亿</t>
  </si>
  <si>
    <t>0亿</t>
  </si>
  <si>
    <t>SZ000799</t>
  </si>
  <si>
    <t>15.12亿</t>
  </si>
  <si>
    <t>1.76亿</t>
  </si>
  <si>
    <t>SZ000858</t>
  </si>
  <si>
    <t>501.18亿</t>
  </si>
  <si>
    <t>174.02亿</t>
  </si>
  <si>
    <t>SZ000860</t>
  </si>
  <si>
    <t>149.00亿</t>
  </si>
  <si>
    <t>8.09亿</t>
  </si>
  <si>
    <t>SZ000995</t>
  </si>
  <si>
    <t>9904.63万</t>
  </si>
  <si>
    <t>6821.37万</t>
  </si>
  <si>
    <t>SZ002304</t>
  </si>
  <si>
    <t>231.26亿</t>
  </si>
  <si>
    <t>73.83亿</t>
  </si>
  <si>
    <t>4.97亿</t>
  </si>
  <si>
    <t>1.97亿</t>
  </si>
  <si>
    <t>SZ002646</t>
  </si>
  <si>
    <t>12.54亿</t>
  </si>
  <si>
    <t>3611.83万</t>
  </si>
  <si>
    <t>1.24亿</t>
  </si>
  <si>
    <t>1.40亿</t>
  </si>
  <si>
    <t>11.46亿</t>
  </si>
  <si>
    <t>1.00亿</t>
  </si>
  <si>
    <t>5.08亿</t>
  </si>
  <si>
    <t>SH600197</t>
  </si>
  <si>
    <t>23.02亿</t>
  </si>
  <si>
    <t>1.66亿</t>
  </si>
  <si>
    <t>SH600199</t>
  </si>
  <si>
    <t>9.14亿</t>
  </si>
  <si>
    <t>SH600519</t>
  </si>
  <si>
    <t>412.06亿</t>
  </si>
  <si>
    <t>SH600559</t>
  </si>
  <si>
    <t>40.30亿</t>
  </si>
  <si>
    <t>4.04亿</t>
  </si>
  <si>
    <t>2.54亿</t>
  </si>
  <si>
    <t>SH600702</t>
  </si>
  <si>
    <t>26.50亿</t>
  </si>
  <si>
    <t>SH600779</t>
  </si>
  <si>
    <t>35.39亿</t>
  </si>
  <si>
    <t>8.26亿</t>
  </si>
  <si>
    <t>SH600809</t>
  </si>
  <si>
    <t>1.02亿</t>
  </si>
  <si>
    <t>SH603198</t>
  </si>
  <si>
    <t>37.77亿</t>
  </si>
  <si>
    <t>9.30亿</t>
  </si>
  <si>
    <t>SH603369</t>
  </si>
  <si>
    <t>14.58亿</t>
  </si>
  <si>
    <t>1.08亿</t>
  </si>
  <si>
    <t>SH603589</t>
  </si>
  <si>
    <t>46.72亿</t>
  </si>
  <si>
    <t>17.20亿</t>
  </si>
  <si>
    <t>SH603919</t>
  </si>
  <si>
    <t>16.34亿</t>
  </si>
  <si>
    <t>2.71亿</t>
  </si>
  <si>
    <t>12.46亿</t>
  </si>
  <si>
    <t>流动资产</t>
  </si>
  <si>
    <t>营业收入[20191231]</t>
  </si>
  <si>
    <t>营业收入[20181231]</t>
  </si>
  <si>
    <t>净利润[20191231]</t>
  </si>
  <si>
    <t>净利润[20181231]</t>
  </si>
  <si>
    <t>166.53亿</t>
  </si>
  <si>
    <t>60.06亿</t>
  </si>
  <si>
    <t>130.55亿</t>
  </si>
  <si>
    <t>34.86亿</t>
  </si>
  <si>
    <t>102.92亿</t>
  </si>
  <si>
    <t>18.55亿</t>
  </si>
  <si>
    <t>3.50亿</t>
  </si>
  <si>
    <t>86.86亿</t>
  </si>
  <si>
    <t>16.95亿</t>
  </si>
  <si>
    <t>18.26亿</t>
  </si>
  <si>
    <t>4.92亿</t>
  </si>
  <si>
    <t>11.87亿</t>
  </si>
  <si>
    <t>2.23亿</t>
  </si>
  <si>
    <t>1.09亿</t>
  </si>
  <si>
    <t>3.13亿</t>
  </si>
  <si>
    <t>1.82亿</t>
  </si>
  <si>
    <t>573.21亿</t>
  </si>
  <si>
    <t>199.55亿</t>
  </si>
  <si>
    <t>400.30亿</t>
  </si>
  <si>
    <t>133.84亿</t>
  </si>
  <si>
    <t>155.11亿</t>
  </si>
  <si>
    <t>4.20亿</t>
  </si>
  <si>
    <t>120.74亿</t>
  </si>
  <si>
    <t>7.44亿</t>
  </si>
  <si>
    <t>4.38亿</t>
  </si>
  <si>
    <t>11.41亿</t>
  </si>
  <si>
    <t>10.32亿</t>
  </si>
  <si>
    <t>10.49亿</t>
  </si>
  <si>
    <t>3348.38万</t>
  </si>
  <si>
    <t>2548.34万</t>
  </si>
  <si>
    <t>-9548.15万</t>
  </si>
  <si>
    <t>211.01亿</t>
  </si>
  <si>
    <t>74.82亿</t>
  </si>
  <si>
    <t>241.60亿</t>
  </si>
  <si>
    <t>81.15亿</t>
  </si>
  <si>
    <t>7.64亿</t>
  </si>
  <si>
    <t>-1.15亿</t>
  </si>
  <si>
    <t>13.49亿</t>
  </si>
  <si>
    <t>3.42亿</t>
  </si>
  <si>
    <t>3.29亿</t>
  </si>
  <si>
    <t>18.02亿</t>
  </si>
  <si>
    <t>21.24亿</t>
  </si>
  <si>
    <t>10.38亿</t>
  </si>
  <si>
    <t>13.15亿</t>
  </si>
  <si>
    <t>8.08亿</t>
  </si>
  <si>
    <t>466.97亿</t>
  </si>
  <si>
    <t>854.30亿</t>
  </si>
  <si>
    <t>736.39亿</t>
  </si>
  <si>
    <t>352.04亿</t>
  </si>
  <si>
    <t>35.98亿</t>
  </si>
  <si>
    <t>35.83亿</t>
  </si>
  <si>
    <t>27.04亿</t>
  </si>
  <si>
    <t>5.81亿</t>
  </si>
  <si>
    <t>22.12亿</t>
  </si>
  <si>
    <t>14.62亿</t>
  </si>
  <si>
    <t>30.06亿</t>
  </si>
  <si>
    <t>7.31亿</t>
  </si>
  <si>
    <t>28.19亿</t>
  </si>
  <si>
    <t>5.79亿</t>
  </si>
  <si>
    <t>139.90亿</t>
  </si>
  <si>
    <t>30.79亿</t>
  </si>
  <si>
    <t>118.93亿</t>
  </si>
  <si>
    <t>94.44亿</t>
  </si>
  <si>
    <t>19.69亿</t>
  </si>
  <si>
    <t>15.07亿</t>
  </si>
  <si>
    <t>11.99亿</t>
  </si>
  <si>
    <t>2.17亿</t>
  </si>
  <si>
    <t>28.37亿</t>
  </si>
  <si>
    <t>34.52亿</t>
  </si>
  <si>
    <t>9.53亿</t>
  </si>
  <si>
    <t>1.46亿</t>
  </si>
  <si>
    <t>34.89亿</t>
  </si>
  <si>
    <t>7.79亿</t>
  </si>
  <si>
    <t>15.67亿</t>
  </si>
  <si>
    <t>48.70亿</t>
  </si>
  <si>
    <t>37.36亿</t>
  </si>
  <si>
    <t>11.51亿</t>
  </si>
  <si>
    <t>40.11亿</t>
  </si>
  <si>
    <t>12.76亿</t>
  </si>
  <si>
    <t>42.69亿</t>
  </si>
  <si>
    <t>15.33亿</t>
  </si>
  <si>
    <t>8.31亿</t>
  </si>
  <si>
    <t>17.31亿</t>
  </si>
  <si>
    <t>3.31亿</t>
  </si>
  <si>
    <t>10.68亿</t>
  </si>
  <si>
    <t>11.01亿</t>
  </si>
  <si>
    <t>舍得酒业</t>
  </si>
  <si>
    <t>金徽酒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</si>
  <si>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</si>
  <si>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</si>
  <si>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</si>
  <si>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</si>
  <si>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</si>
  <si>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</si>
  <si>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</si>
  <si>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</si>
  <si>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</si>
  <si>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</si>
  <si>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</si>
  <si>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</si>
  <si>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</si>
  <si>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6.66亿</t>
  </si>
  <si>
    <t>3.25亿</t>
  </si>
  <si>
    <t>10.54亿</t>
  </si>
  <si>
    <t>贵州茅台</t>
  </si>
  <si>
    <t>今世缘</t>
  </si>
  <si>
    <t>1.60亿</t>
  </si>
  <si>
    <t>流通股本</t>
  </si>
  <si>
    <t>净利润[20201231]</t>
  </si>
  <si>
    <t>206.42亿</t>
  </si>
  <si>
    <t>79.56亿</t>
  </si>
  <si>
    <t>132.70亿</t>
  </si>
  <si>
    <t>22.98亿</t>
  </si>
  <si>
    <t>34.14亿</t>
  </si>
  <si>
    <t>8.93亿</t>
  </si>
  <si>
    <t>662.09亿</t>
  </si>
  <si>
    <t>233.77亿</t>
  </si>
  <si>
    <t>148.69亿</t>
  </si>
  <si>
    <t>9108.81万</t>
  </si>
  <si>
    <t>-1355.48万</t>
  </si>
  <si>
    <t>253.50亿</t>
  </si>
  <si>
    <t>75.08亿</t>
  </si>
  <si>
    <t>天佑德酒</t>
  </si>
  <si>
    <t>6322.48万</t>
  </si>
  <si>
    <t>3.89亿</t>
  </si>
  <si>
    <t>524.60亿</t>
  </si>
  <si>
    <t>40.27亿</t>
  </si>
  <si>
    <t>49.69亿</t>
  </si>
  <si>
    <t>46.32亿</t>
  </si>
  <si>
    <t>199.71亿</t>
  </si>
  <si>
    <t>53.14亿</t>
  </si>
  <si>
    <t>20.29亿</t>
  </si>
  <si>
    <t>50.29亿</t>
  </si>
  <si>
    <t>17.27亿</t>
  </si>
  <si>
    <t>17.88亿</t>
  </si>
  <si>
    <t xml:space="preserve">    名称</t>
  </si>
  <si>
    <t>净利润?</t>
  </si>
  <si>
    <t>投入资本回报率roic%[20211231]</t>
  </si>
  <si>
    <t>净资产收益率%[20211231]</t>
  </si>
  <si>
    <t>单季营收增速</t>
  </si>
  <si>
    <t>单季利润增速</t>
  </si>
  <si>
    <t/>
  </si>
  <si>
    <t>亏损</t>
  </si>
  <si>
    <t>扭亏</t>
  </si>
  <si>
    <t>-1-0</t>
  </si>
  <si>
    <t>4.96亿</t>
  </si>
  <si>
    <t>2.21亿</t>
  </si>
  <si>
    <t>1.65亿</t>
  </si>
  <si>
    <t>细分行业</t>
  </si>
  <si>
    <t>白酒</t>
  </si>
  <si>
    <t>6.61亿</t>
  </si>
  <si>
    <t>3.72亿</t>
  </si>
  <si>
    <t>SH600696</t>
  </si>
  <si>
    <t>岩石股份</t>
  </si>
  <si>
    <t>6.03亿</t>
  </si>
  <si>
    <t>6192.82万</t>
  </si>
  <si>
    <t>7971.77万</t>
  </si>
  <si>
    <t>802.19万</t>
  </si>
  <si>
    <t>1238.56万</t>
  </si>
  <si>
    <t>1922.03万</t>
  </si>
  <si>
    <t>20.12亿</t>
  </si>
  <si>
    <t>不分配不转增</t>
  </si>
  <si>
    <t>10派13元(含税)</t>
  </si>
  <si>
    <t>10派4.5元(含税)</t>
  </si>
  <si>
    <t>1.25亿</t>
  </si>
  <si>
    <t>1.03亿</t>
  </si>
  <si>
    <t>1.94亿</t>
  </si>
  <si>
    <t>10派15元(含税)</t>
  </si>
  <si>
    <t>涨幅%</t>
  </si>
  <si>
    <t>当季营业收入(同比增长率) %</t>
  </si>
  <si>
    <t>总资产周转率[20220930]</t>
  </si>
  <si>
    <t>净利润／营业总收入%[20220930]</t>
  </si>
  <si>
    <t>营业收入[20211231]</t>
  </si>
  <si>
    <t>营业收入[20201231]</t>
  </si>
  <si>
    <t>净利润[20211231]</t>
  </si>
  <si>
    <t>投入资本回报率roic%[20221231]</t>
  </si>
  <si>
    <t>净资产收益率%[20221231]</t>
  </si>
  <si>
    <t>销售毛利率%[20211231]</t>
  </si>
  <si>
    <t>销售净利率%[20211231]</t>
  </si>
  <si>
    <t>251.24亿</t>
  </si>
  <si>
    <t>103.65亿</t>
  </si>
  <si>
    <t>9.06亿</t>
  </si>
  <si>
    <t>167.13亿</t>
  </si>
  <si>
    <t>31.43亿</t>
  </si>
  <si>
    <t>3.60亿</t>
  </si>
  <si>
    <t>4.22亿</t>
  </si>
  <si>
    <t>-1-1</t>
  </si>
  <si>
    <t>40.50亿</t>
  </si>
  <si>
    <t>739.69亿</t>
  </si>
  <si>
    <t>116.78亿</t>
  </si>
  <si>
    <t>-6.73亿</t>
  </si>
  <si>
    <t>2.91亿</t>
  </si>
  <si>
    <t>1-1</t>
  </si>
  <si>
    <t>3.43亿</t>
  </si>
  <si>
    <t>1.36亿</t>
  </si>
  <si>
    <t>735.61万</t>
  </si>
  <si>
    <t>5000.00万</t>
  </si>
  <si>
    <t>301.05亿</t>
  </si>
  <si>
    <t>93.78亿</t>
  </si>
  <si>
    <t>1.59亿</t>
  </si>
  <si>
    <t>4.10亿</t>
  </si>
  <si>
    <t>-1.50亿</t>
  </si>
  <si>
    <t>9.80亿</t>
  </si>
  <si>
    <t>1.20亿</t>
  </si>
  <si>
    <t>2.03亿</t>
  </si>
  <si>
    <t>1.32亿</t>
  </si>
  <si>
    <t>12.69亿</t>
  </si>
  <si>
    <t>16.23亿</t>
  </si>
  <si>
    <t>11.86亿</t>
  </si>
  <si>
    <t>-1.87亿</t>
  </si>
  <si>
    <t>1.06亿</t>
  </si>
  <si>
    <t>4.16亿</t>
  </si>
  <si>
    <t>50.00万</t>
  </si>
  <si>
    <t>1061.90亿</t>
  </si>
  <si>
    <t>949.15亿</t>
  </si>
  <si>
    <t>46.53亿</t>
  </si>
  <si>
    <t>7.08亿</t>
  </si>
  <si>
    <t>12.21亿</t>
  </si>
  <si>
    <t>10.91亿</t>
  </si>
  <si>
    <t>60.56亿</t>
  </si>
  <si>
    <t>16.85亿</t>
  </si>
  <si>
    <t>46.73亿</t>
  </si>
  <si>
    <t>12.16亿</t>
  </si>
  <si>
    <t>262.14亿</t>
  </si>
  <si>
    <t>80.96亿</t>
  </si>
  <si>
    <t>55.05亿</t>
  </si>
  <si>
    <t>17.05亿</t>
  </si>
  <si>
    <t>46.04亿</t>
  </si>
  <si>
    <t>13.87亿</t>
  </si>
  <si>
    <t>25.03亿</t>
  </si>
  <si>
    <t>64.06亿</t>
  </si>
  <si>
    <t>51.19亿</t>
  </si>
  <si>
    <t>51.35亿</t>
  </si>
  <si>
    <t>15.50亿</t>
  </si>
  <si>
    <t>1.56亿</t>
  </si>
  <si>
    <t>2-1</t>
  </si>
  <si>
    <t>2.80亿</t>
  </si>
  <si>
    <t>-2-1</t>
  </si>
  <si>
    <t>2.11亿</t>
  </si>
  <si>
    <t>10.65亿</t>
  </si>
  <si>
    <t>4.19亿</t>
  </si>
  <si>
    <t>8.43亿</t>
  </si>
  <si>
    <t>3.88亿</t>
  </si>
  <si>
    <t>145.93亿</t>
  </si>
  <si>
    <t>70.90亿</t>
  </si>
  <si>
    <t>113.10亿</t>
  </si>
  <si>
    <t>27.79亿</t>
  </si>
  <si>
    <t>1.07亿</t>
  </si>
  <si>
    <t>15.41亿</t>
  </si>
  <si>
    <t>2.65亿</t>
  </si>
  <si>
    <t>4.21亿</t>
  </si>
  <si>
    <t>455.06亿</t>
  </si>
  <si>
    <t>170.37亿</t>
  </si>
  <si>
    <t>62.11亿</t>
  </si>
  <si>
    <t>-8097.26万</t>
  </si>
  <si>
    <t>-3-1</t>
  </si>
  <si>
    <t>1.99亿</t>
  </si>
  <si>
    <t>1.55亿</t>
  </si>
  <si>
    <t>皇台酒业</t>
  </si>
  <si>
    <t>7448.69万</t>
  </si>
  <si>
    <t>303.85万</t>
  </si>
  <si>
    <t>218.73亿</t>
  </si>
  <si>
    <t>78.62亿</t>
  </si>
  <si>
    <t>4.51亿</t>
  </si>
  <si>
    <t>3.98亿</t>
  </si>
  <si>
    <t>3.05亿</t>
  </si>
  <si>
    <t>4.94亿</t>
  </si>
  <si>
    <t>9654.53万</t>
  </si>
  <si>
    <t>1.49亿</t>
  </si>
  <si>
    <t>1.21亿</t>
  </si>
  <si>
    <t>-2.06亿</t>
  </si>
  <si>
    <t>7.68亿</t>
  </si>
  <si>
    <t>-3781.47万</t>
  </si>
  <si>
    <t>695.76亿</t>
  </si>
  <si>
    <t>359.80亿</t>
  </si>
  <si>
    <t>1.39亿</t>
  </si>
  <si>
    <t>22.32亿</t>
  </si>
  <si>
    <t>22.04万</t>
  </si>
  <si>
    <t>5351.26万</t>
  </si>
  <si>
    <t>35.29亿</t>
  </si>
  <si>
    <t>9.20亿</t>
  </si>
  <si>
    <t>8.06亿</t>
  </si>
  <si>
    <t>15.27亿</t>
  </si>
  <si>
    <t>190.11亿</t>
  </si>
  <si>
    <t>67.67亿</t>
  </si>
  <si>
    <t>5.25亿</t>
  </si>
  <si>
    <t>6.64亿</t>
  </si>
  <si>
    <t>10.64亿</t>
  </si>
  <si>
    <t>11.00亿</t>
  </si>
  <si>
    <t>59.69亿</t>
  </si>
  <si>
    <t>20.50亿</t>
  </si>
  <si>
    <t>-2.57亿</t>
  </si>
  <si>
    <t>29.12亿</t>
  </si>
  <si>
    <t>8.48亿</t>
  </si>
  <si>
    <t>15.23亿</t>
  </si>
  <si>
    <t>3.40亿</t>
  </si>
  <si>
    <t>1.43亿</t>
  </si>
  <si>
    <t>-2-0</t>
  </si>
  <si>
    <t>2.19亿</t>
  </si>
  <si>
    <t>-3-0</t>
  </si>
  <si>
    <t>1.41亿</t>
  </si>
  <si>
    <t>5.56亿</t>
  </si>
  <si>
    <t>839.20万</t>
  </si>
  <si>
    <t>217.63亿</t>
  </si>
  <si>
    <t>463.71亿</t>
  </si>
  <si>
    <t>91.88亿</t>
  </si>
  <si>
    <t>45.74亿</t>
  </si>
  <si>
    <t>31.26亿</t>
  </si>
  <si>
    <t>7.21亿</t>
  </si>
  <si>
    <t>2.29亿</t>
  </si>
  <si>
    <t>18575635亿</t>
  </si>
  <si>
    <t>562.52万</t>
  </si>
  <si>
    <t>4552423500亿</t>
  </si>
  <si>
    <t>321.37亿</t>
  </si>
  <si>
    <t>12002087亿</t>
  </si>
  <si>
    <t>50993470000亿</t>
  </si>
  <si>
    <t>22.57亿</t>
  </si>
  <si>
    <t>100.77亿</t>
  </si>
  <si>
    <t>119.90亿</t>
  </si>
  <si>
    <t>43.59亿</t>
  </si>
  <si>
    <t>-2202.12万</t>
  </si>
  <si>
    <t>18.34亿</t>
  </si>
  <si>
    <t>302.33亿</t>
  </si>
  <si>
    <t>132.46亿</t>
  </si>
  <si>
    <t>10派54元(含税)</t>
  </si>
  <si>
    <t>4700.24万</t>
  </si>
  <si>
    <t>2.69亿</t>
  </si>
  <si>
    <t>119.20万</t>
  </si>
  <si>
    <t>130.07亿</t>
  </si>
  <si>
    <t>245.39亿</t>
  </si>
  <si>
    <t>82.86亿</t>
  </si>
  <si>
    <t>20.66亿</t>
  </si>
  <si>
    <t>54.70亿</t>
  </si>
  <si>
    <t>16.28亿</t>
  </si>
  <si>
    <t>22.52亿</t>
  </si>
  <si>
    <t>3.97亿</t>
  </si>
  <si>
    <t>-14845728亿</t>
  </si>
  <si>
    <t>1150.29万</t>
  </si>
  <si>
    <t>2049854300亿</t>
  </si>
  <si>
    <t>173.16亿</t>
  </si>
  <si>
    <t>68612716亿</t>
  </si>
  <si>
    <t>30111356000亿</t>
  </si>
  <si>
    <t>31.58亿</t>
  </si>
  <si>
    <t>2000.44万</t>
  </si>
  <si>
    <t>23.03亿</t>
  </si>
  <si>
    <t>153.85亿</t>
  </si>
  <si>
    <t>24.54亿</t>
  </si>
  <si>
    <t>864.93万</t>
  </si>
  <si>
    <t>3000.37万</t>
  </si>
  <si>
    <t>202.54亿</t>
  </si>
  <si>
    <t>45.89亿</t>
  </si>
  <si>
    <t>10派45元(含税)</t>
  </si>
  <si>
    <t>765.72万</t>
  </si>
  <si>
    <t>4529.82万</t>
  </si>
  <si>
    <t>1394.13万</t>
  </si>
  <si>
    <t>330.84亿</t>
  </si>
  <si>
    <t>1469.85亿</t>
  </si>
  <si>
    <t>348.33亿</t>
  </si>
  <si>
    <t>140.45亿</t>
  </si>
  <si>
    <t>154.25亿</t>
  </si>
  <si>
    <t>75.15亿</t>
  </si>
  <si>
    <t>26.24亿</t>
  </si>
  <si>
    <t>602.31万</t>
  </si>
  <si>
    <t>14038693000亿</t>
  </si>
  <si>
    <t>1158.26亿</t>
  </si>
  <si>
    <t>166566160亿</t>
  </si>
  <si>
    <t>1168.68万</t>
  </si>
  <si>
    <t>160632910000亿</t>
  </si>
  <si>
    <t>62.91亿</t>
  </si>
  <si>
    <t>6.44亿</t>
  </si>
  <si>
    <t>89.21亿</t>
  </si>
  <si>
    <t>1730.05万</t>
  </si>
  <si>
    <t>324.36亿</t>
  </si>
  <si>
    <t>5.16亿</t>
  </si>
  <si>
    <t>-5.33亿</t>
  </si>
  <si>
    <t>-9210.16万</t>
  </si>
  <si>
    <t>266.90亿</t>
  </si>
  <si>
    <t>832.72亿</t>
  </si>
  <si>
    <t>302.11亿</t>
  </si>
  <si>
    <t>10派46.70元(含税)</t>
  </si>
  <si>
    <t>7659.99万</t>
  </si>
  <si>
    <t>4.72亿</t>
  </si>
  <si>
    <t>1126.16万</t>
  </si>
  <si>
    <t>85.65亿</t>
  </si>
  <si>
    <t>72.54亿</t>
  </si>
  <si>
    <t>40.57亿</t>
  </si>
  <si>
    <t>34.24亿</t>
  </si>
  <si>
    <t>25.50亿</t>
  </si>
  <si>
    <t>450573690亿</t>
  </si>
  <si>
    <t>67.31亿</t>
  </si>
  <si>
    <t>45016933亿</t>
  </si>
  <si>
    <t>3.10亿</t>
  </si>
  <si>
    <t>9000031200亿</t>
  </si>
  <si>
    <t>3261.66万</t>
  </si>
  <si>
    <t>25.59亿</t>
  </si>
  <si>
    <t>413.85万</t>
  </si>
  <si>
    <t>53.52亿</t>
  </si>
  <si>
    <t>15.05亿</t>
  </si>
  <si>
    <t>-4.44亿</t>
  </si>
  <si>
    <t>-2408.30万</t>
  </si>
  <si>
    <t>-6671.60万</t>
  </si>
  <si>
    <t>105.93亿</t>
  </si>
  <si>
    <t>-2.96亿</t>
  </si>
  <si>
    <t>6663.61万</t>
  </si>
  <si>
    <t>4.33亿</t>
  </si>
  <si>
    <t>0451000000</t>
  </si>
  <si>
    <t>01353000000</t>
  </si>
  <si>
    <t>02706000000</t>
  </si>
  <si>
    <t>04510000000</t>
  </si>
  <si>
    <t>09020000000</t>
  </si>
  <si>
    <t>404.53万</t>
  </si>
  <si>
    <t>177.42亿</t>
  </si>
  <si>
    <t>580.99亿</t>
  </si>
  <si>
    <t>162.55亿</t>
  </si>
  <si>
    <t>60.55亿</t>
  </si>
  <si>
    <t>81.79亿</t>
  </si>
  <si>
    <t>38.95亿</t>
  </si>
  <si>
    <t>13.85亿</t>
  </si>
  <si>
    <t>4.63亿</t>
  </si>
  <si>
    <t>33321521亿</t>
  </si>
  <si>
    <t>710.92万</t>
  </si>
  <si>
    <t>6050415500亿</t>
  </si>
  <si>
    <t>280.45亿</t>
  </si>
  <si>
    <t>4139000亿</t>
  </si>
  <si>
    <t>54851760000亿</t>
  </si>
  <si>
    <t>16.41亿</t>
  </si>
  <si>
    <t>15.98亿</t>
  </si>
  <si>
    <t>137.55亿</t>
  </si>
  <si>
    <t>48.50亿</t>
  </si>
  <si>
    <t>-24.83亿</t>
  </si>
  <si>
    <t>-692.77万</t>
  </si>
  <si>
    <t>331.26亿</t>
  </si>
  <si>
    <t>100.16亿</t>
  </si>
  <si>
    <t>10派46.6元(含税)</t>
  </si>
  <si>
    <t>2448.14万</t>
  </si>
  <si>
    <t>06055000000</t>
  </si>
  <si>
    <t>018165000000</t>
  </si>
  <si>
    <t>036330000000</t>
  </si>
  <si>
    <t>060550000000</t>
  </si>
  <si>
    <t>0121100000000</t>
  </si>
  <si>
    <t>790.54万</t>
  </si>
  <si>
    <t>9.45亿</t>
  </si>
  <si>
    <t>25.49亿</t>
  </si>
  <si>
    <t>1764.49万</t>
  </si>
  <si>
    <t>131.08万</t>
  </si>
  <si>
    <t>14840874亿</t>
  </si>
  <si>
    <t>4.03亿</t>
  </si>
  <si>
    <t>183970410亿</t>
  </si>
  <si>
    <t>2123200700亿</t>
  </si>
  <si>
    <t>7557.23万</t>
  </si>
  <si>
    <t>246.62万</t>
  </si>
  <si>
    <t>-1.05亿</t>
  </si>
  <si>
    <t>40.59万</t>
  </si>
  <si>
    <t>246.29万</t>
  </si>
  <si>
    <t>14.69亿</t>
  </si>
  <si>
    <t>-2206.96万</t>
  </si>
  <si>
    <t>6672.67万</t>
  </si>
  <si>
    <t>017644900</t>
  </si>
  <si>
    <t>052934700</t>
  </si>
  <si>
    <t>0105869400</t>
  </si>
  <si>
    <t>0176449000</t>
  </si>
  <si>
    <t>0352898000</t>
  </si>
  <si>
    <t>1219.90万</t>
  </si>
  <si>
    <t>46.90亿</t>
  </si>
  <si>
    <t>49.58亿</t>
  </si>
  <si>
    <t>11.30亿</t>
  </si>
  <si>
    <t>9.67亿</t>
  </si>
  <si>
    <t>9530.59万</t>
  </si>
  <si>
    <t>3896140亿</t>
  </si>
  <si>
    <t>127.70万</t>
  </si>
  <si>
    <t>125240855亿</t>
  </si>
  <si>
    <t>17.75亿</t>
  </si>
  <si>
    <t>5214862亿</t>
  </si>
  <si>
    <t>3.56亿</t>
  </si>
  <si>
    <t>6606017100亿</t>
  </si>
  <si>
    <t>5244.99万</t>
  </si>
  <si>
    <t>3.90亿</t>
  </si>
  <si>
    <t>51.18亿</t>
  </si>
  <si>
    <t>52.57亿</t>
  </si>
  <si>
    <t>8503.21万</t>
  </si>
  <si>
    <t>4.49亿</t>
  </si>
  <si>
    <t>0136000000</t>
  </si>
  <si>
    <t>0408000000</t>
  </si>
  <si>
    <t>0816000000</t>
  </si>
  <si>
    <t>01360000000</t>
  </si>
  <si>
    <t>02720000000</t>
  </si>
  <si>
    <t>578.63万</t>
  </si>
  <si>
    <t>35.57亿</t>
  </si>
  <si>
    <t>79.99亿</t>
  </si>
  <si>
    <t>21.05亿</t>
  </si>
  <si>
    <t>5.50亿</t>
  </si>
  <si>
    <t>13.80亿</t>
  </si>
  <si>
    <t>5.44亿</t>
  </si>
  <si>
    <t>3.44亿</t>
  </si>
  <si>
    <t>-2003116亿</t>
  </si>
  <si>
    <t>369.32万</t>
  </si>
  <si>
    <t>546172910亿</t>
  </si>
  <si>
    <t>29.80亿</t>
  </si>
  <si>
    <t>401628400亿</t>
  </si>
  <si>
    <t>8673282800亿</t>
  </si>
  <si>
    <t>9.18亿</t>
  </si>
  <si>
    <t>3.16亿</t>
  </si>
  <si>
    <t>7.23亿</t>
  </si>
  <si>
    <t>879.32万</t>
  </si>
  <si>
    <t>37.54亿</t>
  </si>
  <si>
    <t>4882.88万</t>
  </si>
  <si>
    <t>2.64亿</t>
  </si>
  <si>
    <t>70.81亿</t>
  </si>
  <si>
    <t>17.71亿</t>
  </si>
  <si>
    <t>10派21.5元(含税)</t>
  </si>
  <si>
    <t>3420.48万</t>
  </si>
  <si>
    <t>257.38万</t>
  </si>
  <si>
    <t>40.31亿</t>
  </si>
  <si>
    <t>45.08亿</t>
  </si>
  <si>
    <t>9.33亿</t>
  </si>
  <si>
    <t>1.86亿</t>
  </si>
  <si>
    <t>3.27亿</t>
  </si>
  <si>
    <t>8842.77万</t>
  </si>
  <si>
    <t>73.50万</t>
  </si>
  <si>
    <t>153954480亿</t>
  </si>
  <si>
    <t>19.65亿</t>
  </si>
  <si>
    <t>7974018亿</t>
  </si>
  <si>
    <t>4603074900亿</t>
  </si>
  <si>
    <t>5224.20万</t>
  </si>
  <si>
    <t>9.85亿</t>
  </si>
  <si>
    <t>37.48亿</t>
  </si>
  <si>
    <t>-1.02亿</t>
  </si>
  <si>
    <t>-7633.89万</t>
  </si>
  <si>
    <t>49.53亿</t>
  </si>
  <si>
    <t>10派9.15元(含税)</t>
  </si>
  <si>
    <t>1342.20万</t>
  </si>
  <si>
    <t>8313.81万</t>
  </si>
  <si>
    <t>0186000000</t>
  </si>
  <si>
    <t>0558000000</t>
  </si>
  <si>
    <t>01116000000</t>
  </si>
  <si>
    <t>01860000000</t>
  </si>
  <si>
    <t>03720000000</t>
  </si>
  <si>
    <t>XD山西汾</t>
  </si>
  <si>
    <t>453.32万</t>
  </si>
  <si>
    <t>158.21亿</t>
  </si>
  <si>
    <t>345.39亿</t>
  </si>
  <si>
    <t>153.38亿</t>
  </si>
  <si>
    <t>62.62亿</t>
  </si>
  <si>
    <t>69.79亿</t>
  </si>
  <si>
    <t>34.57亿</t>
  </si>
  <si>
    <t>2667911亿</t>
  </si>
  <si>
    <t>10.68万</t>
  </si>
  <si>
    <t>6260629600亿</t>
  </si>
  <si>
    <t>55.09亿</t>
  </si>
  <si>
    <t>4115258亿</t>
  </si>
  <si>
    <t>41137693000亿</t>
  </si>
  <si>
    <t>9.54亿</t>
  </si>
  <si>
    <t>5.26亿</t>
  </si>
  <si>
    <t>27.96亿</t>
  </si>
  <si>
    <t>152.03亿</t>
  </si>
  <si>
    <t>70.41亿</t>
  </si>
  <si>
    <t>-53.05亿</t>
  </si>
  <si>
    <t>-265.96万</t>
  </si>
  <si>
    <t>319.28亿</t>
  </si>
  <si>
    <t>104.38亿</t>
  </si>
  <si>
    <t>10派43.70元(含税)</t>
  </si>
  <si>
    <t>2476.97万</t>
  </si>
  <si>
    <t>1.34亿</t>
  </si>
  <si>
    <t>296.93万</t>
  </si>
  <si>
    <t>83.44亿</t>
  </si>
  <si>
    <t>148.22亿</t>
  </si>
  <si>
    <t>46.71亿</t>
  </si>
  <si>
    <t>26.68亿</t>
  </si>
  <si>
    <t>12.04亿</t>
  </si>
  <si>
    <t>19117669亿</t>
  </si>
  <si>
    <t>119.51万</t>
  </si>
  <si>
    <t>1525286400亿</t>
  </si>
  <si>
    <t>75.02亿</t>
  </si>
  <si>
    <t>66062614亿</t>
  </si>
  <si>
    <t>12927320800亿</t>
  </si>
  <si>
    <t>44.89亿</t>
  </si>
  <si>
    <t>10.04亿</t>
  </si>
  <si>
    <t>73.71亿</t>
  </si>
  <si>
    <t>10.02亿</t>
  </si>
  <si>
    <t>78.85亿</t>
  </si>
  <si>
    <t>100.98亿</t>
  </si>
  <si>
    <t>31.36亿</t>
  </si>
  <si>
    <t>10派10元(含税)</t>
  </si>
  <si>
    <t>2345.17万</t>
  </si>
  <si>
    <t>313.39万</t>
  </si>
  <si>
    <t>27.83亿</t>
  </si>
  <si>
    <t>103.26亿</t>
  </si>
  <si>
    <t>17.68亿</t>
  </si>
  <si>
    <t>5.89亿</t>
  </si>
  <si>
    <t>9.74亿</t>
  </si>
  <si>
    <t>2.13亿</t>
  </si>
  <si>
    <t>9384.35万</t>
  </si>
  <si>
    <t>944671亿</t>
  </si>
  <si>
    <t>42.99万</t>
  </si>
  <si>
    <t>586552400亿</t>
  </si>
  <si>
    <t>13369533亿</t>
  </si>
  <si>
    <t>8.56亿</t>
  </si>
  <si>
    <t>7987552700亿</t>
  </si>
  <si>
    <t>10.15亿</t>
  </si>
  <si>
    <t>4.06亿</t>
  </si>
  <si>
    <t>4.50亿</t>
  </si>
  <si>
    <t>24.75亿</t>
  </si>
  <si>
    <t>-1.04亿</t>
  </si>
  <si>
    <t>-4.70亿</t>
  </si>
  <si>
    <t>-1251.61万</t>
  </si>
  <si>
    <t>59.62亿</t>
  </si>
  <si>
    <t>17.21亿</t>
  </si>
  <si>
    <t>2097.12万</t>
  </si>
  <si>
    <t>0589000000</t>
  </si>
  <si>
    <t>01767000000</t>
  </si>
  <si>
    <t>03534000000</t>
  </si>
  <si>
    <t>05890000000</t>
  </si>
  <si>
    <t>011780000000</t>
  </si>
  <si>
    <t>489.52万</t>
  </si>
  <si>
    <t>13.91亿</t>
  </si>
  <si>
    <t>43.52亿</t>
  </si>
  <si>
    <t>7338.03万</t>
  </si>
  <si>
    <t>1.68亿</t>
  </si>
  <si>
    <t>3936.23万</t>
  </si>
  <si>
    <t>-126917亿</t>
  </si>
  <si>
    <t>30.63万</t>
  </si>
  <si>
    <t>69507219亿</t>
  </si>
  <si>
    <t>20.06亿</t>
  </si>
  <si>
    <t>478809亿</t>
  </si>
  <si>
    <t>3564.65万</t>
  </si>
  <si>
    <t>4060558700亿</t>
  </si>
  <si>
    <t>6.53亿</t>
  </si>
  <si>
    <t>23.02万</t>
  </si>
  <si>
    <t>11.70亿</t>
  </si>
  <si>
    <t>-2.65亿</t>
  </si>
  <si>
    <t>-9029.57万</t>
  </si>
  <si>
    <t>28.30亿</t>
  </si>
  <si>
    <t>5.48亿</t>
  </si>
  <si>
    <t>2851.55万</t>
  </si>
  <si>
    <t>261.39万</t>
  </si>
  <si>
    <t>3634.91万</t>
  </si>
  <si>
    <t>87.07万</t>
  </si>
  <si>
    <t>3634.16万</t>
  </si>
  <si>
    <t>1284.49万</t>
  </si>
  <si>
    <t>857.97万</t>
  </si>
  <si>
    <t>751.25万</t>
  </si>
  <si>
    <t>205085亿</t>
  </si>
  <si>
    <t>1721.38万</t>
  </si>
  <si>
    <t>5069851亿</t>
  </si>
  <si>
    <t>224420830亿</t>
  </si>
  <si>
    <t>7649.17万</t>
  </si>
  <si>
    <t>100.99万</t>
  </si>
  <si>
    <t>2.74亿</t>
  </si>
  <si>
    <t>136.81万</t>
  </si>
  <si>
    <t>-102.08万</t>
  </si>
  <si>
    <t>-72.67万</t>
  </si>
  <si>
    <t>1.54亿</t>
  </si>
  <si>
    <t>-1500.94万</t>
  </si>
  <si>
    <t>2109.56万</t>
  </si>
  <si>
    <t>9865.32万</t>
  </si>
  <si>
    <t>275.35万</t>
  </si>
  <si>
    <t>29.22亿</t>
  </si>
  <si>
    <t>1.95亿</t>
  </si>
  <si>
    <t>7562.08万</t>
  </si>
  <si>
    <t>3850.29万</t>
  </si>
  <si>
    <t>-267619亿</t>
  </si>
  <si>
    <t>106145799亿</t>
  </si>
  <si>
    <t>26681065亿</t>
  </si>
  <si>
    <t>2058595000亿</t>
  </si>
  <si>
    <t>4625.88万</t>
  </si>
  <si>
    <t>1.14亿</t>
  </si>
  <si>
    <t>937.71万</t>
  </si>
  <si>
    <t>-1852.55万</t>
  </si>
  <si>
    <t>-177.29万</t>
  </si>
  <si>
    <t>7568.49万</t>
  </si>
  <si>
    <t>12.10亿</t>
  </si>
  <si>
    <t>8958.13万</t>
  </si>
  <si>
    <t>10派1.3元(含税)</t>
  </si>
  <si>
    <t>1860.50万</t>
  </si>
  <si>
    <t>0108000000</t>
  </si>
  <si>
    <t>0324000000</t>
  </si>
  <si>
    <t>0648000000</t>
  </si>
  <si>
    <t>01080000000</t>
  </si>
  <si>
    <t>02160000000</t>
  </si>
  <si>
    <t>338.12万</t>
  </si>
  <si>
    <t>40.66亿</t>
  </si>
  <si>
    <t>-1235200亿</t>
  </si>
  <si>
    <t>5.75万</t>
  </si>
  <si>
    <t>159340060亿</t>
  </si>
  <si>
    <t>166652800亿</t>
  </si>
  <si>
    <t>2903857300亿</t>
  </si>
  <si>
    <t>11.88万</t>
  </si>
  <si>
    <t>-7092.10万</t>
  </si>
  <si>
    <t>-437.81万</t>
  </si>
  <si>
    <t>22.31亿</t>
  </si>
  <si>
    <t>10派3.9元(含税)</t>
  </si>
  <si>
    <t>2707.98万</t>
  </si>
  <si>
    <t>0159000000</t>
  </si>
  <si>
    <t>0477000000</t>
  </si>
  <si>
    <t>0954000000</t>
  </si>
  <si>
    <t>01590000000</t>
  </si>
  <si>
    <t>03180000000</t>
  </si>
  <si>
    <t>388.29万</t>
  </si>
  <si>
    <t>490.43亿</t>
  </si>
  <si>
    <t>2485.37亿</t>
  </si>
  <si>
    <t>457.76亿</t>
  </si>
  <si>
    <t>240.65亿</t>
  </si>
  <si>
    <t>133.44亿</t>
  </si>
  <si>
    <t>33.81亿</t>
  </si>
  <si>
    <t>20.62亿</t>
  </si>
  <si>
    <t>1283616亿</t>
  </si>
  <si>
    <t>1640.18万</t>
  </si>
  <si>
    <t>24051471000亿</t>
  </si>
  <si>
    <t>741.97亿</t>
  </si>
  <si>
    <t>73124663亿</t>
  </si>
  <si>
    <t>237377000000亿</t>
  </si>
  <si>
    <t>28.13亿</t>
  </si>
  <si>
    <t>40.23亿</t>
  </si>
  <si>
    <t>366.27亿</t>
  </si>
  <si>
    <t>91.87亿</t>
  </si>
  <si>
    <t>-7.67亿</t>
  </si>
  <si>
    <t>-1175.63万</t>
  </si>
  <si>
    <t>1241.00亿</t>
  </si>
  <si>
    <t>627.17亿</t>
  </si>
  <si>
    <t>1476.94亿</t>
  </si>
  <si>
    <t>747.34亿</t>
  </si>
  <si>
    <t>10派308.76元(含税)</t>
  </si>
  <si>
    <t>1787.97万</t>
  </si>
  <si>
    <t>024065000000</t>
  </si>
  <si>
    <t>072195000000</t>
  </si>
  <si>
    <t>0144390000000</t>
  </si>
  <si>
    <t>0240650000000</t>
  </si>
  <si>
    <t>0481300000000</t>
  </si>
  <si>
    <t>600.63万</t>
  </si>
  <si>
    <t>14.19亿</t>
  </si>
  <si>
    <t>8.51亿</t>
  </si>
  <si>
    <t>-1966.08万</t>
  </si>
  <si>
    <t>3521.06万</t>
  </si>
  <si>
    <t>4295.10万</t>
  </si>
  <si>
    <t>3005.40万</t>
  </si>
  <si>
    <t>-2968725亿</t>
  </si>
  <si>
    <t>1.47万</t>
  </si>
  <si>
    <t>-19663615亿</t>
  </si>
  <si>
    <t>3045.68万</t>
  </si>
  <si>
    <t>4660413亿</t>
  </si>
  <si>
    <t>762676560亿</t>
  </si>
  <si>
    <t>8.04亿</t>
  </si>
  <si>
    <t>4.73亿</t>
  </si>
  <si>
    <t>13.36亿</t>
  </si>
  <si>
    <t>-2918.64万</t>
  </si>
  <si>
    <t>-1549.70万</t>
  </si>
  <si>
    <t>916.80万</t>
  </si>
  <si>
    <t>3736.89万</t>
  </si>
  <si>
    <t>16.29亿</t>
  </si>
  <si>
    <t>8707.04万</t>
  </si>
  <si>
    <t>3621.26万</t>
  </si>
  <si>
    <t>336.16万</t>
  </si>
  <si>
    <t>33.11亿</t>
  </si>
  <si>
    <t>92.91亿</t>
  </si>
  <si>
    <t>23.25亿</t>
  </si>
  <si>
    <t>9.13亿</t>
  </si>
  <si>
    <t>5449.01万</t>
  </si>
  <si>
    <t>16118309亿</t>
  </si>
  <si>
    <t>96.77万</t>
  </si>
  <si>
    <t>901448970亿</t>
  </si>
  <si>
    <t>29.55亿</t>
  </si>
  <si>
    <t>51954586亿</t>
  </si>
  <si>
    <t>9471298500亿</t>
  </si>
  <si>
    <t>1.67亿</t>
  </si>
  <si>
    <t>6.20亿</t>
  </si>
  <si>
    <t>-2835.61万</t>
  </si>
  <si>
    <t>67.20亿</t>
  </si>
  <si>
    <t>22.88亿</t>
  </si>
  <si>
    <t>1941.91万</t>
  </si>
  <si>
    <t>0913000000</t>
  </si>
  <si>
    <t>02739000000</t>
  </si>
  <si>
    <t>05478000000</t>
  </si>
  <si>
    <t>09130000000</t>
  </si>
  <si>
    <t>018260000000</t>
  </si>
  <si>
    <t>284.94万</t>
  </si>
  <si>
    <t>10.80亿</t>
  </si>
  <si>
    <t>35.42亿</t>
  </si>
  <si>
    <t>10.76亿</t>
  </si>
  <si>
    <t>1.93亿</t>
  </si>
  <si>
    <t>8509.95万</t>
  </si>
  <si>
    <t>221944520亿</t>
  </si>
  <si>
    <t>13.53亿</t>
  </si>
  <si>
    <t>21972846亿</t>
  </si>
  <si>
    <t>3020492600亿</t>
  </si>
  <si>
    <t>206.19万</t>
  </si>
  <si>
    <t>9277.42万</t>
  </si>
  <si>
    <t>-646.49万</t>
  </si>
  <si>
    <t>25.48亿</t>
  </si>
  <si>
    <t>10派3.89元(含税)</t>
  </si>
  <si>
    <t>1822.39万</t>
  </si>
  <si>
    <t>8822.79万</t>
  </si>
  <si>
    <t>0221000000</t>
  </si>
  <si>
    <t>0663000000</t>
  </si>
  <si>
    <t>01326000000</t>
  </si>
  <si>
    <t>02210000000</t>
  </si>
  <si>
    <t>04420000000</t>
  </si>
  <si>
    <t>1.浓香型白酒；</t>
  </si>
  <si>
    <t>1.馥郁香型白酒；</t>
  </si>
  <si>
    <t>1.酱香型白酒；</t>
  </si>
  <si>
    <t>1.清香型白酒；</t>
  </si>
  <si>
    <t>1.兼香型白酒；</t>
  </si>
  <si>
    <t>成交量[20240705]</t>
  </si>
  <si>
    <t>负债合计[20231231]</t>
  </si>
  <si>
    <t>所有者权益合计[20231231]</t>
  </si>
  <si>
    <t>营业收入[20240331]</t>
  </si>
  <si>
    <t>LYear营业收入[20231231]</t>
  </si>
  <si>
    <t>LYear净利润[20231231]</t>
  </si>
  <si>
    <t>权益乘数[20230930]</t>
  </si>
  <si>
    <t>营业总成本[20230930]</t>
  </si>
  <si>
    <t>营业成本[20230930]</t>
  </si>
  <si>
    <t>销售费用[20230930]</t>
  </si>
  <si>
    <t>管理费用[20230930]</t>
  </si>
  <si>
    <t>研发费用总额[20230630]</t>
  </si>
  <si>
    <t>其他收入[20230930]</t>
  </si>
  <si>
    <t>扣非净利润</t>
  </si>
  <si>
    <t>货币资金[20230930]</t>
  </si>
  <si>
    <t>应收票据[20230930]</t>
  </si>
  <si>
    <t>固定资产[20230930]</t>
  </si>
  <si>
    <t>在建工程[20230930]</t>
  </si>
  <si>
    <t>短期借款[20230930]</t>
  </si>
  <si>
    <t>应付票据[20230930]</t>
  </si>
  <si>
    <t>应付账款[20230930]</t>
  </si>
  <si>
    <t>预收款项[20230930]</t>
  </si>
  <si>
    <t>流动负债[20240331]</t>
  </si>
  <si>
    <t>长期借款[20230930]</t>
  </si>
  <si>
    <t>经营活动产生的现金流量净额[20230930]</t>
  </si>
  <si>
    <t>投资活动产生的现金流量净额[20240331]</t>
  </si>
  <si>
    <t>筹资活动产生的现金流量净额[20240331]</t>
  </si>
  <si>
    <t>营业收入[20221231]</t>
  </si>
  <si>
    <t>净利润[20221231]</t>
  </si>
  <si>
    <t>CYLQ营业收入[20231231]</t>
  </si>
  <si>
    <t>LYCQ营业收入[20230331]</t>
  </si>
  <si>
    <t>LYLQ营业收入[20221231]</t>
  </si>
  <si>
    <t>CYLQ净利润[20231231]</t>
  </si>
  <si>
    <t>LYCQ净利润[20230331]</t>
  </si>
  <si>
    <t>LYLQ净利润[20221231]</t>
  </si>
  <si>
    <t>投入资本回报率roic%[20230930]</t>
  </si>
  <si>
    <t>净资产收益率%[20230930]</t>
  </si>
  <si>
    <t>分红明细[20231231]</t>
  </si>
  <si>
    <t>销售毛利率%[20231231]</t>
  </si>
  <si>
    <t>销售毛利率%[20221231]</t>
  </si>
  <si>
    <t>销售净利率%[20231231]</t>
  </si>
  <si>
    <t>销售净利率%[20221231]</t>
  </si>
  <si>
    <t>指数@区间涨跌幅:不复权%[20240701-20240705]</t>
  </si>
  <si>
    <t>指数@区间涨跌幅:不复权%[20240524-20240705]</t>
  </si>
  <si>
    <t>区间成交量[20240701-20240705]</t>
  </si>
  <si>
    <t>区间成交量[20240123-20240312]</t>
  </si>
  <si>
    <t>6年PE</t>
  </si>
  <si>
    <t>5年营收增速PEG</t>
  </si>
  <si>
    <t>股利率</t>
  </si>
  <si>
    <t>过往营收增速均值</t>
  </si>
  <si>
    <t>过往利润增速均值</t>
  </si>
  <si>
    <t>折现率</t>
  </si>
  <si>
    <t>1年自由现金流折现</t>
  </si>
  <si>
    <t>1增速</t>
  </si>
  <si>
    <t>3年自由现金流折现</t>
  </si>
  <si>
    <t>3增速</t>
  </si>
  <si>
    <t>6年自由现金流折现</t>
  </si>
  <si>
    <t>6增速</t>
  </si>
  <si>
    <t>10年自由现金流折现</t>
  </si>
  <si>
    <t>10增速</t>
  </si>
  <si>
    <t>20年自由现金流折现</t>
  </si>
  <si>
    <t>承担负债现期溢价</t>
  </si>
  <si>
    <t>清算价格</t>
  </si>
  <si>
    <t>原始顺序</t>
  </si>
  <si>
    <t>策略1营收单季最佳增速</t>
  </si>
  <si>
    <t>策略1利润单季最佳增速</t>
  </si>
  <si>
    <t>营收成长策略</t>
  </si>
  <si>
    <t>利润成长策略</t>
  </si>
  <si>
    <t>营收和利润加权</t>
  </si>
  <si>
    <t>价格变动策略</t>
  </si>
  <si>
    <t>成交量综合策略</t>
  </si>
  <si>
    <t>量价齐升策略</t>
  </si>
  <si>
    <t>基本面排序</t>
  </si>
  <si>
    <t>综合策略</t>
  </si>
  <si>
    <t>机会区域号</t>
  </si>
  <si>
    <t>5日成交换手率</t>
  </si>
  <si>
    <t>30日成交换手率</t>
  </si>
  <si>
    <t>昨日价格累计指数</t>
  </si>
  <si>
    <t>今日价格累积指数</t>
  </si>
  <si>
    <t>成交量异动策略</t>
  </si>
  <si>
    <t>价格箱体形态过滤</t>
  </si>
  <si>
    <t>价格右侧初期策略</t>
  </si>
  <si>
    <t>N日期</t>
  </si>
  <si>
    <t>N-4</t>
  </si>
  <si>
    <t>N-3</t>
  </si>
  <si>
    <t>N-2</t>
  </si>
  <si>
    <t>N-1</t>
  </si>
  <si>
    <t>N</t>
  </si>
  <si>
    <t>LY利润</t>
  </si>
  <si>
    <t>LY净资产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</si>
</sst>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color theme="1"/>
      <name val="宋体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Fill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139700</xdr:colOff>
          <xdr:row>0</xdr:row>
          <xdr:rowOff>50800</xdr:rowOff>
        </xdr:from>
        <xdr:to>
          <xdr:col>147</xdr:col>
          <xdr:colOff>1352550</xdr:colOff>
          <xdr:row>0</xdr:row>
          <xdr:rowOff>361950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R21"/>
  <sheetViews>
    <sheetView tabSelected="1" zoomScale="85" zoomScaleNormal="85" workbookViewId="0">
      <pane xSplit="5" ySplit="1" topLeftCell="CB2" activePane="bottomRight" state="frozen"/>
      <selection pane="topRight" activeCell="F1" sqref="F1"/>
      <selection pane="bottomLeft" activeCell="A2" sqref="A2"/>
      <selection pane="bottomRight" activeCell="CV2" sqref="CV2:CV21"/>
    </sheetView>
  </sheetViews>
  <sheetFormatPr defaultRowHeight="14" x14ac:dyDescent="0.25"/>
  <cols>
    <col min="1" max="1" width="37.36328125" customWidth="1"/>
    <col min="2" max="2" width="40.36328125" customWidth="1"/>
    <col min="3" max="3" width="44.36328125" customWidth="1"/>
    <col min="9" max="9" width="11" customWidth="1"/>
    <col min="16" max="16" width="13.90625" customWidth="1"/>
    <col min="19" max="19" width="12.7265625" customWidth="1"/>
    <col min="148" max="148" width="26.08984375" customWidth="1"/>
  </cols>
  <sheetData>
    <row r="1" spans="1:148" s="2" customFormat="1" ht="41.5" customHeight="1" x14ac:dyDescent="0.25">
      <c r="A1" s="10" t="s">
        <v>18</v>
      </c>
      <c r="B1" s="11" t="s">
        <v>19</v>
      </c>
      <c r="C1" s="10" t="s">
        <v>20</v>
      </c>
      <c r="D1" t="s">
        <v>21</v>
      </c>
      <c r="E1" t="s">
        <v>235</v>
      </c>
      <c r="F1" t="s">
        <v>3</v>
      </c>
      <c r="G1" t="s">
        <v>268</v>
      </c>
      <c r="H1" t="s">
        <v>901</v>
      </c>
      <c r="I1" t="s">
        <v>22</v>
      </c>
      <c r="J1" t="s">
        <v>23</v>
      </c>
      <c r="K1" t="s">
        <v>4</v>
      </c>
      <c r="L1" t="s">
        <v>24</v>
      </c>
      <c r="M1" t="s">
        <v>902</v>
      </c>
      <c r="N1" t="s">
        <v>903</v>
      </c>
      <c r="O1" t="s">
        <v>904</v>
      </c>
      <c r="P1" t="s">
        <v>269</v>
      </c>
      <c r="Q1" t="s">
        <v>905</v>
      </c>
      <c r="R1" t="s">
        <v>236</v>
      </c>
      <c r="S1" t="s">
        <v>25</v>
      </c>
      <c r="T1" t="s">
        <v>906</v>
      </c>
      <c r="U1" t="s">
        <v>207</v>
      </c>
      <c r="V1" t="s">
        <v>26</v>
      </c>
      <c r="W1" t="s">
        <v>907</v>
      </c>
      <c r="X1" t="s">
        <v>270</v>
      </c>
      <c r="Y1" t="s">
        <v>271</v>
      </c>
      <c r="Z1" t="s">
        <v>908</v>
      </c>
      <c r="AA1" t="s">
        <v>909</v>
      </c>
      <c r="AB1" t="s">
        <v>910</v>
      </c>
      <c r="AC1" t="s">
        <v>911</v>
      </c>
      <c r="AD1" t="s">
        <v>912</v>
      </c>
      <c r="AE1" t="s">
        <v>27</v>
      </c>
      <c r="AF1" t="s">
        <v>28</v>
      </c>
      <c r="AG1" t="s">
        <v>913</v>
      </c>
      <c r="AH1" t="s">
        <v>914</v>
      </c>
      <c r="AI1" t="s">
        <v>915</v>
      </c>
      <c r="AJ1" t="s">
        <v>29</v>
      </c>
      <c r="AK1" t="s">
        <v>916</v>
      </c>
      <c r="AL1" t="s">
        <v>95</v>
      </c>
      <c r="AM1" t="s">
        <v>917</v>
      </c>
      <c r="AN1" t="s">
        <v>918</v>
      </c>
      <c r="AO1" t="s">
        <v>919</v>
      </c>
      <c r="AP1" t="s">
        <v>920</v>
      </c>
      <c r="AQ1" t="s">
        <v>921</v>
      </c>
      <c r="AR1" t="s">
        <v>922</v>
      </c>
      <c r="AS1" t="s">
        <v>923</v>
      </c>
      <c r="AT1" t="s">
        <v>924</v>
      </c>
      <c r="AU1" t="s">
        <v>925</v>
      </c>
      <c r="AV1" t="s">
        <v>926</v>
      </c>
      <c r="AW1" t="s">
        <v>927</v>
      </c>
      <c r="AX1" t="s">
        <v>928</v>
      </c>
      <c r="AY1" t="s">
        <v>272</v>
      </c>
      <c r="AZ1" t="s">
        <v>273</v>
      </c>
      <c r="BA1" t="s">
        <v>96</v>
      </c>
      <c r="BB1" t="s">
        <v>97</v>
      </c>
      <c r="BC1" t="s">
        <v>929</v>
      </c>
      <c r="BD1" t="s">
        <v>274</v>
      </c>
      <c r="BE1" t="s">
        <v>208</v>
      </c>
      <c r="BF1" t="s">
        <v>98</v>
      </c>
      <c r="BG1" t="s">
        <v>99</v>
      </c>
      <c r="BH1" t="s">
        <v>930</v>
      </c>
      <c r="BI1" t="s">
        <v>931</v>
      </c>
      <c r="BJ1" t="s">
        <v>932</v>
      </c>
      <c r="BK1" t="s">
        <v>933</v>
      </c>
      <c r="BL1" t="s">
        <v>934</v>
      </c>
      <c r="BM1" t="s">
        <v>935</v>
      </c>
      <c r="BN1" t="s">
        <v>936</v>
      </c>
      <c r="BO1" t="s">
        <v>275</v>
      </c>
      <c r="BP1" t="s">
        <v>237</v>
      </c>
      <c r="BQ1" t="s">
        <v>937</v>
      </c>
      <c r="BR1" t="s">
        <v>276</v>
      </c>
      <c r="BS1" t="s">
        <v>238</v>
      </c>
      <c r="BT1" t="s">
        <v>938</v>
      </c>
      <c r="BU1" t="s">
        <v>248</v>
      </c>
      <c r="BV1" t="s">
        <v>939</v>
      </c>
      <c r="BW1" t="s">
        <v>940</v>
      </c>
      <c r="BX1" t="s">
        <v>277</v>
      </c>
      <c r="BY1" t="s">
        <v>941</v>
      </c>
      <c r="BZ1" t="s">
        <v>942</v>
      </c>
      <c r="CA1" t="s">
        <v>278</v>
      </c>
      <c r="CB1" t="s">
        <v>943</v>
      </c>
      <c r="CC1" t="s">
        <v>944</v>
      </c>
      <c r="CD1" t="s">
        <v>945</v>
      </c>
      <c r="CE1" t="s">
        <v>946</v>
      </c>
      <c r="CF1" t="s">
        <v>239</v>
      </c>
      <c r="CG1" t="s">
        <v>240</v>
      </c>
      <c r="CH1" t="s">
        <v>188</v>
      </c>
      <c r="CI1" t="s">
        <v>189</v>
      </c>
      <c r="CJ1" t="s">
        <v>190</v>
      </c>
      <c r="CK1" t="s">
        <v>191</v>
      </c>
      <c r="CL1" t="s">
        <v>192</v>
      </c>
      <c r="CM1" t="s">
        <v>193</v>
      </c>
      <c r="CN1" t="s">
        <v>194</v>
      </c>
      <c r="CO1" t="s">
        <v>195</v>
      </c>
      <c r="CP1" t="s">
        <v>196</v>
      </c>
      <c r="CQ1" t="s">
        <v>197</v>
      </c>
      <c r="CR1" t="s">
        <v>947</v>
      </c>
      <c r="CS1" t="s">
        <v>948</v>
      </c>
      <c r="CT1" t="s">
        <v>949</v>
      </c>
      <c r="CU1" t="s">
        <v>950</v>
      </c>
      <c r="CV1" t="s">
        <v>951</v>
      </c>
      <c r="CW1" t="s">
        <v>952</v>
      </c>
      <c r="CX1">
        <v>1</v>
      </c>
      <c r="CY1" t="s">
        <v>953</v>
      </c>
      <c r="CZ1" t="s">
        <v>954</v>
      </c>
      <c r="DA1">
        <v>3</v>
      </c>
      <c r="DB1" t="s">
        <v>955</v>
      </c>
      <c r="DC1" t="s">
        <v>956</v>
      </c>
      <c r="DD1">
        <v>6</v>
      </c>
      <c r="DE1" t="s">
        <v>957</v>
      </c>
      <c r="DF1" t="s">
        <v>958</v>
      </c>
      <c r="DG1">
        <v>10</v>
      </c>
      <c r="DH1" t="s">
        <v>959</v>
      </c>
      <c r="DI1" t="s">
        <v>960</v>
      </c>
      <c r="DJ1">
        <v>20</v>
      </c>
      <c r="DK1" t="s">
        <v>961</v>
      </c>
      <c r="DL1" t="s">
        <v>198</v>
      </c>
      <c r="DM1" t="s">
        <v>199</v>
      </c>
      <c r="DN1" s="3" t="s">
        <v>200</v>
      </c>
      <c r="DO1" t="s">
        <v>962</v>
      </c>
      <c r="DP1" t="s">
        <v>963</v>
      </c>
      <c r="DQ1" s="7" t="s">
        <v>964</v>
      </c>
      <c r="DR1" t="s">
        <v>965</v>
      </c>
      <c r="DS1" t="s">
        <v>966</v>
      </c>
      <c r="DT1" t="s">
        <v>967</v>
      </c>
      <c r="DU1" t="s">
        <v>968</v>
      </c>
      <c r="DV1" t="s">
        <v>969</v>
      </c>
      <c r="DW1" t="s">
        <v>970</v>
      </c>
      <c r="DX1" t="s">
        <v>971</v>
      </c>
      <c r="DY1" t="s">
        <v>972</v>
      </c>
      <c r="DZ1" t="s">
        <v>973</v>
      </c>
      <c r="EA1" t="s">
        <v>974</v>
      </c>
      <c r="EB1" t="s">
        <v>975</v>
      </c>
      <c r="EC1" t="s">
        <v>976</v>
      </c>
      <c r="ED1" t="s">
        <v>977</v>
      </c>
      <c r="EE1" t="s">
        <v>978</v>
      </c>
      <c r="EF1" t="s">
        <v>979</v>
      </c>
      <c r="EG1" t="s">
        <v>980</v>
      </c>
      <c r="EH1" t="s">
        <v>981</v>
      </c>
      <c r="EI1" t="s">
        <v>982</v>
      </c>
      <c r="EJ1"/>
      <c r="EK1" s="9" t="s">
        <v>983</v>
      </c>
      <c r="EL1" t="s">
        <v>984</v>
      </c>
      <c r="EM1" t="s">
        <v>985</v>
      </c>
      <c r="EN1" t="s">
        <v>986</v>
      </c>
      <c r="EO1" t="s">
        <v>987</v>
      </c>
      <c r="EP1" t="s">
        <v>988</v>
      </c>
      <c r="EQ1" t="s">
        <v>989</v>
      </c>
      <c r="ER1" t="s">
        <v>990</v>
      </c>
    </row>
    <row r="2" spans="1:148" ht="132" x14ac:dyDescent="0.25">
      <c r="A2" s="12" t="s">
        <v>896</v>
      </c>
      <c r="B2" s="12"/>
      <c r="C2" s="12" t="str">
        <f>"公司是一家以酒精及饮料酒制造为主的企业。公司产品主要有:国窖1573系列酒、泸州老窖精品特曲系列酒、百年老窖系列酒等。"&amp;CHAR(10)&amp;Basic_Fundamental_Information_Constructure(F2)&amp;CHAR(10)&amp;Basic_Fundamental_Information_Concatenate("中高档酒类 103.72亿 88.92% 93.53% 90.37%
其他酒类 11.77亿 10.09% 5.79% 49.31%")</f>
        <v>公司是一家以酒精及饮料酒制造为主的企业。公司产品主要有:国窖1573系列酒、泸州老窖精品特曲系列酒、百年老窖系列酒等。
市值2022.0696亿, 利润45.74亿; PE14.33; 平均PE32.76; 平均PEG18.88, PB4.37; ROIC25.56%; ROE30.89%; 股利率3.931%; 毛利86.8633%; 净利41.28%; 上一年度营收增-63.43%, 利润增-55.87%; 当季营收增-37.04%, 利润增-35.49%; 过往5年营收增1.74%, 利润增13.88%
Income profile:
中高档酒类 103.72亿 88.92% 93.53% 90.37%
其他酒类 11.77亿 10.09% 5.79% 49.31%</v>
      </c>
      <c r="D2" t="s">
        <v>30</v>
      </c>
      <c r="E2" t="s">
        <v>12</v>
      </c>
      <c r="F2">
        <v>137.37</v>
      </c>
      <c r="G2">
        <v>-1.53</v>
      </c>
      <c r="H2" t="s">
        <v>402</v>
      </c>
      <c r="I2">
        <v>202206960000</v>
      </c>
      <c r="J2">
        <v>14.33</v>
      </c>
      <c r="K2">
        <v>4.37</v>
      </c>
      <c r="L2" t="s">
        <v>249</v>
      </c>
      <c r="M2" t="s">
        <v>403</v>
      </c>
      <c r="N2" t="s">
        <v>404</v>
      </c>
      <c r="O2" t="s">
        <v>405</v>
      </c>
      <c r="P2" s="4">
        <v>20.74</v>
      </c>
      <c r="Q2" t="s">
        <v>405</v>
      </c>
      <c r="R2">
        <v>4573950100</v>
      </c>
      <c r="S2">
        <v>0.23200000000000001</v>
      </c>
      <c r="T2" t="s">
        <v>406</v>
      </c>
      <c r="U2">
        <v>1467265100</v>
      </c>
      <c r="V2">
        <v>1471987800</v>
      </c>
      <c r="W2">
        <v>1.48</v>
      </c>
      <c r="X2">
        <v>0.14000000000000001</v>
      </c>
      <c r="Y2">
        <v>49.83</v>
      </c>
      <c r="Z2" t="s">
        <v>407</v>
      </c>
      <c r="AA2" t="s">
        <v>184</v>
      </c>
      <c r="AB2" t="s">
        <v>408</v>
      </c>
      <c r="AC2" t="s">
        <v>409</v>
      </c>
      <c r="AD2" t="s">
        <v>17</v>
      </c>
      <c r="AE2">
        <v>-65175058</v>
      </c>
      <c r="AF2" t="s">
        <v>410</v>
      </c>
      <c r="AG2" t="s">
        <v>411</v>
      </c>
      <c r="AH2" t="s">
        <v>412</v>
      </c>
      <c r="AI2" t="s">
        <v>413</v>
      </c>
      <c r="AJ2" t="s">
        <v>414</v>
      </c>
      <c r="AK2" t="s">
        <v>17</v>
      </c>
      <c r="AL2" t="s">
        <v>415</v>
      </c>
      <c r="AM2" t="s">
        <v>17</v>
      </c>
      <c r="AN2" t="s">
        <v>110</v>
      </c>
      <c r="AO2" t="s">
        <v>17</v>
      </c>
      <c r="AP2" t="s">
        <v>17</v>
      </c>
      <c r="AQ2" t="s">
        <v>416</v>
      </c>
      <c r="AR2" t="s">
        <v>17</v>
      </c>
      <c r="AS2" t="s">
        <v>417</v>
      </c>
      <c r="AT2" t="s">
        <v>418</v>
      </c>
      <c r="AU2" t="s">
        <v>419</v>
      </c>
      <c r="AV2" t="s">
        <v>420</v>
      </c>
      <c r="AW2" t="s">
        <v>421</v>
      </c>
      <c r="AX2" t="s">
        <v>279</v>
      </c>
      <c r="AY2" t="s">
        <v>209</v>
      </c>
      <c r="AZ2" t="s">
        <v>100</v>
      </c>
      <c r="BA2" t="s">
        <v>31</v>
      </c>
      <c r="BB2" t="s">
        <v>102</v>
      </c>
      <c r="BC2" t="s">
        <v>280</v>
      </c>
      <c r="BD2" t="s">
        <v>210</v>
      </c>
      <c r="BE2" t="s">
        <v>101</v>
      </c>
      <c r="BF2" t="s">
        <v>32</v>
      </c>
      <c r="BG2" t="s">
        <v>103</v>
      </c>
      <c r="BH2" t="s">
        <v>422</v>
      </c>
      <c r="BI2" t="s">
        <v>343</v>
      </c>
      <c r="BJ2" t="s">
        <v>279</v>
      </c>
      <c r="BK2" t="s">
        <v>423</v>
      </c>
      <c r="BL2" t="s">
        <v>344</v>
      </c>
      <c r="BM2" t="s">
        <v>280</v>
      </c>
      <c r="BN2">
        <v>22.52</v>
      </c>
      <c r="BO2">
        <v>28.03</v>
      </c>
      <c r="BP2">
        <v>26.13</v>
      </c>
      <c r="BQ2">
        <v>28.2</v>
      </c>
      <c r="BR2">
        <v>33.32</v>
      </c>
      <c r="BS2">
        <v>31.15</v>
      </c>
      <c r="BT2" t="s">
        <v>424</v>
      </c>
      <c r="BU2" t="s">
        <v>249</v>
      </c>
      <c r="BV2">
        <v>88.3</v>
      </c>
      <c r="BW2">
        <v>86.59</v>
      </c>
      <c r="BX2">
        <v>85.7</v>
      </c>
      <c r="BY2">
        <v>43.95</v>
      </c>
      <c r="BZ2">
        <v>41.44</v>
      </c>
      <c r="CA2">
        <v>38.450000000000003</v>
      </c>
      <c r="CB2">
        <v>-4.2699999999999996</v>
      </c>
      <c r="CC2" s="1">
        <v>-25.2</v>
      </c>
      <c r="CD2" s="1" t="s">
        <v>425</v>
      </c>
      <c r="CE2" s="1" t="s">
        <v>426</v>
      </c>
      <c r="CF2" s="5">
        <v>-0.37038306037141094</v>
      </c>
      <c r="CG2" s="6">
        <v>-0.35487304654442886</v>
      </c>
      <c r="CH2" s="5">
        <v>-0.63429391384124756</v>
      </c>
      <c r="CI2" s="5">
        <v>0.21713006496429443</v>
      </c>
      <c r="CJ2" s="5">
        <v>0.23953649401664734</v>
      </c>
      <c r="CK2" s="5">
        <v>5.28545081615448E-2</v>
      </c>
      <c r="CL2" s="5">
        <v>0.2115664929151535</v>
      </c>
      <c r="CM2" s="6">
        <v>-0.55870717763900757</v>
      </c>
      <c r="CN2" s="6">
        <v>0.30279034376144409</v>
      </c>
      <c r="CO2" s="6">
        <v>0.32467526197433472</v>
      </c>
      <c r="CP2" s="6">
        <v>0.29383891820907593</v>
      </c>
      <c r="CQ2" s="6">
        <v>0.33161208033561707</v>
      </c>
      <c r="CR2" s="1">
        <v>32.76463744632585</v>
      </c>
      <c r="CS2" s="1">
        <v>18.875020738636547</v>
      </c>
      <c r="CT2">
        <v>3.9309892989735751</v>
      </c>
      <c r="CU2" s="5">
        <v>1.7358729243278505E-2</v>
      </c>
      <c r="CV2" s="6">
        <v>0.13884188532829284</v>
      </c>
      <c r="CW2">
        <v>0.06</v>
      </c>
      <c r="CX2">
        <v>40.455354156428797</v>
      </c>
      <c r="CY2">
        <v>4389998893.9233541</v>
      </c>
      <c r="CZ2">
        <v>1.7358729243278505E-2</v>
      </c>
      <c r="DA2">
        <v>14.066095736889491</v>
      </c>
      <c r="DB2">
        <v>12626030941.495169</v>
      </c>
      <c r="DC2">
        <v>1.649079278111458E-2</v>
      </c>
      <c r="DD2">
        <v>7.50487182792304</v>
      </c>
      <c r="DE2">
        <v>23664489423.951988</v>
      </c>
      <c r="DF2">
        <v>1.5275681734085084E-2</v>
      </c>
      <c r="DG2">
        <v>4.9186501342013935</v>
      </c>
      <c r="DH2">
        <v>36107256087.413399</v>
      </c>
      <c r="DI2">
        <v>1.3886983394622805E-2</v>
      </c>
      <c r="DJ2">
        <v>3.0440585152324195</v>
      </c>
      <c r="DK2">
        <v>58342820649.241028</v>
      </c>
      <c r="DL2">
        <v>1.2151110470294952E-2</v>
      </c>
      <c r="DM2">
        <v>4574000000</v>
      </c>
      <c r="DN2">
        <v>1.7358729243278505E-2</v>
      </c>
      <c r="DO2">
        <v>177598960000</v>
      </c>
      <c r="DP2">
        <v>40916470000</v>
      </c>
      <c r="DQ2" s="7">
        <v>147</v>
      </c>
      <c r="DR2">
        <v>-0.38774178961468947</v>
      </c>
      <c r="DS2">
        <v>-0.4937149318727217</v>
      </c>
      <c r="DT2">
        <v>-0.39000000000000007</v>
      </c>
      <c r="DU2">
        <v>0.11333333333333324</v>
      </c>
      <c r="DV2">
        <v>-0.27666666666666684</v>
      </c>
      <c r="DW2">
        <v>-8.1694444444444443</v>
      </c>
      <c r="DX2">
        <v>0.38473011152416259</v>
      </c>
      <c r="DY2">
        <v>-8.0296070466749274</v>
      </c>
      <c r="DZ2">
        <v>206</v>
      </c>
      <c r="EA2">
        <v>-8.0284134944997732</v>
      </c>
      <c r="EB2" s="8">
        <v>8</v>
      </c>
      <c r="EC2" s="8">
        <v>3.1931242908399105E-2</v>
      </c>
      <c r="ED2">
        <v>0.18274607982484636</v>
      </c>
      <c r="EE2">
        <v>-1.1205099999999999</v>
      </c>
      <c r="EF2">
        <v>-1.1281099999999999</v>
      </c>
      <c r="EG2">
        <v>21.174730111524163</v>
      </c>
      <c r="EH2" s="9" t="s">
        <v>286</v>
      </c>
      <c r="EI2">
        <v>0</v>
      </c>
      <c r="EJ2">
        <v>1</v>
      </c>
      <c r="EK2">
        <v>45470</v>
      </c>
      <c r="EL2">
        <v>-0.97</v>
      </c>
      <c r="EM2">
        <v>-0.39</v>
      </c>
      <c r="EN2">
        <v>0.6</v>
      </c>
      <c r="EO2">
        <v>-0.71</v>
      </c>
      <c r="EP2">
        <v>-0.76</v>
      </c>
    </row>
    <row r="3" spans="1:148" ht="132" x14ac:dyDescent="0.25">
      <c r="A3" s="12"/>
      <c r="B3" s="12"/>
      <c r="C3" s="12" t="str">
        <f>"公司主要从事白酒的生产和销售。主要产品为公司古井贡酒、年份原浆、黄鹤楼等。是中国老八大名酒企业。"&amp;CHAR(10)&amp;Basic_Fundamental_Information_Constructure(F3)&amp;CHAR(10)&amp;Basic_Fundamental_Information_Concatenate("白酒业务 86.97亿 96.61% 99.27% 79.66%
其他 2.80亿 3.11% 0.60% 15.04%
酒店业务 2524.97万 0.28% 0.13% 34.64%")</f>
        <v>公司主要从事白酒的生产和销售。主要产品为公司古井贡酒、年份原浆、黄鹤楼等。是中国老八大名酒企业。
市值1064.28324亿, 利润20.66亿; PE20.93; 平均PE48.54; 平均PEG10.47, PB4.51; ROIC16.9767%; ROE19.2833%; 股利率2.235%; 毛利77.1133%; 净利20.23%; 上一年度营收增-50.42%, 利润增-34.27%; 当季营收增-26.74%, 利润增-25.66%; 过往5年营收增4.64%, 利润增7.72%
Income profile:
白酒业务 86.97亿 96.61% 99.27% 79.66%
其他 2.80亿 3.11% 0.60% 15.04%
酒店业务 2524.97万 0.28% 0.13% 34.64%</v>
      </c>
      <c r="D3" t="s">
        <v>33</v>
      </c>
      <c r="E3" t="s">
        <v>10</v>
      </c>
      <c r="F3">
        <v>201.34</v>
      </c>
      <c r="G3">
        <v>-1.3</v>
      </c>
      <c r="H3" t="s">
        <v>427</v>
      </c>
      <c r="I3">
        <v>106428324000</v>
      </c>
      <c r="J3">
        <v>20.93</v>
      </c>
      <c r="K3">
        <v>4.51</v>
      </c>
      <c r="L3" t="s">
        <v>249</v>
      </c>
      <c r="M3" t="s">
        <v>428</v>
      </c>
      <c r="N3" t="s">
        <v>429</v>
      </c>
      <c r="O3" t="s">
        <v>430</v>
      </c>
      <c r="P3" s="4">
        <v>25.85</v>
      </c>
      <c r="Q3" t="s">
        <v>430</v>
      </c>
      <c r="R3">
        <v>2065836400</v>
      </c>
      <c r="S3">
        <v>0.31609999999999999</v>
      </c>
      <c r="T3" t="s">
        <v>431</v>
      </c>
      <c r="U3">
        <v>408600000</v>
      </c>
      <c r="V3">
        <v>528600000</v>
      </c>
      <c r="W3">
        <v>1.65</v>
      </c>
      <c r="X3">
        <v>0.22</v>
      </c>
      <c r="Y3">
        <v>25.65</v>
      </c>
      <c r="Z3" t="s">
        <v>432</v>
      </c>
      <c r="AA3" t="s">
        <v>433</v>
      </c>
      <c r="AB3" t="s">
        <v>434</v>
      </c>
      <c r="AC3" t="s">
        <v>435</v>
      </c>
      <c r="AD3" t="s">
        <v>17</v>
      </c>
      <c r="AE3">
        <v>-68423671</v>
      </c>
      <c r="AF3" t="s">
        <v>436</v>
      </c>
      <c r="AG3" t="s">
        <v>437</v>
      </c>
      <c r="AH3" t="s">
        <v>438</v>
      </c>
      <c r="AI3" t="s">
        <v>439</v>
      </c>
      <c r="AJ3" t="s">
        <v>440</v>
      </c>
      <c r="AK3" t="s">
        <v>17</v>
      </c>
      <c r="AL3" t="s">
        <v>441</v>
      </c>
      <c r="AM3" t="s">
        <v>17</v>
      </c>
      <c r="AN3" t="s">
        <v>442</v>
      </c>
      <c r="AO3" t="s">
        <v>443</v>
      </c>
      <c r="AP3" t="s">
        <v>349</v>
      </c>
      <c r="AQ3" t="s">
        <v>444</v>
      </c>
      <c r="AR3" t="s">
        <v>17</v>
      </c>
      <c r="AS3" t="s">
        <v>445</v>
      </c>
      <c r="AT3" t="s">
        <v>347</v>
      </c>
      <c r="AU3" t="s">
        <v>446</v>
      </c>
      <c r="AV3" t="s">
        <v>447</v>
      </c>
      <c r="AW3" t="s">
        <v>448</v>
      </c>
      <c r="AX3" t="s">
        <v>282</v>
      </c>
      <c r="AY3" t="s">
        <v>211</v>
      </c>
      <c r="AZ3" t="s">
        <v>104</v>
      </c>
      <c r="BA3" t="s">
        <v>34</v>
      </c>
      <c r="BB3" t="s">
        <v>107</v>
      </c>
      <c r="BC3" t="s">
        <v>283</v>
      </c>
      <c r="BD3" t="s">
        <v>212</v>
      </c>
      <c r="BE3" t="s">
        <v>105</v>
      </c>
      <c r="BF3" t="s">
        <v>35</v>
      </c>
      <c r="BG3" t="s">
        <v>108</v>
      </c>
      <c r="BH3" t="s">
        <v>449</v>
      </c>
      <c r="BI3" t="s">
        <v>345</v>
      </c>
      <c r="BJ3" t="s">
        <v>282</v>
      </c>
      <c r="BK3" t="s">
        <v>450</v>
      </c>
      <c r="BL3" t="s">
        <v>346</v>
      </c>
      <c r="BM3" t="s">
        <v>283</v>
      </c>
      <c r="BN3">
        <v>18.350000000000001</v>
      </c>
      <c r="BO3">
        <v>16.739999999999998</v>
      </c>
      <c r="BP3">
        <v>15.84</v>
      </c>
      <c r="BQ3">
        <v>18.670000000000002</v>
      </c>
      <c r="BR3">
        <v>17.93</v>
      </c>
      <c r="BS3">
        <v>21.25</v>
      </c>
      <c r="BT3" t="s">
        <v>451</v>
      </c>
      <c r="BU3" t="s">
        <v>249</v>
      </c>
      <c r="BV3">
        <v>79.069999999999993</v>
      </c>
      <c r="BW3">
        <v>77.17</v>
      </c>
      <c r="BX3">
        <v>75.099999999999994</v>
      </c>
      <c r="BY3">
        <v>23.34</v>
      </c>
      <c r="BZ3">
        <v>19.46</v>
      </c>
      <c r="CA3">
        <v>17.89</v>
      </c>
      <c r="CB3">
        <v>-4.6100000000000003</v>
      </c>
      <c r="CC3" s="1">
        <v>-19.84</v>
      </c>
      <c r="CD3" s="1" t="s">
        <v>452</v>
      </c>
      <c r="CE3" s="1" t="s">
        <v>453</v>
      </c>
      <c r="CF3" s="5">
        <v>-0.2673740053050398</v>
      </c>
      <c r="CG3" s="6">
        <v>-0.25662598056854985</v>
      </c>
      <c r="CH3" s="5">
        <v>-0.50421828031539917</v>
      </c>
      <c r="CI3" s="5">
        <v>0.25945746898651123</v>
      </c>
      <c r="CJ3" s="5">
        <v>0.2893509566783905</v>
      </c>
      <c r="CK3" s="5">
        <v>-1.1999683454632759E-2</v>
      </c>
      <c r="CL3" s="5">
        <v>0.19928623735904694</v>
      </c>
      <c r="CM3" s="6">
        <v>-0.34266626834869385</v>
      </c>
      <c r="CN3" s="6">
        <v>0.36771115660667419</v>
      </c>
      <c r="CO3" s="6">
        <v>0.23881390690803528</v>
      </c>
      <c r="CP3" s="6">
        <v>-0.11582456529140472</v>
      </c>
      <c r="CQ3" s="6">
        <v>0.23775807023048401</v>
      </c>
      <c r="CR3" s="1">
        <v>48.541994982896234</v>
      </c>
      <c r="CS3" s="1">
        <v>10.467199839199946</v>
      </c>
      <c r="CT3">
        <v>2.2350253302870766</v>
      </c>
      <c r="CU3" s="5">
        <v>4.6375339850783348E-2</v>
      </c>
      <c r="CV3" s="6">
        <v>7.7158460021018976E-2</v>
      </c>
      <c r="CW3">
        <v>0.06</v>
      </c>
      <c r="CX3">
        <v>46.53047024096859</v>
      </c>
      <c r="CY3">
        <v>2039444766.1619983</v>
      </c>
      <c r="CZ3">
        <v>4.6375339850783348E-2</v>
      </c>
      <c r="DA3">
        <v>15.780771642386316</v>
      </c>
      <c r="DB3">
        <v>6013414689.1216335</v>
      </c>
      <c r="DC3">
        <v>4.4056572858244179E-2</v>
      </c>
      <c r="DD3">
        <v>8.1569245799184014</v>
      </c>
      <c r="DE3">
        <v>11633836143.787086</v>
      </c>
      <c r="DF3">
        <v>4.0810299068689347E-2</v>
      </c>
      <c r="DG3">
        <v>5.1693154350210362</v>
      </c>
      <c r="DH3">
        <v>18357619145.679745</v>
      </c>
      <c r="DI3">
        <v>3.710027188062668E-2</v>
      </c>
      <c r="DJ3">
        <v>2.9931514329461848</v>
      </c>
      <c r="DK3">
        <v>31704484763.269306</v>
      </c>
      <c r="DL3">
        <v>3.2462737895548342E-2</v>
      </c>
      <c r="DM3">
        <v>2066000000</v>
      </c>
      <c r="DN3">
        <v>4.6375339850783348E-2</v>
      </c>
      <c r="DO3">
        <v>94896324000</v>
      </c>
      <c r="DP3">
        <v>14726356000</v>
      </c>
      <c r="DQ3" s="7">
        <v>163</v>
      </c>
      <c r="DR3">
        <v>-0.31374934515582314</v>
      </c>
      <c r="DS3">
        <v>-0.3337844405895688</v>
      </c>
      <c r="DT3">
        <v>-0.22333333333333338</v>
      </c>
      <c r="DU3">
        <v>-3.3333333333333726E-3</v>
      </c>
      <c r="DV3">
        <v>-0.22666666666666677</v>
      </c>
      <c r="DW3">
        <v>-8.232358870967742</v>
      </c>
      <c r="DX3">
        <v>0.34903982939719597</v>
      </c>
      <c r="DY3">
        <v>-8.0392779039073119</v>
      </c>
      <c r="DZ3">
        <v>282</v>
      </c>
      <c r="EA3">
        <v>-8.0371103170380636</v>
      </c>
      <c r="EB3" s="8">
        <v>8</v>
      </c>
      <c r="EC3" s="8">
        <v>1.4485811577752554E-2</v>
      </c>
      <c r="ED3">
        <v>8.5694665153234956E-2</v>
      </c>
      <c r="EE3">
        <v>2.0904099999999999</v>
      </c>
      <c r="EF3">
        <v>2.1302099999999999</v>
      </c>
      <c r="EG3">
        <v>18.169039829397196</v>
      </c>
      <c r="EH3" s="9" t="s">
        <v>335</v>
      </c>
      <c r="EI3">
        <v>0</v>
      </c>
      <c r="EJ3">
        <v>1</v>
      </c>
      <c r="EK3">
        <v>45470</v>
      </c>
      <c r="EL3">
        <v>-2.0299999999999998</v>
      </c>
      <c r="EM3">
        <v>3.3</v>
      </c>
      <c r="EN3">
        <v>-1.76</v>
      </c>
      <c r="EO3">
        <v>1.61</v>
      </c>
      <c r="EP3">
        <v>-3.98</v>
      </c>
    </row>
    <row r="4" spans="1:148" ht="192" x14ac:dyDescent="0.25">
      <c r="A4" s="12" t="s">
        <v>897</v>
      </c>
      <c r="B4" s="12"/>
      <c r="C4" s="12" t="str">
        <f>"公司主要从事生产和销售白酒系列产品。公司拥有“内参”、“酒鬼”、“湘泉”三大系列产品。公司是中国白酒文化营销的先行者、中国文化酒的引领者、中国洞藏文化酒的首创者、中国馥郁香型工艺白酒的始创者、中国白酒陶瓷包装时代的开创者。"&amp;CHAR(10)&amp;Basic_Fundamental_Information_Constructure(F4)&amp;CHAR(10)&amp;Basic_Fundamental_Information_Concatenate("酒鬼系列 14.70亿 57.96% 58.28% 79.55%
内参系列 6.46亿 25.47% 29.75% 92.40%
其他系列 2.58亿 10.18% 8.76% 68.04%
湘泉系列 1.55亿 6.09% 3.01% 39.02%")</f>
        <v>公司主要从事生产和销售白酒系列产品。公司拥有“内参”、“酒鬼”、“湘泉”三大系列产品。公司是中国白酒文化营销的先行者、中国文化酒的引领者、中国洞藏文化酒的首创者、中国馥郁香型工艺白酒的始创者、中国白酒陶瓷包装时代的开创者。
市值131.531251亿, 利润7338.03万; PE40.97; 平均PE26.05; 平均PEG1.98, PB3.02; ROIC21.1533%; ROE22.1967%; 股利率2.4704%; 毛利79.3167%; 净利23.8067%; 上一年度营收增-87.8%, 利润增-93%; 当季营收增-67.94%, 利润增-82.61%; 过往5年营收增13.19%, 利润增20.92%
Income profile:
酒鬼系列 14.70亿 57.96% 58.28% 79.55%
内参系列 6.46亿 25.47% 29.75% 92.40%
其他系列 2.58亿 10.18% 8.76% 68.04%
湘泉系列 1.55亿 6.09% 3.01% 39.02%</v>
      </c>
      <c r="D4" t="s">
        <v>39</v>
      </c>
      <c r="E4" t="s">
        <v>9</v>
      </c>
      <c r="F4">
        <v>40.479999999999997</v>
      </c>
      <c r="G4">
        <v>-0.1</v>
      </c>
      <c r="H4" t="s">
        <v>713</v>
      </c>
      <c r="I4">
        <v>13153125100</v>
      </c>
      <c r="J4">
        <v>40.97</v>
      </c>
      <c r="K4">
        <v>3.02</v>
      </c>
      <c r="L4" t="s">
        <v>249</v>
      </c>
      <c r="M4" t="s">
        <v>714</v>
      </c>
      <c r="N4" t="s">
        <v>715</v>
      </c>
      <c r="O4" t="s">
        <v>366</v>
      </c>
      <c r="P4" s="4">
        <v>-48.8</v>
      </c>
      <c r="Q4" t="s">
        <v>366</v>
      </c>
      <c r="R4">
        <v>73380342</v>
      </c>
      <c r="S4">
        <v>-0.75560000000000005</v>
      </c>
      <c r="T4" t="s">
        <v>716</v>
      </c>
      <c r="U4">
        <v>324928980</v>
      </c>
      <c r="V4">
        <v>324928980</v>
      </c>
      <c r="W4">
        <v>1.28</v>
      </c>
      <c r="X4">
        <v>0.09</v>
      </c>
      <c r="Y4">
        <v>14.86</v>
      </c>
      <c r="Z4" t="s">
        <v>364</v>
      </c>
      <c r="AA4" t="s">
        <v>396</v>
      </c>
      <c r="AB4" t="s">
        <v>717</v>
      </c>
      <c r="AC4" t="s">
        <v>718</v>
      </c>
      <c r="AD4" t="s">
        <v>17</v>
      </c>
      <c r="AE4">
        <v>-47997233</v>
      </c>
      <c r="AF4" t="s">
        <v>719</v>
      </c>
      <c r="AG4" t="s">
        <v>720</v>
      </c>
      <c r="AH4" t="s">
        <v>721</v>
      </c>
      <c r="AI4" t="s">
        <v>722</v>
      </c>
      <c r="AJ4" t="s">
        <v>723</v>
      </c>
      <c r="AK4" t="s">
        <v>724</v>
      </c>
      <c r="AL4" t="s">
        <v>725</v>
      </c>
      <c r="AM4" t="s">
        <v>17</v>
      </c>
      <c r="AN4" t="s">
        <v>726</v>
      </c>
      <c r="AO4" t="s">
        <v>17</v>
      </c>
      <c r="AP4" t="s">
        <v>17</v>
      </c>
      <c r="AQ4" t="s">
        <v>202</v>
      </c>
      <c r="AR4" t="s">
        <v>727</v>
      </c>
      <c r="AS4" t="s">
        <v>728</v>
      </c>
      <c r="AT4" t="s">
        <v>17</v>
      </c>
      <c r="AU4" t="s">
        <v>729</v>
      </c>
      <c r="AV4" t="s">
        <v>730</v>
      </c>
      <c r="AW4" t="s">
        <v>17</v>
      </c>
      <c r="AX4" t="s">
        <v>287</v>
      </c>
      <c r="AY4" t="s">
        <v>213</v>
      </c>
      <c r="AZ4" t="s">
        <v>109</v>
      </c>
      <c r="BA4" t="s">
        <v>40</v>
      </c>
      <c r="BB4" t="s">
        <v>111</v>
      </c>
      <c r="BC4" t="s">
        <v>127</v>
      </c>
      <c r="BD4" t="s">
        <v>214</v>
      </c>
      <c r="BE4" t="s">
        <v>110</v>
      </c>
      <c r="BF4" t="s">
        <v>37</v>
      </c>
      <c r="BG4" t="s">
        <v>112</v>
      </c>
      <c r="BH4" t="s">
        <v>731</v>
      </c>
      <c r="BI4" t="s">
        <v>348</v>
      </c>
      <c r="BJ4" t="s">
        <v>287</v>
      </c>
      <c r="BK4" t="s">
        <v>732</v>
      </c>
      <c r="BL4" t="s">
        <v>285</v>
      </c>
      <c r="BM4" t="s">
        <v>127</v>
      </c>
      <c r="BN4">
        <v>9.99</v>
      </c>
      <c r="BO4">
        <v>26.25</v>
      </c>
      <c r="BP4">
        <v>27.22</v>
      </c>
      <c r="BQ4">
        <v>11.26</v>
      </c>
      <c r="BR4">
        <v>27.33</v>
      </c>
      <c r="BS4">
        <v>28</v>
      </c>
      <c r="BT4" t="s">
        <v>682</v>
      </c>
      <c r="BU4" t="s">
        <v>249</v>
      </c>
      <c r="BV4">
        <v>78.349999999999994</v>
      </c>
      <c r="BW4">
        <v>79.63</v>
      </c>
      <c r="BX4">
        <v>79.97</v>
      </c>
      <c r="BY4">
        <v>19.36</v>
      </c>
      <c r="BZ4">
        <v>25.89</v>
      </c>
      <c r="CA4">
        <v>26.17</v>
      </c>
      <c r="CB4">
        <v>-7.73</v>
      </c>
      <c r="CC4" s="1">
        <v>-28.52</v>
      </c>
      <c r="CD4" s="1" t="s">
        <v>733</v>
      </c>
      <c r="CE4" s="1" t="s">
        <v>368</v>
      </c>
      <c r="CF4" s="5">
        <v>-0.67942894224529526</v>
      </c>
      <c r="CG4" s="6">
        <v>-0.82611293364928906</v>
      </c>
      <c r="CH4" s="5">
        <v>-0.8780246376991272</v>
      </c>
      <c r="CI4" s="5">
        <v>0.18629166483879089</v>
      </c>
      <c r="CJ4" s="5">
        <v>0.86966055631637573</v>
      </c>
      <c r="CK4" s="5">
        <v>0.20767195522785187</v>
      </c>
      <c r="CL4" s="5">
        <v>0.27379941940307617</v>
      </c>
      <c r="CM4" s="6">
        <v>-0.93004739284515381</v>
      </c>
      <c r="CN4" s="6">
        <v>0.17469204962253571</v>
      </c>
      <c r="CO4" s="6">
        <v>0.81504064798355103</v>
      </c>
      <c r="CP4" s="6">
        <v>0.64548492431640625</v>
      </c>
      <c r="CQ4" s="6">
        <v>0.34080716967582703</v>
      </c>
      <c r="CR4" s="1">
        <v>26.05112029017948</v>
      </c>
      <c r="CS4" s="1">
        <v>1.9753686270416901</v>
      </c>
      <c r="CT4">
        <v>2.4703557312252968</v>
      </c>
      <c r="CU4" s="5">
        <v>0.13187979161739349</v>
      </c>
      <c r="CV4" s="6">
        <v>0.20919547975063324</v>
      </c>
      <c r="CW4">
        <v>0.06</v>
      </c>
      <c r="CX4">
        <v>130.07409764673787</v>
      </c>
      <c r="CY4">
        <v>78356300.634737551</v>
      </c>
      <c r="CZ4">
        <v>0.13187979161739349</v>
      </c>
      <c r="DA4">
        <v>41.032982061255908</v>
      </c>
      <c r="DB4">
        <v>248388603.21642551</v>
      </c>
      <c r="DC4">
        <v>0.12528580203652381</v>
      </c>
      <c r="DD4">
        <v>19.254205668930947</v>
      </c>
      <c r="DE4">
        <v>529345394.7282936</v>
      </c>
      <c r="DF4">
        <v>0.11605421662330627</v>
      </c>
      <c r="DG4">
        <v>10.942733460341081</v>
      </c>
      <c r="DH4">
        <v>931405771.41338098</v>
      </c>
      <c r="DI4">
        <v>0.1055038332939148</v>
      </c>
      <c r="DJ4">
        <v>4.9913524025099063</v>
      </c>
      <c r="DK4">
        <v>2041956623.7949619</v>
      </c>
      <c r="DL4">
        <v>9.231585413217544E-2</v>
      </c>
      <c r="DM4">
        <v>73380300</v>
      </c>
      <c r="DN4">
        <v>0.13187979161739349</v>
      </c>
      <c r="DO4">
        <v>10192125100</v>
      </c>
      <c r="DP4">
        <v>2890558700</v>
      </c>
      <c r="DQ4" s="7">
        <v>292</v>
      </c>
      <c r="DR4">
        <v>-0.81130873386268876</v>
      </c>
      <c r="DS4">
        <v>-1.0353084133999224</v>
      </c>
      <c r="DT4">
        <v>-0.14000000000000004</v>
      </c>
      <c r="DU4">
        <v>-2.3333333333333355E-2</v>
      </c>
      <c r="DV4">
        <v>-0.16333333333333339</v>
      </c>
      <c r="DW4">
        <v>-9.2710378681626935</v>
      </c>
      <c r="DX4">
        <v>0.39137919463087273</v>
      </c>
      <c r="DY4">
        <v>-9.0518710089234453</v>
      </c>
      <c r="DZ4">
        <v>1322</v>
      </c>
      <c r="EA4">
        <v>-9.0384515424270084</v>
      </c>
      <c r="EB4" s="8">
        <v>9</v>
      </c>
      <c r="EC4" s="8">
        <v>8.7759177405474884E-2</v>
      </c>
      <c r="ED4">
        <v>0.45856174478496808</v>
      </c>
      <c r="EE4">
        <v>1.0939099999999999</v>
      </c>
      <c r="EF4">
        <v>1.13191</v>
      </c>
      <c r="EG4">
        <v>20.191379194630873</v>
      </c>
      <c r="EH4" s="9" t="s">
        <v>292</v>
      </c>
      <c r="EI4">
        <v>0</v>
      </c>
      <c r="EJ4">
        <v>1</v>
      </c>
      <c r="EK4">
        <v>45470</v>
      </c>
      <c r="EL4">
        <v>-2.87</v>
      </c>
      <c r="EM4">
        <v>-2.62</v>
      </c>
      <c r="EN4">
        <v>-3.39</v>
      </c>
      <c r="EO4">
        <v>1.37</v>
      </c>
      <c r="EP4">
        <v>-3.8</v>
      </c>
    </row>
    <row r="5" spans="1:148" ht="168" x14ac:dyDescent="0.25">
      <c r="A5" s="12" t="s">
        <v>896</v>
      </c>
      <c r="B5" s="12"/>
      <c r="C5" s="12" t="str">
        <f>"公司是以五粮液及其系列酒的生产、销售为主要产业,同时生产经营精密塑胶制品、大中小高精尖注射和冲压模具现代制造产业,以及生物工程为发展产业,药业工业、印刷业、电子器件产业、物流运输和相关的服务业的具有深厚企业文化的现代化企业集团。"&amp;CHAR(10)&amp;Basic_Fundamental_Information_Constructure(F5)&amp;CHAR(10)&amp;Basic_Fundamental_Information_Concatenate("酒类 617.32亿 93.24% 99.35% 80.29%
塑料制品 25.09亿 3.79% 0.23% 4.59%
其他 12.38亿 1.87% 0.21% 8.32%")</f>
        <v>公司是以五粮液及其系列酒的生产、销售为主要产业,同时生产经营精密塑胶制品、大中小高精尖注射和冲压模具现代制造产业,以及生物工程为发展产业,药业工业、印刷业、电子器件产业、物流运输和相关的服务业的具有深厚企业文化的现代化企业集团。
市值5005.3335亿, 利润140.45亿; PE15.78; 平均PE26.15; 平均PEG9.41, PB3.49; ROIC22.41%; ROE23.26%; 股利率3.6216%; 毛利75.52%; 净利37.56%; 上一年度营收增-52.91%, 利润增-47.38%; 当季营收增-23.45%, 利润增-17.56%; 过往5年营收增2.78%, 利润增5.73%
Income profile:
酒类 617.32亿 93.24% 99.35% 80.29%
塑料制品 25.09亿 3.79% 0.23% 4.59%
其他 12.38亿 1.87% 0.21% 8.32%</v>
      </c>
      <c r="D5" t="s">
        <v>42</v>
      </c>
      <c r="E5" t="s">
        <v>11</v>
      </c>
      <c r="F5">
        <v>128.94999999999999</v>
      </c>
      <c r="G5">
        <v>-1.26</v>
      </c>
      <c r="H5" t="s">
        <v>454</v>
      </c>
      <c r="I5">
        <v>500533350000</v>
      </c>
      <c r="J5">
        <v>15.78</v>
      </c>
      <c r="K5">
        <v>3.49</v>
      </c>
      <c r="L5" t="s">
        <v>249</v>
      </c>
      <c r="M5" t="s">
        <v>455</v>
      </c>
      <c r="N5" t="s">
        <v>456</v>
      </c>
      <c r="O5" t="s">
        <v>457</v>
      </c>
      <c r="P5" s="4">
        <v>11.86</v>
      </c>
      <c r="Q5" t="s">
        <v>457</v>
      </c>
      <c r="R5">
        <v>14045141000</v>
      </c>
      <c r="S5">
        <v>0.1198</v>
      </c>
      <c r="T5" t="s">
        <v>458</v>
      </c>
      <c r="U5">
        <v>3881525900</v>
      </c>
      <c r="V5">
        <v>3881608000</v>
      </c>
      <c r="W5">
        <v>1.23</v>
      </c>
      <c r="X5">
        <v>0.2</v>
      </c>
      <c r="Y5">
        <v>42.02</v>
      </c>
      <c r="Z5" t="s">
        <v>459</v>
      </c>
      <c r="AA5" t="s">
        <v>460</v>
      </c>
      <c r="AB5" t="s">
        <v>461</v>
      </c>
      <c r="AC5" t="s">
        <v>339</v>
      </c>
      <c r="AD5" t="s">
        <v>17</v>
      </c>
      <c r="AE5">
        <v>-720094020</v>
      </c>
      <c r="AF5" t="s">
        <v>38</v>
      </c>
      <c r="AG5" t="s">
        <v>462</v>
      </c>
      <c r="AH5" t="s">
        <v>463</v>
      </c>
      <c r="AI5" t="s">
        <v>464</v>
      </c>
      <c r="AJ5" t="s">
        <v>465</v>
      </c>
      <c r="AK5" t="s">
        <v>466</v>
      </c>
      <c r="AL5" t="s">
        <v>467</v>
      </c>
      <c r="AM5" t="s">
        <v>17</v>
      </c>
      <c r="AN5" t="s">
        <v>468</v>
      </c>
      <c r="AO5" t="s">
        <v>17</v>
      </c>
      <c r="AP5" t="s">
        <v>469</v>
      </c>
      <c r="AQ5" t="s">
        <v>470</v>
      </c>
      <c r="AR5" t="s">
        <v>471</v>
      </c>
      <c r="AS5" t="s">
        <v>472</v>
      </c>
      <c r="AT5" t="s">
        <v>17</v>
      </c>
      <c r="AU5" t="s">
        <v>473</v>
      </c>
      <c r="AV5" t="s">
        <v>474</v>
      </c>
      <c r="AW5" t="s">
        <v>475</v>
      </c>
      <c r="AX5" t="s">
        <v>288</v>
      </c>
      <c r="AY5" t="s">
        <v>215</v>
      </c>
      <c r="AZ5" t="s">
        <v>116</v>
      </c>
      <c r="BA5" t="s">
        <v>43</v>
      </c>
      <c r="BB5" t="s">
        <v>118</v>
      </c>
      <c r="BC5" t="s">
        <v>476</v>
      </c>
      <c r="BD5" t="s">
        <v>216</v>
      </c>
      <c r="BE5" t="s">
        <v>117</v>
      </c>
      <c r="BF5" t="s">
        <v>44</v>
      </c>
      <c r="BG5" t="s">
        <v>119</v>
      </c>
      <c r="BH5" t="s">
        <v>477</v>
      </c>
      <c r="BI5" t="s">
        <v>351</v>
      </c>
      <c r="BJ5" t="s">
        <v>288</v>
      </c>
      <c r="BK5" t="s">
        <v>478</v>
      </c>
      <c r="BL5" t="s">
        <v>352</v>
      </c>
      <c r="BM5" t="s">
        <v>476</v>
      </c>
      <c r="BN5">
        <v>18.579999999999998</v>
      </c>
      <c r="BO5">
        <v>24.17</v>
      </c>
      <c r="BP5">
        <v>24.48</v>
      </c>
      <c r="BQ5">
        <v>19.2</v>
      </c>
      <c r="BR5">
        <v>25.28</v>
      </c>
      <c r="BS5">
        <v>25.3</v>
      </c>
      <c r="BT5" t="s">
        <v>479</v>
      </c>
      <c r="BU5" t="s">
        <v>249</v>
      </c>
      <c r="BV5">
        <v>75.790000000000006</v>
      </c>
      <c r="BW5">
        <v>75.42</v>
      </c>
      <c r="BX5">
        <v>75.349999999999994</v>
      </c>
      <c r="BY5">
        <v>37.85</v>
      </c>
      <c r="BZ5">
        <v>37.81</v>
      </c>
      <c r="CA5">
        <v>37.020000000000003</v>
      </c>
      <c r="CB5">
        <v>0.71</v>
      </c>
      <c r="CC5" s="1">
        <v>-16.05</v>
      </c>
      <c r="CD5" s="1" t="s">
        <v>480</v>
      </c>
      <c r="CE5" s="1" t="s">
        <v>481</v>
      </c>
      <c r="CF5" s="5">
        <v>-0.23454050015382588</v>
      </c>
      <c r="CG5" s="6">
        <v>-0.17560949697716735</v>
      </c>
      <c r="CH5" s="5">
        <v>-0.52908653020858765</v>
      </c>
      <c r="CI5" s="5">
        <v>0.11720459163188934</v>
      </c>
      <c r="CJ5" s="5">
        <v>0.15505661070346832</v>
      </c>
      <c r="CK5" s="5">
        <v>0.14372082054615021</v>
      </c>
      <c r="CL5" s="5">
        <v>0.25201103091239929</v>
      </c>
      <c r="CM5" s="6">
        <v>-0.47377297282218933</v>
      </c>
      <c r="CN5" s="6">
        <v>0.14172050356864929</v>
      </c>
      <c r="CO5" s="6">
        <v>0.17148590087890625</v>
      </c>
      <c r="CP5" s="6">
        <v>0.14670728147029877</v>
      </c>
      <c r="CQ5" s="6">
        <v>0.30020919442176819</v>
      </c>
      <c r="CR5" s="1">
        <v>26.148207708984526</v>
      </c>
      <c r="CS5" s="1">
        <v>9.4121597150632414</v>
      </c>
      <c r="CT5">
        <v>3.6215587436991088</v>
      </c>
      <c r="CU5" s="5">
        <v>2.7781304717063905E-2</v>
      </c>
      <c r="CV5" s="6">
        <v>5.7269981503486632E-2</v>
      </c>
      <c r="CW5">
        <v>0.06</v>
      </c>
      <c r="CX5">
        <v>28.3910593295262</v>
      </c>
      <c r="CY5">
        <v>13618102287.501093</v>
      </c>
      <c r="CZ5">
        <v>2.7781304717063905E-2</v>
      </c>
      <c r="DA5">
        <v>9.783402933787249</v>
      </c>
      <c r="DB5">
        <v>39519209483.313278</v>
      </c>
      <c r="DC5">
        <v>2.6392239481210708E-2</v>
      </c>
      <c r="DD5">
        <v>5.1611301965889131</v>
      </c>
      <c r="DE5">
        <v>74912341923.777176</v>
      </c>
      <c r="DF5">
        <v>2.4447548151016237E-2</v>
      </c>
      <c r="DG5">
        <v>3.3426933383475625</v>
      </c>
      <c r="DH5">
        <v>115664917737.00337</v>
      </c>
      <c r="DI5">
        <v>2.2225043773651126E-2</v>
      </c>
      <c r="DJ5">
        <v>2.021613753312637</v>
      </c>
      <c r="DK5">
        <v>191249366683.65076</v>
      </c>
      <c r="DL5">
        <v>1.9446913301944733E-2</v>
      </c>
      <c r="DM5">
        <v>14044999999.999998</v>
      </c>
      <c r="DN5">
        <v>2.7781304717063905E-2</v>
      </c>
      <c r="DO5">
        <v>386632350000</v>
      </c>
      <c r="DP5">
        <v>128196910000</v>
      </c>
      <c r="DQ5" s="7">
        <v>327</v>
      </c>
      <c r="DR5">
        <v>-0.2623218048708898</v>
      </c>
      <c r="DS5">
        <v>-0.23287947848065399</v>
      </c>
      <c r="DT5">
        <v>-0.37333333333333335</v>
      </c>
      <c r="DU5">
        <v>-0.15333333333333335</v>
      </c>
      <c r="DV5">
        <v>-0.52666666666666673</v>
      </c>
      <c r="DW5">
        <v>-3.0005654761904763</v>
      </c>
      <c r="DX5">
        <v>0.38228793220339097</v>
      </c>
      <c r="DY5">
        <v>-3.0000917699616627</v>
      </c>
      <c r="DZ5">
        <v>1655</v>
      </c>
      <c r="EA5">
        <v>-3.000062047987778</v>
      </c>
      <c r="EB5" s="8">
        <v>3</v>
      </c>
      <c r="EC5" s="8">
        <v>1.9734063820973164E-2</v>
      </c>
      <c r="ED5">
        <v>0.12159908986172741</v>
      </c>
      <c r="EE5">
        <v>4.0000000000000001E-3</v>
      </c>
      <c r="EF5">
        <v>8.6099999999999996E-3</v>
      </c>
      <c r="EG5">
        <v>22.162287932203391</v>
      </c>
      <c r="EH5" s="9">
        <v>-1</v>
      </c>
      <c r="EI5">
        <v>0</v>
      </c>
      <c r="EJ5">
        <v>0</v>
      </c>
      <c r="EK5">
        <v>45470</v>
      </c>
      <c r="EL5">
        <v>-1.51</v>
      </c>
      <c r="EM5">
        <v>0.64</v>
      </c>
      <c r="EN5">
        <v>0.37</v>
      </c>
      <c r="EO5">
        <v>-0.16</v>
      </c>
      <c r="EP5">
        <v>-1.26</v>
      </c>
    </row>
    <row r="6" spans="1:148" ht="144" x14ac:dyDescent="0.25">
      <c r="A6" s="12"/>
      <c r="B6" s="12"/>
      <c r="C6" s="12" t="str">
        <f>"公司从事的主要业务为白酒酿造与销售；种猪繁育、生猪养殖、屠宰及肉制品加工；房地产开发。公司现已形成了以白酒、猪肉为主的两大产业。公司白酒产业拥有“牛栏山”和“宁诚”两大品牌"&amp;CHAR(10)&amp;Basic_Fundamental_Information_Constructure(F6)&amp;CHAR(10)&amp;Basic_Fundamental_Information_Concatenate("白酒 49.10亿 75.32% 100.44% 40.96%
猪肉 10.64亿 16.32% -0.59% -1.11%")</f>
        <v>公司从事的主要业务为白酒酿造与销售；种猪繁育、生猪养殖、屠宰及肉制品加工；房地产开发。公司现已形成了以白酒、猪肉为主的两大产业。公司白酒产业拥有“牛栏山”和“宁诚”两大品牌
市值121.946493亿, 利润4.51亿; PE; 平均PE39.49; 平均PEG3.12, PB1.69; ROIC-2.445%; ROE-3.99%; 股利率0%; 毛利30.48%; 净利-2.67%; 上一年度营收增-65.26%, 利润增167.01%; 当季营收增-34.68%, 利润增656.46%; 过往5年营收增-12.67%, 利润增-141.57%
Income profile:
白酒 49.10亿 75.32% 100.44% 40.96%
猪肉 10.64亿 16.32% -0.59% -1.11%</v>
      </c>
      <c r="D6" t="s">
        <v>45</v>
      </c>
      <c r="E6" t="s">
        <v>6</v>
      </c>
      <c r="F6">
        <v>16.440000000000001</v>
      </c>
      <c r="G6">
        <v>-0.06</v>
      </c>
      <c r="H6" t="s">
        <v>482</v>
      </c>
      <c r="I6">
        <v>12194649300</v>
      </c>
      <c r="K6">
        <v>1.69</v>
      </c>
      <c r="L6" t="s">
        <v>249</v>
      </c>
      <c r="M6" t="s">
        <v>483</v>
      </c>
      <c r="N6" t="s">
        <v>484</v>
      </c>
      <c r="O6" t="s">
        <v>485</v>
      </c>
      <c r="P6" s="4">
        <v>-0.75</v>
      </c>
      <c r="Q6" t="s">
        <v>485</v>
      </c>
      <c r="R6">
        <v>450576820</v>
      </c>
      <c r="S6">
        <v>0.37419999999999998</v>
      </c>
      <c r="T6" t="s">
        <v>363</v>
      </c>
      <c r="U6">
        <v>741766990</v>
      </c>
      <c r="V6">
        <v>741766990</v>
      </c>
      <c r="W6">
        <v>1.95</v>
      </c>
      <c r="X6">
        <v>0.28000000000000003</v>
      </c>
      <c r="Y6">
        <v>11.14</v>
      </c>
      <c r="Z6" t="s">
        <v>486</v>
      </c>
      <c r="AA6" t="s">
        <v>487</v>
      </c>
      <c r="AB6" t="s">
        <v>398</v>
      </c>
      <c r="AC6" t="s">
        <v>246</v>
      </c>
      <c r="AD6" t="s">
        <v>17</v>
      </c>
      <c r="AE6">
        <v>30885772</v>
      </c>
      <c r="AF6" t="s">
        <v>38</v>
      </c>
      <c r="AG6">
        <v>9514.1299999999992</v>
      </c>
      <c r="AH6" t="s">
        <v>488</v>
      </c>
      <c r="AI6" t="s">
        <v>489</v>
      </c>
      <c r="AJ6" t="s">
        <v>490</v>
      </c>
      <c r="AK6" t="s">
        <v>491</v>
      </c>
      <c r="AL6" t="s">
        <v>492</v>
      </c>
      <c r="AM6" t="s">
        <v>17</v>
      </c>
      <c r="AN6" t="s">
        <v>493</v>
      </c>
      <c r="AO6" t="s">
        <v>494</v>
      </c>
      <c r="AP6" t="s">
        <v>17</v>
      </c>
      <c r="AQ6" t="s">
        <v>144</v>
      </c>
      <c r="AR6" t="s">
        <v>495</v>
      </c>
      <c r="AS6" t="s">
        <v>496</v>
      </c>
      <c r="AT6" t="s">
        <v>497</v>
      </c>
      <c r="AU6" t="s">
        <v>498</v>
      </c>
      <c r="AV6" t="s">
        <v>499</v>
      </c>
      <c r="AW6" t="s">
        <v>500</v>
      </c>
      <c r="AX6" t="s">
        <v>289</v>
      </c>
      <c r="AY6" t="s">
        <v>217</v>
      </c>
      <c r="AZ6" t="s">
        <v>120</v>
      </c>
      <c r="BA6" t="s">
        <v>46</v>
      </c>
      <c r="BB6" t="s">
        <v>122</v>
      </c>
      <c r="BC6" t="s">
        <v>290</v>
      </c>
      <c r="BD6" t="s">
        <v>81</v>
      </c>
      <c r="BE6" t="s">
        <v>121</v>
      </c>
      <c r="BF6" t="s">
        <v>47</v>
      </c>
      <c r="BG6" t="s">
        <v>123</v>
      </c>
      <c r="BH6" t="s">
        <v>501</v>
      </c>
      <c r="BI6" t="s">
        <v>353</v>
      </c>
      <c r="BJ6" t="s">
        <v>289</v>
      </c>
      <c r="BK6" t="s">
        <v>502</v>
      </c>
      <c r="BL6" t="s">
        <v>354</v>
      </c>
      <c r="BM6" t="s">
        <v>290</v>
      </c>
      <c r="BN6">
        <v>-5.81</v>
      </c>
      <c r="BO6" t="s">
        <v>17</v>
      </c>
      <c r="BP6">
        <v>0.92</v>
      </c>
      <c r="BQ6">
        <v>-4.22</v>
      </c>
      <c r="BR6">
        <v>-9.07</v>
      </c>
      <c r="BS6">
        <v>1.32</v>
      </c>
      <c r="BT6" t="s">
        <v>261</v>
      </c>
      <c r="BU6" t="s">
        <v>249</v>
      </c>
      <c r="BV6">
        <v>31.8</v>
      </c>
      <c r="BW6">
        <v>31.73</v>
      </c>
      <c r="BX6">
        <v>27.91</v>
      </c>
      <c r="BY6">
        <v>-2.82</v>
      </c>
      <c r="BZ6">
        <v>-5.9</v>
      </c>
      <c r="CA6">
        <v>0.71</v>
      </c>
      <c r="CB6">
        <v>-1.79</v>
      </c>
      <c r="CC6" s="1">
        <v>-20.92</v>
      </c>
      <c r="CD6" s="1" t="s">
        <v>503</v>
      </c>
      <c r="CE6" s="1" t="s">
        <v>504</v>
      </c>
      <c r="CF6" s="5">
        <v>-0.34680405731766223</v>
      </c>
      <c r="CG6" s="6">
        <v>6.5645591224685882</v>
      </c>
      <c r="CH6" s="5">
        <v>-0.65259462594985962</v>
      </c>
      <c r="CI6" s="5">
        <v>-0.21460758149623871</v>
      </c>
      <c r="CJ6" s="5">
        <v>-4.1389971971511841E-2</v>
      </c>
      <c r="CK6" s="5">
        <v>4.1006732732057571E-2</v>
      </c>
      <c r="CL6" s="5">
        <v>0.23405659198760986</v>
      </c>
      <c r="CM6" s="6">
        <v>1.6701337099075317</v>
      </c>
      <c r="CN6" s="6">
        <v>-7.5980391502380371</v>
      </c>
      <c r="CO6" s="6">
        <v>-0.75714284181594849</v>
      </c>
      <c r="CP6" s="6">
        <v>-0.4808405339717865</v>
      </c>
      <c r="CQ6" s="6">
        <v>8.7365590035915375E-2</v>
      </c>
      <c r="CR6" s="1">
        <v>39.48618229897464</v>
      </c>
      <c r="CS6" s="1">
        <v>3.1163681027441972</v>
      </c>
      <c r="CT6">
        <v>0</v>
      </c>
      <c r="CU6" s="5">
        <v>-0.12670577093958854</v>
      </c>
      <c r="CV6" s="6">
        <v>-1.415704645216465</v>
      </c>
      <c r="CW6">
        <v>0.06</v>
      </c>
      <c r="CX6">
        <v>29.946007317073171</v>
      </c>
      <c r="CY6" t="s">
        <v>505</v>
      </c>
      <c r="CZ6">
        <v>-0.12670577093958854</v>
      </c>
      <c r="DA6">
        <v>9.9820024390243898</v>
      </c>
      <c r="DB6" t="s">
        <v>506</v>
      </c>
      <c r="DC6">
        <v>-0.12037048239260911</v>
      </c>
      <c r="DD6">
        <v>4.9910012195121949</v>
      </c>
      <c r="DE6" t="s">
        <v>507</v>
      </c>
      <c r="DF6">
        <v>-0.11150107842683792</v>
      </c>
      <c r="DG6">
        <v>2.9946007317073171</v>
      </c>
      <c r="DH6" t="s">
        <v>508</v>
      </c>
      <c r="DI6">
        <v>-0.10136461675167084</v>
      </c>
      <c r="DJ6">
        <v>1.4973003658536586</v>
      </c>
      <c r="DK6" t="s">
        <v>509</v>
      </c>
      <c r="DL6">
        <v>-8.8694039657711971E-2</v>
      </c>
      <c r="DM6">
        <v>451000000</v>
      </c>
      <c r="DN6">
        <v>-0.12670577093958854</v>
      </c>
      <c r="DO6">
        <v>13505649300</v>
      </c>
      <c r="DP6">
        <v>3648031200</v>
      </c>
      <c r="DQ6" s="7">
        <v>329</v>
      </c>
      <c r="DR6">
        <v>-0.22009828637807369</v>
      </c>
      <c r="DS6">
        <v>7.9802637676850532</v>
      </c>
      <c r="DT6">
        <v>-0.82333333333333325</v>
      </c>
      <c r="DU6">
        <v>-0.16666666666666663</v>
      </c>
      <c r="DV6">
        <v>-0.98999999999999988</v>
      </c>
      <c r="DW6">
        <v>-3.0556428571428573</v>
      </c>
      <c r="DX6">
        <v>0.3538939953810612</v>
      </c>
      <c r="DY6">
        <v>-3.008563101600132</v>
      </c>
      <c r="DZ6">
        <v>3808</v>
      </c>
      <c r="EA6">
        <v>-3.0021818313666091</v>
      </c>
      <c r="EB6" s="8">
        <v>3</v>
      </c>
      <c r="EC6" s="8">
        <v>8.9834275316026127E-2</v>
      </c>
      <c r="ED6">
        <v>0.58374126354692601</v>
      </c>
      <c r="EE6">
        <v>-2.0171100000000002</v>
      </c>
      <c r="EF6">
        <v>-2.0405099999999998</v>
      </c>
      <c r="EG6">
        <v>20.153893995381061</v>
      </c>
      <c r="EH6" s="9" t="s">
        <v>337</v>
      </c>
      <c r="EI6">
        <v>0</v>
      </c>
      <c r="EJ6">
        <v>0</v>
      </c>
      <c r="EK6">
        <v>45470</v>
      </c>
      <c r="EL6">
        <v>-0.87</v>
      </c>
      <c r="EM6">
        <v>-2.4500000000000002</v>
      </c>
      <c r="EN6">
        <v>0.12</v>
      </c>
      <c r="EO6">
        <v>1.97</v>
      </c>
      <c r="EP6">
        <v>-2.34</v>
      </c>
    </row>
    <row r="7" spans="1:148" ht="144" x14ac:dyDescent="0.25">
      <c r="A7" s="12"/>
      <c r="B7" s="12"/>
      <c r="C7" s="12" t="str">
        <f>"公司的主营业务为白酒酿造与销售；葡萄酒酿造与销售；酿酒葡萄种植.公司主要产品有粮食白酒、葡萄酒等。 　　公司是武威第一家上市公司，也是甘肃省唯一一家集名优白酒、名优葡萄酒一身的上市公司"&amp;CHAR(10)&amp;Basic_Fundamental_Information_Constructure(F7)&amp;CHAR(10)&amp;Basic_Fundamental_Information_Concatenate("粮食白酒 6695.63万 94.84% 94.29% 65.75%
葡萄酒 241.51万 3.42% 4.06% 78.46%")</f>
        <v>公司的主营业务为白酒酿造与销售；葡萄酒酿造与销售；酿酒葡萄种植.公司主要产品有粮食白酒、葡萄酒等。 　　公司是武威第一家上市公司，也是甘肃省唯一一家集名优白酒、名优葡萄酒一身的上市公司
市值13.855565亿, 利润87.07万; PE; 平均PE9361.87; 平均PEG182.15, PB11.28; ROIC6.105%; ROE-.79%; 股利率0%; 毛利61.3467%; 净利-6.3667%; 上一年度营收增-73.27%, 利润增-88.16%; 当季营收增-51.2%, 利润增-71.34%; 过往5年营收增51.4%, 利润增9.23%
Income profile:
粮食白酒 6695.63万 94.84% 94.29% 65.75%
葡萄酒 241.51万 3.42% 4.06% 78.46%</v>
      </c>
      <c r="D7" t="s">
        <v>48</v>
      </c>
      <c r="E7" t="s">
        <v>358</v>
      </c>
      <c r="F7">
        <v>7.81</v>
      </c>
      <c r="G7">
        <v>0.13</v>
      </c>
      <c r="H7" t="s">
        <v>734</v>
      </c>
      <c r="I7">
        <v>1385556500</v>
      </c>
      <c r="K7">
        <v>11.28</v>
      </c>
      <c r="L7" t="s">
        <v>249</v>
      </c>
      <c r="M7" t="s">
        <v>284</v>
      </c>
      <c r="N7" t="s">
        <v>59</v>
      </c>
      <c r="O7" t="s">
        <v>735</v>
      </c>
      <c r="P7" s="4">
        <v>-5.73</v>
      </c>
      <c r="Q7" t="s">
        <v>735</v>
      </c>
      <c r="R7">
        <v>870695</v>
      </c>
      <c r="S7">
        <v>-0.64639999999999997</v>
      </c>
      <c r="T7" t="s">
        <v>736</v>
      </c>
      <c r="U7">
        <v>177408000</v>
      </c>
      <c r="V7">
        <v>177408000</v>
      </c>
      <c r="W7">
        <v>3.8</v>
      </c>
      <c r="X7">
        <v>0.08</v>
      </c>
      <c r="Y7">
        <v>2.14</v>
      </c>
      <c r="Z7" t="s">
        <v>737</v>
      </c>
      <c r="AA7" t="s">
        <v>738</v>
      </c>
      <c r="AB7" t="s">
        <v>739</v>
      </c>
      <c r="AC7" t="s">
        <v>740</v>
      </c>
      <c r="AD7" t="s">
        <v>17</v>
      </c>
      <c r="AE7">
        <v>1591953</v>
      </c>
      <c r="AF7" t="s">
        <v>38</v>
      </c>
      <c r="AG7">
        <v>9221.7199999999993</v>
      </c>
      <c r="AH7" t="s">
        <v>741</v>
      </c>
      <c r="AI7" t="s">
        <v>742</v>
      </c>
      <c r="AJ7" t="s">
        <v>743</v>
      </c>
      <c r="AK7" t="s">
        <v>17</v>
      </c>
      <c r="AL7" t="s">
        <v>744</v>
      </c>
      <c r="AM7" t="s">
        <v>17</v>
      </c>
      <c r="AN7">
        <v>0</v>
      </c>
      <c r="AO7" t="s">
        <v>17</v>
      </c>
      <c r="AP7" t="s">
        <v>17</v>
      </c>
      <c r="AQ7" t="s">
        <v>745</v>
      </c>
      <c r="AR7" t="s">
        <v>746</v>
      </c>
      <c r="AS7" t="s">
        <v>747</v>
      </c>
      <c r="AT7" t="s">
        <v>296</v>
      </c>
      <c r="AU7" t="s">
        <v>748</v>
      </c>
      <c r="AV7" t="s">
        <v>749</v>
      </c>
      <c r="AW7" t="s">
        <v>750</v>
      </c>
      <c r="AX7" t="s">
        <v>294</v>
      </c>
      <c r="AY7" t="s">
        <v>218</v>
      </c>
      <c r="AZ7" t="s">
        <v>81</v>
      </c>
      <c r="BA7" t="s">
        <v>49</v>
      </c>
      <c r="BB7" t="s">
        <v>129</v>
      </c>
      <c r="BC7" t="s">
        <v>295</v>
      </c>
      <c r="BD7" t="s">
        <v>219</v>
      </c>
      <c r="BE7" t="s">
        <v>128</v>
      </c>
      <c r="BF7" t="s">
        <v>50</v>
      </c>
      <c r="BG7" t="s">
        <v>130</v>
      </c>
      <c r="BH7" t="s">
        <v>751</v>
      </c>
      <c r="BI7" t="s">
        <v>359</v>
      </c>
      <c r="BJ7" t="s">
        <v>294</v>
      </c>
      <c r="BK7" t="s">
        <v>752</v>
      </c>
      <c r="BL7" t="s">
        <v>360</v>
      </c>
      <c r="BM7" t="s">
        <v>295</v>
      </c>
      <c r="BN7">
        <v>4.33</v>
      </c>
      <c r="BO7">
        <v>7.88</v>
      </c>
      <c r="BP7" t="s">
        <v>17</v>
      </c>
      <c r="BQ7">
        <v>2.57</v>
      </c>
      <c r="BR7">
        <v>5.73</v>
      </c>
      <c r="BS7">
        <v>-10.67</v>
      </c>
      <c r="BT7" t="s">
        <v>261</v>
      </c>
      <c r="BU7" t="s">
        <v>249</v>
      </c>
      <c r="BV7">
        <v>61.18</v>
      </c>
      <c r="BW7">
        <v>63.82</v>
      </c>
      <c r="BX7">
        <v>59.04</v>
      </c>
      <c r="BY7">
        <v>-9.69</v>
      </c>
      <c r="BZ7">
        <v>5.47</v>
      </c>
      <c r="CA7">
        <v>-14.88</v>
      </c>
      <c r="CB7">
        <v>0.64</v>
      </c>
      <c r="CC7" s="1">
        <v>-26.74</v>
      </c>
      <c r="CD7" s="1" t="s">
        <v>753</v>
      </c>
      <c r="CE7" s="1" t="s">
        <v>754</v>
      </c>
      <c r="CF7" s="5">
        <v>-0.51200680925102271</v>
      </c>
      <c r="CG7" s="6">
        <v>-0.7134457791673523</v>
      </c>
      <c r="CH7" s="5">
        <v>-0.73272716999053955</v>
      </c>
      <c r="CI7" s="5">
        <v>0.49306008219718933</v>
      </c>
      <c r="CJ7" s="5">
        <v>-0.10697945207357407</v>
      </c>
      <c r="CK7" s="5">
        <v>2.9821448028087616E-2</v>
      </c>
      <c r="CL7" s="5">
        <v>2.8866987228393555</v>
      </c>
      <c r="CM7" s="6">
        <v>-0.88163566589355469</v>
      </c>
      <c r="CN7" s="6">
        <v>1.5426933765411377</v>
      </c>
      <c r="CO7" s="6">
        <v>-1.4048166275024414</v>
      </c>
      <c r="CP7" s="6">
        <v>-0.50913375616073608</v>
      </c>
      <c r="CQ7" s="6">
        <v>1.7144179344177246</v>
      </c>
      <c r="CR7" s="1">
        <v>9361.8682432432452</v>
      </c>
      <c r="CS7" s="1">
        <v>182.14647075075101</v>
      </c>
      <c r="CT7">
        <v>0</v>
      </c>
      <c r="CU7" s="5">
        <v>0.51397472620010376</v>
      </c>
      <c r="CV7" s="6">
        <v>9.2305052280426028E-2</v>
      </c>
      <c r="CW7">
        <v>0.06</v>
      </c>
      <c r="CX7">
        <v>1303.9195022931387</v>
      </c>
      <c r="CY7">
        <v>1243601.6925494624</v>
      </c>
      <c r="CZ7">
        <v>0.51397472620010376</v>
      </c>
      <c r="DA7">
        <v>303.16118675814147</v>
      </c>
      <c r="DB7">
        <v>5348826.2047663089</v>
      </c>
      <c r="DC7">
        <v>0.48827598989009857</v>
      </c>
      <c r="DD7">
        <v>89.600514789931438</v>
      </c>
      <c r="DE7">
        <v>18097624.816126805</v>
      </c>
      <c r="DF7">
        <v>0.45229775905609132</v>
      </c>
      <c r="DG7">
        <v>28.107134290980365</v>
      </c>
      <c r="DH7">
        <v>57691989.628425427</v>
      </c>
      <c r="DI7">
        <v>0.41117978096008301</v>
      </c>
      <c r="DJ7">
        <v>2.8387167399627877</v>
      </c>
      <c r="DK7">
        <v>571228709.49824202</v>
      </c>
      <c r="DL7">
        <v>0.35978230834007263</v>
      </c>
      <c r="DM7">
        <v>870699.99999999988</v>
      </c>
      <c r="DN7">
        <v>0.51397472620010376</v>
      </c>
      <c r="DO7">
        <v>1621556500</v>
      </c>
      <c r="DP7">
        <v>-49579170</v>
      </c>
      <c r="DQ7" s="7">
        <v>424</v>
      </c>
      <c r="DR7">
        <v>-1.0259815354511264</v>
      </c>
      <c r="DS7">
        <v>-0.80575083144777837</v>
      </c>
      <c r="DT7">
        <v>-0.14166666666666669</v>
      </c>
      <c r="DU7">
        <v>-1.0733333333333333</v>
      </c>
      <c r="DV7">
        <v>-1.2149999999999999</v>
      </c>
      <c r="DW7">
        <v>-3.1214642857142856</v>
      </c>
      <c r="DX7">
        <v>0.35383594247322969</v>
      </c>
      <c r="DY7">
        <v>-3.0259734300125518</v>
      </c>
      <c r="DZ7">
        <v>3606</v>
      </c>
      <c r="EA7">
        <v>-3.007644625976297</v>
      </c>
      <c r="EB7" s="8">
        <v>3</v>
      </c>
      <c r="EC7" s="8">
        <v>0.11891008297258297</v>
      </c>
      <c r="ED7">
        <v>0.55608089826839824</v>
      </c>
      <c r="EE7">
        <v>-2.0303100000000001</v>
      </c>
      <c r="EF7">
        <v>-2.05261</v>
      </c>
      <c r="EG7">
        <v>14.21383594247323</v>
      </c>
      <c r="EH7" s="9" t="s">
        <v>337</v>
      </c>
      <c r="EI7">
        <v>0</v>
      </c>
      <c r="EJ7">
        <v>0</v>
      </c>
      <c r="EK7">
        <v>45470</v>
      </c>
      <c r="EL7">
        <v>-1.55</v>
      </c>
      <c r="EM7">
        <v>-4.84</v>
      </c>
      <c r="EN7">
        <v>1.02</v>
      </c>
      <c r="EO7">
        <v>1.76</v>
      </c>
      <c r="EP7">
        <v>-2.23</v>
      </c>
    </row>
    <row r="8" spans="1:148" ht="156" x14ac:dyDescent="0.25">
      <c r="A8" s="12" t="s">
        <v>896</v>
      </c>
      <c r="B8" s="12"/>
      <c r="C8" s="12" t="str">
        <f>"公司是一家大型酿酒企业,主要从事白酒的生产与销售,公司主导产品梦之蓝、天之蓝、海之蓝、苏酒、珍宝坊、洋河大曲、双沟大曲等系列白酒，在全国享有较高的品牌知名度和美誉度。"&amp;CHAR(10)&amp;Basic_Fundamental_Information_Constructure(F8)&amp;CHAR(10)&amp;Basic_Fundamental_Information_Concatenate("白酒 184.14亿 97.39% 98.91% 75.10%
其他 3.91亿 2.07% 0.70% 24.97%
红酒 1.04亿 0.55% 0.40% 53.33%")</f>
        <v>公司是一家大型酿酒企业,主要从事白酒的生产与销售,公司主导产品梦之蓝、天之蓝、海之蓝、苏酒、珍宝坊、洋河大曲、双沟大曲等系列白酒，在全国享有较高的品牌知名度和美誉度。
市值1181.20358亿, 利润60.55亿; PE11.46; 平均PE15.43; 平均PEG3.83, PB2.04; ROIC18.9967%; ROE19.98%; 股利率5.9431%; 毛利75.0567%; 净利30.36%; 上一年度营收增-46.01%, 利润增-35.43%; 当季营收增-25.68%, 利润增-22.98%; 过往5年营收增-4.03%, 利润增-3.57%
Income profile:
白酒 184.14亿 97.39% 98.91% 75.10%
其他 3.91亿 2.07% 0.70% 24.97%
红酒 1.04亿 0.55% 0.40% 53.33%</v>
      </c>
      <c r="D8" t="s">
        <v>51</v>
      </c>
      <c r="E8" t="s">
        <v>15</v>
      </c>
      <c r="F8">
        <v>78.41</v>
      </c>
      <c r="G8">
        <v>-0.52</v>
      </c>
      <c r="H8" t="s">
        <v>510</v>
      </c>
      <c r="I8">
        <v>118120358000</v>
      </c>
      <c r="J8">
        <v>11.46</v>
      </c>
      <c r="K8">
        <v>2.04</v>
      </c>
      <c r="L8" t="s">
        <v>249</v>
      </c>
      <c r="M8" t="s">
        <v>511</v>
      </c>
      <c r="N8" t="s">
        <v>512</v>
      </c>
      <c r="O8" t="s">
        <v>513</v>
      </c>
      <c r="P8" s="4">
        <v>8.0299999999999994</v>
      </c>
      <c r="Q8" t="s">
        <v>513</v>
      </c>
      <c r="R8">
        <v>6055230500</v>
      </c>
      <c r="S8">
        <v>5.0200000000000002E-2</v>
      </c>
      <c r="T8" t="s">
        <v>514</v>
      </c>
      <c r="U8">
        <v>1502155800</v>
      </c>
      <c r="V8">
        <v>1506445100</v>
      </c>
      <c r="W8">
        <v>1.25</v>
      </c>
      <c r="X8">
        <v>0.23</v>
      </c>
      <c r="Y8">
        <v>37.24</v>
      </c>
      <c r="Z8" t="s">
        <v>515</v>
      </c>
      <c r="AA8" t="s">
        <v>516</v>
      </c>
      <c r="AB8" t="s">
        <v>517</v>
      </c>
      <c r="AC8" t="s">
        <v>518</v>
      </c>
      <c r="AD8" t="s">
        <v>17</v>
      </c>
      <c r="AE8">
        <v>-185701170</v>
      </c>
      <c r="AF8" t="s">
        <v>519</v>
      </c>
      <c r="AG8" t="s">
        <v>520</v>
      </c>
      <c r="AH8" t="s">
        <v>521</v>
      </c>
      <c r="AI8" t="s">
        <v>522</v>
      </c>
      <c r="AJ8" t="s">
        <v>523</v>
      </c>
      <c r="AK8" t="s">
        <v>316</v>
      </c>
      <c r="AL8" t="s">
        <v>524</v>
      </c>
      <c r="AM8" t="s">
        <v>17</v>
      </c>
      <c r="AN8" t="s">
        <v>525</v>
      </c>
      <c r="AO8" t="s">
        <v>17</v>
      </c>
      <c r="AP8" t="s">
        <v>17</v>
      </c>
      <c r="AQ8" t="s">
        <v>526</v>
      </c>
      <c r="AR8" t="s">
        <v>17</v>
      </c>
      <c r="AS8" t="s">
        <v>527</v>
      </c>
      <c r="AT8" t="s">
        <v>17</v>
      </c>
      <c r="AU8" t="s">
        <v>528</v>
      </c>
      <c r="AV8" t="s">
        <v>529</v>
      </c>
      <c r="AW8" t="s">
        <v>530</v>
      </c>
      <c r="AX8" t="s">
        <v>297</v>
      </c>
      <c r="AY8" t="s">
        <v>220</v>
      </c>
      <c r="AZ8" t="s">
        <v>131</v>
      </c>
      <c r="BA8" t="s">
        <v>52</v>
      </c>
      <c r="BB8" t="s">
        <v>133</v>
      </c>
      <c r="BC8" t="s">
        <v>298</v>
      </c>
      <c r="BD8" t="s">
        <v>221</v>
      </c>
      <c r="BE8" t="s">
        <v>132</v>
      </c>
      <c r="BF8" t="s">
        <v>53</v>
      </c>
      <c r="BG8" t="s">
        <v>134</v>
      </c>
      <c r="BH8" t="s">
        <v>531</v>
      </c>
      <c r="BI8" t="s">
        <v>361</v>
      </c>
      <c r="BJ8" t="s">
        <v>297</v>
      </c>
      <c r="BK8" t="s">
        <v>532</v>
      </c>
      <c r="BL8" t="s">
        <v>362</v>
      </c>
      <c r="BM8" t="s">
        <v>298</v>
      </c>
      <c r="BN8">
        <v>19.57</v>
      </c>
      <c r="BO8">
        <v>19.7</v>
      </c>
      <c r="BP8">
        <v>17.72</v>
      </c>
      <c r="BQ8">
        <v>20.36</v>
      </c>
      <c r="BR8">
        <v>21.03</v>
      </c>
      <c r="BS8">
        <v>18.55</v>
      </c>
      <c r="BT8" t="s">
        <v>533</v>
      </c>
      <c r="BU8" t="s">
        <v>249</v>
      </c>
      <c r="BV8">
        <v>75.25</v>
      </c>
      <c r="BW8">
        <v>74.599999999999994</v>
      </c>
      <c r="BX8">
        <v>75.319999999999993</v>
      </c>
      <c r="BY8">
        <v>30.25</v>
      </c>
      <c r="BZ8">
        <v>31.19</v>
      </c>
      <c r="CA8">
        <v>29.64</v>
      </c>
      <c r="CB8">
        <v>-2.89</v>
      </c>
      <c r="CC8" s="1">
        <v>-14.01</v>
      </c>
      <c r="CD8" s="1" t="s">
        <v>534</v>
      </c>
      <c r="CE8" s="1" t="s">
        <v>66</v>
      </c>
      <c r="CF8" s="5">
        <v>-0.25684634023682157</v>
      </c>
      <c r="CG8" s="6">
        <v>-0.22981041719664208</v>
      </c>
      <c r="CH8" s="5">
        <v>-0.46005648374557495</v>
      </c>
      <c r="CI8" s="5">
        <v>0.18757392466068268</v>
      </c>
      <c r="CJ8" s="5">
        <v>0.20136485993862152</v>
      </c>
      <c r="CK8" s="5">
        <v>-8.7563738226890564E-2</v>
      </c>
      <c r="CL8" s="5">
        <v>-4.2798027396202087E-2</v>
      </c>
      <c r="CM8" s="6">
        <v>-0.35433992743492126</v>
      </c>
      <c r="CN8" s="6">
        <v>0.24906769394874573</v>
      </c>
      <c r="CO8" s="6">
        <v>3.4749896731227636E-3</v>
      </c>
      <c r="CP8" s="6">
        <v>1.3409157283604145E-2</v>
      </c>
      <c r="CQ8" s="6">
        <v>-9.020330011844635E-2</v>
      </c>
      <c r="CR8" s="1">
        <v>15.433508590840791</v>
      </c>
      <c r="CS8" s="1">
        <v>3.8300450640237114</v>
      </c>
      <c r="CT8">
        <v>5.9431195000637675</v>
      </c>
      <c r="CU8" s="5">
        <v>-4.0295892953872682E-2</v>
      </c>
      <c r="CV8" s="6">
        <v>-3.5718277329578996E-2</v>
      </c>
      <c r="CW8">
        <v>0.06</v>
      </c>
      <c r="CX8">
        <v>12.842833691164326</v>
      </c>
      <c r="CY8" t="s">
        <v>535</v>
      </c>
      <c r="CZ8">
        <v>-4.0295892953872682E-2</v>
      </c>
      <c r="DA8">
        <v>4.2809445637214427</v>
      </c>
      <c r="DB8" t="s">
        <v>536</v>
      </c>
      <c r="DC8">
        <v>-3.8281098306179047E-2</v>
      </c>
      <c r="DD8">
        <v>2.1404722818607214</v>
      </c>
      <c r="DE8" t="s">
        <v>537</v>
      </c>
      <c r="DF8">
        <v>-3.546038579940796E-2</v>
      </c>
      <c r="DG8">
        <v>1.2842833691164326</v>
      </c>
      <c r="DH8" t="s">
        <v>538</v>
      </c>
      <c r="DI8">
        <v>-3.2236714363098148E-2</v>
      </c>
      <c r="DJ8">
        <v>0.6421416845582163</v>
      </c>
      <c r="DK8" t="s">
        <v>539</v>
      </c>
      <c r="DL8">
        <v>-2.8207125067710875E-2</v>
      </c>
      <c r="DM8">
        <v>6055000000</v>
      </c>
      <c r="DN8">
        <v>-4.0295892953872682E-2</v>
      </c>
      <c r="DO8">
        <v>77763358000</v>
      </c>
      <c r="DP8">
        <v>41096760000</v>
      </c>
      <c r="DQ8" s="7">
        <v>811</v>
      </c>
      <c r="DR8">
        <v>-0.21655044728294889</v>
      </c>
      <c r="DS8">
        <v>-0.19409213986706308</v>
      </c>
      <c r="DT8">
        <v>-0.32333333333333331</v>
      </c>
      <c r="DU8">
        <v>-0.23666666666666666</v>
      </c>
      <c r="DV8">
        <v>-0.55999999999999994</v>
      </c>
      <c r="DW8">
        <v>-8.2062812276945039</v>
      </c>
      <c r="DX8">
        <v>0.33747831325301064</v>
      </c>
      <c r="DY8">
        <v>-8.0304220075161457</v>
      </c>
      <c r="DZ8">
        <v>1720</v>
      </c>
      <c r="EA8">
        <v>-8.0201821145752898</v>
      </c>
      <c r="EB8" s="8">
        <v>8</v>
      </c>
      <c r="EC8" s="8">
        <v>1.6251106661636722E-2</v>
      </c>
      <c r="ED8">
        <v>0.11019319588878479</v>
      </c>
      <c r="EE8">
        <v>-1.0538099999999999</v>
      </c>
      <c r="EF8">
        <v>-1.05531</v>
      </c>
      <c r="EG8">
        <v>19.147478313253011</v>
      </c>
      <c r="EH8" s="9" t="s">
        <v>286</v>
      </c>
      <c r="EI8">
        <v>0</v>
      </c>
      <c r="EJ8">
        <v>0</v>
      </c>
      <c r="EK8">
        <v>45470</v>
      </c>
      <c r="EL8">
        <v>-1.03</v>
      </c>
      <c r="EM8">
        <v>1.38</v>
      </c>
      <c r="EN8">
        <v>0.52</v>
      </c>
      <c r="EO8">
        <v>0.22</v>
      </c>
      <c r="EP8">
        <v>-0.15</v>
      </c>
    </row>
    <row r="9" spans="1:148" ht="156" x14ac:dyDescent="0.25">
      <c r="A9" s="12"/>
      <c r="B9" s="12"/>
      <c r="C9" s="12" t="str">
        <f>"公司是一家以青稞为原料的酒类、葡萄酒的研发、生产和销售为主要业务的公司。其主要产品含互助、天佑德、八大作坊、永庆和等系列.公司生产的青稞酒属清香型白酒"&amp;CHAR(10)&amp;Basic_Fundamental_Information_Constructure(F9)&amp;CHAR(10)&amp;Basic_Fundamental_Information_Concatenate("中高档青稞白酒 4.13亿 69.29% 80.73% 74.61%
普通青稞白酒 1.19亿 20.06% 18.17% 58.03%
其他品牌酒类产品 4541.74万 7.63%
自有品牌葡萄酒 1118.20万 1.88%")</f>
        <v>公司是一家以青稞为原料的酒类、葡萄酒的研发、生产和销售为主要业务的公司。其主要产品含互助、天佑德、八大作坊、永庆和等系列.公司生产的青稞酒属清香型白酒
市值48.730501亿, 利润1.08亿; PE40.35; 平均PE105.93; 平均PEG8.61, PB1.66; ROIC2.67%; ROE3.04%; 股利率1.2859%; 毛利62.7%; 净利6.9033%; 上一年度营收增-46.33%, 利润增42.7%; 当季营收增-20.42%, 利润增12.22%; 过往5年营收增-12.3%, 利润增-53.51%
Income profile:
中高档青稞白酒 4.13亿 69.29% 80.73% 74.61%
普通青稞白酒 1.19亿 20.06% 18.17% 58.03%
其他品牌酒类产品 4541.74万 7.63%
自有品牌葡萄酒 1118.20万 1.88%</v>
      </c>
      <c r="D9" t="s">
        <v>56</v>
      </c>
      <c r="E9" t="s">
        <v>222</v>
      </c>
      <c r="F9">
        <v>10.11</v>
      </c>
      <c r="G9">
        <v>0.7</v>
      </c>
      <c r="H9" t="s">
        <v>755</v>
      </c>
      <c r="I9">
        <v>4873050100</v>
      </c>
      <c r="J9">
        <v>40.35</v>
      </c>
      <c r="K9">
        <v>1.66</v>
      </c>
      <c r="L9" t="s">
        <v>249</v>
      </c>
      <c r="M9" t="s">
        <v>385</v>
      </c>
      <c r="N9" t="s">
        <v>756</v>
      </c>
      <c r="O9" t="s">
        <v>652</v>
      </c>
      <c r="P9" s="4">
        <v>32.770000000000003</v>
      </c>
      <c r="Q9" t="s">
        <v>652</v>
      </c>
      <c r="R9">
        <v>108339997</v>
      </c>
      <c r="S9">
        <v>0.40429999999999999</v>
      </c>
      <c r="T9" t="s">
        <v>87</v>
      </c>
      <c r="U9">
        <v>472561620</v>
      </c>
      <c r="V9">
        <v>482002970</v>
      </c>
      <c r="W9">
        <v>1.18</v>
      </c>
      <c r="X9">
        <v>0.15</v>
      </c>
      <c r="Y9">
        <v>20.62</v>
      </c>
      <c r="Z9" t="s">
        <v>342</v>
      </c>
      <c r="AA9" t="s">
        <v>757</v>
      </c>
      <c r="AB9" t="s">
        <v>758</v>
      </c>
      <c r="AC9" t="s">
        <v>759</v>
      </c>
      <c r="AD9" t="s">
        <v>17</v>
      </c>
      <c r="AE9">
        <v>-3265216</v>
      </c>
      <c r="AF9" t="s">
        <v>760</v>
      </c>
      <c r="AG9">
        <v>7197.95</v>
      </c>
      <c r="AH9" t="s">
        <v>761</v>
      </c>
      <c r="AI9" t="s">
        <v>469</v>
      </c>
      <c r="AJ9" t="s">
        <v>762</v>
      </c>
      <c r="AK9" t="s">
        <v>17</v>
      </c>
      <c r="AL9" t="s">
        <v>763</v>
      </c>
      <c r="AM9" t="s">
        <v>17</v>
      </c>
      <c r="AN9" t="s">
        <v>764</v>
      </c>
      <c r="AO9" t="s">
        <v>62</v>
      </c>
      <c r="AP9" t="s">
        <v>17</v>
      </c>
      <c r="AQ9" t="s">
        <v>765</v>
      </c>
      <c r="AR9" t="s">
        <v>17</v>
      </c>
      <c r="AS9" t="s">
        <v>245</v>
      </c>
      <c r="AT9" t="s">
        <v>766</v>
      </c>
      <c r="AU9" t="s">
        <v>60</v>
      </c>
      <c r="AV9" t="s">
        <v>767</v>
      </c>
      <c r="AW9" t="s">
        <v>768</v>
      </c>
      <c r="AX9" t="s">
        <v>302</v>
      </c>
      <c r="AY9" t="s">
        <v>203</v>
      </c>
      <c r="AZ9" t="s">
        <v>135</v>
      </c>
      <c r="BA9" t="s">
        <v>57</v>
      </c>
      <c r="BB9" t="s">
        <v>137</v>
      </c>
      <c r="BC9" t="s">
        <v>769</v>
      </c>
      <c r="BD9" t="s">
        <v>223</v>
      </c>
      <c r="BE9" t="s">
        <v>136</v>
      </c>
      <c r="BF9" t="s">
        <v>58</v>
      </c>
      <c r="BG9" t="s">
        <v>87</v>
      </c>
      <c r="BH9" t="s">
        <v>770</v>
      </c>
      <c r="BI9" t="s">
        <v>250</v>
      </c>
      <c r="BJ9" t="s">
        <v>302</v>
      </c>
      <c r="BK9" t="s">
        <v>771</v>
      </c>
      <c r="BL9" t="s">
        <v>367</v>
      </c>
      <c r="BM9" t="s">
        <v>769</v>
      </c>
      <c r="BN9">
        <v>3.27</v>
      </c>
      <c r="BO9">
        <v>2.5099999999999998</v>
      </c>
      <c r="BP9">
        <v>2.23</v>
      </c>
      <c r="BQ9">
        <v>3.78</v>
      </c>
      <c r="BR9">
        <v>2.75</v>
      </c>
      <c r="BS9">
        <v>2.59</v>
      </c>
      <c r="BT9" t="s">
        <v>772</v>
      </c>
      <c r="BU9" t="s">
        <v>249</v>
      </c>
      <c r="BV9">
        <v>63.01</v>
      </c>
      <c r="BW9">
        <v>62.02</v>
      </c>
      <c r="BX9">
        <v>63.07</v>
      </c>
      <c r="BY9">
        <v>7.67</v>
      </c>
      <c r="BZ9">
        <v>7.46</v>
      </c>
      <c r="CA9">
        <v>5.58</v>
      </c>
      <c r="CB9">
        <v>-1.17</v>
      </c>
      <c r="CC9" s="1">
        <v>-15.47</v>
      </c>
      <c r="CD9" s="1" t="s">
        <v>773</v>
      </c>
      <c r="CE9" s="1" t="s">
        <v>369</v>
      </c>
      <c r="CF9" s="5">
        <v>-0.20423600605143721</v>
      </c>
      <c r="CG9" s="6">
        <v>0.12216749028694301</v>
      </c>
      <c r="CH9" s="5">
        <v>-0.46326529979705811</v>
      </c>
      <c r="CI9" s="5">
        <v>-7.0208728313446045E-2</v>
      </c>
      <c r="CJ9" s="5">
        <v>0.37958115339279175</v>
      </c>
      <c r="CK9" s="5">
        <v>-0.39074960350990295</v>
      </c>
      <c r="CL9" s="5">
        <v>-7.0422492921352386E-2</v>
      </c>
      <c r="CM9" s="6">
        <v>0.42696899175643921</v>
      </c>
      <c r="CN9" s="6">
        <v>0.19707608222961426</v>
      </c>
      <c r="CO9" s="6">
        <v>1.5497808456420898</v>
      </c>
      <c r="CP9" s="6">
        <v>-4.1839814186096191</v>
      </c>
      <c r="CQ9" s="6">
        <v>-0.66557127237319946</v>
      </c>
      <c r="CR9" s="1">
        <v>105.92512571188431</v>
      </c>
      <c r="CS9" s="1">
        <v>8.6108891483457128</v>
      </c>
      <c r="CT9">
        <v>1.2858555885262117</v>
      </c>
      <c r="CU9" s="5">
        <v>-0.12301299422979355</v>
      </c>
      <c r="CV9" s="6">
        <v>-0.53514535427093501</v>
      </c>
      <c r="CW9">
        <v>0.06</v>
      </c>
      <c r="CX9">
        <v>22.926389814814815</v>
      </c>
      <c r="CY9" t="s">
        <v>774</v>
      </c>
      <c r="CZ9">
        <v>-0.12301299422979355</v>
      </c>
      <c r="DA9">
        <v>7.642129938271605</v>
      </c>
      <c r="DB9" t="s">
        <v>775</v>
      </c>
      <c r="DC9">
        <v>-0.11686234451830387</v>
      </c>
      <c r="DD9">
        <v>3.8210649691358025</v>
      </c>
      <c r="DE9" t="s">
        <v>776</v>
      </c>
      <c r="DF9">
        <v>-0.10825143492221832</v>
      </c>
      <c r="DG9">
        <v>2.2926389814814816</v>
      </c>
      <c r="DH9" t="s">
        <v>777</v>
      </c>
      <c r="DI9">
        <v>-9.8410395383834837E-2</v>
      </c>
      <c r="DJ9">
        <v>1.1463194907407408</v>
      </c>
      <c r="DK9" t="s">
        <v>778</v>
      </c>
      <c r="DL9">
        <v>-8.6109095960855475E-2</v>
      </c>
      <c r="DM9">
        <v>108000000</v>
      </c>
      <c r="DN9">
        <v>-0.12301299422979355</v>
      </c>
      <c r="DO9">
        <v>2476050100</v>
      </c>
      <c r="DP9">
        <v>1562595000</v>
      </c>
      <c r="DQ9" s="7">
        <v>1136</v>
      </c>
      <c r="DR9">
        <v>-8.1223011821643668E-2</v>
      </c>
      <c r="DS9">
        <v>0.65731284455787797</v>
      </c>
      <c r="DT9">
        <v>-0.59</v>
      </c>
      <c r="DU9">
        <v>0.33333333333333331</v>
      </c>
      <c r="DV9">
        <v>-0.25666666666666665</v>
      </c>
      <c r="DW9">
        <v>-2.1547000000000001</v>
      </c>
      <c r="DX9">
        <v>0.32376033057851406</v>
      </c>
      <c r="DY9">
        <v>-2.0237867231404958</v>
      </c>
      <c r="DZ9">
        <v>1525</v>
      </c>
      <c r="EA9">
        <v>-2.0166879456866296</v>
      </c>
      <c r="EB9" s="8">
        <v>2</v>
      </c>
      <c r="EC9" s="8">
        <v>3.8599347219789956E-2</v>
      </c>
      <c r="ED9">
        <v>0.25103579755950467</v>
      </c>
      <c r="EE9">
        <v>-3.1063999999999998</v>
      </c>
      <c r="EF9">
        <v>-3.0827</v>
      </c>
      <c r="EG9">
        <v>17.153760330578514</v>
      </c>
      <c r="EH9" s="9" t="s">
        <v>399</v>
      </c>
      <c r="EI9">
        <v>0</v>
      </c>
      <c r="EJ9">
        <v>0</v>
      </c>
      <c r="EK9">
        <v>45470</v>
      </c>
      <c r="EL9">
        <v>-0.74</v>
      </c>
      <c r="EM9">
        <v>-3.75</v>
      </c>
      <c r="EN9">
        <v>2.27</v>
      </c>
      <c r="EO9">
        <v>1.93</v>
      </c>
      <c r="EP9">
        <v>-2.37</v>
      </c>
    </row>
    <row r="10" spans="1:148" ht="168" x14ac:dyDescent="0.25">
      <c r="A10" s="12"/>
      <c r="B10" s="12"/>
      <c r="C10" s="12" t="str">
        <f>"公司的主营业务为白酒的生产、研发和销售。公司的主要产品为高档酒系列、中档酒系列、低档酒系列。《改造和优化酿酒关键微生物提升酒质绵柔风格的研究》和《白酒储存、勾兑控制系统的自动化、信息化研究与应用》，荣获中国第二届白酒科学技术大会优秀科技成果奖。"&amp;CHAR(10)&amp;Basic_Fundamental_Information_Constructure(F10)&amp;CHAR(10)&amp;Basic_Fundamental_Information_Concatenate("高档酒产品 7.40亿 65.34%
中档酒产品 3.24亿 28.57%
低档酒产品 5444.20万 4.80%")</f>
        <v>公司的主营业务为白酒的生产、研发和销售。公司的主要产品为高档酒系列、中档酒系列、低档酒系列。《改造和优化酿酒关键微生物提升酒质绵柔风格的研究》和《白酒储存、勾兑控制系统的自动化、信息化研究与应用》，荣获中国第二届白酒科学技术大会优秀科技成果奖。
市值79.532885亿, 利润1.59亿; PE22.7; 平均PE49.09; 平均PEG2.37, PB2.02; ROIC6.1%; ROE6.4033%; 股利率2.3145%; 毛利49.2433%; 净利14.1733%; 上一年度营收增-48.8%, 利润增-3.64%; 当季营收增-31.94%, 利润增-9.68%; 过往5年营收增-20.71%, 利润增-3.64%
Income profile:
高档酒产品 7.40亿 65.34%
中档酒产品 3.24亿 28.57%
低档酒产品 5444.20万 4.80%</v>
      </c>
      <c r="D10" t="s">
        <v>64</v>
      </c>
      <c r="E10" t="s">
        <v>16</v>
      </c>
      <c r="F10">
        <v>16.850000000000001</v>
      </c>
      <c r="G10">
        <v>0.48</v>
      </c>
      <c r="H10" t="s">
        <v>779</v>
      </c>
      <c r="I10">
        <v>7953288500</v>
      </c>
      <c r="J10">
        <v>22.7</v>
      </c>
      <c r="K10">
        <v>2.02</v>
      </c>
      <c r="L10" t="s">
        <v>249</v>
      </c>
      <c r="M10" t="s">
        <v>126</v>
      </c>
      <c r="N10" t="s">
        <v>780</v>
      </c>
      <c r="O10" t="s">
        <v>181</v>
      </c>
      <c r="P10" s="4">
        <v>12.39</v>
      </c>
      <c r="Q10" t="s">
        <v>181</v>
      </c>
      <c r="R10">
        <v>158961210</v>
      </c>
      <c r="S10">
        <v>7.0800000000000002E-2</v>
      </c>
      <c r="T10" t="s">
        <v>299</v>
      </c>
      <c r="U10">
        <v>472005250</v>
      </c>
      <c r="V10">
        <v>472005250</v>
      </c>
      <c r="W10">
        <v>1.27</v>
      </c>
      <c r="X10" t="s">
        <v>17</v>
      </c>
      <c r="Y10">
        <v>19.309999999999999</v>
      </c>
      <c r="Z10" t="s">
        <v>17</v>
      </c>
      <c r="AA10" t="s">
        <v>17</v>
      </c>
      <c r="AB10" t="s">
        <v>17</v>
      </c>
      <c r="AC10" t="s">
        <v>17</v>
      </c>
      <c r="AD10" t="s">
        <v>17</v>
      </c>
      <c r="AE10">
        <v>1138079</v>
      </c>
      <c r="AF10" t="s">
        <v>781</v>
      </c>
      <c r="AG10" t="s">
        <v>782</v>
      </c>
      <c r="AH10" t="s">
        <v>783</v>
      </c>
      <c r="AI10" t="s">
        <v>386</v>
      </c>
      <c r="AJ10" t="s">
        <v>784</v>
      </c>
      <c r="AK10" t="s">
        <v>17</v>
      </c>
      <c r="AL10" t="s">
        <v>785</v>
      </c>
      <c r="AM10" t="s">
        <v>17</v>
      </c>
      <c r="AN10" t="s">
        <v>266</v>
      </c>
      <c r="AO10" t="s">
        <v>17</v>
      </c>
      <c r="AP10" t="s">
        <v>17</v>
      </c>
      <c r="AQ10" t="s">
        <v>54</v>
      </c>
      <c r="AR10" t="s">
        <v>786</v>
      </c>
      <c r="AS10" t="s">
        <v>17</v>
      </c>
      <c r="AT10" t="s">
        <v>17</v>
      </c>
      <c r="AU10" t="s">
        <v>206</v>
      </c>
      <c r="AV10" t="s">
        <v>787</v>
      </c>
      <c r="AW10" t="s">
        <v>788</v>
      </c>
      <c r="AX10" t="s">
        <v>307</v>
      </c>
      <c r="AY10" t="s">
        <v>17</v>
      </c>
      <c r="AZ10" t="s">
        <v>140</v>
      </c>
      <c r="BA10" t="s">
        <v>65</v>
      </c>
      <c r="BB10" t="s">
        <v>141</v>
      </c>
      <c r="BC10" t="s">
        <v>247</v>
      </c>
      <c r="BD10" t="s">
        <v>17</v>
      </c>
      <c r="BE10" t="s">
        <v>17</v>
      </c>
      <c r="BF10" t="s">
        <v>17</v>
      </c>
      <c r="BG10" t="s">
        <v>17</v>
      </c>
      <c r="BH10" t="s">
        <v>789</v>
      </c>
      <c r="BI10" t="s">
        <v>317</v>
      </c>
      <c r="BJ10" t="s">
        <v>307</v>
      </c>
      <c r="BK10" t="s">
        <v>395</v>
      </c>
      <c r="BL10" t="s">
        <v>41</v>
      </c>
      <c r="BM10" t="s">
        <v>247</v>
      </c>
      <c r="BN10">
        <v>5.98</v>
      </c>
      <c r="BO10">
        <v>4.25</v>
      </c>
      <c r="BP10">
        <v>8.07</v>
      </c>
      <c r="BQ10">
        <v>6.07</v>
      </c>
      <c r="BR10">
        <v>4.4800000000000004</v>
      </c>
      <c r="BS10">
        <v>8.66</v>
      </c>
      <c r="BT10" t="s">
        <v>790</v>
      </c>
      <c r="BU10" t="s">
        <v>249</v>
      </c>
      <c r="BV10">
        <v>48.23</v>
      </c>
      <c r="BW10">
        <v>48.05</v>
      </c>
      <c r="BX10">
        <v>51.45</v>
      </c>
      <c r="BY10">
        <v>15.49</v>
      </c>
      <c r="BZ10">
        <v>10.45</v>
      </c>
      <c r="CA10">
        <v>16.579999999999998</v>
      </c>
      <c r="CB10">
        <v>-5.39</v>
      </c>
      <c r="CC10" s="1">
        <v>-19.489999999999998</v>
      </c>
      <c r="CD10" s="1" t="s">
        <v>791</v>
      </c>
      <c r="CE10" s="1" t="s">
        <v>303</v>
      </c>
      <c r="CF10" s="5">
        <v>-0.31941031941031939</v>
      </c>
      <c r="CG10" s="6">
        <v>-9.6811306818181814E-2</v>
      </c>
      <c r="CH10" s="5">
        <v>-0.48798522353172302</v>
      </c>
      <c r="CI10" s="5" t="s">
        <v>17</v>
      </c>
      <c r="CJ10" s="5" t="s">
        <v>17</v>
      </c>
      <c r="CK10" s="5">
        <v>-0.21720246970653534</v>
      </c>
      <c r="CL10" s="5">
        <v>8.3804205060005188E-2</v>
      </c>
      <c r="CM10" s="6">
        <v>-3.6363635212182999E-2</v>
      </c>
      <c r="CN10" s="6" t="s">
        <v>17</v>
      </c>
      <c r="CO10" s="6" t="s">
        <v>17</v>
      </c>
      <c r="CP10" s="6" t="s">
        <v>17</v>
      </c>
      <c r="CQ10" s="6" t="s">
        <v>17</v>
      </c>
      <c r="CR10" s="1">
        <v>49.094373456790123</v>
      </c>
      <c r="CS10" s="1">
        <v>2.3702451573370418</v>
      </c>
      <c r="CT10">
        <v>2.3145400593471805</v>
      </c>
      <c r="CU10" s="5">
        <v>-0.20712782939275107</v>
      </c>
      <c r="CV10" s="6">
        <v>-3.6363635212182999E-2</v>
      </c>
      <c r="CW10">
        <v>0.06</v>
      </c>
      <c r="CX10">
        <v>30.938921383647799</v>
      </c>
      <c r="CY10" t="s">
        <v>792</v>
      </c>
      <c r="CZ10">
        <v>-0.20712782939275107</v>
      </c>
      <c r="DA10">
        <v>10.312973794549267</v>
      </c>
      <c r="DB10" t="s">
        <v>793</v>
      </c>
      <c r="DC10">
        <v>-0.1967714379231135</v>
      </c>
      <c r="DD10">
        <v>5.1564868972746334</v>
      </c>
      <c r="DE10" t="s">
        <v>794</v>
      </c>
      <c r="DF10">
        <v>-0.18227248986562095</v>
      </c>
      <c r="DG10">
        <v>3.0938921383647799</v>
      </c>
      <c r="DH10" t="s">
        <v>795</v>
      </c>
      <c r="DI10">
        <v>-0.16570226351420086</v>
      </c>
      <c r="DJ10">
        <v>1.54694606918239</v>
      </c>
      <c r="DK10" t="s">
        <v>796</v>
      </c>
      <c r="DL10">
        <v>-0.14498948057492575</v>
      </c>
      <c r="DM10">
        <v>159000000</v>
      </c>
      <c r="DN10">
        <v>-0.20712782939275107</v>
      </c>
      <c r="DO10">
        <v>4919288500</v>
      </c>
      <c r="DP10">
        <v>2903857300</v>
      </c>
      <c r="DQ10" s="7">
        <v>2998</v>
      </c>
      <c r="DR10">
        <v>-0.11228249001756832</v>
      </c>
      <c r="DS10">
        <v>-6.0447671605998815E-2</v>
      </c>
      <c r="DT10">
        <v>-0.91</v>
      </c>
      <c r="DU10">
        <v>0</v>
      </c>
      <c r="DV10">
        <v>-0.91</v>
      </c>
      <c r="DW10">
        <v>-8.276552077988713</v>
      </c>
      <c r="DX10">
        <v>0.36566499999999935</v>
      </c>
      <c r="DY10">
        <v>-8.0624081246793224</v>
      </c>
      <c r="DZ10">
        <v>3056</v>
      </c>
      <c r="EA10">
        <v>-8.0250853792742323</v>
      </c>
      <c r="EB10" s="8">
        <v>8</v>
      </c>
      <c r="EC10" s="8">
        <v>5.7371819487177317E-2</v>
      </c>
      <c r="ED10">
        <v>0.25423446031585456</v>
      </c>
      <c r="EE10">
        <v>-2.0247000000000002</v>
      </c>
      <c r="EF10">
        <v>-2.0034999999999998</v>
      </c>
      <c r="EG10">
        <v>14.225664999999999</v>
      </c>
      <c r="EH10" s="9" t="s">
        <v>397</v>
      </c>
      <c r="EI10">
        <v>0</v>
      </c>
      <c r="EJ10">
        <v>0</v>
      </c>
      <c r="EK10">
        <v>45470</v>
      </c>
      <c r="EL10">
        <v>-0.22</v>
      </c>
      <c r="EM10">
        <v>-2.41</v>
      </c>
      <c r="EN10">
        <v>0.78</v>
      </c>
      <c r="EO10">
        <v>2.4900000000000002</v>
      </c>
      <c r="EP10">
        <v>-2.12</v>
      </c>
    </row>
    <row r="11" spans="1:148" ht="132" x14ac:dyDescent="0.25">
      <c r="A11" s="12"/>
      <c r="B11" s="12"/>
      <c r="C11" s="12" t="str">
        <f>"公司主要从事白酒生产；普通货运（按许可证有效期限经营）；包装材料加工、制造与销售；生产白酒所需原辅材料收购；自营和代理各种商品和技术进出口业务。"&amp;CHAR(10)&amp;Basic_Fundamental_Information_Constructure(F11)&amp;CHAR(10)&amp;Basic_Fundamental_Information_Concatenate("酒业 3.76亿 62.43% 87.69% 46.70%
药业 2.26亿 37.57% 12.31% 10.89%")</f>
        <v>公司主要从事白酒生产；普通货运（按许可证有效期限经营）；包装材料加工、制造与销售；生产白酒所需原辅材料收购；自营和代理各种商品和技术进出口业务。
市值79.132958亿, 利润1764.49万; PE215.4; 平均PE-93.45; 平均PEG-3.44, PB3.12; ROIC0%; ROE-4.77%; 股利率0%; 毛利31.8567%; 净利-10.23%; 上一年度营收增-64.67%, 利润增109.44%; 当季营收增-45.44%, 利润增146.66%; 过往5年营收增-27.2%, 利润增109.44%
Income profile:
酒业 3.76亿 62.43% 87.69% 46.70%
药业 2.26亿 37.57% 12.31% 10.89%</v>
      </c>
      <c r="D11" t="s">
        <v>67</v>
      </c>
      <c r="E11" t="s">
        <v>5</v>
      </c>
      <c r="F11">
        <v>12.03</v>
      </c>
      <c r="G11">
        <v>-0.5</v>
      </c>
      <c r="H11" t="s">
        <v>540</v>
      </c>
      <c r="I11">
        <v>7913295800</v>
      </c>
      <c r="J11">
        <v>215.4</v>
      </c>
      <c r="K11">
        <v>3.12</v>
      </c>
      <c r="L11" t="s">
        <v>249</v>
      </c>
      <c r="M11" t="s">
        <v>541</v>
      </c>
      <c r="N11" t="s">
        <v>542</v>
      </c>
      <c r="O11" t="s">
        <v>340</v>
      </c>
      <c r="P11" s="4">
        <v>-3.02</v>
      </c>
      <c r="Q11" t="s">
        <v>340</v>
      </c>
      <c r="R11">
        <v>17644862</v>
      </c>
      <c r="S11">
        <v>1.429</v>
      </c>
      <c r="T11" t="s">
        <v>543</v>
      </c>
      <c r="U11">
        <v>657796820</v>
      </c>
      <c r="V11">
        <v>657796820</v>
      </c>
      <c r="W11">
        <v>1.34</v>
      </c>
      <c r="X11" t="s">
        <v>17</v>
      </c>
      <c r="Y11">
        <v>4.38</v>
      </c>
      <c r="Z11" t="s">
        <v>17</v>
      </c>
      <c r="AA11" t="s">
        <v>17</v>
      </c>
      <c r="AB11" t="s">
        <v>17</v>
      </c>
      <c r="AC11" t="s">
        <v>17</v>
      </c>
      <c r="AD11" t="s">
        <v>17</v>
      </c>
      <c r="AE11">
        <v>-1972607</v>
      </c>
      <c r="AF11" t="s">
        <v>38</v>
      </c>
      <c r="AG11" t="s">
        <v>544</v>
      </c>
      <c r="AH11" t="s">
        <v>545</v>
      </c>
      <c r="AI11" t="s">
        <v>546</v>
      </c>
      <c r="AJ11" t="s">
        <v>547</v>
      </c>
      <c r="AK11" t="s">
        <v>17</v>
      </c>
      <c r="AL11" t="s">
        <v>548</v>
      </c>
      <c r="AM11" t="s">
        <v>17</v>
      </c>
      <c r="AN11" t="s">
        <v>549</v>
      </c>
      <c r="AO11" t="s">
        <v>17</v>
      </c>
      <c r="AP11" t="s">
        <v>81</v>
      </c>
      <c r="AQ11" t="s">
        <v>37</v>
      </c>
      <c r="AR11" t="s">
        <v>550</v>
      </c>
      <c r="AS11" t="s">
        <v>17</v>
      </c>
      <c r="AT11" t="s">
        <v>17</v>
      </c>
      <c r="AU11" t="s">
        <v>551</v>
      </c>
      <c r="AV11" t="s">
        <v>552</v>
      </c>
      <c r="AW11" t="s">
        <v>553</v>
      </c>
      <c r="AX11" t="s">
        <v>308</v>
      </c>
      <c r="AY11" t="s">
        <v>17</v>
      </c>
      <c r="AZ11" t="s">
        <v>142</v>
      </c>
      <c r="BA11" t="s">
        <v>68</v>
      </c>
      <c r="BB11" t="s">
        <v>143</v>
      </c>
      <c r="BC11" t="s">
        <v>309</v>
      </c>
      <c r="BD11" t="s">
        <v>17</v>
      </c>
      <c r="BE11" t="s">
        <v>17</v>
      </c>
      <c r="BF11" t="s">
        <v>17</v>
      </c>
      <c r="BG11" t="s">
        <v>17</v>
      </c>
      <c r="BH11" t="s">
        <v>554</v>
      </c>
      <c r="BI11" t="s">
        <v>371</v>
      </c>
      <c r="BJ11" t="s">
        <v>308</v>
      </c>
      <c r="BK11" t="s">
        <v>555</v>
      </c>
      <c r="BL11" t="s">
        <v>372</v>
      </c>
      <c r="BM11" t="s">
        <v>309</v>
      </c>
      <c r="BN11" t="s">
        <v>17</v>
      </c>
      <c r="BO11" t="s">
        <v>17</v>
      </c>
      <c r="BP11" t="s">
        <v>17</v>
      </c>
      <c r="BQ11">
        <v>-1.38</v>
      </c>
      <c r="BR11">
        <v>-7.01</v>
      </c>
      <c r="BS11">
        <v>-5.92</v>
      </c>
      <c r="BT11" t="s">
        <v>261</v>
      </c>
      <c r="BU11" t="s">
        <v>249</v>
      </c>
      <c r="BV11">
        <v>40.32</v>
      </c>
      <c r="BW11">
        <v>26.45</v>
      </c>
      <c r="BX11">
        <v>28.8</v>
      </c>
      <c r="BY11">
        <v>-1.34</v>
      </c>
      <c r="BZ11">
        <v>-15.69</v>
      </c>
      <c r="CA11">
        <v>-13.66</v>
      </c>
      <c r="CB11">
        <v>1.01</v>
      </c>
      <c r="CC11" s="1">
        <v>-19.48</v>
      </c>
      <c r="CD11" s="1" t="s">
        <v>556</v>
      </c>
      <c r="CE11" s="1" t="s">
        <v>349</v>
      </c>
      <c r="CF11" s="5">
        <v>-0.45442708333333326</v>
      </c>
      <c r="CG11" s="6">
        <v>1.4666138300713745</v>
      </c>
      <c r="CH11" s="5">
        <v>-0.64671164751052856</v>
      </c>
      <c r="CI11" s="5" t="s">
        <v>17</v>
      </c>
      <c r="CJ11" s="5" t="s">
        <v>17</v>
      </c>
      <c r="CK11" s="5">
        <v>0.13566739857196808</v>
      </c>
      <c r="CL11" s="5">
        <v>-0.30494299530982971</v>
      </c>
      <c r="CM11" s="6">
        <v>1.0943577289581299</v>
      </c>
      <c r="CN11" s="6" t="s">
        <v>17</v>
      </c>
      <c r="CO11" s="6" t="s">
        <v>17</v>
      </c>
      <c r="CP11" s="6" t="s">
        <v>17</v>
      </c>
      <c r="CQ11" s="6" t="s">
        <v>17</v>
      </c>
      <c r="CR11" s="1">
        <v>-93.452110978647823</v>
      </c>
      <c r="CS11" s="1">
        <v>-3.4357930826992402</v>
      </c>
      <c r="CT11">
        <v>0</v>
      </c>
      <c r="CU11" s="5">
        <v>-0.27199574808279675</v>
      </c>
      <c r="CV11" s="6">
        <v>1.0943577289581299</v>
      </c>
      <c r="CW11">
        <v>0.06</v>
      </c>
      <c r="CX11">
        <v>357.57050479175285</v>
      </c>
      <c r="CY11" t="s">
        <v>557</v>
      </c>
      <c r="CZ11">
        <v>-0.27199574808279675</v>
      </c>
      <c r="DA11">
        <v>119.19016826391761</v>
      </c>
      <c r="DB11" t="s">
        <v>558</v>
      </c>
      <c r="DC11">
        <v>-0.25839596067865689</v>
      </c>
      <c r="DD11">
        <v>59.595084131958806</v>
      </c>
      <c r="DE11" t="s">
        <v>559</v>
      </c>
      <c r="DF11">
        <v>-0.23935625831286114</v>
      </c>
      <c r="DG11">
        <v>35.757050479175284</v>
      </c>
      <c r="DH11" t="s">
        <v>560</v>
      </c>
      <c r="DI11">
        <v>-0.21759659846623741</v>
      </c>
      <c r="DJ11">
        <v>17.878525239587642</v>
      </c>
      <c r="DK11" t="s">
        <v>561</v>
      </c>
      <c r="DL11">
        <v>-0.19039702365795771</v>
      </c>
      <c r="DM11">
        <v>17644900</v>
      </c>
      <c r="DN11">
        <v>-0.27199574808279675</v>
      </c>
      <c r="DO11">
        <v>6309295800</v>
      </c>
      <c r="DP11">
        <v>2123200700</v>
      </c>
      <c r="DQ11" s="7">
        <v>3000</v>
      </c>
      <c r="DR11">
        <v>-0.18243133525053651</v>
      </c>
      <c r="DS11">
        <v>0.37225610111324459</v>
      </c>
      <c r="DT11">
        <v>-1.1599999999999999</v>
      </c>
      <c r="DU11">
        <v>2.3199999999999998</v>
      </c>
      <c r="DV11">
        <v>1.1599999999999999</v>
      </c>
      <c r="DW11">
        <v>-3.0393571428571429</v>
      </c>
      <c r="DX11">
        <v>0.38179886792452777</v>
      </c>
      <c r="DY11">
        <v>-3.0099100840161723</v>
      </c>
      <c r="DZ11">
        <v>4569</v>
      </c>
      <c r="EA11">
        <v>-3.0010491889340019</v>
      </c>
      <c r="EB11" s="8">
        <v>3</v>
      </c>
      <c r="EC11" s="8">
        <v>0.10143968163300029</v>
      </c>
      <c r="ED11">
        <v>0.40285995909800842</v>
      </c>
      <c r="EE11">
        <v>1.0539099999999999</v>
      </c>
      <c r="EF11">
        <v>1.07121</v>
      </c>
      <c r="EG11">
        <v>13.251798867924528</v>
      </c>
      <c r="EH11" s="9" t="s">
        <v>292</v>
      </c>
      <c r="EI11">
        <v>0</v>
      </c>
      <c r="EJ11">
        <v>0</v>
      </c>
      <c r="EK11">
        <v>45470</v>
      </c>
      <c r="EL11">
        <v>0.19</v>
      </c>
      <c r="EM11">
        <v>-3.47</v>
      </c>
      <c r="EN11">
        <v>-1.8</v>
      </c>
      <c r="EO11">
        <v>5.49</v>
      </c>
      <c r="EP11">
        <v>-1.73</v>
      </c>
    </row>
    <row r="12" spans="1:148" ht="144" x14ac:dyDescent="0.25">
      <c r="A12" s="12" t="s">
        <v>898</v>
      </c>
      <c r="B12" s="12"/>
      <c r="C12" s="12" t="str">
        <f>"公司主要业务是茅台酒及系列酒的生产与销售。主导产品“贵州茅台酒”是世界三大蒸馏名酒之一，也是集国家地理标志产品、有机食品和国家非物质文化遗产于一身的白酒品牌。"&amp;CHAR(10)&amp;Basic_Fundamental_Information_Constructure(F12)&amp;CHAR(10)&amp;Basic_Fundamental_Information_Concatenate("茅台酒 934.65亿 88.02% 90.41% 94.03%
其他系列酒 125.95亿 11.86% 9.55% 73.69%")</f>
        <v>公司主要业务是茅台酒及系列酒的生产与销售。主导产品“贵州茅台酒”是世界三大蒸馏名酒之一，也是集国家地理标志产品、有机食品和国家非物质文化遗产于一身的白酒品牌。
市值18252.554亿, 利润240.65亿; PE23.4; 平均PE41.74; 平均PEG28.77, PB7.61; ROIC26.8967%; ROE28.3267%; 股利率2.125%; 毛利91.79%; 净利52.5467%; 上一年度营收增-63.11%, 利润增-61.63%; 当季营收增-34.21%, 利润增-33.11%; 过往5年营收增-1.45%, 利润增.13%
Income profile:
茅台酒 934.65亿 88.02% 90.41% 94.03%
其他系列酒 125.95亿 11.86% 9.55% 73.69%</v>
      </c>
      <c r="D12" t="s">
        <v>69</v>
      </c>
      <c r="E12" t="s">
        <v>204</v>
      </c>
      <c r="F12">
        <v>1453</v>
      </c>
      <c r="G12">
        <v>-2.2000000000000002</v>
      </c>
      <c r="H12" t="s">
        <v>797</v>
      </c>
      <c r="I12">
        <v>1825255400000</v>
      </c>
      <c r="J12">
        <v>23.4</v>
      </c>
      <c r="K12">
        <v>7.61</v>
      </c>
      <c r="L12" t="s">
        <v>249</v>
      </c>
      <c r="M12" t="s">
        <v>798</v>
      </c>
      <c r="N12" t="s">
        <v>799</v>
      </c>
      <c r="O12" t="s">
        <v>800</v>
      </c>
      <c r="P12" s="4">
        <v>18.11</v>
      </c>
      <c r="Q12" t="s">
        <v>800</v>
      </c>
      <c r="R12">
        <v>24065262000</v>
      </c>
      <c r="S12">
        <v>0.1573</v>
      </c>
      <c r="T12" t="s">
        <v>801</v>
      </c>
      <c r="U12">
        <v>1256197800</v>
      </c>
      <c r="V12">
        <v>1256197800</v>
      </c>
      <c r="W12">
        <v>1.1499999999999999</v>
      </c>
      <c r="X12">
        <v>0.16</v>
      </c>
      <c r="Y12">
        <v>53.53</v>
      </c>
      <c r="Z12" t="s">
        <v>802</v>
      </c>
      <c r="AA12" t="s">
        <v>803</v>
      </c>
      <c r="AB12" t="s">
        <v>125</v>
      </c>
      <c r="AC12" t="s">
        <v>804</v>
      </c>
      <c r="AD12" t="s">
        <v>17</v>
      </c>
      <c r="AE12">
        <v>-486783950</v>
      </c>
      <c r="AF12" t="s">
        <v>805</v>
      </c>
      <c r="AG12" t="s">
        <v>806</v>
      </c>
      <c r="AH12" t="s">
        <v>807</v>
      </c>
      <c r="AI12" t="s">
        <v>808</v>
      </c>
      <c r="AJ12" t="s">
        <v>809</v>
      </c>
      <c r="AK12" t="s">
        <v>400</v>
      </c>
      <c r="AL12" t="s">
        <v>810</v>
      </c>
      <c r="AM12" t="s">
        <v>17</v>
      </c>
      <c r="AN12" t="s">
        <v>811</v>
      </c>
      <c r="AO12" t="s">
        <v>17</v>
      </c>
      <c r="AP12" t="s">
        <v>17</v>
      </c>
      <c r="AQ12" t="s">
        <v>812</v>
      </c>
      <c r="AR12" t="s">
        <v>17</v>
      </c>
      <c r="AS12" t="s">
        <v>813</v>
      </c>
      <c r="AT12" t="s">
        <v>17</v>
      </c>
      <c r="AU12" t="s">
        <v>814</v>
      </c>
      <c r="AV12" t="s">
        <v>815</v>
      </c>
      <c r="AW12" t="s">
        <v>816</v>
      </c>
      <c r="AX12" t="s">
        <v>817</v>
      </c>
      <c r="AY12" t="s">
        <v>313</v>
      </c>
      <c r="AZ12" t="s">
        <v>314</v>
      </c>
      <c r="BA12" t="s">
        <v>146</v>
      </c>
      <c r="BB12" t="s">
        <v>147</v>
      </c>
      <c r="BC12" t="s">
        <v>818</v>
      </c>
      <c r="BD12" t="s">
        <v>225</v>
      </c>
      <c r="BE12" t="s">
        <v>145</v>
      </c>
      <c r="BF12" t="s">
        <v>70</v>
      </c>
      <c r="BG12" t="s">
        <v>148</v>
      </c>
      <c r="BH12" t="s">
        <v>819</v>
      </c>
      <c r="BI12" t="s">
        <v>373</v>
      </c>
      <c r="BJ12" t="s">
        <v>817</v>
      </c>
      <c r="BK12" t="s">
        <v>820</v>
      </c>
      <c r="BL12" t="s">
        <v>374</v>
      </c>
      <c r="BM12" t="s">
        <v>818</v>
      </c>
      <c r="BN12">
        <v>23.79</v>
      </c>
      <c r="BO12">
        <v>29.44</v>
      </c>
      <c r="BP12">
        <v>27.46</v>
      </c>
      <c r="BQ12">
        <v>24.82</v>
      </c>
      <c r="BR12">
        <v>30.26</v>
      </c>
      <c r="BS12">
        <v>29.9</v>
      </c>
      <c r="BT12" t="s">
        <v>821</v>
      </c>
      <c r="BU12" t="s">
        <v>249</v>
      </c>
      <c r="BV12">
        <v>91.96</v>
      </c>
      <c r="BW12">
        <v>91.87</v>
      </c>
      <c r="BX12">
        <v>91.54</v>
      </c>
      <c r="BY12">
        <v>52.49</v>
      </c>
      <c r="BZ12">
        <v>52.68</v>
      </c>
      <c r="CA12">
        <v>52.47</v>
      </c>
      <c r="CB12">
        <v>-0.98</v>
      </c>
      <c r="CC12" s="1">
        <v>-12.53</v>
      </c>
      <c r="CD12" s="1" t="s">
        <v>822</v>
      </c>
      <c r="CE12" s="1" t="s">
        <v>310</v>
      </c>
      <c r="CF12" s="5">
        <v>-0.34207197884327928</v>
      </c>
      <c r="CG12" s="6">
        <v>-0.33114891606448027</v>
      </c>
      <c r="CH12" s="5">
        <v>-0.63113623857498169</v>
      </c>
      <c r="CI12" s="5">
        <v>0.16866001486778259</v>
      </c>
      <c r="CJ12" s="5">
        <v>0.11879042536020279</v>
      </c>
      <c r="CK12" s="5">
        <v>0.1110265776515007</v>
      </c>
      <c r="CL12" s="5">
        <v>0.1601189523935318</v>
      </c>
      <c r="CM12" s="6">
        <v>-0.61629223823547363</v>
      </c>
      <c r="CN12" s="6">
        <v>0.19552044570446014</v>
      </c>
      <c r="CO12" s="6">
        <v>0.1234126016497612</v>
      </c>
      <c r="CP12" s="6">
        <v>0.13325726985931396</v>
      </c>
      <c r="CQ12" s="6">
        <v>0.17049197852611542</v>
      </c>
      <c r="CR12" s="1">
        <v>41.744136245992934</v>
      </c>
      <c r="CS12" s="1">
        <v>28.773078197218936</v>
      </c>
      <c r="CT12">
        <v>2.1249827942188575</v>
      </c>
      <c r="CU12" s="5">
        <v>-1.4508053660392761E-2</v>
      </c>
      <c r="CV12" s="6">
        <v>1.2780115008354186E-3</v>
      </c>
      <c r="CW12">
        <v>0.06</v>
      </c>
      <c r="CX12">
        <v>67.557091211302719</v>
      </c>
      <c r="CY12" t="s">
        <v>823</v>
      </c>
      <c r="CZ12">
        <v>-1.4508053660392761E-2</v>
      </c>
      <c r="DA12">
        <v>22.519030403767573</v>
      </c>
      <c r="DB12" t="s">
        <v>824</v>
      </c>
      <c r="DC12">
        <v>-1.3782650977373122E-2</v>
      </c>
      <c r="DD12">
        <v>11.259515201883787</v>
      </c>
      <c r="DE12" t="s">
        <v>825</v>
      </c>
      <c r="DF12">
        <v>-1.2767087221145629E-2</v>
      </c>
      <c r="DG12">
        <v>6.7557091211302724</v>
      </c>
      <c r="DH12" t="s">
        <v>826</v>
      </c>
      <c r="DI12">
        <v>-1.160644292831421E-2</v>
      </c>
      <c r="DJ12">
        <v>3.3778545605651362</v>
      </c>
      <c r="DK12" t="s">
        <v>827</v>
      </c>
      <c r="DL12">
        <v>-1.0155637562274932E-2</v>
      </c>
      <c r="DM12">
        <v>24065000000</v>
      </c>
      <c r="DN12">
        <v>-1.4508053660392761E-2</v>
      </c>
      <c r="DO12">
        <v>1625761400000</v>
      </c>
      <c r="DP12">
        <v>200750000000</v>
      </c>
      <c r="DQ12" s="7">
        <v>3238</v>
      </c>
      <c r="DR12">
        <v>-0.32756392518288652</v>
      </c>
      <c r="DS12">
        <v>-0.33242692756531567</v>
      </c>
      <c r="DT12">
        <v>-0.52333333333333332</v>
      </c>
      <c r="DU12">
        <v>-0.30333333333333334</v>
      </c>
      <c r="DV12">
        <v>-0.82666666666666666</v>
      </c>
      <c r="DW12">
        <v>-2.1253000000000002</v>
      </c>
      <c r="DX12">
        <v>0.43867641509433897</v>
      </c>
      <c r="DY12">
        <v>-2.0211351548113208</v>
      </c>
      <c r="DZ12">
        <v>4650</v>
      </c>
      <c r="EA12">
        <v>-2.0019025775368311</v>
      </c>
      <c r="EB12" s="8">
        <v>2</v>
      </c>
      <c r="EC12" s="8">
        <v>1.4233188435770226E-2</v>
      </c>
      <c r="ED12">
        <v>8.438161569778263E-2</v>
      </c>
      <c r="EE12">
        <v>1.06081</v>
      </c>
      <c r="EF12">
        <v>1.0097099999999999</v>
      </c>
      <c r="EG12">
        <v>27.168676415094339</v>
      </c>
      <c r="EH12" s="9" t="s">
        <v>292</v>
      </c>
      <c r="EI12">
        <v>0</v>
      </c>
      <c r="EJ12">
        <v>0</v>
      </c>
      <c r="EK12">
        <v>45470</v>
      </c>
      <c r="EL12">
        <v>0</v>
      </c>
      <c r="EM12">
        <v>-1.1200000000000001</v>
      </c>
      <c r="EN12">
        <v>-1.1299999999999999</v>
      </c>
      <c r="EO12">
        <v>0.56999999999999995</v>
      </c>
      <c r="EP12">
        <v>5.1100000000000003</v>
      </c>
    </row>
    <row r="13" spans="1:148" ht="180" x14ac:dyDescent="0.25">
      <c r="A13" s="12"/>
      <c r="B13" s="12"/>
      <c r="C13" s="12" t="str">
        <f>"公司的主营业务为白酒的生产与销售。公司的主要产品为衡水老白干系列酒、承德乾隆醉系列酒、文王贡系列酒、武陵系列酒、孔府家系列酒。公司是国内白酒生产骨干企业和老白干香型中生产规模最大的企业,在华北地区具有较高的知名度、美誉度和市场占有率,生产规模和销售收入在河北省白酒行业内处于领先地位。"&amp;CHAR(10)&amp;Basic_Fundamental_Information_Constructure(F13)&amp;CHAR(10)&amp;Basic_Fundamental_Information_Concatenate("高档酒 15.90亿 46.01%
中档酒 8.88亿 25.71%
低档酒 7.01亿 20.29%")</f>
        <v>公司的主营业务为白酒的生产与销售。公司的主要产品为衡水老白干系列酒、承德乾隆醉系列酒、文王贡系列酒、武陵系列酒、孔府家系列酒。公司是国内白酒生产骨干企业和老白干香型中生产规模最大的企业,在华北地区具有较高的知名度、美誉度和市场占有率,生产规模和销售收入在河北省白酒行业内处于领先地位。
市值156.42181亿, 利润1.36亿; PE22.35; 平均PE40.81; 平均PEG4.39, PB3.15; ROIC11.9267%; ROE12.5%; 股利率2.6316%; 毛利67.61%; 净利12.51%; 上一年度营收增-75.71%, 利润增-80.79%; 当季营收增-49.37%, 利润增-37.24%; 过往5年营收增-9.3%, 利润增3.68%
Income profile:
高档酒 15.90亿 46.01%
中档酒 8.88亿 25.71%
低档酒 7.01亿 20.29%</v>
      </c>
      <c r="D13" t="s">
        <v>71</v>
      </c>
      <c r="E13" t="s">
        <v>7</v>
      </c>
      <c r="F13">
        <v>17.100000000000001</v>
      </c>
      <c r="G13">
        <v>-1.1599999999999999</v>
      </c>
      <c r="H13" t="s">
        <v>562</v>
      </c>
      <c r="I13">
        <v>15642181000</v>
      </c>
      <c r="J13">
        <v>22.35</v>
      </c>
      <c r="K13">
        <v>3.15</v>
      </c>
      <c r="L13" t="s">
        <v>249</v>
      </c>
      <c r="M13" t="s">
        <v>563</v>
      </c>
      <c r="N13" t="s">
        <v>564</v>
      </c>
      <c r="O13" t="s">
        <v>565</v>
      </c>
      <c r="P13" s="4">
        <v>12.67</v>
      </c>
      <c r="Q13" t="s">
        <v>565</v>
      </c>
      <c r="R13">
        <v>136193310</v>
      </c>
      <c r="S13">
        <v>0.33040000000000003</v>
      </c>
      <c r="T13" t="s">
        <v>294</v>
      </c>
      <c r="U13">
        <v>904271440</v>
      </c>
      <c r="V13">
        <v>914747440</v>
      </c>
      <c r="W13">
        <v>2.06</v>
      </c>
      <c r="X13">
        <v>0.11</v>
      </c>
      <c r="Y13">
        <v>12.05</v>
      </c>
      <c r="Z13" t="s">
        <v>566</v>
      </c>
      <c r="AA13" t="s">
        <v>350</v>
      </c>
      <c r="AB13" t="s">
        <v>36</v>
      </c>
      <c r="AC13" t="s">
        <v>567</v>
      </c>
      <c r="AD13" t="s">
        <v>17</v>
      </c>
      <c r="AE13">
        <v>-4409551</v>
      </c>
      <c r="AF13" t="s">
        <v>568</v>
      </c>
      <c r="AG13" t="s">
        <v>569</v>
      </c>
      <c r="AH13" t="s">
        <v>570</v>
      </c>
      <c r="AI13" t="s">
        <v>571</v>
      </c>
      <c r="AJ13" t="s">
        <v>572</v>
      </c>
      <c r="AK13" t="s">
        <v>573</v>
      </c>
      <c r="AL13" t="s">
        <v>574</v>
      </c>
      <c r="AM13" t="s">
        <v>17</v>
      </c>
      <c r="AN13" t="s">
        <v>575</v>
      </c>
      <c r="AO13" t="s">
        <v>17</v>
      </c>
      <c r="AP13" t="s">
        <v>17</v>
      </c>
      <c r="AQ13" t="s">
        <v>576</v>
      </c>
      <c r="AR13" t="s">
        <v>17</v>
      </c>
      <c r="AS13" t="s">
        <v>577</v>
      </c>
      <c r="AT13" t="s">
        <v>17</v>
      </c>
      <c r="AU13" t="s">
        <v>300</v>
      </c>
      <c r="AV13" t="s">
        <v>391</v>
      </c>
      <c r="AW13" t="s">
        <v>17</v>
      </c>
      <c r="AX13" t="s">
        <v>315</v>
      </c>
      <c r="AY13" t="s">
        <v>226</v>
      </c>
      <c r="AZ13" t="s">
        <v>149</v>
      </c>
      <c r="BA13" t="s">
        <v>72</v>
      </c>
      <c r="BB13" t="s">
        <v>150</v>
      </c>
      <c r="BC13" t="s">
        <v>316</v>
      </c>
      <c r="BD13" t="s">
        <v>224</v>
      </c>
      <c r="BE13" t="s">
        <v>114</v>
      </c>
      <c r="BF13" t="s">
        <v>73</v>
      </c>
      <c r="BG13" t="s">
        <v>106</v>
      </c>
      <c r="BH13" t="s">
        <v>578</v>
      </c>
      <c r="BI13" t="s">
        <v>376</v>
      </c>
      <c r="BJ13" t="s">
        <v>315</v>
      </c>
      <c r="BK13" t="s">
        <v>201</v>
      </c>
      <c r="BL13" t="s">
        <v>166</v>
      </c>
      <c r="BM13" t="s">
        <v>316</v>
      </c>
      <c r="BN13">
        <v>9.1300000000000008</v>
      </c>
      <c r="BO13">
        <v>16.72</v>
      </c>
      <c r="BP13">
        <v>9.93</v>
      </c>
      <c r="BQ13">
        <v>9.1999999999999993</v>
      </c>
      <c r="BR13">
        <v>17.47</v>
      </c>
      <c r="BS13">
        <v>10.83</v>
      </c>
      <c r="BT13" t="s">
        <v>263</v>
      </c>
      <c r="BU13" t="s">
        <v>249</v>
      </c>
      <c r="BV13">
        <v>67.150000000000006</v>
      </c>
      <c r="BW13">
        <v>68.36</v>
      </c>
      <c r="BX13">
        <v>67.319999999999993</v>
      </c>
      <c r="BY13">
        <v>12.67</v>
      </c>
      <c r="BZ13">
        <v>15.21</v>
      </c>
      <c r="CA13">
        <v>9.65</v>
      </c>
      <c r="CB13">
        <v>-5.94</v>
      </c>
      <c r="CC13" s="1">
        <v>-26.07</v>
      </c>
      <c r="CD13" s="1" t="s">
        <v>579</v>
      </c>
      <c r="CE13" s="1" t="s">
        <v>580</v>
      </c>
      <c r="CF13" s="5">
        <v>-0.49372759856630827</v>
      </c>
      <c r="CG13" s="6">
        <v>-0.3723810599078341</v>
      </c>
      <c r="CH13" s="5">
        <v>-0.75714594125747681</v>
      </c>
      <c r="CI13" s="5">
        <v>0.1554507315158844</v>
      </c>
      <c r="CJ13" s="5">
        <v>0.11923296749591827</v>
      </c>
      <c r="CK13" s="5">
        <v>-0.10719603300094604</v>
      </c>
      <c r="CL13" s="5">
        <v>0.12475573271512985</v>
      </c>
      <c r="CM13" s="6">
        <v>-0.80790960788726807</v>
      </c>
      <c r="CN13" s="6">
        <v>0.82005143165588379</v>
      </c>
      <c r="CO13" s="6">
        <v>0.24281150102615356</v>
      </c>
      <c r="CP13" s="6">
        <v>-0.22524753212928772</v>
      </c>
      <c r="CQ13" s="6">
        <v>0.15428571403026581</v>
      </c>
      <c r="CR13" s="1">
        <v>40.805689565217392</v>
      </c>
      <c r="CS13" s="1">
        <v>4.3886283502583128</v>
      </c>
      <c r="CT13">
        <v>2.6315789473684208</v>
      </c>
      <c r="CU13" s="5">
        <v>-9.2980508506298062E-2</v>
      </c>
      <c r="CV13" s="6">
        <v>3.6798301339149478E-2</v>
      </c>
      <c r="CW13">
        <v>0.06</v>
      </c>
      <c r="CX13">
        <v>113.04544852941177</v>
      </c>
      <c r="CY13" t="s">
        <v>581</v>
      </c>
      <c r="CZ13">
        <v>-9.2980508506298062E-2</v>
      </c>
      <c r="DA13">
        <v>37.681816176470591</v>
      </c>
      <c r="DB13" t="s">
        <v>582</v>
      </c>
      <c r="DC13">
        <v>-8.8331483080983153E-2</v>
      </c>
      <c r="DD13">
        <v>18.840908088235295</v>
      </c>
      <c r="DE13" t="s">
        <v>583</v>
      </c>
      <c r="DF13">
        <v>-8.1822847485542291E-2</v>
      </c>
      <c r="DG13">
        <v>11.304544852941177</v>
      </c>
      <c r="DH13" t="s">
        <v>584</v>
      </c>
      <c r="DI13">
        <v>-7.4384406805038453E-2</v>
      </c>
      <c r="DJ13">
        <v>5.6522724264705886</v>
      </c>
      <c r="DK13" t="s">
        <v>585</v>
      </c>
      <c r="DL13">
        <v>-6.5086355954408634E-2</v>
      </c>
      <c r="DM13">
        <v>136000000</v>
      </c>
      <c r="DN13">
        <v>-9.2980508506298062E-2</v>
      </c>
      <c r="DO13">
        <v>15374181000</v>
      </c>
      <c r="DP13">
        <v>1488017100</v>
      </c>
      <c r="DQ13" s="7">
        <v>3269</v>
      </c>
      <c r="DR13">
        <v>-0.40074709006001019</v>
      </c>
      <c r="DS13">
        <v>-0.40917936124698356</v>
      </c>
      <c r="DT13">
        <v>-0.62333333333333341</v>
      </c>
      <c r="DU13">
        <v>-0.13666666666666669</v>
      </c>
      <c r="DV13">
        <v>-0.76000000000000012</v>
      </c>
      <c r="DW13">
        <v>-8.2278481012658222</v>
      </c>
      <c r="DX13">
        <v>0.34938106013363057</v>
      </c>
      <c r="DY13">
        <v>-8.0431501149671565</v>
      </c>
      <c r="DZ13">
        <v>2176</v>
      </c>
      <c r="EA13">
        <v>-8.0247754280457215</v>
      </c>
      <c r="EB13" s="8">
        <v>8</v>
      </c>
      <c r="EC13" s="8">
        <v>9.2956914970978202E-2</v>
      </c>
      <c r="ED13">
        <v>0.49084586670174229</v>
      </c>
      <c r="EE13">
        <v>-2.0070999999999999</v>
      </c>
      <c r="EF13">
        <v>-2.0043000000000002</v>
      </c>
      <c r="EG13">
        <v>16.189381060133631</v>
      </c>
      <c r="EH13" s="9" t="s">
        <v>397</v>
      </c>
      <c r="EI13">
        <v>0</v>
      </c>
      <c r="EJ13">
        <v>0</v>
      </c>
      <c r="EK13">
        <v>45470</v>
      </c>
      <c r="EL13">
        <v>0.28000000000000003</v>
      </c>
      <c r="EM13">
        <v>-3.88</v>
      </c>
      <c r="EN13">
        <v>0.57999999999999996</v>
      </c>
      <c r="EO13">
        <v>1.72</v>
      </c>
      <c r="EP13">
        <v>-0.28000000000000003</v>
      </c>
    </row>
    <row r="14" spans="1:148" ht="180" x14ac:dyDescent="0.25">
      <c r="A14" s="12"/>
      <c r="B14" s="12"/>
      <c r="C14" s="12" t="str">
        <f>"上海贵酒股份有限公司是一家产供销一体化、融合经典与创新的酒业管理集团。公司聚焦酱香型白酒赛道，通过多品牌、多模式，切入多个细分市场，满足消费者需求。公司旗下品牌系列包括：定位超高端创新型酱香白酒的天青贵酿系列，为新财智人群带来全方位、高品质白酒文化体验；定位高端新势力酱香白酒的君道贵酿系列"&amp;CHAR(10)&amp;Basic_Fundamental_Information_Constructure(F14)&amp;CHAR(10)&amp;Basic_Fundamental_Information_Concatenate("酱香 4.68亿 77.53% 82.22% 64.71%
果酒 6682.43万 11.08% 11.78% 64.88%
浓香 4188.31万 6.94% 5.14% 45.15%")</f>
        <v>上海贵酒股份有限公司是一家产供销一体化、融合经典与创新的酒业管理集团。公司聚焦酱香型白酒赛道，通过多品牌、多模式，切入多个细分市场，满足消费者需求。公司旗下品牌系列包括：定位超高端创新型酱香白酒的天青贵酿系列，为新财智人群带来全方位、高品质白酒文化体验；定位高端新势力酱香白酒的君道贵酿系列
市值22.141876亿, 利润-1966.08万; PE60.87; 平均PE111.39; 平均PEG1.05, PB3.79; ROIC12.3467%; ROE14.05%; 股利率0%; 毛利68.8%; 净利7.12%; 上一年度营收增-90.01%, 利润增-152.61%; 当季营收增-87.07%, 利润增-136.74%; 过往5年营收增106.07%, 利润增81.79%
Income profile:
酱香 4.68亿 77.53% 82.22% 64.71%
果酒 6682.43万 11.08% 11.78% 64.88%
浓香 4188.31万 6.94% 5.14% 45.15%</v>
      </c>
      <c r="D14" t="s">
        <v>252</v>
      </c>
      <c r="E14" t="s">
        <v>253</v>
      </c>
      <c r="F14">
        <v>6.62</v>
      </c>
      <c r="G14">
        <v>2.3199999999999998</v>
      </c>
      <c r="H14" t="s">
        <v>828</v>
      </c>
      <c r="I14">
        <v>2214187600</v>
      </c>
      <c r="J14">
        <v>60.87</v>
      </c>
      <c r="K14">
        <v>3.79</v>
      </c>
      <c r="L14" t="s">
        <v>249</v>
      </c>
      <c r="M14" t="s">
        <v>829</v>
      </c>
      <c r="N14" t="s">
        <v>830</v>
      </c>
      <c r="O14" t="s">
        <v>113</v>
      </c>
      <c r="P14" s="4">
        <v>-71.94</v>
      </c>
      <c r="Q14" t="s">
        <v>113</v>
      </c>
      <c r="R14">
        <v>-19660818</v>
      </c>
      <c r="S14">
        <v>-1.6339999999999999</v>
      </c>
      <c r="T14" t="s">
        <v>831</v>
      </c>
      <c r="U14">
        <v>334469430</v>
      </c>
      <c r="V14">
        <v>334469430</v>
      </c>
      <c r="W14">
        <v>2.61</v>
      </c>
      <c r="X14">
        <v>0.05</v>
      </c>
      <c r="Y14">
        <v>-13.02</v>
      </c>
      <c r="Z14" t="s">
        <v>765</v>
      </c>
      <c r="AA14" t="s">
        <v>832</v>
      </c>
      <c r="AB14" t="s">
        <v>833</v>
      </c>
      <c r="AC14" t="s">
        <v>834</v>
      </c>
      <c r="AD14" t="s">
        <v>17</v>
      </c>
      <c r="AE14">
        <v>3604683</v>
      </c>
      <c r="AF14" t="s">
        <v>835</v>
      </c>
      <c r="AG14" t="s">
        <v>836</v>
      </c>
      <c r="AH14" t="s">
        <v>837</v>
      </c>
      <c r="AI14" t="s">
        <v>838</v>
      </c>
      <c r="AJ14" t="s">
        <v>839</v>
      </c>
      <c r="AK14" t="s">
        <v>17</v>
      </c>
      <c r="AL14" t="s">
        <v>840</v>
      </c>
      <c r="AM14" t="s">
        <v>17</v>
      </c>
      <c r="AN14" t="s">
        <v>841</v>
      </c>
      <c r="AO14" t="s">
        <v>291</v>
      </c>
      <c r="AP14" t="s">
        <v>17</v>
      </c>
      <c r="AQ14" t="s">
        <v>842</v>
      </c>
      <c r="AR14" t="s">
        <v>377</v>
      </c>
      <c r="AS14" t="s">
        <v>843</v>
      </c>
      <c r="AT14" t="s">
        <v>17</v>
      </c>
      <c r="AU14" t="s">
        <v>844</v>
      </c>
      <c r="AV14" t="s">
        <v>845</v>
      </c>
      <c r="AW14" t="s">
        <v>846</v>
      </c>
      <c r="AX14" t="s">
        <v>318</v>
      </c>
      <c r="AY14" t="s">
        <v>254</v>
      </c>
      <c r="AZ14" t="s">
        <v>256</v>
      </c>
      <c r="BA14" t="s">
        <v>113</v>
      </c>
      <c r="BB14" t="s">
        <v>185</v>
      </c>
      <c r="BC14" t="s">
        <v>847</v>
      </c>
      <c r="BD14" t="s">
        <v>255</v>
      </c>
      <c r="BE14" t="s">
        <v>257</v>
      </c>
      <c r="BF14" t="s">
        <v>258</v>
      </c>
      <c r="BG14" t="s">
        <v>259</v>
      </c>
      <c r="BH14" t="s">
        <v>848</v>
      </c>
      <c r="BI14" t="s">
        <v>341</v>
      </c>
      <c r="BJ14" t="s">
        <v>318</v>
      </c>
      <c r="BK14" t="s">
        <v>849</v>
      </c>
      <c r="BL14" t="s">
        <v>378</v>
      </c>
      <c r="BM14" t="s">
        <v>847</v>
      </c>
      <c r="BN14">
        <v>14.57</v>
      </c>
      <c r="BO14">
        <v>8.39</v>
      </c>
      <c r="BP14">
        <v>14.08</v>
      </c>
      <c r="BQ14">
        <v>20.88</v>
      </c>
      <c r="BR14">
        <v>7.49</v>
      </c>
      <c r="BS14">
        <v>13.78</v>
      </c>
      <c r="BT14" t="s">
        <v>261</v>
      </c>
      <c r="BU14" t="s">
        <v>249</v>
      </c>
      <c r="BV14">
        <v>75.05</v>
      </c>
      <c r="BW14">
        <v>67.430000000000007</v>
      </c>
      <c r="BX14">
        <v>63.92</v>
      </c>
      <c r="BY14">
        <v>5.19</v>
      </c>
      <c r="BZ14">
        <v>4.46</v>
      </c>
      <c r="CA14">
        <v>11.71</v>
      </c>
      <c r="CB14">
        <v>0.76</v>
      </c>
      <c r="CC14" s="1">
        <v>-38.07</v>
      </c>
      <c r="CD14" s="1" t="s">
        <v>850</v>
      </c>
      <c r="CE14" s="1" t="s">
        <v>356</v>
      </c>
      <c r="CF14" s="5">
        <v>-0.87069988137603793</v>
      </c>
      <c r="CG14" s="6">
        <v>-1.3674053961123174</v>
      </c>
      <c r="CH14" s="5">
        <v>-0.90009164810180664</v>
      </c>
      <c r="CI14" s="5">
        <v>0.80928701162338257</v>
      </c>
      <c r="CJ14" s="5">
        <v>6.5641922950744629</v>
      </c>
      <c r="CK14" s="5">
        <v>-0.26864498853683472</v>
      </c>
      <c r="CL14" s="5">
        <v>-0.90099906921386719</v>
      </c>
      <c r="CM14" s="6">
        <v>-1.5261273384094238</v>
      </c>
      <c r="CN14" s="6">
        <v>-0.39657700061798096</v>
      </c>
      <c r="CO14" s="6">
        <v>6.7198920249938965</v>
      </c>
      <c r="CP14" s="6">
        <v>-0.35232043266296387</v>
      </c>
      <c r="CQ14" s="6">
        <v>-0.35559797286987305</v>
      </c>
      <c r="CR14" s="1">
        <v>111.3924944723517</v>
      </c>
      <c r="CS14" s="1">
        <v>1.0501308401729434</v>
      </c>
      <c r="CT14">
        <v>0</v>
      </c>
      <c r="CU14" s="5">
        <v>1.0607487201690673</v>
      </c>
      <c r="CV14" s="6">
        <v>0.817853856086731</v>
      </c>
      <c r="CW14">
        <v>0.06</v>
      </c>
      <c r="CX14" t="e">
        <v>#VALUE!</v>
      </c>
      <c r="CY14" t="s">
        <v>242</v>
      </c>
      <c r="CZ14">
        <v>1.0607487201690673</v>
      </c>
      <c r="DA14" t="e">
        <v>#VALUE!</v>
      </c>
      <c r="DB14" t="s">
        <v>243</v>
      </c>
      <c r="DC14">
        <v>1.007711284160614</v>
      </c>
      <c r="DD14" t="e">
        <v>#VALUE!</v>
      </c>
      <c r="DE14" t="s">
        <v>243</v>
      </c>
      <c r="DF14">
        <v>0.93345887374877923</v>
      </c>
      <c r="DG14" t="e">
        <v>#VALUE!</v>
      </c>
      <c r="DH14" t="s">
        <v>243</v>
      </c>
      <c r="DI14">
        <v>0.84859897613525392</v>
      </c>
      <c r="DJ14" t="e">
        <v>#VALUE!</v>
      </c>
      <c r="DK14" t="s">
        <v>243</v>
      </c>
      <c r="DL14">
        <v>0.74252410411834702</v>
      </c>
      <c r="DM14">
        <v>-19660800</v>
      </c>
      <c r="DN14">
        <v>1.0607487201690673</v>
      </c>
      <c r="DO14">
        <v>2782187600</v>
      </c>
      <c r="DP14">
        <v>-573323440</v>
      </c>
      <c r="DQ14" s="7">
        <v>3384</v>
      </c>
      <c r="DR14">
        <v>-1.9314486015451053</v>
      </c>
      <c r="DS14">
        <v>-2.1852592521990486</v>
      </c>
      <c r="DT14">
        <v>-0.39333333333333331</v>
      </c>
      <c r="DU14">
        <v>-1.7050000000000001</v>
      </c>
      <c r="DV14">
        <v>-2.0983333333333336</v>
      </c>
      <c r="DW14">
        <v>-3.2496011904761906</v>
      </c>
      <c r="DX14">
        <v>0.37197286432160809</v>
      </c>
      <c r="DY14">
        <v>-3.0454206435690359</v>
      </c>
      <c r="DZ14">
        <v>2609</v>
      </c>
      <c r="EA14">
        <v>-3.0222303384669584</v>
      </c>
      <c r="EB14" s="8">
        <v>3</v>
      </c>
      <c r="EC14" s="8">
        <v>0.10826878857060269</v>
      </c>
      <c r="ED14">
        <v>0.59497216232885619</v>
      </c>
      <c r="EE14">
        <v>-1.0362</v>
      </c>
      <c r="EF14">
        <v>-1.0167999999999999</v>
      </c>
      <c r="EG14">
        <v>19.181972864321608</v>
      </c>
      <c r="EH14" s="9" t="s">
        <v>244</v>
      </c>
      <c r="EI14">
        <v>0</v>
      </c>
      <c r="EJ14">
        <v>0</v>
      </c>
      <c r="EK14">
        <v>45470</v>
      </c>
      <c r="EL14">
        <v>0.73</v>
      </c>
      <c r="EM14">
        <v>-1.08</v>
      </c>
      <c r="EN14">
        <v>1.58</v>
      </c>
      <c r="EO14">
        <v>1.67</v>
      </c>
      <c r="EP14">
        <v>-1.94</v>
      </c>
    </row>
    <row r="15" spans="1:148" ht="156" x14ac:dyDescent="0.25">
      <c r="A15" s="12"/>
      <c r="B15" s="12"/>
      <c r="C15" s="12" t="str">
        <f>"公司主要从事白酒产品的生产和销售。公司主要产品为高端产品品味舍得、智慧舍得、水晶舍得、藏品舍得、藏品沱牌；中端产品沱牌天曲、沱牌特曲、沱牌优曲、陶醉；大众光瓶酒沱牌特级T68、沱牌六粮等；超高端产品天子呼、吞之乎。"&amp;CHAR(10)&amp;Basic_Fundamental_Information_Constructure(F15)&amp;CHAR(10)&amp;Basic_Fundamental_Information_Concatenate("酒类 28.21亿 93.24% 96.91% 81.25%
玻瓶 1.83亿 6.05% 2.25% 29.09%")</f>
        <v>公司主要从事白酒产品的生产和销售。公司主要产品为高端产品品味舍得、智慧舍得、水晶舍得、藏品舍得、藏品沱牌；中端产品沱牌天曲、沱牌特曲、沱牌优曲、陶醉；大众光瓶酒沱牌特级T68、沱牌六粮等；超高端产品天子呼、吞之乎。
市值180.77673亿, 利润5.50亿; PE10.32; 平均PE22.08; 平均PEG1.77, PB2.36; ROIC24.8533%; ROE26.2767%; 股利率3.9624%; 毛利76.6767%; 净利26.2267%; 上一年度营收增-65.24%, 利润增-67.36%; 当季营收增-40.35%, 利润增-40.19%; 过往5年营收增12.45%, 利润增29.05%
Income profile:
酒类 28.21亿 93.24% 96.91% 81.25%
玻瓶 1.83亿 6.05% 2.25% 29.09%</v>
      </c>
      <c r="D15" t="s">
        <v>75</v>
      </c>
      <c r="E15" t="s">
        <v>186</v>
      </c>
      <c r="F15">
        <v>54.26</v>
      </c>
      <c r="G15">
        <v>-0.88</v>
      </c>
      <c r="H15" t="s">
        <v>586</v>
      </c>
      <c r="I15">
        <v>18077673000</v>
      </c>
      <c r="J15">
        <v>10.32</v>
      </c>
      <c r="K15">
        <v>2.36</v>
      </c>
      <c r="L15" t="s">
        <v>249</v>
      </c>
      <c r="M15" t="s">
        <v>587</v>
      </c>
      <c r="N15" t="s">
        <v>588</v>
      </c>
      <c r="O15" t="s">
        <v>589</v>
      </c>
      <c r="P15" s="4">
        <v>4.13</v>
      </c>
      <c r="Q15" t="s">
        <v>589</v>
      </c>
      <c r="R15">
        <v>550283250</v>
      </c>
      <c r="S15">
        <v>-3.3500000000000002E-2</v>
      </c>
      <c r="T15" t="s">
        <v>590</v>
      </c>
      <c r="U15">
        <v>332269540</v>
      </c>
      <c r="V15">
        <v>333167580</v>
      </c>
      <c r="W15">
        <v>1.49</v>
      </c>
      <c r="X15">
        <v>0.18</v>
      </c>
      <c r="Y15">
        <v>26.09</v>
      </c>
      <c r="Z15" t="s">
        <v>591</v>
      </c>
      <c r="AA15" t="s">
        <v>592</v>
      </c>
      <c r="AB15" t="s">
        <v>593</v>
      </c>
      <c r="AC15" t="s">
        <v>66</v>
      </c>
      <c r="AD15" t="s">
        <v>17</v>
      </c>
      <c r="AE15">
        <v>-2444320</v>
      </c>
      <c r="AF15" t="s">
        <v>594</v>
      </c>
      <c r="AG15" t="s">
        <v>595</v>
      </c>
      <c r="AH15" t="s">
        <v>596</v>
      </c>
      <c r="AI15" t="s">
        <v>597</v>
      </c>
      <c r="AJ15" t="s">
        <v>598</v>
      </c>
      <c r="AK15" t="s">
        <v>338</v>
      </c>
      <c r="AL15" t="s">
        <v>599</v>
      </c>
      <c r="AM15" t="s">
        <v>17</v>
      </c>
      <c r="AN15" t="s">
        <v>600</v>
      </c>
      <c r="AO15" t="s">
        <v>601</v>
      </c>
      <c r="AP15" t="s">
        <v>114</v>
      </c>
      <c r="AQ15" t="s">
        <v>602</v>
      </c>
      <c r="AR15" t="s">
        <v>603</v>
      </c>
      <c r="AS15" t="s">
        <v>604</v>
      </c>
      <c r="AT15" t="s">
        <v>605</v>
      </c>
      <c r="AU15" t="s">
        <v>87</v>
      </c>
      <c r="AV15" t="s">
        <v>606</v>
      </c>
      <c r="AW15" t="s">
        <v>264</v>
      </c>
      <c r="AX15" t="s">
        <v>319</v>
      </c>
      <c r="AY15" t="s">
        <v>227</v>
      </c>
      <c r="AZ15" t="s">
        <v>151</v>
      </c>
      <c r="BA15" t="s">
        <v>76</v>
      </c>
      <c r="BB15" t="s">
        <v>153</v>
      </c>
      <c r="BC15" t="s">
        <v>320</v>
      </c>
      <c r="BD15" t="s">
        <v>94</v>
      </c>
      <c r="BE15" t="s">
        <v>152</v>
      </c>
      <c r="BF15" t="s">
        <v>63</v>
      </c>
      <c r="BG15" t="s">
        <v>138</v>
      </c>
      <c r="BH15" t="s">
        <v>607</v>
      </c>
      <c r="BI15" t="s">
        <v>379</v>
      </c>
      <c r="BJ15" t="s">
        <v>319</v>
      </c>
      <c r="BK15" t="s">
        <v>608</v>
      </c>
      <c r="BL15" t="s">
        <v>380</v>
      </c>
      <c r="BM15" t="s">
        <v>320</v>
      </c>
      <c r="BN15">
        <v>18.53</v>
      </c>
      <c r="BO15">
        <v>28.9</v>
      </c>
      <c r="BP15">
        <v>27.13</v>
      </c>
      <c r="BQ15">
        <v>18.809999999999999</v>
      </c>
      <c r="BR15">
        <v>30.7</v>
      </c>
      <c r="BS15">
        <v>29.32</v>
      </c>
      <c r="BT15" t="s">
        <v>609</v>
      </c>
      <c r="BU15" t="s">
        <v>249</v>
      </c>
      <c r="BV15">
        <v>74.5</v>
      </c>
      <c r="BW15">
        <v>77.72</v>
      </c>
      <c r="BX15">
        <v>77.81</v>
      </c>
      <c r="BY15">
        <v>25.03</v>
      </c>
      <c r="BZ15">
        <v>28.08</v>
      </c>
      <c r="CA15">
        <v>25.57</v>
      </c>
      <c r="CB15">
        <v>-4.25</v>
      </c>
      <c r="CC15" s="1">
        <v>-27.42</v>
      </c>
      <c r="CD15" s="1" t="s">
        <v>610</v>
      </c>
      <c r="CE15" s="1" t="s">
        <v>357</v>
      </c>
      <c r="CF15" s="5">
        <v>-0.40351374327004819</v>
      </c>
      <c r="CG15" s="6">
        <v>-0.40186603260869558</v>
      </c>
      <c r="CH15" s="5">
        <v>-0.65241086483001709</v>
      </c>
      <c r="CI15" s="5">
        <v>0.218756303191185</v>
      </c>
      <c r="CJ15" s="5">
        <v>0.83764791488647461</v>
      </c>
      <c r="CK15" s="5">
        <v>2.0377406850457191E-2</v>
      </c>
      <c r="CL15" s="5">
        <v>0.19801078736782074</v>
      </c>
      <c r="CM15" s="6">
        <v>-0.67359054088592529</v>
      </c>
      <c r="CN15" s="6">
        <v>0.35232749581336975</v>
      </c>
      <c r="CO15" s="6">
        <v>1.1445783376693726</v>
      </c>
      <c r="CP15" s="6">
        <v>0.14370079338550568</v>
      </c>
      <c r="CQ15" s="6">
        <v>0.48538011312484741</v>
      </c>
      <c r="CR15" s="1">
        <v>22.081848127035833</v>
      </c>
      <c r="CS15" s="1">
        <v>1.7739799819695781</v>
      </c>
      <c r="CT15">
        <v>3.9624032436417251</v>
      </c>
      <c r="CU15" s="5">
        <v>0.12447630949318408</v>
      </c>
      <c r="CV15" s="6">
        <v>0.29047923982143403</v>
      </c>
      <c r="CW15">
        <v>0.06</v>
      </c>
      <c r="CX15">
        <v>23.370577458189118</v>
      </c>
      <c r="CY15">
        <v>583454688.88797271</v>
      </c>
      <c r="CZ15">
        <v>0.12447630949318408</v>
      </c>
      <c r="DA15">
        <v>7.418402368038568</v>
      </c>
      <c r="DB15">
        <v>1838087545.4731209</v>
      </c>
      <c r="DC15">
        <v>0.11825249401852488</v>
      </c>
      <c r="DD15">
        <v>3.5108596216175521</v>
      </c>
      <c r="DE15">
        <v>3883855941.1605473</v>
      </c>
      <c r="DF15">
        <v>0.109539152354002</v>
      </c>
      <c r="DG15">
        <v>2.0153074977349639</v>
      </c>
      <c r="DH15">
        <v>6766050846.0001011</v>
      </c>
      <c r="DI15">
        <v>9.9581047594547278E-2</v>
      </c>
      <c r="DJ15">
        <v>0.94063868726455058</v>
      </c>
      <c r="DK15">
        <v>14496185607.306438</v>
      </c>
      <c r="DL15">
        <v>8.7133416645228848E-2</v>
      </c>
      <c r="DM15">
        <v>550000000</v>
      </c>
      <c r="DN15">
        <v>0.12447630949318408</v>
      </c>
      <c r="DO15">
        <v>13635673000</v>
      </c>
      <c r="DP15">
        <v>4919282800</v>
      </c>
      <c r="DQ15" s="7">
        <v>3388</v>
      </c>
      <c r="DR15">
        <v>-0.5279900527632323</v>
      </c>
      <c r="DS15">
        <v>-0.69234527243012955</v>
      </c>
      <c r="DT15">
        <v>-0.25666666666666665</v>
      </c>
      <c r="DU15">
        <v>-3.666666666666666E-2</v>
      </c>
      <c r="DV15">
        <v>-0.29333333333333333</v>
      </c>
      <c r="DW15">
        <v>-8.1549963530269878</v>
      </c>
      <c r="DX15">
        <v>0.42067612903225965</v>
      </c>
      <c r="DY15">
        <v>-8.0342039952001123</v>
      </c>
      <c r="DZ15">
        <v>3824</v>
      </c>
      <c r="EA15">
        <v>-8.0086078938996756</v>
      </c>
      <c r="EB15" s="8">
        <v>8</v>
      </c>
      <c r="EC15" s="8">
        <v>0.10266545142237429</v>
      </c>
      <c r="ED15">
        <v>0.46523134093659413</v>
      </c>
      <c r="EE15">
        <v>-3.07911</v>
      </c>
      <c r="EF15">
        <v>-3.10941</v>
      </c>
      <c r="EG15">
        <v>20.22067612903226</v>
      </c>
      <c r="EH15" s="9" t="s">
        <v>355</v>
      </c>
      <c r="EI15">
        <v>0</v>
      </c>
      <c r="EJ15">
        <v>0</v>
      </c>
      <c r="EK15">
        <v>45470</v>
      </c>
      <c r="EL15">
        <v>2.64</v>
      </c>
      <c r="EM15">
        <v>-7.21</v>
      </c>
      <c r="EN15">
        <v>0.88</v>
      </c>
      <c r="EO15">
        <v>1.74</v>
      </c>
      <c r="EP15">
        <v>-3.03</v>
      </c>
    </row>
    <row r="16" spans="1:148" ht="156" x14ac:dyDescent="0.25">
      <c r="A16" s="12"/>
      <c r="B16" s="12"/>
      <c r="C16" s="12" t="str">
        <f>"公司主营业务为白酒产品的生产与销售。公司生产的白酒产品主要有水井坊元明清、水井坊菁翠、水井坊典藏大师版、水井坊井台、水井坊臻酿八号、水井坊鸿运、水井坊梅兰竹菊、小水井、天号陈等。"&amp;CHAR(10)&amp;Basic_Fundamental_Information_Constructure(F16)&amp;CHAR(10)&amp;Basic_Fundamental_Information_Concatenate("高档 19.84亿 95.67% 96.14% 85.23%
中档 6116.98万 2.95% 2.32% 66.84%
其他业务 2858.35万 1.38% 1.54% 94.71%")</f>
        <v>公司主营业务为白酒产品的生产与销售。公司生产的白酒产品主要有水井坊元明清、水井坊菁翠、水井坊典藏大师版、水井坊井台、水井坊臻酿八号、水井坊鸿运、水井坊梅兰竹菊、小水井、天号陈等。
市值176.98217亿, 利润1.86亿; PE13.66; 平均PE22.42; 平均PEG7.69, PB3.93; ROIC38.24%; ROE38.7767%; 股利率2.5248%; 毛利84.0533%; 净利25.8433%; 上一年度营收增-80.03%, 利润增-84.7%; 当季营收增-38.9%, 利润增-8.23%; 过往5年营收增-2.92%, 利润增2.38%
Income profile:
高档 19.84亿 95.67% 96.14% 85.23%
中档 6116.98万 2.95% 2.32% 66.84%
其他业务 2858.35万 1.38% 1.54% 94.71%</v>
      </c>
      <c r="D16" t="s">
        <v>77</v>
      </c>
      <c r="E16" t="s">
        <v>8</v>
      </c>
      <c r="F16">
        <v>36.24</v>
      </c>
      <c r="G16">
        <v>-1.1499999999999999</v>
      </c>
      <c r="H16" t="s">
        <v>611</v>
      </c>
      <c r="I16">
        <v>17698217000</v>
      </c>
      <c r="J16">
        <v>13.66</v>
      </c>
      <c r="K16">
        <v>3.93</v>
      </c>
      <c r="L16" t="s">
        <v>249</v>
      </c>
      <c r="M16" t="s">
        <v>612</v>
      </c>
      <c r="N16" t="s">
        <v>613</v>
      </c>
      <c r="O16" t="s">
        <v>614</v>
      </c>
      <c r="P16" s="4">
        <v>9.3800000000000008</v>
      </c>
      <c r="Q16" t="s">
        <v>614</v>
      </c>
      <c r="R16">
        <v>186295510</v>
      </c>
      <c r="S16">
        <v>0.16819999999999999</v>
      </c>
      <c r="T16" t="s">
        <v>615</v>
      </c>
      <c r="U16">
        <v>488361400</v>
      </c>
      <c r="V16">
        <v>488361400</v>
      </c>
      <c r="W16">
        <v>1.84</v>
      </c>
      <c r="X16">
        <v>0.11</v>
      </c>
      <c r="Y16">
        <v>19.96</v>
      </c>
      <c r="Z16" t="s">
        <v>602</v>
      </c>
      <c r="AA16" t="s">
        <v>115</v>
      </c>
      <c r="AB16" t="s">
        <v>616</v>
      </c>
      <c r="AC16" t="s">
        <v>617</v>
      </c>
      <c r="AD16" t="s">
        <v>17</v>
      </c>
      <c r="AE16">
        <v>-7422464</v>
      </c>
      <c r="AF16" t="s">
        <v>38</v>
      </c>
      <c r="AG16" t="s">
        <v>618</v>
      </c>
      <c r="AH16" t="s">
        <v>619</v>
      </c>
      <c r="AI16" t="s">
        <v>620</v>
      </c>
      <c r="AJ16" t="s">
        <v>621</v>
      </c>
      <c r="AK16" t="s">
        <v>17</v>
      </c>
      <c r="AL16" t="s">
        <v>622</v>
      </c>
      <c r="AM16" t="s">
        <v>17</v>
      </c>
      <c r="AN16" t="s">
        <v>246</v>
      </c>
      <c r="AO16" t="s">
        <v>17</v>
      </c>
      <c r="AP16" t="s">
        <v>623</v>
      </c>
      <c r="AQ16" t="s">
        <v>624</v>
      </c>
      <c r="AR16" t="s">
        <v>17</v>
      </c>
      <c r="AS16" t="s">
        <v>625</v>
      </c>
      <c r="AT16" t="s">
        <v>17</v>
      </c>
      <c r="AU16" t="s">
        <v>626</v>
      </c>
      <c r="AV16" t="s">
        <v>370</v>
      </c>
      <c r="AW16" t="s">
        <v>627</v>
      </c>
      <c r="AX16" t="s">
        <v>321</v>
      </c>
      <c r="AY16" t="s">
        <v>228</v>
      </c>
      <c r="AZ16" t="s">
        <v>155</v>
      </c>
      <c r="BA16" t="s">
        <v>78</v>
      </c>
      <c r="BB16" t="s">
        <v>157</v>
      </c>
      <c r="BC16" t="s">
        <v>322</v>
      </c>
      <c r="BD16" t="s">
        <v>165</v>
      </c>
      <c r="BE16" t="s">
        <v>156</v>
      </c>
      <c r="BF16" t="s">
        <v>79</v>
      </c>
      <c r="BG16" t="s">
        <v>158</v>
      </c>
      <c r="BH16" t="s">
        <v>628</v>
      </c>
      <c r="BI16" t="s">
        <v>382</v>
      </c>
      <c r="BJ16" t="s">
        <v>321</v>
      </c>
      <c r="BK16" t="s">
        <v>306</v>
      </c>
      <c r="BL16" t="s">
        <v>304</v>
      </c>
      <c r="BM16" t="s">
        <v>322</v>
      </c>
      <c r="BN16">
        <v>26.44</v>
      </c>
      <c r="BO16">
        <v>39.090000000000003</v>
      </c>
      <c r="BP16">
        <v>49.19</v>
      </c>
      <c r="BQ16">
        <v>26.52</v>
      </c>
      <c r="BR16">
        <v>39.96</v>
      </c>
      <c r="BS16">
        <v>49.85</v>
      </c>
      <c r="BT16" t="s">
        <v>629</v>
      </c>
      <c r="BU16" t="s">
        <v>249</v>
      </c>
      <c r="BV16">
        <v>83.16</v>
      </c>
      <c r="BW16">
        <v>84.49</v>
      </c>
      <c r="BX16">
        <v>84.51</v>
      </c>
      <c r="BY16">
        <v>25.62</v>
      </c>
      <c r="BZ16">
        <v>26.02</v>
      </c>
      <c r="CA16">
        <v>25.89</v>
      </c>
      <c r="CB16">
        <v>-3.69</v>
      </c>
      <c r="CC16" s="1">
        <v>-23.19</v>
      </c>
      <c r="CD16" s="1" t="s">
        <v>630</v>
      </c>
      <c r="CE16" s="1" t="s">
        <v>631</v>
      </c>
      <c r="CF16" s="5">
        <v>-0.38899803536345778</v>
      </c>
      <c r="CG16" s="6">
        <v>-8.2288128078817593E-2</v>
      </c>
      <c r="CH16" s="5">
        <v>-0.8003423810005188</v>
      </c>
      <c r="CI16" s="5">
        <v>8.8514545932412148E-3</v>
      </c>
      <c r="CJ16" s="5">
        <v>0.54091811180114746</v>
      </c>
      <c r="CK16" s="5">
        <v>-0.15060749650001526</v>
      </c>
      <c r="CL16" s="5">
        <v>0.25540971755981445</v>
      </c>
      <c r="CM16" s="6">
        <v>-0.84703946113586426</v>
      </c>
      <c r="CN16" s="6">
        <v>1.4178427867591381E-2</v>
      </c>
      <c r="CO16" s="6">
        <v>0.64021897315979004</v>
      </c>
      <c r="CP16" s="6">
        <v>-0.11501210927963257</v>
      </c>
      <c r="CQ16" s="6">
        <v>0.42659759521484375</v>
      </c>
      <c r="CR16" s="1">
        <v>22.416994300189995</v>
      </c>
      <c r="CS16" s="1">
        <v>7.689134603497755</v>
      </c>
      <c r="CT16">
        <v>2.5248344370860925</v>
      </c>
      <c r="CU16" s="5">
        <v>-2.9154118709266187E-2</v>
      </c>
      <c r="CV16" s="6">
        <v>2.3788685165345668E-2</v>
      </c>
      <c r="CW16">
        <v>0.06</v>
      </c>
      <c r="CX16">
        <v>92.587188172043014</v>
      </c>
      <c r="CY16" t="s">
        <v>632</v>
      </c>
      <c r="CZ16">
        <v>-2.9154118709266187E-2</v>
      </c>
      <c r="DA16">
        <v>30.86239605734767</v>
      </c>
      <c r="DB16" t="s">
        <v>633</v>
      </c>
      <c r="DC16">
        <v>-2.7696412773802876E-2</v>
      </c>
      <c r="DD16">
        <v>15.431198028673835</v>
      </c>
      <c r="DE16" t="s">
        <v>634</v>
      </c>
      <c r="DF16">
        <v>-2.5655624464154245E-2</v>
      </c>
      <c r="DG16">
        <v>9.2587188172043007</v>
      </c>
      <c r="DH16" t="s">
        <v>635</v>
      </c>
      <c r="DI16">
        <v>-2.332329496741295E-2</v>
      </c>
      <c r="DJ16">
        <v>4.6293594086021503</v>
      </c>
      <c r="DK16" t="s">
        <v>636</v>
      </c>
      <c r="DL16">
        <v>-2.0407883096486331E-2</v>
      </c>
      <c r="DM16">
        <v>186000000</v>
      </c>
      <c r="DN16">
        <v>-2.9154118709266187E-2</v>
      </c>
      <c r="DO16">
        <v>17221217000</v>
      </c>
      <c r="DP16">
        <v>855074900.00000048</v>
      </c>
      <c r="DQ16" s="7">
        <v>3457</v>
      </c>
      <c r="DR16">
        <v>-0.35984391665419158</v>
      </c>
      <c r="DS16">
        <v>-0.10607681324416326</v>
      </c>
      <c r="DT16">
        <v>-0.65666666666666662</v>
      </c>
      <c r="DU16">
        <v>3.3333333333333361E-2</v>
      </c>
      <c r="DV16">
        <v>-0.62333333333333329</v>
      </c>
      <c r="DW16">
        <v>-8.159120310478654</v>
      </c>
      <c r="DX16">
        <v>0.39144223461648719</v>
      </c>
      <c r="DY16">
        <v>-8.0256887384965427</v>
      </c>
      <c r="DZ16">
        <v>4699</v>
      </c>
      <c r="EA16">
        <v>-8.0020661588105835</v>
      </c>
      <c r="EB16" s="8">
        <v>8</v>
      </c>
      <c r="EC16" s="8">
        <v>2.7483744620275068E-2</v>
      </c>
      <c r="ED16">
        <v>0.17023888456376773</v>
      </c>
      <c r="EE16">
        <v>2.2199999999999998E-2</v>
      </c>
      <c r="EF16">
        <v>2.1000000000000046E-3</v>
      </c>
      <c r="EG16">
        <v>23.161442234616487</v>
      </c>
      <c r="EH16" s="9" t="s">
        <v>241</v>
      </c>
      <c r="EI16">
        <v>0</v>
      </c>
      <c r="EJ16">
        <v>0</v>
      </c>
      <c r="EK16">
        <v>45470</v>
      </c>
      <c r="EL16">
        <v>0.26</v>
      </c>
      <c r="EM16">
        <v>-4.47</v>
      </c>
      <c r="EN16">
        <v>4.68</v>
      </c>
      <c r="EO16">
        <v>4.74</v>
      </c>
      <c r="EP16">
        <v>-2.0099999999999998</v>
      </c>
    </row>
    <row r="17" spans="1:146" ht="156" x14ac:dyDescent="0.25">
      <c r="A17" s="12" t="s">
        <v>899</v>
      </c>
      <c r="B17" s="12"/>
      <c r="C17" s="12" t="str">
        <f>"公司主要经营生产及销售汾酒、竹叶青酒及其系列酒并提供广告服务。主导产品为汾酒、竹叶青酒、玫瑰汾酒、白玉汾酒等系列。公司清香型白酒国家标准的制订者之一,主要产品汾酒是我国清香型白酒的典型代表"&amp;CHAR(10)&amp;Basic_Fundamental_Information_Constructure(F17)&amp;CHAR(10)&amp;Basic_Fundamental_Information_Concatenate("汾酒 179.20亿 89.73% 91.70% 76.55%
配制酒 12.50亿 6.26% 5.32% 63.71%
系列酒 6.38亿 3.19% 2.26% 53.10%")</f>
        <v>公司主要经营生产及销售汾酒、竹叶青酒及其系列酒并提供广告服务。主导产品为汾酒、竹叶青酒、玫瑰汾酒、白玉汾酒等系列。公司清香型白酒国家标准的制订者之一,主要产品汾酒是我国清香型白酒的典型代表
市值2360.6308亿, 利润62.62亿; PE19.87; 平均PE54; 平均PEG3.55, PB6.92; ROIC41.2533%; ROE41.8867%; 股利率2.2584%; 毛利75.1933%; 净利30.29%; 上一年度营收增-41.49%, 利润增-22.65%; 当季营收增-19.32%, 利润增-7.46%; 过往5年营收增15.22%, 利润增37.86%
Income profile:
汾酒 179.20亿 89.73% 91.70% 76.55%
配制酒 12.50亿 6.26% 5.32% 63.71%
系列酒 6.38亿 3.19% 2.26% 53.10%</v>
      </c>
      <c r="D17" t="s">
        <v>80</v>
      </c>
      <c r="E17" t="s">
        <v>637</v>
      </c>
      <c r="F17">
        <v>193.5</v>
      </c>
      <c r="G17">
        <v>-1.77</v>
      </c>
      <c r="H17" t="s">
        <v>638</v>
      </c>
      <c r="I17">
        <v>236063080000</v>
      </c>
      <c r="J17">
        <v>19.87</v>
      </c>
      <c r="K17">
        <v>6.92</v>
      </c>
      <c r="L17" t="s">
        <v>249</v>
      </c>
      <c r="M17" t="s">
        <v>639</v>
      </c>
      <c r="N17" t="s">
        <v>640</v>
      </c>
      <c r="O17" t="s">
        <v>641</v>
      </c>
      <c r="P17" s="4">
        <v>20.94</v>
      </c>
      <c r="Q17" t="s">
        <v>641</v>
      </c>
      <c r="R17">
        <v>6262425200</v>
      </c>
      <c r="S17">
        <v>0.29949999999999999</v>
      </c>
      <c r="T17" t="s">
        <v>642</v>
      </c>
      <c r="U17">
        <v>1219964220</v>
      </c>
      <c r="V17">
        <v>1219964220</v>
      </c>
      <c r="W17">
        <v>1.46</v>
      </c>
      <c r="X17">
        <v>0.32</v>
      </c>
      <c r="Y17">
        <v>40.86</v>
      </c>
      <c r="Z17" t="s">
        <v>643</v>
      </c>
      <c r="AA17" t="s">
        <v>644</v>
      </c>
      <c r="AB17" t="s">
        <v>61</v>
      </c>
      <c r="AC17" t="s">
        <v>365</v>
      </c>
      <c r="AD17" t="s">
        <v>17</v>
      </c>
      <c r="AE17">
        <v>546143</v>
      </c>
      <c r="AF17" t="s">
        <v>645</v>
      </c>
      <c r="AG17" t="s">
        <v>646</v>
      </c>
      <c r="AH17" t="s">
        <v>647</v>
      </c>
      <c r="AI17" t="s">
        <v>648</v>
      </c>
      <c r="AJ17" t="s">
        <v>649</v>
      </c>
      <c r="AK17" t="s">
        <v>17</v>
      </c>
      <c r="AL17" t="s">
        <v>650</v>
      </c>
      <c r="AM17" t="s">
        <v>17</v>
      </c>
      <c r="AN17" t="s">
        <v>651</v>
      </c>
      <c r="AO17" t="s">
        <v>17</v>
      </c>
      <c r="AP17" t="s">
        <v>652</v>
      </c>
      <c r="AQ17" t="s">
        <v>653</v>
      </c>
      <c r="AR17" t="s">
        <v>312</v>
      </c>
      <c r="AS17" t="s">
        <v>654</v>
      </c>
      <c r="AT17" t="s">
        <v>17</v>
      </c>
      <c r="AU17" t="s">
        <v>655</v>
      </c>
      <c r="AV17" t="s">
        <v>656</v>
      </c>
      <c r="AW17" t="s">
        <v>657</v>
      </c>
      <c r="AX17" t="s">
        <v>323</v>
      </c>
      <c r="AY17" t="s">
        <v>229</v>
      </c>
      <c r="AZ17" t="s">
        <v>159</v>
      </c>
      <c r="BA17" t="s">
        <v>161</v>
      </c>
      <c r="BB17" t="s">
        <v>162</v>
      </c>
      <c r="BC17" t="s">
        <v>324</v>
      </c>
      <c r="BD17" t="s">
        <v>230</v>
      </c>
      <c r="BE17" t="s">
        <v>160</v>
      </c>
      <c r="BF17" t="s">
        <v>163</v>
      </c>
      <c r="BG17" t="s">
        <v>164</v>
      </c>
      <c r="BH17" t="s">
        <v>658</v>
      </c>
      <c r="BI17" t="s">
        <v>383</v>
      </c>
      <c r="BJ17" t="s">
        <v>323</v>
      </c>
      <c r="BK17" t="s">
        <v>659</v>
      </c>
      <c r="BL17" t="s">
        <v>384</v>
      </c>
      <c r="BM17" t="s">
        <v>324</v>
      </c>
      <c r="BN17">
        <v>38.479999999999997</v>
      </c>
      <c r="BO17">
        <v>43.51</v>
      </c>
      <c r="BP17">
        <v>41.77</v>
      </c>
      <c r="BQ17">
        <v>38.880000000000003</v>
      </c>
      <c r="BR17">
        <v>44.74</v>
      </c>
      <c r="BS17">
        <v>42.04</v>
      </c>
      <c r="BT17" t="s">
        <v>660</v>
      </c>
      <c r="BU17" t="s">
        <v>249</v>
      </c>
      <c r="BV17">
        <v>75.31</v>
      </c>
      <c r="BW17">
        <v>75.36</v>
      </c>
      <c r="BX17">
        <v>74.91</v>
      </c>
      <c r="BY17">
        <v>32.76</v>
      </c>
      <c r="BZ17">
        <v>31.12</v>
      </c>
      <c r="CA17">
        <v>26.99</v>
      </c>
      <c r="CB17">
        <v>-6.3</v>
      </c>
      <c r="CC17" s="1">
        <v>-23.54</v>
      </c>
      <c r="CD17" s="1" t="s">
        <v>661</v>
      </c>
      <c r="CE17" s="1" t="s">
        <v>662</v>
      </c>
      <c r="CF17" s="5">
        <v>-0.19320393456419968</v>
      </c>
      <c r="CG17" s="6">
        <v>-7.4564031328505989E-2</v>
      </c>
      <c r="CH17" s="5">
        <v>-0.41489279270172119</v>
      </c>
      <c r="CI17" s="5">
        <v>0.31260329484939575</v>
      </c>
      <c r="CJ17" s="5">
        <v>0.42751970887184143</v>
      </c>
      <c r="CK17" s="5">
        <v>0.17632216215133667</v>
      </c>
      <c r="CL17" s="5">
        <v>0.25931814312934875</v>
      </c>
      <c r="CM17" s="6">
        <v>-0.22653160989284515</v>
      </c>
      <c r="CN17" s="6">
        <v>0.52352279424667358</v>
      </c>
      <c r="CO17" s="6">
        <v>0.72588497400283813</v>
      </c>
      <c r="CP17" s="6">
        <v>0.56373792886734009</v>
      </c>
      <c r="CQ17" s="6">
        <v>0.30656933784484863</v>
      </c>
      <c r="CR17" s="1">
        <v>54.004593739276316</v>
      </c>
      <c r="CS17" s="1">
        <v>3.5488688667999861</v>
      </c>
      <c r="CT17">
        <v>2.2583979328165378</v>
      </c>
      <c r="CU17" s="5">
        <v>0.15217410326004027</v>
      </c>
      <c r="CV17" s="6">
        <v>0.37863668501377107</v>
      </c>
      <c r="CW17">
        <v>0.06</v>
      </c>
      <c r="CX17">
        <v>31.931881282066797</v>
      </c>
      <c r="CY17">
        <v>6806522862.8437481</v>
      </c>
      <c r="CZ17">
        <v>0.15217410326004027</v>
      </c>
      <c r="DA17">
        <v>9.9036101907954865</v>
      </c>
      <c r="DB17">
        <v>21946045513.988693</v>
      </c>
      <c r="DC17">
        <v>0.14456539809703825</v>
      </c>
      <c r="DD17">
        <v>4.5389256096391533</v>
      </c>
      <c r="DE17">
        <v>47884697545.699379</v>
      </c>
      <c r="DF17">
        <v>0.13391321086883545</v>
      </c>
      <c r="DG17">
        <v>2.508923453652149</v>
      </c>
      <c r="DH17">
        <v>86628820693.440704</v>
      </c>
      <c r="DI17">
        <v>0.12173928260803223</v>
      </c>
      <c r="DJ17">
        <v>1.0722566910319247</v>
      </c>
      <c r="DK17">
        <v>202698739786.67383</v>
      </c>
      <c r="DL17">
        <v>0.10652187228202818</v>
      </c>
      <c r="DM17">
        <v>6262000000</v>
      </c>
      <c r="DN17">
        <v>0.15217410326004027</v>
      </c>
      <c r="DO17">
        <v>217345080000</v>
      </c>
      <c r="DP17">
        <v>25934693000</v>
      </c>
      <c r="DQ17" s="7">
        <v>3482</v>
      </c>
      <c r="DR17">
        <v>-0.34537803782423993</v>
      </c>
      <c r="DS17">
        <v>-0.45320071634227704</v>
      </c>
      <c r="DT17">
        <v>-0.10666666666666676</v>
      </c>
      <c r="DU17">
        <v>0.46666666666666662</v>
      </c>
      <c r="DV17">
        <v>0.35999999999999988</v>
      </c>
      <c r="DW17">
        <v>-9.2676295666949873</v>
      </c>
      <c r="DX17">
        <v>0.40484850746268575</v>
      </c>
      <c r="DY17">
        <v>-9.0494709259564541</v>
      </c>
      <c r="DZ17">
        <v>4229</v>
      </c>
      <c r="EA17">
        <v>-9.0085291361580495</v>
      </c>
      <c r="EB17" s="8">
        <v>9</v>
      </c>
      <c r="EC17" s="8">
        <v>2.0303628249031761E-2</v>
      </c>
      <c r="ED17">
        <v>0.10983928692597232</v>
      </c>
      <c r="EE17">
        <v>1.00631</v>
      </c>
      <c r="EF17">
        <v>1.02091</v>
      </c>
      <c r="EG17">
        <v>22.184848507462686</v>
      </c>
      <c r="EH17" s="9" t="s">
        <v>292</v>
      </c>
      <c r="EI17">
        <v>0</v>
      </c>
      <c r="EJ17">
        <v>0</v>
      </c>
      <c r="EK17">
        <v>45470</v>
      </c>
      <c r="EL17">
        <v>0</v>
      </c>
      <c r="EM17">
        <v>-2.4</v>
      </c>
      <c r="EN17">
        <v>0</v>
      </c>
      <c r="EO17">
        <v>1.48</v>
      </c>
      <c r="EP17">
        <v>-1.46</v>
      </c>
    </row>
    <row r="18" spans="1:146" ht="132" x14ac:dyDescent="0.25">
      <c r="A18" s="12"/>
      <c r="B18" s="12"/>
      <c r="C18" s="12" t="str">
        <f>"公司，主要从事白酒的研发、生产和销售。主要白酒产品包括洞藏系列、金银星系列、百年迎驾系列等，洞藏系列是目前中国生态白酒的主要代表产品。"&amp;CHAR(10)&amp;Basic_Fundamental_Information_Constructure(F18)&amp;CHAR(10)&amp;Basic_Fundamental_Information_Concatenate("中高档白酒 12.38亿 78.56%
普通白酒 2.65亿 16.85%")</f>
        <v>公司，主要从事白酒的研发、生产和销售。主要白酒产品包括洞藏系列、金银星系列、百年迎驾系列等，洞藏系列是目前中国生态白酒的主要代表产品。
市值444.16亿, 利润9.13亿; PE17.76; 平均PE39.97; 平均PEG38.63, PB4.8; ROIC24.4267%; ROE24.4233%; 股利率2.3415%; 毛利68.9767%; 净利31.8167%; 上一年度营收增-57.77%, 利润增-46.45%; 当季营收增-26.03%, 利润增-14.2%; 过往5年营收增-1.03%, 利润增8.77%
Income profile:
中高档白酒 12.38亿 78.56%
普通白酒 2.65亿 16.85%</v>
      </c>
      <c r="D18" t="s">
        <v>82</v>
      </c>
      <c r="E18" t="s">
        <v>13</v>
      </c>
      <c r="F18">
        <v>55.52</v>
      </c>
      <c r="G18">
        <v>-1.7</v>
      </c>
      <c r="H18" t="s">
        <v>851</v>
      </c>
      <c r="I18">
        <v>44416000000</v>
      </c>
      <c r="J18">
        <v>17.760000000000002</v>
      </c>
      <c r="K18">
        <v>4.8</v>
      </c>
      <c r="L18" t="s">
        <v>249</v>
      </c>
      <c r="M18" t="s">
        <v>852</v>
      </c>
      <c r="N18" t="s">
        <v>853</v>
      </c>
      <c r="O18" t="s">
        <v>854</v>
      </c>
      <c r="P18" s="4">
        <v>21.33</v>
      </c>
      <c r="Q18" t="s">
        <v>854</v>
      </c>
      <c r="R18">
        <v>912951130</v>
      </c>
      <c r="S18">
        <v>0.30430000000000001</v>
      </c>
      <c r="T18" t="s">
        <v>855</v>
      </c>
      <c r="U18">
        <v>800000000</v>
      </c>
      <c r="V18">
        <v>800000000</v>
      </c>
      <c r="W18">
        <v>1.32</v>
      </c>
      <c r="X18">
        <v>0.19</v>
      </c>
      <c r="Y18">
        <v>39.409999999999997</v>
      </c>
      <c r="Z18" t="s">
        <v>565</v>
      </c>
      <c r="AA18" t="s">
        <v>158</v>
      </c>
      <c r="AB18" t="s">
        <v>334</v>
      </c>
      <c r="AC18" t="s">
        <v>856</v>
      </c>
      <c r="AD18" t="s">
        <v>17</v>
      </c>
      <c r="AE18">
        <v>-7680114</v>
      </c>
      <c r="AF18" t="s">
        <v>857</v>
      </c>
      <c r="AG18" t="s">
        <v>858</v>
      </c>
      <c r="AH18" t="s">
        <v>859</v>
      </c>
      <c r="AI18" t="s">
        <v>860</v>
      </c>
      <c r="AJ18" t="s">
        <v>861</v>
      </c>
      <c r="AK18" t="s">
        <v>17</v>
      </c>
      <c r="AL18" t="s">
        <v>862</v>
      </c>
      <c r="AM18" t="s">
        <v>17</v>
      </c>
      <c r="AN18" t="s">
        <v>124</v>
      </c>
      <c r="AO18" t="s">
        <v>17</v>
      </c>
      <c r="AP18" t="s">
        <v>863</v>
      </c>
      <c r="AQ18" t="s">
        <v>401</v>
      </c>
      <c r="AR18" t="s">
        <v>17</v>
      </c>
      <c r="AS18" t="s">
        <v>167</v>
      </c>
      <c r="AT18" t="s">
        <v>17</v>
      </c>
      <c r="AU18" t="s">
        <v>864</v>
      </c>
      <c r="AV18" t="s">
        <v>170</v>
      </c>
      <c r="AW18" t="s">
        <v>865</v>
      </c>
      <c r="AX18" t="s">
        <v>325</v>
      </c>
      <c r="AY18" t="s">
        <v>327</v>
      </c>
      <c r="AZ18" t="s">
        <v>168</v>
      </c>
      <c r="BA18" t="s">
        <v>83</v>
      </c>
      <c r="BB18" t="s">
        <v>171</v>
      </c>
      <c r="BC18" t="s">
        <v>326</v>
      </c>
      <c r="BD18" t="s">
        <v>328</v>
      </c>
      <c r="BE18" t="s">
        <v>169</v>
      </c>
      <c r="BF18" t="s">
        <v>84</v>
      </c>
      <c r="BG18" t="s">
        <v>172</v>
      </c>
      <c r="BH18" t="s">
        <v>866</v>
      </c>
      <c r="BI18" t="s">
        <v>283</v>
      </c>
      <c r="BJ18" t="s">
        <v>325</v>
      </c>
      <c r="BK18" t="s">
        <v>867</v>
      </c>
      <c r="BL18" t="s">
        <v>387</v>
      </c>
      <c r="BM18" t="s">
        <v>326</v>
      </c>
      <c r="BN18">
        <v>22.47</v>
      </c>
      <c r="BO18">
        <v>26.18</v>
      </c>
      <c r="BP18">
        <v>24.63</v>
      </c>
      <c r="BQ18">
        <v>22</v>
      </c>
      <c r="BR18">
        <v>26.38</v>
      </c>
      <c r="BS18">
        <v>24.89</v>
      </c>
      <c r="BT18" t="s">
        <v>262</v>
      </c>
      <c r="BU18" t="s">
        <v>249</v>
      </c>
      <c r="BV18">
        <v>71.37</v>
      </c>
      <c r="BW18">
        <v>68.02</v>
      </c>
      <c r="BX18">
        <v>67.540000000000006</v>
      </c>
      <c r="BY18">
        <v>34.119999999999997</v>
      </c>
      <c r="BZ18">
        <v>31.03</v>
      </c>
      <c r="CA18">
        <v>30.3</v>
      </c>
      <c r="CB18">
        <v>-3.44</v>
      </c>
      <c r="CC18" s="1">
        <v>-19.829999999999998</v>
      </c>
      <c r="CD18" s="1" t="s">
        <v>868</v>
      </c>
      <c r="CE18" s="1" t="s">
        <v>113</v>
      </c>
      <c r="CF18" s="5">
        <v>-0.26026089723194401</v>
      </c>
      <c r="CG18" s="6">
        <v>-0.14196322368421052</v>
      </c>
      <c r="CH18" s="5">
        <v>-0.57765668630599976</v>
      </c>
      <c r="CI18" s="5">
        <v>0.1956993043422699</v>
      </c>
      <c r="CJ18" s="5">
        <v>0.33371967077255249</v>
      </c>
      <c r="CK18" s="5">
        <v>-8.6047112941741943E-2</v>
      </c>
      <c r="CL18" s="5">
        <v>8.2545146346092224E-2</v>
      </c>
      <c r="CM18" s="6">
        <v>-0.46451610326766968</v>
      </c>
      <c r="CN18" s="6">
        <v>0.22927170991897583</v>
      </c>
      <c r="CO18" s="6">
        <v>0.45540404319763184</v>
      </c>
      <c r="CP18" s="6">
        <v>2.4731183424592018E-2</v>
      </c>
      <c r="CQ18" s="6">
        <v>0.19383825361728668</v>
      </c>
      <c r="CR18" s="1">
        <v>39.972401379931</v>
      </c>
      <c r="CS18" s="1">
        <v>38.628382597028818</v>
      </c>
      <c r="CT18">
        <v>2.3414985590778095</v>
      </c>
      <c r="CU18" s="5">
        <v>-1.0347935557365417E-2</v>
      </c>
      <c r="CV18" s="6">
        <v>8.7745817378163338E-2</v>
      </c>
      <c r="CW18">
        <v>0.06</v>
      </c>
      <c r="CX18">
        <v>42.098576122672512</v>
      </c>
      <c r="CY18" t="s">
        <v>869</v>
      </c>
      <c r="CZ18">
        <v>-1.0347935557365417E-2</v>
      </c>
      <c r="DA18">
        <v>14.032858707557503</v>
      </c>
      <c r="DB18" t="s">
        <v>870</v>
      </c>
      <c r="DC18">
        <v>-9.8305387794971454E-3</v>
      </c>
      <c r="DD18">
        <v>7.0164293537787517</v>
      </c>
      <c r="DE18" t="s">
        <v>871</v>
      </c>
      <c r="DF18">
        <v>-9.1061832904815662E-3</v>
      </c>
      <c r="DG18">
        <v>4.2098576122672506</v>
      </c>
      <c r="DH18" t="s">
        <v>872</v>
      </c>
      <c r="DI18">
        <v>-8.2783484458923331E-3</v>
      </c>
      <c r="DJ18">
        <v>2.1049288061336253</v>
      </c>
      <c r="DK18" t="s">
        <v>873</v>
      </c>
      <c r="DL18">
        <v>-7.2435548901557912E-3</v>
      </c>
      <c r="DM18">
        <v>913000000.00000012</v>
      </c>
      <c r="DN18">
        <v>-1.0347935557365417E-2</v>
      </c>
      <c r="DO18">
        <v>38436000000</v>
      </c>
      <c r="DP18">
        <v>6634298500</v>
      </c>
      <c r="DQ18" s="7">
        <v>4003</v>
      </c>
      <c r="DR18">
        <v>-0.2499129616745786</v>
      </c>
      <c r="DS18">
        <v>-0.22970904106237386</v>
      </c>
      <c r="DT18">
        <v>-0.32333333333333331</v>
      </c>
      <c r="DU18">
        <v>0.21666666666666665</v>
      </c>
      <c r="DV18">
        <v>-0.10666666666666666</v>
      </c>
      <c r="DW18">
        <v>-8.1734745335350478</v>
      </c>
      <c r="DX18">
        <v>0.37815688073394399</v>
      </c>
      <c r="DY18">
        <v>-8.0309056817813804</v>
      </c>
      <c r="DZ18">
        <v>1257</v>
      </c>
      <c r="EA18">
        <v>-8.0233032469478776</v>
      </c>
      <c r="EB18" s="8">
        <v>8</v>
      </c>
      <c r="EC18" s="8">
        <v>2.4273875E-2</v>
      </c>
      <c r="ED18">
        <v>0.13625000000000001</v>
      </c>
      <c r="EE18">
        <v>6.3099999999999996E-3</v>
      </c>
      <c r="EF18">
        <v>3.6410000000000005E-2</v>
      </c>
      <c r="EG18">
        <v>20.178156880733944</v>
      </c>
      <c r="EH18" s="9">
        <v>-1</v>
      </c>
      <c r="EI18">
        <v>0</v>
      </c>
      <c r="EJ18">
        <v>1</v>
      </c>
      <c r="EK18">
        <v>45470</v>
      </c>
      <c r="EL18">
        <v>1.36</v>
      </c>
      <c r="EM18">
        <v>-5.05</v>
      </c>
      <c r="EN18">
        <v>-1.69</v>
      </c>
      <c r="EO18">
        <v>2.91</v>
      </c>
      <c r="EP18">
        <v>-3.01</v>
      </c>
    </row>
    <row r="19" spans="1:146" ht="168" x14ac:dyDescent="0.25">
      <c r="A19" s="12"/>
      <c r="B19" s="12"/>
      <c r="C19" s="12" t="str">
        <f>"公司主营业务为白酒生产和销售,现有“国缘”“今世缘”和“高沟”三大白酒品牌,其中,“国缘”“今世缘”是“中国驰名商标”,“高沟”是“中华老字号”。"&amp;CHAR(10)&amp;Basic_Fundamental_Information_Constructure(F19)&amp;CHAR(10)&amp;Basic_Fundamental_Information_Concatenate("特A+类 43.45亿 66.68%
特A类 17.06亿 26.18%
A类 2.56亿 3.92%
B类 1.18亿 1.81%
C类 6384.94万 0.98%")</f>
        <v>公司主营业务为白酒生产和销售,现有“国缘”“今世缘”和“高沟”三大白酒品牌,其中,“国缘”“今世缘”是“中国驰名商标”,“高沟”是“中华老字号”。
市值592.3749亿, 利润15.33亿; PE17.35; 平均PE34.71; 平均PEG4.04, PB4; ROIC21.7133%; ROE23.06%; 股利率2.1177%; 毛利76.5133%; 净利31.4933%; 上一年度营收增-40.76%, 利润增-38.75%; 当季营收增-21.75%, 利润增-25.24%; 过往5年营收增8.59%, 利润增9.65%
Income profile:
特A+类 43.45亿 66.68%
特A类 17.06亿 26.18%
A类 2.56亿 3.92%
B类 1.18亿 1.81%
C类 6384.94万 0.98%</v>
      </c>
      <c r="D19" t="s">
        <v>85</v>
      </c>
      <c r="E19" t="s">
        <v>205</v>
      </c>
      <c r="F19">
        <v>47.22</v>
      </c>
      <c r="G19">
        <v>-1.21</v>
      </c>
      <c r="H19" t="s">
        <v>663</v>
      </c>
      <c r="I19">
        <v>59237490000</v>
      </c>
      <c r="J19">
        <v>17.350000000000001</v>
      </c>
      <c r="K19">
        <v>4</v>
      </c>
      <c r="L19" t="s">
        <v>249</v>
      </c>
      <c r="M19" t="s">
        <v>664</v>
      </c>
      <c r="N19" t="s">
        <v>665</v>
      </c>
      <c r="O19" t="s">
        <v>666</v>
      </c>
      <c r="P19" s="4">
        <v>22.84</v>
      </c>
      <c r="Q19" t="s">
        <v>666</v>
      </c>
      <c r="R19">
        <v>1532586700</v>
      </c>
      <c r="S19">
        <v>0.22120000000000001</v>
      </c>
      <c r="T19" t="s">
        <v>180</v>
      </c>
      <c r="U19">
        <v>1254500000</v>
      </c>
      <c r="V19">
        <v>1254500000</v>
      </c>
      <c r="W19">
        <v>1.51</v>
      </c>
      <c r="X19">
        <v>0.21</v>
      </c>
      <c r="Y19">
        <v>32.81</v>
      </c>
      <c r="Z19" t="s">
        <v>667</v>
      </c>
      <c r="AA19" t="s">
        <v>668</v>
      </c>
      <c r="AB19" t="s">
        <v>250</v>
      </c>
      <c r="AC19" t="s">
        <v>265</v>
      </c>
      <c r="AD19" t="s">
        <v>17</v>
      </c>
      <c r="AE19">
        <v>-35997704</v>
      </c>
      <c r="AF19" t="s">
        <v>669</v>
      </c>
      <c r="AG19" t="s">
        <v>670</v>
      </c>
      <c r="AH19" t="s">
        <v>671</v>
      </c>
      <c r="AI19" t="s">
        <v>672</v>
      </c>
      <c r="AJ19" t="s">
        <v>673</v>
      </c>
      <c r="AK19" t="s">
        <v>17</v>
      </c>
      <c r="AL19" t="s">
        <v>674</v>
      </c>
      <c r="AM19" t="s">
        <v>17</v>
      </c>
      <c r="AN19" t="s">
        <v>675</v>
      </c>
      <c r="AO19" t="s">
        <v>388</v>
      </c>
      <c r="AP19" t="s">
        <v>401</v>
      </c>
      <c r="AQ19" t="s">
        <v>676</v>
      </c>
      <c r="AR19" t="s">
        <v>17</v>
      </c>
      <c r="AS19" t="s">
        <v>677</v>
      </c>
      <c r="AT19" t="s">
        <v>17</v>
      </c>
      <c r="AU19" t="s">
        <v>678</v>
      </c>
      <c r="AV19" t="s">
        <v>301</v>
      </c>
      <c r="AW19" t="s">
        <v>55</v>
      </c>
      <c r="AX19" t="s">
        <v>679</v>
      </c>
      <c r="AY19" t="s">
        <v>330</v>
      </c>
      <c r="AZ19" t="s">
        <v>331</v>
      </c>
      <c r="BA19" t="s">
        <v>174</v>
      </c>
      <c r="BB19" t="s">
        <v>175</v>
      </c>
      <c r="BC19" t="s">
        <v>329</v>
      </c>
      <c r="BD19" t="s">
        <v>231</v>
      </c>
      <c r="BE19" t="s">
        <v>173</v>
      </c>
      <c r="BF19" t="s">
        <v>86</v>
      </c>
      <c r="BG19" t="s">
        <v>176</v>
      </c>
      <c r="BH19" t="s">
        <v>680</v>
      </c>
      <c r="BI19" t="s">
        <v>389</v>
      </c>
      <c r="BJ19" t="s">
        <v>679</v>
      </c>
      <c r="BK19" t="s">
        <v>681</v>
      </c>
      <c r="BL19" t="s">
        <v>390</v>
      </c>
      <c r="BM19" t="s">
        <v>329</v>
      </c>
      <c r="BN19">
        <v>20</v>
      </c>
      <c r="BO19">
        <v>23.1</v>
      </c>
      <c r="BP19">
        <v>22.04</v>
      </c>
      <c r="BQ19">
        <v>21.81</v>
      </c>
      <c r="BR19">
        <v>24.73</v>
      </c>
      <c r="BS19">
        <v>22.64</v>
      </c>
      <c r="BT19" t="s">
        <v>682</v>
      </c>
      <c r="BU19" t="s">
        <v>249</v>
      </c>
      <c r="BV19">
        <v>78.34</v>
      </c>
      <c r="BW19">
        <v>76.59</v>
      </c>
      <c r="BX19">
        <v>74.61</v>
      </c>
      <c r="BY19">
        <v>31.06</v>
      </c>
      <c r="BZ19">
        <v>31.74</v>
      </c>
      <c r="CA19">
        <v>31.68</v>
      </c>
      <c r="CB19">
        <v>2.21</v>
      </c>
      <c r="CC19" s="1">
        <v>-11.64</v>
      </c>
      <c r="CD19" s="1" t="s">
        <v>683</v>
      </c>
      <c r="CE19" s="1" t="s">
        <v>305</v>
      </c>
      <c r="CF19" s="5">
        <v>-0.21745686044563578</v>
      </c>
      <c r="CG19" s="6">
        <v>-0.25239673170731708</v>
      </c>
      <c r="CH19" s="5">
        <v>-0.40760940313339233</v>
      </c>
      <c r="CI19" s="5">
        <v>0.23087731003761292</v>
      </c>
      <c r="CJ19" s="5">
        <v>0.25141629576683044</v>
      </c>
      <c r="CK19" s="5">
        <v>5.1129348576068878E-2</v>
      </c>
      <c r="CL19" s="5">
        <v>0.30353322625160217</v>
      </c>
      <c r="CM19" s="6">
        <v>-0.38753500580787659</v>
      </c>
      <c r="CN19" s="6">
        <v>0.23361268639564514</v>
      </c>
      <c r="CO19" s="6">
        <v>0.2948307991027832</v>
      </c>
      <c r="CP19" s="6">
        <v>7.4759989976882935E-2</v>
      </c>
      <c r="CQ19" s="6">
        <v>0.26672452688217163</v>
      </c>
      <c r="CR19" s="1">
        <v>34.706077531491069</v>
      </c>
      <c r="CS19" s="1">
        <v>4.0417302924317822</v>
      </c>
      <c r="CT19">
        <v>2.1177467174925879</v>
      </c>
      <c r="CU19" s="5">
        <v>8.5869355499744421E-2</v>
      </c>
      <c r="CV19" s="6">
        <v>9.6478599309921267E-2</v>
      </c>
      <c r="CW19">
        <v>0.06</v>
      </c>
      <c r="CX19">
        <v>33.595934215309512</v>
      </c>
      <c r="CY19">
        <v>1570412945.2651966</v>
      </c>
      <c r="CZ19">
        <v>8.5869355499744421E-2</v>
      </c>
      <c r="DA19">
        <v>11.017324451446392</v>
      </c>
      <c r="DB19">
        <v>4788775190.6111431</v>
      </c>
      <c r="DC19">
        <v>8.1575887724757198E-2</v>
      </c>
      <c r="DD19">
        <v>5.4489745097419116</v>
      </c>
      <c r="DE19">
        <v>9682462251.5070152</v>
      </c>
      <c r="DF19">
        <v>7.5565032839775087E-2</v>
      </c>
      <c r="DG19">
        <v>3.2894574082061179</v>
      </c>
      <c r="DH19">
        <v>16038964319.277206</v>
      </c>
      <c r="DI19">
        <v>6.8695484399795545E-2</v>
      </c>
      <c r="DJ19">
        <v>1.718942748337021</v>
      </c>
      <c r="DK19">
        <v>30692988496.005348</v>
      </c>
      <c r="DL19">
        <v>6.0108548849821093E-2</v>
      </c>
      <c r="DM19">
        <v>1533000000</v>
      </c>
      <c r="DN19">
        <v>8.5869355499744421E-2</v>
      </c>
      <c r="DO19">
        <v>52759490000</v>
      </c>
      <c r="DP19">
        <v>5556320800.000001</v>
      </c>
      <c r="DQ19" s="7">
        <v>4123</v>
      </c>
      <c r="DR19">
        <v>-0.30332621594538023</v>
      </c>
      <c r="DS19">
        <v>-0.34887533101723833</v>
      </c>
      <c r="DT19">
        <v>-0.22333333333333338</v>
      </c>
      <c r="DU19">
        <v>-3.3333333333333726E-3</v>
      </c>
      <c r="DV19">
        <v>-0.22666666666666677</v>
      </c>
      <c r="DW19">
        <v>-2.1164000000000001</v>
      </c>
      <c r="DX19">
        <v>0.31766439393939316</v>
      </c>
      <c r="DY19">
        <v>-2.0206801354545454</v>
      </c>
      <c r="DZ19">
        <v>1691</v>
      </c>
      <c r="EA19">
        <v>-2.0138366698863193</v>
      </c>
      <c r="EB19" s="8">
        <v>2</v>
      </c>
      <c r="EC19" s="8">
        <v>1.8694061379035471E-2</v>
      </c>
      <c r="ED19">
        <v>0.10522120366679952</v>
      </c>
      <c r="EE19">
        <v>1.410000000000002E-3</v>
      </c>
      <c r="EF19">
        <v>2.801E-2</v>
      </c>
      <c r="EG19">
        <v>14.177664393939393</v>
      </c>
      <c r="EH19" s="9">
        <v>-1</v>
      </c>
      <c r="EI19">
        <v>0</v>
      </c>
      <c r="EJ19">
        <v>0</v>
      </c>
      <c r="EK19">
        <v>45470</v>
      </c>
      <c r="EL19">
        <v>-1.59</v>
      </c>
      <c r="EM19">
        <v>-4.67</v>
      </c>
      <c r="EN19">
        <v>-0.37</v>
      </c>
      <c r="EO19">
        <v>2.78</v>
      </c>
      <c r="EP19">
        <v>-2.66</v>
      </c>
    </row>
    <row r="20" spans="1:146" ht="144" x14ac:dyDescent="0.25">
      <c r="A20" s="12" t="s">
        <v>900</v>
      </c>
      <c r="B20" s="12"/>
      <c r="C20" s="12" t="str">
        <f>"公司主要从事白酒的生产和销售。公司生产的口子系列白酒是目前国内兼香型白酒的代表品牌。公司生产和销售口子窖、老口子、口子坊、口子酒等系列品牌产品。"&amp;CHAR(10)&amp;Basic_Fundamental_Information_Constructure(F20)&amp;CHAR(10)&amp;Basic_Fundamental_Information_Concatenate("高档白酒 47.77亿 95.00% 96.65% 75.18%
中档白酒 1.01亿 2.01% 1.22% 44.78%
低档白酒 8833.68万 1.76% 0.66% 27.85%")</f>
        <v>公司主要从事白酒的生产和销售。公司生产的口子系列白酒是目前国内兼香型白酒的代表品牌。公司生产和销售口子窖、老口子、口子坊、口子酒等系列品牌产品。
市值222亿, 利润5.89亿; PE12.51; 平均PE15.87; 平均PEG1.85, PB2.15; ROIC18.1933%; ROE18.4667%; 股利率4.0541%; 毛利74.4167%; 净利31.1367%; 上一年度营收增-65.57%, 利润增-62%; 当季营收增-39.29%, 利润增-30.5%; 过往5年营收增-8.56%, 利润增-10.1%
Income profile:
高档白酒 47.77亿 95.00% 96.65% 75.18%
中档白酒 1.01亿 2.01% 1.22% 44.78%
低档白酒 8833.68万 1.76% 0.66% 27.85%</v>
      </c>
      <c r="D20" t="s">
        <v>88</v>
      </c>
      <c r="E20" t="s">
        <v>14</v>
      </c>
      <c r="F20">
        <v>37</v>
      </c>
      <c r="G20">
        <v>-0.24</v>
      </c>
      <c r="H20" t="s">
        <v>684</v>
      </c>
      <c r="I20">
        <v>22200000000</v>
      </c>
      <c r="J20">
        <v>12.51</v>
      </c>
      <c r="K20">
        <v>2.15</v>
      </c>
      <c r="L20" t="s">
        <v>249</v>
      </c>
      <c r="M20" t="s">
        <v>685</v>
      </c>
      <c r="N20" t="s">
        <v>686</v>
      </c>
      <c r="O20" t="s">
        <v>687</v>
      </c>
      <c r="P20" s="4">
        <v>11.05</v>
      </c>
      <c r="Q20" t="s">
        <v>687</v>
      </c>
      <c r="R20">
        <v>589320450</v>
      </c>
      <c r="S20">
        <v>0.1002</v>
      </c>
      <c r="T20" t="s">
        <v>688</v>
      </c>
      <c r="U20">
        <v>598119470</v>
      </c>
      <c r="V20">
        <v>600000000</v>
      </c>
      <c r="W20">
        <v>1.26</v>
      </c>
      <c r="X20">
        <v>0.14000000000000001</v>
      </c>
      <c r="Y20">
        <v>33.340000000000003</v>
      </c>
      <c r="Z20" t="s">
        <v>689</v>
      </c>
      <c r="AA20" t="s">
        <v>311</v>
      </c>
      <c r="AB20" t="s">
        <v>690</v>
      </c>
      <c r="AC20" t="s">
        <v>691</v>
      </c>
      <c r="AD20" t="s">
        <v>17</v>
      </c>
      <c r="AE20">
        <v>-1348471</v>
      </c>
      <c r="AF20" t="s">
        <v>692</v>
      </c>
      <c r="AG20" t="s">
        <v>693</v>
      </c>
      <c r="AH20" t="s">
        <v>694</v>
      </c>
      <c r="AI20" t="s">
        <v>281</v>
      </c>
      <c r="AJ20" t="s">
        <v>695</v>
      </c>
      <c r="AK20" t="s">
        <v>696</v>
      </c>
      <c r="AL20" t="s">
        <v>697</v>
      </c>
      <c r="AM20" t="s">
        <v>17</v>
      </c>
      <c r="AN20" t="s">
        <v>698</v>
      </c>
      <c r="AO20" t="s">
        <v>17</v>
      </c>
      <c r="AP20" t="s">
        <v>699</v>
      </c>
      <c r="AQ20" t="s">
        <v>700</v>
      </c>
      <c r="AR20" t="s">
        <v>17</v>
      </c>
      <c r="AS20" t="s">
        <v>701</v>
      </c>
      <c r="AT20" t="s">
        <v>17</v>
      </c>
      <c r="AU20" t="s">
        <v>702</v>
      </c>
      <c r="AV20" t="s">
        <v>703</v>
      </c>
      <c r="AW20" t="s">
        <v>704</v>
      </c>
      <c r="AX20" t="s">
        <v>332</v>
      </c>
      <c r="AY20" t="s">
        <v>232</v>
      </c>
      <c r="AZ20" t="s">
        <v>177</v>
      </c>
      <c r="BA20" t="s">
        <v>89</v>
      </c>
      <c r="BB20" t="s">
        <v>179</v>
      </c>
      <c r="BC20" t="s">
        <v>333</v>
      </c>
      <c r="BD20" t="s">
        <v>233</v>
      </c>
      <c r="BE20" t="s">
        <v>178</v>
      </c>
      <c r="BF20" t="s">
        <v>90</v>
      </c>
      <c r="BG20" t="s">
        <v>180</v>
      </c>
      <c r="BH20" t="s">
        <v>705</v>
      </c>
      <c r="BI20" t="s">
        <v>392</v>
      </c>
      <c r="BJ20" t="s">
        <v>332</v>
      </c>
      <c r="BK20" t="s">
        <v>706</v>
      </c>
      <c r="BL20" t="s">
        <v>393</v>
      </c>
      <c r="BM20" t="s">
        <v>333</v>
      </c>
      <c r="BN20">
        <v>14.68</v>
      </c>
      <c r="BO20">
        <v>17.71</v>
      </c>
      <c r="BP20">
        <v>22.19</v>
      </c>
      <c r="BQ20">
        <v>14.69</v>
      </c>
      <c r="BR20">
        <v>18.23</v>
      </c>
      <c r="BS20">
        <v>22.48</v>
      </c>
      <c r="BT20" t="s">
        <v>267</v>
      </c>
      <c r="BU20" t="s">
        <v>249</v>
      </c>
      <c r="BV20">
        <v>75.19</v>
      </c>
      <c r="BW20">
        <v>74.16</v>
      </c>
      <c r="BX20">
        <v>73.900000000000006</v>
      </c>
      <c r="BY20">
        <v>28.87</v>
      </c>
      <c r="BZ20">
        <v>30.19</v>
      </c>
      <c r="CA20">
        <v>34.35</v>
      </c>
      <c r="CB20">
        <v>-1.83</v>
      </c>
      <c r="CC20" s="1">
        <v>-12.69</v>
      </c>
      <c r="CD20" s="1" t="s">
        <v>707</v>
      </c>
      <c r="CE20" s="1" t="s">
        <v>375</v>
      </c>
      <c r="CF20" s="5">
        <v>-0.39285714285714285</v>
      </c>
      <c r="CG20" s="6">
        <v>-0.30504663915094338</v>
      </c>
      <c r="CH20" s="5">
        <v>-0.65569621324539185</v>
      </c>
      <c r="CI20" s="5">
        <v>2.1077722311019897E-2</v>
      </c>
      <c r="CJ20" s="5">
        <v>0.25380206108093262</v>
      </c>
      <c r="CK20" s="5">
        <v>-0.14148114621639252</v>
      </c>
      <c r="CL20" s="5">
        <v>9.4401516020298004E-2</v>
      </c>
      <c r="CM20" s="6">
        <v>-0.62000000476837158</v>
      </c>
      <c r="CN20" s="6">
        <v>-0.1024899035692215</v>
      </c>
      <c r="CO20" s="6">
        <v>0.35344833135604858</v>
      </c>
      <c r="CP20" s="6">
        <v>-0.25813952088356018</v>
      </c>
      <c r="CQ20" s="6">
        <v>0.12198308855295181</v>
      </c>
      <c r="CR20" s="1">
        <v>15.866587254318045</v>
      </c>
      <c r="CS20" s="1">
        <v>1.8540235276390844</v>
      </c>
      <c r="CT20">
        <v>4.0540540540540544</v>
      </c>
      <c r="CU20" s="5">
        <v>-8.5579212009906772E-2</v>
      </c>
      <c r="CV20" s="6">
        <v>-0.10103960186243058</v>
      </c>
      <c r="CW20">
        <v>0.06</v>
      </c>
      <c r="CX20">
        <v>24.884550084889643</v>
      </c>
      <c r="CY20" t="s">
        <v>708</v>
      </c>
      <c r="CZ20">
        <v>-8.5579212009906772E-2</v>
      </c>
      <c r="DA20">
        <v>8.2948500282965476</v>
      </c>
      <c r="DB20" t="s">
        <v>709</v>
      </c>
      <c r="DC20">
        <v>-8.1300251409411425E-2</v>
      </c>
      <c r="DD20">
        <v>4.1474250141482738</v>
      </c>
      <c r="DE20" t="s">
        <v>710</v>
      </c>
      <c r="DF20">
        <v>-7.5309706568717966E-2</v>
      </c>
      <c r="DG20">
        <v>2.4884550084889643</v>
      </c>
      <c r="DH20" t="s">
        <v>711</v>
      </c>
      <c r="DI20">
        <v>-6.8463369607925414E-2</v>
      </c>
      <c r="DJ20">
        <v>1.2442275042444821</v>
      </c>
      <c r="DK20" t="s">
        <v>712</v>
      </c>
      <c r="DL20">
        <v>-5.9905448406934736E-2</v>
      </c>
      <c r="DM20">
        <v>589000000</v>
      </c>
      <c r="DN20">
        <v>-8.5579212009906772E-2</v>
      </c>
      <c r="DO20">
        <v>14657000000</v>
      </c>
      <c r="DP20">
        <v>5512552700</v>
      </c>
      <c r="DQ20" s="7">
        <v>4198</v>
      </c>
      <c r="DR20">
        <v>-0.30727793084723609</v>
      </c>
      <c r="DS20">
        <v>-0.2040070372885128</v>
      </c>
      <c r="DT20">
        <v>-0.64</v>
      </c>
      <c r="DU20">
        <v>-0.53666666666666663</v>
      </c>
      <c r="DV20">
        <v>-1.1766666666666667</v>
      </c>
      <c r="DW20">
        <v>-2.1269</v>
      </c>
      <c r="DX20">
        <v>0.32087194244604167</v>
      </c>
      <c r="DY20">
        <v>-2.0191456494964029</v>
      </c>
      <c r="DZ20">
        <v>3324</v>
      </c>
      <c r="EA20">
        <v>-2.0066916105676271</v>
      </c>
      <c r="EB20" s="8">
        <v>2</v>
      </c>
      <c r="EC20" s="8">
        <v>3.4951999999999997E-2</v>
      </c>
      <c r="ED20">
        <v>0.23166666666666666</v>
      </c>
      <c r="EE20">
        <v>-3.1254</v>
      </c>
      <c r="EF20">
        <v>-3.1040000000000001</v>
      </c>
      <c r="EG20">
        <v>17.150871942446042</v>
      </c>
      <c r="EH20" s="9" t="s">
        <v>399</v>
      </c>
      <c r="EI20">
        <v>0</v>
      </c>
      <c r="EJ20">
        <v>0</v>
      </c>
      <c r="EK20">
        <v>45470</v>
      </c>
      <c r="EL20">
        <v>0.77</v>
      </c>
      <c r="EM20">
        <v>-3.69</v>
      </c>
      <c r="EN20">
        <v>0.59</v>
      </c>
      <c r="EO20">
        <v>2.78</v>
      </c>
      <c r="EP20">
        <v>-2.14</v>
      </c>
    </row>
    <row r="21" spans="1:146" ht="180" x14ac:dyDescent="0.25">
      <c r="A21" s="12"/>
      <c r="B21" s="12"/>
      <c r="C21" s="12" t="str">
        <f>"公司主要从事白酒生产及销售。本公司及旗下产品近年来先后被评为“中华老字号”、“中国驰名商标”、“中国酒文化百强企业”、“中国优质酒产品”、“中国白酒行业最具竞争力品牌”、“甘肃省数字企业建设示范单位”、“全国轻工行业先进集体”、“省级认定企业技术中心”等称号。"&amp;CHAR(10)&amp;Basic_Fundamental_Information_Constructure(F21)&amp;CHAR(10)&amp;Basic_Fundamental_Information_Concatenate("高档 10.31亿 66.03%
中档 4.89亿 31.29%
其他业务 2190.98万 1.40%
低档 1981.59万 1.27%")</f>
        <v>公司主要从事白酒生产及销售。本公司及旗下产品近年来先后被评为“中华老字号”、“中国驰名商标”、“中国酒文化百强企业”、“中国优质酒产品”、“中国白酒行业最具竞争力品牌”、“甘肃省数字企业建设示范单位”、“全国轻工行业先进集体”、“省级认定企业技术中心”等称号。
市值95.060523亿, 利润2.21亿; PE25.82; 平均PE33.81; 平均PEG13, PB2.68; ROIC9.19%; ROE9.61%; 股利率2.0758%; 毛利62.9867%; 净利14.8967%; 上一年度营收增-46.52%, 利润增-21.07%; 当季营收增-29.35%, 利润增-12.98%; 过往5年营收增-2.6%, 利润增-1.99%
Income profile:
高档 10.31亿 66.03%
中档 4.89亿 31.29%
其他业务 2190.98万 1.40%
低档 1981.59万 1.27%</v>
      </c>
      <c r="D21" t="s">
        <v>91</v>
      </c>
      <c r="E21" t="s">
        <v>187</v>
      </c>
      <c r="F21">
        <v>18.739999999999998</v>
      </c>
      <c r="G21">
        <v>2.13</v>
      </c>
      <c r="H21" t="s">
        <v>874</v>
      </c>
      <c r="I21">
        <v>9506052300</v>
      </c>
      <c r="J21">
        <v>25.82</v>
      </c>
      <c r="K21">
        <v>2.68</v>
      </c>
      <c r="L21" t="s">
        <v>249</v>
      </c>
      <c r="M21" t="s">
        <v>875</v>
      </c>
      <c r="N21" t="s">
        <v>876</v>
      </c>
      <c r="O21" t="s">
        <v>877</v>
      </c>
      <c r="P21" s="4">
        <v>20.41</v>
      </c>
      <c r="Q21" t="s">
        <v>877</v>
      </c>
      <c r="R21">
        <v>221042850</v>
      </c>
      <c r="S21">
        <v>0.21579999999999999</v>
      </c>
      <c r="T21" t="s">
        <v>246</v>
      </c>
      <c r="U21">
        <v>507260000</v>
      </c>
      <c r="V21">
        <v>507260000</v>
      </c>
      <c r="W21">
        <v>1.32</v>
      </c>
      <c r="X21">
        <v>0.24</v>
      </c>
      <c r="Y21">
        <v>20.39</v>
      </c>
      <c r="Z21" t="s">
        <v>381</v>
      </c>
      <c r="AA21" t="s">
        <v>251</v>
      </c>
      <c r="AB21" t="s">
        <v>878</v>
      </c>
      <c r="AC21" t="s">
        <v>879</v>
      </c>
      <c r="AD21" t="s">
        <v>17</v>
      </c>
      <c r="AE21">
        <v>-6531677</v>
      </c>
      <c r="AF21" t="s">
        <v>38</v>
      </c>
      <c r="AG21" t="s">
        <v>782</v>
      </c>
      <c r="AH21" t="s">
        <v>880</v>
      </c>
      <c r="AI21" t="s">
        <v>881</v>
      </c>
      <c r="AJ21" t="s">
        <v>882</v>
      </c>
      <c r="AK21" t="s">
        <v>17</v>
      </c>
      <c r="AL21" t="s">
        <v>883</v>
      </c>
      <c r="AM21" t="s">
        <v>17</v>
      </c>
      <c r="AN21" t="s">
        <v>884</v>
      </c>
      <c r="AO21" t="s">
        <v>17</v>
      </c>
      <c r="AP21" t="s">
        <v>17</v>
      </c>
      <c r="AQ21" t="s">
        <v>885</v>
      </c>
      <c r="AR21" t="s">
        <v>17</v>
      </c>
      <c r="AS21" t="s">
        <v>203</v>
      </c>
      <c r="AT21" t="s">
        <v>17</v>
      </c>
      <c r="AU21" t="s">
        <v>293</v>
      </c>
      <c r="AV21" t="s">
        <v>886</v>
      </c>
      <c r="AW21" t="s">
        <v>17</v>
      </c>
      <c r="AX21" t="s">
        <v>260</v>
      </c>
      <c r="AY21" t="s">
        <v>234</v>
      </c>
      <c r="AZ21" t="s">
        <v>182</v>
      </c>
      <c r="BA21" t="s">
        <v>92</v>
      </c>
      <c r="BB21" t="s">
        <v>154</v>
      </c>
      <c r="BC21" t="s">
        <v>336</v>
      </c>
      <c r="BD21" t="s">
        <v>202</v>
      </c>
      <c r="BE21" t="s">
        <v>183</v>
      </c>
      <c r="BF21" t="s">
        <v>93</v>
      </c>
      <c r="BG21" t="s">
        <v>36</v>
      </c>
      <c r="BH21" t="s">
        <v>887</v>
      </c>
      <c r="BI21" t="s">
        <v>394</v>
      </c>
      <c r="BJ21" t="s">
        <v>260</v>
      </c>
      <c r="BK21" t="s">
        <v>139</v>
      </c>
      <c r="BL21" t="s">
        <v>74</v>
      </c>
      <c r="BM21" t="s">
        <v>336</v>
      </c>
      <c r="BN21">
        <v>7.92</v>
      </c>
      <c r="BO21">
        <v>8.67</v>
      </c>
      <c r="BP21">
        <v>10.98</v>
      </c>
      <c r="BQ21">
        <v>8.34</v>
      </c>
      <c r="BR21">
        <v>9.17</v>
      </c>
      <c r="BS21">
        <v>11.32</v>
      </c>
      <c r="BT21" t="s">
        <v>888</v>
      </c>
      <c r="BU21" t="s">
        <v>249</v>
      </c>
      <c r="BV21">
        <v>62.44</v>
      </c>
      <c r="BW21">
        <v>62.78</v>
      </c>
      <c r="BX21">
        <v>63.74</v>
      </c>
      <c r="BY21">
        <v>12.66</v>
      </c>
      <c r="BZ21">
        <v>13.88</v>
      </c>
      <c r="CA21">
        <v>18.149999999999999</v>
      </c>
      <c r="CB21">
        <v>3.14</v>
      </c>
      <c r="CC21" s="1">
        <v>-12.31</v>
      </c>
      <c r="CD21" s="1" t="s">
        <v>889</v>
      </c>
      <c r="CE21" s="1" t="s">
        <v>890</v>
      </c>
      <c r="CF21" s="5">
        <v>-0.29349967170059094</v>
      </c>
      <c r="CG21" s="6">
        <v>-0.12975255905511812</v>
      </c>
      <c r="CH21" s="5">
        <v>-0.4652087390422821</v>
      </c>
      <c r="CI21" s="5">
        <v>0.12527963519096375</v>
      </c>
      <c r="CJ21" s="5">
        <v>3.2928980886936188E-2</v>
      </c>
      <c r="CK21" s="5">
        <v>5.9363484382629395E-2</v>
      </c>
      <c r="CL21" s="5">
        <v>0.11764705926179886</v>
      </c>
      <c r="CM21" s="6">
        <v>-0.21071428060531616</v>
      </c>
      <c r="CN21" s="6">
        <v>-0.13846154510974884</v>
      </c>
      <c r="CO21" s="6">
        <v>-1.8126888200640678E-2</v>
      </c>
      <c r="CP21" s="6">
        <v>0.22140221297740936</v>
      </c>
      <c r="CQ21" s="6">
        <v>4.6332046389579773E-2</v>
      </c>
      <c r="CR21" s="1">
        <v>33.809314641375217</v>
      </c>
      <c r="CS21" s="1">
        <v>13.004624993114872</v>
      </c>
      <c r="CT21">
        <v>2.0757737459978656</v>
      </c>
      <c r="CU21" s="5">
        <v>-2.5997915863990785E-2</v>
      </c>
      <c r="CV21" s="6">
        <v>-1.991369090974331E-2</v>
      </c>
      <c r="CW21">
        <v>0.06</v>
      </c>
      <c r="CX21">
        <v>31.873539819004524</v>
      </c>
      <c r="CY21" t="s">
        <v>891</v>
      </c>
      <c r="CZ21">
        <v>-2.5997915863990785E-2</v>
      </c>
      <c r="DA21">
        <v>10.624513273001508</v>
      </c>
      <c r="DB21" t="s">
        <v>892</v>
      </c>
      <c r="DC21">
        <v>-2.4698020070791245E-2</v>
      </c>
      <c r="DD21">
        <v>5.312256636500754</v>
      </c>
      <c r="DE21" t="s">
        <v>893</v>
      </c>
      <c r="DF21">
        <v>-2.2878165960311891E-2</v>
      </c>
      <c r="DG21">
        <v>3.1873539819004524</v>
      </c>
      <c r="DH21" t="s">
        <v>894</v>
      </c>
      <c r="DI21">
        <v>-2.079833269119263E-2</v>
      </c>
      <c r="DJ21">
        <v>1.5936769909502262</v>
      </c>
      <c r="DK21" t="s">
        <v>895</v>
      </c>
      <c r="DL21">
        <v>-1.8198541104793547E-2</v>
      </c>
      <c r="DM21">
        <v>221000000</v>
      </c>
      <c r="DN21">
        <v>-2.5997915863990785E-2</v>
      </c>
      <c r="DO21">
        <v>7044052300</v>
      </c>
      <c r="DP21">
        <v>1966492600</v>
      </c>
      <c r="DQ21" s="7">
        <v>4380</v>
      </c>
      <c r="DR21">
        <v>-0.26750175583660013</v>
      </c>
      <c r="DS21">
        <v>-0.10983886814537482</v>
      </c>
      <c r="DT21">
        <v>-0.60666666666666669</v>
      </c>
      <c r="DU21">
        <v>-5.000000000000001E-2</v>
      </c>
      <c r="DV21">
        <v>-0.65666666666666673</v>
      </c>
      <c r="DW21">
        <v>6.2032362459546926</v>
      </c>
      <c r="DX21">
        <v>0.3865548332645406</v>
      </c>
      <c r="DY21">
        <v>6.0419794288964832</v>
      </c>
      <c r="DZ21">
        <v>990</v>
      </c>
      <c r="EA21">
        <v>6.0338464279948161</v>
      </c>
      <c r="EB21" s="8">
        <v>6</v>
      </c>
      <c r="EC21" s="8">
        <v>3.5926152269053345E-2</v>
      </c>
      <c r="ED21">
        <v>0.17393033158538032</v>
      </c>
      <c r="EE21">
        <v>2.0095100000000001</v>
      </c>
      <c r="EF21">
        <v>2.0223100000000001</v>
      </c>
      <c r="EG21">
        <v>18.206554833264541</v>
      </c>
      <c r="EH21" s="9" t="s">
        <v>335</v>
      </c>
      <c r="EI21">
        <v>0</v>
      </c>
      <c r="EJ21">
        <v>1</v>
      </c>
      <c r="EK21">
        <v>45470</v>
      </c>
      <c r="EL21">
        <v>0.98</v>
      </c>
      <c r="EM21">
        <v>-0.61</v>
      </c>
      <c r="EN21">
        <v>-3.4</v>
      </c>
      <c r="EO21">
        <v>3.89</v>
      </c>
      <c r="EP21">
        <v>-1.28</v>
      </c>
    </row>
  </sheetData>
  <autoFilter ref="BU1"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白酒&quot;,&quot;&quot;'" altText="更新基本面按钮_x000a_">
                <anchor moveWithCells="1" sizeWithCells="1">
                  <from>
                    <xdr:col>147</xdr:col>
                    <xdr:colOff>139700</xdr:colOff>
                    <xdr:row>0</xdr:row>
                    <xdr:rowOff>50800</xdr:rowOff>
                  </from>
                  <to>
                    <xdr:col>147</xdr:col>
                    <xdr:colOff>1352550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11" sqref="A11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3" customFormat="1" x14ac:dyDescent="0.25">
      <c r="A3" s="3">
        <v>1</v>
      </c>
      <c r="B3" s="3">
        <v>2</v>
      </c>
      <c r="C3" s="3">
        <v>3</v>
      </c>
      <c r="D3" s="3">
        <v>4</v>
      </c>
      <c r="E3" s="3">
        <v>5</v>
      </c>
      <c r="F3" s="3">
        <v>6</v>
      </c>
      <c r="G3" s="3">
        <v>7</v>
      </c>
      <c r="H3" s="3">
        <v>8</v>
      </c>
      <c r="I3" s="3">
        <v>9</v>
      </c>
      <c r="J3" s="3">
        <v>10</v>
      </c>
      <c r="K3" s="3">
        <v>11</v>
      </c>
      <c r="L3" s="3">
        <v>12</v>
      </c>
      <c r="M3" s="3">
        <v>13</v>
      </c>
      <c r="N3" s="3">
        <v>14</v>
      </c>
      <c r="O3" s="3">
        <v>15</v>
      </c>
      <c r="P3" s="3">
        <v>16</v>
      </c>
      <c r="Q3" s="3">
        <v>17</v>
      </c>
      <c r="R3" s="3">
        <v>18</v>
      </c>
      <c r="S3" s="3">
        <v>19</v>
      </c>
      <c r="T3" s="3">
        <v>20</v>
      </c>
      <c r="U3" s="3">
        <v>21</v>
      </c>
      <c r="V3" s="3">
        <v>22</v>
      </c>
      <c r="W3" s="3">
        <v>23</v>
      </c>
      <c r="X3" s="3">
        <v>24</v>
      </c>
      <c r="Y3" s="3">
        <v>25</v>
      </c>
      <c r="Z3" s="3">
        <v>26</v>
      </c>
      <c r="AA3" s="3">
        <v>27</v>
      </c>
      <c r="AB3" s="3">
        <v>28</v>
      </c>
      <c r="AC3" s="3">
        <v>29</v>
      </c>
      <c r="AD3" s="3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饮料制造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2024-07-08T15:54:45Z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