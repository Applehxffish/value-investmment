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New-农林牧渔\"/>
    </mc:Choice>
  </mc:AlternateContent>
  <bookViews>
    <workbookView xWindow="-110" yWindow="-110" windowWidth="23260" windowHeight="13180"/>
  </bookViews>
  <sheets>
    <sheet name="种植业与林业" sheetId="15" r:id="rId1"/>
    <sheet name="估值-增速与年化收益" sheetId="14" r:id="rId2"/>
  </sheets>
  <functionGroups builtInGroupCount="18"/>
  <definedNames>
    <definedName name="_xlnm._FilterDatabase" localSheetId="0" hidden="1">种植业与林业!$BU$1:$BU$42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7" i="15"/>
  <c r="C10" i="15"/>
  <c r="C15" i="15"/>
  <c r="C12" i="15"/>
  <c r="C20" i="15"/>
  <c r="C22" i="15"/>
  <c r="C11" i="15"/>
  <c r="C21" i="15"/>
  <c r="C17" i="15"/>
  <c r="C18" i="15"/>
  <c r="C19" i="15"/>
  <c r="C8" i="15"/>
  <c r="C14" i="15"/>
  <c r="C24" i="15"/>
  <c r="C16" i="15"/>
  <c r="C13" i="15"/>
  <c r="C9" i="15"/>
  <c r="C23" i="15"/>
  <c r="C6" i="15"/>
  <c r="C5" i="15"/>
  <c r="C4" i="15"/>
  <c r="C3" i="15"/>
  <c r="C2" i="15"/>
</calcChain>
</file>

<file path=xl/sharedStrings.xml><?xml version="1.0" encoding="utf-8"?>
<sst xmlns="http://schemas.openxmlformats.org/spreadsheetml/2006/main" count="1423" uniqueCount="1074">
  <si>
    <t>&lt;-增速</t>
    <phoneticPr fontId="1" type="noConversion"/>
  </si>
  <si>
    <t>&lt;-估值</t>
    <phoneticPr fontId="1" type="noConversion"/>
  </si>
  <si>
    <t>&lt;-折合年化收益</t>
    <phoneticPr fontId="1" type="noConversion"/>
  </si>
  <si>
    <t>现价</t>
  </si>
  <si>
    <t>市净率</t>
  </si>
  <si>
    <t>隆平高科</t>
  </si>
  <si>
    <t>登海种业</t>
  </si>
  <si>
    <t>新赛股份</t>
  </si>
  <si>
    <t>福建金森</t>
  </si>
  <si>
    <t>亚盛集团</t>
  </si>
  <si>
    <t>平潭发展</t>
  </si>
  <si>
    <t>荃银高科</t>
  </si>
  <si>
    <t>万向德农</t>
  </si>
  <si>
    <t>众兴菌业</t>
  </si>
  <si>
    <t>雪榕生物</t>
  </si>
  <si>
    <t>苏垦农发</t>
  </si>
  <si>
    <t>北大荒</t>
  </si>
  <si>
    <t>丰乐种业</t>
  </si>
  <si>
    <t>新农开发</t>
  </si>
  <si>
    <t>农发种业</t>
  </si>
  <si>
    <t>总市值</t>
  </si>
  <si>
    <t>TTM市盈率</t>
  </si>
  <si>
    <t>所属行业</t>
  </si>
  <si>
    <t>种植业与林业</t>
  </si>
  <si>
    <t>SZ002041</t>
  </si>
  <si>
    <t>SH600313</t>
  </si>
  <si>
    <t>SZ002679</t>
  </si>
  <si>
    <t>SH600108</t>
  </si>
  <si>
    <t>SZ300087</t>
  </si>
  <si>
    <t>SZ002772</t>
  </si>
  <si>
    <t>SZ000998</t>
  </si>
  <si>
    <t>SZ000713</t>
  </si>
  <si>
    <t>SH600371</t>
  </si>
  <si>
    <t>SZ300511</t>
  </si>
  <si>
    <t>SH601952</t>
  </si>
  <si>
    <t>SH600598</t>
  </si>
  <si>
    <t>SZ300189</t>
  </si>
  <si>
    <t>神农科技</t>
  </si>
  <si>
    <t>SZ000592</t>
  </si>
  <si>
    <t>SH600540</t>
  </si>
  <si>
    <t>SH600359</t>
  </si>
  <si>
    <t>SH600354</t>
  </si>
  <si>
    <t>预期多</t>
    <phoneticPr fontId="1" type="noConversion"/>
  </si>
  <si>
    <t>预期空</t>
    <phoneticPr fontId="1" type="noConversion"/>
  </si>
  <si>
    <t>已知和基本信息</t>
    <phoneticPr fontId="1" type="noConversion"/>
  </si>
  <si>
    <t>代码</t>
  </si>
  <si>
    <t>负债合计</t>
  </si>
  <si>
    <t>所有者权益合计</t>
  </si>
  <si>
    <t>主营业务收入</t>
  </si>
  <si>
    <t>净利润增长率</t>
  </si>
  <si>
    <t>总股本</t>
  </si>
  <si>
    <t>财务费用</t>
  </si>
  <si>
    <t>投资收益</t>
  </si>
  <si>
    <t>应收账款</t>
  </si>
  <si>
    <t>--</t>
  </si>
  <si>
    <t>0亿</t>
  </si>
  <si>
    <t>11.56亿</t>
  </si>
  <si>
    <t>7.61亿</t>
  </si>
  <si>
    <t>5.51亿</t>
  </si>
  <si>
    <t>1.89亿</t>
  </si>
  <si>
    <t>1.29亿</t>
  </si>
  <si>
    <t>2.75亿</t>
  </si>
  <si>
    <t>9.66亿</t>
  </si>
  <si>
    <t>2463.37万</t>
  </si>
  <si>
    <t>24.04亿</t>
  </si>
  <si>
    <t>5722.89万</t>
  </si>
  <si>
    <t>31.30亿</t>
  </si>
  <si>
    <t>8.23亿</t>
  </si>
  <si>
    <t>4158.31万</t>
  </si>
  <si>
    <t>435.20万</t>
  </si>
  <si>
    <t>6840.38万</t>
  </si>
  <si>
    <t>11.54亿</t>
  </si>
  <si>
    <t>9457.74万</t>
  </si>
  <si>
    <t>1.12亿</t>
  </si>
  <si>
    <t>-3.29亿</t>
  </si>
  <si>
    <t>19.65亿</t>
  </si>
  <si>
    <t>2.20亿</t>
  </si>
  <si>
    <t>51.36亿</t>
  </si>
  <si>
    <t>1818.39万</t>
  </si>
  <si>
    <t>11.84亿</t>
  </si>
  <si>
    <t>-1.70亿</t>
  </si>
  <si>
    <t>832.52万</t>
  </si>
  <si>
    <t>1.33亿</t>
  </si>
  <si>
    <t>5872.24万</t>
  </si>
  <si>
    <t>13.80亿</t>
  </si>
  <si>
    <t>2088.10万</t>
  </si>
  <si>
    <t>31.11亿</t>
  </si>
  <si>
    <t>8.49亿</t>
  </si>
  <si>
    <t>1.35亿</t>
  </si>
  <si>
    <t>19.27亿</t>
  </si>
  <si>
    <t>80.28亿</t>
  </si>
  <si>
    <t>5.91亿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</si>
  <si>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</si>
  <si>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</si>
  <si>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</si>
  <si>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</si>
  <si>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</si>
  <si>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</si>
  <si>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</si>
  <si>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</si>
  <si>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</si>
  <si>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</si>
  <si>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</si>
  <si>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</si>
  <si>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</si>
  <si>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14.83亿</t>
  </si>
  <si>
    <t>12.34亿</t>
  </si>
  <si>
    <t>-2.26亿</t>
  </si>
  <si>
    <t>9.35亿</t>
  </si>
  <si>
    <t>2634.85万</t>
  </si>
  <si>
    <t>24.57亿</t>
  </si>
  <si>
    <t>5040.48万</t>
  </si>
  <si>
    <t>1.16亿</t>
  </si>
  <si>
    <t>1.67亿</t>
  </si>
  <si>
    <t>5318.96万</t>
  </si>
  <si>
    <t>32.91亿</t>
  </si>
  <si>
    <t>35.80亿</t>
  </si>
  <si>
    <t>-2.94亿</t>
  </si>
  <si>
    <t>7.91亿</t>
  </si>
  <si>
    <t>9.01亿</t>
  </si>
  <si>
    <t>1.02亿</t>
  </si>
  <si>
    <t>3253.09万</t>
  </si>
  <si>
    <t>1.48亿</t>
  </si>
  <si>
    <t>872.67万</t>
  </si>
  <si>
    <t>1.68亿</t>
  </si>
  <si>
    <t>1.38亿</t>
  </si>
  <si>
    <t>4758.99万</t>
  </si>
  <si>
    <t>9.26亿</t>
  </si>
  <si>
    <t>16.02亿</t>
  </si>
  <si>
    <t>1.72亿</t>
  </si>
  <si>
    <t>9.10亿</t>
  </si>
  <si>
    <t>7.57亿</t>
  </si>
  <si>
    <t>6832.29万</t>
  </si>
  <si>
    <t>-1.18亿</t>
  </si>
  <si>
    <t>2041.53万</t>
  </si>
  <si>
    <t>22.02亿</t>
  </si>
  <si>
    <t>18.47亿</t>
  </si>
  <si>
    <t>1.51亿</t>
  </si>
  <si>
    <t>1.22亿</t>
  </si>
  <si>
    <t>SZ300970</t>
  </si>
  <si>
    <t>华绿生物</t>
  </si>
  <si>
    <t>6.09亿</t>
  </si>
  <si>
    <t>1.19亿</t>
  </si>
  <si>
    <t>5.75亿</t>
  </si>
  <si>
    <t>3.94亿</t>
  </si>
  <si>
    <t>1.21亿</t>
  </si>
  <si>
    <t>5577.81万</t>
  </si>
  <si>
    <t>3.43亿</t>
  </si>
  <si>
    <t>31.32亿</t>
  </si>
  <si>
    <t>-8.52亿</t>
  </si>
  <si>
    <t>28.39亿</t>
  </si>
  <si>
    <t>25.08亿</t>
  </si>
  <si>
    <t>20.66亿</t>
  </si>
  <si>
    <t>7775.41万</t>
  </si>
  <si>
    <t>8473.21万</t>
  </si>
  <si>
    <t>36.63亿</t>
  </si>
  <si>
    <t>2709.45万</t>
  </si>
  <si>
    <t>34.46亿</t>
  </si>
  <si>
    <t>38.67亿</t>
  </si>
  <si>
    <t>3170.27万</t>
  </si>
  <si>
    <t>-2.85亿</t>
  </si>
  <si>
    <t>9.54亿</t>
  </si>
  <si>
    <t>2954.29万</t>
  </si>
  <si>
    <t>7.67亿</t>
  </si>
  <si>
    <t>4.85亿</t>
  </si>
  <si>
    <t>-2.18亿</t>
  </si>
  <si>
    <t>5.56亿</t>
  </si>
  <si>
    <t>3824.16万</t>
  </si>
  <si>
    <t>6.27亿</t>
  </si>
  <si>
    <t>10.85亿</t>
  </si>
  <si>
    <t>2.40亿</t>
  </si>
  <si>
    <t>5520.06万</t>
  </si>
  <si>
    <t>2.64亿</t>
  </si>
  <si>
    <t>2.58亿</t>
  </si>
  <si>
    <t>5203.23万</t>
  </si>
  <si>
    <t>878.62万</t>
  </si>
  <si>
    <t>12.84亿</t>
  </si>
  <si>
    <t>2036.40万</t>
  </si>
  <si>
    <t>32.41亿</t>
  </si>
  <si>
    <t>9.90亿</t>
  </si>
  <si>
    <t>298.50万</t>
  </si>
  <si>
    <t>32.65亿</t>
  </si>
  <si>
    <t>9.76亿</t>
  </si>
  <si>
    <t>2.35亿</t>
  </si>
  <si>
    <t>86.20亿</t>
  </si>
  <si>
    <t>6.70亿</t>
  </si>
  <si>
    <t>48.84亿</t>
  </si>
  <si>
    <t>6.05亿</t>
  </si>
  <si>
    <t>有碳排放的碳汇概念，因盘子小有资金参与炒作</t>
    <phoneticPr fontId="1" type="noConversion"/>
  </si>
  <si>
    <t>敦煌种业</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</si>
  <si>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</si>
  <si>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</si>
  <si>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</si>
  <si>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</si>
  <si>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</si>
  <si>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</si>
  <si>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</si>
  <si>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</si>
  <si>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</si>
  <si>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</si>
  <si>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</si>
  <si>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</si>
  <si>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</si>
  <si>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承担负债现期溢价</t>
    <phoneticPr fontId="1" type="noConversion"/>
  </si>
  <si>
    <t>营收成长策略</t>
    <phoneticPr fontId="1" type="noConversion"/>
  </si>
  <si>
    <t>营收和利润加权</t>
    <phoneticPr fontId="1" type="noConversion"/>
  </si>
  <si>
    <t>综合策略</t>
    <phoneticPr fontId="1" type="noConversion"/>
  </si>
  <si>
    <t>销售毛利率%[20201231]</t>
  </si>
  <si>
    <t>销售净利率%[20201231]</t>
  </si>
  <si>
    <t>1.83亿</t>
  </si>
  <si>
    <t>7.55亿</t>
  </si>
  <si>
    <t>流通股本</t>
  </si>
  <si>
    <t>净利润[20201231]</t>
  </si>
  <si>
    <t>投入资本回报率roic%[20201231]</t>
  </si>
  <si>
    <t>净资产收益率%[20201231]</t>
  </si>
  <si>
    <t>16.07亿</t>
  </si>
  <si>
    <t>-3.87亿</t>
  </si>
  <si>
    <t>SZ000663</t>
  </si>
  <si>
    <t>永安林业</t>
  </si>
  <si>
    <t>5.06亿</t>
  </si>
  <si>
    <t>5462.57万</t>
  </si>
  <si>
    <t>5.81亿</t>
  </si>
  <si>
    <t>7.02亿</t>
  </si>
  <si>
    <t>3638.33万</t>
  </si>
  <si>
    <t>-2.36亿</t>
  </si>
  <si>
    <t>-13.30亿</t>
  </si>
  <si>
    <t>26.17亿</t>
  </si>
  <si>
    <t>35.03亿</t>
  </si>
  <si>
    <t>6244.74万</t>
  </si>
  <si>
    <t>11.01亿</t>
  </si>
  <si>
    <t>2.33亿</t>
  </si>
  <si>
    <t>1.90亿</t>
  </si>
  <si>
    <t>1293.14万</t>
  </si>
  <si>
    <t>15.56亿</t>
  </si>
  <si>
    <t>5496.80万</t>
  </si>
  <si>
    <t>25.21亿</t>
  </si>
  <si>
    <t>1.69亿</t>
  </si>
  <si>
    <t>-5682.67万</t>
  </si>
  <si>
    <t>5.78亿</t>
  </si>
  <si>
    <t>1550.46万</t>
  </si>
  <si>
    <t>33.33亿</t>
  </si>
  <si>
    <t>7181.15万</t>
  </si>
  <si>
    <t>37.64亿</t>
  </si>
  <si>
    <t>3631.10万</t>
  </si>
  <si>
    <t>9.22亿</t>
  </si>
  <si>
    <t>905.11万</t>
  </si>
  <si>
    <t>6.85亿</t>
  </si>
  <si>
    <t>4091.15万</t>
  </si>
  <si>
    <t>2.22亿</t>
  </si>
  <si>
    <t>3794.77万</t>
  </si>
  <si>
    <t>10.97亿</t>
  </si>
  <si>
    <t>-1.67亿</t>
  </si>
  <si>
    <t>10.56亿</t>
  </si>
  <si>
    <t>36.29亿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</si>
  <si>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</si>
  <si>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</si>
  <si>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</si>
  <si>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</si>
  <si>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</si>
  <si>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</si>
  <si>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</si>
  <si>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</si>
  <si>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</si>
  <si>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</si>
  <si>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</si>
  <si>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</si>
  <si>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</si>
  <si>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</si>
  <si>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</si>
  <si>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</si>
  <si>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</si>
  <si>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市销率</t>
    <phoneticPr fontId="1" type="noConversion"/>
  </si>
  <si>
    <t>扣非对比净利润</t>
    <phoneticPr fontId="1" type="noConversion"/>
  </si>
  <si>
    <t>过往营收增速均值</t>
    <phoneticPr fontId="1" type="noConversion"/>
  </si>
  <si>
    <t>过往利润增速均值</t>
    <phoneticPr fontId="1" type="noConversion"/>
  </si>
  <si>
    <t>3增速</t>
    <phoneticPr fontId="1" type="noConversion"/>
  </si>
  <si>
    <t>6增速</t>
    <phoneticPr fontId="1" type="noConversion"/>
  </si>
  <si>
    <t>N日期</t>
    <phoneticPr fontId="1" type="noConversion"/>
  </si>
  <si>
    <t>N-3</t>
    <phoneticPr fontId="1" type="noConversion"/>
  </si>
  <si>
    <t>N-1</t>
    <phoneticPr fontId="1" type="noConversion"/>
  </si>
  <si>
    <t>1.18亿</t>
  </si>
  <si>
    <t>林业</t>
  </si>
  <si>
    <t>扭亏</t>
  </si>
  <si>
    <t>种子生产</t>
  </si>
  <si>
    <t>1.04亿</t>
  </si>
  <si>
    <t/>
  </si>
  <si>
    <t>1.34亿</t>
  </si>
  <si>
    <t>其他种植业</t>
  </si>
  <si>
    <t>9.29亿</t>
  </si>
  <si>
    <t>亏损</t>
  </si>
  <si>
    <t>1.65亿</t>
  </si>
  <si>
    <t>2.95亿</t>
  </si>
  <si>
    <t>粮食种植</t>
  </si>
  <si>
    <t>SH600883</t>
  </si>
  <si>
    <t>博闻科技</t>
  </si>
  <si>
    <t>3694.67万</t>
  </si>
  <si>
    <t>5450.30万</t>
  </si>
  <si>
    <t>2153.46万</t>
  </si>
  <si>
    <t>3172.66万</t>
  </si>
  <si>
    <t>3011.38万</t>
  </si>
  <si>
    <t>2359.86万</t>
  </si>
  <si>
    <t>714.77万</t>
  </si>
  <si>
    <t>1075.07万</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</si>
  <si>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</si>
  <si>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</si>
  <si>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</si>
  <si>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</si>
  <si>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</si>
  <si>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</si>
  <si>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</si>
  <si>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</si>
  <si>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</si>
  <si>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</si>
  <si>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</si>
  <si>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</si>
  <si>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</si>
  <si>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</si>
  <si>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</si>
  <si>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</si>
  <si>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</si>
  <si>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</si>
  <si>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</si>
  <si>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</si>
  <si>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</si>
  <si>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</si>
  <si>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</si>
  <si>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</si>
  <si>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</si>
  <si>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</si>
  <si>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</si>
  <si>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</si>
  <si>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</si>
  <si>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</si>
  <si>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</si>
  <si>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</si>
  <si>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策略1利润单季最佳增速</t>
    <phoneticPr fontId="1" type="noConversion"/>
  </si>
  <si>
    <t>利润成长策略</t>
    <phoneticPr fontId="1" type="noConversion"/>
  </si>
  <si>
    <t>成交量综合策略</t>
    <phoneticPr fontId="1" type="noConversion"/>
  </si>
  <si>
    <t>30日成交换手率</t>
    <phoneticPr fontId="1" type="noConversion"/>
  </si>
  <si>
    <t>昨日价格累计指数</t>
    <phoneticPr fontId="1" type="noConversion"/>
  </si>
  <si>
    <t>成交量异动策略</t>
    <phoneticPr fontId="1" type="noConversion"/>
  </si>
  <si>
    <t>价格右侧初期策略</t>
    <phoneticPr fontId="1" type="noConversion"/>
  </si>
  <si>
    <t>N-4</t>
    <phoneticPr fontId="1" type="noConversion"/>
  </si>
  <si>
    <t>N-2</t>
    <phoneticPr fontId="1" type="noConversion"/>
  </si>
  <si>
    <t>股利率</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</si>
  <si>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</si>
  <si>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</si>
  <si>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</si>
  <si>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</si>
  <si>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</si>
  <si>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10年自由现金流折现</t>
    <phoneticPr fontId="1" type="noConversion"/>
  </si>
  <si>
    <t>10增速</t>
    <phoneticPr fontId="1" type="noConversion"/>
  </si>
  <si>
    <t>20年自由现金流折现</t>
    <phoneticPr fontId="1" type="noConversion"/>
  </si>
  <si>
    <t>清算价格</t>
    <phoneticPr fontId="1" type="noConversion"/>
  </si>
  <si>
    <t>原始顺序</t>
    <phoneticPr fontId="1" type="noConversion"/>
  </si>
  <si>
    <t>策略1营收单季最佳增速</t>
    <phoneticPr fontId="1" type="noConversion"/>
  </si>
  <si>
    <t>价格变动策略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</si>
  <si>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</si>
  <si>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</si>
  <si>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</si>
  <si>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</si>
  <si>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今日价格累积指数</t>
    <phoneticPr fontId="1" type="noConversion"/>
  </si>
  <si>
    <t>价格箱体形态过滤</t>
    <phoneticPr fontId="1" type="noConversion"/>
  </si>
  <si>
    <t>N</t>
    <phoneticPr fontId="1" type="noConversion"/>
  </si>
  <si>
    <t>不分配不转增</t>
  </si>
  <si>
    <t>10派0.2元(含税)</t>
  </si>
  <si>
    <t>2.68亿</t>
  </si>
  <si>
    <t>2.63亿</t>
  </si>
  <si>
    <t>1.28亿</t>
  </si>
  <si>
    <t>10派0.04元(含税)</t>
  </si>
  <si>
    <t>6.47亿</t>
  </si>
  <si>
    <t>SH601118</t>
  </si>
  <si>
    <t>海南橡胶</t>
  </si>
  <si>
    <t>52.48亿</t>
  </si>
  <si>
    <t>131.95亿</t>
  </si>
  <si>
    <t>7111.87万</t>
  </si>
  <si>
    <t>11.75亿</t>
  </si>
  <si>
    <t>2.49亿</t>
  </si>
  <si>
    <t>6.72亿</t>
  </si>
  <si>
    <t>2.00亿</t>
  </si>
  <si>
    <t>1.00亿</t>
  </si>
  <si>
    <t>20.33亿</t>
  </si>
  <si>
    <t>30.05亿</t>
  </si>
  <si>
    <t>5881.19万</t>
  </si>
  <si>
    <t>6.13亿</t>
  </si>
  <si>
    <t>7.89亿</t>
  </si>
  <si>
    <t>3.06亿</t>
  </si>
  <si>
    <t>77.11亿</t>
  </si>
  <si>
    <t>9.05亿</t>
  </si>
  <si>
    <t>13.26亿</t>
  </si>
  <si>
    <t>2.53亿</t>
  </si>
  <si>
    <t>7.46亿</t>
  </si>
  <si>
    <t>1.74亿</t>
  </si>
  <si>
    <t>1019.20万</t>
  </si>
  <si>
    <t>2.41亿</t>
  </si>
  <si>
    <t>3.59亿</t>
  </si>
  <si>
    <t>19.70亿</t>
  </si>
  <si>
    <t>1.58亿</t>
  </si>
  <si>
    <t>1.84亿</t>
  </si>
  <si>
    <t>10派3元(含税)</t>
  </si>
  <si>
    <t>34.91亿</t>
  </si>
  <si>
    <t>3.01亿</t>
  </si>
  <si>
    <t>1.91亿</t>
  </si>
  <si>
    <t>-6460.14万</t>
  </si>
  <si>
    <t>23.20亿</t>
  </si>
  <si>
    <t>-2.87亿</t>
  </si>
  <si>
    <t>5.10亿</t>
  </si>
  <si>
    <t>12.40亿</t>
  </si>
  <si>
    <t>2-0</t>
  </si>
  <si>
    <t>7.52亿</t>
  </si>
  <si>
    <t>7825.23万</t>
  </si>
  <si>
    <t>2.04亿</t>
  </si>
  <si>
    <t>1.88亿</t>
  </si>
  <si>
    <t>2.28亿</t>
  </si>
  <si>
    <t>2.44亿</t>
  </si>
  <si>
    <t>10派2元(含税)</t>
  </si>
  <si>
    <t>7.23亿</t>
  </si>
  <si>
    <t>4.35亿</t>
  </si>
  <si>
    <t>45.33亿</t>
  </si>
  <si>
    <t>41.05亿</t>
  </si>
  <si>
    <t>621304970亿</t>
  </si>
  <si>
    <t>36.39亿</t>
  </si>
  <si>
    <t>7735.12万</t>
  </si>
  <si>
    <t>6.06亿</t>
  </si>
  <si>
    <t>1756.08万</t>
  </si>
  <si>
    <t>6419.79万</t>
  </si>
  <si>
    <t>3225.31万</t>
  </si>
  <si>
    <t>288.27万</t>
  </si>
  <si>
    <t>1642.58万</t>
  </si>
  <si>
    <t>6.58亿</t>
  </si>
  <si>
    <t>1329508510亿</t>
  </si>
  <si>
    <t>536.29万</t>
  </si>
  <si>
    <t>3977680000亿</t>
  </si>
  <si>
    <t>20.77亿</t>
  </si>
  <si>
    <t>1.45亿</t>
  </si>
  <si>
    <t>1.47亿</t>
  </si>
  <si>
    <t>500.40万</t>
  </si>
  <si>
    <t>34.88亿</t>
  </si>
  <si>
    <t>6.25亿</t>
  </si>
  <si>
    <t>1432.75万</t>
  </si>
  <si>
    <t>-1894.83万</t>
  </si>
  <si>
    <t>-8892.00万</t>
  </si>
  <si>
    <t>2509.16万</t>
  </si>
  <si>
    <t>15.22亿</t>
  </si>
  <si>
    <t>26.40亿</t>
  </si>
  <si>
    <t>1216816250亿</t>
  </si>
  <si>
    <t>2.30亿</t>
  </si>
  <si>
    <t>11.62亿</t>
  </si>
  <si>
    <t>10.84亿</t>
  </si>
  <si>
    <t>1519.74万</t>
  </si>
  <si>
    <t>4159.38万</t>
  </si>
  <si>
    <t>9095.67万</t>
  </si>
  <si>
    <t>612229亿</t>
  </si>
  <si>
    <t>75.64万</t>
  </si>
  <si>
    <t>3098.25万</t>
  </si>
  <si>
    <t>310999650亿</t>
  </si>
  <si>
    <t>8343.55万</t>
  </si>
  <si>
    <t>2885672200亿</t>
  </si>
  <si>
    <t>3026.39万</t>
  </si>
  <si>
    <t>1.60亿</t>
  </si>
  <si>
    <t>1314.21万</t>
  </si>
  <si>
    <t>583.82万</t>
  </si>
  <si>
    <t>4850.00万</t>
  </si>
  <si>
    <t>-2.78亿</t>
  </si>
  <si>
    <t>9.69亿</t>
  </si>
  <si>
    <t>1899.28万</t>
  </si>
  <si>
    <t>10.05亿</t>
  </si>
  <si>
    <t>2000.95万</t>
  </si>
  <si>
    <t>2.06亿</t>
  </si>
  <si>
    <t>6411.16万</t>
  </si>
  <si>
    <t>1.87亿</t>
  </si>
  <si>
    <t>10.64亿</t>
  </si>
  <si>
    <t>7197.28万</t>
  </si>
  <si>
    <t>13.24亿</t>
  </si>
  <si>
    <t>2.23亿</t>
  </si>
  <si>
    <t>9.09亿</t>
  </si>
  <si>
    <t>2000.00万</t>
  </si>
  <si>
    <t>42.62亿</t>
  </si>
  <si>
    <t>9.75亿</t>
  </si>
  <si>
    <t>7.70亿</t>
  </si>
  <si>
    <t>1174.95万</t>
  </si>
  <si>
    <t>8056.12万</t>
  </si>
  <si>
    <t>153.71亿</t>
  </si>
  <si>
    <t>127.27亿</t>
  </si>
  <si>
    <t>8.26亿</t>
  </si>
  <si>
    <t>21.40亿</t>
  </si>
  <si>
    <t>5.80亿</t>
  </si>
  <si>
    <t>3000.00万</t>
  </si>
  <si>
    <t>113.78亿</t>
  </si>
  <si>
    <t>1.问：生物质能领域目前是否存在技术壁垒，公司是否有其他的竞争者？答：永安林业采用国际先进国内首创的干法厌氧发酵技术，从技术层面看，目前在国内上市公司范围内不存在直接竞争者。2.　问：中林集团为什么选择重组永安林业。答：一是中林集团在此之前并无上市公司，重组永安林业符合集团发展的战略方向；二是我国林业上市标的较少，战略重组永安林业有利于发展林业产业；三是重组前，永安林业已经“披星戴帽”，自身有很强的重组意愿。</t>
    <phoneticPr fontId="1" type="noConversion"/>
  </si>
  <si>
    <t>1.。2022 年，公司开始向生物质能源领域转型，致力于打造国内首家绿色低碳生物能源上市公司。2023 年，公司将抓紧实施位于河北省涿州市、宁晋县、广平县，河南省郸城县、获嘉县的 5 个生物质能循环利用项目，为实现项目可复制化模式推广积累经验，快速实现永安林业发展动能转变，打造核心竞争力强、市场影响力大的旗舰型龙头上市公司。</t>
    <phoneticPr fontId="1" type="noConversion"/>
  </si>
  <si>
    <t>3.87亿</t>
  </si>
  <si>
    <t>1.57亿</t>
  </si>
  <si>
    <t>-1-1</t>
  </si>
  <si>
    <t>1374.23万</t>
  </si>
  <si>
    <t>7167.07万</t>
  </si>
  <si>
    <t>4.30亿</t>
  </si>
  <si>
    <t>5327.80万</t>
  </si>
  <si>
    <t>3.85亿</t>
  </si>
  <si>
    <t>1-1</t>
  </si>
  <si>
    <t>4.64亿</t>
  </si>
  <si>
    <t>3001.37万</t>
  </si>
  <si>
    <t>19.82亿</t>
  </si>
  <si>
    <t>6.03亿</t>
  </si>
  <si>
    <t>12.33亿</t>
  </si>
  <si>
    <t>-3.08亿</t>
  </si>
  <si>
    <t>5.87亿</t>
  </si>
  <si>
    <t>393.34万</t>
  </si>
  <si>
    <t>1914.28万</t>
  </si>
  <si>
    <t>1699336亿</t>
  </si>
  <si>
    <t>2.14万</t>
  </si>
  <si>
    <t>-2150433亿</t>
  </si>
  <si>
    <t>3.76亿</t>
  </si>
  <si>
    <t>221209150亿</t>
  </si>
  <si>
    <t>6.17万</t>
  </si>
  <si>
    <t>2898813900亿</t>
  </si>
  <si>
    <t>2669.13万</t>
  </si>
  <si>
    <t>2.94亿</t>
  </si>
  <si>
    <t>24.83万</t>
  </si>
  <si>
    <t>15.49亿</t>
  </si>
  <si>
    <t>-3329.95万</t>
  </si>
  <si>
    <t>6359.81万</t>
  </si>
  <si>
    <t>-332.00万</t>
  </si>
  <si>
    <t>-2.30亿</t>
  </si>
  <si>
    <t>2.60亿</t>
  </si>
  <si>
    <t>-307.17万</t>
  </si>
  <si>
    <t>2.78亿</t>
  </si>
  <si>
    <t>13.97亿</t>
  </si>
  <si>
    <t>-2-0</t>
  </si>
  <si>
    <t>1221.12万</t>
  </si>
  <si>
    <t>5.38亿</t>
  </si>
  <si>
    <t>11.23亿</t>
  </si>
  <si>
    <t>5669.70万</t>
  </si>
  <si>
    <t>6.93亿</t>
  </si>
  <si>
    <t>6740.03万</t>
  </si>
  <si>
    <t>5197.91万</t>
  </si>
  <si>
    <t>119.11万</t>
  </si>
  <si>
    <t>1133.17万</t>
  </si>
  <si>
    <t>4.23万</t>
  </si>
  <si>
    <t>-10138563亿</t>
  </si>
  <si>
    <t>2.61亿</t>
  </si>
  <si>
    <t>4355096亿</t>
  </si>
  <si>
    <t>824447880亿</t>
  </si>
  <si>
    <t>2058.03万</t>
  </si>
  <si>
    <t>1.85亿</t>
  </si>
  <si>
    <t>3.12亿</t>
  </si>
  <si>
    <t>-1061.73万</t>
  </si>
  <si>
    <t>-175.70万</t>
  </si>
  <si>
    <t>-236.80万</t>
  </si>
  <si>
    <t>5419.14万</t>
  </si>
  <si>
    <t>7719.27万</t>
  </si>
  <si>
    <t>-1-0</t>
  </si>
  <si>
    <t>252.37万</t>
  </si>
  <si>
    <t>20.31亿</t>
  </si>
  <si>
    <t>31.14亿</t>
  </si>
  <si>
    <t>4021.41万</t>
  </si>
  <si>
    <t>6.02亿</t>
  </si>
  <si>
    <t>2903.06万</t>
  </si>
  <si>
    <t>3533.17万</t>
  </si>
  <si>
    <t>1102160亿</t>
  </si>
  <si>
    <t>2.57万</t>
  </si>
  <si>
    <t>-16039852亿</t>
  </si>
  <si>
    <t>1.41亿</t>
  </si>
  <si>
    <t>352414970亿</t>
  </si>
  <si>
    <t>1642421000亿</t>
  </si>
  <si>
    <t>2.07亿</t>
  </si>
  <si>
    <t>3820.00万</t>
  </si>
  <si>
    <t>3229.49万</t>
  </si>
  <si>
    <t>2.37亿</t>
  </si>
  <si>
    <t>8.58亿</t>
  </si>
  <si>
    <t>1.36亿</t>
  </si>
  <si>
    <t>-1.98亿</t>
  </si>
  <si>
    <t>2810.93万</t>
  </si>
  <si>
    <t>6.15亿</t>
  </si>
  <si>
    <t>801.03万</t>
  </si>
  <si>
    <t>2176.87万</t>
  </si>
  <si>
    <t>995.08万</t>
  </si>
  <si>
    <t>176.19亿</t>
  </si>
  <si>
    <t>100.05亿</t>
  </si>
  <si>
    <t>20.72亿</t>
  </si>
  <si>
    <t>92.23亿</t>
  </si>
  <si>
    <t>12.68亿</t>
  </si>
  <si>
    <t>2175759亿</t>
  </si>
  <si>
    <t>75.17万</t>
  </si>
  <si>
    <t>72511432亿</t>
  </si>
  <si>
    <t>30.87亿</t>
  </si>
  <si>
    <t>2462876600亿</t>
  </si>
  <si>
    <t>207.00万</t>
  </si>
  <si>
    <t>11215766200亿</t>
  </si>
  <si>
    <t>10.99亿</t>
  </si>
  <si>
    <t>58.37亿</t>
  </si>
  <si>
    <t>13.85亿</t>
  </si>
  <si>
    <t>108.54亿</t>
  </si>
  <si>
    <t>52.60亿</t>
  </si>
  <si>
    <t>-10.87亿</t>
  </si>
  <si>
    <t>-1.02亿</t>
  </si>
  <si>
    <t>3.45亿</t>
  </si>
  <si>
    <t>75.32亿</t>
  </si>
  <si>
    <t>-8.33亿</t>
  </si>
  <si>
    <t>17.78亿</t>
  </si>
  <si>
    <t>10派0.5元(含税)</t>
  </si>
  <si>
    <t>7498.85万</t>
  </si>
  <si>
    <t>4.76亿</t>
  </si>
  <si>
    <t>-2-1</t>
  </si>
  <si>
    <t>448.32万</t>
  </si>
  <si>
    <t>9.18亿</t>
  </si>
  <si>
    <t>39.17亿</t>
  </si>
  <si>
    <t>2.32亿</t>
  </si>
  <si>
    <t>15.52亿</t>
  </si>
  <si>
    <t>2.56亿</t>
  </si>
  <si>
    <t>2.17亿</t>
  </si>
  <si>
    <t>1341.40万</t>
  </si>
  <si>
    <t>2555.10万</t>
  </si>
  <si>
    <t>3132647亿</t>
  </si>
  <si>
    <t>70.89万</t>
  </si>
  <si>
    <t>13856322亿</t>
  </si>
  <si>
    <t>14.62亿</t>
  </si>
  <si>
    <t>32063714亿</t>
  </si>
  <si>
    <t>3885982500亿</t>
  </si>
  <si>
    <t>7089.54万</t>
  </si>
  <si>
    <t>830.00万</t>
  </si>
  <si>
    <t>4074.39万</t>
  </si>
  <si>
    <t>6.98亿</t>
  </si>
  <si>
    <t>-8182.70万</t>
  </si>
  <si>
    <t>3.37亿</t>
  </si>
  <si>
    <t>60.01万</t>
  </si>
  <si>
    <t>4471.81万</t>
  </si>
  <si>
    <t>10派0.36元(含税)</t>
  </si>
  <si>
    <t>2912.22万</t>
  </si>
  <si>
    <t>SZ002556</t>
  </si>
  <si>
    <t>辉隆股份</t>
  </si>
  <si>
    <t>3395.75万</t>
  </si>
  <si>
    <t>39.88亿</t>
  </si>
  <si>
    <t>37.97亿</t>
  </si>
  <si>
    <t>178.33亿</t>
  </si>
  <si>
    <t>7653.59万</t>
  </si>
  <si>
    <t>37.52亿</t>
  </si>
  <si>
    <t>35.71亿</t>
  </si>
  <si>
    <t>3475.00万</t>
  </si>
  <si>
    <t>7931.12万</t>
  </si>
  <si>
    <t>63741203亿</t>
  </si>
  <si>
    <t>31.24万</t>
  </si>
  <si>
    <t>15552603亿</t>
  </si>
  <si>
    <t>13.08亿</t>
  </si>
  <si>
    <t>935333060亿</t>
  </si>
  <si>
    <t>2792.78万</t>
  </si>
  <si>
    <t>7315665400亿</t>
  </si>
  <si>
    <t>14.67亿</t>
  </si>
  <si>
    <t>23.43亿</t>
  </si>
  <si>
    <t>8.42亿</t>
  </si>
  <si>
    <t>282.30万</t>
  </si>
  <si>
    <t>61.49亿</t>
  </si>
  <si>
    <t>12.24亿</t>
  </si>
  <si>
    <t>-6.29亿</t>
  </si>
  <si>
    <t>2.90亿</t>
  </si>
  <si>
    <t>5.18亿</t>
  </si>
  <si>
    <t>182.49亿</t>
  </si>
  <si>
    <t>190.81亿</t>
  </si>
  <si>
    <t>161.02亿</t>
  </si>
  <si>
    <t>186.26亿</t>
  </si>
  <si>
    <t>174.37亿</t>
  </si>
  <si>
    <t>2.25亿</t>
  </si>
  <si>
    <t>1.93亿</t>
  </si>
  <si>
    <t>1.97亿</t>
  </si>
  <si>
    <t>43.25亿</t>
  </si>
  <si>
    <t>农业综合</t>
  </si>
  <si>
    <t>5.83亿</t>
  </si>
  <si>
    <t>206.61万</t>
  </si>
  <si>
    <t>12.88亿</t>
  </si>
  <si>
    <t>7.41亿</t>
  </si>
  <si>
    <t>523.86万</t>
  </si>
  <si>
    <t>800.63万</t>
  </si>
  <si>
    <t>2638.30万</t>
  </si>
  <si>
    <t>228.77万</t>
  </si>
  <si>
    <t>52.30万</t>
  </si>
  <si>
    <t>1088.79万</t>
  </si>
  <si>
    <t>-22352亿</t>
  </si>
  <si>
    <t>2.16万</t>
  </si>
  <si>
    <t>-20565449亿</t>
  </si>
  <si>
    <t>103099204亿</t>
  </si>
  <si>
    <t>1856994900亿</t>
  </si>
  <si>
    <t>1.10亿</t>
  </si>
  <si>
    <t>2342.32万</t>
  </si>
  <si>
    <t>10.08亿</t>
  </si>
  <si>
    <t>-3752.88万</t>
  </si>
  <si>
    <t>-69.62万</t>
  </si>
  <si>
    <t>-2629.09万</t>
  </si>
  <si>
    <t>1116.14万</t>
  </si>
  <si>
    <t>-1770.11万</t>
  </si>
  <si>
    <t>10派0.255元(含税)</t>
  </si>
  <si>
    <t>1220.28万</t>
  </si>
  <si>
    <t>6897.82万</t>
  </si>
  <si>
    <t>开始亏损</t>
  </si>
  <si>
    <t>024018900</t>
  </si>
  <si>
    <t>048037800</t>
  </si>
  <si>
    <t>080063000</t>
  </si>
  <si>
    <t>0160126000</t>
  </si>
  <si>
    <t>158.32万</t>
  </si>
  <si>
    <t>26.38亿</t>
  </si>
  <si>
    <t>34.70亿</t>
  </si>
  <si>
    <t>4.87亿</t>
  </si>
  <si>
    <t>19.31亿</t>
  </si>
  <si>
    <t>4.58亿</t>
  </si>
  <si>
    <t>3.90亿</t>
  </si>
  <si>
    <t>3906.12万</t>
  </si>
  <si>
    <t>1669.99万</t>
  </si>
  <si>
    <t>-304195亿</t>
  </si>
  <si>
    <t>11.15万</t>
  </si>
  <si>
    <t>29076845亿</t>
  </si>
  <si>
    <t>15.50亿</t>
  </si>
  <si>
    <t>25751356亿</t>
  </si>
  <si>
    <t>3108826000亿</t>
  </si>
  <si>
    <t>4.96亿</t>
  </si>
  <si>
    <t>5.40亿</t>
  </si>
  <si>
    <t>15.95亿</t>
  </si>
  <si>
    <t>9990.98万</t>
  </si>
  <si>
    <t>-3098.37万</t>
  </si>
  <si>
    <t>4.10亿</t>
  </si>
  <si>
    <t>6.23亿</t>
  </si>
  <si>
    <t>1.98亿</t>
  </si>
  <si>
    <t>1206.41万</t>
  </si>
  <si>
    <t>9266.24万</t>
  </si>
  <si>
    <t>SZ300021</t>
  </si>
  <si>
    <t>大禹节水</t>
  </si>
  <si>
    <t>816.61万</t>
  </si>
  <si>
    <t>56.67亿</t>
  </si>
  <si>
    <t>23.00亿</t>
  </si>
  <si>
    <t>4.63亿</t>
  </si>
  <si>
    <t>34.53亿</t>
  </si>
  <si>
    <t>5013.64万</t>
  </si>
  <si>
    <t>4.75亿</t>
  </si>
  <si>
    <t>3355.91万</t>
  </si>
  <si>
    <t>5875.47万</t>
  </si>
  <si>
    <t>2917265亿</t>
  </si>
  <si>
    <t>20.49万</t>
  </si>
  <si>
    <t>5865958亿</t>
  </si>
  <si>
    <t>8.06亿</t>
  </si>
  <si>
    <t>2400435100亿</t>
  </si>
  <si>
    <t>153.36万</t>
  </si>
  <si>
    <t>5177646600亿</t>
  </si>
  <si>
    <t>6388.18万</t>
  </si>
  <si>
    <t>10.06亿</t>
  </si>
  <si>
    <t>18.26亿</t>
  </si>
  <si>
    <t>21.00万</t>
  </si>
  <si>
    <t>36.51亿</t>
  </si>
  <si>
    <t>-2.67亿</t>
  </si>
  <si>
    <t>-2.11亿</t>
  </si>
  <si>
    <t>1.80亿</t>
  </si>
  <si>
    <t>34.01亿</t>
  </si>
  <si>
    <t>35.15亿</t>
  </si>
  <si>
    <t>20.18亿</t>
  </si>
  <si>
    <t>21.66亿</t>
  </si>
  <si>
    <t>17.80亿</t>
  </si>
  <si>
    <t>9770.45万</t>
  </si>
  <si>
    <t>9877.21万</t>
  </si>
  <si>
    <t>4.57亿</t>
  </si>
  <si>
    <t>1017.24万</t>
  </si>
  <si>
    <t>10派0.3元(含税)</t>
  </si>
  <si>
    <t>1.09亿</t>
  </si>
  <si>
    <t>617.21万</t>
  </si>
  <si>
    <t>41.27亿</t>
  </si>
  <si>
    <t>26.05亿</t>
  </si>
  <si>
    <t>6.73亿</t>
  </si>
  <si>
    <t>41.03亿</t>
  </si>
  <si>
    <t>2.74亿</t>
  </si>
  <si>
    <t>6.71亿</t>
  </si>
  <si>
    <t>5690.53万</t>
  </si>
  <si>
    <t>4254.38万</t>
  </si>
  <si>
    <t>-315557亿</t>
  </si>
  <si>
    <t>3.02万</t>
  </si>
  <si>
    <t>5908377亿</t>
  </si>
  <si>
    <t>11.26亿</t>
  </si>
  <si>
    <t>633843490亿</t>
  </si>
  <si>
    <t>4531066700亿</t>
  </si>
  <si>
    <t>4807.50万</t>
  </si>
  <si>
    <t>10.66亿</t>
  </si>
  <si>
    <t>5.71亿</t>
  </si>
  <si>
    <t>28.69亿</t>
  </si>
  <si>
    <t>3.40亿</t>
  </si>
  <si>
    <t>-6.33亿</t>
  </si>
  <si>
    <t>-5547.16万</t>
  </si>
  <si>
    <t>6.17亿</t>
  </si>
  <si>
    <t>3131.71万</t>
  </si>
  <si>
    <t>10派1元(含税)</t>
  </si>
  <si>
    <t>6065.48万</t>
  </si>
  <si>
    <t>-3-1</t>
  </si>
  <si>
    <t>7456.61万</t>
  </si>
  <si>
    <t>5006.14万</t>
  </si>
  <si>
    <t>-3602.24万</t>
  </si>
  <si>
    <t>5882.14万</t>
  </si>
  <si>
    <t>3480.77万</t>
  </si>
  <si>
    <t>992.03万</t>
  </si>
  <si>
    <t>1115.81万</t>
  </si>
  <si>
    <t>1136286亿</t>
  </si>
  <si>
    <t>10.25万</t>
  </si>
  <si>
    <t>-8853679亿</t>
  </si>
  <si>
    <t>6601.34万</t>
  </si>
  <si>
    <t>93960156亿</t>
  </si>
  <si>
    <t>183.24万</t>
  </si>
  <si>
    <t>255612050亿</t>
  </si>
  <si>
    <t>3056.46万</t>
  </si>
  <si>
    <t>225.00万</t>
  </si>
  <si>
    <t>5291.51万</t>
  </si>
  <si>
    <t>96.54万</t>
  </si>
  <si>
    <t>9428.00万</t>
  </si>
  <si>
    <t>586.03万</t>
  </si>
  <si>
    <t>-565.33万</t>
  </si>
  <si>
    <t>-4181.45万</t>
  </si>
  <si>
    <t>214.76万</t>
  </si>
  <si>
    <t>3922.71万</t>
  </si>
  <si>
    <t>-334.91万</t>
  </si>
  <si>
    <t>5.41亿</t>
  </si>
  <si>
    <t>10.27亿</t>
  </si>
  <si>
    <t>-5-0</t>
  </si>
  <si>
    <t>1335.09万</t>
  </si>
  <si>
    <t>31.70亿</t>
  </si>
  <si>
    <t>14.51亿</t>
  </si>
  <si>
    <t>6.04亿</t>
  </si>
  <si>
    <t>25.65亿</t>
  </si>
  <si>
    <t>-1.88亿</t>
  </si>
  <si>
    <t>5.26亿</t>
  </si>
  <si>
    <t>826.99万</t>
  </si>
  <si>
    <t>3028.44万</t>
  </si>
  <si>
    <t>45.87万</t>
  </si>
  <si>
    <t>-3544930亿</t>
  </si>
  <si>
    <t>6.48亿</t>
  </si>
  <si>
    <t>31141927亿</t>
  </si>
  <si>
    <t>1197349930亿</t>
  </si>
  <si>
    <t>8.79亿</t>
  </si>
  <si>
    <t>231.08万</t>
  </si>
  <si>
    <t>2.83亿</t>
  </si>
  <si>
    <t>18.25亿</t>
  </si>
  <si>
    <t>10.29亿</t>
  </si>
  <si>
    <t>7962.04万</t>
  </si>
  <si>
    <t>6.22亿</t>
  </si>
  <si>
    <t>20.63亿</t>
  </si>
  <si>
    <t>-2.92亿</t>
  </si>
  <si>
    <t>7402.19万</t>
  </si>
  <si>
    <t>5.13亿</t>
  </si>
  <si>
    <t>127.46万</t>
  </si>
  <si>
    <t>2.57亿</t>
  </si>
  <si>
    <t>4.28亿</t>
  </si>
  <si>
    <t>6625.84万</t>
  </si>
  <si>
    <t>2.36亿</t>
  </si>
  <si>
    <t>298.11万</t>
  </si>
  <si>
    <t>1767.12万</t>
  </si>
  <si>
    <t>25.41万</t>
  </si>
  <si>
    <t>817697亿</t>
  </si>
  <si>
    <t>19968064亿</t>
  </si>
  <si>
    <t>544478480亿</t>
  </si>
  <si>
    <t>7272.83万</t>
  </si>
  <si>
    <t>286.92万</t>
  </si>
  <si>
    <t>1.64亿</t>
  </si>
  <si>
    <t>3561.39万</t>
  </si>
  <si>
    <t>-5038.37万</t>
  </si>
  <si>
    <t>-5828.48万</t>
  </si>
  <si>
    <t>9.96亿</t>
  </si>
  <si>
    <t>8371.75万</t>
  </si>
  <si>
    <t>3034.89万</t>
  </si>
  <si>
    <t>1579.43万</t>
  </si>
  <si>
    <t>911.47万</t>
  </si>
  <si>
    <t>7999.69万</t>
  </si>
  <si>
    <t>7-1</t>
  </si>
  <si>
    <t>435.83万</t>
  </si>
  <si>
    <t>11.45亿</t>
  </si>
  <si>
    <t>8.00亿</t>
  </si>
  <si>
    <t>4.43亿</t>
  </si>
  <si>
    <t>-4336.04万</t>
  </si>
  <si>
    <t>3.17亿</t>
  </si>
  <si>
    <t>857.48万</t>
  </si>
  <si>
    <t>2819.12万</t>
  </si>
  <si>
    <t>123219亿</t>
  </si>
  <si>
    <t>246.19万</t>
  </si>
  <si>
    <t>36120964亿</t>
  </si>
  <si>
    <t>100908052亿</t>
  </si>
  <si>
    <t>1137816910亿</t>
  </si>
  <si>
    <t>3.75亿</t>
  </si>
  <si>
    <t>4033.68万</t>
  </si>
  <si>
    <t>1018.45万</t>
  </si>
  <si>
    <t>-300.63万</t>
  </si>
  <si>
    <t>-3331.87万</t>
  </si>
  <si>
    <t>-5109.45万</t>
  </si>
  <si>
    <t>11.58亿</t>
  </si>
  <si>
    <t>2636.31万</t>
  </si>
  <si>
    <t>4079.52万</t>
  </si>
  <si>
    <t>-1201.75万</t>
  </si>
  <si>
    <t>3493.21万</t>
  </si>
  <si>
    <t>2.10亿</t>
  </si>
  <si>
    <t>292.99万</t>
  </si>
  <si>
    <t>7.13亿</t>
  </si>
  <si>
    <t>17.42亿</t>
  </si>
  <si>
    <t>3686.94万</t>
  </si>
  <si>
    <t>7766.42万</t>
  </si>
  <si>
    <t>513.62万</t>
  </si>
  <si>
    <t>1574.45万</t>
  </si>
  <si>
    <t>1948亿</t>
  </si>
  <si>
    <t>2.09万</t>
  </si>
  <si>
    <t>50621150亿</t>
  </si>
  <si>
    <t>2.98亿</t>
  </si>
  <si>
    <t>32206305亿</t>
  </si>
  <si>
    <t>822864130亿</t>
  </si>
  <si>
    <t>1169.57万</t>
  </si>
  <si>
    <t>4844.71万</t>
  </si>
  <si>
    <t>55.52万</t>
  </si>
  <si>
    <t>5.36亿</t>
  </si>
  <si>
    <t>1656.73万</t>
  </si>
  <si>
    <t>1188.76万</t>
  </si>
  <si>
    <t>-2195.07万</t>
  </si>
  <si>
    <t>5512.88万</t>
  </si>
  <si>
    <t>5.48亿</t>
  </si>
  <si>
    <t>4.13亿</t>
  </si>
  <si>
    <t>6891.05万</t>
  </si>
  <si>
    <t>521.44万</t>
  </si>
  <si>
    <t>2866.70万</t>
  </si>
  <si>
    <t>-4-1</t>
  </si>
  <si>
    <t>152.45万</t>
  </si>
  <si>
    <t>3.03亿</t>
  </si>
  <si>
    <t>9352.52万</t>
  </si>
  <si>
    <t>290.07亿</t>
  </si>
  <si>
    <t>18.86亿</t>
  </si>
  <si>
    <t>7159.28万</t>
  </si>
  <si>
    <t>6442.41万</t>
  </si>
  <si>
    <t>712.52万</t>
  </si>
  <si>
    <t>384.12万</t>
  </si>
  <si>
    <t>15600000亿</t>
  </si>
  <si>
    <t>34114732亿</t>
  </si>
  <si>
    <t>702127790亿</t>
  </si>
  <si>
    <t>173.18万</t>
  </si>
  <si>
    <t>2.21亿</t>
  </si>
  <si>
    <t>-5507.10万</t>
  </si>
  <si>
    <t>1560.00万</t>
  </si>
  <si>
    <t>3.19亿</t>
  </si>
  <si>
    <t>62.72亿</t>
  </si>
  <si>
    <t>6529.04万</t>
  </si>
  <si>
    <t>3.36亿</t>
  </si>
  <si>
    <t>1333.71万</t>
  </si>
  <si>
    <t>7612.18万</t>
  </si>
  <si>
    <t>531.02万</t>
  </si>
  <si>
    <t>23.03亿</t>
  </si>
  <si>
    <t>7.66亿</t>
  </si>
  <si>
    <t>3.15亿</t>
  </si>
  <si>
    <t>155.37万</t>
  </si>
  <si>
    <t>1002.39万</t>
  </si>
  <si>
    <t>1009271亿</t>
  </si>
  <si>
    <t>6.14万</t>
  </si>
  <si>
    <t>-13867667亿</t>
  </si>
  <si>
    <t>11.08亿</t>
  </si>
  <si>
    <t>34522362亿</t>
  </si>
  <si>
    <t>2133362100亿</t>
  </si>
  <si>
    <t>3470.87万</t>
  </si>
  <si>
    <t>17.36亿</t>
  </si>
  <si>
    <t>3437.12万</t>
  </si>
  <si>
    <t>23.07亿</t>
  </si>
  <si>
    <t>9995.00万</t>
  </si>
  <si>
    <t>-3235.56万</t>
  </si>
  <si>
    <t>-2905.15万</t>
  </si>
  <si>
    <t>9.72亿</t>
  </si>
  <si>
    <t>1470.75万</t>
  </si>
  <si>
    <t>3253.75万</t>
  </si>
  <si>
    <t>2.05亿</t>
  </si>
  <si>
    <t>791.88万</t>
  </si>
  <si>
    <t>13.99亿</t>
  </si>
  <si>
    <t>78.47亿</t>
  </si>
  <si>
    <t>9.56亿</t>
  </si>
  <si>
    <t>-2.12亿</t>
  </si>
  <si>
    <t>4.08亿</t>
  </si>
  <si>
    <t>3.05亿</t>
  </si>
  <si>
    <t>1151.55万</t>
  </si>
  <si>
    <t>6142766亿</t>
  </si>
  <si>
    <t>6.53万</t>
  </si>
  <si>
    <t>552858710亿</t>
  </si>
  <si>
    <t>71.51亿</t>
  </si>
  <si>
    <t>9727607500亿</t>
  </si>
  <si>
    <t>1400.81万</t>
  </si>
  <si>
    <t>526.49万</t>
  </si>
  <si>
    <t>66.45亿</t>
  </si>
  <si>
    <t>51.03亿</t>
  </si>
  <si>
    <t>-3.20亿</t>
  </si>
  <si>
    <t>-130.90万</t>
  </si>
  <si>
    <t>50.44亿</t>
  </si>
  <si>
    <t>7102.68万</t>
  </si>
  <si>
    <t>2105.36万</t>
  </si>
  <si>
    <t>10派4.4元(含税)</t>
  </si>
  <si>
    <t>5129.14万</t>
  </si>
  <si>
    <t>314.16万</t>
  </si>
  <si>
    <t>5374.22万</t>
  </si>
  <si>
    <t>9.38亿</t>
  </si>
  <si>
    <t>707.90万</t>
  </si>
  <si>
    <t>190.70亿</t>
  </si>
  <si>
    <t>7.65亿</t>
  </si>
  <si>
    <t>1213.24万</t>
  </si>
  <si>
    <t>666.13万</t>
  </si>
  <si>
    <t>74.42万</t>
  </si>
  <si>
    <t>511.48万</t>
  </si>
  <si>
    <t>22908044亿</t>
  </si>
  <si>
    <t>18033692亿</t>
  </si>
  <si>
    <t>7159.53万</t>
  </si>
  <si>
    <t>978962亿</t>
  </si>
  <si>
    <t>229601220亿</t>
  </si>
  <si>
    <t>350.00万</t>
  </si>
  <si>
    <t>286.48万</t>
  </si>
  <si>
    <t>3292.78万</t>
  </si>
  <si>
    <t>-502.87万</t>
  </si>
  <si>
    <t>-3150.52万</t>
  </si>
  <si>
    <t>95.11万</t>
  </si>
  <si>
    <t>2120.38万</t>
  </si>
  <si>
    <t>44.49亿</t>
  </si>
  <si>
    <t>9615.16万</t>
  </si>
  <si>
    <t>5.73亿</t>
  </si>
  <si>
    <t>2454.73万</t>
  </si>
  <si>
    <t>1.24亿</t>
  </si>
  <si>
    <t>-3-0</t>
  </si>
  <si>
    <t>2519.45万</t>
  </si>
  <si>
    <t>223.16亿</t>
  </si>
  <si>
    <t>112.85亿</t>
  </si>
  <si>
    <t>81.42亿</t>
  </si>
  <si>
    <t>8.66亿</t>
  </si>
  <si>
    <t>83.71亿</t>
  </si>
  <si>
    <t>78.15亿</t>
  </si>
  <si>
    <t>9077.05万</t>
  </si>
  <si>
    <t>2.72亿</t>
  </si>
  <si>
    <t>-28913848亿</t>
  </si>
  <si>
    <t>548.74万</t>
  </si>
  <si>
    <t>-157865610亿</t>
  </si>
  <si>
    <t>42.78亿</t>
  </si>
  <si>
    <t>1629499000亿</t>
  </si>
  <si>
    <t>5493.27万</t>
  </si>
  <si>
    <t>12302050400亿</t>
  </si>
  <si>
    <t>83.40亿</t>
  </si>
  <si>
    <t>7.73亿</t>
  </si>
  <si>
    <t>1.43亿</t>
  </si>
  <si>
    <t>139.84亿</t>
  </si>
  <si>
    <t>41.73亿</t>
  </si>
  <si>
    <t>4.53亿</t>
  </si>
  <si>
    <t>7522.59万</t>
  </si>
  <si>
    <t>152.07亿</t>
  </si>
  <si>
    <t>155.32亿</t>
  </si>
  <si>
    <t>137.48亿</t>
  </si>
  <si>
    <t>7639.97万</t>
  </si>
  <si>
    <t>376.87亿</t>
  </si>
  <si>
    <t>2.97亿</t>
  </si>
  <si>
    <t>3128.30万</t>
  </si>
  <si>
    <t>10派0.209元(含税)</t>
  </si>
  <si>
    <t>16.45亿</t>
  </si>
  <si>
    <t>0561000000</t>
  </si>
  <si>
    <t>01122000000</t>
  </si>
  <si>
    <t>01870000000</t>
  </si>
  <si>
    <t>03740000000</t>
  </si>
  <si>
    <t>3-1</t>
  </si>
  <si>
    <t>454.62万</t>
  </si>
  <si>
    <t>73.33亿</t>
  </si>
  <si>
    <t>72.24亿</t>
  </si>
  <si>
    <t>23.36亿</t>
  </si>
  <si>
    <t>59.04亿</t>
  </si>
  <si>
    <t>22.38亿</t>
  </si>
  <si>
    <t>20.11亿</t>
  </si>
  <si>
    <t>3974.04万</t>
  </si>
  <si>
    <t>14250321亿</t>
  </si>
  <si>
    <t>47.04万</t>
  </si>
  <si>
    <t>99855121亿</t>
  </si>
  <si>
    <t>8.07亿</t>
  </si>
  <si>
    <t>796186470亿</t>
  </si>
  <si>
    <t>302.00万</t>
  </si>
  <si>
    <t>7707968900亿</t>
  </si>
  <si>
    <t>2261.50万</t>
  </si>
  <si>
    <t>3.07亿</t>
  </si>
  <si>
    <t>21.72亿</t>
  </si>
  <si>
    <t>-1018.58万</t>
  </si>
  <si>
    <t>-5867.25万</t>
  </si>
  <si>
    <t>121.68亿</t>
  </si>
  <si>
    <t>12.92亿</t>
  </si>
  <si>
    <t>8.16亿</t>
  </si>
  <si>
    <t>3839.88万</t>
  </si>
  <si>
    <t>3114.46万</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</si>
</sst>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9" fontId="0" fillId="0" borderId="0" xfId="0" applyNumberFormat="1">
      <alignment vertical="center"/>
    </xf>
    <xf numFmtId="0" fontId="5"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203200</xdr:colOff>
          <xdr:row>0</xdr:row>
          <xdr:rowOff>82550</xdr:rowOff>
        </xdr:from>
        <xdr:to>
          <xdr:col>147</xdr:col>
          <xdr:colOff>1295400</xdr:colOff>
          <xdr:row>0</xdr:row>
          <xdr:rowOff>393700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42"/>
  <sheetViews>
    <sheetView tabSelected="1" zoomScale="85" zoomScaleNormal="85" workbookViewId="0">
      <pane xSplit="5" ySplit="1" topLeftCell="F2" activePane="bottomRight" state="frozen"/>
      <selection pane="topRight" activeCell="F1" sqref="F1"/>
      <selection pane="bottomLeft" activeCell="A2" sqref="A2"/>
      <selection pane="bottomRight" activeCell="C6" sqref="C6:C7"/>
    </sheetView>
  </sheetViews>
  <sheetFormatPr defaultRowHeight="14" x14ac:dyDescent="0.25"/>
  <cols>
    <col min="1" max="1" width="31" customWidth="1"/>
    <col min="2" max="2" width="36.26953125" customWidth="1"/>
    <col min="3" max="3" width="37.36328125" customWidth="1"/>
    <col min="23" max="23" width="12.1796875" customWidth="1"/>
    <col min="27" max="27" width="12" customWidth="1"/>
    <col min="148" max="148" width="21.453125" customWidth="1"/>
  </cols>
  <sheetData>
    <row r="1" spans="1:146" ht="42" customHeight="1" x14ac:dyDescent="0.25">
      <c r="A1" s="3" t="s">
        <v>42</v>
      </c>
      <c r="B1" s="4" t="s">
        <v>43</v>
      </c>
      <c r="C1" s="3" t="s">
        <v>44</v>
      </c>
      <c r="D1" t="s">
        <v>45</v>
      </c>
      <c r="E1" t="s">
        <v>254</v>
      </c>
      <c r="F1" t="s">
        <v>3</v>
      </c>
      <c r="G1" t="s">
        <v>303</v>
      </c>
      <c r="H1" t="s">
        <v>304</v>
      </c>
      <c r="I1" t="s">
        <v>20</v>
      </c>
      <c r="J1" t="s">
        <v>21</v>
      </c>
      <c r="K1" t="s">
        <v>4</v>
      </c>
      <c r="L1" t="s">
        <v>22</v>
      </c>
      <c r="M1" t="s">
        <v>46</v>
      </c>
      <c r="N1" t="s">
        <v>47</v>
      </c>
      <c r="O1" t="s">
        <v>48</v>
      </c>
      <c r="P1" t="s">
        <v>305</v>
      </c>
      <c r="Q1" t="s">
        <v>255</v>
      </c>
      <c r="R1" t="s">
        <v>256</v>
      </c>
      <c r="S1" t="s">
        <v>49</v>
      </c>
      <c r="T1" t="s">
        <v>306</v>
      </c>
      <c r="U1" t="s">
        <v>211</v>
      </c>
      <c r="V1" t="s">
        <v>50</v>
      </c>
      <c r="W1" t="s">
        <v>257</v>
      </c>
      <c r="X1" t="s">
        <v>258</v>
      </c>
      <c r="Y1" t="s">
        <v>259</v>
      </c>
      <c r="Z1" t="s">
        <v>260</v>
      </c>
      <c r="AA1" t="s">
        <v>261</v>
      </c>
      <c r="AB1" t="s">
        <v>307</v>
      </c>
      <c r="AC1" t="s">
        <v>262</v>
      </c>
      <c r="AD1" t="s">
        <v>263</v>
      </c>
      <c r="AE1" t="s">
        <v>51</v>
      </c>
      <c r="AF1" t="s">
        <v>52</v>
      </c>
      <c r="AG1" t="s">
        <v>308</v>
      </c>
      <c r="AH1" t="s">
        <v>264</v>
      </c>
      <c r="AI1" t="s">
        <v>309</v>
      </c>
      <c r="AJ1" t="s">
        <v>53</v>
      </c>
      <c r="AK1" t="s">
        <v>310</v>
      </c>
      <c r="AL1" t="s">
        <v>92</v>
      </c>
      <c r="AM1" t="s">
        <v>311</v>
      </c>
      <c r="AN1" t="s">
        <v>312</v>
      </c>
      <c r="AO1" t="s">
        <v>313</v>
      </c>
      <c r="AP1" t="s">
        <v>314</v>
      </c>
      <c r="AQ1" t="s">
        <v>315</v>
      </c>
      <c r="AR1" t="s">
        <v>316</v>
      </c>
      <c r="AS1" t="s">
        <v>317</v>
      </c>
      <c r="AT1" t="s">
        <v>318</v>
      </c>
      <c r="AU1" t="s">
        <v>319</v>
      </c>
      <c r="AV1" t="s">
        <v>320</v>
      </c>
      <c r="AW1" t="s">
        <v>321</v>
      </c>
      <c r="AX1" t="s">
        <v>265</v>
      </c>
      <c r="AY1" t="s">
        <v>93</v>
      </c>
      <c r="AZ1" t="s">
        <v>94</v>
      </c>
      <c r="BA1" t="s">
        <v>95</v>
      </c>
      <c r="BB1" t="s">
        <v>96</v>
      </c>
      <c r="BC1" t="s">
        <v>212</v>
      </c>
      <c r="BD1" t="s">
        <v>97</v>
      </c>
      <c r="BE1" t="s">
        <v>98</v>
      </c>
      <c r="BF1" t="s">
        <v>99</v>
      </c>
      <c r="BG1" t="s">
        <v>100</v>
      </c>
      <c r="BH1" t="s">
        <v>322</v>
      </c>
      <c r="BI1" t="s">
        <v>323</v>
      </c>
      <c r="BJ1" t="s">
        <v>324</v>
      </c>
      <c r="BK1" t="s">
        <v>325</v>
      </c>
      <c r="BL1" t="s">
        <v>326</v>
      </c>
      <c r="BM1" t="s">
        <v>327</v>
      </c>
      <c r="BN1" t="s">
        <v>266</v>
      </c>
      <c r="BO1" t="s">
        <v>213</v>
      </c>
      <c r="BP1" t="s">
        <v>101</v>
      </c>
      <c r="BQ1" t="s">
        <v>267</v>
      </c>
      <c r="BR1" t="s">
        <v>214</v>
      </c>
      <c r="BS1" t="s">
        <v>102</v>
      </c>
      <c r="BT1" t="s">
        <v>328</v>
      </c>
      <c r="BU1" t="s">
        <v>268</v>
      </c>
      <c r="BV1" t="s">
        <v>329</v>
      </c>
      <c r="BW1" t="s">
        <v>207</v>
      </c>
      <c r="BX1" t="s">
        <v>103</v>
      </c>
      <c r="BY1" t="s">
        <v>330</v>
      </c>
      <c r="BZ1" t="s">
        <v>208</v>
      </c>
      <c r="CA1" t="s">
        <v>104</v>
      </c>
      <c r="CB1" t="s">
        <v>331</v>
      </c>
      <c r="CC1" t="s">
        <v>332</v>
      </c>
      <c r="CD1" t="s">
        <v>333</v>
      </c>
      <c r="CE1" t="s">
        <v>334</v>
      </c>
      <c r="CF1" s="1" t="s">
        <v>269</v>
      </c>
      <c r="CG1" s="1" t="s">
        <v>270</v>
      </c>
      <c r="CH1" s="1" t="s">
        <v>190</v>
      </c>
      <c r="CI1" s="1" t="s">
        <v>191</v>
      </c>
      <c r="CJ1" s="1" t="s">
        <v>192</v>
      </c>
      <c r="CK1" s="1" t="s">
        <v>193</v>
      </c>
      <c r="CL1" s="1" t="s">
        <v>194</v>
      </c>
      <c r="CM1" s="1" t="s">
        <v>195</v>
      </c>
      <c r="CN1" s="1" t="s">
        <v>196</v>
      </c>
      <c r="CO1" s="1" t="s">
        <v>197</v>
      </c>
      <c r="CP1" s="1" t="s">
        <v>198</v>
      </c>
      <c r="CQ1" s="1" t="s">
        <v>199</v>
      </c>
      <c r="CR1" s="1" t="s">
        <v>271</v>
      </c>
      <c r="CS1" s="1" t="s">
        <v>272</v>
      </c>
      <c r="CT1" s="1" t="s">
        <v>344</v>
      </c>
      <c r="CU1" s="1" t="s">
        <v>273</v>
      </c>
      <c r="CV1" s="1" t="s">
        <v>274</v>
      </c>
      <c r="CW1" s="1" t="s">
        <v>345</v>
      </c>
      <c r="CX1">
        <v>1</v>
      </c>
      <c r="CY1" t="s">
        <v>346</v>
      </c>
      <c r="CZ1" t="s">
        <v>347</v>
      </c>
      <c r="DA1">
        <v>3</v>
      </c>
      <c r="DB1" t="s">
        <v>348</v>
      </c>
      <c r="DC1" t="s">
        <v>275</v>
      </c>
      <c r="DD1">
        <v>6</v>
      </c>
      <c r="DE1" t="s">
        <v>349</v>
      </c>
      <c r="DF1" t="s">
        <v>276</v>
      </c>
      <c r="DG1">
        <v>10</v>
      </c>
      <c r="DH1" t="s">
        <v>350</v>
      </c>
      <c r="DI1" t="s">
        <v>351</v>
      </c>
      <c r="DJ1">
        <v>20</v>
      </c>
      <c r="DK1" t="s">
        <v>352</v>
      </c>
      <c r="DL1" t="s">
        <v>200</v>
      </c>
      <c r="DM1" t="s">
        <v>201</v>
      </c>
      <c r="DN1" s="2" t="s">
        <v>202</v>
      </c>
      <c r="DO1" t="s">
        <v>203</v>
      </c>
      <c r="DP1" t="s">
        <v>353</v>
      </c>
      <c r="DQ1" s="8" t="s">
        <v>354</v>
      </c>
      <c r="DR1" s="1" t="s">
        <v>355</v>
      </c>
      <c r="DS1" s="1" t="s">
        <v>335</v>
      </c>
      <c r="DT1" t="s">
        <v>204</v>
      </c>
      <c r="DU1" t="s">
        <v>336</v>
      </c>
      <c r="DV1" t="s">
        <v>205</v>
      </c>
      <c r="DW1" t="s">
        <v>356</v>
      </c>
      <c r="DX1" t="s">
        <v>337</v>
      </c>
      <c r="DY1" t="s">
        <v>357</v>
      </c>
      <c r="DZ1" t="s">
        <v>358</v>
      </c>
      <c r="EA1" t="s">
        <v>206</v>
      </c>
      <c r="EB1" t="s">
        <v>359</v>
      </c>
      <c r="EC1" t="s">
        <v>360</v>
      </c>
      <c r="ED1" t="s">
        <v>338</v>
      </c>
      <c r="EE1" t="s">
        <v>339</v>
      </c>
      <c r="EF1" t="s">
        <v>361</v>
      </c>
      <c r="EG1" t="s">
        <v>340</v>
      </c>
      <c r="EH1" t="s">
        <v>362</v>
      </c>
      <c r="EI1" t="s">
        <v>341</v>
      </c>
      <c r="EK1" s="9" t="s">
        <v>277</v>
      </c>
      <c r="EL1" t="s">
        <v>342</v>
      </c>
      <c r="EM1" t="s">
        <v>278</v>
      </c>
      <c r="EN1" t="s">
        <v>343</v>
      </c>
      <c r="EO1" t="s">
        <v>279</v>
      </c>
      <c r="EP1" t="s">
        <v>363</v>
      </c>
    </row>
    <row r="2" spans="1:146" ht="216" x14ac:dyDescent="0.25">
      <c r="A2" s="6"/>
      <c r="B2" s="6"/>
      <c r="C2" s="6" t="str">
        <f>"公司主要从事是造林营林、林木产品加工与销售、以烟草化肥销售为主的农资贸易业务和与平潭综合实验区开发项目的有关业务。公司的主要产品是林木原木以及纤维板。"&amp;CHAR(10)&amp;Basic_Fundamental_Information_Constructure(F2)&amp;CHAR(10)&amp;Basic_Fundamental_Information_Concatenate("纤维板销售 6.07亿 51.62% 42.55% 3.90%
农资贸易流通 2.70亿 22.99% 16.70% 3.44%
其他贸易流通(木产品、纸浆贸易流通) 1.52亿 12.92% 10.15% 3.72%
林木产品销售 6363.08万 5.42% 21.18% 18.52%
生物与新医药产品生产销售 5114.62万 4.35% 9.42% 10.25%")</f>
        <v>公司主要从事是造林营林、林木产品加工与销售、以烟草化肥销售为主的农资贸易业务和与平潭综合实验区开发项目的有关业务。公司的主要产品是林木原木以及纤维板。
市值27.238111亿, 利润-3.08亿; PE; 平均PE-14.86; 平均PEG-1.89, PB1.32; ROIC.68%; ROE-7.4233%; 股利率0%; 毛利7.5267%; 净利-25.5267%; 上一年度营收增4.94%, 利润增-33.91%; 当季营收增131.92%, 利润增73.88%; 过往5年营收增7.87%, 利润增-217.71%
Income profile:
纤维板销售 6.07亿 51.62% 42.55% 3.90%
农资贸易流通 2.70亿 22.99% 16.70% 3.44%
其他贸易流通(木产品、纸浆贸易流通) 1.52亿 12.92% 10.15% 3.72%
林木产品销售 6363.08万 5.42% 21.18% 18.52%
生物与新医药产品生产销售 5114.62万 4.35% 9.42% 10.25%</v>
      </c>
      <c r="D2" t="s">
        <v>38</v>
      </c>
      <c r="E2" t="s">
        <v>10</v>
      </c>
      <c r="F2">
        <v>1.41</v>
      </c>
      <c r="G2">
        <v>1.44</v>
      </c>
      <c r="H2" t="s">
        <v>501</v>
      </c>
      <c r="I2">
        <v>2723811100</v>
      </c>
      <c r="K2">
        <v>1.32</v>
      </c>
      <c r="L2" t="s">
        <v>23</v>
      </c>
      <c r="M2" t="s">
        <v>502</v>
      </c>
      <c r="N2" t="s">
        <v>485</v>
      </c>
      <c r="O2" t="s">
        <v>503</v>
      </c>
      <c r="P2">
        <v>131.72999999999999</v>
      </c>
      <c r="Q2" t="s">
        <v>504</v>
      </c>
      <c r="R2">
        <v>-802349</v>
      </c>
      <c r="S2" s="5">
        <v>0.73880000000000001</v>
      </c>
      <c r="T2" t="s">
        <v>505</v>
      </c>
      <c r="U2">
        <v>1913936900</v>
      </c>
      <c r="V2">
        <v>1931780900</v>
      </c>
      <c r="W2">
        <v>1.74</v>
      </c>
      <c r="X2">
        <v>0.15</v>
      </c>
      <c r="Y2">
        <v>-0.54</v>
      </c>
      <c r="Z2" t="s">
        <v>384</v>
      </c>
      <c r="AA2" t="s">
        <v>506</v>
      </c>
      <c r="AB2" t="s">
        <v>507</v>
      </c>
      <c r="AC2" t="s">
        <v>508</v>
      </c>
      <c r="AD2" t="s">
        <v>54</v>
      </c>
      <c r="AE2">
        <v>-916161</v>
      </c>
      <c r="AF2" t="s">
        <v>509</v>
      </c>
      <c r="AG2" t="s">
        <v>510</v>
      </c>
      <c r="AH2" t="s">
        <v>511</v>
      </c>
      <c r="AI2" t="s">
        <v>512</v>
      </c>
      <c r="AJ2" t="s">
        <v>513</v>
      </c>
      <c r="AK2" t="s">
        <v>514</v>
      </c>
      <c r="AL2" t="s">
        <v>515</v>
      </c>
      <c r="AM2" t="s">
        <v>54</v>
      </c>
      <c r="AN2" t="s">
        <v>516</v>
      </c>
      <c r="AO2" t="s">
        <v>54</v>
      </c>
      <c r="AP2" t="s">
        <v>54</v>
      </c>
      <c r="AQ2" t="s">
        <v>517</v>
      </c>
      <c r="AR2" t="s">
        <v>518</v>
      </c>
      <c r="AS2" t="s">
        <v>519</v>
      </c>
      <c r="AT2" t="s">
        <v>54</v>
      </c>
      <c r="AU2" t="s">
        <v>520</v>
      </c>
      <c r="AV2" t="s">
        <v>521</v>
      </c>
      <c r="AW2" t="s">
        <v>522</v>
      </c>
      <c r="AX2" t="s">
        <v>376</v>
      </c>
      <c r="AY2" t="s">
        <v>215</v>
      </c>
      <c r="AZ2" t="s">
        <v>106</v>
      </c>
      <c r="BA2" t="s">
        <v>62</v>
      </c>
      <c r="BB2" t="s">
        <v>108</v>
      </c>
      <c r="BC2" t="s">
        <v>523</v>
      </c>
      <c r="BD2" t="s">
        <v>216</v>
      </c>
      <c r="BE2" t="s">
        <v>107</v>
      </c>
      <c r="BF2" t="s">
        <v>63</v>
      </c>
      <c r="BG2" t="s">
        <v>109</v>
      </c>
      <c r="BH2" t="s">
        <v>504</v>
      </c>
      <c r="BI2" t="s">
        <v>524</v>
      </c>
      <c r="BJ2" t="s">
        <v>376</v>
      </c>
      <c r="BK2" t="s">
        <v>505</v>
      </c>
      <c r="BL2" t="s">
        <v>525</v>
      </c>
      <c r="BM2" t="s">
        <v>523</v>
      </c>
      <c r="BN2">
        <v>0.68</v>
      </c>
      <c r="BO2" t="s">
        <v>54</v>
      </c>
      <c r="BP2" t="s">
        <v>54</v>
      </c>
      <c r="BQ2">
        <v>0.85</v>
      </c>
      <c r="BR2">
        <v>-9.24</v>
      </c>
      <c r="BS2">
        <v>-13.88</v>
      </c>
      <c r="BT2" t="s">
        <v>364</v>
      </c>
      <c r="BU2" t="s">
        <v>281</v>
      </c>
      <c r="BV2">
        <v>6.69</v>
      </c>
      <c r="BW2">
        <v>6.84</v>
      </c>
      <c r="BX2">
        <v>9.0500000000000007</v>
      </c>
      <c r="BY2">
        <v>-11.37</v>
      </c>
      <c r="BZ2">
        <v>-16.53</v>
      </c>
      <c r="CA2">
        <v>-48.68</v>
      </c>
      <c r="CB2">
        <v>8.4600000000000009</v>
      </c>
      <c r="CC2">
        <v>-31.88</v>
      </c>
      <c r="CD2" t="s">
        <v>526</v>
      </c>
      <c r="CE2" t="s">
        <v>527</v>
      </c>
      <c r="CF2" s="10">
        <v>1.3192307692307692</v>
      </c>
      <c r="CG2" s="11">
        <v>0.73879317641696785</v>
      </c>
      <c r="CH2" s="10">
        <v>4.9361590296030045E-2</v>
      </c>
      <c r="CI2" s="10">
        <v>-0.26882389187812805</v>
      </c>
      <c r="CJ2" s="10">
        <v>0.3022691011428833</v>
      </c>
      <c r="CK2" s="10">
        <v>0.27743270993232727</v>
      </c>
      <c r="CL2" s="10">
        <v>3.3155079931020737E-2</v>
      </c>
      <c r="CM2" s="11">
        <v>-0.33913043141365051</v>
      </c>
      <c r="CN2" s="11">
        <v>0.40568476915359497</v>
      </c>
      <c r="CO2" s="11">
        <v>-0.71238940954208374</v>
      </c>
      <c r="CP2" s="11">
        <v>-10.174423217773437</v>
      </c>
      <c r="CQ2" s="11">
        <v>-6.5081506967544556E-2</v>
      </c>
      <c r="CR2">
        <v>-14.856911042712218</v>
      </c>
      <c r="CS2">
        <v>-1.8882963114033111</v>
      </c>
      <c r="CT2">
        <v>0</v>
      </c>
      <c r="CU2" s="10">
        <v>7.8678917884826657E-2</v>
      </c>
      <c r="CV2" s="11">
        <v>-2.1770679593086242</v>
      </c>
      <c r="CW2">
        <v>0.06</v>
      </c>
      <c r="CX2" t="e">
        <v>#VALUE!</v>
      </c>
      <c r="CY2" t="s">
        <v>289</v>
      </c>
      <c r="CZ2">
        <v>7.8678917884826657E-2</v>
      </c>
      <c r="DA2" t="e">
        <v>#VALUE!</v>
      </c>
      <c r="DB2" t="s">
        <v>282</v>
      </c>
      <c r="DC2">
        <v>7.4744971990585315E-2</v>
      </c>
      <c r="DD2" t="e">
        <v>#VALUE!</v>
      </c>
      <c r="DE2" t="s">
        <v>282</v>
      </c>
      <c r="DF2">
        <v>6.9237447738647456E-2</v>
      </c>
      <c r="DG2" t="e">
        <v>#VALUE!</v>
      </c>
      <c r="DH2" t="s">
        <v>282</v>
      </c>
      <c r="DI2">
        <v>6.2943134307861331E-2</v>
      </c>
      <c r="DJ2" t="e">
        <v>#VALUE!</v>
      </c>
      <c r="DK2" t="s">
        <v>282</v>
      </c>
      <c r="DL2">
        <v>5.5075242519378655E-2</v>
      </c>
      <c r="DM2">
        <v>-308000000</v>
      </c>
      <c r="DN2">
        <v>7.8678917884826657E-2</v>
      </c>
      <c r="DO2">
        <v>2565811100</v>
      </c>
      <c r="DP2">
        <v>1349813900</v>
      </c>
      <c r="DQ2">
        <v>160</v>
      </c>
      <c r="DR2">
        <v>1.2405518513459426</v>
      </c>
      <c r="DS2">
        <v>2.9158611357255921</v>
      </c>
      <c r="DT2" s="12">
        <v>-0.34</v>
      </c>
      <c r="DU2">
        <v>-2.2016666666666667</v>
      </c>
      <c r="DV2">
        <v>-2.5416666666666665</v>
      </c>
      <c r="DW2">
        <v>7.2097174020823003</v>
      </c>
      <c r="DX2">
        <v>0.31899786165774102</v>
      </c>
      <c r="DY2">
        <v>7.0417333145667946</v>
      </c>
      <c r="DZ2">
        <v>4700</v>
      </c>
      <c r="EA2">
        <v>7.0033484655523264</v>
      </c>
      <c r="EB2">
        <v>7</v>
      </c>
      <c r="EC2">
        <v>0.14390865962076754</v>
      </c>
      <c r="ED2">
        <v>0.72316689744680673</v>
      </c>
      <c r="EE2" s="13">
        <v>-2.0853000000000002</v>
      </c>
      <c r="EF2">
        <v>-2.0562999999999998</v>
      </c>
      <c r="EG2">
        <v>12.198997861657741</v>
      </c>
      <c r="EH2" t="s">
        <v>528</v>
      </c>
      <c r="EI2">
        <v>1</v>
      </c>
      <c r="EJ2">
        <v>0</v>
      </c>
      <c r="EK2" s="9">
        <v>45470</v>
      </c>
      <c r="EL2" s="14">
        <v>-2.86</v>
      </c>
      <c r="EM2" s="14">
        <v>-5.15</v>
      </c>
      <c r="EN2" s="14">
        <v>1.55</v>
      </c>
      <c r="EO2" s="14">
        <v>5.34</v>
      </c>
      <c r="EP2" s="14">
        <v>-2.9</v>
      </c>
    </row>
    <row r="3" spans="1:146" ht="156" x14ac:dyDescent="0.25">
      <c r="A3" s="6" t="s">
        <v>489</v>
      </c>
      <c r="B3" s="6" t="s">
        <v>490</v>
      </c>
      <c r="C3" s="6" t="str">
        <f>"公司的主营业务为森林资源培育与林木采伐经营、森林经营服务、人造板经营、地板经营。公司的主要产品为人造板、木材。"&amp;CHAR(10)&amp;Basic_Fundamental_Information_Constructure(F3)&amp;CHAR(10)&amp;Basic_Fundamental_Information_Concatenate("林业 4.38亿 57.92% 91.66% 70.13% 增112.66%
人造板制造业 3.09亿 40.85% 6.28% 6.81%
其他 928.70万 1.23% 2.06% 74.42%")</f>
        <v>公司的主营业务为森林资源培育与林木采伐经营、森林经营服务、人造板经营、地板经营。公司的主要产品为人造板、木材。
市值14.88143亿, 利润1.90亿; PE11.73; 平均PE-8.78; 平均PEG-11.02, PB1.36; ROIC14.3167%; ROE19.0267%; 股利率0%; 毛利39.8533%; 净利24.59%; 上一年度营收增-8.45%, 利润增-29.1%; 当季营收增-58.92%, 利润增-138.75%; 过往5年营收增.8%, 利润增121.86%
Income profile:
林业 4.38亿 57.92% 91.66% 70.13% 增112.66%
人造板制造业 3.09亿 40.85% 6.28% 6.81%
其他 928.70万 1.23% 2.06% 74.42%</v>
      </c>
      <c r="D3" t="s">
        <v>217</v>
      </c>
      <c r="E3" t="s">
        <v>218</v>
      </c>
      <c r="F3">
        <v>4.42</v>
      </c>
      <c r="G3">
        <v>3.51</v>
      </c>
      <c r="H3" t="s">
        <v>529</v>
      </c>
      <c r="I3">
        <v>1488143000</v>
      </c>
      <c r="J3">
        <v>11.73</v>
      </c>
      <c r="K3">
        <v>1.36</v>
      </c>
      <c r="L3" t="s">
        <v>23</v>
      </c>
      <c r="M3" t="s">
        <v>530</v>
      </c>
      <c r="N3" t="s">
        <v>531</v>
      </c>
      <c r="O3" t="s">
        <v>532</v>
      </c>
      <c r="P3">
        <v>-58.91</v>
      </c>
      <c r="Q3" t="s">
        <v>533</v>
      </c>
      <c r="R3">
        <v>-21000000</v>
      </c>
      <c r="S3" s="5">
        <v>-1.165</v>
      </c>
      <c r="T3" t="s">
        <v>231</v>
      </c>
      <c r="U3">
        <v>306297160</v>
      </c>
      <c r="V3">
        <v>336683930</v>
      </c>
      <c r="W3">
        <v>1.47</v>
      </c>
      <c r="X3">
        <v>0.03</v>
      </c>
      <c r="Y3">
        <v>-15.71</v>
      </c>
      <c r="Z3" t="s">
        <v>534</v>
      </c>
      <c r="AA3" t="s">
        <v>535</v>
      </c>
      <c r="AB3" t="s">
        <v>536</v>
      </c>
      <c r="AC3" t="s">
        <v>537</v>
      </c>
      <c r="AD3" t="s">
        <v>54</v>
      </c>
      <c r="AE3">
        <v>1299859</v>
      </c>
      <c r="AF3" t="s">
        <v>55</v>
      </c>
      <c r="AG3" t="s">
        <v>538</v>
      </c>
      <c r="AH3" t="s">
        <v>539</v>
      </c>
      <c r="AI3" t="s">
        <v>540</v>
      </c>
      <c r="AJ3" t="s">
        <v>541</v>
      </c>
      <c r="AK3" t="s">
        <v>54</v>
      </c>
      <c r="AL3" t="s">
        <v>542</v>
      </c>
      <c r="AM3" t="s">
        <v>54</v>
      </c>
      <c r="AN3" t="s">
        <v>395</v>
      </c>
      <c r="AO3" t="s">
        <v>543</v>
      </c>
      <c r="AP3" t="s">
        <v>54</v>
      </c>
      <c r="AQ3" t="s">
        <v>544</v>
      </c>
      <c r="AR3" t="s">
        <v>54</v>
      </c>
      <c r="AS3" t="s">
        <v>545</v>
      </c>
      <c r="AT3" t="s">
        <v>113</v>
      </c>
      <c r="AU3" t="s">
        <v>546</v>
      </c>
      <c r="AV3" t="s">
        <v>547</v>
      </c>
      <c r="AW3" t="s">
        <v>548</v>
      </c>
      <c r="AX3" t="s">
        <v>131</v>
      </c>
      <c r="AY3" t="s">
        <v>219</v>
      </c>
      <c r="AZ3" t="s">
        <v>221</v>
      </c>
      <c r="BA3" t="s">
        <v>222</v>
      </c>
      <c r="BB3" t="s">
        <v>210</v>
      </c>
      <c r="BC3" t="s">
        <v>366</v>
      </c>
      <c r="BD3" t="s">
        <v>220</v>
      </c>
      <c r="BE3" t="s">
        <v>223</v>
      </c>
      <c r="BF3" t="s">
        <v>224</v>
      </c>
      <c r="BG3" t="s">
        <v>225</v>
      </c>
      <c r="BH3" t="s">
        <v>533</v>
      </c>
      <c r="BI3" t="s">
        <v>125</v>
      </c>
      <c r="BJ3" t="s">
        <v>131</v>
      </c>
      <c r="BK3" t="s">
        <v>231</v>
      </c>
      <c r="BL3" t="s">
        <v>549</v>
      </c>
      <c r="BM3" t="s">
        <v>366</v>
      </c>
      <c r="BN3">
        <v>12.23</v>
      </c>
      <c r="BO3">
        <v>25.62</v>
      </c>
      <c r="BP3">
        <v>5.0999999999999996</v>
      </c>
      <c r="BQ3">
        <v>13.94</v>
      </c>
      <c r="BR3">
        <v>34.380000000000003</v>
      </c>
      <c r="BS3">
        <v>8.76</v>
      </c>
      <c r="BT3" t="s">
        <v>364</v>
      </c>
      <c r="BU3" t="s">
        <v>281</v>
      </c>
      <c r="BV3">
        <v>44.66</v>
      </c>
      <c r="BW3">
        <v>44.31</v>
      </c>
      <c r="BX3">
        <v>30.59</v>
      </c>
      <c r="BY3">
        <v>27.48</v>
      </c>
      <c r="BZ3">
        <v>35.5</v>
      </c>
      <c r="CA3">
        <v>10.79</v>
      </c>
      <c r="CB3">
        <v>5.49</v>
      </c>
      <c r="CC3">
        <v>-20.79</v>
      </c>
      <c r="CD3" t="s">
        <v>550</v>
      </c>
      <c r="CE3" t="s">
        <v>468</v>
      </c>
      <c r="CF3" s="10">
        <v>-0.58915217391304353</v>
      </c>
      <c r="CG3" s="11">
        <v>-1.3875153622161449</v>
      </c>
      <c r="CH3" s="10">
        <v>-8.4544256329536438E-2</v>
      </c>
      <c r="CI3" s="10">
        <v>0.49604743719100952</v>
      </c>
      <c r="CJ3" s="10">
        <v>-0.12908777594566345</v>
      </c>
      <c r="CK3" s="10">
        <v>-0.17236466705799103</v>
      </c>
      <c r="CL3" s="10">
        <v>-7.0198677480220795E-2</v>
      </c>
      <c r="CM3" s="11">
        <v>-0.29104477167129517</v>
      </c>
      <c r="CN3" s="11">
        <v>3.9061157703399658</v>
      </c>
      <c r="CO3" s="11">
        <v>0.50139486789703369</v>
      </c>
      <c r="CP3" s="11">
        <v>1.1541664600372314</v>
      </c>
      <c r="CQ3" s="11">
        <v>0.82255637645721436</v>
      </c>
      <c r="CR3">
        <v>-8.779682416068578</v>
      </c>
      <c r="CS3">
        <v>-11.01534316278906</v>
      </c>
      <c r="CT3">
        <v>0</v>
      </c>
      <c r="CU3" s="10">
        <v>7.9704120755195625E-3</v>
      </c>
      <c r="CV3" s="11">
        <v>1.2186377406120301</v>
      </c>
      <c r="CW3">
        <v>0.06</v>
      </c>
      <c r="CX3">
        <v>4.9987452040213185</v>
      </c>
      <c r="CY3">
        <v>180673941.78712142</v>
      </c>
      <c r="CZ3">
        <v>7.9704120755195625E-3</v>
      </c>
      <c r="DA3">
        <v>1.7521403723693891</v>
      </c>
      <c r="DB3">
        <v>515451281.32553405</v>
      </c>
      <c r="DC3">
        <v>7.5718914717435842E-3</v>
      </c>
      <c r="DD3">
        <v>0.94435196536453081</v>
      </c>
      <c r="DE3">
        <v>956362704.92789876</v>
      </c>
      <c r="DF3">
        <v>7.0139626264572154E-3</v>
      </c>
      <c r="DG3">
        <v>0.62544037949552167</v>
      </c>
      <c r="DH3">
        <v>1444011339.2238481</v>
      </c>
      <c r="DI3">
        <v>6.3763296604156501E-3</v>
      </c>
      <c r="DJ3">
        <v>0.39485693435516594</v>
      </c>
      <c r="DK3">
        <v>2287266403.1465149</v>
      </c>
      <c r="DL3">
        <v>5.5792884528636935E-3</v>
      </c>
      <c r="DM3">
        <v>190000000</v>
      </c>
      <c r="DN3">
        <v>7.9704120755195625E-3</v>
      </c>
      <c r="DO3">
        <v>903143000</v>
      </c>
      <c r="DP3">
        <v>512447880</v>
      </c>
      <c r="DQ3">
        <v>204</v>
      </c>
      <c r="DR3">
        <v>-0.59712258598856305</v>
      </c>
      <c r="DS3">
        <v>-2.6061531028281752</v>
      </c>
      <c r="DT3" s="12">
        <v>-0.40666666666666668</v>
      </c>
      <c r="DU3">
        <v>-0.58166666666666667</v>
      </c>
      <c r="DV3">
        <v>-0.98833333333333329</v>
      </c>
      <c r="DW3">
        <v>6.2089041095890414</v>
      </c>
      <c r="DX3">
        <v>0.55472186407767077</v>
      </c>
      <c r="DY3">
        <v>6.0782809373586915</v>
      </c>
      <c r="DZ3">
        <v>3553</v>
      </c>
      <c r="EA3">
        <v>6.0238519411873739</v>
      </c>
      <c r="EB3">
        <v>6</v>
      </c>
      <c r="EC3">
        <v>0.22927349101574288</v>
      </c>
      <c r="ED3">
        <v>0.61184981415655926</v>
      </c>
      <c r="EE3" s="13">
        <v>-1.1305000000000001</v>
      </c>
      <c r="EF3">
        <v>-1.1071</v>
      </c>
      <c r="EG3">
        <v>18.374721864077671</v>
      </c>
      <c r="EH3" t="s">
        <v>551</v>
      </c>
      <c r="EI3">
        <v>0</v>
      </c>
      <c r="EJ3">
        <v>0</v>
      </c>
      <c r="EK3" s="9">
        <v>45470</v>
      </c>
      <c r="EL3" s="14">
        <v>0.95</v>
      </c>
      <c r="EM3" s="14">
        <v>-4.72</v>
      </c>
      <c r="EN3" s="14">
        <v>0.74</v>
      </c>
      <c r="EO3" s="14">
        <v>4.91</v>
      </c>
      <c r="EP3" s="14">
        <v>-2.34</v>
      </c>
    </row>
    <row r="4" spans="1:146" ht="108" x14ac:dyDescent="0.25">
      <c r="A4" s="6"/>
      <c r="B4" s="6"/>
      <c r="C4" s="6" t="str">
        <f>""&amp;CHAR(10)&amp;Basic_Fundamental_Information_Constructure(F4)&amp;CHAR(10)&amp;Basic_Fundamental_Information_Concatenate("")</f>
        <v xml:space="preserve">
市值33.586619亿, 利润4021.41万; PE181.8; 平均PE45.51; 平均PEG4.38, PB1.73; ROIC6.15%; ROE3.98%; 股利率.3656%; 毛利13.0867%; 净利3.3967%; 上一年度营收增3.63%, 利润增-31.62%; 当季营收增-5.69%, 利润增-271.43%; 过往5年营收增10.38%, 利润增31.85%
Income profile:
</v>
      </c>
      <c r="D4" t="s">
        <v>31</v>
      </c>
      <c r="E4" t="s">
        <v>17</v>
      </c>
      <c r="F4">
        <v>5.47</v>
      </c>
      <c r="G4">
        <v>0.18</v>
      </c>
      <c r="H4" t="s">
        <v>552</v>
      </c>
      <c r="I4">
        <v>3358661900</v>
      </c>
      <c r="J4">
        <v>181.8</v>
      </c>
      <c r="K4">
        <v>1.73</v>
      </c>
      <c r="L4" t="s">
        <v>23</v>
      </c>
      <c r="M4" t="s">
        <v>388</v>
      </c>
      <c r="N4" t="s">
        <v>553</v>
      </c>
      <c r="O4" t="s">
        <v>486</v>
      </c>
      <c r="P4">
        <v>-5.63</v>
      </c>
      <c r="Q4" t="s">
        <v>554</v>
      </c>
      <c r="R4">
        <v>-13731835</v>
      </c>
      <c r="S4" s="5">
        <v>-2.714</v>
      </c>
      <c r="T4" t="s">
        <v>555</v>
      </c>
      <c r="U4">
        <v>614014980</v>
      </c>
      <c r="V4">
        <v>614014980</v>
      </c>
      <c r="W4">
        <v>1.51</v>
      </c>
      <c r="X4">
        <v>0.19</v>
      </c>
      <c r="Y4">
        <v>-3.27</v>
      </c>
      <c r="Z4" t="s">
        <v>556</v>
      </c>
      <c r="AA4" t="s">
        <v>406</v>
      </c>
      <c r="AB4" t="s">
        <v>557</v>
      </c>
      <c r="AC4" t="s">
        <v>558</v>
      </c>
      <c r="AD4" t="s">
        <v>54</v>
      </c>
      <c r="AE4">
        <v>80241</v>
      </c>
      <c r="AF4" t="s">
        <v>559</v>
      </c>
      <c r="AG4" t="s">
        <v>560</v>
      </c>
      <c r="AH4" t="s">
        <v>561</v>
      </c>
      <c r="AI4" t="s">
        <v>562</v>
      </c>
      <c r="AJ4" t="s">
        <v>563</v>
      </c>
      <c r="AK4" t="s">
        <v>54</v>
      </c>
      <c r="AL4" t="s">
        <v>564</v>
      </c>
      <c r="AM4" t="s">
        <v>54</v>
      </c>
      <c r="AN4" t="s">
        <v>565</v>
      </c>
      <c r="AO4" t="s">
        <v>566</v>
      </c>
      <c r="AP4" t="s">
        <v>567</v>
      </c>
      <c r="AQ4" t="s">
        <v>568</v>
      </c>
      <c r="AR4" t="s">
        <v>54</v>
      </c>
      <c r="AS4" t="s">
        <v>569</v>
      </c>
      <c r="AT4" t="s">
        <v>570</v>
      </c>
      <c r="AU4" t="s">
        <v>571</v>
      </c>
      <c r="AV4" t="s">
        <v>459</v>
      </c>
      <c r="AW4" t="s">
        <v>572</v>
      </c>
      <c r="AX4" t="s">
        <v>382</v>
      </c>
      <c r="AY4" t="s">
        <v>226</v>
      </c>
      <c r="AZ4" t="s">
        <v>110</v>
      </c>
      <c r="BA4" t="s">
        <v>64</v>
      </c>
      <c r="BB4" t="s">
        <v>89</v>
      </c>
      <c r="BC4" t="s">
        <v>383</v>
      </c>
      <c r="BD4" t="s">
        <v>209</v>
      </c>
      <c r="BE4" t="s">
        <v>111</v>
      </c>
      <c r="BF4" t="s">
        <v>65</v>
      </c>
      <c r="BG4" t="s">
        <v>114</v>
      </c>
      <c r="BH4" t="s">
        <v>554</v>
      </c>
      <c r="BI4" t="s">
        <v>573</v>
      </c>
      <c r="BJ4" t="s">
        <v>382</v>
      </c>
      <c r="BK4" t="s">
        <v>555</v>
      </c>
      <c r="BL4" t="s">
        <v>574</v>
      </c>
      <c r="BM4" t="s">
        <v>383</v>
      </c>
      <c r="BN4" t="s">
        <v>54</v>
      </c>
      <c r="BO4">
        <v>2.94</v>
      </c>
      <c r="BP4">
        <v>9.36</v>
      </c>
      <c r="BQ4">
        <v>-1.33</v>
      </c>
      <c r="BR4">
        <v>3.08</v>
      </c>
      <c r="BS4">
        <v>10.19</v>
      </c>
      <c r="BT4" t="s">
        <v>365</v>
      </c>
      <c r="BU4" t="s">
        <v>283</v>
      </c>
      <c r="BV4">
        <v>12.72</v>
      </c>
      <c r="BW4">
        <v>12.65</v>
      </c>
      <c r="BX4">
        <v>13.89</v>
      </c>
      <c r="BY4">
        <v>1.24</v>
      </c>
      <c r="BZ4">
        <v>1.83</v>
      </c>
      <c r="CA4">
        <v>7.12</v>
      </c>
      <c r="CB4">
        <v>0.74</v>
      </c>
      <c r="CC4">
        <v>-11.92</v>
      </c>
      <c r="CD4" t="s">
        <v>575</v>
      </c>
      <c r="CE4" t="s">
        <v>125</v>
      </c>
      <c r="CF4" s="10">
        <v>-5.6910569105691054E-2</v>
      </c>
      <c r="CG4" s="11">
        <v>-2.7142722494787961</v>
      </c>
      <c r="CH4" s="10">
        <v>3.6272857338190079E-2</v>
      </c>
      <c r="CI4" s="10">
        <v>0.14826136827468872</v>
      </c>
      <c r="CJ4" s="10">
        <v>6.5120063722133636E-2</v>
      </c>
      <c r="CK4" s="10">
        <v>2.2046562284231186E-2</v>
      </c>
      <c r="CL4" s="10">
        <v>0.24753499031066895</v>
      </c>
      <c r="CM4" s="11">
        <v>-0.31622511148452759</v>
      </c>
      <c r="CN4" s="11">
        <v>-0.6786234974861145</v>
      </c>
      <c r="CO4" s="11">
        <v>2.6306066513061523</v>
      </c>
      <c r="CP4" s="11">
        <v>-0.11924219876527786</v>
      </c>
      <c r="CQ4" s="11">
        <v>7.59415403008461E-2</v>
      </c>
      <c r="CR4">
        <v>45.505257431817093</v>
      </c>
      <c r="CS4">
        <v>4.3819449426566628</v>
      </c>
      <c r="CT4">
        <v>0.36563071297989036</v>
      </c>
      <c r="CU4" s="10">
        <v>0.10384716838598251</v>
      </c>
      <c r="CV4" s="11">
        <v>0.31849147677421569</v>
      </c>
      <c r="CW4">
        <v>0.06</v>
      </c>
      <c r="CX4">
        <v>53.314031602407503</v>
      </c>
      <c r="CY4">
        <v>41877566.428481832</v>
      </c>
      <c r="CZ4">
        <v>0.10384716838598251</v>
      </c>
      <c r="DA4">
        <v>17.219750771949265</v>
      </c>
      <c r="DB4">
        <v>129657039.15047221</v>
      </c>
      <c r="DC4">
        <v>9.8654809966683382E-2</v>
      </c>
      <c r="DD4">
        <v>8.3445158615427779</v>
      </c>
      <c r="DE4">
        <v>267560387.80987036</v>
      </c>
      <c r="DF4">
        <v>9.1385508179664607E-2</v>
      </c>
      <c r="DG4">
        <v>4.922301545646004</v>
      </c>
      <c r="DH4">
        <v>453580886.76523471</v>
      </c>
      <c r="DI4">
        <v>8.3077734708786016E-2</v>
      </c>
      <c r="DJ4">
        <v>2.4440573024441852</v>
      </c>
      <c r="DK4">
        <v>913506364.09679163</v>
      </c>
      <c r="DL4">
        <v>7.2693017870187754E-2</v>
      </c>
      <c r="DM4">
        <v>40214100</v>
      </c>
      <c r="DN4">
        <v>0.10384716838598251</v>
      </c>
      <c r="DO4">
        <v>2232661900</v>
      </c>
      <c r="DP4">
        <v>784421000</v>
      </c>
      <c r="DQ4">
        <v>238</v>
      </c>
      <c r="DR4">
        <v>-0.16075773749167357</v>
      </c>
      <c r="DS4">
        <v>-3.0327637262530116</v>
      </c>
      <c r="DT4" s="12">
        <v>-0.34</v>
      </c>
      <c r="DU4">
        <v>-1.0116666666666667</v>
      </c>
      <c r="DV4">
        <v>-1.3516666666666668</v>
      </c>
      <c r="DW4">
        <v>-2.1192000000000002</v>
      </c>
      <c r="DX4">
        <v>0.28774420289855052</v>
      </c>
      <c r="DY4">
        <v>-2.0188031089855074</v>
      </c>
      <c r="DZ4">
        <v>3899</v>
      </c>
      <c r="EA4">
        <v>-2.0044560792527299</v>
      </c>
      <c r="EB4">
        <v>2</v>
      </c>
      <c r="EC4">
        <v>3.5453043832904534E-2</v>
      </c>
      <c r="ED4">
        <v>0.22475021700610626</v>
      </c>
      <c r="EE4" s="13">
        <v>-1.1007</v>
      </c>
      <c r="EF4">
        <v>-1.0864</v>
      </c>
      <c r="EG4">
        <v>13.157744202898551</v>
      </c>
      <c r="EH4" t="s">
        <v>551</v>
      </c>
      <c r="EI4">
        <v>0</v>
      </c>
      <c r="EJ4">
        <v>0</v>
      </c>
      <c r="EK4" s="9">
        <v>45470</v>
      </c>
      <c r="EL4" s="14">
        <v>0.34</v>
      </c>
      <c r="EM4" s="14">
        <v>-3.41</v>
      </c>
      <c r="EN4" s="14">
        <v>-2.12</v>
      </c>
      <c r="EO4" s="14">
        <v>0.9</v>
      </c>
      <c r="EP4" s="14">
        <v>-1.43</v>
      </c>
    </row>
    <row r="5" spans="1:146" ht="108" x14ac:dyDescent="0.25">
      <c r="A5" s="6"/>
      <c r="B5" s="6"/>
      <c r="C5" s="6" t="str">
        <f>""&amp;CHAR(10)&amp;Basic_Fundamental_Information_Constructure(F5)&amp;CHAR(10)&amp;Basic_Fundamental_Information_Concatenate("")</f>
        <v xml:space="preserve">
市值128.799695亿, 利润2.00亿; PE101.9; 平均PE1820.6; 平均PEG66.7, PB2.3; ROIC2.61%; ROE-9.08%; 股利率.5112%; 毛利35.78%; 净利-3.98%; 上一年度营收增22.45%, 利润增124.01%; 当季营收增16.54%, 利润增-49.08%; 过往5年营收增27.3%, 利润增-270.76%
Income profile:
</v>
      </c>
      <c r="D5" t="s">
        <v>30</v>
      </c>
      <c r="E5" t="s">
        <v>5</v>
      </c>
      <c r="F5">
        <v>9.7799999999999994</v>
      </c>
      <c r="G5">
        <v>1.03</v>
      </c>
      <c r="H5" t="s">
        <v>576</v>
      </c>
      <c r="I5">
        <v>12879969500</v>
      </c>
      <c r="J5">
        <v>101.9</v>
      </c>
      <c r="K5">
        <v>2.2999999999999998</v>
      </c>
      <c r="L5" t="s">
        <v>23</v>
      </c>
      <c r="M5" t="s">
        <v>577</v>
      </c>
      <c r="N5" t="s">
        <v>578</v>
      </c>
      <c r="O5" t="s">
        <v>579</v>
      </c>
      <c r="P5">
        <v>16.559999999999999</v>
      </c>
      <c r="Q5" t="s">
        <v>580</v>
      </c>
      <c r="R5">
        <v>76881671</v>
      </c>
      <c r="S5" s="5">
        <v>-0.48949999999999999</v>
      </c>
      <c r="T5" t="s">
        <v>379</v>
      </c>
      <c r="U5">
        <v>1296170570</v>
      </c>
      <c r="V5">
        <v>1316970300</v>
      </c>
      <c r="W5">
        <v>2.69</v>
      </c>
      <c r="X5">
        <v>0.08</v>
      </c>
      <c r="Y5">
        <v>4</v>
      </c>
      <c r="Z5" t="s">
        <v>381</v>
      </c>
      <c r="AA5" t="s">
        <v>581</v>
      </c>
      <c r="AB5" t="s">
        <v>414</v>
      </c>
      <c r="AC5" t="s">
        <v>172</v>
      </c>
      <c r="AD5" t="s">
        <v>54</v>
      </c>
      <c r="AE5">
        <v>118750349</v>
      </c>
      <c r="AF5" t="s">
        <v>582</v>
      </c>
      <c r="AG5" t="s">
        <v>583</v>
      </c>
      <c r="AH5" t="s">
        <v>584</v>
      </c>
      <c r="AI5" t="s">
        <v>585</v>
      </c>
      <c r="AJ5" t="s">
        <v>586</v>
      </c>
      <c r="AK5" t="s">
        <v>587</v>
      </c>
      <c r="AL5" t="s">
        <v>588</v>
      </c>
      <c r="AM5" t="s">
        <v>54</v>
      </c>
      <c r="AN5" t="s">
        <v>589</v>
      </c>
      <c r="AO5" t="s">
        <v>590</v>
      </c>
      <c r="AP5" t="s">
        <v>54</v>
      </c>
      <c r="AQ5" t="s">
        <v>591</v>
      </c>
      <c r="AR5" t="s">
        <v>54</v>
      </c>
      <c r="AS5" t="s">
        <v>592</v>
      </c>
      <c r="AT5" t="s">
        <v>593</v>
      </c>
      <c r="AU5" t="s">
        <v>594</v>
      </c>
      <c r="AV5" t="s">
        <v>595</v>
      </c>
      <c r="AW5" t="s">
        <v>596</v>
      </c>
      <c r="AX5" t="s">
        <v>597</v>
      </c>
      <c r="AY5" t="s">
        <v>227</v>
      </c>
      <c r="AZ5" t="s">
        <v>115</v>
      </c>
      <c r="BA5" t="s">
        <v>66</v>
      </c>
      <c r="BB5" t="s">
        <v>116</v>
      </c>
      <c r="BC5" t="s">
        <v>598</v>
      </c>
      <c r="BD5" t="s">
        <v>228</v>
      </c>
      <c r="BE5" t="s">
        <v>112</v>
      </c>
      <c r="BF5" t="s">
        <v>117</v>
      </c>
      <c r="BG5" t="s">
        <v>118</v>
      </c>
      <c r="BH5" t="s">
        <v>580</v>
      </c>
      <c r="BI5" t="s">
        <v>599</v>
      </c>
      <c r="BJ5" t="s">
        <v>597</v>
      </c>
      <c r="BK5" t="s">
        <v>379</v>
      </c>
      <c r="BL5" t="s">
        <v>137</v>
      </c>
      <c r="BM5" t="s">
        <v>598</v>
      </c>
      <c r="BN5" t="s">
        <v>54</v>
      </c>
      <c r="BO5" t="s">
        <v>54</v>
      </c>
      <c r="BP5">
        <v>2.61</v>
      </c>
      <c r="BQ5">
        <v>-11.13</v>
      </c>
      <c r="BR5">
        <v>-17.239999999999998</v>
      </c>
      <c r="BS5">
        <v>1.1299999999999999</v>
      </c>
      <c r="BT5" t="s">
        <v>600</v>
      </c>
      <c r="BU5" t="s">
        <v>283</v>
      </c>
      <c r="BV5">
        <v>39.76</v>
      </c>
      <c r="BW5">
        <v>33.31</v>
      </c>
      <c r="BX5">
        <v>34.270000000000003</v>
      </c>
      <c r="BY5">
        <v>4.05</v>
      </c>
      <c r="BZ5">
        <v>-20.93</v>
      </c>
      <c r="CA5">
        <v>4.9400000000000004</v>
      </c>
      <c r="CB5">
        <v>-0.51</v>
      </c>
      <c r="CC5">
        <v>-17.260000000000002</v>
      </c>
      <c r="CD5" t="s">
        <v>601</v>
      </c>
      <c r="CE5" t="s">
        <v>602</v>
      </c>
      <c r="CF5" s="10">
        <v>0.16535433070866143</v>
      </c>
      <c r="CG5" s="11">
        <v>-0.49084986092715233</v>
      </c>
      <c r="CH5" s="10">
        <v>0.22450880706310272</v>
      </c>
      <c r="CI5" s="10">
        <v>1.1501568555831909</v>
      </c>
      <c r="CJ5" s="10">
        <v>6.4418107271194458E-2</v>
      </c>
      <c r="CK5" s="10">
        <v>5.1437761634588242E-2</v>
      </c>
      <c r="CL5" s="10">
        <v>-0.12569835782051086</v>
      </c>
      <c r="CM5" s="11">
        <v>1.2400960922241211</v>
      </c>
      <c r="CN5" s="11">
        <v>-14.339226722717285</v>
      </c>
      <c r="CO5" s="11">
        <v>-0.46166035532951355</v>
      </c>
      <c r="CP5" s="11">
        <v>1.3945578336715698</v>
      </c>
      <c r="CQ5" s="11">
        <v>-1.3716813325881958</v>
      </c>
      <c r="CR5">
        <v>1820.6018978783152</v>
      </c>
      <c r="CS5">
        <v>66.697354386964435</v>
      </c>
      <c r="CT5">
        <v>0.5112474437627812</v>
      </c>
      <c r="CU5" s="10">
        <v>0.27296463474631311</v>
      </c>
      <c r="CV5" s="11">
        <v>-2.7075828969478608</v>
      </c>
      <c r="CW5">
        <v>0.06</v>
      </c>
      <c r="CX5">
        <v>85.326831072291583</v>
      </c>
      <c r="CY5">
        <v>240182006.55590811</v>
      </c>
      <c r="CZ5">
        <v>0.27296463474631311</v>
      </c>
      <c r="DA5">
        <v>23.962368924740645</v>
      </c>
      <c r="DB5">
        <v>855256404.92248678</v>
      </c>
      <c r="DC5">
        <v>0.25931640300899744</v>
      </c>
      <c r="DD5">
        <v>9.5123311067841261</v>
      </c>
      <c r="DE5">
        <v>2154463429.6196699</v>
      </c>
      <c r="DF5">
        <v>0.24020887857675555</v>
      </c>
      <c r="DG5">
        <v>4.4035582119117533</v>
      </c>
      <c r="DH5">
        <v>4653956758.0969439</v>
      </c>
      <c r="DI5">
        <v>0.21837170779705051</v>
      </c>
      <c r="DJ5">
        <v>1.2130634816717558</v>
      </c>
      <c r="DK5">
        <v>16894391604.103605</v>
      </c>
      <c r="DL5">
        <v>0.19107524432241915</v>
      </c>
      <c r="DM5">
        <v>200000000</v>
      </c>
      <c r="DN5">
        <v>0.27296463474631311</v>
      </c>
      <c r="DO5">
        <v>20493969500</v>
      </c>
      <c r="DP5">
        <v>361766200</v>
      </c>
      <c r="DQ5">
        <v>426</v>
      </c>
      <c r="DR5">
        <v>-0.10761030403765168</v>
      </c>
      <c r="DS5">
        <v>2.2167330360207087</v>
      </c>
      <c r="DT5" s="12">
        <v>2.6666666666666616E-2</v>
      </c>
      <c r="DU5">
        <v>-1.34</v>
      </c>
      <c r="DV5">
        <v>-1.3133333333333335</v>
      </c>
      <c r="DW5">
        <v>-3.0142500000000001</v>
      </c>
      <c r="DX5">
        <v>0.30753885714285689</v>
      </c>
      <c r="DY5">
        <v>-3.0022449287142856</v>
      </c>
      <c r="DZ5">
        <v>3863</v>
      </c>
      <c r="EA5">
        <v>-3.0005478328975959</v>
      </c>
      <c r="EB5">
        <v>3</v>
      </c>
      <c r="EC5">
        <v>5.694016030581707E-2</v>
      </c>
      <c r="ED5">
        <v>0.36143563753867491</v>
      </c>
      <c r="EE5" s="13">
        <v>-2.0381100000000001</v>
      </c>
      <c r="EF5">
        <v>-2.05491</v>
      </c>
      <c r="EG5">
        <v>15.157538857142857</v>
      </c>
      <c r="EH5" t="s">
        <v>603</v>
      </c>
      <c r="EI5">
        <v>0</v>
      </c>
      <c r="EJ5">
        <v>0</v>
      </c>
      <c r="EK5" s="9">
        <v>45470</v>
      </c>
      <c r="EL5" s="14">
        <v>0.49</v>
      </c>
      <c r="EM5" s="14">
        <v>-2.4500000000000002</v>
      </c>
      <c r="EN5" s="14">
        <v>0.4</v>
      </c>
      <c r="EO5" s="14">
        <v>1.3</v>
      </c>
      <c r="EP5" s="14">
        <v>-1.68</v>
      </c>
    </row>
    <row r="6" spans="1:146" ht="108" x14ac:dyDescent="0.25">
      <c r="A6" s="6"/>
      <c r="B6" s="6"/>
      <c r="C6" s="6" t="str">
        <f>""&amp;CHAR(10)&amp;Basic_Fundamental_Information_Constructure(F6)&amp;CHAR(10)&amp;Basic_Fundamental_Information_Concatenate("")</f>
        <v xml:space="preserve">
市值73.656亿, 利润2.56亿; PE30.54; 平均PE48.14; 平均PEG3.11, PB2.05; ROIC5.3933%; ROE6.1833%; 股利率.4301%; 毛利32.3233%; 净利20.9167%; 上一年度营收增17.04%, 利润增1.19%; 当季营收增-11.79%, 利润增-32.61%; 过往5年营收增15.46%, 利润增62.26%
Income profile:
</v>
      </c>
      <c r="D6" t="s">
        <v>24</v>
      </c>
      <c r="E6" t="s">
        <v>6</v>
      </c>
      <c r="F6">
        <v>8.3699999999999992</v>
      </c>
      <c r="G6">
        <v>1.21</v>
      </c>
      <c r="H6" t="s">
        <v>604</v>
      </c>
      <c r="I6">
        <v>7365600000</v>
      </c>
      <c r="J6">
        <v>30.54</v>
      </c>
      <c r="K6">
        <v>2.0499999999999998</v>
      </c>
      <c r="L6" t="s">
        <v>23</v>
      </c>
      <c r="M6" t="s">
        <v>605</v>
      </c>
      <c r="N6" t="s">
        <v>606</v>
      </c>
      <c r="O6" t="s">
        <v>607</v>
      </c>
      <c r="P6">
        <v>-11.57</v>
      </c>
      <c r="Q6" t="s">
        <v>608</v>
      </c>
      <c r="R6">
        <v>30133563</v>
      </c>
      <c r="S6" s="5">
        <v>-0.3261</v>
      </c>
      <c r="T6" t="s">
        <v>609</v>
      </c>
      <c r="U6">
        <v>880000000</v>
      </c>
      <c r="V6">
        <v>880000000</v>
      </c>
      <c r="W6">
        <v>1.2</v>
      </c>
      <c r="X6">
        <v>0.05</v>
      </c>
      <c r="Y6">
        <v>13.78</v>
      </c>
      <c r="Z6" t="s">
        <v>610</v>
      </c>
      <c r="AA6" t="s">
        <v>129</v>
      </c>
      <c r="AB6" t="s">
        <v>611</v>
      </c>
      <c r="AC6" t="s">
        <v>612</v>
      </c>
      <c r="AD6" t="s">
        <v>54</v>
      </c>
      <c r="AE6">
        <v>-8045592</v>
      </c>
      <c r="AF6" t="s">
        <v>613</v>
      </c>
      <c r="AG6" t="s">
        <v>614</v>
      </c>
      <c r="AH6" t="s">
        <v>615</v>
      </c>
      <c r="AI6" t="s">
        <v>616</v>
      </c>
      <c r="AJ6" t="s">
        <v>617</v>
      </c>
      <c r="AK6" t="s">
        <v>54</v>
      </c>
      <c r="AL6" t="s">
        <v>618</v>
      </c>
      <c r="AM6" t="s">
        <v>54</v>
      </c>
      <c r="AN6" t="s">
        <v>619</v>
      </c>
      <c r="AO6" t="s">
        <v>620</v>
      </c>
      <c r="AP6" t="s">
        <v>54</v>
      </c>
      <c r="AQ6" t="s">
        <v>621</v>
      </c>
      <c r="AR6" t="s">
        <v>54</v>
      </c>
      <c r="AS6" t="s">
        <v>622</v>
      </c>
      <c r="AT6" t="s">
        <v>54</v>
      </c>
      <c r="AU6" t="s">
        <v>623</v>
      </c>
      <c r="AV6" t="s">
        <v>624</v>
      </c>
      <c r="AW6" t="s">
        <v>625</v>
      </c>
      <c r="AX6" t="s">
        <v>389</v>
      </c>
      <c r="AY6" t="s">
        <v>229</v>
      </c>
      <c r="AZ6" t="s">
        <v>119</v>
      </c>
      <c r="BA6" t="s">
        <v>67</v>
      </c>
      <c r="BB6" t="s">
        <v>57</v>
      </c>
      <c r="BC6" t="s">
        <v>390</v>
      </c>
      <c r="BD6" t="s">
        <v>230</v>
      </c>
      <c r="BE6" t="s">
        <v>120</v>
      </c>
      <c r="BF6" t="s">
        <v>68</v>
      </c>
      <c r="BG6" t="s">
        <v>121</v>
      </c>
      <c r="BH6" t="s">
        <v>608</v>
      </c>
      <c r="BI6" t="s">
        <v>367</v>
      </c>
      <c r="BJ6" t="s">
        <v>389</v>
      </c>
      <c r="BK6" t="s">
        <v>609</v>
      </c>
      <c r="BL6" t="s">
        <v>626</v>
      </c>
      <c r="BM6" t="s">
        <v>390</v>
      </c>
      <c r="BN6">
        <v>2.15</v>
      </c>
      <c r="BO6">
        <v>7.5</v>
      </c>
      <c r="BP6">
        <v>6.53</v>
      </c>
      <c r="BQ6">
        <v>2.84</v>
      </c>
      <c r="BR6">
        <v>7.92</v>
      </c>
      <c r="BS6">
        <v>7.79</v>
      </c>
      <c r="BT6" t="s">
        <v>627</v>
      </c>
      <c r="BU6" t="s">
        <v>283</v>
      </c>
      <c r="BV6">
        <v>28.77</v>
      </c>
      <c r="BW6">
        <v>31.89</v>
      </c>
      <c r="BX6">
        <v>36.31</v>
      </c>
      <c r="BY6">
        <v>19.28</v>
      </c>
      <c r="BZ6">
        <v>21.79</v>
      </c>
      <c r="CA6">
        <v>21.68</v>
      </c>
      <c r="CB6">
        <v>3.59</v>
      </c>
      <c r="CC6">
        <v>-12.67</v>
      </c>
      <c r="CD6" t="s">
        <v>628</v>
      </c>
      <c r="CE6" t="s">
        <v>290</v>
      </c>
      <c r="CF6" s="10">
        <v>-0.1178707224334602</v>
      </c>
      <c r="CG6" s="11">
        <v>-0.32614393276995235</v>
      </c>
      <c r="CH6" s="10">
        <v>0.17043741047382355</v>
      </c>
      <c r="CI6" s="10">
        <v>0.2043597400188446</v>
      </c>
      <c r="CJ6" s="10">
        <v>0.22197550535202026</v>
      </c>
      <c r="CK6" s="10">
        <v>9.4775214791297913E-2</v>
      </c>
      <c r="CL6" s="10">
        <v>8.1471748650074005E-2</v>
      </c>
      <c r="CM6" s="11">
        <v>1.1857707053422928E-2</v>
      </c>
      <c r="CN6" s="11">
        <v>8.5836909711360931E-2</v>
      </c>
      <c r="CO6" s="11">
        <v>1.2843136787414551</v>
      </c>
      <c r="CP6" s="11">
        <v>1.452919602394104</v>
      </c>
      <c r="CQ6" s="11">
        <v>0.27826467156410217</v>
      </c>
      <c r="CR6">
        <v>48.135198896869014</v>
      </c>
      <c r="CS6">
        <v>3.1134526017156827</v>
      </c>
      <c r="CT6">
        <v>0.43010752688172044</v>
      </c>
      <c r="CU6" s="10">
        <v>0.15460392385721206</v>
      </c>
      <c r="CV6" s="11">
        <v>0.62263851389288905</v>
      </c>
      <c r="CW6">
        <v>0.06</v>
      </c>
      <c r="CX6">
        <v>15.659441953564658</v>
      </c>
      <c r="CY6">
        <v>278847740.10136443</v>
      </c>
      <c r="CZ6">
        <v>0.15460392385721206</v>
      </c>
      <c r="DA6">
        <v>4.8469097533525218</v>
      </c>
      <c r="DB6">
        <v>900903920.68465889</v>
      </c>
      <c r="DC6">
        <v>0.14687372766435144</v>
      </c>
      <c r="DD6">
        <v>2.2151006893096592</v>
      </c>
      <c r="DE6">
        <v>1971287364.530982</v>
      </c>
      <c r="DF6">
        <v>0.13605145299434662</v>
      </c>
      <c r="DG6">
        <v>1.2202923005594895</v>
      </c>
      <c r="DH6">
        <v>3578322995.2348022</v>
      </c>
      <c r="DI6">
        <v>0.12368313908576965</v>
      </c>
      <c r="DJ6">
        <v>0.51737307210246175</v>
      </c>
      <c r="DK6">
        <v>8439944472.2844582</v>
      </c>
      <c r="DL6">
        <v>0.10822274670004843</v>
      </c>
      <c r="DM6">
        <v>256000000</v>
      </c>
      <c r="DN6">
        <v>0.15460392385721206</v>
      </c>
      <c r="DO6">
        <v>4366600000</v>
      </c>
      <c r="DP6">
        <v>3187982500</v>
      </c>
      <c r="DQ6">
        <v>559</v>
      </c>
      <c r="DR6">
        <v>-0.27247464629067225</v>
      </c>
      <c r="DS6">
        <v>-0.94878244666284139</v>
      </c>
      <c r="DT6" s="12">
        <v>1.0000000000000011E-2</v>
      </c>
      <c r="DU6">
        <v>0.38000000000000006</v>
      </c>
      <c r="DV6">
        <v>0.39000000000000007</v>
      </c>
      <c r="DW6">
        <v>6.2207872078720783</v>
      </c>
      <c r="DX6">
        <v>0.35649818181818232</v>
      </c>
      <c r="DY6">
        <v>6.0389685407581348</v>
      </c>
      <c r="DZ6">
        <v>889</v>
      </c>
      <c r="EA6">
        <v>6.0321890822974726</v>
      </c>
      <c r="EB6">
        <v>6</v>
      </c>
      <c r="EC6">
        <v>3.309340909090909E-2</v>
      </c>
      <c r="ED6">
        <v>0.1875</v>
      </c>
      <c r="EE6" s="13">
        <v>-1.0185999999999999</v>
      </c>
      <c r="EF6">
        <v>-1.0076099999999999</v>
      </c>
      <c r="EG6">
        <v>18.176498181818182</v>
      </c>
      <c r="EH6" t="s">
        <v>493</v>
      </c>
      <c r="EI6">
        <v>0</v>
      </c>
      <c r="EJ6">
        <v>1</v>
      </c>
      <c r="EK6" s="9">
        <v>45470</v>
      </c>
      <c r="EL6" s="14">
        <v>-0.95</v>
      </c>
      <c r="EM6" s="14">
        <v>-3.47</v>
      </c>
      <c r="EN6" s="14">
        <v>0.87</v>
      </c>
      <c r="EO6" s="14">
        <v>3.32</v>
      </c>
      <c r="EP6" s="14">
        <v>-2.62</v>
      </c>
    </row>
    <row r="7" spans="1:146" ht="108" x14ac:dyDescent="0.25">
      <c r="C7" s="6" t="str">
        <f>""&amp;CHAR(10)&amp;Basic_Fundamental_Information_Constructure(F7)&amp;CHAR(10)&amp;Basic_Fundamental_Information_Concatenate("")</f>
        <v xml:space="preserve">
市值48.272422亿, 利润7653.59万; PE162.3; 平均PE16.96; 平均PEG16.54, PB1.29; ROIC6.9767%; ROE10.0033%; 股利率3.9216%; 毛利6.67%; 净利2.02%; 上一年度营收增-2.28%, 利润增-84.99%; 当季营收增-12.21%, 利润增-29.62%; 过往5年营收增1.03%, 利润增11.05%
Income profile:
</v>
      </c>
      <c r="D7" t="s">
        <v>629</v>
      </c>
      <c r="E7" t="s">
        <v>630</v>
      </c>
      <c r="F7">
        <v>5.0999999999999996</v>
      </c>
      <c r="G7">
        <v>-2.11</v>
      </c>
      <c r="H7" t="s">
        <v>631</v>
      </c>
      <c r="I7">
        <v>4827242200</v>
      </c>
      <c r="J7">
        <v>162.30000000000001</v>
      </c>
      <c r="K7">
        <v>1.29</v>
      </c>
      <c r="L7" t="s">
        <v>23</v>
      </c>
      <c r="M7" t="s">
        <v>387</v>
      </c>
      <c r="N7" t="s">
        <v>632</v>
      </c>
      <c r="O7" t="s">
        <v>633</v>
      </c>
      <c r="P7" s="5">
        <v>-12.21</v>
      </c>
      <c r="Q7" t="s">
        <v>634</v>
      </c>
      <c r="R7">
        <v>110495180</v>
      </c>
      <c r="S7">
        <v>-0.29749999999999999</v>
      </c>
      <c r="T7" t="s">
        <v>635</v>
      </c>
      <c r="U7">
        <v>931852420</v>
      </c>
      <c r="V7">
        <v>946518080</v>
      </c>
      <c r="W7">
        <v>3.11</v>
      </c>
      <c r="X7">
        <v>0.32</v>
      </c>
      <c r="Y7">
        <v>3.03</v>
      </c>
      <c r="Z7" t="s">
        <v>636</v>
      </c>
      <c r="AA7" t="s">
        <v>637</v>
      </c>
      <c r="AB7" t="s">
        <v>638</v>
      </c>
      <c r="AC7" t="s">
        <v>639</v>
      </c>
      <c r="AD7" t="s">
        <v>54</v>
      </c>
      <c r="AE7">
        <v>20055638</v>
      </c>
      <c r="AF7" t="s">
        <v>640</v>
      </c>
      <c r="AG7" t="s">
        <v>641</v>
      </c>
      <c r="AH7" t="s">
        <v>642</v>
      </c>
      <c r="AI7" t="s">
        <v>643</v>
      </c>
      <c r="AJ7" t="s">
        <v>644</v>
      </c>
      <c r="AK7" t="s">
        <v>645</v>
      </c>
      <c r="AL7" t="s">
        <v>646</v>
      </c>
      <c r="AM7" t="s">
        <v>54</v>
      </c>
      <c r="AN7" t="s">
        <v>411</v>
      </c>
      <c r="AO7" t="s">
        <v>647</v>
      </c>
      <c r="AP7" t="s">
        <v>648</v>
      </c>
      <c r="AQ7" t="s">
        <v>649</v>
      </c>
      <c r="AR7" t="s">
        <v>650</v>
      </c>
      <c r="AS7" t="s">
        <v>651</v>
      </c>
      <c r="AT7" t="s">
        <v>652</v>
      </c>
      <c r="AU7" t="s">
        <v>653</v>
      </c>
      <c r="AV7" t="s">
        <v>654</v>
      </c>
      <c r="AW7" t="s">
        <v>655</v>
      </c>
      <c r="AX7" t="s">
        <v>656</v>
      </c>
      <c r="AY7" t="s">
        <v>657</v>
      </c>
      <c r="AZ7" t="s">
        <v>658</v>
      </c>
      <c r="BA7" t="s">
        <v>659</v>
      </c>
      <c r="BB7" t="s">
        <v>660</v>
      </c>
      <c r="BC7" t="s">
        <v>406</v>
      </c>
      <c r="BD7" t="s">
        <v>219</v>
      </c>
      <c r="BE7" t="s">
        <v>661</v>
      </c>
      <c r="BF7" t="s">
        <v>662</v>
      </c>
      <c r="BG7" t="s">
        <v>663</v>
      </c>
      <c r="BH7" t="s">
        <v>634</v>
      </c>
      <c r="BI7" t="s">
        <v>664</v>
      </c>
      <c r="BJ7" t="s">
        <v>656</v>
      </c>
      <c r="BK7" t="s">
        <v>635</v>
      </c>
      <c r="BL7" t="s">
        <v>492</v>
      </c>
      <c r="BM7" t="s">
        <v>406</v>
      </c>
      <c r="BN7">
        <v>2.73</v>
      </c>
      <c r="BO7">
        <v>8.48</v>
      </c>
      <c r="BP7">
        <v>9.7200000000000006</v>
      </c>
      <c r="BQ7">
        <v>3.28</v>
      </c>
      <c r="BR7">
        <v>12.8</v>
      </c>
      <c r="BS7">
        <v>13.93</v>
      </c>
      <c r="BT7" t="s">
        <v>415</v>
      </c>
      <c r="BU7" t="s">
        <v>665</v>
      </c>
      <c r="BV7">
        <v>4.7699999999999996</v>
      </c>
      <c r="BW7">
        <v>7.36</v>
      </c>
      <c r="BX7">
        <v>7.88</v>
      </c>
      <c r="BY7">
        <v>0.46</v>
      </c>
      <c r="BZ7">
        <v>2.73</v>
      </c>
      <c r="CA7">
        <v>2.87</v>
      </c>
      <c r="CB7">
        <v>22.3</v>
      </c>
      <c r="CC7" s="10">
        <v>1.59</v>
      </c>
      <c r="CD7" s="11" t="s">
        <v>183</v>
      </c>
      <c r="CE7" s="10" t="s">
        <v>666</v>
      </c>
      <c r="CF7" s="10">
        <v>-0.12208092485549132</v>
      </c>
      <c r="CG7" s="10">
        <v>-0.29620904458598724</v>
      </c>
      <c r="CH7" s="10">
        <v>-2.2795768454670906E-2</v>
      </c>
      <c r="CI7" s="10">
        <v>-4.3603584170341492E-2</v>
      </c>
      <c r="CJ7" s="11">
        <v>0.18500816822052002</v>
      </c>
      <c r="CK7" s="11">
        <v>-0.13550956547260284</v>
      </c>
      <c r="CL7" s="11">
        <v>6.8188406527042389E-2</v>
      </c>
      <c r="CM7" s="11">
        <v>-0.8499295711517334</v>
      </c>
      <c r="CN7" s="11">
        <v>7.9051386564970016E-3</v>
      </c>
      <c r="CO7">
        <v>1.2488888502120972</v>
      </c>
      <c r="CP7">
        <v>0.16580310463905334</v>
      </c>
      <c r="CQ7">
        <v>-2.0304568111896515E-2</v>
      </c>
      <c r="CR7" s="10">
        <v>16.962134266108254</v>
      </c>
      <c r="CS7" s="11">
        <v>16.536273417480977</v>
      </c>
      <c r="CT7">
        <v>3.9215686274509807</v>
      </c>
      <c r="CU7">
        <v>1.0257531329989434E-2</v>
      </c>
      <c r="CV7">
        <v>0.11047259084880352</v>
      </c>
      <c r="CW7">
        <v>0.06</v>
      </c>
      <c r="CX7">
        <v>117.21602565582666</v>
      </c>
      <c r="CY7">
        <v>72944310.747282013</v>
      </c>
      <c r="CZ7">
        <v>1.0257531329989434E-2</v>
      </c>
      <c r="DA7">
        <v>41.005216946787208</v>
      </c>
      <c r="DB7">
        <v>208515960.56901044</v>
      </c>
      <c r="DC7">
        <v>9.7446547634899607E-3</v>
      </c>
      <c r="DD7">
        <v>22.046324264392492</v>
      </c>
      <c r="DE7">
        <v>387830737.56243736</v>
      </c>
      <c r="DF7">
        <v>9.0266275703907023E-3</v>
      </c>
      <c r="DG7">
        <v>14.564242860842898</v>
      </c>
      <c r="DH7">
        <v>587070833.80132258</v>
      </c>
      <c r="DI7">
        <v>8.2060250639915469E-3</v>
      </c>
      <c r="DJ7">
        <v>9.1509725746930943</v>
      </c>
      <c r="DK7">
        <v>934353384.86813891</v>
      </c>
      <c r="DL7">
        <v>7.1802719309926027E-3</v>
      </c>
      <c r="DM7">
        <v>76535900</v>
      </c>
      <c r="DN7">
        <v>1.0257531329989434E-2</v>
      </c>
      <c r="DO7">
        <v>8550242200</v>
      </c>
      <c r="DP7">
        <v>1166665400</v>
      </c>
      <c r="DQ7" s="12">
        <v>1049</v>
      </c>
      <c r="DR7">
        <v>-0.13233845618548076</v>
      </c>
      <c r="DS7">
        <v>-0.40668163543479074</v>
      </c>
      <c r="DT7">
        <v>-0.3066666666666667</v>
      </c>
      <c r="DU7">
        <v>-0.17000000000000004</v>
      </c>
      <c r="DV7">
        <v>-0.47666666666666674</v>
      </c>
      <c r="DW7">
        <v>5.0713004484304935</v>
      </c>
      <c r="DX7">
        <v>0.56308747855917562</v>
      </c>
      <c r="DY7">
        <v>5.0287403179779862</v>
      </c>
      <c r="DZ7">
        <v>2847</v>
      </c>
      <c r="EA7">
        <v>5.0127278551045364</v>
      </c>
      <c r="EB7" s="13">
        <v>5</v>
      </c>
      <c r="EC7" s="13">
        <v>0.24827840583879812</v>
      </c>
      <c r="ED7">
        <v>0.61594174725114603</v>
      </c>
      <c r="EE7">
        <v>-2.0448</v>
      </c>
      <c r="EF7">
        <v>-2.0280999999999998</v>
      </c>
      <c r="EG7">
        <v>16.403087478559176</v>
      </c>
      <c r="EH7" s="9" t="s">
        <v>528</v>
      </c>
      <c r="EI7">
        <v>1</v>
      </c>
      <c r="EJ7">
        <v>0</v>
      </c>
      <c r="EK7">
        <v>45470</v>
      </c>
      <c r="EL7">
        <v>1.43</v>
      </c>
      <c r="EM7">
        <v>6.79</v>
      </c>
      <c r="EN7" s="14">
        <v>-8.33</v>
      </c>
      <c r="EO7" s="14">
        <v>0.24</v>
      </c>
      <c r="EP7" s="14">
        <v>-1.67</v>
      </c>
    </row>
    <row r="8" spans="1:146" ht="192" x14ac:dyDescent="0.25">
      <c r="A8" s="6" t="s">
        <v>188</v>
      </c>
      <c r="B8" s="6"/>
      <c r="C8" s="6" t="str">
        <f>"公司主营业务为森林培育营造，森林保有管护，木材生产销售。公司从森林采集林产品销售取得收入,林产品主要为木材,其中杉木和马尾松为公司的主要树种。森林培育与采伐业主要产品为木材。公司是福建省林业产业龙头企业和国有林场。"&amp;CHAR(10)&amp;Basic_Fundamental_Information_Constructure(F8)&amp;CHAR(10)&amp;Basic_Fundamental_Information_Concatenate("杉小径 4295.16万 24.67% 34.75% 62.67%
杉原木 3321.76万 19.08% 28.74% 67.00%
松原木 3279.89万 18.84% 19.79% 46.72%
松小径 3110.82万 17.87% 16.73% 41.64%")</f>
        <v>公司主营业务为森林培育营造，森林保有管护，木材生产销售。公司从森林采集林产品销售取得收入,林产品主要为木材,其中杉木和马尾松为公司的主要树种。森林培育与采伐业主要产品为木材。公司是福建省林业产业龙头企业和国有林场。
市值16.50292亿, 利润800.63万; PE333.6; 平均PE107.86; 平均PEG155.39, PB2.23; ROIC3.62%; ROE-.1867%; 股利率.3643%; 毛利52.09%; 净利6.0167%; 上一年度营收增-14.94%, 利润增-21.45%; 当季营收增-53.07%, 利润增-66.66%; 过往5年营收增-.69%, 利润增3.04%
Income profile:
杉小径 4295.16万 24.67% 34.75% 62.67%
杉原木 3321.76万 19.08% 28.74% 67.00%
松原木 3279.89万 18.84% 19.79% 46.72%
松小径 3110.82万 17.87% 16.73% 41.64%</v>
      </c>
      <c r="D8" t="s">
        <v>26</v>
      </c>
      <c r="E8" t="s">
        <v>8</v>
      </c>
      <c r="F8">
        <v>7</v>
      </c>
      <c r="G8">
        <v>1.74</v>
      </c>
      <c r="H8" t="s">
        <v>667</v>
      </c>
      <c r="I8">
        <v>1650292000</v>
      </c>
      <c r="J8">
        <v>333.6</v>
      </c>
      <c r="K8">
        <v>2.23</v>
      </c>
      <c r="L8" t="s">
        <v>23</v>
      </c>
      <c r="M8" t="s">
        <v>668</v>
      </c>
      <c r="N8" t="s">
        <v>669</v>
      </c>
      <c r="O8" t="s">
        <v>670</v>
      </c>
      <c r="P8">
        <v>-53.06</v>
      </c>
      <c r="Q8" t="s">
        <v>122</v>
      </c>
      <c r="R8">
        <v>-29500000</v>
      </c>
      <c r="S8" s="5">
        <v>-0.1729</v>
      </c>
      <c r="T8" t="s">
        <v>671</v>
      </c>
      <c r="U8">
        <v>235756000</v>
      </c>
      <c r="V8">
        <v>235756000</v>
      </c>
      <c r="W8">
        <v>2.69</v>
      </c>
      <c r="X8">
        <v>0</v>
      </c>
      <c r="Y8">
        <v>-396.31</v>
      </c>
      <c r="Z8" t="s">
        <v>672</v>
      </c>
      <c r="AA8" t="s">
        <v>673</v>
      </c>
      <c r="AB8" t="s">
        <v>674</v>
      </c>
      <c r="AC8" t="s">
        <v>675</v>
      </c>
      <c r="AD8" t="s">
        <v>54</v>
      </c>
      <c r="AE8">
        <v>12324769</v>
      </c>
      <c r="AF8" t="s">
        <v>676</v>
      </c>
      <c r="AG8" t="s">
        <v>677</v>
      </c>
      <c r="AH8" t="s">
        <v>678</v>
      </c>
      <c r="AI8" t="s">
        <v>402</v>
      </c>
      <c r="AJ8" t="s">
        <v>679</v>
      </c>
      <c r="AK8" t="s">
        <v>54</v>
      </c>
      <c r="AL8" t="s">
        <v>680</v>
      </c>
      <c r="AM8" t="s">
        <v>54</v>
      </c>
      <c r="AN8">
        <v>0</v>
      </c>
      <c r="AO8" t="s">
        <v>681</v>
      </c>
      <c r="AP8" t="s">
        <v>54</v>
      </c>
      <c r="AQ8" t="s">
        <v>682</v>
      </c>
      <c r="AR8" t="s">
        <v>54</v>
      </c>
      <c r="AS8" t="s">
        <v>394</v>
      </c>
      <c r="AT8" t="s">
        <v>683</v>
      </c>
      <c r="AU8" t="s">
        <v>684</v>
      </c>
      <c r="AV8" t="s">
        <v>685</v>
      </c>
      <c r="AW8" t="s">
        <v>686</v>
      </c>
      <c r="AX8" t="s">
        <v>392</v>
      </c>
      <c r="AY8" t="s">
        <v>231</v>
      </c>
      <c r="AZ8" t="s">
        <v>122</v>
      </c>
      <c r="BA8" t="s">
        <v>60</v>
      </c>
      <c r="BB8" t="s">
        <v>124</v>
      </c>
      <c r="BC8" t="s">
        <v>393</v>
      </c>
      <c r="BD8" t="s">
        <v>232</v>
      </c>
      <c r="BE8" t="s">
        <v>123</v>
      </c>
      <c r="BF8" t="s">
        <v>69</v>
      </c>
      <c r="BG8" t="s">
        <v>126</v>
      </c>
      <c r="BH8" t="s">
        <v>122</v>
      </c>
      <c r="BI8" t="s">
        <v>687</v>
      </c>
      <c r="BJ8" t="s">
        <v>392</v>
      </c>
      <c r="BK8" t="s">
        <v>671</v>
      </c>
      <c r="BL8" t="s">
        <v>688</v>
      </c>
      <c r="BM8" t="s">
        <v>393</v>
      </c>
      <c r="BN8" t="s">
        <v>54</v>
      </c>
      <c r="BO8">
        <v>3.56</v>
      </c>
      <c r="BP8">
        <v>3.68</v>
      </c>
      <c r="BQ8">
        <v>-3.61</v>
      </c>
      <c r="BR8">
        <v>1.34</v>
      </c>
      <c r="BS8">
        <v>1.71</v>
      </c>
      <c r="BT8" t="s">
        <v>689</v>
      </c>
      <c r="BU8" t="s">
        <v>281</v>
      </c>
      <c r="BV8">
        <v>52.67</v>
      </c>
      <c r="BW8">
        <v>53.41</v>
      </c>
      <c r="BX8">
        <v>50.19</v>
      </c>
      <c r="BY8">
        <v>5.41</v>
      </c>
      <c r="BZ8">
        <v>5.84</v>
      </c>
      <c r="CA8">
        <v>6.8</v>
      </c>
      <c r="CB8">
        <v>1.01</v>
      </c>
      <c r="CC8">
        <v>-16.37</v>
      </c>
      <c r="CD8" t="s">
        <v>690</v>
      </c>
      <c r="CE8" t="s">
        <v>691</v>
      </c>
      <c r="CF8" s="10">
        <v>-0.53065027684699062</v>
      </c>
      <c r="CG8" s="11">
        <v>-0.66656309494890154</v>
      </c>
      <c r="CH8" s="10">
        <v>-0.14942528307437897</v>
      </c>
      <c r="CI8" s="10">
        <v>-8.4210529923439026E-2</v>
      </c>
      <c r="CJ8" s="10">
        <v>0.28378379344940186</v>
      </c>
      <c r="CK8" s="10">
        <v>0.14728681743144989</v>
      </c>
      <c r="CL8" s="10">
        <v>-0.2321428507566452</v>
      </c>
      <c r="CM8" s="11">
        <v>-0.21445250511169434</v>
      </c>
      <c r="CN8" s="11">
        <v>-0.21184094250202179</v>
      </c>
      <c r="CO8" s="11">
        <v>0.48182016611099243</v>
      </c>
      <c r="CP8" s="11">
        <v>1.0052160024642944</v>
      </c>
      <c r="CQ8" s="11">
        <v>-0.90855205059051514</v>
      </c>
      <c r="CR8">
        <v>107.86421970777236</v>
      </c>
      <c r="CS8">
        <v>155.3878866390998</v>
      </c>
      <c r="CT8">
        <v>0.36428571428571427</v>
      </c>
      <c r="CU8" s="10">
        <v>-6.9416105747222897E-3</v>
      </c>
      <c r="CV8" s="11">
        <v>3.0438134074211122E-2</v>
      </c>
      <c r="CW8">
        <v>0.06</v>
      </c>
      <c r="CX8" t="e">
        <v>#VALUE!</v>
      </c>
      <c r="CY8" t="s">
        <v>692</v>
      </c>
      <c r="CZ8">
        <v>-6.9416105747222897E-3</v>
      </c>
      <c r="DA8">
        <v>91.481791422588046</v>
      </c>
      <c r="DB8" t="s">
        <v>693</v>
      </c>
      <c r="DC8">
        <v>-6.5945300459861753E-3</v>
      </c>
      <c r="DD8">
        <v>45.740895711294023</v>
      </c>
      <c r="DE8" t="s">
        <v>694</v>
      </c>
      <c r="DF8">
        <v>-6.1086173057556146E-3</v>
      </c>
      <c r="DG8">
        <v>27.444537426776414</v>
      </c>
      <c r="DH8" t="s">
        <v>695</v>
      </c>
      <c r="DI8">
        <v>-5.5532884597778321E-3</v>
      </c>
      <c r="DJ8">
        <v>13.722268713388207</v>
      </c>
      <c r="DK8" t="s">
        <v>696</v>
      </c>
      <c r="DL8">
        <v>-4.8591274023056024E-3</v>
      </c>
      <c r="DM8">
        <v>8006300</v>
      </c>
      <c r="DN8">
        <v>-6.9416105747222897E-3</v>
      </c>
      <c r="DO8">
        <v>2197292000</v>
      </c>
      <c r="DP8">
        <v>1615994900</v>
      </c>
      <c r="DQ8">
        <v>1169</v>
      </c>
      <c r="DR8">
        <v>-0.52370866627226831</v>
      </c>
      <c r="DS8">
        <v>-0.69700122902311268</v>
      </c>
      <c r="DT8" s="12">
        <v>-0.40666666666666668</v>
      </c>
      <c r="DU8">
        <v>-1.0483333333333333</v>
      </c>
      <c r="DV8">
        <v>-1.4550000000000001</v>
      </c>
      <c r="DW8">
        <v>-3.0041845238095237</v>
      </c>
      <c r="DX8">
        <v>0.37690806660655057</v>
      </c>
      <c r="DY8">
        <v>-3.000740276016812</v>
      </c>
      <c r="DZ8">
        <v>3804</v>
      </c>
      <c r="EA8">
        <v>-3.0001891977451969</v>
      </c>
      <c r="EB8">
        <v>3</v>
      </c>
      <c r="EC8">
        <v>5.1760294541814418E-2</v>
      </c>
      <c r="ED8">
        <v>0.29258300955224892</v>
      </c>
      <c r="EE8" s="13">
        <v>-2.0289100000000002</v>
      </c>
      <c r="EF8">
        <v>-2.0460099999999999</v>
      </c>
      <c r="EG8">
        <v>20.176908066606551</v>
      </c>
      <c r="EH8" t="s">
        <v>603</v>
      </c>
      <c r="EI8">
        <v>0</v>
      </c>
      <c r="EJ8">
        <v>0</v>
      </c>
      <c r="EK8" s="9">
        <v>45470</v>
      </c>
      <c r="EL8" s="14">
        <v>-0.72</v>
      </c>
      <c r="EM8" s="14">
        <v>-4.3600000000000003</v>
      </c>
      <c r="EN8" s="14">
        <v>3.19</v>
      </c>
      <c r="EO8" s="14">
        <v>3.09</v>
      </c>
      <c r="EP8" s="14">
        <v>-1.71</v>
      </c>
    </row>
    <row r="9" spans="1:146" ht="108" x14ac:dyDescent="0.25">
      <c r="A9" s="6"/>
      <c r="B9" s="6"/>
      <c r="C9" s="6" t="str">
        <f>""&amp;CHAR(10)&amp;Basic_Fundamental_Information_Constructure(F9)&amp;CHAR(10)&amp;Basic_Fundamental_Information_Concatenate("")</f>
        <v xml:space="preserve">
市值23.830426亿, 利润1.60亿; PE; 平均PE19.26; 平均PEG1.16, PB.687; ROIC2.55%; ROE3.9633%; 股利率4.9505%; 毛利22.3167%; 净利6.6033%; 上一年度营收增-1.98%, 利润增1.27%; 当季营收增-21.83%, 利润增-82.45%; 过往5年营收增16.53%, 利润增51.03%
Income profile:
</v>
      </c>
      <c r="D9" t="s">
        <v>29</v>
      </c>
      <c r="E9" t="s">
        <v>13</v>
      </c>
      <c r="F9">
        <v>6.06</v>
      </c>
      <c r="G9">
        <v>1</v>
      </c>
      <c r="H9" t="s">
        <v>697</v>
      </c>
      <c r="I9">
        <v>2383042600</v>
      </c>
      <c r="K9">
        <v>0.68700000000000006</v>
      </c>
      <c r="L9" t="s">
        <v>23</v>
      </c>
      <c r="M9" t="s">
        <v>698</v>
      </c>
      <c r="N9" t="s">
        <v>699</v>
      </c>
      <c r="O9" t="s">
        <v>700</v>
      </c>
      <c r="P9">
        <v>-21.87</v>
      </c>
      <c r="Q9" t="s">
        <v>701</v>
      </c>
      <c r="R9">
        <v>34746897</v>
      </c>
      <c r="S9" s="5">
        <v>-0.8246</v>
      </c>
      <c r="T9" t="s">
        <v>459</v>
      </c>
      <c r="U9">
        <v>388656390</v>
      </c>
      <c r="V9">
        <v>393241360</v>
      </c>
      <c r="W9">
        <v>1.87</v>
      </c>
      <c r="X9">
        <v>0.08</v>
      </c>
      <c r="Y9">
        <v>7.07</v>
      </c>
      <c r="Z9" t="s">
        <v>702</v>
      </c>
      <c r="AA9" t="s">
        <v>703</v>
      </c>
      <c r="AB9" t="s">
        <v>704</v>
      </c>
      <c r="AC9" t="s">
        <v>705</v>
      </c>
      <c r="AD9" t="s">
        <v>54</v>
      </c>
      <c r="AE9">
        <v>8508249</v>
      </c>
      <c r="AF9" t="s">
        <v>706</v>
      </c>
      <c r="AG9" t="s">
        <v>707</v>
      </c>
      <c r="AH9" t="s">
        <v>708</v>
      </c>
      <c r="AI9" t="s">
        <v>709</v>
      </c>
      <c r="AJ9" t="s">
        <v>710</v>
      </c>
      <c r="AK9" t="s">
        <v>54</v>
      </c>
      <c r="AL9" t="s">
        <v>711</v>
      </c>
      <c r="AM9" t="s">
        <v>54</v>
      </c>
      <c r="AN9" t="s">
        <v>712</v>
      </c>
      <c r="AO9" t="s">
        <v>713</v>
      </c>
      <c r="AP9" t="s">
        <v>54</v>
      </c>
      <c r="AQ9" t="s">
        <v>236</v>
      </c>
      <c r="AR9" t="s">
        <v>54</v>
      </c>
      <c r="AS9" t="s">
        <v>714</v>
      </c>
      <c r="AT9" t="s">
        <v>473</v>
      </c>
      <c r="AU9" t="s">
        <v>715</v>
      </c>
      <c r="AV9" t="s">
        <v>716</v>
      </c>
      <c r="AW9" t="s">
        <v>717</v>
      </c>
      <c r="AX9" t="s">
        <v>396</v>
      </c>
      <c r="AY9" t="s">
        <v>233</v>
      </c>
      <c r="AZ9" t="s">
        <v>105</v>
      </c>
      <c r="BA9" t="s">
        <v>56</v>
      </c>
      <c r="BB9" t="s">
        <v>127</v>
      </c>
      <c r="BC9" t="s">
        <v>397</v>
      </c>
      <c r="BD9" t="s">
        <v>234</v>
      </c>
      <c r="BE9" t="s">
        <v>59</v>
      </c>
      <c r="BF9" t="s">
        <v>70</v>
      </c>
      <c r="BG9" t="s">
        <v>73</v>
      </c>
      <c r="BH9" t="s">
        <v>701</v>
      </c>
      <c r="BI9" t="s">
        <v>718</v>
      </c>
      <c r="BJ9" t="s">
        <v>396</v>
      </c>
      <c r="BK9" t="s">
        <v>459</v>
      </c>
      <c r="BL9" t="s">
        <v>719</v>
      </c>
      <c r="BM9" t="s">
        <v>397</v>
      </c>
      <c r="BN9" t="s">
        <v>54</v>
      </c>
      <c r="BO9">
        <v>3.64</v>
      </c>
      <c r="BP9">
        <v>1.46</v>
      </c>
      <c r="BQ9">
        <v>5.0599999999999996</v>
      </c>
      <c r="BR9">
        <v>4.93</v>
      </c>
      <c r="BS9">
        <v>1.9</v>
      </c>
      <c r="BT9" t="s">
        <v>399</v>
      </c>
      <c r="BU9" t="s">
        <v>287</v>
      </c>
      <c r="BV9">
        <v>22.99</v>
      </c>
      <c r="BW9">
        <v>25.45</v>
      </c>
      <c r="BX9">
        <v>18.510000000000002</v>
      </c>
      <c r="BY9">
        <v>8.26</v>
      </c>
      <c r="BZ9">
        <v>8.06</v>
      </c>
      <c r="CA9">
        <v>3.49</v>
      </c>
      <c r="CB9">
        <v>1.17</v>
      </c>
      <c r="CC9">
        <v>-10.49</v>
      </c>
      <c r="CD9" t="s">
        <v>720</v>
      </c>
      <c r="CE9" t="s">
        <v>721</v>
      </c>
      <c r="CF9" s="10">
        <v>-0.21829855537720708</v>
      </c>
      <c r="CG9" s="11">
        <v>-0.82451062121212126</v>
      </c>
      <c r="CH9" s="10">
        <v>-1.9796986132860184E-2</v>
      </c>
      <c r="CI9" s="10">
        <v>0.26606684923171997</v>
      </c>
      <c r="CJ9" s="10">
        <v>4.9224499613046646E-2</v>
      </c>
      <c r="CK9" s="10">
        <v>0.28287202119827271</v>
      </c>
      <c r="CL9" s="10">
        <v>0.24838012456893921</v>
      </c>
      <c r="CM9" s="11">
        <v>1.2658228166401386E-2</v>
      </c>
      <c r="CN9" s="11">
        <v>1.8743996620178223</v>
      </c>
      <c r="CO9" s="11">
        <v>-0.70916402339935303</v>
      </c>
      <c r="CP9" s="11">
        <v>1.7630044221878052</v>
      </c>
      <c r="CQ9" s="11">
        <v>-0.38925179839134216</v>
      </c>
      <c r="CR9">
        <v>19.260235369931888</v>
      </c>
      <c r="CS9">
        <v>1.1648210891971584</v>
      </c>
      <c r="CT9">
        <v>4.9504950495049505</v>
      </c>
      <c r="CU9" s="10">
        <v>0.16534930169582368</v>
      </c>
      <c r="CV9" s="11">
        <v>0.51032929811626671</v>
      </c>
      <c r="CW9">
        <v>0.06</v>
      </c>
      <c r="CX9">
        <v>8.8176628329778861</v>
      </c>
      <c r="CY9">
        <v>175901781.38804883</v>
      </c>
      <c r="CZ9">
        <v>0.16534930169582368</v>
      </c>
      <c r="DA9">
        <v>2.7049240056581696</v>
      </c>
      <c r="DB9">
        <v>573414482.90433419</v>
      </c>
      <c r="DC9">
        <v>0.15708183661103248</v>
      </c>
      <c r="DD9">
        <v>1.2207470180198474</v>
      </c>
      <c r="DE9">
        <v>1270568411.8859606</v>
      </c>
      <c r="DF9">
        <v>0.14550738549232484</v>
      </c>
      <c r="DG9">
        <v>0.66248240519143797</v>
      </c>
      <c r="DH9">
        <v>2341258556.9752507</v>
      </c>
      <c r="DI9">
        <v>0.13227944135665895</v>
      </c>
      <c r="DJ9">
        <v>0.27098967675819685</v>
      </c>
      <c r="DK9">
        <v>5723622458.8141394</v>
      </c>
      <c r="DL9">
        <v>0.11574451118707657</v>
      </c>
      <c r="DM9">
        <v>160000000</v>
      </c>
      <c r="DN9">
        <v>0.16534930169582368</v>
      </c>
      <c r="DO9">
        <v>1551042599.9999995</v>
      </c>
      <c r="DP9">
        <v>1513826000</v>
      </c>
      <c r="DQ9">
        <v>1249</v>
      </c>
      <c r="DR9">
        <v>-0.38364785707303073</v>
      </c>
      <c r="DS9">
        <v>-1.334839919328388</v>
      </c>
      <c r="DT9" s="12">
        <v>-7.3333333333333403E-2</v>
      </c>
      <c r="DU9">
        <v>-0.22333333333333338</v>
      </c>
      <c r="DV9">
        <v>-0.2966666666666668</v>
      </c>
      <c r="DW9">
        <v>-2.1049000000000002</v>
      </c>
      <c r="DX9">
        <v>0.28019412404599964</v>
      </c>
      <c r="DY9">
        <v>-2.0136573636124253</v>
      </c>
      <c r="DZ9">
        <v>2443</v>
      </c>
      <c r="EA9">
        <v>-2.0071280212826492</v>
      </c>
      <c r="EB9">
        <v>2</v>
      </c>
      <c r="EC9">
        <v>3.0678614273941071E-2</v>
      </c>
      <c r="ED9">
        <v>0.23563747211127536</v>
      </c>
      <c r="EE9" s="13">
        <v>2.0369999999999999</v>
      </c>
      <c r="EF9">
        <v>2.0221999999999998</v>
      </c>
      <c r="EG9">
        <v>15.130194124046</v>
      </c>
      <c r="EH9" t="s">
        <v>408</v>
      </c>
      <c r="EI9">
        <v>0</v>
      </c>
      <c r="EJ9">
        <v>0</v>
      </c>
      <c r="EK9" s="9">
        <v>45470</v>
      </c>
      <c r="EL9" s="14">
        <v>0</v>
      </c>
      <c r="EM9" s="14">
        <v>-3.32</v>
      </c>
      <c r="EN9" s="14">
        <v>1.37</v>
      </c>
      <c r="EO9" s="14">
        <v>2.88</v>
      </c>
      <c r="EP9" s="14">
        <v>-1.48</v>
      </c>
    </row>
    <row r="10" spans="1:146" ht="108" x14ac:dyDescent="0.25">
      <c r="C10" s="6" t="str">
        <f>""&amp;CHAR(10)&amp;Basic_Fundamental_Information_Constructure(F10)&amp;CHAR(10)&amp;Basic_Fundamental_Information_Concatenate("")</f>
        <v xml:space="preserve">
市值28.564701亿, 利润5013.64万; PE58.47; 平均PE28.07; 平均PEG1.61, PB1.52; ROIC3.6467%; ROE4.9633%; 股利率.9009%; 毛利24.12%; 净利3.1033%; 上一年度营收增1.53%, 利润增-48.69%; 当季营收增1.31%, 利润增-12.6%; 过往5年营收增17.46%, 利润增-6.81%
Income profile:
</v>
      </c>
      <c r="D10" t="s">
        <v>722</v>
      </c>
      <c r="E10" t="s">
        <v>723</v>
      </c>
      <c r="F10">
        <v>3.33</v>
      </c>
      <c r="G10">
        <v>0.91</v>
      </c>
      <c r="H10" t="s">
        <v>724</v>
      </c>
      <c r="I10">
        <v>2856470100</v>
      </c>
      <c r="J10">
        <v>58.47</v>
      </c>
      <c r="K10">
        <v>1.52</v>
      </c>
      <c r="L10" t="s">
        <v>23</v>
      </c>
      <c r="M10" t="s">
        <v>725</v>
      </c>
      <c r="N10" t="s">
        <v>726</v>
      </c>
      <c r="O10" t="s">
        <v>727</v>
      </c>
      <c r="P10" s="5">
        <v>1.19</v>
      </c>
      <c r="Q10" t="s">
        <v>728</v>
      </c>
      <c r="R10">
        <v>8890538</v>
      </c>
      <c r="S10">
        <v>-0.126</v>
      </c>
      <c r="T10" t="s">
        <v>729</v>
      </c>
      <c r="U10">
        <v>700762400</v>
      </c>
      <c r="V10">
        <v>857798820</v>
      </c>
      <c r="W10">
        <v>3.37</v>
      </c>
      <c r="X10">
        <v>0.06</v>
      </c>
      <c r="Y10">
        <v>0.25</v>
      </c>
      <c r="Z10" t="s">
        <v>730</v>
      </c>
      <c r="AA10" t="s">
        <v>147</v>
      </c>
      <c r="AB10" t="s">
        <v>731</v>
      </c>
      <c r="AC10" t="s">
        <v>732</v>
      </c>
      <c r="AD10" t="s">
        <v>54</v>
      </c>
      <c r="AE10">
        <v>27988225</v>
      </c>
      <c r="AF10" t="s">
        <v>733</v>
      </c>
      <c r="AG10" t="s">
        <v>734</v>
      </c>
      <c r="AH10" t="s">
        <v>735</v>
      </c>
      <c r="AI10" t="s">
        <v>736</v>
      </c>
      <c r="AJ10" t="s">
        <v>737</v>
      </c>
      <c r="AK10" t="s">
        <v>738</v>
      </c>
      <c r="AL10" t="s">
        <v>739</v>
      </c>
      <c r="AM10" t="s">
        <v>54</v>
      </c>
      <c r="AN10" t="s">
        <v>740</v>
      </c>
      <c r="AO10" t="s">
        <v>741</v>
      </c>
      <c r="AP10" t="s">
        <v>398</v>
      </c>
      <c r="AQ10" t="s">
        <v>742</v>
      </c>
      <c r="AR10" t="s">
        <v>743</v>
      </c>
      <c r="AS10" t="s">
        <v>744</v>
      </c>
      <c r="AT10" t="s">
        <v>475</v>
      </c>
      <c r="AU10" t="s">
        <v>745</v>
      </c>
      <c r="AV10" t="s">
        <v>746</v>
      </c>
      <c r="AW10" t="s">
        <v>747</v>
      </c>
      <c r="AX10" t="s">
        <v>748</v>
      </c>
      <c r="AY10" t="s">
        <v>749</v>
      </c>
      <c r="AZ10" t="s">
        <v>750</v>
      </c>
      <c r="BA10" t="s">
        <v>751</v>
      </c>
      <c r="BB10" t="s">
        <v>752</v>
      </c>
      <c r="BC10" t="s">
        <v>753</v>
      </c>
      <c r="BD10" t="s">
        <v>88</v>
      </c>
      <c r="BE10" t="s">
        <v>754</v>
      </c>
      <c r="BF10" t="s">
        <v>60</v>
      </c>
      <c r="BG10" t="s">
        <v>380</v>
      </c>
      <c r="BH10" t="s">
        <v>728</v>
      </c>
      <c r="BI10" t="s">
        <v>755</v>
      </c>
      <c r="BJ10" t="s">
        <v>748</v>
      </c>
      <c r="BK10" t="s">
        <v>729</v>
      </c>
      <c r="BL10" t="s">
        <v>756</v>
      </c>
      <c r="BM10" t="s">
        <v>753</v>
      </c>
      <c r="BN10">
        <v>2.06</v>
      </c>
      <c r="BO10">
        <v>3.68</v>
      </c>
      <c r="BP10">
        <v>5.2</v>
      </c>
      <c r="BQ10">
        <v>1.81</v>
      </c>
      <c r="BR10">
        <v>5</v>
      </c>
      <c r="BS10">
        <v>8.08</v>
      </c>
      <c r="BT10" t="s">
        <v>757</v>
      </c>
      <c r="BU10" t="s">
        <v>665</v>
      </c>
      <c r="BV10">
        <v>24.35</v>
      </c>
      <c r="BW10">
        <v>24.7</v>
      </c>
      <c r="BX10">
        <v>23.31</v>
      </c>
      <c r="BY10">
        <v>1.94</v>
      </c>
      <c r="BZ10">
        <v>3.19</v>
      </c>
      <c r="CA10">
        <v>4.18</v>
      </c>
      <c r="CB10">
        <v>0.91</v>
      </c>
      <c r="CC10" s="10">
        <v>-10</v>
      </c>
      <c r="CD10" s="11" t="s">
        <v>758</v>
      </c>
      <c r="CE10" s="10" t="s">
        <v>717</v>
      </c>
      <c r="CF10" s="10">
        <v>1.3129102844638949E-2</v>
      </c>
      <c r="CG10" s="10">
        <v>-0.12601372340843853</v>
      </c>
      <c r="CH10" s="10">
        <v>1.528962142765522E-2</v>
      </c>
      <c r="CI10" s="10">
        <v>-3.2432466745376587E-2</v>
      </c>
      <c r="CJ10" s="11">
        <v>0.74182361364364624</v>
      </c>
      <c r="CK10" s="11">
        <v>-6.8328768014907837E-2</v>
      </c>
      <c r="CL10" s="11">
        <v>0.21685400605201721</v>
      </c>
      <c r="CM10" s="11">
        <v>-0.48685678839683533</v>
      </c>
      <c r="CN10" s="11">
        <v>-0.27626299858093262</v>
      </c>
      <c r="CO10">
        <v>0.3667827844619751</v>
      </c>
      <c r="CP10">
        <v>-0.23432484269142151</v>
      </c>
      <c r="CQ10">
        <v>0.28999999165534973</v>
      </c>
      <c r="CR10" s="10">
        <v>28.068220951732112</v>
      </c>
      <c r="CS10" s="11">
        <v>1.6071935343549839</v>
      </c>
      <c r="CT10">
        <v>0.9009009009009008</v>
      </c>
      <c r="CU10">
        <v>0.17464120127260685</v>
      </c>
      <c r="CV10">
        <v>-6.8132370710372925E-2</v>
      </c>
      <c r="CW10">
        <v>0.06</v>
      </c>
      <c r="CX10">
        <v>112.01600923163127</v>
      </c>
      <c r="CY10">
        <v>55558755.776871629</v>
      </c>
      <c r="CZ10">
        <v>0.17464120127260685</v>
      </c>
      <c r="DA10">
        <v>34.097977057250112</v>
      </c>
      <c r="DB10">
        <v>182517282.17046028</v>
      </c>
      <c r="DC10">
        <v>0.16590914120897651</v>
      </c>
      <c r="DD10">
        <v>15.221644666900298</v>
      </c>
      <c r="DE10">
        <v>408856614.130077</v>
      </c>
      <c r="DF10">
        <v>0.15368425711989403</v>
      </c>
      <c r="DG10">
        <v>8.1528514194188588</v>
      </c>
      <c r="DH10">
        <v>763348892.28775048</v>
      </c>
      <c r="DI10">
        <v>0.13971296101808547</v>
      </c>
      <c r="DJ10">
        <v>3.2311951200189419</v>
      </c>
      <c r="DK10">
        <v>1926058275.2933586</v>
      </c>
      <c r="DL10">
        <v>0.12224884089082479</v>
      </c>
      <c r="DM10">
        <v>50136400</v>
      </c>
      <c r="DN10">
        <v>0.17464120127260685</v>
      </c>
      <c r="DO10">
        <v>6223470100</v>
      </c>
      <c r="DP10">
        <v>1526646600</v>
      </c>
      <c r="DQ10" s="12">
        <v>1519</v>
      </c>
      <c r="DR10">
        <v>-0.1615120984279679</v>
      </c>
      <c r="DS10">
        <v>-5.7881352698065602E-2</v>
      </c>
      <c r="DT10">
        <v>-7.333333333333332E-2</v>
      </c>
      <c r="DU10">
        <v>-0.19999999999999998</v>
      </c>
      <c r="DV10">
        <v>-0.27333333333333332</v>
      </c>
      <c r="DW10">
        <v>-2.1</v>
      </c>
      <c r="DX10">
        <v>0.34585365853658517</v>
      </c>
      <c r="DY10">
        <v>-2.0265853658536583</v>
      </c>
      <c r="DZ10">
        <v>2361</v>
      </c>
      <c r="EA10">
        <v>-2.0143019903584554</v>
      </c>
      <c r="EB10" s="13">
        <v>2</v>
      </c>
      <c r="EC10" s="13">
        <v>0.12706942170892707</v>
      </c>
      <c r="ED10">
        <v>0.47796754954734016</v>
      </c>
      <c r="EE10">
        <v>-1.0019100000000001</v>
      </c>
      <c r="EF10">
        <v>-1.0255000000000001</v>
      </c>
      <c r="EG10">
        <v>8.2658536585365852</v>
      </c>
      <c r="EH10" s="9" t="s">
        <v>551</v>
      </c>
      <c r="EI10">
        <v>0</v>
      </c>
      <c r="EJ10">
        <v>0</v>
      </c>
      <c r="EK10">
        <v>45470</v>
      </c>
      <c r="EL10">
        <v>2.4</v>
      </c>
      <c r="EM10">
        <v>-5.57</v>
      </c>
      <c r="EN10" s="14">
        <v>-0.62</v>
      </c>
      <c r="EO10" s="14">
        <v>2.5</v>
      </c>
      <c r="EP10" s="14">
        <v>2.74</v>
      </c>
    </row>
    <row r="11" spans="1:146" ht="108" x14ac:dyDescent="0.25">
      <c r="A11" s="6"/>
      <c r="B11" s="6"/>
      <c r="C11" s="6" t="str">
        <f>""&amp;CHAR(10)&amp;Basic_Fundamental_Information_Constructure(F11)&amp;CHAR(10)&amp;Basic_Fundamental_Information_Concatenate("")</f>
        <v xml:space="preserve">
市值59.018768亿, 利润2.74亿; PE22.67; 平均PE36.44; 平均PEG1.02, PB3; ROIC8.7933%; ROE11.49%; 股利率1.6051%; 毛利27.5267%; 净利8.7033%; 上一年度营收增17.53%, 利润增17.6%; 当季营收增9.08%, 利润增-43.34%; 过往5年营收增35.8%, 利润增32.32%
Income profile:
</v>
      </c>
      <c r="D11" t="s">
        <v>28</v>
      </c>
      <c r="E11" t="s">
        <v>11</v>
      </c>
      <c r="F11">
        <v>6.23</v>
      </c>
      <c r="G11">
        <v>0.16</v>
      </c>
      <c r="H11" t="s">
        <v>759</v>
      </c>
      <c r="I11">
        <v>5901876800</v>
      </c>
      <c r="J11">
        <v>22.67</v>
      </c>
      <c r="K11">
        <v>3</v>
      </c>
      <c r="L11" t="s">
        <v>23</v>
      </c>
      <c r="M11" t="s">
        <v>760</v>
      </c>
      <c r="N11" t="s">
        <v>761</v>
      </c>
      <c r="O11" t="s">
        <v>762</v>
      </c>
      <c r="P11">
        <v>8.99</v>
      </c>
      <c r="Q11" t="s">
        <v>763</v>
      </c>
      <c r="R11">
        <v>17744469</v>
      </c>
      <c r="S11" s="5">
        <v>-0.43340000000000001</v>
      </c>
      <c r="T11" t="s">
        <v>764</v>
      </c>
      <c r="U11">
        <v>895905070</v>
      </c>
      <c r="V11">
        <v>947331750</v>
      </c>
      <c r="W11">
        <v>2.38</v>
      </c>
      <c r="X11">
        <v>0.1</v>
      </c>
      <c r="Y11">
        <v>2.4900000000000002</v>
      </c>
      <c r="Z11" t="s">
        <v>765</v>
      </c>
      <c r="AA11" t="s">
        <v>713</v>
      </c>
      <c r="AB11" t="s">
        <v>766</v>
      </c>
      <c r="AC11" t="s">
        <v>767</v>
      </c>
      <c r="AD11" t="s">
        <v>54</v>
      </c>
      <c r="AE11">
        <v>12686108</v>
      </c>
      <c r="AF11" t="s">
        <v>768</v>
      </c>
      <c r="AG11" t="s">
        <v>769</v>
      </c>
      <c r="AH11" t="s">
        <v>770</v>
      </c>
      <c r="AI11" t="s">
        <v>771</v>
      </c>
      <c r="AJ11" t="s">
        <v>772</v>
      </c>
      <c r="AK11" t="s">
        <v>54</v>
      </c>
      <c r="AL11" t="s">
        <v>773</v>
      </c>
      <c r="AM11" t="s">
        <v>54</v>
      </c>
      <c r="AN11" t="s">
        <v>774</v>
      </c>
      <c r="AO11" t="s">
        <v>775</v>
      </c>
      <c r="AP11" t="s">
        <v>476</v>
      </c>
      <c r="AQ11" t="s">
        <v>776</v>
      </c>
      <c r="AR11" t="s">
        <v>54</v>
      </c>
      <c r="AS11" t="s">
        <v>777</v>
      </c>
      <c r="AT11" t="s">
        <v>778</v>
      </c>
      <c r="AU11" t="s">
        <v>779</v>
      </c>
      <c r="AV11" t="s">
        <v>780</v>
      </c>
      <c r="AW11" t="s">
        <v>401</v>
      </c>
      <c r="AX11" t="s">
        <v>400</v>
      </c>
      <c r="AY11" t="s">
        <v>235</v>
      </c>
      <c r="AZ11" t="s">
        <v>128</v>
      </c>
      <c r="BA11" t="s">
        <v>71</v>
      </c>
      <c r="BB11" t="s">
        <v>130</v>
      </c>
      <c r="BC11" t="s">
        <v>230</v>
      </c>
      <c r="BD11" t="s">
        <v>236</v>
      </c>
      <c r="BE11" t="s">
        <v>82</v>
      </c>
      <c r="BF11" t="s">
        <v>72</v>
      </c>
      <c r="BG11" t="s">
        <v>132</v>
      </c>
      <c r="BH11" t="s">
        <v>763</v>
      </c>
      <c r="BI11" t="s">
        <v>781</v>
      </c>
      <c r="BJ11" t="s">
        <v>400</v>
      </c>
      <c r="BK11" t="s">
        <v>764</v>
      </c>
      <c r="BL11" t="s">
        <v>782</v>
      </c>
      <c r="BM11" t="s">
        <v>230</v>
      </c>
      <c r="BN11">
        <v>0.81</v>
      </c>
      <c r="BO11">
        <v>12.51</v>
      </c>
      <c r="BP11">
        <v>13.06</v>
      </c>
      <c r="BQ11">
        <v>0.63</v>
      </c>
      <c r="BR11">
        <v>15.62</v>
      </c>
      <c r="BS11">
        <v>18.22</v>
      </c>
      <c r="BT11" t="s">
        <v>783</v>
      </c>
      <c r="BU11" t="s">
        <v>283</v>
      </c>
      <c r="BV11">
        <v>26.91</v>
      </c>
      <c r="BW11">
        <v>26.84</v>
      </c>
      <c r="BX11">
        <v>28.83</v>
      </c>
      <c r="BY11">
        <v>8.8699999999999992</v>
      </c>
      <c r="BZ11">
        <v>8.81</v>
      </c>
      <c r="CA11">
        <v>8.43</v>
      </c>
      <c r="CB11">
        <v>0.81</v>
      </c>
      <c r="CC11">
        <v>-13.59</v>
      </c>
      <c r="CD11" t="s">
        <v>784</v>
      </c>
      <c r="CE11" t="s">
        <v>390</v>
      </c>
      <c r="CF11" s="10">
        <v>9.0761750405186387E-2</v>
      </c>
      <c r="CG11" s="11">
        <v>-0.43339360924223508</v>
      </c>
      <c r="CH11" s="10">
        <v>0.17530792951583862</v>
      </c>
      <c r="CI11" s="10">
        <v>0.38476800918579102</v>
      </c>
      <c r="CJ11" s="10">
        <v>0.57365787029266357</v>
      </c>
      <c r="CK11" s="10">
        <v>0.38821491599082947</v>
      </c>
      <c r="CL11" s="10">
        <v>0.26813188195228577</v>
      </c>
      <c r="CM11" s="11">
        <v>0.17596566677093506</v>
      </c>
      <c r="CN11" s="11">
        <v>0.37869822978973389</v>
      </c>
      <c r="CO11" s="11">
        <v>0.27067670226097107</v>
      </c>
      <c r="CP11" s="11">
        <v>0.40625560283660889</v>
      </c>
      <c r="CQ11" s="11">
        <v>0.38427093625068665</v>
      </c>
      <c r="CR11">
        <v>36.435075490767929</v>
      </c>
      <c r="CS11">
        <v>1.0176937102598842</v>
      </c>
      <c r="CT11">
        <v>1.6051364365971106</v>
      </c>
      <c r="CU11" s="10">
        <v>0.35801612138748168</v>
      </c>
      <c r="CV11" s="11">
        <v>0.32317342758178713</v>
      </c>
      <c r="CW11">
        <v>0.06</v>
      </c>
      <c r="CX11">
        <v>21.148576129658824</v>
      </c>
      <c r="CY11">
        <v>351034355.90582073</v>
      </c>
      <c r="CZ11">
        <v>0.35801612138748168</v>
      </c>
      <c r="DA11">
        <v>5.5483360536712469</v>
      </c>
      <c r="DB11">
        <v>1338036616.4172297</v>
      </c>
      <c r="DC11">
        <v>0.34011531531810757</v>
      </c>
      <c r="DD11">
        <v>1.9859364009760643</v>
      </c>
      <c r="DE11">
        <v>3738224847.6593976</v>
      </c>
      <c r="DF11">
        <v>0.31505418682098391</v>
      </c>
      <c r="DG11">
        <v>0.80414115677307996</v>
      </c>
      <c r="DH11">
        <v>9232056757.0389118</v>
      </c>
      <c r="DI11">
        <v>0.28641289710998535</v>
      </c>
      <c r="DJ11">
        <v>0.15695583034667343</v>
      </c>
      <c r="DK11">
        <v>47299146413.374023</v>
      </c>
      <c r="DL11">
        <v>0.25061128497123714</v>
      </c>
      <c r="DM11">
        <v>274000000</v>
      </c>
      <c r="DN11">
        <v>0.35801612138748168</v>
      </c>
      <c r="DO11">
        <v>7423876800</v>
      </c>
      <c r="DP11">
        <v>1662066700</v>
      </c>
      <c r="DQ11">
        <v>1580</v>
      </c>
      <c r="DR11">
        <v>-0.26725437098229532</v>
      </c>
      <c r="DS11">
        <v>-0.75656703682402227</v>
      </c>
      <c r="DT11" s="12">
        <v>0.22666666666666657</v>
      </c>
      <c r="DU11">
        <v>0.4466666666666666</v>
      </c>
      <c r="DV11">
        <v>0.67333333333333312</v>
      </c>
      <c r="DW11">
        <v>-2.1358999999999999</v>
      </c>
      <c r="DX11">
        <v>0.3497422924901189</v>
      </c>
      <c r="DY11">
        <v>-2.032580977549407</v>
      </c>
      <c r="DZ11">
        <v>489</v>
      </c>
      <c r="EA11">
        <v>-2.0294631501479081</v>
      </c>
      <c r="EB11">
        <v>2</v>
      </c>
      <c r="EC11">
        <v>6.4026989489162578E-2</v>
      </c>
      <c r="ED11">
        <v>0.26706589323117269</v>
      </c>
      <c r="EE11" s="13">
        <v>-3.11511</v>
      </c>
      <c r="EF11">
        <v>-3.13741</v>
      </c>
      <c r="EG11">
        <v>11.239742292490119</v>
      </c>
      <c r="EH11" t="s">
        <v>785</v>
      </c>
      <c r="EI11">
        <v>0</v>
      </c>
      <c r="EJ11">
        <v>1</v>
      </c>
      <c r="EK11" s="9">
        <v>45470</v>
      </c>
      <c r="EL11" s="14">
        <v>0.16</v>
      </c>
      <c r="EM11" s="14">
        <v>-3.76</v>
      </c>
      <c r="EN11" s="14">
        <v>0.49</v>
      </c>
      <c r="EO11" s="14">
        <v>1.78</v>
      </c>
      <c r="EP11" s="14">
        <v>-2.23</v>
      </c>
    </row>
    <row r="12" spans="1:146" ht="108" x14ac:dyDescent="0.25">
      <c r="A12" s="6"/>
      <c r="B12" s="6"/>
      <c r="C12" s="6" t="str">
        <f>""&amp;CHAR(10)&amp;Basic_Fundamental_Information_Constructure(F12)&amp;CHAR(10)&amp;Basic_Fundamental_Information_Concatenate("")</f>
        <v xml:space="preserve">
市值20.5824亿, 利润-3602.24万; PE; 平均PE-21.15; 平均PEG-9.18, PB2.7; ROIC0%; ROE-5.1533%; 股利率0%; 毛利32.62%; 净利-30.26%; 上一年度营收增-12.57%, 利润增44.24%; 当季营收增27.62%, 利润增-151.81%; 过往5年营收增2.3%, 利润增-313%
Income profile:
</v>
      </c>
      <c r="D12" t="s">
        <v>36</v>
      </c>
      <c r="E12" t="s">
        <v>37</v>
      </c>
      <c r="F12">
        <v>2.0099999999999998</v>
      </c>
      <c r="G12">
        <v>-7.37</v>
      </c>
      <c r="H12" t="s">
        <v>786</v>
      </c>
      <c r="I12">
        <v>2058240000</v>
      </c>
      <c r="K12">
        <v>2.7</v>
      </c>
      <c r="L12" t="s">
        <v>23</v>
      </c>
      <c r="M12" t="s">
        <v>434</v>
      </c>
      <c r="N12" t="s">
        <v>87</v>
      </c>
      <c r="O12" t="s">
        <v>787</v>
      </c>
      <c r="P12">
        <v>27.62</v>
      </c>
      <c r="Q12" t="s">
        <v>113</v>
      </c>
      <c r="R12">
        <v>-8433477</v>
      </c>
      <c r="S12" s="5">
        <v>-1.518</v>
      </c>
      <c r="T12" t="s">
        <v>788</v>
      </c>
      <c r="U12">
        <v>886247570</v>
      </c>
      <c r="V12">
        <v>1024000000</v>
      </c>
      <c r="W12">
        <v>1.1599999999999999</v>
      </c>
      <c r="X12">
        <v>0.05</v>
      </c>
      <c r="Y12">
        <v>-14.5</v>
      </c>
      <c r="Z12" t="s">
        <v>789</v>
      </c>
      <c r="AA12" t="s">
        <v>790</v>
      </c>
      <c r="AB12" t="s">
        <v>791</v>
      </c>
      <c r="AC12" t="s">
        <v>792</v>
      </c>
      <c r="AD12" t="s">
        <v>54</v>
      </c>
      <c r="AE12">
        <v>-77323</v>
      </c>
      <c r="AF12" t="s">
        <v>793</v>
      </c>
      <c r="AG12" t="s">
        <v>794</v>
      </c>
      <c r="AH12" t="s">
        <v>795</v>
      </c>
      <c r="AI12" t="s">
        <v>796</v>
      </c>
      <c r="AJ12" t="s">
        <v>797</v>
      </c>
      <c r="AK12" t="s">
        <v>798</v>
      </c>
      <c r="AL12" t="s">
        <v>799</v>
      </c>
      <c r="AM12" t="s">
        <v>54</v>
      </c>
      <c r="AN12" t="s">
        <v>800</v>
      </c>
      <c r="AO12" t="s">
        <v>801</v>
      </c>
      <c r="AP12" t="s">
        <v>54</v>
      </c>
      <c r="AQ12" t="s">
        <v>802</v>
      </c>
      <c r="AR12" t="s">
        <v>803</v>
      </c>
      <c r="AS12" t="s">
        <v>804</v>
      </c>
      <c r="AT12" t="s">
        <v>805</v>
      </c>
      <c r="AU12" t="s">
        <v>806</v>
      </c>
      <c r="AV12" t="s">
        <v>807</v>
      </c>
      <c r="AW12" t="s">
        <v>808</v>
      </c>
      <c r="AX12" t="s">
        <v>402</v>
      </c>
      <c r="AY12" t="s">
        <v>122</v>
      </c>
      <c r="AZ12" t="s">
        <v>60</v>
      </c>
      <c r="BA12" t="s">
        <v>73</v>
      </c>
      <c r="BB12" t="s">
        <v>129</v>
      </c>
      <c r="BC12" t="s">
        <v>403</v>
      </c>
      <c r="BD12" t="s">
        <v>237</v>
      </c>
      <c r="BE12" t="s">
        <v>133</v>
      </c>
      <c r="BF12" t="s">
        <v>74</v>
      </c>
      <c r="BG12" t="s">
        <v>134</v>
      </c>
      <c r="BH12" t="s">
        <v>113</v>
      </c>
      <c r="BI12" t="s">
        <v>809</v>
      </c>
      <c r="BJ12" t="s">
        <v>402</v>
      </c>
      <c r="BK12" t="s">
        <v>788</v>
      </c>
      <c r="BL12" t="s">
        <v>810</v>
      </c>
      <c r="BM12" t="s">
        <v>403</v>
      </c>
      <c r="BN12" t="s">
        <v>54</v>
      </c>
      <c r="BO12" t="s">
        <v>54</v>
      </c>
      <c r="BP12" t="s">
        <v>54</v>
      </c>
      <c r="BQ12">
        <v>-1.45</v>
      </c>
      <c r="BR12">
        <v>-7.7</v>
      </c>
      <c r="BS12">
        <v>-6.31</v>
      </c>
      <c r="BT12" t="s">
        <v>364</v>
      </c>
      <c r="BU12" t="s">
        <v>283</v>
      </c>
      <c r="BV12">
        <v>35.619999999999997</v>
      </c>
      <c r="BW12">
        <v>32.049999999999997</v>
      </c>
      <c r="BX12">
        <v>30.19</v>
      </c>
      <c r="BY12">
        <v>-19.61</v>
      </c>
      <c r="BZ12">
        <v>-33.07</v>
      </c>
      <c r="CA12">
        <v>-38.1</v>
      </c>
      <c r="CB12">
        <v>12.29</v>
      </c>
      <c r="CC12">
        <v>-11.45</v>
      </c>
      <c r="CD12" t="s">
        <v>811</v>
      </c>
      <c r="CE12" t="s">
        <v>812</v>
      </c>
      <c r="CF12" s="10">
        <v>0.2761942636595619</v>
      </c>
      <c r="CG12" s="11">
        <v>-1.5181323340598964</v>
      </c>
      <c r="CH12" s="10">
        <v>-0.1256544440984726</v>
      </c>
      <c r="CI12" s="10">
        <v>0.29054054617881775</v>
      </c>
      <c r="CJ12" s="10">
        <v>0.14728681743144989</v>
      </c>
      <c r="CK12" s="10">
        <v>0.1517857164144516</v>
      </c>
      <c r="CL12" s="10">
        <v>-0.34883719682693481</v>
      </c>
      <c r="CM12" s="11">
        <v>0.44238978624343872</v>
      </c>
      <c r="CN12" s="11">
        <v>-0.13681420683860779</v>
      </c>
      <c r="CO12" s="11">
        <v>0.51841777563095093</v>
      </c>
      <c r="CP12" s="11">
        <v>0.64133739471435547</v>
      </c>
      <c r="CQ12" s="11">
        <v>-17.115364074707031</v>
      </c>
      <c r="CR12">
        <v>-21.145026875092459</v>
      </c>
      <c r="CS12">
        <v>-9.1837919333388776</v>
      </c>
      <c r="CT12">
        <v>0</v>
      </c>
      <c r="CU12" s="10">
        <v>2.3024287819862366E-2</v>
      </c>
      <c r="CV12" s="11">
        <v>-3.1300066649913787</v>
      </c>
      <c r="CW12">
        <v>0.06</v>
      </c>
      <c r="CX12" t="e">
        <v>#VALUE!</v>
      </c>
      <c r="CY12" t="s">
        <v>289</v>
      </c>
      <c r="CZ12">
        <v>2.3024287819862366E-2</v>
      </c>
      <c r="DA12" t="e">
        <v>#VALUE!</v>
      </c>
      <c r="DB12" t="s">
        <v>282</v>
      </c>
      <c r="DC12">
        <v>2.1873073428869245E-2</v>
      </c>
      <c r="DD12" t="e">
        <v>#VALUE!</v>
      </c>
      <c r="DE12" t="s">
        <v>282</v>
      </c>
      <c r="DF12">
        <v>2.0261373281478881E-2</v>
      </c>
      <c r="DG12" t="e">
        <v>#VALUE!</v>
      </c>
      <c r="DH12" t="s">
        <v>282</v>
      </c>
      <c r="DI12">
        <v>1.8419430255889893E-2</v>
      </c>
      <c r="DJ12" t="e">
        <v>#VALUE!</v>
      </c>
      <c r="DK12" t="s">
        <v>282</v>
      </c>
      <c r="DL12">
        <v>1.6117001473903655E-2</v>
      </c>
      <c r="DM12">
        <v>-36022400</v>
      </c>
      <c r="DN12">
        <v>2.3024287819862366E-2</v>
      </c>
      <c r="DO12">
        <v>1354240000</v>
      </c>
      <c r="DP12">
        <v>161332050</v>
      </c>
      <c r="DQ12">
        <v>1676</v>
      </c>
      <c r="DR12">
        <v>0.25316997583969952</v>
      </c>
      <c r="DS12">
        <v>1.6118743309314822</v>
      </c>
      <c r="DT12" s="12">
        <v>-0.27333333333333337</v>
      </c>
      <c r="DU12">
        <v>-2.6483333333333334</v>
      </c>
      <c r="DV12">
        <v>-2.9216666666666669</v>
      </c>
      <c r="DW12">
        <v>5.931651749389748</v>
      </c>
      <c r="DX12">
        <v>0.67677702044790566</v>
      </c>
      <c r="DY12">
        <v>5.4907727326386109</v>
      </c>
      <c r="DZ12">
        <v>4883</v>
      </c>
      <c r="EA12">
        <v>5.0218014501583097</v>
      </c>
      <c r="EB12">
        <v>5</v>
      </c>
      <c r="EC12">
        <v>0.5283203125</v>
      </c>
      <c r="ED12">
        <v>1.0029296875</v>
      </c>
      <c r="EE12" s="13">
        <v>-5.0303000000000004</v>
      </c>
      <c r="EF12">
        <v>-5.0641999999999996</v>
      </c>
      <c r="EG12">
        <v>15.526777020447906</v>
      </c>
      <c r="EH12" t="s">
        <v>813</v>
      </c>
      <c r="EI12">
        <v>1</v>
      </c>
      <c r="EJ12">
        <v>0</v>
      </c>
      <c r="EK12" s="9">
        <v>45470</v>
      </c>
      <c r="EL12" s="14">
        <v>3.39</v>
      </c>
      <c r="EM12" s="14">
        <v>-6.01</v>
      </c>
      <c r="EN12" s="14">
        <v>0</v>
      </c>
      <c r="EO12" s="14">
        <v>2.91</v>
      </c>
      <c r="EP12" s="14">
        <v>3.39</v>
      </c>
    </row>
    <row r="13" spans="1:146" ht="108" x14ac:dyDescent="0.25">
      <c r="A13" s="6"/>
      <c r="B13" s="6"/>
      <c r="C13" s="6" t="str">
        <f>""&amp;CHAR(10)&amp;Basic_Fundamental_Information_Constructure(F13)&amp;CHAR(10)&amp;Basic_Fundamental_Information_Concatenate("")</f>
        <v xml:space="preserve">
市值13.467656亿, 利润-1.88亿; PE; 平均PE-48.68; 平均PEG-6.92, PB.904; ROIC0%; ROE-13.4267%; 股利率0%; 毛利8.1133%; 净利-13.52%; 上一年度营收增10.56%, 利润增34.49%; 当季营收增-28.27%, 利润增-97.65%; 过往5年营收增7.03%, 利润增-28.1%
Income profile:
</v>
      </c>
      <c r="D13" t="s">
        <v>33</v>
      </c>
      <c r="E13" t="s">
        <v>14</v>
      </c>
      <c r="F13">
        <v>2.7</v>
      </c>
      <c r="G13">
        <v>3.45</v>
      </c>
      <c r="H13" t="s">
        <v>814</v>
      </c>
      <c r="I13">
        <v>1346765600</v>
      </c>
      <c r="K13">
        <v>0.90400000000000003</v>
      </c>
      <c r="L13" t="s">
        <v>23</v>
      </c>
      <c r="M13" t="s">
        <v>815</v>
      </c>
      <c r="N13" t="s">
        <v>816</v>
      </c>
      <c r="O13" t="s">
        <v>817</v>
      </c>
      <c r="P13">
        <v>-28.3</v>
      </c>
      <c r="Q13" t="s">
        <v>818</v>
      </c>
      <c r="R13">
        <v>5240339</v>
      </c>
      <c r="S13" s="5">
        <v>-0.97650000000000003</v>
      </c>
      <c r="T13" t="s">
        <v>819</v>
      </c>
      <c r="U13">
        <v>418030000</v>
      </c>
      <c r="V13">
        <v>498802070</v>
      </c>
      <c r="W13">
        <v>3.48</v>
      </c>
      <c r="X13">
        <v>0.13</v>
      </c>
      <c r="Y13">
        <v>1.77</v>
      </c>
      <c r="Z13" t="s">
        <v>556</v>
      </c>
      <c r="AA13" t="s">
        <v>820</v>
      </c>
      <c r="AB13" t="s">
        <v>821</v>
      </c>
      <c r="AC13" t="s">
        <v>822</v>
      </c>
      <c r="AD13" t="s">
        <v>54</v>
      </c>
      <c r="AE13">
        <v>31349658</v>
      </c>
      <c r="AF13" t="s">
        <v>55</v>
      </c>
      <c r="AG13" t="s">
        <v>823</v>
      </c>
      <c r="AH13" t="s">
        <v>824</v>
      </c>
      <c r="AI13" t="s">
        <v>825</v>
      </c>
      <c r="AJ13" t="s">
        <v>826</v>
      </c>
      <c r="AK13" t="s">
        <v>54</v>
      </c>
      <c r="AL13" t="s">
        <v>827</v>
      </c>
      <c r="AM13" t="s">
        <v>54</v>
      </c>
      <c r="AN13" t="s">
        <v>661</v>
      </c>
      <c r="AO13" t="s">
        <v>828</v>
      </c>
      <c r="AP13" t="s">
        <v>829</v>
      </c>
      <c r="AQ13" t="s">
        <v>830</v>
      </c>
      <c r="AR13" t="s">
        <v>54</v>
      </c>
      <c r="AS13" t="s">
        <v>831</v>
      </c>
      <c r="AT13" t="s">
        <v>832</v>
      </c>
      <c r="AU13" t="s">
        <v>833</v>
      </c>
      <c r="AV13" t="s">
        <v>746</v>
      </c>
      <c r="AW13" t="s">
        <v>834</v>
      </c>
      <c r="AX13" t="s">
        <v>404</v>
      </c>
      <c r="AY13" t="s">
        <v>835</v>
      </c>
      <c r="AZ13" t="s">
        <v>135</v>
      </c>
      <c r="BA13" t="s">
        <v>75</v>
      </c>
      <c r="BB13" t="s">
        <v>136</v>
      </c>
      <c r="BC13" t="s">
        <v>405</v>
      </c>
      <c r="BD13" t="s">
        <v>836</v>
      </c>
      <c r="BE13" t="s">
        <v>446</v>
      </c>
      <c r="BF13" t="s">
        <v>76</v>
      </c>
      <c r="BG13" t="s">
        <v>137</v>
      </c>
      <c r="BH13" t="s">
        <v>818</v>
      </c>
      <c r="BI13" t="s">
        <v>649</v>
      </c>
      <c r="BJ13" t="s">
        <v>404</v>
      </c>
      <c r="BK13" t="s">
        <v>819</v>
      </c>
      <c r="BL13" t="s">
        <v>474</v>
      </c>
      <c r="BM13" t="s">
        <v>405</v>
      </c>
      <c r="BN13" t="s">
        <v>54</v>
      </c>
      <c r="BO13" t="s">
        <v>54</v>
      </c>
      <c r="BP13" t="s">
        <v>54</v>
      </c>
      <c r="BQ13">
        <v>-7.58</v>
      </c>
      <c r="BR13">
        <v>-15.98</v>
      </c>
      <c r="BS13">
        <v>-16.72</v>
      </c>
      <c r="BT13" t="s">
        <v>364</v>
      </c>
      <c r="BU13" t="s">
        <v>287</v>
      </c>
      <c r="BV13">
        <v>8.3800000000000008</v>
      </c>
      <c r="BW13">
        <v>10.7</v>
      </c>
      <c r="BX13">
        <v>5.26</v>
      </c>
      <c r="BY13">
        <v>-7.5</v>
      </c>
      <c r="BZ13">
        <v>-16.98</v>
      </c>
      <c r="CA13">
        <v>-16.079999999999998</v>
      </c>
      <c r="CB13">
        <v>4.25</v>
      </c>
      <c r="CC13">
        <v>-30.23</v>
      </c>
      <c r="CD13" t="s">
        <v>837</v>
      </c>
      <c r="CE13" t="s">
        <v>838</v>
      </c>
      <c r="CF13" s="10">
        <v>-0.28266033254156769</v>
      </c>
      <c r="CG13" s="11">
        <v>-0.97650072197309412</v>
      </c>
      <c r="CH13" s="10">
        <v>0.1056034192442894</v>
      </c>
      <c r="CI13" s="10">
        <v>0.12457582354545593</v>
      </c>
      <c r="CJ13" s="10">
        <v>-6.312435120344162E-2</v>
      </c>
      <c r="CK13" s="10">
        <v>0.12061066180467606</v>
      </c>
      <c r="CL13" s="10">
        <v>6.3887313008308411E-2</v>
      </c>
      <c r="CM13" s="11">
        <v>0.34494772553443909</v>
      </c>
      <c r="CN13" s="11">
        <v>1.7123287543654442E-2</v>
      </c>
      <c r="CO13" s="11">
        <v>-2.2695651054382324</v>
      </c>
      <c r="CP13" s="11">
        <v>4.5454546809196472E-2</v>
      </c>
      <c r="CQ13" s="11">
        <v>0.45695364475250244</v>
      </c>
      <c r="CR13">
        <v>-48.678274698795192</v>
      </c>
      <c r="CS13">
        <v>-6.9233221161546696</v>
      </c>
      <c r="CT13">
        <v>0</v>
      </c>
      <c r="CU13" s="10">
        <v>7.0310573279857638E-2</v>
      </c>
      <c r="CV13" s="11">
        <v>-0.28101718015968802</v>
      </c>
      <c r="CW13">
        <v>0.06</v>
      </c>
      <c r="CX13" t="e">
        <v>#VALUE!</v>
      </c>
      <c r="CY13" t="s">
        <v>282</v>
      </c>
      <c r="CZ13">
        <v>7.0310573279857638E-2</v>
      </c>
      <c r="DA13" t="e">
        <v>#VALUE!</v>
      </c>
      <c r="DB13" t="s">
        <v>282</v>
      </c>
      <c r="DC13">
        <v>6.679504461586476E-2</v>
      </c>
      <c r="DD13" t="e">
        <v>#VALUE!</v>
      </c>
      <c r="DE13" t="s">
        <v>282</v>
      </c>
      <c r="DF13">
        <v>6.1873304486274719E-2</v>
      </c>
      <c r="DG13" t="e">
        <v>#VALUE!</v>
      </c>
      <c r="DH13" t="s">
        <v>282</v>
      </c>
      <c r="DI13">
        <v>5.6248458623886111E-2</v>
      </c>
      <c r="DJ13" t="e">
        <v>#VALUE!</v>
      </c>
      <c r="DK13" t="s">
        <v>282</v>
      </c>
      <c r="DL13">
        <v>4.9217401295900347E-2</v>
      </c>
      <c r="DM13">
        <v>-188000000</v>
      </c>
      <c r="DN13">
        <v>7.0310573279857638E-2</v>
      </c>
      <c r="DO13">
        <v>3065765600</v>
      </c>
      <c r="DP13">
        <v>-627650070</v>
      </c>
      <c r="DQ13">
        <v>1982</v>
      </c>
      <c r="DR13">
        <v>-0.35297090582142532</v>
      </c>
      <c r="DS13">
        <v>-0.6954835418134061</v>
      </c>
      <c r="DT13" s="12">
        <v>-0.44</v>
      </c>
      <c r="DU13">
        <v>-1.6900000000000002</v>
      </c>
      <c r="DV13">
        <v>-2.1300000000000003</v>
      </c>
      <c r="DW13">
        <v>6.1232598607888633</v>
      </c>
      <c r="DX13">
        <v>0.36429221052631644</v>
      </c>
      <c r="DY13">
        <v>6.0177854377823907</v>
      </c>
      <c r="DZ13">
        <v>4482</v>
      </c>
      <c r="EA13">
        <v>6.0021857641736478</v>
      </c>
      <c r="EB13">
        <v>6</v>
      </c>
      <c r="EC13">
        <v>0.14839934405244148</v>
      </c>
      <c r="ED13">
        <v>1.0284640558929516</v>
      </c>
      <c r="EE13" s="13">
        <v>-2.0937000000000001</v>
      </c>
      <c r="EF13">
        <v>-2.0749</v>
      </c>
      <c r="EG13">
        <v>22.144292210526316</v>
      </c>
      <c r="EH13" t="s">
        <v>528</v>
      </c>
      <c r="EI13">
        <v>0</v>
      </c>
      <c r="EJ13">
        <v>0</v>
      </c>
      <c r="EK13" s="9">
        <v>45470</v>
      </c>
      <c r="EL13" s="14">
        <v>0</v>
      </c>
      <c r="EM13" s="14">
        <v>-5.3</v>
      </c>
      <c r="EN13" s="14">
        <v>2</v>
      </c>
      <c r="EO13" s="14">
        <v>4.3099999999999996</v>
      </c>
      <c r="EP13" s="14">
        <v>-1.88</v>
      </c>
    </row>
    <row r="14" spans="1:146" ht="108" x14ac:dyDescent="0.25">
      <c r="A14" s="6"/>
      <c r="B14" s="6"/>
      <c r="C14" s="6" t="str">
        <f>""&amp;CHAR(10)&amp;Basic_Fundamental_Information_Constructure(F14)&amp;CHAR(10)&amp;Basic_Fundamental_Information_Concatenate("")</f>
        <v xml:space="preserve">
市值13.521822亿, 利润6625.84万; PE; 平均PE17.27; 平均PEG2.56, PB.886; ROIC2.145%; ROE3.8233%; 股利率1.7437%; 毛利12.1667%; 净利5.2667%; 上一年度营收增-43.09%, 利润增-15.33%; 当季营收增206.98%, 利润增-88.99%; 过往5年营收增6.76%, 利润增85.58%
Income profile:
</v>
      </c>
      <c r="D14" t="s">
        <v>139</v>
      </c>
      <c r="E14" t="s">
        <v>140</v>
      </c>
      <c r="F14">
        <v>11.47</v>
      </c>
      <c r="G14">
        <v>1.96</v>
      </c>
      <c r="H14" t="s">
        <v>839</v>
      </c>
      <c r="I14">
        <v>1352182200</v>
      </c>
      <c r="K14">
        <v>0.88600000000000001</v>
      </c>
      <c r="L14" t="s">
        <v>23</v>
      </c>
      <c r="M14" t="s">
        <v>58</v>
      </c>
      <c r="N14" t="s">
        <v>519</v>
      </c>
      <c r="O14" t="s">
        <v>840</v>
      </c>
      <c r="P14">
        <v>-22.75</v>
      </c>
      <c r="Q14" t="s">
        <v>841</v>
      </c>
      <c r="R14">
        <v>1739546</v>
      </c>
      <c r="S14" s="5">
        <v>-0.98660000000000003</v>
      </c>
      <c r="T14" t="s">
        <v>842</v>
      </c>
      <c r="U14">
        <v>117737850</v>
      </c>
      <c r="V14">
        <v>117888600</v>
      </c>
      <c r="W14">
        <v>1.32</v>
      </c>
      <c r="X14">
        <v>0.12</v>
      </c>
      <c r="Y14">
        <v>0.94</v>
      </c>
      <c r="Z14" t="s">
        <v>173</v>
      </c>
      <c r="AA14" t="s">
        <v>843</v>
      </c>
      <c r="AB14" t="s">
        <v>844</v>
      </c>
      <c r="AC14" t="s">
        <v>845</v>
      </c>
      <c r="AD14" t="s">
        <v>54</v>
      </c>
      <c r="AE14">
        <v>-948749</v>
      </c>
      <c r="AF14" t="s">
        <v>55</v>
      </c>
      <c r="AG14" t="s">
        <v>846</v>
      </c>
      <c r="AH14" t="s">
        <v>847</v>
      </c>
      <c r="AI14" t="s">
        <v>624</v>
      </c>
      <c r="AJ14" t="s">
        <v>848</v>
      </c>
      <c r="AK14" t="s">
        <v>54</v>
      </c>
      <c r="AL14" t="s">
        <v>849</v>
      </c>
      <c r="AM14" t="s">
        <v>54</v>
      </c>
      <c r="AN14" t="s">
        <v>368</v>
      </c>
      <c r="AO14" t="s">
        <v>54</v>
      </c>
      <c r="AP14" t="s">
        <v>54</v>
      </c>
      <c r="AQ14" t="s">
        <v>850</v>
      </c>
      <c r="AR14" t="s">
        <v>851</v>
      </c>
      <c r="AS14" t="s">
        <v>662</v>
      </c>
      <c r="AT14" t="s">
        <v>852</v>
      </c>
      <c r="AU14" t="s">
        <v>853</v>
      </c>
      <c r="AV14" t="s">
        <v>854</v>
      </c>
      <c r="AW14" t="s">
        <v>855</v>
      </c>
      <c r="AX14" t="s">
        <v>409</v>
      </c>
      <c r="AY14" t="s">
        <v>238</v>
      </c>
      <c r="AZ14" t="s">
        <v>141</v>
      </c>
      <c r="BA14" t="s">
        <v>143</v>
      </c>
      <c r="BB14" t="s">
        <v>144</v>
      </c>
      <c r="BC14" t="s">
        <v>410</v>
      </c>
      <c r="BD14" t="s">
        <v>239</v>
      </c>
      <c r="BE14" t="s">
        <v>82</v>
      </c>
      <c r="BF14" t="s">
        <v>145</v>
      </c>
      <c r="BG14" t="s">
        <v>146</v>
      </c>
      <c r="BH14" t="s">
        <v>856</v>
      </c>
      <c r="BI14" t="s">
        <v>857</v>
      </c>
      <c r="BJ14" t="s">
        <v>409</v>
      </c>
      <c r="BK14" t="s">
        <v>858</v>
      </c>
      <c r="BL14" t="s">
        <v>859</v>
      </c>
      <c r="BM14" t="s">
        <v>410</v>
      </c>
      <c r="BN14" t="s">
        <v>54</v>
      </c>
      <c r="BO14">
        <v>3.84</v>
      </c>
      <c r="BP14">
        <v>0.45</v>
      </c>
      <c r="BQ14">
        <v>4.8899999999999997</v>
      </c>
      <c r="BR14">
        <v>5.33</v>
      </c>
      <c r="BS14">
        <v>1.25</v>
      </c>
      <c r="BT14" t="s">
        <v>415</v>
      </c>
      <c r="BU14" t="s">
        <v>287</v>
      </c>
      <c r="BV14">
        <v>13.52</v>
      </c>
      <c r="BW14">
        <v>16.32</v>
      </c>
      <c r="BX14">
        <v>6.66</v>
      </c>
      <c r="BY14">
        <v>2.65</v>
      </c>
      <c r="BZ14">
        <v>10.33</v>
      </c>
      <c r="CA14">
        <v>2.82</v>
      </c>
      <c r="CB14">
        <v>0</v>
      </c>
      <c r="CC14">
        <v>-19.62</v>
      </c>
      <c r="CD14" t="s">
        <v>860</v>
      </c>
      <c r="CE14" t="s">
        <v>861</v>
      </c>
      <c r="CF14" s="10">
        <v>2.0698480007166955</v>
      </c>
      <c r="CG14" s="11">
        <v>-0.88986241872067773</v>
      </c>
      <c r="CH14" s="10">
        <v>-0.43085107207298279</v>
      </c>
      <c r="CI14" s="10">
        <v>0.30103805661201477</v>
      </c>
      <c r="CJ14" s="10">
        <v>-5.0903119146823883E-2</v>
      </c>
      <c r="CK14" s="10">
        <v>5.9130433946847916E-2</v>
      </c>
      <c r="CL14" s="10">
        <v>0.45939084887504578</v>
      </c>
      <c r="CM14" s="11">
        <v>-0.15327221155166626</v>
      </c>
      <c r="CN14" s="11">
        <v>4.0470380783081055</v>
      </c>
      <c r="CO14" s="11">
        <v>-0.88342404365539551</v>
      </c>
      <c r="CP14" s="11">
        <v>9.9173553287982941E-2</v>
      </c>
      <c r="CQ14" s="11">
        <v>1.1693102121353149</v>
      </c>
      <c r="CR14">
        <v>17.269491653139443</v>
      </c>
      <c r="CS14">
        <v>2.5561320992944125</v>
      </c>
      <c r="CT14">
        <v>1.7436791630340016</v>
      </c>
      <c r="CU14" s="10">
        <v>6.7561029642820361E-2</v>
      </c>
      <c r="CV14" s="11">
        <v>0.85576511770486829</v>
      </c>
      <c r="CW14">
        <v>0.06</v>
      </c>
      <c r="CX14">
        <v>5.3076092248414204</v>
      </c>
      <c r="CY14">
        <v>66731024.27026967</v>
      </c>
      <c r="CZ14">
        <v>6.7561029642820361E-2</v>
      </c>
      <c r="DA14">
        <v>1.7678336699046888</v>
      </c>
      <c r="DB14">
        <v>200348147.01718822</v>
      </c>
      <c r="DC14">
        <v>6.4182978160679346E-2</v>
      </c>
      <c r="DD14">
        <v>0.89251998767238294</v>
      </c>
      <c r="DE14">
        <v>396833913.96497166</v>
      </c>
      <c r="DF14">
        <v>5.9453706085681915E-2</v>
      </c>
      <c r="DG14">
        <v>0.55128637244635781</v>
      </c>
      <c r="DH14">
        <v>642465001.31737471</v>
      </c>
      <c r="DI14">
        <v>5.4048823714256289E-2</v>
      </c>
      <c r="DJ14">
        <v>0.30262360090718554</v>
      </c>
      <c r="DK14">
        <v>1170372036.2134857</v>
      </c>
      <c r="DL14">
        <v>4.7292720749974253E-2</v>
      </c>
      <c r="DM14">
        <v>66258400</v>
      </c>
      <c r="DN14">
        <v>6.7561029642820361E-2</v>
      </c>
      <c r="DO14">
        <v>354182200</v>
      </c>
      <c r="DP14">
        <v>351478480</v>
      </c>
      <c r="DQ14">
        <v>2421</v>
      </c>
      <c r="DR14">
        <v>2.0022869710738753</v>
      </c>
      <c r="DS14">
        <v>-1.745627536425546</v>
      </c>
      <c r="DT14" s="12">
        <v>-0.35666666666666669</v>
      </c>
      <c r="DU14">
        <v>-0.34000000000000008</v>
      </c>
      <c r="DV14">
        <v>-0.69666666666666677</v>
      </c>
      <c r="DW14">
        <v>-3.0409404761904764</v>
      </c>
      <c r="DX14">
        <v>0.27393817080102767</v>
      </c>
      <c r="DY14">
        <v>-3.0046646829688659</v>
      </c>
      <c r="DZ14">
        <v>186</v>
      </c>
      <c r="EA14">
        <v>-3.0044948921602144</v>
      </c>
      <c r="EB14">
        <v>3</v>
      </c>
      <c r="EC14">
        <v>7.7316212084968347E-2</v>
      </c>
      <c r="ED14">
        <v>0.678580456464832</v>
      </c>
      <c r="EE14" s="13">
        <v>7.0812100000000004</v>
      </c>
      <c r="EF14">
        <v>7.1289100000000003</v>
      </c>
      <c r="EG14">
        <v>16.113938170801028</v>
      </c>
      <c r="EH14" t="s">
        <v>862</v>
      </c>
      <c r="EI14">
        <v>0</v>
      </c>
      <c r="EJ14">
        <v>1</v>
      </c>
      <c r="EK14" s="9">
        <v>45470</v>
      </c>
      <c r="EL14" s="14">
        <v>0.35</v>
      </c>
      <c r="EM14" s="14">
        <v>-6.79</v>
      </c>
      <c r="EN14" s="14">
        <v>-1.81</v>
      </c>
      <c r="EO14" s="14">
        <v>1.19</v>
      </c>
      <c r="EP14" s="14">
        <v>-4.7699999999999996</v>
      </c>
    </row>
    <row r="15" spans="1:146" ht="108" x14ac:dyDescent="0.25">
      <c r="A15" s="6"/>
      <c r="B15" s="6"/>
      <c r="C15" s="6" t="str">
        <f>""&amp;CHAR(10)&amp;Basic_Fundamental_Information_Constructure(F15)&amp;CHAR(10)&amp;Basic_Fundamental_Information_Concatenate("")</f>
        <v xml:space="preserve">
市值61.133135亿, 利润7735.12万; PE77.71; 平均PE-56.57; 平均PEG-4.67, PB1.49; ROIC2.895%; ROE-5.0033%; 股利率.1274%; 毛利16.8133%; 净利-7.36%; 上一年度营收增9.18%, 利润增7.71%; 当季营收增5.13%, 利润增5.24%; 过往5年营收增12.1%, 利润增-271.96%
Income profile:
</v>
      </c>
      <c r="D15" t="s">
        <v>27</v>
      </c>
      <c r="E15" t="s">
        <v>9</v>
      </c>
      <c r="F15">
        <v>3.14</v>
      </c>
      <c r="G15">
        <v>0</v>
      </c>
      <c r="H15" t="s">
        <v>494</v>
      </c>
      <c r="I15">
        <v>6113313500</v>
      </c>
      <c r="J15">
        <v>77.709999999999994</v>
      </c>
      <c r="K15">
        <v>1.49</v>
      </c>
      <c r="L15" t="s">
        <v>23</v>
      </c>
      <c r="M15" t="s">
        <v>418</v>
      </c>
      <c r="N15" t="s">
        <v>419</v>
      </c>
      <c r="O15" t="s">
        <v>420</v>
      </c>
      <c r="P15">
        <v>5.18</v>
      </c>
      <c r="Q15" t="s">
        <v>421</v>
      </c>
      <c r="R15">
        <v>26406453</v>
      </c>
      <c r="S15" s="5">
        <v>5.2400000000000002E-2</v>
      </c>
      <c r="T15" t="s">
        <v>422</v>
      </c>
      <c r="U15">
        <v>1946915100</v>
      </c>
      <c r="V15">
        <v>1946915100</v>
      </c>
      <c r="W15">
        <v>2.1</v>
      </c>
      <c r="X15" t="s">
        <v>54</v>
      </c>
      <c r="Y15">
        <v>4.1900000000000004</v>
      </c>
      <c r="Z15" t="s">
        <v>423</v>
      </c>
      <c r="AA15" t="s">
        <v>164</v>
      </c>
      <c r="AB15" t="s">
        <v>424</v>
      </c>
      <c r="AC15" t="s">
        <v>425</v>
      </c>
      <c r="AD15" t="s">
        <v>426</v>
      </c>
      <c r="AE15">
        <v>31753292</v>
      </c>
      <c r="AF15" t="s">
        <v>55</v>
      </c>
      <c r="AG15" t="s">
        <v>427</v>
      </c>
      <c r="AH15" t="s">
        <v>428</v>
      </c>
      <c r="AI15" t="s">
        <v>429</v>
      </c>
      <c r="AJ15" t="s">
        <v>430</v>
      </c>
      <c r="AK15" t="s">
        <v>431</v>
      </c>
      <c r="AL15" t="s">
        <v>432</v>
      </c>
      <c r="AM15" t="s">
        <v>54</v>
      </c>
      <c r="AN15" t="s">
        <v>137</v>
      </c>
      <c r="AO15" t="s">
        <v>433</v>
      </c>
      <c r="AP15" t="s">
        <v>434</v>
      </c>
      <c r="AQ15" t="s">
        <v>435</v>
      </c>
      <c r="AR15" t="s">
        <v>436</v>
      </c>
      <c r="AS15" t="s">
        <v>437</v>
      </c>
      <c r="AT15" t="s">
        <v>438</v>
      </c>
      <c r="AU15" t="s">
        <v>439</v>
      </c>
      <c r="AV15" t="s">
        <v>440</v>
      </c>
      <c r="AW15" t="s">
        <v>441</v>
      </c>
      <c r="AX15" t="s">
        <v>240</v>
      </c>
      <c r="AY15" t="s">
        <v>148</v>
      </c>
      <c r="AZ15" t="s">
        <v>150</v>
      </c>
      <c r="BA15" t="s">
        <v>151</v>
      </c>
      <c r="BB15" t="s">
        <v>152</v>
      </c>
      <c r="BC15" t="s">
        <v>241</v>
      </c>
      <c r="BD15" t="s">
        <v>149</v>
      </c>
      <c r="BE15" t="s">
        <v>153</v>
      </c>
      <c r="BF15" t="s">
        <v>154</v>
      </c>
      <c r="BG15" t="s">
        <v>54</v>
      </c>
      <c r="BH15" t="s">
        <v>421</v>
      </c>
      <c r="BI15" t="s">
        <v>91</v>
      </c>
      <c r="BJ15" t="s">
        <v>240</v>
      </c>
      <c r="BK15" t="s">
        <v>422</v>
      </c>
      <c r="BL15" t="s">
        <v>442</v>
      </c>
      <c r="BM15" t="s">
        <v>241</v>
      </c>
      <c r="BN15">
        <v>2.74</v>
      </c>
      <c r="BO15">
        <v>3.05</v>
      </c>
      <c r="BP15" t="s">
        <v>54</v>
      </c>
      <c r="BQ15">
        <v>1.89</v>
      </c>
      <c r="BR15">
        <v>1.78</v>
      </c>
      <c r="BS15">
        <v>-18.68</v>
      </c>
      <c r="BT15" t="s">
        <v>369</v>
      </c>
      <c r="BU15" t="s">
        <v>287</v>
      </c>
      <c r="BV15">
        <v>22</v>
      </c>
      <c r="BW15">
        <v>18.07</v>
      </c>
      <c r="BX15">
        <v>10.37</v>
      </c>
      <c r="BY15">
        <v>4.1900000000000004</v>
      </c>
      <c r="BZ15">
        <v>1.93</v>
      </c>
      <c r="CA15">
        <v>-28.2</v>
      </c>
      <c r="CB15">
        <v>1.0900000000000001</v>
      </c>
      <c r="CC15">
        <v>3.77</v>
      </c>
      <c r="CD15" t="s">
        <v>495</v>
      </c>
      <c r="CE15" t="s">
        <v>496</v>
      </c>
      <c r="CF15" s="10">
        <v>5.1277445008460237E-2</v>
      </c>
      <c r="CG15" s="11">
        <v>5.2402118637312887E-2</v>
      </c>
      <c r="CH15" s="10">
        <v>9.1809220612049103E-2</v>
      </c>
      <c r="CI15" s="10">
        <v>6.4176224172115326E-2</v>
      </c>
      <c r="CJ15" s="10">
        <v>0.10320533066987991</v>
      </c>
      <c r="CK15" s="10">
        <v>0.13197769224643707</v>
      </c>
      <c r="CL15" s="10">
        <v>0.21393997967243195</v>
      </c>
      <c r="CM15" s="11">
        <v>7.7142179012298584E-2</v>
      </c>
      <c r="CN15" s="11">
        <v>1.0842858552932739</v>
      </c>
      <c r="CO15" s="11">
        <v>-11.957622528076172</v>
      </c>
      <c r="CP15" s="11">
        <v>-8.2353681325912476E-2</v>
      </c>
      <c r="CQ15" s="11" t="s">
        <v>54</v>
      </c>
      <c r="CR15">
        <v>-56.567974970347983</v>
      </c>
      <c r="CS15">
        <v>-4.6742013944722327</v>
      </c>
      <c r="CT15">
        <v>0.12738853503184713</v>
      </c>
      <c r="CU15" s="10">
        <v>0.12102168947458267</v>
      </c>
      <c r="CV15" s="11">
        <v>-2.719637043774128</v>
      </c>
      <c r="CW15">
        <v>0.06</v>
      </c>
      <c r="CX15">
        <v>79.963124956177353</v>
      </c>
      <c r="CY15">
        <v>81804125.38385503</v>
      </c>
      <c r="CZ15">
        <v>0.12102168947458267</v>
      </c>
      <c r="DA15">
        <v>25.45608283147827</v>
      </c>
      <c r="DB15">
        <v>256964653.3327271</v>
      </c>
      <c r="DC15">
        <v>0.11497060500085353</v>
      </c>
      <c r="DD15">
        <v>12.095442895895337</v>
      </c>
      <c r="DE15">
        <v>540808100.72856736</v>
      </c>
      <c r="DF15">
        <v>0.10649908673763275</v>
      </c>
      <c r="DG15">
        <v>6.9751734475920895</v>
      </c>
      <c r="DH15">
        <v>937799403.72065401</v>
      </c>
      <c r="DI15">
        <v>9.6817351579666144E-2</v>
      </c>
      <c r="DJ15">
        <v>3.2903010734244265</v>
      </c>
      <c r="DK15">
        <v>1988059254.7696669</v>
      </c>
      <c r="DL15">
        <v>8.4715182632207855E-2</v>
      </c>
      <c r="DM15">
        <v>77351200</v>
      </c>
      <c r="DN15">
        <v>0.12102168947458267</v>
      </c>
      <c r="DO15">
        <v>6541313500</v>
      </c>
      <c r="DP15">
        <v>489679999.99999952</v>
      </c>
      <c r="DQ15">
        <v>2890</v>
      </c>
      <c r="DR15">
        <v>-6.9744244466122429E-2</v>
      </c>
      <c r="DS15">
        <v>2.7720391624114407</v>
      </c>
      <c r="DT15" s="12">
        <v>9.9999999999999992E-2</v>
      </c>
      <c r="DU15">
        <v>-0.19599999999999995</v>
      </c>
      <c r="DV15">
        <v>-9.599999999999996E-2</v>
      </c>
      <c r="DW15">
        <v>1.0377000000000001</v>
      </c>
      <c r="DX15">
        <v>0.39667605581395504</v>
      </c>
      <c r="DY15">
        <v>1.006283687304186</v>
      </c>
      <c r="DZ15">
        <v>2968</v>
      </c>
      <c r="EA15">
        <v>1.0025847614971999</v>
      </c>
      <c r="EB15">
        <v>1</v>
      </c>
      <c r="EC15">
        <v>3.6812442412101069E-2</v>
      </c>
      <c r="ED15">
        <v>0.22086222455206186</v>
      </c>
      <c r="EE15" s="13">
        <v>0.1142</v>
      </c>
      <c r="EF15">
        <v>0.1142</v>
      </c>
      <c r="EG15">
        <v>23.166676055813955</v>
      </c>
      <c r="EH15" t="s">
        <v>285</v>
      </c>
      <c r="EI15">
        <v>0</v>
      </c>
      <c r="EJ15">
        <v>0</v>
      </c>
      <c r="EK15" s="9">
        <v>45127</v>
      </c>
      <c r="EL15" s="14">
        <v>0</v>
      </c>
      <c r="EM15" s="14">
        <v>3.2000000000000002E-3</v>
      </c>
      <c r="EN15" s="14">
        <v>-0.72</v>
      </c>
      <c r="EO15" s="14">
        <v>-1.88</v>
      </c>
      <c r="EP15" s="14">
        <v>-0.43</v>
      </c>
    </row>
    <row r="16" spans="1:146" ht="108" x14ac:dyDescent="0.25">
      <c r="A16" s="6"/>
      <c r="B16" s="6"/>
      <c r="C16" s="6" t="str">
        <f>""&amp;CHAR(10)&amp;Basic_Fundamental_Information_Constructure(F16)&amp;CHAR(10)&amp;Basic_Fundamental_Information_Concatenate("")</f>
        <v xml:space="preserve">
市值101.402015亿, 利润2.30亿; PE40.53; 平均PE1043.73; 平均PEG101.02, PB5.71; ROIC5.81%; ROE6.17%; 股利率0%; 毛利9.2067%; 净利2.7267%; 上一年度营收增39.43%, 利润增533.42%; 当季营收增25.57%, 利润增105.9%; 过往5年营收增10.33%, 利润增136.98%
Income profile:
</v>
      </c>
      <c r="D16" t="s">
        <v>25</v>
      </c>
      <c r="E16" t="s">
        <v>19</v>
      </c>
      <c r="F16">
        <v>9.3699999999999992</v>
      </c>
      <c r="G16">
        <v>-0.43</v>
      </c>
      <c r="H16" t="s">
        <v>497</v>
      </c>
      <c r="I16">
        <v>10140201500</v>
      </c>
      <c r="J16">
        <v>40.53</v>
      </c>
      <c r="K16">
        <v>5.71</v>
      </c>
      <c r="L16" t="s">
        <v>23</v>
      </c>
      <c r="M16" t="s">
        <v>443</v>
      </c>
      <c r="N16" t="s">
        <v>444</v>
      </c>
      <c r="O16" t="s">
        <v>445</v>
      </c>
      <c r="P16">
        <v>25.53</v>
      </c>
      <c r="Q16" t="s">
        <v>373</v>
      </c>
      <c r="R16">
        <v>39106521</v>
      </c>
      <c r="S16" s="7">
        <v>1.0589999999999999</v>
      </c>
      <c r="T16" t="s">
        <v>446</v>
      </c>
      <c r="U16">
        <v>1067004110</v>
      </c>
      <c r="V16">
        <v>1082198660</v>
      </c>
      <c r="W16">
        <v>1.58</v>
      </c>
      <c r="X16">
        <v>0.3</v>
      </c>
      <c r="Y16">
        <v>4.79</v>
      </c>
      <c r="Z16" t="s">
        <v>447</v>
      </c>
      <c r="AA16" t="s">
        <v>448</v>
      </c>
      <c r="AB16" t="s">
        <v>449</v>
      </c>
      <c r="AC16" t="s">
        <v>450</v>
      </c>
      <c r="AD16" t="s">
        <v>451</v>
      </c>
      <c r="AE16">
        <v>-611715</v>
      </c>
      <c r="AF16" t="s">
        <v>452</v>
      </c>
      <c r="AG16" t="s">
        <v>453</v>
      </c>
      <c r="AH16" t="s">
        <v>454</v>
      </c>
      <c r="AI16" t="s">
        <v>288</v>
      </c>
      <c r="AJ16" t="s">
        <v>455</v>
      </c>
      <c r="AK16" t="s">
        <v>456</v>
      </c>
      <c r="AL16" t="s">
        <v>457</v>
      </c>
      <c r="AM16" t="s">
        <v>54</v>
      </c>
      <c r="AN16" t="s">
        <v>458</v>
      </c>
      <c r="AO16" t="s">
        <v>459</v>
      </c>
      <c r="AP16" t="s">
        <v>460</v>
      </c>
      <c r="AQ16" t="s">
        <v>125</v>
      </c>
      <c r="AR16" t="s">
        <v>461</v>
      </c>
      <c r="AS16" t="s">
        <v>169</v>
      </c>
      <c r="AT16" t="s">
        <v>462</v>
      </c>
      <c r="AU16" t="s">
        <v>280</v>
      </c>
      <c r="AV16" t="s">
        <v>463</v>
      </c>
      <c r="AW16" t="s">
        <v>367</v>
      </c>
      <c r="AX16" t="s">
        <v>242</v>
      </c>
      <c r="AY16" t="s">
        <v>155</v>
      </c>
      <c r="AZ16" t="s">
        <v>77</v>
      </c>
      <c r="BA16" t="s">
        <v>157</v>
      </c>
      <c r="BB16" t="s">
        <v>158</v>
      </c>
      <c r="BC16" t="s">
        <v>243</v>
      </c>
      <c r="BD16" t="s">
        <v>156</v>
      </c>
      <c r="BE16" t="s">
        <v>78</v>
      </c>
      <c r="BF16" t="s">
        <v>159</v>
      </c>
      <c r="BG16" t="s">
        <v>160</v>
      </c>
      <c r="BH16" t="s">
        <v>373</v>
      </c>
      <c r="BI16" t="s">
        <v>464</v>
      </c>
      <c r="BJ16" t="s">
        <v>242</v>
      </c>
      <c r="BK16" t="s">
        <v>446</v>
      </c>
      <c r="BL16" t="s">
        <v>465</v>
      </c>
      <c r="BM16" t="s">
        <v>243</v>
      </c>
      <c r="BN16">
        <v>11.67</v>
      </c>
      <c r="BO16">
        <v>3.34</v>
      </c>
      <c r="BP16">
        <v>2.42</v>
      </c>
      <c r="BQ16">
        <v>14.21</v>
      </c>
      <c r="BR16">
        <v>2.44</v>
      </c>
      <c r="BS16">
        <v>1.86</v>
      </c>
      <c r="BT16" t="s">
        <v>364</v>
      </c>
      <c r="BU16" t="s">
        <v>283</v>
      </c>
      <c r="BV16">
        <v>10.88</v>
      </c>
      <c r="BW16">
        <v>9.56</v>
      </c>
      <c r="BX16">
        <v>7.18</v>
      </c>
      <c r="BY16">
        <v>4.79</v>
      </c>
      <c r="BZ16">
        <v>1.99</v>
      </c>
      <c r="CA16">
        <v>1.4</v>
      </c>
      <c r="CB16">
        <v>0.43</v>
      </c>
      <c r="CC16">
        <v>8.57</v>
      </c>
      <c r="CD16" t="s">
        <v>498</v>
      </c>
      <c r="CE16" t="s">
        <v>407</v>
      </c>
      <c r="CF16" s="10">
        <v>0.25574432404540764</v>
      </c>
      <c r="CG16" s="11">
        <v>1.0590182068994567</v>
      </c>
      <c r="CH16" s="10">
        <v>0.39426141977310181</v>
      </c>
      <c r="CI16" s="10">
        <v>2.7573009952902794E-2</v>
      </c>
      <c r="CJ16" s="10">
        <v>-0.28679904341697693</v>
      </c>
      <c r="CK16" s="10">
        <v>0.49042361974716187</v>
      </c>
      <c r="CL16" s="10">
        <v>-0.10886991024017334</v>
      </c>
      <c r="CM16" s="11">
        <v>5.3341684341430664</v>
      </c>
      <c r="CN16" s="11">
        <v>0.34016129374504089</v>
      </c>
      <c r="CO16" s="11">
        <v>0.49002689123153687</v>
      </c>
      <c r="CP16" s="11">
        <v>-0.42642423510551453</v>
      </c>
      <c r="CQ16" s="11">
        <v>1.1112375259399414</v>
      </c>
      <c r="CR16">
        <v>1043.7299222364616</v>
      </c>
      <c r="CS16">
        <v>101.02128855311604</v>
      </c>
      <c r="CT16">
        <v>0</v>
      </c>
      <c r="CU16" s="10">
        <v>0.10331781916320323</v>
      </c>
      <c r="CV16" s="11">
        <v>1.3698339819908143</v>
      </c>
      <c r="CW16">
        <v>0.06</v>
      </c>
      <c r="CX16">
        <v>37.68685695443876</v>
      </c>
      <c r="CY16">
        <v>239399149.44107231</v>
      </c>
      <c r="CZ16">
        <v>0.10331781916320323</v>
      </c>
      <c r="DA16">
        <v>12.177813604306069</v>
      </c>
      <c r="DB16">
        <v>740872031.15095747</v>
      </c>
      <c r="DC16">
        <v>9.8151928205043065E-2</v>
      </c>
      <c r="DD16">
        <v>5.9048082574518759</v>
      </c>
      <c r="DE16">
        <v>1527941485.4180861</v>
      </c>
      <c r="DF16">
        <v>9.0919680863618846E-2</v>
      </c>
      <c r="DG16">
        <v>3.4855578872868032</v>
      </c>
      <c r="DH16">
        <v>2588452635.6333108</v>
      </c>
      <c r="DI16">
        <v>8.2654255330562587E-2</v>
      </c>
      <c r="DJ16">
        <v>1.7333466107162094</v>
      </c>
      <c r="DK16">
        <v>5205076378.9661636</v>
      </c>
      <c r="DL16">
        <v>7.2322473414242264E-2</v>
      </c>
      <c r="DM16">
        <v>229999999.99999997</v>
      </c>
      <c r="DN16">
        <v>0.10331781916320323</v>
      </c>
      <c r="DO16">
        <v>9022201500</v>
      </c>
      <c r="DP16">
        <v>1800672200</v>
      </c>
      <c r="DQ16">
        <v>3055</v>
      </c>
      <c r="DR16">
        <v>0.15242650488220441</v>
      </c>
      <c r="DS16">
        <v>-0.3108157750913576</v>
      </c>
      <c r="DT16" s="12">
        <v>0.15</v>
      </c>
      <c r="DU16">
        <v>1.1066666666666667</v>
      </c>
      <c r="DV16">
        <v>1.2566666666666666</v>
      </c>
      <c r="DW16">
        <v>2.0857000000000001</v>
      </c>
      <c r="DX16">
        <v>0.47048387096774025</v>
      </c>
      <c r="DY16">
        <v>2.0266084677419354</v>
      </c>
      <c r="DZ16">
        <v>582</v>
      </c>
      <c r="EA16">
        <v>2.0235370420723982</v>
      </c>
      <c r="EB16">
        <v>2</v>
      </c>
      <c r="EC16">
        <v>0.35575723222573569</v>
      </c>
      <c r="ED16">
        <v>1.1458155011945774</v>
      </c>
      <c r="EE16" s="13">
        <v>1.05061</v>
      </c>
      <c r="EF16">
        <v>1.05491</v>
      </c>
      <c r="EG16">
        <v>16.31048387096774</v>
      </c>
      <c r="EH16" t="s">
        <v>499</v>
      </c>
      <c r="EI16">
        <v>1</v>
      </c>
      <c r="EJ16">
        <v>1</v>
      </c>
      <c r="EK16" s="9">
        <v>45127</v>
      </c>
      <c r="EL16" s="14">
        <v>2.0400000000000001E-2</v>
      </c>
      <c r="EM16" s="14">
        <v>1.47E-2</v>
      </c>
      <c r="EN16" s="14">
        <v>0.88</v>
      </c>
      <c r="EO16" s="14">
        <v>-0.25</v>
      </c>
      <c r="EP16" s="14">
        <v>-0.87</v>
      </c>
    </row>
    <row r="17" spans="1:146" ht="108" x14ac:dyDescent="0.25">
      <c r="A17" s="6"/>
      <c r="B17" s="6"/>
      <c r="C17" s="6" t="str">
        <f>""&amp;CHAR(10)&amp;Basic_Fundamental_Information_Constructure(F17)&amp;CHAR(10)&amp;Basic_Fundamental_Information_Concatenate("")</f>
        <v xml:space="preserve">
市值25.228939亿, 利润-4336.04万; PE45.39; 平均PE-40.61; 平均PEG-4.47, PB3.96; ROIC4.9733%; ROE.8433%; 股利率0%; 毛利24.5467%; 净利6.44%; 上一年度营收增-85.97%, 利润增-316.7%; 当季营收增1580.38%, 利润增428.43%; 过往5年营收增-9.08%, 利润增-25.12%
Income profile:
</v>
      </c>
      <c r="D17" t="s">
        <v>41</v>
      </c>
      <c r="E17" t="s">
        <v>189</v>
      </c>
      <c r="F17">
        <v>4.78</v>
      </c>
      <c r="G17">
        <v>0.42</v>
      </c>
      <c r="H17" t="s">
        <v>863</v>
      </c>
      <c r="I17">
        <v>2522893900</v>
      </c>
      <c r="J17">
        <v>45.39</v>
      </c>
      <c r="K17">
        <v>3.96</v>
      </c>
      <c r="L17" t="s">
        <v>23</v>
      </c>
      <c r="M17" t="s">
        <v>864</v>
      </c>
      <c r="N17" t="s">
        <v>865</v>
      </c>
      <c r="O17" t="s">
        <v>866</v>
      </c>
      <c r="P17">
        <v>26.2</v>
      </c>
      <c r="Q17" t="s">
        <v>562</v>
      </c>
      <c r="R17">
        <v>39469161</v>
      </c>
      <c r="S17" s="5">
        <v>0.59919999999999995</v>
      </c>
      <c r="T17" t="s">
        <v>867</v>
      </c>
      <c r="U17">
        <v>527802080</v>
      </c>
      <c r="V17">
        <v>527802080</v>
      </c>
      <c r="W17">
        <v>2.17</v>
      </c>
      <c r="X17">
        <v>0.24</v>
      </c>
      <c r="Y17">
        <v>20.399999999999999</v>
      </c>
      <c r="Z17" t="s">
        <v>868</v>
      </c>
      <c r="AA17" t="s">
        <v>61</v>
      </c>
      <c r="AB17" t="s">
        <v>869</v>
      </c>
      <c r="AC17" t="s">
        <v>870</v>
      </c>
      <c r="AD17" t="s">
        <v>54</v>
      </c>
      <c r="AE17">
        <v>1669771</v>
      </c>
      <c r="AF17" t="s">
        <v>871</v>
      </c>
      <c r="AG17" t="s">
        <v>872</v>
      </c>
      <c r="AH17" t="s">
        <v>873</v>
      </c>
      <c r="AI17" t="s">
        <v>416</v>
      </c>
      <c r="AJ17" t="s">
        <v>874</v>
      </c>
      <c r="AK17" t="s">
        <v>54</v>
      </c>
      <c r="AL17" t="s">
        <v>875</v>
      </c>
      <c r="AM17" t="s">
        <v>54</v>
      </c>
      <c r="AN17">
        <v>0</v>
      </c>
      <c r="AO17" t="s">
        <v>876</v>
      </c>
      <c r="AP17" t="s">
        <v>54</v>
      </c>
      <c r="AQ17" t="s">
        <v>877</v>
      </c>
      <c r="AR17" t="s">
        <v>878</v>
      </c>
      <c r="AS17" t="s">
        <v>385</v>
      </c>
      <c r="AT17" t="s">
        <v>54</v>
      </c>
      <c r="AU17" t="s">
        <v>879</v>
      </c>
      <c r="AV17" t="s">
        <v>880</v>
      </c>
      <c r="AW17" t="s">
        <v>881</v>
      </c>
      <c r="AX17" t="s">
        <v>466</v>
      </c>
      <c r="AY17" t="s">
        <v>244</v>
      </c>
      <c r="AZ17" t="s">
        <v>161</v>
      </c>
      <c r="BA17" t="s">
        <v>79</v>
      </c>
      <c r="BB17" t="s">
        <v>163</v>
      </c>
      <c r="BC17" t="s">
        <v>467</v>
      </c>
      <c r="BD17" t="s">
        <v>245</v>
      </c>
      <c r="BE17" t="s">
        <v>162</v>
      </c>
      <c r="BF17" t="s">
        <v>80</v>
      </c>
      <c r="BG17" t="s">
        <v>165</v>
      </c>
      <c r="BH17" t="s">
        <v>882</v>
      </c>
      <c r="BI17" t="s">
        <v>883</v>
      </c>
      <c r="BJ17" t="s">
        <v>466</v>
      </c>
      <c r="BK17" t="s">
        <v>884</v>
      </c>
      <c r="BL17" t="s">
        <v>885</v>
      </c>
      <c r="BM17" t="s">
        <v>467</v>
      </c>
      <c r="BN17">
        <v>2.14</v>
      </c>
      <c r="BO17">
        <v>6.95</v>
      </c>
      <c r="BP17">
        <v>5.83</v>
      </c>
      <c r="BQ17">
        <v>-2.14</v>
      </c>
      <c r="BR17">
        <v>3.19</v>
      </c>
      <c r="BS17">
        <v>1.48</v>
      </c>
      <c r="BT17" t="s">
        <v>364</v>
      </c>
      <c r="BU17" t="s">
        <v>283</v>
      </c>
      <c r="BV17">
        <v>27.79</v>
      </c>
      <c r="BW17">
        <v>24.42</v>
      </c>
      <c r="BX17">
        <v>21.43</v>
      </c>
      <c r="BY17">
        <v>8.43</v>
      </c>
      <c r="BZ17">
        <v>6.33</v>
      </c>
      <c r="CA17">
        <v>4.5599999999999996</v>
      </c>
      <c r="CB17">
        <v>0.21</v>
      </c>
      <c r="CC17">
        <v>-10.82</v>
      </c>
      <c r="CD17" t="s">
        <v>886</v>
      </c>
      <c r="CE17" t="s">
        <v>887</v>
      </c>
      <c r="CF17" s="10">
        <v>15.803790146075386</v>
      </c>
      <c r="CG17" s="11">
        <v>4.2843071354275013</v>
      </c>
      <c r="CH17" s="10">
        <v>-0.85970151424407959</v>
      </c>
      <c r="CI17" s="10">
        <v>9.0021692216396332E-2</v>
      </c>
      <c r="CJ17" s="10">
        <v>-3.3542975783348083E-2</v>
      </c>
      <c r="CK17" s="10">
        <v>-0.19425675272941589</v>
      </c>
      <c r="CL17" s="10">
        <v>0.54367667436599731</v>
      </c>
      <c r="CM17" s="11">
        <v>-3.1669907569885254</v>
      </c>
      <c r="CN17" s="11">
        <v>1.2107257843017578</v>
      </c>
      <c r="CO17" s="11">
        <v>-0.69362860918045044</v>
      </c>
      <c r="CP17" s="11">
        <v>1.1737817525863647</v>
      </c>
      <c r="CQ17" s="11">
        <v>0.22018349170684814</v>
      </c>
      <c r="CR17">
        <v>-40.609210453247144</v>
      </c>
      <c r="CS17">
        <v>-4.4743227274782891</v>
      </c>
      <c r="CT17">
        <v>0</v>
      </c>
      <c r="CU17" s="10">
        <v>-9.0760575234889979E-2</v>
      </c>
      <c r="CV17" s="11">
        <v>-0.25118566751480104</v>
      </c>
      <c r="CW17">
        <v>0.06</v>
      </c>
      <c r="CX17" t="e">
        <v>#VALUE!</v>
      </c>
      <c r="CY17" t="s">
        <v>282</v>
      </c>
      <c r="CZ17">
        <v>-9.0760575234889979E-2</v>
      </c>
      <c r="DA17" t="e">
        <v>#VALUE!</v>
      </c>
      <c r="DB17" t="s">
        <v>282</v>
      </c>
      <c r="DC17">
        <v>-8.6222546473145478E-2</v>
      </c>
      <c r="DD17" t="e">
        <v>#VALUE!</v>
      </c>
      <c r="DE17" t="s">
        <v>282</v>
      </c>
      <c r="DF17">
        <v>-7.9869306206703183E-2</v>
      </c>
      <c r="DG17" t="e">
        <v>#VALUE!</v>
      </c>
      <c r="DH17" t="s">
        <v>282</v>
      </c>
      <c r="DI17">
        <v>-7.2608460187911991E-2</v>
      </c>
      <c r="DJ17" t="e">
        <v>#VALUE!</v>
      </c>
      <c r="DK17" t="s">
        <v>282</v>
      </c>
      <c r="DL17">
        <v>-6.3532402664422977E-2</v>
      </c>
      <c r="DM17">
        <v>-43360400</v>
      </c>
      <c r="DN17">
        <v>-9.0760575234889979E-2</v>
      </c>
      <c r="DO17">
        <v>2867893900</v>
      </c>
      <c r="DP17">
        <v>348816910</v>
      </c>
      <c r="DQ17">
        <v>3120</v>
      </c>
      <c r="DR17">
        <v>15.894550721310276</v>
      </c>
      <c r="DS17">
        <v>4.5354928029423025</v>
      </c>
      <c r="DT17" s="12">
        <v>-0.79</v>
      </c>
      <c r="DU17">
        <v>-0.19999999999999998</v>
      </c>
      <c r="DV17">
        <v>-0.99</v>
      </c>
      <c r="DW17">
        <v>-2.1082000000000001</v>
      </c>
      <c r="DX17">
        <v>0.30634333333333374</v>
      </c>
      <c r="DY17">
        <v>-2.0179983486666666</v>
      </c>
      <c r="DZ17">
        <v>1910</v>
      </c>
      <c r="EA17">
        <v>-2.0112709815525114</v>
      </c>
      <c r="EB17">
        <v>2</v>
      </c>
      <c r="EC17">
        <v>6.6184089308628721E-2</v>
      </c>
      <c r="ED17">
        <v>0.39787641609900437</v>
      </c>
      <c r="EE17" s="13">
        <v>-1.0620099999999999</v>
      </c>
      <c r="EF17">
        <v>-1.0701099999999999</v>
      </c>
      <c r="EG17">
        <v>14.166343333333334</v>
      </c>
      <c r="EH17" t="s">
        <v>493</v>
      </c>
      <c r="EI17">
        <v>0</v>
      </c>
      <c r="EJ17">
        <v>0</v>
      </c>
      <c r="EK17" s="9">
        <v>45470</v>
      </c>
      <c r="EL17" s="14">
        <v>-1.23</v>
      </c>
      <c r="EM17" s="14">
        <v>-5.96</v>
      </c>
      <c r="EN17" s="14">
        <v>-1.33</v>
      </c>
      <c r="EO17" s="14">
        <v>3.72</v>
      </c>
      <c r="EP17" s="14">
        <v>-0.81</v>
      </c>
    </row>
    <row r="18" spans="1:146" ht="108" x14ac:dyDescent="0.25">
      <c r="A18" s="6"/>
      <c r="B18" s="6"/>
      <c r="C18" s="6" t="str">
        <f>""&amp;CHAR(10)&amp;Basic_Fundamental_Information_Constructure(F18)&amp;CHAR(10)&amp;Basic_Fundamental_Information_Concatenate("")</f>
        <v xml:space="preserve">
市值21.631777亿, 利润3686.94万; PE29.97; 平均PE-439.36; 平均PEG-12.5, PB3.12; ROIC6.6967%; ROE9.9533%; 股利率0%; 毛利27.4%; 净利9.6467%; 上一年度营收增169.24%, 利润增-42.49%; 当季营收增-61.26%, 利润增884.67%; 过往5年营收增35.14%, 利润增96.87%
Income profile:
</v>
      </c>
      <c r="D18" t="s">
        <v>40</v>
      </c>
      <c r="E18" t="s">
        <v>18</v>
      </c>
      <c r="F18">
        <v>5.67</v>
      </c>
      <c r="G18">
        <v>0</v>
      </c>
      <c r="H18" t="s">
        <v>888</v>
      </c>
      <c r="I18">
        <v>2163177700</v>
      </c>
      <c r="J18">
        <v>29.97</v>
      </c>
      <c r="K18">
        <v>3.12</v>
      </c>
      <c r="L18" t="s">
        <v>23</v>
      </c>
      <c r="M18" t="s">
        <v>506</v>
      </c>
      <c r="N18" t="s">
        <v>889</v>
      </c>
      <c r="O18" t="s">
        <v>459</v>
      </c>
      <c r="P18">
        <v>-12.34</v>
      </c>
      <c r="Q18" t="s">
        <v>890</v>
      </c>
      <c r="R18">
        <v>51344684</v>
      </c>
      <c r="S18" s="5">
        <v>6.8199999999999997E-2</v>
      </c>
      <c r="T18" t="s">
        <v>891</v>
      </c>
      <c r="U18">
        <v>381512820</v>
      </c>
      <c r="V18">
        <v>381512820</v>
      </c>
      <c r="W18">
        <v>1.81</v>
      </c>
      <c r="X18">
        <v>0.13</v>
      </c>
      <c r="Y18">
        <v>32.770000000000003</v>
      </c>
      <c r="Z18" t="s">
        <v>284</v>
      </c>
      <c r="AA18" t="s">
        <v>892</v>
      </c>
      <c r="AB18" t="s">
        <v>893</v>
      </c>
      <c r="AC18" t="s">
        <v>894</v>
      </c>
      <c r="AD18" t="s">
        <v>54</v>
      </c>
      <c r="AE18">
        <v>1978360</v>
      </c>
      <c r="AF18" t="s">
        <v>895</v>
      </c>
      <c r="AG18" t="s">
        <v>896</v>
      </c>
      <c r="AH18" t="s">
        <v>897</v>
      </c>
      <c r="AI18" t="s">
        <v>898</v>
      </c>
      <c r="AJ18" t="s">
        <v>899</v>
      </c>
      <c r="AK18" t="s">
        <v>54</v>
      </c>
      <c r="AL18" t="s">
        <v>900</v>
      </c>
      <c r="AM18" t="s">
        <v>54</v>
      </c>
      <c r="AN18" t="s">
        <v>901</v>
      </c>
      <c r="AO18" t="s">
        <v>377</v>
      </c>
      <c r="AP18" t="s">
        <v>54</v>
      </c>
      <c r="AQ18" t="s">
        <v>902</v>
      </c>
      <c r="AR18" t="s">
        <v>903</v>
      </c>
      <c r="AS18" t="s">
        <v>904</v>
      </c>
      <c r="AT18" t="s">
        <v>905</v>
      </c>
      <c r="AU18" t="s">
        <v>906</v>
      </c>
      <c r="AV18" t="s">
        <v>907</v>
      </c>
      <c r="AW18" t="s">
        <v>908</v>
      </c>
      <c r="AX18" t="s">
        <v>370</v>
      </c>
      <c r="AY18" t="s">
        <v>246</v>
      </c>
      <c r="AZ18" t="s">
        <v>166</v>
      </c>
      <c r="BA18" t="s">
        <v>58</v>
      </c>
      <c r="BB18" t="s">
        <v>168</v>
      </c>
      <c r="BC18" t="s">
        <v>469</v>
      </c>
      <c r="BD18" t="s">
        <v>247</v>
      </c>
      <c r="BE18" t="s">
        <v>167</v>
      </c>
      <c r="BF18" t="s">
        <v>81</v>
      </c>
      <c r="BG18" t="s">
        <v>165</v>
      </c>
      <c r="BH18" t="s">
        <v>909</v>
      </c>
      <c r="BI18" t="s">
        <v>910</v>
      </c>
      <c r="BJ18" t="s">
        <v>370</v>
      </c>
      <c r="BK18" t="s">
        <v>911</v>
      </c>
      <c r="BL18" t="s">
        <v>912</v>
      </c>
      <c r="BM18" t="s">
        <v>469</v>
      </c>
      <c r="BN18">
        <v>7.21</v>
      </c>
      <c r="BO18">
        <v>6.67</v>
      </c>
      <c r="BP18">
        <v>6.21</v>
      </c>
      <c r="BQ18">
        <v>10</v>
      </c>
      <c r="BR18">
        <v>11.76</v>
      </c>
      <c r="BS18">
        <v>8.1</v>
      </c>
      <c r="BT18" t="s">
        <v>364</v>
      </c>
      <c r="BU18" t="s">
        <v>287</v>
      </c>
      <c r="BV18">
        <v>26.68</v>
      </c>
      <c r="BW18">
        <v>30.14</v>
      </c>
      <c r="BX18">
        <v>25.38</v>
      </c>
      <c r="BY18">
        <v>12.51</v>
      </c>
      <c r="BZ18">
        <v>9.81</v>
      </c>
      <c r="CA18">
        <v>6.62</v>
      </c>
      <c r="CB18">
        <v>1.43</v>
      </c>
      <c r="CC18">
        <v>-11.13</v>
      </c>
      <c r="CD18" t="s">
        <v>913</v>
      </c>
      <c r="CE18" t="s">
        <v>286</v>
      </c>
      <c r="CF18" s="10">
        <v>-0.61259079903147695</v>
      </c>
      <c r="CG18" s="11">
        <v>8.8467098803313888</v>
      </c>
      <c r="CH18" s="10">
        <v>1.6924266815185547</v>
      </c>
      <c r="CI18" s="10">
        <v>-5.5474452674388885E-2</v>
      </c>
      <c r="CJ18" s="10">
        <v>0.23201438784599304</v>
      </c>
      <c r="CK18" s="10">
        <v>9.0744104236364365E-3</v>
      </c>
      <c r="CL18" s="10">
        <v>-0.12121212482452393</v>
      </c>
      <c r="CM18" s="11">
        <v>-0.42491841316223145</v>
      </c>
      <c r="CN18" s="11">
        <v>0.56708014011383057</v>
      </c>
      <c r="CO18" s="11">
        <v>6.9816641509532928E-2</v>
      </c>
      <c r="CP18" s="11">
        <v>3.593475341796875</v>
      </c>
      <c r="CQ18" s="11">
        <v>1.0381889343261719</v>
      </c>
      <c r="CR18">
        <v>-439.36217489768313</v>
      </c>
      <c r="CS18">
        <v>-12.504409915079476</v>
      </c>
      <c r="CT18">
        <v>0</v>
      </c>
      <c r="CU18" s="10">
        <v>0.35136578045785427</v>
      </c>
      <c r="CV18" s="11">
        <v>0.96872852891683581</v>
      </c>
      <c r="CW18">
        <v>0.06</v>
      </c>
      <c r="CX18">
        <v>43.340687013048765</v>
      </c>
      <c r="CY18">
        <v>47003816.515106425</v>
      </c>
      <c r="CZ18">
        <v>0.35136578045785427</v>
      </c>
      <c r="DA18">
        <v>11.43048675912584</v>
      </c>
      <c r="DB18">
        <v>178223180.07354882</v>
      </c>
      <c r="DC18">
        <v>0.33379749143496157</v>
      </c>
      <c r="DD18">
        <v>4.1247773746434673</v>
      </c>
      <c r="DE18">
        <v>493887915.62989199</v>
      </c>
      <c r="DF18">
        <v>0.30920188680291177</v>
      </c>
      <c r="DG18">
        <v>1.6880930544135122</v>
      </c>
      <c r="DH18">
        <v>1206792300.1482694</v>
      </c>
      <c r="DI18">
        <v>0.28109262436628341</v>
      </c>
      <c r="DJ18">
        <v>0.3386990406566126</v>
      </c>
      <c r="DK18">
        <v>6014713522.8096991</v>
      </c>
      <c r="DL18">
        <v>0.24595604632049797</v>
      </c>
      <c r="DM18">
        <v>36869400</v>
      </c>
      <c r="DN18">
        <v>0.35136578045785427</v>
      </c>
      <c r="DO18">
        <v>2037177700</v>
      </c>
      <c r="DP18">
        <v>286864129.99999994</v>
      </c>
      <c r="DQ18">
        <v>3124</v>
      </c>
      <c r="DR18">
        <v>-0.96395657948933122</v>
      </c>
      <c r="DS18">
        <v>7.8779813514145527</v>
      </c>
      <c r="DT18" s="12">
        <v>2.6666666666666616E-2</v>
      </c>
      <c r="DU18">
        <v>1.0716666666666665</v>
      </c>
      <c r="DV18">
        <v>1.0983333333333332</v>
      </c>
      <c r="DW18">
        <v>-2.1113</v>
      </c>
      <c r="DX18">
        <v>0.32393283582089494</v>
      </c>
      <c r="DY18">
        <v>-2.0238107246268657</v>
      </c>
      <c r="DZ18">
        <v>4446</v>
      </c>
      <c r="EA18">
        <v>-2.0030939963115926</v>
      </c>
      <c r="EB18">
        <v>2</v>
      </c>
      <c r="EC18">
        <v>7.514033211256177E-2</v>
      </c>
      <c r="ED18">
        <v>0.35123328227869255</v>
      </c>
      <c r="EE18" s="13">
        <v>-4.032</v>
      </c>
      <c r="EF18">
        <v>-4.0045099999999998</v>
      </c>
      <c r="EG18">
        <v>11.213932835820895</v>
      </c>
      <c r="EH18" t="s">
        <v>914</v>
      </c>
      <c r="EI18">
        <v>0</v>
      </c>
      <c r="EJ18">
        <v>0</v>
      </c>
      <c r="EK18" s="9">
        <v>45470</v>
      </c>
      <c r="EL18" s="14">
        <v>9.9600000000000009</v>
      </c>
      <c r="EM18" s="14">
        <v>-4.18</v>
      </c>
      <c r="EN18" s="14">
        <v>2.1800000000000002</v>
      </c>
      <c r="EO18" s="14">
        <v>-2.4900000000000002</v>
      </c>
      <c r="EP18" s="14">
        <v>-3.65</v>
      </c>
    </row>
    <row r="19" spans="1:146" ht="108" x14ac:dyDescent="0.25">
      <c r="A19" s="6"/>
      <c r="B19" s="6"/>
      <c r="C19" s="6" t="str">
        <f>""&amp;CHAR(10)&amp;Basic_Fundamental_Information_Constructure(F19)&amp;CHAR(10)&amp;Basic_Fundamental_Information_Concatenate("")</f>
        <v xml:space="preserve">
市值20.568233亿, 利润18.86亿; PE31.48; 平均PE5.71; 平均PEG0, PB3.35; ROIC0%; ROE9.7633%; 股利率2.845%; 毛利44.0633%; 净利25.27%; 上一年度营收增12243.4%, 利润增2520.43%; 当季营收增-98.51%, 利润增-89.71%; 过往5年营收增2446.64%, 利润增517.14%
Income profile:
</v>
      </c>
      <c r="D19" t="s">
        <v>32</v>
      </c>
      <c r="E19" t="s">
        <v>12</v>
      </c>
      <c r="F19">
        <v>7.03</v>
      </c>
      <c r="G19">
        <v>0.72</v>
      </c>
      <c r="H19" t="s">
        <v>915</v>
      </c>
      <c r="I19">
        <v>2056823300</v>
      </c>
      <c r="J19">
        <v>31.48</v>
      </c>
      <c r="K19">
        <v>3.35</v>
      </c>
      <c r="L19" t="s">
        <v>23</v>
      </c>
      <c r="M19" t="s">
        <v>916</v>
      </c>
      <c r="N19" t="s">
        <v>378</v>
      </c>
      <c r="O19" t="s">
        <v>917</v>
      </c>
      <c r="P19">
        <v>9.4600000000000009</v>
      </c>
      <c r="Q19" t="s">
        <v>918</v>
      </c>
      <c r="R19">
        <v>34578743</v>
      </c>
      <c r="S19" s="5">
        <v>1.47E-3</v>
      </c>
      <c r="T19" t="s">
        <v>919</v>
      </c>
      <c r="U19">
        <v>292578000</v>
      </c>
      <c r="V19">
        <v>292578000</v>
      </c>
      <c r="W19">
        <v>1.34</v>
      </c>
      <c r="X19">
        <v>0.1</v>
      </c>
      <c r="Y19">
        <v>40.68</v>
      </c>
      <c r="Z19" t="s">
        <v>920</v>
      </c>
      <c r="AA19" t="s">
        <v>921</v>
      </c>
      <c r="AB19" t="s">
        <v>922</v>
      </c>
      <c r="AC19" t="s">
        <v>923</v>
      </c>
      <c r="AD19" t="s">
        <v>54</v>
      </c>
      <c r="AE19">
        <v>-6141485</v>
      </c>
      <c r="AF19" t="s">
        <v>924</v>
      </c>
      <c r="AG19" t="s">
        <v>54</v>
      </c>
      <c r="AH19" t="s">
        <v>925</v>
      </c>
      <c r="AI19" t="s">
        <v>417</v>
      </c>
      <c r="AJ19" t="s">
        <v>55</v>
      </c>
      <c r="AK19" t="s">
        <v>54</v>
      </c>
      <c r="AL19" t="s">
        <v>926</v>
      </c>
      <c r="AM19" t="s">
        <v>54</v>
      </c>
      <c r="AN19">
        <v>0</v>
      </c>
      <c r="AO19" t="s">
        <v>54</v>
      </c>
      <c r="AP19" t="s">
        <v>54</v>
      </c>
      <c r="AQ19" t="s">
        <v>927</v>
      </c>
      <c r="AR19" t="s">
        <v>54</v>
      </c>
      <c r="AS19" t="s">
        <v>928</v>
      </c>
      <c r="AT19" t="s">
        <v>54</v>
      </c>
      <c r="AU19" t="s">
        <v>929</v>
      </c>
      <c r="AV19" t="s">
        <v>930</v>
      </c>
      <c r="AW19" t="s">
        <v>54</v>
      </c>
      <c r="AX19" t="s">
        <v>183</v>
      </c>
      <c r="AY19" t="s">
        <v>248</v>
      </c>
      <c r="AZ19" t="s">
        <v>170</v>
      </c>
      <c r="BA19" t="s">
        <v>61</v>
      </c>
      <c r="BB19" t="s">
        <v>172</v>
      </c>
      <c r="BC19" t="s">
        <v>472</v>
      </c>
      <c r="BD19" t="s">
        <v>249</v>
      </c>
      <c r="BE19" t="s">
        <v>171</v>
      </c>
      <c r="BF19" t="s">
        <v>83</v>
      </c>
      <c r="BG19" t="s">
        <v>174</v>
      </c>
      <c r="BH19" t="s">
        <v>931</v>
      </c>
      <c r="BI19" t="s">
        <v>932</v>
      </c>
      <c r="BJ19" t="s">
        <v>183</v>
      </c>
      <c r="BK19" t="s">
        <v>933</v>
      </c>
      <c r="BL19" t="s">
        <v>934</v>
      </c>
      <c r="BM19" t="s">
        <v>472</v>
      </c>
      <c r="BN19" t="s">
        <v>54</v>
      </c>
      <c r="BO19" t="s">
        <v>54</v>
      </c>
      <c r="BP19" t="s">
        <v>54</v>
      </c>
      <c r="BQ19">
        <v>9.01</v>
      </c>
      <c r="BR19">
        <v>13.04</v>
      </c>
      <c r="BS19">
        <v>7.24</v>
      </c>
      <c r="BT19" t="s">
        <v>415</v>
      </c>
      <c r="BU19" t="s">
        <v>283</v>
      </c>
      <c r="BV19">
        <v>34.85</v>
      </c>
      <c r="BW19">
        <v>47.76</v>
      </c>
      <c r="BX19">
        <v>49.58</v>
      </c>
      <c r="BY19">
        <v>22.7</v>
      </c>
      <c r="BZ19">
        <v>33.909999999999997</v>
      </c>
      <c r="CA19">
        <v>19.2</v>
      </c>
      <c r="CB19">
        <v>1.59</v>
      </c>
      <c r="CC19">
        <v>-12.89</v>
      </c>
      <c r="CD19" t="s">
        <v>935</v>
      </c>
      <c r="CE19" t="s">
        <v>936</v>
      </c>
      <c r="CF19" s="10">
        <v>-0.9850884566326531</v>
      </c>
      <c r="CG19" s="11">
        <v>-0.89708707440476188</v>
      </c>
      <c r="CH19" s="10">
        <v>122.43404388427734</v>
      </c>
      <c r="CI19" s="10">
        <v>5.855855718255043E-2</v>
      </c>
      <c r="CJ19" s="10">
        <v>-7.5000002980232239E-2</v>
      </c>
      <c r="CK19" s="10">
        <v>-0.12727272510528564</v>
      </c>
      <c r="CL19" s="10">
        <v>4.1666667908430099E-2</v>
      </c>
      <c r="CM19" s="11">
        <v>25.204345703125</v>
      </c>
      <c r="CN19" s="11">
        <v>0.89663141965866089</v>
      </c>
      <c r="CO19" s="11">
        <v>-0.31254914402961731</v>
      </c>
      <c r="CP19" s="11">
        <v>-5.9973705559968948E-2</v>
      </c>
      <c r="CQ19" s="11">
        <v>0.12857590615749359</v>
      </c>
      <c r="CR19">
        <v>5.7084406976570996</v>
      </c>
      <c r="CS19">
        <v>2.333175647630692E-3</v>
      </c>
      <c r="CT19">
        <v>2.8449502133712659</v>
      </c>
      <c r="CU19" s="10">
        <v>24.46639927625656</v>
      </c>
      <c r="CV19" s="11">
        <v>5.171406035870314</v>
      </c>
      <c r="CW19">
        <v>0.06</v>
      </c>
      <c r="CX19">
        <v>3.724977131710757E-2</v>
      </c>
      <c r="CY19">
        <v>45310970787.754593</v>
      </c>
      <c r="CZ19">
        <v>24.46639927625656</v>
      </c>
      <c r="DA19">
        <v>7.1541687724893999E-5</v>
      </c>
      <c r="DB19">
        <v>23592164983447.777</v>
      </c>
      <c r="DC19">
        <v>23.243079312443729</v>
      </c>
      <c r="DD19">
        <v>9.2485725718854016E-9</v>
      </c>
      <c r="DE19">
        <v>1.8249554586734704E+17</v>
      </c>
      <c r="DF19">
        <v>21.530431363105773</v>
      </c>
      <c r="DG19">
        <v>1.1191003384850432E-13</v>
      </c>
      <c r="DH19">
        <v>1.5081965771584455E+22</v>
      </c>
      <c r="DI19">
        <v>19.573119421005249</v>
      </c>
      <c r="DJ19">
        <v>1.8427388542093611E-25</v>
      </c>
      <c r="DK19">
        <v>9.1593190003266706E+33</v>
      </c>
      <c r="DL19">
        <v>17.126479493379591</v>
      </c>
      <c r="DM19">
        <v>1886000000</v>
      </c>
      <c r="DN19">
        <v>24.46639927625656</v>
      </c>
      <c r="DO19">
        <v>1687823300</v>
      </c>
      <c r="DP19">
        <v>481127790</v>
      </c>
      <c r="DQ19">
        <v>3135</v>
      </c>
      <c r="DR19">
        <v>-25.451487732889213</v>
      </c>
      <c r="DS19">
        <v>-6.0684931102750763</v>
      </c>
      <c r="DT19" s="12">
        <v>-0.14000000000000004</v>
      </c>
      <c r="DU19">
        <v>2.6666666666666616E-2</v>
      </c>
      <c r="DV19">
        <v>-0.11333333333333342</v>
      </c>
      <c r="DW19">
        <v>-2.1288999999999998</v>
      </c>
      <c r="DX19">
        <v>0.29520736503866096</v>
      </c>
      <c r="DY19">
        <v>-2.0225842293534835</v>
      </c>
      <c r="DZ19">
        <v>3505</v>
      </c>
      <c r="EA19">
        <v>-2.0070934810395968</v>
      </c>
      <c r="EB19">
        <v>2</v>
      </c>
      <c r="EC19">
        <v>4.5584767139019336E-2</v>
      </c>
      <c r="ED19">
        <v>0.26017608979485812</v>
      </c>
      <c r="EE19" s="13">
        <v>-2.0296099999999999</v>
      </c>
      <c r="EF19">
        <v>-2.0661100000000001</v>
      </c>
      <c r="EG19">
        <v>12.175207365038661</v>
      </c>
      <c r="EH19" t="s">
        <v>603</v>
      </c>
      <c r="EI19">
        <v>0</v>
      </c>
      <c r="EJ19">
        <v>0</v>
      </c>
      <c r="EK19" s="9">
        <v>45470</v>
      </c>
      <c r="EL19" s="14">
        <v>-4.93</v>
      </c>
      <c r="EM19" s="14">
        <v>-2.96</v>
      </c>
      <c r="EN19" s="14">
        <v>0</v>
      </c>
      <c r="EO19" s="14">
        <v>4.58</v>
      </c>
      <c r="EP19" s="14">
        <v>-3.65</v>
      </c>
    </row>
    <row r="20" spans="1:146" x14ac:dyDescent="0.25">
      <c r="A20" s="6"/>
      <c r="B20" s="6"/>
      <c r="C20" s="6" t="e">
        <f>""&amp;CHAR(10)&amp;Basic_Fundamental_Information_Constructure(F20)&amp;CHAR(10)&amp;Basic_Fundamental_Information_Concatenate("")</f>
        <v>#VALUE!</v>
      </c>
      <c r="D20" t="s">
        <v>39</v>
      </c>
      <c r="E20" t="s">
        <v>7</v>
      </c>
      <c r="F20">
        <v>3.43</v>
      </c>
      <c r="G20">
        <v>1.78</v>
      </c>
      <c r="H20" t="s">
        <v>937</v>
      </c>
      <c r="I20">
        <v>1994123000</v>
      </c>
      <c r="J20">
        <v>123.4</v>
      </c>
      <c r="K20">
        <v>2.72</v>
      </c>
      <c r="L20" t="s">
        <v>23</v>
      </c>
      <c r="M20" t="s">
        <v>938</v>
      </c>
      <c r="N20" t="s">
        <v>939</v>
      </c>
      <c r="O20" t="s">
        <v>291</v>
      </c>
      <c r="P20">
        <v>24.13</v>
      </c>
      <c r="Q20" t="s">
        <v>54</v>
      </c>
      <c r="R20">
        <v>4375529</v>
      </c>
      <c r="S20" s="7">
        <v>0.50009999999999999</v>
      </c>
      <c r="T20" t="s">
        <v>54</v>
      </c>
      <c r="U20">
        <v>581376960</v>
      </c>
      <c r="V20">
        <v>581376960</v>
      </c>
      <c r="W20">
        <v>4.17</v>
      </c>
      <c r="X20">
        <v>0.09</v>
      </c>
      <c r="Y20">
        <v>1.36</v>
      </c>
      <c r="Z20" t="s">
        <v>940</v>
      </c>
      <c r="AA20" t="s">
        <v>654</v>
      </c>
      <c r="AB20" t="s">
        <v>941</v>
      </c>
      <c r="AC20" t="s">
        <v>942</v>
      </c>
      <c r="AD20" t="s">
        <v>54</v>
      </c>
      <c r="AE20">
        <v>13415585</v>
      </c>
      <c r="AF20" t="s">
        <v>943</v>
      </c>
      <c r="AG20" t="s">
        <v>944</v>
      </c>
      <c r="AH20" t="s">
        <v>945</v>
      </c>
      <c r="AI20" t="s">
        <v>946</v>
      </c>
      <c r="AJ20" t="s">
        <v>947</v>
      </c>
      <c r="AK20" t="s">
        <v>54</v>
      </c>
      <c r="AL20" t="s">
        <v>948</v>
      </c>
      <c r="AM20" t="s">
        <v>54</v>
      </c>
      <c r="AN20" t="s">
        <v>949</v>
      </c>
      <c r="AO20" t="s">
        <v>950</v>
      </c>
      <c r="AP20" t="s">
        <v>54</v>
      </c>
      <c r="AQ20" t="s">
        <v>138</v>
      </c>
      <c r="AR20" t="s">
        <v>951</v>
      </c>
      <c r="AS20" t="s">
        <v>952</v>
      </c>
      <c r="AT20" t="s">
        <v>953</v>
      </c>
      <c r="AU20" t="s">
        <v>491</v>
      </c>
      <c r="AV20" t="s">
        <v>954</v>
      </c>
      <c r="AW20" t="s">
        <v>955</v>
      </c>
      <c r="AX20" t="s">
        <v>473</v>
      </c>
      <c r="AY20" t="s">
        <v>250</v>
      </c>
      <c r="AZ20" t="s">
        <v>252</v>
      </c>
      <c r="BA20" t="s">
        <v>84</v>
      </c>
      <c r="BB20" t="s">
        <v>176</v>
      </c>
      <c r="BC20" t="s">
        <v>463</v>
      </c>
      <c r="BD20" t="s">
        <v>251</v>
      </c>
      <c r="BE20" t="s">
        <v>175</v>
      </c>
      <c r="BF20" t="s">
        <v>85</v>
      </c>
      <c r="BG20" t="s">
        <v>177</v>
      </c>
      <c r="BH20" t="s">
        <v>956</v>
      </c>
      <c r="BI20" t="s">
        <v>54</v>
      </c>
      <c r="BJ20" t="s">
        <v>473</v>
      </c>
      <c r="BK20" t="s">
        <v>957</v>
      </c>
      <c r="BL20" t="s">
        <v>54</v>
      </c>
      <c r="BM20" t="s">
        <v>463</v>
      </c>
      <c r="BN20">
        <v>1.53</v>
      </c>
      <c r="BO20" t="s">
        <v>54</v>
      </c>
      <c r="BP20" t="s">
        <v>54</v>
      </c>
      <c r="BQ20">
        <v>1.74</v>
      </c>
      <c r="BR20">
        <v>-32.21</v>
      </c>
      <c r="BS20">
        <v>-28.07</v>
      </c>
      <c r="BT20" t="s">
        <v>364</v>
      </c>
      <c r="BU20" t="s">
        <v>287</v>
      </c>
      <c r="BV20">
        <v>3.35</v>
      </c>
      <c r="BW20">
        <v>-14.34</v>
      </c>
      <c r="BX20">
        <v>2</v>
      </c>
      <c r="BY20">
        <v>0.64</v>
      </c>
      <c r="BZ20">
        <v>-23.12</v>
      </c>
      <c r="CA20">
        <v>-15.96</v>
      </c>
      <c r="CB20">
        <v>0.59</v>
      </c>
      <c r="CC20">
        <v>-16.14</v>
      </c>
      <c r="CD20" t="s">
        <v>958</v>
      </c>
      <c r="CE20" t="s">
        <v>959</v>
      </c>
      <c r="CF20" s="10" t="s">
        <v>54</v>
      </c>
      <c r="CG20" s="11" t="s">
        <v>54</v>
      </c>
      <c r="CH20" s="10" t="s">
        <v>54</v>
      </c>
      <c r="CI20" s="10">
        <v>0.2069280594587326</v>
      </c>
      <c r="CJ20" s="10">
        <v>3.882569819688797E-2</v>
      </c>
      <c r="CK20" s="10">
        <v>-0.23478260636329651</v>
      </c>
      <c r="CL20" s="10">
        <v>7.4766352772712708E-2</v>
      </c>
      <c r="CM20" s="11" t="s">
        <v>54</v>
      </c>
      <c r="CN20" s="11">
        <v>-0.66467064619064331</v>
      </c>
      <c r="CO20" s="11">
        <v>-20.007080078125</v>
      </c>
      <c r="CP20" s="11">
        <v>-0.57922512292861938</v>
      </c>
      <c r="CQ20" s="11">
        <v>2.5387939065694809E-2</v>
      </c>
      <c r="CR20">
        <v>-25.24405725211713</v>
      </c>
      <c r="CS20">
        <v>-11.777369788123563</v>
      </c>
      <c r="CT20">
        <v>0</v>
      </c>
      <c r="CU20" s="10">
        <v>2.1434376016259193E-2</v>
      </c>
      <c r="CV20" s="11">
        <v>-5.306396977044642</v>
      </c>
      <c r="CW20">
        <v>0.06</v>
      </c>
      <c r="CX20" t="e">
        <v>#DIV/0!</v>
      </c>
      <c r="CY20">
        <v>0</v>
      </c>
      <c r="CZ20">
        <v>2.1434376016259193E-2</v>
      </c>
      <c r="DA20" t="e">
        <v>#DIV/0!</v>
      </c>
      <c r="DB20">
        <v>0</v>
      </c>
      <c r="DC20">
        <v>2.0362657215446233E-2</v>
      </c>
      <c r="DD20" t="e">
        <v>#DIV/0!</v>
      </c>
      <c r="DE20">
        <v>0</v>
      </c>
      <c r="DF20">
        <v>1.886225089430809E-2</v>
      </c>
      <c r="DG20" t="e">
        <v>#DIV/0!</v>
      </c>
      <c r="DH20">
        <v>0</v>
      </c>
      <c r="DI20">
        <v>1.7147500813007355E-2</v>
      </c>
      <c r="DJ20" t="e">
        <v>#DIV/0!</v>
      </c>
      <c r="DK20">
        <v>0</v>
      </c>
      <c r="DL20">
        <v>1.5004063211381435E-2</v>
      </c>
      <c r="DM20">
        <v>0</v>
      </c>
      <c r="DN20">
        <v>2.1434376016259193E-2</v>
      </c>
      <c r="DO20">
        <v>3531123000</v>
      </c>
      <c r="DP20">
        <v>-173637900</v>
      </c>
      <c r="DQ20">
        <v>3256</v>
      </c>
      <c r="DR20" t="e">
        <v>#VALUE!</v>
      </c>
      <c r="DS20" t="e">
        <v>#VALUE!</v>
      </c>
      <c r="DT20" s="12" t="e">
        <v>#VALUE!</v>
      </c>
      <c r="DU20" t="e">
        <v>#VALUE!</v>
      </c>
      <c r="DV20" t="e">
        <v>#VALUE!</v>
      </c>
      <c r="DW20">
        <v>-3.0015833333333335</v>
      </c>
      <c r="DX20">
        <v>0.34871951219512326</v>
      </c>
      <c r="DY20">
        <v>-3.000251305894309</v>
      </c>
      <c r="DZ20">
        <v>4067</v>
      </c>
      <c r="EA20">
        <v>-3.000051293942811</v>
      </c>
      <c r="EB20">
        <v>3</v>
      </c>
      <c r="EC20">
        <v>5.596627014596519E-2</v>
      </c>
      <c r="ED20">
        <v>0.35261115266762544</v>
      </c>
      <c r="EE20" s="13">
        <v>6.6000000000000003E-2</v>
      </c>
      <c r="EF20">
        <v>5.5199999999999999E-2</v>
      </c>
      <c r="EG20">
        <v>19.158719512195123</v>
      </c>
      <c r="EH20" t="s">
        <v>285</v>
      </c>
      <c r="EI20">
        <v>0</v>
      </c>
      <c r="EJ20">
        <v>0</v>
      </c>
      <c r="EK20" s="9">
        <v>45470</v>
      </c>
      <c r="EL20" s="14">
        <v>-1.33</v>
      </c>
      <c r="EM20" s="14">
        <v>-5.14</v>
      </c>
      <c r="EN20" s="14">
        <v>0.85</v>
      </c>
      <c r="EO20" s="14">
        <v>4.24</v>
      </c>
      <c r="EP20" s="14">
        <v>-1.08</v>
      </c>
    </row>
    <row r="21" spans="1:146" ht="108" x14ac:dyDescent="0.25">
      <c r="A21" s="6"/>
      <c r="B21" s="6"/>
      <c r="C21" s="6" t="str">
        <f>""&amp;CHAR(10)&amp;Basic_Fundamental_Information_Constructure(F21)&amp;CHAR(10)&amp;Basic_Fundamental_Information_Concatenate("")</f>
        <v xml:space="preserve">
市值224.16544亿, 利润-2.12亿; PE20.7; 平均PE30.93; 平均PEG2.35, PB2.78; ROIC12.3833%; ROE14.4967%; 股利率3.4893%; 毛利39.2667%; 净利20.99%; 上一年度营收增-94.65%, 利润增-121.74%; 当季营收增1245.97%, 利润增2534.87%; 过往5年营收增-13.15%, 利润增-22.75%
Income profile:
</v>
      </c>
      <c r="D21" t="s">
        <v>35</v>
      </c>
      <c r="E21" t="s">
        <v>16</v>
      </c>
      <c r="F21">
        <v>12.61</v>
      </c>
      <c r="G21">
        <v>-0.63</v>
      </c>
      <c r="H21" t="s">
        <v>960</v>
      </c>
      <c r="I21">
        <v>22416544000</v>
      </c>
      <c r="J21">
        <v>20.7</v>
      </c>
      <c r="K21">
        <v>2.78</v>
      </c>
      <c r="L21" t="s">
        <v>23</v>
      </c>
      <c r="M21" t="s">
        <v>961</v>
      </c>
      <c r="N21" t="s">
        <v>962</v>
      </c>
      <c r="O21" t="s">
        <v>963</v>
      </c>
      <c r="P21">
        <v>10.28</v>
      </c>
      <c r="Q21" t="s">
        <v>413</v>
      </c>
      <c r="R21">
        <v>554734950</v>
      </c>
      <c r="S21" s="5">
        <v>3.61E-2</v>
      </c>
      <c r="T21" t="s">
        <v>964</v>
      </c>
      <c r="U21">
        <v>1777679900</v>
      </c>
      <c r="V21">
        <v>1777679900</v>
      </c>
      <c r="W21">
        <v>1.87</v>
      </c>
      <c r="X21">
        <v>0.08</v>
      </c>
      <c r="Y21">
        <v>57.84</v>
      </c>
      <c r="Z21" t="s">
        <v>965</v>
      </c>
      <c r="AA21" t="s">
        <v>966</v>
      </c>
      <c r="AB21" t="s">
        <v>967</v>
      </c>
      <c r="AC21" t="s">
        <v>120</v>
      </c>
      <c r="AD21" t="s">
        <v>54</v>
      </c>
      <c r="AE21">
        <v>-28107710</v>
      </c>
      <c r="AF21" t="s">
        <v>968</v>
      </c>
      <c r="AG21" t="s">
        <v>969</v>
      </c>
      <c r="AH21" t="s">
        <v>970</v>
      </c>
      <c r="AI21" t="s">
        <v>971</v>
      </c>
      <c r="AJ21" t="s">
        <v>55</v>
      </c>
      <c r="AK21" t="s">
        <v>54</v>
      </c>
      <c r="AL21" t="s">
        <v>972</v>
      </c>
      <c r="AM21" t="s">
        <v>54</v>
      </c>
      <c r="AN21" t="s">
        <v>973</v>
      </c>
      <c r="AO21" t="s">
        <v>54</v>
      </c>
      <c r="AP21" t="s">
        <v>54</v>
      </c>
      <c r="AQ21" t="s">
        <v>500</v>
      </c>
      <c r="AR21" t="s">
        <v>974</v>
      </c>
      <c r="AS21" t="s">
        <v>975</v>
      </c>
      <c r="AT21" t="s">
        <v>180</v>
      </c>
      <c r="AU21" t="s">
        <v>976</v>
      </c>
      <c r="AV21" t="s">
        <v>977</v>
      </c>
      <c r="AW21" t="s">
        <v>978</v>
      </c>
      <c r="AX21" t="s">
        <v>477</v>
      </c>
      <c r="AY21" t="s">
        <v>253</v>
      </c>
      <c r="AZ21" t="s">
        <v>178</v>
      </c>
      <c r="BA21" t="s">
        <v>86</v>
      </c>
      <c r="BB21" t="s">
        <v>181</v>
      </c>
      <c r="BC21" t="s">
        <v>478</v>
      </c>
      <c r="BD21" t="s">
        <v>479</v>
      </c>
      <c r="BE21" t="s">
        <v>179</v>
      </c>
      <c r="BF21" t="s">
        <v>87</v>
      </c>
      <c r="BG21" t="s">
        <v>182</v>
      </c>
      <c r="BH21" t="s">
        <v>979</v>
      </c>
      <c r="BI21" t="s">
        <v>980</v>
      </c>
      <c r="BJ21" t="s">
        <v>477</v>
      </c>
      <c r="BK21" t="s">
        <v>471</v>
      </c>
      <c r="BL21" t="s">
        <v>981</v>
      </c>
      <c r="BM21" t="s">
        <v>478</v>
      </c>
      <c r="BN21">
        <v>15.71</v>
      </c>
      <c r="BO21">
        <v>12.31</v>
      </c>
      <c r="BP21">
        <v>9.1300000000000008</v>
      </c>
      <c r="BQ21">
        <v>17.25</v>
      </c>
      <c r="BR21">
        <v>13.95</v>
      </c>
      <c r="BS21">
        <v>12.29</v>
      </c>
      <c r="BT21" t="s">
        <v>982</v>
      </c>
      <c r="BU21" t="s">
        <v>292</v>
      </c>
      <c r="BV21">
        <v>35.380000000000003</v>
      </c>
      <c r="BW21">
        <v>39.549999999999997</v>
      </c>
      <c r="BX21">
        <v>42.87</v>
      </c>
      <c r="BY21">
        <v>21.5</v>
      </c>
      <c r="BZ21">
        <v>22.21</v>
      </c>
      <c r="CA21">
        <v>19.260000000000002</v>
      </c>
      <c r="CB21">
        <v>0.96</v>
      </c>
      <c r="CC21">
        <v>-1.71</v>
      </c>
      <c r="CD21" t="s">
        <v>983</v>
      </c>
      <c r="CE21" t="s">
        <v>386</v>
      </c>
      <c r="CF21" s="10">
        <v>12.459708166494901</v>
      </c>
      <c r="CG21" s="11">
        <v>25.348698084888095</v>
      </c>
      <c r="CH21" s="10">
        <v>-0.94650399684906006</v>
      </c>
      <c r="CI21" s="10">
        <v>0.17442820966243744</v>
      </c>
      <c r="CJ21" s="10">
        <v>0.11971613764762878</v>
      </c>
      <c r="CK21" s="10">
        <v>4.1787166148424149E-2</v>
      </c>
      <c r="CL21" s="10">
        <v>-4.7166883945465088E-2</v>
      </c>
      <c r="CM21" s="11">
        <v>-1.2174359560012817</v>
      </c>
      <c r="CN21" s="11">
        <v>0.26623377203941345</v>
      </c>
      <c r="CO21" s="11">
        <v>-0.2222222238779068</v>
      </c>
      <c r="CP21" s="11">
        <v>0.16607773303985596</v>
      </c>
      <c r="CQ21" s="11">
        <v>-0.13012294471263885</v>
      </c>
      <c r="CR21">
        <v>30.933593376264952</v>
      </c>
      <c r="CS21">
        <v>2.3515084327057756</v>
      </c>
      <c r="CT21">
        <v>3.489294210943696</v>
      </c>
      <c r="CU21" s="10">
        <v>-0.13154787346720695</v>
      </c>
      <c r="CV21" s="11">
        <v>-0.22749392390251161</v>
      </c>
      <c r="CW21">
        <v>0.06</v>
      </c>
      <c r="CX21" t="e">
        <v>#VALUE!</v>
      </c>
      <c r="CY21" t="s">
        <v>282</v>
      </c>
      <c r="CZ21">
        <v>-0.13154787346720695</v>
      </c>
      <c r="DA21" t="e">
        <v>#VALUE!</v>
      </c>
      <c r="DB21" t="s">
        <v>282</v>
      </c>
      <c r="DC21">
        <v>-0.12497047979384659</v>
      </c>
      <c r="DD21" t="e">
        <v>#VALUE!</v>
      </c>
      <c r="DE21" t="s">
        <v>282</v>
      </c>
      <c r="DF21">
        <v>-0.11576212865114212</v>
      </c>
      <c r="DG21" t="e">
        <v>#VALUE!</v>
      </c>
      <c r="DH21" t="s">
        <v>282</v>
      </c>
      <c r="DI21">
        <v>-0.10523829877376556</v>
      </c>
      <c r="DJ21" t="e">
        <v>#VALUE!</v>
      </c>
      <c r="DK21" t="s">
        <v>282</v>
      </c>
      <c r="DL21">
        <v>-9.2083511427044865E-2</v>
      </c>
      <c r="DM21">
        <v>-212000000</v>
      </c>
      <c r="DN21">
        <v>-0.13154787346720695</v>
      </c>
      <c r="DO21">
        <v>15968544000</v>
      </c>
      <c r="DP21">
        <v>3082607500</v>
      </c>
      <c r="DQ21">
        <v>3305</v>
      </c>
      <c r="DR21">
        <v>12.591256039962108</v>
      </c>
      <c r="DS21">
        <v>25.576192008790606</v>
      </c>
      <c r="DT21" s="12">
        <v>-0.62333333333333341</v>
      </c>
      <c r="DU21">
        <v>-0.83666666666666678</v>
      </c>
      <c r="DV21">
        <v>-1.4600000000000002</v>
      </c>
      <c r="DW21">
        <v>-1.7100000000000001E-2</v>
      </c>
      <c r="DX21">
        <v>0.34761895424836481</v>
      </c>
      <c r="DY21">
        <v>-2.866284117647059E-3</v>
      </c>
      <c r="DZ21">
        <v>1499</v>
      </c>
      <c r="EA21">
        <v>-2.0254700486934504E-3</v>
      </c>
      <c r="EB21">
        <v>0</v>
      </c>
      <c r="EC21">
        <v>2.8853001038038402E-2</v>
      </c>
      <c r="ED21">
        <v>0.17213447707880367</v>
      </c>
      <c r="EE21" s="13">
        <v>1.09331</v>
      </c>
      <c r="EF21">
        <v>1.1068100000000001</v>
      </c>
      <c r="EG21">
        <v>18.167618954248365</v>
      </c>
      <c r="EH21" t="s">
        <v>499</v>
      </c>
      <c r="EI21">
        <v>0</v>
      </c>
      <c r="EJ21">
        <v>1</v>
      </c>
      <c r="EK21" s="9">
        <v>45470</v>
      </c>
      <c r="EL21" s="14">
        <v>0.12</v>
      </c>
      <c r="EM21" s="14">
        <v>-1.97</v>
      </c>
      <c r="EN21" s="14">
        <v>1.01</v>
      </c>
      <c r="EO21" s="14">
        <v>1.62</v>
      </c>
      <c r="EP21" s="14">
        <v>-1.35</v>
      </c>
    </row>
    <row r="22" spans="1:146" ht="108" x14ac:dyDescent="0.25">
      <c r="A22" s="6"/>
      <c r="B22" s="6"/>
      <c r="C22" s="6" t="str">
        <f>""&amp;CHAR(10)&amp;Basic_Fundamental_Information_Constructure(F22)&amp;CHAR(10)&amp;Basic_Fundamental_Information_Concatenate("")</f>
        <v xml:space="preserve">
市值13.3625808亿, 利润7.65亿; PE14.29; 平均PE8.52; 平均PEG0, PB1.44; ROIC8.75%; ROE9.18%; 股利率.8834%; 毛利.5767%; 净利427.2%; 上一年度营收增162204.77%, 利润增849.59%; 当季营收增-99.84%, 利润增-95.74%; 过往5年营收增32436.27%, 利润增245%
Income profile:
</v>
      </c>
      <c r="D22" t="s">
        <v>293</v>
      </c>
      <c r="E22" t="s">
        <v>294</v>
      </c>
      <c r="F22">
        <v>5.66</v>
      </c>
      <c r="G22">
        <v>0.89</v>
      </c>
      <c r="H22" t="s">
        <v>984</v>
      </c>
      <c r="I22">
        <v>1336258080</v>
      </c>
      <c r="J22">
        <v>14.29</v>
      </c>
      <c r="K22">
        <v>1.44</v>
      </c>
      <c r="L22" t="s">
        <v>23</v>
      </c>
      <c r="M22" t="s">
        <v>985</v>
      </c>
      <c r="N22" t="s">
        <v>986</v>
      </c>
      <c r="O22" t="s">
        <v>987</v>
      </c>
      <c r="P22">
        <v>326.67</v>
      </c>
      <c r="Q22" t="s">
        <v>988</v>
      </c>
      <c r="R22">
        <v>24411349</v>
      </c>
      <c r="S22" s="5">
        <v>-9.8000000000000004E-2</v>
      </c>
      <c r="T22" t="s">
        <v>989</v>
      </c>
      <c r="U22">
        <v>236088000</v>
      </c>
      <c r="V22">
        <v>236088000</v>
      </c>
      <c r="W22">
        <v>1.06</v>
      </c>
      <c r="X22">
        <v>0.01</v>
      </c>
      <c r="Y22">
        <v>341.32</v>
      </c>
      <c r="Z22" t="s">
        <v>990</v>
      </c>
      <c r="AA22" t="s">
        <v>991</v>
      </c>
      <c r="AB22" t="s">
        <v>992</v>
      </c>
      <c r="AC22" t="s">
        <v>993</v>
      </c>
      <c r="AD22" t="s">
        <v>54</v>
      </c>
      <c r="AE22">
        <v>-399643</v>
      </c>
      <c r="AF22" t="s">
        <v>994</v>
      </c>
      <c r="AG22" t="s">
        <v>54</v>
      </c>
      <c r="AH22" t="s">
        <v>995</v>
      </c>
      <c r="AI22" t="s">
        <v>996</v>
      </c>
      <c r="AJ22" t="s">
        <v>997</v>
      </c>
      <c r="AK22" t="s">
        <v>54</v>
      </c>
      <c r="AL22" t="s">
        <v>998</v>
      </c>
      <c r="AM22" t="s">
        <v>54</v>
      </c>
      <c r="AN22">
        <v>5044.25</v>
      </c>
      <c r="AO22" t="s">
        <v>999</v>
      </c>
      <c r="AP22" t="s">
        <v>54</v>
      </c>
      <c r="AQ22" t="s">
        <v>1000</v>
      </c>
      <c r="AR22">
        <v>3571.41</v>
      </c>
      <c r="AS22" t="s">
        <v>1001</v>
      </c>
      <c r="AT22" t="s">
        <v>54</v>
      </c>
      <c r="AU22" t="s">
        <v>1002</v>
      </c>
      <c r="AV22" t="s">
        <v>1003</v>
      </c>
      <c r="AW22" t="s">
        <v>1004</v>
      </c>
      <c r="AX22" t="s">
        <v>480</v>
      </c>
      <c r="AY22" t="s">
        <v>295</v>
      </c>
      <c r="AZ22" t="s">
        <v>297</v>
      </c>
      <c r="BA22" t="s">
        <v>298</v>
      </c>
      <c r="BB22" t="s">
        <v>299</v>
      </c>
      <c r="BC22" t="s">
        <v>481</v>
      </c>
      <c r="BD22" t="s">
        <v>296</v>
      </c>
      <c r="BE22" t="s">
        <v>300</v>
      </c>
      <c r="BF22" t="s">
        <v>301</v>
      </c>
      <c r="BG22" t="s">
        <v>302</v>
      </c>
      <c r="BH22" t="s">
        <v>1005</v>
      </c>
      <c r="BI22" t="s">
        <v>1006</v>
      </c>
      <c r="BJ22" t="s">
        <v>480</v>
      </c>
      <c r="BK22" t="s">
        <v>1007</v>
      </c>
      <c r="BL22" t="s">
        <v>1008</v>
      </c>
      <c r="BM22" t="s">
        <v>481</v>
      </c>
      <c r="BN22" t="s">
        <v>54</v>
      </c>
      <c r="BO22">
        <v>10.09</v>
      </c>
      <c r="BP22">
        <v>7.41</v>
      </c>
      <c r="BQ22">
        <v>9.56</v>
      </c>
      <c r="BR22">
        <v>10.35</v>
      </c>
      <c r="BS22">
        <v>7.63</v>
      </c>
      <c r="BT22" t="s">
        <v>600</v>
      </c>
      <c r="BU22" t="s">
        <v>287</v>
      </c>
      <c r="BV22">
        <v>-1.04</v>
      </c>
      <c r="BW22">
        <v>-12.88</v>
      </c>
      <c r="BX22">
        <v>15.65</v>
      </c>
      <c r="BY22">
        <v>448.42</v>
      </c>
      <c r="BZ22">
        <v>685.66</v>
      </c>
      <c r="CA22">
        <v>147.52000000000001</v>
      </c>
      <c r="CB22">
        <v>-7.21</v>
      </c>
      <c r="CC22">
        <v>-15.65</v>
      </c>
      <c r="CD22" t="s">
        <v>1009</v>
      </c>
      <c r="CE22" t="s">
        <v>1010</v>
      </c>
      <c r="CF22" s="10">
        <v>-0.99840885592267925</v>
      </c>
      <c r="CG22" s="11">
        <v>-0.95739729668411866</v>
      </c>
      <c r="CH22" s="10">
        <v>1622.0477294921875</v>
      </c>
      <c r="CI22" s="10">
        <v>-0.68198782205581665</v>
      </c>
      <c r="CJ22" s="10">
        <v>0.71569007635116577</v>
      </c>
      <c r="CK22" s="10">
        <v>-0.32124462723731995</v>
      </c>
      <c r="CL22" s="10">
        <v>5.3556840866804123E-2</v>
      </c>
      <c r="CM22" s="11">
        <v>8.4958858489990234</v>
      </c>
      <c r="CN22" s="11">
        <v>0.47810578346252441</v>
      </c>
      <c r="CO22" s="11">
        <v>1.3095861673355103</v>
      </c>
      <c r="CP22" s="11">
        <v>2.3015656471252441</v>
      </c>
      <c r="CQ22" s="11">
        <v>-0.33514097332954407</v>
      </c>
      <c r="CR22">
        <v>8.5151644736422867</v>
      </c>
      <c r="CS22">
        <v>2.6251980245432284E-4</v>
      </c>
      <c r="CT22">
        <v>0.88339222614840984</v>
      </c>
      <c r="CU22" s="10">
        <v>324.36274879202244</v>
      </c>
      <c r="CV22" s="11">
        <v>2.4500004947185516</v>
      </c>
      <c r="CW22">
        <v>0.06</v>
      </c>
      <c r="CX22">
        <v>1.924931615232234E-3</v>
      </c>
      <c r="CY22">
        <v>234813681911.22372</v>
      </c>
      <c r="CZ22">
        <v>324.36274879202244</v>
      </c>
      <c r="DA22">
        <v>2.3736581070227358E-8</v>
      </c>
      <c r="DB22">
        <v>1.9042349808622648E+16</v>
      </c>
      <c r="DC22">
        <v>308.14461135242129</v>
      </c>
      <c r="DD22">
        <v>1.5118455972491009E-15</v>
      </c>
      <c r="DE22">
        <v>2.9897251466845763E+23</v>
      </c>
      <c r="DF22">
        <v>285.43921893697973</v>
      </c>
      <c r="DG22">
        <v>7.3257347021074287E-25</v>
      </c>
      <c r="DH22">
        <v>6.1700334284555901E+32</v>
      </c>
      <c r="DI22">
        <v>259.49019903361796</v>
      </c>
      <c r="DJ22">
        <v>1.3026275679896887E-47</v>
      </c>
      <c r="DK22">
        <v>3.4699118236654564E+55</v>
      </c>
      <c r="DL22">
        <v>227.05392415441568</v>
      </c>
      <c r="DM22">
        <v>765000000</v>
      </c>
      <c r="DN22">
        <v>324.36274879202244</v>
      </c>
      <c r="DO22">
        <v>452000279.99999988</v>
      </c>
      <c r="DP22">
        <v>196673420</v>
      </c>
      <c r="DQ22">
        <v>3546</v>
      </c>
      <c r="DR22">
        <v>-325.36115764794511</v>
      </c>
      <c r="DS22">
        <v>-3.4073977914026701</v>
      </c>
      <c r="DT22" s="12">
        <v>-0.28999999999999998</v>
      </c>
      <c r="DU22">
        <v>0.66833333333333345</v>
      </c>
      <c r="DV22">
        <v>0.37833333333333347</v>
      </c>
      <c r="DW22">
        <v>-9.4607028753993614</v>
      </c>
      <c r="DX22">
        <v>0.33796209677419442</v>
      </c>
      <c r="DY22">
        <v>-9.0912017072039575</v>
      </c>
      <c r="DZ22">
        <v>180</v>
      </c>
      <c r="EA22">
        <v>-9.0879891226057747</v>
      </c>
      <c r="EB22">
        <v>9</v>
      </c>
      <c r="EC22">
        <v>0.10397521263257768</v>
      </c>
      <c r="ED22">
        <v>0.52522788112907048</v>
      </c>
      <c r="EE22" s="13">
        <v>-3.1330999999999998</v>
      </c>
      <c r="EF22">
        <v>-3.0903999999999998</v>
      </c>
      <c r="EG22">
        <v>14.197962096774194</v>
      </c>
      <c r="EH22" t="s">
        <v>1011</v>
      </c>
      <c r="EI22">
        <v>0</v>
      </c>
      <c r="EJ22">
        <v>1</v>
      </c>
      <c r="EK22" s="9">
        <v>45470</v>
      </c>
      <c r="EL22" s="14">
        <v>-0.15</v>
      </c>
      <c r="EM22" s="14">
        <v>-2.74</v>
      </c>
      <c r="EN22">
        <v>-0.55000000000000004</v>
      </c>
      <c r="EO22">
        <v>3.07</v>
      </c>
      <c r="EP22">
        <v>-4.2699999999999996</v>
      </c>
    </row>
    <row r="23" spans="1:146" ht="108" x14ac:dyDescent="0.25">
      <c r="C23" s="6" t="str">
        <f>""&amp;CHAR(10)&amp;Basic_Fundamental_Information_Constructure(F23)&amp;CHAR(10)&amp;Basic_Fundamental_Information_Concatenate("")</f>
        <v xml:space="preserve">
市值200.70516亿, 利润1.87亿; PE105.5; 平均PE140.76; 平均PEG9, PB2.1; ROIC1.78%; ROE-1.1567%; 股利率.4456%; 毛利2.8133%; 净利.49%; 上一年度营收增-94.37%, 利润增144.77%; 当季营收增5438.78%, 利润增-615.25%; 过往5年营收增-15.64%, 利润增23.56%
Income profile:
</v>
      </c>
      <c r="D23" t="s">
        <v>371</v>
      </c>
      <c r="E23" t="s">
        <v>372</v>
      </c>
      <c r="F23">
        <v>4.6900000000000004</v>
      </c>
      <c r="G23">
        <v>0.64</v>
      </c>
      <c r="H23" t="s">
        <v>1012</v>
      </c>
      <c r="I23">
        <v>20070516000</v>
      </c>
      <c r="J23">
        <v>105.5</v>
      </c>
      <c r="K23">
        <v>2.1</v>
      </c>
      <c r="L23" t="s">
        <v>23</v>
      </c>
      <c r="M23" t="s">
        <v>1013</v>
      </c>
      <c r="N23" t="s">
        <v>1014</v>
      </c>
      <c r="O23" t="s">
        <v>1015</v>
      </c>
      <c r="P23" s="5">
        <v>39.049999999999997</v>
      </c>
      <c r="Q23" t="s">
        <v>1016</v>
      </c>
      <c r="R23">
        <v>-161185740</v>
      </c>
      <c r="S23">
        <v>-1.9650000000000001</v>
      </c>
      <c r="T23" t="s">
        <v>470</v>
      </c>
      <c r="U23">
        <v>4279427800</v>
      </c>
      <c r="V23">
        <v>4279427800</v>
      </c>
      <c r="W23">
        <v>2.96</v>
      </c>
      <c r="X23">
        <v>0.24</v>
      </c>
      <c r="Y23">
        <v>-2.78</v>
      </c>
      <c r="Z23" t="s">
        <v>1017</v>
      </c>
      <c r="AA23" t="s">
        <v>1018</v>
      </c>
      <c r="AB23" t="s">
        <v>1019</v>
      </c>
      <c r="AC23" t="s">
        <v>1020</v>
      </c>
      <c r="AD23" t="s">
        <v>54</v>
      </c>
      <c r="AE23">
        <v>164825210</v>
      </c>
      <c r="AF23" t="s">
        <v>1021</v>
      </c>
      <c r="AG23" t="s">
        <v>1022</v>
      </c>
      <c r="AH23" t="s">
        <v>1023</v>
      </c>
      <c r="AI23" t="s">
        <v>1024</v>
      </c>
      <c r="AJ23" t="s">
        <v>1025</v>
      </c>
      <c r="AK23" t="s">
        <v>1026</v>
      </c>
      <c r="AL23" t="s">
        <v>1027</v>
      </c>
      <c r="AM23" t="s">
        <v>54</v>
      </c>
      <c r="AN23" t="s">
        <v>526</v>
      </c>
      <c r="AO23" t="s">
        <v>1028</v>
      </c>
      <c r="AP23" t="s">
        <v>476</v>
      </c>
      <c r="AQ23" t="s">
        <v>1029</v>
      </c>
      <c r="AR23" t="s">
        <v>1030</v>
      </c>
      <c r="AS23" t="s">
        <v>1031</v>
      </c>
      <c r="AT23" t="s">
        <v>1032</v>
      </c>
      <c r="AU23" t="s">
        <v>662</v>
      </c>
      <c r="AV23" t="s">
        <v>1033</v>
      </c>
      <c r="AW23" t="s">
        <v>1034</v>
      </c>
      <c r="AX23" t="s">
        <v>482</v>
      </c>
      <c r="AY23" t="s">
        <v>1035</v>
      </c>
      <c r="AZ23" t="s">
        <v>1036</v>
      </c>
      <c r="BA23" t="s">
        <v>1037</v>
      </c>
      <c r="BB23" t="s">
        <v>374</v>
      </c>
      <c r="BC23" t="s">
        <v>1038</v>
      </c>
      <c r="BD23" t="s">
        <v>137</v>
      </c>
      <c r="BE23" t="s">
        <v>375</v>
      </c>
      <c r="BF23" t="s">
        <v>88</v>
      </c>
      <c r="BG23" t="s">
        <v>183</v>
      </c>
      <c r="BH23" t="s">
        <v>1039</v>
      </c>
      <c r="BI23" t="s">
        <v>435</v>
      </c>
      <c r="BJ23" t="s">
        <v>482</v>
      </c>
      <c r="BK23" t="s">
        <v>1040</v>
      </c>
      <c r="BL23" t="s">
        <v>1041</v>
      </c>
      <c r="BM23" t="s">
        <v>1038</v>
      </c>
      <c r="BN23" t="s">
        <v>54</v>
      </c>
      <c r="BO23">
        <v>1.1599999999999999</v>
      </c>
      <c r="BP23">
        <v>2.4</v>
      </c>
      <c r="BQ23">
        <v>-5.75</v>
      </c>
      <c r="BR23">
        <v>0.71</v>
      </c>
      <c r="BS23">
        <v>1.57</v>
      </c>
      <c r="BT23" t="s">
        <v>1042</v>
      </c>
      <c r="BU23" t="s">
        <v>287</v>
      </c>
      <c r="BV23">
        <v>2.12</v>
      </c>
      <c r="BW23">
        <v>2.17</v>
      </c>
      <c r="BX23">
        <v>4.1500000000000004</v>
      </c>
      <c r="BY23">
        <v>0.28999999999999998</v>
      </c>
      <c r="BZ23">
        <v>0.3</v>
      </c>
      <c r="CA23">
        <v>0.88</v>
      </c>
      <c r="CB23">
        <v>3.08</v>
      </c>
      <c r="CC23" s="10">
        <v>0</v>
      </c>
      <c r="CD23" s="11" t="s">
        <v>142</v>
      </c>
      <c r="CE23" s="10" t="s">
        <v>1043</v>
      </c>
      <c r="CF23" s="10">
        <v>54.387755102040813</v>
      </c>
      <c r="CG23" s="10">
        <v>-6.1525026372151013</v>
      </c>
      <c r="CH23" s="10">
        <v>-0.94366014003753662</v>
      </c>
      <c r="CI23" s="10">
        <v>1.0784490033984184E-2</v>
      </c>
      <c r="CJ23" s="11">
        <v>-2.0924555137753487E-2</v>
      </c>
      <c r="CK23" s="11">
        <v>0.1297643631696701</v>
      </c>
      <c r="CL23" s="11">
        <v>4.1909810155630112E-2</v>
      </c>
      <c r="CM23" s="11">
        <v>1.4476537704467773</v>
      </c>
      <c r="CN23" s="11">
        <v>-0.49404174089431763</v>
      </c>
      <c r="CO23">
        <v>1.1232107877731323</v>
      </c>
      <c r="CP23">
        <v>-0.47319477796554565</v>
      </c>
      <c r="CQ23">
        <v>-0.42553192377090454</v>
      </c>
      <c r="CR23" s="10">
        <v>140.76038107421184</v>
      </c>
      <c r="CS23" s="11">
        <v>8.9985741011191376</v>
      </c>
      <c r="CT23">
        <v>0.4456289978678038</v>
      </c>
      <c r="CU23">
        <v>-0.15642520636320115</v>
      </c>
      <c r="CV23">
        <v>0.23561922311782837</v>
      </c>
      <c r="CW23">
        <v>0.06</v>
      </c>
      <c r="CX23" t="e">
        <v>#VALUE!</v>
      </c>
      <c r="CY23" t="s">
        <v>692</v>
      </c>
      <c r="CZ23">
        <v>-0.15642520636320115</v>
      </c>
      <c r="DA23">
        <v>55.439422459893045</v>
      </c>
      <c r="DB23" t="s">
        <v>1044</v>
      </c>
      <c r="DC23">
        <v>-0.14860394604504107</v>
      </c>
      <c r="DD23">
        <v>27.719711229946522</v>
      </c>
      <c r="DE23" t="s">
        <v>1045</v>
      </c>
      <c r="DF23">
        <v>-0.13765418159961701</v>
      </c>
      <c r="DG23">
        <v>16.631826737967913</v>
      </c>
      <c r="DH23" t="s">
        <v>1046</v>
      </c>
      <c r="DI23">
        <v>-0.12514016509056092</v>
      </c>
      <c r="DJ23">
        <v>8.3159133689839564</v>
      </c>
      <c r="DK23" t="s">
        <v>1047</v>
      </c>
      <c r="DL23">
        <v>-0.10949764445424079</v>
      </c>
      <c r="DM23">
        <v>187000000</v>
      </c>
      <c r="DN23">
        <v>-0.15642520636320115</v>
      </c>
      <c r="DO23">
        <v>31101516000</v>
      </c>
      <c r="DP23">
        <v>-1681949600</v>
      </c>
      <c r="DQ23" s="12">
        <v>3665</v>
      </c>
      <c r="DR23">
        <v>54.544180308404016</v>
      </c>
      <c r="DS23">
        <v>-6.3881218603329293</v>
      </c>
      <c r="DT23">
        <v>-0.77333333333333332</v>
      </c>
      <c r="DU23">
        <v>-0.66499999999999992</v>
      </c>
      <c r="DV23">
        <v>-1.4383333333333332</v>
      </c>
      <c r="DW23">
        <v>4</v>
      </c>
      <c r="DX23">
        <v>0.33234042834637578</v>
      </c>
      <c r="DY23">
        <v>4</v>
      </c>
      <c r="DZ23">
        <v>1069</v>
      </c>
      <c r="EA23">
        <v>4</v>
      </c>
      <c r="EB23" s="13">
        <v>4</v>
      </c>
      <c r="EC23" s="13">
        <v>2.7807455940721794E-2</v>
      </c>
      <c r="ED23">
        <v>0.38439718506291892</v>
      </c>
      <c r="EE23">
        <v>3.0329100000000002</v>
      </c>
      <c r="EF23">
        <v>3.0403099999999998</v>
      </c>
      <c r="EG23">
        <v>26.072340428346376</v>
      </c>
      <c r="EH23" s="9" t="s">
        <v>1048</v>
      </c>
      <c r="EI23" s="14">
        <v>0</v>
      </c>
      <c r="EJ23" s="14">
        <v>1</v>
      </c>
      <c r="EK23" s="14">
        <v>45470</v>
      </c>
      <c r="EL23" s="14">
        <v>0.74</v>
      </c>
      <c r="EM23" s="14">
        <v>-2.2000000000000002</v>
      </c>
      <c r="EN23">
        <v>-0.25</v>
      </c>
      <c r="EO23">
        <v>1</v>
      </c>
      <c r="EP23">
        <v>-0.74</v>
      </c>
    </row>
    <row r="24" spans="1:146" ht="108" x14ac:dyDescent="0.25">
      <c r="A24" s="6"/>
      <c r="B24" s="6"/>
      <c r="C24" s="6" t="str">
        <f>""&amp;CHAR(10)&amp;Basic_Fundamental_Information_Constructure(F24)&amp;CHAR(10)&amp;Basic_Fundamental_Information_Concatenate("")</f>
        <v xml:space="preserve">
市值125.1224亿, 利润1.88亿; PE15.14; 平均PE20.7; 平均PEG1.67, PB1.85; ROIC12.8233%; ROE11.63%; 股利率3.304%; 毛利13.8867%; 净利6.9633%; 上一年度营收增-53.61%, 利润增-77.24%; 当季营收增80.8%, 利润增236.35%; 过往5年营收增12.4%, 利润增-8.82%
Income profile:
</v>
      </c>
      <c r="D24" t="s">
        <v>34</v>
      </c>
      <c r="E24" t="s">
        <v>15</v>
      </c>
      <c r="F24">
        <v>9.08</v>
      </c>
      <c r="G24">
        <v>0</v>
      </c>
      <c r="H24" t="s">
        <v>1049</v>
      </c>
      <c r="I24">
        <v>12512240000</v>
      </c>
      <c r="J24">
        <v>15.14</v>
      </c>
      <c r="K24">
        <v>1.85</v>
      </c>
      <c r="L24" t="s">
        <v>23</v>
      </c>
      <c r="M24" t="s">
        <v>1050</v>
      </c>
      <c r="N24" t="s">
        <v>1051</v>
      </c>
      <c r="O24" t="s">
        <v>1052</v>
      </c>
      <c r="P24">
        <v>-4.7699999999999996</v>
      </c>
      <c r="Q24" t="s">
        <v>1053</v>
      </c>
      <c r="R24">
        <v>129153511</v>
      </c>
      <c r="S24" s="5">
        <v>8.5500000000000007E-2</v>
      </c>
      <c r="T24" t="s">
        <v>412</v>
      </c>
      <c r="U24">
        <v>1378000000</v>
      </c>
      <c r="V24">
        <v>1378000000</v>
      </c>
      <c r="W24">
        <v>1.98</v>
      </c>
      <c r="X24">
        <v>0.16</v>
      </c>
      <c r="Y24">
        <v>5.57</v>
      </c>
      <c r="Z24" t="s">
        <v>1054</v>
      </c>
      <c r="AA24" t="s">
        <v>1055</v>
      </c>
      <c r="AB24" t="s">
        <v>1056</v>
      </c>
      <c r="AC24" t="s">
        <v>758</v>
      </c>
      <c r="AD24" t="s">
        <v>54</v>
      </c>
      <c r="AE24">
        <v>55025434</v>
      </c>
      <c r="AF24" t="s">
        <v>1057</v>
      </c>
      <c r="AG24" t="s">
        <v>1058</v>
      </c>
      <c r="AH24" t="s">
        <v>1059</v>
      </c>
      <c r="AI24" t="s">
        <v>1060</v>
      </c>
      <c r="AJ24" t="s">
        <v>1061</v>
      </c>
      <c r="AK24" t="s">
        <v>1062</v>
      </c>
      <c r="AL24" t="s">
        <v>1063</v>
      </c>
      <c r="AM24" t="s">
        <v>54</v>
      </c>
      <c r="AN24" t="s">
        <v>568</v>
      </c>
      <c r="AO24" t="s">
        <v>209</v>
      </c>
      <c r="AP24" t="s">
        <v>1064</v>
      </c>
      <c r="AQ24" t="s">
        <v>1065</v>
      </c>
      <c r="AR24" t="s">
        <v>565</v>
      </c>
      <c r="AS24" t="s">
        <v>1066</v>
      </c>
      <c r="AT24" t="s">
        <v>487</v>
      </c>
      <c r="AU24" t="s">
        <v>1067</v>
      </c>
      <c r="AV24" t="s">
        <v>377</v>
      </c>
      <c r="AW24" t="s">
        <v>1068</v>
      </c>
      <c r="AX24" t="s">
        <v>483</v>
      </c>
      <c r="AY24" t="s">
        <v>488</v>
      </c>
      <c r="AZ24" t="s">
        <v>184</v>
      </c>
      <c r="BA24" t="s">
        <v>90</v>
      </c>
      <c r="BB24" t="s">
        <v>186</v>
      </c>
      <c r="BC24" t="s">
        <v>484</v>
      </c>
      <c r="BD24" t="s">
        <v>391</v>
      </c>
      <c r="BE24" t="s">
        <v>185</v>
      </c>
      <c r="BF24" t="s">
        <v>91</v>
      </c>
      <c r="BG24" t="s">
        <v>187</v>
      </c>
      <c r="BH24" t="s">
        <v>1069</v>
      </c>
      <c r="BI24" t="s">
        <v>1070</v>
      </c>
      <c r="BJ24" t="s">
        <v>483</v>
      </c>
      <c r="BK24" t="s">
        <v>1071</v>
      </c>
      <c r="BL24" t="s">
        <v>1072</v>
      </c>
      <c r="BM24" t="s">
        <v>484</v>
      </c>
      <c r="BN24">
        <v>9.2100000000000009</v>
      </c>
      <c r="BO24">
        <v>14.75</v>
      </c>
      <c r="BP24">
        <v>14.51</v>
      </c>
      <c r="BQ24">
        <v>8.23</v>
      </c>
      <c r="BR24">
        <v>13.34</v>
      </c>
      <c r="BS24">
        <v>13.32</v>
      </c>
      <c r="BT24" t="s">
        <v>399</v>
      </c>
      <c r="BU24" t="s">
        <v>292</v>
      </c>
      <c r="BV24">
        <v>13.32</v>
      </c>
      <c r="BW24">
        <v>13.43</v>
      </c>
      <c r="BX24">
        <v>14.91</v>
      </c>
      <c r="BY24">
        <v>6.72</v>
      </c>
      <c r="BZ24">
        <v>6.82</v>
      </c>
      <c r="CA24">
        <v>7.35</v>
      </c>
      <c r="CB24">
        <v>0.67</v>
      </c>
      <c r="CC24">
        <v>-6.78</v>
      </c>
      <c r="CD24" t="s">
        <v>1073</v>
      </c>
      <c r="CE24" t="s">
        <v>747</v>
      </c>
      <c r="CF24" s="10">
        <v>0.80804953560371517</v>
      </c>
      <c r="CG24" s="11">
        <v>2.3634777909726346</v>
      </c>
      <c r="CH24" s="10">
        <v>-0.53610432147979736</v>
      </c>
      <c r="CI24" s="10">
        <v>0.11856215447187424</v>
      </c>
      <c r="CJ24" s="10">
        <v>0.31995353102684021</v>
      </c>
      <c r="CK24" s="10">
        <v>7.3741897940635681E-2</v>
      </c>
      <c r="CL24" s="10">
        <v>0.64373475313186646</v>
      </c>
      <c r="CM24" s="11">
        <v>-0.77239710092544556</v>
      </c>
      <c r="CN24" s="11">
        <v>0.10723860561847687</v>
      </c>
      <c r="CO24" s="11">
        <v>0.11343283951282501</v>
      </c>
      <c r="CP24" s="11">
        <v>0.13367174565792084</v>
      </c>
      <c r="CQ24" s="11">
        <v>-2.3140495643019676E-2</v>
      </c>
      <c r="CR24">
        <v>20.704202978488691</v>
      </c>
      <c r="CS24">
        <v>1.6699954245312598</v>
      </c>
      <c r="CT24">
        <v>3.303964757709251</v>
      </c>
      <c r="CU24" s="10">
        <v>0.12397760301828384</v>
      </c>
      <c r="CV24" s="11">
        <v>-8.8238881155848506E-2</v>
      </c>
      <c r="CW24">
        <v>0.06</v>
      </c>
      <c r="CX24">
        <v>63.312925851192681</v>
      </c>
      <c r="CY24">
        <v>199346971.10135597</v>
      </c>
      <c r="CZ24">
        <v>0.12397760301828384</v>
      </c>
      <c r="DA24">
        <v>20.105518688619636</v>
      </c>
      <c r="DB24">
        <v>627750031.99216259</v>
      </c>
      <c r="DC24">
        <v>0.11777872286736964</v>
      </c>
      <c r="DD24">
        <v>9.5206775815709328</v>
      </c>
      <c r="DE24">
        <v>1325666150.5301671</v>
      </c>
      <c r="DF24">
        <v>0.10910029065608978</v>
      </c>
      <c r="DG24">
        <v>5.4687209455112056</v>
      </c>
      <c r="DH24">
        <v>2307896147.1529593</v>
      </c>
      <c r="DI24">
        <v>9.9182082414627074E-2</v>
      </c>
      <c r="DJ24">
        <v>2.5564285559449416</v>
      </c>
      <c r="DK24">
        <v>4937059543.7331781</v>
      </c>
      <c r="DL24">
        <v>8.6784322112798684E-2</v>
      </c>
      <c r="DM24">
        <v>188000000</v>
      </c>
      <c r="DN24">
        <v>0.12397760301828384</v>
      </c>
      <c r="DO24">
        <v>12621240000</v>
      </c>
      <c r="DP24">
        <v>5535968900</v>
      </c>
      <c r="DQ24">
        <v>3824</v>
      </c>
      <c r="DR24">
        <v>0.68407193258543131</v>
      </c>
      <c r="DS24">
        <v>2.4517166721284829</v>
      </c>
      <c r="DT24" s="12">
        <v>-0.27333333333333337</v>
      </c>
      <c r="DU24">
        <v>-0.33333333333333331</v>
      </c>
      <c r="DV24">
        <v>-0.60666666666666669</v>
      </c>
      <c r="DW24">
        <v>-2.0678000000000001</v>
      </c>
      <c r="DX24">
        <v>0.34302555555555447</v>
      </c>
      <c r="DY24">
        <v>-2.0117311326666667</v>
      </c>
      <c r="DZ24">
        <v>3684</v>
      </c>
      <c r="EA24">
        <v>-2.0032736976874101</v>
      </c>
      <c r="EB24">
        <v>2</v>
      </c>
      <c r="EC24">
        <v>2.2601306240928883E-2</v>
      </c>
      <c r="ED24">
        <v>0.13062409288824384</v>
      </c>
      <c r="EE24" s="13">
        <v>2.0596999999999999</v>
      </c>
      <c r="EF24">
        <v>2.0398999999999998</v>
      </c>
      <c r="EG24">
        <v>17.173025555555554</v>
      </c>
      <c r="EH24" t="s">
        <v>408</v>
      </c>
      <c r="EI24">
        <v>0</v>
      </c>
      <c r="EJ24">
        <v>0</v>
      </c>
      <c r="EK24" s="9">
        <v>45470</v>
      </c>
      <c r="EL24" s="14">
        <v>-1.49</v>
      </c>
      <c r="EM24" s="14">
        <v>-4.04</v>
      </c>
      <c r="EN24">
        <v>0.88</v>
      </c>
      <c r="EO24">
        <v>5.57</v>
      </c>
      <c r="EP24">
        <v>-1.98</v>
      </c>
    </row>
    <row r="25" spans="1:146" x14ac:dyDescent="0.25">
      <c r="A25" s="6"/>
      <c r="B25" s="6"/>
      <c r="C25" s="6"/>
    </row>
    <row r="26" spans="1:146" x14ac:dyDescent="0.25">
      <c r="A26" s="6"/>
      <c r="B26" s="6"/>
      <c r="C26" s="6"/>
    </row>
    <row r="27" spans="1:146" x14ac:dyDescent="0.25">
      <c r="A27" s="6"/>
      <c r="B27" s="6"/>
      <c r="C27" s="6"/>
    </row>
    <row r="28" spans="1:146" x14ac:dyDescent="0.25">
      <c r="A28" s="6"/>
      <c r="B28" s="6"/>
      <c r="C28" s="6"/>
    </row>
    <row r="29" spans="1:146" x14ac:dyDescent="0.25">
      <c r="A29" s="6"/>
      <c r="B29" s="6"/>
      <c r="C29" s="6"/>
    </row>
    <row r="30" spans="1:146" x14ac:dyDescent="0.25">
      <c r="A30" s="6"/>
      <c r="B30" s="6"/>
      <c r="C30" s="6"/>
    </row>
    <row r="31" spans="1:146" x14ac:dyDescent="0.25">
      <c r="A31" s="6"/>
      <c r="B31" s="6"/>
      <c r="C31" s="6"/>
    </row>
    <row r="32" spans="1:146" x14ac:dyDescent="0.25">
      <c r="A32" s="6"/>
      <c r="B32" s="6"/>
      <c r="C32" s="6"/>
    </row>
    <row r="33" spans="1:3" x14ac:dyDescent="0.25">
      <c r="A33" s="6"/>
      <c r="B33" s="6"/>
      <c r="C33" s="6"/>
    </row>
    <row r="34" spans="1:3" x14ac:dyDescent="0.25">
      <c r="A34" s="6"/>
      <c r="B34" s="6"/>
      <c r="C34" s="6"/>
    </row>
    <row r="35" spans="1:3" x14ac:dyDescent="0.25">
      <c r="A35" s="6"/>
      <c r="B35" s="6"/>
      <c r="C35" s="6"/>
    </row>
    <row r="36" spans="1:3" x14ac:dyDescent="0.25">
      <c r="A36" s="6"/>
      <c r="B36" s="6"/>
      <c r="C36" s="6"/>
    </row>
    <row r="37" spans="1:3" x14ac:dyDescent="0.25">
      <c r="A37" s="6"/>
      <c r="B37" s="6"/>
      <c r="C37" s="6"/>
    </row>
    <row r="38" spans="1:3" x14ac:dyDescent="0.25">
      <c r="A38" s="6"/>
      <c r="B38" s="6"/>
      <c r="C38" s="6"/>
    </row>
    <row r="39" spans="1:3" x14ac:dyDescent="0.25">
      <c r="A39" s="6"/>
      <c r="B39" s="6"/>
      <c r="C39" s="6"/>
    </row>
    <row r="40" spans="1:3" x14ac:dyDescent="0.25">
      <c r="A40" s="6"/>
      <c r="B40" s="6"/>
      <c r="C40" s="6"/>
    </row>
    <row r="41" spans="1:3" x14ac:dyDescent="0.25">
      <c r="A41" s="6"/>
      <c r="B41" s="6"/>
      <c r="C41" s="6"/>
    </row>
    <row r="42" spans="1:3" x14ac:dyDescent="0.25">
      <c r="A42" s="6"/>
      <c r="B42" s="6"/>
      <c r="C42" s="6"/>
    </row>
  </sheetData>
  <autoFilter ref="BU1:BU4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种植业与林业&quot;,&quot;&quot;'" altText="更新基本面按钮_x000a_">
                <anchor moveWithCells="1" sizeWithCells="1">
                  <from>
                    <xdr:col>147</xdr:col>
                    <xdr:colOff>203200</xdr:colOff>
                    <xdr:row>0</xdr:row>
                    <xdr:rowOff>82550</xdr:rowOff>
                  </from>
                  <to>
                    <xdr:col>147</xdr:col>
                    <xdr:colOff>1295400</xdr:colOff>
                    <xdr:row>0</xdr:row>
                    <xdr:rowOff>393700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种植业与林业</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