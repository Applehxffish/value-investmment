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001Xiaofeng\value-investment-backup\估值分析\New-农林牧渔\"/>
    </mc:Choice>
  </mc:AlternateContent>
  <bookViews>
    <workbookView xWindow="0" yWindow="0" windowWidth="3800" windowHeight="2950"/>
  </bookViews>
  <sheets>
    <sheet name="养殖业" sheetId="15" r:id="rId1"/>
    <sheet name="估值-增速与年化收益" sheetId="14" r:id="rId2"/>
  </sheets>
  <functionGroups builtInGroupCount="18"/>
  <definedNames>
    <definedName name="_xlnm._FilterDatabase" localSheetId="0" hidden="1">养殖业!$BU$1:$BU$37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8" i="15" l="1"/>
  <c r="C14" i="15"/>
  <c r="C17" i="15"/>
  <c r="C20" i="15"/>
  <c r="C24" i="15"/>
  <c r="C38" i="15"/>
  <c r="C36" i="15"/>
  <c r="C27" i="15"/>
  <c r="C28" i="15"/>
  <c r="C34" i="15"/>
  <c r="C39" i="15"/>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18" i="15"/>
  <c r="C29" i="15"/>
  <c r="C10" i="15"/>
  <c r="C13" i="15"/>
  <c r="C35" i="15"/>
  <c r="C23" i="15"/>
  <c r="C33" i="15"/>
  <c r="C26" i="15"/>
  <c r="C30" i="15"/>
  <c r="C37" i="15"/>
  <c r="C15" i="15"/>
  <c r="C9" i="15"/>
  <c r="C16" i="15"/>
  <c r="C32" i="15"/>
  <c r="C12" i="15"/>
  <c r="C22" i="15"/>
  <c r="C19" i="15"/>
  <c r="C11" i="15"/>
  <c r="C21" i="15"/>
  <c r="C31" i="15"/>
  <c r="C25" i="15"/>
  <c r="C7" i="15"/>
  <c r="C6" i="15"/>
  <c r="C5" i="15"/>
  <c r="C4" i="15"/>
  <c r="C3" i="15"/>
  <c r="C2" i="15"/>
</calcChain>
</file>

<file path=xl/sharedStrings.xml><?xml version="1.0" encoding="utf-8"?>
<sst xmlns="http://schemas.openxmlformats.org/spreadsheetml/2006/main" count="2315" uniqueCount="1609">
  <si>
    <t>&lt;-增速</t>
    <phoneticPr fontId="1" type="noConversion"/>
  </si>
  <si>
    <t>&lt;-估值</t>
    <phoneticPr fontId="1" type="noConversion"/>
  </si>
  <si>
    <t>&lt;-折合年化收益</t>
    <phoneticPr fontId="1" type="noConversion"/>
  </si>
  <si>
    <t>现价</t>
  </si>
  <si>
    <t>市净率</t>
  </si>
  <si>
    <t>牧原股份</t>
  </si>
  <si>
    <t>大湖股份</t>
  </si>
  <si>
    <t>好当家</t>
  </si>
  <si>
    <t>温氏股份</t>
  </si>
  <si>
    <t>中水渔业</t>
  </si>
  <si>
    <t>益生股份</t>
  </si>
  <si>
    <t>罗 牛 山</t>
  </si>
  <si>
    <t>国联水产</t>
  </si>
  <si>
    <t>立华股份</t>
  </si>
  <si>
    <t>民和股份</t>
  </si>
  <si>
    <t>圣农发展</t>
  </si>
  <si>
    <t>开创国际</t>
  </si>
  <si>
    <t>仙坛股份</t>
  </si>
  <si>
    <t>新五丰</t>
  </si>
  <si>
    <t>代码</t>
  </si>
  <si>
    <t>总市值</t>
  </si>
  <si>
    <t>TTM市盈率</t>
  </si>
  <si>
    <t>所属行业</t>
  </si>
  <si>
    <t>SH600257</t>
  </si>
  <si>
    <t>养殖业</t>
  </si>
  <si>
    <t>SZ000798</t>
  </si>
  <si>
    <t>SZ300094</t>
  </si>
  <si>
    <t>SZ002714</t>
  </si>
  <si>
    <t>SH600467</t>
  </si>
  <si>
    <t>SZ002321</t>
  </si>
  <si>
    <t>SZ300498</t>
  </si>
  <si>
    <t>SH600097</t>
  </si>
  <si>
    <t>SZ300761</t>
  </si>
  <si>
    <t>SZ002299</t>
  </si>
  <si>
    <t>SZ002458</t>
  </si>
  <si>
    <t>SZ002746</t>
  </si>
  <si>
    <t>SZ002234</t>
  </si>
  <si>
    <t>SZ300313</t>
  </si>
  <si>
    <t>SZ002069</t>
  </si>
  <si>
    <t>SZ000735</t>
  </si>
  <si>
    <t>SH600975</t>
  </si>
  <si>
    <t>--</t>
  </si>
  <si>
    <t>预期多</t>
    <phoneticPr fontId="1" type="noConversion"/>
  </si>
  <si>
    <t>预期空</t>
    <phoneticPr fontId="1" type="noConversion"/>
  </si>
  <si>
    <t>已知和基本信息</t>
    <phoneticPr fontId="1" type="noConversion"/>
  </si>
  <si>
    <t>负债合计</t>
  </si>
  <si>
    <t>所有者权益合计</t>
  </si>
  <si>
    <t>主营业务收入</t>
  </si>
  <si>
    <t>净利润增长率</t>
  </si>
  <si>
    <t>总股本</t>
  </si>
  <si>
    <t>财务费用</t>
  </si>
  <si>
    <t>投资收益</t>
  </si>
  <si>
    <t>应收账款</t>
  </si>
  <si>
    <t>3003.83万</t>
  </si>
  <si>
    <t>11.50亿</t>
  </si>
  <si>
    <t>5.79亿</t>
  </si>
  <si>
    <t>2247.72万</t>
  </si>
  <si>
    <t>27.29亿</t>
  </si>
  <si>
    <t>-3.92亿</t>
  </si>
  <si>
    <t>19.64亿</t>
  </si>
  <si>
    <t>1.93亿</t>
  </si>
  <si>
    <t>0亿</t>
  </si>
  <si>
    <t>32.76亿</t>
  </si>
  <si>
    <t>16.10亿</t>
  </si>
  <si>
    <t>1.74亿</t>
  </si>
  <si>
    <t>145.58亿</t>
  </si>
  <si>
    <t>40.93亿</t>
  </si>
  <si>
    <t>1.00亿</t>
  </si>
  <si>
    <t>55.18亿</t>
  </si>
  <si>
    <t>-5230.38万</t>
  </si>
  <si>
    <t>35.84亿</t>
  </si>
  <si>
    <t>21.76亿</t>
  </si>
  <si>
    <t>14.39亿</t>
  </si>
  <si>
    <t>202.21亿</t>
  </si>
  <si>
    <t>61.14亿</t>
  </si>
  <si>
    <t>10.70亿</t>
  </si>
  <si>
    <t>35.33亿</t>
  </si>
  <si>
    <t>10.01亿</t>
  </si>
  <si>
    <t>2.45亿</t>
  </si>
  <si>
    <t>SZ002982</t>
  </si>
  <si>
    <t>湘佳股份</t>
  </si>
  <si>
    <t>18.78亿</t>
  </si>
  <si>
    <t>2.27亿</t>
  </si>
  <si>
    <t>1.11亿</t>
  </si>
  <si>
    <t>-2.69亿</t>
  </si>
  <si>
    <t>4.45亿</t>
  </si>
  <si>
    <t>2.29亿</t>
  </si>
  <si>
    <t>-6079.10万</t>
  </si>
  <si>
    <t>139.67亿</t>
  </si>
  <si>
    <t>88.70亿</t>
  </si>
  <si>
    <t>22.12亿</t>
  </si>
  <si>
    <t>11.12亿</t>
  </si>
  <si>
    <t>12.26亿</t>
  </si>
  <si>
    <t>6.19亿</t>
  </si>
  <si>
    <t>21.30亿</t>
  </si>
  <si>
    <t>6329.73万</t>
  </si>
  <si>
    <t>SH603477</t>
  </si>
  <si>
    <t>5.56亿</t>
  </si>
  <si>
    <t>3951.18万</t>
  </si>
  <si>
    <t>2.54亿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</si>
  <si>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</si>
  <si>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</si>
  <si>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</si>
  <si>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</si>
  <si>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</si>
  <si>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</si>
  <si>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</si>
  <si>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</si>
  <si>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</si>
  <si>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</si>
  <si>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</si>
  <si>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</si>
  <si>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</si>
  <si>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1.02亿</t>
  </si>
  <si>
    <t>11.64亿</t>
  </si>
  <si>
    <t>11.21亿</t>
  </si>
  <si>
    <t>8.91亿</t>
  </si>
  <si>
    <t>3.89亿</t>
  </si>
  <si>
    <t>-1.54亿</t>
  </si>
  <si>
    <t>1.08亿</t>
  </si>
  <si>
    <t>6.26亿</t>
  </si>
  <si>
    <t>5724.06万</t>
  </si>
  <si>
    <t>SZ001201</t>
  </si>
  <si>
    <t>东瑞股份</t>
  </si>
  <si>
    <t>13.66亿</t>
  </si>
  <si>
    <t>6.81亿</t>
  </si>
  <si>
    <t>8.72亿</t>
  </si>
  <si>
    <t>6.14亿</t>
  </si>
  <si>
    <t>2.62亿</t>
  </si>
  <si>
    <t>806.07万</t>
  </si>
  <si>
    <t>19.27亿</t>
  </si>
  <si>
    <t>1484.95万</t>
  </si>
  <si>
    <t>27.98亿</t>
  </si>
  <si>
    <t>3210.92万</t>
  </si>
  <si>
    <t>SZ002124</t>
  </si>
  <si>
    <t>107.64亿</t>
  </si>
  <si>
    <t>32.45亿</t>
  </si>
  <si>
    <t>60.07亿</t>
  </si>
  <si>
    <t>45.19亿</t>
  </si>
  <si>
    <t>-5.72亿</t>
  </si>
  <si>
    <t>16.82亿</t>
  </si>
  <si>
    <t>6667.57万</t>
  </si>
  <si>
    <t>18.18亿</t>
  </si>
  <si>
    <t>3.81亿</t>
  </si>
  <si>
    <t>137.45亿</t>
  </si>
  <si>
    <t>20.41亿</t>
  </si>
  <si>
    <t>1.14亿</t>
  </si>
  <si>
    <t>115.47亿</t>
  </si>
  <si>
    <t>15.05亿</t>
  </si>
  <si>
    <t>31.26亿</t>
  </si>
  <si>
    <t>53.49亿</t>
  </si>
  <si>
    <t>1.19亿</t>
  </si>
  <si>
    <t>17.51亿</t>
  </si>
  <si>
    <t>9199.13万</t>
  </si>
  <si>
    <t>1.05亿</t>
  </si>
  <si>
    <t>10.92亿</t>
  </si>
  <si>
    <t>14.73亿</t>
  </si>
  <si>
    <t>3.63亿</t>
  </si>
  <si>
    <t>562.77亿</t>
  </si>
  <si>
    <t>274.51亿</t>
  </si>
  <si>
    <t>133.88亿</t>
  </si>
  <si>
    <t>5.20亿</t>
  </si>
  <si>
    <t>31.88亿</t>
  </si>
  <si>
    <t>3.53亿</t>
  </si>
  <si>
    <t>25.78亿</t>
  </si>
  <si>
    <t>4.02亿</t>
  </si>
  <si>
    <t>21.90亿</t>
  </si>
  <si>
    <t>15.14亿</t>
  </si>
  <si>
    <t>44.94亿</t>
  </si>
  <si>
    <t>46.28亿</t>
  </si>
  <si>
    <t>47.29亿</t>
  </si>
  <si>
    <t>-4.64亿</t>
  </si>
  <si>
    <t>2.31亿</t>
  </si>
  <si>
    <t>1.60亿</t>
  </si>
  <si>
    <t>1.63亿</t>
  </si>
  <si>
    <t>421.19万</t>
  </si>
  <si>
    <t>1.95亿</t>
  </si>
  <si>
    <t>-19.46亿</t>
  </si>
  <si>
    <t>74.26亿</t>
  </si>
  <si>
    <t>5.39亿</t>
  </si>
  <si>
    <t>731.20亿</t>
  </si>
  <si>
    <t>572.36亿</t>
  </si>
  <si>
    <t>39.57亿</t>
  </si>
  <si>
    <t>86.21亿</t>
  </si>
  <si>
    <t>72.14亿</t>
  </si>
  <si>
    <t>13.00亿</t>
  </si>
  <si>
    <t>SZ300967</t>
  </si>
  <si>
    <t>晓鸣股份</t>
  </si>
  <si>
    <t>5.40亿</t>
  </si>
  <si>
    <t>5024.86万</t>
  </si>
  <si>
    <t>3.84亿</t>
  </si>
  <si>
    <t>2.83亿</t>
  </si>
  <si>
    <t>1624.39万</t>
  </si>
  <si>
    <t>19.69亿</t>
  </si>
  <si>
    <t>1.21亿</t>
  </si>
  <si>
    <t>19.10亿</t>
  </si>
  <si>
    <t>1.40亿</t>
  </si>
  <si>
    <t>9.37亿</t>
  </si>
  <si>
    <t>12.30亿</t>
  </si>
  <si>
    <t>6224.85万</t>
  </si>
  <si>
    <t>8984.30万</t>
  </si>
  <si>
    <t>6203.65万</t>
  </si>
  <si>
    <t>27.24亿</t>
  </si>
  <si>
    <t>-3583.83万</t>
  </si>
  <si>
    <t>巨星农牧</t>
  </si>
  <si>
    <t>1.28亿</t>
  </si>
  <si>
    <t>5897.56万</t>
  </si>
  <si>
    <t>SH605296</t>
  </si>
  <si>
    <t>神农集团</t>
  </si>
  <si>
    <t>11.38亿</t>
  </si>
  <si>
    <t>17.33亿</t>
  </si>
  <si>
    <t>4.69亿</t>
  </si>
  <si>
    <t>7072.74万</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</si>
  <si>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</si>
  <si>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</si>
  <si>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</si>
  <si>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</si>
  <si>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</si>
  <si>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</si>
  <si>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</si>
  <si>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</si>
  <si>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</si>
  <si>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</si>
  <si>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</si>
  <si>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</si>
  <si>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</si>
  <si>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</si>
  <si>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</si>
  <si>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30.06亿</t>
  </si>
  <si>
    <t>2.10亿</t>
  </si>
  <si>
    <t>2.12亿</t>
  </si>
  <si>
    <t>SZ002157</t>
  </si>
  <si>
    <t>491.66亿</t>
  </si>
  <si>
    <t>57.44亿</t>
  </si>
  <si>
    <t>245.18亿</t>
  </si>
  <si>
    <t>221.13亿</t>
  </si>
  <si>
    <t>16.47亿</t>
  </si>
  <si>
    <t>1.48亿</t>
  </si>
  <si>
    <t>1.50亿</t>
  </si>
  <si>
    <t>SH600965</t>
  </si>
  <si>
    <t>福成股份</t>
  </si>
  <si>
    <t>10.86亿</t>
  </si>
  <si>
    <t>14.47亿</t>
  </si>
  <si>
    <t>14.54亿</t>
  </si>
  <si>
    <t>流通股本</t>
  </si>
  <si>
    <t>净利润[20201231]</t>
  </si>
  <si>
    <t>投入资本回报率roic%[20201231]</t>
  </si>
  <si>
    <t>净资产收益率%[20201231]</t>
  </si>
  <si>
    <t>-4.23亿</t>
  </si>
  <si>
    <t>4.62亿</t>
  </si>
  <si>
    <t>-8585.96万</t>
  </si>
  <si>
    <t>10.52亿</t>
  </si>
  <si>
    <t>20.83亿</t>
  </si>
  <si>
    <t>734.39万</t>
  </si>
  <si>
    <t>105.07亿</t>
  </si>
  <si>
    <t>-44.62亿</t>
  </si>
  <si>
    <t>476.70亿</t>
  </si>
  <si>
    <t>-188.19亿</t>
  </si>
  <si>
    <t>17.75亿</t>
  </si>
  <si>
    <t>4760.97万</t>
  </si>
  <si>
    <t>144.78亿</t>
  </si>
  <si>
    <t>4.48亿</t>
  </si>
  <si>
    <t>31.92亿</t>
  </si>
  <si>
    <t>-25.38亿</t>
  </si>
  <si>
    <t>-11.44亿</t>
  </si>
  <si>
    <t>788.90亿</t>
  </si>
  <si>
    <t>69.04亿</t>
  </si>
  <si>
    <t>33.12亿</t>
  </si>
  <si>
    <t>8214.47万</t>
  </si>
  <si>
    <t>2567.86万</t>
  </si>
  <si>
    <t>44.74亿</t>
  </si>
  <si>
    <t>-1383.79万</t>
  </si>
  <si>
    <t>-2730.26万</t>
  </si>
  <si>
    <t>-134.04亿</t>
  </si>
  <si>
    <t>111.32亿</t>
  </si>
  <si>
    <t>-3.96亿</t>
  </si>
  <si>
    <t>8184.56万</t>
  </si>
  <si>
    <t>12.54亿</t>
  </si>
  <si>
    <t>6617.61万</t>
  </si>
  <si>
    <t>12.69亿</t>
  </si>
  <si>
    <t>29.83亿</t>
  </si>
  <si>
    <t>2.59亿</t>
  </si>
  <si>
    <t>27.79亿</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</si>
  <si>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</si>
  <si>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</si>
  <si>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</si>
  <si>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</si>
  <si>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</si>
  <si>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</si>
  <si>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</si>
  <si>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</si>
  <si>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</si>
  <si>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</si>
  <si>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</si>
  <si>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</si>
  <si>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</si>
  <si>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</si>
  <si>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</si>
  <si>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</si>
  <si>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</si>
  <si>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亏损</t>
  </si>
  <si>
    <t>扭亏</t>
  </si>
  <si>
    <t>海洋捕捞</t>
  </si>
  <si>
    <t>水产养殖</t>
  </si>
  <si>
    <t>10.48亿</t>
  </si>
  <si>
    <t/>
  </si>
  <si>
    <t>市销率</t>
    <phoneticPr fontId="1" type="noConversion"/>
  </si>
  <si>
    <t>过往营收增速均值</t>
    <phoneticPr fontId="1" type="noConversion"/>
  </si>
  <si>
    <t>1年自由现金流折现</t>
    <phoneticPr fontId="1" type="noConversion"/>
  </si>
  <si>
    <t>1增速</t>
    <phoneticPr fontId="1" type="noConversion"/>
  </si>
  <si>
    <t>6年自由现金流折现</t>
    <phoneticPr fontId="1" type="noConversion"/>
  </si>
  <si>
    <t>承担负债现期溢价</t>
    <phoneticPr fontId="1" type="noConversion"/>
  </si>
  <si>
    <t>策略1营收单季最佳增速</t>
    <phoneticPr fontId="1" type="noConversion"/>
  </si>
  <si>
    <t>营收成长策略</t>
    <phoneticPr fontId="1" type="noConversion"/>
  </si>
  <si>
    <t>价格变动策略</t>
    <phoneticPr fontId="1" type="noConversion"/>
  </si>
  <si>
    <t>综合策略</t>
    <phoneticPr fontId="1" type="noConversion"/>
  </si>
  <si>
    <t>5日成交换手率</t>
    <phoneticPr fontId="1" type="noConversion"/>
  </si>
  <si>
    <t>30日成交换手率</t>
    <phoneticPr fontId="1" type="noConversion"/>
  </si>
  <si>
    <t>今日价格累积指数</t>
    <phoneticPr fontId="1" type="noConversion"/>
  </si>
  <si>
    <t>N-1</t>
    <phoneticPr fontId="1" type="noConversion"/>
  </si>
  <si>
    <t>N</t>
    <phoneticPr fontId="1" type="noConversion"/>
  </si>
  <si>
    <t>1.64亿</t>
  </si>
  <si>
    <t>2.36亿</t>
  </si>
  <si>
    <t>5.83亿</t>
  </si>
  <si>
    <t>2.05亿</t>
  </si>
  <si>
    <t>2.55亿</t>
  </si>
  <si>
    <t>2.11亿</t>
  </si>
  <si>
    <r>
      <t>1.国资委为实控人。2.问：贵公司在金枪鱼捕捞业务的行业位势？答：公司目前共有金枪鱼延绳钓船74艘，为国内</t>
    </r>
    <r>
      <rPr>
        <sz val="9"/>
        <color rgb="FFFF0000"/>
        <rFont val="宋体"/>
        <family val="3"/>
        <charset val="134"/>
        <scheme val="minor"/>
      </rPr>
      <t>金枪鱼延绳钓龙头企业</t>
    </r>
    <r>
      <rPr>
        <sz val="9"/>
        <color theme="1"/>
        <rFont val="宋体"/>
        <family val="2"/>
        <charset val="134"/>
        <scheme val="minor"/>
      </rPr>
      <t>。</t>
    </r>
    <phoneticPr fontId="1" type="noConversion"/>
  </si>
  <si>
    <t>1.公司将全力完成好募投项目，一方面夯实捕捞基础，另一方面延伸后端高附加值的产业链条，下一步，公司的战略方向主要有：a.继续实施“捕捞为基”战略。b.向远洋渔业综合企业转型，包括加工贸易业务、综合服务类业务等。c.最终向海洋食品企业转型，包括高端类海洋食品，如公司野生大西洋蓝鳍金枪鱼刺身；大众类预制菜食品，如中渔鲜境金枪鱼罐头、金枪鱼饺子等；</t>
    <phoneticPr fontId="1" type="noConversion"/>
  </si>
  <si>
    <t>1.上海国资委实控人。</t>
    <phoneticPr fontId="1" type="noConversion"/>
  </si>
  <si>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</si>
  <si>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</si>
  <si>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</si>
  <si>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</si>
  <si>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</si>
  <si>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</si>
  <si>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</si>
  <si>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</si>
  <si>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</si>
  <si>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</si>
  <si>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</si>
  <si>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</si>
  <si>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</si>
  <si>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</si>
  <si>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</si>
  <si>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</si>
  <si>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</si>
  <si>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</si>
  <si>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</si>
  <si>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</si>
  <si>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</si>
  <si>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</si>
  <si>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</si>
  <si>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</si>
  <si>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</si>
  <si>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</si>
  <si>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</si>
  <si>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</si>
  <si>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</si>
  <si>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</si>
  <si>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</si>
  <si>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</si>
  <si>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扣非对比净利润</t>
    <phoneticPr fontId="1" type="noConversion"/>
  </si>
  <si>
    <t>过往利润增速均值</t>
    <phoneticPr fontId="1" type="noConversion"/>
  </si>
  <si>
    <t>折现率</t>
    <phoneticPr fontId="1" type="noConversion"/>
  </si>
  <si>
    <t>3年自由现金流折现</t>
    <phoneticPr fontId="1" type="noConversion"/>
  </si>
  <si>
    <t>6增速</t>
    <phoneticPr fontId="1" type="noConversion"/>
  </si>
  <si>
    <t>清算价格</t>
    <phoneticPr fontId="1" type="noConversion"/>
  </si>
  <si>
    <t>原始顺序</t>
    <phoneticPr fontId="1" type="noConversion"/>
  </si>
  <si>
    <t>利润成长策略</t>
    <phoneticPr fontId="1" type="noConversion"/>
  </si>
  <si>
    <t>营收和利润加权</t>
    <phoneticPr fontId="1" type="noConversion"/>
  </si>
  <si>
    <t>成交量综合策略</t>
    <phoneticPr fontId="1" type="noConversion"/>
  </si>
  <si>
    <t>昨日价格累计指数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</si>
  <si>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</si>
  <si>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</si>
  <si>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</si>
  <si>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</si>
  <si>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股利率</t>
    <phoneticPr fontId="1" type="noConversion"/>
  </si>
  <si>
    <t>3增速</t>
    <phoneticPr fontId="1" type="noConversion"/>
  </si>
  <si>
    <t>10年自由现金流折现</t>
    <phoneticPr fontId="1" type="noConversion"/>
  </si>
  <si>
    <t>10增速</t>
    <phoneticPr fontId="1" type="noConversion"/>
  </si>
  <si>
    <t>20年自由现金流折现</t>
    <phoneticPr fontId="1" type="noConversion"/>
  </si>
  <si>
    <t>策略1利润单季最佳增速</t>
    <phoneticPr fontId="1" type="noConversion"/>
  </si>
  <si>
    <t>量价齐升策略</t>
    <phoneticPr fontId="1" type="noConversion"/>
  </si>
  <si>
    <t>基本面排序</t>
    <phoneticPr fontId="1" type="noConversion"/>
  </si>
  <si>
    <t>机会区域号</t>
    <phoneticPr fontId="1" type="noConversion"/>
  </si>
  <si>
    <t>N-4</t>
    <phoneticPr fontId="1" type="noConversion"/>
  </si>
  <si>
    <t>N-3</t>
    <phoneticPr fontId="1" type="noConversion"/>
  </si>
  <si>
    <t>N-2</t>
    <phoneticPr fontId="1" type="noConversion"/>
  </si>
  <si>
    <t>不分配不转增</t>
  </si>
  <si>
    <t>10派1元(含税)</t>
  </si>
  <si>
    <t>SZ000048</t>
  </si>
  <si>
    <t>京基智农</t>
  </si>
  <si>
    <t>59.96亿</t>
  </si>
  <si>
    <t>7.73亿</t>
  </si>
  <si>
    <t>32.21亿</t>
  </si>
  <si>
    <t>40.72亿</t>
  </si>
  <si>
    <t>49.19亿</t>
  </si>
  <si>
    <t>34.37亿</t>
  </si>
  <si>
    <t>8.67亿</t>
  </si>
  <si>
    <t>11.01亿</t>
  </si>
  <si>
    <t>4.37亿</t>
  </si>
  <si>
    <t>18.72亿</t>
  </si>
  <si>
    <t>23.33亿</t>
  </si>
  <si>
    <t>10派0.2元(含税)</t>
  </si>
  <si>
    <t>1.17亿</t>
  </si>
  <si>
    <t>12.17亿</t>
  </si>
  <si>
    <t>20.21亿</t>
  </si>
  <si>
    <t>3.26亿</t>
  </si>
  <si>
    <t>95.71亿</t>
  </si>
  <si>
    <t>4.89亿</t>
  </si>
  <si>
    <t>144.15亿</t>
  </si>
  <si>
    <t>-1-0</t>
  </si>
  <si>
    <t>16.09亿</t>
  </si>
  <si>
    <t>-4.52亿</t>
  </si>
  <si>
    <t>1.13亿</t>
  </si>
  <si>
    <t>2.47亿</t>
  </si>
  <si>
    <t>1-0</t>
  </si>
  <si>
    <t>168.17亿</t>
  </si>
  <si>
    <t>4.11亿</t>
  </si>
  <si>
    <t>10派2元(含税)</t>
  </si>
  <si>
    <t>-1-1</t>
  </si>
  <si>
    <t>28.98亿</t>
  </si>
  <si>
    <t>-5.97亿</t>
  </si>
  <si>
    <t>21.12亿</t>
  </si>
  <si>
    <t>-3.67亿</t>
  </si>
  <si>
    <t>5.78亿</t>
  </si>
  <si>
    <t>-2.22亿</t>
  </si>
  <si>
    <t>20.98亿</t>
  </si>
  <si>
    <t>2940.79万</t>
  </si>
  <si>
    <t>3.20亿</t>
  </si>
  <si>
    <t>1248.26亿</t>
  </si>
  <si>
    <t>132.66亿</t>
  </si>
  <si>
    <t>51.02亿</t>
  </si>
  <si>
    <t>38.23亿</t>
  </si>
  <si>
    <t>1.06亿</t>
  </si>
  <si>
    <t>9.45亿</t>
  </si>
  <si>
    <t>1.86亿</t>
  </si>
  <si>
    <t>51.14亿</t>
  </si>
  <si>
    <t>7635.03万</t>
  </si>
  <si>
    <t>52.89亿</t>
  </si>
  <si>
    <t>649.54亿</t>
  </si>
  <si>
    <t>749.24亿</t>
  </si>
  <si>
    <t>144.47亿</t>
  </si>
  <si>
    <t>7.86亿</t>
  </si>
  <si>
    <t>732.31万</t>
  </si>
  <si>
    <t>7.23亿</t>
  </si>
  <si>
    <t>19.41亿</t>
  </si>
  <si>
    <t>10.95亿</t>
  </si>
  <si>
    <t>-7149.51万</t>
  </si>
  <si>
    <t>1.51亿</t>
  </si>
  <si>
    <t>11.93亿</t>
  </si>
  <si>
    <t>5962.67万</t>
  </si>
  <si>
    <t>1.81亿</t>
  </si>
  <si>
    <t>3.17亿</t>
  </si>
  <si>
    <t>10.74亿</t>
  </si>
  <si>
    <t>2.23亿</t>
  </si>
  <si>
    <t>5.57亿</t>
  </si>
  <si>
    <t>24.44亿</t>
  </si>
  <si>
    <t>-2.96亿</t>
  </si>
  <si>
    <t>39.68亿</t>
  </si>
  <si>
    <t>1.58亿</t>
  </si>
  <si>
    <t>SH603717</t>
  </si>
  <si>
    <t>天域生态</t>
  </si>
  <si>
    <t>2.78亿</t>
  </si>
  <si>
    <t>1.49亿</t>
  </si>
  <si>
    <t>6.38亿</t>
  </si>
  <si>
    <t>8.37亿</t>
  </si>
  <si>
    <t>-2.15亿</t>
  </si>
  <si>
    <t>-1.57亿</t>
  </si>
  <si>
    <t>6141.97万</t>
  </si>
  <si>
    <t>9165.96万</t>
  </si>
  <si>
    <t>33.04亿</t>
  </si>
  <si>
    <t>33.99亿</t>
  </si>
  <si>
    <t>6.71亿</t>
  </si>
  <si>
    <t>3.69亿</t>
  </si>
  <si>
    <t>6.70亿</t>
  </si>
  <si>
    <t>1.80亿</t>
  </si>
  <si>
    <t>1.78亿</t>
  </si>
  <si>
    <t>9.62亿</t>
  </si>
  <si>
    <t>19.79亿</t>
  </si>
  <si>
    <t>2.44亿</t>
  </si>
  <si>
    <t>-1.15亿</t>
  </si>
  <si>
    <t>3.85亿</t>
  </si>
  <si>
    <t>14.04亿</t>
  </si>
  <si>
    <t>2.58亿</t>
  </si>
  <si>
    <t>8.51亿</t>
  </si>
  <si>
    <t>10.04亿</t>
  </si>
  <si>
    <t>獐子岛</t>
  </si>
  <si>
    <t>17.66亿</t>
  </si>
  <si>
    <t>1.04亿</t>
  </si>
  <si>
    <t>2.16亿</t>
  </si>
  <si>
    <t>1.82亿</t>
  </si>
  <si>
    <t>3.21亿</t>
  </si>
  <si>
    <t>2.72亿</t>
  </si>
  <si>
    <t>3.98亿</t>
  </si>
  <si>
    <t>11.31亿</t>
  </si>
  <si>
    <t>2.35亿</t>
  </si>
  <si>
    <t>华英农业</t>
  </si>
  <si>
    <t>14.15亿</t>
  </si>
  <si>
    <t>500.00万</t>
  </si>
  <si>
    <t>19.21亿</t>
  </si>
  <si>
    <t>1.15亿</t>
  </si>
  <si>
    <t>2.76亿</t>
  </si>
  <si>
    <t>10.13亿</t>
  </si>
  <si>
    <t>14.23亿</t>
  </si>
  <si>
    <t>2.61亿</t>
  </si>
  <si>
    <t>1.09亿</t>
  </si>
  <si>
    <t>1.29亿</t>
  </si>
  <si>
    <t>20.99亿</t>
  </si>
  <si>
    <t>3.87亿</t>
  </si>
  <si>
    <t>3.29亿</t>
  </si>
  <si>
    <t>1.68亿</t>
  </si>
  <si>
    <t>2.02亿</t>
  </si>
  <si>
    <t>10.64亿</t>
  </si>
  <si>
    <t>2.60亿</t>
  </si>
  <si>
    <t>24.15亿</t>
  </si>
  <si>
    <t>2.25亿</t>
  </si>
  <si>
    <t>5-0</t>
  </si>
  <si>
    <t>5.08亿</t>
  </si>
  <si>
    <t>8.84亿</t>
  </si>
  <si>
    <t>-1.55亿</t>
  </si>
  <si>
    <t>6.37亿</t>
  </si>
  <si>
    <t>4.58亿</t>
  </si>
  <si>
    <t>4.04亿</t>
  </si>
  <si>
    <t>8.73亿</t>
  </si>
  <si>
    <t>8.28亿</t>
  </si>
  <si>
    <t>3-1</t>
  </si>
  <si>
    <t>10.37亿</t>
  </si>
  <si>
    <t>4.70亿</t>
  </si>
  <si>
    <t>1.56亿</t>
  </si>
  <si>
    <t>9.49亿</t>
  </si>
  <si>
    <t>5.71亿</t>
  </si>
  <si>
    <t>1.33亿</t>
  </si>
  <si>
    <t>2.09亿</t>
  </si>
  <si>
    <t>33.32亿</t>
  </si>
  <si>
    <t>300.00万</t>
  </si>
  <si>
    <t>1.75亿</t>
  </si>
  <si>
    <t>2.65亿</t>
  </si>
  <si>
    <t>1.94亿</t>
  </si>
  <si>
    <t>399.47万</t>
  </si>
  <si>
    <t>82.21亿</t>
  </si>
  <si>
    <t>39.75亿</t>
  </si>
  <si>
    <t>12.58亿</t>
  </si>
  <si>
    <t>124.17亿</t>
  </si>
  <si>
    <t>17.46亿</t>
  </si>
  <si>
    <t>11.66亿</t>
  </si>
  <si>
    <t>9.73亿</t>
  </si>
  <si>
    <t>2568.18万</t>
  </si>
  <si>
    <t>7553.46万</t>
  </si>
  <si>
    <t>31.34万</t>
  </si>
  <si>
    <t>58960567亿</t>
  </si>
  <si>
    <t>8.99亿</t>
  </si>
  <si>
    <t>87396309亿</t>
  </si>
  <si>
    <t>400.00万</t>
  </si>
  <si>
    <t>4076455800亿</t>
  </si>
  <si>
    <t>4.08亿</t>
  </si>
  <si>
    <t>62.04亿</t>
  </si>
  <si>
    <t>15.22亿</t>
  </si>
  <si>
    <t>-1.87亿</t>
  </si>
  <si>
    <t>-5938.31万</t>
  </si>
  <si>
    <t>4324.17万</t>
  </si>
  <si>
    <t>66.63亿</t>
  </si>
  <si>
    <t>12.20亿</t>
  </si>
  <si>
    <t>生猪养殖</t>
  </si>
  <si>
    <t>2420.84万</t>
  </si>
  <si>
    <t>799.15万</t>
  </si>
  <si>
    <t>77.93亿</t>
  </si>
  <si>
    <t>45.18亿</t>
  </si>
  <si>
    <t>10.08亿</t>
  </si>
  <si>
    <t>41.00亿</t>
  </si>
  <si>
    <t>-4.94亿</t>
  </si>
  <si>
    <t>10.21亿</t>
  </si>
  <si>
    <t>8.59亿</t>
  </si>
  <si>
    <t>997.02万</t>
  </si>
  <si>
    <t>7507.61万</t>
  </si>
  <si>
    <t>17175471亿</t>
  </si>
  <si>
    <t>31.21万</t>
  </si>
  <si>
    <t>129448483亿</t>
  </si>
  <si>
    <t>7.43亿</t>
  </si>
  <si>
    <t>30658134亿</t>
  </si>
  <si>
    <t>3864091800亿</t>
  </si>
  <si>
    <t>3.00亿</t>
  </si>
  <si>
    <t>9.64亿</t>
  </si>
  <si>
    <t>1459.04万</t>
  </si>
  <si>
    <t>39.56亿</t>
  </si>
  <si>
    <t>10.80亿</t>
  </si>
  <si>
    <t>-2239.56万</t>
  </si>
  <si>
    <t>6.33亿</t>
  </si>
  <si>
    <t>-7.68亿</t>
  </si>
  <si>
    <t>28.82亿</t>
  </si>
  <si>
    <t>8922.57万</t>
  </si>
  <si>
    <t>13.87亿</t>
  </si>
  <si>
    <t>4786.56万</t>
  </si>
  <si>
    <t>5771.97万</t>
  </si>
  <si>
    <t>3.67亿</t>
  </si>
  <si>
    <t>279.44万</t>
  </si>
  <si>
    <t>43.11亿</t>
  </si>
  <si>
    <t>16.33亿</t>
  </si>
  <si>
    <t>9.99亿</t>
  </si>
  <si>
    <t>40.42亿</t>
  </si>
  <si>
    <t>-1.18亿</t>
  </si>
  <si>
    <t>10.17亿</t>
  </si>
  <si>
    <t>9.36亿</t>
  </si>
  <si>
    <t>1910.69万</t>
  </si>
  <si>
    <t>3734.66万</t>
  </si>
  <si>
    <t>-2150860亿</t>
  </si>
  <si>
    <t>55.25万</t>
  </si>
  <si>
    <t>-28759895亿</t>
  </si>
  <si>
    <t>5.84亿</t>
  </si>
  <si>
    <t>387948450亿</t>
  </si>
  <si>
    <t>193.19万</t>
  </si>
  <si>
    <t>3210125600亿</t>
  </si>
  <si>
    <t>1.79亿</t>
  </si>
  <si>
    <t>11.76亿</t>
  </si>
  <si>
    <t>2.06亿</t>
  </si>
  <si>
    <t>7125.37万</t>
  </si>
  <si>
    <t>27.70亿</t>
  </si>
  <si>
    <t>16.12亿</t>
  </si>
  <si>
    <t>-3.29亿</t>
  </si>
  <si>
    <t>3.27亿</t>
  </si>
  <si>
    <t>39.74亿</t>
  </si>
  <si>
    <t>8.85亿</t>
  </si>
  <si>
    <t>-2817.74万</t>
  </si>
  <si>
    <t>1787.46万</t>
  </si>
  <si>
    <t>285.82万</t>
  </si>
  <si>
    <t>25.88亿</t>
  </si>
  <si>
    <t>2.80亿</t>
  </si>
  <si>
    <t>-5.16亿</t>
  </si>
  <si>
    <t>3.54亿</t>
  </si>
  <si>
    <t>2.46亿</t>
  </si>
  <si>
    <t>1331.29万</t>
  </si>
  <si>
    <t>7131.02万</t>
  </si>
  <si>
    <t>-1892256亿</t>
  </si>
  <si>
    <t>-83414331亿</t>
  </si>
  <si>
    <t>9.05亿</t>
  </si>
  <si>
    <t>11647733亿</t>
  </si>
  <si>
    <t>1555579700亿</t>
  </si>
  <si>
    <t>8.52亿</t>
  </si>
  <si>
    <t>9.07亿</t>
  </si>
  <si>
    <t>3.12亿</t>
  </si>
  <si>
    <t>14.00亿</t>
  </si>
  <si>
    <t>-9171.42万</t>
  </si>
  <si>
    <t>-2.52亿</t>
  </si>
  <si>
    <t>7367.47万</t>
  </si>
  <si>
    <t>4291.13万</t>
  </si>
  <si>
    <t>3.25亿</t>
  </si>
  <si>
    <t>-1.91亿</t>
  </si>
  <si>
    <t>3791.42万</t>
  </si>
  <si>
    <t>8431.51万</t>
  </si>
  <si>
    <t>471.82万</t>
  </si>
  <si>
    <t>22.68亿</t>
  </si>
  <si>
    <t>16.77亿</t>
  </si>
  <si>
    <t>858.82万</t>
  </si>
  <si>
    <t>3.83亿</t>
  </si>
  <si>
    <t>1848.83万</t>
  </si>
  <si>
    <t>1695.20万</t>
  </si>
  <si>
    <t>126.01万</t>
  </si>
  <si>
    <t>-8853945亿</t>
  </si>
  <si>
    <t>5.94亿</t>
  </si>
  <si>
    <t>187127200亿</t>
  </si>
  <si>
    <t>1553989300亿</t>
  </si>
  <si>
    <t>311.70万</t>
  </si>
  <si>
    <t>6629.86万</t>
  </si>
  <si>
    <t>231.90万</t>
  </si>
  <si>
    <t>2.20亿</t>
  </si>
  <si>
    <t>2331.73万</t>
  </si>
  <si>
    <t>4097.46万</t>
  </si>
  <si>
    <t>-1904.06万</t>
  </si>
  <si>
    <t>393.65万</t>
  </si>
  <si>
    <t>3.79亿</t>
  </si>
  <si>
    <t>-520.57万</t>
  </si>
  <si>
    <t>2998.47万</t>
  </si>
  <si>
    <t>开始亏损</t>
  </si>
  <si>
    <t>025764600</t>
  </si>
  <si>
    <t>051529200</t>
  </si>
  <si>
    <t>085882000</t>
  </si>
  <si>
    <t>0171764000</t>
  </si>
  <si>
    <t>-2-0</t>
  </si>
  <si>
    <t>ST天邦</t>
  </si>
  <si>
    <t>3278.93万</t>
  </si>
  <si>
    <t>149.13亿</t>
  </si>
  <si>
    <t>28.85亿</t>
  </si>
  <si>
    <t>20.50亿</t>
  </si>
  <si>
    <t>102.32亿</t>
  </si>
  <si>
    <t>-28.83亿</t>
  </si>
  <si>
    <t>25.31亿</t>
  </si>
  <si>
    <t>21.32亿</t>
  </si>
  <si>
    <t>1425.24万</t>
  </si>
  <si>
    <t>1079527750亿</t>
  </si>
  <si>
    <t>1153.38万</t>
  </si>
  <si>
    <t>-454924680亿</t>
  </si>
  <si>
    <t>2.87亿</t>
  </si>
  <si>
    <t>18536337亿</t>
  </si>
  <si>
    <t>2813592700亿</t>
  </si>
  <si>
    <t>10.03亿</t>
  </si>
  <si>
    <t>25.13亿</t>
  </si>
  <si>
    <t>2.30亿</t>
  </si>
  <si>
    <t>11.26亿</t>
  </si>
  <si>
    <t>137.76万</t>
  </si>
  <si>
    <t>98.75亿</t>
  </si>
  <si>
    <t>-18.00亿</t>
  </si>
  <si>
    <t>15.15亿</t>
  </si>
  <si>
    <t>-6.32亿</t>
  </si>
  <si>
    <t>21.74亿</t>
  </si>
  <si>
    <t>-6.64亿</t>
  </si>
  <si>
    <t>17.39亿</t>
  </si>
  <si>
    <t>SZ002141</t>
  </si>
  <si>
    <t>*ST贤丰</t>
  </si>
  <si>
    <t>2738.82万</t>
  </si>
  <si>
    <t>1.01亿</t>
  </si>
  <si>
    <t>10.91亿</t>
  </si>
  <si>
    <t>1664.99万</t>
  </si>
  <si>
    <t>8804.06万</t>
  </si>
  <si>
    <t>-1.20亿</t>
  </si>
  <si>
    <t>2597.00万</t>
  </si>
  <si>
    <t>728.94万</t>
  </si>
  <si>
    <t>409.91万</t>
  </si>
  <si>
    <t>1038.27万</t>
  </si>
  <si>
    <t>-220833亿</t>
  </si>
  <si>
    <t>23.74万</t>
  </si>
  <si>
    <t>-8687681亿</t>
  </si>
  <si>
    <t>1.18亿</t>
  </si>
  <si>
    <t>28312876亿</t>
  </si>
  <si>
    <t>749982530亿</t>
  </si>
  <si>
    <t>2255.78万</t>
  </si>
  <si>
    <t>3192.26万</t>
  </si>
  <si>
    <t>7845.41万</t>
  </si>
  <si>
    <t>1080.94万</t>
  </si>
  <si>
    <t>-2723.65万</t>
  </si>
  <si>
    <t>-502.27万</t>
  </si>
  <si>
    <t>8.86亿</t>
  </si>
  <si>
    <t>14.70亿</t>
  </si>
  <si>
    <t>9.90亿</t>
  </si>
  <si>
    <t>2.32亿</t>
  </si>
  <si>
    <t>2919.02万</t>
  </si>
  <si>
    <t>-5.45亿</t>
  </si>
  <si>
    <t>800.74万</t>
  </si>
  <si>
    <t>704.02万</t>
  </si>
  <si>
    <t>2089.15万</t>
  </si>
  <si>
    <t>128.12万</t>
  </si>
  <si>
    <t>动物保健</t>
  </si>
  <si>
    <t>9.82亿</t>
  </si>
  <si>
    <t>-4-0</t>
  </si>
  <si>
    <t>正邦科技</t>
  </si>
  <si>
    <t>2929.26万</t>
  </si>
  <si>
    <t>94.41亿</t>
  </si>
  <si>
    <t>89.18亿</t>
  </si>
  <si>
    <t>14.42亿</t>
  </si>
  <si>
    <t>69.92亿</t>
  </si>
  <si>
    <t>85.29亿</t>
  </si>
  <si>
    <t>15.07亿</t>
  </si>
  <si>
    <t>12.36亿</t>
  </si>
  <si>
    <t>1924.91万</t>
  </si>
  <si>
    <t>2.19亿</t>
  </si>
  <si>
    <t>301502680亿</t>
  </si>
  <si>
    <t>51.15万</t>
  </si>
  <si>
    <t>-317378600亿</t>
  </si>
  <si>
    <t>30.38亿</t>
  </si>
  <si>
    <t>179634490亿</t>
  </si>
  <si>
    <t>4946145200亿</t>
  </si>
  <si>
    <t>32.97亿</t>
  </si>
  <si>
    <t>3.30亿</t>
  </si>
  <si>
    <t>14.80亿</t>
  </si>
  <si>
    <t>43.20亿</t>
  </si>
  <si>
    <t>1.38亿</t>
  </si>
  <si>
    <t>-2.83亿</t>
  </si>
  <si>
    <t>-828.88万</t>
  </si>
  <si>
    <t>-133.86亿</t>
  </si>
  <si>
    <t>22.56亿</t>
  </si>
  <si>
    <t>-11.79亿</t>
  </si>
  <si>
    <t>23.26亿</t>
  </si>
  <si>
    <t>025587000000</t>
  </si>
  <si>
    <t>051174000000</t>
  </si>
  <si>
    <t>085290000000</t>
  </si>
  <si>
    <t>0170580000000</t>
  </si>
  <si>
    <t>1-1</t>
  </si>
  <si>
    <t>280.07万</t>
  </si>
  <si>
    <t>22.40亿</t>
  </si>
  <si>
    <t>5.22亿</t>
  </si>
  <si>
    <t>20.74亿</t>
  </si>
  <si>
    <t>-3.86亿</t>
  </si>
  <si>
    <t>5.45亿</t>
  </si>
  <si>
    <t>4130.39万</t>
  </si>
  <si>
    <t>3097.97万</t>
  </si>
  <si>
    <t>-12074921亿</t>
  </si>
  <si>
    <t>42.59万</t>
  </si>
  <si>
    <t>-36406437亿</t>
  </si>
  <si>
    <t>6.30亿</t>
  </si>
  <si>
    <t>77913315亿</t>
  </si>
  <si>
    <t>1345727400亿</t>
  </si>
  <si>
    <t>3.35亿</t>
  </si>
  <si>
    <t>11.98亿</t>
  </si>
  <si>
    <t>6369.23万</t>
  </si>
  <si>
    <t>14.31亿</t>
  </si>
  <si>
    <t>-1327.92万</t>
  </si>
  <si>
    <t>-2704.52万</t>
  </si>
  <si>
    <t>8347.47万</t>
  </si>
  <si>
    <t>5685.65万</t>
  </si>
  <si>
    <t>肉鸡养殖</t>
  </si>
  <si>
    <t>1203.67万</t>
  </si>
  <si>
    <t>1031.41万</t>
  </si>
  <si>
    <t>121.88亿</t>
  </si>
  <si>
    <t>102.57亿</t>
  </si>
  <si>
    <t>42.15亿</t>
  </si>
  <si>
    <t>184.87亿</t>
  </si>
  <si>
    <t>6.64亿</t>
  </si>
  <si>
    <t>42.12亿</t>
  </si>
  <si>
    <t>38.91亿</t>
  </si>
  <si>
    <t>9804896亿</t>
  </si>
  <si>
    <t>235.57万</t>
  </si>
  <si>
    <t>-56824070亿</t>
  </si>
  <si>
    <t>17.17亿</t>
  </si>
  <si>
    <t>731282580亿</t>
  </si>
  <si>
    <t>7778195300亿</t>
  </si>
  <si>
    <t>5.58亿</t>
  </si>
  <si>
    <t>75.60亿</t>
  </si>
  <si>
    <t>4.13亿</t>
  </si>
  <si>
    <t>15.66亿</t>
  </si>
  <si>
    <t>116.79亿</t>
  </si>
  <si>
    <t>7.36亿</t>
  </si>
  <si>
    <t>3.47亿</t>
  </si>
  <si>
    <t>-7.65亿</t>
  </si>
  <si>
    <t>45.37亿</t>
  </si>
  <si>
    <t>8944.82万</t>
  </si>
  <si>
    <t>10派3元(含税)</t>
  </si>
  <si>
    <t>6603.82万</t>
  </si>
  <si>
    <t>1048.25万</t>
  </si>
  <si>
    <t>22.83亿</t>
  </si>
  <si>
    <t>14.16亿</t>
  </si>
  <si>
    <t>7.42亿</t>
  </si>
  <si>
    <t>37.05亿</t>
  </si>
  <si>
    <t>-3183.70万</t>
  </si>
  <si>
    <t>7.29亿</t>
  </si>
  <si>
    <t>6.65亿</t>
  </si>
  <si>
    <t>1187.61万</t>
  </si>
  <si>
    <t>2662.45万</t>
  </si>
  <si>
    <t>9409414亿</t>
  </si>
  <si>
    <t>-2757375亿</t>
  </si>
  <si>
    <t>2.18亿</t>
  </si>
  <si>
    <t>429657930亿</t>
  </si>
  <si>
    <t>2030766300亿</t>
  </si>
  <si>
    <t>682.81万</t>
  </si>
  <si>
    <t>2.70亿</t>
  </si>
  <si>
    <t>1000.00万</t>
  </si>
  <si>
    <t>1.70亿</t>
  </si>
  <si>
    <t>1708.04万</t>
  </si>
  <si>
    <t>11.88亿</t>
  </si>
  <si>
    <t>-98.63万</t>
  </si>
  <si>
    <t>-1717.00万</t>
  </si>
  <si>
    <t>267.42万</t>
  </si>
  <si>
    <t>6.05亿</t>
  </si>
  <si>
    <t>479.45万</t>
  </si>
  <si>
    <t>其他养殖</t>
  </si>
  <si>
    <t>8175.15万</t>
  </si>
  <si>
    <t>3.90亿</t>
  </si>
  <si>
    <t>527.73万</t>
  </si>
  <si>
    <t>20.37亿</t>
  </si>
  <si>
    <t>43.64亿</t>
  </si>
  <si>
    <t>6.87亿</t>
  </si>
  <si>
    <t>32.25亿</t>
  </si>
  <si>
    <t>5.41亿</t>
  </si>
  <si>
    <t>4.77亿</t>
  </si>
  <si>
    <t>655.86万</t>
  </si>
  <si>
    <t>3794.08万</t>
  </si>
  <si>
    <t>-13350406亿</t>
  </si>
  <si>
    <t>5.45万</t>
  </si>
  <si>
    <t>109095845亿</t>
  </si>
  <si>
    <t>39149116亿</t>
  </si>
  <si>
    <t>520.28万</t>
  </si>
  <si>
    <t>1425204500亿</t>
  </si>
  <si>
    <t>8.01亿</t>
  </si>
  <si>
    <t>3.11亿</t>
  </si>
  <si>
    <t>71.96万</t>
  </si>
  <si>
    <t>18.20亿</t>
  </si>
  <si>
    <t>1.52亿</t>
  </si>
  <si>
    <t>1.62亿</t>
  </si>
  <si>
    <t>-2.02亿</t>
  </si>
  <si>
    <t>-1521.17万</t>
  </si>
  <si>
    <t>9.14亿</t>
  </si>
  <si>
    <t>3.14亿</t>
  </si>
  <si>
    <t>2616.83万</t>
  </si>
  <si>
    <t>SZ002688</t>
  </si>
  <si>
    <t>金河生物</t>
  </si>
  <si>
    <t>845.04万</t>
  </si>
  <si>
    <t>29.37亿</t>
  </si>
  <si>
    <t>25.29亿</t>
  </si>
  <si>
    <t>5.19亿</t>
  </si>
  <si>
    <t>8645.70万</t>
  </si>
  <si>
    <t>3.42亿</t>
  </si>
  <si>
    <t>3718.20万</t>
  </si>
  <si>
    <t>5208.20万</t>
  </si>
  <si>
    <t>-484445亿</t>
  </si>
  <si>
    <t>5.47万</t>
  </si>
  <si>
    <t>41871997亿</t>
  </si>
  <si>
    <t>6.60亿</t>
  </si>
  <si>
    <t>460238480亿</t>
  </si>
  <si>
    <t>7469.62万</t>
  </si>
  <si>
    <t>2132526300亿</t>
  </si>
  <si>
    <t>6.23亿</t>
  </si>
  <si>
    <t>15.09亿</t>
  </si>
  <si>
    <t>2.17亿</t>
  </si>
  <si>
    <t>7.77亿</t>
  </si>
  <si>
    <t>7339.01万</t>
  </si>
  <si>
    <t>-8327.42万</t>
  </si>
  <si>
    <t>21.23亿</t>
  </si>
  <si>
    <t>20.78亿</t>
  </si>
  <si>
    <t>18.15亿</t>
  </si>
  <si>
    <t>17.82亿</t>
  </si>
  <si>
    <t>16.29亿</t>
  </si>
  <si>
    <t>7561.64万</t>
  </si>
  <si>
    <t>9399.24万</t>
  </si>
  <si>
    <t>1.85亿</t>
  </si>
  <si>
    <t>5.27亿</t>
  </si>
  <si>
    <t>3692.01万</t>
  </si>
  <si>
    <t>3840.10万</t>
  </si>
  <si>
    <t>3.39亿</t>
  </si>
  <si>
    <t>1546.52万</t>
  </si>
  <si>
    <t>1213.68亿</t>
  </si>
  <si>
    <t>716.06亿</t>
  </si>
  <si>
    <t>262.72亿</t>
  </si>
  <si>
    <t>1108.61亿</t>
  </si>
  <si>
    <t>-42.63亿</t>
  </si>
  <si>
    <t>294.96亿</t>
  </si>
  <si>
    <t>269.29亿</t>
  </si>
  <si>
    <t>9.27亿</t>
  </si>
  <si>
    <t>-1853967亿</t>
  </si>
  <si>
    <t>2317.01万</t>
  </si>
  <si>
    <t>-2386836500亿</t>
  </si>
  <si>
    <t>230.24亿</t>
  </si>
  <si>
    <t>96333526亿</t>
  </si>
  <si>
    <t>64971829000亿</t>
  </si>
  <si>
    <t>22.96亿</t>
  </si>
  <si>
    <t>508.00亿</t>
  </si>
  <si>
    <t>43.72亿</t>
  </si>
  <si>
    <t>214.70亿</t>
  </si>
  <si>
    <t>979.56亿</t>
  </si>
  <si>
    <t>104.42亿</t>
  </si>
  <si>
    <t>50.67亿</t>
  </si>
  <si>
    <t>-54.22亿</t>
  </si>
  <si>
    <t>241.98亿</t>
  </si>
  <si>
    <t>-11.98亿</t>
  </si>
  <si>
    <t>8178.39万</t>
  </si>
  <si>
    <t>317.10万</t>
  </si>
  <si>
    <t>21.51亿</t>
  </si>
  <si>
    <t>47.16亿</t>
  </si>
  <si>
    <t>10.78亿</t>
  </si>
  <si>
    <t>57.81亿</t>
  </si>
  <si>
    <t>2.26亿</t>
  </si>
  <si>
    <t>10.83亿</t>
  </si>
  <si>
    <t>10.63亿</t>
  </si>
  <si>
    <t>347.21万</t>
  </si>
  <si>
    <t>2359.99万</t>
  </si>
  <si>
    <t>23381305亿</t>
  </si>
  <si>
    <t>18.47万</t>
  </si>
  <si>
    <t>-22418218亿</t>
  </si>
  <si>
    <t>28.04亿</t>
  </si>
  <si>
    <t>111044372亿</t>
  </si>
  <si>
    <t>4604597100亿</t>
  </si>
  <si>
    <t>8.56亿</t>
  </si>
  <si>
    <t>17.96万</t>
  </si>
  <si>
    <t>18.81亿</t>
  </si>
  <si>
    <t>9760.00万</t>
  </si>
  <si>
    <t>-2.55亿</t>
  </si>
  <si>
    <t>4.51亿</t>
  </si>
  <si>
    <t>-4.66亿</t>
  </si>
  <si>
    <t>12.22亿</t>
  </si>
  <si>
    <t>9204.67万</t>
  </si>
  <si>
    <t>10派1.5元(含税)</t>
  </si>
  <si>
    <t>1900.15万</t>
  </si>
  <si>
    <t>1.90亿</t>
  </si>
  <si>
    <t>-2-1</t>
  </si>
  <si>
    <t>SZ002868</t>
  </si>
  <si>
    <t>绿康生化</t>
  </si>
  <si>
    <t>81.61万</t>
  </si>
  <si>
    <t>15.51亿</t>
  </si>
  <si>
    <t>5.07亿</t>
  </si>
  <si>
    <t>1.88亿</t>
  </si>
  <si>
    <t>1.47亿</t>
  </si>
  <si>
    <t>367.82万</t>
  </si>
  <si>
    <t>1221.91万</t>
  </si>
  <si>
    <t>-62959亿</t>
  </si>
  <si>
    <t>-32209304亿</t>
  </si>
  <si>
    <t>3229.32万</t>
  </si>
  <si>
    <t>118849697亿</t>
  </si>
  <si>
    <t>434901650亿</t>
  </si>
  <si>
    <t>2.43亿</t>
  </si>
  <si>
    <t>512.18万</t>
  </si>
  <si>
    <t>8.57亿</t>
  </si>
  <si>
    <t>5.02亿</t>
  </si>
  <si>
    <t>-1524.36万</t>
  </si>
  <si>
    <t>-5508.91万</t>
  </si>
  <si>
    <t>5323.67万</t>
  </si>
  <si>
    <t>3.08亿</t>
  </si>
  <si>
    <t>3.04亿</t>
  </si>
  <si>
    <t>3.44亿</t>
  </si>
  <si>
    <t>-1.22亿</t>
  </si>
  <si>
    <t>-2604.39万</t>
  </si>
  <si>
    <t>4320.83万</t>
  </si>
  <si>
    <t>5696.60万</t>
  </si>
  <si>
    <t>7468.94万</t>
  </si>
  <si>
    <t>-1014.54万</t>
  </si>
  <si>
    <t>905.63万</t>
  </si>
  <si>
    <t>4152.70万</t>
  </si>
  <si>
    <t>124.97万</t>
  </si>
  <si>
    <t>21.21亿</t>
  </si>
  <si>
    <t>17.16亿</t>
  </si>
  <si>
    <t>38.90亿</t>
  </si>
  <si>
    <t>-1.47亿</t>
  </si>
  <si>
    <t>9.21亿</t>
  </si>
  <si>
    <t>9972.52万</t>
  </si>
  <si>
    <t>2433.81万</t>
  </si>
  <si>
    <t>12053亿</t>
  </si>
  <si>
    <t>96.94万</t>
  </si>
  <si>
    <t>-14671387亿</t>
  </si>
  <si>
    <t>229215240亿</t>
  </si>
  <si>
    <t>1301010700亿</t>
  </si>
  <si>
    <t>9.16亿</t>
  </si>
  <si>
    <t>5098.16万</t>
  </si>
  <si>
    <t>-9918.71万</t>
  </si>
  <si>
    <t>9.09亿</t>
  </si>
  <si>
    <t>-2825.41万</t>
  </si>
  <si>
    <t>797.49万</t>
  </si>
  <si>
    <t>2662.09万</t>
  </si>
  <si>
    <t>26.47亿</t>
  </si>
  <si>
    <t>10.43亿</t>
  </si>
  <si>
    <t>49.09亿</t>
  </si>
  <si>
    <t>-5.32亿</t>
  </si>
  <si>
    <t>9.85亿</t>
  </si>
  <si>
    <t>5395.91万</t>
  </si>
  <si>
    <t>2755.14万</t>
  </si>
  <si>
    <t>21.88万</t>
  </si>
  <si>
    <t>-6115233亿</t>
  </si>
  <si>
    <t>4.86亿</t>
  </si>
  <si>
    <t>395854140亿</t>
  </si>
  <si>
    <t>3621967300亿</t>
  </si>
  <si>
    <t>818.33万</t>
  </si>
  <si>
    <t>12.79亿</t>
  </si>
  <si>
    <t>2.15亿</t>
  </si>
  <si>
    <t>1087.99万</t>
  </si>
  <si>
    <t>18.84亿</t>
  </si>
  <si>
    <t>5611.83万</t>
  </si>
  <si>
    <t>-4744.41万</t>
  </si>
  <si>
    <t>-4549.68万</t>
  </si>
  <si>
    <t>-625.48万</t>
  </si>
  <si>
    <t>1041.05万</t>
  </si>
  <si>
    <t>9.35亿</t>
  </si>
  <si>
    <t>SZ300119</t>
  </si>
  <si>
    <t>瑞普生物</t>
  </si>
  <si>
    <t>223.54万</t>
  </si>
  <si>
    <t>17.91亿</t>
  </si>
  <si>
    <t>48.85亿</t>
  </si>
  <si>
    <t>5.33亿</t>
  </si>
  <si>
    <t>22.49亿</t>
  </si>
  <si>
    <t>4.53亿</t>
  </si>
  <si>
    <t>4.36亿</t>
  </si>
  <si>
    <t>2.79亿</t>
  </si>
  <si>
    <t>7128.53万</t>
  </si>
  <si>
    <t>4018.24万</t>
  </si>
  <si>
    <t>30953亿</t>
  </si>
  <si>
    <t>36.97万</t>
  </si>
  <si>
    <t>76606249亿</t>
  </si>
  <si>
    <t>6.17亿</t>
  </si>
  <si>
    <t>942339190亿</t>
  </si>
  <si>
    <t>2311.30万</t>
  </si>
  <si>
    <t>3378521400亿</t>
  </si>
  <si>
    <t>9802.91万</t>
  </si>
  <si>
    <t>4.80亿</t>
  </si>
  <si>
    <t>8.68万</t>
  </si>
  <si>
    <t>12.31亿</t>
  </si>
  <si>
    <t>8913.59万</t>
  </si>
  <si>
    <t>1598.65万</t>
  </si>
  <si>
    <t>20.84亿</t>
  </si>
  <si>
    <t>20.07亿</t>
  </si>
  <si>
    <t>20.00亿</t>
  </si>
  <si>
    <t>14.67亿</t>
  </si>
  <si>
    <t>11.90亿</t>
  </si>
  <si>
    <t>4.43亿</t>
  </si>
  <si>
    <t>8082.35万</t>
  </si>
  <si>
    <t>10派4元(含税)</t>
  </si>
  <si>
    <t>1444.09万</t>
  </si>
  <si>
    <t>ST天山</t>
  </si>
  <si>
    <t>373.63万</t>
  </si>
  <si>
    <t>6541.15万</t>
  </si>
  <si>
    <t>1754.32万</t>
  </si>
  <si>
    <t>1.37亿</t>
  </si>
  <si>
    <t>-2200.16万</t>
  </si>
  <si>
    <t>2474.45万</t>
  </si>
  <si>
    <t>1707.63万</t>
  </si>
  <si>
    <t>64.64万</t>
  </si>
  <si>
    <t>410.47万</t>
  </si>
  <si>
    <t>1140576亿</t>
  </si>
  <si>
    <t>34.97万</t>
  </si>
  <si>
    <t>-7663455亿</t>
  </si>
  <si>
    <t>2244.69万</t>
  </si>
  <si>
    <t>9207919亿</t>
  </si>
  <si>
    <t>112638301亿</t>
  </si>
  <si>
    <t>8304.16万</t>
  </si>
  <si>
    <t>1923.84万</t>
  </si>
  <si>
    <t>1686.55万</t>
  </si>
  <si>
    <t>542.48万</t>
  </si>
  <si>
    <t>134.48万</t>
  </si>
  <si>
    <t>-105.75万</t>
  </si>
  <si>
    <t>-3183.21万</t>
  </si>
  <si>
    <t>2315.65万</t>
  </si>
  <si>
    <t>-401.60万</t>
  </si>
  <si>
    <t>2685.59万</t>
  </si>
  <si>
    <t>2782.16万</t>
  </si>
  <si>
    <t>570.48亿</t>
  </si>
  <si>
    <t>346.79亿</t>
  </si>
  <si>
    <t>218.42亿</t>
  </si>
  <si>
    <t>899.02亿</t>
  </si>
  <si>
    <t>-63.90亿</t>
  </si>
  <si>
    <t>229.23亿</t>
  </si>
  <si>
    <t>211.28亿</t>
  </si>
  <si>
    <t>11.42亿</t>
  </si>
  <si>
    <t>145984810亿</t>
  </si>
  <si>
    <t>1129.90万</t>
  </si>
  <si>
    <t>-1052230430亿</t>
  </si>
  <si>
    <t>58.76亿</t>
  </si>
  <si>
    <t>484127430亿</t>
  </si>
  <si>
    <t>35822722000亿</t>
  </si>
  <si>
    <t>39.44亿</t>
  </si>
  <si>
    <t>49.53亿</t>
  </si>
  <si>
    <t>27.37亿</t>
  </si>
  <si>
    <t>80.52亿</t>
  </si>
  <si>
    <t>310.98万</t>
  </si>
  <si>
    <t>322.77亿</t>
  </si>
  <si>
    <t>94.71亿</t>
  </si>
  <si>
    <t>22.59亿</t>
  </si>
  <si>
    <t>-15.48亿</t>
  </si>
  <si>
    <t>837.08亿</t>
  </si>
  <si>
    <t>199.70亿</t>
  </si>
  <si>
    <t>-27.49亿</t>
  </si>
  <si>
    <t>9.71亿</t>
  </si>
  <si>
    <t>225.44万</t>
  </si>
  <si>
    <t>58.78亿</t>
  </si>
  <si>
    <t>78.84亿</t>
  </si>
  <si>
    <t>36.62亿</t>
  </si>
  <si>
    <t>153.54亿</t>
  </si>
  <si>
    <t>-4.37亿</t>
  </si>
  <si>
    <t>36.08亿</t>
  </si>
  <si>
    <t>5110.36万</t>
  </si>
  <si>
    <t>-5450736亿</t>
  </si>
  <si>
    <t>25.55万</t>
  </si>
  <si>
    <t>43345589亿</t>
  </si>
  <si>
    <t>7.87亿</t>
  </si>
  <si>
    <t>12370292亿</t>
  </si>
  <si>
    <t>4114466800亿</t>
  </si>
  <si>
    <t>23.74亿</t>
  </si>
  <si>
    <t>53.87亿</t>
  </si>
  <si>
    <t>1.27亿</t>
  </si>
  <si>
    <t>-5512.70万</t>
  </si>
  <si>
    <t>34.11亿</t>
  </si>
  <si>
    <t>-3.91亿</t>
  </si>
  <si>
    <t>1194.74万</t>
  </si>
  <si>
    <t>SZ300871</t>
  </si>
  <si>
    <t>回盛生物</t>
  </si>
  <si>
    <t>270.49万</t>
  </si>
  <si>
    <t>14.66亿</t>
  </si>
  <si>
    <t>15.10亿</t>
  </si>
  <si>
    <t>2.07亿</t>
  </si>
  <si>
    <t>19.36亿</t>
  </si>
  <si>
    <t>1434.20万</t>
  </si>
  <si>
    <t>1841.33万</t>
  </si>
  <si>
    <t>3345415亿</t>
  </si>
  <si>
    <t>4.31万</t>
  </si>
  <si>
    <t>-8283622亿</t>
  </si>
  <si>
    <t>2.86亿</t>
  </si>
  <si>
    <t>320728970亿</t>
  </si>
  <si>
    <t>1277.62万</t>
  </si>
  <si>
    <t>1277604100亿</t>
  </si>
  <si>
    <t>7050.50万</t>
  </si>
  <si>
    <t>1.69亿</t>
  </si>
  <si>
    <t>2.49亿</t>
  </si>
  <si>
    <t>7.97亿</t>
  </si>
  <si>
    <t>-4627.95万</t>
  </si>
  <si>
    <t>-7633.22万</t>
  </si>
  <si>
    <t>9520.43万</t>
  </si>
  <si>
    <t>10.23亿</t>
  </si>
  <si>
    <t>9.96亿</t>
  </si>
  <si>
    <t>4.27亿</t>
  </si>
  <si>
    <t>4.22亿</t>
  </si>
  <si>
    <t>5270.65万</t>
  </si>
  <si>
    <t>6876.64万</t>
  </si>
  <si>
    <t>7140.16万</t>
  </si>
  <si>
    <t>10.20亿</t>
  </si>
  <si>
    <t>4.81亿</t>
  </si>
  <si>
    <t>1678.08万</t>
  </si>
  <si>
    <t>2793.75万</t>
  </si>
  <si>
    <t>10派2.7元(含税)</t>
  </si>
  <si>
    <t>1083.49万</t>
  </si>
  <si>
    <t>9137.42万</t>
  </si>
  <si>
    <t>215.54万</t>
  </si>
  <si>
    <t>8.80亿</t>
  </si>
  <si>
    <t>11.24亿</t>
  </si>
  <si>
    <t>1297.86万</t>
  </si>
  <si>
    <t>851.32万</t>
  </si>
  <si>
    <t>615.14万</t>
  </si>
  <si>
    <t>457486亿</t>
  </si>
  <si>
    <t>472.71万</t>
  </si>
  <si>
    <t>-15517139亿</t>
  </si>
  <si>
    <t>5511.24万</t>
  </si>
  <si>
    <t>31344074亿</t>
  </si>
  <si>
    <t>182025450亿</t>
  </si>
  <si>
    <t>1794.49万</t>
  </si>
  <si>
    <t>6273.39万</t>
  </si>
  <si>
    <t>1279.76万</t>
  </si>
  <si>
    <t>-4380.84万</t>
  </si>
  <si>
    <t>1466.64万</t>
  </si>
  <si>
    <t>8.31亿</t>
  </si>
  <si>
    <t>-1098.19万</t>
  </si>
  <si>
    <t>1533.98万</t>
  </si>
  <si>
    <t>232.18万</t>
  </si>
  <si>
    <t>11.09亿</t>
  </si>
  <si>
    <t>22.89亿</t>
  </si>
  <si>
    <t>5.55亿</t>
  </si>
  <si>
    <t>467.55亿</t>
  </si>
  <si>
    <t>16.38亿</t>
  </si>
  <si>
    <t>6529641亿</t>
  </si>
  <si>
    <t>5.86亿</t>
  </si>
  <si>
    <t>118336781亿</t>
  </si>
  <si>
    <t>1551025200亿</t>
  </si>
  <si>
    <t>440.04万</t>
  </si>
  <si>
    <t>1.20亿</t>
  </si>
  <si>
    <t>-735.67万</t>
  </si>
  <si>
    <t>-4440.30万</t>
  </si>
  <si>
    <t>20.15亿</t>
  </si>
  <si>
    <t>100.69亿</t>
  </si>
  <si>
    <t>10派1.9元(含税)</t>
  </si>
  <si>
    <t>1475.13万</t>
  </si>
  <si>
    <t>8810.52万</t>
  </si>
  <si>
    <t>SH600195</t>
  </si>
  <si>
    <t>XD中牧股</t>
  </si>
  <si>
    <t>711.45万</t>
  </si>
  <si>
    <t>24.06亿</t>
  </si>
  <si>
    <t>66.18亿</t>
  </si>
  <si>
    <t>11.25亿</t>
  </si>
  <si>
    <t>414.00亿</t>
  </si>
  <si>
    <t>23.86亿</t>
  </si>
  <si>
    <t>12509728亿</t>
  </si>
  <si>
    <t>508.70万</t>
  </si>
  <si>
    <t>72508417亿</t>
  </si>
  <si>
    <t>12.18亿</t>
  </si>
  <si>
    <t>1155329490亿</t>
  </si>
  <si>
    <t>3969239600亿</t>
  </si>
  <si>
    <t>3.01亿</t>
  </si>
  <si>
    <t>-3.15亿</t>
  </si>
  <si>
    <t>-1.60亿</t>
  </si>
  <si>
    <t>1.99亿</t>
  </si>
  <si>
    <t>58.92亿</t>
  </si>
  <si>
    <t>49.99亿</t>
  </si>
  <si>
    <t>41.36亿</t>
  </si>
  <si>
    <t>44.31亿</t>
  </si>
  <si>
    <t>5.50亿</t>
  </si>
  <si>
    <t>54.06亿</t>
  </si>
  <si>
    <t>108.71亿</t>
  </si>
  <si>
    <t>4.03亿</t>
  </si>
  <si>
    <t>9.87亿</t>
  </si>
  <si>
    <t>10派1.19元(含税)</t>
  </si>
  <si>
    <t>4032.60万</t>
  </si>
  <si>
    <t>-3-0</t>
  </si>
  <si>
    <t>SH600201</t>
  </si>
  <si>
    <t>生物股份</t>
  </si>
  <si>
    <t>1339.88万</t>
  </si>
  <si>
    <t>57.76亿</t>
  </si>
  <si>
    <t>3.48亿</t>
  </si>
  <si>
    <t>2133.68万</t>
  </si>
  <si>
    <t>23693亿</t>
  </si>
  <si>
    <t>30.16万</t>
  </si>
  <si>
    <t>95324671亿</t>
  </si>
  <si>
    <t>16.74亿</t>
  </si>
  <si>
    <t>755472060亿</t>
  </si>
  <si>
    <t>2882774300亿</t>
  </si>
  <si>
    <t>2061.84万</t>
  </si>
  <si>
    <t>4569.13万</t>
  </si>
  <si>
    <t>3899.57万</t>
  </si>
  <si>
    <t>-149.21万</t>
  </si>
  <si>
    <t>15.29亿</t>
  </si>
  <si>
    <t>15.82亿</t>
  </si>
  <si>
    <t>11.27亿</t>
  </si>
  <si>
    <t>18.97亿</t>
  </si>
  <si>
    <t>15.98亿</t>
  </si>
  <si>
    <t>2.84亿</t>
  </si>
  <si>
    <t>681.37万</t>
  </si>
  <si>
    <t>10派0.8元(含税)</t>
  </si>
  <si>
    <t>8738.86万</t>
  </si>
  <si>
    <t>6.31亿</t>
  </si>
  <si>
    <t>021336800</t>
  </si>
  <si>
    <t>064010400</t>
  </si>
  <si>
    <t>0128020800</t>
  </si>
  <si>
    <t>0213368000</t>
  </si>
  <si>
    <t>0426736000</t>
  </si>
  <si>
    <t>4-1</t>
  </si>
  <si>
    <t>1186.90万</t>
  </si>
  <si>
    <t>10.60亿</t>
  </si>
  <si>
    <t>10.15亿</t>
  </si>
  <si>
    <t>2.08亿</t>
  </si>
  <si>
    <t>7.95亿</t>
  </si>
  <si>
    <t>5.54万</t>
  </si>
  <si>
    <t>-10000215亿</t>
  </si>
  <si>
    <t>103183968亿</t>
  </si>
  <si>
    <t>927601250亿</t>
  </si>
  <si>
    <t>3654.74万</t>
  </si>
  <si>
    <t>-2435.67万</t>
  </si>
  <si>
    <t>-4639.46万</t>
  </si>
  <si>
    <t>-1600.04万</t>
  </si>
  <si>
    <t>16.56亿</t>
  </si>
  <si>
    <t>-815.87万</t>
  </si>
  <si>
    <t>8046.88万</t>
  </si>
  <si>
    <t>7174.99万</t>
  </si>
  <si>
    <t>4.99亿</t>
  </si>
  <si>
    <t>1572.34万</t>
  </si>
  <si>
    <t>32.70亿</t>
  </si>
  <si>
    <t>33.93亿</t>
  </si>
  <si>
    <t>20.35亿</t>
  </si>
  <si>
    <t>2.40亿</t>
  </si>
  <si>
    <t>1062.79万</t>
  </si>
  <si>
    <t>1340.28万</t>
  </si>
  <si>
    <t>46.59万</t>
  </si>
  <si>
    <t>-9537243亿</t>
  </si>
  <si>
    <t>7.12亿</t>
  </si>
  <si>
    <t>23598621亿</t>
  </si>
  <si>
    <t>2960.00万</t>
  </si>
  <si>
    <t>1963631000亿</t>
  </si>
  <si>
    <t>8297.68万</t>
  </si>
  <si>
    <t>17.41亿</t>
  </si>
  <si>
    <t>5.24亿</t>
  </si>
  <si>
    <t>3.09亿</t>
  </si>
  <si>
    <t>30.08亿</t>
  </si>
  <si>
    <t>2.14亿</t>
  </si>
  <si>
    <t>3365.75万</t>
  </si>
  <si>
    <t>-1.21亿</t>
  </si>
  <si>
    <t>5816.33万</t>
  </si>
  <si>
    <t>15.64亿</t>
  </si>
  <si>
    <t>5.00亿</t>
  </si>
  <si>
    <t>4944.59万</t>
  </si>
  <si>
    <t>2910.74万</t>
  </si>
  <si>
    <t>10派0.102元(含税)</t>
  </si>
  <si>
    <t>9882.06万</t>
  </si>
  <si>
    <t>443.96万</t>
  </si>
  <si>
    <t>3.95亿</t>
  </si>
  <si>
    <t>21.91亿</t>
  </si>
  <si>
    <t>2.33亿</t>
  </si>
  <si>
    <t>186.93亿</t>
  </si>
  <si>
    <t>3350.52万</t>
  </si>
  <si>
    <t>1242.55万</t>
  </si>
  <si>
    <t>4.97亿</t>
  </si>
  <si>
    <t>6.60万</t>
  </si>
  <si>
    <t>23091007亿</t>
  </si>
  <si>
    <t>1.66亿</t>
  </si>
  <si>
    <t>93939067亿</t>
  </si>
  <si>
    <t>33.90万</t>
  </si>
  <si>
    <t>1123950410亿</t>
  </si>
  <si>
    <t>1365.43万</t>
  </si>
  <si>
    <t>6483.46万</t>
  </si>
  <si>
    <t>2904.47万</t>
  </si>
  <si>
    <t>2.63亿</t>
  </si>
  <si>
    <t>4096.19万</t>
  </si>
  <si>
    <t>-1055.72万</t>
  </si>
  <si>
    <t>-228.01万</t>
  </si>
  <si>
    <t>1.10亿</t>
  </si>
  <si>
    <t>10.46亿</t>
  </si>
  <si>
    <t>41.62亿</t>
  </si>
  <si>
    <t>9858.94万</t>
  </si>
  <si>
    <t>-4.97亿</t>
  </si>
  <si>
    <t>10派0.49元(含税)</t>
  </si>
  <si>
    <t>2060.25万</t>
  </si>
  <si>
    <t>1.54亿</t>
  </si>
  <si>
    <t>1771.44万</t>
  </si>
  <si>
    <t>94.91亿</t>
  </si>
  <si>
    <t>14.30亿</t>
  </si>
  <si>
    <t>42.13亿</t>
  </si>
  <si>
    <t>5.21亿</t>
  </si>
  <si>
    <t>16.81亿</t>
  </si>
  <si>
    <t>15.53亿</t>
  </si>
  <si>
    <t>703.24万</t>
  </si>
  <si>
    <t>4337.12万</t>
  </si>
  <si>
    <t>-1195810亿</t>
  </si>
  <si>
    <t>433.41万</t>
  </si>
  <si>
    <t>-256413050亿</t>
  </si>
  <si>
    <t>9.79亿</t>
  </si>
  <si>
    <t>33868194亿</t>
  </si>
  <si>
    <t>3244200800亿</t>
  </si>
  <si>
    <t>2.68亿</t>
  </si>
  <si>
    <t>13.33亿</t>
  </si>
  <si>
    <t>1.16亿</t>
  </si>
  <si>
    <t>31.72亿</t>
  </si>
  <si>
    <t>5169.03万</t>
  </si>
  <si>
    <t>-2717.91万</t>
  </si>
  <si>
    <t>-5.31亿</t>
  </si>
  <si>
    <t>50.05亿</t>
  </si>
  <si>
    <t>-7770.33万</t>
  </si>
  <si>
    <t>56.32亿</t>
  </si>
  <si>
    <t>-12.03亿</t>
  </si>
  <si>
    <t>9956.01万</t>
  </si>
  <si>
    <t>1.30亿</t>
  </si>
  <si>
    <t>10.02亿</t>
  </si>
  <si>
    <t>597.66万</t>
  </si>
  <si>
    <t>46.21亿</t>
  </si>
  <si>
    <t>29.73亿</t>
  </si>
  <si>
    <t>155.02亿</t>
  </si>
  <si>
    <t>6.12亿</t>
  </si>
  <si>
    <t>9.26亿</t>
  </si>
  <si>
    <t>891.51万</t>
  </si>
  <si>
    <t>8128.19万</t>
  </si>
  <si>
    <t>-206176亿</t>
  </si>
  <si>
    <t>1238.56万</t>
  </si>
  <si>
    <t>-112275152亿</t>
  </si>
  <si>
    <t>42293826亿</t>
  </si>
  <si>
    <t>2264049000亿</t>
  </si>
  <si>
    <t>4.00亿</t>
  </si>
  <si>
    <t>11.94亿</t>
  </si>
  <si>
    <t>28.38亿</t>
  </si>
  <si>
    <t>8.21亿</t>
  </si>
  <si>
    <t>871.12万</t>
  </si>
  <si>
    <t>-2.40亿</t>
  </si>
  <si>
    <t>40.41亿</t>
  </si>
  <si>
    <t>32.36亿</t>
  </si>
  <si>
    <t>-6.45亿</t>
  </si>
  <si>
    <t>3186.58万</t>
  </si>
  <si>
    <t>1.77亿</t>
  </si>
  <si>
    <t>4-0</t>
  </si>
  <si>
    <t>SH603566</t>
  </si>
  <si>
    <t>普莱柯</t>
  </si>
  <si>
    <t>313.92万</t>
  </si>
  <si>
    <t>5.38亿</t>
  </si>
  <si>
    <t>27.33亿</t>
  </si>
  <si>
    <t>31.38亿</t>
  </si>
  <si>
    <t>4.73亿</t>
  </si>
  <si>
    <t>8380.78万</t>
  </si>
  <si>
    <t>6340.43万</t>
  </si>
  <si>
    <t>3427.03万</t>
  </si>
  <si>
    <t>777051亿</t>
  </si>
  <si>
    <t>18.88万</t>
  </si>
  <si>
    <t>26535801亿</t>
  </si>
  <si>
    <t>1.98亿</t>
  </si>
  <si>
    <t>429894980亿</t>
  </si>
  <si>
    <t>1310928280亿</t>
  </si>
  <si>
    <t>3856.40万</t>
  </si>
  <si>
    <t>9852.68万</t>
  </si>
  <si>
    <t>-439.45万</t>
  </si>
  <si>
    <t>-9569.56万</t>
  </si>
  <si>
    <t>-1776.86万</t>
  </si>
  <si>
    <t>10.99亿</t>
  </si>
  <si>
    <t>9.29亿</t>
  </si>
  <si>
    <t>6.63亿</t>
  </si>
  <si>
    <t>6.08亿</t>
  </si>
  <si>
    <t>2.28亿</t>
  </si>
  <si>
    <t>1.36亿</t>
  </si>
  <si>
    <t>12.53亿</t>
  </si>
  <si>
    <t>15.32亿</t>
  </si>
  <si>
    <t>1476.49万</t>
  </si>
  <si>
    <t>1.76亿</t>
  </si>
  <si>
    <t>294.85万</t>
  </si>
  <si>
    <t>24.38亿</t>
  </si>
  <si>
    <t>2.41亿</t>
  </si>
  <si>
    <t>6287.02万</t>
  </si>
  <si>
    <t>55.12万</t>
  </si>
  <si>
    <t>2107.55万</t>
  </si>
  <si>
    <t>595339亿</t>
  </si>
  <si>
    <t>228.20万</t>
  </si>
  <si>
    <t>1788894亿</t>
  </si>
  <si>
    <t>2.00亿</t>
  </si>
  <si>
    <t>371816020亿</t>
  </si>
  <si>
    <t>812.76万</t>
  </si>
  <si>
    <t>1601826000亿</t>
  </si>
  <si>
    <t>2039.92万</t>
  </si>
  <si>
    <t>1.73亿</t>
  </si>
  <si>
    <t>5.91亿</t>
  </si>
  <si>
    <t>11.83亿</t>
  </si>
  <si>
    <t>-1478.70万</t>
  </si>
  <si>
    <t>-1585.84万</t>
  </si>
  <si>
    <t>6784.43万</t>
  </si>
  <si>
    <t>-3.12亿</t>
  </si>
  <si>
    <t>7123.44万</t>
  </si>
  <si>
    <t>-4.62亿</t>
  </si>
  <si>
    <t>1423.57万</t>
  </si>
  <si>
    <t>1533.17万</t>
  </si>
  <si>
    <t>062870200</t>
  </si>
  <si>
    <t>0188610600</t>
  </si>
  <si>
    <t>0377221200</t>
  </si>
  <si>
    <t>0628702000</t>
  </si>
  <si>
    <t>01257404000</t>
  </si>
  <si>
    <t>-3-1</t>
  </si>
  <si>
    <t>SH603718</t>
  </si>
  <si>
    <t>海利生物</t>
  </si>
  <si>
    <t>533.88万</t>
  </si>
  <si>
    <t>4.83亿</t>
  </si>
  <si>
    <t>11.81亿</t>
  </si>
  <si>
    <t>7030.44万</t>
  </si>
  <si>
    <t>80.46亿</t>
  </si>
  <si>
    <t>7948.38万</t>
  </si>
  <si>
    <t>3955.38万</t>
  </si>
  <si>
    <t>1142.82万</t>
  </si>
  <si>
    <t>2110.08万</t>
  </si>
  <si>
    <t>857854亿</t>
  </si>
  <si>
    <t>-5290449亿</t>
  </si>
  <si>
    <t>6026.13万</t>
  </si>
  <si>
    <t>96564958亿</t>
  </si>
  <si>
    <t>556092340亿</t>
  </si>
  <si>
    <t>75.43万</t>
  </si>
  <si>
    <t>7000.00万</t>
  </si>
  <si>
    <t>2274.00万</t>
  </si>
  <si>
    <t>3.99亿</t>
  </si>
  <si>
    <t>-122.97万</t>
  </si>
  <si>
    <t>-6881.09万</t>
  </si>
  <si>
    <t>-1043.50万</t>
  </si>
  <si>
    <t>1.22亿</t>
  </si>
  <si>
    <t>5385.67万</t>
  </si>
  <si>
    <t>892.66万</t>
  </si>
  <si>
    <t>1215.12万</t>
  </si>
  <si>
    <t>2129.82万</t>
  </si>
  <si>
    <t>23.85亿</t>
  </si>
  <si>
    <t>10派0.287元(含税)</t>
  </si>
  <si>
    <t>2470.35万</t>
  </si>
  <si>
    <t>240.49万</t>
  </si>
  <si>
    <t>42.00亿</t>
  </si>
  <si>
    <t>10.82亿</t>
  </si>
  <si>
    <t>3062.87万</t>
  </si>
  <si>
    <t>11.20亿</t>
  </si>
  <si>
    <t>1621.71万</t>
  </si>
  <si>
    <t>7292.67万</t>
  </si>
  <si>
    <t>-1710486亿</t>
  </si>
  <si>
    <t>8.33万</t>
  </si>
  <si>
    <t>5725777亿</t>
  </si>
  <si>
    <t>6.09亿</t>
  </si>
  <si>
    <t>142310360亿</t>
  </si>
  <si>
    <t>2233550400亿</t>
  </si>
  <si>
    <t>3.32亿</t>
  </si>
  <si>
    <t>4.90亿</t>
  </si>
  <si>
    <t>687.24万</t>
  </si>
  <si>
    <t>4.25亿</t>
  </si>
  <si>
    <t>181.38万</t>
  </si>
  <si>
    <t>12.00亿</t>
  </si>
  <si>
    <t>2.97亿</t>
  </si>
  <si>
    <t>-4565.18万</t>
  </si>
  <si>
    <t>-1.72亿</t>
  </si>
  <si>
    <t>2.56亿</t>
  </si>
  <si>
    <t>5267.12万</t>
  </si>
  <si>
    <t>-4.01亿</t>
  </si>
  <si>
    <t>83.36万</t>
  </si>
  <si>
    <t>1529.04万</t>
  </si>
  <si>
    <t>8755.75万</t>
  </si>
  <si>
    <t>SH688098</t>
  </si>
  <si>
    <t>申联生物</t>
  </si>
  <si>
    <t>172.64万</t>
  </si>
  <si>
    <t>8692.63万</t>
  </si>
  <si>
    <t>15.04亿</t>
  </si>
  <si>
    <t>8805.82万</t>
  </si>
  <si>
    <t>53.71亿</t>
  </si>
  <si>
    <t>4.98亿</t>
  </si>
  <si>
    <t>8981.77万</t>
  </si>
  <si>
    <t>3432.23万</t>
  </si>
  <si>
    <t>2547.41万</t>
  </si>
  <si>
    <t>1637.21万</t>
  </si>
  <si>
    <t>569785亿</t>
  </si>
  <si>
    <t>-2869254亿</t>
  </si>
  <si>
    <t>4094.34万</t>
  </si>
  <si>
    <t>313401460亿</t>
  </si>
  <si>
    <t>605299690亿</t>
  </si>
  <si>
    <t>1029.70万</t>
  </si>
  <si>
    <t>8008.34万</t>
  </si>
  <si>
    <t>-2440.44万</t>
  </si>
  <si>
    <t>2045.02万</t>
  </si>
  <si>
    <t>-8.09万</t>
  </si>
  <si>
    <t>3.58亿</t>
  </si>
  <si>
    <t>3.38亿</t>
  </si>
  <si>
    <t>2.75亿</t>
  </si>
  <si>
    <t>6110.14万</t>
  </si>
  <si>
    <t>7795.72万</t>
  </si>
  <si>
    <t>8758.03万</t>
  </si>
  <si>
    <t>10.35亿</t>
  </si>
  <si>
    <t>3151.87万</t>
  </si>
  <si>
    <t>3043.73万</t>
  </si>
  <si>
    <t>10派0.35元(含税)</t>
  </si>
  <si>
    <t>856.23万</t>
  </si>
  <si>
    <t>6118.89万</t>
  </si>
  <si>
    <t>SH688526</t>
  </si>
  <si>
    <t>科前生物</t>
  </si>
  <si>
    <t>155.75万</t>
  </si>
  <si>
    <t>8.34亿</t>
  </si>
  <si>
    <t>39.04亿</t>
  </si>
  <si>
    <t>-5923.75万</t>
  </si>
  <si>
    <t>6836.78万</t>
  </si>
  <si>
    <t>3184.90万</t>
  </si>
  <si>
    <t>1118.63万</t>
  </si>
  <si>
    <t>2893431亿</t>
  </si>
  <si>
    <t>76157758亿</t>
  </si>
  <si>
    <t>8.00亿</t>
  </si>
  <si>
    <t>312354130亿</t>
  </si>
  <si>
    <t>2472776300亿</t>
  </si>
  <si>
    <t>5305.73万</t>
  </si>
  <si>
    <t>1.55亿</t>
  </si>
  <si>
    <t>1706.20万</t>
  </si>
  <si>
    <t>-1.27亿</t>
  </si>
  <si>
    <t>11.03亿</t>
  </si>
  <si>
    <t>8.43亿</t>
  </si>
  <si>
    <t>7.35亿</t>
  </si>
  <si>
    <t>4.10亿</t>
  </si>
  <si>
    <t>5023.43万</t>
  </si>
  <si>
    <t>3.96亿</t>
  </si>
  <si>
    <t>-1487.15万</t>
  </si>
  <si>
    <t>10派4.3元(含税)</t>
  </si>
  <si>
    <t>1304.58万</t>
  </si>
  <si>
    <t>6355.60万</t>
  </si>
  <si>
    <t xml:space="preserve">1.2周成交额16+5亿，幅度目前大概16%；2.除了禽类猪疫苗，公司在拓展宠物业务：针对危害较大、致死率较高的犬猫传染病开发的犬瘟热、犬细小二联活疫苗（DP）已基本完成临床试验，及用于宠物笼舍等空间洗消的过硫酸氢钾复合盐泡腾片和治疗犬、猫耳炎的氟苯尼考甲硝唑滴耳液已取得产品批准文号，即将上市销售。宠物药品营销团队已基本完成组建，在综合考虑宠业医药市场格局、产品特征等因素的基础上对产品进行了科学、有效的分类定位，积极探索宠物医院等专业渠道教育和线上旗舰店宣传相结合的营销策略，为顺利实现公司宠物产品的上市销售夯实基础。
</t>
    <phoneticPr fontId="1" type="noConversion"/>
  </si>
  <si>
    <t>1.金宇共立作为国内第一家中外合资宠物动保公司，已完成了宠物疫苗完善的产品线搭建，预计2021年下半年开展宠物疫苗营销渠道的布局</t>
    <phoneticPr fontId="1" type="noConversion"/>
  </si>
  <si>
    <t>1.3-5年内疫苗采购方式将进入到完全市场化采购，谁使用谁付费的方式将改善优质优价疫苗的市场形象。公司目前营收、利润主要由口蹄疫疫苗贡献，今年开始公司将加大非口蹄疫产品营销布局</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</si>
</sst>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sz val="9"/>
      <color rgb="FFFF0000"/>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9" fontId="0" fillId="0" borderId="0" xfId="0" applyNumberFormat="1">
      <alignment vertical="center"/>
    </xf>
    <xf numFmtId="0" fontId="3" fillId="0" borderId="0" xfId="0" applyFont="1" applyAlignment="1">
      <alignment vertical="center" wrapText="1"/>
    </xf>
    <xf numFmtId="0" fontId="5"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5" fillId="0" borderId="0" xfId="0" applyFont="1">
      <alignment vertical="center"/>
    </xf>
    <xf numFmtId="0" fontId="4" fillId="0" borderId="0" xfId="0" applyFont="1">
      <alignment vertical="center"/>
    </xf>
    <xf numFmtId="0" fontId="0" fillId="0" borderId="0" xfId="0" applyNumberFormat="1">
      <alignment vertical="center"/>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406400</xdr:colOff>
          <xdr:row>0</xdr:row>
          <xdr:rowOff>12700</xdr:rowOff>
        </xdr:from>
        <xdr:to>
          <xdr:col>147</xdr:col>
          <xdr:colOff>1562100</xdr:colOff>
          <xdr:row>0</xdr:row>
          <xdr:rowOff>330200</xdr:rowOff>
        </xdr:to>
        <xdr:sp macro="" textlink="">
          <xdr:nvSpPr>
            <xdr:cNvPr id="2049" name="Button 1" descr="更新基本面按钮&#10;"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39"/>
  <sheetViews>
    <sheetView tabSelected="1" zoomScale="85" zoomScaleNormal="85" workbookViewId="0">
      <pane xSplit="5" ySplit="1" topLeftCell="F32" activePane="bottomRight" state="frozen"/>
      <selection pane="topRight" activeCell="F1" sqref="F1"/>
      <selection pane="bottomLeft" activeCell="A2" sqref="A2"/>
      <selection pane="bottomRight" activeCell="C7" sqref="C7:C8"/>
    </sheetView>
  </sheetViews>
  <sheetFormatPr defaultRowHeight="14" x14ac:dyDescent="0.25"/>
  <cols>
    <col min="1" max="1" width="26" customWidth="1"/>
    <col min="2" max="2" width="28.453125" customWidth="1"/>
    <col min="3" max="3" width="51.54296875" customWidth="1"/>
    <col min="148" max="148" width="27.1796875" customWidth="1"/>
  </cols>
  <sheetData>
    <row r="1" spans="1:146" x14ac:dyDescent="0.25">
      <c r="A1" s="3" t="s">
        <v>42</v>
      </c>
      <c r="B1" s="4" t="s">
        <v>43</v>
      </c>
      <c r="C1" s="3" t="s">
        <v>44</v>
      </c>
      <c r="D1" t="s">
        <v>19</v>
      </c>
      <c r="E1" t="s">
        <v>283</v>
      </c>
      <c r="F1" t="s">
        <v>3</v>
      </c>
      <c r="G1" t="s">
        <v>330</v>
      </c>
      <c r="H1" t="s">
        <v>331</v>
      </c>
      <c r="I1" t="s">
        <v>20</v>
      </c>
      <c r="J1" t="s">
        <v>21</v>
      </c>
      <c r="K1" t="s">
        <v>4</v>
      </c>
      <c r="L1" t="s">
        <v>22</v>
      </c>
      <c r="M1" t="s">
        <v>45</v>
      </c>
      <c r="N1" t="s">
        <v>46</v>
      </c>
      <c r="O1" t="s">
        <v>47</v>
      </c>
      <c r="P1" t="s">
        <v>332</v>
      </c>
      <c r="Q1" t="s">
        <v>284</v>
      </c>
      <c r="R1" t="s">
        <v>285</v>
      </c>
      <c r="S1" t="s">
        <v>48</v>
      </c>
      <c r="T1" t="s">
        <v>333</v>
      </c>
      <c r="U1" t="s">
        <v>244</v>
      </c>
      <c r="V1" t="s">
        <v>49</v>
      </c>
      <c r="W1" t="s">
        <v>286</v>
      </c>
      <c r="X1" t="s">
        <v>287</v>
      </c>
      <c r="Y1" t="s">
        <v>288</v>
      </c>
      <c r="Z1" t="s">
        <v>289</v>
      </c>
      <c r="AA1" t="s">
        <v>290</v>
      </c>
      <c r="AB1" t="s">
        <v>334</v>
      </c>
      <c r="AC1" t="s">
        <v>291</v>
      </c>
      <c r="AD1" t="s">
        <v>292</v>
      </c>
      <c r="AE1" t="s">
        <v>50</v>
      </c>
      <c r="AF1" t="s">
        <v>51</v>
      </c>
      <c r="AG1" t="s">
        <v>335</v>
      </c>
      <c r="AH1" t="s">
        <v>293</v>
      </c>
      <c r="AI1" t="s">
        <v>336</v>
      </c>
      <c r="AJ1" t="s">
        <v>52</v>
      </c>
      <c r="AK1" t="s">
        <v>337</v>
      </c>
      <c r="AL1" t="s">
        <v>100</v>
      </c>
      <c r="AM1" t="s">
        <v>338</v>
      </c>
      <c r="AN1" t="s">
        <v>339</v>
      </c>
      <c r="AO1" t="s">
        <v>340</v>
      </c>
      <c r="AP1" t="s">
        <v>341</v>
      </c>
      <c r="AQ1" t="s">
        <v>342</v>
      </c>
      <c r="AR1" t="s">
        <v>343</v>
      </c>
      <c r="AS1" t="s">
        <v>344</v>
      </c>
      <c r="AT1" t="s">
        <v>345</v>
      </c>
      <c r="AU1" t="s">
        <v>346</v>
      </c>
      <c r="AV1" t="s">
        <v>347</v>
      </c>
      <c r="AW1" t="s">
        <v>348</v>
      </c>
      <c r="AX1" t="s">
        <v>294</v>
      </c>
      <c r="AY1" t="s">
        <v>101</v>
      </c>
      <c r="AZ1" t="s">
        <v>102</v>
      </c>
      <c r="BA1" t="s">
        <v>103</v>
      </c>
      <c r="BB1" t="s">
        <v>104</v>
      </c>
      <c r="BC1" t="s">
        <v>245</v>
      </c>
      <c r="BD1" t="s">
        <v>105</v>
      </c>
      <c r="BE1" t="s">
        <v>106</v>
      </c>
      <c r="BF1" t="s">
        <v>107</v>
      </c>
      <c r="BG1" t="s">
        <v>108</v>
      </c>
      <c r="BH1" t="s">
        <v>349</v>
      </c>
      <c r="BI1" t="s">
        <v>350</v>
      </c>
      <c r="BJ1" t="s">
        <v>351</v>
      </c>
      <c r="BK1" t="s">
        <v>352</v>
      </c>
      <c r="BL1" t="s">
        <v>353</v>
      </c>
      <c r="BM1" t="s">
        <v>354</v>
      </c>
      <c r="BN1" t="s">
        <v>295</v>
      </c>
      <c r="BO1" t="s">
        <v>246</v>
      </c>
      <c r="BP1" t="s">
        <v>109</v>
      </c>
      <c r="BQ1" t="s">
        <v>296</v>
      </c>
      <c r="BR1" t="s">
        <v>247</v>
      </c>
      <c r="BS1" t="s">
        <v>110</v>
      </c>
      <c r="BT1" t="s">
        <v>355</v>
      </c>
      <c r="BU1" t="s">
        <v>297</v>
      </c>
      <c r="BV1" t="s">
        <v>356</v>
      </c>
      <c r="BW1" t="s">
        <v>226</v>
      </c>
      <c r="BX1" t="s">
        <v>111</v>
      </c>
      <c r="BY1" t="s">
        <v>357</v>
      </c>
      <c r="BZ1" t="s">
        <v>227</v>
      </c>
      <c r="CA1" t="s">
        <v>112</v>
      </c>
      <c r="CB1" t="s">
        <v>358</v>
      </c>
      <c r="CC1" t="s">
        <v>359</v>
      </c>
      <c r="CD1" t="s">
        <v>360</v>
      </c>
      <c r="CE1" t="s">
        <v>361</v>
      </c>
      <c r="CF1" s="1" t="s">
        <v>298</v>
      </c>
      <c r="CG1" s="1" t="s">
        <v>299</v>
      </c>
      <c r="CH1" s="1" t="s">
        <v>213</v>
      </c>
      <c r="CI1" s="1" t="s">
        <v>214</v>
      </c>
      <c r="CJ1" s="1" t="s">
        <v>215</v>
      </c>
      <c r="CK1" s="1" t="s">
        <v>216</v>
      </c>
      <c r="CL1" s="1" t="s">
        <v>217</v>
      </c>
      <c r="CM1" s="1" t="s">
        <v>218</v>
      </c>
      <c r="CN1" s="1" t="s">
        <v>219</v>
      </c>
      <c r="CO1" s="1" t="s">
        <v>220</v>
      </c>
      <c r="CP1" s="1" t="s">
        <v>221</v>
      </c>
      <c r="CQ1" s="1" t="s">
        <v>222</v>
      </c>
      <c r="CR1" s="1" t="s">
        <v>306</v>
      </c>
      <c r="CS1" s="1" t="s">
        <v>362</v>
      </c>
      <c r="CT1" s="1" t="s">
        <v>377</v>
      </c>
      <c r="CU1" s="1" t="s">
        <v>307</v>
      </c>
      <c r="CV1" s="1" t="s">
        <v>363</v>
      </c>
      <c r="CW1" s="1" t="s">
        <v>364</v>
      </c>
      <c r="CX1">
        <v>1</v>
      </c>
      <c r="CY1" t="s">
        <v>308</v>
      </c>
      <c r="CZ1" t="s">
        <v>309</v>
      </c>
      <c r="DA1">
        <v>3</v>
      </c>
      <c r="DB1" t="s">
        <v>365</v>
      </c>
      <c r="DC1" t="s">
        <v>378</v>
      </c>
      <c r="DD1">
        <v>6</v>
      </c>
      <c r="DE1" t="s">
        <v>310</v>
      </c>
      <c r="DF1" t="s">
        <v>366</v>
      </c>
      <c r="DG1">
        <v>10</v>
      </c>
      <c r="DH1" t="s">
        <v>379</v>
      </c>
      <c r="DI1" t="s">
        <v>380</v>
      </c>
      <c r="DJ1">
        <v>20</v>
      </c>
      <c r="DK1" t="s">
        <v>381</v>
      </c>
      <c r="DL1" t="s">
        <v>223</v>
      </c>
      <c r="DM1" t="s">
        <v>224</v>
      </c>
      <c r="DN1" s="2" t="s">
        <v>225</v>
      </c>
      <c r="DO1" t="s">
        <v>311</v>
      </c>
      <c r="DP1" t="s">
        <v>367</v>
      </c>
      <c r="DQ1" s="8" t="s">
        <v>368</v>
      </c>
      <c r="DR1" s="1" t="s">
        <v>312</v>
      </c>
      <c r="DS1" s="1" t="s">
        <v>382</v>
      </c>
      <c r="DT1" t="s">
        <v>313</v>
      </c>
      <c r="DU1" t="s">
        <v>369</v>
      </c>
      <c r="DV1" t="s">
        <v>370</v>
      </c>
      <c r="DW1" t="s">
        <v>314</v>
      </c>
      <c r="DX1" t="s">
        <v>371</v>
      </c>
      <c r="DY1" t="s">
        <v>383</v>
      </c>
      <c r="DZ1" t="s">
        <v>384</v>
      </c>
      <c r="EA1" t="s">
        <v>315</v>
      </c>
      <c r="EB1" t="s">
        <v>385</v>
      </c>
      <c r="EC1" t="s">
        <v>316</v>
      </c>
      <c r="ED1" t="s">
        <v>317</v>
      </c>
      <c r="EE1" t="s">
        <v>372</v>
      </c>
      <c r="EF1" t="s">
        <v>318</v>
      </c>
      <c r="EG1" t="s">
        <v>373</v>
      </c>
      <c r="EH1" t="s">
        <v>374</v>
      </c>
      <c r="EI1" t="s">
        <v>375</v>
      </c>
      <c r="EK1" s="9" t="s">
        <v>376</v>
      </c>
      <c r="EL1" t="s">
        <v>386</v>
      </c>
      <c r="EM1" t="s">
        <v>387</v>
      </c>
      <c r="EN1" t="s">
        <v>388</v>
      </c>
      <c r="EO1" t="s">
        <v>319</v>
      </c>
      <c r="EP1" t="s">
        <v>320</v>
      </c>
    </row>
    <row r="2" spans="1:146" ht="96" x14ac:dyDescent="0.25">
      <c r="C2" s="7" t="str">
        <f>""&amp;CHAR(10)&amp;Basic_Fundamental_Information_Constructure(F2)&amp;CHAR(10)&amp;Basic_Fundamental_Information_Concatenate("")</f>
        <v xml:space="preserve">
市值74.226638亿, 利润17.46亿; PE12.78; 平均PE8.38; 平均PEG.21, PB1.89; ROIC18.6033%; ROE29.6133%; 股利率0%; 毛利40.9833%; 净利13.2667%; 上一年度营收增107.09%, 利润增125.87%; 当季营收增-81.12%, 利润增-95.56%; 过往5年营收增39.65%, 利润增60.03%
Income profile:
</v>
      </c>
      <c r="D2" t="s">
        <v>391</v>
      </c>
      <c r="E2" t="s">
        <v>392</v>
      </c>
      <c r="F2">
        <v>13.99</v>
      </c>
      <c r="G2">
        <v>2.34</v>
      </c>
      <c r="H2" t="s">
        <v>540</v>
      </c>
      <c r="I2">
        <v>7422663800</v>
      </c>
      <c r="J2">
        <v>12.78</v>
      </c>
      <c r="K2">
        <v>1.89</v>
      </c>
      <c r="L2" t="s">
        <v>24</v>
      </c>
      <c r="M2" t="s">
        <v>541</v>
      </c>
      <c r="N2" t="s">
        <v>542</v>
      </c>
      <c r="O2" t="s">
        <v>543</v>
      </c>
      <c r="P2" s="5">
        <v>-81.12</v>
      </c>
      <c r="Q2" t="s">
        <v>544</v>
      </c>
      <c r="R2">
        <v>54125149</v>
      </c>
      <c r="S2">
        <v>-0.9556</v>
      </c>
      <c r="T2" t="s">
        <v>545</v>
      </c>
      <c r="U2">
        <v>523239250</v>
      </c>
      <c r="V2">
        <v>530569250</v>
      </c>
      <c r="W2">
        <v>2.98</v>
      </c>
      <c r="X2">
        <v>0.1</v>
      </c>
      <c r="Y2">
        <v>4.55</v>
      </c>
      <c r="Z2" t="s">
        <v>546</v>
      </c>
      <c r="AA2" t="s">
        <v>547</v>
      </c>
      <c r="AB2" t="s">
        <v>548</v>
      </c>
      <c r="AC2" t="s">
        <v>549</v>
      </c>
      <c r="AD2" t="s">
        <v>41</v>
      </c>
      <c r="AE2">
        <v>29413997</v>
      </c>
      <c r="AF2" t="s">
        <v>61</v>
      </c>
      <c r="AG2" t="s">
        <v>550</v>
      </c>
      <c r="AH2" t="s">
        <v>551</v>
      </c>
      <c r="AI2" t="s">
        <v>552</v>
      </c>
      <c r="AJ2" t="s">
        <v>553</v>
      </c>
      <c r="AK2" t="s">
        <v>554</v>
      </c>
      <c r="AL2" t="s">
        <v>555</v>
      </c>
      <c r="AM2" t="s">
        <v>41</v>
      </c>
      <c r="AN2" t="s">
        <v>437</v>
      </c>
      <c r="AO2" t="s">
        <v>556</v>
      </c>
      <c r="AP2" t="s">
        <v>41</v>
      </c>
      <c r="AQ2" t="s">
        <v>97</v>
      </c>
      <c r="AR2" t="s">
        <v>41</v>
      </c>
      <c r="AS2" t="s">
        <v>557</v>
      </c>
      <c r="AT2" t="s">
        <v>558</v>
      </c>
      <c r="AU2" t="s">
        <v>559</v>
      </c>
      <c r="AV2" t="s">
        <v>560</v>
      </c>
      <c r="AW2" t="s">
        <v>561</v>
      </c>
      <c r="AX2" t="s">
        <v>393</v>
      </c>
      <c r="AY2" t="s">
        <v>395</v>
      </c>
      <c r="AZ2" t="s">
        <v>396</v>
      </c>
      <c r="BA2" t="s">
        <v>397</v>
      </c>
      <c r="BB2" t="s">
        <v>398</v>
      </c>
      <c r="BC2" t="s">
        <v>394</v>
      </c>
      <c r="BD2" t="s">
        <v>117</v>
      </c>
      <c r="BE2" t="s">
        <v>399</v>
      </c>
      <c r="BF2" t="s">
        <v>400</v>
      </c>
      <c r="BG2" t="s">
        <v>401</v>
      </c>
      <c r="BH2" t="s">
        <v>544</v>
      </c>
      <c r="BI2" t="s">
        <v>562</v>
      </c>
      <c r="BJ2" t="s">
        <v>393</v>
      </c>
      <c r="BK2" t="s">
        <v>545</v>
      </c>
      <c r="BL2" t="s">
        <v>563</v>
      </c>
      <c r="BM2" t="s">
        <v>394</v>
      </c>
      <c r="BN2">
        <v>25.7</v>
      </c>
      <c r="BO2">
        <v>19.62</v>
      </c>
      <c r="BP2">
        <v>10.49</v>
      </c>
      <c r="BQ2">
        <v>42.49</v>
      </c>
      <c r="BR2">
        <v>31.35</v>
      </c>
      <c r="BS2">
        <v>15</v>
      </c>
      <c r="BT2" t="s">
        <v>389</v>
      </c>
      <c r="BU2" t="s">
        <v>564</v>
      </c>
      <c r="BV2">
        <v>38.72</v>
      </c>
      <c r="BW2">
        <v>33.74</v>
      </c>
      <c r="BX2">
        <v>50.49</v>
      </c>
      <c r="BY2">
        <v>14.15</v>
      </c>
      <c r="BZ2">
        <v>13.28</v>
      </c>
      <c r="CA2">
        <v>12.37</v>
      </c>
      <c r="CB2">
        <v>2.19</v>
      </c>
      <c r="CC2" s="1">
        <v>-21.05</v>
      </c>
      <c r="CD2" s="1" t="s">
        <v>565</v>
      </c>
      <c r="CE2" s="1" t="s">
        <v>174</v>
      </c>
      <c r="CF2" s="10">
        <v>-0.81119615788683774</v>
      </c>
      <c r="CG2" s="11">
        <v>-0.95563512377049176</v>
      </c>
      <c r="CH2" s="10">
        <v>1.0708805322647095</v>
      </c>
      <c r="CI2" s="10">
        <v>0.86153382062911987</v>
      </c>
      <c r="CJ2" s="10">
        <v>-0.20898823440074921</v>
      </c>
      <c r="CK2" s="10">
        <v>-0.17218947410583496</v>
      </c>
      <c r="CL2" s="10">
        <v>0.43119004368782043</v>
      </c>
      <c r="CM2" s="11">
        <v>1.2587321996688843</v>
      </c>
      <c r="CN2" s="11">
        <v>0.98714655637741089</v>
      </c>
      <c r="CO2" s="11">
        <v>-0.55132639408111572</v>
      </c>
      <c r="CP2" s="11">
        <v>-0.21253401041030884</v>
      </c>
      <c r="CQ2" s="11">
        <v>1.5194506645202637</v>
      </c>
      <c r="CR2" s="1">
        <v>8.3824548842461883</v>
      </c>
      <c r="CS2" s="1">
        <v>0.21141903846102739</v>
      </c>
      <c r="CT2" s="1">
        <v>0</v>
      </c>
      <c r="CU2" s="10">
        <v>0.39648533761501314</v>
      </c>
      <c r="CV2" s="11">
        <v>0.6002938032150269</v>
      </c>
      <c r="CW2">
        <v>0.06</v>
      </c>
      <c r="CX2">
        <v>5.0727840276235492</v>
      </c>
      <c r="CY2">
        <v>2300248490.0715213</v>
      </c>
      <c r="CZ2">
        <v>0.39648533761501314</v>
      </c>
      <c r="DA2">
        <v>1.2911535361740634</v>
      </c>
      <c r="DB2">
        <v>9037394448.515007</v>
      </c>
      <c r="DC2">
        <v>0.37666107073426247</v>
      </c>
      <c r="DD2">
        <v>0.44086310024049352</v>
      </c>
      <c r="DE2">
        <v>26467771500.12027</v>
      </c>
      <c r="DF2">
        <v>0.34890709710121159</v>
      </c>
      <c r="DG2">
        <v>0.16775860614408</v>
      </c>
      <c r="DH2">
        <v>69556275342.311386</v>
      </c>
      <c r="DI2">
        <v>0.31718827009201056</v>
      </c>
      <c r="DJ2">
        <v>2.7879268559478844E-2</v>
      </c>
      <c r="DK2">
        <v>418542680741.62579</v>
      </c>
      <c r="DL2">
        <v>0.27753973633050916</v>
      </c>
      <c r="DM2">
        <v>1746000000</v>
      </c>
      <c r="DN2">
        <v>0.39648533761501314</v>
      </c>
      <c r="DO2">
        <v>11668663800</v>
      </c>
      <c r="DP2">
        <v>-2127544200</v>
      </c>
      <c r="DQ2" s="12">
        <v>34</v>
      </c>
      <c r="DR2">
        <v>-1.2076814955018509</v>
      </c>
      <c r="DS2">
        <v>-1.5559289269855188</v>
      </c>
      <c r="DT2">
        <v>4.33333333333333E-2</v>
      </c>
      <c r="DU2">
        <v>0.14333333333333331</v>
      </c>
      <c r="DV2">
        <v>0.18666666666666662</v>
      </c>
      <c r="DW2">
        <v>-3.0571130952380954</v>
      </c>
      <c r="DX2">
        <v>0.3385177914110416</v>
      </c>
      <c r="DY2">
        <v>-3.0084823107654106</v>
      </c>
      <c r="DZ2">
        <v>1289</v>
      </c>
      <c r="EA2">
        <v>-3.0063426437249774</v>
      </c>
      <c r="EB2" s="13">
        <v>3</v>
      </c>
      <c r="EC2" s="13">
        <v>4.5627220197928919E-2</v>
      </c>
      <c r="ED2">
        <v>0.30721720114763529</v>
      </c>
      <c r="EE2">
        <v>-1.0162100000000001</v>
      </c>
      <c r="EF2">
        <v>-1.02491</v>
      </c>
      <c r="EG2">
        <v>19.148517791411042</v>
      </c>
      <c r="EH2" s="9" t="s">
        <v>421</v>
      </c>
      <c r="EI2" s="14">
        <v>0</v>
      </c>
      <c r="EJ2" s="14">
        <v>1</v>
      </c>
      <c r="EK2" s="14">
        <v>45470</v>
      </c>
      <c r="EL2" s="14">
        <v>6.56</v>
      </c>
      <c r="EM2" s="14">
        <v>-10.01</v>
      </c>
      <c r="EN2" s="14">
        <v>-2.1800000000000002</v>
      </c>
      <c r="EO2" s="14">
        <v>2.75</v>
      </c>
      <c r="EP2" s="14">
        <v>-0.87</v>
      </c>
    </row>
    <row r="3" spans="1:146" ht="84" x14ac:dyDescent="0.25">
      <c r="A3" s="7"/>
      <c r="B3" s="7"/>
      <c r="C3" s="7" t="str">
        <f>""&amp;CHAR(10)&amp;Basic_Fundamental_Information_Constructure(F3)&amp;CHAR(10)&amp;Basic_Fundamental_Information_Concatenate("")</f>
        <v xml:space="preserve">
市值51.127203亿, 利润-4.94亿; PE; 平均PE-100.01; 平均PEG-2.77, PB1.25; ROIC3.11%; ROE-4.1367%; 股利率.4505%; 毛利12.27%; 净利-10.8867%; 上一年度营收增42.26%, 利润增-653.65%; 当季营收增-27.33%, 利润增128.81%; 过往5年营收增36.14%, 利润增-180%
Income profile:
</v>
      </c>
      <c r="D3" t="s">
        <v>39</v>
      </c>
      <c r="E3" t="s">
        <v>11</v>
      </c>
      <c r="F3">
        <v>4.4400000000000004</v>
      </c>
      <c r="G3">
        <v>1.37</v>
      </c>
      <c r="H3" t="s">
        <v>566</v>
      </c>
      <c r="I3">
        <v>5112720300</v>
      </c>
      <c r="K3">
        <v>1.25</v>
      </c>
      <c r="L3" t="s">
        <v>24</v>
      </c>
      <c r="M3" t="s">
        <v>567</v>
      </c>
      <c r="N3" t="s">
        <v>568</v>
      </c>
      <c r="O3" t="s">
        <v>569</v>
      </c>
      <c r="P3">
        <v>-27.35</v>
      </c>
      <c r="Q3" t="s">
        <v>570</v>
      </c>
      <c r="R3">
        <v>109521087</v>
      </c>
      <c r="S3" s="5">
        <v>1.288</v>
      </c>
      <c r="T3" t="s">
        <v>571</v>
      </c>
      <c r="U3">
        <v>1150897520</v>
      </c>
      <c r="V3">
        <v>1151513580</v>
      </c>
      <c r="W3">
        <v>2.37</v>
      </c>
      <c r="X3">
        <v>0.09</v>
      </c>
      <c r="Y3">
        <v>9.68</v>
      </c>
      <c r="Z3" t="s">
        <v>572</v>
      </c>
      <c r="AA3" t="s">
        <v>573</v>
      </c>
      <c r="AB3" t="s">
        <v>574</v>
      </c>
      <c r="AC3" t="s">
        <v>575</v>
      </c>
      <c r="AD3" t="s">
        <v>41</v>
      </c>
      <c r="AE3">
        <v>18563756</v>
      </c>
      <c r="AF3" t="s">
        <v>576</v>
      </c>
      <c r="AG3" t="s">
        <v>577</v>
      </c>
      <c r="AH3" t="s">
        <v>578</v>
      </c>
      <c r="AI3" t="s">
        <v>579</v>
      </c>
      <c r="AJ3" t="s">
        <v>580</v>
      </c>
      <c r="AK3" t="s">
        <v>41</v>
      </c>
      <c r="AL3" t="s">
        <v>581</v>
      </c>
      <c r="AM3" t="s">
        <v>41</v>
      </c>
      <c r="AN3" t="s">
        <v>582</v>
      </c>
      <c r="AO3" t="s">
        <v>513</v>
      </c>
      <c r="AP3" t="s">
        <v>41</v>
      </c>
      <c r="AQ3" t="s">
        <v>583</v>
      </c>
      <c r="AR3" t="s">
        <v>584</v>
      </c>
      <c r="AS3" t="s">
        <v>585</v>
      </c>
      <c r="AT3" t="s">
        <v>586</v>
      </c>
      <c r="AU3" t="s">
        <v>587</v>
      </c>
      <c r="AV3" t="s">
        <v>588</v>
      </c>
      <c r="AW3" t="s">
        <v>589</v>
      </c>
      <c r="AX3" t="s">
        <v>590</v>
      </c>
      <c r="AY3" t="s">
        <v>402</v>
      </c>
      <c r="AZ3" t="s">
        <v>403</v>
      </c>
      <c r="BA3" t="s">
        <v>114</v>
      </c>
      <c r="BB3" t="s">
        <v>115</v>
      </c>
      <c r="BC3" t="s">
        <v>591</v>
      </c>
      <c r="BD3" t="s">
        <v>248</v>
      </c>
      <c r="BE3" t="s">
        <v>113</v>
      </c>
      <c r="BF3" t="s">
        <v>53</v>
      </c>
      <c r="BG3" t="s">
        <v>117</v>
      </c>
      <c r="BH3" t="s">
        <v>570</v>
      </c>
      <c r="BI3" t="s">
        <v>592</v>
      </c>
      <c r="BJ3" t="s">
        <v>590</v>
      </c>
      <c r="BK3" t="s">
        <v>571</v>
      </c>
      <c r="BL3" t="s">
        <v>593</v>
      </c>
      <c r="BM3" t="s">
        <v>591</v>
      </c>
      <c r="BN3" t="s">
        <v>41</v>
      </c>
      <c r="BO3">
        <v>3.11</v>
      </c>
      <c r="BP3" t="s">
        <v>41</v>
      </c>
      <c r="BQ3">
        <v>-3.95</v>
      </c>
      <c r="BR3">
        <v>2.17</v>
      </c>
      <c r="BS3">
        <v>-10.63</v>
      </c>
      <c r="BT3" t="s">
        <v>404</v>
      </c>
      <c r="BU3" t="s">
        <v>564</v>
      </c>
      <c r="BV3">
        <v>16.100000000000001</v>
      </c>
      <c r="BW3">
        <v>16.43</v>
      </c>
      <c r="BX3">
        <v>4.28</v>
      </c>
      <c r="BY3">
        <v>-13.36</v>
      </c>
      <c r="BZ3">
        <v>3.97</v>
      </c>
      <c r="CA3">
        <v>-23.27</v>
      </c>
      <c r="CB3">
        <v>2.54</v>
      </c>
      <c r="CC3">
        <v>-12.08</v>
      </c>
      <c r="CD3" t="s">
        <v>594</v>
      </c>
      <c r="CE3" t="s">
        <v>595</v>
      </c>
      <c r="CF3" s="10">
        <v>-0.27325162220620042</v>
      </c>
      <c r="CG3" s="11">
        <v>1.2880959812474926</v>
      </c>
      <c r="CH3" s="10">
        <v>0.42262324690818787</v>
      </c>
      <c r="CI3" s="10">
        <v>0.53952986001968384</v>
      </c>
      <c r="CJ3" s="10">
        <v>-0.1975996345281601</v>
      </c>
      <c r="CK3" s="10">
        <v>1.0042954683303833</v>
      </c>
      <c r="CL3" s="10">
        <v>3.8358666002750397E-2</v>
      </c>
      <c r="CM3" s="11">
        <v>-6.5365219116210938</v>
      </c>
      <c r="CN3" s="11">
        <v>1.2109354734420776</v>
      </c>
      <c r="CO3" s="11">
        <v>-5.1470589637756348</v>
      </c>
      <c r="CP3" s="11">
        <v>2.3956646919250488</v>
      </c>
      <c r="CQ3" s="11">
        <v>-0.92278069257736206</v>
      </c>
      <c r="CR3">
        <v>-100.0088734286161</v>
      </c>
      <c r="CS3">
        <v>-2.7669447897415846</v>
      </c>
      <c r="CT3">
        <v>0.45045045045045046</v>
      </c>
      <c r="CU3" s="10">
        <v>0.36144152134656904</v>
      </c>
      <c r="CV3" s="11">
        <v>-1.7999522805213928</v>
      </c>
      <c r="CW3">
        <v>0.06</v>
      </c>
      <c r="CX3" t="e">
        <v>#VALUE!</v>
      </c>
      <c r="CY3" t="s">
        <v>301</v>
      </c>
      <c r="CZ3">
        <v>0.36144152134656904</v>
      </c>
      <c r="DA3" t="e">
        <v>#VALUE!</v>
      </c>
      <c r="DB3" t="s">
        <v>301</v>
      </c>
      <c r="DC3">
        <v>0.34336944527924057</v>
      </c>
      <c r="DD3" t="e">
        <v>#VALUE!</v>
      </c>
      <c r="DE3" t="s">
        <v>301</v>
      </c>
      <c r="DF3">
        <v>0.31806853878498076</v>
      </c>
      <c r="DG3" t="e">
        <v>#VALUE!</v>
      </c>
      <c r="DH3" t="s">
        <v>301</v>
      </c>
      <c r="DI3">
        <v>0.28915321707725522</v>
      </c>
      <c r="DJ3" t="e">
        <v>#VALUE!</v>
      </c>
      <c r="DK3" t="s">
        <v>301</v>
      </c>
      <c r="DL3">
        <v>0.25300906494259834</v>
      </c>
      <c r="DM3">
        <v>-494000000.00000006</v>
      </c>
      <c r="DN3">
        <v>0.36144152134656904</v>
      </c>
      <c r="DO3">
        <v>8387720300</v>
      </c>
      <c r="DP3">
        <v>-91908200</v>
      </c>
      <c r="DQ3">
        <v>255</v>
      </c>
      <c r="DR3">
        <v>-0.6346931435527694</v>
      </c>
      <c r="DS3">
        <v>3.0880482617688854</v>
      </c>
      <c r="DT3" s="12">
        <v>-2.3333333333333355E-2</v>
      </c>
      <c r="DU3">
        <v>-0.39666666666666678</v>
      </c>
      <c r="DV3">
        <v>-0.42000000000000015</v>
      </c>
      <c r="DW3">
        <v>6.1737346101231187</v>
      </c>
      <c r="DX3">
        <v>0.31727438692098164</v>
      </c>
      <c r="DY3">
        <v>6.0273240042940692</v>
      </c>
      <c r="DZ3">
        <v>2711</v>
      </c>
      <c r="EA3">
        <v>6.0128278446773917</v>
      </c>
      <c r="EB3">
        <v>6</v>
      </c>
      <c r="EC3">
        <v>5.0125071039110104E-2</v>
      </c>
      <c r="ED3">
        <v>0.3187109612723803</v>
      </c>
      <c r="EE3" s="13">
        <v>-1.0662099999999999</v>
      </c>
      <c r="EF3">
        <v>-1.0843099999999999</v>
      </c>
      <c r="EG3">
        <v>16.157274386920982</v>
      </c>
      <c r="EH3" t="s">
        <v>421</v>
      </c>
      <c r="EI3">
        <v>0</v>
      </c>
      <c r="EJ3">
        <v>0</v>
      </c>
      <c r="EK3" s="9">
        <v>45470</v>
      </c>
      <c r="EL3" s="14">
        <v>1.36</v>
      </c>
      <c r="EM3" s="14">
        <v>-4.0199999999999996</v>
      </c>
      <c r="EN3" s="14">
        <v>0.7</v>
      </c>
      <c r="EO3" s="14">
        <v>1.85</v>
      </c>
      <c r="EP3" s="14">
        <v>-1.81</v>
      </c>
    </row>
    <row r="4" spans="1:146" ht="156" x14ac:dyDescent="0.25">
      <c r="A4" s="7" t="s">
        <v>327</v>
      </c>
      <c r="B4" s="7" t="s">
        <v>328</v>
      </c>
      <c r="C4" s="7" t="str">
        <f>"公司是一家主要从事大洋性远洋渔业及相关产业的生产经营和国际经济技术合作开发的股份制上市公司。公司目前的主要业务有远洋渔业捕捞、产品加工、储运,水产品贸易,渔船、渔机等渔需物资的进出口,对外经济技术和劳务合作等。公司目前的主要产品有金枪鱼、鱿鱼、秋刀鱼。"&amp;CHAR(10)&amp;Basic_Fundamental_Information_Constructure(F4)&amp;CHAR(10)&amp;Basic_Fundamental_Information_Concatenate("金枪鱼 1.67亿 78.87% 83.57% 5.33%
鱿鱼 4236.32万 20.01% 2.08% 0.52%
其他 236.51万 1.12% 14.35% 64.59%")</f>
        <v>公司是一家主要从事大洋性远洋渔业及相关产业的生产经营和国际经济技术合作开发的股份制上市公司。公司目前的主要业务有远洋渔业捕捞、产品加工、储运,水产品贸易,渔船、渔机等渔需物资的进出口,对外经济技术和劳务合作等。公司目前的主要产品有金枪鱼、鱿鱼、秋刀鱼。
市值21.366149亿, 利润-1.18亿; PE; 平均PE-106.7; 平均PEG-.73, PB4.9; ROIC7.915%; ROE-4.4933%; 股利率0%; 毛利.1433%; 净利-4.1033%; 上一年度营收增1.71%, 利润增-174.68%; 当季营收增12.88%, 利润增-4.69%; 过往5年营收增147.01%, 利润增-138.46%
Income profile:
金枪鱼 1.67亿 78.87% 83.57% 5.33%
鱿鱼 4236.32万 20.01% 2.08% 0.52%
其他 236.51万 1.12% 14.35% 64.59%</v>
      </c>
      <c r="D4" t="s">
        <v>25</v>
      </c>
      <c r="E4" t="s">
        <v>9</v>
      </c>
      <c r="F4">
        <v>5.84</v>
      </c>
      <c r="G4">
        <v>2.1</v>
      </c>
      <c r="H4" t="s">
        <v>596</v>
      </c>
      <c r="I4">
        <v>2136614900</v>
      </c>
      <c r="K4">
        <v>4.9000000000000004</v>
      </c>
      <c r="L4" t="s">
        <v>24</v>
      </c>
      <c r="M4" t="s">
        <v>597</v>
      </c>
      <c r="N4" t="s">
        <v>598</v>
      </c>
      <c r="O4" t="s">
        <v>599</v>
      </c>
      <c r="P4">
        <v>12.88</v>
      </c>
      <c r="Q4" t="s">
        <v>600</v>
      </c>
      <c r="R4">
        <v>-29498669</v>
      </c>
      <c r="S4" s="6">
        <v>-4.6899999999999997E-2</v>
      </c>
      <c r="T4" t="s">
        <v>601</v>
      </c>
      <c r="U4">
        <v>365828710</v>
      </c>
      <c r="V4">
        <v>365858710</v>
      </c>
      <c r="W4">
        <v>3.83</v>
      </c>
      <c r="X4">
        <v>0.16</v>
      </c>
      <c r="Y4">
        <v>-1.88</v>
      </c>
      <c r="Z4" t="s">
        <v>602</v>
      </c>
      <c r="AA4" t="s">
        <v>603</v>
      </c>
      <c r="AB4" t="s">
        <v>604</v>
      </c>
      <c r="AC4" t="s">
        <v>605</v>
      </c>
      <c r="AD4" t="s">
        <v>41</v>
      </c>
      <c r="AE4">
        <v>20979036</v>
      </c>
      <c r="AF4" t="s">
        <v>606</v>
      </c>
      <c r="AG4" t="s">
        <v>607</v>
      </c>
      <c r="AH4" t="s">
        <v>608</v>
      </c>
      <c r="AI4" t="s">
        <v>609</v>
      </c>
      <c r="AJ4" t="s">
        <v>610</v>
      </c>
      <c r="AK4" t="s">
        <v>611</v>
      </c>
      <c r="AL4" t="s">
        <v>612</v>
      </c>
      <c r="AM4" t="s">
        <v>41</v>
      </c>
      <c r="AN4" t="s">
        <v>613</v>
      </c>
      <c r="AO4" t="s">
        <v>614</v>
      </c>
      <c r="AP4" t="s">
        <v>41</v>
      </c>
      <c r="AQ4" t="s">
        <v>615</v>
      </c>
      <c r="AR4" t="s">
        <v>616</v>
      </c>
      <c r="AS4" t="s">
        <v>617</v>
      </c>
      <c r="AT4" t="s">
        <v>618</v>
      </c>
      <c r="AU4" t="s">
        <v>619</v>
      </c>
      <c r="AV4" t="s">
        <v>482</v>
      </c>
      <c r="AW4" t="s">
        <v>620</v>
      </c>
      <c r="AX4" t="s">
        <v>621</v>
      </c>
      <c r="AY4" t="s">
        <v>249</v>
      </c>
      <c r="AZ4" t="s">
        <v>85</v>
      </c>
      <c r="BA4" t="s">
        <v>55</v>
      </c>
      <c r="BB4" t="s">
        <v>120</v>
      </c>
      <c r="BC4" t="s">
        <v>461</v>
      </c>
      <c r="BD4" t="s">
        <v>250</v>
      </c>
      <c r="BE4" t="s">
        <v>118</v>
      </c>
      <c r="BF4" t="s">
        <v>56</v>
      </c>
      <c r="BG4" t="s">
        <v>121</v>
      </c>
      <c r="BH4" t="s">
        <v>600</v>
      </c>
      <c r="BI4" t="s">
        <v>622</v>
      </c>
      <c r="BJ4" t="s">
        <v>621</v>
      </c>
      <c r="BK4" t="s">
        <v>601</v>
      </c>
      <c r="BL4" t="s">
        <v>623</v>
      </c>
      <c r="BM4" t="s">
        <v>461</v>
      </c>
      <c r="BN4">
        <v>2.92</v>
      </c>
      <c r="BO4">
        <v>12.91</v>
      </c>
      <c r="BP4" t="s">
        <v>41</v>
      </c>
      <c r="BQ4">
        <v>0.88</v>
      </c>
      <c r="BR4">
        <v>1.37</v>
      </c>
      <c r="BS4">
        <v>-15.73</v>
      </c>
      <c r="BT4" t="s">
        <v>389</v>
      </c>
      <c r="BU4" t="s">
        <v>302</v>
      </c>
      <c r="BV4">
        <v>5.0999999999999996</v>
      </c>
      <c r="BW4">
        <v>8.56</v>
      </c>
      <c r="BX4">
        <v>-13.23</v>
      </c>
      <c r="BY4">
        <v>0.26</v>
      </c>
      <c r="BZ4">
        <v>6.65</v>
      </c>
      <c r="CA4">
        <v>-19.22</v>
      </c>
      <c r="CB4">
        <v>3.73</v>
      </c>
      <c r="CC4">
        <v>-11.38</v>
      </c>
      <c r="CD4" t="s">
        <v>624</v>
      </c>
      <c r="CE4" t="s">
        <v>119</v>
      </c>
      <c r="CF4" s="10">
        <v>0.12881355932203389</v>
      </c>
      <c r="CG4" s="11">
        <v>-4.6891090022500442E-2</v>
      </c>
      <c r="CH4" s="10">
        <v>1.711115799844265E-2</v>
      </c>
      <c r="CI4" s="10">
        <v>7.6017317771911621</v>
      </c>
      <c r="CJ4" s="10">
        <v>3.8202248513698578E-2</v>
      </c>
      <c r="CK4" s="10">
        <v>-0.23143351078033447</v>
      </c>
      <c r="CL4" s="10">
        <v>-7.5079873204231262E-2</v>
      </c>
      <c r="CM4" s="11">
        <v>-1.746835470199585</v>
      </c>
      <c r="CN4" s="11">
        <v>2.8402135372161865</v>
      </c>
      <c r="CO4" s="11">
        <v>0.44247013330459595</v>
      </c>
      <c r="CP4" s="11">
        <v>-7.8513870239257812</v>
      </c>
      <c r="CQ4" s="11">
        <v>-0.60732066631317139</v>
      </c>
      <c r="CR4">
        <v>-106.70465566522229</v>
      </c>
      <c r="CS4">
        <v>-0.72582949487617521</v>
      </c>
      <c r="CT4">
        <v>0</v>
      </c>
      <c r="CU4" s="10">
        <v>1.4701063599437476</v>
      </c>
      <c r="CV4" s="11">
        <v>-1.3845718979835511</v>
      </c>
      <c r="CW4">
        <v>0.06</v>
      </c>
      <c r="CX4" t="e">
        <v>#VALUE!</v>
      </c>
      <c r="CY4" t="s">
        <v>300</v>
      </c>
      <c r="CZ4">
        <v>1.4701063599437476</v>
      </c>
      <c r="DA4" t="e">
        <v>#VALUE!</v>
      </c>
      <c r="DB4" t="s">
        <v>301</v>
      </c>
      <c r="DC4">
        <v>1.3966010419465602</v>
      </c>
      <c r="DD4" t="e">
        <v>#VALUE!</v>
      </c>
      <c r="DE4" t="s">
        <v>301</v>
      </c>
      <c r="DF4">
        <v>1.2936935967504979</v>
      </c>
      <c r="DG4" t="e">
        <v>#VALUE!</v>
      </c>
      <c r="DH4" t="s">
        <v>301</v>
      </c>
      <c r="DI4">
        <v>1.1760850879549982</v>
      </c>
      <c r="DJ4" t="e">
        <v>#VALUE!</v>
      </c>
      <c r="DK4" t="s">
        <v>301</v>
      </c>
      <c r="DL4">
        <v>1.0290744519606232</v>
      </c>
      <c r="DM4">
        <v>-118000000</v>
      </c>
      <c r="DN4">
        <v>1.4701063599437476</v>
      </c>
      <c r="DO4">
        <v>4814614900</v>
      </c>
      <c r="DP4">
        <v>440125600</v>
      </c>
      <c r="DQ4">
        <v>291</v>
      </c>
      <c r="DR4">
        <v>-1.3412928006217137</v>
      </c>
      <c r="DS4">
        <v>1.3376808079610507</v>
      </c>
      <c r="DT4" s="12">
        <v>-0.20666666666666669</v>
      </c>
      <c r="DU4">
        <v>-2.5066666666666668</v>
      </c>
      <c r="DV4">
        <v>-2.7133333333333334</v>
      </c>
      <c r="DW4">
        <v>6.2468563864990072</v>
      </c>
      <c r="DX4">
        <v>0.3455055555555549</v>
      </c>
      <c r="DY4">
        <v>6.040856103389955</v>
      </c>
      <c r="DZ4">
        <v>4799</v>
      </c>
      <c r="EA4">
        <v>6.0024865456270602</v>
      </c>
      <c r="EB4">
        <v>6</v>
      </c>
      <c r="EC4">
        <v>4.8856565421115709E-2</v>
      </c>
      <c r="ED4">
        <v>0.29519592413147688</v>
      </c>
      <c r="EE4" s="13">
        <v>1.1435</v>
      </c>
      <c r="EF4">
        <v>1.1399999999999999</v>
      </c>
      <c r="EG4">
        <v>18.165505555555555</v>
      </c>
      <c r="EH4" t="s">
        <v>417</v>
      </c>
      <c r="EI4">
        <v>0</v>
      </c>
      <c r="EJ4">
        <v>0</v>
      </c>
      <c r="EK4" s="9">
        <v>45470</v>
      </c>
      <c r="EL4" s="14">
        <v>-0.7</v>
      </c>
      <c r="EM4" s="14">
        <v>-3.9</v>
      </c>
      <c r="EN4" s="14">
        <v>0.74</v>
      </c>
      <c r="EO4" s="14">
        <v>3.3</v>
      </c>
      <c r="EP4" s="14">
        <v>-0.35</v>
      </c>
    </row>
    <row r="5" spans="1:146" ht="84" x14ac:dyDescent="0.25">
      <c r="A5" s="7"/>
      <c r="B5" s="7"/>
      <c r="C5" s="7" t="str">
        <f>""&amp;CHAR(10)&amp;Basic_Fundamental_Information_Constructure(F5)&amp;CHAR(10)&amp;Basic_Fundamental_Information_Concatenate("")</f>
        <v xml:space="preserve">
市值42.482803亿, 利润-5.16亿; PE; 平均PE36.94; 平均PEG2.41, PB1.25; ROIC5.135%; ROE-1.4433%; 股利率0%; 毛利21.01%; 净利-8.7067%; 上一年度营收增-14.79%, 利润增-1302.48%; 当季营收增-13.85%, 利润增56.52%; 过往5年营收增15.32%, 利润增371.83%
Income profile:
</v>
      </c>
      <c r="D5" t="s">
        <v>122</v>
      </c>
      <c r="E5" t="s">
        <v>123</v>
      </c>
      <c r="F5">
        <v>16.48</v>
      </c>
      <c r="G5">
        <v>0.12</v>
      </c>
      <c r="H5" t="s">
        <v>625</v>
      </c>
      <c r="I5">
        <v>4248280300</v>
      </c>
      <c r="K5">
        <v>1.25</v>
      </c>
      <c r="L5" t="s">
        <v>24</v>
      </c>
      <c r="M5" t="s">
        <v>626</v>
      </c>
      <c r="N5" t="s">
        <v>473</v>
      </c>
      <c r="O5" t="s">
        <v>627</v>
      </c>
      <c r="P5">
        <v>-13.95</v>
      </c>
      <c r="Q5" t="s">
        <v>528</v>
      </c>
      <c r="R5">
        <v>-83048628</v>
      </c>
      <c r="S5" s="5">
        <v>0.56489999999999996</v>
      </c>
      <c r="T5" t="s">
        <v>628</v>
      </c>
      <c r="U5">
        <v>156053390</v>
      </c>
      <c r="V5">
        <v>257784000</v>
      </c>
      <c r="W5">
        <v>1.78</v>
      </c>
      <c r="X5">
        <v>0.05</v>
      </c>
      <c r="Y5">
        <v>-29.67</v>
      </c>
      <c r="Z5" t="s">
        <v>629</v>
      </c>
      <c r="AA5" t="s">
        <v>630</v>
      </c>
      <c r="AB5" t="s">
        <v>631</v>
      </c>
      <c r="AC5" t="s">
        <v>632</v>
      </c>
      <c r="AD5" t="s">
        <v>41</v>
      </c>
      <c r="AE5">
        <v>15966652</v>
      </c>
      <c r="AF5" t="s">
        <v>633</v>
      </c>
      <c r="AG5">
        <v>0.44</v>
      </c>
      <c r="AH5" t="s">
        <v>634</v>
      </c>
      <c r="AI5" t="s">
        <v>635</v>
      </c>
      <c r="AJ5" t="s">
        <v>636</v>
      </c>
      <c r="AK5" t="s">
        <v>41</v>
      </c>
      <c r="AL5" t="s">
        <v>637</v>
      </c>
      <c r="AM5" t="s">
        <v>41</v>
      </c>
      <c r="AN5" t="s">
        <v>638</v>
      </c>
      <c r="AO5" t="s">
        <v>639</v>
      </c>
      <c r="AP5" t="s">
        <v>41</v>
      </c>
      <c r="AQ5" t="s">
        <v>640</v>
      </c>
      <c r="AR5" t="s">
        <v>41</v>
      </c>
      <c r="AS5" t="s">
        <v>641</v>
      </c>
      <c r="AT5" t="s">
        <v>479</v>
      </c>
      <c r="AU5" t="s">
        <v>642</v>
      </c>
      <c r="AV5" t="s">
        <v>643</v>
      </c>
      <c r="AW5" t="s">
        <v>644</v>
      </c>
      <c r="AX5" t="s">
        <v>406</v>
      </c>
      <c r="AY5" t="s">
        <v>251</v>
      </c>
      <c r="AZ5" t="s">
        <v>124</v>
      </c>
      <c r="BA5" t="s">
        <v>126</v>
      </c>
      <c r="BB5" t="s">
        <v>127</v>
      </c>
      <c r="BC5" t="s">
        <v>645</v>
      </c>
      <c r="BD5" t="s">
        <v>230</v>
      </c>
      <c r="BE5" t="s">
        <v>125</v>
      </c>
      <c r="BF5" t="s">
        <v>128</v>
      </c>
      <c r="BG5" t="s">
        <v>129</v>
      </c>
      <c r="BH5" t="s">
        <v>528</v>
      </c>
      <c r="BI5" t="s">
        <v>646</v>
      </c>
      <c r="BJ5" t="s">
        <v>406</v>
      </c>
      <c r="BK5" t="s">
        <v>628</v>
      </c>
      <c r="BL5" t="s">
        <v>647</v>
      </c>
      <c r="BM5" t="s">
        <v>645</v>
      </c>
      <c r="BN5" t="s">
        <v>41</v>
      </c>
      <c r="BO5">
        <v>1.48</v>
      </c>
      <c r="BP5">
        <v>8.7899999999999991</v>
      </c>
      <c r="BQ5">
        <v>-14.35</v>
      </c>
      <c r="BR5">
        <v>1.39</v>
      </c>
      <c r="BS5">
        <v>8.6300000000000008</v>
      </c>
      <c r="BT5" t="s">
        <v>389</v>
      </c>
      <c r="BU5" t="s">
        <v>564</v>
      </c>
      <c r="BV5">
        <v>-1.36</v>
      </c>
      <c r="BW5">
        <v>26.76</v>
      </c>
      <c r="BX5">
        <v>37.630000000000003</v>
      </c>
      <c r="BY5">
        <v>-49.77</v>
      </c>
      <c r="BZ5">
        <v>3.53</v>
      </c>
      <c r="CA5">
        <v>20.12</v>
      </c>
      <c r="CB5">
        <v>-11.11</v>
      </c>
      <c r="CC5">
        <v>-34.39</v>
      </c>
      <c r="CD5" t="s">
        <v>648</v>
      </c>
      <c r="CE5" t="s">
        <v>649</v>
      </c>
      <c r="CF5" s="10">
        <v>-0.13846153846153847</v>
      </c>
      <c r="CG5" s="11">
        <v>0.56519042931937169</v>
      </c>
      <c r="CH5" s="10">
        <v>-0.14790463447570801</v>
      </c>
      <c r="CI5" s="10">
        <v>0.15684404969215393</v>
      </c>
      <c r="CJ5" s="10">
        <v>-0.22986823320388794</v>
      </c>
      <c r="CK5" s="10">
        <v>0.5665137767791748</v>
      </c>
      <c r="CL5" s="10">
        <v>0.42019543051719666</v>
      </c>
      <c r="CM5" s="11">
        <v>-13.02480411529541</v>
      </c>
      <c r="CN5" s="11">
        <v>-0.79758822917938232</v>
      </c>
      <c r="CO5" s="11">
        <v>-0.68869310617446899</v>
      </c>
      <c r="CP5" s="11">
        <v>1.5992366075515747</v>
      </c>
      <c r="CQ5" s="11">
        <v>31.503379821777344</v>
      </c>
      <c r="CR5">
        <v>36.943066965036266</v>
      </c>
      <c r="CS5">
        <v>2.4121188973234973</v>
      </c>
      <c r="CT5">
        <v>0</v>
      </c>
      <c r="CU5" s="10">
        <v>0.15315607786178589</v>
      </c>
      <c r="CV5" s="11">
        <v>3.7183061957359316</v>
      </c>
      <c r="CW5">
        <v>0.06</v>
      </c>
      <c r="CX5" t="e">
        <v>#VALUE!</v>
      </c>
      <c r="CY5" t="s">
        <v>300</v>
      </c>
      <c r="CZ5">
        <v>0.15315607786178589</v>
      </c>
      <c r="DA5" t="e">
        <v>#VALUE!</v>
      </c>
      <c r="DB5" t="s">
        <v>301</v>
      </c>
      <c r="DC5">
        <v>0.14549827396869661</v>
      </c>
      <c r="DD5" t="e">
        <v>#VALUE!</v>
      </c>
      <c r="DE5" t="s">
        <v>301</v>
      </c>
      <c r="DF5">
        <v>0.13477734851837159</v>
      </c>
      <c r="DG5" t="e">
        <v>#VALUE!</v>
      </c>
      <c r="DH5" t="s">
        <v>301</v>
      </c>
      <c r="DI5">
        <v>0.12252486228942872</v>
      </c>
      <c r="DJ5" t="e">
        <v>#VALUE!</v>
      </c>
      <c r="DK5" t="s">
        <v>301</v>
      </c>
      <c r="DL5">
        <v>0.10720925450325013</v>
      </c>
      <c r="DM5">
        <v>-516000000</v>
      </c>
      <c r="DN5">
        <v>0.15315607786178589</v>
      </c>
      <c r="DO5">
        <v>3437280300</v>
      </c>
      <c r="DP5">
        <v>155579700</v>
      </c>
      <c r="DQ5">
        <v>428</v>
      </c>
      <c r="DR5">
        <v>-0.29161761632332439</v>
      </c>
      <c r="DS5">
        <v>-3.1531157664165601</v>
      </c>
      <c r="DT5" s="12">
        <v>-0.20666666666666669</v>
      </c>
      <c r="DU5">
        <v>-0.93</v>
      </c>
      <c r="DV5">
        <v>-1.1366666666666667</v>
      </c>
      <c r="DW5">
        <v>-9.3230590287874389</v>
      </c>
      <c r="DX5">
        <v>0.5296726944676492</v>
      </c>
      <c r="DY5">
        <v>-9.1452708239469498</v>
      </c>
      <c r="DZ5">
        <v>3696</v>
      </c>
      <c r="EA5">
        <v>-9.0401982279962798</v>
      </c>
      <c r="EB5">
        <v>9</v>
      </c>
      <c r="EC5">
        <v>0.14707739813176923</v>
      </c>
      <c r="ED5">
        <v>0.32707654470409336</v>
      </c>
      <c r="EE5" s="13">
        <v>-1.03931</v>
      </c>
      <c r="EF5">
        <v>-1.0560100000000001</v>
      </c>
      <c r="EG5">
        <v>8.4496726944676492</v>
      </c>
      <c r="EH5" t="s">
        <v>421</v>
      </c>
      <c r="EI5">
        <v>0</v>
      </c>
      <c r="EJ5">
        <v>0</v>
      </c>
      <c r="EK5" s="9">
        <v>45470</v>
      </c>
      <c r="EL5" s="14">
        <v>-0.09</v>
      </c>
      <c r="EM5" s="14">
        <v>-4.41</v>
      </c>
      <c r="EN5" s="14">
        <v>-0.76</v>
      </c>
      <c r="EO5" s="14">
        <v>0.43</v>
      </c>
      <c r="EP5" s="14">
        <v>-1.67</v>
      </c>
    </row>
    <row r="6" spans="1:146" ht="84" x14ac:dyDescent="0.25">
      <c r="A6" s="7"/>
      <c r="B6" s="7"/>
      <c r="C6" s="7" t="str">
        <f>""&amp;CHAR(10)&amp;Basic_Fundamental_Information_Constructure(F6)&amp;CHAR(10)&amp;Basic_Fundamental_Information_Concatenate("")</f>
        <v xml:space="preserve">
市值17.920027亿, 利润858.82万; PE264.2; 平均PE-33.07; 平均PEG-3.78, PB26.53; ROIC3.9267%; ROE24.3333%; 股利率0%; 毛利16.2133%; 净利1.1167%; 上一年度营收增-17.02%, 利润增118.17%; 当季营收增-2.64%, 利润增-34.7%; 过往5年营收增-8.75%, 利润增-239.16%
Income profile:
</v>
      </c>
      <c r="D6" t="s">
        <v>38</v>
      </c>
      <c r="E6" t="s">
        <v>488</v>
      </c>
      <c r="F6">
        <v>2.52</v>
      </c>
      <c r="G6">
        <v>1.61</v>
      </c>
      <c r="H6" t="s">
        <v>650</v>
      </c>
      <c r="I6">
        <v>1792002700</v>
      </c>
      <c r="J6">
        <v>264.2</v>
      </c>
      <c r="K6">
        <v>26.53</v>
      </c>
      <c r="L6" t="s">
        <v>24</v>
      </c>
      <c r="M6" t="s">
        <v>651</v>
      </c>
      <c r="N6" t="s">
        <v>502</v>
      </c>
      <c r="O6" t="s">
        <v>475</v>
      </c>
      <c r="P6">
        <v>-2.52</v>
      </c>
      <c r="Q6" t="s">
        <v>652</v>
      </c>
      <c r="R6">
        <v>-7011978</v>
      </c>
      <c r="S6" s="5">
        <v>-0.34699999999999998</v>
      </c>
      <c r="T6" t="s">
        <v>653</v>
      </c>
      <c r="U6">
        <v>710216190</v>
      </c>
      <c r="V6">
        <v>711112190</v>
      </c>
      <c r="W6">
        <v>20.32</v>
      </c>
      <c r="X6">
        <v>0.16</v>
      </c>
      <c r="Y6">
        <v>-2.34</v>
      </c>
      <c r="Z6" t="s">
        <v>654</v>
      </c>
      <c r="AA6" t="s">
        <v>493</v>
      </c>
      <c r="AB6" t="s">
        <v>655</v>
      </c>
      <c r="AC6" t="s">
        <v>656</v>
      </c>
      <c r="AD6" t="s">
        <v>41</v>
      </c>
      <c r="AE6">
        <v>19115167</v>
      </c>
      <c r="AF6" t="s">
        <v>61</v>
      </c>
      <c r="AG6" t="s">
        <v>657</v>
      </c>
      <c r="AH6" t="s">
        <v>658</v>
      </c>
      <c r="AI6" t="s">
        <v>659</v>
      </c>
      <c r="AJ6" t="s">
        <v>660</v>
      </c>
      <c r="AK6" t="s">
        <v>41</v>
      </c>
      <c r="AL6" t="s">
        <v>661</v>
      </c>
      <c r="AM6" t="s">
        <v>41</v>
      </c>
      <c r="AN6" t="s">
        <v>662</v>
      </c>
      <c r="AO6" t="s">
        <v>489</v>
      </c>
      <c r="AP6" t="s">
        <v>41</v>
      </c>
      <c r="AQ6" t="s">
        <v>663</v>
      </c>
      <c r="AR6" t="s">
        <v>664</v>
      </c>
      <c r="AS6" t="s">
        <v>501</v>
      </c>
      <c r="AT6" t="s">
        <v>665</v>
      </c>
      <c r="AU6" t="s">
        <v>666</v>
      </c>
      <c r="AV6" t="s">
        <v>667</v>
      </c>
      <c r="AW6" t="s">
        <v>668</v>
      </c>
      <c r="AX6" t="s">
        <v>407</v>
      </c>
      <c r="AY6" t="s">
        <v>252</v>
      </c>
      <c r="AZ6" t="s">
        <v>130</v>
      </c>
      <c r="BA6" t="s">
        <v>57</v>
      </c>
      <c r="BB6" t="s">
        <v>132</v>
      </c>
      <c r="BC6" t="s">
        <v>669</v>
      </c>
      <c r="BD6" t="s">
        <v>253</v>
      </c>
      <c r="BE6" t="s">
        <v>131</v>
      </c>
      <c r="BF6" t="s">
        <v>58</v>
      </c>
      <c r="BG6" t="s">
        <v>133</v>
      </c>
      <c r="BH6" t="s">
        <v>652</v>
      </c>
      <c r="BI6" t="s">
        <v>670</v>
      </c>
      <c r="BJ6" t="s">
        <v>407</v>
      </c>
      <c r="BK6" t="s">
        <v>653</v>
      </c>
      <c r="BL6" t="s">
        <v>671</v>
      </c>
      <c r="BM6" t="s">
        <v>669</v>
      </c>
      <c r="BN6">
        <v>3.45</v>
      </c>
      <c r="BO6">
        <v>3.58</v>
      </c>
      <c r="BP6">
        <v>4.75</v>
      </c>
      <c r="BQ6">
        <v>31.9</v>
      </c>
      <c r="BR6">
        <v>8.64</v>
      </c>
      <c r="BS6">
        <v>32.46</v>
      </c>
      <c r="BT6" t="s">
        <v>389</v>
      </c>
      <c r="BU6" t="s">
        <v>303</v>
      </c>
      <c r="BV6">
        <v>17.45</v>
      </c>
      <c r="BW6">
        <v>16.36</v>
      </c>
      <c r="BX6">
        <v>14.83</v>
      </c>
      <c r="BY6">
        <v>0.8</v>
      </c>
      <c r="BZ6">
        <v>1.4</v>
      </c>
      <c r="CA6">
        <v>1.1499999999999999</v>
      </c>
      <c r="CB6">
        <v>4.13</v>
      </c>
      <c r="CC6">
        <v>-17.649999999999999</v>
      </c>
      <c r="CD6" t="s">
        <v>672</v>
      </c>
      <c r="CE6" t="s">
        <v>176</v>
      </c>
      <c r="CF6" s="10">
        <v>-2.6385224274406333E-2</v>
      </c>
      <c r="CG6" s="11">
        <v>-0.34698080949728161</v>
      </c>
      <c r="CH6" s="10">
        <v>-0.17021277546882629</v>
      </c>
      <c r="CI6" s="10">
        <v>-2.9764764010906219E-2</v>
      </c>
      <c r="CJ6" s="10">
        <v>8.0954782664775848E-2</v>
      </c>
      <c r="CK6" s="10">
        <v>-0.29388049244880676</v>
      </c>
      <c r="CL6" s="10">
        <v>-2.4660538882017136E-2</v>
      </c>
      <c r="CM6" s="11">
        <v>1.1816842555999756</v>
      </c>
      <c r="CN6" s="11">
        <v>-0.46397691965103149</v>
      </c>
      <c r="CO6" s="11">
        <v>-0.50544464588165283</v>
      </c>
      <c r="CP6" s="11">
        <v>1.0378813743591309</v>
      </c>
      <c r="CQ6" s="11">
        <v>-13.208338737487793</v>
      </c>
      <c r="CR6">
        <v>-33.065556241344986</v>
      </c>
      <c r="CS6">
        <v>-3.7783698213994721</v>
      </c>
      <c r="CT6">
        <v>0</v>
      </c>
      <c r="CU6" s="10">
        <v>-8.7512757629156113E-2</v>
      </c>
      <c r="CV6" s="11">
        <v>-2.3916389346122742</v>
      </c>
      <c r="CW6">
        <v>0.06</v>
      </c>
      <c r="CX6" t="e">
        <v>#VALUE!</v>
      </c>
      <c r="CY6" t="s">
        <v>673</v>
      </c>
      <c r="CZ6">
        <v>-8.7512757629156113E-2</v>
      </c>
      <c r="DA6">
        <v>153.11717239933861</v>
      </c>
      <c r="DB6" t="s">
        <v>674</v>
      </c>
      <c r="DC6">
        <v>-8.3137119747698301E-2</v>
      </c>
      <c r="DD6">
        <v>76.558586199669307</v>
      </c>
      <c r="DE6" t="s">
        <v>675</v>
      </c>
      <c r="DF6">
        <v>-7.7011226713657385E-2</v>
      </c>
      <c r="DG6">
        <v>45.935151719801588</v>
      </c>
      <c r="DH6" t="s">
        <v>676</v>
      </c>
      <c r="DI6">
        <v>-7.0010206103324896E-2</v>
      </c>
      <c r="DJ6">
        <v>22.967575859900794</v>
      </c>
      <c r="DK6" t="s">
        <v>677</v>
      </c>
      <c r="DL6">
        <v>-6.1258930340409273E-2</v>
      </c>
      <c r="DM6">
        <v>8588200</v>
      </c>
      <c r="DN6">
        <v>-8.7512757629156113E-2</v>
      </c>
      <c r="DO6">
        <v>3945002700</v>
      </c>
      <c r="DP6">
        <v>-367010700</v>
      </c>
      <c r="DQ6">
        <v>587</v>
      </c>
      <c r="DR6">
        <v>6.1127533354749783E-2</v>
      </c>
      <c r="DS6">
        <v>2.0446581251149927</v>
      </c>
      <c r="DT6" s="12">
        <v>-0.72333333333333327</v>
      </c>
      <c r="DU6">
        <v>-1.2316666666666667</v>
      </c>
      <c r="DV6">
        <v>-1.9550000000000001</v>
      </c>
      <c r="DW6">
        <v>6.1896235078053259</v>
      </c>
      <c r="DX6">
        <v>0.33376769230769227</v>
      </c>
      <c r="DY6">
        <v>6.0291579692025143</v>
      </c>
      <c r="DZ6">
        <v>4357</v>
      </c>
      <c r="EA6">
        <v>6.004296663563502</v>
      </c>
      <c r="EB6">
        <v>6</v>
      </c>
      <c r="EC6">
        <v>4.2165920401392637E-2</v>
      </c>
      <c r="ED6">
        <v>0.27421833395937145</v>
      </c>
      <c r="EE6" s="13">
        <v>-2.0137999999999998</v>
      </c>
      <c r="EF6">
        <v>-2.0057</v>
      </c>
      <c r="EG6">
        <v>18.153767692307692</v>
      </c>
      <c r="EH6" t="s">
        <v>678</v>
      </c>
      <c r="EI6">
        <v>0</v>
      </c>
      <c r="EJ6">
        <v>0</v>
      </c>
      <c r="EK6" s="9">
        <v>45470</v>
      </c>
      <c r="EL6" s="14">
        <v>0.81</v>
      </c>
      <c r="EM6" s="14">
        <v>-3.61</v>
      </c>
      <c r="EN6" s="14">
        <v>-1.25</v>
      </c>
      <c r="EO6" s="14">
        <v>3.8</v>
      </c>
      <c r="EP6" s="14">
        <v>-0.81</v>
      </c>
    </row>
    <row r="7" spans="1:146" ht="84" x14ac:dyDescent="0.25">
      <c r="A7" s="7"/>
      <c r="B7" s="7"/>
      <c r="C7" s="7" t="str">
        <f>""&amp;CHAR(10)&amp;Basic_Fundamental_Information_Constructure(F7)&amp;CHAR(10)&amp;Basic_Fundamental_Information_Concatenate("")</f>
        <v xml:space="preserve">
市值45.771837亿, 利润-28.83亿; PE; 平均PE-6.73; 平均PEG-.31, PB1.62; ROIC10.96%; ROE-36.6133%; 股利率0%; 毛利-4.1333%; 净利-21.9433%; 上一年度营收增6.91%, 利润增-689.57%; 当季营收增-5.7%, 利润增190.92%; 过往5年营收增21.55%, 利润增489.27%
Income profile:
</v>
      </c>
      <c r="D7" t="s">
        <v>134</v>
      </c>
      <c r="E7" t="s">
        <v>679</v>
      </c>
      <c r="F7">
        <v>2.06</v>
      </c>
      <c r="G7">
        <v>1.98</v>
      </c>
      <c r="H7" t="s">
        <v>680</v>
      </c>
      <c r="I7">
        <v>4577183700</v>
      </c>
      <c r="K7">
        <v>1.62</v>
      </c>
      <c r="L7" t="s">
        <v>24</v>
      </c>
      <c r="M7" t="s">
        <v>681</v>
      </c>
      <c r="N7" t="s">
        <v>682</v>
      </c>
      <c r="O7" t="s">
        <v>683</v>
      </c>
      <c r="P7">
        <v>-5.69</v>
      </c>
      <c r="Q7" t="s">
        <v>684</v>
      </c>
      <c r="R7">
        <v>603731520</v>
      </c>
      <c r="S7" s="5">
        <v>1.91</v>
      </c>
      <c r="T7" t="s">
        <v>685</v>
      </c>
      <c r="U7">
        <v>1561609800</v>
      </c>
      <c r="V7">
        <v>2221933800</v>
      </c>
      <c r="W7">
        <v>5.19</v>
      </c>
      <c r="X7">
        <v>0.13</v>
      </c>
      <c r="Y7">
        <v>29.41</v>
      </c>
      <c r="Z7" t="s">
        <v>686</v>
      </c>
      <c r="AA7" t="s">
        <v>687</v>
      </c>
      <c r="AB7" t="s">
        <v>688</v>
      </c>
      <c r="AC7" t="s">
        <v>128</v>
      </c>
      <c r="AD7" t="s">
        <v>41</v>
      </c>
      <c r="AE7">
        <v>109249399</v>
      </c>
      <c r="AF7" t="s">
        <v>689</v>
      </c>
      <c r="AG7" t="s">
        <v>690</v>
      </c>
      <c r="AH7" t="s">
        <v>691</v>
      </c>
      <c r="AI7" t="s">
        <v>692</v>
      </c>
      <c r="AJ7" t="s">
        <v>693</v>
      </c>
      <c r="AK7" t="s">
        <v>41</v>
      </c>
      <c r="AL7" t="s">
        <v>694</v>
      </c>
      <c r="AM7" t="s">
        <v>41</v>
      </c>
      <c r="AN7" t="s">
        <v>695</v>
      </c>
      <c r="AO7" t="s">
        <v>696</v>
      </c>
      <c r="AP7" t="s">
        <v>697</v>
      </c>
      <c r="AQ7" t="s">
        <v>698</v>
      </c>
      <c r="AR7" t="s">
        <v>699</v>
      </c>
      <c r="AS7" t="s">
        <v>700</v>
      </c>
      <c r="AT7" t="s">
        <v>466</v>
      </c>
      <c r="AU7" t="s">
        <v>701</v>
      </c>
      <c r="AV7" t="s">
        <v>702</v>
      </c>
      <c r="AW7" t="s">
        <v>703</v>
      </c>
      <c r="AX7" t="s">
        <v>409</v>
      </c>
      <c r="AY7" t="s">
        <v>254</v>
      </c>
      <c r="AZ7" t="s">
        <v>135</v>
      </c>
      <c r="BA7" t="s">
        <v>137</v>
      </c>
      <c r="BB7" t="s">
        <v>138</v>
      </c>
      <c r="BC7" t="s">
        <v>410</v>
      </c>
      <c r="BD7" t="s">
        <v>255</v>
      </c>
      <c r="BE7" t="s">
        <v>136</v>
      </c>
      <c r="BF7" t="s">
        <v>67</v>
      </c>
      <c r="BG7" t="s">
        <v>139</v>
      </c>
      <c r="BH7" t="s">
        <v>684</v>
      </c>
      <c r="BI7" t="s">
        <v>704</v>
      </c>
      <c r="BJ7" t="s">
        <v>409</v>
      </c>
      <c r="BK7" t="s">
        <v>685</v>
      </c>
      <c r="BL7" t="s">
        <v>705</v>
      </c>
      <c r="BM7" t="s">
        <v>410</v>
      </c>
      <c r="BN7" t="s">
        <v>41</v>
      </c>
      <c r="BO7">
        <v>10.96</v>
      </c>
      <c r="BP7" t="s">
        <v>41</v>
      </c>
      <c r="BQ7">
        <v>-49.99</v>
      </c>
      <c r="BR7">
        <v>13.31</v>
      </c>
      <c r="BS7">
        <v>-73.16</v>
      </c>
      <c r="BT7" t="s">
        <v>389</v>
      </c>
      <c r="BU7" t="s">
        <v>564</v>
      </c>
      <c r="BV7">
        <v>-8.93</v>
      </c>
      <c r="BW7">
        <v>14.28</v>
      </c>
      <c r="BX7">
        <v>-17.75</v>
      </c>
      <c r="BY7">
        <v>-28.24</v>
      </c>
      <c r="BZ7">
        <v>4.9800000000000004</v>
      </c>
      <c r="CA7">
        <v>-42.57</v>
      </c>
      <c r="CB7">
        <v>-1.44</v>
      </c>
      <c r="CC7">
        <v>-9.65</v>
      </c>
      <c r="CD7" t="s">
        <v>172</v>
      </c>
      <c r="CE7" t="s">
        <v>706</v>
      </c>
      <c r="CF7" s="10">
        <v>-5.7037718491260353E-2</v>
      </c>
      <c r="CG7" s="11">
        <v>1.9092342168674699</v>
      </c>
      <c r="CH7" s="10">
        <v>6.9062814116477966E-2</v>
      </c>
      <c r="CI7" s="10">
        <v>-8.9083418250083923E-2</v>
      </c>
      <c r="CJ7" s="10">
        <v>-2.3875923827290535E-2</v>
      </c>
      <c r="CK7" s="10">
        <v>0.79190945625305176</v>
      </c>
      <c r="CL7" s="10">
        <v>0.32927638292312622</v>
      </c>
      <c r="CM7" s="11">
        <v>-6.8957056999206543</v>
      </c>
      <c r="CN7" s="11">
        <v>1.109592080116272</v>
      </c>
      <c r="CO7" s="11">
        <v>-2.3750386238098145</v>
      </c>
      <c r="CP7" s="11">
        <v>31.44999885559082</v>
      </c>
      <c r="CQ7" s="11">
        <v>1.1748251914978027</v>
      </c>
      <c r="CR7">
        <v>-6.72620675973549</v>
      </c>
      <c r="CS7">
        <v>-0.31218200578578609</v>
      </c>
      <c r="CT7">
        <v>0</v>
      </c>
      <c r="CU7" s="10">
        <v>0.2154578622430563</v>
      </c>
      <c r="CV7" s="11">
        <v>4.8927343606948854</v>
      </c>
      <c r="CW7">
        <v>0.06</v>
      </c>
      <c r="CX7" t="e">
        <v>#VALUE!</v>
      </c>
      <c r="CY7" t="s">
        <v>301</v>
      </c>
      <c r="CZ7">
        <v>0.2154578622430563</v>
      </c>
      <c r="DA7" t="e">
        <v>#VALUE!</v>
      </c>
      <c r="DB7" t="s">
        <v>301</v>
      </c>
      <c r="DC7">
        <v>0.20468496913090348</v>
      </c>
      <c r="DD7" t="e">
        <v>#VALUE!</v>
      </c>
      <c r="DE7" t="s">
        <v>301</v>
      </c>
      <c r="DF7">
        <v>0.18960291877388954</v>
      </c>
      <c r="DG7" t="e">
        <v>#VALUE!</v>
      </c>
      <c r="DH7" t="s">
        <v>301</v>
      </c>
      <c r="DI7">
        <v>0.17236628979444504</v>
      </c>
      <c r="DJ7" t="e">
        <v>#VALUE!</v>
      </c>
      <c r="DK7" t="s">
        <v>301</v>
      </c>
      <c r="DL7">
        <v>0.1508205035701394</v>
      </c>
      <c r="DM7">
        <v>-2883000000</v>
      </c>
      <c r="DN7">
        <v>0.2154578622430563</v>
      </c>
      <c r="DO7">
        <v>16605183700</v>
      </c>
      <c r="DP7">
        <v>-7061407300</v>
      </c>
      <c r="DQ7">
        <v>636</v>
      </c>
      <c r="DR7">
        <v>-0.27249558073431668</v>
      </c>
      <c r="DS7">
        <v>-2.9835001438274156</v>
      </c>
      <c r="DT7" s="12">
        <v>-0.10666666666666669</v>
      </c>
      <c r="DU7">
        <v>3.3333333333331514E-3</v>
      </c>
      <c r="DV7">
        <v>-0.10333333333333354</v>
      </c>
      <c r="DW7">
        <v>-2.0964999999999998</v>
      </c>
      <c r="DX7">
        <v>0.29283495773350399</v>
      </c>
      <c r="DY7">
        <v>-2.0128185734212831</v>
      </c>
      <c r="DZ7">
        <v>1948</v>
      </c>
      <c r="EA7">
        <v>-2.0079319626532479</v>
      </c>
      <c r="EB7">
        <v>2</v>
      </c>
      <c r="EC7">
        <v>0.10396349342181122</v>
      </c>
      <c r="ED7">
        <v>0.78265158034861348</v>
      </c>
      <c r="EE7" s="13">
        <v>-1.0723100000000001</v>
      </c>
      <c r="EF7">
        <v>-1.0436099999999999</v>
      </c>
      <c r="EG7">
        <v>16.132834957733504</v>
      </c>
      <c r="EH7" t="s">
        <v>421</v>
      </c>
      <c r="EI7">
        <v>0</v>
      </c>
      <c r="EJ7">
        <v>0</v>
      </c>
      <c r="EK7" s="9">
        <v>45470</v>
      </c>
      <c r="EL7" s="14">
        <v>1.72</v>
      </c>
      <c r="EM7" s="14">
        <v>-5.0599999999999996</v>
      </c>
      <c r="EN7" s="14">
        <v>-4.8899999999999997</v>
      </c>
      <c r="EO7" s="14">
        <v>-2.34</v>
      </c>
      <c r="EP7" s="14">
        <v>2.87</v>
      </c>
    </row>
    <row r="8" spans="1:146" ht="84" x14ac:dyDescent="0.25">
      <c r="C8" s="7" t="str">
        <f>""&amp;CHAR(10)&amp;Basic_Fundamental_Information_Constructure(F8)&amp;CHAR(10)&amp;Basic_Fundamental_Information_Concatenate("")</f>
        <v xml:space="preserve">
市值12.0273591亿, 利润-1.20亿; PE; 平均PE-18.56; 平均PEG-1.14, PB1.17; ROIC13.705%; ROE8.2%; 股利率0%; 毛利21.8733%; 净利-40.28%; 上一年度营收增-90.06%, 利润增-151.72%; 当季营收增-20.3%, 利润增-112.01%; 过往5年营收增-16.26%, 利润增-1248.81%
Income profile:
</v>
      </c>
      <c r="D8" t="s">
        <v>707</v>
      </c>
      <c r="E8" t="s">
        <v>708</v>
      </c>
      <c r="F8">
        <v>1.06</v>
      </c>
      <c r="G8">
        <v>0.95</v>
      </c>
      <c r="H8" t="s">
        <v>709</v>
      </c>
      <c r="I8">
        <v>1202735910</v>
      </c>
      <c r="K8">
        <v>1.17</v>
      </c>
      <c r="L8" t="s">
        <v>24</v>
      </c>
      <c r="M8" t="s">
        <v>710</v>
      </c>
      <c r="N8" t="s">
        <v>711</v>
      </c>
      <c r="O8" t="s">
        <v>712</v>
      </c>
      <c r="P8" s="5">
        <v>-20.3</v>
      </c>
      <c r="Q8" t="s">
        <v>713</v>
      </c>
      <c r="R8">
        <v>-153838</v>
      </c>
      <c r="S8">
        <v>-1.1200000000000001</v>
      </c>
      <c r="T8" t="s">
        <v>714</v>
      </c>
      <c r="U8">
        <v>1134656520</v>
      </c>
      <c r="V8">
        <v>1134656520</v>
      </c>
      <c r="W8">
        <v>1.1000000000000001</v>
      </c>
      <c r="X8">
        <v>0.01</v>
      </c>
      <c r="Y8">
        <v>-9.08</v>
      </c>
      <c r="Z8" t="s">
        <v>715</v>
      </c>
      <c r="AA8" t="s">
        <v>716</v>
      </c>
      <c r="AB8" t="s">
        <v>717</v>
      </c>
      <c r="AC8" t="s">
        <v>718</v>
      </c>
      <c r="AD8" t="s">
        <v>41</v>
      </c>
      <c r="AE8">
        <v>343929</v>
      </c>
      <c r="AF8" t="s">
        <v>719</v>
      </c>
      <c r="AG8" t="s">
        <v>720</v>
      </c>
      <c r="AH8" t="s">
        <v>721</v>
      </c>
      <c r="AI8" t="s">
        <v>722</v>
      </c>
      <c r="AJ8" t="s">
        <v>723</v>
      </c>
      <c r="AK8" t="s">
        <v>41</v>
      </c>
      <c r="AL8" t="s">
        <v>724</v>
      </c>
      <c r="AM8" t="s">
        <v>41</v>
      </c>
      <c r="AN8">
        <v>0</v>
      </c>
      <c r="AO8" t="s">
        <v>41</v>
      </c>
      <c r="AP8" t="s">
        <v>41</v>
      </c>
      <c r="AQ8" t="s">
        <v>725</v>
      </c>
      <c r="AR8" t="s">
        <v>726</v>
      </c>
      <c r="AS8" t="s">
        <v>727</v>
      </c>
      <c r="AT8" t="s">
        <v>41</v>
      </c>
      <c r="AU8" t="s">
        <v>728</v>
      </c>
      <c r="AV8" t="s">
        <v>729</v>
      </c>
      <c r="AW8" t="s">
        <v>730</v>
      </c>
      <c r="AX8" t="s">
        <v>731</v>
      </c>
      <c r="AY8" t="s">
        <v>732</v>
      </c>
      <c r="AZ8" t="s">
        <v>583</v>
      </c>
      <c r="BA8" t="s">
        <v>733</v>
      </c>
      <c r="BB8" t="s">
        <v>487</v>
      </c>
      <c r="BC8" t="s">
        <v>734</v>
      </c>
      <c r="BD8" t="s">
        <v>735</v>
      </c>
      <c r="BE8" t="s">
        <v>736</v>
      </c>
      <c r="BF8" t="s">
        <v>737</v>
      </c>
      <c r="BG8" t="s">
        <v>738</v>
      </c>
      <c r="BH8" t="s">
        <v>713</v>
      </c>
      <c r="BI8" t="s">
        <v>739</v>
      </c>
      <c r="BJ8" t="s">
        <v>731</v>
      </c>
      <c r="BK8" t="s">
        <v>714</v>
      </c>
      <c r="BL8" t="s">
        <v>740</v>
      </c>
      <c r="BM8" t="s">
        <v>734</v>
      </c>
      <c r="BN8" t="s">
        <v>41</v>
      </c>
      <c r="BO8">
        <v>22.26</v>
      </c>
      <c r="BP8">
        <v>5.15</v>
      </c>
      <c r="BQ8">
        <v>-2.91</v>
      </c>
      <c r="BR8">
        <v>23.83</v>
      </c>
      <c r="BS8">
        <v>3.68</v>
      </c>
      <c r="BT8" t="s">
        <v>389</v>
      </c>
      <c r="BU8" t="s">
        <v>741</v>
      </c>
      <c r="BV8">
        <v>41.62</v>
      </c>
      <c r="BW8">
        <v>9.6999999999999993</v>
      </c>
      <c r="BX8">
        <v>14.3</v>
      </c>
      <c r="BY8">
        <v>-150.32</v>
      </c>
      <c r="BZ8">
        <v>26.8</v>
      </c>
      <c r="CA8">
        <v>2.68</v>
      </c>
      <c r="CB8">
        <v>2.91</v>
      </c>
      <c r="CC8" s="10">
        <v>-13.11</v>
      </c>
      <c r="CD8" s="11" t="s">
        <v>415</v>
      </c>
      <c r="CE8" s="10" t="s">
        <v>742</v>
      </c>
      <c r="CF8" s="10">
        <v>-0.20302994040638536</v>
      </c>
      <c r="CG8" s="10">
        <v>-1.1200733687168281</v>
      </c>
      <c r="CH8" s="10">
        <v>-0.90063142776489258</v>
      </c>
      <c r="CI8" s="10">
        <v>-0.39727890491485596</v>
      </c>
      <c r="CJ8" s="11">
        <v>0.52489626407623291</v>
      </c>
      <c r="CK8" s="11">
        <v>-2.6262626051902771E-2</v>
      </c>
      <c r="CL8" s="11">
        <v>-1.3944223523139954E-2</v>
      </c>
      <c r="CM8" s="11">
        <v>-1.517241358757019</v>
      </c>
      <c r="CN8" s="11">
        <v>6.9478726387023926</v>
      </c>
      <c r="CO8">
        <v>1.0535600185394287</v>
      </c>
      <c r="CP8">
        <v>-69.062042236328125</v>
      </c>
      <c r="CQ8">
        <v>0.13738246262073517</v>
      </c>
      <c r="CR8" s="10">
        <v>-18.562544043633871</v>
      </c>
      <c r="CS8" s="11">
        <v>-1.141297747554872</v>
      </c>
      <c r="CT8">
        <v>0</v>
      </c>
      <c r="CU8">
        <v>-0.16264418363571168</v>
      </c>
      <c r="CV8">
        <v>-12.488093695044517</v>
      </c>
      <c r="CW8">
        <v>0.06</v>
      </c>
      <c r="CX8" t="e">
        <v>#VALUE!</v>
      </c>
      <c r="CY8" t="s">
        <v>300</v>
      </c>
      <c r="CZ8">
        <v>-0.16264418363571168</v>
      </c>
      <c r="DA8" t="e">
        <v>#VALUE!</v>
      </c>
      <c r="DB8" t="s">
        <v>301</v>
      </c>
      <c r="DC8">
        <v>-0.15451197445392609</v>
      </c>
      <c r="DD8" t="e">
        <v>#VALUE!</v>
      </c>
      <c r="DE8" t="s">
        <v>301</v>
      </c>
      <c r="DF8">
        <v>-0.14312688159942627</v>
      </c>
      <c r="DG8" t="e">
        <v>#VALUE!</v>
      </c>
      <c r="DH8" t="s">
        <v>301</v>
      </c>
      <c r="DI8">
        <v>-0.13011534690856935</v>
      </c>
      <c r="DJ8" t="e">
        <v>#VALUE!</v>
      </c>
      <c r="DK8" t="s">
        <v>301</v>
      </c>
      <c r="DL8">
        <v>-0.11385092854499816</v>
      </c>
      <c r="DM8">
        <v>-120000000</v>
      </c>
      <c r="DN8">
        <v>-0.16264418363571168</v>
      </c>
      <c r="DO8">
        <v>212735910</v>
      </c>
      <c r="DP8">
        <v>671528430</v>
      </c>
      <c r="DQ8" s="12">
        <v>653</v>
      </c>
      <c r="DR8">
        <v>-4.0385756770673686E-2</v>
      </c>
      <c r="DS8">
        <v>11.36802032632769</v>
      </c>
      <c r="DT8">
        <v>-0.79</v>
      </c>
      <c r="DU8">
        <v>-1.7566666666666668</v>
      </c>
      <c r="DV8">
        <v>-2.5466666666666669</v>
      </c>
      <c r="DW8">
        <v>6.1816479400749067</v>
      </c>
      <c r="DX8">
        <v>0.42507128309572323</v>
      </c>
      <c r="DY8">
        <v>6.0209024615361146</v>
      </c>
      <c r="DZ8">
        <v>4702</v>
      </c>
      <c r="EA8">
        <v>6.0016689245218657</v>
      </c>
      <c r="EB8" s="13">
        <v>6</v>
      </c>
      <c r="EC8" s="13">
        <v>9.9589609726122214E-2</v>
      </c>
      <c r="ED8">
        <v>0.86546014823939843</v>
      </c>
      <c r="EE8">
        <v>-4.0256999999999996</v>
      </c>
      <c r="EF8">
        <v>-4.0465</v>
      </c>
      <c r="EG8">
        <v>31.115071283095723</v>
      </c>
      <c r="EH8" s="9" t="s">
        <v>743</v>
      </c>
      <c r="EI8">
        <v>0</v>
      </c>
      <c r="EJ8">
        <v>0</v>
      </c>
      <c r="EK8">
        <v>45470</v>
      </c>
      <c r="EL8">
        <v>-4.4400000000000004</v>
      </c>
      <c r="EM8">
        <v>4.6500000000000004</v>
      </c>
      <c r="EN8" s="14">
        <v>5.56</v>
      </c>
      <c r="EO8" s="14">
        <v>1.05</v>
      </c>
      <c r="EP8" s="14">
        <v>2.08</v>
      </c>
    </row>
    <row r="9" spans="1:146" ht="84" x14ac:dyDescent="0.25">
      <c r="A9" s="7"/>
      <c r="B9" s="7"/>
      <c r="C9" s="7" t="str">
        <f>""&amp;CHAR(10)&amp;Basic_Fundamental_Information_Constructure(F9)&amp;CHAR(10)&amp;Basic_Fundamental_Information_Concatenate("")</f>
        <v xml:space="preserve">
市值270.57417亿, 利润85.29亿; PE2.8; 平均PE-10.09; 平均PEG-3.91, PB2.49; ROIC0%; ROE-4067.58%; 股利率0%; 毛利-22.35%; 净利-9.4667%; 上一年度营收增-51.49%, 利润增163.72%; 当季营收增-36.08%, 利润增95.86%; 过往5年营收增-2.58%, 利润增153.42%
Income profile:
</v>
      </c>
      <c r="D9" t="s">
        <v>231</v>
      </c>
      <c r="E9" t="s">
        <v>744</v>
      </c>
      <c r="F9">
        <v>2.91</v>
      </c>
      <c r="G9">
        <v>1.04</v>
      </c>
      <c r="H9" t="s">
        <v>745</v>
      </c>
      <c r="I9">
        <v>27057417000</v>
      </c>
      <c r="J9">
        <v>2.8</v>
      </c>
      <c r="K9">
        <v>2.4900000000000002</v>
      </c>
      <c r="L9" t="s">
        <v>24</v>
      </c>
      <c r="M9" t="s">
        <v>746</v>
      </c>
      <c r="N9" t="s">
        <v>747</v>
      </c>
      <c r="O9" t="s">
        <v>748</v>
      </c>
      <c r="P9">
        <v>-36.08</v>
      </c>
      <c r="Q9" t="s">
        <v>749</v>
      </c>
      <c r="R9">
        <v>-48804484</v>
      </c>
      <c r="S9" s="5">
        <v>0.95860000000000001</v>
      </c>
      <c r="T9" t="s">
        <v>750</v>
      </c>
      <c r="U9">
        <v>5928569800</v>
      </c>
      <c r="V9">
        <v>9298081300</v>
      </c>
      <c r="W9">
        <v>2.02</v>
      </c>
      <c r="X9">
        <v>0.08</v>
      </c>
      <c r="Y9">
        <v>-4.6100000000000003</v>
      </c>
      <c r="Z9" t="s">
        <v>751</v>
      </c>
      <c r="AA9" t="s">
        <v>752</v>
      </c>
      <c r="AB9" t="s">
        <v>753</v>
      </c>
      <c r="AC9" t="s">
        <v>754</v>
      </c>
      <c r="AD9" t="s">
        <v>41</v>
      </c>
      <c r="AE9">
        <v>21541268</v>
      </c>
      <c r="AF9" t="s">
        <v>755</v>
      </c>
      <c r="AG9" t="s">
        <v>756</v>
      </c>
      <c r="AH9" t="s">
        <v>757</v>
      </c>
      <c r="AI9" t="s">
        <v>758</v>
      </c>
      <c r="AJ9" t="s">
        <v>759</v>
      </c>
      <c r="AK9" t="s">
        <v>41</v>
      </c>
      <c r="AL9" t="s">
        <v>760</v>
      </c>
      <c r="AM9" t="s">
        <v>41</v>
      </c>
      <c r="AN9" t="s">
        <v>761</v>
      </c>
      <c r="AO9" t="s">
        <v>762</v>
      </c>
      <c r="AP9" t="s">
        <v>238</v>
      </c>
      <c r="AQ9" t="s">
        <v>763</v>
      </c>
      <c r="AR9" t="s">
        <v>41</v>
      </c>
      <c r="AS9" t="s">
        <v>764</v>
      </c>
      <c r="AT9" t="s">
        <v>765</v>
      </c>
      <c r="AU9" t="s">
        <v>766</v>
      </c>
      <c r="AV9" t="s">
        <v>767</v>
      </c>
      <c r="AW9" t="s">
        <v>520</v>
      </c>
      <c r="AX9" t="s">
        <v>411</v>
      </c>
      <c r="AY9" t="s">
        <v>256</v>
      </c>
      <c r="AZ9" t="s">
        <v>232</v>
      </c>
      <c r="BA9" t="s">
        <v>234</v>
      </c>
      <c r="BB9" t="s">
        <v>235</v>
      </c>
      <c r="BC9" t="s">
        <v>768</v>
      </c>
      <c r="BD9" t="s">
        <v>257</v>
      </c>
      <c r="BE9" t="s">
        <v>233</v>
      </c>
      <c r="BF9" t="s">
        <v>236</v>
      </c>
      <c r="BG9" t="s">
        <v>60</v>
      </c>
      <c r="BH9" t="s">
        <v>749</v>
      </c>
      <c r="BI9" t="s">
        <v>769</v>
      </c>
      <c r="BJ9" t="s">
        <v>411</v>
      </c>
      <c r="BK9" t="s">
        <v>750</v>
      </c>
      <c r="BL9" t="s">
        <v>770</v>
      </c>
      <c r="BM9" t="s">
        <v>768</v>
      </c>
      <c r="BN9" t="s">
        <v>41</v>
      </c>
      <c r="BO9" t="s">
        <v>41</v>
      </c>
      <c r="BP9" t="s">
        <v>41</v>
      </c>
      <c r="BQ9" t="s">
        <v>41</v>
      </c>
      <c r="BR9" t="s">
        <v>41</v>
      </c>
      <c r="BS9">
        <v>-4067.58</v>
      </c>
      <c r="BT9" t="s">
        <v>389</v>
      </c>
      <c r="BU9" t="s">
        <v>564</v>
      </c>
      <c r="BV9">
        <v>-14.32</v>
      </c>
      <c r="BW9">
        <v>-27.55</v>
      </c>
      <c r="BX9">
        <v>-25.18</v>
      </c>
      <c r="BY9">
        <v>111.22</v>
      </c>
      <c r="BZ9">
        <v>-99.52</v>
      </c>
      <c r="CA9">
        <v>-40.1</v>
      </c>
      <c r="CB9">
        <v>0.34</v>
      </c>
      <c r="CC9">
        <v>-7.03</v>
      </c>
      <c r="CD9" t="s">
        <v>615</v>
      </c>
      <c r="CE9" t="s">
        <v>771</v>
      </c>
      <c r="CF9" s="10">
        <v>-0.36081560283687941</v>
      </c>
      <c r="CG9" s="11">
        <v>0.95860518744698897</v>
      </c>
      <c r="CH9" s="10">
        <v>-0.51494967937469482</v>
      </c>
      <c r="CI9" s="10">
        <v>-0.6976085901260376</v>
      </c>
      <c r="CJ9" s="10">
        <v>-3.0427500605583191E-2</v>
      </c>
      <c r="CK9" s="10">
        <v>1.0053021907806396</v>
      </c>
      <c r="CL9" s="10">
        <v>0.10875961184501648</v>
      </c>
      <c r="CM9" s="11">
        <v>1.6371582746505737</v>
      </c>
      <c r="CN9" s="11">
        <v>0.28869757056236267</v>
      </c>
      <c r="CO9" s="11">
        <v>-4.2762880325317383</v>
      </c>
      <c r="CP9" s="11">
        <v>2.4875528812408447</v>
      </c>
      <c r="CQ9" s="11">
        <v>7.5336794853210449</v>
      </c>
      <c r="CR9">
        <v>-10.088522371364654</v>
      </c>
      <c r="CS9">
        <v>-3.9125860646811397</v>
      </c>
      <c r="CT9">
        <v>0</v>
      </c>
      <c r="CU9" s="10">
        <v>-2.5784793496131896E-2</v>
      </c>
      <c r="CV9" s="11">
        <v>1.5341600358486176</v>
      </c>
      <c r="CW9">
        <v>0.06</v>
      </c>
      <c r="CX9" t="e">
        <v>#VALUE!</v>
      </c>
      <c r="CY9" t="s">
        <v>673</v>
      </c>
      <c r="CZ9">
        <v>-2.5784793496131896E-2</v>
      </c>
      <c r="DA9">
        <v>1.0779074139211318</v>
      </c>
      <c r="DB9" t="s">
        <v>772</v>
      </c>
      <c r="DC9">
        <v>-2.4495553821325299E-2</v>
      </c>
      <c r="DD9">
        <v>0.53895370696056588</v>
      </c>
      <c r="DE9" t="s">
        <v>773</v>
      </c>
      <c r="DF9">
        <v>-2.2690618276596068E-2</v>
      </c>
      <c r="DG9">
        <v>0.32337222417633954</v>
      </c>
      <c r="DH9" t="s">
        <v>774</v>
      </c>
      <c r="DI9">
        <v>-2.0627834796905518E-2</v>
      </c>
      <c r="DJ9">
        <v>0.16168611208816977</v>
      </c>
      <c r="DK9" t="s">
        <v>775</v>
      </c>
      <c r="DL9">
        <v>-1.8049355447292328E-2</v>
      </c>
      <c r="DM9">
        <v>8529000000.000001</v>
      </c>
      <c r="DN9">
        <v>-2.5784793496131896E-2</v>
      </c>
      <c r="DO9">
        <v>27580417000</v>
      </c>
      <c r="DP9">
        <v>626145200</v>
      </c>
      <c r="DQ9">
        <v>667</v>
      </c>
      <c r="DR9">
        <v>-0.33503080934074753</v>
      </c>
      <c r="DS9">
        <v>-0.57555484840162863</v>
      </c>
      <c r="DT9" s="12">
        <v>-0.67333333333333334</v>
      </c>
      <c r="DU9">
        <v>0.18549999999999991</v>
      </c>
      <c r="DV9">
        <v>-0.48783333333333345</v>
      </c>
      <c r="DW9">
        <v>-2.0703</v>
      </c>
      <c r="DX9">
        <v>0.24856405359578901</v>
      </c>
      <c r="DY9">
        <v>-2.0062260529677838</v>
      </c>
      <c r="DZ9">
        <v>2858</v>
      </c>
      <c r="EA9">
        <v>-2.0027438495662326</v>
      </c>
      <c r="EB9">
        <v>2</v>
      </c>
      <c r="EC9">
        <v>2.2155108495340862E-2</v>
      </c>
      <c r="ED9">
        <v>0.25015913767069342</v>
      </c>
      <c r="EE9" s="13">
        <v>1.0335099999999999</v>
      </c>
      <c r="EF9">
        <v>1.0698099999999999</v>
      </c>
      <c r="EG9">
        <v>16.088564053595789</v>
      </c>
      <c r="EH9" t="s">
        <v>776</v>
      </c>
      <c r="EI9">
        <v>0</v>
      </c>
      <c r="EJ9">
        <v>0</v>
      </c>
      <c r="EK9" s="9">
        <v>45470</v>
      </c>
      <c r="EL9" s="14">
        <v>-0.93</v>
      </c>
      <c r="EM9" s="14">
        <v>-5.33</v>
      </c>
      <c r="EN9" s="14">
        <v>-0.33</v>
      </c>
      <c r="EO9" s="14">
        <v>0.66</v>
      </c>
      <c r="EP9" s="14">
        <v>-3.63</v>
      </c>
    </row>
    <row r="10" spans="1:146" ht="84" x14ac:dyDescent="0.25">
      <c r="A10" s="7"/>
      <c r="B10" s="7"/>
      <c r="C10" s="7" t="str">
        <f>""&amp;CHAR(10)&amp;Basic_Fundamental_Information_Constructure(F10)&amp;CHAR(10)&amp;Basic_Fundamental_Information_Concatenate("")</f>
        <v xml:space="preserve">
市值31.231939亿, 利润-3.86亿; PE; 平均PE14.79; 平均PEG1.31, PB1.39; ROIC1%; ROE-6.1733%; 股利率0%; 毛利4.63%; 净利-15.16%; 上一年度营收增28.9%, 利润增14.6%; 当季营收增-9.69%, 利润增-161.39%; 过往5年营收增11.32%, 利润增-167.33%
Income profile:
</v>
      </c>
      <c r="D10" t="s">
        <v>36</v>
      </c>
      <c r="E10" t="s">
        <v>14</v>
      </c>
      <c r="F10">
        <v>8.9499999999999993</v>
      </c>
      <c r="G10">
        <v>-0.22</v>
      </c>
      <c r="H10" t="s">
        <v>777</v>
      </c>
      <c r="I10">
        <v>3123193900</v>
      </c>
      <c r="K10">
        <v>1.39</v>
      </c>
      <c r="L10" t="s">
        <v>24</v>
      </c>
      <c r="M10" t="s">
        <v>763</v>
      </c>
      <c r="N10" t="s">
        <v>778</v>
      </c>
      <c r="O10" t="s">
        <v>779</v>
      </c>
      <c r="P10">
        <v>-9.5500000000000007</v>
      </c>
      <c r="Q10" t="s">
        <v>780</v>
      </c>
      <c r="R10">
        <v>-34906930</v>
      </c>
      <c r="S10" s="5">
        <v>-1.6140000000000001</v>
      </c>
      <c r="T10" t="s">
        <v>781</v>
      </c>
      <c r="U10">
        <v>302577590</v>
      </c>
      <c r="V10">
        <v>348960210</v>
      </c>
      <c r="W10">
        <v>1.69</v>
      </c>
      <c r="X10">
        <v>0.14000000000000001</v>
      </c>
      <c r="Y10">
        <v>-6.78</v>
      </c>
      <c r="Z10" t="s">
        <v>782</v>
      </c>
      <c r="AA10" t="s">
        <v>523</v>
      </c>
      <c r="AB10" t="s">
        <v>783</v>
      </c>
      <c r="AC10" t="s">
        <v>784</v>
      </c>
      <c r="AD10" t="s">
        <v>41</v>
      </c>
      <c r="AE10">
        <v>7427150</v>
      </c>
      <c r="AF10" t="s">
        <v>785</v>
      </c>
      <c r="AG10" t="s">
        <v>786</v>
      </c>
      <c r="AH10" t="s">
        <v>787</v>
      </c>
      <c r="AI10" t="s">
        <v>788</v>
      </c>
      <c r="AJ10" t="s">
        <v>789</v>
      </c>
      <c r="AK10" t="s">
        <v>41</v>
      </c>
      <c r="AL10" t="s">
        <v>790</v>
      </c>
      <c r="AM10" t="s">
        <v>41</v>
      </c>
      <c r="AN10" t="s">
        <v>791</v>
      </c>
      <c r="AO10" t="s">
        <v>792</v>
      </c>
      <c r="AP10" t="s">
        <v>793</v>
      </c>
      <c r="AQ10" t="s">
        <v>435</v>
      </c>
      <c r="AR10" t="s">
        <v>41</v>
      </c>
      <c r="AS10" t="s">
        <v>794</v>
      </c>
      <c r="AT10" t="s">
        <v>41</v>
      </c>
      <c r="AU10" t="s">
        <v>795</v>
      </c>
      <c r="AV10" t="s">
        <v>796</v>
      </c>
      <c r="AW10" t="s">
        <v>797</v>
      </c>
      <c r="AX10" t="s">
        <v>413</v>
      </c>
      <c r="AY10" t="s">
        <v>258</v>
      </c>
      <c r="AZ10" t="s">
        <v>140</v>
      </c>
      <c r="BA10" t="s">
        <v>62</v>
      </c>
      <c r="BB10" t="s">
        <v>142</v>
      </c>
      <c r="BC10" t="s">
        <v>414</v>
      </c>
      <c r="BD10" t="s">
        <v>259</v>
      </c>
      <c r="BE10" t="s">
        <v>141</v>
      </c>
      <c r="BF10" t="s">
        <v>63</v>
      </c>
      <c r="BG10" t="s">
        <v>143</v>
      </c>
      <c r="BH10" t="s">
        <v>780</v>
      </c>
      <c r="BI10" t="s">
        <v>426</v>
      </c>
      <c r="BJ10" t="s">
        <v>413</v>
      </c>
      <c r="BK10" t="s">
        <v>781</v>
      </c>
      <c r="BL10" t="s">
        <v>798</v>
      </c>
      <c r="BM10" t="s">
        <v>414</v>
      </c>
      <c r="BN10" t="s">
        <v>41</v>
      </c>
      <c r="BO10" t="s">
        <v>41</v>
      </c>
      <c r="BP10">
        <v>1</v>
      </c>
      <c r="BQ10">
        <v>-4.51</v>
      </c>
      <c r="BR10">
        <v>-15.59</v>
      </c>
      <c r="BS10">
        <v>1.58</v>
      </c>
      <c r="BT10" t="s">
        <v>389</v>
      </c>
      <c r="BU10" t="s">
        <v>799</v>
      </c>
      <c r="BV10">
        <v>3.28</v>
      </c>
      <c r="BW10">
        <v>-7.46</v>
      </c>
      <c r="BX10">
        <v>18.07</v>
      </c>
      <c r="BY10">
        <v>-18.98</v>
      </c>
      <c r="BZ10">
        <v>-28.9</v>
      </c>
      <c r="CA10">
        <v>2.4</v>
      </c>
      <c r="CB10">
        <v>-5.59</v>
      </c>
      <c r="CC10">
        <v>-17.510000000000002</v>
      </c>
      <c r="CD10" t="s">
        <v>800</v>
      </c>
      <c r="CE10" t="s">
        <v>194</v>
      </c>
      <c r="CF10" s="10">
        <v>-9.6885813148788927E-2</v>
      </c>
      <c r="CG10" s="11">
        <v>-1.6139479215217258</v>
      </c>
      <c r="CH10" s="10">
        <v>0.28899943828582764</v>
      </c>
      <c r="CI10" s="10">
        <v>-9.3521192669868469E-2</v>
      </c>
      <c r="CJ10" s="10">
        <v>5.5291358381509781E-2</v>
      </c>
      <c r="CK10" s="10">
        <v>-0.48656898736953735</v>
      </c>
      <c r="CL10" s="10">
        <v>0.80198019742965698</v>
      </c>
      <c r="CM10" s="11">
        <v>0.14601770043373108</v>
      </c>
      <c r="CN10" s="11">
        <v>-10.493863105773926</v>
      </c>
      <c r="CO10" s="11">
        <v>-0.28595125675201416</v>
      </c>
      <c r="CP10" s="11">
        <v>-0.95858651399612427</v>
      </c>
      <c r="CQ10" s="11">
        <v>3.2257215976715088</v>
      </c>
      <c r="CR10">
        <v>14.786853379672801</v>
      </c>
      <c r="CS10">
        <v>1.3058419689022498</v>
      </c>
      <c r="CT10">
        <v>0</v>
      </c>
      <c r="CU10" s="10">
        <v>0.11323616281151772</v>
      </c>
      <c r="CV10" s="11">
        <v>-1.6733323156833648</v>
      </c>
      <c r="CW10">
        <v>0.06</v>
      </c>
      <c r="CX10" t="e">
        <v>#VALUE!</v>
      </c>
      <c r="CY10" t="s">
        <v>300</v>
      </c>
      <c r="CZ10">
        <v>0.11323616281151772</v>
      </c>
      <c r="DA10" t="e">
        <v>#VALUE!</v>
      </c>
      <c r="DB10" t="s">
        <v>301</v>
      </c>
      <c r="DC10">
        <v>0.10757435467094183</v>
      </c>
      <c r="DD10" t="e">
        <v>#VALUE!</v>
      </c>
      <c r="DE10" t="s">
        <v>301</v>
      </c>
      <c r="DF10">
        <v>9.9647823274135586E-2</v>
      </c>
      <c r="DG10" t="e">
        <v>#VALUE!</v>
      </c>
      <c r="DH10" t="s">
        <v>301</v>
      </c>
      <c r="DI10">
        <v>9.0588930249214175E-2</v>
      </c>
      <c r="DJ10" t="e">
        <v>#VALUE!</v>
      </c>
      <c r="DK10" t="s">
        <v>301</v>
      </c>
      <c r="DL10">
        <v>7.9265313968062398E-2</v>
      </c>
      <c r="DM10">
        <v>-386000000</v>
      </c>
      <c r="DN10">
        <v>0.11323616281151772</v>
      </c>
      <c r="DO10">
        <v>2363193900</v>
      </c>
      <c r="DP10">
        <v>-85272600</v>
      </c>
      <c r="DQ10">
        <v>743</v>
      </c>
      <c r="DR10">
        <v>-0.21012197596030663</v>
      </c>
      <c r="DS10">
        <v>5.9384394161638987E-2</v>
      </c>
      <c r="DT10" s="12">
        <v>-0.19000000000000003</v>
      </c>
      <c r="DU10">
        <v>-2.0483333333333333</v>
      </c>
      <c r="DV10">
        <v>-2.2383333333333333</v>
      </c>
      <c r="DW10">
        <v>-8.3192461450599655</v>
      </c>
      <c r="DX10">
        <v>0.39947685950413286</v>
      </c>
      <c r="DY10">
        <v>-8.0317576039193668</v>
      </c>
      <c r="DZ10">
        <v>4547</v>
      </c>
      <c r="EA10">
        <v>-8.0034989297468897</v>
      </c>
      <c r="EB10">
        <v>8</v>
      </c>
      <c r="EC10">
        <v>3.4493044350242683E-2</v>
      </c>
      <c r="ED10">
        <v>0.34674440389636402</v>
      </c>
      <c r="EE10" s="13">
        <v>-2.0286</v>
      </c>
      <c r="EF10">
        <v>-2.0286</v>
      </c>
      <c r="EG10">
        <v>30.099476859504133</v>
      </c>
      <c r="EH10" t="s">
        <v>678</v>
      </c>
      <c r="EI10">
        <v>0</v>
      </c>
      <c r="EJ10">
        <v>0</v>
      </c>
      <c r="EK10" s="9">
        <v>45470</v>
      </c>
      <c r="EL10" s="14">
        <v>0</v>
      </c>
      <c r="EM10" s="14">
        <v>-1.1499999999999999</v>
      </c>
      <c r="EN10" s="14">
        <v>-0.74</v>
      </c>
      <c r="EO10" s="14">
        <v>1.91</v>
      </c>
      <c r="EP10" s="14">
        <v>0</v>
      </c>
    </row>
    <row r="11" spans="1:146" ht="84" x14ac:dyDescent="0.25">
      <c r="A11" s="7"/>
      <c r="B11" s="7"/>
      <c r="C11" s="7" t="str">
        <f>""&amp;CHAR(10)&amp;Basic_Fundamental_Information_Constructure(F11)&amp;CHAR(10)&amp;Basic_Fundamental_Information_Concatenate("")</f>
        <v xml:space="preserve">
市值154.92768亿, 利润6.64亿; PE30.21; 平均PE10.15; 平均PEG.98, PB1.51; ROIC4.47%; ROE5.35%; 股利率2.4077%; 毛利9.28%; 净利2.9667%; 上一年度营收增9.93%, 利润增61.56%; 当季营收增-7.1%, 利润增11.8%; 过往5年营收增10.38%, 利润增19.41%
Income profile:
</v>
      </c>
      <c r="D11" t="s">
        <v>33</v>
      </c>
      <c r="E11" t="s">
        <v>15</v>
      </c>
      <c r="F11">
        <v>12.46</v>
      </c>
      <c r="G11">
        <v>-0.64</v>
      </c>
      <c r="H11" t="s">
        <v>801</v>
      </c>
      <c r="I11">
        <v>15492768000</v>
      </c>
      <c r="J11">
        <v>30.21</v>
      </c>
      <c r="K11">
        <v>1.51</v>
      </c>
      <c r="L11" t="s">
        <v>24</v>
      </c>
      <c r="M11" t="s">
        <v>802</v>
      </c>
      <c r="N11" t="s">
        <v>803</v>
      </c>
      <c r="O11" t="s">
        <v>804</v>
      </c>
      <c r="P11">
        <v>-7.1</v>
      </c>
      <c r="Q11" t="s">
        <v>805</v>
      </c>
      <c r="R11">
        <v>100000000</v>
      </c>
      <c r="S11" s="5">
        <v>-1.6919999999999999</v>
      </c>
      <c r="T11" t="s">
        <v>806</v>
      </c>
      <c r="U11">
        <v>1225368560</v>
      </c>
      <c r="V11">
        <v>1243400300</v>
      </c>
      <c r="W11">
        <v>2.29</v>
      </c>
      <c r="X11">
        <v>0.18</v>
      </c>
      <c r="Y11">
        <v>-1.69</v>
      </c>
      <c r="Z11" t="s">
        <v>807</v>
      </c>
      <c r="AA11" t="s">
        <v>808</v>
      </c>
      <c r="AB11" t="s">
        <v>196</v>
      </c>
      <c r="AC11" t="s">
        <v>113</v>
      </c>
      <c r="AD11" t="s">
        <v>41</v>
      </c>
      <c r="AE11">
        <v>47854658</v>
      </c>
      <c r="AF11" t="s">
        <v>809</v>
      </c>
      <c r="AG11" t="s">
        <v>810</v>
      </c>
      <c r="AH11" t="s">
        <v>811</v>
      </c>
      <c r="AI11" t="s">
        <v>812</v>
      </c>
      <c r="AJ11" t="s">
        <v>813</v>
      </c>
      <c r="AK11" t="s">
        <v>41</v>
      </c>
      <c r="AL11" t="s">
        <v>814</v>
      </c>
      <c r="AM11" t="s">
        <v>41</v>
      </c>
      <c r="AN11" t="s">
        <v>815</v>
      </c>
      <c r="AO11" t="s">
        <v>816</v>
      </c>
      <c r="AP11" t="s">
        <v>817</v>
      </c>
      <c r="AQ11" t="s">
        <v>818</v>
      </c>
      <c r="AR11" t="s">
        <v>41</v>
      </c>
      <c r="AS11" t="s">
        <v>819</v>
      </c>
      <c r="AT11" t="s">
        <v>820</v>
      </c>
      <c r="AU11" t="s">
        <v>821</v>
      </c>
      <c r="AV11" t="s">
        <v>822</v>
      </c>
      <c r="AW11" t="s">
        <v>484</v>
      </c>
      <c r="AX11" t="s">
        <v>418</v>
      </c>
      <c r="AY11" t="s">
        <v>260</v>
      </c>
      <c r="AZ11" t="s">
        <v>144</v>
      </c>
      <c r="BA11" t="s">
        <v>65</v>
      </c>
      <c r="BB11" t="s">
        <v>147</v>
      </c>
      <c r="BC11" t="s">
        <v>419</v>
      </c>
      <c r="BD11" t="s">
        <v>261</v>
      </c>
      <c r="BE11" t="s">
        <v>145</v>
      </c>
      <c r="BF11" t="s">
        <v>66</v>
      </c>
      <c r="BG11" t="s">
        <v>148</v>
      </c>
      <c r="BH11" t="s">
        <v>805</v>
      </c>
      <c r="BI11" t="s">
        <v>823</v>
      </c>
      <c r="BJ11" t="s">
        <v>418</v>
      </c>
      <c r="BK11" t="s">
        <v>806</v>
      </c>
      <c r="BL11" t="s">
        <v>824</v>
      </c>
      <c r="BM11" t="s">
        <v>419</v>
      </c>
      <c r="BN11">
        <v>4.95</v>
      </c>
      <c r="BO11">
        <v>3.9</v>
      </c>
      <c r="BP11">
        <v>4.5599999999999996</v>
      </c>
      <c r="BQ11">
        <v>7.29</v>
      </c>
      <c r="BR11">
        <v>4.1500000000000004</v>
      </c>
      <c r="BS11">
        <v>4.6100000000000003</v>
      </c>
      <c r="BT11" t="s">
        <v>825</v>
      </c>
      <c r="BU11" t="s">
        <v>799</v>
      </c>
      <c r="BV11">
        <v>10.56</v>
      </c>
      <c r="BW11">
        <v>8.57</v>
      </c>
      <c r="BX11">
        <v>8.7100000000000009</v>
      </c>
      <c r="BY11">
        <v>3.37</v>
      </c>
      <c r="BZ11">
        <v>2.41</v>
      </c>
      <c r="CA11">
        <v>3.12</v>
      </c>
      <c r="CB11">
        <v>-8.65</v>
      </c>
      <c r="CC11">
        <v>-26.32</v>
      </c>
      <c r="CD11" t="s">
        <v>826</v>
      </c>
      <c r="CE11" t="s">
        <v>416</v>
      </c>
      <c r="CF11" s="10">
        <v>-7.0972007934758649E-2</v>
      </c>
      <c r="CG11" s="11">
        <v>0.1179654816977871</v>
      </c>
      <c r="CH11" s="10">
        <v>9.9304191768169403E-2</v>
      </c>
      <c r="CI11" s="10">
        <v>0.16155548393726349</v>
      </c>
      <c r="CJ11" s="10">
        <v>5.3328458219766617E-2</v>
      </c>
      <c r="CK11" s="10">
        <v>-5.5845562368631363E-2</v>
      </c>
      <c r="CL11" s="10">
        <v>0.26076039671897888</v>
      </c>
      <c r="CM11" s="11">
        <v>0.61557179689407349</v>
      </c>
      <c r="CN11" s="11">
        <v>-8.2589283585548401E-2</v>
      </c>
      <c r="CO11" s="11">
        <v>-0.78049975633621216</v>
      </c>
      <c r="CP11" s="11">
        <v>-0.50134378671646118</v>
      </c>
      <c r="CQ11" s="11">
        <v>1.7196013927459717</v>
      </c>
      <c r="CR11">
        <v>10.14588605108055</v>
      </c>
      <c r="CS11">
        <v>0.97725178540059643</v>
      </c>
      <c r="CT11">
        <v>2.407704654895666</v>
      </c>
      <c r="CU11" s="10">
        <v>0.1038205936551094</v>
      </c>
      <c r="CV11" s="11">
        <v>0.19414807260036468</v>
      </c>
      <c r="CW11">
        <v>0.06</v>
      </c>
      <c r="CX11">
        <v>25.198887831215863</v>
      </c>
      <c r="CY11">
        <v>691449881.3084836</v>
      </c>
      <c r="CZ11">
        <v>0.1038205936551094</v>
      </c>
      <c r="DA11">
        <v>8.1391012632014856</v>
      </c>
      <c r="DB11">
        <v>2140748399.1846077</v>
      </c>
      <c r="DC11">
        <v>9.8629563972353923E-2</v>
      </c>
      <c r="DD11">
        <v>3.9442451429710399</v>
      </c>
      <c r="DE11">
        <v>4417516500.2232552</v>
      </c>
      <c r="DF11">
        <v>9.1362122416496272E-2</v>
      </c>
      <c r="DG11">
        <v>2.326730098387189</v>
      </c>
      <c r="DH11">
        <v>7488521342.4958782</v>
      </c>
      <c r="DI11">
        <v>8.305647492408752E-2</v>
      </c>
      <c r="DJ11">
        <v>1.1553746458672334</v>
      </c>
      <c r="DK11">
        <v>15080621738.000475</v>
      </c>
      <c r="DL11">
        <v>7.267441555857658E-2</v>
      </c>
      <c r="DM11">
        <v>664000000</v>
      </c>
      <c r="DN11">
        <v>0.1038205936551094</v>
      </c>
      <c r="DO11">
        <v>17423768000</v>
      </c>
      <c r="DP11">
        <v>-3900804700</v>
      </c>
      <c r="DQ11">
        <v>806</v>
      </c>
      <c r="DR11">
        <v>-0.17479260158986804</v>
      </c>
      <c r="DS11">
        <v>-7.6182590902577577E-2</v>
      </c>
      <c r="DT11" s="12">
        <v>-0.19000000000000003</v>
      </c>
      <c r="DU11">
        <v>0.15</v>
      </c>
      <c r="DV11">
        <v>-4.0000000000000036E-2</v>
      </c>
      <c r="DW11">
        <v>-9.3286474164133733</v>
      </c>
      <c r="DX11">
        <v>0.44736113360323798</v>
      </c>
      <c r="DY11">
        <v>-9.0878675458080558</v>
      </c>
      <c r="DZ11">
        <v>3495</v>
      </c>
      <c r="EA11">
        <v>-9.027770271326812</v>
      </c>
      <c r="EB11">
        <v>9</v>
      </c>
      <c r="EC11">
        <v>5.311097319181924E-2</v>
      </c>
      <c r="ED11">
        <v>0.19864881808376597</v>
      </c>
      <c r="EE11" s="13">
        <v>-1.08751</v>
      </c>
      <c r="EF11">
        <v>-1.1064099999999999</v>
      </c>
      <c r="EG11">
        <v>18.267361133603238</v>
      </c>
      <c r="EH11" t="s">
        <v>421</v>
      </c>
      <c r="EI11">
        <v>0</v>
      </c>
      <c r="EJ11">
        <v>0</v>
      </c>
      <c r="EK11" s="9">
        <v>45470</v>
      </c>
      <c r="EL11" s="14">
        <v>-0.93</v>
      </c>
      <c r="EM11" s="14">
        <v>-1.68</v>
      </c>
      <c r="EN11" s="14">
        <v>-1.3</v>
      </c>
      <c r="EO11" s="14">
        <v>-0.9</v>
      </c>
      <c r="EP11" s="14">
        <v>-1.89</v>
      </c>
    </row>
    <row r="12" spans="1:146" ht="84" x14ac:dyDescent="0.25">
      <c r="A12" s="7"/>
      <c r="B12" s="7"/>
      <c r="C12" s="7" t="str">
        <f>""&amp;CHAR(10)&amp;Basic_Fundamental_Information_Constructure(F12)&amp;CHAR(10)&amp;Basic_Fundamental_Information_Concatenate("")</f>
        <v xml:space="preserve">
市值31.780062亿, 利润-3183.70万; PE; 平均PE-4.49; 平均PEG-1.16, PB3.22; ROIC4.75%; ROE-600.3167%; 股利率0%; 毛利6.14%; 净利-32.3167%; 上一年度营收增27.85%, 利润增94.67%; 当季营收增22.64%, 利润增-76.71%; 过往5年营收增-3.89%, 利润增-436.38%
Income profile:
</v>
      </c>
      <c r="D12" t="s">
        <v>29</v>
      </c>
      <c r="E12" t="s">
        <v>498</v>
      </c>
      <c r="F12">
        <v>1.49</v>
      </c>
      <c r="G12">
        <v>-0.67</v>
      </c>
      <c r="H12" t="s">
        <v>827</v>
      </c>
      <c r="I12">
        <v>3178006200</v>
      </c>
      <c r="K12">
        <v>3.22</v>
      </c>
      <c r="L12" t="s">
        <v>24</v>
      </c>
      <c r="M12" t="s">
        <v>828</v>
      </c>
      <c r="N12" t="s">
        <v>829</v>
      </c>
      <c r="O12" t="s">
        <v>830</v>
      </c>
      <c r="P12">
        <v>22.64</v>
      </c>
      <c r="Q12" t="s">
        <v>831</v>
      </c>
      <c r="R12">
        <v>1116865</v>
      </c>
      <c r="S12" s="5">
        <v>-0.7671</v>
      </c>
      <c r="T12" t="s">
        <v>832</v>
      </c>
      <c r="U12">
        <v>2124212100</v>
      </c>
      <c r="V12">
        <v>2132890100</v>
      </c>
      <c r="W12">
        <v>2.69</v>
      </c>
      <c r="X12">
        <v>0.2</v>
      </c>
      <c r="Y12">
        <v>2.71</v>
      </c>
      <c r="Z12" t="s">
        <v>833</v>
      </c>
      <c r="AA12" t="s">
        <v>834</v>
      </c>
      <c r="AB12" t="s">
        <v>835</v>
      </c>
      <c r="AC12" t="s">
        <v>836</v>
      </c>
      <c r="AD12" t="s">
        <v>41</v>
      </c>
      <c r="AE12">
        <v>18306878</v>
      </c>
      <c r="AF12" t="s">
        <v>837</v>
      </c>
      <c r="AG12" t="s">
        <v>41</v>
      </c>
      <c r="AH12" t="s">
        <v>838</v>
      </c>
      <c r="AI12" t="s">
        <v>839</v>
      </c>
      <c r="AJ12" t="s">
        <v>840</v>
      </c>
      <c r="AK12" t="s">
        <v>41</v>
      </c>
      <c r="AL12" t="s">
        <v>841</v>
      </c>
      <c r="AM12" t="s">
        <v>41</v>
      </c>
      <c r="AN12" t="s">
        <v>842</v>
      </c>
      <c r="AO12" t="s">
        <v>843</v>
      </c>
      <c r="AP12" t="s">
        <v>844</v>
      </c>
      <c r="AQ12" t="s">
        <v>845</v>
      </c>
      <c r="AR12" t="s">
        <v>846</v>
      </c>
      <c r="AS12" t="s">
        <v>847</v>
      </c>
      <c r="AT12" t="s">
        <v>613</v>
      </c>
      <c r="AU12" t="s">
        <v>848</v>
      </c>
      <c r="AV12" t="s">
        <v>849</v>
      </c>
      <c r="AW12" t="s">
        <v>850</v>
      </c>
      <c r="AX12" t="s">
        <v>422</v>
      </c>
      <c r="AY12" t="s">
        <v>262</v>
      </c>
      <c r="AZ12" t="s">
        <v>149</v>
      </c>
      <c r="BA12" t="s">
        <v>68</v>
      </c>
      <c r="BB12" t="s">
        <v>150</v>
      </c>
      <c r="BC12" t="s">
        <v>423</v>
      </c>
      <c r="BD12" t="s">
        <v>263</v>
      </c>
      <c r="BE12" t="s">
        <v>264</v>
      </c>
      <c r="BF12" t="s">
        <v>69</v>
      </c>
      <c r="BG12" t="s">
        <v>151</v>
      </c>
      <c r="BH12" t="s">
        <v>831</v>
      </c>
      <c r="BI12" t="s">
        <v>851</v>
      </c>
      <c r="BJ12" t="s">
        <v>422</v>
      </c>
      <c r="BK12" t="s">
        <v>832</v>
      </c>
      <c r="BL12" t="s">
        <v>852</v>
      </c>
      <c r="BM12" t="s">
        <v>423</v>
      </c>
      <c r="BN12">
        <v>4.75</v>
      </c>
      <c r="BO12" t="s">
        <v>41</v>
      </c>
      <c r="BP12" t="s">
        <v>41</v>
      </c>
      <c r="BQ12">
        <v>1.55</v>
      </c>
      <c r="BR12">
        <v>-45.63</v>
      </c>
      <c r="BS12">
        <v>-1756.87</v>
      </c>
      <c r="BT12" t="s">
        <v>389</v>
      </c>
      <c r="BU12" t="s">
        <v>853</v>
      </c>
      <c r="BV12">
        <v>9.11</v>
      </c>
      <c r="BW12">
        <v>7.44</v>
      </c>
      <c r="BX12">
        <v>1.87</v>
      </c>
      <c r="BY12">
        <v>1.56</v>
      </c>
      <c r="BZ12">
        <v>-19.07</v>
      </c>
      <c r="CA12">
        <v>-79.44</v>
      </c>
      <c r="CB12">
        <v>4.2</v>
      </c>
      <c r="CC12">
        <v>-13.87</v>
      </c>
      <c r="CD12" t="s">
        <v>854</v>
      </c>
      <c r="CE12" t="s">
        <v>855</v>
      </c>
      <c r="CF12" s="10">
        <v>0.22644628099173553</v>
      </c>
      <c r="CG12" s="11">
        <v>-0.76705287308374182</v>
      </c>
      <c r="CH12" s="10">
        <v>0.27846795320510864</v>
      </c>
      <c r="CI12" s="10">
        <v>-9.2105306684970856E-2</v>
      </c>
      <c r="CJ12" s="10">
        <v>2.1113201975822449E-2</v>
      </c>
      <c r="CK12" s="10">
        <v>-0.43349039554595947</v>
      </c>
      <c r="CL12" s="10">
        <v>3.159467875957489E-2</v>
      </c>
      <c r="CM12" s="11">
        <v>0.94667172431945801</v>
      </c>
      <c r="CN12" s="11">
        <v>0.76477545499801636</v>
      </c>
      <c r="CO12" s="11">
        <v>-1.2185313701629639</v>
      </c>
      <c r="CP12" s="11">
        <v>-20.872217178344727</v>
      </c>
      <c r="CQ12" s="11">
        <v>-1.4395277500152588</v>
      </c>
      <c r="CR12">
        <v>-4.4927909083506368</v>
      </c>
      <c r="CS12">
        <v>-1.1554351280701691</v>
      </c>
      <c r="CT12">
        <v>0</v>
      </c>
      <c r="CU12" s="10">
        <v>-3.8883973658084867E-2</v>
      </c>
      <c r="CV12" s="11">
        <v>-4.3637658238410948</v>
      </c>
      <c r="CW12">
        <v>0.06</v>
      </c>
      <c r="CX12" t="e">
        <v>#VALUE!</v>
      </c>
      <c r="CY12" t="s">
        <v>301</v>
      </c>
      <c r="CZ12">
        <v>-3.8883973658084867E-2</v>
      </c>
      <c r="DA12" t="e">
        <v>#VALUE!</v>
      </c>
      <c r="DB12" t="s">
        <v>301</v>
      </c>
      <c r="DC12">
        <v>-3.6939774975180618E-2</v>
      </c>
      <c r="DD12" t="e">
        <v>#VALUE!</v>
      </c>
      <c r="DE12" t="s">
        <v>301</v>
      </c>
      <c r="DF12">
        <v>-3.4217896819114683E-2</v>
      </c>
      <c r="DG12" t="e">
        <v>#VALUE!</v>
      </c>
      <c r="DH12" t="s">
        <v>301</v>
      </c>
      <c r="DI12">
        <v>-3.1107178926467895E-2</v>
      </c>
      <c r="DJ12" t="e">
        <v>#VALUE!</v>
      </c>
      <c r="DK12" t="s">
        <v>301</v>
      </c>
      <c r="DL12">
        <v>-2.7218781560659405E-2</v>
      </c>
      <c r="DM12">
        <v>-31837000</v>
      </c>
      <c r="DN12">
        <v>-3.8883973658084867E-2</v>
      </c>
      <c r="DO12">
        <v>4045006200</v>
      </c>
      <c r="DP12">
        <v>842766300</v>
      </c>
      <c r="DQ12">
        <v>828</v>
      </c>
      <c r="DR12">
        <v>0.26533025464982041</v>
      </c>
      <c r="DS12">
        <v>3.596712950757353</v>
      </c>
      <c r="DT12" s="12">
        <v>-0.38999999999999996</v>
      </c>
      <c r="DU12">
        <v>-2.59</v>
      </c>
      <c r="DV12">
        <v>-2.98</v>
      </c>
      <c r="DW12">
        <v>6.2324294410625347</v>
      </c>
      <c r="DX12">
        <v>0.34961924102564035</v>
      </c>
      <c r="DY12">
        <v>6.0487216830275425</v>
      </c>
      <c r="DZ12">
        <v>4900</v>
      </c>
      <c r="EA12">
        <v>6.0020022609463375</v>
      </c>
      <c r="EB12">
        <v>6</v>
      </c>
      <c r="EC12">
        <v>3.8328979069291946E-2</v>
      </c>
      <c r="ED12">
        <v>0.18285049004634604</v>
      </c>
      <c r="EE12" s="13">
        <v>-2.1179999999999999</v>
      </c>
      <c r="EF12">
        <v>-2.1179999999999999</v>
      </c>
      <c r="EG12">
        <v>14.20961924102564</v>
      </c>
      <c r="EH12" t="s">
        <v>678</v>
      </c>
      <c r="EI12">
        <v>0</v>
      </c>
      <c r="EJ12">
        <v>0</v>
      </c>
      <c r="EK12" s="9">
        <v>45470</v>
      </c>
      <c r="EL12" s="14">
        <v>-2.86</v>
      </c>
      <c r="EM12" s="14">
        <v>3.68</v>
      </c>
      <c r="EN12" s="14">
        <v>2.13</v>
      </c>
      <c r="EO12" s="14">
        <v>0</v>
      </c>
      <c r="EP12" s="14">
        <v>0</v>
      </c>
    </row>
    <row r="13" spans="1:146" ht="84" x14ac:dyDescent="0.25">
      <c r="A13" s="7"/>
      <c r="B13" s="7"/>
      <c r="C13" s="7" t="str">
        <f>""&amp;CHAR(10)&amp;Basic_Fundamental_Information_Constructure(F13)&amp;CHAR(10)&amp;Basic_Fundamental_Information_Concatenate("")</f>
        <v xml:space="preserve">
市值93.159967亿, 利润5.41亿; PE27.7; 平均PE19.72; 平均PEG.6, PB2.17; ROIC8.395%; ROE3.5867%; 股利率2.3753%; 毛利15.4267%; 净利-.2367%; 上一年度营收增52.7%, 利润增247.41%; 当季营收增-24.84%, 利润增-65.18%; 过往5年营收增33.07%, 利润增-152.98%
Income profile:
</v>
      </c>
      <c r="D13" t="s">
        <v>34</v>
      </c>
      <c r="E13" t="s">
        <v>10</v>
      </c>
      <c r="F13">
        <v>8.42</v>
      </c>
      <c r="G13">
        <v>-0.12</v>
      </c>
      <c r="H13" t="s">
        <v>856</v>
      </c>
      <c r="I13">
        <v>9315996700</v>
      </c>
      <c r="J13">
        <v>27.7</v>
      </c>
      <c r="K13">
        <v>2.17</v>
      </c>
      <c r="L13" t="s">
        <v>24</v>
      </c>
      <c r="M13" t="s">
        <v>857</v>
      </c>
      <c r="N13" t="s">
        <v>858</v>
      </c>
      <c r="O13" t="s">
        <v>859</v>
      </c>
      <c r="P13">
        <v>-24.75</v>
      </c>
      <c r="Q13" t="s">
        <v>860</v>
      </c>
      <c r="R13">
        <v>109337522</v>
      </c>
      <c r="S13" s="5">
        <v>-0.65159999999999996</v>
      </c>
      <c r="T13" t="s">
        <v>861</v>
      </c>
      <c r="U13">
        <v>748868710</v>
      </c>
      <c r="V13">
        <v>1106412920</v>
      </c>
      <c r="W13">
        <v>1.5</v>
      </c>
      <c r="X13">
        <v>0.1</v>
      </c>
      <c r="Y13">
        <v>15.98</v>
      </c>
      <c r="Z13" t="s">
        <v>815</v>
      </c>
      <c r="AA13" t="s">
        <v>862</v>
      </c>
      <c r="AB13" t="s">
        <v>863</v>
      </c>
      <c r="AC13" t="s">
        <v>864</v>
      </c>
      <c r="AD13" t="s">
        <v>41</v>
      </c>
      <c r="AE13">
        <v>8911407</v>
      </c>
      <c r="AF13" t="s">
        <v>865</v>
      </c>
      <c r="AG13" t="s">
        <v>866</v>
      </c>
      <c r="AH13" t="s">
        <v>867</v>
      </c>
      <c r="AI13" t="s">
        <v>486</v>
      </c>
      <c r="AJ13" t="s">
        <v>868</v>
      </c>
      <c r="AK13" t="s">
        <v>869</v>
      </c>
      <c r="AL13" t="s">
        <v>870</v>
      </c>
      <c r="AM13" t="s">
        <v>41</v>
      </c>
      <c r="AN13" t="s">
        <v>454</v>
      </c>
      <c r="AO13" t="s">
        <v>871</v>
      </c>
      <c r="AP13" t="s">
        <v>78</v>
      </c>
      <c r="AQ13" t="s">
        <v>872</v>
      </c>
      <c r="AR13" t="s">
        <v>873</v>
      </c>
      <c r="AS13" t="s">
        <v>874</v>
      </c>
      <c r="AT13" t="s">
        <v>875</v>
      </c>
      <c r="AU13" t="s">
        <v>876</v>
      </c>
      <c r="AV13" t="s">
        <v>877</v>
      </c>
      <c r="AW13" t="s">
        <v>878</v>
      </c>
      <c r="AX13" t="s">
        <v>424</v>
      </c>
      <c r="AY13" t="s">
        <v>428</v>
      </c>
      <c r="AZ13" t="s">
        <v>152</v>
      </c>
      <c r="BA13" t="s">
        <v>70</v>
      </c>
      <c r="BB13" t="s">
        <v>156</v>
      </c>
      <c r="BC13" t="s">
        <v>425</v>
      </c>
      <c r="BD13" t="s">
        <v>429</v>
      </c>
      <c r="BE13" t="s">
        <v>153</v>
      </c>
      <c r="BF13" t="s">
        <v>71</v>
      </c>
      <c r="BG13" t="s">
        <v>157</v>
      </c>
      <c r="BH13" t="s">
        <v>860</v>
      </c>
      <c r="BI13" t="s">
        <v>879</v>
      </c>
      <c r="BJ13" t="s">
        <v>424</v>
      </c>
      <c r="BK13" t="s">
        <v>861</v>
      </c>
      <c r="BL13" t="s">
        <v>880</v>
      </c>
      <c r="BM13" t="s">
        <v>425</v>
      </c>
      <c r="BN13">
        <v>15.71</v>
      </c>
      <c r="BO13" t="s">
        <v>41</v>
      </c>
      <c r="BP13">
        <v>1.08</v>
      </c>
      <c r="BQ13">
        <v>22.17</v>
      </c>
      <c r="BR13">
        <v>-12.31</v>
      </c>
      <c r="BS13">
        <v>0.9</v>
      </c>
      <c r="BT13" t="s">
        <v>420</v>
      </c>
      <c r="BU13" t="s">
        <v>799</v>
      </c>
      <c r="BV13">
        <v>31.61</v>
      </c>
      <c r="BW13">
        <v>0.71</v>
      </c>
      <c r="BX13">
        <v>13.96</v>
      </c>
      <c r="BY13">
        <v>16.98</v>
      </c>
      <c r="BZ13">
        <v>-18.34</v>
      </c>
      <c r="CA13">
        <v>0.65</v>
      </c>
      <c r="CB13">
        <v>-2.77</v>
      </c>
      <c r="CC13">
        <v>-15.8</v>
      </c>
      <c r="CD13" t="s">
        <v>881</v>
      </c>
      <c r="CE13" t="s">
        <v>494</v>
      </c>
      <c r="CF13" s="10">
        <v>-0.24835886214442013</v>
      </c>
      <c r="CG13" s="11">
        <v>-0.65179133121019106</v>
      </c>
      <c r="CH13" s="10">
        <v>0.52698862552642822</v>
      </c>
      <c r="CI13" s="10">
        <v>6.6730217076838017E-3</v>
      </c>
      <c r="CJ13" s="10">
        <v>0.1981724351644516</v>
      </c>
      <c r="CK13" s="10">
        <v>-0.5114397406578064</v>
      </c>
      <c r="CL13" s="10">
        <v>1.4331297874450684</v>
      </c>
      <c r="CM13" s="11">
        <v>2.4741144180297852</v>
      </c>
      <c r="CN13" s="11">
        <v>-13.479640007019043</v>
      </c>
      <c r="CO13" s="11">
        <v>-0.68031865358352661</v>
      </c>
      <c r="CP13" s="11">
        <v>-0.95772457122802734</v>
      </c>
      <c r="CQ13" s="11">
        <v>4.9944901466369629</v>
      </c>
      <c r="CR13">
        <v>19.720574363695839</v>
      </c>
      <c r="CS13">
        <v>0.5963195219112406</v>
      </c>
      <c r="CT13">
        <v>2.3752969121140142</v>
      </c>
      <c r="CU13" s="10">
        <v>0.3307048258371651</v>
      </c>
      <c r="CV13" s="11">
        <v>-1.5298157334327698</v>
      </c>
      <c r="CW13">
        <v>0.06</v>
      </c>
      <c r="CX13">
        <v>10.290623846421942</v>
      </c>
      <c r="CY13">
        <v>679161613.94142103</v>
      </c>
      <c r="CZ13">
        <v>0.3307048258371651</v>
      </c>
      <c r="DA13">
        <v>2.7589448823853009</v>
      </c>
      <c r="DB13">
        <v>2533213600.8304462</v>
      </c>
      <c r="DC13">
        <v>0.3141695845453068</v>
      </c>
      <c r="DD13">
        <v>1.0210321751548614</v>
      </c>
      <c r="DE13">
        <v>6845030813.0005484</v>
      </c>
      <c r="DF13">
        <v>0.29102024673670529</v>
      </c>
      <c r="DG13">
        <v>0.43185443376274579</v>
      </c>
      <c r="DH13">
        <v>16183686338.715809</v>
      </c>
      <c r="DI13">
        <v>0.26456386066973209</v>
      </c>
      <c r="DJ13">
        <v>9.4342291383572807E-2</v>
      </c>
      <c r="DK13">
        <v>74081269359.723724</v>
      </c>
      <c r="DL13">
        <v>0.23149337808601556</v>
      </c>
      <c r="DM13">
        <v>541000000</v>
      </c>
      <c r="DN13">
        <v>0.3307048258371651</v>
      </c>
      <c r="DO13">
        <v>6988996700</v>
      </c>
      <c r="DP13">
        <v>-394795500</v>
      </c>
      <c r="DQ13">
        <v>959</v>
      </c>
      <c r="DR13">
        <v>-0.57906368798158525</v>
      </c>
      <c r="DS13">
        <v>0.87802440222257871</v>
      </c>
      <c r="DT13" s="12">
        <v>-5.6666666666666719E-2</v>
      </c>
      <c r="DU13">
        <v>-0.9783333333333335</v>
      </c>
      <c r="DV13">
        <v>-1.0350000000000001</v>
      </c>
      <c r="DW13">
        <v>-8.175316455696203</v>
      </c>
      <c r="DX13">
        <v>0.34620698529411698</v>
      </c>
      <c r="DY13">
        <v>-8.0168666676749822</v>
      </c>
      <c r="DZ13">
        <v>3593</v>
      </c>
      <c r="EA13">
        <v>-8.0050071888185812</v>
      </c>
      <c r="EB13">
        <v>8</v>
      </c>
      <c r="EC13">
        <v>2.3651477244137749E-2</v>
      </c>
      <c r="ED13">
        <v>0.24583950086193859</v>
      </c>
      <c r="EE13" s="13">
        <v>-2.0163000000000002</v>
      </c>
      <c r="EF13">
        <v>-2.0015000000000001</v>
      </c>
      <c r="EG13">
        <v>25.096206985294117</v>
      </c>
      <c r="EH13" t="s">
        <v>678</v>
      </c>
      <c r="EI13">
        <v>0</v>
      </c>
      <c r="EJ13">
        <v>0</v>
      </c>
      <c r="EK13" s="9">
        <v>45470</v>
      </c>
      <c r="EL13" s="14">
        <v>0.47</v>
      </c>
      <c r="EM13" s="14">
        <v>2.67</v>
      </c>
      <c r="EN13" s="14">
        <v>-2.38</v>
      </c>
      <c r="EO13" s="14">
        <v>1.51</v>
      </c>
      <c r="EP13" s="14">
        <v>-1.48</v>
      </c>
    </row>
    <row r="14" spans="1:146" ht="84" x14ac:dyDescent="0.25">
      <c r="C14" s="7" t="str">
        <f>""&amp;CHAR(10)&amp;Basic_Fundamental_Information_Constructure(F14)&amp;CHAR(10)&amp;Basic_Fundamental_Information_Concatenate("")</f>
        <v xml:space="preserve">
市值28.953671亿, 利润8645.70万; PE30.58; 平均PE24.06; 平均PEG3.97, PB1.28; ROIC4.1033%; ROE4.16%; 股利率2.6954%; 毛利29.9333%; 净利5.26%; 上一年度营收增2.4%, 利润增14.34%; 当季营收增-1.52%, 利润增22.27%; 过往5年营收增6.06%, 利润增-9.77%
Income profile:
</v>
      </c>
      <c r="D14" t="s">
        <v>882</v>
      </c>
      <c r="E14" t="s">
        <v>883</v>
      </c>
      <c r="F14">
        <v>3.71</v>
      </c>
      <c r="G14">
        <v>3.92</v>
      </c>
      <c r="H14" t="s">
        <v>884</v>
      </c>
      <c r="I14">
        <v>2895367100</v>
      </c>
      <c r="J14">
        <v>30.58</v>
      </c>
      <c r="K14">
        <v>1.28</v>
      </c>
      <c r="L14" t="s">
        <v>24</v>
      </c>
      <c r="M14" t="s">
        <v>885</v>
      </c>
      <c r="N14" t="s">
        <v>886</v>
      </c>
      <c r="O14" t="s">
        <v>887</v>
      </c>
      <c r="P14" s="5">
        <v>-1.49</v>
      </c>
      <c r="Q14" t="s">
        <v>704</v>
      </c>
      <c r="R14">
        <v>45143154</v>
      </c>
      <c r="S14">
        <v>0.22270000000000001</v>
      </c>
      <c r="T14" t="s">
        <v>888</v>
      </c>
      <c r="U14">
        <v>745063870</v>
      </c>
      <c r="V14">
        <v>780422400</v>
      </c>
      <c r="W14">
        <v>2.21</v>
      </c>
      <c r="X14">
        <v>0.09</v>
      </c>
      <c r="Y14">
        <v>9.16</v>
      </c>
      <c r="Z14" t="s">
        <v>529</v>
      </c>
      <c r="AA14" t="s">
        <v>889</v>
      </c>
      <c r="AB14" t="s">
        <v>890</v>
      </c>
      <c r="AC14" t="s">
        <v>891</v>
      </c>
      <c r="AD14" t="s">
        <v>41</v>
      </c>
      <c r="AE14">
        <v>15408200</v>
      </c>
      <c r="AF14" t="s">
        <v>892</v>
      </c>
      <c r="AG14" t="s">
        <v>893</v>
      </c>
      <c r="AH14" t="s">
        <v>894</v>
      </c>
      <c r="AI14" t="s">
        <v>895</v>
      </c>
      <c r="AJ14" t="s">
        <v>896</v>
      </c>
      <c r="AK14" t="s">
        <v>897</v>
      </c>
      <c r="AL14" t="s">
        <v>898</v>
      </c>
      <c r="AM14" t="s">
        <v>41</v>
      </c>
      <c r="AN14" t="s">
        <v>899</v>
      </c>
      <c r="AO14" t="s">
        <v>900</v>
      </c>
      <c r="AP14" t="s">
        <v>500</v>
      </c>
      <c r="AQ14" t="s">
        <v>901</v>
      </c>
      <c r="AR14">
        <v>30.1</v>
      </c>
      <c r="AS14" t="s">
        <v>509</v>
      </c>
      <c r="AT14" t="s">
        <v>902</v>
      </c>
      <c r="AU14" t="s">
        <v>903</v>
      </c>
      <c r="AV14" t="s">
        <v>904</v>
      </c>
      <c r="AW14" t="s">
        <v>83</v>
      </c>
      <c r="AX14" t="s">
        <v>905</v>
      </c>
      <c r="AY14" t="s">
        <v>906</v>
      </c>
      <c r="AZ14" t="s">
        <v>907</v>
      </c>
      <c r="BA14" t="s">
        <v>908</v>
      </c>
      <c r="BB14" t="s">
        <v>909</v>
      </c>
      <c r="BC14" t="s">
        <v>910</v>
      </c>
      <c r="BD14" t="s">
        <v>911</v>
      </c>
      <c r="BE14" t="s">
        <v>405</v>
      </c>
      <c r="BF14" t="s">
        <v>912</v>
      </c>
      <c r="BG14" t="s">
        <v>321</v>
      </c>
      <c r="BH14" t="s">
        <v>704</v>
      </c>
      <c r="BI14" t="s">
        <v>913</v>
      </c>
      <c r="BJ14" t="s">
        <v>905</v>
      </c>
      <c r="BK14" t="s">
        <v>888</v>
      </c>
      <c r="BL14" t="s">
        <v>914</v>
      </c>
      <c r="BM14" t="s">
        <v>910</v>
      </c>
      <c r="BN14">
        <v>3.13</v>
      </c>
      <c r="BO14">
        <v>4.21</v>
      </c>
      <c r="BP14">
        <v>4.97</v>
      </c>
      <c r="BQ14">
        <v>4.58</v>
      </c>
      <c r="BR14">
        <v>3.09</v>
      </c>
      <c r="BS14">
        <v>4.8099999999999996</v>
      </c>
      <c r="BT14" t="s">
        <v>390</v>
      </c>
      <c r="BU14" t="s">
        <v>741</v>
      </c>
      <c r="BV14">
        <v>29.55</v>
      </c>
      <c r="BW14">
        <v>28.92</v>
      </c>
      <c r="BX14">
        <v>31.33</v>
      </c>
      <c r="BY14">
        <v>4.34</v>
      </c>
      <c r="BZ14">
        <v>5.56</v>
      </c>
      <c r="CA14">
        <v>5.88</v>
      </c>
      <c r="CB14">
        <v>2.2000000000000002</v>
      </c>
      <c r="CC14" s="10">
        <v>-23.51</v>
      </c>
      <c r="CD14" s="11" t="s">
        <v>915</v>
      </c>
      <c r="CE14" s="10" t="s">
        <v>916</v>
      </c>
      <c r="CF14" s="10">
        <v>-1.5180265654648731E-2</v>
      </c>
      <c r="CG14" s="10">
        <v>0.22272566975712416</v>
      </c>
      <c r="CH14" s="10">
        <v>2.402263879776001E-2</v>
      </c>
      <c r="CI14" s="10">
        <v>2.165546827018261E-2</v>
      </c>
      <c r="CJ14" s="11">
        <v>0.14490361511707306</v>
      </c>
      <c r="CK14" s="11">
        <v>1.8518483266234398E-2</v>
      </c>
      <c r="CL14" s="11">
        <v>9.3922697007656097E-2</v>
      </c>
      <c r="CM14" s="11">
        <v>0.14336307346820831</v>
      </c>
      <c r="CN14" s="11">
        <v>-0.19550517201423645</v>
      </c>
      <c r="CO14">
        <v>-0.19664615392684937</v>
      </c>
      <c r="CP14">
        <v>-0.36756756901741028</v>
      </c>
      <c r="CQ14">
        <v>0.12804877758026123</v>
      </c>
      <c r="CR14" s="10">
        <v>24.059029800331217</v>
      </c>
      <c r="CS14" s="11">
        <v>3.9698368679565288</v>
      </c>
      <c r="CT14">
        <v>2.6954177897574123</v>
      </c>
      <c r="CU14">
        <v>6.0604580491781232E-2</v>
      </c>
      <c r="CV14">
        <v>-9.7661408782005313E-2</v>
      </c>
      <c r="CW14">
        <v>0.06</v>
      </c>
      <c r="CX14">
        <v>38.186428733336491</v>
      </c>
      <c r="CY14">
        <v>86506311.524130121</v>
      </c>
      <c r="CZ14">
        <v>6.0604580491781232E-2</v>
      </c>
      <c r="DA14">
        <v>12.794536985212607</v>
      </c>
      <c r="DB14">
        <v>258185747.8561275</v>
      </c>
      <c r="DC14">
        <v>5.757435146719217E-2</v>
      </c>
      <c r="DD14">
        <v>6.5098685178791529</v>
      </c>
      <c r="DE14">
        <v>507439910.79503441</v>
      </c>
      <c r="DF14">
        <v>5.3332030832767482E-2</v>
      </c>
      <c r="DG14">
        <v>4.0554215285076154</v>
      </c>
      <c r="DH14">
        <v>814555793.22123647</v>
      </c>
      <c r="DI14">
        <v>4.848366439342499E-2</v>
      </c>
      <c r="DJ14">
        <v>2.2665157130739959</v>
      </c>
      <c r="DK14">
        <v>1457464901.2778115</v>
      </c>
      <c r="DL14">
        <v>4.2423206344246858E-2</v>
      </c>
      <c r="DM14">
        <v>86457000</v>
      </c>
      <c r="DN14">
        <v>6.0604580491781232E-2</v>
      </c>
      <c r="DO14">
        <v>3303367100</v>
      </c>
      <c r="DP14">
        <v>33526300.000000238</v>
      </c>
      <c r="DQ14" s="12">
        <v>1176</v>
      </c>
      <c r="DR14">
        <v>-7.5784846146429968E-2</v>
      </c>
      <c r="DS14">
        <v>0.32038707853912946</v>
      </c>
      <c r="DT14">
        <v>-0.44</v>
      </c>
      <c r="DU14">
        <v>4.0000000000000036E-2</v>
      </c>
      <c r="DV14">
        <v>-0.39999999999999997</v>
      </c>
      <c r="DW14">
        <v>-3.0849345238095238</v>
      </c>
      <c r="DX14">
        <v>0.39327728613569479</v>
      </c>
      <c r="DY14">
        <v>-3.0096211523563703</v>
      </c>
      <c r="DZ14">
        <v>2679</v>
      </c>
      <c r="EA14">
        <v>-3.0045771079018269</v>
      </c>
      <c r="EB14" s="13">
        <v>3</v>
      </c>
      <c r="EC14" s="13">
        <v>4.9205404662910755E-2</v>
      </c>
      <c r="ED14">
        <v>0.43438015105665856</v>
      </c>
      <c r="EE14">
        <v>-2.1156000000000001</v>
      </c>
      <c r="EF14">
        <v>-2.0966999999999998</v>
      </c>
      <c r="EG14">
        <v>28.113277286135695</v>
      </c>
      <c r="EH14" s="9" t="s">
        <v>678</v>
      </c>
      <c r="EI14">
        <v>0</v>
      </c>
      <c r="EJ14">
        <v>0</v>
      </c>
      <c r="EK14">
        <v>45470</v>
      </c>
      <c r="EL14">
        <v>1.37</v>
      </c>
      <c r="EM14">
        <v>-3.79</v>
      </c>
      <c r="EN14" s="14">
        <v>1.69</v>
      </c>
      <c r="EO14" s="14">
        <v>2.4900000000000002</v>
      </c>
      <c r="EP14" s="14">
        <v>-1.89</v>
      </c>
    </row>
    <row r="15" spans="1:146" ht="144" x14ac:dyDescent="0.25">
      <c r="A15" s="7"/>
      <c r="B15" s="7"/>
      <c r="C15" s="7" t="str">
        <f>"公司主营业务为生猪的养殖销售、生猪屠宰，主要产品为生猪、饲料原料、屠宰、肉食产品；公司经过30年发展，现已形成集饲料加工、种猪选育、种猪扩繁、商品猪饲养、屠宰肉食等环节于一体的生猪产业链。"&amp;CHAR(10)&amp;Basic_Fundamental_Information_Constructure(F15)&amp;CHAR(10)&amp;Basic_Fundamental_Information_Concatenate("生猪 1197.44亿 95.93% 101.00% 18.42%
屠宰、肉食产品 147.18亿 11.79% -0.34% -0.50%
饲料原料 55.09亿 4.41% 0.25% 0.97%")</f>
        <v>公司主营业务为生猪的养殖销售、生猪屠宰，主要产品为生猪、饲料原料、屠宰、肉食产品；公司经过30年发展，现已形成集饲料加工、种猪选育、种猪扩繁、商品猪饲养、屠宰肉食等环节于一体的生猪产业链。
市值2394.9175亿, 利润-42.63亿; PE; 平均PE28.74; 平均PEG.45, PB3.98; ROIC10.625%; ROE10.4133%; 股利率0%; 毛利12.45%; 净利5.96%; 上一年度营收增-11.19%, 利润增-132.13%; 当季营收增8.57%, 利润增-98.57%; 过往5年营收增63.31%, 利润增261.98%
Income profile:
生猪 1197.44亿 95.93% 101.00% 18.42%
屠宰、肉食产品 147.18亿 11.79% -0.34% -0.50%
饲料原料 55.09亿 4.41% 0.25% 0.97%</v>
      </c>
      <c r="D15" t="s">
        <v>27</v>
      </c>
      <c r="E15" t="s">
        <v>5</v>
      </c>
      <c r="F15">
        <v>43.82</v>
      </c>
      <c r="G15">
        <v>-0.02</v>
      </c>
      <c r="H15" t="s">
        <v>917</v>
      </c>
      <c r="I15">
        <v>239491750000</v>
      </c>
      <c r="K15">
        <v>3.98</v>
      </c>
      <c r="L15" t="s">
        <v>24</v>
      </c>
      <c r="M15" t="s">
        <v>918</v>
      </c>
      <c r="N15" t="s">
        <v>919</v>
      </c>
      <c r="O15" t="s">
        <v>920</v>
      </c>
      <c r="P15">
        <v>8.57</v>
      </c>
      <c r="Q15" t="s">
        <v>921</v>
      </c>
      <c r="R15">
        <v>-2378911800</v>
      </c>
      <c r="S15" s="5">
        <v>-0.98560000000000003</v>
      </c>
      <c r="T15" t="s">
        <v>922</v>
      </c>
      <c r="U15">
        <v>3810716700</v>
      </c>
      <c r="V15">
        <v>5465352600</v>
      </c>
      <c r="W15">
        <v>2.75</v>
      </c>
      <c r="X15">
        <v>0.13</v>
      </c>
      <c r="Y15">
        <v>-9.36</v>
      </c>
      <c r="Z15" t="s">
        <v>923</v>
      </c>
      <c r="AA15" t="s">
        <v>924</v>
      </c>
      <c r="AB15" t="s">
        <v>627</v>
      </c>
      <c r="AC15" t="s">
        <v>925</v>
      </c>
      <c r="AD15" t="s">
        <v>41</v>
      </c>
      <c r="AE15">
        <v>831391740</v>
      </c>
      <c r="AF15" t="s">
        <v>926</v>
      </c>
      <c r="AG15" t="s">
        <v>927</v>
      </c>
      <c r="AH15" t="s">
        <v>928</v>
      </c>
      <c r="AI15" t="s">
        <v>929</v>
      </c>
      <c r="AJ15" t="s">
        <v>930</v>
      </c>
      <c r="AK15" t="s">
        <v>450</v>
      </c>
      <c r="AL15" t="s">
        <v>931</v>
      </c>
      <c r="AM15" t="s">
        <v>41</v>
      </c>
      <c r="AN15" t="s">
        <v>932</v>
      </c>
      <c r="AO15" t="s">
        <v>933</v>
      </c>
      <c r="AP15" t="s">
        <v>934</v>
      </c>
      <c r="AQ15" t="s">
        <v>935</v>
      </c>
      <c r="AR15" t="s">
        <v>41</v>
      </c>
      <c r="AS15" t="s">
        <v>936</v>
      </c>
      <c r="AT15" t="s">
        <v>937</v>
      </c>
      <c r="AU15" t="s">
        <v>938</v>
      </c>
      <c r="AV15" t="s">
        <v>939</v>
      </c>
      <c r="AW15" t="s">
        <v>480</v>
      </c>
      <c r="AX15" t="s">
        <v>431</v>
      </c>
      <c r="AY15" t="s">
        <v>265</v>
      </c>
      <c r="AZ15" t="s">
        <v>158</v>
      </c>
      <c r="BA15" t="s">
        <v>73</v>
      </c>
      <c r="BB15" t="s">
        <v>160</v>
      </c>
      <c r="BC15" t="s">
        <v>432</v>
      </c>
      <c r="BD15" t="s">
        <v>266</v>
      </c>
      <c r="BE15" t="s">
        <v>159</v>
      </c>
      <c r="BF15" t="s">
        <v>74</v>
      </c>
      <c r="BG15" t="s">
        <v>161</v>
      </c>
      <c r="BH15" t="s">
        <v>921</v>
      </c>
      <c r="BI15" t="s">
        <v>940</v>
      </c>
      <c r="BJ15" t="s">
        <v>431</v>
      </c>
      <c r="BK15" t="s">
        <v>922</v>
      </c>
      <c r="BL15" t="s">
        <v>941</v>
      </c>
      <c r="BM15" t="s">
        <v>432</v>
      </c>
      <c r="BN15" t="s">
        <v>41</v>
      </c>
      <c r="BO15">
        <v>12.75</v>
      </c>
      <c r="BP15">
        <v>8.5</v>
      </c>
      <c r="BQ15">
        <v>-2.68</v>
      </c>
      <c r="BR15">
        <v>21.01</v>
      </c>
      <c r="BS15">
        <v>12.91</v>
      </c>
      <c r="BT15" t="s">
        <v>389</v>
      </c>
      <c r="BU15" t="s">
        <v>564</v>
      </c>
      <c r="BV15">
        <v>3.11</v>
      </c>
      <c r="BW15">
        <v>17.5</v>
      </c>
      <c r="BX15">
        <v>16.739999999999998</v>
      </c>
      <c r="BY15">
        <v>-3.76</v>
      </c>
      <c r="BZ15">
        <v>11.96</v>
      </c>
      <c r="CA15">
        <v>9.68</v>
      </c>
      <c r="CB15">
        <v>0.5</v>
      </c>
      <c r="CC15">
        <v>-8.0399999999999991</v>
      </c>
      <c r="CD15" t="s">
        <v>942</v>
      </c>
      <c r="CE15" t="s">
        <v>859</v>
      </c>
      <c r="CF15" s="10">
        <v>8.570956277378311E-2</v>
      </c>
      <c r="CG15" s="11">
        <v>-0.9857360601001669</v>
      </c>
      <c r="CH15" s="10">
        <v>-0.1118757352232933</v>
      </c>
      <c r="CI15" s="10">
        <v>0.58227914571762085</v>
      </c>
      <c r="CJ15" s="10">
        <v>0.40181601047515869</v>
      </c>
      <c r="CK15" s="10">
        <v>1.7830967903137207</v>
      </c>
      <c r="CL15" s="10">
        <v>0.51038235425949097</v>
      </c>
      <c r="CM15" s="11">
        <v>-1.3213478326797485</v>
      </c>
      <c r="CN15" s="11">
        <v>0.92149478197097778</v>
      </c>
      <c r="CO15" s="11">
        <v>-0.74849730730056763</v>
      </c>
      <c r="CP15" s="11">
        <v>3.4898598194122314</v>
      </c>
      <c r="CQ15" s="11">
        <v>10.757692337036133</v>
      </c>
      <c r="CR15">
        <v>28.743608977436391</v>
      </c>
      <c r="CS15">
        <v>0.45398524815815583</v>
      </c>
      <c r="CT15">
        <v>0</v>
      </c>
      <c r="CU15" s="10">
        <v>0.63313971310853956</v>
      </c>
      <c r="CV15" s="11">
        <v>2.6198403596878053</v>
      </c>
      <c r="CW15">
        <v>0.06</v>
      </c>
      <c r="CX15" t="e">
        <v>#VALUE!</v>
      </c>
      <c r="CY15" t="s">
        <v>300</v>
      </c>
      <c r="CZ15">
        <v>0.63313971310853956</v>
      </c>
      <c r="DA15" t="e">
        <v>#VALUE!</v>
      </c>
      <c r="DB15" t="s">
        <v>301</v>
      </c>
      <c r="DC15">
        <v>0.6014827274531126</v>
      </c>
      <c r="DD15" t="e">
        <v>#VALUE!</v>
      </c>
      <c r="DE15" t="s">
        <v>301</v>
      </c>
      <c r="DF15">
        <v>0.55716294753551476</v>
      </c>
      <c r="DG15" t="e">
        <v>#VALUE!</v>
      </c>
      <c r="DH15" t="s">
        <v>301</v>
      </c>
      <c r="DI15">
        <v>0.50651177048683171</v>
      </c>
      <c r="DJ15" t="e">
        <v>#VALUE!</v>
      </c>
      <c r="DK15" t="s">
        <v>301</v>
      </c>
      <c r="DL15">
        <v>0.44319779917597768</v>
      </c>
      <c r="DM15">
        <v>-4263000000.0000005</v>
      </c>
      <c r="DN15">
        <v>0.63313971310853956</v>
      </c>
      <c r="DO15">
        <v>289253750000</v>
      </c>
      <c r="DP15">
        <v>-32984171000</v>
      </c>
      <c r="DQ15">
        <v>1198</v>
      </c>
      <c r="DR15">
        <v>-0.5474301503347565</v>
      </c>
      <c r="DS15">
        <v>-3.6055764197879721</v>
      </c>
      <c r="DT15" s="12">
        <v>0.17666666666666661</v>
      </c>
      <c r="DU15">
        <v>-0.81550000000000011</v>
      </c>
      <c r="DV15">
        <v>-0.63883333333333348</v>
      </c>
      <c r="DW15">
        <v>-2.0804</v>
      </c>
      <c r="DX15">
        <v>0.34904498398835626</v>
      </c>
      <c r="DY15">
        <v>-2.0095712167126636</v>
      </c>
      <c r="DZ15">
        <v>3095</v>
      </c>
      <c r="EA15">
        <v>-2.0037741686254438</v>
      </c>
      <c r="EB15">
        <v>2</v>
      </c>
      <c r="EC15">
        <v>1.4964066545313105E-2</v>
      </c>
      <c r="ED15">
        <v>0.12570094745579635</v>
      </c>
      <c r="EE15" s="13">
        <v>1.02251</v>
      </c>
      <c r="EF15">
        <v>1.02251</v>
      </c>
      <c r="EG15">
        <v>23.119044983988356</v>
      </c>
      <c r="EH15" t="s">
        <v>776</v>
      </c>
      <c r="EI15">
        <v>0</v>
      </c>
      <c r="EJ15">
        <v>0</v>
      </c>
      <c r="EK15" s="9">
        <v>45470</v>
      </c>
      <c r="EL15" s="14">
        <v>-1.21</v>
      </c>
      <c r="EM15" s="14">
        <v>-0.59</v>
      </c>
      <c r="EN15" s="14">
        <v>-0.32</v>
      </c>
      <c r="EO15" s="14">
        <v>-0.71</v>
      </c>
      <c r="EP15" s="14">
        <v>0</v>
      </c>
    </row>
    <row r="16" spans="1:146" ht="84" x14ac:dyDescent="0.25">
      <c r="A16" s="7"/>
      <c r="B16" s="7"/>
      <c r="C16" s="7" t="str">
        <f>""&amp;CHAR(10)&amp;Basic_Fundamental_Information_Constructure(F16)&amp;CHAR(10)&amp;Basic_Fundamental_Information_Concatenate("")</f>
        <v xml:space="preserve">
市值48.362276亿, 利润2.26亿; PE34.33; 平均PE13.24; 平均PEG.67, PB1.05; ROIC3.1567%; ROE3.5367%; 股利率2.669%; 毛利2.8067%; 净利3.1067%; 上一年度营收增13.31%, 利润增76.56%; 当季营收增-11.78%, 利润增-92.37%; 过往5年营收增19.7%, 利润增27.99%
Income profile:
</v>
      </c>
      <c r="D16" t="s">
        <v>35</v>
      </c>
      <c r="E16" t="s">
        <v>17</v>
      </c>
      <c r="F16">
        <v>5.62</v>
      </c>
      <c r="G16">
        <v>0.72</v>
      </c>
      <c r="H16" t="s">
        <v>943</v>
      </c>
      <c r="I16">
        <v>4836227600</v>
      </c>
      <c r="J16">
        <v>34.33</v>
      </c>
      <c r="K16">
        <v>1.05</v>
      </c>
      <c r="L16" t="s">
        <v>24</v>
      </c>
      <c r="M16" t="s">
        <v>944</v>
      </c>
      <c r="N16" t="s">
        <v>945</v>
      </c>
      <c r="O16" t="s">
        <v>946</v>
      </c>
      <c r="P16">
        <v>-11.8</v>
      </c>
      <c r="Q16" t="s">
        <v>947</v>
      </c>
      <c r="R16">
        <v>7022794</v>
      </c>
      <c r="S16" s="5">
        <v>-0.92369999999999997</v>
      </c>
      <c r="T16" t="s">
        <v>948</v>
      </c>
      <c r="U16">
        <v>709676230</v>
      </c>
      <c r="V16">
        <v>860538730</v>
      </c>
      <c r="W16">
        <v>1.44</v>
      </c>
      <c r="X16">
        <v>0.16</v>
      </c>
      <c r="Y16">
        <v>1.91</v>
      </c>
      <c r="Z16" t="s">
        <v>949</v>
      </c>
      <c r="AA16" t="s">
        <v>950</v>
      </c>
      <c r="AB16" t="s">
        <v>951</v>
      </c>
      <c r="AC16" t="s">
        <v>952</v>
      </c>
      <c r="AD16" t="s">
        <v>41</v>
      </c>
      <c r="AE16">
        <v>-12421740</v>
      </c>
      <c r="AF16" t="s">
        <v>953</v>
      </c>
      <c r="AG16" t="s">
        <v>954</v>
      </c>
      <c r="AH16" t="s">
        <v>955</v>
      </c>
      <c r="AI16" t="s">
        <v>956</v>
      </c>
      <c r="AJ16" t="s">
        <v>957</v>
      </c>
      <c r="AK16" t="s">
        <v>41</v>
      </c>
      <c r="AL16" t="s">
        <v>958</v>
      </c>
      <c r="AM16" t="s">
        <v>41</v>
      </c>
      <c r="AN16" t="s">
        <v>512</v>
      </c>
      <c r="AO16" t="s">
        <v>959</v>
      </c>
      <c r="AP16" t="s">
        <v>844</v>
      </c>
      <c r="AQ16" t="s">
        <v>510</v>
      </c>
      <c r="AR16" t="s">
        <v>960</v>
      </c>
      <c r="AS16" t="s">
        <v>961</v>
      </c>
      <c r="AT16" t="s">
        <v>962</v>
      </c>
      <c r="AU16" t="s">
        <v>963</v>
      </c>
      <c r="AV16" t="s">
        <v>964</v>
      </c>
      <c r="AW16" t="s">
        <v>965</v>
      </c>
      <c r="AX16" t="s">
        <v>433</v>
      </c>
      <c r="AY16" t="s">
        <v>267</v>
      </c>
      <c r="AZ16" t="s">
        <v>162</v>
      </c>
      <c r="BA16" t="s">
        <v>76</v>
      </c>
      <c r="BB16" t="s">
        <v>164</v>
      </c>
      <c r="BC16" t="s">
        <v>205</v>
      </c>
      <c r="BD16" t="s">
        <v>268</v>
      </c>
      <c r="BE16" t="s">
        <v>163</v>
      </c>
      <c r="BF16" t="s">
        <v>77</v>
      </c>
      <c r="BG16" t="s">
        <v>165</v>
      </c>
      <c r="BH16" t="s">
        <v>947</v>
      </c>
      <c r="BI16" t="s">
        <v>966</v>
      </c>
      <c r="BJ16" t="s">
        <v>433</v>
      </c>
      <c r="BK16" t="s">
        <v>948</v>
      </c>
      <c r="BL16" t="s">
        <v>967</v>
      </c>
      <c r="BM16" t="s">
        <v>205</v>
      </c>
      <c r="BN16">
        <v>5.24</v>
      </c>
      <c r="BO16">
        <v>2.5</v>
      </c>
      <c r="BP16">
        <v>1.73</v>
      </c>
      <c r="BQ16">
        <v>5.86</v>
      </c>
      <c r="BR16">
        <v>2.9</v>
      </c>
      <c r="BS16">
        <v>1.85</v>
      </c>
      <c r="BT16" t="s">
        <v>968</v>
      </c>
      <c r="BU16" t="s">
        <v>799</v>
      </c>
      <c r="BV16">
        <v>3.85</v>
      </c>
      <c r="BW16">
        <v>2.9</v>
      </c>
      <c r="BX16">
        <v>1.67</v>
      </c>
      <c r="BY16">
        <v>4.2699999999999996</v>
      </c>
      <c r="BZ16">
        <v>2.41</v>
      </c>
      <c r="CA16">
        <v>2.64</v>
      </c>
      <c r="CB16">
        <v>-1.92</v>
      </c>
      <c r="CC16">
        <v>-12.19</v>
      </c>
      <c r="CD16" t="s">
        <v>969</v>
      </c>
      <c r="CE16" t="s">
        <v>970</v>
      </c>
      <c r="CF16" s="10">
        <v>-0.11783960720130933</v>
      </c>
      <c r="CG16" s="11">
        <v>-0.92370401111609646</v>
      </c>
      <c r="CH16" s="10">
        <v>0.13308507204055786</v>
      </c>
      <c r="CI16" s="10">
        <v>0.54045897722244263</v>
      </c>
      <c r="CJ16" s="10">
        <v>3.8895860314369202E-2</v>
      </c>
      <c r="CK16" s="10">
        <v>-9.7650706768035889E-2</v>
      </c>
      <c r="CL16" s="10">
        <v>0.37044224143028259</v>
      </c>
      <c r="CM16" s="11">
        <v>0.765625</v>
      </c>
      <c r="CN16" s="11">
        <v>0.55822581052780151</v>
      </c>
      <c r="CO16" s="11">
        <v>-0.7672954797744751</v>
      </c>
      <c r="CP16" s="11">
        <v>-0.64735263586044312</v>
      </c>
      <c r="CQ16" s="11">
        <v>1.4900497198104858</v>
      </c>
      <c r="CR16">
        <v>13.236975460607139</v>
      </c>
      <c r="CS16">
        <v>0.67176984342106516</v>
      </c>
      <c r="CT16">
        <v>2.6690391459074734</v>
      </c>
      <c r="CU16" s="10">
        <v>0.19704628884792327</v>
      </c>
      <c r="CV16" s="11">
        <v>0.27985048294067383</v>
      </c>
      <c r="CW16">
        <v>0.06</v>
      </c>
      <c r="CX16">
        <v>8.8991215494525573</v>
      </c>
      <c r="CY16">
        <v>255219303.09399113</v>
      </c>
      <c r="CZ16">
        <v>0.19704628884792327</v>
      </c>
      <c r="DA16">
        <v>2.6591461513417265</v>
      </c>
      <c r="DB16">
        <v>854119131.00526869</v>
      </c>
      <c r="DC16">
        <v>0.1871939744055271</v>
      </c>
      <c r="DD16">
        <v>1.1560787586839425</v>
      </c>
      <c r="DE16">
        <v>1964595909.1796837</v>
      </c>
      <c r="DF16">
        <v>0.17340073418617249</v>
      </c>
      <c r="DG16">
        <v>0.59960820385172853</v>
      </c>
      <c r="DH16">
        <v>3787852776.8803349</v>
      </c>
      <c r="DI16">
        <v>0.15763703107833862</v>
      </c>
      <c r="DJ16">
        <v>0.21971712577607744</v>
      </c>
      <c r="DK16">
        <v>10337053117.628616</v>
      </c>
      <c r="DL16">
        <v>0.13793240219354627</v>
      </c>
      <c r="DM16">
        <v>225999999.99999997</v>
      </c>
      <c r="DN16">
        <v>0.19704628884792327</v>
      </c>
      <c r="DO16">
        <v>2271227600</v>
      </c>
      <c r="DP16">
        <v>2723597100</v>
      </c>
      <c r="DQ16">
        <v>1227</v>
      </c>
      <c r="DR16">
        <v>-0.31488589604923262</v>
      </c>
      <c r="DS16">
        <v>-1.2035544940567702</v>
      </c>
      <c r="DT16" s="12">
        <v>-0.19000000000000003</v>
      </c>
      <c r="DU16">
        <v>-0.25666666666666665</v>
      </c>
      <c r="DV16">
        <v>-0.44666666666666666</v>
      </c>
      <c r="DW16">
        <v>-2.1219000000000001</v>
      </c>
      <c r="DX16">
        <v>0.30000789473684081</v>
      </c>
      <c r="DY16">
        <v>-2.0121909623684209</v>
      </c>
      <c r="DZ16">
        <v>2783</v>
      </c>
      <c r="EA16">
        <v>-2.0055515400061283</v>
      </c>
      <c r="EB16">
        <v>2</v>
      </c>
      <c r="EC16">
        <v>2.2080935276440145E-2</v>
      </c>
      <c r="ED16">
        <v>0.22079192182320487</v>
      </c>
      <c r="EE16" s="13">
        <v>-2.0356100000000001</v>
      </c>
      <c r="EF16">
        <v>-2.0339100000000001</v>
      </c>
      <c r="EG16">
        <v>20.100007894736841</v>
      </c>
      <c r="EH16" t="s">
        <v>971</v>
      </c>
      <c r="EI16">
        <v>0</v>
      </c>
      <c r="EJ16">
        <v>0</v>
      </c>
      <c r="EK16" s="9">
        <v>45470</v>
      </c>
      <c r="EL16" s="14">
        <v>0.35</v>
      </c>
      <c r="EM16" s="14">
        <v>-1.39</v>
      </c>
      <c r="EN16" s="14">
        <v>-1.05</v>
      </c>
      <c r="EO16" s="14">
        <v>2.13</v>
      </c>
      <c r="EP16" s="14">
        <v>0.17</v>
      </c>
    </row>
    <row r="17" spans="1:146" ht="84" x14ac:dyDescent="0.25">
      <c r="C17" s="7" t="str">
        <f>""&amp;CHAR(10)&amp;Basic_Fundamental_Information_Constructure(F17)&amp;CHAR(10)&amp;Basic_Fundamental_Information_Concatenate("")</f>
        <v xml:space="preserve">
市值20.468266亿, 利润-2.22亿; PE; 平均PE-62.92; 平均PEG-6.04, PB5.37; ROIC0%; ROE-12.56%; 股利率0%; 毛利1.5433%; 净利-29.4667%; 上一年度营收增53.64%, 利润增-81.97%; 当季营收增60%, 利润增-208.94%; 过往5年营收增10.42%, 利润增-131.71%
Income profile:
</v>
      </c>
      <c r="D17" t="s">
        <v>972</v>
      </c>
      <c r="E17" t="s">
        <v>973</v>
      </c>
      <c r="F17">
        <v>13.17</v>
      </c>
      <c r="G17">
        <v>0.84</v>
      </c>
      <c r="H17" t="s">
        <v>974</v>
      </c>
      <c r="I17">
        <v>2046826600</v>
      </c>
      <c r="K17">
        <v>5.37</v>
      </c>
      <c r="L17" t="s">
        <v>24</v>
      </c>
      <c r="M17" t="s">
        <v>975</v>
      </c>
      <c r="N17" t="s">
        <v>190</v>
      </c>
      <c r="O17" t="s">
        <v>173</v>
      </c>
      <c r="P17" s="5">
        <v>60.09</v>
      </c>
      <c r="Q17" t="s">
        <v>976</v>
      </c>
      <c r="R17">
        <v>-31342798</v>
      </c>
      <c r="S17">
        <v>-2.089</v>
      </c>
      <c r="T17" t="s">
        <v>427</v>
      </c>
      <c r="U17">
        <v>152791210</v>
      </c>
      <c r="V17">
        <v>155415840</v>
      </c>
      <c r="W17">
        <v>5.09</v>
      </c>
      <c r="X17">
        <v>0.08</v>
      </c>
      <c r="Y17">
        <v>-19.68</v>
      </c>
      <c r="Z17" t="s">
        <v>977</v>
      </c>
      <c r="AA17" t="s">
        <v>978</v>
      </c>
      <c r="AB17" t="s">
        <v>979</v>
      </c>
      <c r="AC17" t="s">
        <v>980</v>
      </c>
      <c r="AD17" t="s">
        <v>41</v>
      </c>
      <c r="AE17">
        <v>16270060</v>
      </c>
      <c r="AF17" t="s">
        <v>981</v>
      </c>
      <c r="AG17">
        <v>0</v>
      </c>
      <c r="AH17" t="s">
        <v>982</v>
      </c>
      <c r="AI17" t="s">
        <v>983</v>
      </c>
      <c r="AJ17" t="s">
        <v>984</v>
      </c>
      <c r="AK17" t="s">
        <v>41</v>
      </c>
      <c r="AL17" t="s">
        <v>985</v>
      </c>
      <c r="AM17" t="s">
        <v>41</v>
      </c>
      <c r="AN17" t="s">
        <v>986</v>
      </c>
      <c r="AO17" t="s">
        <v>478</v>
      </c>
      <c r="AP17" t="s">
        <v>987</v>
      </c>
      <c r="AQ17" t="s">
        <v>503</v>
      </c>
      <c r="AR17" t="s">
        <v>41</v>
      </c>
      <c r="AS17" t="s">
        <v>988</v>
      </c>
      <c r="AT17" t="s">
        <v>989</v>
      </c>
      <c r="AU17" t="s">
        <v>990</v>
      </c>
      <c r="AV17" t="s">
        <v>991</v>
      </c>
      <c r="AW17" t="s">
        <v>992</v>
      </c>
      <c r="AX17" t="s">
        <v>762</v>
      </c>
      <c r="AY17" t="s">
        <v>157</v>
      </c>
      <c r="AZ17" t="s">
        <v>993</v>
      </c>
      <c r="BA17" t="s">
        <v>994</v>
      </c>
      <c r="BB17" t="s">
        <v>995</v>
      </c>
      <c r="BC17" t="s">
        <v>996</v>
      </c>
      <c r="BD17" t="s">
        <v>997</v>
      </c>
      <c r="BE17" t="s">
        <v>998</v>
      </c>
      <c r="BF17" t="s">
        <v>999</v>
      </c>
      <c r="BG17" t="s">
        <v>1000</v>
      </c>
      <c r="BH17" t="s">
        <v>976</v>
      </c>
      <c r="BI17" t="s">
        <v>67</v>
      </c>
      <c r="BJ17" t="s">
        <v>762</v>
      </c>
      <c r="BK17" t="s">
        <v>427</v>
      </c>
      <c r="BL17" t="s">
        <v>1001</v>
      </c>
      <c r="BM17" t="s">
        <v>996</v>
      </c>
      <c r="BN17" t="s">
        <v>41</v>
      </c>
      <c r="BO17" t="s">
        <v>41</v>
      </c>
      <c r="BP17" t="s">
        <v>41</v>
      </c>
      <c r="BQ17">
        <v>-15.58</v>
      </c>
      <c r="BR17">
        <v>-18.57</v>
      </c>
      <c r="BS17">
        <v>-3.53</v>
      </c>
      <c r="BT17" t="s">
        <v>389</v>
      </c>
      <c r="BU17" t="s">
        <v>741</v>
      </c>
      <c r="BV17">
        <v>-8.9600000000000009</v>
      </c>
      <c r="BW17">
        <v>-2.81</v>
      </c>
      <c r="BX17">
        <v>16.399999999999999</v>
      </c>
      <c r="BY17">
        <v>-43.91</v>
      </c>
      <c r="BZ17">
        <v>-37.21</v>
      </c>
      <c r="CA17">
        <v>-7.28</v>
      </c>
      <c r="CB17">
        <v>-0.98</v>
      </c>
      <c r="CC17" s="10">
        <v>-22.76</v>
      </c>
      <c r="CD17" s="11" t="s">
        <v>1002</v>
      </c>
      <c r="CE17" s="10" t="s">
        <v>1003</v>
      </c>
      <c r="CF17" s="10">
        <v>0.6</v>
      </c>
      <c r="CG17" s="10">
        <v>-2.0893604983539338</v>
      </c>
      <c r="CH17" s="10">
        <v>0.53636366128921509</v>
      </c>
      <c r="CI17" s="10">
        <v>-9.0909093618392944E-2</v>
      </c>
      <c r="CJ17" s="11">
        <v>0.1785714328289032</v>
      </c>
      <c r="CK17" s="11">
        <v>1.315789483487606E-2</v>
      </c>
      <c r="CL17" s="11">
        <v>-0.11627907305955887</v>
      </c>
      <c r="CM17" s="11">
        <v>-0.8196721076965332</v>
      </c>
      <c r="CN17" s="11">
        <v>-3.6843981742858887</v>
      </c>
      <c r="CO17">
        <v>-1.6027522087097168</v>
      </c>
      <c r="CP17">
        <v>-0.24150721728801727</v>
      </c>
      <c r="CQ17">
        <v>-0.23729471862316132</v>
      </c>
      <c r="CR17" s="10">
        <v>-62.921134418347748</v>
      </c>
      <c r="CS17" s="11">
        <v>-6.0395999161171918</v>
      </c>
      <c r="CT17">
        <v>0</v>
      </c>
      <c r="CU17">
        <v>0.1041809644550085</v>
      </c>
      <c r="CV17">
        <v>-1.3171248853206634</v>
      </c>
      <c r="CW17">
        <v>0.06</v>
      </c>
      <c r="CX17" t="e">
        <v>#VALUE!</v>
      </c>
      <c r="CY17" t="s">
        <v>300</v>
      </c>
      <c r="CZ17">
        <v>0.1041809644550085</v>
      </c>
      <c r="DA17" t="e">
        <v>#VALUE!</v>
      </c>
      <c r="DB17" t="s">
        <v>301</v>
      </c>
      <c r="DC17">
        <v>9.8971916232258081E-2</v>
      </c>
      <c r="DD17" t="e">
        <v>#VALUE!</v>
      </c>
      <c r="DE17" t="s">
        <v>301</v>
      </c>
      <c r="DF17">
        <v>9.1679248720407489E-2</v>
      </c>
      <c r="DG17" t="e">
        <v>#VALUE!</v>
      </c>
      <c r="DH17" t="s">
        <v>301</v>
      </c>
      <c r="DI17">
        <v>8.3344771564006812E-2</v>
      </c>
      <c r="DJ17" t="e">
        <v>#VALUE!</v>
      </c>
      <c r="DK17" t="s">
        <v>301</v>
      </c>
      <c r="DL17">
        <v>7.2926675118505951E-2</v>
      </c>
      <c r="DM17">
        <v>-222000000.00000003</v>
      </c>
      <c r="DN17">
        <v>0.1041809644550085</v>
      </c>
      <c r="DO17">
        <v>3213826600</v>
      </c>
      <c r="DP17">
        <v>-422098350</v>
      </c>
      <c r="DQ17" s="12">
        <v>1336</v>
      </c>
      <c r="DR17">
        <v>0.49581903554499146</v>
      </c>
      <c r="DS17">
        <v>-0.77223561303327037</v>
      </c>
      <c r="DT17">
        <v>-0.14000000000000001</v>
      </c>
      <c r="DU17">
        <v>-2.8250000000000006</v>
      </c>
      <c r="DV17">
        <v>-2.9650000000000007</v>
      </c>
      <c r="DW17">
        <v>-3.0764523809523809</v>
      </c>
      <c r="DX17">
        <v>0.30808221157319349</v>
      </c>
      <c r="DY17">
        <v>-3.0166729043181317</v>
      </c>
      <c r="DZ17">
        <v>4898</v>
      </c>
      <c r="EA17">
        <v>-3.0006917134472495</v>
      </c>
      <c r="EB17" s="13">
        <v>3</v>
      </c>
      <c r="EC17" s="13">
        <v>5.82714091433666E-2</v>
      </c>
      <c r="ED17">
        <v>0.26719927647014619</v>
      </c>
      <c r="EE17">
        <v>-2.0651099999999998</v>
      </c>
      <c r="EF17">
        <v>-2.0851099999999998</v>
      </c>
      <c r="EG17">
        <v>9.2180822115731935</v>
      </c>
      <c r="EH17" s="9" t="s">
        <v>971</v>
      </c>
      <c r="EI17">
        <v>0</v>
      </c>
      <c r="EJ17">
        <v>0</v>
      </c>
      <c r="EK17">
        <v>45470</v>
      </c>
      <c r="EL17">
        <v>1.73</v>
      </c>
      <c r="EM17">
        <v>-6.86</v>
      </c>
      <c r="EN17" s="14">
        <v>1.1399999999999999</v>
      </c>
      <c r="EO17" s="14">
        <v>1.1299999999999999</v>
      </c>
      <c r="EP17" s="14">
        <v>-2</v>
      </c>
    </row>
    <row r="18" spans="1:146" ht="84" x14ac:dyDescent="0.25">
      <c r="A18" s="7"/>
      <c r="B18" s="7"/>
      <c r="C18" s="7" t="str">
        <f>""&amp;CHAR(10)&amp;Basic_Fundamental_Information_Constructure(F18)&amp;CHAR(10)&amp;Basic_Fundamental_Information_Concatenate("")</f>
        <v xml:space="preserve">
市值21.167012亿, 利润-1.47亿; PE; 平均PE25.42; 平均PEG1.19, PB1.39; ROIC3.505%; ROE1.53%; 股利率0%; 毛利16.4133%; 净利.0367%; 上一年度营收增1.75%, 利润增-238.68%; 当季营收增-.44%, 利润增31.29%; 过往5年营收增21.37%, 利润增12.93%
Income profile:
</v>
      </c>
      <c r="D18" t="s">
        <v>79</v>
      </c>
      <c r="E18" t="s">
        <v>80</v>
      </c>
      <c r="F18">
        <v>14.84</v>
      </c>
      <c r="G18">
        <v>1.0900000000000001</v>
      </c>
      <c r="H18" t="s">
        <v>1004</v>
      </c>
      <c r="I18">
        <v>2116701200</v>
      </c>
      <c r="K18">
        <v>1.39</v>
      </c>
      <c r="L18" t="s">
        <v>24</v>
      </c>
      <c r="M18" t="s">
        <v>1005</v>
      </c>
      <c r="N18" t="s">
        <v>1006</v>
      </c>
      <c r="O18" t="s">
        <v>635</v>
      </c>
      <c r="P18">
        <v>-0.44</v>
      </c>
      <c r="Q18" t="s">
        <v>1007</v>
      </c>
      <c r="R18">
        <v>-19412531</v>
      </c>
      <c r="S18" s="5">
        <v>0.31290000000000001</v>
      </c>
      <c r="T18" t="s">
        <v>1008</v>
      </c>
      <c r="U18">
        <v>92297224</v>
      </c>
      <c r="V18">
        <v>142634850</v>
      </c>
      <c r="W18">
        <v>2.27</v>
      </c>
      <c r="X18">
        <v>0.23</v>
      </c>
      <c r="Y18">
        <v>-2.4900000000000002</v>
      </c>
      <c r="Z18" t="s">
        <v>1009</v>
      </c>
      <c r="AA18" t="s">
        <v>902</v>
      </c>
      <c r="AB18" t="s">
        <v>1010</v>
      </c>
      <c r="AC18" t="s">
        <v>1011</v>
      </c>
      <c r="AD18" t="s">
        <v>41</v>
      </c>
      <c r="AE18">
        <v>8631967</v>
      </c>
      <c r="AF18" t="s">
        <v>1012</v>
      </c>
      <c r="AG18" t="s">
        <v>1013</v>
      </c>
      <c r="AH18" t="s">
        <v>1014</v>
      </c>
      <c r="AI18" t="s">
        <v>817</v>
      </c>
      <c r="AJ18" t="s">
        <v>1015</v>
      </c>
      <c r="AK18" t="s">
        <v>41</v>
      </c>
      <c r="AL18" t="s">
        <v>1016</v>
      </c>
      <c r="AM18" t="s">
        <v>41</v>
      </c>
      <c r="AN18" t="s">
        <v>989</v>
      </c>
      <c r="AO18" t="s">
        <v>506</v>
      </c>
      <c r="AP18" t="s">
        <v>41</v>
      </c>
      <c r="AQ18" t="s">
        <v>517</v>
      </c>
      <c r="AR18" t="s">
        <v>41</v>
      </c>
      <c r="AS18" t="s">
        <v>1017</v>
      </c>
      <c r="AT18" t="s">
        <v>457</v>
      </c>
      <c r="AU18" t="s">
        <v>1018</v>
      </c>
      <c r="AV18" t="s">
        <v>1019</v>
      </c>
      <c r="AW18" t="s">
        <v>151</v>
      </c>
      <c r="AX18" t="s">
        <v>434</v>
      </c>
      <c r="AY18" t="s">
        <v>228</v>
      </c>
      <c r="AZ18" t="s">
        <v>166</v>
      </c>
      <c r="BA18" t="s">
        <v>81</v>
      </c>
      <c r="BB18" t="s">
        <v>167</v>
      </c>
      <c r="BC18" t="s">
        <v>435</v>
      </c>
      <c r="BD18" t="s">
        <v>269</v>
      </c>
      <c r="BE18" t="s">
        <v>64</v>
      </c>
      <c r="BF18" t="s">
        <v>82</v>
      </c>
      <c r="BG18" t="s">
        <v>146</v>
      </c>
      <c r="BH18" t="s">
        <v>1007</v>
      </c>
      <c r="BI18" t="s">
        <v>1020</v>
      </c>
      <c r="BJ18" t="s">
        <v>434</v>
      </c>
      <c r="BK18" t="s">
        <v>1008</v>
      </c>
      <c r="BL18" t="s">
        <v>1021</v>
      </c>
      <c r="BM18" t="s">
        <v>435</v>
      </c>
      <c r="BN18" t="s">
        <v>41</v>
      </c>
      <c r="BO18">
        <v>5.08</v>
      </c>
      <c r="BP18">
        <v>1.93</v>
      </c>
      <c r="BQ18">
        <v>-3.09</v>
      </c>
      <c r="BR18">
        <v>6.08</v>
      </c>
      <c r="BS18">
        <v>1.6</v>
      </c>
      <c r="BT18" t="s">
        <v>389</v>
      </c>
      <c r="BU18" t="s">
        <v>799</v>
      </c>
      <c r="BV18">
        <v>12.63</v>
      </c>
      <c r="BW18">
        <v>19.05</v>
      </c>
      <c r="BX18">
        <v>17.559999999999999</v>
      </c>
      <c r="BY18">
        <v>-3.8</v>
      </c>
      <c r="BZ18">
        <v>2.96</v>
      </c>
      <c r="CA18">
        <v>0.95</v>
      </c>
      <c r="CB18">
        <v>-1.59</v>
      </c>
      <c r="CC18">
        <v>-28.76</v>
      </c>
      <c r="CD18" t="s">
        <v>1022</v>
      </c>
      <c r="CE18" t="s">
        <v>83</v>
      </c>
      <c r="CF18" s="10">
        <v>-4.4004400440042692E-3</v>
      </c>
      <c r="CG18" s="11">
        <v>0.31293047734665058</v>
      </c>
      <c r="CH18" s="10">
        <v>1.7525453120470047E-2</v>
      </c>
      <c r="CI18" s="10">
        <v>0.27178972959518433</v>
      </c>
      <c r="CJ18" s="10">
        <v>0.37260273098945618</v>
      </c>
      <c r="CK18" s="10">
        <v>0.16613425314426422</v>
      </c>
      <c r="CL18" s="10">
        <v>0.24042272567749023</v>
      </c>
      <c r="CM18" s="11">
        <v>-2.3867924213409424</v>
      </c>
      <c r="CN18" s="11">
        <v>3.12795090675354</v>
      </c>
      <c r="CO18" s="11">
        <v>-0.85242187976837158</v>
      </c>
      <c r="CP18" s="11">
        <v>-0.23348017036914825</v>
      </c>
      <c r="CQ18" s="11">
        <v>0.99122804403305054</v>
      </c>
      <c r="CR18">
        <v>25.416752288370962</v>
      </c>
      <c r="CS18">
        <v>1.1893939888593077</v>
      </c>
      <c r="CT18">
        <v>0</v>
      </c>
      <c r="CU18" s="10">
        <v>0.213694978505373</v>
      </c>
      <c r="CV18" s="11">
        <v>0.12929689586162568</v>
      </c>
      <c r="CW18">
        <v>0.06</v>
      </c>
      <c r="CX18" t="e">
        <v>#VALUE!</v>
      </c>
      <c r="CY18" t="s">
        <v>300</v>
      </c>
      <c r="CZ18">
        <v>0.213694978505373</v>
      </c>
      <c r="DA18" t="e">
        <v>#VALUE!</v>
      </c>
      <c r="DB18" t="s">
        <v>301</v>
      </c>
      <c r="DC18">
        <v>0.20301022958010434</v>
      </c>
      <c r="DD18" t="e">
        <v>#VALUE!</v>
      </c>
      <c r="DE18" t="s">
        <v>301</v>
      </c>
      <c r="DF18">
        <v>0.18805158108472825</v>
      </c>
      <c r="DG18" t="e">
        <v>#VALUE!</v>
      </c>
      <c r="DH18" t="s">
        <v>301</v>
      </c>
      <c r="DI18">
        <v>0.17095598280429841</v>
      </c>
      <c r="DJ18" t="e">
        <v>#VALUE!</v>
      </c>
      <c r="DK18" t="s">
        <v>301</v>
      </c>
      <c r="DL18">
        <v>0.14958648495376109</v>
      </c>
      <c r="DM18">
        <v>-147000000</v>
      </c>
      <c r="DN18">
        <v>0.213694978505373</v>
      </c>
      <c r="DO18">
        <v>2521701200</v>
      </c>
      <c r="DP18">
        <v>385010700</v>
      </c>
      <c r="DQ18">
        <v>1440</v>
      </c>
      <c r="DR18">
        <v>-0.21809541854937728</v>
      </c>
      <c r="DS18">
        <v>0.1836335814850249</v>
      </c>
      <c r="DT18" s="12">
        <v>5.9999999999999908E-2</v>
      </c>
      <c r="DU18">
        <v>-1.1166666666666669</v>
      </c>
      <c r="DV18">
        <v>-1.0566666666666671</v>
      </c>
      <c r="DW18">
        <v>-3.144309523809524</v>
      </c>
      <c r="DX18">
        <v>0.25184594594594528</v>
      </c>
      <c r="DY18">
        <v>-3.0103680542471043</v>
      </c>
      <c r="DZ18">
        <v>3617</v>
      </c>
      <c r="EA18">
        <v>-3.0030292573367761</v>
      </c>
      <c r="EB18">
        <v>3</v>
      </c>
      <c r="EC18">
        <v>5.5911300779578066E-2</v>
      </c>
      <c r="ED18">
        <v>0.77821093512560224</v>
      </c>
      <c r="EE18" s="13">
        <v>3.3309999999999999E-2</v>
      </c>
      <c r="EF18">
        <v>4.581000000000001E-2</v>
      </c>
      <c r="EG18">
        <v>18.071845945945945</v>
      </c>
      <c r="EH18">
        <v>-1</v>
      </c>
      <c r="EI18">
        <v>0</v>
      </c>
      <c r="EJ18">
        <v>0</v>
      </c>
      <c r="EK18" s="9">
        <v>45470</v>
      </c>
      <c r="EL18" s="14">
        <v>1.44</v>
      </c>
      <c r="EM18" s="14">
        <v>-4.1399999999999997</v>
      </c>
      <c r="EN18" s="14">
        <v>-0.54</v>
      </c>
      <c r="EO18" s="14">
        <v>3.53</v>
      </c>
      <c r="EP18" s="14">
        <v>-1.25</v>
      </c>
    </row>
    <row r="19" spans="1:146" ht="84" x14ac:dyDescent="0.25">
      <c r="A19" s="7"/>
      <c r="B19" s="7"/>
      <c r="C19" s="7" t="str">
        <f>""&amp;CHAR(10)&amp;Basic_Fundamental_Information_Constructure(F19)&amp;CHAR(10)&amp;Basic_Fundamental_Information_Concatenate("")</f>
        <v xml:space="preserve">
市值29.557982亿, 利润-5.32亿; PE; 平均PE-16.82; 平均PEG-17.45, PB1.15; ROIC-9.13%; ROE-2.9667%; 股利率0%; 毛利11.58%; 净利-3.8733%; 上一年度营收增-4.01%, 利润增-8405.47%; 当季营收增-26.29%, 利润增-66.26%; 过往5年营收增.96%, 利润增-1702.93%
Income profile:
</v>
      </c>
      <c r="D19" t="s">
        <v>26</v>
      </c>
      <c r="E19" t="s">
        <v>12</v>
      </c>
      <c r="F19">
        <v>2.62</v>
      </c>
      <c r="G19">
        <v>0.77</v>
      </c>
      <c r="H19" t="s">
        <v>1023</v>
      </c>
      <c r="I19">
        <v>2955798200</v>
      </c>
      <c r="K19">
        <v>1.1499999999999999</v>
      </c>
      <c r="L19" t="s">
        <v>24</v>
      </c>
      <c r="M19" t="s">
        <v>516</v>
      </c>
      <c r="N19" t="s">
        <v>1024</v>
      </c>
      <c r="O19" t="s">
        <v>1025</v>
      </c>
      <c r="P19">
        <v>-26.33</v>
      </c>
      <c r="Q19" t="s">
        <v>1026</v>
      </c>
      <c r="R19">
        <v>3512688</v>
      </c>
      <c r="S19" s="5">
        <v>-0.66259999999999997</v>
      </c>
      <c r="T19" t="s">
        <v>1027</v>
      </c>
      <c r="U19">
        <v>1105079000</v>
      </c>
      <c r="V19">
        <v>1128167250</v>
      </c>
      <c r="W19">
        <v>1.87</v>
      </c>
      <c r="X19">
        <v>0.21</v>
      </c>
      <c r="Y19">
        <v>-0.17</v>
      </c>
      <c r="Z19" t="s">
        <v>1028</v>
      </c>
      <c r="AA19" t="s">
        <v>525</v>
      </c>
      <c r="AB19" t="s">
        <v>1029</v>
      </c>
      <c r="AC19" t="s">
        <v>1030</v>
      </c>
      <c r="AD19" t="s">
        <v>41</v>
      </c>
      <c r="AE19">
        <v>15522241</v>
      </c>
      <c r="AF19" t="s">
        <v>61</v>
      </c>
      <c r="AG19" t="s">
        <v>1031</v>
      </c>
      <c r="AH19" t="s">
        <v>1032</v>
      </c>
      <c r="AI19" t="s">
        <v>1033</v>
      </c>
      <c r="AJ19" t="s">
        <v>1034</v>
      </c>
      <c r="AK19" t="s">
        <v>41</v>
      </c>
      <c r="AL19" t="s">
        <v>1035</v>
      </c>
      <c r="AM19" t="s">
        <v>41</v>
      </c>
      <c r="AN19" t="s">
        <v>1036</v>
      </c>
      <c r="AO19" t="s">
        <v>1037</v>
      </c>
      <c r="AP19" t="s">
        <v>41</v>
      </c>
      <c r="AQ19" t="s">
        <v>1038</v>
      </c>
      <c r="AR19" t="s">
        <v>1039</v>
      </c>
      <c r="AS19" t="s">
        <v>1040</v>
      </c>
      <c r="AT19" t="s">
        <v>538</v>
      </c>
      <c r="AU19" t="s">
        <v>1041</v>
      </c>
      <c r="AV19" t="s">
        <v>1042</v>
      </c>
      <c r="AW19" t="s">
        <v>1043</v>
      </c>
      <c r="AX19" t="s">
        <v>438</v>
      </c>
      <c r="AY19" t="s">
        <v>270</v>
      </c>
      <c r="AZ19" t="s">
        <v>168</v>
      </c>
      <c r="BA19" t="s">
        <v>169</v>
      </c>
      <c r="BB19" t="s">
        <v>170</v>
      </c>
      <c r="BC19" t="s">
        <v>1044</v>
      </c>
      <c r="BD19" t="s">
        <v>271</v>
      </c>
      <c r="BE19" t="s">
        <v>84</v>
      </c>
      <c r="BF19" t="s">
        <v>171</v>
      </c>
      <c r="BG19" t="s">
        <v>172</v>
      </c>
      <c r="BH19" t="s">
        <v>1026</v>
      </c>
      <c r="BI19" t="s">
        <v>499</v>
      </c>
      <c r="BJ19" t="s">
        <v>438</v>
      </c>
      <c r="BK19" t="s">
        <v>1027</v>
      </c>
      <c r="BL19" t="s">
        <v>1045</v>
      </c>
      <c r="BM19" t="s">
        <v>1044</v>
      </c>
      <c r="BN19" t="s">
        <v>41</v>
      </c>
      <c r="BO19" t="s">
        <v>41</v>
      </c>
      <c r="BP19">
        <v>-9.1300000000000008</v>
      </c>
      <c r="BQ19">
        <v>-7.86</v>
      </c>
      <c r="BR19">
        <v>-0.35</v>
      </c>
      <c r="BS19">
        <v>-0.69</v>
      </c>
      <c r="BT19" t="s">
        <v>389</v>
      </c>
      <c r="BU19" t="s">
        <v>303</v>
      </c>
      <c r="BV19">
        <v>6.71</v>
      </c>
      <c r="BW19">
        <v>12.73</v>
      </c>
      <c r="BX19">
        <v>15.3</v>
      </c>
      <c r="BY19">
        <v>-11.02</v>
      </c>
      <c r="BZ19">
        <v>-0.22</v>
      </c>
      <c r="CA19">
        <v>-0.38</v>
      </c>
      <c r="CB19">
        <v>3.15</v>
      </c>
      <c r="CC19">
        <v>-19.14</v>
      </c>
      <c r="CD19" t="s">
        <v>478</v>
      </c>
      <c r="CE19" t="s">
        <v>1046</v>
      </c>
      <c r="CF19" s="10">
        <v>-0.26289752650176679</v>
      </c>
      <c r="CG19" s="11">
        <v>-0.66258220066279239</v>
      </c>
      <c r="CH19" s="10">
        <v>-4.0085975080728531E-2</v>
      </c>
      <c r="CI19" s="10">
        <v>0.1430487334728241</v>
      </c>
      <c r="CJ19" s="10">
        <v>-4.450435284525156E-3</v>
      </c>
      <c r="CK19" s="10">
        <v>-2.8954111039638519E-2</v>
      </c>
      <c r="CL19" s="10">
        <v>-2.1357621997594833E-2</v>
      </c>
      <c r="CM19" s="11">
        <v>-84.054679870605469</v>
      </c>
      <c r="CN19" s="11">
        <v>0.54799497127532959</v>
      </c>
      <c r="CO19" s="11">
        <v>0.94855797290802002</v>
      </c>
      <c r="CP19" s="11">
        <v>0.42025861144065857</v>
      </c>
      <c r="CQ19" s="11">
        <v>-3.0086579322814941</v>
      </c>
      <c r="CR19">
        <v>-16.824695968390635</v>
      </c>
      <c r="CS19">
        <v>-17.452790457377262</v>
      </c>
      <c r="CT19">
        <v>0</v>
      </c>
      <c r="CU19" s="10">
        <v>9.6401180140674118E-3</v>
      </c>
      <c r="CV19" s="11">
        <v>-17.029305249452591</v>
      </c>
      <c r="CW19">
        <v>0.06</v>
      </c>
      <c r="CX19" t="e">
        <v>#VALUE!</v>
      </c>
      <c r="CY19" t="s">
        <v>301</v>
      </c>
      <c r="CZ19">
        <v>9.6401180140674118E-3</v>
      </c>
      <c r="DA19" t="e">
        <v>#VALUE!</v>
      </c>
      <c r="DB19" t="s">
        <v>301</v>
      </c>
      <c r="DC19">
        <v>9.1581121133640416E-3</v>
      </c>
      <c r="DD19" t="e">
        <v>#VALUE!</v>
      </c>
      <c r="DE19" t="s">
        <v>301</v>
      </c>
      <c r="DF19">
        <v>8.4833038523793227E-3</v>
      </c>
      <c r="DG19" t="e">
        <v>#VALUE!</v>
      </c>
      <c r="DH19" t="s">
        <v>301</v>
      </c>
      <c r="DI19">
        <v>7.7120944112539294E-3</v>
      </c>
      <c r="DJ19" t="e">
        <v>#VALUE!</v>
      </c>
      <c r="DK19" t="s">
        <v>301</v>
      </c>
      <c r="DL19">
        <v>6.7480826098471882E-3</v>
      </c>
      <c r="DM19">
        <v>-532000000</v>
      </c>
      <c r="DN19">
        <v>9.6401180140674118E-3</v>
      </c>
      <c r="DO19">
        <v>2723798200</v>
      </c>
      <c r="DP19">
        <v>1737967300</v>
      </c>
      <c r="DQ19">
        <v>1585</v>
      </c>
      <c r="DR19">
        <v>-0.27253764451583418</v>
      </c>
      <c r="DS19">
        <v>16.366723048789797</v>
      </c>
      <c r="DT19" s="12">
        <v>-0.44</v>
      </c>
      <c r="DU19">
        <v>-2.5233333333333334</v>
      </c>
      <c r="DV19">
        <v>-2.9633333333333334</v>
      </c>
      <c r="DW19">
        <v>6.1413189771197843</v>
      </c>
      <c r="DX19">
        <v>0.36037433155080312</v>
      </c>
      <c r="DY19">
        <v>6.0269035058046221</v>
      </c>
      <c r="DZ19">
        <v>4897</v>
      </c>
      <c r="EA19">
        <v>6.0011214181480206</v>
      </c>
      <c r="EB19">
        <v>6</v>
      </c>
      <c r="EC19">
        <v>0.15777802449060632</v>
      </c>
      <c r="ED19">
        <v>0.82877782527369059</v>
      </c>
      <c r="EE19" s="13">
        <v>-2.0423100000000001</v>
      </c>
      <c r="EF19">
        <v>-2.0689099999999998</v>
      </c>
      <c r="EG19">
        <v>17.190374331550803</v>
      </c>
      <c r="EH19" t="s">
        <v>971</v>
      </c>
      <c r="EI19">
        <v>0</v>
      </c>
      <c r="EJ19">
        <v>0</v>
      </c>
      <c r="EK19" s="9">
        <v>45470</v>
      </c>
      <c r="EL19" s="14">
        <v>0</v>
      </c>
      <c r="EM19" s="14">
        <v>-3.8</v>
      </c>
      <c r="EN19" s="14">
        <v>0.79</v>
      </c>
      <c r="EO19" s="14">
        <v>3.14</v>
      </c>
      <c r="EP19" s="14">
        <v>-2.66</v>
      </c>
    </row>
    <row r="20" spans="1:146" ht="84" x14ac:dyDescent="0.25">
      <c r="C20" s="7" t="str">
        <f>""&amp;CHAR(10)&amp;Basic_Fundamental_Information_Constructure(F20)&amp;CHAR(10)&amp;Basic_Fundamental_Information_Concatenate("")</f>
        <v xml:space="preserve">
市值62.574264亿, 利润4.53亿; PE13.61; 平均PE19.51; 平均PEG1.36, PB1.37; ROIC7.9767%; ROE10.0733%; 股利率2.9806%; 毛利49.9767%; 净利20.75%; 上一年度营收增7.92%, 利润增30.55%; 当季营收增20.32%, 利润增8.35%; 过往5年营收增14.34%, 利润增37.3%
Income profile:
</v>
      </c>
      <c r="D20" t="s">
        <v>1047</v>
      </c>
      <c r="E20" t="s">
        <v>1048</v>
      </c>
      <c r="F20">
        <v>13.42</v>
      </c>
      <c r="G20">
        <v>1.74</v>
      </c>
      <c r="H20" t="s">
        <v>1049</v>
      </c>
      <c r="I20">
        <v>6257426400</v>
      </c>
      <c r="J20">
        <v>13.61</v>
      </c>
      <c r="K20">
        <v>1.37</v>
      </c>
      <c r="L20" t="s">
        <v>24</v>
      </c>
      <c r="M20" t="s">
        <v>1050</v>
      </c>
      <c r="N20" t="s">
        <v>1051</v>
      </c>
      <c r="O20" t="s">
        <v>1052</v>
      </c>
      <c r="P20" s="5">
        <v>20.420000000000002</v>
      </c>
      <c r="Q20" t="s">
        <v>1053</v>
      </c>
      <c r="R20">
        <v>87571108</v>
      </c>
      <c r="S20">
        <v>8.3500000000000005E-2</v>
      </c>
      <c r="T20" t="s">
        <v>1054</v>
      </c>
      <c r="U20">
        <v>334982300</v>
      </c>
      <c r="V20">
        <v>466276190</v>
      </c>
      <c r="W20">
        <v>1.36</v>
      </c>
      <c r="X20">
        <v>0.08</v>
      </c>
      <c r="Y20">
        <v>17.54</v>
      </c>
      <c r="Z20" t="s">
        <v>1055</v>
      </c>
      <c r="AA20" t="s">
        <v>1056</v>
      </c>
      <c r="AB20" t="s">
        <v>1057</v>
      </c>
      <c r="AC20" t="s">
        <v>1058</v>
      </c>
      <c r="AD20" t="s">
        <v>41</v>
      </c>
      <c r="AE20">
        <v>5072636</v>
      </c>
      <c r="AF20" t="s">
        <v>1059</v>
      </c>
      <c r="AG20" t="s">
        <v>1060</v>
      </c>
      <c r="AH20" t="s">
        <v>1061</v>
      </c>
      <c r="AI20" t="s">
        <v>1062</v>
      </c>
      <c r="AJ20" t="s">
        <v>1063</v>
      </c>
      <c r="AK20" t="s">
        <v>1064</v>
      </c>
      <c r="AL20" t="s">
        <v>1065</v>
      </c>
      <c r="AM20" t="s">
        <v>41</v>
      </c>
      <c r="AN20" t="s">
        <v>1066</v>
      </c>
      <c r="AO20" t="s">
        <v>1067</v>
      </c>
      <c r="AP20" t="s">
        <v>901</v>
      </c>
      <c r="AQ20" t="s">
        <v>762</v>
      </c>
      <c r="AR20" t="s">
        <v>1068</v>
      </c>
      <c r="AS20" t="s">
        <v>1069</v>
      </c>
      <c r="AT20" t="s">
        <v>165</v>
      </c>
      <c r="AU20" t="s">
        <v>1070</v>
      </c>
      <c r="AV20" t="s">
        <v>537</v>
      </c>
      <c r="AW20" t="s">
        <v>1071</v>
      </c>
      <c r="AX20" t="s">
        <v>1072</v>
      </c>
      <c r="AY20" t="s">
        <v>1073</v>
      </c>
      <c r="AZ20" t="s">
        <v>1074</v>
      </c>
      <c r="BA20" t="s">
        <v>1075</v>
      </c>
      <c r="BB20" t="s">
        <v>1076</v>
      </c>
      <c r="BC20" t="s">
        <v>821</v>
      </c>
      <c r="BD20" t="s">
        <v>817</v>
      </c>
      <c r="BE20" t="s">
        <v>495</v>
      </c>
      <c r="BF20" t="s">
        <v>539</v>
      </c>
      <c r="BG20" t="s">
        <v>151</v>
      </c>
      <c r="BH20" t="s">
        <v>1053</v>
      </c>
      <c r="BI20" t="s">
        <v>1077</v>
      </c>
      <c r="BJ20" t="s">
        <v>1072</v>
      </c>
      <c r="BK20" t="s">
        <v>1054</v>
      </c>
      <c r="BL20" t="s">
        <v>1078</v>
      </c>
      <c r="BM20" t="s">
        <v>821</v>
      </c>
      <c r="BN20">
        <v>5.76</v>
      </c>
      <c r="BO20">
        <v>7.47</v>
      </c>
      <c r="BP20">
        <v>10.7</v>
      </c>
      <c r="BQ20">
        <v>6.34</v>
      </c>
      <c r="BR20">
        <v>8.41</v>
      </c>
      <c r="BS20">
        <v>15.47</v>
      </c>
      <c r="BT20" t="s">
        <v>1079</v>
      </c>
      <c r="BU20" t="s">
        <v>741</v>
      </c>
      <c r="BV20">
        <v>49.69</v>
      </c>
      <c r="BW20">
        <v>48.44</v>
      </c>
      <c r="BX20">
        <v>51.8</v>
      </c>
      <c r="BY20">
        <v>22.72</v>
      </c>
      <c r="BZ20">
        <v>17.93</v>
      </c>
      <c r="CA20">
        <v>21.6</v>
      </c>
      <c r="CB20">
        <v>-1.47</v>
      </c>
      <c r="CC20" s="10">
        <v>-18.37</v>
      </c>
      <c r="CD20" s="11" t="s">
        <v>1080</v>
      </c>
      <c r="CE20" s="10" t="s">
        <v>83</v>
      </c>
      <c r="CF20" s="10">
        <v>0.20316027088036118</v>
      </c>
      <c r="CG20" s="10">
        <v>8.3485718881265963E-2</v>
      </c>
      <c r="CH20" s="10">
        <v>7.9174630343914032E-2</v>
      </c>
      <c r="CI20" s="10">
        <v>3.8365688174962997E-2</v>
      </c>
      <c r="CJ20" s="11">
        <v>3.5000320058315992E-3</v>
      </c>
      <c r="CK20" s="11">
        <v>0.36332646012306213</v>
      </c>
      <c r="CL20" s="11">
        <v>0.23277316987514496</v>
      </c>
      <c r="CM20" s="11">
        <v>0.30547550320625305</v>
      </c>
      <c r="CN20" s="11">
        <v>-0.15980629622936249</v>
      </c>
      <c r="CO20">
        <v>3.7688441574573517E-2</v>
      </c>
      <c r="CP20">
        <v>1.0515463352203369</v>
      </c>
      <c r="CQ20">
        <v>0.63025212287902832</v>
      </c>
      <c r="CR20" s="10">
        <v>19.513803742203741</v>
      </c>
      <c r="CS20" s="11">
        <v>1.3605296226808394</v>
      </c>
      <c r="CT20">
        <v>2.9806259314456036</v>
      </c>
      <c r="CU20">
        <v>0.14342799610458315</v>
      </c>
      <c r="CV20">
        <v>0.37303122133016586</v>
      </c>
      <c r="CW20">
        <v>0.06</v>
      </c>
      <c r="CX20">
        <v>6.473759725661143</v>
      </c>
      <c r="CY20">
        <v>488653662.48620391</v>
      </c>
      <c r="CZ20">
        <v>0.14342799610458315</v>
      </c>
      <c r="DA20">
        <v>2.0225478370305283</v>
      </c>
      <c r="DB20">
        <v>1564079890.7602062</v>
      </c>
      <c r="DC20">
        <v>0.13625659629935399</v>
      </c>
      <c r="DD20">
        <v>0.93643828775386073</v>
      </c>
      <c r="DE20">
        <v>3378147221.6260924</v>
      </c>
      <c r="DF20">
        <v>0.12621663657203316</v>
      </c>
      <c r="DG20">
        <v>0.5239009787319644</v>
      </c>
      <c r="DH20">
        <v>6038214335.1911097</v>
      </c>
      <c r="DI20">
        <v>0.11474239688366653</v>
      </c>
      <c r="DJ20">
        <v>0.23035987161641674</v>
      </c>
      <c r="DK20">
        <v>13732541079.322933</v>
      </c>
      <c r="DL20">
        <v>0.1003995972732082</v>
      </c>
      <c r="DM20">
        <v>453000000</v>
      </c>
      <c r="DN20">
        <v>0.14342799610458315</v>
      </c>
      <c r="DO20">
        <v>3163426400</v>
      </c>
      <c r="DP20">
        <v>2147521400</v>
      </c>
      <c r="DQ20" s="12">
        <v>1609</v>
      </c>
      <c r="DR20">
        <v>5.9732274775778027E-2</v>
      </c>
      <c r="DS20">
        <v>-0.28954550244889987</v>
      </c>
      <c r="DT20">
        <v>-0.22333333333333338</v>
      </c>
      <c r="DU20">
        <v>0.44999999999999996</v>
      </c>
      <c r="DV20">
        <v>0.22666666666666657</v>
      </c>
      <c r="DW20">
        <v>-3.0268035714285713</v>
      </c>
      <c r="DX20">
        <v>0.31009819819819767</v>
      </c>
      <c r="DY20">
        <v>-3.0034870963481337</v>
      </c>
      <c r="DZ20">
        <v>1212</v>
      </c>
      <c r="EA20">
        <v>-3.0026600198757389</v>
      </c>
      <c r="EB20" s="13">
        <v>3</v>
      </c>
      <c r="EC20" s="13">
        <v>3.0970700005076391E-2</v>
      </c>
      <c r="ED20">
        <v>0.23805633309305374</v>
      </c>
      <c r="EE20">
        <v>5.2609999999999997E-2</v>
      </c>
      <c r="EF20">
        <v>7.2010000000000005E-2</v>
      </c>
      <c r="EG20">
        <v>18.130098198198198</v>
      </c>
      <c r="EH20" s="9">
        <v>-1</v>
      </c>
      <c r="EI20">
        <v>0</v>
      </c>
      <c r="EJ20">
        <v>1</v>
      </c>
      <c r="EK20">
        <v>45470</v>
      </c>
      <c r="EL20">
        <v>-0.14000000000000001</v>
      </c>
      <c r="EM20">
        <v>-3.13</v>
      </c>
      <c r="EN20" s="14">
        <v>0.22</v>
      </c>
      <c r="EO20" s="14">
        <v>1.9</v>
      </c>
      <c r="EP20" s="14">
        <v>-1.94</v>
      </c>
    </row>
    <row r="21" spans="1:146" ht="84" x14ac:dyDescent="0.25">
      <c r="A21" s="7"/>
      <c r="B21" s="7"/>
      <c r="C21" s="7" t="str">
        <f>""&amp;CHAR(10)&amp;Basic_Fundamental_Information_Constructure(F21)&amp;CHAR(10)&amp;Basic_Fundamental_Information_Concatenate("")</f>
        <v xml:space="preserve">
市值18.371773亿, 利润-2200.16万; PE; 平均PE-5.29; 平均PEG-.25, PB33.43; ROIC0%; ROE-23.8867%; 股利率0%; 毛利12.75%; 净利-28.7267%; 上一年度营收增79.44%, 利润增30.88%; 当季营收增-24.24%, 利润增-79.45%; 过往5年营收增21.13%, 利润增-106.03%
Income profile:
</v>
      </c>
      <c r="D21" t="s">
        <v>37</v>
      </c>
      <c r="E21" t="s">
        <v>1081</v>
      </c>
      <c r="F21">
        <v>5.87</v>
      </c>
      <c r="G21">
        <v>1.03</v>
      </c>
      <c r="H21" t="s">
        <v>1082</v>
      </c>
      <c r="I21">
        <v>1837177300</v>
      </c>
      <c r="K21">
        <v>33.43</v>
      </c>
      <c r="L21" t="s">
        <v>24</v>
      </c>
      <c r="M21" t="s">
        <v>986</v>
      </c>
      <c r="N21" t="s">
        <v>1083</v>
      </c>
      <c r="O21" t="s">
        <v>1084</v>
      </c>
      <c r="P21">
        <v>-24.24</v>
      </c>
      <c r="Q21" t="s">
        <v>1085</v>
      </c>
      <c r="R21">
        <v>-7206693</v>
      </c>
      <c r="S21" s="5">
        <v>-0.79449999999999998</v>
      </c>
      <c r="T21" t="s">
        <v>1086</v>
      </c>
      <c r="U21">
        <v>184221480</v>
      </c>
      <c r="V21">
        <v>312977400</v>
      </c>
      <c r="W21">
        <v>4.79</v>
      </c>
      <c r="X21">
        <v>0.06</v>
      </c>
      <c r="Y21">
        <v>-38.909999999999997</v>
      </c>
      <c r="Z21" t="s">
        <v>1087</v>
      </c>
      <c r="AA21" t="s">
        <v>1088</v>
      </c>
      <c r="AB21" t="s">
        <v>1089</v>
      </c>
      <c r="AC21" t="s">
        <v>1090</v>
      </c>
      <c r="AD21" t="s">
        <v>41</v>
      </c>
      <c r="AE21">
        <v>2655315</v>
      </c>
      <c r="AF21" t="s">
        <v>1091</v>
      </c>
      <c r="AG21" t="s">
        <v>1092</v>
      </c>
      <c r="AH21" t="s">
        <v>1093</v>
      </c>
      <c r="AI21" t="s">
        <v>1094</v>
      </c>
      <c r="AJ21" t="s">
        <v>1095</v>
      </c>
      <c r="AK21" t="s">
        <v>41</v>
      </c>
      <c r="AL21" t="s">
        <v>1096</v>
      </c>
      <c r="AM21" t="s">
        <v>41</v>
      </c>
      <c r="AN21">
        <v>0</v>
      </c>
      <c r="AO21" t="s">
        <v>1097</v>
      </c>
      <c r="AP21" t="s">
        <v>41</v>
      </c>
      <c r="AQ21" t="s">
        <v>1098</v>
      </c>
      <c r="AR21" t="s">
        <v>1099</v>
      </c>
      <c r="AS21" t="s">
        <v>322</v>
      </c>
      <c r="AT21" t="s">
        <v>41</v>
      </c>
      <c r="AU21" t="s">
        <v>1100</v>
      </c>
      <c r="AV21" t="s">
        <v>1101</v>
      </c>
      <c r="AW21" t="s">
        <v>1102</v>
      </c>
      <c r="AX21" t="s">
        <v>439</v>
      </c>
      <c r="AY21" t="s">
        <v>119</v>
      </c>
      <c r="AZ21" t="s">
        <v>174</v>
      </c>
      <c r="BA21" t="s">
        <v>86</v>
      </c>
      <c r="BB21" t="s">
        <v>154</v>
      </c>
      <c r="BC21" t="s">
        <v>1103</v>
      </c>
      <c r="BD21" t="s">
        <v>272</v>
      </c>
      <c r="BE21" t="s">
        <v>175</v>
      </c>
      <c r="BF21" t="s">
        <v>87</v>
      </c>
      <c r="BG21" t="s">
        <v>177</v>
      </c>
      <c r="BH21" t="s">
        <v>1085</v>
      </c>
      <c r="BI21" t="s">
        <v>1104</v>
      </c>
      <c r="BJ21" t="s">
        <v>439</v>
      </c>
      <c r="BK21" t="s">
        <v>1086</v>
      </c>
      <c r="BL21" t="s">
        <v>1105</v>
      </c>
      <c r="BM21" t="s">
        <v>1103</v>
      </c>
      <c r="BN21" t="s">
        <v>41</v>
      </c>
      <c r="BO21" t="s">
        <v>41</v>
      </c>
      <c r="BP21" t="s">
        <v>41</v>
      </c>
      <c r="BQ21">
        <v>-16.77</v>
      </c>
      <c r="BR21">
        <v>-33.81</v>
      </c>
      <c r="BS21">
        <v>-21.08</v>
      </c>
      <c r="BT21" t="s">
        <v>389</v>
      </c>
      <c r="BU21" t="s">
        <v>853</v>
      </c>
      <c r="BV21">
        <v>16.989999999999998</v>
      </c>
      <c r="BW21">
        <v>14.17</v>
      </c>
      <c r="BX21">
        <v>7.09</v>
      </c>
      <c r="BY21">
        <v>-16.059999999999999</v>
      </c>
      <c r="BZ21">
        <v>-41.97</v>
      </c>
      <c r="CA21">
        <v>-28.15</v>
      </c>
      <c r="CB21">
        <v>-4.08</v>
      </c>
      <c r="CC21">
        <v>-15.9</v>
      </c>
      <c r="CD21" t="s">
        <v>1106</v>
      </c>
      <c r="CE21" t="s">
        <v>86</v>
      </c>
      <c r="CF21" s="10">
        <v>-0.24240709951849373</v>
      </c>
      <c r="CG21" s="11">
        <v>-0.79449526892430278</v>
      </c>
      <c r="CH21" s="10">
        <v>0.79436087608337402</v>
      </c>
      <c r="CI21" s="10">
        <v>-0.29305273294448853</v>
      </c>
      <c r="CJ21" s="10">
        <v>-0.33742332458496094</v>
      </c>
      <c r="CK21" s="10">
        <v>-0.28820961713790894</v>
      </c>
      <c r="CL21" s="10">
        <v>1.1809524297714233</v>
      </c>
      <c r="CM21" s="11">
        <v>0.30882349610328674</v>
      </c>
      <c r="CN21" s="11">
        <v>-0.16589994728565216</v>
      </c>
      <c r="CO21" s="11">
        <v>-7.4822525978088379</v>
      </c>
      <c r="CP21" s="11">
        <v>1.0692849159240723</v>
      </c>
      <c r="CQ21" s="11">
        <v>0.96876102685928345</v>
      </c>
      <c r="CR21">
        <v>-5.2901004618960918</v>
      </c>
      <c r="CS21">
        <v>-0.25032945882510532</v>
      </c>
      <c r="CT21">
        <v>0</v>
      </c>
      <c r="CU21" s="10">
        <v>0.21132552623748779</v>
      </c>
      <c r="CV21" s="11">
        <v>-1.0602566212415696</v>
      </c>
      <c r="CW21">
        <v>0.06</v>
      </c>
      <c r="CX21" t="e">
        <v>#VALUE!</v>
      </c>
      <c r="CY21" t="s">
        <v>300</v>
      </c>
      <c r="CZ21">
        <v>0.21132552623748779</v>
      </c>
      <c r="DA21" t="e">
        <v>#VALUE!</v>
      </c>
      <c r="DB21" t="s">
        <v>301</v>
      </c>
      <c r="DC21">
        <v>0.20075924992561339</v>
      </c>
      <c r="DD21" t="e">
        <v>#VALUE!</v>
      </c>
      <c r="DE21" t="s">
        <v>301</v>
      </c>
      <c r="DF21">
        <v>0.18596646308898926</v>
      </c>
      <c r="DG21" t="e">
        <v>#VALUE!</v>
      </c>
      <c r="DH21" t="s">
        <v>301</v>
      </c>
      <c r="DI21">
        <v>0.16906042098999025</v>
      </c>
      <c r="DJ21" t="e">
        <v>#VALUE!</v>
      </c>
      <c r="DK21" t="s">
        <v>301</v>
      </c>
      <c r="DL21">
        <v>0.14792786836624144</v>
      </c>
      <c r="DM21">
        <v>-22001600</v>
      </c>
      <c r="DN21">
        <v>0.21132552623748779</v>
      </c>
      <c r="DO21">
        <v>2014765800</v>
      </c>
      <c r="DP21">
        <v>-123361699</v>
      </c>
      <c r="DQ21">
        <v>1794</v>
      </c>
      <c r="DR21">
        <v>-0.4537326257559815</v>
      </c>
      <c r="DS21">
        <v>0.26576135231726683</v>
      </c>
      <c r="DT21" s="12">
        <v>-0.3066666666666667</v>
      </c>
      <c r="DU21">
        <v>-2.3816666666666668</v>
      </c>
      <c r="DV21">
        <v>-2.6883333333333335</v>
      </c>
      <c r="DW21">
        <v>-8.2566037735849065</v>
      </c>
      <c r="DX21">
        <v>0.27727467248908144</v>
      </c>
      <c r="DY21">
        <v>-8.0300931235066333</v>
      </c>
      <c r="DZ21">
        <v>4789</v>
      </c>
      <c r="EA21">
        <v>-8.0018903899502209</v>
      </c>
      <c r="EB21">
        <v>8</v>
      </c>
      <c r="EC21">
        <v>8.5807793150559752E-2</v>
      </c>
      <c r="ED21">
        <v>0.73168222370049718</v>
      </c>
      <c r="EE21" s="13">
        <v>3.0622099999999999</v>
      </c>
      <c r="EF21">
        <v>3.0325099999999998</v>
      </c>
      <c r="EG21">
        <v>16.117274672489081</v>
      </c>
      <c r="EH21" t="s">
        <v>527</v>
      </c>
      <c r="EI21">
        <v>0</v>
      </c>
      <c r="EJ21">
        <v>0</v>
      </c>
      <c r="EK21" s="9">
        <v>45470</v>
      </c>
      <c r="EL21" s="14">
        <v>4.6100000000000003</v>
      </c>
      <c r="EM21" s="14">
        <v>-4.57</v>
      </c>
      <c r="EN21" s="14">
        <v>1.37</v>
      </c>
      <c r="EO21" s="14">
        <v>2.19</v>
      </c>
      <c r="EP21" s="14">
        <v>2.97</v>
      </c>
    </row>
    <row r="22" spans="1:146" ht="84" x14ac:dyDescent="0.25">
      <c r="A22" s="7"/>
      <c r="B22" s="7"/>
      <c r="C22" s="7" t="str">
        <f>""&amp;CHAR(10)&amp;Basic_Fundamental_Information_Constructure(F22)&amp;CHAR(10)&amp;Basic_Fundamental_Information_Concatenate("")</f>
        <v xml:space="preserve">
市值1317.94268亿, 利润-63.90亿; PE; 平均PE72.92; 平均PEG6.85, PB4.23; ROIC9.53%; ROE-10.6067%; 股利率.5048%; 毛利2.6867%; 净利-7.0767%; 上一年度营收增7.4%, 利润增-220.82%; 当季营收增9.37%, 利润增55.04%; 过往5年营收增10.64%, 利润增-31.14%
Income profile:
</v>
      </c>
      <c r="D22" t="s">
        <v>30</v>
      </c>
      <c r="E22" t="s">
        <v>8</v>
      </c>
      <c r="F22">
        <v>19.809999999999999</v>
      </c>
      <c r="G22">
        <v>0.1</v>
      </c>
      <c r="H22" t="s">
        <v>1107</v>
      </c>
      <c r="I22">
        <v>131794268000</v>
      </c>
      <c r="K22">
        <v>4.2300000000000004</v>
      </c>
      <c r="L22" t="s">
        <v>24</v>
      </c>
      <c r="M22" t="s">
        <v>1108</v>
      </c>
      <c r="N22" t="s">
        <v>1109</v>
      </c>
      <c r="O22" t="s">
        <v>1110</v>
      </c>
      <c r="P22">
        <v>9.3699999999999992</v>
      </c>
      <c r="Q22" t="s">
        <v>1111</v>
      </c>
      <c r="R22">
        <v>-1236018990</v>
      </c>
      <c r="S22" s="5">
        <v>0.5504</v>
      </c>
      <c r="T22" t="s">
        <v>1112</v>
      </c>
      <c r="U22">
        <v>5438242000</v>
      </c>
      <c r="V22">
        <v>6652916100</v>
      </c>
      <c r="W22">
        <v>2.73</v>
      </c>
      <c r="X22">
        <v>0.23</v>
      </c>
      <c r="Y22">
        <v>-5.75</v>
      </c>
      <c r="Z22" t="s">
        <v>1113</v>
      </c>
      <c r="AA22" t="s">
        <v>1114</v>
      </c>
      <c r="AB22" t="s">
        <v>491</v>
      </c>
      <c r="AC22" t="s">
        <v>1115</v>
      </c>
      <c r="AD22" t="s">
        <v>41</v>
      </c>
      <c r="AE22">
        <v>282548870</v>
      </c>
      <c r="AF22" t="s">
        <v>1116</v>
      </c>
      <c r="AG22" t="s">
        <v>1117</v>
      </c>
      <c r="AH22" t="s">
        <v>1118</v>
      </c>
      <c r="AI22" t="s">
        <v>1119</v>
      </c>
      <c r="AJ22" t="s">
        <v>1120</v>
      </c>
      <c r="AK22" t="s">
        <v>41</v>
      </c>
      <c r="AL22" t="s">
        <v>1121</v>
      </c>
      <c r="AM22" t="s">
        <v>41</v>
      </c>
      <c r="AN22" t="s">
        <v>1122</v>
      </c>
      <c r="AO22" t="s">
        <v>1123</v>
      </c>
      <c r="AP22" t="s">
        <v>1124</v>
      </c>
      <c r="AQ22" t="s">
        <v>1125</v>
      </c>
      <c r="AR22" t="s">
        <v>1126</v>
      </c>
      <c r="AS22" t="s">
        <v>1127</v>
      </c>
      <c r="AT22" t="s">
        <v>1128</v>
      </c>
      <c r="AU22" t="s">
        <v>1129</v>
      </c>
      <c r="AV22" t="s">
        <v>1130</v>
      </c>
      <c r="AW22" t="s">
        <v>164</v>
      </c>
      <c r="AX22" t="s">
        <v>1131</v>
      </c>
      <c r="AY22" t="s">
        <v>441</v>
      </c>
      <c r="AZ22" t="s">
        <v>442</v>
      </c>
      <c r="BA22" t="s">
        <v>180</v>
      </c>
      <c r="BB22" t="s">
        <v>181</v>
      </c>
      <c r="BC22" t="s">
        <v>440</v>
      </c>
      <c r="BD22" t="s">
        <v>273</v>
      </c>
      <c r="BE22" t="s">
        <v>178</v>
      </c>
      <c r="BF22" t="s">
        <v>88</v>
      </c>
      <c r="BG22" t="s">
        <v>182</v>
      </c>
      <c r="BH22" t="s">
        <v>1111</v>
      </c>
      <c r="BI22" t="s">
        <v>1132</v>
      </c>
      <c r="BJ22" t="s">
        <v>1131</v>
      </c>
      <c r="BK22" t="s">
        <v>1112</v>
      </c>
      <c r="BL22" t="s">
        <v>1133</v>
      </c>
      <c r="BM22" t="s">
        <v>440</v>
      </c>
      <c r="BN22" t="s">
        <v>41</v>
      </c>
      <c r="BO22">
        <v>9.5299999999999994</v>
      </c>
      <c r="BP22" t="s">
        <v>41</v>
      </c>
      <c r="BQ22">
        <v>-12.19</v>
      </c>
      <c r="BR22">
        <v>14.55</v>
      </c>
      <c r="BS22">
        <v>-34.18</v>
      </c>
      <c r="BT22" t="s">
        <v>390</v>
      </c>
      <c r="BU22" t="s">
        <v>564</v>
      </c>
      <c r="BV22">
        <v>0.84</v>
      </c>
      <c r="BW22">
        <v>15.54</v>
      </c>
      <c r="BX22">
        <v>-8.32</v>
      </c>
      <c r="BY22">
        <v>-7.11</v>
      </c>
      <c r="BZ22">
        <v>6.74</v>
      </c>
      <c r="CA22">
        <v>-20.86</v>
      </c>
      <c r="CB22">
        <v>-0.05</v>
      </c>
      <c r="CC22">
        <v>-8.84</v>
      </c>
      <c r="CD22" t="s">
        <v>146</v>
      </c>
      <c r="CE22" t="s">
        <v>1134</v>
      </c>
      <c r="CF22" s="10">
        <v>9.3740610916374562E-2</v>
      </c>
      <c r="CG22" s="11">
        <v>0.55037504910876678</v>
      </c>
      <c r="CH22" s="10">
        <v>7.3995262384414673E-2</v>
      </c>
      <c r="CI22" s="10">
        <v>0.28872746229171753</v>
      </c>
      <c r="CJ22" s="10">
        <v>-0.13306817412376404</v>
      </c>
      <c r="CK22" s="10">
        <v>2.467179112136364E-2</v>
      </c>
      <c r="CL22" s="10">
        <v>0.27751758694648743</v>
      </c>
      <c r="CM22" s="11">
        <v>-2.2081680297851562</v>
      </c>
      <c r="CN22" s="11">
        <v>1.3945838212966919</v>
      </c>
      <c r="CO22" s="11">
        <v>-2.8050093650817871</v>
      </c>
      <c r="CP22" s="11">
        <v>-0.46831816434860229</v>
      </c>
      <c r="CQ22" s="11">
        <v>2.5296940803527832</v>
      </c>
      <c r="CR22">
        <v>72.915224343015211</v>
      </c>
      <c r="CS22">
        <v>6.8549456352901927</v>
      </c>
      <c r="CT22">
        <v>0.50479555779909135</v>
      </c>
      <c r="CU22" s="10">
        <v>0.10636878572404385</v>
      </c>
      <c r="CV22" s="11">
        <v>-0.31144353151321413</v>
      </c>
      <c r="CW22">
        <v>0.06</v>
      </c>
      <c r="CX22" t="e">
        <v>#VALUE!</v>
      </c>
      <c r="CY22" t="s">
        <v>300</v>
      </c>
      <c r="CZ22">
        <v>0.10636878572404385</v>
      </c>
      <c r="DA22" t="e">
        <v>#VALUE!</v>
      </c>
      <c r="DB22" t="s">
        <v>301</v>
      </c>
      <c r="DC22">
        <v>0.10105034643784165</v>
      </c>
      <c r="DD22" t="e">
        <v>#VALUE!</v>
      </c>
      <c r="DE22" t="s">
        <v>301</v>
      </c>
      <c r="DF22">
        <v>9.3604531437158592E-2</v>
      </c>
      <c r="DG22" t="e">
        <v>#VALUE!</v>
      </c>
      <c r="DH22" t="s">
        <v>301</v>
      </c>
      <c r="DI22">
        <v>8.509502857923508E-2</v>
      </c>
      <c r="DJ22" t="e">
        <v>#VALUE!</v>
      </c>
      <c r="DK22" t="s">
        <v>301</v>
      </c>
      <c r="DL22">
        <v>7.445815000683069E-2</v>
      </c>
      <c r="DM22">
        <v>-6390000000</v>
      </c>
      <c r="DN22">
        <v>0.10636878572404385</v>
      </c>
      <c r="DO22">
        <v>154163268000</v>
      </c>
      <c r="DP22">
        <v>3545722000</v>
      </c>
      <c r="DQ22">
        <v>1969</v>
      </c>
      <c r="DR22">
        <v>-1.2628174807669285E-2</v>
      </c>
      <c r="DS22">
        <v>0.86181858062198091</v>
      </c>
      <c r="DT22" s="12">
        <v>-0.19000000000000003</v>
      </c>
      <c r="DU22">
        <v>-1.5533333333333337</v>
      </c>
      <c r="DV22">
        <v>-1.7433333333333336</v>
      </c>
      <c r="DW22">
        <v>-2.0884</v>
      </c>
      <c r="DX22">
        <v>0.43740473738414182</v>
      </c>
      <c r="DY22">
        <v>-2.0103785787847581</v>
      </c>
      <c r="DZ22">
        <v>4213</v>
      </c>
      <c r="EA22">
        <v>-2.0018218366281659</v>
      </c>
      <c r="EB22">
        <v>2</v>
      </c>
      <c r="EC22">
        <v>1.7135343101651317E-2</v>
      </c>
      <c r="ED22">
        <v>0.14595103641845117</v>
      </c>
      <c r="EE22" s="13">
        <v>1.0548999999999999</v>
      </c>
      <c r="EF22">
        <v>1.0619000000000001</v>
      </c>
      <c r="EG22">
        <v>32.117404737384142</v>
      </c>
      <c r="EH22" t="s">
        <v>417</v>
      </c>
      <c r="EI22">
        <v>0</v>
      </c>
      <c r="EJ22">
        <v>0</v>
      </c>
      <c r="EK22" s="9">
        <v>45470</v>
      </c>
      <c r="EL22" s="14">
        <v>0.75</v>
      </c>
      <c r="EM22" s="14">
        <v>-2.5299999999999998</v>
      </c>
      <c r="EN22" s="14">
        <v>0.25</v>
      </c>
      <c r="EO22" s="14">
        <v>0.71</v>
      </c>
      <c r="EP22" s="14">
        <v>0.7</v>
      </c>
    </row>
    <row r="23" spans="1:146" ht="84" x14ac:dyDescent="0.25">
      <c r="A23" s="7"/>
      <c r="B23" s="7"/>
      <c r="C23" s="7" t="str">
        <f>""&amp;CHAR(10)&amp;Basic_Fundamental_Information_Constructure(F23)&amp;CHAR(10)&amp;Basic_Fundamental_Information_Concatenate("")</f>
        <v xml:space="preserve">
市值183.07496亿, 利润-4.37亿; PE545.7; 平均PE30.72; 平均PEG1.8, PB2.35; ROIC10.64%; ROE.9633%; 股利率0%; 毛利9.0433%; 净利-.0833%; 上一年度营收增6.28%, 利润增-149.05%; 当季营收增7.36%, 利润增120.47%; 过往5年营收增17.07%, 利润增-23.19%
Income profile:
</v>
      </c>
      <c r="D23" t="s">
        <v>32</v>
      </c>
      <c r="E23" t="s">
        <v>13</v>
      </c>
      <c r="F23">
        <v>22.12</v>
      </c>
      <c r="G23">
        <v>0.77</v>
      </c>
      <c r="H23" t="s">
        <v>1135</v>
      </c>
      <c r="I23">
        <v>18307496000</v>
      </c>
      <c r="J23">
        <v>545.70000000000005</v>
      </c>
      <c r="K23">
        <v>2.35</v>
      </c>
      <c r="L23" t="s">
        <v>24</v>
      </c>
      <c r="M23" t="s">
        <v>1136</v>
      </c>
      <c r="N23" t="s">
        <v>1137</v>
      </c>
      <c r="O23" t="s">
        <v>1138</v>
      </c>
      <c r="P23">
        <v>7.34</v>
      </c>
      <c r="Q23" t="s">
        <v>1139</v>
      </c>
      <c r="R23">
        <v>80031533</v>
      </c>
      <c r="S23" s="5">
        <v>1.2050000000000001</v>
      </c>
      <c r="T23" t="s">
        <v>1140</v>
      </c>
      <c r="U23">
        <v>604899090</v>
      </c>
      <c r="V23">
        <v>827644500</v>
      </c>
      <c r="W23">
        <v>1.78</v>
      </c>
      <c r="X23">
        <v>0.26</v>
      </c>
      <c r="Y23">
        <v>2.15</v>
      </c>
      <c r="Z23" t="s">
        <v>1141</v>
      </c>
      <c r="AA23" t="s">
        <v>535</v>
      </c>
      <c r="AB23" t="s">
        <v>1142</v>
      </c>
      <c r="AC23" t="s">
        <v>613</v>
      </c>
      <c r="AD23" t="s">
        <v>41</v>
      </c>
      <c r="AE23">
        <v>21950541</v>
      </c>
      <c r="AF23" t="s">
        <v>1143</v>
      </c>
      <c r="AG23" t="s">
        <v>1144</v>
      </c>
      <c r="AH23" t="s">
        <v>1145</v>
      </c>
      <c r="AI23" t="s">
        <v>1146</v>
      </c>
      <c r="AJ23" t="s">
        <v>1147</v>
      </c>
      <c r="AK23" t="s">
        <v>41</v>
      </c>
      <c r="AL23" t="s">
        <v>1148</v>
      </c>
      <c r="AM23" t="s">
        <v>41</v>
      </c>
      <c r="AN23" t="s">
        <v>261</v>
      </c>
      <c r="AO23" t="s">
        <v>1149</v>
      </c>
      <c r="AP23" t="s">
        <v>41</v>
      </c>
      <c r="AQ23" t="s">
        <v>547</v>
      </c>
      <c r="AR23" t="s">
        <v>41</v>
      </c>
      <c r="AS23" t="s">
        <v>1150</v>
      </c>
      <c r="AT23" t="s">
        <v>1151</v>
      </c>
      <c r="AU23" t="s">
        <v>839</v>
      </c>
      <c r="AV23" t="s">
        <v>1152</v>
      </c>
      <c r="AW23" t="s">
        <v>515</v>
      </c>
      <c r="AX23" t="s">
        <v>443</v>
      </c>
      <c r="AY23" t="s">
        <v>274</v>
      </c>
      <c r="AZ23" t="s">
        <v>183</v>
      </c>
      <c r="BA23" t="s">
        <v>89</v>
      </c>
      <c r="BB23" t="s">
        <v>184</v>
      </c>
      <c r="BC23" t="s">
        <v>116</v>
      </c>
      <c r="BD23" t="s">
        <v>275</v>
      </c>
      <c r="BE23" t="s">
        <v>99</v>
      </c>
      <c r="BF23" t="s">
        <v>59</v>
      </c>
      <c r="BG23" t="s">
        <v>185</v>
      </c>
      <c r="BH23" t="s">
        <v>1139</v>
      </c>
      <c r="BI23" t="s">
        <v>1153</v>
      </c>
      <c r="BJ23" t="s">
        <v>443</v>
      </c>
      <c r="BK23" t="s">
        <v>1140</v>
      </c>
      <c r="BL23" t="s">
        <v>1154</v>
      </c>
      <c r="BM23" t="s">
        <v>116</v>
      </c>
      <c r="BN23" t="s">
        <v>41</v>
      </c>
      <c r="BO23">
        <v>10.64</v>
      </c>
      <c r="BP23" t="s">
        <v>41</v>
      </c>
      <c r="BQ23">
        <v>-3.49</v>
      </c>
      <c r="BR23">
        <v>12.52</v>
      </c>
      <c r="BS23">
        <v>-6.14</v>
      </c>
      <c r="BT23" t="s">
        <v>389</v>
      </c>
      <c r="BU23" t="s">
        <v>799</v>
      </c>
      <c r="BV23">
        <v>4.84</v>
      </c>
      <c r="BW23">
        <v>14.4</v>
      </c>
      <c r="BX23">
        <v>7.89</v>
      </c>
      <c r="BY23">
        <v>-2.86</v>
      </c>
      <c r="BZ23">
        <v>6.16</v>
      </c>
      <c r="CA23">
        <v>-3.55</v>
      </c>
      <c r="CB23">
        <v>-2.2999999999999998</v>
      </c>
      <c r="CC23">
        <v>-8.2899999999999991</v>
      </c>
      <c r="CD23" t="s">
        <v>1155</v>
      </c>
      <c r="CE23" t="s">
        <v>151</v>
      </c>
      <c r="CF23" s="10">
        <v>7.3585458809733079E-2</v>
      </c>
      <c r="CG23" s="11">
        <v>1.2046842276214833</v>
      </c>
      <c r="CH23" s="10">
        <v>6.2781259417533875E-2</v>
      </c>
      <c r="CI23" s="10">
        <v>0.29779008030891418</v>
      </c>
      <c r="CJ23" s="10">
        <v>0.29126560688018799</v>
      </c>
      <c r="CK23" s="10">
        <v>-2.8072146698832512E-2</v>
      </c>
      <c r="CL23" s="10">
        <v>0.22955356538295746</v>
      </c>
      <c r="CM23" s="11">
        <v>-1.4904601573944092</v>
      </c>
      <c r="CN23" s="11">
        <v>3.2500002384185791</v>
      </c>
      <c r="CO23" s="11">
        <v>-2.5590550899505615</v>
      </c>
      <c r="CP23" s="11">
        <v>-0.87067210674285889</v>
      </c>
      <c r="CQ23" s="11">
        <v>0.51076924800872803</v>
      </c>
      <c r="CR23">
        <v>30.717275167785235</v>
      </c>
      <c r="CS23">
        <v>1.7998719128304819</v>
      </c>
      <c r="CT23">
        <v>0</v>
      </c>
      <c r="CU23" s="10">
        <v>0.17066367305815219</v>
      </c>
      <c r="CV23" s="11">
        <v>-0.23188357353210448</v>
      </c>
      <c r="CW23">
        <v>0.06</v>
      </c>
      <c r="CX23" t="e">
        <v>#VALUE!</v>
      </c>
      <c r="CY23" t="s">
        <v>301</v>
      </c>
      <c r="CZ23">
        <v>0.17066367305815219</v>
      </c>
      <c r="DA23" t="e">
        <v>#VALUE!</v>
      </c>
      <c r="DB23" t="s">
        <v>301</v>
      </c>
      <c r="DC23">
        <v>0.16213048940524458</v>
      </c>
      <c r="DD23" t="e">
        <v>#VALUE!</v>
      </c>
      <c r="DE23" t="s">
        <v>301</v>
      </c>
      <c r="DF23">
        <v>0.15018403229117394</v>
      </c>
      <c r="DG23" t="e">
        <v>#VALUE!</v>
      </c>
      <c r="DH23" t="s">
        <v>301</v>
      </c>
      <c r="DI23">
        <v>0.13653093844652175</v>
      </c>
      <c r="DJ23" t="e">
        <v>#VALUE!</v>
      </c>
      <c r="DK23" t="s">
        <v>301</v>
      </c>
      <c r="DL23">
        <v>0.11946457114070652</v>
      </c>
      <c r="DM23">
        <v>-437000000</v>
      </c>
      <c r="DN23">
        <v>0.17066367305815219</v>
      </c>
      <c r="DO23">
        <v>16301496000</v>
      </c>
      <c r="DP23">
        <v>-1272533200</v>
      </c>
      <c r="DQ23">
        <v>2220</v>
      </c>
      <c r="DR23">
        <v>-9.7078214248419115E-2</v>
      </c>
      <c r="DS23">
        <v>1.4365678011535878</v>
      </c>
      <c r="DT23" s="12">
        <v>-5.6666666666666719E-2</v>
      </c>
      <c r="DU23">
        <v>-1.5116666666666667</v>
      </c>
      <c r="DV23">
        <v>-1.5683333333333334</v>
      </c>
      <c r="DW23">
        <v>-2.0829</v>
      </c>
      <c r="DX23">
        <v>0.33039831932773067</v>
      </c>
      <c r="DY23">
        <v>-2.0083230206722691</v>
      </c>
      <c r="DZ23">
        <v>152</v>
      </c>
      <c r="EA23">
        <v>-2.0080754474546203</v>
      </c>
      <c r="EB23">
        <v>2</v>
      </c>
      <c r="EC23">
        <v>1.4435424871427285E-2</v>
      </c>
      <c r="ED23">
        <v>0.14378153905450952</v>
      </c>
      <c r="EE23" s="13">
        <v>1.0009999999999999</v>
      </c>
      <c r="EF23">
        <v>1.00071</v>
      </c>
      <c r="EG23">
        <v>23.100398319327731</v>
      </c>
      <c r="EH23" t="s">
        <v>776</v>
      </c>
      <c r="EI23">
        <v>0</v>
      </c>
      <c r="EJ23">
        <v>1</v>
      </c>
      <c r="EK23" s="9">
        <v>45470</v>
      </c>
      <c r="EL23" s="14">
        <v>-1.3</v>
      </c>
      <c r="EM23" s="14">
        <v>1.5</v>
      </c>
      <c r="EN23" s="14">
        <v>-0.72</v>
      </c>
      <c r="EO23" s="14">
        <v>0.61</v>
      </c>
      <c r="EP23" s="14">
        <v>-0.17</v>
      </c>
    </row>
    <row r="24" spans="1:146" ht="84" x14ac:dyDescent="0.25">
      <c r="C24" s="7" t="str">
        <f>""&amp;CHAR(10)&amp;Basic_Fundamental_Information_Constructure(F24)&amp;CHAR(10)&amp;Basic_Fundamental_Information_Concatenate("")</f>
        <v xml:space="preserve">
市值15.581832亿, 利润1.17亿; PE; 平均PE15.77; 平均PEG.39, PB1.13; ROIC3.6333%; ROE4.5633%; 股利率2.8723%; 毛利23.3733%; 净利6.7133%; 上一年度营收增89.25%, 利润增121.98%; 当季营收增-56.96%, 利润增-158.72%; 过往5年营收增40.66%, 利润增32.94%
Income profile:
</v>
      </c>
      <c r="D24" t="s">
        <v>1156</v>
      </c>
      <c r="E24" t="s">
        <v>1157</v>
      </c>
      <c r="F24">
        <v>9.4</v>
      </c>
      <c r="G24">
        <v>2.17</v>
      </c>
      <c r="H24" t="s">
        <v>1158</v>
      </c>
      <c r="I24">
        <v>1558183200</v>
      </c>
      <c r="K24">
        <v>1.1299999999999999</v>
      </c>
      <c r="L24" t="s">
        <v>24</v>
      </c>
      <c r="M24" t="s">
        <v>1159</v>
      </c>
      <c r="N24" t="s">
        <v>1160</v>
      </c>
      <c r="O24" t="s">
        <v>1161</v>
      </c>
      <c r="P24" s="5">
        <v>-10.24</v>
      </c>
      <c r="Q24" t="s">
        <v>1162</v>
      </c>
      <c r="R24">
        <v>-16405617</v>
      </c>
      <c r="S24">
        <v>-2.1040000000000001</v>
      </c>
      <c r="T24" t="s">
        <v>405</v>
      </c>
      <c r="U24">
        <v>165764170</v>
      </c>
      <c r="V24">
        <v>165764170</v>
      </c>
      <c r="W24">
        <v>1.98</v>
      </c>
      <c r="X24">
        <v>7.0000000000000007E-2</v>
      </c>
      <c r="Y24">
        <v>-7.93</v>
      </c>
      <c r="Z24" t="s">
        <v>754</v>
      </c>
      <c r="AA24" t="s">
        <v>173</v>
      </c>
      <c r="AB24" t="s">
        <v>1163</v>
      </c>
      <c r="AC24" t="s">
        <v>1164</v>
      </c>
      <c r="AD24" t="s">
        <v>41</v>
      </c>
      <c r="AE24">
        <v>9782202</v>
      </c>
      <c r="AF24" t="s">
        <v>1165</v>
      </c>
      <c r="AG24" t="s">
        <v>1166</v>
      </c>
      <c r="AH24" t="s">
        <v>1167</v>
      </c>
      <c r="AI24" t="s">
        <v>1168</v>
      </c>
      <c r="AJ24" t="s">
        <v>1169</v>
      </c>
      <c r="AK24" t="s">
        <v>1170</v>
      </c>
      <c r="AL24" t="s">
        <v>1171</v>
      </c>
      <c r="AM24" t="s">
        <v>41</v>
      </c>
      <c r="AN24" t="s">
        <v>1172</v>
      </c>
      <c r="AO24" t="s">
        <v>430</v>
      </c>
      <c r="AP24" t="s">
        <v>1173</v>
      </c>
      <c r="AQ24" t="s">
        <v>1174</v>
      </c>
      <c r="AR24" t="s">
        <v>41</v>
      </c>
      <c r="AS24" t="s">
        <v>1175</v>
      </c>
      <c r="AT24" t="s">
        <v>41</v>
      </c>
      <c r="AU24" t="s">
        <v>1176</v>
      </c>
      <c r="AV24" t="s">
        <v>1177</v>
      </c>
      <c r="AW24" t="s">
        <v>1178</v>
      </c>
      <c r="AX24" t="s">
        <v>1179</v>
      </c>
      <c r="AY24" t="s">
        <v>1180</v>
      </c>
      <c r="AZ24" t="s">
        <v>902</v>
      </c>
      <c r="BA24" t="s">
        <v>1181</v>
      </c>
      <c r="BB24" t="s">
        <v>1182</v>
      </c>
      <c r="BC24" t="s">
        <v>1183</v>
      </c>
      <c r="BD24" t="s">
        <v>533</v>
      </c>
      <c r="BE24" t="s">
        <v>238</v>
      </c>
      <c r="BF24" t="s">
        <v>1184</v>
      </c>
      <c r="BG24" t="s">
        <v>1185</v>
      </c>
      <c r="BH24" t="s">
        <v>1186</v>
      </c>
      <c r="BI24" t="s">
        <v>1187</v>
      </c>
      <c r="BJ24" t="s">
        <v>1179</v>
      </c>
      <c r="BK24" t="s">
        <v>1188</v>
      </c>
      <c r="BL24" t="s">
        <v>1189</v>
      </c>
      <c r="BM24" t="s">
        <v>1183</v>
      </c>
      <c r="BN24">
        <v>1.23</v>
      </c>
      <c r="BO24">
        <v>2.82</v>
      </c>
      <c r="BP24">
        <v>6.85</v>
      </c>
      <c r="BQ24">
        <v>0.97</v>
      </c>
      <c r="BR24">
        <v>3.36</v>
      </c>
      <c r="BS24">
        <v>9.36</v>
      </c>
      <c r="BT24" t="s">
        <v>1190</v>
      </c>
      <c r="BU24" t="s">
        <v>741</v>
      </c>
      <c r="BV24">
        <v>20.92</v>
      </c>
      <c r="BW24">
        <v>22.03</v>
      </c>
      <c r="BX24">
        <v>27.17</v>
      </c>
      <c r="BY24">
        <v>1.65</v>
      </c>
      <c r="BZ24">
        <v>5.15</v>
      </c>
      <c r="CA24">
        <v>13.34</v>
      </c>
      <c r="CB24">
        <v>-1.47</v>
      </c>
      <c r="CC24" s="10">
        <v>-34.04</v>
      </c>
      <c r="CD24" s="11" t="s">
        <v>1191</v>
      </c>
      <c r="CE24" s="10" t="s">
        <v>1192</v>
      </c>
      <c r="CF24" s="10">
        <v>-0.56964656964656968</v>
      </c>
      <c r="CG24" s="10">
        <v>-1.5872256644295302</v>
      </c>
      <c r="CH24" s="10">
        <v>0.89247310161590576</v>
      </c>
      <c r="CI24" s="10">
        <v>2.7108434587717056E-2</v>
      </c>
      <c r="CJ24" s="11">
        <v>0.28185328841209412</v>
      </c>
      <c r="CK24" s="11">
        <v>0.8196721076965332</v>
      </c>
      <c r="CL24" s="11">
        <v>1.1848341673612595E-2</v>
      </c>
      <c r="CM24" s="11">
        <v>1.2198400497436523</v>
      </c>
      <c r="CN24" s="11">
        <v>-0.60371053218841553</v>
      </c>
      <c r="CO24">
        <v>-0.11333333700895309</v>
      </c>
      <c r="CP24">
        <v>1.1812978982925415</v>
      </c>
      <c r="CQ24">
        <v>-3.6906737834215164E-2</v>
      </c>
      <c r="CR24" s="10">
        <v>15.769103241917133</v>
      </c>
      <c r="CS24" s="11">
        <v>0.38783694466135099</v>
      </c>
      <c r="CT24">
        <v>2.8723404255319149</v>
      </c>
      <c r="CU24">
        <v>0.40659105479717256</v>
      </c>
      <c r="CV24">
        <v>0.32943746820092201</v>
      </c>
      <c r="CW24">
        <v>0.06</v>
      </c>
      <c r="CX24">
        <v>9.752828237090629</v>
      </c>
      <c r="CY24">
        <v>155255805.10497093</v>
      </c>
      <c r="CZ24">
        <v>0.40659105479717256</v>
      </c>
      <c r="DA24">
        <v>2.4628077110198898</v>
      </c>
      <c r="DB24">
        <v>614819903.81333971</v>
      </c>
      <c r="DC24">
        <v>0.38626150205731391</v>
      </c>
      <c r="DD24">
        <v>0.83055573029287555</v>
      </c>
      <c r="DE24">
        <v>1823096445.8773401</v>
      </c>
      <c r="DF24">
        <v>0.35780012822151186</v>
      </c>
      <c r="DG24">
        <v>0.31089149046218389</v>
      </c>
      <c r="DH24">
        <v>4870455597.7037325</v>
      </c>
      <c r="DI24">
        <v>0.32527284383773808</v>
      </c>
      <c r="DJ24">
        <v>4.9513392315401472E-2</v>
      </c>
      <c r="DK24">
        <v>30581285773.243275</v>
      </c>
      <c r="DL24">
        <v>0.28461373835802078</v>
      </c>
      <c r="DM24">
        <v>117000000</v>
      </c>
      <c r="DN24">
        <v>0.40659105479717256</v>
      </c>
      <c r="DO24">
        <v>1514183200</v>
      </c>
      <c r="DP24">
        <v>480604100</v>
      </c>
      <c r="DQ24" s="12">
        <v>2328</v>
      </c>
      <c r="DR24">
        <v>-0.97623762444374229</v>
      </c>
      <c r="DS24">
        <v>-1.9166631326304522</v>
      </c>
      <c r="DT24">
        <v>0.26</v>
      </c>
      <c r="DU24">
        <v>-0.63166666666666671</v>
      </c>
      <c r="DV24">
        <v>-0.3716666666666667</v>
      </c>
      <c r="DW24">
        <v>-3.2040238095238096</v>
      </c>
      <c r="DX24">
        <v>0.44857723514953024</v>
      </c>
      <c r="DY24">
        <v>-3.0241925792380071</v>
      </c>
      <c r="DZ24">
        <v>563</v>
      </c>
      <c r="EA24">
        <v>-3.02152713459789</v>
      </c>
      <c r="EB24" s="13">
        <v>3</v>
      </c>
      <c r="EC24" s="13">
        <v>6.5363341185251306E-2</v>
      </c>
      <c r="ED24">
        <v>0.55123009996671779</v>
      </c>
      <c r="EE24">
        <v>2.0600000000000004E-2</v>
      </c>
      <c r="EF24">
        <v>9.7099999999999964E-3</v>
      </c>
      <c r="EG24">
        <v>33.11857723514953</v>
      </c>
      <c r="EH24" s="9">
        <v>-1</v>
      </c>
      <c r="EI24">
        <v>0</v>
      </c>
      <c r="EJ24">
        <v>1</v>
      </c>
      <c r="EK24">
        <v>45470</v>
      </c>
      <c r="EL24">
        <v>-0.83</v>
      </c>
      <c r="EM24">
        <v>-5.79</v>
      </c>
      <c r="EN24" s="14">
        <v>-2.42</v>
      </c>
      <c r="EO24" s="14">
        <v>4.8600000000000003</v>
      </c>
      <c r="EP24" s="14">
        <v>-3.03</v>
      </c>
    </row>
    <row r="25" spans="1:146" ht="84" x14ac:dyDescent="0.25">
      <c r="A25" s="7"/>
      <c r="B25" s="7"/>
      <c r="C25" s="7" t="str">
        <f>""&amp;CHAR(10)&amp;Basic_Fundamental_Information_Constructure(F25)&amp;CHAR(10)&amp;Basic_Fundamental_Information_Concatenate("")</f>
        <v xml:space="preserve">
市值17.225453亿, 利润1297.86万; PE; 平均PE36.96; 平均PEG1.46, PB2.68; ROIC5.54%; ROE.6667%; 股利率0%; 毛利12.0333%; 净利-2.08%; 上一年度营收增43%, 利润增77.23%; 当季营收增-39.02%, 利润增10.02%; 过往5年营收增25.23%, 利润增115.53%
Income profile:
</v>
      </c>
      <c r="D25" t="s">
        <v>186</v>
      </c>
      <c r="E25" t="s">
        <v>187</v>
      </c>
      <c r="F25">
        <v>9.09</v>
      </c>
      <c r="G25">
        <v>1.56</v>
      </c>
      <c r="H25" t="s">
        <v>1193</v>
      </c>
      <c r="I25">
        <v>1722545300</v>
      </c>
      <c r="K25">
        <v>2.68</v>
      </c>
      <c r="L25" t="s">
        <v>24</v>
      </c>
      <c r="M25" t="s">
        <v>1194</v>
      </c>
      <c r="N25" t="s">
        <v>833</v>
      </c>
      <c r="O25" t="s">
        <v>537</v>
      </c>
      <c r="P25">
        <v>-17.239999999999998</v>
      </c>
      <c r="Q25" t="s">
        <v>1195</v>
      </c>
      <c r="R25">
        <v>-9881961</v>
      </c>
      <c r="S25" s="5">
        <v>0.10979999999999999</v>
      </c>
      <c r="T25" t="s">
        <v>1196</v>
      </c>
      <c r="U25">
        <v>124825001</v>
      </c>
      <c r="V25">
        <v>189498940</v>
      </c>
      <c r="W25">
        <v>2.2000000000000002</v>
      </c>
      <c r="X25">
        <v>0.11</v>
      </c>
      <c r="Y25">
        <v>-5.65</v>
      </c>
      <c r="Z25" t="s">
        <v>615</v>
      </c>
      <c r="AA25" t="s">
        <v>537</v>
      </c>
      <c r="AB25" t="s">
        <v>1197</v>
      </c>
      <c r="AC25" t="s">
        <v>1198</v>
      </c>
      <c r="AD25" t="s">
        <v>41</v>
      </c>
      <c r="AE25">
        <v>9334233</v>
      </c>
      <c r="AF25" t="s">
        <v>1199</v>
      </c>
      <c r="AG25" t="s">
        <v>1200</v>
      </c>
      <c r="AH25" t="s">
        <v>1201</v>
      </c>
      <c r="AI25" t="s">
        <v>1202</v>
      </c>
      <c r="AJ25" t="s">
        <v>1203</v>
      </c>
      <c r="AK25" t="s">
        <v>41</v>
      </c>
      <c r="AL25" t="s">
        <v>1204</v>
      </c>
      <c r="AM25" t="s">
        <v>41</v>
      </c>
      <c r="AN25" t="s">
        <v>1205</v>
      </c>
      <c r="AO25" t="s">
        <v>41</v>
      </c>
      <c r="AP25" t="s">
        <v>41</v>
      </c>
      <c r="AQ25" t="s">
        <v>1206</v>
      </c>
      <c r="AR25" t="s">
        <v>41</v>
      </c>
      <c r="AS25" t="s">
        <v>534</v>
      </c>
      <c r="AT25" t="s">
        <v>483</v>
      </c>
      <c r="AU25" t="s">
        <v>1207</v>
      </c>
      <c r="AV25" t="s">
        <v>1208</v>
      </c>
      <c r="AW25" t="s">
        <v>1209</v>
      </c>
      <c r="AX25" t="s">
        <v>444</v>
      </c>
      <c r="AY25" t="s">
        <v>446</v>
      </c>
      <c r="AZ25" t="s">
        <v>188</v>
      </c>
      <c r="BA25" t="s">
        <v>179</v>
      </c>
      <c r="BB25" t="s">
        <v>190</v>
      </c>
      <c r="BC25" t="s">
        <v>445</v>
      </c>
      <c r="BD25" t="s">
        <v>276</v>
      </c>
      <c r="BE25" t="s">
        <v>189</v>
      </c>
      <c r="BF25" t="s">
        <v>83</v>
      </c>
      <c r="BG25" t="s">
        <v>192</v>
      </c>
      <c r="BH25" t="s">
        <v>1210</v>
      </c>
      <c r="BI25" t="s">
        <v>692</v>
      </c>
      <c r="BJ25" t="s">
        <v>444</v>
      </c>
      <c r="BK25" t="s">
        <v>521</v>
      </c>
      <c r="BL25" t="s">
        <v>1211</v>
      </c>
      <c r="BM25" t="s">
        <v>445</v>
      </c>
      <c r="BN25" t="s">
        <v>41</v>
      </c>
      <c r="BO25">
        <v>1.32</v>
      </c>
      <c r="BP25">
        <v>9.76</v>
      </c>
      <c r="BQ25">
        <v>-9.89</v>
      </c>
      <c r="BR25">
        <v>0.9</v>
      </c>
      <c r="BS25">
        <v>10.99</v>
      </c>
      <c r="BT25" t="s">
        <v>389</v>
      </c>
      <c r="BU25" t="s">
        <v>799</v>
      </c>
      <c r="BV25">
        <v>0.93</v>
      </c>
      <c r="BW25">
        <v>12.71</v>
      </c>
      <c r="BX25">
        <v>22.46</v>
      </c>
      <c r="BY25">
        <v>-18.63</v>
      </c>
      <c r="BZ25">
        <v>0.93</v>
      </c>
      <c r="CA25">
        <v>11.46</v>
      </c>
      <c r="CB25">
        <v>0.22</v>
      </c>
      <c r="CC25">
        <v>-32.06</v>
      </c>
      <c r="CD25" t="s">
        <v>1212</v>
      </c>
      <c r="CE25" t="s">
        <v>82</v>
      </c>
      <c r="CF25" s="10">
        <v>-0.3902439024390244</v>
      </c>
      <c r="CG25" s="11">
        <v>0.10015926205847804</v>
      </c>
      <c r="CH25" s="10">
        <v>0.43002545833587646</v>
      </c>
      <c r="CI25" s="10">
        <v>8.7136931717395782E-2</v>
      </c>
      <c r="CJ25" s="10">
        <v>0.33888888359069824</v>
      </c>
      <c r="CK25" s="10">
        <v>1.8552875844761729E-3</v>
      </c>
      <c r="CL25" s="10">
        <v>0.4036458432674408</v>
      </c>
      <c r="CM25" s="11">
        <v>0.77228224277496338</v>
      </c>
      <c r="CN25" s="11">
        <v>-0.91052538156509399</v>
      </c>
      <c r="CO25" s="11">
        <v>0.62881356477737427</v>
      </c>
      <c r="CP25" s="11">
        <v>-0.54730993509292603</v>
      </c>
      <c r="CQ25" s="11">
        <v>5.8333339691162109</v>
      </c>
      <c r="CR25">
        <v>36.959230409977401</v>
      </c>
      <c r="CS25">
        <v>1.4648313569164093</v>
      </c>
      <c r="CT25">
        <v>0</v>
      </c>
      <c r="CU25" s="10">
        <v>0.25231048089917751</v>
      </c>
      <c r="CV25" s="11">
        <v>1.1553188920021058</v>
      </c>
      <c r="CW25">
        <v>0.06</v>
      </c>
      <c r="CX25">
        <v>122.18846261416941</v>
      </c>
      <c r="CY25">
        <v>15333242.271130245</v>
      </c>
      <c r="CZ25">
        <v>0.25231048089917751</v>
      </c>
      <c r="DA25">
        <v>34.894292636459348</v>
      </c>
      <c r="DB25">
        <v>53692026.931717306</v>
      </c>
      <c r="DC25">
        <v>0.23969495685421863</v>
      </c>
      <c r="DD25">
        <v>14.201324138967923</v>
      </c>
      <c r="DE25">
        <v>131927507.72155528</v>
      </c>
      <c r="DF25">
        <v>0.22203322319127622</v>
      </c>
      <c r="DG25">
        <v>6.7850657224937532</v>
      </c>
      <c r="DH25">
        <v>276127804.30244756</v>
      </c>
      <c r="DI25">
        <v>0.20184838471934202</v>
      </c>
      <c r="DJ25">
        <v>2.0252155550158331</v>
      </c>
      <c r="DK25">
        <v>925109080.54197347</v>
      </c>
      <c r="DL25">
        <v>0.17661733662942425</v>
      </c>
      <c r="DM25">
        <v>12978599.999999998</v>
      </c>
      <c r="DN25">
        <v>0.25231048089917751</v>
      </c>
      <c r="DO25">
        <v>1873545300</v>
      </c>
      <c r="DP25">
        <v>-26974550</v>
      </c>
      <c r="DQ25">
        <v>2418</v>
      </c>
      <c r="DR25">
        <v>-0.64255438333820192</v>
      </c>
      <c r="DS25">
        <v>-1.0551596299436277</v>
      </c>
      <c r="DT25" s="12">
        <v>-4.0000000000000036E-2</v>
      </c>
      <c r="DU25">
        <v>0.24333333333333329</v>
      </c>
      <c r="DV25">
        <v>0.20333333333333325</v>
      </c>
      <c r="DW25">
        <v>-3.1816309523809525</v>
      </c>
      <c r="DX25">
        <v>0.22757621145374415</v>
      </c>
      <c r="DY25">
        <v>-3.0122739316446401</v>
      </c>
      <c r="DZ25">
        <v>3044</v>
      </c>
      <c r="EA25">
        <v>-3.0049624154164043</v>
      </c>
      <c r="EB25">
        <v>3</v>
      </c>
      <c r="EC25">
        <v>8.0949265468186787E-2</v>
      </c>
      <c r="ED25">
        <v>1.1978958826893702</v>
      </c>
      <c r="EE25" s="13">
        <v>1.0329999999999999</v>
      </c>
      <c r="EF25">
        <v>1.0154000000000001</v>
      </c>
      <c r="EG25">
        <v>16.067576211453744</v>
      </c>
      <c r="EH25" t="s">
        <v>417</v>
      </c>
      <c r="EI25">
        <v>0</v>
      </c>
      <c r="EJ25">
        <v>0</v>
      </c>
      <c r="EK25" s="9">
        <v>45470</v>
      </c>
      <c r="EL25" s="14">
        <v>-0.18</v>
      </c>
      <c r="EM25" s="14">
        <v>-5.38</v>
      </c>
      <c r="EN25" s="14">
        <v>1.64</v>
      </c>
      <c r="EO25" s="14">
        <v>2.36</v>
      </c>
      <c r="EP25" s="14">
        <v>-1.76</v>
      </c>
    </row>
    <row r="26" spans="1:146" ht="156" x14ac:dyDescent="0.25">
      <c r="A26" s="7" t="s">
        <v>329</v>
      </c>
      <c r="B26" s="7"/>
      <c r="C26" s="7" t="str">
        <f>"公司主营业务远洋捕捞，是国内第一批发展远洋捕捞的企业；发展至今基本形成了海洋捕捞、
食品加工、海上运输、渔货贸易一体化产业结构格局。公司的主要产品为金枪鱼销售、竹荚鱼销售、鱼柳销售、零星鱼种销售、罐头食品销售、渔货贸易、海上运输。公司船队规模居国内前列。"&amp;CHAR(10)&amp;Basic_Fundamental_Information_Constructure(F26)&amp;CHAR(10)&amp;Basic_Fundamental_Information_Concatenate("金枪鱼销售 10.40亿 52.50% 52.46% 34.48%
罐头食品销售 6.21亿 31.37% 44.58% 49.03%
渔货贸易 2.10亿 10.62% 2.73% 8.86%")</f>
        <v>公司主营业务远洋捕捞，是国内第一批发展远洋捕捞的企业；发展至今基本形成了海洋捕捞、
食品加工、海上运输、渔货贸易一体化产业结构格局。公司的主要产品为金枪鱼销售、竹荚鱼销售、鱼柳销售、零星鱼种销售、罐头食品销售、渔货贸易、海上运输。公司船队规模居国内前列。
市值20.021828亿, 利润16.38亿; PE12.87; 平均PE2.3; 平均PEG0, PB.894; ROIC5.23%; ROE5.1733%; 股利率2.2864%; 毛利33.11%; 净利7.9133%; 上一年度营收增2308.81%, 利润增1445.28%; 当季营收增-94.49%, 利润增-98.12%; 过往5年营收增771.21%, 利润增1445.28%
Income profile:
金枪鱼销售 10.40亿 52.50% 52.46% 34.48%
罐头食品销售 6.21亿 31.37% 44.58% 49.03%
渔货贸易 2.10亿 10.62% 2.73% 8.86%</v>
      </c>
      <c r="D26" t="s">
        <v>31</v>
      </c>
      <c r="E26" t="s">
        <v>16</v>
      </c>
      <c r="F26">
        <v>8.31</v>
      </c>
      <c r="G26">
        <v>2.09</v>
      </c>
      <c r="H26" t="s">
        <v>1213</v>
      </c>
      <c r="I26">
        <v>2002182800</v>
      </c>
      <c r="J26">
        <v>12.87</v>
      </c>
      <c r="K26">
        <v>0.89400000000000002</v>
      </c>
      <c r="L26" t="s">
        <v>24</v>
      </c>
      <c r="M26" t="s">
        <v>1214</v>
      </c>
      <c r="N26" t="s">
        <v>1215</v>
      </c>
      <c r="O26" t="s">
        <v>1216</v>
      </c>
      <c r="P26">
        <v>74.38</v>
      </c>
      <c r="Q26" t="s">
        <v>1217</v>
      </c>
      <c r="R26">
        <v>7584729</v>
      </c>
      <c r="S26" s="5">
        <v>19.11</v>
      </c>
      <c r="T26" t="s">
        <v>1218</v>
      </c>
      <c r="U26">
        <v>240936560</v>
      </c>
      <c r="V26">
        <v>240936560</v>
      </c>
      <c r="W26">
        <v>1.46</v>
      </c>
      <c r="X26" t="s">
        <v>41</v>
      </c>
      <c r="Y26">
        <v>2.66</v>
      </c>
      <c r="Z26" t="s">
        <v>41</v>
      </c>
      <c r="AA26" t="s">
        <v>41</v>
      </c>
      <c r="AB26" t="s">
        <v>41</v>
      </c>
      <c r="AC26" t="s">
        <v>41</v>
      </c>
      <c r="AD26" t="s">
        <v>41</v>
      </c>
      <c r="AE26">
        <v>5806186</v>
      </c>
      <c r="AF26" t="s">
        <v>61</v>
      </c>
      <c r="AG26" t="s">
        <v>41</v>
      </c>
      <c r="AH26" t="s">
        <v>1219</v>
      </c>
      <c r="AI26" t="s">
        <v>1220</v>
      </c>
      <c r="AJ26" t="s">
        <v>1221</v>
      </c>
      <c r="AK26" t="s">
        <v>41</v>
      </c>
      <c r="AL26" t="s">
        <v>1222</v>
      </c>
      <c r="AM26" t="s">
        <v>41</v>
      </c>
      <c r="AN26" t="s">
        <v>1223</v>
      </c>
      <c r="AO26" t="s">
        <v>41</v>
      </c>
      <c r="AP26" t="s">
        <v>41</v>
      </c>
      <c r="AQ26" t="s">
        <v>1161</v>
      </c>
      <c r="AR26" t="s">
        <v>41</v>
      </c>
      <c r="AS26" t="s">
        <v>41</v>
      </c>
      <c r="AT26" t="s">
        <v>41</v>
      </c>
      <c r="AU26" t="s">
        <v>1224</v>
      </c>
      <c r="AV26" t="s">
        <v>1225</v>
      </c>
      <c r="AW26" t="s">
        <v>1226</v>
      </c>
      <c r="AX26" t="s">
        <v>447</v>
      </c>
      <c r="AY26" t="s">
        <v>41</v>
      </c>
      <c r="AZ26" t="s">
        <v>193</v>
      </c>
      <c r="BA26" t="s">
        <v>90</v>
      </c>
      <c r="BB26" t="s">
        <v>195</v>
      </c>
      <c r="BC26" t="s">
        <v>435</v>
      </c>
      <c r="BD26" t="s">
        <v>41</v>
      </c>
      <c r="BE26" t="s">
        <v>41</v>
      </c>
      <c r="BF26" t="s">
        <v>41</v>
      </c>
      <c r="BG26" t="s">
        <v>41</v>
      </c>
      <c r="BH26" t="s">
        <v>1227</v>
      </c>
      <c r="BI26" t="s">
        <v>1228</v>
      </c>
      <c r="BJ26" t="s">
        <v>447</v>
      </c>
      <c r="BK26" t="s">
        <v>237</v>
      </c>
      <c r="BL26" t="s">
        <v>524</v>
      </c>
      <c r="BM26" t="s">
        <v>435</v>
      </c>
      <c r="BN26">
        <v>1.55</v>
      </c>
      <c r="BO26">
        <v>5.0199999999999996</v>
      </c>
      <c r="BP26">
        <v>9.1199999999999992</v>
      </c>
      <c r="BQ26">
        <v>0.77</v>
      </c>
      <c r="BR26">
        <v>5.08</v>
      </c>
      <c r="BS26">
        <v>9.67</v>
      </c>
      <c r="BT26" t="s">
        <v>1229</v>
      </c>
      <c r="BU26" t="s">
        <v>302</v>
      </c>
      <c r="BV26">
        <v>32.549999999999997</v>
      </c>
      <c r="BW26">
        <v>32.28</v>
      </c>
      <c r="BX26">
        <v>34.5</v>
      </c>
      <c r="BY26">
        <v>8.09</v>
      </c>
      <c r="BZ26">
        <v>5.65</v>
      </c>
      <c r="CA26">
        <v>10</v>
      </c>
      <c r="CB26">
        <v>0.97</v>
      </c>
      <c r="CC26">
        <v>-9.3800000000000008</v>
      </c>
      <c r="CD26" t="s">
        <v>1230</v>
      </c>
      <c r="CE26" t="s">
        <v>1231</v>
      </c>
      <c r="CF26" s="10">
        <v>-0.94488032575230907</v>
      </c>
      <c r="CG26" s="11">
        <v>-0.9812259183168317</v>
      </c>
      <c r="CH26" s="10">
        <v>23.088100433349609</v>
      </c>
      <c r="CI26" s="10" t="s">
        <v>41</v>
      </c>
      <c r="CJ26" s="10" t="s">
        <v>41</v>
      </c>
      <c r="CK26" s="10">
        <v>-0.10985530912876129</v>
      </c>
      <c r="CL26" s="10">
        <v>0.15811517834663391</v>
      </c>
      <c r="CM26" s="11">
        <v>14.45283031463623</v>
      </c>
      <c r="CN26" s="11" t="s">
        <v>41</v>
      </c>
      <c r="CO26" s="11" t="s">
        <v>41</v>
      </c>
      <c r="CP26" s="11" t="s">
        <v>41</v>
      </c>
      <c r="CQ26" s="11" t="s">
        <v>41</v>
      </c>
      <c r="CR26">
        <v>2.2960811926605507</v>
      </c>
      <c r="CS26">
        <v>2.9772373389332337E-3</v>
      </c>
      <c r="CT26">
        <v>2.286401925391095</v>
      </c>
      <c r="CU26" s="10">
        <v>7.7121201008558273</v>
      </c>
      <c r="CV26" s="11">
        <v>14.45283031463623</v>
      </c>
      <c r="CW26">
        <v>0.06</v>
      </c>
      <c r="CX26">
        <v>6.1071206694157144E-2</v>
      </c>
      <c r="CY26">
        <v>13462691250.19042</v>
      </c>
      <c r="CZ26">
        <v>7.7121201008558273</v>
      </c>
      <c r="DA26">
        <v>9.0561217759328424E-4</v>
      </c>
      <c r="DB26">
        <v>907875159303.8396</v>
      </c>
      <c r="DC26">
        <v>7.3265140958130353</v>
      </c>
      <c r="DD26">
        <v>2.7595075391590003E-6</v>
      </c>
      <c r="DE26">
        <v>297945480609403.25</v>
      </c>
      <c r="DF26">
        <v>6.7866656887531285</v>
      </c>
      <c r="DG26">
        <v>2.1341480287476686E-9</v>
      </c>
      <c r="DH26">
        <v>3.8525106455828275E+17</v>
      </c>
      <c r="DI26">
        <v>6.1696960806846626</v>
      </c>
      <c r="DJ26">
        <v>1.0152448412909669E-16</v>
      </c>
      <c r="DK26">
        <v>8.0983696401207746E+24</v>
      </c>
      <c r="DL26">
        <v>5.3984840705990784</v>
      </c>
      <c r="DM26">
        <v>1638000000</v>
      </c>
      <c r="DN26">
        <v>7.7121201008558273</v>
      </c>
      <c r="DO26">
        <v>822182800</v>
      </c>
      <c r="DP26">
        <v>1551025200</v>
      </c>
      <c r="DQ26">
        <v>2915</v>
      </c>
      <c r="DR26">
        <v>-8.6570004266081355</v>
      </c>
      <c r="DS26">
        <v>-15.434056232953061</v>
      </c>
      <c r="DT26" s="12">
        <v>-0.21000000000000008</v>
      </c>
      <c r="DU26">
        <v>-0.42000000000000015</v>
      </c>
      <c r="DV26">
        <v>-0.63000000000000023</v>
      </c>
      <c r="DW26">
        <v>-2.0937999999999999</v>
      </c>
      <c r="DX26">
        <v>0.34742825622097256</v>
      </c>
      <c r="DY26">
        <v>-2.0157047704335271</v>
      </c>
      <c r="DZ26">
        <v>436</v>
      </c>
      <c r="EA26">
        <v>-2.014364793934698</v>
      </c>
      <c r="EB26">
        <v>2</v>
      </c>
      <c r="EC26">
        <v>6.1224830303877507E-2</v>
      </c>
      <c r="ED26">
        <v>0.36567800254141586</v>
      </c>
      <c r="EE26" s="13">
        <v>1.0618099999999999</v>
      </c>
      <c r="EF26">
        <v>1.0938099999999999</v>
      </c>
      <c r="EG26">
        <v>18.167428256220973</v>
      </c>
      <c r="EH26" t="s">
        <v>776</v>
      </c>
      <c r="EI26">
        <v>0</v>
      </c>
      <c r="EJ26">
        <v>1</v>
      </c>
      <c r="EK26" s="9">
        <v>45470</v>
      </c>
      <c r="EL26" s="14">
        <v>-0.5</v>
      </c>
      <c r="EM26" s="14">
        <v>-0.4</v>
      </c>
      <c r="EN26" s="14">
        <v>0.81</v>
      </c>
      <c r="EO26" s="14">
        <v>0.45</v>
      </c>
      <c r="EP26" s="14">
        <v>-3.2</v>
      </c>
    </row>
    <row r="27" spans="1:146" ht="84" x14ac:dyDescent="0.25">
      <c r="C27" s="7" t="str">
        <f>""&amp;CHAR(10)&amp;Basic_Fundamental_Information_Constructure(F27)&amp;CHAR(10)&amp;Basic_Fundamental_Information_Concatenate("")</f>
        <v xml:space="preserve">
市值74.237479亿, 利润23.86亿; PE21.89; 平均PE5.06; 平均PEG.02, PB1.33; ROIC7.97%; ROE9.19%; 股利率1.6369%; 毛利23.47%; 净利8.9467%; 上一年度营收增602.65%, 利润增333.82%; 当季营收增-89.65%, 利润增-92.25%; 过往5年营收增205.62%, 利润增333.82%
Income profile:
</v>
      </c>
      <c r="D27" t="s">
        <v>1232</v>
      </c>
      <c r="E27" t="s">
        <v>1233</v>
      </c>
      <c r="F27">
        <v>7.27</v>
      </c>
      <c r="G27">
        <v>1.82</v>
      </c>
      <c r="H27" t="s">
        <v>1234</v>
      </c>
      <c r="I27">
        <v>7423747900</v>
      </c>
      <c r="J27">
        <v>21.89</v>
      </c>
      <c r="K27">
        <v>1.33</v>
      </c>
      <c r="L27" t="s">
        <v>24</v>
      </c>
      <c r="M27" t="s">
        <v>1235</v>
      </c>
      <c r="N27" t="s">
        <v>1236</v>
      </c>
      <c r="O27" t="s">
        <v>1237</v>
      </c>
      <c r="P27" s="5">
        <v>5.97</v>
      </c>
      <c r="Q27" t="s">
        <v>1238</v>
      </c>
      <c r="R27">
        <v>76527351</v>
      </c>
      <c r="S27">
        <v>-0.45529999999999998</v>
      </c>
      <c r="T27" t="s">
        <v>1239</v>
      </c>
      <c r="U27">
        <v>1021148260</v>
      </c>
      <c r="V27">
        <v>1021148260</v>
      </c>
      <c r="W27">
        <v>1.38</v>
      </c>
      <c r="X27" t="s">
        <v>41</v>
      </c>
      <c r="Y27">
        <v>6.58</v>
      </c>
      <c r="Z27" t="s">
        <v>41</v>
      </c>
      <c r="AA27" t="s">
        <v>41</v>
      </c>
      <c r="AB27" t="s">
        <v>41</v>
      </c>
      <c r="AC27" t="s">
        <v>41</v>
      </c>
      <c r="AD27" t="s">
        <v>41</v>
      </c>
      <c r="AE27">
        <v>1224449</v>
      </c>
      <c r="AF27" t="s">
        <v>1240</v>
      </c>
      <c r="AG27" t="s">
        <v>1241</v>
      </c>
      <c r="AH27" t="s">
        <v>1242</v>
      </c>
      <c r="AI27" t="s">
        <v>1243</v>
      </c>
      <c r="AJ27" t="s">
        <v>1244</v>
      </c>
      <c r="AK27" t="s">
        <v>41</v>
      </c>
      <c r="AL27" t="s">
        <v>1245</v>
      </c>
      <c r="AM27" t="s">
        <v>41</v>
      </c>
      <c r="AN27" t="s">
        <v>595</v>
      </c>
      <c r="AO27" t="s">
        <v>41</v>
      </c>
      <c r="AP27" t="s">
        <v>113</v>
      </c>
      <c r="AQ27" t="s">
        <v>1246</v>
      </c>
      <c r="AR27" t="s">
        <v>41</v>
      </c>
      <c r="AS27" t="s">
        <v>41</v>
      </c>
      <c r="AT27" t="s">
        <v>41</v>
      </c>
      <c r="AU27" t="s">
        <v>1247</v>
      </c>
      <c r="AV27" t="s">
        <v>1248</v>
      </c>
      <c r="AW27" t="s">
        <v>1249</v>
      </c>
      <c r="AX27" t="s">
        <v>1250</v>
      </c>
      <c r="AY27" t="s">
        <v>41</v>
      </c>
      <c r="AZ27" t="s">
        <v>1251</v>
      </c>
      <c r="BA27" t="s">
        <v>1252</v>
      </c>
      <c r="BB27" t="s">
        <v>1253</v>
      </c>
      <c r="BC27" t="s">
        <v>1254</v>
      </c>
      <c r="BD27" t="s">
        <v>41</v>
      </c>
      <c r="BE27" t="s">
        <v>41</v>
      </c>
      <c r="BF27" t="s">
        <v>41</v>
      </c>
      <c r="BG27" t="s">
        <v>41</v>
      </c>
      <c r="BH27" t="s">
        <v>1255</v>
      </c>
      <c r="BI27" t="s">
        <v>1256</v>
      </c>
      <c r="BJ27" t="s">
        <v>1250</v>
      </c>
      <c r="BK27" t="s">
        <v>1257</v>
      </c>
      <c r="BL27" t="s">
        <v>1258</v>
      </c>
      <c r="BM27" t="s">
        <v>1254</v>
      </c>
      <c r="BN27">
        <v>5.17</v>
      </c>
      <c r="BO27">
        <v>8.68</v>
      </c>
      <c r="BP27">
        <v>10.06</v>
      </c>
      <c r="BQ27">
        <v>6.13</v>
      </c>
      <c r="BR27">
        <v>10.6</v>
      </c>
      <c r="BS27">
        <v>10.84</v>
      </c>
      <c r="BT27" t="s">
        <v>1259</v>
      </c>
      <c r="BU27" t="s">
        <v>741</v>
      </c>
      <c r="BV27">
        <v>19.760000000000002</v>
      </c>
      <c r="BW27">
        <v>21.59</v>
      </c>
      <c r="BX27">
        <v>29.06</v>
      </c>
      <c r="BY27">
        <v>6.42</v>
      </c>
      <c r="BZ27">
        <v>9.34</v>
      </c>
      <c r="CA27">
        <v>11.08</v>
      </c>
      <c r="CB27">
        <v>-1.37</v>
      </c>
      <c r="CC27" s="10">
        <v>-20.81</v>
      </c>
      <c r="CD27" s="11" t="s">
        <v>1260</v>
      </c>
      <c r="CE27" s="10" t="s">
        <v>506</v>
      </c>
      <c r="CF27" s="10">
        <v>-0.89651366019685397</v>
      </c>
      <c r="CG27" s="10">
        <v>-0.92246468996960485</v>
      </c>
      <c r="CH27" s="10">
        <v>6.0264773368835449</v>
      </c>
      <c r="CI27" s="10" t="s">
        <v>41</v>
      </c>
      <c r="CJ27" s="11" t="s">
        <v>41</v>
      </c>
      <c r="CK27" s="11">
        <v>0.2086557149887085</v>
      </c>
      <c r="CL27" s="11">
        <v>-6.6576406359672546E-2</v>
      </c>
      <c r="CM27" s="11">
        <v>3.3381814956665039</v>
      </c>
      <c r="CN27" s="11" t="s">
        <v>41</v>
      </c>
      <c r="CO27" t="s">
        <v>41</v>
      </c>
      <c r="CP27" t="s">
        <v>41</v>
      </c>
      <c r="CQ27" t="s">
        <v>41</v>
      </c>
      <c r="CR27" s="10">
        <v>5.0570489782016352</v>
      </c>
      <c r="CS27" s="11">
        <v>2.4594322150938513E-2</v>
      </c>
      <c r="CT27">
        <v>1.6368638239339752</v>
      </c>
      <c r="CU27">
        <v>2.0561855485041938</v>
      </c>
      <c r="CV27">
        <v>3.3381814956665039</v>
      </c>
      <c r="CW27">
        <v>0.06</v>
      </c>
      <c r="CX27">
        <v>0.46687127810079621</v>
      </c>
      <c r="CY27">
        <v>6879300678.0481186</v>
      </c>
      <c r="CZ27">
        <v>2.0561855485041938</v>
      </c>
      <c r="DA27">
        <v>4.1831993691996777E-2</v>
      </c>
      <c r="DB27">
        <v>76777308861.912186</v>
      </c>
      <c r="DC27">
        <v>1.9533762710789839</v>
      </c>
      <c r="DD27">
        <v>2.4250396442450487E-3</v>
      </c>
      <c r="DE27">
        <v>1324410472060.4946</v>
      </c>
      <c r="DF27">
        <v>1.8094432826836906</v>
      </c>
      <c r="DG27">
        <v>8.6218786679132352E-5</v>
      </c>
      <c r="DH27">
        <v>37251137759020.945</v>
      </c>
      <c r="DI27">
        <v>1.6449484388033551</v>
      </c>
      <c r="DJ27">
        <v>4.387076655162862E-8</v>
      </c>
      <c r="DK27">
        <v>7.320929521986592E+16</v>
      </c>
      <c r="DL27">
        <v>1.4393298839529356</v>
      </c>
      <c r="DM27">
        <v>2386000000</v>
      </c>
      <c r="DN27">
        <v>2.0561855485041938</v>
      </c>
      <c r="DO27">
        <v>3211747899.999999</v>
      </c>
      <c r="DP27">
        <v>3969239600</v>
      </c>
      <c r="DQ27" s="12">
        <v>2996</v>
      </c>
      <c r="DR27">
        <v>-2.9526992087010475</v>
      </c>
      <c r="DS27">
        <v>-4.2606461856361086</v>
      </c>
      <c r="DT27">
        <v>-0.21000000000000008</v>
      </c>
      <c r="DU27">
        <v>-0.42000000000000015</v>
      </c>
      <c r="DV27">
        <v>-0.63000000000000023</v>
      </c>
      <c r="DW27">
        <v>-3.0543988095238097</v>
      </c>
      <c r="DX27">
        <v>0.36450574712643569</v>
      </c>
      <c r="DY27">
        <v>-3.008404928708265</v>
      </c>
      <c r="DZ27">
        <v>3827</v>
      </c>
      <c r="EA27">
        <v>-3.0021102785778284</v>
      </c>
      <c r="EB27" s="13">
        <v>3</v>
      </c>
      <c r="EC27" s="13">
        <v>3.9490837500912944E-2</v>
      </c>
      <c r="ED27">
        <v>0.25559461855225607</v>
      </c>
      <c r="EE27">
        <v>-3.0425</v>
      </c>
      <c r="EF27">
        <v>-3.0425</v>
      </c>
      <c r="EG27">
        <v>21.154505747126436</v>
      </c>
      <c r="EH27" s="9" t="s">
        <v>1261</v>
      </c>
      <c r="EI27">
        <v>0</v>
      </c>
      <c r="EJ27">
        <v>0</v>
      </c>
      <c r="EK27">
        <v>45470</v>
      </c>
      <c r="EL27">
        <v>0.28999999999999998</v>
      </c>
      <c r="EM27">
        <v>-2.92</v>
      </c>
      <c r="EN27">
        <v>0</v>
      </c>
      <c r="EO27">
        <v>3.6</v>
      </c>
      <c r="EP27">
        <v>0</v>
      </c>
    </row>
    <row r="28" spans="1:146" ht="84" x14ac:dyDescent="0.25">
      <c r="A28" s="7" t="s">
        <v>1607</v>
      </c>
      <c r="B28" s="7" t="s">
        <v>1608</v>
      </c>
      <c r="C28" s="7" t="str">
        <f>""&amp;CHAR(10)&amp;Basic_Fundamental_Information_Constructure(F28)&amp;CHAR(10)&amp;Basic_Fundamental_Information_Concatenate("")</f>
        <v xml:space="preserve">
市值76.969366亿, 利润2133.68万; PE27.24; 平均PE66.26; 平均PEG27.8, PB1.4; ROIC4.67%; ROE5.6333%; 股利率1.1645%; 毛利58.7467%; 净利17.4433%; 上一年度营收增-6.93%, 利润增-89.89%; 当季营收增34.88%, 利润增1449.63%; 过往5年营收增-2.38%, 利润增-89.89%
Income profile:
</v>
      </c>
      <c r="D28" t="s">
        <v>1262</v>
      </c>
      <c r="E28" t="s">
        <v>1263</v>
      </c>
      <c r="F28">
        <v>6.87</v>
      </c>
      <c r="G28">
        <v>1.18</v>
      </c>
      <c r="H28" t="s">
        <v>1264</v>
      </c>
      <c r="I28">
        <v>7696936600</v>
      </c>
      <c r="J28">
        <v>27.24</v>
      </c>
      <c r="K28">
        <v>1.4</v>
      </c>
      <c r="L28" t="s">
        <v>24</v>
      </c>
      <c r="M28" t="s">
        <v>1243</v>
      </c>
      <c r="N28" t="s">
        <v>1265</v>
      </c>
      <c r="O28" t="s">
        <v>1266</v>
      </c>
      <c r="P28" s="5">
        <v>-4.42</v>
      </c>
      <c r="Q28" t="s">
        <v>505</v>
      </c>
      <c r="R28">
        <v>105586821</v>
      </c>
      <c r="S28">
        <v>-1.0500000000000001E-2</v>
      </c>
      <c r="T28" t="s">
        <v>1267</v>
      </c>
      <c r="U28">
        <v>1120369230</v>
      </c>
      <c r="V28">
        <v>1120369230</v>
      </c>
      <c r="W28">
        <v>1.2</v>
      </c>
      <c r="X28" t="s">
        <v>41</v>
      </c>
      <c r="Y28">
        <v>30.62</v>
      </c>
      <c r="Z28" t="s">
        <v>41</v>
      </c>
      <c r="AA28" t="s">
        <v>41</v>
      </c>
      <c r="AB28" t="s">
        <v>41</v>
      </c>
      <c r="AC28" t="s">
        <v>41</v>
      </c>
      <c r="AD28" t="s">
        <v>41</v>
      </c>
      <c r="AE28">
        <v>-14786110</v>
      </c>
      <c r="AF28" t="s">
        <v>1268</v>
      </c>
      <c r="AG28" t="s">
        <v>1269</v>
      </c>
      <c r="AH28" t="s">
        <v>1270</v>
      </c>
      <c r="AI28" t="s">
        <v>1271</v>
      </c>
      <c r="AJ28" t="s">
        <v>1272</v>
      </c>
      <c r="AK28" t="s">
        <v>41</v>
      </c>
      <c r="AL28" t="s">
        <v>1273</v>
      </c>
      <c r="AM28" t="s">
        <v>41</v>
      </c>
      <c r="AN28" t="s">
        <v>670</v>
      </c>
      <c r="AO28" t="s">
        <v>41</v>
      </c>
      <c r="AP28" t="s">
        <v>1274</v>
      </c>
      <c r="AQ28" t="s">
        <v>1168</v>
      </c>
      <c r="AR28" t="s">
        <v>41</v>
      </c>
      <c r="AS28" t="s">
        <v>41</v>
      </c>
      <c r="AT28" t="s">
        <v>41</v>
      </c>
      <c r="AU28" t="s">
        <v>1275</v>
      </c>
      <c r="AV28" t="s">
        <v>1276</v>
      </c>
      <c r="AW28" t="s">
        <v>1277</v>
      </c>
      <c r="AX28" t="s">
        <v>1278</v>
      </c>
      <c r="AY28" t="s">
        <v>41</v>
      </c>
      <c r="AZ28" t="s">
        <v>1279</v>
      </c>
      <c r="BA28" t="s">
        <v>1280</v>
      </c>
      <c r="BB28" t="s">
        <v>1281</v>
      </c>
      <c r="BC28" t="s">
        <v>326</v>
      </c>
      <c r="BD28" t="s">
        <v>41</v>
      </c>
      <c r="BE28" t="s">
        <v>41</v>
      </c>
      <c r="BF28" t="s">
        <v>41</v>
      </c>
      <c r="BG28" t="s">
        <v>41</v>
      </c>
      <c r="BH28" t="s">
        <v>1282</v>
      </c>
      <c r="BI28" t="s">
        <v>485</v>
      </c>
      <c r="BJ28" t="s">
        <v>1278</v>
      </c>
      <c r="BK28" t="s">
        <v>1283</v>
      </c>
      <c r="BL28" t="s">
        <v>1284</v>
      </c>
      <c r="BM28" t="s">
        <v>326</v>
      </c>
      <c r="BN28">
        <v>4.5599999999999996</v>
      </c>
      <c r="BO28">
        <v>2.98</v>
      </c>
      <c r="BP28">
        <v>6.47</v>
      </c>
      <c r="BQ28">
        <v>5.55</v>
      </c>
      <c r="BR28">
        <v>3.96</v>
      </c>
      <c r="BS28">
        <v>7.39</v>
      </c>
      <c r="BT28" t="s">
        <v>1285</v>
      </c>
      <c r="BU28" t="s">
        <v>741</v>
      </c>
      <c r="BV28">
        <v>59.19</v>
      </c>
      <c r="BW28">
        <v>55.17</v>
      </c>
      <c r="BX28">
        <v>61.88</v>
      </c>
      <c r="BY28">
        <v>17.34</v>
      </c>
      <c r="BZ28">
        <v>13.09</v>
      </c>
      <c r="CA28">
        <v>21.9</v>
      </c>
      <c r="CB28">
        <v>-4.72</v>
      </c>
      <c r="CC28" s="10">
        <v>-33.75</v>
      </c>
      <c r="CD28" s="11" t="s">
        <v>1286</v>
      </c>
      <c r="CE28" s="10" t="s">
        <v>1287</v>
      </c>
      <c r="CF28" s="10">
        <v>0.34883720930232559</v>
      </c>
      <c r="CG28" s="10">
        <v>14.496253283825235</v>
      </c>
      <c r="CH28" s="10">
        <v>-6.932627409696579E-2</v>
      </c>
      <c r="CI28" s="10" t="s">
        <v>41</v>
      </c>
      <c r="CJ28" s="11" t="s">
        <v>41</v>
      </c>
      <c r="CK28" s="11">
        <v>0.40372663736343384</v>
      </c>
      <c r="CL28" s="11">
        <v>-0.40590399503707886</v>
      </c>
      <c r="CM28" s="11">
        <v>-0.89887773990631104</v>
      </c>
      <c r="CN28" s="11" t="s">
        <v>41</v>
      </c>
      <c r="CO28" t="s">
        <v>41</v>
      </c>
      <c r="CP28" t="s">
        <v>41</v>
      </c>
      <c r="CQ28" t="s">
        <v>41</v>
      </c>
      <c r="CR28" s="10">
        <v>66.256715251307583</v>
      </c>
      <c r="CS28" s="11">
        <v>27.798608382801135</v>
      </c>
      <c r="CT28">
        <v>1.1644832605531297</v>
      </c>
      <c r="CU28">
        <v>-2.3834543923536938E-2</v>
      </c>
      <c r="CV28">
        <v>-0.89887773990631104</v>
      </c>
      <c r="CW28">
        <v>0.06</v>
      </c>
      <c r="CX28">
        <v>147.11374714108956</v>
      </c>
      <c r="CY28" t="s">
        <v>1288</v>
      </c>
      <c r="CZ28">
        <v>-2.3834543923536938E-2</v>
      </c>
      <c r="DA28">
        <v>49.037915713696528</v>
      </c>
      <c r="DB28" t="s">
        <v>1289</v>
      </c>
      <c r="DC28">
        <v>-2.2642816727360088E-2</v>
      </c>
      <c r="DD28">
        <v>24.518957856848264</v>
      </c>
      <c r="DE28" t="s">
        <v>1290</v>
      </c>
      <c r="DF28">
        <v>-2.0974398652712504E-2</v>
      </c>
      <c r="DG28">
        <v>14.711374714108958</v>
      </c>
      <c r="DH28" t="s">
        <v>1291</v>
      </c>
      <c r="DI28">
        <v>-1.9067635138829551E-2</v>
      </c>
      <c r="DJ28">
        <v>7.355687357054479</v>
      </c>
      <c r="DK28" t="s">
        <v>1292</v>
      </c>
      <c r="DL28">
        <v>-1.6684180746475857E-2</v>
      </c>
      <c r="DM28">
        <v>21336800</v>
      </c>
      <c r="DN28">
        <v>-2.3834543923536938E-2</v>
      </c>
      <c r="DO28">
        <v>3138936600</v>
      </c>
      <c r="DP28">
        <v>2882774300</v>
      </c>
      <c r="DQ28" s="12">
        <v>3002</v>
      </c>
      <c r="DR28">
        <v>0.37267175322586255</v>
      </c>
      <c r="DS28">
        <v>15.395131023731546</v>
      </c>
      <c r="DT28">
        <v>-0.66</v>
      </c>
      <c r="DU28">
        <v>-2.3199999999999998</v>
      </c>
      <c r="DV28">
        <v>-2.98</v>
      </c>
      <c r="DW28">
        <v>-8.1398518518518514</v>
      </c>
      <c r="DX28">
        <v>0.31849223454833747</v>
      </c>
      <c r="DY28">
        <v>-8.0193683954686854</v>
      </c>
      <c r="DZ28">
        <v>4456</v>
      </c>
      <c r="EA28">
        <v>-8.0024788513965799</v>
      </c>
      <c r="EB28" s="13">
        <v>8</v>
      </c>
      <c r="EC28" s="13">
        <v>7.7999821540975386E-2</v>
      </c>
      <c r="ED28">
        <v>0.56320718483137922</v>
      </c>
      <c r="EE28">
        <v>4.0331099999999998</v>
      </c>
      <c r="EF28">
        <v>4.0676100000000002</v>
      </c>
      <c r="EG28">
        <v>18.138492234548337</v>
      </c>
      <c r="EH28" s="9" t="s">
        <v>1293</v>
      </c>
      <c r="EI28">
        <v>0</v>
      </c>
      <c r="EJ28">
        <v>0</v>
      </c>
      <c r="EK28">
        <v>45470</v>
      </c>
      <c r="EL28">
        <v>0.21</v>
      </c>
      <c r="EM28">
        <v>-4.75</v>
      </c>
      <c r="EN28">
        <v>1</v>
      </c>
      <c r="EO28">
        <v>1.64</v>
      </c>
      <c r="EP28">
        <v>-3.45</v>
      </c>
    </row>
    <row r="29" spans="1:146" ht="84" x14ac:dyDescent="0.25">
      <c r="A29" s="7"/>
      <c r="B29" s="7"/>
      <c r="C29" s="7" t="str">
        <f>""&amp;CHAR(10)&amp;Basic_Fundamental_Information_Constructure(F29)&amp;CHAR(10)&amp;Basic_Fundamental_Information_Concatenate("")</f>
        <v xml:space="preserve">
市值21.366931亿, 利润7.95亿; PE; 平均PE5.91; 平均PEG.03, PB2.46; ROIC3.1%; ROE-8.2533%; 股利率0%; 毛利25.24%; 净利-7.0133%; 上一年度营收增611.69%, 利润增1211.96%; 当季营收增-87.44%, 利润增-109.83%; 过往5年营收增199.96%, 利润增1211.96%
Income profile:
</v>
      </c>
      <c r="D29" t="s">
        <v>23</v>
      </c>
      <c r="E29" t="s">
        <v>6</v>
      </c>
      <c r="F29">
        <v>4.4400000000000004</v>
      </c>
      <c r="G29">
        <v>1.37</v>
      </c>
      <c r="H29" t="s">
        <v>1294</v>
      </c>
      <c r="I29">
        <v>2136693100</v>
      </c>
      <c r="K29">
        <v>2.46</v>
      </c>
      <c r="L29" t="s">
        <v>24</v>
      </c>
      <c r="M29" t="s">
        <v>1295</v>
      </c>
      <c r="N29" t="s">
        <v>1296</v>
      </c>
      <c r="O29" t="s">
        <v>1297</v>
      </c>
      <c r="P29">
        <v>-16.649999999999999</v>
      </c>
      <c r="Q29" t="s">
        <v>567</v>
      </c>
      <c r="R29">
        <v>-7910467</v>
      </c>
      <c r="S29" s="5">
        <v>0.1343</v>
      </c>
      <c r="T29" t="s">
        <v>1298</v>
      </c>
      <c r="U29">
        <v>481237190</v>
      </c>
      <c r="V29">
        <v>481237190</v>
      </c>
      <c r="W29">
        <v>2</v>
      </c>
      <c r="X29" t="s">
        <v>41</v>
      </c>
      <c r="Y29">
        <v>-1.4</v>
      </c>
      <c r="Z29" t="s">
        <v>41</v>
      </c>
      <c r="AA29" t="s">
        <v>41</v>
      </c>
      <c r="AB29" t="s">
        <v>41</v>
      </c>
      <c r="AC29" t="s">
        <v>41</v>
      </c>
      <c r="AD29" t="s">
        <v>41</v>
      </c>
      <c r="AE29">
        <v>9283647</v>
      </c>
      <c r="AF29" t="s">
        <v>61</v>
      </c>
      <c r="AG29" t="s">
        <v>1299</v>
      </c>
      <c r="AH29" t="s">
        <v>1300</v>
      </c>
      <c r="AI29" t="s">
        <v>1174</v>
      </c>
      <c r="AJ29" t="s">
        <v>1301</v>
      </c>
      <c r="AK29" t="s">
        <v>41</v>
      </c>
      <c r="AL29" t="s">
        <v>1302</v>
      </c>
      <c r="AM29" t="s">
        <v>41</v>
      </c>
      <c r="AN29">
        <v>0</v>
      </c>
      <c r="AO29" t="s">
        <v>41</v>
      </c>
      <c r="AP29" t="s">
        <v>41</v>
      </c>
      <c r="AQ29" t="s">
        <v>1303</v>
      </c>
      <c r="AR29" t="s">
        <v>41</v>
      </c>
      <c r="AS29" t="s">
        <v>41</v>
      </c>
      <c r="AT29" t="s">
        <v>41</v>
      </c>
      <c r="AU29" t="s">
        <v>1304</v>
      </c>
      <c r="AV29" t="s">
        <v>1305</v>
      </c>
      <c r="AW29" t="s">
        <v>1306</v>
      </c>
      <c r="AX29" t="s">
        <v>448</v>
      </c>
      <c r="AY29" t="s">
        <v>41</v>
      </c>
      <c r="AZ29" t="s">
        <v>197</v>
      </c>
      <c r="BA29" t="s">
        <v>91</v>
      </c>
      <c r="BB29" t="s">
        <v>75</v>
      </c>
      <c r="BC29" t="s">
        <v>449</v>
      </c>
      <c r="BD29" t="s">
        <v>41</v>
      </c>
      <c r="BE29" t="s">
        <v>41</v>
      </c>
      <c r="BF29" t="s">
        <v>41</v>
      </c>
      <c r="BG29" t="s">
        <v>41</v>
      </c>
      <c r="BH29" t="s">
        <v>451</v>
      </c>
      <c r="BI29" t="s">
        <v>1307</v>
      </c>
      <c r="BJ29" t="s">
        <v>448</v>
      </c>
      <c r="BK29" t="s">
        <v>1308</v>
      </c>
      <c r="BL29" t="s">
        <v>1309</v>
      </c>
      <c r="BM29" t="s">
        <v>449</v>
      </c>
      <c r="BN29">
        <v>3.1</v>
      </c>
      <c r="BO29" t="s">
        <v>41</v>
      </c>
      <c r="BP29" t="s">
        <v>41</v>
      </c>
      <c r="BQ29">
        <v>0.26</v>
      </c>
      <c r="BR29">
        <v>-7.82</v>
      </c>
      <c r="BS29">
        <v>-17.2</v>
      </c>
      <c r="BT29" t="s">
        <v>389</v>
      </c>
      <c r="BU29" t="s">
        <v>303</v>
      </c>
      <c r="BV29">
        <v>24.53</v>
      </c>
      <c r="BW29">
        <v>23.69</v>
      </c>
      <c r="BX29">
        <v>27.5</v>
      </c>
      <c r="BY29">
        <v>1.02</v>
      </c>
      <c r="BZ29">
        <v>-6.77</v>
      </c>
      <c r="CA29">
        <v>-15.29</v>
      </c>
      <c r="CB29">
        <v>-1.55</v>
      </c>
      <c r="CC29">
        <v>-17.63</v>
      </c>
      <c r="CD29" t="s">
        <v>1310</v>
      </c>
      <c r="CE29" t="s">
        <v>1311</v>
      </c>
      <c r="CF29" s="10">
        <v>-0.87439613526570048</v>
      </c>
      <c r="CG29" s="11">
        <v>-1.0983047715387828</v>
      </c>
      <c r="CH29" s="10">
        <v>6.1168947219848633</v>
      </c>
      <c r="CI29" s="10" t="s">
        <v>41</v>
      </c>
      <c r="CJ29" s="10" t="s">
        <v>41</v>
      </c>
      <c r="CK29" s="10">
        <v>-0.15737409889698029</v>
      </c>
      <c r="CL29" s="10">
        <v>3.9252337068319321E-2</v>
      </c>
      <c r="CM29" s="11">
        <v>12.11964225769043</v>
      </c>
      <c r="CN29" s="11" t="s">
        <v>41</v>
      </c>
      <c r="CO29" s="11" t="s">
        <v>41</v>
      </c>
      <c r="CP29" s="11" t="s">
        <v>41</v>
      </c>
      <c r="CQ29" s="11" t="s">
        <v>41</v>
      </c>
      <c r="CR29">
        <v>5.9065062309875165</v>
      </c>
      <c r="CS29">
        <v>2.9538571989064163E-2</v>
      </c>
      <c r="CT29">
        <v>0</v>
      </c>
      <c r="CU29" s="10">
        <v>1.999590986718734</v>
      </c>
      <c r="CV29" s="11">
        <v>12.11964225769043</v>
      </c>
      <c r="CW29">
        <v>0.06</v>
      </c>
      <c r="CX29">
        <v>0.96977359453777368</v>
      </c>
      <c r="CY29">
        <v>2249693240.0390501</v>
      </c>
      <c r="CZ29">
        <v>1.999590986718734</v>
      </c>
      <c r="DA29">
        <v>8.9425983256054747E-2</v>
      </c>
      <c r="DB29">
        <v>24396635301.76823</v>
      </c>
      <c r="DC29">
        <v>1.8996114373827973</v>
      </c>
      <c r="DD29">
        <v>5.4456360114312321E-3</v>
      </c>
      <c r="DE29">
        <v>400631458918.71747</v>
      </c>
      <c r="DF29">
        <v>1.759640068312486</v>
      </c>
      <c r="DG29">
        <v>2.0647297292530651E-4</v>
      </c>
      <c r="DH29">
        <v>10566482717276.742</v>
      </c>
      <c r="DI29">
        <v>1.5996727893749874</v>
      </c>
      <c r="DJ29">
        <v>1.2252024348862435E-7</v>
      </c>
      <c r="DK29">
        <v>1.7806796965781118E+16</v>
      </c>
      <c r="DL29">
        <v>1.3997136907031138</v>
      </c>
      <c r="DM29">
        <v>795000000</v>
      </c>
      <c r="DN29">
        <v>1.999590986718734</v>
      </c>
      <c r="DO29">
        <v>2181693100</v>
      </c>
      <c r="DP29">
        <v>927601250</v>
      </c>
      <c r="DQ29">
        <v>3046</v>
      </c>
      <c r="DR29">
        <v>-2.8739871219844346</v>
      </c>
      <c r="DS29">
        <v>-13.217947029229212</v>
      </c>
      <c r="DT29" s="12">
        <v>-0.21000000000000008</v>
      </c>
      <c r="DU29">
        <v>-1.7950000000000002</v>
      </c>
      <c r="DV29">
        <v>-2.0050000000000003</v>
      </c>
      <c r="DW29">
        <v>-3.0184345238095238</v>
      </c>
      <c r="DX29">
        <v>0.33378738276553094</v>
      </c>
      <c r="DY29">
        <v>-3.0026506519311003</v>
      </c>
      <c r="DZ29">
        <v>1442</v>
      </c>
      <c r="EA29">
        <v>-3.0019026597423242</v>
      </c>
      <c r="EB29">
        <v>3</v>
      </c>
      <c r="EC29">
        <v>0.14909466992773357</v>
      </c>
      <c r="ED29">
        <v>1.0369107175611261</v>
      </c>
      <c r="EE29" s="13">
        <v>-1.0548</v>
      </c>
      <c r="EF29">
        <v>-1.0341</v>
      </c>
      <c r="EG29">
        <v>19.143787382765531</v>
      </c>
      <c r="EH29" t="s">
        <v>412</v>
      </c>
      <c r="EI29">
        <v>0</v>
      </c>
      <c r="EJ29">
        <v>1</v>
      </c>
      <c r="EK29" s="9">
        <v>45470</v>
      </c>
      <c r="EL29" s="14">
        <v>-2.35</v>
      </c>
      <c r="EM29" s="14">
        <v>-1.87</v>
      </c>
      <c r="EN29">
        <v>0.27</v>
      </c>
      <c r="EO29">
        <v>0.95</v>
      </c>
      <c r="EP29">
        <v>-2.0699999999999998</v>
      </c>
    </row>
    <row r="30" spans="1:146" ht="84" x14ac:dyDescent="0.25">
      <c r="A30" s="7"/>
      <c r="B30" s="7"/>
      <c r="C30" s="7" t="str">
        <f>""&amp;CHAR(10)&amp;Basic_Fundamental_Information_Constructure(F30)&amp;CHAR(10)&amp;Basic_Fundamental_Information_Concatenate("")</f>
        <v xml:space="preserve">
市值21.184417亿, 利润1.19亿; PE42.91; 平均PE27.7; 平均PEG1.86, PB.627; ROIC2.2733%; ROE1.63%; 股利率.7034%; 毛利19.2933%; 净利4.3533%; 上一年度营收增70.58%, 利润增99.58%; 当季营收增-55%, 利润增-74.4%; 过往5年营收增14.92%, 利润增22.02%
Income profile:
</v>
      </c>
      <c r="D30" t="s">
        <v>28</v>
      </c>
      <c r="E30" t="s">
        <v>7</v>
      </c>
      <c r="F30">
        <v>1.45</v>
      </c>
      <c r="G30">
        <v>1.4</v>
      </c>
      <c r="H30" t="s">
        <v>1312</v>
      </c>
      <c r="I30">
        <v>2118441700</v>
      </c>
      <c r="J30">
        <v>42.91</v>
      </c>
      <c r="K30">
        <v>0.627</v>
      </c>
      <c r="L30" t="s">
        <v>24</v>
      </c>
      <c r="M30" t="s">
        <v>1313</v>
      </c>
      <c r="N30" t="s">
        <v>1314</v>
      </c>
      <c r="O30" t="s">
        <v>517</v>
      </c>
      <c r="P30">
        <v>-7.23</v>
      </c>
      <c r="Q30" t="s">
        <v>1315</v>
      </c>
      <c r="R30">
        <v>7450944</v>
      </c>
      <c r="S30" s="5">
        <v>-1.06E-2</v>
      </c>
      <c r="T30" t="s">
        <v>151</v>
      </c>
      <c r="U30">
        <v>1460994300</v>
      </c>
      <c r="V30">
        <v>1460994300</v>
      </c>
      <c r="W30">
        <v>2.0299999999999998</v>
      </c>
      <c r="X30">
        <v>0.03</v>
      </c>
      <c r="Y30">
        <v>3.22</v>
      </c>
      <c r="Z30" t="s">
        <v>1316</v>
      </c>
      <c r="AA30" t="s">
        <v>453</v>
      </c>
      <c r="AB30" t="s">
        <v>1317</v>
      </c>
      <c r="AC30" t="s">
        <v>1318</v>
      </c>
      <c r="AD30" t="s">
        <v>41</v>
      </c>
      <c r="AE30">
        <v>31343787</v>
      </c>
      <c r="AF30" t="s">
        <v>61</v>
      </c>
      <c r="AG30" t="s">
        <v>1319</v>
      </c>
      <c r="AH30" t="s">
        <v>1320</v>
      </c>
      <c r="AI30" t="s">
        <v>1321</v>
      </c>
      <c r="AJ30" t="s">
        <v>1322</v>
      </c>
      <c r="AK30" t="s">
        <v>1323</v>
      </c>
      <c r="AL30" t="s">
        <v>1324</v>
      </c>
      <c r="AM30" t="s">
        <v>41</v>
      </c>
      <c r="AN30" t="s">
        <v>1325</v>
      </c>
      <c r="AO30" t="s">
        <v>1326</v>
      </c>
      <c r="AP30" t="s">
        <v>1327</v>
      </c>
      <c r="AQ30" t="s">
        <v>1328</v>
      </c>
      <c r="AR30" t="s">
        <v>41</v>
      </c>
      <c r="AS30" t="s">
        <v>1329</v>
      </c>
      <c r="AT30" t="s">
        <v>1330</v>
      </c>
      <c r="AU30" t="s">
        <v>1331</v>
      </c>
      <c r="AV30" t="s">
        <v>1332</v>
      </c>
      <c r="AW30" t="s">
        <v>1333</v>
      </c>
      <c r="AX30" t="s">
        <v>451</v>
      </c>
      <c r="AY30" t="s">
        <v>277</v>
      </c>
      <c r="AZ30" t="s">
        <v>198</v>
      </c>
      <c r="BA30" t="s">
        <v>92</v>
      </c>
      <c r="BB30" t="s">
        <v>54</v>
      </c>
      <c r="BC30" t="s">
        <v>452</v>
      </c>
      <c r="BD30" t="s">
        <v>278</v>
      </c>
      <c r="BE30" t="s">
        <v>199</v>
      </c>
      <c r="BF30" t="s">
        <v>200</v>
      </c>
      <c r="BG30" t="s">
        <v>201</v>
      </c>
      <c r="BH30" t="s">
        <v>1334</v>
      </c>
      <c r="BI30" t="s">
        <v>1335</v>
      </c>
      <c r="BJ30" t="s">
        <v>451</v>
      </c>
      <c r="BK30" t="s">
        <v>1336</v>
      </c>
      <c r="BL30" t="s">
        <v>1337</v>
      </c>
      <c r="BM30" t="s">
        <v>452</v>
      </c>
      <c r="BN30">
        <v>1.91</v>
      </c>
      <c r="BO30">
        <v>2.2999999999999998</v>
      </c>
      <c r="BP30">
        <v>2.61</v>
      </c>
      <c r="BQ30">
        <v>1.0900000000000001</v>
      </c>
      <c r="BR30">
        <v>1.79</v>
      </c>
      <c r="BS30">
        <v>2.0099999999999998</v>
      </c>
      <c r="BT30" t="s">
        <v>1338</v>
      </c>
      <c r="BU30" t="s">
        <v>303</v>
      </c>
      <c r="BV30">
        <v>16.46</v>
      </c>
      <c r="BW30">
        <v>21.42</v>
      </c>
      <c r="BX30">
        <v>20</v>
      </c>
      <c r="BY30">
        <v>3.24</v>
      </c>
      <c r="BZ30">
        <v>4.88</v>
      </c>
      <c r="CA30">
        <v>4.9400000000000004</v>
      </c>
      <c r="CB30">
        <v>2.11</v>
      </c>
      <c r="CC30">
        <v>-26.77</v>
      </c>
      <c r="CD30" t="s">
        <v>1339</v>
      </c>
      <c r="CE30" t="s">
        <v>474</v>
      </c>
      <c r="CF30" s="10">
        <v>-0.55000000000000004</v>
      </c>
      <c r="CG30" s="11">
        <v>-0.74401890928080139</v>
      </c>
      <c r="CH30" s="10">
        <v>0.7057839035987854</v>
      </c>
      <c r="CI30" s="10">
        <v>-4.864438995718956E-2</v>
      </c>
      <c r="CJ30" s="10">
        <v>1.9512195140123367E-2</v>
      </c>
      <c r="CK30" s="10">
        <v>3.2626427710056305E-3</v>
      </c>
      <c r="CL30" s="10">
        <v>6.6086955368518829E-2</v>
      </c>
      <c r="CM30" s="11">
        <v>0.99575024843215942</v>
      </c>
      <c r="CN30" s="11">
        <v>-9.8969265818595886E-2</v>
      </c>
      <c r="CO30" s="11">
        <v>6.3095495104789734E-2</v>
      </c>
      <c r="CP30" s="11">
        <v>-0.30714133381843567</v>
      </c>
      <c r="CQ30" s="11">
        <v>0.44822806119918823</v>
      </c>
      <c r="CR30">
        <v>27.69622391872587</v>
      </c>
      <c r="CS30">
        <v>1.8563120239714133</v>
      </c>
      <c r="CT30">
        <v>0.70344827586206893</v>
      </c>
      <c r="CU30" s="10">
        <v>0.14920026138424874</v>
      </c>
      <c r="CV30" s="11">
        <v>0.22019264101982117</v>
      </c>
      <c r="CW30">
        <v>0.06</v>
      </c>
      <c r="CX30">
        <v>15.466862741984039</v>
      </c>
      <c r="CY30">
        <v>129013991.60823168</v>
      </c>
      <c r="CZ30">
        <v>0.14920026138424874</v>
      </c>
      <c r="DA30">
        <v>4.8089411134236286</v>
      </c>
      <c r="DB30">
        <v>414944091.21166915</v>
      </c>
      <c r="DC30">
        <v>0.14174024831503629</v>
      </c>
      <c r="DD30">
        <v>2.2116374714719629</v>
      </c>
      <c r="DE30">
        <v>902246288.43529534</v>
      </c>
      <c r="DF30">
        <v>0.13129623001813889</v>
      </c>
      <c r="DG30">
        <v>1.2275367053161481</v>
      </c>
      <c r="DH30">
        <v>1625565811.0737147</v>
      </c>
      <c r="DI30">
        <v>0.119360209107399</v>
      </c>
      <c r="DJ30">
        <v>0.52974899849125212</v>
      </c>
      <c r="DK30">
        <v>3766768234.9246597</v>
      </c>
      <c r="DL30">
        <v>0.10444018296897412</v>
      </c>
      <c r="DM30">
        <v>119000000</v>
      </c>
      <c r="DN30">
        <v>0.14920026138424874</v>
      </c>
      <c r="DO30">
        <v>1995441700</v>
      </c>
      <c r="DP30">
        <v>-1044369000</v>
      </c>
      <c r="DQ30">
        <v>3196</v>
      </c>
      <c r="DR30">
        <v>-0.69920026138424873</v>
      </c>
      <c r="DS30">
        <v>-0.96421155030062256</v>
      </c>
      <c r="DT30" s="12">
        <v>-0.10666666666666669</v>
      </c>
      <c r="DU30">
        <v>-0.12333333333333336</v>
      </c>
      <c r="DV30">
        <v>-0.23000000000000004</v>
      </c>
      <c r="DW30">
        <v>-3.1218035714285715</v>
      </c>
      <c r="DX30">
        <v>0.32727362146050637</v>
      </c>
      <c r="DY30">
        <v>-3.0179384530711091</v>
      </c>
      <c r="DZ30">
        <v>5069</v>
      </c>
      <c r="EA30">
        <v>-3.0001439288798268</v>
      </c>
      <c r="EB30">
        <v>3</v>
      </c>
      <c r="EC30">
        <v>6.763927826412465E-2</v>
      </c>
      <c r="ED30">
        <v>0.45927626137898003</v>
      </c>
      <c r="EE30" s="13">
        <v>5.0701000000000001</v>
      </c>
      <c r="EF30">
        <v>5.0480999999999998</v>
      </c>
      <c r="EG30">
        <v>18.147273621460506</v>
      </c>
      <c r="EH30" t="s">
        <v>518</v>
      </c>
      <c r="EI30">
        <v>0</v>
      </c>
      <c r="EJ30">
        <v>0</v>
      </c>
      <c r="EK30" s="9">
        <v>45470</v>
      </c>
      <c r="EL30" s="14">
        <v>0.89</v>
      </c>
      <c r="EM30" s="14">
        <v>-5.67</v>
      </c>
      <c r="EN30">
        <v>2</v>
      </c>
      <c r="EO30">
        <v>1.05</v>
      </c>
      <c r="EP30">
        <v>-2.2000000000000002</v>
      </c>
    </row>
    <row r="31" spans="1:146" ht="96" x14ac:dyDescent="0.25">
      <c r="A31" s="7"/>
      <c r="B31" s="7"/>
      <c r="C31" s="7" t="str">
        <f>""&amp;CHAR(10)&amp;Basic_Fundamental_Information_Constructure(F31)&amp;CHAR(10)&amp;Basic_Fundamental_Information_Concatenate("")</f>
        <v xml:space="preserve">
市值29.882585亿, 利润1.82亿; PE47.48; 平均PE19.18; 平均PEG.06, PB1.38; ROIC5.49%; ROE5.7533%; 股利率1.3425%; 毛利33.8533%; 净利10.1867%; 上一年度营收增1640.5%, 利润增65.45%; 当季营收增-94.4%, 利润增104.67%; 过往5年营收增323.31%, 利润增10.46%
Income profile:
</v>
      </c>
      <c r="D31" t="s">
        <v>239</v>
      </c>
      <c r="E31" t="s">
        <v>240</v>
      </c>
      <c r="F31">
        <v>3.65</v>
      </c>
      <c r="G31">
        <v>1.1100000000000001</v>
      </c>
      <c r="H31" t="s">
        <v>1340</v>
      </c>
      <c r="I31">
        <v>2988258500</v>
      </c>
      <c r="J31">
        <v>47.48</v>
      </c>
      <c r="K31">
        <v>1.38</v>
      </c>
      <c r="L31" t="s">
        <v>24</v>
      </c>
      <c r="M31" t="s">
        <v>1341</v>
      </c>
      <c r="N31" t="s">
        <v>1342</v>
      </c>
      <c r="O31" t="s">
        <v>1343</v>
      </c>
      <c r="P31">
        <v>-23.43</v>
      </c>
      <c r="Q31" t="s">
        <v>1344</v>
      </c>
      <c r="R31">
        <v>23186375</v>
      </c>
      <c r="S31" s="5">
        <v>-0.60599999999999998</v>
      </c>
      <c r="T31" t="s">
        <v>492</v>
      </c>
      <c r="U31">
        <v>818700960</v>
      </c>
      <c r="V31">
        <v>818700960</v>
      </c>
      <c r="W31">
        <v>1.17</v>
      </c>
      <c r="X31">
        <v>0.09</v>
      </c>
      <c r="Y31">
        <v>9.86</v>
      </c>
      <c r="Z31" t="s">
        <v>324</v>
      </c>
      <c r="AA31" t="s">
        <v>530</v>
      </c>
      <c r="AB31" t="s">
        <v>1345</v>
      </c>
      <c r="AC31" t="s">
        <v>1346</v>
      </c>
      <c r="AD31" t="s">
        <v>41</v>
      </c>
      <c r="AE31">
        <v>669074</v>
      </c>
      <c r="AF31" t="s">
        <v>1347</v>
      </c>
      <c r="AG31" t="s">
        <v>1348</v>
      </c>
      <c r="AH31" t="s">
        <v>1349</v>
      </c>
      <c r="AI31" t="s">
        <v>1350</v>
      </c>
      <c r="AJ31" t="s">
        <v>1351</v>
      </c>
      <c r="AK31" t="s">
        <v>1352</v>
      </c>
      <c r="AL31" t="s">
        <v>1353</v>
      </c>
      <c r="AM31" t="s">
        <v>41</v>
      </c>
      <c r="AN31" t="s">
        <v>1354</v>
      </c>
      <c r="AO31" t="s">
        <v>41</v>
      </c>
      <c r="AP31" t="s">
        <v>41</v>
      </c>
      <c r="AQ31" t="s">
        <v>1355</v>
      </c>
      <c r="AR31" t="s">
        <v>1356</v>
      </c>
      <c r="AS31" t="s">
        <v>1357</v>
      </c>
      <c r="AT31" t="s">
        <v>41</v>
      </c>
      <c r="AU31" t="s">
        <v>1358</v>
      </c>
      <c r="AV31" t="s">
        <v>1359</v>
      </c>
      <c r="AW31" t="s">
        <v>1360</v>
      </c>
      <c r="AX31" t="s">
        <v>455</v>
      </c>
      <c r="AY31" t="s">
        <v>279</v>
      </c>
      <c r="AZ31" t="s">
        <v>241</v>
      </c>
      <c r="BA31" t="s">
        <v>242</v>
      </c>
      <c r="BB31" t="s">
        <v>243</v>
      </c>
      <c r="BC31" t="s">
        <v>1361</v>
      </c>
      <c r="BD31" t="s">
        <v>875</v>
      </c>
      <c r="BE31" t="s">
        <v>194</v>
      </c>
      <c r="BF31" t="s">
        <v>229</v>
      </c>
      <c r="BG31" t="s">
        <v>173</v>
      </c>
      <c r="BH31" t="s">
        <v>1362</v>
      </c>
      <c r="BI31" t="s">
        <v>1363</v>
      </c>
      <c r="BJ31" t="s">
        <v>455</v>
      </c>
      <c r="BK31" t="s">
        <v>1364</v>
      </c>
      <c r="BL31" t="s">
        <v>1365</v>
      </c>
      <c r="BM31" t="s">
        <v>1361</v>
      </c>
      <c r="BN31">
        <v>6.07</v>
      </c>
      <c r="BO31">
        <v>4.41</v>
      </c>
      <c r="BP31">
        <v>5.99</v>
      </c>
      <c r="BQ31">
        <v>6.3</v>
      </c>
      <c r="BR31">
        <v>5.08</v>
      </c>
      <c r="BS31">
        <v>5.88</v>
      </c>
      <c r="BT31" t="s">
        <v>1366</v>
      </c>
      <c r="BU31" t="s">
        <v>853</v>
      </c>
      <c r="BV31">
        <v>37.68</v>
      </c>
      <c r="BW31">
        <v>31.19</v>
      </c>
      <c r="BX31">
        <v>32.69</v>
      </c>
      <c r="BY31">
        <v>9.2899999999999991</v>
      </c>
      <c r="BZ31">
        <v>9.48</v>
      </c>
      <c r="CA31">
        <v>11.79</v>
      </c>
      <c r="CB31">
        <v>1.64</v>
      </c>
      <c r="CC31">
        <v>-19.27</v>
      </c>
      <c r="CD31" t="s">
        <v>1367</v>
      </c>
      <c r="CE31" t="s">
        <v>1368</v>
      </c>
      <c r="CF31" s="10">
        <v>-0.94401729937530032</v>
      </c>
      <c r="CG31" s="11">
        <v>1.0466526659959758</v>
      </c>
      <c r="CH31" s="10">
        <v>16.405027389526367</v>
      </c>
      <c r="CI31" s="10">
        <v>-0.15366426110267639</v>
      </c>
      <c r="CJ31" s="10">
        <v>0.16850823163986206</v>
      </c>
      <c r="CK31" s="10">
        <v>-0.24948172271251678</v>
      </c>
      <c r="CL31" s="10">
        <v>-4.8142615705728531E-3</v>
      </c>
      <c r="CM31" s="11">
        <v>0.65454542636871338</v>
      </c>
      <c r="CN31" s="11">
        <v>-0.27631577849388123</v>
      </c>
      <c r="CO31" s="11">
        <v>0.25619834661483765</v>
      </c>
      <c r="CP31" s="11">
        <v>-0.42380952835083008</v>
      </c>
      <c r="CQ31" s="11">
        <v>0.3125</v>
      </c>
      <c r="CR31">
        <v>19.175990374331551</v>
      </c>
      <c r="CS31">
        <v>5.9311190380087996E-2</v>
      </c>
      <c r="CT31">
        <v>1.3424657534246576</v>
      </c>
      <c r="CU31" s="10">
        <v>3.2331150751560926</v>
      </c>
      <c r="CV31" s="11">
        <v>0.10462369322776795</v>
      </c>
      <c r="CW31">
        <v>0.06</v>
      </c>
      <c r="CX31">
        <v>1.6403813760276953</v>
      </c>
      <c r="CY31">
        <v>726817871.39472532</v>
      </c>
      <c r="CZ31">
        <v>3.2331150751560926</v>
      </c>
      <c r="DA31">
        <v>8.7041345505481912E-2</v>
      </c>
      <c r="DB31">
        <v>13697611095.923498</v>
      </c>
      <c r="DC31">
        <v>3.0714593213982879</v>
      </c>
      <c r="DD31">
        <v>2.0834640514458022E-3</v>
      </c>
      <c r="DE31">
        <v>572248174463.40979</v>
      </c>
      <c r="DF31">
        <v>2.8451412661373614</v>
      </c>
      <c r="DG31">
        <v>2.3469791290913116E-5</v>
      </c>
      <c r="DH31">
        <v>50799706108235.016</v>
      </c>
      <c r="DI31">
        <v>2.5864920601248742</v>
      </c>
      <c r="DJ31">
        <v>7.5683855619310745E-10</v>
      </c>
      <c r="DK31">
        <v>1.5753141673926495E+18</v>
      </c>
      <c r="DL31">
        <v>2.2631805526092648</v>
      </c>
      <c r="DM31">
        <v>182000000</v>
      </c>
      <c r="DN31">
        <v>3.2331150751560926</v>
      </c>
      <c r="DO31">
        <v>1192258500</v>
      </c>
      <c r="DP31">
        <v>860950410</v>
      </c>
      <c r="DQ31">
        <v>3589</v>
      </c>
      <c r="DR31">
        <v>-4.1771323745313929</v>
      </c>
      <c r="DS31">
        <v>0.94202897276820785</v>
      </c>
      <c r="DT31" s="12">
        <v>-0.27333333333333337</v>
      </c>
      <c r="DU31">
        <v>0.3</v>
      </c>
      <c r="DV31">
        <v>2.6666666666666616E-2</v>
      </c>
      <c r="DW31">
        <v>-3.0369821428571426</v>
      </c>
      <c r="DX31">
        <v>0.40378246753246616</v>
      </c>
      <c r="DY31">
        <v>-3.0049475623260666</v>
      </c>
      <c r="DZ31">
        <v>3282</v>
      </c>
      <c r="EA31">
        <v>-3.0017698911804405</v>
      </c>
      <c r="EB31">
        <v>3</v>
      </c>
      <c r="EC31">
        <v>2.5164866058053726E-2</v>
      </c>
      <c r="ED31">
        <v>0.1881028696973801</v>
      </c>
      <c r="EE31" s="13">
        <v>-1.0164</v>
      </c>
      <c r="EF31">
        <v>-1.0074099999999999</v>
      </c>
      <c r="EG31">
        <v>27.133782467532466</v>
      </c>
      <c r="EH31" t="s">
        <v>421</v>
      </c>
      <c r="EI31">
        <v>0</v>
      </c>
      <c r="EJ31">
        <v>0</v>
      </c>
      <c r="EK31" s="9">
        <v>45470</v>
      </c>
      <c r="EL31" s="14">
        <v>-1.56</v>
      </c>
      <c r="EM31" s="14">
        <v>-4.22</v>
      </c>
      <c r="EN31">
        <v>1.93</v>
      </c>
      <c r="EO31">
        <v>2.16</v>
      </c>
      <c r="EP31">
        <v>-2.38</v>
      </c>
    </row>
    <row r="32" spans="1:146" ht="84" x14ac:dyDescent="0.25">
      <c r="C32" s="7" t="str">
        <f>""&amp;CHAR(10)&amp;Basic_Fundamental_Information_Constructure(F32)&amp;CHAR(10)&amp;Basic_Fundamental_Information_Concatenate("")</f>
        <v xml:space="preserve">
市值88.66883亿, 利润5.21亿; PE; 平均PE116.22; 平均PEG5.24, PB3.24; ROIC0%; ROE-16.3767%; 股利率0%; 毛利-.4267%; 净利-12.66%; 上一年度营收增-15.82%, 利润增770.5%; 当季营收增41.16%, 利润增-355.44%; 过往5年营收增22.19%, 利润增252.67%
Income profile:
</v>
      </c>
      <c r="D32" t="s">
        <v>40</v>
      </c>
      <c r="E32" t="s">
        <v>18</v>
      </c>
      <c r="F32">
        <v>7.03</v>
      </c>
      <c r="G32">
        <v>1.44</v>
      </c>
      <c r="H32" t="s">
        <v>1369</v>
      </c>
      <c r="I32">
        <v>8866883000</v>
      </c>
      <c r="K32">
        <v>3.24</v>
      </c>
      <c r="L32" t="s">
        <v>24</v>
      </c>
      <c r="M32" t="s">
        <v>1370</v>
      </c>
      <c r="N32" t="s">
        <v>422</v>
      </c>
      <c r="O32" t="s">
        <v>1371</v>
      </c>
      <c r="P32">
        <v>16.98</v>
      </c>
      <c r="Q32" t="s">
        <v>1372</v>
      </c>
      <c r="R32">
        <v>-254311690</v>
      </c>
      <c r="S32" s="5">
        <v>-0.1178</v>
      </c>
      <c r="T32" t="s">
        <v>1373</v>
      </c>
      <c r="U32">
        <v>864590730</v>
      </c>
      <c r="V32">
        <v>1261292030</v>
      </c>
      <c r="W32">
        <v>4.17</v>
      </c>
      <c r="X32">
        <v>0.12</v>
      </c>
      <c r="Y32">
        <v>-18.13</v>
      </c>
      <c r="Z32" t="s">
        <v>1374</v>
      </c>
      <c r="AA32" t="s">
        <v>1375</v>
      </c>
      <c r="AB32" t="s">
        <v>1376</v>
      </c>
      <c r="AC32" t="s">
        <v>1377</v>
      </c>
      <c r="AD32" t="s">
        <v>41</v>
      </c>
      <c r="AE32">
        <v>68098315</v>
      </c>
      <c r="AF32" t="s">
        <v>1378</v>
      </c>
      <c r="AG32" t="s">
        <v>1379</v>
      </c>
      <c r="AH32" t="s">
        <v>1380</v>
      </c>
      <c r="AI32" t="s">
        <v>1381</v>
      </c>
      <c r="AJ32" t="s">
        <v>1382</v>
      </c>
      <c r="AK32" t="s">
        <v>41</v>
      </c>
      <c r="AL32" t="s">
        <v>1383</v>
      </c>
      <c r="AM32" t="s">
        <v>41</v>
      </c>
      <c r="AN32" t="s">
        <v>1384</v>
      </c>
      <c r="AO32" t="s">
        <v>1385</v>
      </c>
      <c r="AP32" t="s">
        <v>1386</v>
      </c>
      <c r="AQ32" t="s">
        <v>127</v>
      </c>
      <c r="AR32">
        <v>5180.2</v>
      </c>
      <c r="AS32" t="s">
        <v>1387</v>
      </c>
      <c r="AT32" t="s">
        <v>496</v>
      </c>
      <c r="AU32" t="s">
        <v>1388</v>
      </c>
      <c r="AV32" t="s">
        <v>1389</v>
      </c>
      <c r="AW32" t="s">
        <v>1390</v>
      </c>
      <c r="AX32" t="s">
        <v>1391</v>
      </c>
      <c r="AY32" t="s">
        <v>458</v>
      </c>
      <c r="AZ32" t="s">
        <v>202</v>
      </c>
      <c r="BA32" t="s">
        <v>94</v>
      </c>
      <c r="BB32" t="s">
        <v>145</v>
      </c>
      <c r="BC32" t="s">
        <v>1392</v>
      </c>
      <c r="BD32" t="s">
        <v>459</v>
      </c>
      <c r="BE32" t="s">
        <v>191</v>
      </c>
      <c r="BF32" t="s">
        <v>95</v>
      </c>
      <c r="BG32" t="s">
        <v>203</v>
      </c>
      <c r="BH32" t="s">
        <v>1393</v>
      </c>
      <c r="BI32" t="s">
        <v>504</v>
      </c>
      <c r="BJ32" t="s">
        <v>1391</v>
      </c>
      <c r="BK32" t="s">
        <v>1394</v>
      </c>
      <c r="BL32" t="s">
        <v>1395</v>
      </c>
      <c r="BM32" t="s">
        <v>1392</v>
      </c>
      <c r="BN32" t="s">
        <v>41</v>
      </c>
      <c r="BO32" t="s">
        <v>41</v>
      </c>
      <c r="BP32" t="s">
        <v>41</v>
      </c>
      <c r="BQ32">
        <v>-26.49</v>
      </c>
      <c r="BR32">
        <v>-3.14</v>
      </c>
      <c r="BS32">
        <v>-19.5</v>
      </c>
      <c r="BT32" t="s">
        <v>389</v>
      </c>
      <c r="BU32" t="s">
        <v>564</v>
      </c>
      <c r="BV32">
        <v>-9.19</v>
      </c>
      <c r="BW32">
        <v>6.55</v>
      </c>
      <c r="BX32">
        <v>1.36</v>
      </c>
      <c r="BY32">
        <v>-22.29</v>
      </c>
      <c r="BZ32">
        <v>-0.99</v>
      </c>
      <c r="CA32">
        <v>-14.7</v>
      </c>
      <c r="CB32">
        <v>-0.56999999999999995</v>
      </c>
      <c r="CC32">
        <v>-24.73</v>
      </c>
      <c r="CD32" t="s">
        <v>1396</v>
      </c>
      <c r="CE32" t="s">
        <v>1397</v>
      </c>
      <c r="CF32" s="10">
        <v>0.41164856860809462</v>
      </c>
      <c r="CG32" s="11">
        <v>-3.554353501051124</v>
      </c>
      <c r="CH32" s="10">
        <v>-0.15824180841445923</v>
      </c>
      <c r="CI32" s="10">
        <v>1.0478724241256714</v>
      </c>
      <c r="CJ32" s="10">
        <v>-0.10279001295566559</v>
      </c>
      <c r="CK32" s="10">
        <v>0.27887323498725891</v>
      </c>
      <c r="CL32" s="10">
        <v>4.3606109917163849E-2</v>
      </c>
      <c r="CM32" s="11">
        <v>7.7049922943115234</v>
      </c>
      <c r="CN32" s="11">
        <v>0.73748886585235596</v>
      </c>
      <c r="CO32" s="11">
        <v>-2.0459363460540771</v>
      </c>
      <c r="CP32" s="11">
        <v>3.4709649085998535</v>
      </c>
      <c r="CQ32" s="11">
        <v>2.7661914825439453</v>
      </c>
      <c r="CR32">
        <v>116.22203284415681</v>
      </c>
      <c r="CS32">
        <v>5.2384360837159214</v>
      </c>
      <c r="CT32">
        <v>0</v>
      </c>
      <c r="CU32" s="10">
        <v>0.22186398953199388</v>
      </c>
      <c r="CV32" s="11">
        <v>2.52674024105072</v>
      </c>
      <c r="CW32">
        <v>0.06</v>
      </c>
      <c r="CX32">
        <v>25.742544920473314</v>
      </c>
      <c r="CY32">
        <v>600557677.87374413</v>
      </c>
      <c r="CZ32">
        <v>0.22186398953199388</v>
      </c>
      <c r="DA32">
        <v>7.536653622538207</v>
      </c>
      <c r="DB32">
        <v>2051292758.6014488</v>
      </c>
      <c r="DC32">
        <v>0.21077079005539417</v>
      </c>
      <c r="DD32">
        <v>3.1812852823467574</v>
      </c>
      <c r="DE32">
        <v>4859634276.0544939</v>
      </c>
      <c r="DF32">
        <v>0.19524031078815463</v>
      </c>
      <c r="DG32">
        <v>1.5909975190500898</v>
      </c>
      <c r="DH32">
        <v>9717100633.3374882</v>
      </c>
      <c r="DI32">
        <v>0.17749119162559512</v>
      </c>
      <c r="DJ32">
        <v>0.53270154602802577</v>
      </c>
      <c r="DK32">
        <v>29021659717.853802</v>
      </c>
      <c r="DL32">
        <v>0.15530479267239569</v>
      </c>
      <c r="DM32">
        <v>521000000</v>
      </c>
      <c r="DN32">
        <v>0.22186398953199388</v>
      </c>
      <c r="DO32">
        <v>15459883000</v>
      </c>
      <c r="DP32">
        <v>72200800</v>
      </c>
      <c r="DQ32">
        <v>3597</v>
      </c>
      <c r="DR32">
        <v>0.18978457907610075</v>
      </c>
      <c r="DS32">
        <v>-6.0810937421018441</v>
      </c>
      <c r="DT32" s="12">
        <v>-0.19000000000000003</v>
      </c>
      <c r="DU32">
        <v>-0.61633333333333351</v>
      </c>
      <c r="DV32">
        <v>-0.80633333333333357</v>
      </c>
      <c r="DW32">
        <v>-3.098732142857143</v>
      </c>
      <c r="DX32">
        <v>0.27974051896207508</v>
      </c>
      <c r="DY32">
        <v>-3.0128095594525237</v>
      </c>
      <c r="DZ32">
        <v>3648</v>
      </c>
      <c r="EA32">
        <v>-3.0036648876554972</v>
      </c>
      <c r="EB32">
        <v>3</v>
      </c>
      <c r="EC32">
        <v>0.10306891418318087</v>
      </c>
      <c r="ED32">
        <v>0.79442347701190186</v>
      </c>
      <c r="EE32" s="13">
        <v>0.11821</v>
      </c>
      <c r="EF32">
        <v>0.14311000000000001</v>
      </c>
      <c r="EG32">
        <v>15.129740518962075</v>
      </c>
      <c r="EH32">
        <v>-1</v>
      </c>
      <c r="EI32">
        <v>0</v>
      </c>
      <c r="EJ32">
        <v>0</v>
      </c>
      <c r="EK32" s="9">
        <v>45470</v>
      </c>
      <c r="EL32" s="14">
        <v>-1.08</v>
      </c>
      <c r="EM32" s="14">
        <v>-3.81</v>
      </c>
      <c r="EN32">
        <v>0</v>
      </c>
      <c r="EO32">
        <v>2.5499999999999998</v>
      </c>
      <c r="EP32">
        <v>-2.4900000000000002</v>
      </c>
    </row>
    <row r="33" spans="1:146" ht="84" x14ac:dyDescent="0.25">
      <c r="C33" s="7" t="str">
        <f>""&amp;CHAR(10)&amp;Basic_Fundamental_Information_Constructure(F33)&amp;CHAR(10)&amp;Basic_Fundamental_Information_Concatenate("")</f>
        <v xml:space="preserve">
市值137.92268亿, 利润6.12亿; PE; 平均PE65.91; 平均PEG.57, PB5.08; ROIC5.45%; ROE1.1367%; 股利率0%; 毛利11.0733%; 净利-.99%; 上一年度营收增290.68%, 利润增287.34%; 当季营收增-70.67%, 利润增-142.35%; 过往5年营收增115.93%, 利润增108.33%
Income profile:
</v>
      </c>
      <c r="D33" t="s">
        <v>96</v>
      </c>
      <c r="E33" t="s">
        <v>204</v>
      </c>
      <c r="F33">
        <v>27.04</v>
      </c>
      <c r="G33">
        <v>2.46</v>
      </c>
      <c r="H33" t="s">
        <v>1398</v>
      </c>
      <c r="I33">
        <v>13792268000</v>
      </c>
      <c r="K33">
        <v>5.08</v>
      </c>
      <c r="L33" t="s">
        <v>24</v>
      </c>
      <c r="M33" t="s">
        <v>1399</v>
      </c>
      <c r="N33" t="s">
        <v>1400</v>
      </c>
      <c r="O33" t="s">
        <v>531</v>
      </c>
      <c r="P33">
        <v>6.16</v>
      </c>
      <c r="Q33" t="s">
        <v>1401</v>
      </c>
      <c r="R33">
        <v>-138047900</v>
      </c>
      <c r="S33" s="5">
        <v>0.32850000000000001</v>
      </c>
      <c r="T33" t="s">
        <v>1402</v>
      </c>
      <c r="U33">
        <v>510069070</v>
      </c>
      <c r="V33">
        <v>510069070</v>
      </c>
      <c r="W33">
        <v>2.64</v>
      </c>
      <c r="X33">
        <v>0.12</v>
      </c>
      <c r="Y33">
        <v>-14.52</v>
      </c>
      <c r="Z33" t="s">
        <v>946</v>
      </c>
      <c r="AA33" t="s">
        <v>1403</v>
      </c>
      <c r="AB33" t="s">
        <v>1404</v>
      </c>
      <c r="AC33" t="s">
        <v>1405</v>
      </c>
      <c r="AD33" t="s">
        <v>41</v>
      </c>
      <c r="AE33">
        <v>48042810</v>
      </c>
      <c r="AF33" t="s">
        <v>1406</v>
      </c>
      <c r="AG33" t="s">
        <v>1407</v>
      </c>
      <c r="AH33" t="s">
        <v>1408</v>
      </c>
      <c r="AI33" t="s">
        <v>855</v>
      </c>
      <c r="AJ33" t="s">
        <v>1409</v>
      </c>
      <c r="AK33" t="s">
        <v>41</v>
      </c>
      <c r="AL33" t="s">
        <v>1410</v>
      </c>
      <c r="AM33" t="s">
        <v>41</v>
      </c>
      <c r="AN33" t="s">
        <v>1411</v>
      </c>
      <c r="AO33" t="s">
        <v>1412</v>
      </c>
      <c r="AP33" t="s">
        <v>508</v>
      </c>
      <c r="AQ33" t="s">
        <v>157</v>
      </c>
      <c r="AR33" t="s">
        <v>41</v>
      </c>
      <c r="AS33" t="s">
        <v>1413</v>
      </c>
      <c r="AT33" t="s">
        <v>1414</v>
      </c>
      <c r="AU33" t="s">
        <v>1415</v>
      </c>
      <c r="AV33" t="s">
        <v>1416</v>
      </c>
      <c r="AW33" t="s">
        <v>537</v>
      </c>
      <c r="AX33" t="s">
        <v>460</v>
      </c>
      <c r="AY33" t="s">
        <v>280</v>
      </c>
      <c r="AZ33" t="s">
        <v>72</v>
      </c>
      <c r="BA33" t="s">
        <v>97</v>
      </c>
      <c r="BB33" t="s">
        <v>93</v>
      </c>
      <c r="BC33" t="s">
        <v>461</v>
      </c>
      <c r="BD33" t="s">
        <v>281</v>
      </c>
      <c r="BE33" t="s">
        <v>205</v>
      </c>
      <c r="BF33" t="s">
        <v>98</v>
      </c>
      <c r="BG33" t="s">
        <v>206</v>
      </c>
      <c r="BH33" t="s">
        <v>1417</v>
      </c>
      <c r="BI33" t="s">
        <v>1418</v>
      </c>
      <c r="BJ33" t="s">
        <v>460</v>
      </c>
      <c r="BK33" t="s">
        <v>1419</v>
      </c>
      <c r="BL33" t="s">
        <v>408</v>
      </c>
      <c r="BM33" t="s">
        <v>461</v>
      </c>
      <c r="BN33" t="s">
        <v>41</v>
      </c>
      <c r="BO33">
        <v>3.86</v>
      </c>
      <c r="BP33">
        <v>7.04</v>
      </c>
      <c r="BQ33">
        <v>-9.81</v>
      </c>
      <c r="BR33">
        <v>4.49</v>
      </c>
      <c r="BS33">
        <v>8.73</v>
      </c>
      <c r="BT33" t="s">
        <v>389</v>
      </c>
      <c r="BU33" t="s">
        <v>564</v>
      </c>
      <c r="BV33">
        <v>-0.37</v>
      </c>
      <c r="BW33">
        <v>14.6</v>
      </c>
      <c r="BX33">
        <v>18.989999999999998</v>
      </c>
      <c r="BY33">
        <v>-15.98</v>
      </c>
      <c r="BZ33">
        <v>4.07</v>
      </c>
      <c r="CA33">
        <v>8.94</v>
      </c>
      <c r="CB33">
        <v>-5.78</v>
      </c>
      <c r="CC33">
        <v>-21.87</v>
      </c>
      <c r="CD33" t="s">
        <v>1420</v>
      </c>
      <c r="CE33" t="s">
        <v>1421</v>
      </c>
      <c r="CF33" s="10">
        <v>-0.70673671199011123</v>
      </c>
      <c r="CG33" s="11">
        <v>-1.4234598159509202</v>
      </c>
      <c r="CH33" s="10">
        <v>2.9067540168762207</v>
      </c>
      <c r="CI33" s="10">
        <v>0.33020445704460144</v>
      </c>
      <c r="CJ33" s="10">
        <v>1.0729672908782959</v>
      </c>
      <c r="CK33" s="10">
        <v>1.5881296396255493</v>
      </c>
      <c r="CL33" s="10">
        <v>-0.10177706182003021</v>
      </c>
      <c r="CM33" s="11">
        <v>2.8734176158905029</v>
      </c>
      <c r="CN33" s="11">
        <v>-0.38996139168739319</v>
      </c>
      <c r="CO33" s="11">
        <v>1.0234375</v>
      </c>
      <c r="CP33" s="11">
        <v>2.2395386695861816</v>
      </c>
      <c r="CQ33" s="11">
        <v>-0.33003139495849609</v>
      </c>
      <c r="CR33">
        <v>65.913531270803674</v>
      </c>
      <c r="CS33">
        <v>0.56858493825526435</v>
      </c>
      <c r="CT33">
        <v>0</v>
      </c>
      <c r="CU33" s="10">
        <v>1.1592556685209274</v>
      </c>
      <c r="CV33" s="11">
        <v>1.083280199766159</v>
      </c>
      <c r="CW33">
        <v>0.06</v>
      </c>
      <c r="CX33">
        <v>12.385262307291269</v>
      </c>
      <c r="CY33">
        <v>1246664593.5234034</v>
      </c>
      <c r="CZ33">
        <v>1.1592556685209274</v>
      </c>
      <c r="DA33">
        <v>1.841257536721997</v>
      </c>
      <c r="DB33">
        <v>8385718831.8633642</v>
      </c>
      <c r="DC33">
        <v>1.1012928850948811</v>
      </c>
      <c r="DD33">
        <v>0.2555981203907744</v>
      </c>
      <c r="DE33">
        <v>60408378498.221939</v>
      </c>
      <c r="DF33">
        <v>1.0201449882984162</v>
      </c>
      <c r="DG33">
        <v>2.8812623247244169E-2</v>
      </c>
      <c r="DH33">
        <v>535885534180.81464</v>
      </c>
      <c r="DI33">
        <v>0.92740453481674201</v>
      </c>
      <c r="DJ33">
        <v>2.3187180984645609E-4</v>
      </c>
      <c r="DK33">
        <v>66589673019003.211</v>
      </c>
      <c r="DL33">
        <v>0.81147896796464913</v>
      </c>
      <c r="DM33">
        <v>612000000</v>
      </c>
      <c r="DN33">
        <v>1.1592556685209274</v>
      </c>
      <c r="DO33">
        <v>15440268000</v>
      </c>
      <c r="DP33">
        <v>-573951000</v>
      </c>
      <c r="DQ33">
        <v>4152</v>
      </c>
      <c r="DR33">
        <v>-1.8659923805110386</v>
      </c>
      <c r="DS33">
        <v>-2.5067400157170789</v>
      </c>
      <c r="DT33" s="12">
        <v>0.51</v>
      </c>
      <c r="DU33">
        <v>-0.12000000000000006</v>
      </c>
      <c r="DV33">
        <v>0.38999999999999996</v>
      </c>
      <c r="DW33">
        <v>-8.2642889803383639</v>
      </c>
      <c r="DX33">
        <v>0.4100327683615812</v>
      </c>
      <c r="DY33">
        <v>-8.0475806767777751</v>
      </c>
      <c r="DZ33">
        <v>1353</v>
      </c>
      <c r="EA33">
        <v>-8.0349825054117616</v>
      </c>
      <c r="EB33">
        <v>8</v>
      </c>
      <c r="EC33">
        <v>6.2473499912472641E-2</v>
      </c>
      <c r="ED33">
        <v>0.34701182724135771</v>
      </c>
      <c r="EE33" s="13">
        <v>4.0548999999999999</v>
      </c>
      <c r="EF33">
        <v>4.069</v>
      </c>
      <c r="EG33">
        <v>23.180032768361581</v>
      </c>
      <c r="EH33" t="s">
        <v>1422</v>
      </c>
      <c r="EI33">
        <v>0</v>
      </c>
      <c r="EJ33">
        <v>1</v>
      </c>
      <c r="EK33" s="9">
        <v>45470</v>
      </c>
      <c r="EL33" s="14">
        <v>1.06</v>
      </c>
      <c r="EM33" s="14">
        <v>0.7</v>
      </c>
      <c r="EN33">
        <v>-0.35</v>
      </c>
      <c r="EO33">
        <v>-1.07</v>
      </c>
      <c r="EP33">
        <v>1.41</v>
      </c>
    </row>
    <row r="34" spans="1:146" ht="216" x14ac:dyDescent="0.25">
      <c r="A34" s="7" t="s">
        <v>1606</v>
      </c>
      <c r="B34" s="7"/>
      <c r="C34" s="7" t="str">
        <f>""&amp;CHAR(10)&amp;Basic_Fundamental_Information_Constructure(F34)&amp;CHAR(10)&amp;Basic_Fundamental_Information_Concatenate("禽用疫苗及抗体 3.57亿 38.44% 毛利63.64%
化学药品 2.86亿 30.84% 毛利52.80%
猪用疫苗 2.63亿 28.37% 毛利78.33%
其他业务 1110.24万 1.20% 毛利16.99%")</f>
        <v xml:space="preserve">
市值45.818645亿, 利润4.73亿; PE33.25; 平均PE20.24; 平均PEG.43, PB1.68; ROIC9.19%; ROE9.6167%; 股利率3.0211%; 毛利63.06%; 净利16.7767%; 上一年度营收增155.12%, 利润增181.55%; 当季营收增-84.66%, 利润增-89.25%; 过往5年营收增46.9%, 利润增49.35%
Income profile:
禽用疫苗及抗体 3.57亿 38.44% 毛利63.64%
化学药品 2.86亿 30.84% 毛利52.80%
猪用疫苗 2.63亿 28.37% 毛利78.33%
其他业务 1110.24万 1.20% 毛利16.99%</v>
      </c>
      <c r="D34" t="s">
        <v>1423</v>
      </c>
      <c r="E34" t="s">
        <v>1424</v>
      </c>
      <c r="F34">
        <v>13.24</v>
      </c>
      <c r="G34">
        <v>2.2400000000000002</v>
      </c>
      <c r="H34" t="s">
        <v>1425</v>
      </c>
      <c r="I34">
        <v>4581864500</v>
      </c>
      <c r="J34">
        <v>33.25</v>
      </c>
      <c r="K34">
        <v>1.68</v>
      </c>
      <c r="L34" t="s">
        <v>24</v>
      </c>
      <c r="M34" t="s">
        <v>1426</v>
      </c>
      <c r="N34" t="s">
        <v>1427</v>
      </c>
      <c r="O34" t="s">
        <v>497</v>
      </c>
      <c r="P34" s="5">
        <v>-23.27</v>
      </c>
      <c r="Q34" t="s">
        <v>1428</v>
      </c>
      <c r="R34">
        <v>27307052</v>
      </c>
      <c r="S34">
        <v>-0.5736</v>
      </c>
      <c r="T34" t="s">
        <v>1429</v>
      </c>
      <c r="U34">
        <v>346062270</v>
      </c>
      <c r="V34">
        <v>346062270</v>
      </c>
      <c r="W34">
        <v>1.17</v>
      </c>
      <c r="X34">
        <v>7.0000000000000007E-2</v>
      </c>
      <c r="Y34">
        <v>11.6</v>
      </c>
      <c r="Z34" t="s">
        <v>324</v>
      </c>
      <c r="AA34" t="s">
        <v>1430</v>
      </c>
      <c r="AB34" t="s">
        <v>1431</v>
      </c>
      <c r="AC34" t="s">
        <v>1432</v>
      </c>
      <c r="AD34" t="s">
        <v>41</v>
      </c>
      <c r="AE34">
        <v>-706398</v>
      </c>
      <c r="AF34" t="s">
        <v>1433</v>
      </c>
      <c r="AG34" t="s">
        <v>1434</v>
      </c>
      <c r="AH34" t="s">
        <v>1435</v>
      </c>
      <c r="AI34" t="s">
        <v>1436</v>
      </c>
      <c r="AJ34" t="s">
        <v>1437</v>
      </c>
      <c r="AK34" t="s">
        <v>41</v>
      </c>
      <c r="AL34" t="s">
        <v>1438</v>
      </c>
      <c r="AM34" t="s">
        <v>41</v>
      </c>
      <c r="AN34" t="s">
        <v>1350</v>
      </c>
      <c r="AO34" t="s">
        <v>41</v>
      </c>
      <c r="AP34" t="s">
        <v>1439</v>
      </c>
      <c r="AQ34" t="s">
        <v>1440</v>
      </c>
      <c r="AR34" t="s">
        <v>41</v>
      </c>
      <c r="AS34" t="s">
        <v>1055</v>
      </c>
      <c r="AT34" t="s">
        <v>41</v>
      </c>
      <c r="AU34" t="s">
        <v>1441</v>
      </c>
      <c r="AV34" t="s">
        <v>1442</v>
      </c>
      <c r="AW34" t="s">
        <v>1443</v>
      </c>
      <c r="AX34" t="s">
        <v>198</v>
      </c>
      <c r="AY34" t="s">
        <v>1444</v>
      </c>
      <c r="AZ34" t="s">
        <v>1445</v>
      </c>
      <c r="BA34" t="s">
        <v>1446</v>
      </c>
      <c r="BB34" t="s">
        <v>1447</v>
      </c>
      <c r="BC34" t="s">
        <v>512</v>
      </c>
      <c r="BD34" t="s">
        <v>481</v>
      </c>
      <c r="BE34" t="s">
        <v>1448</v>
      </c>
      <c r="BF34" t="s">
        <v>507</v>
      </c>
      <c r="BG34" t="s">
        <v>1449</v>
      </c>
      <c r="BH34" t="s">
        <v>1450</v>
      </c>
      <c r="BI34" t="s">
        <v>1451</v>
      </c>
      <c r="BJ34" t="s">
        <v>198</v>
      </c>
      <c r="BK34" t="s">
        <v>537</v>
      </c>
      <c r="BL34" t="s">
        <v>99</v>
      </c>
      <c r="BM34" t="s">
        <v>512</v>
      </c>
      <c r="BN34">
        <v>6.36</v>
      </c>
      <c r="BO34">
        <v>7.4</v>
      </c>
      <c r="BP34">
        <v>13.81</v>
      </c>
      <c r="BQ34">
        <v>6.31</v>
      </c>
      <c r="BR34">
        <v>8.42</v>
      </c>
      <c r="BS34">
        <v>14.12</v>
      </c>
      <c r="BT34" t="s">
        <v>1079</v>
      </c>
      <c r="BU34" t="s">
        <v>741</v>
      </c>
      <c r="BV34">
        <v>61.01</v>
      </c>
      <c r="BW34">
        <v>62.76</v>
      </c>
      <c r="BX34">
        <v>65.41</v>
      </c>
      <c r="BY34">
        <v>13.93</v>
      </c>
      <c r="BZ34">
        <v>14.18</v>
      </c>
      <c r="CA34">
        <v>22.22</v>
      </c>
      <c r="CB34">
        <v>-2.5</v>
      </c>
      <c r="CC34" s="10">
        <v>-42.13</v>
      </c>
      <c r="CD34" s="11" t="s">
        <v>1452</v>
      </c>
      <c r="CE34" s="10" t="s">
        <v>1453</v>
      </c>
      <c r="CF34" s="10">
        <v>-0.84660574412532641</v>
      </c>
      <c r="CG34" s="10">
        <v>-0.89249192125984256</v>
      </c>
      <c r="CH34" s="10">
        <v>1.5512194633483887</v>
      </c>
      <c r="CI34" s="10">
        <v>0.11919920891523361</v>
      </c>
      <c r="CJ34" s="11">
        <v>0.18299253284931183</v>
      </c>
      <c r="CK34" s="11">
        <v>0.40120664238929749</v>
      </c>
      <c r="CL34" s="11">
        <v>9.0460523962974548E-2</v>
      </c>
      <c r="CM34" s="11">
        <v>1.8154761791229248</v>
      </c>
      <c r="CN34" s="11">
        <v>-0.31147539615631104</v>
      </c>
      <c r="CO34">
        <v>7.0175439119338989E-2</v>
      </c>
      <c r="CP34">
        <v>1.0917431116104126</v>
      </c>
      <c r="CQ34">
        <v>-0.19852940738201141</v>
      </c>
      <c r="CR34" s="10">
        <v>20.243878497790867</v>
      </c>
      <c r="CS34" s="11">
        <v>0.43162477519125475</v>
      </c>
      <c r="CT34">
        <v>3.0211480362537766</v>
      </c>
      <c r="CU34">
        <v>0.46901567429304125</v>
      </c>
      <c r="CV34">
        <v>0.49347798526287079</v>
      </c>
      <c r="CW34">
        <v>0.06</v>
      </c>
      <c r="CX34">
        <v>3.6412127941727359</v>
      </c>
      <c r="CY34">
        <v>655513598.05717778</v>
      </c>
      <c r="CZ34">
        <v>0.46901567429304125</v>
      </c>
      <c r="DA34">
        <v>0.87611167482497398</v>
      </c>
      <c r="DB34">
        <v>2724383852.6370945</v>
      </c>
      <c r="DC34">
        <v>0.44556489057838916</v>
      </c>
      <c r="DD34">
        <v>0.27364223536016075</v>
      </c>
      <c r="DE34">
        <v>8722573461.1415939</v>
      </c>
      <c r="DF34">
        <v>0.4127337933778763</v>
      </c>
      <c r="DG34">
        <v>9.246130144116893E-2</v>
      </c>
      <c r="DH34">
        <v>25814740467.596691</v>
      </c>
      <c r="DI34">
        <v>0.375212539434433</v>
      </c>
      <c r="DJ34">
        <v>1.1303605710821913E-2</v>
      </c>
      <c r="DK34">
        <v>211159568111.51413</v>
      </c>
      <c r="DL34">
        <v>0.32831097200512888</v>
      </c>
      <c r="DM34">
        <v>473000000.00000006</v>
      </c>
      <c r="DN34">
        <v>0.46901567429304125</v>
      </c>
      <c r="DO34">
        <v>2386864500</v>
      </c>
      <c r="DP34">
        <v>874928280</v>
      </c>
      <c r="DQ34" s="12">
        <v>4185</v>
      </c>
      <c r="DR34">
        <v>-1.3156214184183677</v>
      </c>
      <c r="DS34">
        <v>-1.3859699065227133</v>
      </c>
      <c r="DT34">
        <v>0.14333333333333331</v>
      </c>
      <c r="DU34">
        <v>-0.15666666666666673</v>
      </c>
      <c r="DV34">
        <v>-1.3333333333333419E-2</v>
      </c>
      <c r="DW34">
        <v>-8.0593401376691194</v>
      </c>
      <c r="DX34">
        <v>0.35389147727272574</v>
      </c>
      <c r="DY34">
        <v>-8.0049781318106294</v>
      </c>
      <c r="DZ34">
        <v>1946</v>
      </c>
      <c r="EA34">
        <v>-8.0030823501074035</v>
      </c>
      <c r="EB34" s="13">
        <v>8</v>
      </c>
      <c r="EC34" s="13">
        <v>4.2665442840677199E-2</v>
      </c>
      <c r="ED34">
        <v>0.50857899071170054</v>
      </c>
      <c r="EE34">
        <v>-1.04271</v>
      </c>
      <c r="EF34">
        <v>-1.08091</v>
      </c>
      <c r="EG34">
        <v>27.083891477272726</v>
      </c>
      <c r="EH34" s="9" t="s">
        <v>421</v>
      </c>
      <c r="EI34">
        <v>0</v>
      </c>
      <c r="EJ34">
        <v>0</v>
      </c>
      <c r="EK34">
        <v>45470</v>
      </c>
      <c r="EL34">
        <v>0</v>
      </c>
      <c r="EM34">
        <v>-3.09</v>
      </c>
      <c r="EN34">
        <v>-2</v>
      </c>
      <c r="EO34">
        <v>2.04</v>
      </c>
      <c r="EP34">
        <v>-3.82</v>
      </c>
    </row>
    <row r="35" spans="1:146" ht="84" x14ac:dyDescent="0.25">
      <c r="C35" s="7" t="str">
        <f>""&amp;CHAR(10)&amp;Basic_Fundamental_Information_Constructure(F35)&amp;CHAR(10)&amp;Basic_Fundamental_Information_Concatenate("")</f>
        <v xml:space="preserve">
市值17.524833亿, 利润6287.02万; PE; 平均PE-22.47; 平均PEG-1.67, PB2.68; ROIC0%; ROE-16.41%; 股利率0%; 毛利-5.13%; 净利-49.1267%; 上一年度营收增-74.5%, 利润增120.15%; 当季营收增196.21%, 利润增-36.58%; 过往5年营收增-13.48%, 利润增-70.1%
Income profile:
</v>
      </c>
      <c r="D35" t="s">
        <v>462</v>
      </c>
      <c r="E35" t="s">
        <v>463</v>
      </c>
      <c r="F35">
        <v>6.04</v>
      </c>
      <c r="G35">
        <v>1</v>
      </c>
      <c r="H35" t="s">
        <v>1454</v>
      </c>
      <c r="I35">
        <v>1752483300</v>
      </c>
      <c r="K35">
        <v>2.68</v>
      </c>
      <c r="L35" t="s">
        <v>24</v>
      </c>
      <c r="M35" t="s">
        <v>1455</v>
      </c>
      <c r="N35" t="s">
        <v>525</v>
      </c>
      <c r="O35" t="s">
        <v>326</v>
      </c>
      <c r="P35" s="5">
        <v>11.76</v>
      </c>
      <c r="Q35" t="s">
        <v>1456</v>
      </c>
      <c r="R35">
        <v>9028099</v>
      </c>
      <c r="S35">
        <v>1.1919999999999999</v>
      </c>
      <c r="T35" t="s">
        <v>1457</v>
      </c>
      <c r="U35">
        <v>290146240</v>
      </c>
      <c r="V35">
        <v>290146240</v>
      </c>
      <c r="W35">
        <v>3.84</v>
      </c>
      <c r="X35">
        <v>0.06</v>
      </c>
      <c r="Y35">
        <v>8.77</v>
      </c>
      <c r="Z35" t="s">
        <v>513</v>
      </c>
      <c r="AA35" t="s">
        <v>64</v>
      </c>
      <c r="AB35" t="s">
        <v>1458</v>
      </c>
      <c r="AC35" t="s">
        <v>1459</v>
      </c>
      <c r="AD35" t="s">
        <v>41</v>
      </c>
      <c r="AE35">
        <v>3835494</v>
      </c>
      <c r="AF35" t="s">
        <v>1460</v>
      </c>
      <c r="AG35" t="s">
        <v>1461</v>
      </c>
      <c r="AH35" t="s">
        <v>1462</v>
      </c>
      <c r="AI35" t="s">
        <v>1463</v>
      </c>
      <c r="AJ35" t="s">
        <v>1464</v>
      </c>
      <c r="AK35" t="s">
        <v>1465</v>
      </c>
      <c r="AL35" t="s">
        <v>1466</v>
      </c>
      <c r="AM35" t="s">
        <v>41</v>
      </c>
      <c r="AN35" t="s">
        <v>1467</v>
      </c>
      <c r="AO35" t="s">
        <v>1468</v>
      </c>
      <c r="AP35" t="s">
        <v>536</v>
      </c>
      <c r="AQ35" t="s">
        <v>1469</v>
      </c>
      <c r="AR35" t="s">
        <v>41</v>
      </c>
      <c r="AS35" t="s">
        <v>1470</v>
      </c>
      <c r="AT35" t="s">
        <v>526</v>
      </c>
      <c r="AU35" t="s">
        <v>1471</v>
      </c>
      <c r="AV35" t="s">
        <v>1472</v>
      </c>
      <c r="AW35" t="s">
        <v>1473</v>
      </c>
      <c r="AX35" t="s">
        <v>436</v>
      </c>
      <c r="AY35" t="s">
        <v>466</v>
      </c>
      <c r="AZ35" t="s">
        <v>323</v>
      </c>
      <c r="BA35" t="s">
        <v>467</v>
      </c>
      <c r="BB35" t="s">
        <v>304</v>
      </c>
      <c r="BC35" t="s">
        <v>1474</v>
      </c>
      <c r="BD35" t="s">
        <v>468</v>
      </c>
      <c r="BE35" t="s">
        <v>469</v>
      </c>
      <c r="BF35" t="s">
        <v>470</v>
      </c>
      <c r="BG35" t="s">
        <v>471</v>
      </c>
      <c r="BH35" t="s">
        <v>476</v>
      </c>
      <c r="BI35" t="s">
        <v>1475</v>
      </c>
      <c r="BJ35" t="s">
        <v>436</v>
      </c>
      <c r="BK35" t="s">
        <v>1476</v>
      </c>
      <c r="BL35" t="s">
        <v>1477</v>
      </c>
      <c r="BM35" t="s">
        <v>1474</v>
      </c>
      <c r="BN35" t="s">
        <v>41</v>
      </c>
      <c r="BO35" t="s">
        <v>41</v>
      </c>
      <c r="BP35" t="s">
        <v>41</v>
      </c>
      <c r="BQ35">
        <v>-11.24</v>
      </c>
      <c r="BR35">
        <v>-21.84</v>
      </c>
      <c r="BS35">
        <v>-16.149999999999999</v>
      </c>
      <c r="BT35" t="s">
        <v>389</v>
      </c>
      <c r="BU35" t="s">
        <v>564</v>
      </c>
      <c r="BV35">
        <v>-34.42</v>
      </c>
      <c r="BW35">
        <v>11.33</v>
      </c>
      <c r="BX35">
        <v>7.7</v>
      </c>
      <c r="BY35">
        <v>-84.4</v>
      </c>
      <c r="BZ35">
        <v>-28.41</v>
      </c>
      <c r="CA35">
        <v>-34.57</v>
      </c>
      <c r="CB35">
        <v>-0.33</v>
      </c>
      <c r="CC35" s="1">
        <v>-18.489999999999998</v>
      </c>
      <c r="CD35" s="1" t="s">
        <v>1478</v>
      </c>
      <c r="CE35" s="1" t="s">
        <v>978</v>
      </c>
      <c r="CF35" s="10">
        <v>1.9620520422717114</v>
      </c>
      <c r="CG35" s="11">
        <v>-0.36581278054468697</v>
      </c>
      <c r="CH35" s="10">
        <v>-0.74497354030609131</v>
      </c>
      <c r="CI35" s="10">
        <v>0.48119121789932251</v>
      </c>
      <c r="CJ35" s="10">
        <v>9.4339624047279358E-2</v>
      </c>
      <c r="CK35" s="10">
        <v>-0.30346474051475525</v>
      </c>
      <c r="CL35" s="10">
        <v>-0.20133587718009949</v>
      </c>
      <c r="CM35" s="11">
        <v>1.2015070915222168</v>
      </c>
      <c r="CN35" s="11">
        <v>-0.45116278529167175</v>
      </c>
      <c r="CO35" s="11">
        <v>-0.36942675709724426</v>
      </c>
      <c r="CP35" s="11">
        <v>-3.5561830997467041</v>
      </c>
      <c r="CQ35" s="11">
        <v>-0.32991525530815125</v>
      </c>
      <c r="CR35" s="1">
        <v>-22.465310473976633</v>
      </c>
      <c r="CS35" s="1">
        <v>-1.6659646405872508</v>
      </c>
      <c r="CT35" s="1">
        <v>0</v>
      </c>
      <c r="CU35" s="10">
        <v>-0.13484866321086883</v>
      </c>
      <c r="CV35" s="11">
        <v>-0.70103616118431089</v>
      </c>
      <c r="CW35">
        <v>0.06</v>
      </c>
      <c r="CX35">
        <v>52.767182226237551</v>
      </c>
      <c r="CY35" t="s">
        <v>1479</v>
      </c>
      <c r="CZ35">
        <v>-0.13484866321086883</v>
      </c>
      <c r="DA35">
        <v>17.589060742079184</v>
      </c>
      <c r="DB35" t="s">
        <v>1480</v>
      </c>
      <c r="DC35">
        <v>-0.12810623005032537</v>
      </c>
      <c r="DD35">
        <v>8.7945303710395919</v>
      </c>
      <c r="DE35" t="s">
        <v>1481</v>
      </c>
      <c r="DF35">
        <v>-0.11866682362556458</v>
      </c>
      <c r="DG35">
        <v>5.2767182226237548</v>
      </c>
      <c r="DH35" t="s">
        <v>1482</v>
      </c>
      <c r="DI35">
        <v>-0.10787893056869508</v>
      </c>
      <c r="DJ35">
        <v>2.6383591113118774</v>
      </c>
      <c r="DK35" t="s">
        <v>1483</v>
      </c>
      <c r="DL35">
        <v>-9.439406424760817E-2</v>
      </c>
      <c r="DM35">
        <v>62870200.000000007</v>
      </c>
      <c r="DN35">
        <v>-0.13484866321086883</v>
      </c>
      <c r="DO35">
        <v>3317483300</v>
      </c>
      <c r="DP35">
        <v>418826000</v>
      </c>
      <c r="DQ35" s="12">
        <v>4276</v>
      </c>
      <c r="DR35">
        <v>2.0969007054825801</v>
      </c>
      <c r="DS35">
        <v>0.33522338063962392</v>
      </c>
      <c r="DT35">
        <v>-0.84</v>
      </c>
      <c r="DU35">
        <v>-1.9733333333333336</v>
      </c>
      <c r="DV35">
        <v>-2.8133333333333335</v>
      </c>
      <c r="DW35">
        <v>-3.0281607142857143</v>
      </c>
      <c r="DX35">
        <v>0.33429727891156302</v>
      </c>
      <c r="DY35">
        <v>-3.002937085872206</v>
      </c>
      <c r="DZ35">
        <v>3601</v>
      </c>
      <c r="EA35">
        <v>-3.0008673312291898</v>
      </c>
      <c r="EB35" s="13">
        <v>3</v>
      </c>
      <c r="EC35" s="13">
        <v>5.2841284450213799E-2</v>
      </c>
      <c r="ED35">
        <v>0.50664106486439386</v>
      </c>
      <c r="EE35">
        <v>-3.1006100000000001</v>
      </c>
      <c r="EF35">
        <v>-3.1287099999999999</v>
      </c>
      <c r="EG35">
        <v>23.104297278911563</v>
      </c>
      <c r="EH35" s="9" t="s">
        <v>1484</v>
      </c>
      <c r="EI35" s="14">
        <v>0</v>
      </c>
      <c r="EJ35" s="14">
        <v>0</v>
      </c>
      <c r="EK35" s="14">
        <v>45470</v>
      </c>
      <c r="EL35" s="14">
        <v>0.31</v>
      </c>
      <c r="EM35" s="14">
        <v>-4.8</v>
      </c>
      <c r="EN35">
        <v>0.16</v>
      </c>
      <c r="EO35">
        <v>3.9</v>
      </c>
      <c r="EP35">
        <v>-2.81</v>
      </c>
    </row>
    <row r="36" spans="1:146" ht="84" x14ac:dyDescent="0.25">
      <c r="A36" s="7"/>
      <c r="B36" s="7"/>
      <c r="C36" s="7" t="str">
        <f>""&amp;CHAR(10)&amp;Basic_Fundamental_Information_Constructure(F36)&amp;CHAR(10)&amp;Basic_Fundamental_Information_Concatenate("")</f>
        <v xml:space="preserve">
市值40.39506亿, 利润1.80亿; PE89.94; 平均PE60.86; 平均PEG.12, PB3.3; ROIC7.4667%; ROE7.6%; 股利率.4674%; 毛利55.3767%; 净利23.61%; 上一年度营收增2582%, 利润增47.54%; 当季营收增-97.05%, 利润增-102.5%; 过往5年营收增520.92%, 利润增121.58%
Income profile:
</v>
      </c>
      <c r="D36" t="s">
        <v>1485</v>
      </c>
      <c r="E36" t="s">
        <v>1486</v>
      </c>
      <c r="F36">
        <v>6.14</v>
      </c>
      <c r="G36">
        <v>2.5</v>
      </c>
      <c r="H36" t="s">
        <v>1487</v>
      </c>
      <c r="I36">
        <v>4039506000</v>
      </c>
      <c r="J36">
        <v>89.94</v>
      </c>
      <c r="K36">
        <v>3.3</v>
      </c>
      <c r="L36" t="s">
        <v>24</v>
      </c>
      <c r="M36" t="s">
        <v>1488</v>
      </c>
      <c r="N36" t="s">
        <v>1489</v>
      </c>
      <c r="O36" t="s">
        <v>1490</v>
      </c>
      <c r="P36" s="5">
        <v>-1.31</v>
      </c>
      <c r="Q36" t="s">
        <v>1491</v>
      </c>
      <c r="R36">
        <v>-3719367</v>
      </c>
      <c r="S36">
        <v>-1.2609999999999999</v>
      </c>
      <c r="T36" t="s">
        <v>477</v>
      </c>
      <c r="U36">
        <v>644000000</v>
      </c>
      <c r="V36">
        <v>657900000</v>
      </c>
      <c r="W36">
        <v>1.39</v>
      </c>
      <c r="X36">
        <v>0.04</v>
      </c>
      <c r="Y36">
        <v>-6.2</v>
      </c>
      <c r="Z36" t="s">
        <v>1492</v>
      </c>
      <c r="AA36" t="s">
        <v>1493</v>
      </c>
      <c r="AB36" t="s">
        <v>1494</v>
      </c>
      <c r="AC36" t="s">
        <v>1495</v>
      </c>
      <c r="AD36" t="s">
        <v>41</v>
      </c>
      <c r="AE36">
        <v>1114026</v>
      </c>
      <c r="AF36" t="s">
        <v>1496</v>
      </c>
      <c r="AG36">
        <v>2894.51</v>
      </c>
      <c r="AH36" t="s">
        <v>1497</v>
      </c>
      <c r="AI36" t="s">
        <v>1498</v>
      </c>
      <c r="AJ36" t="s">
        <v>1499</v>
      </c>
      <c r="AK36" t="s">
        <v>41</v>
      </c>
      <c r="AL36" t="s">
        <v>1500</v>
      </c>
      <c r="AM36" t="s">
        <v>41</v>
      </c>
      <c r="AN36" t="s">
        <v>1501</v>
      </c>
      <c r="AO36" t="s">
        <v>1502</v>
      </c>
      <c r="AP36" t="s">
        <v>41</v>
      </c>
      <c r="AQ36" t="s">
        <v>1503</v>
      </c>
      <c r="AR36" t="s">
        <v>41</v>
      </c>
      <c r="AS36" t="s">
        <v>1504</v>
      </c>
      <c r="AT36" t="s">
        <v>41</v>
      </c>
      <c r="AU36" t="s">
        <v>1505</v>
      </c>
      <c r="AV36" t="s">
        <v>1506</v>
      </c>
      <c r="AW36" t="s">
        <v>1507</v>
      </c>
      <c r="AX36" t="s">
        <v>582</v>
      </c>
      <c r="AY36" t="s">
        <v>821</v>
      </c>
      <c r="AZ36" t="s">
        <v>281</v>
      </c>
      <c r="BA36" t="s">
        <v>464</v>
      </c>
      <c r="BB36" t="s">
        <v>325</v>
      </c>
      <c r="BC36" t="s">
        <v>1508</v>
      </c>
      <c r="BD36" t="s">
        <v>1509</v>
      </c>
      <c r="BE36" t="s">
        <v>1510</v>
      </c>
      <c r="BF36" t="s">
        <v>1511</v>
      </c>
      <c r="BG36" t="s">
        <v>1512</v>
      </c>
      <c r="BH36" t="s">
        <v>1456</v>
      </c>
      <c r="BI36" t="s">
        <v>1513</v>
      </c>
      <c r="BJ36" t="s">
        <v>582</v>
      </c>
      <c r="BK36" t="s">
        <v>1457</v>
      </c>
      <c r="BL36" t="s">
        <v>465</v>
      </c>
      <c r="BM36" t="s">
        <v>1508</v>
      </c>
      <c r="BN36">
        <v>5.74</v>
      </c>
      <c r="BO36">
        <v>11.01</v>
      </c>
      <c r="BP36">
        <v>5.65</v>
      </c>
      <c r="BQ36">
        <v>6.5</v>
      </c>
      <c r="BR36">
        <v>11.33</v>
      </c>
      <c r="BS36">
        <v>4.97</v>
      </c>
      <c r="BT36" t="s">
        <v>1514</v>
      </c>
      <c r="BU36" t="s">
        <v>741</v>
      </c>
      <c r="BV36">
        <v>51.39</v>
      </c>
      <c r="BW36">
        <v>58.97</v>
      </c>
      <c r="BX36">
        <v>55.77</v>
      </c>
      <c r="BY36">
        <v>20.78</v>
      </c>
      <c r="BZ36">
        <v>36.9</v>
      </c>
      <c r="CA36">
        <v>13.15</v>
      </c>
      <c r="CB36">
        <v>-0.49</v>
      </c>
      <c r="CC36" s="10">
        <v>-19.32</v>
      </c>
      <c r="CD36" s="11" t="s">
        <v>1515</v>
      </c>
      <c r="CE36" s="10" t="s">
        <v>456</v>
      </c>
      <c r="CF36" s="10">
        <v>-0.97052226415094345</v>
      </c>
      <c r="CG36" s="10">
        <v>-1.0249621946308725</v>
      </c>
      <c r="CH36" s="10">
        <v>25.819999694824219</v>
      </c>
      <c r="CI36" s="10">
        <v>-0.13544668257236481</v>
      </c>
      <c r="CJ36" s="11">
        <v>0.33976835012435913</v>
      </c>
      <c r="CK36" s="11">
        <v>-6.8345323204994202E-2</v>
      </c>
      <c r="CL36" s="11">
        <v>9.0196080505847931E-2</v>
      </c>
      <c r="CM36" s="11">
        <v>0.47540983557701111</v>
      </c>
      <c r="CN36" s="11">
        <v>1.2652705907821655</v>
      </c>
      <c r="CO36">
        <v>5.0332827568054199</v>
      </c>
      <c r="CP36">
        <v>-0.26537296175956726</v>
      </c>
      <c r="CQ36">
        <v>-0.42947292327880859</v>
      </c>
      <c r="CR36" s="10">
        <v>60.861491283864936</v>
      </c>
      <c r="CS36" s="11">
        <v>0.11683384991126199</v>
      </c>
      <c r="CT36">
        <v>0.46742671009771986</v>
      </c>
      <c r="CU36">
        <v>5.2092344239354134</v>
      </c>
      <c r="CV36">
        <v>1.2158234596252442</v>
      </c>
      <c r="CW36">
        <v>0.06</v>
      </c>
      <c r="CX36">
        <v>3.1691117152384454</v>
      </c>
      <c r="CY36">
        <v>1054398298.4041266</v>
      </c>
      <c r="CZ36">
        <v>5.2092344239354134</v>
      </c>
      <c r="DA36">
        <v>8.6804400188729453E-2</v>
      </c>
      <c r="DB36">
        <v>38494661477.239906</v>
      </c>
      <c r="DC36">
        <v>4.9487727027386423</v>
      </c>
      <c r="DD36">
        <v>7.0367698529747575E-4</v>
      </c>
      <c r="DE36">
        <v>4748636192197.4697</v>
      </c>
      <c r="DF36">
        <v>4.5841262930631634</v>
      </c>
      <c r="DG36">
        <v>1.9467615577833241E-6</v>
      </c>
      <c r="DH36">
        <v>1716443386012203</v>
      </c>
      <c r="DI36">
        <v>4.167387539148331</v>
      </c>
      <c r="DJ36">
        <v>2.0887152291638124E-12</v>
      </c>
      <c r="DK36">
        <v>1.5997901261713519E+21</v>
      </c>
      <c r="DL36">
        <v>3.646464096754789</v>
      </c>
      <c r="DM36">
        <v>180000000</v>
      </c>
      <c r="DN36">
        <v>5.2092344239354134</v>
      </c>
      <c r="DO36">
        <v>3341506000</v>
      </c>
      <c r="DP36">
        <v>157092340</v>
      </c>
      <c r="DQ36" s="12">
        <v>4277</v>
      </c>
      <c r="DR36">
        <v>-6.179756688086357</v>
      </c>
      <c r="DS36">
        <v>-2.2407856542561166</v>
      </c>
      <c r="DT36">
        <v>-6.6666666666666714E-3</v>
      </c>
      <c r="DU36">
        <v>-0.20166666666666663</v>
      </c>
      <c r="DV36">
        <v>-0.20833333333333331</v>
      </c>
      <c r="DW36">
        <v>-3.0375476190476189</v>
      </c>
      <c r="DX36">
        <v>0.38077802690583029</v>
      </c>
      <c r="DY36">
        <v>-3.0041594511531069</v>
      </c>
      <c r="DZ36">
        <v>2844</v>
      </c>
      <c r="EA36">
        <v>-3.0018444846013583</v>
      </c>
      <c r="EB36" s="13">
        <v>3</v>
      </c>
      <c r="EC36" s="13">
        <v>3.754901960784314E-2</v>
      </c>
      <c r="ED36">
        <v>0.33895728834169325</v>
      </c>
      <c r="EE36">
        <v>-1.04251</v>
      </c>
      <c r="EF36">
        <v>-1.06491</v>
      </c>
      <c r="EG36">
        <v>27.11077802690583</v>
      </c>
      <c r="EH36" s="9" t="s">
        <v>421</v>
      </c>
      <c r="EI36">
        <v>0</v>
      </c>
      <c r="EJ36">
        <v>0</v>
      </c>
      <c r="EK36">
        <v>45470</v>
      </c>
      <c r="EL36">
        <v>0.42</v>
      </c>
      <c r="EM36">
        <v>-3.83</v>
      </c>
      <c r="EN36">
        <v>0.69</v>
      </c>
      <c r="EO36">
        <v>3.61</v>
      </c>
      <c r="EP36">
        <v>-2.2400000000000002</v>
      </c>
    </row>
    <row r="37" spans="1:146" ht="84" x14ac:dyDescent="0.25">
      <c r="C37" s="7" t="str">
        <f>""&amp;CHAR(10)&amp;Basic_Fundamental_Information_Constructure(F37)&amp;CHAR(10)&amp;Basic_Fundamental_Information_Concatenate("")</f>
        <v xml:space="preserve">
市值178.46227亿, 利润3062.87万; PE; 平均PE48.47; 平均PEG5.12, PB4.25; ROIC6.115%; ROE2.55%; 股利率0%; 毛利14.7933%; 净利2.0833%; 上一年度营收增-89.47%, 利润增-88.04%; 当季营收增1954.25%, 利润增-527.77%; 过往5年营收增9.47%, 利润增108.75%
Income profile:
</v>
      </c>
      <c r="D37" t="s">
        <v>207</v>
      </c>
      <c r="E37" t="s">
        <v>208</v>
      </c>
      <c r="F37">
        <v>33.99</v>
      </c>
      <c r="G37">
        <v>1.95</v>
      </c>
      <c r="H37" t="s">
        <v>1516</v>
      </c>
      <c r="I37">
        <v>17846227000</v>
      </c>
      <c r="K37">
        <v>4.25</v>
      </c>
      <c r="L37" t="s">
        <v>24</v>
      </c>
      <c r="M37" t="s">
        <v>751</v>
      </c>
      <c r="N37" t="s">
        <v>1517</v>
      </c>
      <c r="O37" t="s">
        <v>1518</v>
      </c>
      <c r="P37">
        <v>20.82</v>
      </c>
      <c r="Q37" t="s">
        <v>1266</v>
      </c>
      <c r="R37">
        <v>-3565860</v>
      </c>
      <c r="S37" s="5">
        <v>0.96630000000000005</v>
      </c>
      <c r="T37" t="s">
        <v>1519</v>
      </c>
      <c r="U37">
        <v>67996515</v>
      </c>
      <c r="V37">
        <v>525043450</v>
      </c>
      <c r="W37">
        <v>1.42</v>
      </c>
      <c r="X37">
        <v>0.19</v>
      </c>
      <c r="Y37">
        <v>-0.33</v>
      </c>
      <c r="Z37" t="s">
        <v>1520</v>
      </c>
      <c r="AA37" t="s">
        <v>602</v>
      </c>
      <c r="AB37" t="s">
        <v>1521</v>
      </c>
      <c r="AC37" t="s">
        <v>1522</v>
      </c>
      <c r="AD37" t="s">
        <v>41</v>
      </c>
      <c r="AE37">
        <v>7131360</v>
      </c>
      <c r="AF37" t="s">
        <v>1523</v>
      </c>
      <c r="AG37" t="s">
        <v>1524</v>
      </c>
      <c r="AH37" t="s">
        <v>1525</v>
      </c>
      <c r="AI37" t="s">
        <v>1526</v>
      </c>
      <c r="AJ37" t="s">
        <v>1527</v>
      </c>
      <c r="AK37" t="s">
        <v>41</v>
      </c>
      <c r="AL37" t="s">
        <v>1528</v>
      </c>
      <c r="AM37" t="s">
        <v>41</v>
      </c>
      <c r="AN37" t="s">
        <v>1529</v>
      </c>
      <c r="AO37" t="s">
        <v>1530</v>
      </c>
      <c r="AP37" t="s">
        <v>1531</v>
      </c>
      <c r="AQ37" t="s">
        <v>1532</v>
      </c>
      <c r="AR37" t="s">
        <v>1533</v>
      </c>
      <c r="AS37" t="s">
        <v>1534</v>
      </c>
      <c r="AT37" t="s">
        <v>1535</v>
      </c>
      <c r="AU37" t="s">
        <v>1536</v>
      </c>
      <c r="AV37" t="s">
        <v>1537</v>
      </c>
      <c r="AW37" t="s">
        <v>627</v>
      </c>
      <c r="AX37" t="s">
        <v>472</v>
      </c>
      <c r="AY37" t="s">
        <v>282</v>
      </c>
      <c r="AZ37" t="s">
        <v>202</v>
      </c>
      <c r="BA37" t="s">
        <v>210</v>
      </c>
      <c r="BB37" t="s">
        <v>155</v>
      </c>
      <c r="BC37" t="s">
        <v>1538</v>
      </c>
      <c r="BD37" t="s">
        <v>78</v>
      </c>
      <c r="BE37" t="s">
        <v>209</v>
      </c>
      <c r="BF37" t="s">
        <v>211</v>
      </c>
      <c r="BG37" t="s">
        <v>212</v>
      </c>
      <c r="BH37" t="s">
        <v>808</v>
      </c>
      <c r="BI37" t="s">
        <v>1539</v>
      </c>
      <c r="BJ37" t="s">
        <v>472</v>
      </c>
      <c r="BK37" t="s">
        <v>1540</v>
      </c>
      <c r="BL37" t="s">
        <v>1541</v>
      </c>
      <c r="BM37" t="s">
        <v>1538</v>
      </c>
      <c r="BN37" t="s">
        <v>41</v>
      </c>
      <c r="BO37">
        <v>5.31</v>
      </c>
      <c r="BP37">
        <v>6.92</v>
      </c>
      <c r="BQ37">
        <v>-4.79</v>
      </c>
      <c r="BR37">
        <v>5.58</v>
      </c>
      <c r="BS37">
        <v>6.86</v>
      </c>
      <c r="BT37" t="s">
        <v>389</v>
      </c>
      <c r="BU37" t="s">
        <v>564</v>
      </c>
      <c r="BV37">
        <v>4.38</v>
      </c>
      <c r="BW37">
        <v>18.52</v>
      </c>
      <c r="BX37">
        <v>21.48</v>
      </c>
      <c r="BY37">
        <v>-10.31</v>
      </c>
      <c r="BZ37">
        <v>7.73</v>
      </c>
      <c r="CA37">
        <v>8.83</v>
      </c>
      <c r="CB37">
        <v>-3.3</v>
      </c>
      <c r="CC37">
        <v>-19.260000000000002</v>
      </c>
      <c r="CD37" t="s">
        <v>1542</v>
      </c>
      <c r="CE37" t="s">
        <v>1543</v>
      </c>
      <c r="CF37" s="10">
        <v>19.542535579215965</v>
      </c>
      <c r="CG37" s="11">
        <v>-5.2776631477927065</v>
      </c>
      <c r="CH37" s="10">
        <v>-0.89467310905456543</v>
      </c>
      <c r="CI37" s="10">
        <v>0.18891684710979462</v>
      </c>
      <c r="CJ37" s="10">
        <v>2.0190918818116188E-2</v>
      </c>
      <c r="CK37" s="10">
        <v>0.57184082269668579</v>
      </c>
      <c r="CL37" s="10">
        <v>0.58699625730514526</v>
      </c>
      <c r="CM37" s="11">
        <v>-0.88035660982131958</v>
      </c>
      <c r="CN37" s="11">
        <v>4.4897958636283875E-2</v>
      </c>
      <c r="CO37" s="11">
        <v>-0.78470999002456665</v>
      </c>
      <c r="CP37" s="11">
        <v>1.4264392852783203</v>
      </c>
      <c r="CQ37" s="11">
        <v>5.6310935020446777</v>
      </c>
      <c r="CR37">
        <v>48.465415783358779</v>
      </c>
      <c r="CS37">
        <v>5.1202524899708246</v>
      </c>
      <c r="CT37">
        <v>0</v>
      </c>
      <c r="CU37" s="10">
        <v>9.465434737503528E-2</v>
      </c>
      <c r="CV37" s="11">
        <v>1.0874728292226792</v>
      </c>
      <c r="CW37">
        <v>0.06</v>
      </c>
      <c r="CX37">
        <v>479.07711344081844</v>
      </c>
      <c r="CY37">
        <v>31630037.367401637</v>
      </c>
      <c r="CZ37">
        <v>9.465434737503528E-2</v>
      </c>
      <c r="DA37">
        <v>155.94244102019417</v>
      </c>
      <c r="DB37">
        <v>97171923.825648561</v>
      </c>
      <c r="DC37">
        <v>8.9921630006283518E-2</v>
      </c>
      <c r="DD37">
        <v>76.362797257180318</v>
      </c>
      <c r="DE37">
        <v>198437295.96449739</v>
      </c>
      <c r="DF37">
        <v>8.329582569003105E-2</v>
      </c>
      <c r="DG37">
        <v>45.584471506951928</v>
      </c>
      <c r="DH37">
        <v>332420811.27756488</v>
      </c>
      <c r="DI37">
        <v>7.572347790002823E-2</v>
      </c>
      <c r="DJ37">
        <v>23.24093738841297</v>
      </c>
      <c r="DK37">
        <v>652005844.11689055</v>
      </c>
      <c r="DL37">
        <v>6.6258043162524691E-2</v>
      </c>
      <c r="DM37">
        <v>30628700</v>
      </c>
      <c r="DN37">
        <v>9.465434737503528E-2</v>
      </c>
      <c r="DO37">
        <v>15153227000</v>
      </c>
      <c r="DP37">
        <v>1033550400</v>
      </c>
      <c r="DQ37">
        <v>4502</v>
      </c>
      <c r="DR37">
        <v>19.447881231840931</v>
      </c>
      <c r="DS37">
        <v>-6.3651359770153855</v>
      </c>
      <c r="DT37" s="12">
        <v>-0.40666666666666673</v>
      </c>
      <c r="DU37">
        <v>-0.80166666666666675</v>
      </c>
      <c r="DV37">
        <v>-1.2083333333333335</v>
      </c>
      <c r="DW37">
        <v>-8.1713395638629276</v>
      </c>
      <c r="DX37">
        <v>0.35463266198177507</v>
      </c>
      <c r="DY37">
        <v>-8.0299214841401803</v>
      </c>
      <c r="DZ37">
        <v>4233</v>
      </c>
      <c r="EA37">
        <v>-8.0051352527575226</v>
      </c>
      <c r="EB37">
        <v>8</v>
      </c>
      <c r="EC37">
        <v>2.9122161223037828E-2</v>
      </c>
      <c r="ED37">
        <v>0.16676238890324219</v>
      </c>
      <c r="EE37" s="13">
        <v>-2.0143</v>
      </c>
      <c r="EF37">
        <v>-2.0024000000000002</v>
      </c>
      <c r="EG37">
        <v>18.174632661981775</v>
      </c>
      <c r="EH37" t="s">
        <v>678</v>
      </c>
      <c r="EI37">
        <v>0</v>
      </c>
      <c r="EJ37">
        <v>0</v>
      </c>
      <c r="EK37" s="9">
        <v>45470</v>
      </c>
      <c r="EL37" s="14">
        <v>-0.95</v>
      </c>
      <c r="EM37" s="14">
        <v>-4.9400000000000004</v>
      </c>
      <c r="EN37">
        <v>2.41</v>
      </c>
      <c r="EO37">
        <v>3.59</v>
      </c>
      <c r="EP37">
        <v>-1.19</v>
      </c>
    </row>
    <row r="38" spans="1:146" ht="84" x14ac:dyDescent="0.25">
      <c r="A38" s="7"/>
      <c r="B38" s="7"/>
      <c r="C38" s="7" t="str">
        <f>""&amp;CHAR(10)&amp;Basic_Fundamental_Information_Constructure(F38)&amp;CHAR(10)&amp;Basic_Fundamental_Information_Concatenate("")</f>
        <v xml:space="preserve">
市值16.918533亿, 利润4.98亿; PE125.9; 平均PE10.52; 平均PEG.03, PB1.14; ROIC4.54%; ROE4.7867%; 股利率.8495%; 毛利73.93%; 净利19.2%; 上一年度营收增1532.52%, 利润增715.04%; 当季营收增-91.49%, 利润增-107.26%; 过往5年营收增311.15%, 利润增142.19%
Income profile:
</v>
      </c>
      <c r="D38" t="s">
        <v>1544</v>
      </c>
      <c r="E38" t="s">
        <v>1545</v>
      </c>
      <c r="F38">
        <v>4.12</v>
      </c>
      <c r="G38">
        <v>1.48</v>
      </c>
      <c r="H38" t="s">
        <v>1546</v>
      </c>
      <c r="I38">
        <v>1691853300</v>
      </c>
      <c r="J38">
        <v>125.9</v>
      </c>
      <c r="K38">
        <v>1.1399999999999999</v>
      </c>
      <c r="L38" t="s">
        <v>24</v>
      </c>
      <c r="M38" t="s">
        <v>1547</v>
      </c>
      <c r="N38" t="s">
        <v>1548</v>
      </c>
      <c r="O38" t="s">
        <v>1549</v>
      </c>
      <c r="P38" s="5">
        <v>7.58</v>
      </c>
      <c r="Q38" t="s">
        <v>1550</v>
      </c>
      <c r="R38">
        <v>-2209185</v>
      </c>
      <c r="S38">
        <v>-1.139</v>
      </c>
      <c r="T38" t="s">
        <v>1551</v>
      </c>
      <c r="U38">
        <v>410644000</v>
      </c>
      <c r="V38">
        <v>410644000</v>
      </c>
      <c r="W38">
        <v>1.06</v>
      </c>
      <c r="X38">
        <v>0.06</v>
      </c>
      <c r="Y38">
        <v>-3.55</v>
      </c>
      <c r="Z38" t="s">
        <v>1552</v>
      </c>
      <c r="AA38" t="s">
        <v>1553</v>
      </c>
      <c r="AB38" t="s">
        <v>1554</v>
      </c>
      <c r="AC38" t="s">
        <v>1555</v>
      </c>
      <c r="AD38" t="s">
        <v>41</v>
      </c>
      <c r="AE38">
        <v>-106628</v>
      </c>
      <c r="AF38" t="s">
        <v>1556</v>
      </c>
      <c r="AG38" t="s">
        <v>41</v>
      </c>
      <c r="AH38" t="s">
        <v>1557</v>
      </c>
      <c r="AI38" t="s">
        <v>1558</v>
      </c>
      <c r="AJ38" t="s">
        <v>1559</v>
      </c>
      <c r="AK38" t="s">
        <v>41</v>
      </c>
      <c r="AL38" t="s">
        <v>1560</v>
      </c>
      <c r="AM38" t="s">
        <v>41</v>
      </c>
      <c r="AN38" t="s">
        <v>845</v>
      </c>
      <c r="AO38" t="s">
        <v>41</v>
      </c>
      <c r="AP38" t="s">
        <v>41</v>
      </c>
      <c r="AQ38" t="s">
        <v>1561</v>
      </c>
      <c r="AR38" t="s">
        <v>41</v>
      </c>
      <c r="AS38" t="s">
        <v>1562</v>
      </c>
      <c r="AT38" t="s">
        <v>41</v>
      </c>
      <c r="AU38" t="s">
        <v>1563</v>
      </c>
      <c r="AV38" t="s">
        <v>1564</v>
      </c>
      <c r="AW38" t="s">
        <v>1565</v>
      </c>
      <c r="AX38" t="s">
        <v>511</v>
      </c>
      <c r="AY38" t="s">
        <v>1566</v>
      </c>
      <c r="AZ38" t="s">
        <v>1567</v>
      </c>
      <c r="BA38" t="s">
        <v>99</v>
      </c>
      <c r="BB38" t="s">
        <v>1568</v>
      </c>
      <c r="BC38" t="s">
        <v>1569</v>
      </c>
      <c r="BD38" t="s">
        <v>1361</v>
      </c>
      <c r="BE38" t="s">
        <v>1396</v>
      </c>
      <c r="BF38" t="s">
        <v>1570</v>
      </c>
      <c r="BG38" t="s">
        <v>1571</v>
      </c>
      <c r="BH38" t="s">
        <v>1246</v>
      </c>
      <c r="BI38" t="s">
        <v>1572</v>
      </c>
      <c r="BJ38" t="s">
        <v>511</v>
      </c>
      <c r="BK38" t="s">
        <v>1573</v>
      </c>
      <c r="BL38" t="s">
        <v>1574</v>
      </c>
      <c r="BM38" t="s">
        <v>1569</v>
      </c>
      <c r="BN38">
        <v>2.38</v>
      </c>
      <c r="BO38">
        <v>4.05</v>
      </c>
      <c r="BP38">
        <v>7.19</v>
      </c>
      <c r="BQ38">
        <v>2.59</v>
      </c>
      <c r="BR38">
        <v>4.0999999999999996</v>
      </c>
      <c r="BS38">
        <v>7.67</v>
      </c>
      <c r="BT38" t="s">
        <v>1575</v>
      </c>
      <c r="BU38" t="s">
        <v>741</v>
      </c>
      <c r="BV38">
        <v>70.83</v>
      </c>
      <c r="BW38">
        <v>75.23</v>
      </c>
      <c r="BX38">
        <v>75.73</v>
      </c>
      <c r="BY38">
        <v>9.9</v>
      </c>
      <c r="BZ38">
        <v>18.559999999999999</v>
      </c>
      <c r="CA38">
        <v>29.14</v>
      </c>
      <c r="CB38">
        <v>-1.2</v>
      </c>
      <c r="CC38" s="10">
        <v>-22.92</v>
      </c>
      <c r="CD38" s="11" t="s">
        <v>1576</v>
      </c>
      <c r="CE38" s="10" t="s">
        <v>1577</v>
      </c>
      <c r="CF38" s="10">
        <v>-0.91491961352657003</v>
      </c>
      <c r="CG38" s="10">
        <v>-1.0725815036156294</v>
      </c>
      <c r="CH38" s="10">
        <v>15.325227737426758</v>
      </c>
      <c r="CI38" s="10">
        <v>-8.1005588173866272E-2</v>
      </c>
      <c r="CJ38" s="11">
        <v>5.917159840464592E-2</v>
      </c>
      <c r="CK38" s="11">
        <v>0.33070865273475647</v>
      </c>
      <c r="CL38" s="11">
        <v>-7.6363638043403625E-2</v>
      </c>
      <c r="CM38" s="11">
        <v>7.150385856628418</v>
      </c>
      <c r="CN38" s="11">
        <v>-0.44453272223472595</v>
      </c>
      <c r="CO38">
        <v>-0.15384615957736969</v>
      </c>
      <c r="CP38">
        <v>0.66758167743682861</v>
      </c>
      <c r="CQ38">
        <v>-0.10987748950719833</v>
      </c>
      <c r="CR38" s="10">
        <v>10.523232890566614</v>
      </c>
      <c r="CS38" s="11">
        <v>3.3819930554541036E-2</v>
      </c>
      <c r="CT38">
        <v>0.84951456310679607</v>
      </c>
      <c r="CU38">
        <v>3.1115477524697779</v>
      </c>
      <c r="CV38">
        <v>1.4219422325491906</v>
      </c>
      <c r="CW38">
        <v>0.06</v>
      </c>
      <c r="CX38">
        <v>0.14225111227579121</v>
      </c>
      <c r="CY38">
        <v>1931651679.9339147</v>
      </c>
      <c r="CZ38">
        <v>3.1115477524697779</v>
      </c>
      <c r="DA38">
        <v>7.9230259233893374E-3</v>
      </c>
      <c r="DB38">
        <v>34681143625.799713</v>
      </c>
      <c r="DC38">
        <v>2.9559703648462889</v>
      </c>
      <c r="DD38">
        <v>2.0561091575681953E-4</v>
      </c>
      <c r="DE38">
        <v>1336405700974.4939</v>
      </c>
      <c r="DF38">
        <v>2.7381620221734044</v>
      </c>
      <c r="DG38">
        <v>2.571875852673168E-6</v>
      </c>
      <c r="DH38">
        <v>106840149268635.31</v>
      </c>
      <c r="DI38">
        <v>2.4892382019758226</v>
      </c>
      <c r="DJ38">
        <v>1.0674421495050249E-10</v>
      </c>
      <c r="DK38">
        <v>2.5741872768225976E+18</v>
      </c>
      <c r="DL38">
        <v>2.1780834267288443</v>
      </c>
      <c r="DM38">
        <v>498000000.00000006</v>
      </c>
      <c r="DN38">
        <v>3.1115477524697779</v>
      </c>
      <c r="DO38">
        <v>274779600</v>
      </c>
      <c r="DP38">
        <v>525216290</v>
      </c>
      <c r="DQ38" s="12">
        <v>4625</v>
      </c>
      <c r="DR38">
        <v>-4.0264673659963481</v>
      </c>
      <c r="DS38">
        <v>-2.4945237361648198</v>
      </c>
      <c r="DT38">
        <v>-2.3333333333333355E-2</v>
      </c>
      <c r="DU38">
        <v>-0.64833333333333343</v>
      </c>
      <c r="DV38">
        <v>-0.67166666666666675</v>
      </c>
      <c r="DW38">
        <v>-3.0782619047619049</v>
      </c>
      <c r="DX38">
        <v>0.38993224261263038</v>
      </c>
      <c r="DY38">
        <v>-3.0109513638444696</v>
      </c>
      <c r="DZ38">
        <v>661</v>
      </c>
      <c r="EA38">
        <v>-3.0095347588540204</v>
      </c>
      <c r="EB38" s="13">
        <v>3</v>
      </c>
      <c r="EC38" s="13">
        <v>2.0850907355276102E-2</v>
      </c>
      <c r="ED38">
        <v>0.1490071692268729</v>
      </c>
      <c r="EE38">
        <v>2.2100000000000002E-2</v>
      </c>
      <c r="EF38">
        <v>1.4100000000000001E-2</v>
      </c>
      <c r="EG38">
        <v>25.13993224261263</v>
      </c>
      <c r="EH38" s="9" t="s">
        <v>305</v>
      </c>
      <c r="EI38">
        <v>0</v>
      </c>
      <c r="EJ38">
        <v>1</v>
      </c>
      <c r="EK38">
        <v>45470</v>
      </c>
      <c r="EL38">
        <v>-0.27</v>
      </c>
      <c r="EM38">
        <v>-0.43</v>
      </c>
      <c r="EN38">
        <v>-3.37</v>
      </c>
      <c r="EO38">
        <v>2.2200000000000002</v>
      </c>
      <c r="EP38">
        <v>-0.8</v>
      </c>
    </row>
    <row r="39" spans="1:146" ht="144" x14ac:dyDescent="0.25">
      <c r="A39" s="7"/>
      <c r="B39" s="7"/>
      <c r="C39" s="7" t="str">
        <f>"公司主营业务为兽用生物制品研发、生产、销售及动物防疫技术服务，公司主要产品是猪用疫苗和禽用疫苗。"&amp;CHAR(10)&amp;Basic_Fundamental_Information_Constructure(F39)&amp;CHAR(10)&amp;Basic_Fundamental_Information_Concatenate("猪用疫苗 8.14亿 96.53% 毛利83.74%
禽用疫苗 1270.54万 1.51% 毛利43.62%
其他产品 835.07万 0.99% 毛利67.22%
其他业务 823.00万 0.98% 毛利64.52%")</f>
        <v>公司主营业务为兽用生物制品研发、生产、销售及动物防疫技术服务，公司主要产品是猪用疫苗和禽用疫苗。
市值63.958252亿, 利润-5923.75万; PE18.4; 平均PE19.17; 平均PEG8.98, PB1.64; ROIC11.7567%; ROE13.9133%; 股利率3.1341%; 毛利75.1667%; 净利43.2567%; 上一年度营收增-67.33%, 利润增-114.45%; 当季营收增308.09%, 利润增686.55%; 过往5年营收增-2.14%, 利润增-13.67%
Income profile:
猪用疫苗 8.14亿 96.53% 毛利83.74%
禽用疫苗 1270.54万 1.51% 毛利43.62%
其他产品 835.07万 0.99% 毛利67.22%
其他业务 823.00万 0.98% 毛利64.52%</v>
      </c>
      <c r="D39" t="s">
        <v>1578</v>
      </c>
      <c r="E39" t="s">
        <v>1579</v>
      </c>
      <c r="F39">
        <v>13.72</v>
      </c>
      <c r="G39">
        <v>2.77</v>
      </c>
      <c r="H39" t="s">
        <v>1580</v>
      </c>
      <c r="I39">
        <v>6395825200</v>
      </c>
      <c r="J39">
        <v>18.399999999999999</v>
      </c>
      <c r="K39">
        <v>1.64</v>
      </c>
      <c r="L39" t="s">
        <v>24</v>
      </c>
      <c r="M39" t="s">
        <v>1581</v>
      </c>
      <c r="N39" t="s">
        <v>1582</v>
      </c>
      <c r="O39" t="s">
        <v>324</v>
      </c>
      <c r="P39" s="5">
        <v>-26.68</v>
      </c>
      <c r="Q39" t="s">
        <v>620</v>
      </c>
      <c r="R39">
        <v>87228396</v>
      </c>
      <c r="S39">
        <v>-0.35639999999999999</v>
      </c>
      <c r="T39" t="s">
        <v>1583</v>
      </c>
      <c r="U39">
        <v>466128060</v>
      </c>
      <c r="V39">
        <v>466168020</v>
      </c>
      <c r="W39">
        <v>1.18</v>
      </c>
      <c r="X39">
        <v>0.04</v>
      </c>
      <c r="Y39">
        <v>42.49</v>
      </c>
      <c r="Z39" t="s">
        <v>722</v>
      </c>
      <c r="AA39" t="s">
        <v>1584</v>
      </c>
      <c r="AB39" t="s">
        <v>1585</v>
      </c>
      <c r="AC39" t="s">
        <v>1586</v>
      </c>
      <c r="AD39" t="s">
        <v>41</v>
      </c>
      <c r="AE39">
        <v>-15012159</v>
      </c>
      <c r="AF39" t="s">
        <v>1587</v>
      </c>
      <c r="AG39">
        <v>3434.02</v>
      </c>
      <c r="AH39" t="s">
        <v>1588</v>
      </c>
      <c r="AI39" t="s">
        <v>1589</v>
      </c>
      <c r="AJ39" t="s">
        <v>1590</v>
      </c>
      <c r="AK39" t="s">
        <v>41</v>
      </c>
      <c r="AL39" t="s">
        <v>1591</v>
      </c>
      <c r="AM39" t="s">
        <v>41</v>
      </c>
      <c r="AN39" t="s">
        <v>1592</v>
      </c>
      <c r="AO39" t="s">
        <v>1593</v>
      </c>
      <c r="AP39" t="s">
        <v>1594</v>
      </c>
      <c r="AQ39" t="s">
        <v>490</v>
      </c>
      <c r="AR39" t="s">
        <v>41</v>
      </c>
      <c r="AS39" t="s">
        <v>522</v>
      </c>
      <c r="AT39" t="s">
        <v>41</v>
      </c>
      <c r="AU39" t="s">
        <v>533</v>
      </c>
      <c r="AV39" t="s">
        <v>517</v>
      </c>
      <c r="AW39" t="s">
        <v>1595</v>
      </c>
      <c r="AX39" t="s">
        <v>77</v>
      </c>
      <c r="AY39" t="s">
        <v>1596</v>
      </c>
      <c r="AZ39" t="s">
        <v>1597</v>
      </c>
      <c r="BA39" t="s">
        <v>519</v>
      </c>
      <c r="BB39" t="s">
        <v>1598</v>
      </c>
      <c r="BC39" t="s">
        <v>1599</v>
      </c>
      <c r="BD39" t="s">
        <v>532</v>
      </c>
      <c r="BE39" t="s">
        <v>261</v>
      </c>
      <c r="BF39" t="s">
        <v>986</v>
      </c>
      <c r="BG39" t="s">
        <v>117</v>
      </c>
      <c r="BH39" t="s">
        <v>514</v>
      </c>
      <c r="BI39" t="s">
        <v>1600</v>
      </c>
      <c r="BJ39" t="s">
        <v>77</v>
      </c>
      <c r="BK39" t="s">
        <v>1601</v>
      </c>
      <c r="BL39" t="s">
        <v>1602</v>
      </c>
      <c r="BM39" t="s">
        <v>1599</v>
      </c>
      <c r="BN39">
        <v>8.0299999999999994</v>
      </c>
      <c r="BO39">
        <v>10.09</v>
      </c>
      <c r="BP39">
        <v>17.149999999999999</v>
      </c>
      <c r="BQ39">
        <v>9.83</v>
      </c>
      <c r="BR39">
        <v>12.35</v>
      </c>
      <c r="BS39">
        <v>19.559999999999999</v>
      </c>
      <c r="BT39" t="s">
        <v>1603</v>
      </c>
      <c r="BU39" t="s">
        <v>741</v>
      </c>
      <c r="BV39">
        <v>72.09</v>
      </c>
      <c r="BW39">
        <v>73.61</v>
      </c>
      <c r="BX39">
        <v>79.8</v>
      </c>
      <c r="BY39">
        <v>37.18</v>
      </c>
      <c r="BZ39">
        <v>40.86</v>
      </c>
      <c r="CA39">
        <v>51.73</v>
      </c>
      <c r="CB39">
        <v>-6.6</v>
      </c>
      <c r="CC39" s="10">
        <v>-25.23</v>
      </c>
      <c r="CD39" s="11" t="s">
        <v>1604</v>
      </c>
      <c r="CE39" s="10" t="s">
        <v>1605</v>
      </c>
      <c r="CF39" s="10">
        <v>3.080877010329595</v>
      </c>
      <c r="CG39" s="10">
        <v>6.8654739602595569</v>
      </c>
      <c r="CH39" s="10">
        <v>-0.67332667112350464</v>
      </c>
      <c r="CI39" s="10">
        <v>-9.2475123703479767E-2</v>
      </c>
      <c r="CJ39" s="11">
        <v>0.30842238664627075</v>
      </c>
      <c r="CK39" s="11">
        <v>0.65944880247116089</v>
      </c>
      <c r="CL39" s="11">
        <v>-0.30884352326393127</v>
      </c>
      <c r="CM39" s="11">
        <v>-1.1444816589355469</v>
      </c>
      <c r="CN39" s="11">
        <v>-0.28196147084236145</v>
      </c>
      <c r="CO39">
        <v>0.2745535671710968</v>
      </c>
      <c r="CP39">
        <v>0.84362137317657471</v>
      </c>
      <c r="CQ39">
        <v>-0.37532132863998413</v>
      </c>
      <c r="CR39" s="10">
        <v>19.170581525031068</v>
      </c>
      <c r="CS39" s="11">
        <v>8.9771659620804929</v>
      </c>
      <c r="CT39">
        <v>3.1341107871720113</v>
      </c>
      <c r="CU39">
        <v>-2.1354825794696809E-2</v>
      </c>
      <c r="CV39">
        <v>-0.13671790361404418</v>
      </c>
      <c r="CW39">
        <v>0.06</v>
      </c>
      <c r="CX39" t="e">
        <v>#VALUE!</v>
      </c>
      <c r="CY39" t="s">
        <v>301</v>
      </c>
      <c r="CZ39">
        <v>-2.1354825794696809E-2</v>
      </c>
      <c r="DA39" t="e">
        <v>#VALUE!</v>
      </c>
      <c r="DB39" t="s">
        <v>301</v>
      </c>
      <c r="DC39">
        <v>-2.0287084504961968E-2</v>
      </c>
      <c r="DD39" t="e">
        <v>#VALUE!</v>
      </c>
      <c r="DE39" t="s">
        <v>301</v>
      </c>
      <c r="DF39">
        <v>-1.8792246699333191E-2</v>
      </c>
      <c r="DG39" t="e">
        <v>#VALUE!</v>
      </c>
      <c r="DH39" t="s">
        <v>301</v>
      </c>
      <c r="DI39">
        <v>-1.7083860635757449E-2</v>
      </c>
      <c r="DJ39" t="e">
        <v>#VALUE!</v>
      </c>
      <c r="DK39" t="s">
        <v>301</v>
      </c>
      <c r="DL39">
        <v>-1.4948378056287766E-2</v>
      </c>
      <c r="DM39">
        <v>-59237500</v>
      </c>
      <c r="DN39">
        <v>-2.1354825794696809E-2</v>
      </c>
      <c r="DO39">
        <v>3325825200</v>
      </c>
      <c r="DP39">
        <v>1835776300</v>
      </c>
      <c r="DQ39" s="12">
        <v>4951</v>
      </c>
      <c r="DR39">
        <v>3.1022318361242918</v>
      </c>
      <c r="DS39">
        <v>7.0021918638736009</v>
      </c>
      <c r="DT39">
        <v>-0.50666666666666671</v>
      </c>
      <c r="DU39">
        <v>-0.6333333333333333</v>
      </c>
      <c r="DV39">
        <v>-1.1400000000000001</v>
      </c>
      <c r="DW39">
        <v>-9.2615933412604043</v>
      </c>
      <c r="DX39">
        <v>0.33526464849896087</v>
      </c>
      <c r="DY39">
        <v>-9.0536958652434851</v>
      </c>
      <c r="DZ39">
        <v>4503</v>
      </c>
      <c r="EA39">
        <v>-9.0063783542471221</v>
      </c>
      <c r="EB39" s="13">
        <v>9</v>
      </c>
      <c r="EC39" s="13">
        <v>2.7985188687975636E-2</v>
      </c>
      <c r="ED39">
        <v>0.13633710866738563</v>
      </c>
      <c r="EE39">
        <v>3.05301</v>
      </c>
      <c r="EF39">
        <v>3.0823100000000001</v>
      </c>
      <c r="EG39">
        <v>13.205264648498961</v>
      </c>
      <c r="EH39" s="9" t="s">
        <v>527</v>
      </c>
      <c r="EI39">
        <v>0</v>
      </c>
      <c r="EJ39">
        <v>0</v>
      </c>
      <c r="EK39">
        <v>45470</v>
      </c>
      <c r="EL39">
        <v>-3.02</v>
      </c>
      <c r="EM39">
        <v>-3.36</v>
      </c>
      <c r="EN39">
        <v>1.1599999999999999</v>
      </c>
      <c r="EO39">
        <v>4.33</v>
      </c>
      <c r="EP39">
        <v>-2.93</v>
      </c>
    </row>
  </sheetData>
  <autoFilter ref="BU1:BU37"/>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养殖业&quot;,&quot;&quot;'" altText="更新基本面按钮_x000a_">
                <anchor moveWithCells="1" sizeWithCells="1">
                  <from>
                    <xdr:col>147</xdr:col>
                    <xdr:colOff>406400</xdr:colOff>
                    <xdr:row>0</xdr:row>
                    <xdr:rowOff>12700</xdr:rowOff>
                  </from>
                  <to>
                    <xdr:col>147</xdr:col>
                    <xdr:colOff>1562100</xdr:colOff>
                    <xdr:row>0</xdr:row>
                    <xdr:rowOff>330200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养殖业</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2024-07-10T22:38:59Z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