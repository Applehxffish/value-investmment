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农林牧渔\"/>
    </mc:Choice>
  </mc:AlternateContent>
  <bookViews>
    <workbookView xWindow="0" yWindow="0" windowWidth="3800" windowHeight="2950"/>
  </bookViews>
  <sheets>
    <sheet name="农产品加工"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 i="15"/>
  <c r="C42" i="15"/>
  <c r="C32" i="15"/>
  <c r="C16" i="15"/>
  <c r="C35" i="15"/>
  <c r="C19" i="15"/>
  <c r="C14" i="15"/>
  <c r="C26" i="15"/>
  <c r="C9" i="15"/>
  <c r="C33" i="15"/>
  <c r="C28" i="15"/>
  <c r="C11" i="15"/>
  <c r="C31" i="15"/>
  <c r="C15" i="15"/>
  <c r="C38" i="15"/>
  <c r="C22" i="15"/>
  <c r="C5" i="15"/>
  <c r="C29" i="15"/>
  <c r="C12" i="15"/>
  <c r="C40" i="15"/>
  <c r="C24" i="15"/>
  <c r="C7" i="15"/>
  <c r="C27" i="15"/>
  <c r="C10" i="15"/>
  <c r="C34" i="15"/>
  <c r="C18" i="15"/>
  <c r="C41" i="15"/>
  <c r="C25" i="15"/>
  <c r="C8" i="15"/>
  <c r="C36" i="15"/>
  <c r="C20" i="15"/>
  <c r="C39" i="15"/>
  <c r="C23" i="15"/>
  <c r="C6" i="15"/>
  <c r="C30" i="15"/>
  <c r="C13" i="15"/>
  <c r="C37" i="15"/>
  <c r="C21" i="15"/>
  <c r="C17" i="15"/>
  <c r="C3" i="15"/>
  <c r="C2" i="15"/>
</calcChain>
</file>

<file path=xl/sharedStrings.xml><?xml version="1.0" encoding="utf-8"?>
<sst xmlns="http://schemas.openxmlformats.org/spreadsheetml/2006/main" count="2482" uniqueCount="1761">
  <si>
    <t>&lt;-增速</t>
    <phoneticPr fontId="1" type="noConversion"/>
  </si>
  <si>
    <t>&lt;-估值</t>
    <phoneticPr fontId="1" type="noConversion"/>
  </si>
  <si>
    <t>&lt;-折合年化收益</t>
    <phoneticPr fontId="1" type="noConversion"/>
  </si>
  <si>
    <t>现价</t>
  </si>
  <si>
    <t>市净率</t>
  </si>
  <si>
    <t>百洋股份</t>
  </si>
  <si>
    <t>唐人神</t>
  </si>
  <si>
    <t>中宠股份</t>
  </si>
  <si>
    <t>朗源股份</t>
  </si>
  <si>
    <t>保龄宝</t>
  </si>
  <si>
    <t>大北农</t>
  </si>
  <si>
    <t>佩蒂股份</t>
  </si>
  <si>
    <t>宏辉果蔬</t>
  </si>
  <si>
    <t>京粮控股</t>
  </si>
  <si>
    <t>天马科技</t>
  </si>
  <si>
    <t>冠农股份</t>
  </si>
  <si>
    <t>海大集团</t>
  </si>
  <si>
    <t>新 希 望</t>
  </si>
  <si>
    <t>天康生物</t>
  </si>
  <si>
    <t>正虹科技</t>
  </si>
  <si>
    <t>晨光生物</t>
  </si>
  <si>
    <t>道道全</t>
  </si>
  <si>
    <t>中粮糖业</t>
  </si>
  <si>
    <t>金新农</t>
  </si>
  <si>
    <t>金健米业</t>
  </si>
  <si>
    <t>代码</t>
  </si>
  <si>
    <t>总市值</t>
  </si>
  <si>
    <t>TTM市盈率</t>
  </si>
  <si>
    <t>所属行业</t>
  </si>
  <si>
    <t>农产品加工</t>
  </si>
  <si>
    <t>SZ000702</t>
  </si>
  <si>
    <t>SZ000876</t>
  </si>
  <si>
    <t>SZ002100</t>
  </si>
  <si>
    <t>SZ002311</t>
  </si>
  <si>
    <t>SZ002385</t>
  </si>
  <si>
    <t>SZ002548</t>
  </si>
  <si>
    <t>SZ002567</t>
  </si>
  <si>
    <t>SZ002696</t>
  </si>
  <si>
    <t>SZ002891</t>
  </si>
  <si>
    <t>SZ300673</t>
  </si>
  <si>
    <t>SH603363</t>
  </si>
  <si>
    <t>SH603609</t>
  </si>
  <si>
    <t>SH603668</t>
  </si>
  <si>
    <t>SZ300175</t>
  </si>
  <si>
    <t>SH600251</t>
  </si>
  <si>
    <t>SH603336</t>
  </si>
  <si>
    <t>SZ000505</t>
  </si>
  <si>
    <t>SZ002852</t>
  </si>
  <si>
    <t>SH600127</t>
  </si>
  <si>
    <t>SZ000911</t>
  </si>
  <si>
    <t>SZ000930</t>
  </si>
  <si>
    <t>中粮科技</t>
  </si>
  <si>
    <t>SZ002286</t>
  </si>
  <si>
    <t>--</t>
  </si>
  <si>
    <t>SZ300138</t>
  </si>
  <si>
    <t>SH600191</t>
  </si>
  <si>
    <t>SH600737</t>
  </si>
  <si>
    <t>负债合计</t>
  </si>
  <si>
    <t>所有者权益合计</t>
  </si>
  <si>
    <t>主营业务收入</t>
  </si>
  <si>
    <t>净利润增长率</t>
  </si>
  <si>
    <t>总股本</t>
  </si>
  <si>
    <t>财务费用</t>
  </si>
  <si>
    <t>投资收益</t>
  </si>
  <si>
    <t>应收账款</t>
  </si>
  <si>
    <t>1.01亿</t>
  </si>
  <si>
    <t>74.40亿</t>
  </si>
  <si>
    <t>1.33亿</t>
  </si>
  <si>
    <t>11.23亿</t>
  </si>
  <si>
    <t>936.66万</t>
  </si>
  <si>
    <t>2.04亿</t>
  </si>
  <si>
    <t>820.51亿</t>
  </si>
  <si>
    <t>50.42亿</t>
  </si>
  <si>
    <t>36.63亿</t>
  </si>
  <si>
    <t>3189.12万</t>
  </si>
  <si>
    <t>0亿</t>
  </si>
  <si>
    <t>194.72亿</t>
  </si>
  <si>
    <t>5.93亿</t>
  </si>
  <si>
    <t>1.27亿</t>
  </si>
  <si>
    <t>-2.87亿</t>
  </si>
  <si>
    <t>2.13亿</t>
  </si>
  <si>
    <t>74.76亿</t>
  </si>
  <si>
    <t>6.44亿</t>
  </si>
  <si>
    <t>18.05亿</t>
  </si>
  <si>
    <t>3523.37万</t>
  </si>
  <si>
    <t>1.63亿</t>
  </si>
  <si>
    <t>476.13亿</t>
  </si>
  <si>
    <t>16.49亿</t>
  </si>
  <si>
    <t>165.78亿</t>
  </si>
  <si>
    <t>5.13亿</t>
  </si>
  <si>
    <t>24.00亿</t>
  </si>
  <si>
    <t>1.41亿</t>
  </si>
  <si>
    <t>1.35亿</t>
  </si>
  <si>
    <t>2.02亿</t>
  </si>
  <si>
    <t>28.44亿</t>
  </si>
  <si>
    <t>-2.86亿</t>
  </si>
  <si>
    <t>41.17亿</t>
  </si>
  <si>
    <t>1.29亿</t>
  </si>
  <si>
    <t>1.94亿</t>
  </si>
  <si>
    <t>17.16亿</t>
  </si>
  <si>
    <t>7900.78万</t>
  </si>
  <si>
    <t>32.65亿</t>
  </si>
  <si>
    <t>2.47亿</t>
  </si>
  <si>
    <t>10.08亿</t>
  </si>
  <si>
    <t>5000.71万</t>
  </si>
  <si>
    <t>1.15亿</t>
  </si>
  <si>
    <t>41.08亿</t>
  </si>
  <si>
    <t>1.11亿</t>
  </si>
  <si>
    <t>32.57亿</t>
  </si>
  <si>
    <t>1.70亿</t>
  </si>
  <si>
    <t>184.25亿</t>
  </si>
  <si>
    <t>5.80亿</t>
  </si>
  <si>
    <t>1.32亿</t>
  </si>
  <si>
    <t>8.52亿</t>
  </si>
  <si>
    <t>7897.69万</t>
  </si>
  <si>
    <t>4.05亿</t>
  </si>
  <si>
    <t>57.88亿</t>
  </si>
  <si>
    <t>2915.57万</t>
  </si>
  <si>
    <t>9.64亿</t>
  </si>
  <si>
    <t>177.92亿</t>
  </si>
  <si>
    <t>11.99亿</t>
  </si>
  <si>
    <t>24.28亿</t>
  </si>
  <si>
    <t>5685.43万</t>
  </si>
  <si>
    <t>预期多</t>
    <phoneticPr fontId="1" type="noConversion"/>
  </si>
  <si>
    <t>预期空</t>
    <phoneticPr fontId="1" type="noConversion"/>
  </si>
  <si>
    <t>已知和基本信息</t>
    <phoneticPr fontId="1" type="noConversion"/>
  </si>
  <si>
    <t>流动资产</t>
  </si>
  <si>
    <t>营业收入[20191231]</t>
  </si>
  <si>
    <t>营业收入[20181231]</t>
  </si>
  <si>
    <t>营业收入[20171231]</t>
  </si>
  <si>
    <t>净利润[20191231]</t>
  </si>
  <si>
    <t>净利润[20181231]</t>
  </si>
  <si>
    <t>净利润[20171231]</t>
  </si>
  <si>
    <t>87.42亿</t>
  </si>
  <si>
    <t>1.85亿</t>
  </si>
  <si>
    <t>74.09亿</t>
  </si>
  <si>
    <t>1.68亿</t>
  </si>
  <si>
    <t>1.30亿</t>
  </si>
  <si>
    <t>10.68亿</t>
  </si>
  <si>
    <t>3353.92万</t>
  </si>
  <si>
    <t>13.42亿</t>
  </si>
  <si>
    <t>5576.38万</t>
  </si>
  <si>
    <t>1098.25亿</t>
  </si>
  <si>
    <t>49.44亿</t>
  </si>
  <si>
    <t>690.63亿</t>
  </si>
  <si>
    <t>17.05亿</t>
  </si>
  <si>
    <t>35.47亿</t>
  </si>
  <si>
    <t>4384.97万</t>
  </si>
  <si>
    <t>35.98亿</t>
  </si>
  <si>
    <t>-13.63亿</t>
  </si>
  <si>
    <t>199.09亿</t>
  </si>
  <si>
    <t>177.04亿</t>
  </si>
  <si>
    <t>4.83亿</t>
  </si>
  <si>
    <t>40.69亿</t>
  </si>
  <si>
    <t>119.87亿</t>
  </si>
  <si>
    <t>17.20亿</t>
  </si>
  <si>
    <t>52.73亿</t>
  </si>
  <si>
    <t>3.14亿</t>
  </si>
  <si>
    <t>20.55亿</t>
  </si>
  <si>
    <t>4986.19万</t>
  </si>
  <si>
    <t>17.30亿</t>
  </si>
  <si>
    <t>4295.30万</t>
  </si>
  <si>
    <t>603.24亿</t>
  </si>
  <si>
    <t>25.23亿</t>
  </si>
  <si>
    <t>421.57亿</t>
  </si>
  <si>
    <t>14.37亿</t>
  </si>
  <si>
    <t>228.14亿</t>
  </si>
  <si>
    <t>19.56亿</t>
  </si>
  <si>
    <t>193.02亿</t>
  </si>
  <si>
    <t>5.07亿</t>
  </si>
  <si>
    <t>28.01亿</t>
  </si>
  <si>
    <t>185.27亿</t>
  </si>
  <si>
    <t>9.50亿</t>
  </si>
  <si>
    <t>153.43亿</t>
  </si>
  <si>
    <t>154.06亿</t>
  </si>
  <si>
    <t>1.37亿</t>
  </si>
  <si>
    <t>36.00亿</t>
  </si>
  <si>
    <t>24.83亿</t>
  </si>
  <si>
    <t>2226.51万</t>
  </si>
  <si>
    <t>32.74亿</t>
  </si>
  <si>
    <t>8354.31万</t>
  </si>
  <si>
    <t>52.87亿</t>
  </si>
  <si>
    <t>-7649.91万</t>
  </si>
  <si>
    <t>2.20亿</t>
  </si>
  <si>
    <t>22.33亿</t>
  </si>
  <si>
    <t>14.12亿</t>
  </si>
  <si>
    <t>10.15亿</t>
  </si>
  <si>
    <t>5644.47万</t>
  </si>
  <si>
    <t>39.13亿</t>
  </si>
  <si>
    <t>2.68亿</t>
  </si>
  <si>
    <t>3.64亿</t>
  </si>
  <si>
    <t>30.63亿</t>
  </si>
  <si>
    <t>1.45亿</t>
  </si>
  <si>
    <t>3.08亿</t>
  </si>
  <si>
    <t>3.49亿</t>
  </si>
  <si>
    <t>5.89亿</t>
  </si>
  <si>
    <t>5848.07万</t>
  </si>
  <si>
    <t>13.40亿</t>
  </si>
  <si>
    <t>8.69亿</t>
  </si>
  <si>
    <t>1.40亿</t>
  </si>
  <si>
    <t>SZ300999</t>
  </si>
  <si>
    <t>金龙鱼</t>
  </si>
  <si>
    <t>1949.22亿</t>
  </si>
  <si>
    <t>60.01亿</t>
  </si>
  <si>
    <t>1707.43亿</t>
  </si>
  <si>
    <t>1670.74亿</t>
  </si>
  <si>
    <t>54.08亿</t>
  </si>
  <si>
    <t>51.28亿</t>
  </si>
  <si>
    <t>57.16亿</t>
  </si>
  <si>
    <t>30.11亿</t>
  </si>
  <si>
    <t>3863.94万</t>
  </si>
  <si>
    <t>6540.39万</t>
  </si>
  <si>
    <t>21.75亿</t>
  </si>
  <si>
    <t>211.29亿</t>
  </si>
  <si>
    <t>5.29亿</t>
  </si>
  <si>
    <t>175.15亿</t>
  </si>
  <si>
    <t>5.04亿</t>
  </si>
  <si>
    <t>7315.78万</t>
  </si>
  <si>
    <t>7.63亿</t>
  </si>
  <si>
    <t>6416.99万</t>
  </si>
  <si>
    <t>115.17亿</t>
  </si>
  <si>
    <t>5.73亿</t>
  </si>
  <si>
    <t>57.62亿</t>
  </si>
  <si>
    <t>3012.57万</t>
  </si>
  <si>
    <t>1.08亿</t>
  </si>
  <si>
    <t>禾丰股份</t>
  </si>
  <si>
    <t>238.18亿</t>
  </si>
  <si>
    <t>12.35亿</t>
  </si>
  <si>
    <t>2.40亿</t>
  </si>
  <si>
    <t>157.51亿</t>
  </si>
  <si>
    <t>5.52亿</t>
  </si>
  <si>
    <t>36.40亿</t>
  </si>
  <si>
    <t>6894.35万</t>
  </si>
  <si>
    <t>17.14亿</t>
  </si>
  <si>
    <t>7684.23万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</si>
  <si>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</si>
  <si>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</si>
  <si>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</si>
  <si>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</si>
  <si>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</si>
  <si>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</si>
  <si>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</si>
  <si>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</si>
  <si>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</si>
  <si>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</si>
  <si>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</si>
  <si>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</si>
  <si>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</si>
  <si>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</si>
  <si>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</si>
  <si>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SZ000019</t>
  </si>
  <si>
    <t>深粮控股</t>
  </si>
  <si>
    <t>118.85亿</t>
  </si>
  <si>
    <t>110.60亿</t>
  </si>
  <si>
    <t>107.59亿</t>
  </si>
  <si>
    <t>20.20亿</t>
  </si>
  <si>
    <t>SZ002481</t>
  </si>
  <si>
    <t>双塔食品</t>
  </si>
  <si>
    <t>3.53亿</t>
  </si>
  <si>
    <t>21.22亿</t>
  </si>
  <si>
    <t>23.79亿</t>
  </si>
  <si>
    <t>1.87亿</t>
  </si>
  <si>
    <t>9188.58万</t>
  </si>
  <si>
    <t>SZ003030</t>
  </si>
  <si>
    <t>祖名股份</t>
  </si>
  <si>
    <t>12.25亿</t>
  </si>
  <si>
    <t>10.48亿</t>
  </si>
  <si>
    <t>9.39亿</t>
  </si>
  <si>
    <t>9016.51万</t>
  </si>
  <si>
    <t>6394.18万</t>
  </si>
  <si>
    <t>SZ300268</t>
  </si>
  <si>
    <t>45.25亿</t>
  </si>
  <si>
    <t>-7.13亿</t>
  </si>
  <si>
    <t>45.97亿</t>
  </si>
  <si>
    <t>34.28亿</t>
  </si>
  <si>
    <t>19.27亿</t>
  </si>
  <si>
    <t>-1.26亿</t>
  </si>
  <si>
    <t>2453.23万</t>
  </si>
  <si>
    <t>4.29亿</t>
  </si>
  <si>
    <t>SH600811</t>
  </si>
  <si>
    <t>东方集团</t>
  </si>
  <si>
    <t>131.60亿</t>
  </si>
  <si>
    <t>144.80亿</t>
  </si>
  <si>
    <t>5.84亿</t>
  </si>
  <si>
    <t>6.56亿</t>
  </si>
  <si>
    <t>流通股本</t>
  </si>
  <si>
    <t>净利润[20201231]</t>
  </si>
  <si>
    <t>投入资本回报率roic%[20201231]</t>
  </si>
  <si>
    <t>净资产收益率%[20201231]</t>
  </si>
  <si>
    <t>101.40亿</t>
  </si>
  <si>
    <t>117.63亿</t>
  </si>
  <si>
    <t>14.32亿</t>
  </si>
  <si>
    <t>-2.24亿</t>
  </si>
  <si>
    <t>1262.62亿</t>
  </si>
  <si>
    <t>-95.91亿</t>
  </si>
  <si>
    <t>1.16亿</t>
  </si>
  <si>
    <t>32.33亿</t>
  </si>
  <si>
    <t>-5365.01万</t>
  </si>
  <si>
    <t>11.33亿</t>
  </si>
  <si>
    <t>1.19亿</t>
  </si>
  <si>
    <t>SZ000972</t>
  </si>
  <si>
    <t>1.74亿</t>
  </si>
  <si>
    <t>2296.61万</t>
  </si>
  <si>
    <t>6.27亿</t>
  </si>
  <si>
    <t>-2.66亿</t>
  </si>
  <si>
    <t>497.58万</t>
  </si>
  <si>
    <t>-4.24亿</t>
  </si>
  <si>
    <t>SZ001313</t>
  </si>
  <si>
    <t>粤海饲料</t>
  </si>
  <si>
    <t>67.25亿</t>
  </si>
  <si>
    <t>1.88亿</t>
  </si>
  <si>
    <t>2.14亿</t>
  </si>
  <si>
    <t>58.44亿</t>
  </si>
  <si>
    <t>50.67亿</t>
  </si>
  <si>
    <t>52.52亿</t>
  </si>
  <si>
    <t>1.93亿</t>
  </si>
  <si>
    <t>27.65亿</t>
  </si>
  <si>
    <t>313.28亿</t>
  </si>
  <si>
    <t>-4.40亿</t>
  </si>
  <si>
    <t>21.65亿</t>
  </si>
  <si>
    <t>48.67亿</t>
  </si>
  <si>
    <t>217.42亿</t>
  </si>
  <si>
    <t>-11.47亿</t>
  </si>
  <si>
    <t>29.05亿</t>
  </si>
  <si>
    <t>2683.16万</t>
  </si>
  <si>
    <t>54.49亿</t>
  </si>
  <si>
    <t>-1.92亿</t>
  </si>
  <si>
    <t>28.82亿</t>
  </si>
  <si>
    <t>13.37亿</t>
  </si>
  <si>
    <t>5572.00万</t>
  </si>
  <si>
    <t>48.74亿</t>
  </si>
  <si>
    <t>3.52亿</t>
  </si>
  <si>
    <t>-2.89亿</t>
  </si>
  <si>
    <t>12.71亿</t>
  </si>
  <si>
    <t>6001.82万</t>
  </si>
  <si>
    <t>2262.25亿</t>
  </si>
  <si>
    <t>41.32亿</t>
  </si>
  <si>
    <t>251.60亿</t>
  </si>
  <si>
    <t>5.20亿</t>
  </si>
  <si>
    <t>-17.19亿</t>
  </si>
  <si>
    <t>9.74亿</t>
  </si>
  <si>
    <t>4698.54万</t>
  </si>
  <si>
    <t>180.38亿</t>
  </si>
  <si>
    <t>-15.20亿</t>
  </si>
  <si>
    <t>294.69亿</t>
  </si>
  <si>
    <t>54.19亿</t>
  </si>
  <si>
    <t xml:space="preserve">    名称</t>
  </si>
  <si>
    <t>净利润?</t>
  </si>
  <si>
    <t>投入资本回报率roic%[20211231]</t>
  </si>
  <si>
    <t>净资产收益率%[20211231]</t>
  </si>
  <si>
    <t>单季营收增速</t>
  </si>
  <si>
    <t>单季利润增速</t>
  </si>
  <si>
    <t/>
  </si>
  <si>
    <t>亏损</t>
  </si>
  <si>
    <t>扭亏</t>
  </si>
  <si>
    <t>-1.07亿</t>
  </si>
  <si>
    <t>1.46亿</t>
  </si>
  <si>
    <t>1.20亿</t>
  </si>
  <si>
    <t>8.70亿</t>
  </si>
  <si>
    <t>1.21亿</t>
  </si>
  <si>
    <r>
      <t>1.问：赤藓糖醇的竞争格局答：目前赤藓糖醇行业主要由少数头部供应商在博弈市场。由于下游主要应用于食品饮料消费领域，大客户对于产品质量可靠性及企业可持续发展及提供长期服务十分看重，行业新进入者从生产出合格产品到获得市场认可到形成规模化销售需要较长的时间。另外，大型客户通常订单需求具有单次数量大、紧急订单多发等特征，因此大型客户通常要与行业产能前列供应商建立稳定合作关系。未来主要看这个市场的增量，</t>
    </r>
    <r>
      <rPr>
        <sz val="9"/>
        <color rgb="FFFF0000"/>
        <rFont val="宋体"/>
        <family val="3"/>
        <charset val="134"/>
        <scheme val="minor"/>
      </rPr>
      <t>如果都在抢存量市场，价格是会逐渐走低的</t>
    </r>
    <r>
      <rPr>
        <sz val="9"/>
        <color theme="1"/>
        <rFont val="宋体"/>
        <family val="2"/>
        <charset val="134"/>
        <scheme val="minor"/>
      </rPr>
      <t>。公司也是积极的拓展新的增量市场，带头拓展市场应用，</t>
    </r>
    <r>
      <rPr>
        <b/>
        <sz val="9"/>
        <color theme="1"/>
        <rFont val="宋体"/>
        <family val="3"/>
        <charset val="134"/>
        <scheme val="minor"/>
      </rPr>
      <t>公司认为价格未来还是有走高的可能。在小规模厂家退出之后，将会成为大厂家竞争的格局</t>
    </r>
    <r>
      <rPr>
        <sz val="9"/>
        <color theme="1"/>
        <rFont val="宋体"/>
        <family val="2"/>
        <charset val="134"/>
        <scheme val="minor"/>
      </rPr>
      <t>。</t>
    </r>
    <phoneticPr fontId="1" type="noConversion"/>
  </si>
  <si>
    <r>
      <t>1.公司阿洛酮糖产能情况，一是公司在2021年下半年以现有结晶果糖产线技改实现7000吨/年干基阿洛酮糖，二是新增的3万吨产线分两年建设投产，整个投资风险可控。从阿洛酮糖产品带来的现金流和利润空间来看，</t>
    </r>
    <r>
      <rPr>
        <sz val="9"/>
        <color rgb="FFFF0000"/>
        <rFont val="宋体"/>
        <family val="3"/>
        <charset val="134"/>
        <scheme val="minor"/>
      </rPr>
      <t>未来阿洛酮糖将成为保龄宝核心的利润产品之一</t>
    </r>
    <r>
      <rPr>
        <sz val="9"/>
        <color theme="1"/>
        <rFont val="宋体"/>
        <family val="2"/>
        <charset val="134"/>
        <scheme val="minor"/>
      </rPr>
      <t>;</t>
    </r>
    <phoneticPr fontId="1" type="noConversion"/>
  </si>
  <si>
    <t>细分行业</t>
  </si>
  <si>
    <t>粮油加工</t>
  </si>
  <si>
    <t>24.32亿</t>
  </si>
  <si>
    <t>其他农产品加工</t>
  </si>
  <si>
    <t>1.06亿</t>
  </si>
  <si>
    <t>8.28亿</t>
  </si>
  <si>
    <t>1.14亿</t>
  </si>
  <si>
    <t>果蔬加工</t>
  </si>
  <si>
    <t>2.41亿</t>
  </si>
  <si>
    <t>1.61亿</t>
  </si>
  <si>
    <t>华资实业</t>
  </si>
  <si>
    <t>SH603182</t>
  </si>
  <si>
    <t>嘉华股份</t>
  </si>
  <si>
    <t>12.34亿</t>
  </si>
  <si>
    <t>7914.89万</t>
  </si>
  <si>
    <t>2.67亿</t>
  </si>
  <si>
    <t>9.69亿</t>
  </si>
  <si>
    <t>7408.85万</t>
  </si>
  <si>
    <t>7394.82万</t>
  </si>
  <si>
    <t>7313.87万</t>
  </si>
  <si>
    <t>10.59亿</t>
  </si>
  <si>
    <t>1.12亿</t>
  </si>
  <si>
    <t>SH603151</t>
  </si>
  <si>
    <t>邦基科技</t>
  </si>
  <si>
    <t>20.35亿</t>
  </si>
  <si>
    <t>17.24亿</t>
  </si>
  <si>
    <t>10.05亿</t>
  </si>
  <si>
    <t>11.60亿</t>
  </si>
  <si>
    <t>5342.91万</t>
  </si>
  <si>
    <t>4357.51万</t>
  </si>
  <si>
    <t>-1.65亿</t>
  </si>
  <si>
    <t>1.49亿</t>
  </si>
  <si>
    <t>SZ001338</t>
  </si>
  <si>
    <t>永顺泰</t>
  </si>
  <si>
    <t>30.25亿</t>
  </si>
  <si>
    <t>28.26亿</t>
  </si>
  <si>
    <t>29.38亿</t>
  </si>
  <si>
    <t>1.44亿</t>
  </si>
  <si>
    <t>2.16亿</t>
  </si>
  <si>
    <t>1.24亿</t>
  </si>
  <si>
    <t>10.26亿</t>
  </si>
  <si>
    <t>24.13亿</t>
  </si>
  <si>
    <t>4.75亿</t>
  </si>
  <si>
    <r>
      <t>1.问：公司未来产能的投放规划如何？答：公司近年来在国内外市场的销售收入规模持续增长，公司也相应提升了自身的产品研发与生产能力。2022年4月，公司</t>
    </r>
    <r>
      <rPr>
        <sz val="9"/>
        <color rgb="FFFF0000"/>
        <rFont val="宋体"/>
        <family val="3"/>
        <charset val="134"/>
        <scheme val="minor"/>
      </rPr>
      <t>2020年非公开发行的募投项目</t>
    </r>
    <r>
      <rPr>
        <sz val="9"/>
        <color theme="1"/>
        <rFont val="宋体"/>
        <family val="2"/>
        <charset val="134"/>
        <scheme val="minor"/>
      </rPr>
      <t>“年产6万吨宠物干粮项目”开始投产，阶段性缓解了公司干粮产品的产能缺口，“年产2万吨宠物湿粮新西兰项目”目前在持续建设中，未来将为公司在高端宠物湿粮市场的开拓提供坚实的产能支持。
　　2022年9月，公司</t>
    </r>
    <r>
      <rPr>
        <sz val="9"/>
        <color rgb="FFFF0000"/>
        <rFont val="宋体"/>
        <family val="3"/>
        <charset val="134"/>
        <scheme val="minor"/>
      </rPr>
      <t>2022年公开发行7.69亿元可转换公司债券</t>
    </r>
    <r>
      <rPr>
        <sz val="9"/>
        <color theme="1"/>
        <rFont val="宋体"/>
        <family val="2"/>
        <charset val="134"/>
        <scheme val="minor"/>
      </rPr>
      <t>的申请获得了中国证监会的核准批文。公司本次可转债将募集资金计划建设“年产6万吨高品质宠物干粮项目”“年产4万吨新型宠物湿粮项目”及“年产2000吨冻干宠物食品项目”，其项目建设将按计划推进，将为未来公司进一步拓展国内外市场份额打下良好的基础。其中“年产2000吨冻干宠物食品项目”已于2022年4月开始动工建设，预计年内将建成并投产。</t>
    </r>
    <phoneticPr fontId="1" type="noConversion"/>
  </si>
  <si>
    <r>
      <t>1.目前越南</t>
    </r>
    <r>
      <rPr>
        <b/>
        <sz val="9"/>
        <color rgb="FFFF0000"/>
        <rFont val="宋体"/>
        <family val="3"/>
        <charset val="134"/>
        <scheme val="minor"/>
      </rPr>
      <t>产能处于满产状态</t>
    </r>
    <r>
      <rPr>
        <sz val="9"/>
        <color theme="1"/>
        <rFont val="宋体"/>
        <family val="2"/>
        <charset val="134"/>
        <scheme val="minor"/>
      </rPr>
      <t>，预计柬埔寨工厂今年释放约30%的产能；2.问：宠物行业的准入门槛高吗？答：在宠物食品行业，特别是规模制造，需要丰富的技术积累。</t>
    </r>
    <phoneticPr fontId="1" type="noConversion"/>
  </si>
  <si>
    <t>不分配不转增</t>
  </si>
  <si>
    <t>10派1.5元(含税)</t>
  </si>
  <si>
    <t>10派0.5元(含税)</t>
  </si>
  <si>
    <t>SZ001366</t>
  </si>
  <si>
    <t>播恩集团</t>
  </si>
  <si>
    <t>17.71亿</t>
  </si>
  <si>
    <r>
      <t>1.公司多数产品主要应用于消费领域,需求较为刚性,因此受疫情影响的程度较小。只有个别产品,如花椒提取物,因餐饮客户占比较高,且主要消费市场在国内,需求确实受到了疫情影响。2.问：国内国外工业大麻行业态势如何?公司布局落地情况如何?答：公司致力于成为全球工业大麻领域重要的生产加工企业之一,正在积极布局工业大麻业务。3.公司已有</t>
    </r>
    <r>
      <rPr>
        <sz val="9"/>
        <color rgb="FFFF0000"/>
        <rFont val="宋体"/>
        <family val="3"/>
        <charset val="134"/>
        <scheme val="minor"/>
      </rPr>
      <t>辣椒红、辣椒精、叶黄素三大主力产品位居世界第一</t>
    </r>
    <r>
      <rPr>
        <sz val="9"/>
        <color theme="1"/>
        <rFont val="宋体"/>
        <family val="2"/>
        <charset val="134"/>
        <scheme val="minor"/>
      </rPr>
      <t>或前列，甜菊糖苷、花椒提取物、姜黄素、葡萄籽提取物、番茄红素、迷迭香提取物等梯队产品处于快速发展的上升阶段。4.公司制定了“三步走”战略：第一步是辣椒红产销量做到世界第一，公司实现上市。这一步已实现，并仍在持续扩大产品优势。第二步是</t>
    </r>
    <r>
      <rPr>
        <sz val="9"/>
        <color rgb="FFFF0000"/>
        <rFont val="宋体"/>
        <family val="3"/>
        <charset val="134"/>
        <scheme val="minor"/>
      </rPr>
      <t>做成十个左右世界第一或前列的产品</t>
    </r>
    <r>
      <rPr>
        <sz val="9"/>
        <color theme="1"/>
        <rFont val="宋体"/>
        <family val="2"/>
        <charset val="134"/>
        <scheme val="minor"/>
      </rPr>
      <t>，建设世界天然植物提取物产业基地。第二步正在逐步实现中，是公司现阶段的首要目标。第三步是</t>
    </r>
    <r>
      <rPr>
        <sz val="9"/>
        <color rgb="FFFF0000"/>
        <rFont val="宋体"/>
        <family val="3"/>
        <charset val="134"/>
        <scheme val="minor"/>
      </rPr>
      <t>做大做强保健品、中药提取等大健康产业</t>
    </r>
    <r>
      <rPr>
        <sz val="9"/>
        <color theme="1"/>
        <rFont val="宋体"/>
        <family val="2"/>
        <charset val="134"/>
        <scheme val="minor"/>
      </rPr>
      <t>，为人类健康做贡献。这是公司的中长期目标，
正在积极布局中。</t>
    </r>
    <phoneticPr fontId="1" type="noConversion"/>
  </si>
  <si>
    <t>83.13亿</t>
  </si>
  <si>
    <t>4.21亿</t>
  </si>
  <si>
    <t>128.58亿</t>
  </si>
  <si>
    <t>2-0</t>
  </si>
  <si>
    <t>11.61亿</t>
  </si>
  <si>
    <t>-1.16亿</t>
  </si>
  <si>
    <t>1415.08亿</t>
  </si>
  <si>
    <t>28.38亿</t>
  </si>
  <si>
    <t>-4.58亿</t>
  </si>
  <si>
    <t>199.18亿</t>
  </si>
  <si>
    <t>235.60亿</t>
  </si>
  <si>
    <t>11.30亿</t>
  </si>
  <si>
    <t>中基健康</t>
  </si>
  <si>
    <t>2608.51万</t>
  </si>
  <si>
    <t>70.92亿</t>
  </si>
  <si>
    <t>41.92亿</t>
  </si>
  <si>
    <t>1.56亿</t>
  </si>
  <si>
    <t>17.09亿</t>
  </si>
  <si>
    <t>7719.09万</t>
  </si>
  <si>
    <t>4.34亿</t>
  </si>
  <si>
    <t>15.10亿</t>
  </si>
  <si>
    <t>12.41亿</t>
  </si>
  <si>
    <t>8995.33万</t>
  </si>
  <si>
    <t>9199.72万</t>
  </si>
  <si>
    <t>5907.52万</t>
  </si>
  <si>
    <t>2821.66万</t>
  </si>
  <si>
    <t>1.05亿</t>
  </si>
  <si>
    <t>157.11亿</t>
  </si>
  <si>
    <t>-7.03亿</t>
  </si>
  <si>
    <t>27.13亿</t>
  </si>
  <si>
    <t>10派0.8元(含税)</t>
  </si>
  <si>
    <t>1047.15亿</t>
  </si>
  <si>
    <t>860.92亿</t>
  </si>
  <si>
    <t>16.36亿</t>
  </si>
  <si>
    <t>323.97亿</t>
  </si>
  <si>
    <t>23.81亿</t>
  </si>
  <si>
    <t>-3.11亿</t>
  </si>
  <si>
    <t>39.74亿</t>
  </si>
  <si>
    <t>-9.92亿</t>
  </si>
  <si>
    <t>265.39亿</t>
  </si>
  <si>
    <t>32.14亿</t>
  </si>
  <si>
    <t>6233.88万</t>
  </si>
  <si>
    <t>70.28亿</t>
  </si>
  <si>
    <t>-4.18亿</t>
  </si>
  <si>
    <t>32.48亿</t>
  </si>
  <si>
    <t>2.33亿</t>
  </si>
  <si>
    <t>14.87亿</t>
  </si>
  <si>
    <t>3837.98万</t>
  </si>
  <si>
    <t>2.93亿</t>
  </si>
  <si>
    <t>62.96亿</t>
  </si>
  <si>
    <t>15.86亿</t>
  </si>
  <si>
    <t>-5218.76万</t>
  </si>
  <si>
    <t>55.28亿</t>
  </si>
  <si>
    <t>-11.10亿</t>
  </si>
  <si>
    <t>17.32亿</t>
  </si>
  <si>
    <t>2574.85亿</t>
  </si>
  <si>
    <t>64.12亿</t>
  </si>
  <si>
    <t>3.68亿</t>
  </si>
  <si>
    <t>27.96亿</t>
  </si>
  <si>
    <t>-9.96亿</t>
  </si>
  <si>
    <t>16.58亿</t>
  </si>
  <si>
    <t>10派5元(含税)</t>
  </si>
  <si>
    <t>16.13亿</t>
  </si>
  <si>
    <t>4740.79万</t>
  </si>
  <si>
    <t>216.13亿</t>
  </si>
  <si>
    <t>328.12亿</t>
  </si>
  <si>
    <t>-1-1</t>
  </si>
  <si>
    <t>70.08亿</t>
  </si>
  <si>
    <t>8391.34万</t>
  </si>
  <si>
    <t>涨幅%</t>
  </si>
  <si>
    <t>成交量[20230519]</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</si>
  <si>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</si>
  <si>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</si>
  <si>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</si>
  <si>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</si>
  <si>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</si>
  <si>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</si>
  <si>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</si>
  <si>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</si>
  <si>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</si>
  <si>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</si>
  <si>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</si>
  <si>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</si>
  <si>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</si>
  <si>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</si>
  <si>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</si>
  <si>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</si>
  <si>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</si>
  <si>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</si>
  <si>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</si>
  <si>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</si>
  <si>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</si>
  <si>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</si>
  <si>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</si>
  <si>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</si>
  <si>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</si>
  <si>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</si>
  <si>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</si>
  <si>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</si>
  <si>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</si>
  <si>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</si>
  <si>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</si>
  <si>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</si>
  <si>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</si>
  <si>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</si>
  <si>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</si>
  <si>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</si>
  <si>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</si>
  <si>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</si>
  <si>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</si>
  <si>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</si>
  <si>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</si>
  <si>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</si>
  <si>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区间涨跌幅:前复权%[20230515-20230519]</t>
  </si>
  <si>
    <t>区间涨跌幅:前复权%[20230404-20230519]</t>
  </si>
  <si>
    <t>区间成交量[20230515-20230519]</t>
  </si>
  <si>
    <t>区间成交量[20230404-20230519]</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</si>
  <si>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</si>
  <si>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</si>
  <si>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</si>
  <si>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</si>
  <si>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</si>
  <si>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</si>
  <si>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</si>
  <si>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</si>
  <si>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</si>
  <si>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</si>
  <si>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</si>
  <si>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</si>
  <si>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</si>
  <si>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</si>
  <si>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</si>
  <si>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</si>
  <si>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</si>
  <si>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</si>
  <si>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</si>
  <si>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</si>
  <si>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</si>
  <si>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</si>
  <si>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</si>
  <si>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</si>
  <si>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</si>
  <si>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</si>
  <si>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</si>
  <si>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</si>
  <si>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</si>
  <si>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</si>
  <si>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</si>
  <si>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</si>
  <si>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</si>
  <si>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</si>
  <si>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</si>
  <si>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</si>
  <si>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</si>
  <si>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</si>
  <si>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</si>
  <si>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</si>
  <si>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</si>
  <si>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</si>
  <si>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t>
  </si>
  <si>
    <t>3-0</t>
  </si>
  <si>
    <t>1.50亿</t>
  </si>
  <si>
    <t>2.25亿</t>
  </si>
  <si>
    <t>6.10亿</t>
  </si>
  <si>
    <t>-2-0</t>
  </si>
  <si>
    <t>广农糖业</t>
  </si>
  <si>
    <t>1.22亿</t>
  </si>
  <si>
    <t>1.64亿</t>
  </si>
  <si>
    <t>2.88亿</t>
  </si>
  <si>
    <t>27.34亿</t>
  </si>
  <si>
    <t>3-1</t>
  </si>
  <si>
    <t>3.91亿</t>
  </si>
  <si>
    <t>-21.74亿</t>
  </si>
  <si>
    <t>-1.40亿</t>
  </si>
  <si>
    <t>4-1</t>
  </si>
  <si>
    <t>3.16亿</t>
  </si>
  <si>
    <t>2.52亿</t>
  </si>
  <si>
    <t>2.89亿</t>
  </si>
  <si>
    <t>1.86亿</t>
  </si>
  <si>
    <t>1.58亿</t>
  </si>
  <si>
    <t>-2-1</t>
  </si>
  <si>
    <t>2.97亿</t>
  </si>
  <si>
    <t>5.26亿</t>
  </si>
  <si>
    <t>-1.89亿</t>
  </si>
  <si>
    <t>4561.96万</t>
  </si>
  <si>
    <t>2.81亿</t>
  </si>
  <si>
    <t>1.76亿</t>
  </si>
  <si>
    <t>SZ301498</t>
  </si>
  <si>
    <t>乖宝宠物</t>
  </si>
  <si>
    <t>33.98亿</t>
  </si>
  <si>
    <t>25.75亿</t>
  </si>
  <si>
    <t>20.13亿</t>
  </si>
  <si>
    <t>14.03亿</t>
  </si>
  <si>
    <t>12.21亿</t>
  </si>
  <si>
    <t>416.02万</t>
  </si>
  <si>
    <t>4452.20万</t>
  </si>
  <si>
    <t>4.80亿</t>
  </si>
  <si>
    <t>3.87亿</t>
  </si>
  <si>
    <t>3.81亿</t>
  </si>
  <si>
    <t>4.67亿</t>
  </si>
  <si>
    <t>SH603231</t>
  </si>
  <si>
    <t>索宝蛋白</t>
  </si>
  <si>
    <t>18.47亿</t>
  </si>
  <si>
    <t>12.79亿</t>
  </si>
  <si>
    <t>10.63亿</t>
  </si>
  <si>
    <t>9774.51万</t>
  </si>
  <si>
    <t>6599.05万</t>
  </si>
  <si>
    <t>3.84亿</t>
  </si>
  <si>
    <r>
      <t>1.目前我国从事植物提取行业的企业超过2000家，多数企业规模较小，技术及管理水平较低，生产销售的品种少，行业集中度低。2.行业格局相对分散，辣椒红、 辣椒精及叶黄素的全球市场份额由</t>
    </r>
    <r>
      <rPr>
        <sz val="9"/>
        <color rgb="FFFF0000"/>
        <rFont val="宋体"/>
        <family val="3"/>
        <charset val="134"/>
        <scheme val="minor"/>
      </rPr>
      <t>晨光生物</t>
    </r>
    <r>
      <rPr>
        <sz val="9"/>
        <color theme="1"/>
        <rFont val="宋体"/>
        <family val="2"/>
        <charset val="134"/>
        <scheme val="minor"/>
      </rPr>
      <t>主导，番茄红素的全球份额则是由</t>
    </r>
    <r>
      <rPr>
        <sz val="9"/>
        <color rgb="FFFF0000"/>
        <rFont val="宋体"/>
        <family val="3"/>
        <charset val="134"/>
        <scheme val="minor"/>
      </rPr>
      <t>以色列的Lycored</t>
    </r>
    <r>
      <rPr>
        <sz val="9"/>
        <color theme="1"/>
        <rFont val="宋体"/>
        <family val="2"/>
        <charset val="134"/>
        <scheme val="minor"/>
      </rPr>
      <t>占据，国 内天然甜味剂则是</t>
    </r>
    <r>
      <rPr>
        <sz val="9"/>
        <color rgb="FFFF0000"/>
        <rFont val="宋体"/>
        <family val="3"/>
        <charset val="134"/>
        <scheme val="minor"/>
      </rPr>
      <t>莱茵生物</t>
    </r>
    <r>
      <rPr>
        <sz val="9"/>
        <color theme="1"/>
        <rFont val="宋体"/>
        <family val="2"/>
        <charset val="134"/>
        <scheme val="minor"/>
      </rPr>
      <t>处于领先地位;3.接受客户委托</t>
    </r>
    <r>
      <rPr>
        <sz val="9"/>
        <color rgb="FFFF0000"/>
        <rFont val="宋体"/>
        <family val="3"/>
        <charset val="134"/>
        <scheme val="minor"/>
      </rPr>
      <t>代工生产过NMN</t>
    </r>
    <r>
      <rPr>
        <sz val="9"/>
        <color theme="1"/>
        <rFont val="宋体"/>
        <family val="2"/>
        <charset val="134"/>
        <scheme val="minor"/>
      </rPr>
      <t>产品，该业务的收入在当年整体业务收入中占比0.1%以下。4.美国有对新疆的晨光（棉籽）进行过制裁；</t>
    </r>
    <phoneticPr fontId="1" type="noConversion"/>
  </si>
  <si>
    <t>1.04亿</t>
  </si>
  <si>
    <t>2.21亿</t>
  </si>
  <si>
    <t>-4-0</t>
  </si>
  <si>
    <t>3.48亿</t>
  </si>
  <si>
    <t>1.10亿</t>
  </si>
  <si>
    <t>10.54亿</t>
  </si>
  <si>
    <t>25.21亿</t>
  </si>
  <si>
    <t>10.73亿</t>
  </si>
  <si>
    <t>61.90亿</t>
  </si>
  <si>
    <t>3140647亿</t>
  </si>
  <si>
    <t>52190358亿</t>
  </si>
  <si>
    <t>115904076亿</t>
  </si>
  <si>
    <t>3911537800亿</t>
  </si>
  <si>
    <t>13.39亿</t>
  </si>
  <si>
    <t>10派2元(含税)</t>
  </si>
  <si>
    <t>0348000000</t>
  </si>
  <si>
    <t>01044000000</t>
  </si>
  <si>
    <t>02088000000</t>
  </si>
  <si>
    <t>03480000000</t>
  </si>
  <si>
    <t>06960000000</t>
  </si>
  <si>
    <t>29.21亿</t>
  </si>
  <si>
    <t>36.36亿</t>
  </si>
  <si>
    <t>119.01亿</t>
  </si>
  <si>
    <t>1.02亿</t>
  </si>
  <si>
    <t>6195194亿</t>
  </si>
  <si>
    <t>19657077亿</t>
  </si>
  <si>
    <t>286806230亿</t>
  </si>
  <si>
    <t>5016041200亿</t>
  </si>
  <si>
    <t>4.00亿</t>
  </si>
  <si>
    <t>4.74亿</t>
  </si>
  <si>
    <t>32.07亿</t>
  </si>
  <si>
    <t>3726.51万</t>
  </si>
  <si>
    <t>10派0.71元(含税)</t>
  </si>
  <si>
    <t>1.48亿</t>
  </si>
  <si>
    <t>-92785亿</t>
  </si>
  <si>
    <t>-9190303亿</t>
  </si>
  <si>
    <t>2.49亿</t>
  </si>
  <si>
    <t>41960463亿</t>
  </si>
  <si>
    <t>316487750亿</t>
  </si>
  <si>
    <t>-2916.90万</t>
  </si>
  <si>
    <t>-3-0</t>
  </si>
  <si>
    <t>936.80亿</t>
  </si>
  <si>
    <t>239.08亿</t>
  </si>
  <si>
    <t>1417.03亿</t>
  </si>
  <si>
    <t>2.10亿</t>
  </si>
  <si>
    <t>584892720亿</t>
  </si>
  <si>
    <t>-1935412500亿</t>
  </si>
  <si>
    <t>1673016100亿</t>
  </si>
  <si>
    <t>28465658000亿</t>
  </si>
  <si>
    <t>-14.60亿</t>
  </si>
  <si>
    <t>339.07亿</t>
  </si>
  <si>
    <t>-16.86亿</t>
  </si>
  <si>
    <t>8.23亿</t>
  </si>
  <si>
    <t>44.99亿</t>
  </si>
  <si>
    <t>9.51亿</t>
  </si>
  <si>
    <t>33.65亿</t>
  </si>
  <si>
    <t>2754.53万</t>
  </si>
  <si>
    <t>-139801亿</t>
  </si>
  <si>
    <t>-3815161亿</t>
  </si>
  <si>
    <t>384515840亿</t>
  </si>
  <si>
    <t>2874202500亿</t>
  </si>
  <si>
    <t>5.51亿</t>
  </si>
  <si>
    <t>11.70亿</t>
  </si>
  <si>
    <t>940.19万</t>
  </si>
  <si>
    <t>3.74亿</t>
  </si>
  <si>
    <t>027545300</t>
  </si>
  <si>
    <t>082635900</t>
  </si>
  <si>
    <t>0165271800</t>
  </si>
  <si>
    <t>0275453000</t>
  </si>
  <si>
    <t>0550906000</t>
  </si>
  <si>
    <t>57.04亿</t>
  </si>
  <si>
    <t>47.32亿</t>
  </si>
  <si>
    <t>203.79亿</t>
  </si>
  <si>
    <t>-6.02亿</t>
  </si>
  <si>
    <t>2.03亿</t>
  </si>
  <si>
    <t>-8663740亿</t>
  </si>
  <si>
    <t>19969074亿</t>
  </si>
  <si>
    <t>14.81亿</t>
  </si>
  <si>
    <t>861819340亿</t>
  </si>
  <si>
    <t>7616694500亿</t>
  </si>
  <si>
    <t>6.82亿</t>
  </si>
  <si>
    <t>45.22亿</t>
  </si>
  <si>
    <t>145.01万</t>
  </si>
  <si>
    <t>5.76亿</t>
  </si>
  <si>
    <t>4293716亿</t>
  </si>
  <si>
    <t>40359004亿</t>
  </si>
  <si>
    <t>671821460亿</t>
  </si>
  <si>
    <t>74.79万</t>
  </si>
  <si>
    <t>3.22亿</t>
  </si>
  <si>
    <t>1688.25万</t>
  </si>
  <si>
    <t>19.09亿</t>
  </si>
  <si>
    <t>8.51亿</t>
  </si>
  <si>
    <t>68.72亿</t>
  </si>
  <si>
    <t>4114.36万</t>
  </si>
  <si>
    <t>-1919977亿</t>
  </si>
  <si>
    <t>-61841074亿</t>
  </si>
  <si>
    <t>1273868120亿</t>
  </si>
  <si>
    <t>3252968700亿</t>
  </si>
  <si>
    <t>9.57亿</t>
  </si>
  <si>
    <t>-4854.11万</t>
  </si>
  <si>
    <t>11.44亿</t>
  </si>
  <si>
    <t>9.22亿</t>
  </si>
  <si>
    <t>48.40亿</t>
  </si>
  <si>
    <t>-1062556亿</t>
  </si>
  <si>
    <t>76787326亿</t>
  </si>
  <si>
    <t>849257890亿</t>
  </si>
  <si>
    <t>3214144600亿</t>
  </si>
  <si>
    <t>2.19亿</t>
  </si>
  <si>
    <t>10.75亿</t>
  </si>
  <si>
    <t>3505.14万</t>
  </si>
  <si>
    <t>10派1.05元(含税)</t>
  </si>
  <si>
    <t>14.36亿</t>
  </si>
  <si>
    <t>4870.64万</t>
  </si>
  <si>
    <t>-3979524亿</t>
  </si>
  <si>
    <t>59988309亿</t>
  </si>
  <si>
    <t>509392520亿</t>
  </si>
  <si>
    <t>2.51亿</t>
  </si>
  <si>
    <t>6490.92万</t>
  </si>
  <si>
    <t>1852.38万</t>
  </si>
  <si>
    <t>10派1.2元(含税)</t>
  </si>
  <si>
    <t>88.37亿</t>
  </si>
  <si>
    <t>37.77亿</t>
  </si>
  <si>
    <t>190.26亿</t>
  </si>
  <si>
    <t>1098553亿</t>
  </si>
  <si>
    <t>56677250亿</t>
  </si>
  <si>
    <t>685629060亿</t>
  </si>
  <si>
    <t>9357175800亿</t>
  </si>
  <si>
    <t>6.92亿</t>
  </si>
  <si>
    <t>38.91亿</t>
  </si>
  <si>
    <t>-1428.23万</t>
  </si>
  <si>
    <t>6.75亿</t>
  </si>
  <si>
    <t>25.24亿</t>
  </si>
  <si>
    <t>5396.90万</t>
  </si>
  <si>
    <t>1589557亿</t>
  </si>
  <si>
    <t>20323963亿</t>
  </si>
  <si>
    <t>2.43亿</t>
  </si>
  <si>
    <t>248503020亿</t>
  </si>
  <si>
    <t>850715670亿</t>
  </si>
  <si>
    <t>4300.00万</t>
  </si>
  <si>
    <t>1.95亿</t>
  </si>
  <si>
    <t>1704.97万</t>
  </si>
  <si>
    <t>238.35亿</t>
  </si>
  <si>
    <t>231.72亿</t>
  </si>
  <si>
    <t>1161.17亿</t>
  </si>
  <si>
    <t>27.41亿</t>
  </si>
  <si>
    <t>91668237亿</t>
  </si>
  <si>
    <t>759671790亿</t>
  </si>
  <si>
    <t>3394349100亿</t>
  </si>
  <si>
    <t>21012744000亿</t>
  </si>
  <si>
    <t>29.57亿</t>
  </si>
  <si>
    <t>233.58亿</t>
  </si>
  <si>
    <t>4.08亿</t>
  </si>
  <si>
    <t>197.45亿</t>
  </si>
  <si>
    <t>67.07亿</t>
  </si>
  <si>
    <t>333.90亿</t>
  </si>
  <si>
    <t>-29231423亿</t>
  </si>
  <si>
    <t>-222115270亿</t>
  </si>
  <si>
    <t>1746417100亿</t>
  </si>
  <si>
    <t>10047130500亿</t>
  </si>
  <si>
    <t>5108.00万</t>
  </si>
  <si>
    <t>77.77亿</t>
  </si>
  <si>
    <t>-3.09亿</t>
  </si>
  <si>
    <t>25.70亿</t>
  </si>
  <si>
    <t>4.35亿</t>
  </si>
  <si>
    <t>24.56亿</t>
  </si>
  <si>
    <t>9323.83万</t>
  </si>
  <si>
    <t>159767亿</t>
  </si>
  <si>
    <t>40341260亿</t>
  </si>
  <si>
    <t>212855660亿</t>
  </si>
  <si>
    <t>1745576700亿</t>
  </si>
  <si>
    <t>5.24亿</t>
  </si>
  <si>
    <t>-6061.05万</t>
  </si>
  <si>
    <t>10派0.3元(含税)</t>
  </si>
  <si>
    <t>44.31亿</t>
  </si>
  <si>
    <t>10.51亿</t>
  </si>
  <si>
    <t>40.40亿</t>
  </si>
  <si>
    <t>-6.60亿</t>
  </si>
  <si>
    <t>-10346441亿</t>
  </si>
  <si>
    <t>-45658669亿</t>
  </si>
  <si>
    <t>179931070亿</t>
  </si>
  <si>
    <t>1413932700亿</t>
  </si>
  <si>
    <t>1987.15万</t>
  </si>
  <si>
    <t>10.89亿</t>
  </si>
  <si>
    <t>-9905.45万</t>
  </si>
  <si>
    <t>110.29亿</t>
  </si>
  <si>
    <t>48.80亿</t>
  </si>
  <si>
    <t>269.49亿</t>
  </si>
  <si>
    <t>-15.26亿</t>
  </si>
  <si>
    <t>2292807亿</t>
  </si>
  <si>
    <t>-179418310亿</t>
  </si>
  <si>
    <t>345675230亿</t>
  </si>
  <si>
    <t>6384672900亿</t>
  </si>
  <si>
    <t>65.23亿</t>
  </si>
  <si>
    <t>-3.40亿</t>
  </si>
  <si>
    <t>12.45亿</t>
  </si>
  <si>
    <t>27.20亿</t>
  </si>
  <si>
    <t>-2759.37万</t>
  </si>
  <si>
    <t>579400亿</t>
  </si>
  <si>
    <t>-5358063亿</t>
  </si>
  <si>
    <t>433409570亿</t>
  </si>
  <si>
    <t>1729060500亿</t>
  </si>
  <si>
    <t>5.30亿</t>
  </si>
  <si>
    <t>8.78亿</t>
  </si>
  <si>
    <t>5.54亿</t>
  </si>
  <si>
    <t>362.39万</t>
  </si>
  <si>
    <t>20.47亿</t>
  </si>
  <si>
    <t>15.18亿</t>
  </si>
  <si>
    <t>70.01亿</t>
  </si>
  <si>
    <t>7576.75万</t>
  </si>
  <si>
    <t>20862570亿</t>
  </si>
  <si>
    <t>72822871亿</t>
  </si>
  <si>
    <t>2.57亿</t>
  </si>
  <si>
    <t>78564559亿</t>
  </si>
  <si>
    <t>2015495100亿</t>
  </si>
  <si>
    <t>17.48亿</t>
  </si>
  <si>
    <t>19.71亿</t>
  </si>
  <si>
    <t>37.47亿</t>
  </si>
  <si>
    <t>6075507亿</t>
  </si>
  <si>
    <t>53900772亿</t>
  </si>
  <si>
    <t>504592410亿</t>
  </si>
  <si>
    <t>1732955300亿</t>
  </si>
  <si>
    <t>7.06亿</t>
  </si>
  <si>
    <t>1566.15万</t>
  </si>
  <si>
    <t>10派2.4元(含税)</t>
  </si>
  <si>
    <t>14.78亿</t>
  </si>
  <si>
    <t>4046.23万</t>
  </si>
  <si>
    <t>2.23亿</t>
  </si>
  <si>
    <t>9421874亿</t>
  </si>
  <si>
    <t>148744700亿</t>
  </si>
  <si>
    <t>471616260亿</t>
  </si>
  <si>
    <t>3.25亿</t>
  </si>
  <si>
    <t>933.93万</t>
  </si>
  <si>
    <t>50.07亿</t>
  </si>
  <si>
    <t>32773544亿</t>
  </si>
  <si>
    <t>48487181亿</t>
  </si>
  <si>
    <t>444176490亿</t>
  </si>
  <si>
    <t>6909620300亿</t>
  </si>
  <si>
    <t>18.18亿</t>
  </si>
  <si>
    <t>10派1.3元(含税)</t>
  </si>
  <si>
    <t>1.96亿</t>
  </si>
  <si>
    <t>7006.60万</t>
  </si>
  <si>
    <t>-5362.55万</t>
  </si>
  <si>
    <t>1566895亿</t>
  </si>
  <si>
    <t>5737249亿</t>
  </si>
  <si>
    <t>139216710亿</t>
  </si>
  <si>
    <t>331583690亿</t>
  </si>
  <si>
    <t>2490.00万</t>
  </si>
  <si>
    <t>-2775.45万</t>
  </si>
  <si>
    <t>3382.87万</t>
  </si>
  <si>
    <t>-70.99万</t>
  </si>
  <si>
    <t>93.33亿</t>
  </si>
  <si>
    <t>10.28亿</t>
  </si>
  <si>
    <t>45.05亿</t>
  </si>
  <si>
    <t>-11.52亿</t>
  </si>
  <si>
    <t>-293654亿</t>
  </si>
  <si>
    <t>-87715812亿</t>
  </si>
  <si>
    <t>369256650亿</t>
  </si>
  <si>
    <t>2614788000亿</t>
  </si>
  <si>
    <t>14.57亿</t>
  </si>
  <si>
    <t>-1.52亿</t>
  </si>
  <si>
    <t>14.11亿</t>
  </si>
  <si>
    <t>-1109.11万</t>
  </si>
  <si>
    <t>1933316亿</t>
  </si>
  <si>
    <t>39855352亿</t>
  </si>
  <si>
    <t>277694960亿</t>
  </si>
  <si>
    <t>1562709100亿</t>
  </si>
  <si>
    <t>2.98亿</t>
  </si>
  <si>
    <t>1.59亿</t>
  </si>
  <si>
    <t>-3807.34万</t>
  </si>
  <si>
    <t>1-1</t>
  </si>
  <si>
    <t>1425.35亿</t>
  </si>
  <si>
    <t>572.74亿</t>
  </si>
  <si>
    <t>2515.24亿</t>
  </si>
  <si>
    <t>28.48亿</t>
  </si>
  <si>
    <t>578097000亿</t>
  </si>
  <si>
    <t>243604000亿</t>
  </si>
  <si>
    <t>8240117000亿</t>
  </si>
  <si>
    <t>141303700000亿</t>
  </si>
  <si>
    <t>10派1.11元(含税)</t>
  </si>
  <si>
    <t>4.73亿</t>
  </si>
  <si>
    <t>10.97亿</t>
  </si>
  <si>
    <t>43.27亿</t>
  </si>
  <si>
    <t>2.50亿</t>
  </si>
  <si>
    <t>6261565亿</t>
  </si>
  <si>
    <t>137923010亿</t>
  </si>
  <si>
    <t>340940110亿</t>
  </si>
  <si>
    <t>2081105600亿</t>
  </si>
  <si>
    <t>10派1.7元(含税)</t>
  </si>
  <si>
    <t>9.03亿</t>
  </si>
  <si>
    <t>8.36亿</t>
  </si>
  <si>
    <t>48.68亿</t>
  </si>
  <si>
    <t>2865.94万</t>
  </si>
  <si>
    <t>1259913亿</t>
  </si>
  <si>
    <t>55296830亿</t>
  </si>
  <si>
    <t>1043147760亿</t>
  </si>
  <si>
    <t>-5081.98万</t>
  </si>
  <si>
    <t>3.99亿</t>
  </si>
  <si>
    <t>6.37亿</t>
  </si>
  <si>
    <t>1887.50万</t>
  </si>
  <si>
    <t>4581210亿</t>
  </si>
  <si>
    <t>764010亿</t>
  </si>
  <si>
    <t>46317889亿</t>
  </si>
  <si>
    <t>340800730亿</t>
  </si>
  <si>
    <t>3.40亿</t>
  </si>
  <si>
    <t>37.43亿</t>
  </si>
  <si>
    <t>10.27亿</t>
  </si>
  <si>
    <t>43.43亿</t>
  </si>
  <si>
    <t>7.14亿</t>
  </si>
  <si>
    <t>197869230亿</t>
  </si>
  <si>
    <t>226240370亿</t>
  </si>
  <si>
    <t>310535870亿</t>
  </si>
  <si>
    <t>4255879200亿</t>
  </si>
  <si>
    <t>10派4.6元(含税)</t>
  </si>
  <si>
    <t>96.44亿</t>
  </si>
  <si>
    <t>78.12亿</t>
  </si>
  <si>
    <t>331.14亿</t>
  </si>
  <si>
    <t>20.73亿</t>
  </si>
  <si>
    <t>10241624亿</t>
  </si>
  <si>
    <t>387042520亿</t>
  </si>
  <si>
    <t>935003620亿</t>
  </si>
  <si>
    <t>18449233000亿</t>
  </si>
  <si>
    <t>3.30亿</t>
  </si>
  <si>
    <t>265.92亿</t>
  </si>
  <si>
    <t>7.48亿</t>
  </si>
  <si>
    <t>10派6.3元(含税)</t>
  </si>
  <si>
    <t>215.83亿</t>
  </si>
  <si>
    <t>4.13亿</t>
  </si>
  <si>
    <t>60.80亿</t>
  </si>
  <si>
    <t>-15.57亿</t>
  </si>
  <si>
    <t>401647930亿</t>
  </si>
  <si>
    <t>163020490亿</t>
  </si>
  <si>
    <t>248373570亿</t>
  </si>
  <si>
    <t>12805648700亿</t>
  </si>
  <si>
    <t>4.52亿</t>
  </si>
  <si>
    <t>3.03亿</t>
  </si>
  <si>
    <t>112.61亿</t>
  </si>
  <si>
    <t>137.24亿</t>
  </si>
  <si>
    <t>146.99亿</t>
  </si>
  <si>
    <t>9.60亿</t>
  </si>
  <si>
    <t>2.34亿</t>
  </si>
  <si>
    <t>4.12亿</t>
  </si>
  <si>
    <t>16.47亿</t>
  </si>
  <si>
    <t>8388.96万</t>
  </si>
  <si>
    <t>14553亿</t>
  </si>
  <si>
    <t>19524795亿</t>
  </si>
  <si>
    <t>293854200亿</t>
  </si>
  <si>
    <t>793158120亿</t>
  </si>
  <si>
    <t>2.56亿</t>
  </si>
  <si>
    <t>3.94亿</t>
  </si>
  <si>
    <t>16.95亿</t>
  </si>
  <si>
    <t>30901522亿</t>
  </si>
  <si>
    <t>181727280亿</t>
  </si>
  <si>
    <t>807727500亿</t>
  </si>
  <si>
    <t>-1.51亿</t>
  </si>
  <si>
    <t>10派4.0元(含税)</t>
  </si>
  <si>
    <t>3.93亿</t>
  </si>
  <si>
    <t>62639亿</t>
  </si>
  <si>
    <t>33185572亿</t>
  </si>
  <si>
    <t>143488890亿</t>
  </si>
  <si>
    <t>1468641900亿</t>
  </si>
  <si>
    <t>6.93亿</t>
  </si>
  <si>
    <t>10.86亿</t>
  </si>
  <si>
    <t>2395.19万</t>
  </si>
  <si>
    <t>8327亿</t>
  </si>
  <si>
    <t>7836533亿</t>
  </si>
  <si>
    <t>608810490亿</t>
  </si>
  <si>
    <t>1146111330亿</t>
  </si>
  <si>
    <t>3.39亿</t>
  </si>
  <si>
    <t>141.28亿</t>
  </si>
  <si>
    <t>24.08亿</t>
  </si>
  <si>
    <t>194.58亿</t>
  </si>
  <si>
    <t>-36.51亿</t>
  </si>
  <si>
    <t>-2766470亿</t>
  </si>
  <si>
    <t>-363369840亿</t>
  </si>
  <si>
    <t>2388691000亿</t>
  </si>
  <si>
    <t>9.54亿</t>
  </si>
  <si>
    <t>-10.38亿</t>
  </si>
  <si>
    <t>-1.80亿</t>
  </si>
  <si>
    <t>73.22亿</t>
  </si>
  <si>
    <t>72.22亿</t>
  </si>
  <si>
    <t>359.70亿</t>
  </si>
  <si>
    <t>-4.57亿</t>
  </si>
  <si>
    <t>-7657688亿</t>
  </si>
  <si>
    <t>-98204158亿</t>
  </si>
  <si>
    <t>1460683000亿</t>
  </si>
  <si>
    <t>6302156900亿</t>
  </si>
  <si>
    <t>64.25亿</t>
  </si>
  <si>
    <t>13.61亿</t>
  </si>
  <si>
    <t>69.98亿</t>
  </si>
  <si>
    <t>-1.88亿</t>
  </si>
  <si>
    <t>-2056267亿</t>
  </si>
  <si>
    <t>4851227亿</t>
  </si>
  <si>
    <t>547247870亿</t>
  </si>
  <si>
    <t>4367717600亿</t>
  </si>
  <si>
    <t>10转1股</t>
  </si>
  <si>
    <t>185.65万</t>
  </si>
  <si>
    <t>49.22亿</t>
  </si>
  <si>
    <t>9.68亿</t>
  </si>
  <si>
    <t>8.68亿</t>
  </si>
  <si>
    <t>3555.41万</t>
  </si>
  <si>
    <t>4697.42万</t>
  </si>
  <si>
    <t>4.03万</t>
  </si>
  <si>
    <t>5234.77万</t>
  </si>
  <si>
    <t>10.07亿</t>
  </si>
  <si>
    <t>134.07万</t>
  </si>
  <si>
    <t>2.53亿</t>
  </si>
  <si>
    <t>-1.57亿</t>
  </si>
  <si>
    <t>2063.71万</t>
  </si>
  <si>
    <t>466.57万</t>
  </si>
  <si>
    <t>35.99亿</t>
  </si>
  <si>
    <t>35.92亿</t>
  </si>
  <si>
    <t>34.89亿</t>
  </si>
  <si>
    <t>3824.21万</t>
  </si>
  <si>
    <t>4256.91万</t>
  </si>
  <si>
    <t>440.59万</t>
  </si>
  <si>
    <t>16.29亿</t>
  </si>
  <si>
    <t>5740.88万</t>
  </si>
  <si>
    <t>12.65亿</t>
  </si>
  <si>
    <t>3.72亿</t>
  </si>
  <si>
    <t>130.70万</t>
  </si>
  <si>
    <t>1063.90万</t>
  </si>
  <si>
    <t>-1427.02万</t>
  </si>
  <si>
    <t>9085.60万</t>
  </si>
  <si>
    <t>2375.87万</t>
  </si>
  <si>
    <t>SZ000638</t>
  </si>
  <si>
    <t>万方发展</t>
  </si>
  <si>
    <t>911.47万</t>
  </si>
  <si>
    <t>2.12亿</t>
  </si>
  <si>
    <t>2761.81万</t>
  </si>
  <si>
    <t>-520.90万</t>
  </si>
  <si>
    <t>3245.07万</t>
  </si>
  <si>
    <t>2589.18万</t>
  </si>
  <si>
    <t>70.98万</t>
  </si>
  <si>
    <t>384.41万</t>
  </si>
  <si>
    <t>-450565亿</t>
  </si>
  <si>
    <t>-3685462亿</t>
  </si>
  <si>
    <t>3395.85万</t>
  </si>
  <si>
    <t>42028869亿</t>
  </si>
  <si>
    <t>765.55万</t>
  </si>
  <si>
    <t>161051820亿</t>
  </si>
  <si>
    <t>796.71万</t>
  </si>
  <si>
    <t>6679.56万</t>
  </si>
  <si>
    <t>1888.89万</t>
  </si>
  <si>
    <t>690.48万</t>
  </si>
  <si>
    <t>-181.68万</t>
  </si>
  <si>
    <t>-115.85万</t>
  </si>
  <si>
    <t>789.16万</t>
  </si>
  <si>
    <t>420.12万</t>
  </si>
  <si>
    <t>6084.14万</t>
  </si>
  <si>
    <t>-1705.52万</t>
  </si>
  <si>
    <t>935.82万</t>
  </si>
  <si>
    <t>-1.47亿</t>
  </si>
  <si>
    <t>3665.80万</t>
  </si>
  <si>
    <t>-367.96万</t>
  </si>
  <si>
    <t>6622.12万</t>
  </si>
  <si>
    <t>1124.23万</t>
  </si>
  <si>
    <t>3.23亿</t>
  </si>
  <si>
    <t>1.57亿</t>
  </si>
  <si>
    <t>1.36亿</t>
  </si>
  <si>
    <t>398.82万</t>
  </si>
  <si>
    <t>1149.30万</t>
  </si>
  <si>
    <t>45.29万</t>
  </si>
  <si>
    <t>1.71亿</t>
  </si>
  <si>
    <t>3738.16万</t>
  </si>
  <si>
    <t>75.74万</t>
  </si>
  <si>
    <t>-4682.39万</t>
  </si>
  <si>
    <t>-726.29万</t>
  </si>
  <si>
    <t>-2324.35万</t>
  </si>
  <si>
    <t>畜禽饲料</t>
  </si>
  <si>
    <t>8191.15万</t>
  </si>
  <si>
    <t>12.68亿</t>
  </si>
  <si>
    <t>1043.01万</t>
  </si>
  <si>
    <t>329.31亿</t>
  </si>
  <si>
    <t>265.91亿</t>
  </si>
  <si>
    <t>246.10亿</t>
  </si>
  <si>
    <t>10.69亿</t>
  </si>
  <si>
    <t>3514.94万</t>
  </si>
  <si>
    <t>109.37亿</t>
  </si>
  <si>
    <t>178.45亿</t>
  </si>
  <si>
    <t>188.67亿</t>
  </si>
  <si>
    <t>50.27亿</t>
  </si>
  <si>
    <t>110.46亿</t>
  </si>
  <si>
    <t>537.08亿</t>
  </si>
  <si>
    <t>264.65亿</t>
  </si>
  <si>
    <t>-10.23亿</t>
  </si>
  <si>
    <t>9.89亿</t>
  </si>
  <si>
    <t>7431.12万</t>
  </si>
  <si>
    <t>7.56亿</t>
  </si>
  <si>
    <t>174.60万</t>
  </si>
  <si>
    <t>9.48亿</t>
  </si>
  <si>
    <t>8.39亿</t>
  </si>
  <si>
    <t>2164.87万</t>
  </si>
  <si>
    <t>3966.84万</t>
  </si>
  <si>
    <t>131.06万</t>
  </si>
  <si>
    <t>8.90亿</t>
  </si>
  <si>
    <t>36.21亿</t>
  </si>
  <si>
    <t>42.31亿</t>
  </si>
  <si>
    <t>-6.64亿</t>
  </si>
  <si>
    <t>-2771.73万</t>
  </si>
  <si>
    <t>1077.62万</t>
  </si>
  <si>
    <t>875.40万</t>
  </si>
  <si>
    <t>108.17亿</t>
  </si>
  <si>
    <t>46.10亿</t>
  </si>
  <si>
    <t>43.87亿</t>
  </si>
  <si>
    <t>4829.03万</t>
  </si>
  <si>
    <t>994.55万</t>
  </si>
  <si>
    <t>12.67亿</t>
  </si>
  <si>
    <t>630.00万</t>
  </si>
  <si>
    <t>3.19亿</t>
  </si>
  <si>
    <t>47.73亿</t>
  </si>
  <si>
    <t>8991.27万</t>
  </si>
  <si>
    <t>67.26亿</t>
  </si>
  <si>
    <t>-14.15亿</t>
  </si>
  <si>
    <t>-2.81亿</t>
  </si>
  <si>
    <t>15.05亿</t>
  </si>
  <si>
    <t>6006.14万</t>
  </si>
  <si>
    <t>4.55亿</t>
  </si>
  <si>
    <t>737.48万</t>
  </si>
  <si>
    <t>9708.56万</t>
  </si>
  <si>
    <t>144.39万</t>
  </si>
  <si>
    <t>934.28万</t>
  </si>
  <si>
    <t>5.74万</t>
  </si>
  <si>
    <t>3954.50万</t>
  </si>
  <si>
    <t>1201.43万</t>
  </si>
  <si>
    <t>7621.67万</t>
  </si>
  <si>
    <t>8.04亿</t>
  </si>
  <si>
    <t>7200.00万</t>
  </si>
  <si>
    <t>1514.66万</t>
  </si>
  <si>
    <t>-1033.49万</t>
  </si>
  <si>
    <t>-7391.33万</t>
  </si>
  <si>
    <t>4397.00万</t>
  </si>
  <si>
    <t>3.33亿</t>
  </si>
  <si>
    <t>129.21万</t>
  </si>
  <si>
    <t>26.07亿</t>
  </si>
  <si>
    <t>3694.39万</t>
  </si>
  <si>
    <t>4121.25万</t>
  </si>
  <si>
    <t>11.45万</t>
  </si>
  <si>
    <t>8.41亿</t>
  </si>
  <si>
    <t>2092.13万</t>
  </si>
  <si>
    <t>4.07亿</t>
  </si>
  <si>
    <t>2.54亿</t>
  </si>
  <si>
    <t>19.49亿</t>
  </si>
  <si>
    <t>-4.74亿</t>
  </si>
  <si>
    <t>-1.21亿</t>
  </si>
  <si>
    <t>3.85亿</t>
  </si>
  <si>
    <t>水产饲料</t>
  </si>
  <si>
    <t>665.81万</t>
  </si>
  <si>
    <t>7926.66万</t>
  </si>
  <si>
    <t>343.08万</t>
  </si>
  <si>
    <t>34.56亿</t>
  </si>
  <si>
    <t>8.45亿</t>
  </si>
  <si>
    <t>7.95亿</t>
  </si>
  <si>
    <t>235.75万</t>
  </si>
  <si>
    <t>3651.37万</t>
  </si>
  <si>
    <t>12.01万</t>
  </si>
  <si>
    <t>1148.77万</t>
  </si>
  <si>
    <t>3250.10万</t>
  </si>
  <si>
    <t>4.82亿</t>
  </si>
  <si>
    <t>3929.78万</t>
  </si>
  <si>
    <t>3.35亿</t>
  </si>
  <si>
    <t>10.56亿</t>
  </si>
  <si>
    <t>3.92亿</t>
  </si>
  <si>
    <t>-3896.98万</t>
  </si>
  <si>
    <t>-2.23亿</t>
  </si>
  <si>
    <t>2063.67万</t>
  </si>
  <si>
    <t>161.07万</t>
  </si>
  <si>
    <t>8.57亿</t>
  </si>
  <si>
    <t>2.05亿</t>
  </si>
  <si>
    <t>1965.19万</t>
  </si>
  <si>
    <t>1265.82万</t>
  </si>
  <si>
    <t>2.59亿</t>
  </si>
  <si>
    <t>3632.97万</t>
  </si>
  <si>
    <t>9562.33万</t>
  </si>
  <si>
    <t>-6745.12万</t>
  </si>
  <si>
    <t>-2694.04万</t>
  </si>
  <si>
    <t>-79.55万</t>
  </si>
  <si>
    <t>1072.72万</t>
  </si>
  <si>
    <t>1.53亿</t>
  </si>
  <si>
    <t>1961.82万</t>
  </si>
  <si>
    <t>79.40亿</t>
  </si>
  <si>
    <t>36.78亿</t>
  </si>
  <si>
    <t>33.09亿</t>
  </si>
  <si>
    <t>32.21万</t>
  </si>
  <si>
    <t>26.84亿</t>
  </si>
  <si>
    <t>2663.55万</t>
  </si>
  <si>
    <t>9.32亿</t>
  </si>
  <si>
    <t>31.82亿</t>
  </si>
  <si>
    <t>2108.28万</t>
  </si>
  <si>
    <t>6.32亿</t>
  </si>
  <si>
    <t>70.95亿</t>
  </si>
  <si>
    <t>15.60亿</t>
  </si>
  <si>
    <t>-3.34亿</t>
  </si>
  <si>
    <t>-1.87亿</t>
  </si>
  <si>
    <t>3.97亿</t>
  </si>
  <si>
    <t>167.28亿</t>
  </si>
  <si>
    <t>1.43亿</t>
  </si>
  <si>
    <t>7.10亿</t>
  </si>
  <si>
    <t>1408.20万</t>
  </si>
  <si>
    <t>5.28亿</t>
  </si>
  <si>
    <t>4.96亿</t>
  </si>
  <si>
    <t>841.97万</t>
  </si>
  <si>
    <t>1627.67万</t>
  </si>
  <si>
    <t>9.17万</t>
  </si>
  <si>
    <t>2.38亿</t>
  </si>
  <si>
    <t>787.30万</t>
  </si>
  <si>
    <t>2.60亿</t>
  </si>
  <si>
    <t>5.97亿</t>
  </si>
  <si>
    <t>3950.00万</t>
  </si>
  <si>
    <t>-1444.32万</t>
  </si>
  <si>
    <t>-272.96万</t>
  </si>
  <si>
    <t>1081.60万</t>
  </si>
  <si>
    <t>7957.50万</t>
  </si>
  <si>
    <t>702.03万</t>
  </si>
  <si>
    <t>210.91亿</t>
  </si>
  <si>
    <t>221.89亿</t>
  </si>
  <si>
    <t>206.81亿</t>
  </si>
  <si>
    <t>5.45亿</t>
  </si>
  <si>
    <t>6.72亿</t>
  </si>
  <si>
    <t>580.72万</t>
  </si>
  <si>
    <t>35.20亿</t>
  </si>
  <si>
    <t>2406.14万</t>
  </si>
  <si>
    <t>31.88亿</t>
  </si>
  <si>
    <t>37.00亿</t>
  </si>
  <si>
    <t>51.22亿</t>
  </si>
  <si>
    <t>534.39万</t>
  </si>
  <si>
    <t>196.02亿</t>
  </si>
  <si>
    <t>21.92亿</t>
  </si>
  <si>
    <t>-25.47亿</t>
  </si>
  <si>
    <t>-11.40亿</t>
  </si>
  <si>
    <t>14.56亿</t>
  </si>
  <si>
    <t>2673.00万</t>
  </si>
  <si>
    <t>1.73亿</t>
  </si>
  <si>
    <t>2710.37万</t>
  </si>
  <si>
    <t>93.21亿</t>
  </si>
  <si>
    <t>68.97亿</t>
  </si>
  <si>
    <t>59.09亿</t>
  </si>
  <si>
    <t>733.26万</t>
  </si>
  <si>
    <t>29.09亿</t>
  </si>
  <si>
    <t>1222.65万</t>
  </si>
  <si>
    <t>83.38亿</t>
  </si>
  <si>
    <t>199.80万</t>
  </si>
  <si>
    <t>22.03亿</t>
  </si>
  <si>
    <t>153.61亿</t>
  </si>
  <si>
    <t>26.05亿</t>
  </si>
  <si>
    <t>-8.33亿</t>
  </si>
  <si>
    <t>-1.67亿</t>
  </si>
  <si>
    <t>-7.20亿</t>
  </si>
  <si>
    <t>12.28亿</t>
  </si>
  <si>
    <t>736.53万</t>
  </si>
  <si>
    <t>26.24亿</t>
  </si>
  <si>
    <t>1418.63万</t>
  </si>
  <si>
    <t>2712.75万</t>
  </si>
  <si>
    <t>49.34万</t>
  </si>
  <si>
    <t>6.69亿</t>
  </si>
  <si>
    <t>9513.92万</t>
  </si>
  <si>
    <t>8.09亿</t>
  </si>
  <si>
    <t>2.84亿</t>
  </si>
  <si>
    <t>12.60亿</t>
  </si>
  <si>
    <t>-1.04亿</t>
  </si>
  <si>
    <t>1.23亿</t>
  </si>
  <si>
    <t>6086.41万</t>
  </si>
  <si>
    <t>4.48亿</t>
  </si>
  <si>
    <t>1271.85万</t>
  </si>
  <si>
    <t>15.23亿</t>
  </si>
  <si>
    <t>10.88亿</t>
  </si>
  <si>
    <t>9.77亿</t>
  </si>
  <si>
    <t>1442.40万</t>
  </si>
  <si>
    <t>4218.57万</t>
  </si>
  <si>
    <t>225.04万</t>
  </si>
  <si>
    <t>4.28亿</t>
  </si>
  <si>
    <t>1284.08万</t>
  </si>
  <si>
    <t>5.90亿</t>
  </si>
  <si>
    <t>14.00亿</t>
  </si>
  <si>
    <t>34.73万</t>
  </si>
  <si>
    <t>31.49亿</t>
  </si>
  <si>
    <t>6.12亿</t>
  </si>
  <si>
    <t>-1.42亿</t>
  </si>
  <si>
    <t>-2164.12万</t>
  </si>
  <si>
    <t>-1.60亿</t>
  </si>
  <si>
    <t>8187.12万</t>
  </si>
  <si>
    <t>4.01亿</t>
  </si>
  <si>
    <t>-3-1</t>
  </si>
  <si>
    <t>2790.12万</t>
  </si>
  <si>
    <t>57.61亿</t>
  </si>
  <si>
    <t>50.95亿</t>
  </si>
  <si>
    <t>46.77亿</t>
  </si>
  <si>
    <t>8360.82万</t>
  </si>
  <si>
    <t>2.07亿</t>
  </si>
  <si>
    <t>491.27万</t>
  </si>
  <si>
    <t>23.33亿</t>
  </si>
  <si>
    <t>1587.74万</t>
  </si>
  <si>
    <t>8.96亿</t>
  </si>
  <si>
    <t>11.57亿</t>
  </si>
  <si>
    <t>12.70亿</t>
  </si>
  <si>
    <t>59.12亿</t>
  </si>
  <si>
    <t>48.02亿</t>
  </si>
  <si>
    <t>-1.46亿</t>
  </si>
  <si>
    <t>5.91亿</t>
  </si>
  <si>
    <t>13.91亿</t>
  </si>
  <si>
    <t>416.97万</t>
  </si>
  <si>
    <t>14.90亿</t>
  </si>
  <si>
    <t>5.14亿</t>
  </si>
  <si>
    <t>4.66亿</t>
  </si>
  <si>
    <t>1195.60万</t>
  </si>
  <si>
    <t>2604.95万</t>
  </si>
  <si>
    <t>41.50万</t>
  </si>
  <si>
    <t>123.50万</t>
  </si>
  <si>
    <t>5907.30万</t>
  </si>
  <si>
    <t>7.09亿</t>
  </si>
  <si>
    <t>159.20万</t>
  </si>
  <si>
    <t>10.49亿</t>
  </si>
  <si>
    <t>5121.01万</t>
  </si>
  <si>
    <t>-1808.72万</t>
  </si>
  <si>
    <t>2685.64万</t>
  </si>
  <si>
    <t>1.52亿</t>
  </si>
  <si>
    <t>213.03万</t>
  </si>
  <si>
    <t>21.17亿</t>
  </si>
  <si>
    <t>14.30亿</t>
  </si>
  <si>
    <t>13.22亿</t>
  </si>
  <si>
    <t>5677.57万</t>
  </si>
  <si>
    <t>2132.67万</t>
  </si>
  <si>
    <t>51.06万</t>
  </si>
  <si>
    <t>4.22亿</t>
  </si>
  <si>
    <t>1420.82万</t>
  </si>
  <si>
    <t>16.17亿</t>
  </si>
  <si>
    <t>1.72亿</t>
  </si>
  <si>
    <t>21.69亿</t>
  </si>
  <si>
    <t>12.10亿</t>
  </si>
  <si>
    <t>-3665.52万</t>
  </si>
  <si>
    <t>-10.26亿</t>
  </si>
  <si>
    <t>1656.86万</t>
  </si>
  <si>
    <t>1.07亿</t>
  </si>
  <si>
    <t>240.11万</t>
  </si>
  <si>
    <t>24.14亿</t>
  </si>
  <si>
    <t>7.94亿</t>
  </si>
  <si>
    <t>6.34亿</t>
  </si>
  <si>
    <t>9113.25万</t>
  </si>
  <si>
    <t>4478.70万</t>
  </si>
  <si>
    <t>24.48万</t>
  </si>
  <si>
    <t>4.37亿</t>
  </si>
  <si>
    <t>2.96亿</t>
  </si>
  <si>
    <t>8.66亿</t>
  </si>
  <si>
    <t>3420.93万</t>
  </si>
  <si>
    <t>-1321.43万</t>
  </si>
  <si>
    <t>2.61亿</t>
  </si>
  <si>
    <t>-2.59亿</t>
  </si>
  <si>
    <t>宠物食品</t>
  </si>
  <si>
    <t>1446.91万</t>
  </si>
  <si>
    <t>8723.60万</t>
  </si>
  <si>
    <t>35.68万</t>
  </si>
  <si>
    <t>10.60亿</t>
  </si>
  <si>
    <t>2.87亿</t>
  </si>
  <si>
    <t>5461.59万</t>
  </si>
  <si>
    <t>1966.16万</t>
  </si>
  <si>
    <t>19.88万</t>
  </si>
  <si>
    <t>3.27亿</t>
  </si>
  <si>
    <t>6.84亿</t>
  </si>
  <si>
    <t>-681.03万</t>
  </si>
  <si>
    <t>-9836.23万</t>
  </si>
  <si>
    <t>5272.00万</t>
  </si>
  <si>
    <t>231.03万</t>
  </si>
  <si>
    <t>2015.59万</t>
  </si>
  <si>
    <t>178.91万</t>
  </si>
  <si>
    <t>34.18亿</t>
  </si>
  <si>
    <t>16.87亿</t>
  </si>
  <si>
    <t>15.90亿</t>
  </si>
  <si>
    <t>1367.65万</t>
  </si>
  <si>
    <t>3463.33万</t>
  </si>
  <si>
    <t>45.83万</t>
  </si>
  <si>
    <t>21.34亿</t>
  </si>
  <si>
    <t>1660.76万</t>
  </si>
  <si>
    <t>1.62亿</t>
  </si>
  <si>
    <t>27.68亿</t>
  </si>
  <si>
    <t>7493.78万</t>
  </si>
  <si>
    <t>53.40万</t>
  </si>
  <si>
    <t>42.97亿</t>
  </si>
  <si>
    <t>11.77亿</t>
  </si>
  <si>
    <t>1.97亿</t>
  </si>
  <si>
    <t>4.72亿</t>
  </si>
  <si>
    <t>1285.90万</t>
  </si>
  <si>
    <t>2401.37万</t>
  </si>
  <si>
    <t>6334.45万</t>
  </si>
  <si>
    <t>5685.02万</t>
  </si>
  <si>
    <t>106.43万</t>
  </si>
  <si>
    <t>404.20万</t>
  </si>
  <si>
    <t>15.67万</t>
  </si>
  <si>
    <t>4902.47万</t>
  </si>
  <si>
    <t>2571.73万</t>
  </si>
  <si>
    <t>6319.02万</t>
  </si>
  <si>
    <t>1.54亿</t>
  </si>
  <si>
    <t>3005.97万</t>
  </si>
  <si>
    <t>-325.76万</t>
  </si>
  <si>
    <t>19.79亿</t>
  </si>
  <si>
    <t>ST佳沃</t>
  </si>
  <si>
    <t>70.48万</t>
  </si>
  <si>
    <t>3.77亿</t>
  </si>
  <si>
    <t>10.74亿</t>
  </si>
  <si>
    <t>4476.79万</t>
  </si>
  <si>
    <t>5339.10万</t>
  </si>
  <si>
    <t>144.02万</t>
  </si>
  <si>
    <t>2.32亿</t>
  </si>
  <si>
    <t>7078.76万</t>
  </si>
  <si>
    <t>2.00亿</t>
  </si>
  <si>
    <t>12.89亿</t>
  </si>
  <si>
    <t>45.13亿</t>
  </si>
  <si>
    <t>3448.50万</t>
  </si>
  <si>
    <t>-1.09亿</t>
  </si>
  <si>
    <t>-4866.38万</t>
  </si>
  <si>
    <t>2.27亿</t>
  </si>
  <si>
    <t>651.76万</t>
  </si>
  <si>
    <t>4228.88万</t>
  </si>
  <si>
    <t>223.65万</t>
  </si>
  <si>
    <t>18.69亿</t>
  </si>
  <si>
    <t>3.37亿</t>
  </si>
  <si>
    <t>2.91亿</t>
  </si>
  <si>
    <t>1783.58万</t>
  </si>
  <si>
    <t>2434.99万</t>
  </si>
  <si>
    <t>4.17万</t>
  </si>
  <si>
    <t>7.40亿</t>
  </si>
  <si>
    <t>3.07亿</t>
  </si>
  <si>
    <t>7571.35万</t>
  </si>
  <si>
    <t>774.58万</t>
  </si>
  <si>
    <t>2.62亿</t>
  </si>
  <si>
    <t>6273.05万</t>
  </si>
  <si>
    <t>-3966.42万</t>
  </si>
  <si>
    <t>-669.45万</t>
  </si>
  <si>
    <t>-3272.90万</t>
  </si>
  <si>
    <t>1200.38万</t>
  </si>
  <si>
    <t>8370.16万</t>
  </si>
  <si>
    <t>1-0</t>
  </si>
  <si>
    <t>348.42万</t>
  </si>
  <si>
    <t>967.45亿</t>
  </si>
  <si>
    <t>1.03亿</t>
  </si>
  <si>
    <t>570.52亿</t>
  </si>
  <si>
    <t>543.37亿</t>
  </si>
  <si>
    <t>15.88亿</t>
  </si>
  <si>
    <t>2310.70万</t>
  </si>
  <si>
    <t>667.57亿</t>
  </si>
  <si>
    <t>5.16亿</t>
  </si>
  <si>
    <t>111.07亿</t>
  </si>
  <si>
    <t>886.70亿</t>
  </si>
  <si>
    <t>26.98亿</t>
  </si>
  <si>
    <t>48.48亿</t>
  </si>
  <si>
    <t>1212.01亿</t>
  </si>
  <si>
    <t>57.73亿</t>
  </si>
  <si>
    <t>49.15亿</t>
  </si>
  <si>
    <t>28.84亿</t>
  </si>
  <si>
    <t>-48.88亿</t>
  </si>
  <si>
    <t>2028.56万</t>
  </si>
  <si>
    <t>2319.17万</t>
  </si>
  <si>
    <t>1.42亿</t>
  </si>
  <si>
    <t>0103000000</t>
  </si>
  <si>
    <t>0309000000</t>
  </si>
  <si>
    <t>0618000000</t>
  </si>
  <si>
    <t>01030000000</t>
  </si>
  <si>
    <t>02060000000</t>
  </si>
  <si>
    <t>102.06万</t>
  </si>
  <si>
    <t>38.08亿</t>
  </si>
  <si>
    <t>7.59亿</t>
  </si>
  <si>
    <t>6420.13万</t>
  </si>
  <si>
    <t>9.12亿</t>
  </si>
  <si>
    <t>6.46亿</t>
  </si>
  <si>
    <t>1.90亿</t>
  </si>
  <si>
    <t>6081.78万</t>
  </si>
  <si>
    <t>31.01万</t>
  </si>
  <si>
    <t>9.36亿</t>
  </si>
  <si>
    <t>5349.34万</t>
  </si>
  <si>
    <t>3.56亿</t>
  </si>
  <si>
    <t>6156.55万</t>
  </si>
  <si>
    <t>-1.83亿</t>
  </si>
  <si>
    <t>-158.85万</t>
  </si>
  <si>
    <t>978.40万</t>
  </si>
  <si>
    <t>654.80万</t>
  </si>
  <si>
    <t>4111.10万</t>
  </si>
  <si>
    <t>411.56万</t>
  </si>
  <si>
    <t>7.47亿</t>
  </si>
  <si>
    <t>67.20亿</t>
  </si>
  <si>
    <t>3263.56万</t>
  </si>
  <si>
    <t>14.20万</t>
  </si>
  <si>
    <t>148.62万</t>
  </si>
  <si>
    <t>2904.55万</t>
  </si>
  <si>
    <t>-3525.27万</t>
  </si>
  <si>
    <t>-65.95万</t>
  </si>
  <si>
    <t>2886.24万</t>
  </si>
  <si>
    <t>11.22亿</t>
  </si>
  <si>
    <t>566.07万</t>
  </si>
  <si>
    <t>2977.11万</t>
  </si>
  <si>
    <t>208.20万</t>
  </si>
  <si>
    <t>21.21亿</t>
  </si>
  <si>
    <t>-1.10亿</t>
  </si>
  <si>
    <t>6923.68万</t>
  </si>
  <si>
    <t>6938.53万</t>
  </si>
  <si>
    <t>3680.62万</t>
  </si>
  <si>
    <t>8858.72万</t>
  </si>
  <si>
    <t>1876.62万</t>
  </si>
  <si>
    <t>-8523.49万</t>
  </si>
  <si>
    <t>4.81亿</t>
  </si>
  <si>
    <t>-1324.80万</t>
  </si>
  <si>
    <t>1590.79万</t>
  </si>
  <si>
    <t>408.13万</t>
  </si>
  <si>
    <t>42.78亿</t>
  </si>
  <si>
    <t>30.97亿</t>
  </si>
  <si>
    <t>8430.88万</t>
  </si>
  <si>
    <t>18.07亿</t>
  </si>
  <si>
    <t>437.96万</t>
  </si>
  <si>
    <t>60.77万</t>
  </si>
  <si>
    <t>3.50亿</t>
  </si>
  <si>
    <t>-5.65亿</t>
  </si>
  <si>
    <t>6.70亿</t>
  </si>
  <si>
    <t>-1711.68万</t>
  </si>
  <si>
    <t>2135.77万</t>
  </si>
  <si>
    <t>1.67亿</t>
  </si>
  <si>
    <t>2110.97万</t>
  </si>
  <si>
    <t>118.98亿</t>
  </si>
  <si>
    <t>8.80亿</t>
  </si>
  <si>
    <t>8264.28万</t>
  </si>
  <si>
    <t>73.44亿</t>
  </si>
  <si>
    <t>70.69亿</t>
  </si>
  <si>
    <t>6773.85万</t>
  </si>
  <si>
    <t>241.50万</t>
  </si>
  <si>
    <t>26.00亿</t>
  </si>
  <si>
    <t>64.82亿</t>
  </si>
  <si>
    <t>8457.88万</t>
  </si>
  <si>
    <t>121.01亿</t>
  </si>
  <si>
    <t>-10.09亿</t>
  </si>
  <si>
    <t>-1.73亿</t>
  </si>
  <si>
    <t>27.83亿</t>
  </si>
  <si>
    <t>2453.33万</t>
  </si>
  <si>
    <t>11.96亿</t>
  </si>
  <si>
    <t>082642800</t>
  </si>
  <si>
    <t>0247928400</t>
  </si>
  <si>
    <t>0495856800</t>
  </si>
  <si>
    <t>0826428000</t>
  </si>
  <si>
    <t>01652856000</t>
  </si>
  <si>
    <t>2.77亿</t>
  </si>
  <si>
    <t>166.03亿</t>
  </si>
  <si>
    <t>101.20亿</t>
  </si>
  <si>
    <t>489.03万</t>
  </si>
  <si>
    <t>6.36亿</t>
  </si>
  <si>
    <t>3.75亿</t>
  </si>
  <si>
    <t>1370.67万</t>
  </si>
  <si>
    <t>4792.86万</t>
  </si>
  <si>
    <t>18.33万</t>
  </si>
  <si>
    <t>25.02亿</t>
  </si>
  <si>
    <t>69.25亿</t>
  </si>
  <si>
    <t>156.00万</t>
  </si>
  <si>
    <t>3.96亿</t>
  </si>
  <si>
    <t>2671.49万</t>
  </si>
  <si>
    <t>149.17亿</t>
  </si>
  <si>
    <t>31.68亿</t>
  </si>
  <si>
    <t>1779.98万</t>
  </si>
  <si>
    <t>229.05万</t>
  </si>
  <si>
    <t>-5.49亿</t>
  </si>
  <si>
    <t>26.60亿</t>
  </si>
  <si>
    <t>542.03万</t>
  </si>
  <si>
    <t>12.12亿</t>
  </si>
  <si>
    <t>35.82亿</t>
  </si>
  <si>
    <t>04890300</t>
  </si>
  <si>
    <t>014670900</t>
  </si>
  <si>
    <t>029341800</t>
  </si>
  <si>
    <t>048903000</t>
  </si>
  <si>
    <t>097806000</t>
  </si>
  <si>
    <t>137.53万</t>
  </si>
  <si>
    <t>12.58亿</t>
  </si>
  <si>
    <t>40.09亿</t>
  </si>
  <si>
    <t>3.58亿</t>
  </si>
  <si>
    <t>904.89万</t>
  </si>
  <si>
    <t>1399.98万</t>
  </si>
  <si>
    <t>1.34万</t>
  </si>
  <si>
    <t>2.94亿</t>
  </si>
  <si>
    <t>416.42万</t>
  </si>
  <si>
    <t>9950.00万</t>
  </si>
  <si>
    <t>5754.03万</t>
  </si>
  <si>
    <t>1.98亿</t>
  </si>
  <si>
    <t>-1.05亿</t>
  </si>
  <si>
    <t>-274.75万</t>
  </si>
  <si>
    <t>964.58万</t>
  </si>
  <si>
    <t>7.66亿</t>
  </si>
  <si>
    <t>1972.51万</t>
  </si>
  <si>
    <t>660.79万</t>
  </si>
  <si>
    <t>4654.97万</t>
  </si>
  <si>
    <t>85.94万</t>
  </si>
  <si>
    <t>10.61亿</t>
  </si>
  <si>
    <t>8.92亿</t>
  </si>
  <si>
    <t>310.32万</t>
  </si>
  <si>
    <t>872.49万</t>
  </si>
  <si>
    <t>52.47万</t>
  </si>
  <si>
    <t>171.00万</t>
  </si>
  <si>
    <t>1.69亿</t>
  </si>
  <si>
    <t>4761.75万</t>
  </si>
  <si>
    <t>-3144.68万</t>
  </si>
  <si>
    <t>-3513.99万</t>
  </si>
  <si>
    <t>530.01万</t>
  </si>
  <si>
    <t>531.70万</t>
  </si>
  <si>
    <t>4909.51万</t>
  </si>
  <si>
    <t>106.06万</t>
  </si>
  <si>
    <t>5.61亿</t>
  </si>
  <si>
    <t>3696.57万</t>
  </si>
  <si>
    <t>3.45亿</t>
  </si>
  <si>
    <t>395.71万</t>
  </si>
  <si>
    <t>694.47万</t>
  </si>
  <si>
    <t>12.43万</t>
  </si>
  <si>
    <t>3.51亿</t>
  </si>
  <si>
    <t>1498.66万</t>
  </si>
  <si>
    <t>2453.08万</t>
  </si>
  <si>
    <t>2387.41万</t>
  </si>
  <si>
    <t>1.80亿</t>
  </si>
  <si>
    <t>1855.31万</t>
  </si>
  <si>
    <t>-6.75亿</t>
  </si>
  <si>
    <t>-6793.94万</t>
  </si>
  <si>
    <t>6859.83万</t>
  </si>
  <si>
    <t>-4165.18万</t>
  </si>
  <si>
    <t>738.75万</t>
  </si>
  <si>
    <t>7101.89万</t>
  </si>
  <si>
    <t>036965700</t>
  </si>
  <si>
    <t>0110897100</t>
  </si>
  <si>
    <t>0221794200</t>
  </si>
  <si>
    <t>0369657000</t>
  </si>
  <si>
    <t>0739314000</t>
  </si>
  <si>
    <t>521.35万</t>
  </si>
  <si>
    <t>11.56亿</t>
  </si>
  <si>
    <t>52.94亿</t>
  </si>
  <si>
    <t>5.38亿</t>
  </si>
  <si>
    <t>166.17万</t>
  </si>
  <si>
    <t>751.49万</t>
  </si>
  <si>
    <t>17.26万</t>
  </si>
  <si>
    <t>3580.21万</t>
  </si>
  <si>
    <t>2074.42万</t>
  </si>
  <si>
    <t>3530.56万</t>
  </si>
  <si>
    <t>901.02万</t>
  </si>
  <si>
    <t>-1133.64万</t>
  </si>
  <si>
    <t>-495.93万</t>
  </si>
  <si>
    <t>1306.40万</t>
  </si>
  <si>
    <t>14.47亿</t>
  </si>
  <si>
    <t>2833.47万</t>
  </si>
  <si>
    <t>1.89亿</t>
  </si>
  <si>
    <t>*ST傲农</t>
  </si>
  <si>
    <t>1947.86万</t>
  </si>
  <si>
    <t>-8.62亿</t>
  </si>
  <si>
    <t>42.11亿</t>
  </si>
  <si>
    <t>3.79亿</t>
  </si>
  <si>
    <t>28.57亿</t>
  </si>
  <si>
    <t>24.52亿</t>
  </si>
  <si>
    <t>7129.15万</t>
  </si>
  <si>
    <t>902.57万</t>
  </si>
  <si>
    <t>48.72万</t>
  </si>
  <si>
    <t>9.61亿</t>
  </si>
  <si>
    <t>37.94亿</t>
  </si>
  <si>
    <t>30.07亿</t>
  </si>
  <si>
    <t>111.26亿</t>
  </si>
  <si>
    <t>10.81亿</t>
  </si>
  <si>
    <t>-2869.64万</t>
  </si>
  <si>
    <t>6062.04万</t>
  </si>
  <si>
    <t>-3979.73万</t>
  </si>
  <si>
    <t>8.18亿</t>
  </si>
  <si>
    <t>8365.95万</t>
  </si>
  <si>
    <t>9929.66万</t>
  </si>
  <si>
    <t>9.09亿</t>
  </si>
  <si>
    <t>503.62万</t>
  </si>
  <si>
    <t>74.81亿</t>
  </si>
  <si>
    <t>31.03亿</t>
  </si>
  <si>
    <t>2.06亿</t>
  </si>
  <si>
    <t>72.97亿</t>
  </si>
  <si>
    <t>68.92亿</t>
  </si>
  <si>
    <t>1034.98万</t>
  </si>
  <si>
    <t>633.67万</t>
  </si>
  <si>
    <t>5.87亿</t>
  </si>
  <si>
    <t>16.52亿</t>
  </si>
  <si>
    <t>1850.95万</t>
  </si>
  <si>
    <t>38.34亿</t>
  </si>
  <si>
    <t>16.98亿</t>
  </si>
  <si>
    <t>-3.45亿</t>
  </si>
  <si>
    <t>-1.02亿</t>
  </si>
  <si>
    <t>938.20万</t>
  </si>
  <si>
    <t>6.97亿</t>
  </si>
  <si>
    <t>2390.67万</t>
  </si>
  <si>
    <t>2692.67万</t>
  </si>
  <si>
    <t>1.83亿</t>
  </si>
  <si>
    <t>开始亏损</t>
  </si>
  <si>
    <t>01236000000</t>
  </si>
  <si>
    <t>04120000000</t>
  </si>
  <si>
    <t>333.61万</t>
  </si>
  <si>
    <t>26.58亿</t>
  </si>
  <si>
    <t>13.49亿</t>
  </si>
  <si>
    <t>12.32亿</t>
  </si>
  <si>
    <t>1620.78万</t>
  </si>
  <si>
    <t>3623.83万</t>
  </si>
  <si>
    <t>97.20万</t>
  </si>
  <si>
    <t>5.12亿</t>
  </si>
  <si>
    <t>300.57万</t>
  </si>
  <si>
    <t>4.25亿</t>
  </si>
  <si>
    <t>22.26亿</t>
  </si>
  <si>
    <t>7.38亿</t>
  </si>
  <si>
    <t>9.46亿</t>
  </si>
  <si>
    <t>29.82万</t>
  </si>
  <si>
    <t>48.90亿</t>
  </si>
  <si>
    <t>6.07亿</t>
  </si>
  <si>
    <t>84.99万</t>
  </si>
  <si>
    <t>-1.38亿</t>
  </si>
  <si>
    <t>-1.35亿</t>
  </si>
  <si>
    <t>7330.36万</t>
  </si>
  <si>
    <t>-2299.14万</t>
  </si>
  <si>
    <t>3044.95万</t>
  </si>
  <si>
    <t>1.81亿</t>
  </si>
  <si>
    <t>SH688156</t>
  </si>
  <si>
    <t>路德环境</t>
  </si>
  <si>
    <t>92.95万</t>
  </si>
  <si>
    <t>6.43亿</t>
  </si>
  <si>
    <t>6795.47万</t>
  </si>
  <si>
    <t>8110.69万</t>
  </si>
  <si>
    <t>6780.27万</t>
  </si>
  <si>
    <t>4703.75万</t>
  </si>
  <si>
    <t>339.50万</t>
  </si>
  <si>
    <t>1115.21万</t>
  </si>
  <si>
    <t>48329亿</t>
  </si>
  <si>
    <t>1.77万</t>
  </si>
  <si>
    <t>5075846亿</t>
  </si>
  <si>
    <t>252984830亿</t>
  </si>
  <si>
    <t>446.60万</t>
  </si>
  <si>
    <t>749940890亿</t>
  </si>
  <si>
    <t>2701.94万</t>
  </si>
  <si>
    <t>2.28亿</t>
  </si>
  <si>
    <t>5.03亿</t>
  </si>
  <si>
    <t>3390.32万</t>
  </si>
  <si>
    <t>-1.32亿</t>
  </si>
  <si>
    <t>3.42亿</t>
  </si>
  <si>
    <t>3.82亿</t>
  </si>
  <si>
    <t>3.04亿</t>
  </si>
  <si>
    <t>2592.61万</t>
  </si>
  <si>
    <t>7553.91万</t>
  </si>
  <si>
    <t>4774.08万</t>
  </si>
  <si>
    <t>4405.57万</t>
  </si>
  <si>
    <t>1828.96万</t>
  </si>
  <si>
    <t>9420.59万</t>
  </si>
  <si>
    <t>2696.95万</t>
  </si>
  <si>
    <t>303.47万</t>
  </si>
  <si>
    <t>513.15万</t>
  </si>
  <si>
    <t>2983.37万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</si>
</sst>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sz val="9"/>
      <color rgb="FFFF0000"/>
      <name val="宋体"/>
      <family val="3"/>
      <charset val="134"/>
      <scheme val="minor"/>
    </font>
    <font>
      <b/>
      <sz val="9"/>
      <color theme="1"/>
      <name val="宋体"/>
      <family val="3"/>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4" fillId="0" borderId="0" xfId="0" applyFont="1">
      <alignment vertical="center"/>
    </xf>
    <xf numFmtId="0" fontId="3" fillId="0" borderId="0" xfId="0" applyFont="1">
      <alignment vertical="center"/>
    </xf>
    <xf numFmtId="0" fontId="5" fillId="0" borderId="0" xfId="0" applyFont="1" applyAlignment="1">
      <alignment vertical="center" wrapText="1"/>
    </xf>
    <xf numFmtId="0" fontId="4"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317500</xdr:colOff>
          <xdr:row>0</xdr:row>
          <xdr:rowOff>95250</xdr:rowOff>
        </xdr:from>
        <xdr:to>
          <xdr:col>147</xdr:col>
          <xdr:colOff>1460500</xdr:colOff>
          <xdr:row>0</xdr:row>
          <xdr:rowOff>406400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42"/>
  <sheetViews>
    <sheetView tabSelected="1" zoomScale="85" zoomScaleNormal="85" workbookViewId="0">
      <pane xSplit="5" ySplit="1" topLeftCell="F2" activePane="bottomRight" state="frozen"/>
      <selection pane="topRight" activeCell="F1" sqref="F1"/>
      <selection pane="bottomLeft" activeCell="A2" sqref="A2"/>
      <selection pane="bottomRight" activeCell="C3" sqref="C3:C4"/>
    </sheetView>
  </sheetViews>
  <sheetFormatPr defaultRowHeight="14" x14ac:dyDescent="0.25"/>
  <cols>
    <col min="1" max="1" width="36.453125" customWidth="1"/>
    <col min="2" max="2" width="39.54296875" customWidth="1"/>
    <col min="3" max="3" width="50.453125" customWidth="1"/>
    <col min="148" max="148" width="26.1796875" customWidth="1"/>
  </cols>
  <sheetData>
    <row r="1" spans="1:146" ht="40.5" customHeight="1" x14ac:dyDescent="0.25">
      <c r="A1" s="4" t="s">
        <v>123</v>
      </c>
      <c r="B1" s="5" t="s">
        <v>124</v>
      </c>
      <c r="C1" s="4" t="s">
        <v>125</v>
      </c>
      <c r="D1" t="s">
        <v>25</v>
      </c>
      <c r="E1" t="s">
        <v>346</v>
      </c>
      <c r="F1" t="s">
        <v>3</v>
      </c>
      <c r="G1" t="s">
        <v>483</v>
      </c>
      <c r="H1" t="s">
        <v>484</v>
      </c>
      <c r="I1" t="s">
        <v>26</v>
      </c>
      <c r="J1" t="s">
        <v>27</v>
      </c>
      <c r="K1" t="s">
        <v>4</v>
      </c>
      <c r="L1" t="s">
        <v>28</v>
      </c>
      <c r="M1" t="s">
        <v>57</v>
      </c>
      <c r="N1" t="s">
        <v>58</v>
      </c>
      <c r="O1" t="s">
        <v>59</v>
      </c>
      <c r="P1" t="s">
        <v>485</v>
      </c>
      <c r="Q1" t="s">
        <v>486</v>
      </c>
      <c r="R1" t="s">
        <v>347</v>
      </c>
      <c r="S1" t="s">
        <v>60</v>
      </c>
      <c r="T1" t="s">
        <v>487</v>
      </c>
      <c r="U1" t="s">
        <v>285</v>
      </c>
      <c r="V1" t="s">
        <v>61</v>
      </c>
      <c r="W1" t="s">
        <v>488</v>
      </c>
      <c r="X1" t="s">
        <v>489</v>
      </c>
      <c r="Y1" t="s">
        <v>490</v>
      </c>
      <c r="Z1" t="s">
        <v>491</v>
      </c>
      <c r="AA1" t="s">
        <v>492</v>
      </c>
      <c r="AB1" t="s">
        <v>493</v>
      </c>
      <c r="AC1" t="s">
        <v>494</v>
      </c>
      <c r="AD1" t="s">
        <v>495</v>
      </c>
      <c r="AE1" t="s">
        <v>62</v>
      </c>
      <c r="AF1" t="s">
        <v>63</v>
      </c>
      <c r="AG1" t="s">
        <v>496</v>
      </c>
      <c r="AH1" t="s">
        <v>497</v>
      </c>
      <c r="AI1" t="s">
        <v>498</v>
      </c>
      <c r="AJ1" t="s">
        <v>64</v>
      </c>
      <c r="AK1" t="s">
        <v>499</v>
      </c>
      <c r="AL1" t="s">
        <v>126</v>
      </c>
      <c r="AM1" t="s">
        <v>500</v>
      </c>
      <c r="AN1" t="s">
        <v>501</v>
      </c>
      <c r="AO1" t="s">
        <v>502</v>
      </c>
      <c r="AP1" t="s">
        <v>503</v>
      </c>
      <c r="AQ1" t="s">
        <v>504</v>
      </c>
      <c r="AR1" t="s">
        <v>505</v>
      </c>
      <c r="AS1" t="s">
        <v>506</v>
      </c>
      <c r="AT1" t="s">
        <v>507</v>
      </c>
      <c r="AU1" t="s">
        <v>508</v>
      </c>
      <c r="AV1" t="s">
        <v>509</v>
      </c>
      <c r="AW1" t="s">
        <v>510</v>
      </c>
      <c r="AX1" t="s">
        <v>511</v>
      </c>
      <c r="AY1" t="s">
        <v>512</v>
      </c>
      <c r="AZ1" t="s">
        <v>127</v>
      </c>
      <c r="BA1" t="s">
        <v>128</v>
      </c>
      <c r="BB1" t="s">
        <v>129</v>
      </c>
      <c r="BC1" t="s">
        <v>513</v>
      </c>
      <c r="BD1" t="s">
        <v>286</v>
      </c>
      <c r="BE1" t="s">
        <v>130</v>
      </c>
      <c r="BF1" t="s">
        <v>131</v>
      </c>
      <c r="BG1" t="s">
        <v>132</v>
      </c>
      <c r="BH1" t="s">
        <v>514</v>
      </c>
      <c r="BI1" t="s">
        <v>515</v>
      </c>
      <c r="BJ1" t="s">
        <v>516</v>
      </c>
      <c r="BK1" t="s">
        <v>517</v>
      </c>
      <c r="BL1" t="s">
        <v>518</v>
      </c>
      <c r="BM1" t="s">
        <v>519</v>
      </c>
      <c r="BN1" t="s">
        <v>520</v>
      </c>
      <c r="BO1" t="s">
        <v>348</v>
      </c>
      <c r="BP1" t="s">
        <v>287</v>
      </c>
      <c r="BQ1" t="s">
        <v>521</v>
      </c>
      <c r="BR1" t="s">
        <v>349</v>
      </c>
      <c r="BS1" t="s">
        <v>288</v>
      </c>
      <c r="BT1" t="s">
        <v>522</v>
      </c>
      <c r="BU1" t="s">
        <v>362</v>
      </c>
      <c r="BV1" t="s">
        <v>523</v>
      </c>
      <c r="BW1" t="s">
        <v>524</v>
      </c>
      <c r="BX1" t="s">
        <v>248</v>
      </c>
      <c r="BY1" t="s">
        <v>525</v>
      </c>
      <c r="BZ1" t="s">
        <v>526</v>
      </c>
      <c r="CA1" t="s">
        <v>249</v>
      </c>
      <c r="CB1" t="s">
        <v>527</v>
      </c>
      <c r="CC1" t="s">
        <v>528</v>
      </c>
      <c r="CD1" t="s">
        <v>529</v>
      </c>
      <c r="CE1" t="s">
        <v>530</v>
      </c>
      <c r="CF1" s="1" t="s">
        <v>350</v>
      </c>
      <c r="CG1" s="1" t="s">
        <v>351</v>
      </c>
      <c r="CH1" s="1" t="s">
        <v>235</v>
      </c>
      <c r="CI1" s="1" t="s">
        <v>236</v>
      </c>
      <c r="CJ1" s="1" t="s">
        <v>237</v>
      </c>
      <c r="CK1" s="1" t="s">
        <v>238</v>
      </c>
      <c r="CL1" s="1" t="s">
        <v>239</v>
      </c>
      <c r="CM1" s="1" t="s">
        <v>240</v>
      </c>
      <c r="CN1" s="1" t="s">
        <v>241</v>
      </c>
      <c r="CO1" s="1" t="s">
        <v>242</v>
      </c>
      <c r="CP1" s="1" t="s">
        <v>243</v>
      </c>
      <c r="CQ1" s="1" t="s">
        <v>244</v>
      </c>
      <c r="CR1" s="1" t="s">
        <v>531</v>
      </c>
      <c r="CS1" s="1" t="s">
        <v>532</v>
      </c>
      <c r="CT1" s="1" t="s">
        <v>533</v>
      </c>
      <c r="CU1" s="1" t="s">
        <v>534</v>
      </c>
      <c r="CV1" s="1" t="s">
        <v>535</v>
      </c>
      <c r="CW1" s="1" t="s">
        <v>536</v>
      </c>
      <c r="CX1">
        <v>1</v>
      </c>
      <c r="CY1" t="s">
        <v>537</v>
      </c>
      <c r="CZ1" t="s">
        <v>538</v>
      </c>
      <c r="DA1">
        <v>3</v>
      </c>
      <c r="DB1" t="s">
        <v>539</v>
      </c>
      <c r="DC1" t="s">
        <v>540</v>
      </c>
      <c r="DD1">
        <v>6</v>
      </c>
      <c r="DE1" t="s">
        <v>541</v>
      </c>
      <c r="DF1" t="s">
        <v>542</v>
      </c>
      <c r="DG1">
        <v>10</v>
      </c>
      <c r="DH1" t="s">
        <v>543</v>
      </c>
      <c r="DI1" t="s">
        <v>544</v>
      </c>
      <c r="DJ1">
        <v>20</v>
      </c>
      <c r="DK1" t="s">
        <v>545</v>
      </c>
      <c r="DL1" t="s">
        <v>245</v>
      </c>
      <c r="DM1" t="s">
        <v>246</v>
      </c>
      <c r="DN1" s="2" t="s">
        <v>247</v>
      </c>
      <c r="DO1" t="s">
        <v>546</v>
      </c>
      <c r="DP1" t="s">
        <v>547</v>
      </c>
      <c r="DQ1" s="12" t="s">
        <v>548</v>
      </c>
      <c r="DR1" s="1" t="s">
        <v>549</v>
      </c>
      <c r="DS1" s="1" t="s">
        <v>550</v>
      </c>
      <c r="DT1" t="s">
        <v>551</v>
      </c>
      <c r="DU1" t="s">
        <v>552</v>
      </c>
      <c r="DV1" t="s">
        <v>553</v>
      </c>
      <c r="DW1" t="s">
        <v>554</v>
      </c>
      <c r="DX1" t="s">
        <v>555</v>
      </c>
      <c r="DY1" t="s">
        <v>556</v>
      </c>
      <c r="DZ1" t="s">
        <v>557</v>
      </c>
      <c r="EA1" t="s">
        <v>558</v>
      </c>
      <c r="EB1" t="s">
        <v>559</v>
      </c>
      <c r="EC1" t="s">
        <v>560</v>
      </c>
      <c r="ED1" t="s">
        <v>561</v>
      </c>
      <c r="EE1" t="s">
        <v>562</v>
      </c>
      <c r="EF1" t="s">
        <v>563</v>
      </c>
      <c r="EG1" t="s">
        <v>564</v>
      </c>
      <c r="EH1" t="s">
        <v>565</v>
      </c>
      <c r="EI1" t="s">
        <v>566</v>
      </c>
      <c r="EK1" s="13" t="s">
        <v>567</v>
      </c>
      <c r="EL1" t="s">
        <v>568</v>
      </c>
      <c r="EM1" t="s">
        <v>569</v>
      </c>
      <c r="EN1" t="s">
        <v>570</v>
      </c>
      <c r="EO1" t="s">
        <v>571</v>
      </c>
      <c r="EP1" t="s">
        <v>572</v>
      </c>
    </row>
    <row r="2" spans="1:146" ht="96" x14ac:dyDescent="0.25">
      <c r="A2" s="11"/>
      <c r="B2" s="11"/>
      <c r="C2" s="11" t="str">
        <f>""&amp;CHAR(10)&amp;Basic_Fundamental_Information_Constructure(F2)&amp;CHAR(10)&amp;Basic_Fundamental_Information_Concatenate("")</f>
        <v xml:space="preserve">
市值67.884326亿, 利润3.48亿; PE22.16; 平均PE17.9; 平均PEG1.87, PB1.39; ROIC6.8533%; ROE7.97%; 股利率3.3956%; 毛利13.9567%; 净利4.9767%; 上一年度营收增-25.54%, 利润增-17.34%; 当季营收增-19.87%, 利润增-39.15%; 过往5年营收增-9.6%, 利润增3.23%
Income profile:
</v>
      </c>
      <c r="D2" t="s">
        <v>250</v>
      </c>
      <c r="E2" t="s">
        <v>251</v>
      </c>
      <c r="F2">
        <v>5.89</v>
      </c>
      <c r="G2">
        <v>0.86</v>
      </c>
      <c r="H2" t="s">
        <v>1018</v>
      </c>
      <c r="I2">
        <v>6788432600</v>
      </c>
      <c r="J2">
        <v>22.16</v>
      </c>
      <c r="K2">
        <v>1.39</v>
      </c>
      <c r="L2" t="s">
        <v>29</v>
      </c>
      <c r="M2" t="s">
        <v>629</v>
      </c>
      <c r="N2" t="s">
        <v>1019</v>
      </c>
      <c r="O2" t="s">
        <v>630</v>
      </c>
      <c r="P2">
        <v>-19.86</v>
      </c>
      <c r="Q2" t="s">
        <v>631</v>
      </c>
      <c r="R2">
        <v>63895625</v>
      </c>
      <c r="S2" s="3">
        <v>-0.39400000000000002</v>
      </c>
      <c r="T2" t="s">
        <v>626</v>
      </c>
      <c r="U2">
        <v>416216410</v>
      </c>
      <c r="V2">
        <v>1152535250</v>
      </c>
      <c r="W2">
        <v>1.45</v>
      </c>
      <c r="X2">
        <v>0.15</v>
      </c>
      <c r="Y2">
        <v>5.92</v>
      </c>
      <c r="Z2" t="s">
        <v>1020</v>
      </c>
      <c r="AA2" t="s">
        <v>1021</v>
      </c>
      <c r="AB2" t="s">
        <v>1022</v>
      </c>
      <c r="AC2" t="s">
        <v>1023</v>
      </c>
      <c r="AD2" t="s">
        <v>53</v>
      </c>
      <c r="AE2">
        <v>8096294</v>
      </c>
      <c r="AF2" t="s">
        <v>632</v>
      </c>
      <c r="AG2" t="s">
        <v>1024</v>
      </c>
      <c r="AH2" t="s">
        <v>633</v>
      </c>
      <c r="AI2" t="s">
        <v>107</v>
      </c>
      <c r="AJ2" t="s">
        <v>634</v>
      </c>
      <c r="AK2" t="s">
        <v>53</v>
      </c>
      <c r="AL2" t="s">
        <v>635</v>
      </c>
      <c r="AM2" t="s">
        <v>53</v>
      </c>
      <c r="AN2" t="s">
        <v>1025</v>
      </c>
      <c r="AO2" t="s">
        <v>1026</v>
      </c>
      <c r="AP2" t="s">
        <v>53</v>
      </c>
      <c r="AQ2" t="s">
        <v>758</v>
      </c>
      <c r="AR2" t="s">
        <v>1027</v>
      </c>
      <c r="AS2" t="s">
        <v>828</v>
      </c>
      <c r="AT2" t="s">
        <v>53</v>
      </c>
      <c r="AU2" t="s">
        <v>1028</v>
      </c>
      <c r="AV2" t="s">
        <v>1029</v>
      </c>
      <c r="AW2" t="s">
        <v>292</v>
      </c>
      <c r="AX2" t="s">
        <v>414</v>
      </c>
      <c r="AY2" t="s">
        <v>289</v>
      </c>
      <c r="AZ2" t="s">
        <v>252</v>
      </c>
      <c r="BA2" t="s">
        <v>253</v>
      </c>
      <c r="BB2" t="s">
        <v>254</v>
      </c>
      <c r="BC2" t="s">
        <v>415</v>
      </c>
      <c r="BD2" t="s">
        <v>278</v>
      </c>
      <c r="BE2" t="s">
        <v>115</v>
      </c>
      <c r="BF2" t="s">
        <v>190</v>
      </c>
      <c r="BG2" t="s">
        <v>193</v>
      </c>
      <c r="BH2" t="s">
        <v>631</v>
      </c>
      <c r="BI2" t="s">
        <v>636</v>
      </c>
      <c r="BJ2" t="s">
        <v>414</v>
      </c>
      <c r="BK2" t="s">
        <v>626</v>
      </c>
      <c r="BL2" t="s">
        <v>440</v>
      </c>
      <c r="BM2" t="s">
        <v>415</v>
      </c>
      <c r="BN2">
        <v>4.84</v>
      </c>
      <c r="BO2">
        <v>7.64</v>
      </c>
      <c r="BP2">
        <v>8.08</v>
      </c>
      <c r="BQ2">
        <v>5.82</v>
      </c>
      <c r="BR2">
        <v>8.9600000000000009</v>
      </c>
      <c r="BS2">
        <v>9.1300000000000008</v>
      </c>
      <c r="BT2" t="s">
        <v>637</v>
      </c>
      <c r="BU2" t="s">
        <v>363</v>
      </c>
      <c r="BV2">
        <v>15.53</v>
      </c>
      <c r="BW2">
        <v>13.71</v>
      </c>
      <c r="BX2">
        <v>12.63</v>
      </c>
      <c r="BY2">
        <v>5.6</v>
      </c>
      <c r="BZ2">
        <v>5.03</v>
      </c>
      <c r="CA2">
        <v>4.3</v>
      </c>
      <c r="CB2">
        <v>2.61</v>
      </c>
      <c r="CC2">
        <v>-8.11</v>
      </c>
      <c r="CD2" t="s">
        <v>1030</v>
      </c>
      <c r="CE2" t="s">
        <v>656</v>
      </c>
      <c r="CF2" s="7">
        <v>-0.19865571321882</v>
      </c>
      <c r="CG2" s="8">
        <v>-0.39147023809523812</v>
      </c>
      <c r="CH2" s="7">
        <v>-0.25538310408592224</v>
      </c>
      <c r="CI2" s="7">
        <v>-0.18017753958702087</v>
      </c>
      <c r="CJ2" s="7">
        <v>-0.1468236893415451</v>
      </c>
      <c r="CK2" s="7">
        <v>7.4593126773834229E-2</v>
      </c>
      <c r="CL2" s="7">
        <v>2.7976548299193382E-2</v>
      </c>
      <c r="CM2" s="8">
        <v>-0.17339667677879333</v>
      </c>
      <c r="CN2" s="8">
        <v>-1.8648019060492516E-2</v>
      </c>
      <c r="CO2" s="8">
        <v>5.9259258210659027E-2</v>
      </c>
      <c r="CP2" s="8">
        <v>0.11263736337423325</v>
      </c>
      <c r="CQ2" s="8">
        <v>0.18181818723678589</v>
      </c>
      <c r="CR2">
        <v>17.903558505494505</v>
      </c>
      <c r="CS2">
        <v>1.865674402518859</v>
      </c>
      <c r="CT2">
        <v>3.3955857385398982</v>
      </c>
      <c r="CU2" s="7">
        <v>-9.5962931588292125E-2</v>
      </c>
      <c r="CV2" s="8">
        <v>3.2334022596478461E-2</v>
      </c>
      <c r="CW2">
        <v>0.06</v>
      </c>
      <c r="CX2">
        <v>12.607564942528736</v>
      </c>
      <c r="CY2" t="s">
        <v>638</v>
      </c>
      <c r="CZ2">
        <v>-9.5962931588292125E-2</v>
      </c>
      <c r="DA2">
        <v>4.2025216475095784</v>
      </c>
      <c r="DB2" t="s">
        <v>639</v>
      </c>
      <c r="DC2">
        <v>-9.1164785008877508E-2</v>
      </c>
      <c r="DD2">
        <v>2.1012608237547892</v>
      </c>
      <c r="DE2" t="s">
        <v>640</v>
      </c>
      <c r="DF2">
        <v>-8.4447379797697064E-2</v>
      </c>
      <c r="DG2">
        <v>1.2607564942528735</v>
      </c>
      <c r="DH2" t="s">
        <v>641</v>
      </c>
      <c r="DI2">
        <v>-7.67703452706337E-2</v>
      </c>
      <c r="DJ2">
        <v>0.63037824712643675</v>
      </c>
      <c r="DK2" t="s">
        <v>642</v>
      </c>
      <c r="DL2">
        <v>-6.717405211180448E-2</v>
      </c>
      <c r="DM2">
        <v>348000000</v>
      </c>
      <c r="DN2">
        <v>-9.5962931588292125E-2</v>
      </c>
      <c r="DO2">
        <v>4387432600</v>
      </c>
      <c r="DP2">
        <v>1864537800</v>
      </c>
      <c r="DQ2">
        <v>14</v>
      </c>
      <c r="DR2">
        <v>-0.10269278163052788</v>
      </c>
      <c r="DS2">
        <v>-0.42380426069171656</v>
      </c>
      <c r="DT2" s="9">
        <v>-0.75666666666666671</v>
      </c>
      <c r="DU2">
        <v>-0.28666666666666668</v>
      </c>
      <c r="DV2">
        <v>-1.0433333333333334</v>
      </c>
      <c r="DW2">
        <v>6.2434701492537314</v>
      </c>
      <c r="DX2">
        <v>0.22943986486486537</v>
      </c>
      <c r="DY2">
        <v>6.0339494447105686</v>
      </c>
      <c r="DZ2">
        <v>3603</v>
      </c>
      <c r="EA2">
        <v>6.010012096512491</v>
      </c>
      <c r="EB2">
        <v>6</v>
      </c>
      <c r="EC2">
        <v>1.7905829778308298E-2</v>
      </c>
      <c r="ED2">
        <v>0.12841255831437692</v>
      </c>
      <c r="EE2" s="10">
        <v>-1.0143</v>
      </c>
      <c r="EF2">
        <v>-1.0023</v>
      </c>
      <c r="EG2">
        <v>9.1394398648648654</v>
      </c>
      <c r="EH2" t="s">
        <v>573</v>
      </c>
      <c r="EI2">
        <v>0</v>
      </c>
      <c r="EJ2">
        <v>0</v>
      </c>
      <c r="EK2" s="13">
        <v>45470</v>
      </c>
      <c r="EL2" s="14">
        <v>0.87</v>
      </c>
      <c r="EM2" s="14">
        <v>-2.92</v>
      </c>
      <c r="EN2" s="14">
        <v>0.35</v>
      </c>
      <c r="EO2" s="14">
        <v>2.64</v>
      </c>
      <c r="EP2" s="14">
        <v>-1.2</v>
      </c>
    </row>
    <row r="3" spans="1:146" ht="96" x14ac:dyDescent="0.25">
      <c r="A3" s="11"/>
      <c r="B3" s="11"/>
      <c r="C3" s="11" t="str">
        <f>""&amp;CHAR(10)&amp;Basic_Fundamental_Information_Constructure(F3)&amp;CHAR(10)&amp;Basic_Fundamental_Information_Concatenate("")</f>
        <v xml:space="preserve">
市值39.909569亿, 利润1.02亿; PE45.43; 平均PE25.67; 平均PEG2.36, PB1.25; ROIC3.5367%; ROE4.8233%; 股利率1.2933%; 毛利4.6433%; 净利1.3933%; 上一年度营收增-7.44%, 利润增-27.66%; 当季营收增13.38%, 利润增-38.89%; 过往5年营收增10.87%, 利润增-6%
Income profile:
</v>
      </c>
      <c r="D3" t="s">
        <v>46</v>
      </c>
      <c r="E3" t="s">
        <v>13</v>
      </c>
      <c r="F3">
        <v>5.49</v>
      </c>
      <c r="G3">
        <v>-0.18</v>
      </c>
      <c r="H3" t="s">
        <v>1031</v>
      </c>
      <c r="I3">
        <v>3990956900</v>
      </c>
      <c r="J3">
        <v>45.43</v>
      </c>
      <c r="K3">
        <v>1.25</v>
      </c>
      <c r="L3" t="s">
        <v>29</v>
      </c>
      <c r="M3" t="s">
        <v>643</v>
      </c>
      <c r="N3" t="s">
        <v>1032</v>
      </c>
      <c r="O3" t="s">
        <v>644</v>
      </c>
      <c r="P3">
        <v>13.39</v>
      </c>
      <c r="Q3" t="s">
        <v>645</v>
      </c>
      <c r="R3">
        <v>22774155</v>
      </c>
      <c r="S3" s="3">
        <v>-0.38890000000000002</v>
      </c>
      <c r="T3" t="s">
        <v>646</v>
      </c>
      <c r="U3">
        <v>631105340</v>
      </c>
      <c r="V3">
        <v>726950250</v>
      </c>
      <c r="W3">
        <v>1.96</v>
      </c>
      <c r="X3">
        <v>0.54</v>
      </c>
      <c r="Y3">
        <v>0.66</v>
      </c>
      <c r="Z3" t="s">
        <v>1033</v>
      </c>
      <c r="AA3" t="s">
        <v>1034</v>
      </c>
      <c r="AB3" t="s">
        <v>1035</v>
      </c>
      <c r="AC3" t="s">
        <v>1036</v>
      </c>
      <c r="AD3" t="s">
        <v>53</v>
      </c>
      <c r="AE3">
        <v>10314795</v>
      </c>
      <c r="AF3" t="s">
        <v>647</v>
      </c>
      <c r="AG3" t="s">
        <v>1037</v>
      </c>
      <c r="AH3" t="s">
        <v>648</v>
      </c>
      <c r="AI3" t="s">
        <v>1038</v>
      </c>
      <c r="AJ3" t="s">
        <v>649</v>
      </c>
      <c r="AK3" t="s">
        <v>53</v>
      </c>
      <c r="AL3" t="s">
        <v>650</v>
      </c>
      <c r="AM3" t="s">
        <v>53</v>
      </c>
      <c r="AN3" t="s">
        <v>1039</v>
      </c>
      <c r="AO3" t="s">
        <v>1040</v>
      </c>
      <c r="AP3" t="s">
        <v>53</v>
      </c>
      <c r="AQ3" t="s">
        <v>1041</v>
      </c>
      <c r="AR3" t="s">
        <v>1042</v>
      </c>
      <c r="AS3" t="s">
        <v>785</v>
      </c>
      <c r="AT3" t="s">
        <v>651</v>
      </c>
      <c r="AU3" t="s">
        <v>1043</v>
      </c>
      <c r="AV3" t="s">
        <v>1044</v>
      </c>
      <c r="AW3" t="s">
        <v>1045</v>
      </c>
      <c r="AX3" t="s">
        <v>416</v>
      </c>
      <c r="AY3" t="s">
        <v>290</v>
      </c>
      <c r="AZ3" t="s">
        <v>133</v>
      </c>
      <c r="BA3" t="s">
        <v>66</v>
      </c>
      <c r="BB3" t="s">
        <v>135</v>
      </c>
      <c r="BC3" t="s">
        <v>91</v>
      </c>
      <c r="BD3" t="s">
        <v>70</v>
      </c>
      <c r="BE3" t="s">
        <v>134</v>
      </c>
      <c r="BF3" t="s">
        <v>67</v>
      </c>
      <c r="BG3" t="s">
        <v>136</v>
      </c>
      <c r="BH3" t="s">
        <v>645</v>
      </c>
      <c r="BI3" t="s">
        <v>653</v>
      </c>
      <c r="BJ3" t="s">
        <v>416</v>
      </c>
      <c r="BK3" t="s">
        <v>646</v>
      </c>
      <c r="BL3" t="s">
        <v>654</v>
      </c>
      <c r="BM3" t="s">
        <v>91</v>
      </c>
      <c r="BN3">
        <v>2.08</v>
      </c>
      <c r="BO3">
        <v>3.47</v>
      </c>
      <c r="BP3">
        <v>5.0599999999999996</v>
      </c>
      <c r="BQ3">
        <v>2.4700000000000002</v>
      </c>
      <c r="BR3">
        <v>4.7300000000000004</v>
      </c>
      <c r="BS3">
        <v>7.27</v>
      </c>
      <c r="BT3" t="s">
        <v>655</v>
      </c>
      <c r="BU3" t="s">
        <v>363</v>
      </c>
      <c r="BV3">
        <v>2.94</v>
      </c>
      <c r="BW3">
        <v>4.82</v>
      </c>
      <c r="BX3">
        <v>6.17</v>
      </c>
      <c r="BY3">
        <v>0.87</v>
      </c>
      <c r="BZ3">
        <v>1.28</v>
      </c>
      <c r="CA3">
        <v>2.0299999999999998</v>
      </c>
      <c r="CB3">
        <v>0.92</v>
      </c>
      <c r="CC3">
        <v>-12.7</v>
      </c>
      <c r="CD3" t="s">
        <v>1046</v>
      </c>
      <c r="CE3" t="s">
        <v>359</v>
      </c>
      <c r="CF3" s="7">
        <v>0.13376987839101964</v>
      </c>
      <c r="CG3" s="8">
        <v>-0.38886102546350337</v>
      </c>
      <c r="CH3" s="7">
        <v>-7.442842423915863E-2</v>
      </c>
      <c r="CI3" s="7">
        <v>9.3088500201702118E-2</v>
      </c>
      <c r="CJ3" s="7">
        <v>0.34557318687438965</v>
      </c>
      <c r="CK3" s="7">
        <v>0.17499995231628418</v>
      </c>
      <c r="CL3" s="7">
        <v>4.1841091588139534E-3</v>
      </c>
      <c r="CM3" s="8">
        <v>-0.27659574151039124</v>
      </c>
      <c r="CN3" s="8">
        <v>-0.30882352590560913</v>
      </c>
      <c r="CO3" s="8">
        <v>0.10270269960165024</v>
      </c>
      <c r="CP3" s="8">
        <v>0.39097744226455688</v>
      </c>
      <c r="CQ3" s="8">
        <v>-0.2083333283662796</v>
      </c>
      <c r="CR3">
        <v>25.665317684887459</v>
      </c>
      <c r="CS3">
        <v>2.3614740031871326</v>
      </c>
      <c r="CT3">
        <v>1.2932604735883424</v>
      </c>
      <c r="CU3" s="7">
        <v>0.10868346486240625</v>
      </c>
      <c r="CV3" s="8">
        <v>-6.0014490783214566E-2</v>
      </c>
      <c r="CW3">
        <v>0.06</v>
      </c>
      <c r="CX3">
        <v>31.053739751216124</v>
      </c>
      <c r="CY3">
        <v>106684635.29808059</v>
      </c>
      <c r="CZ3">
        <v>0.10868346486240625</v>
      </c>
      <c r="DA3">
        <v>9.9891213464669271</v>
      </c>
      <c r="DB3">
        <v>331656487.60206187</v>
      </c>
      <c r="DC3">
        <v>0.10324929161928594</v>
      </c>
      <c r="DD3">
        <v>4.8139641259233272</v>
      </c>
      <c r="DE3">
        <v>688197255.59640908</v>
      </c>
      <c r="DF3">
        <v>9.5641449078917501E-2</v>
      </c>
      <c r="DG3">
        <v>2.8217853293435984</v>
      </c>
      <c r="DH3">
        <v>1174064116.624583</v>
      </c>
      <c r="DI3">
        <v>8.6946771889925001E-2</v>
      </c>
      <c r="DJ3">
        <v>1.3813409661842546</v>
      </c>
      <c r="DK3">
        <v>2398362881.5060353</v>
      </c>
      <c r="DL3">
        <v>7.6078425403684369E-2</v>
      </c>
      <c r="DM3">
        <v>102000000</v>
      </c>
      <c r="DN3">
        <v>0.10868346486240625</v>
      </c>
      <c r="DO3">
        <v>3312956900</v>
      </c>
      <c r="DP3">
        <v>2446041200</v>
      </c>
      <c r="DQ3">
        <v>96</v>
      </c>
      <c r="DR3">
        <v>2.5086413528613391E-2</v>
      </c>
      <c r="DS3">
        <v>-0.32884653468028879</v>
      </c>
      <c r="DT3" s="9">
        <v>-0.19000000000000003</v>
      </c>
      <c r="DU3">
        <v>-0.52</v>
      </c>
      <c r="DV3">
        <v>-0.71000000000000008</v>
      </c>
      <c r="DW3">
        <v>-2.1269999999999998</v>
      </c>
      <c r="DX3">
        <v>0.43635289256198262</v>
      </c>
      <c r="DY3">
        <v>-2.0249368173553721</v>
      </c>
      <c r="DZ3">
        <v>3217</v>
      </c>
      <c r="EA3">
        <v>-2.0092378464292993</v>
      </c>
      <c r="EB3">
        <v>2</v>
      </c>
      <c r="EC3">
        <v>3.2682704215315973E-2</v>
      </c>
      <c r="ED3">
        <v>0.1664488044401938</v>
      </c>
      <c r="EE3" s="10">
        <v>3.06481</v>
      </c>
      <c r="EF3">
        <v>3.0739100000000001</v>
      </c>
      <c r="EG3">
        <v>24.196352892561983</v>
      </c>
      <c r="EH3" t="s">
        <v>584</v>
      </c>
      <c r="EI3">
        <v>0</v>
      </c>
      <c r="EJ3">
        <v>0</v>
      </c>
      <c r="EK3" s="13">
        <v>45470</v>
      </c>
      <c r="EL3" s="14">
        <v>-0.36</v>
      </c>
      <c r="EM3" s="14">
        <v>-3.8</v>
      </c>
      <c r="EN3" s="14">
        <v>0.94</v>
      </c>
      <c r="EO3" s="14">
        <v>2.61</v>
      </c>
      <c r="EP3" s="14">
        <v>-0.91</v>
      </c>
    </row>
    <row r="4" spans="1:146" ht="96" x14ac:dyDescent="0.25">
      <c r="C4" s="11" t="str">
        <f>""&amp;CHAR(10)&amp;Basic_Fundamental_Information_Constructure(F4)&amp;CHAR(10)&amp;Basic_Fundamental_Information_Concatenate("")</f>
        <v xml:space="preserve">
市值10.6182814亿, 利润-520.90万; PE; 平均PE-67.16; 平均PEG-2.42, PB6.46; ROIC18.575%; ROE13.0233%; 股利率0%; 毛利17.7433%; 净利7.8433%; 上一年度营收增6.33%, 利润增-223.99%; 当季营收增-24.66%, 利润增5.31%; 过往5年营收增27.73%, 利润增-7.25%
Income profile:
</v>
      </c>
      <c r="D4" t="s">
        <v>1047</v>
      </c>
      <c r="E4" t="s">
        <v>1048</v>
      </c>
      <c r="F4">
        <v>3.41</v>
      </c>
      <c r="G4">
        <v>1.49</v>
      </c>
      <c r="H4" t="s">
        <v>1049</v>
      </c>
      <c r="I4">
        <v>1061828140</v>
      </c>
      <c r="K4">
        <v>6.46</v>
      </c>
      <c r="L4" t="s">
        <v>29</v>
      </c>
      <c r="M4" t="s">
        <v>590</v>
      </c>
      <c r="N4" t="s">
        <v>1050</v>
      </c>
      <c r="O4" t="s">
        <v>1051</v>
      </c>
      <c r="P4" s="3">
        <v>-24.66</v>
      </c>
      <c r="Q4" t="s">
        <v>136</v>
      </c>
      <c r="R4">
        <v>-3484367</v>
      </c>
      <c r="S4">
        <v>5.3100000000000001E-2</v>
      </c>
      <c r="T4" t="s">
        <v>1052</v>
      </c>
      <c r="U4">
        <v>310145600</v>
      </c>
      <c r="V4">
        <v>311386550</v>
      </c>
      <c r="W4">
        <v>2.17</v>
      </c>
      <c r="X4">
        <v>0.06</v>
      </c>
      <c r="Y4">
        <v>-15.44</v>
      </c>
      <c r="Z4" t="s">
        <v>1053</v>
      </c>
      <c r="AA4" t="s">
        <v>1054</v>
      </c>
      <c r="AB4" t="s">
        <v>1055</v>
      </c>
      <c r="AC4" t="s">
        <v>1056</v>
      </c>
      <c r="AD4" t="s">
        <v>53</v>
      </c>
      <c r="AE4">
        <v>1627841</v>
      </c>
      <c r="AF4" t="s">
        <v>1057</v>
      </c>
      <c r="AG4">
        <v>6707.95</v>
      </c>
      <c r="AH4" t="s">
        <v>1058</v>
      </c>
      <c r="AI4" t="s">
        <v>1059</v>
      </c>
      <c r="AJ4" t="s">
        <v>1060</v>
      </c>
      <c r="AK4" t="s">
        <v>1061</v>
      </c>
      <c r="AL4" t="s">
        <v>1062</v>
      </c>
      <c r="AM4" t="s">
        <v>53</v>
      </c>
      <c r="AN4" t="s">
        <v>1063</v>
      </c>
      <c r="AO4" t="s">
        <v>1064</v>
      </c>
      <c r="AP4" t="s">
        <v>53</v>
      </c>
      <c r="AQ4" t="s">
        <v>1065</v>
      </c>
      <c r="AR4" t="s">
        <v>53</v>
      </c>
      <c r="AS4" t="s">
        <v>624</v>
      </c>
      <c r="AT4" t="s">
        <v>1066</v>
      </c>
      <c r="AU4" t="s">
        <v>1067</v>
      </c>
      <c r="AV4" t="s">
        <v>1068</v>
      </c>
      <c r="AW4" t="s">
        <v>1069</v>
      </c>
      <c r="AX4" t="s">
        <v>593</v>
      </c>
      <c r="AY4" t="s">
        <v>711</v>
      </c>
      <c r="AZ4" t="s">
        <v>107</v>
      </c>
      <c r="BA4" t="s">
        <v>295</v>
      </c>
      <c r="BB4" t="s">
        <v>299</v>
      </c>
      <c r="BC4" t="s">
        <v>1070</v>
      </c>
      <c r="BD4" t="s">
        <v>1071</v>
      </c>
      <c r="BE4" t="s">
        <v>1072</v>
      </c>
      <c r="BF4" t="s">
        <v>1073</v>
      </c>
      <c r="BG4" t="s">
        <v>1074</v>
      </c>
      <c r="BH4" t="s">
        <v>136</v>
      </c>
      <c r="BI4" t="s">
        <v>1075</v>
      </c>
      <c r="BJ4" t="s">
        <v>593</v>
      </c>
      <c r="BK4" t="s">
        <v>1052</v>
      </c>
      <c r="BL4" t="s">
        <v>1076</v>
      </c>
      <c r="BM4" t="s">
        <v>1070</v>
      </c>
      <c r="BN4" t="s">
        <v>53</v>
      </c>
      <c r="BO4">
        <v>3.97</v>
      </c>
      <c r="BP4">
        <v>33.18</v>
      </c>
      <c r="BQ4">
        <v>-6.75</v>
      </c>
      <c r="BR4">
        <v>2.37</v>
      </c>
      <c r="BS4">
        <v>43.45</v>
      </c>
      <c r="BT4" t="s">
        <v>407</v>
      </c>
      <c r="BU4" t="s">
        <v>363</v>
      </c>
      <c r="BV4">
        <v>3.15</v>
      </c>
      <c r="BW4">
        <v>20.84</v>
      </c>
      <c r="BX4">
        <v>29.24</v>
      </c>
      <c r="BY4">
        <v>-6.53</v>
      </c>
      <c r="BZ4">
        <v>4.93</v>
      </c>
      <c r="CA4">
        <v>25.13</v>
      </c>
      <c r="CB4">
        <v>-3.67</v>
      </c>
      <c r="CC4" s="7">
        <v>-23.88</v>
      </c>
      <c r="CD4" s="8" t="s">
        <v>1077</v>
      </c>
      <c r="CE4" s="7" t="s">
        <v>912</v>
      </c>
      <c r="CF4" s="7">
        <v>-0.24660101478531291</v>
      </c>
      <c r="CG4" s="7">
        <v>5.3058212849222741E-2</v>
      </c>
      <c r="CH4" s="7">
        <v>6.3291139900684357E-2</v>
      </c>
      <c r="CI4" s="7">
        <v>-0.50931674242019653</v>
      </c>
      <c r="CJ4" s="8">
        <v>1.9009009599685669</v>
      </c>
      <c r="CK4" s="8">
        <v>-4.3103449046611786E-2</v>
      </c>
      <c r="CL4" s="8">
        <v>-2.5210084393620491E-2</v>
      </c>
      <c r="CM4" s="8">
        <v>-2.2398838996887207</v>
      </c>
      <c r="CN4" s="8">
        <v>-0.93094831705093384</v>
      </c>
      <c r="CO4">
        <v>4.5673227310180664</v>
      </c>
      <c r="CP4">
        <v>-2.8224871158599854</v>
      </c>
      <c r="CQ4">
        <v>1.0636613368988037</v>
      </c>
      <c r="CR4" s="7">
        <v>-67.159398039707625</v>
      </c>
      <c r="CS4" s="8">
        <v>-2.4217960164782495</v>
      </c>
      <c r="CT4">
        <v>0</v>
      </c>
      <c r="CU4">
        <v>0.27731236480176447</v>
      </c>
      <c r="CV4">
        <v>-7.246705293655395E-2</v>
      </c>
      <c r="CW4">
        <v>0.06</v>
      </c>
      <c r="CX4" t="e">
        <v>#VALUE!</v>
      </c>
      <c r="CY4" t="s">
        <v>353</v>
      </c>
      <c r="CZ4">
        <v>0.27731236480176447</v>
      </c>
      <c r="DA4" t="e">
        <v>#VALUE!</v>
      </c>
      <c r="DB4" t="s">
        <v>354</v>
      </c>
      <c r="DC4">
        <v>0.26344674656167621</v>
      </c>
      <c r="DD4" t="e">
        <v>#VALUE!</v>
      </c>
      <c r="DE4" t="s">
        <v>354</v>
      </c>
      <c r="DF4">
        <v>0.24403488102555274</v>
      </c>
      <c r="DG4" t="e">
        <v>#VALUE!</v>
      </c>
      <c r="DH4" t="s">
        <v>354</v>
      </c>
      <c r="DI4">
        <v>0.22184989184141157</v>
      </c>
      <c r="DJ4" t="e">
        <v>#VALUE!</v>
      </c>
      <c r="DK4" t="s">
        <v>354</v>
      </c>
      <c r="DL4">
        <v>0.19411865536123513</v>
      </c>
      <c r="DM4">
        <v>-5209000</v>
      </c>
      <c r="DN4">
        <v>0.27731236480176447</v>
      </c>
      <c r="DO4">
        <v>1101828140</v>
      </c>
      <c r="DP4">
        <v>-59948180</v>
      </c>
      <c r="DQ4" s="9">
        <v>194</v>
      </c>
      <c r="DR4">
        <v>-0.5239133795870774</v>
      </c>
      <c r="DS4">
        <v>0.12552526578577669</v>
      </c>
      <c r="DT4">
        <v>-0.20499999999999999</v>
      </c>
      <c r="DU4">
        <v>-1.6633333333333333</v>
      </c>
      <c r="DV4">
        <v>-1.8683333333333334</v>
      </c>
      <c r="DW4">
        <v>-8.1536850921273025</v>
      </c>
      <c r="DX4">
        <v>0.22921196172248734</v>
      </c>
      <c r="DY4">
        <v>-8.0121736976349052</v>
      </c>
      <c r="DZ4">
        <v>4309</v>
      </c>
      <c r="EA4">
        <v>-8.0019082449717338</v>
      </c>
      <c r="EB4" s="10">
        <v>8</v>
      </c>
      <c r="EC4" s="10">
        <v>0.21266557595374624</v>
      </c>
      <c r="ED4">
        <v>2.684765928393503</v>
      </c>
      <c r="EE4">
        <v>-1.0031099999999999</v>
      </c>
      <c r="EF4">
        <v>-1.0174099999999999</v>
      </c>
      <c r="EG4">
        <v>15.079211961722487</v>
      </c>
      <c r="EH4" s="13" t="s">
        <v>480</v>
      </c>
      <c r="EI4">
        <v>0</v>
      </c>
      <c r="EJ4">
        <v>0</v>
      </c>
      <c r="EK4">
        <v>45470</v>
      </c>
      <c r="EL4">
        <v>-2.46</v>
      </c>
      <c r="EM4">
        <v>-5.04</v>
      </c>
      <c r="EN4" s="14">
        <v>1.47</v>
      </c>
      <c r="EO4" s="14">
        <v>1.45</v>
      </c>
      <c r="EP4" s="14">
        <v>-1.43</v>
      </c>
    </row>
    <row r="5" spans="1:146" ht="84" x14ac:dyDescent="0.25">
      <c r="A5" s="11"/>
      <c r="B5" s="11"/>
      <c r="C5" s="11" t="str">
        <f>""&amp;CHAR(10)&amp;Basic_Fundamental_Information_Constructure(F5)&amp;CHAR(10)&amp;Basic_Fundamental_Information_Concatenate("")</f>
        <v xml:space="preserve">
市值14.523585亿, 利润-1.40亿; PE; 平均PE-22.85; 平均PEG-137.35, PB3.46; ROIC0%; ROE-35.7867%; 股利率0%; 毛利2.71%; 净利-15.5567%; 上一年度营收增6.89%, 利润增-20.69%; 当季营收增-48.79%, 利润增70.62%; 过往5年营收增.17%, 利润增-113.1%
Income profile:
</v>
      </c>
      <c r="D5" t="s">
        <v>30</v>
      </c>
      <c r="E5" t="s">
        <v>19</v>
      </c>
      <c r="F5">
        <v>4.1900000000000004</v>
      </c>
      <c r="G5">
        <v>-0.24</v>
      </c>
      <c r="H5" t="s">
        <v>1078</v>
      </c>
      <c r="I5">
        <v>1452358500</v>
      </c>
      <c r="K5">
        <v>3.46</v>
      </c>
      <c r="L5" t="s">
        <v>29</v>
      </c>
      <c r="M5" t="s">
        <v>611</v>
      </c>
      <c r="N5" t="s">
        <v>1079</v>
      </c>
      <c r="O5" t="s">
        <v>656</v>
      </c>
      <c r="P5">
        <v>-48.64</v>
      </c>
      <c r="Q5" t="s">
        <v>435</v>
      </c>
      <c r="R5">
        <v>-8568551</v>
      </c>
      <c r="S5" s="3">
        <v>0.70620000000000005</v>
      </c>
      <c r="T5" t="s">
        <v>587</v>
      </c>
      <c r="U5">
        <v>266634580</v>
      </c>
      <c r="V5">
        <v>346624950</v>
      </c>
      <c r="W5">
        <v>2.1</v>
      </c>
      <c r="X5">
        <v>0.21</v>
      </c>
      <c r="Y5">
        <v>-5.36</v>
      </c>
      <c r="Z5" t="s">
        <v>1080</v>
      </c>
      <c r="AA5" t="s">
        <v>1081</v>
      </c>
      <c r="AB5" t="s">
        <v>1082</v>
      </c>
      <c r="AC5" t="s">
        <v>1083</v>
      </c>
      <c r="AD5" t="s">
        <v>53</v>
      </c>
      <c r="AE5">
        <v>2220401</v>
      </c>
      <c r="AF5" t="s">
        <v>657</v>
      </c>
      <c r="AG5" t="s">
        <v>1084</v>
      </c>
      <c r="AH5" t="s">
        <v>658</v>
      </c>
      <c r="AI5" t="s">
        <v>1085</v>
      </c>
      <c r="AJ5" t="s">
        <v>660</v>
      </c>
      <c r="AK5" t="s">
        <v>53</v>
      </c>
      <c r="AL5" t="s">
        <v>661</v>
      </c>
      <c r="AM5" t="s">
        <v>53</v>
      </c>
      <c r="AN5">
        <v>0</v>
      </c>
      <c r="AO5" t="s">
        <v>102</v>
      </c>
      <c r="AP5" t="s">
        <v>53</v>
      </c>
      <c r="AQ5" t="s">
        <v>1086</v>
      </c>
      <c r="AR5" t="s">
        <v>1087</v>
      </c>
      <c r="AS5" t="s">
        <v>926</v>
      </c>
      <c r="AT5" t="s">
        <v>53</v>
      </c>
      <c r="AU5" t="s">
        <v>1088</v>
      </c>
      <c r="AV5" t="s">
        <v>1089</v>
      </c>
      <c r="AW5" t="s">
        <v>1090</v>
      </c>
      <c r="AX5" t="s">
        <v>418</v>
      </c>
      <c r="AY5" t="s">
        <v>291</v>
      </c>
      <c r="AZ5" t="s">
        <v>138</v>
      </c>
      <c r="BA5" t="s">
        <v>68</v>
      </c>
      <c r="BB5" t="s">
        <v>140</v>
      </c>
      <c r="BC5" t="s">
        <v>419</v>
      </c>
      <c r="BD5" t="s">
        <v>292</v>
      </c>
      <c r="BE5" t="s">
        <v>139</v>
      </c>
      <c r="BF5" t="s">
        <v>69</v>
      </c>
      <c r="BG5" t="s">
        <v>141</v>
      </c>
      <c r="BH5" t="s">
        <v>435</v>
      </c>
      <c r="BI5" t="s">
        <v>591</v>
      </c>
      <c r="BJ5" t="s">
        <v>418</v>
      </c>
      <c r="BK5" t="s">
        <v>587</v>
      </c>
      <c r="BL5" t="s">
        <v>662</v>
      </c>
      <c r="BM5" t="s">
        <v>419</v>
      </c>
      <c r="BN5" t="s">
        <v>53</v>
      </c>
      <c r="BO5" t="s">
        <v>53</v>
      </c>
      <c r="BP5" t="s">
        <v>53</v>
      </c>
      <c r="BQ5">
        <v>-19</v>
      </c>
      <c r="BR5">
        <v>-40.15</v>
      </c>
      <c r="BS5">
        <v>-48.21</v>
      </c>
      <c r="BT5" t="s">
        <v>407</v>
      </c>
      <c r="BU5" t="s">
        <v>1091</v>
      </c>
      <c r="BV5">
        <v>4.05</v>
      </c>
      <c r="BW5">
        <v>1.45</v>
      </c>
      <c r="BX5">
        <v>2.63</v>
      </c>
      <c r="BY5">
        <v>-10.029999999999999</v>
      </c>
      <c r="BZ5">
        <v>-13.41</v>
      </c>
      <c r="CA5">
        <v>-23.23</v>
      </c>
      <c r="CB5">
        <v>-1.41</v>
      </c>
      <c r="CC5">
        <v>-38.56</v>
      </c>
      <c r="CD5" t="s">
        <v>1092</v>
      </c>
      <c r="CE5" t="s">
        <v>1093</v>
      </c>
      <c r="CF5" s="7">
        <v>-0.48788927335640137</v>
      </c>
      <c r="CG5" s="8">
        <v>0.70624460900270836</v>
      </c>
      <c r="CH5" s="7">
        <v>6.8906120955944061E-2</v>
      </c>
      <c r="CI5" s="7">
        <v>-0.18924584984779358</v>
      </c>
      <c r="CJ5" s="7">
        <v>0.34082397818565369</v>
      </c>
      <c r="CK5" s="7">
        <v>-4.8976011574268341E-2</v>
      </c>
      <c r="CL5" s="7">
        <v>-0.16318921744823456</v>
      </c>
      <c r="CM5" s="8">
        <v>-0.20689655840396881</v>
      </c>
      <c r="CN5" s="8">
        <v>0.4821428656578064</v>
      </c>
      <c r="CO5" s="8">
        <v>-7.6787519454956055</v>
      </c>
      <c r="CP5" s="8">
        <v>2.5807230472564697</v>
      </c>
      <c r="CQ5" s="8">
        <v>-0.83203083276748657</v>
      </c>
      <c r="CR5">
        <v>-22.851970364807002</v>
      </c>
      <c r="CS5">
        <v>-137.34772617180121</v>
      </c>
      <c r="CT5">
        <v>0</v>
      </c>
      <c r="CU5" s="7">
        <v>1.6638040542602539E-3</v>
      </c>
      <c r="CV5" s="8">
        <v>-1.1309626847505569</v>
      </c>
      <c r="CW5">
        <v>0.06</v>
      </c>
      <c r="CX5" t="e">
        <v>#VALUE!</v>
      </c>
      <c r="CY5" t="s">
        <v>353</v>
      </c>
      <c r="CZ5">
        <v>1.6638040542602539E-3</v>
      </c>
      <c r="DA5" t="e">
        <v>#VALUE!</v>
      </c>
      <c r="DB5" t="s">
        <v>354</v>
      </c>
      <c r="DC5">
        <v>1.5806138515472412E-3</v>
      </c>
      <c r="DD5" t="e">
        <v>#VALUE!</v>
      </c>
      <c r="DE5" t="s">
        <v>354</v>
      </c>
      <c r="DF5">
        <v>1.4641475677490234E-3</v>
      </c>
      <c r="DG5" t="e">
        <v>#VALUE!</v>
      </c>
      <c r="DH5" t="s">
        <v>354</v>
      </c>
      <c r="DI5">
        <v>1.3310432434082032E-3</v>
      </c>
      <c r="DJ5" t="e">
        <v>#VALUE!</v>
      </c>
      <c r="DK5" t="s">
        <v>354</v>
      </c>
      <c r="DL5">
        <v>1.1646628379821777E-3</v>
      </c>
      <c r="DM5">
        <v>-140000000</v>
      </c>
      <c r="DN5">
        <v>1.6638040542602539E-3</v>
      </c>
      <c r="DO5">
        <v>1516358500</v>
      </c>
      <c r="DP5">
        <v>-23512250</v>
      </c>
      <c r="DQ5">
        <v>229</v>
      </c>
      <c r="DR5">
        <v>-0.48955307741066162</v>
      </c>
      <c r="DS5">
        <v>1.8372072937532653</v>
      </c>
      <c r="DT5" s="9">
        <v>-0.55666666666666664</v>
      </c>
      <c r="DU5">
        <v>-1.4550000000000001</v>
      </c>
      <c r="DV5">
        <v>-2.0116666666666667</v>
      </c>
      <c r="DW5">
        <v>-3.2551428571428573</v>
      </c>
      <c r="DX5">
        <v>0.21459897791798141</v>
      </c>
      <c r="DY5">
        <v>-3.0164819677945021</v>
      </c>
      <c r="DZ5">
        <v>4395</v>
      </c>
      <c r="EA5">
        <v>-3.0023061853176261</v>
      </c>
      <c r="EB5">
        <v>3</v>
      </c>
      <c r="EC5">
        <v>0.23631160999806852</v>
      </c>
      <c r="ED5">
        <v>3.6581325146963599</v>
      </c>
      <c r="EE5" s="10">
        <v>-1.0115099999999999</v>
      </c>
      <c r="EF5">
        <v>-1.01841</v>
      </c>
      <c r="EG5">
        <v>15.064598977917981</v>
      </c>
      <c r="EH5" t="s">
        <v>480</v>
      </c>
      <c r="EI5">
        <v>0</v>
      </c>
      <c r="EJ5">
        <v>0</v>
      </c>
      <c r="EK5" s="13">
        <v>45470</v>
      </c>
      <c r="EL5" s="14">
        <v>-0.43</v>
      </c>
      <c r="EM5" s="14">
        <v>-7.91</v>
      </c>
      <c r="EN5" s="14">
        <v>-3.02</v>
      </c>
      <c r="EO5" s="14">
        <v>3.83</v>
      </c>
      <c r="EP5" s="14">
        <v>-0.69</v>
      </c>
    </row>
    <row r="6" spans="1:146" ht="84" x14ac:dyDescent="0.25">
      <c r="A6" s="11"/>
      <c r="B6" s="11"/>
      <c r="C6" s="11" t="str">
        <f>""&amp;CHAR(10)&amp;Basic_Fundamental_Information_Constructure(F6)&amp;CHAR(10)&amp;Basic_Fundamental_Information_Concatenate("")</f>
        <v xml:space="preserve">
市值417.75693亿, 利润2.49亿; PE80107; 平均PE281.95; 平均PEG17.66, PB2.15; ROIC0%; ROE-16.4533%; 股利率0%; 毛利3.6633%; 净利-3.18%; 上一年度营收增.14%, 利润增117.05%; 当季营收增-29.49%, 利润增28.83%; 过往5年营收增15.97%, 利润增20.32%
Income profile:
</v>
      </c>
      <c r="D6" t="s">
        <v>31</v>
      </c>
      <c r="E6" t="s">
        <v>17</v>
      </c>
      <c r="F6">
        <v>9.19</v>
      </c>
      <c r="G6">
        <v>0.55000000000000004</v>
      </c>
      <c r="H6" t="s">
        <v>1094</v>
      </c>
      <c r="I6">
        <v>41775693000</v>
      </c>
      <c r="J6">
        <v>80107</v>
      </c>
      <c r="K6">
        <v>2.15</v>
      </c>
      <c r="L6" t="s">
        <v>29</v>
      </c>
      <c r="M6" t="s">
        <v>664</v>
      </c>
      <c r="N6" t="s">
        <v>1095</v>
      </c>
      <c r="O6" t="s">
        <v>665</v>
      </c>
      <c r="P6">
        <v>-29.49</v>
      </c>
      <c r="Q6" t="s">
        <v>666</v>
      </c>
      <c r="R6">
        <v>-1200000000</v>
      </c>
      <c r="S6" s="3">
        <v>-0.14749999999999999</v>
      </c>
      <c r="T6" t="s">
        <v>659</v>
      </c>
      <c r="U6">
        <v>4511189600</v>
      </c>
      <c r="V6">
        <v>4545777200</v>
      </c>
      <c r="W6">
        <v>3.85</v>
      </c>
      <c r="X6">
        <v>0.19</v>
      </c>
      <c r="Y6">
        <v>-9.8800000000000008</v>
      </c>
      <c r="Z6" t="s">
        <v>1096</v>
      </c>
      <c r="AA6" t="s">
        <v>1097</v>
      </c>
      <c r="AB6" t="s">
        <v>944</v>
      </c>
      <c r="AC6" t="s">
        <v>1098</v>
      </c>
      <c r="AD6" t="s">
        <v>53</v>
      </c>
      <c r="AE6">
        <v>441349390</v>
      </c>
      <c r="AF6" t="s">
        <v>668</v>
      </c>
      <c r="AG6" t="s">
        <v>1099</v>
      </c>
      <c r="AH6" t="s">
        <v>669</v>
      </c>
      <c r="AI6" t="s">
        <v>1100</v>
      </c>
      <c r="AJ6" t="s">
        <v>670</v>
      </c>
      <c r="AK6" t="s">
        <v>613</v>
      </c>
      <c r="AL6" t="s">
        <v>671</v>
      </c>
      <c r="AM6" t="s">
        <v>53</v>
      </c>
      <c r="AN6" t="s">
        <v>1101</v>
      </c>
      <c r="AO6" t="s">
        <v>1102</v>
      </c>
      <c r="AP6" t="s">
        <v>1103</v>
      </c>
      <c r="AQ6" t="s">
        <v>1104</v>
      </c>
      <c r="AR6" t="s">
        <v>53</v>
      </c>
      <c r="AS6" t="s">
        <v>1105</v>
      </c>
      <c r="AT6" t="s">
        <v>1106</v>
      </c>
      <c r="AU6" t="s">
        <v>112</v>
      </c>
      <c r="AV6" t="s">
        <v>1107</v>
      </c>
      <c r="AW6" t="s">
        <v>1108</v>
      </c>
      <c r="AX6" t="s">
        <v>420</v>
      </c>
      <c r="AY6" t="s">
        <v>293</v>
      </c>
      <c r="AZ6" t="s">
        <v>142</v>
      </c>
      <c r="BA6" t="s">
        <v>71</v>
      </c>
      <c r="BB6" t="s">
        <v>144</v>
      </c>
      <c r="BC6" t="s">
        <v>672</v>
      </c>
      <c r="BD6" t="s">
        <v>294</v>
      </c>
      <c r="BE6" t="s">
        <v>143</v>
      </c>
      <c r="BF6" t="s">
        <v>72</v>
      </c>
      <c r="BG6" t="s">
        <v>145</v>
      </c>
      <c r="BH6" t="s">
        <v>666</v>
      </c>
      <c r="BI6" t="s">
        <v>673</v>
      </c>
      <c r="BJ6" t="s">
        <v>420</v>
      </c>
      <c r="BK6" t="s">
        <v>659</v>
      </c>
      <c r="BL6" t="s">
        <v>674</v>
      </c>
      <c r="BM6" t="s">
        <v>672</v>
      </c>
      <c r="BN6" t="s">
        <v>53</v>
      </c>
      <c r="BO6" t="s">
        <v>53</v>
      </c>
      <c r="BP6" t="s">
        <v>53</v>
      </c>
      <c r="BQ6">
        <v>-15.23</v>
      </c>
      <c r="BR6">
        <v>-5.55</v>
      </c>
      <c r="BS6">
        <v>-28.58</v>
      </c>
      <c r="BT6" t="s">
        <v>407</v>
      </c>
      <c r="BU6" t="s">
        <v>1091</v>
      </c>
      <c r="BV6">
        <v>2.75</v>
      </c>
      <c r="BW6">
        <v>6.64</v>
      </c>
      <c r="BX6">
        <v>1.6</v>
      </c>
      <c r="BY6">
        <v>-0.67</v>
      </c>
      <c r="BZ6">
        <v>-1.34</v>
      </c>
      <c r="CA6">
        <v>-7.53</v>
      </c>
      <c r="CB6">
        <v>0.55000000000000004</v>
      </c>
      <c r="CC6">
        <v>-11.46</v>
      </c>
      <c r="CD6" t="s">
        <v>1109</v>
      </c>
      <c r="CE6" t="s">
        <v>1110</v>
      </c>
      <c r="CF6" s="7">
        <v>-0.29489485946854632</v>
      </c>
      <c r="CG6" s="8">
        <v>0.28825622775800713</v>
      </c>
      <c r="CH6" s="7">
        <v>1.37803063262254E-3</v>
      </c>
      <c r="CI6" s="7">
        <v>0.12074891477823257</v>
      </c>
      <c r="CJ6" s="7">
        <v>0.14966540038585663</v>
      </c>
      <c r="CK6" s="7">
        <v>0.33849680423736572</v>
      </c>
      <c r="CL6" s="7">
        <v>0.18806014955043793</v>
      </c>
      <c r="CM6" s="8">
        <v>1.1705478429794312</v>
      </c>
      <c r="CN6" s="8">
        <v>0.8477739691734314</v>
      </c>
      <c r="CO6" s="8">
        <v>-2.9399271011352539</v>
      </c>
      <c r="CP6" s="8">
        <v>-1.9436705857515335E-2</v>
      </c>
      <c r="CQ6" s="8">
        <v>1.9571847915649414</v>
      </c>
      <c r="CR6">
        <v>281.95068391451071</v>
      </c>
      <c r="CS6">
        <v>17.658353559102899</v>
      </c>
      <c r="CT6">
        <v>0</v>
      </c>
      <c r="CU6" s="7">
        <v>0.15966985991690308</v>
      </c>
      <c r="CV6" s="8">
        <v>0.20322855934500694</v>
      </c>
      <c r="CW6">
        <v>0.06</v>
      </c>
      <c r="CX6">
        <v>376.35754399321831</v>
      </c>
      <c r="CY6">
        <v>272413014.2634989</v>
      </c>
      <c r="CZ6">
        <v>0.15966985991690308</v>
      </c>
      <c r="DA6">
        <v>115.99931925585668</v>
      </c>
      <c r="DB6">
        <v>883838747.13836861</v>
      </c>
      <c r="DC6">
        <v>0.15168636692105791</v>
      </c>
      <c r="DD6">
        <v>52.700369947868417</v>
      </c>
      <c r="DE6">
        <v>1945426438.2094121</v>
      </c>
      <c r="DF6">
        <v>0.14050947672687472</v>
      </c>
      <c r="DG6">
        <v>28.828297539378941</v>
      </c>
      <c r="DH6">
        <v>3556390829.5296693</v>
      </c>
      <c r="DI6">
        <v>0.12773588793352247</v>
      </c>
      <c r="DJ6">
        <v>12.018898792088908</v>
      </c>
      <c r="DK6">
        <v>8530290068.4615049</v>
      </c>
      <c r="DL6">
        <v>0.11176890194183214</v>
      </c>
      <c r="DM6">
        <v>249000000.00000003</v>
      </c>
      <c r="DN6">
        <v>0.15966985991690308</v>
      </c>
      <c r="DO6">
        <v>102524693000</v>
      </c>
      <c r="DP6">
        <v>-25242342000.000008</v>
      </c>
      <c r="DQ6">
        <v>336</v>
      </c>
      <c r="DR6">
        <v>-0.4545647193854494</v>
      </c>
      <c r="DS6">
        <v>8.502766841300019E-2</v>
      </c>
      <c r="DT6" s="9">
        <v>-0.22333333333333338</v>
      </c>
      <c r="DU6">
        <v>-0.25166666666666665</v>
      </c>
      <c r="DV6">
        <v>-0.47500000000000003</v>
      </c>
      <c r="DW6">
        <v>-2.1145999999999998</v>
      </c>
      <c r="DX6">
        <v>0.2582952380952398</v>
      </c>
      <c r="DY6">
        <v>-2.0112646342857143</v>
      </c>
      <c r="DZ6">
        <v>3194</v>
      </c>
      <c r="EA6">
        <v>-2.0042236867497905</v>
      </c>
      <c r="EB6">
        <v>2</v>
      </c>
      <c r="EC6">
        <v>1.6347303603001045E-2</v>
      </c>
      <c r="ED6">
        <v>0.1663081947791018</v>
      </c>
      <c r="EE6" s="10">
        <v>-1.05951</v>
      </c>
      <c r="EF6">
        <v>-1.0703100000000001</v>
      </c>
      <c r="EG6">
        <v>16.09829523809524</v>
      </c>
      <c r="EH6" t="s">
        <v>480</v>
      </c>
      <c r="EI6">
        <v>0</v>
      </c>
      <c r="EJ6">
        <v>0</v>
      </c>
      <c r="EK6" s="13">
        <v>45470</v>
      </c>
      <c r="EL6" s="14">
        <v>2.4500000000000002</v>
      </c>
      <c r="EM6" s="14">
        <v>-3.75</v>
      </c>
      <c r="EN6" s="14">
        <v>-0.54</v>
      </c>
      <c r="EO6" s="14">
        <v>0.22</v>
      </c>
      <c r="EP6" s="14">
        <v>-1.08</v>
      </c>
    </row>
    <row r="7" spans="1:146" ht="192" x14ac:dyDescent="0.25">
      <c r="A7" s="11"/>
      <c r="B7" s="11"/>
      <c r="C7" s="11" t="str">
        <f>"公司主要从事机制糖的生产与销售业务。公司主营产品为白砂糖，主要用于食品、医药、化学及生物工业。公司的亚法白砂糖、碳法白砂糖连续十几年在全国糖业质量评比中获得第一名，产品深受国内外高端食品和知名饮料企业青睐。"&amp;CHAR(10)&amp;Basic_Fundamental_Information_Constructure(F7)&amp;CHAR(10)&amp;Basic_Fundamental_Information_Concatenate("自产糖 17.81亿 62.75% 59.34% 9.67%
纸制品 2.45亿 8.65% 3.80% 4.49%
物流仓储 2.22亿 7.84% 7.30% 9.53%
商品贸易 1.60亿 5.63% 11.76% 21.37%
卫生护理用品 1.21亿 4.27% 8.23% 19.69%
加工糖 5184.75万 1.83% 2.60% 14.57%")</f>
        <v>公司主要从事机制糖的生产与销售业务。公司主营产品为白砂糖，主要用于食品、医药、化学及生物工业。公司的亚法白砂糖、碳法白砂糖连续十几年在全国糖业质量评比中获得第一名，产品深受国内外高端食品和知名饮料企业青睐。
市值25.820628亿, 利润2754.53万; PE112.4; 平均PE-8.75; 平均PEG-11.33, PB25.35; ROIC1.61%; ROE-53.8733%; 股利率0%; 毛利12.3133%; 净利-5.9433%; 上一年度营收增18.57%, 利润增106.01%; 当季营收增-18.72%, 利润增-48.62%; 过往5年营收增-.77%, 利润增-146.04%
Income profile:
自产糖 17.81亿 62.75% 59.34% 9.67%
纸制品 2.45亿 8.65% 3.80% 4.49%
物流仓储 2.22亿 7.84% 7.30% 9.53%
商品贸易 1.60亿 5.63% 11.76% 21.37%
卫生护理用品 1.21亿 4.27% 8.23% 19.69%
加工糖 5184.75万 1.83% 2.60% 14.57%</v>
      </c>
      <c r="D7" t="s">
        <v>49</v>
      </c>
      <c r="E7" t="s">
        <v>579</v>
      </c>
      <c r="F7">
        <v>6.45</v>
      </c>
      <c r="G7">
        <v>1.1000000000000001</v>
      </c>
      <c r="H7" t="s">
        <v>1111</v>
      </c>
      <c r="I7">
        <v>2582062800</v>
      </c>
      <c r="J7">
        <v>112.4</v>
      </c>
      <c r="K7">
        <v>25.35</v>
      </c>
      <c r="L7" t="s">
        <v>29</v>
      </c>
      <c r="M7" t="s">
        <v>676</v>
      </c>
      <c r="N7" t="s">
        <v>98</v>
      </c>
      <c r="O7" t="s">
        <v>677</v>
      </c>
      <c r="P7">
        <v>-18.73</v>
      </c>
      <c r="Q7" t="s">
        <v>678</v>
      </c>
      <c r="R7">
        <v>4830937</v>
      </c>
      <c r="S7" s="6">
        <v>-0.48620000000000002</v>
      </c>
      <c r="T7" t="s">
        <v>679</v>
      </c>
      <c r="U7">
        <v>324080940</v>
      </c>
      <c r="V7">
        <v>400319820</v>
      </c>
      <c r="W7">
        <v>24.59</v>
      </c>
      <c r="X7">
        <v>0.2</v>
      </c>
      <c r="Y7">
        <v>0.42</v>
      </c>
      <c r="Z7" t="s">
        <v>1112</v>
      </c>
      <c r="AA7" t="s">
        <v>1113</v>
      </c>
      <c r="AB7" t="s">
        <v>1114</v>
      </c>
      <c r="AC7" t="s">
        <v>1115</v>
      </c>
      <c r="AD7" t="s">
        <v>53</v>
      </c>
      <c r="AE7">
        <v>40547195</v>
      </c>
      <c r="AF7" t="s">
        <v>680</v>
      </c>
      <c r="AG7" t="s">
        <v>1116</v>
      </c>
      <c r="AH7" t="s">
        <v>681</v>
      </c>
      <c r="AI7" t="s">
        <v>1117</v>
      </c>
      <c r="AJ7" t="s">
        <v>682</v>
      </c>
      <c r="AK7" t="s">
        <v>739</v>
      </c>
      <c r="AL7" t="s">
        <v>683</v>
      </c>
      <c r="AM7" t="s">
        <v>53</v>
      </c>
      <c r="AN7" t="s">
        <v>183</v>
      </c>
      <c r="AO7" t="s">
        <v>1118</v>
      </c>
      <c r="AP7" t="s">
        <v>53</v>
      </c>
      <c r="AQ7" t="s">
        <v>377</v>
      </c>
      <c r="AR7" t="s">
        <v>53</v>
      </c>
      <c r="AS7" t="s">
        <v>1119</v>
      </c>
      <c r="AT7" t="s">
        <v>102</v>
      </c>
      <c r="AU7" t="s">
        <v>1120</v>
      </c>
      <c r="AV7" t="s">
        <v>1121</v>
      </c>
      <c r="AW7" t="s">
        <v>600</v>
      </c>
      <c r="AX7" t="s">
        <v>421</v>
      </c>
      <c r="AY7" t="s">
        <v>296</v>
      </c>
      <c r="AZ7" t="s">
        <v>146</v>
      </c>
      <c r="BA7" t="s">
        <v>73</v>
      </c>
      <c r="BB7" t="s">
        <v>148</v>
      </c>
      <c r="BC7" t="s">
        <v>422</v>
      </c>
      <c r="BD7" t="s">
        <v>297</v>
      </c>
      <c r="BE7" t="s">
        <v>147</v>
      </c>
      <c r="BF7" t="s">
        <v>74</v>
      </c>
      <c r="BG7" t="s">
        <v>149</v>
      </c>
      <c r="BH7" t="s">
        <v>678</v>
      </c>
      <c r="BI7" t="s">
        <v>685</v>
      </c>
      <c r="BJ7" t="s">
        <v>421</v>
      </c>
      <c r="BK7" t="s">
        <v>679</v>
      </c>
      <c r="BL7" t="s">
        <v>686</v>
      </c>
      <c r="BM7" t="s">
        <v>422</v>
      </c>
      <c r="BN7">
        <v>1.61</v>
      </c>
      <c r="BO7" t="s">
        <v>53</v>
      </c>
      <c r="BP7" t="s">
        <v>53</v>
      </c>
      <c r="BQ7">
        <v>30.47</v>
      </c>
      <c r="BR7">
        <v>-170.2</v>
      </c>
      <c r="BS7">
        <v>-21.89</v>
      </c>
      <c r="BT7" t="s">
        <v>407</v>
      </c>
      <c r="BU7" t="s">
        <v>365</v>
      </c>
      <c r="BV7">
        <v>13.35</v>
      </c>
      <c r="BW7">
        <v>10.23</v>
      </c>
      <c r="BX7">
        <v>13.36</v>
      </c>
      <c r="BY7">
        <v>0.48</v>
      </c>
      <c r="BZ7">
        <v>-16.32</v>
      </c>
      <c r="CA7">
        <v>-1.99</v>
      </c>
      <c r="CB7">
        <v>-0.15</v>
      </c>
      <c r="CC7">
        <v>-8.9</v>
      </c>
      <c r="CD7" t="s">
        <v>1122</v>
      </c>
      <c r="CE7" t="s">
        <v>65</v>
      </c>
      <c r="CF7" s="7">
        <v>-0.18717948717948718</v>
      </c>
      <c r="CG7" s="8">
        <v>-0.48617439028281517</v>
      </c>
      <c r="CH7" s="7">
        <v>0.18569406867027283</v>
      </c>
      <c r="CI7" s="7">
        <v>-0.12217748910188675</v>
      </c>
      <c r="CJ7" s="7">
        <v>-8.8525548577308655E-2</v>
      </c>
      <c r="CK7" s="7">
        <v>-3.1668029725551605E-2</v>
      </c>
      <c r="CL7" s="7">
        <v>1.8065646290779114E-2</v>
      </c>
      <c r="CM7" s="8">
        <v>1.0601426362991333</v>
      </c>
      <c r="CN7" s="8">
        <v>-7.5367965698242187</v>
      </c>
      <c r="CO7" s="8">
        <v>-2.2234997749328613</v>
      </c>
      <c r="CP7" s="8">
        <v>0.37497803568840027</v>
      </c>
      <c r="CQ7" s="8">
        <v>1.0233978033065796</v>
      </c>
      <c r="CR7">
        <v>-8.746015880757195</v>
      </c>
      <c r="CS7">
        <v>-11.325705171181269</v>
      </c>
      <c r="CT7">
        <v>0</v>
      </c>
      <c r="CU7" s="7">
        <v>-7.7222704887390135E-3</v>
      </c>
      <c r="CV7" s="8">
        <v>-1.4603555738925933</v>
      </c>
      <c r="CW7">
        <v>0.06</v>
      </c>
      <c r="CX7">
        <v>250.02678496876055</v>
      </c>
      <c r="CY7" t="s">
        <v>688</v>
      </c>
      <c r="CZ7">
        <v>-7.7222704887390135E-3</v>
      </c>
      <c r="DA7">
        <v>83.342261656253513</v>
      </c>
      <c r="DB7" t="s">
        <v>689</v>
      </c>
      <c r="DC7">
        <v>-7.3361569643020626E-3</v>
      </c>
      <c r="DD7">
        <v>41.671130828126756</v>
      </c>
      <c r="DE7" t="s">
        <v>690</v>
      </c>
      <c r="DF7">
        <v>-6.7955980300903321E-3</v>
      </c>
      <c r="DG7">
        <v>25.002678496876054</v>
      </c>
      <c r="DH7" t="s">
        <v>691</v>
      </c>
      <c r="DI7">
        <v>-6.1778163909912108E-3</v>
      </c>
      <c r="DJ7">
        <v>12.501339248438027</v>
      </c>
      <c r="DK7" t="s">
        <v>692</v>
      </c>
      <c r="DL7">
        <v>-5.405589342117309E-3</v>
      </c>
      <c r="DM7">
        <v>27545300.000000004</v>
      </c>
      <c r="DN7">
        <v>-7.7222704887390135E-3</v>
      </c>
      <c r="DO7">
        <v>6887062800</v>
      </c>
      <c r="DP7">
        <v>-1356797500</v>
      </c>
      <c r="DQ7">
        <v>364</v>
      </c>
      <c r="DR7">
        <v>-0.17945721669074816</v>
      </c>
      <c r="DS7">
        <v>0.97418118360977812</v>
      </c>
      <c r="DT7" s="9">
        <v>-0.27333333333333337</v>
      </c>
      <c r="DU7">
        <v>-1.19</v>
      </c>
      <c r="DV7">
        <v>-1.4633333333333334</v>
      </c>
      <c r="DW7">
        <v>-2.089</v>
      </c>
      <c r="DX7">
        <v>0.29669504950494968</v>
      </c>
      <c r="DY7">
        <v>-2.0094958594059404</v>
      </c>
      <c r="DZ7">
        <v>3990</v>
      </c>
      <c r="EA7">
        <v>-2.0020812842533569</v>
      </c>
      <c r="EB7">
        <v>2</v>
      </c>
      <c r="EC7">
        <v>2.6918976931994021E-2</v>
      </c>
      <c r="ED7">
        <v>0.2522982749142923</v>
      </c>
      <c r="EE7" s="10">
        <v>1.0979099999999999</v>
      </c>
      <c r="EF7">
        <v>1.11191</v>
      </c>
      <c r="EG7">
        <v>19.10669504950495</v>
      </c>
      <c r="EH7" t="s">
        <v>892</v>
      </c>
      <c r="EI7">
        <v>0</v>
      </c>
      <c r="EJ7">
        <v>0</v>
      </c>
      <c r="EK7" s="13">
        <v>45470</v>
      </c>
      <c r="EL7" s="14">
        <v>0.62</v>
      </c>
      <c r="EM7" s="14">
        <v>-3.68</v>
      </c>
      <c r="EN7" s="14">
        <v>0.32</v>
      </c>
      <c r="EO7" s="14">
        <v>1.74</v>
      </c>
      <c r="EP7" s="14">
        <v>-1.4</v>
      </c>
    </row>
    <row r="8" spans="1:146" ht="84" x14ac:dyDescent="0.25">
      <c r="A8" s="11"/>
      <c r="B8" s="11"/>
      <c r="C8" s="11" t="str">
        <f>""&amp;CHAR(10)&amp;Basic_Fundamental_Information_Constructure(F8)&amp;CHAR(10)&amp;Basic_Fundamental_Information_Concatenate("")</f>
        <v xml:space="preserve">
市值95.100749亿, 利润-6.02亿; PE; 平均PE17.52; 平均PEG5.03, PB.913; ROIC7.44%; ROE5.5167%; 股利率0%; 毛利9.3333%; 净利2.38%; 上一年度营收增2.31%, 利润增-156.85%; 当季营收增4.64%, 利润增1613.01%; 过往5年营收增3.49%, 利润增-9.96%
Income profile:
</v>
      </c>
      <c r="D8" t="s">
        <v>50</v>
      </c>
      <c r="E8" t="s">
        <v>51</v>
      </c>
      <c r="F8">
        <v>5.0999999999999996</v>
      </c>
      <c r="G8">
        <v>0.79</v>
      </c>
      <c r="H8" t="s">
        <v>1123</v>
      </c>
      <c r="I8">
        <v>9510074900</v>
      </c>
      <c r="K8">
        <v>0.91300000000000003</v>
      </c>
      <c r="L8" t="s">
        <v>29</v>
      </c>
      <c r="M8" t="s">
        <v>693</v>
      </c>
      <c r="N8" t="s">
        <v>1124</v>
      </c>
      <c r="O8" t="s">
        <v>694</v>
      </c>
      <c r="P8">
        <v>4.63</v>
      </c>
      <c r="Q8" t="s">
        <v>695</v>
      </c>
      <c r="R8">
        <v>24840311</v>
      </c>
      <c r="S8" s="3">
        <v>16.13</v>
      </c>
      <c r="T8" t="s">
        <v>696</v>
      </c>
      <c r="U8">
        <v>1852111700</v>
      </c>
      <c r="V8">
        <v>1864720600</v>
      </c>
      <c r="W8">
        <v>1.67</v>
      </c>
      <c r="X8">
        <v>0.27</v>
      </c>
      <c r="Y8">
        <v>0.52</v>
      </c>
      <c r="Z8" t="s">
        <v>1125</v>
      </c>
      <c r="AA8" t="s">
        <v>1126</v>
      </c>
      <c r="AB8" t="s">
        <v>1127</v>
      </c>
      <c r="AC8" t="s">
        <v>383</v>
      </c>
      <c r="AD8" t="s">
        <v>53</v>
      </c>
      <c r="AE8">
        <v>10340922</v>
      </c>
      <c r="AF8" t="s">
        <v>698</v>
      </c>
      <c r="AG8" t="s">
        <v>1128</v>
      </c>
      <c r="AH8" t="s">
        <v>699</v>
      </c>
      <c r="AI8" t="s">
        <v>1129</v>
      </c>
      <c r="AJ8" t="s">
        <v>701</v>
      </c>
      <c r="AK8" t="s">
        <v>1130</v>
      </c>
      <c r="AL8" t="s">
        <v>702</v>
      </c>
      <c r="AM8" t="s">
        <v>53</v>
      </c>
      <c r="AN8" t="s">
        <v>1131</v>
      </c>
      <c r="AO8" t="s">
        <v>1132</v>
      </c>
      <c r="AP8" t="s">
        <v>1133</v>
      </c>
      <c r="AQ8" t="s">
        <v>750</v>
      </c>
      <c r="AR8" t="s">
        <v>53</v>
      </c>
      <c r="AS8" t="s">
        <v>1134</v>
      </c>
      <c r="AT8" t="s">
        <v>295</v>
      </c>
      <c r="AU8" t="s">
        <v>1135</v>
      </c>
      <c r="AV8" t="s">
        <v>1136</v>
      </c>
      <c r="AW8" t="s">
        <v>1137</v>
      </c>
      <c r="AX8" t="s">
        <v>423</v>
      </c>
      <c r="AY8" t="s">
        <v>424</v>
      </c>
      <c r="AZ8" t="s">
        <v>150</v>
      </c>
      <c r="BA8" t="s">
        <v>76</v>
      </c>
      <c r="BB8" t="s">
        <v>151</v>
      </c>
      <c r="BC8" t="s">
        <v>382</v>
      </c>
      <c r="BD8" t="s">
        <v>425</v>
      </c>
      <c r="BE8" t="s">
        <v>77</v>
      </c>
      <c r="BF8" t="s">
        <v>77</v>
      </c>
      <c r="BG8" t="s">
        <v>152</v>
      </c>
      <c r="BH8" t="s">
        <v>695</v>
      </c>
      <c r="BI8" t="s">
        <v>704</v>
      </c>
      <c r="BJ8" t="s">
        <v>423</v>
      </c>
      <c r="BK8" t="s">
        <v>696</v>
      </c>
      <c r="BL8" t="s">
        <v>705</v>
      </c>
      <c r="BM8" t="s">
        <v>382</v>
      </c>
      <c r="BN8" t="s">
        <v>53</v>
      </c>
      <c r="BO8">
        <v>7.26</v>
      </c>
      <c r="BP8">
        <v>7.62</v>
      </c>
      <c r="BQ8">
        <v>-2.88</v>
      </c>
      <c r="BR8">
        <v>9.02</v>
      </c>
      <c r="BS8">
        <v>10.41</v>
      </c>
      <c r="BT8" t="s">
        <v>407</v>
      </c>
      <c r="BU8" t="s">
        <v>365</v>
      </c>
      <c r="BV8">
        <v>5.51</v>
      </c>
      <c r="BW8">
        <v>11.3</v>
      </c>
      <c r="BX8">
        <v>11.19</v>
      </c>
      <c r="BY8">
        <v>-3.02</v>
      </c>
      <c r="BZ8">
        <v>5.33</v>
      </c>
      <c r="CA8">
        <v>4.83</v>
      </c>
      <c r="CB8">
        <v>1.39</v>
      </c>
      <c r="CC8">
        <v>-18.79</v>
      </c>
      <c r="CD8" t="s">
        <v>1138</v>
      </c>
      <c r="CE8" t="s">
        <v>1139</v>
      </c>
      <c r="CF8" s="7">
        <v>4.6439628482972138E-2</v>
      </c>
      <c r="CG8" s="8">
        <v>16.130067581546101</v>
      </c>
      <c r="CH8" s="7">
        <v>2.3144928738474846E-2</v>
      </c>
      <c r="CI8" s="7">
        <v>-0.15458402037620544</v>
      </c>
      <c r="CJ8" s="7">
        <v>0.18338441848754883</v>
      </c>
      <c r="CK8" s="7">
        <v>2.2442491725087166E-2</v>
      </c>
      <c r="CL8" s="7">
        <v>9.9864408373832703E-2</v>
      </c>
      <c r="CM8" s="8">
        <v>-1.5684607028961182</v>
      </c>
      <c r="CN8" s="8">
        <v>-6.2831856310367584E-2</v>
      </c>
      <c r="CO8" s="8">
        <v>0.90556490421295166</v>
      </c>
      <c r="CP8" s="8">
        <v>0</v>
      </c>
      <c r="CQ8" s="8">
        <v>0.22774326801300049</v>
      </c>
      <c r="CR8">
        <v>17.524708046683049</v>
      </c>
      <c r="CS8">
        <v>5.0285463645289621</v>
      </c>
      <c r="CT8">
        <v>0</v>
      </c>
      <c r="CU8" s="7">
        <v>3.4850445389747617E-2</v>
      </c>
      <c r="CV8" s="8">
        <v>-9.9596877396106717E-2</v>
      </c>
      <c r="CW8">
        <v>0.06</v>
      </c>
      <c r="CX8" t="e">
        <v>#VALUE!</v>
      </c>
      <c r="CY8" t="s">
        <v>354</v>
      </c>
      <c r="CZ8">
        <v>3.4850445389747617E-2</v>
      </c>
      <c r="DA8" t="e">
        <v>#VALUE!</v>
      </c>
      <c r="DB8" t="s">
        <v>354</v>
      </c>
      <c r="DC8">
        <v>3.3107923120260237E-2</v>
      </c>
      <c r="DD8" t="e">
        <v>#VALUE!</v>
      </c>
      <c r="DE8" t="s">
        <v>354</v>
      </c>
      <c r="DF8">
        <v>3.0668391942977904E-2</v>
      </c>
      <c r="DG8" t="e">
        <v>#VALUE!</v>
      </c>
      <c r="DH8" t="s">
        <v>354</v>
      </c>
      <c r="DI8">
        <v>2.7880356311798096E-2</v>
      </c>
      <c r="DJ8" t="e">
        <v>#VALUE!</v>
      </c>
      <c r="DK8" t="s">
        <v>354</v>
      </c>
      <c r="DL8">
        <v>2.4395311772823329E-2</v>
      </c>
      <c r="DM8">
        <v>-602000000</v>
      </c>
      <c r="DN8">
        <v>3.4850445389747617E-2</v>
      </c>
      <c r="DO8">
        <v>4397074900</v>
      </c>
      <c r="DP8">
        <v>890694499.99999905</v>
      </c>
      <c r="DQ8">
        <v>379</v>
      </c>
      <c r="DR8">
        <v>1.1589183093224521E-2</v>
      </c>
      <c r="DS8">
        <v>16.229664458942207</v>
      </c>
      <c r="DT8" s="9">
        <v>-0.45666666666666672</v>
      </c>
      <c r="DU8">
        <v>-0.3833333333333333</v>
      </c>
      <c r="DV8">
        <v>-0.84000000000000008</v>
      </c>
      <c r="DW8">
        <v>-3.0315535714285713</v>
      </c>
      <c r="DX8">
        <v>0.30200307692307693</v>
      </c>
      <c r="DY8">
        <v>-3.0041651685164834</v>
      </c>
      <c r="DZ8">
        <v>3397</v>
      </c>
      <c r="EA8">
        <v>-3.0013962688197133</v>
      </c>
      <c r="EB8">
        <v>3</v>
      </c>
      <c r="EC8">
        <v>3.2209329376207886E-2</v>
      </c>
      <c r="ED8">
        <v>0.24400438328401586</v>
      </c>
      <c r="EE8" s="10">
        <v>7.2599999999999998E-2</v>
      </c>
      <c r="EF8">
        <v>4.7299999999999995E-2</v>
      </c>
      <c r="EG8">
        <v>17.132003076923077</v>
      </c>
      <c r="EH8" t="s">
        <v>352</v>
      </c>
      <c r="EI8">
        <v>0</v>
      </c>
      <c r="EJ8">
        <v>0</v>
      </c>
      <c r="EK8" s="13">
        <v>45470</v>
      </c>
      <c r="EL8" s="14">
        <v>1.1499999999999999</v>
      </c>
      <c r="EM8" s="14">
        <v>-3.79</v>
      </c>
      <c r="EN8" s="14">
        <v>-0.2</v>
      </c>
      <c r="EO8" s="14">
        <v>1.38</v>
      </c>
      <c r="EP8" s="14">
        <v>-2.5299999999999998</v>
      </c>
    </row>
    <row r="9" spans="1:146" ht="84" x14ac:dyDescent="0.25">
      <c r="A9" s="11"/>
      <c r="B9" s="11"/>
      <c r="C9" s="11" t="str">
        <f>""&amp;CHAR(10)&amp;Basic_Fundamental_Information_Constructure(F9)&amp;CHAR(10)&amp;Basic_Fundamental_Information_Concatenate("")</f>
        <v xml:space="preserve">
市值17.199624亿, 利润1.08亿; PE17.67; 平均PE-15.68; 平均PEG-.11, PB8.21; ROIC26.05%; ROE-6.19%; 股利率0%; 毛利19.0733%; 净利-12.6233%; 上一年度营收增-2.21%, 利润增314.03%; 当季营收增-20.67%, 利润增-64.56%; 过往5年营收增147.74%, 利润增-969.3%
Income profile:
</v>
      </c>
      <c r="D9" t="s">
        <v>300</v>
      </c>
      <c r="E9" t="s">
        <v>426</v>
      </c>
      <c r="F9">
        <v>2.23</v>
      </c>
      <c r="G9">
        <v>1.36</v>
      </c>
      <c r="H9" t="s">
        <v>1140</v>
      </c>
      <c r="I9">
        <v>1719962400</v>
      </c>
      <c r="J9">
        <v>17.670000000000002</v>
      </c>
      <c r="K9">
        <v>8.2100000000000009</v>
      </c>
      <c r="L9" t="s">
        <v>29</v>
      </c>
      <c r="M9" t="s">
        <v>186</v>
      </c>
      <c r="N9" t="s">
        <v>400</v>
      </c>
      <c r="O9" t="s">
        <v>299</v>
      </c>
      <c r="P9">
        <v>-20.49</v>
      </c>
      <c r="Q9" t="s">
        <v>706</v>
      </c>
      <c r="R9">
        <v>5982705</v>
      </c>
      <c r="S9" s="3">
        <v>-0.64559999999999995</v>
      </c>
      <c r="T9" t="s">
        <v>224</v>
      </c>
      <c r="U9">
        <v>771283580</v>
      </c>
      <c r="V9">
        <v>771283580</v>
      </c>
      <c r="W9">
        <v>5.15</v>
      </c>
      <c r="X9">
        <v>0.1</v>
      </c>
      <c r="Y9">
        <v>5.18</v>
      </c>
      <c r="Z9" t="s">
        <v>368</v>
      </c>
      <c r="AA9" t="s">
        <v>1141</v>
      </c>
      <c r="AB9" t="s">
        <v>1142</v>
      </c>
      <c r="AC9" t="s">
        <v>1143</v>
      </c>
      <c r="AD9" t="s">
        <v>53</v>
      </c>
      <c r="AE9">
        <v>5389520</v>
      </c>
      <c r="AF9" t="s">
        <v>75</v>
      </c>
      <c r="AG9" t="s">
        <v>1144</v>
      </c>
      <c r="AH9" t="s">
        <v>707</v>
      </c>
      <c r="AI9" t="s">
        <v>1145</v>
      </c>
      <c r="AJ9" t="s">
        <v>708</v>
      </c>
      <c r="AK9" t="s">
        <v>53</v>
      </c>
      <c r="AL9" t="s">
        <v>709</v>
      </c>
      <c r="AM9" t="s">
        <v>53</v>
      </c>
      <c r="AN9" t="s">
        <v>1146</v>
      </c>
      <c r="AO9" t="s">
        <v>889</v>
      </c>
      <c r="AP9" t="s">
        <v>710</v>
      </c>
      <c r="AQ9" t="s">
        <v>1147</v>
      </c>
      <c r="AR9" t="s">
        <v>53</v>
      </c>
      <c r="AS9" t="s">
        <v>1148</v>
      </c>
      <c r="AT9" t="s">
        <v>1149</v>
      </c>
      <c r="AU9" t="s">
        <v>1150</v>
      </c>
      <c r="AV9" t="s">
        <v>1151</v>
      </c>
      <c r="AW9" t="s">
        <v>1152</v>
      </c>
      <c r="AX9" t="s">
        <v>195</v>
      </c>
      <c r="AY9" t="s">
        <v>301</v>
      </c>
      <c r="AZ9" t="s">
        <v>302</v>
      </c>
      <c r="BA9" t="s">
        <v>80</v>
      </c>
      <c r="BB9" t="s">
        <v>303</v>
      </c>
      <c r="BC9" t="s">
        <v>427</v>
      </c>
      <c r="BD9" t="s">
        <v>355</v>
      </c>
      <c r="BE9" t="s">
        <v>304</v>
      </c>
      <c r="BF9" t="s">
        <v>305</v>
      </c>
      <c r="BG9" t="s">
        <v>306</v>
      </c>
      <c r="BH9" t="s">
        <v>706</v>
      </c>
      <c r="BI9" t="s">
        <v>575</v>
      </c>
      <c r="BJ9" t="s">
        <v>195</v>
      </c>
      <c r="BK9" t="s">
        <v>224</v>
      </c>
      <c r="BL9" t="s">
        <v>712</v>
      </c>
      <c r="BM9" t="s">
        <v>427</v>
      </c>
      <c r="BN9">
        <v>14.54</v>
      </c>
      <c r="BO9">
        <v>37.56</v>
      </c>
      <c r="BP9" t="s">
        <v>53</v>
      </c>
      <c r="BQ9">
        <v>36.82</v>
      </c>
      <c r="BR9">
        <v>31.71</v>
      </c>
      <c r="BS9">
        <v>-87.1</v>
      </c>
      <c r="BT9" t="s">
        <v>407</v>
      </c>
      <c r="BU9" t="s">
        <v>369</v>
      </c>
      <c r="BV9">
        <v>25.28</v>
      </c>
      <c r="BW9">
        <v>26.26</v>
      </c>
      <c r="BX9">
        <v>5.68</v>
      </c>
      <c r="BY9">
        <v>18.96</v>
      </c>
      <c r="BZ9">
        <v>4.43</v>
      </c>
      <c r="CA9">
        <v>-61.26</v>
      </c>
      <c r="CB9">
        <v>0</v>
      </c>
      <c r="CC9">
        <v>-18.010000000000002</v>
      </c>
      <c r="CD9" t="s">
        <v>1153</v>
      </c>
      <c r="CE9" t="s">
        <v>1154</v>
      </c>
      <c r="CF9" s="7">
        <v>-0.20666666666666667</v>
      </c>
      <c r="CG9" s="8">
        <v>-0.64562683251888053</v>
      </c>
      <c r="CH9" s="7">
        <v>-2.2071307525038719E-2</v>
      </c>
      <c r="CI9" s="7">
        <v>2.3850574493408203</v>
      </c>
      <c r="CJ9" s="7">
        <v>6.5763845443725586</v>
      </c>
      <c r="CK9" s="7">
        <v>-0.89217793941497803</v>
      </c>
      <c r="CL9" s="7">
        <v>-0.66028708219528198</v>
      </c>
      <c r="CM9" s="8">
        <v>3.1402945518493652</v>
      </c>
      <c r="CN9" s="8">
        <v>1.2437859773635864</v>
      </c>
      <c r="CO9" s="8">
        <v>0.59774434566497803</v>
      </c>
      <c r="CP9" s="8">
        <v>-54.458740234375</v>
      </c>
      <c r="CQ9" s="8">
        <v>1.0117354393005371</v>
      </c>
      <c r="CR9">
        <v>-15.684999417119304</v>
      </c>
      <c r="CS9">
        <v>-0.10616758984978311</v>
      </c>
      <c r="CT9">
        <v>0</v>
      </c>
      <c r="CU9" s="7">
        <v>1.4773811329156161</v>
      </c>
      <c r="CV9" s="8">
        <v>-9.693035984039307</v>
      </c>
      <c r="CW9">
        <v>0.06</v>
      </c>
      <c r="CX9">
        <v>9.9795502407758097</v>
      </c>
      <c r="CY9">
        <v>252412417.31593066</v>
      </c>
      <c r="CZ9">
        <v>1.4773811329156161</v>
      </c>
      <c r="DA9">
        <v>1.2232647352443531</v>
      </c>
      <c r="DB9">
        <v>2059212799.5064166</v>
      </c>
      <c r="DC9">
        <v>1.4035120762698352</v>
      </c>
      <c r="DD9">
        <v>0.12163199233066631</v>
      </c>
      <c r="DE9">
        <v>20709702700.19091</v>
      </c>
      <c r="DF9">
        <v>1.3000953969657423</v>
      </c>
      <c r="DG9">
        <v>8.7889456849706542E-3</v>
      </c>
      <c r="DH9">
        <v>286605753441.79187</v>
      </c>
      <c r="DI9">
        <v>1.1819049063324929</v>
      </c>
      <c r="DJ9">
        <v>2.4346230837435199E-5</v>
      </c>
      <c r="DK9">
        <v>103464163172510.41</v>
      </c>
      <c r="DL9">
        <v>1.0341667930409313</v>
      </c>
      <c r="DM9">
        <v>108000000</v>
      </c>
      <c r="DN9">
        <v>1.4773811329156161</v>
      </c>
      <c r="DO9">
        <v>2518962400</v>
      </c>
      <c r="DP9">
        <v>-132178539.99999988</v>
      </c>
      <c r="DQ9">
        <v>408</v>
      </c>
      <c r="DR9">
        <v>-1.6840477995822827</v>
      </c>
      <c r="DS9">
        <v>9.0474091515204265</v>
      </c>
      <c r="DT9" s="9">
        <v>-0.12333333333333329</v>
      </c>
      <c r="DU9">
        <v>-0.57333333333333347</v>
      </c>
      <c r="DV9">
        <v>-0.69666666666666677</v>
      </c>
      <c r="DW9">
        <v>-3.022732142857143</v>
      </c>
      <c r="DX9">
        <v>0.33204204204204119</v>
      </c>
      <c r="DY9">
        <v>-3.0030015985628484</v>
      </c>
      <c r="DZ9">
        <v>3199</v>
      </c>
      <c r="EA9">
        <v>-3.0011225156269283</v>
      </c>
      <c r="EB9">
        <v>3</v>
      </c>
      <c r="EC9">
        <v>5.7008863069534038E-2</v>
      </c>
      <c r="ED9">
        <v>0.43174781446792893</v>
      </c>
      <c r="EE9" s="10">
        <v>4.0864099999999999</v>
      </c>
      <c r="EF9">
        <v>4.1081099999999999</v>
      </c>
      <c r="EG9">
        <v>20.132042042042041</v>
      </c>
      <c r="EH9" t="s">
        <v>588</v>
      </c>
      <c r="EI9">
        <v>0</v>
      </c>
      <c r="EJ9">
        <v>0</v>
      </c>
      <c r="EK9" s="13">
        <v>45470</v>
      </c>
      <c r="EL9" s="14">
        <v>0.43</v>
      </c>
      <c r="EM9" s="14">
        <v>-3.9</v>
      </c>
      <c r="EN9" s="14">
        <v>1.35</v>
      </c>
      <c r="EO9" s="14">
        <v>2.2200000000000002</v>
      </c>
      <c r="EP9" s="14">
        <v>-2.17</v>
      </c>
    </row>
    <row r="10" spans="1:146" ht="84" x14ac:dyDescent="0.25">
      <c r="A10" s="11"/>
      <c r="B10" s="11"/>
      <c r="C10" s="11" t="str">
        <f>""&amp;CHAR(10)&amp;Basic_Fundamental_Information_Constructure(F10)&amp;CHAR(10)&amp;Basic_Fundamental_Information_Concatenate("")</f>
        <v xml:space="preserve">
市值51.38亿, 利润4114.36万; PE153.3; 平均PE33.69; 平均PEG5.76, PB1.97; ROIC5.4%; ROE4.1567%; 股利率.6812%; 毛利11.0667%; 净利1.6633%; 上一年度营收增-3.1%, 利润增-64.53%; 当季营收增-11.08%, 利润增-15.7%; 过往5年营收增5.85%, 利润增-22.17%
Income profile:
</v>
      </c>
      <c r="D10" t="s">
        <v>307</v>
      </c>
      <c r="E10" t="s">
        <v>308</v>
      </c>
      <c r="F10">
        <v>7.34</v>
      </c>
      <c r="G10">
        <v>1.94</v>
      </c>
      <c r="H10" t="s">
        <v>1155</v>
      </c>
      <c r="I10">
        <v>5138000000</v>
      </c>
      <c r="J10">
        <v>153.30000000000001</v>
      </c>
      <c r="K10">
        <v>1.97</v>
      </c>
      <c r="L10" t="s">
        <v>29</v>
      </c>
      <c r="M10" t="s">
        <v>713</v>
      </c>
      <c r="N10" t="s">
        <v>1156</v>
      </c>
      <c r="O10" t="s">
        <v>714</v>
      </c>
      <c r="P10">
        <v>-11.07</v>
      </c>
      <c r="Q10" t="s">
        <v>715</v>
      </c>
      <c r="R10">
        <v>-56160071</v>
      </c>
      <c r="S10" s="3">
        <v>-0.157</v>
      </c>
      <c r="T10" t="s">
        <v>716</v>
      </c>
      <c r="U10">
        <v>218092000</v>
      </c>
      <c r="V10">
        <v>700000000</v>
      </c>
      <c r="W10">
        <v>1.81</v>
      </c>
      <c r="X10">
        <v>0.18</v>
      </c>
      <c r="Y10">
        <v>-6.75</v>
      </c>
      <c r="Z10" t="s">
        <v>714</v>
      </c>
      <c r="AA10" t="s">
        <v>946</v>
      </c>
      <c r="AB10" t="s">
        <v>1157</v>
      </c>
      <c r="AC10" t="s">
        <v>1158</v>
      </c>
      <c r="AD10" t="s">
        <v>53</v>
      </c>
      <c r="AE10">
        <v>11622258</v>
      </c>
      <c r="AF10" t="s">
        <v>717</v>
      </c>
      <c r="AG10" t="s">
        <v>1159</v>
      </c>
      <c r="AH10" t="s">
        <v>718</v>
      </c>
      <c r="AI10" t="s">
        <v>1160</v>
      </c>
      <c r="AJ10" t="s">
        <v>719</v>
      </c>
      <c r="AK10" t="s">
        <v>53</v>
      </c>
      <c r="AL10" t="s">
        <v>720</v>
      </c>
      <c r="AM10" t="s">
        <v>53</v>
      </c>
      <c r="AN10" t="s">
        <v>1161</v>
      </c>
      <c r="AO10" t="s">
        <v>998</v>
      </c>
      <c r="AP10" t="s">
        <v>1162</v>
      </c>
      <c r="AQ10" t="s">
        <v>1163</v>
      </c>
      <c r="AR10" t="s">
        <v>53</v>
      </c>
      <c r="AS10" t="s">
        <v>1164</v>
      </c>
      <c r="AT10" t="s">
        <v>53</v>
      </c>
      <c r="AU10" t="s">
        <v>1165</v>
      </c>
      <c r="AV10" t="s">
        <v>1166</v>
      </c>
      <c r="AW10" t="s">
        <v>1167</v>
      </c>
      <c r="AX10" t="s">
        <v>428</v>
      </c>
      <c r="AY10" t="s">
        <v>309</v>
      </c>
      <c r="AZ10" t="s">
        <v>312</v>
      </c>
      <c r="BA10" t="s">
        <v>313</v>
      </c>
      <c r="BB10" t="s">
        <v>314</v>
      </c>
      <c r="BC10" t="s">
        <v>295</v>
      </c>
      <c r="BD10" t="s">
        <v>310</v>
      </c>
      <c r="BE10" t="s">
        <v>315</v>
      </c>
      <c r="BF10" t="s">
        <v>85</v>
      </c>
      <c r="BG10" t="s">
        <v>311</v>
      </c>
      <c r="BH10" t="s">
        <v>715</v>
      </c>
      <c r="BI10" t="s">
        <v>721</v>
      </c>
      <c r="BJ10" t="s">
        <v>428</v>
      </c>
      <c r="BK10" t="s">
        <v>716</v>
      </c>
      <c r="BL10" t="s">
        <v>722</v>
      </c>
      <c r="BM10" t="s">
        <v>295</v>
      </c>
      <c r="BN10" t="s">
        <v>53</v>
      </c>
      <c r="BO10">
        <v>4.1500000000000004</v>
      </c>
      <c r="BP10">
        <v>6.65</v>
      </c>
      <c r="BQ10">
        <v>-0.55000000000000004</v>
      </c>
      <c r="BR10">
        <v>4.3099999999999996</v>
      </c>
      <c r="BS10">
        <v>8.7100000000000009</v>
      </c>
      <c r="BT10" t="s">
        <v>409</v>
      </c>
      <c r="BU10" t="s">
        <v>1168</v>
      </c>
      <c r="BV10">
        <v>10.74</v>
      </c>
      <c r="BW10">
        <v>9.82</v>
      </c>
      <c r="BX10">
        <v>12.64</v>
      </c>
      <c r="BY10">
        <v>0.6</v>
      </c>
      <c r="BZ10">
        <v>1.63</v>
      </c>
      <c r="CA10">
        <v>2.76</v>
      </c>
      <c r="CB10">
        <v>-2.39</v>
      </c>
      <c r="CC10">
        <v>-14.05</v>
      </c>
      <c r="CD10" t="s">
        <v>1169</v>
      </c>
      <c r="CE10" t="s">
        <v>1170</v>
      </c>
      <c r="CF10" s="7">
        <v>-0.11076280041797283</v>
      </c>
      <c r="CG10" s="8">
        <v>-0.15695917480238397</v>
      </c>
      <c r="CH10" s="7">
        <v>-3.1020833179354668E-2</v>
      </c>
      <c r="CI10" s="7">
        <v>5.4572422057390213E-2</v>
      </c>
      <c r="CJ10" s="7">
        <v>0.15075299143791199</v>
      </c>
      <c r="CK10" s="7">
        <v>0.15334516763687134</v>
      </c>
      <c r="CL10" s="7">
        <v>-3.5224664956331253E-2</v>
      </c>
      <c r="CM10" s="8">
        <v>-0.6453137993812561</v>
      </c>
      <c r="CN10" s="8">
        <v>-0.38297873735427856</v>
      </c>
      <c r="CO10" s="8">
        <v>-2.590673603117466E-2</v>
      </c>
      <c r="CP10" s="8">
        <v>0.1840490847826004</v>
      </c>
      <c r="CQ10" s="8">
        <v>-0.23831775784492493</v>
      </c>
      <c r="CR10">
        <v>33.686516520467386</v>
      </c>
      <c r="CS10">
        <v>5.7598541437144775</v>
      </c>
      <c r="CT10">
        <v>0.68119891008174394</v>
      </c>
      <c r="CU10" s="7">
        <v>5.8485016599297522E-2</v>
      </c>
      <c r="CV10" s="8">
        <v>-0.22169358916580678</v>
      </c>
      <c r="CW10">
        <v>0.06</v>
      </c>
      <c r="CX10">
        <v>108.06917387113947</v>
      </c>
      <c r="CY10">
        <v>41084796.348070621</v>
      </c>
      <c r="CZ10">
        <v>5.8485016599297522E-2</v>
      </c>
      <c r="DA10">
        <v>36.274557896239443</v>
      </c>
      <c r="DB10">
        <v>122399837.7237367</v>
      </c>
      <c r="DC10">
        <v>5.5560765769332644E-2</v>
      </c>
      <c r="DD10">
        <v>18.50010043932469</v>
      </c>
      <c r="DE10">
        <v>239998697.0104295</v>
      </c>
      <c r="DF10">
        <v>5.1466814607381818E-2</v>
      </c>
      <c r="DG10">
        <v>11.554684210276328</v>
      </c>
      <c r="DH10">
        <v>384259744.29065061</v>
      </c>
      <c r="DI10">
        <v>4.6788013279438018E-2</v>
      </c>
      <c r="DJ10">
        <v>6.4926197712518059</v>
      </c>
      <c r="DK10">
        <v>683853383.75420499</v>
      </c>
      <c r="DL10">
        <v>4.0939511619508262E-2</v>
      </c>
      <c r="DM10">
        <v>41143600</v>
      </c>
      <c r="DN10">
        <v>5.8485016599297522E-2</v>
      </c>
      <c r="DO10">
        <v>4440000000</v>
      </c>
      <c r="DP10">
        <v>1303968700.0000002</v>
      </c>
      <c r="DQ10">
        <v>484</v>
      </c>
      <c r="DR10">
        <v>-0.16924781701727035</v>
      </c>
      <c r="DS10">
        <v>6.473441436342281E-2</v>
      </c>
      <c r="DT10" s="9">
        <v>-0.19000000000000003</v>
      </c>
      <c r="DU10">
        <v>-1.145</v>
      </c>
      <c r="DV10">
        <v>-1.335</v>
      </c>
      <c r="DW10">
        <v>-2.1404999999999998</v>
      </c>
      <c r="DX10">
        <v>0.32399628595146068</v>
      </c>
      <c r="DY10">
        <v>-2.0118014781761802</v>
      </c>
      <c r="DZ10">
        <v>3885</v>
      </c>
      <c r="EA10">
        <v>-2.0028291214805911</v>
      </c>
      <c r="EB10">
        <v>2</v>
      </c>
      <c r="EC10">
        <v>9.5115714285714265E-3</v>
      </c>
      <c r="ED10">
        <v>0.11323800000000001</v>
      </c>
      <c r="EE10" s="10">
        <v>3.0356999999999998</v>
      </c>
      <c r="EF10">
        <v>3.0110999999999999</v>
      </c>
      <c r="EG10">
        <v>24.083996285951461</v>
      </c>
      <c r="EH10" t="s">
        <v>574</v>
      </c>
      <c r="EI10">
        <v>0</v>
      </c>
      <c r="EJ10">
        <v>0</v>
      </c>
      <c r="EK10" s="13">
        <v>45470</v>
      </c>
      <c r="EL10" s="14">
        <v>0.5</v>
      </c>
      <c r="EM10" s="14">
        <v>-5.09</v>
      </c>
      <c r="EN10" s="14">
        <v>0.13</v>
      </c>
      <c r="EO10" s="14">
        <v>1.05</v>
      </c>
      <c r="EP10" s="14">
        <v>-2.46</v>
      </c>
    </row>
    <row r="11" spans="1:146" ht="96" x14ac:dyDescent="0.25">
      <c r="C11" s="11" t="str">
        <f>""&amp;CHAR(10)&amp;Basic_Fundamental_Information_Constructure(F11)&amp;CHAR(10)&amp;Basic_Fundamental_Information_Concatenate("")</f>
        <v xml:space="preserve">
市值47.614256亿, 利润1.74亿; PE21.58; 平均PE31.09; 平均PEG1.99, PB1.38; ROIC5.3267%; ROE5.6733%; 股利率1.1064%; 毛利9.2033%; 净利4.0767%; 上一年度营收增15.46%, 利润增11.54%; 当季营收增-14.23%, 利润增134.27%; 过往5年营收增15.61%, 利润增1.96%
Income profile:
</v>
      </c>
      <c r="D11" t="s">
        <v>394</v>
      </c>
      <c r="E11" t="s">
        <v>395</v>
      </c>
      <c r="F11">
        <v>9.49</v>
      </c>
      <c r="G11">
        <v>0.64</v>
      </c>
      <c r="H11" t="s">
        <v>1171</v>
      </c>
      <c r="I11">
        <v>4761425600</v>
      </c>
      <c r="J11">
        <v>21.58</v>
      </c>
      <c r="K11">
        <v>1.38</v>
      </c>
      <c r="L11" t="s">
        <v>29</v>
      </c>
      <c r="M11" t="s">
        <v>723</v>
      </c>
      <c r="N11" t="s">
        <v>1172</v>
      </c>
      <c r="O11" t="s">
        <v>724</v>
      </c>
      <c r="P11">
        <v>-14.23</v>
      </c>
      <c r="Q11" t="s">
        <v>725</v>
      </c>
      <c r="R11">
        <v>82114061</v>
      </c>
      <c r="S11">
        <v>1.343</v>
      </c>
      <c r="T11" t="s">
        <v>301</v>
      </c>
      <c r="U11">
        <v>235954480</v>
      </c>
      <c r="V11">
        <v>501730830</v>
      </c>
      <c r="W11">
        <v>1.31</v>
      </c>
      <c r="X11">
        <v>0.2</v>
      </c>
      <c r="Y11">
        <v>8.91</v>
      </c>
      <c r="Z11" t="s">
        <v>1173</v>
      </c>
      <c r="AA11" t="s">
        <v>1174</v>
      </c>
      <c r="AB11" t="s">
        <v>1175</v>
      </c>
      <c r="AC11" t="s">
        <v>1176</v>
      </c>
      <c r="AD11" t="s">
        <v>53</v>
      </c>
      <c r="AE11">
        <v>2095607</v>
      </c>
      <c r="AF11" t="s">
        <v>726</v>
      </c>
      <c r="AG11" t="s">
        <v>1177</v>
      </c>
      <c r="AH11" t="s">
        <v>727</v>
      </c>
      <c r="AI11" t="s">
        <v>703</v>
      </c>
      <c r="AJ11" t="s">
        <v>728</v>
      </c>
      <c r="AK11" t="s">
        <v>1178</v>
      </c>
      <c r="AL11" t="s">
        <v>729</v>
      </c>
      <c r="AM11" t="s">
        <v>53</v>
      </c>
      <c r="AN11" t="s">
        <v>1179</v>
      </c>
      <c r="AO11" t="s">
        <v>1180</v>
      </c>
      <c r="AP11" t="s">
        <v>1181</v>
      </c>
      <c r="AQ11" t="s">
        <v>1182</v>
      </c>
      <c r="AR11" t="s">
        <v>53</v>
      </c>
      <c r="AS11" t="s">
        <v>1183</v>
      </c>
      <c r="AT11" t="s">
        <v>53</v>
      </c>
      <c r="AU11" t="s">
        <v>1184</v>
      </c>
      <c r="AV11" t="s">
        <v>1185</v>
      </c>
      <c r="AW11" t="s">
        <v>1186</v>
      </c>
      <c r="AX11" t="s">
        <v>429</v>
      </c>
      <c r="AY11" t="s">
        <v>396</v>
      </c>
      <c r="AZ11" t="s">
        <v>397</v>
      </c>
      <c r="BA11" t="s">
        <v>398</v>
      </c>
      <c r="BB11" t="s">
        <v>364</v>
      </c>
      <c r="BC11" t="s">
        <v>430</v>
      </c>
      <c r="BD11" t="s">
        <v>393</v>
      </c>
      <c r="BE11" t="s">
        <v>92</v>
      </c>
      <c r="BF11" t="s">
        <v>399</v>
      </c>
      <c r="BG11" t="s">
        <v>371</v>
      </c>
      <c r="BH11" t="s">
        <v>725</v>
      </c>
      <c r="BI11" t="s">
        <v>731</v>
      </c>
      <c r="BJ11" t="s">
        <v>429</v>
      </c>
      <c r="BK11" t="s">
        <v>301</v>
      </c>
      <c r="BL11" t="s">
        <v>732</v>
      </c>
      <c r="BM11" t="s">
        <v>430</v>
      </c>
      <c r="BN11">
        <v>4.3899999999999997</v>
      </c>
      <c r="BO11">
        <v>5.37</v>
      </c>
      <c r="BP11">
        <v>6.22</v>
      </c>
      <c r="BQ11">
        <v>3.82</v>
      </c>
      <c r="BR11">
        <v>6.44</v>
      </c>
      <c r="BS11">
        <v>6.76</v>
      </c>
      <c r="BT11" t="s">
        <v>733</v>
      </c>
      <c r="BU11" t="s">
        <v>365</v>
      </c>
      <c r="BV11">
        <v>8.44</v>
      </c>
      <c r="BW11">
        <v>9.25</v>
      </c>
      <c r="BX11">
        <v>9.92</v>
      </c>
      <c r="BY11">
        <v>3.59</v>
      </c>
      <c r="BZ11">
        <v>3.72</v>
      </c>
      <c r="CA11">
        <v>4.92</v>
      </c>
      <c r="CB11">
        <v>-3.16</v>
      </c>
      <c r="CC11" s="7">
        <v>-16.350000000000001</v>
      </c>
      <c r="CD11" s="8" t="s">
        <v>1187</v>
      </c>
      <c r="CE11" s="7" t="s">
        <v>310</v>
      </c>
      <c r="CF11" s="7">
        <v>-0.14232558139534873</v>
      </c>
      <c r="CG11" s="7">
        <v>1.3426756420570933</v>
      </c>
      <c r="CH11" s="7">
        <v>0.15458014607429504</v>
      </c>
      <c r="CI11" s="7">
        <v>0.38578516244888306</v>
      </c>
      <c r="CJ11" s="8">
        <v>7.0417575538158417E-2</v>
      </c>
      <c r="CK11" s="8">
        <v>-3.8121171295642853E-2</v>
      </c>
      <c r="CL11" s="8">
        <v>0.208059161901474</v>
      </c>
      <c r="CM11" s="8">
        <v>0.11538461595773697</v>
      </c>
      <c r="CN11" s="8">
        <v>4.6979866921901703E-2</v>
      </c>
      <c r="CO11">
        <v>0.10370370000600815</v>
      </c>
      <c r="CP11">
        <v>-6.25E-2</v>
      </c>
      <c r="CQ11">
        <v>-0.10559006035327911</v>
      </c>
      <c r="CR11" s="7">
        <v>31.08656539717084</v>
      </c>
      <c r="CS11" s="8">
        <v>1.9908885752813696</v>
      </c>
      <c r="CT11">
        <v>1.1064278187565859</v>
      </c>
      <c r="CU11">
        <v>0.15614417493343352</v>
      </c>
      <c r="CV11">
        <v>1.9595624506473543E-2</v>
      </c>
      <c r="CW11">
        <v>0.06</v>
      </c>
      <c r="CX11">
        <v>12.90651154194517</v>
      </c>
      <c r="CY11">
        <v>189782157.01737493</v>
      </c>
      <c r="CZ11">
        <v>0.15614417493343352</v>
      </c>
      <c r="DA11">
        <v>3.9896952738229565</v>
      </c>
      <c r="DB11">
        <v>613938015.78558695</v>
      </c>
      <c r="DC11">
        <v>0.14833696618676184</v>
      </c>
      <c r="DD11">
        <v>1.8200668024609725</v>
      </c>
      <c r="DE11">
        <v>1345788845.0512094</v>
      </c>
      <c r="DF11">
        <v>0.13740687394142151</v>
      </c>
      <c r="DG11">
        <v>1.0005243341945875</v>
      </c>
      <c r="DH11">
        <v>2448141955.459548</v>
      </c>
      <c r="DI11">
        <v>0.12491533994674682</v>
      </c>
      <c r="DJ11">
        <v>0.42204418775248964</v>
      </c>
      <c r="DK11">
        <v>5803718357.1794157</v>
      </c>
      <c r="DL11">
        <v>0.10930092245340346</v>
      </c>
      <c r="DM11">
        <v>174000000</v>
      </c>
      <c r="DN11">
        <v>0.15614417493343352</v>
      </c>
      <c r="DO11">
        <v>2449425600</v>
      </c>
      <c r="DP11">
        <v>2158144600</v>
      </c>
      <c r="DQ11" s="9">
        <v>501</v>
      </c>
      <c r="DR11">
        <v>-0.29846975632878225</v>
      </c>
      <c r="DS11">
        <v>1.3230800175506199</v>
      </c>
      <c r="DT11">
        <v>-2.3333333333333355E-2</v>
      </c>
      <c r="DU11">
        <v>0.44</v>
      </c>
      <c r="DV11">
        <v>0.41666666666666663</v>
      </c>
      <c r="DW11">
        <v>-8.1932721712538221</v>
      </c>
      <c r="DX11">
        <v>0.29976968085106265</v>
      </c>
      <c r="DY11">
        <v>-8.0212154245559244</v>
      </c>
      <c r="DZ11">
        <v>839</v>
      </c>
      <c r="EA11">
        <v>-8.0177321092521243</v>
      </c>
      <c r="EB11" s="10">
        <v>8</v>
      </c>
      <c r="EC11">
        <v>4.1131018398849438E-2</v>
      </c>
      <c r="ED11">
        <v>0.37470290593862848</v>
      </c>
      <c r="EE11">
        <v>-1.0062</v>
      </c>
      <c r="EF11">
        <v>-1.00881</v>
      </c>
      <c r="EG11">
        <v>19.109769680851063</v>
      </c>
      <c r="EH11" s="13" t="s">
        <v>480</v>
      </c>
      <c r="EI11" s="14">
        <v>0</v>
      </c>
      <c r="EJ11" s="14">
        <v>1</v>
      </c>
      <c r="EK11" s="14">
        <v>45470</v>
      </c>
      <c r="EL11" s="14">
        <v>-0.39</v>
      </c>
      <c r="EM11" s="14">
        <v>-4.33</v>
      </c>
      <c r="EN11" s="14">
        <v>0.72</v>
      </c>
      <c r="EO11" s="14">
        <v>2.35</v>
      </c>
      <c r="EP11" s="14">
        <v>-1.5</v>
      </c>
    </row>
    <row r="12" spans="1:146" ht="96" x14ac:dyDescent="0.25">
      <c r="C12" s="11" t="str">
        <f>""&amp;CHAR(10)&amp;Basic_Fundamental_Information_Constructure(F12)&amp;CHAR(10)&amp;Basic_Fundamental_Information_Concatenate("")</f>
        <v xml:space="preserve">
市值17.385576亿, 利润4870.64万; PE65.62; 平均PE26.4; 平均PEG4.77, PB2.03; ROIC12.8567%; ROE10.205%; 股利率1.1091%; 毛利14.2733%; 净利4.33%; 上一年度营收增-15.97%, 利润增-36.9%; 当季营收增-38.36%, 利润增-119.91%; 过往5年营收增5.53%, 利润增22.36%
Income profile:
</v>
      </c>
      <c r="D12" t="s">
        <v>410</v>
      </c>
      <c r="E12" t="s">
        <v>411</v>
      </c>
      <c r="F12">
        <v>10.82</v>
      </c>
      <c r="G12">
        <v>1.03</v>
      </c>
      <c r="H12" t="s">
        <v>1188</v>
      </c>
      <c r="I12">
        <v>1738557600</v>
      </c>
      <c r="J12">
        <v>65.62</v>
      </c>
      <c r="K12">
        <v>2.0299999999999998</v>
      </c>
      <c r="L12" t="s">
        <v>29</v>
      </c>
      <c r="M12" t="s">
        <v>592</v>
      </c>
      <c r="N12" t="s">
        <v>1189</v>
      </c>
      <c r="O12" t="s">
        <v>370</v>
      </c>
      <c r="P12">
        <v>-38.42</v>
      </c>
      <c r="Q12" t="s">
        <v>734</v>
      </c>
      <c r="R12">
        <v>-3688242</v>
      </c>
      <c r="S12">
        <v>-1.1990000000000001</v>
      </c>
      <c r="T12" t="s">
        <v>735</v>
      </c>
      <c r="U12">
        <v>55680000</v>
      </c>
      <c r="V12">
        <v>160680000</v>
      </c>
      <c r="W12">
        <v>1.19</v>
      </c>
      <c r="X12">
        <v>0.23</v>
      </c>
      <c r="Y12">
        <v>-1.53</v>
      </c>
      <c r="Z12" t="s">
        <v>758</v>
      </c>
      <c r="AA12" t="s">
        <v>1190</v>
      </c>
      <c r="AB12" t="s">
        <v>1191</v>
      </c>
      <c r="AC12" t="s">
        <v>1192</v>
      </c>
      <c r="AD12" t="s">
        <v>53</v>
      </c>
      <c r="AE12">
        <v>-1154627</v>
      </c>
      <c r="AF12" t="s">
        <v>75</v>
      </c>
      <c r="AG12">
        <v>9284.52</v>
      </c>
      <c r="AH12" t="s">
        <v>736</v>
      </c>
      <c r="AI12" t="s">
        <v>1193</v>
      </c>
      <c r="AJ12" t="s">
        <v>737</v>
      </c>
      <c r="AK12" t="s">
        <v>53</v>
      </c>
      <c r="AL12" t="s">
        <v>738</v>
      </c>
      <c r="AM12" t="s">
        <v>53</v>
      </c>
      <c r="AN12" t="s">
        <v>400</v>
      </c>
      <c r="AO12" t="s">
        <v>53</v>
      </c>
      <c r="AP12" t="s">
        <v>53</v>
      </c>
      <c r="AQ12" t="s">
        <v>1194</v>
      </c>
      <c r="AR12" t="s">
        <v>53</v>
      </c>
      <c r="AS12" t="s">
        <v>1195</v>
      </c>
      <c r="AT12" t="s">
        <v>740</v>
      </c>
      <c r="AU12" t="s">
        <v>1196</v>
      </c>
      <c r="AV12" t="s">
        <v>1197</v>
      </c>
      <c r="AW12" t="s">
        <v>1198</v>
      </c>
      <c r="AX12" t="s">
        <v>431</v>
      </c>
      <c r="AY12" t="s">
        <v>412</v>
      </c>
      <c r="AZ12" t="s">
        <v>434</v>
      </c>
      <c r="BA12" t="s">
        <v>402</v>
      </c>
      <c r="BB12" t="s">
        <v>435</v>
      </c>
      <c r="BC12" t="s">
        <v>432</v>
      </c>
      <c r="BD12" t="s">
        <v>436</v>
      </c>
      <c r="BE12" t="s">
        <v>437</v>
      </c>
      <c r="BF12" t="s">
        <v>438</v>
      </c>
      <c r="BG12" t="s">
        <v>439</v>
      </c>
      <c r="BH12" t="s">
        <v>734</v>
      </c>
      <c r="BI12" t="s">
        <v>585</v>
      </c>
      <c r="BJ12" t="s">
        <v>431</v>
      </c>
      <c r="BK12" t="s">
        <v>735</v>
      </c>
      <c r="BL12" t="s">
        <v>741</v>
      </c>
      <c r="BM12" t="s">
        <v>432</v>
      </c>
      <c r="BN12">
        <v>3.93</v>
      </c>
      <c r="BO12">
        <v>14.34</v>
      </c>
      <c r="BP12">
        <v>20.3</v>
      </c>
      <c r="BQ12">
        <v>4.41</v>
      </c>
      <c r="BR12">
        <v>16</v>
      </c>
      <c r="BS12" t="s">
        <v>53</v>
      </c>
      <c r="BT12" t="s">
        <v>742</v>
      </c>
      <c r="BU12" t="s">
        <v>1091</v>
      </c>
      <c r="BV12">
        <v>14.22</v>
      </c>
      <c r="BW12">
        <v>12.91</v>
      </c>
      <c r="BX12">
        <v>15.69</v>
      </c>
      <c r="BY12">
        <v>3.39</v>
      </c>
      <c r="BZ12">
        <v>4.5199999999999996</v>
      </c>
      <c r="CA12">
        <v>5.08</v>
      </c>
      <c r="CB12">
        <v>-2.52</v>
      </c>
      <c r="CC12" s="7">
        <v>-21.02</v>
      </c>
      <c r="CD12" s="8" t="s">
        <v>1199</v>
      </c>
      <c r="CE12" s="7" t="s">
        <v>1200</v>
      </c>
      <c r="CF12" s="7">
        <v>-0.38363171355498721</v>
      </c>
      <c r="CG12" s="7">
        <v>-1.1991082823178829</v>
      </c>
      <c r="CH12" s="7">
        <v>-0.15974250435829163</v>
      </c>
      <c r="CI12" s="7">
        <v>-3.5008542239665985E-2</v>
      </c>
      <c r="CJ12" s="8">
        <v>0.17284771800041199</v>
      </c>
      <c r="CK12" s="8">
        <v>0.47173488140106201</v>
      </c>
      <c r="CL12" s="8">
        <v>-0.17324733734130859</v>
      </c>
      <c r="CM12" s="8">
        <v>-0.36901366710662842</v>
      </c>
      <c r="CN12" s="8">
        <v>-0.14187806844711304</v>
      </c>
      <c r="CO12">
        <v>-2.2217024117708206E-2</v>
      </c>
      <c r="CP12">
        <v>0.557289719581604</v>
      </c>
      <c r="CQ12">
        <v>1.0936328172683716</v>
      </c>
      <c r="CR12" s="7">
        <v>26.399139949526699</v>
      </c>
      <c r="CS12" s="8">
        <v>4.7723511454567902</v>
      </c>
      <c r="CT12">
        <v>1.1090573012939</v>
      </c>
      <c r="CU12">
        <v>5.5316843092441559E-2</v>
      </c>
      <c r="CV12">
        <v>0.2235627554357052</v>
      </c>
      <c r="CW12">
        <v>0.06</v>
      </c>
      <c r="CX12">
        <v>22.015486208214963</v>
      </c>
      <c r="CY12">
        <v>48491211.590941221</v>
      </c>
      <c r="CZ12">
        <v>5.5316843092441559E-2</v>
      </c>
      <c r="DA12">
        <v>7.4097279776953906</v>
      </c>
      <c r="DB12">
        <v>144075140.57378891</v>
      </c>
      <c r="DC12">
        <v>5.2551000937819475E-2</v>
      </c>
      <c r="DD12">
        <v>3.7923009940990609</v>
      </c>
      <c r="DE12">
        <v>281506558.06623816</v>
      </c>
      <c r="DF12">
        <v>4.8678821921348571E-2</v>
      </c>
      <c r="DG12">
        <v>2.3776817342167793</v>
      </c>
      <c r="DH12">
        <v>448990958.14085442</v>
      </c>
      <c r="DI12">
        <v>4.4253474473953253E-2</v>
      </c>
      <c r="DJ12">
        <v>1.3467283300442416</v>
      </c>
      <c r="DK12">
        <v>792704494.42830789</v>
      </c>
      <c r="DL12">
        <v>3.8721790164709086E-2</v>
      </c>
      <c r="DM12">
        <v>48706400</v>
      </c>
      <c r="DN12">
        <v>5.5316843092441559E-2</v>
      </c>
      <c r="DO12">
        <v>1067557600</v>
      </c>
      <c r="DP12">
        <v>413769220</v>
      </c>
      <c r="DQ12" s="9">
        <v>506</v>
      </c>
      <c r="DR12">
        <v>-0.43894855664742877</v>
      </c>
      <c r="DS12">
        <v>-1.4226710377535881</v>
      </c>
      <c r="DT12">
        <v>-0.45666666666666672</v>
      </c>
      <c r="DU12">
        <v>-0.74833333333333341</v>
      </c>
      <c r="DV12">
        <v>-1.2050000000000001</v>
      </c>
      <c r="DW12">
        <v>-8.1198858230256903</v>
      </c>
      <c r="DX12">
        <v>0.24011241830065275</v>
      </c>
      <c r="DY12">
        <v>-8.008405484972295</v>
      </c>
      <c r="DZ12">
        <v>3765</v>
      </c>
      <c r="EA12">
        <v>-8.0022124026003407</v>
      </c>
      <c r="EB12" s="10">
        <v>8</v>
      </c>
      <c r="EC12" s="10">
        <v>6.6761264625342293E-2</v>
      </c>
      <c r="ED12">
        <v>0.95220313666915612</v>
      </c>
      <c r="EE12">
        <v>7.9100000000000004E-3</v>
      </c>
      <c r="EF12">
        <v>2.2009999999999998E-2</v>
      </c>
      <c r="EG12">
        <v>17.070112418300653</v>
      </c>
      <c r="EH12" s="13">
        <v>-1</v>
      </c>
      <c r="EI12" s="14">
        <v>0</v>
      </c>
      <c r="EJ12" s="14">
        <v>0</v>
      </c>
      <c r="EK12" s="14">
        <v>45470</v>
      </c>
      <c r="EL12" s="14">
        <v>0.86</v>
      </c>
      <c r="EM12" s="14">
        <v>-6.08</v>
      </c>
      <c r="EN12" s="14">
        <v>1.0900000000000001</v>
      </c>
      <c r="EO12" s="14">
        <v>2.08</v>
      </c>
      <c r="EP12" s="14">
        <v>-1.41</v>
      </c>
    </row>
    <row r="13" spans="1:146" ht="84" x14ac:dyDescent="0.25">
      <c r="A13" s="11"/>
      <c r="B13" s="11"/>
      <c r="C13" s="11" t="str">
        <f>""&amp;CHAR(10)&amp;Basic_Fundamental_Information_Constructure(F13)&amp;CHAR(10)&amp;Basic_Fundamental_Information_Concatenate("")</f>
        <v xml:space="preserve">
市值95.567606亿, 利润-13.63亿; PE; 平均PE64.21; 平均PEG2.09, PB1.49; ROIC2.37%; ROE-4.7633%; 股利率0%; 毛利7.6567%; 净利-3.7533%; 上一年度营收增13.74%, 利润增-585.05%; 当季营收增-2.93%, 利润增478.54%; 过往5年营收增30.68%, 利润增-62.76%
Income profile:
</v>
      </c>
      <c r="D13" t="s">
        <v>32</v>
      </c>
      <c r="E13" t="s">
        <v>18</v>
      </c>
      <c r="F13">
        <v>7</v>
      </c>
      <c r="G13">
        <v>1.89</v>
      </c>
      <c r="H13" t="s">
        <v>1201</v>
      </c>
      <c r="I13">
        <v>9556760600</v>
      </c>
      <c r="K13">
        <v>1.49</v>
      </c>
      <c r="L13" t="s">
        <v>29</v>
      </c>
      <c r="M13" t="s">
        <v>743</v>
      </c>
      <c r="N13" t="s">
        <v>1202</v>
      </c>
      <c r="O13" t="s">
        <v>744</v>
      </c>
      <c r="P13">
        <v>-2.93</v>
      </c>
      <c r="Q13" t="s">
        <v>745</v>
      </c>
      <c r="R13">
        <v>54063761</v>
      </c>
      <c r="S13" s="3">
        <v>4.7850000000000001</v>
      </c>
      <c r="T13" t="s">
        <v>149</v>
      </c>
      <c r="U13">
        <v>1365251500</v>
      </c>
      <c r="V13">
        <v>1365251500</v>
      </c>
      <c r="W13">
        <v>2.16</v>
      </c>
      <c r="X13">
        <v>0.22</v>
      </c>
      <c r="Y13">
        <v>1.59</v>
      </c>
      <c r="Z13" t="s">
        <v>1203</v>
      </c>
      <c r="AA13" t="s">
        <v>1204</v>
      </c>
      <c r="AB13" t="s">
        <v>97</v>
      </c>
      <c r="AC13" t="s">
        <v>580</v>
      </c>
      <c r="AD13" t="s">
        <v>53</v>
      </c>
      <c r="AE13">
        <v>41544182</v>
      </c>
      <c r="AF13" t="s">
        <v>746</v>
      </c>
      <c r="AG13" t="s">
        <v>1205</v>
      </c>
      <c r="AH13" t="s">
        <v>747</v>
      </c>
      <c r="AI13" t="s">
        <v>1206</v>
      </c>
      <c r="AJ13" t="s">
        <v>748</v>
      </c>
      <c r="AK13" t="s">
        <v>1207</v>
      </c>
      <c r="AL13" t="s">
        <v>749</v>
      </c>
      <c r="AM13" t="s">
        <v>53</v>
      </c>
      <c r="AN13" t="s">
        <v>1208</v>
      </c>
      <c r="AO13" t="s">
        <v>1209</v>
      </c>
      <c r="AP13" t="s">
        <v>1210</v>
      </c>
      <c r="AQ13" t="s">
        <v>1211</v>
      </c>
      <c r="AR13" t="s">
        <v>53</v>
      </c>
      <c r="AS13" t="s">
        <v>1212</v>
      </c>
      <c r="AT13" t="s">
        <v>1213</v>
      </c>
      <c r="AU13" t="s">
        <v>1214</v>
      </c>
      <c r="AV13" t="s">
        <v>1215</v>
      </c>
      <c r="AW13" t="s">
        <v>1216</v>
      </c>
      <c r="AX13" t="s">
        <v>1217</v>
      </c>
      <c r="AY13" t="s">
        <v>441</v>
      </c>
      <c r="AZ13" t="s">
        <v>154</v>
      </c>
      <c r="BA13" t="s">
        <v>81</v>
      </c>
      <c r="BB13" t="s">
        <v>156</v>
      </c>
      <c r="BC13" t="s">
        <v>599</v>
      </c>
      <c r="BD13" t="s">
        <v>442</v>
      </c>
      <c r="BE13" t="s">
        <v>155</v>
      </c>
      <c r="BF13" t="s">
        <v>82</v>
      </c>
      <c r="BG13" t="s">
        <v>157</v>
      </c>
      <c r="BH13" t="s">
        <v>745</v>
      </c>
      <c r="BI13" t="s">
        <v>751</v>
      </c>
      <c r="BJ13" t="s">
        <v>1217</v>
      </c>
      <c r="BK13" t="s">
        <v>149</v>
      </c>
      <c r="BL13" t="s">
        <v>752</v>
      </c>
      <c r="BM13" t="s">
        <v>599</v>
      </c>
      <c r="BN13" t="s">
        <v>53</v>
      </c>
      <c r="BO13">
        <v>2.37</v>
      </c>
      <c r="BP13" t="s">
        <v>53</v>
      </c>
      <c r="BQ13">
        <v>-6.61</v>
      </c>
      <c r="BR13">
        <v>4.07</v>
      </c>
      <c r="BS13">
        <v>-11.75</v>
      </c>
      <c r="BT13" t="s">
        <v>407</v>
      </c>
      <c r="BU13" t="s">
        <v>1091</v>
      </c>
      <c r="BV13">
        <v>2.92</v>
      </c>
      <c r="BW13">
        <v>10.48</v>
      </c>
      <c r="BX13">
        <v>9.57</v>
      </c>
      <c r="BY13">
        <v>-7.97</v>
      </c>
      <c r="BZ13">
        <v>1.1399999999999999</v>
      </c>
      <c r="CA13">
        <v>-4.43</v>
      </c>
      <c r="CB13">
        <v>1.01</v>
      </c>
      <c r="CC13">
        <v>-18.22</v>
      </c>
      <c r="CD13" t="s">
        <v>1218</v>
      </c>
      <c r="CE13" t="s">
        <v>1219</v>
      </c>
      <c r="CF13" s="7">
        <v>-2.9298380878951185E-2</v>
      </c>
      <c r="CG13" s="8">
        <v>4.7853679729455338</v>
      </c>
      <c r="CH13" s="7">
        <v>0.13737441599369049</v>
      </c>
      <c r="CI13" s="7">
        <v>6.4731776714324951E-2</v>
      </c>
      <c r="CJ13" s="7">
        <v>0.31066980957984924</v>
      </c>
      <c r="CK13" s="7">
        <v>0.60339754819869995</v>
      </c>
      <c r="CL13" s="7">
        <v>0.4177888035774231</v>
      </c>
      <c r="CM13" s="8">
        <v>-5.8505339622497559</v>
      </c>
      <c r="CN13" s="8">
        <v>1.3997155427932739</v>
      </c>
      <c r="CO13" s="8">
        <v>-1.4087209701538086</v>
      </c>
      <c r="CP13" s="8">
        <v>1.6708074808120728</v>
      </c>
      <c r="CQ13" s="8">
        <v>1.0509554147720337</v>
      </c>
      <c r="CR13">
        <v>64.2111574468085</v>
      </c>
      <c r="CS13">
        <v>2.0929834841347743</v>
      </c>
      <c r="CT13">
        <v>0</v>
      </c>
      <c r="CU13" s="7">
        <v>0.30679247081279754</v>
      </c>
      <c r="CV13" s="8">
        <v>-0.62755529880523686</v>
      </c>
      <c r="CW13">
        <v>0.06</v>
      </c>
      <c r="CX13" t="e">
        <v>#VALUE!</v>
      </c>
      <c r="CY13" t="s">
        <v>354</v>
      </c>
      <c r="CZ13">
        <v>0.30679247081279754</v>
      </c>
      <c r="DA13" t="e">
        <v>#VALUE!</v>
      </c>
      <c r="DB13" t="s">
        <v>354</v>
      </c>
      <c r="DC13">
        <v>0.29145284727215764</v>
      </c>
      <c r="DD13" t="e">
        <v>#VALUE!</v>
      </c>
      <c r="DE13" t="s">
        <v>354</v>
      </c>
      <c r="DF13">
        <v>0.26997737431526181</v>
      </c>
      <c r="DG13" t="e">
        <v>#VALUE!</v>
      </c>
      <c r="DH13" t="s">
        <v>354</v>
      </c>
      <c r="DI13">
        <v>0.24543397665023803</v>
      </c>
      <c r="DJ13" t="e">
        <v>#VALUE!</v>
      </c>
      <c r="DK13" t="s">
        <v>354</v>
      </c>
      <c r="DL13">
        <v>0.21475472956895827</v>
      </c>
      <c r="DM13">
        <v>-1363000000</v>
      </c>
      <c r="DN13">
        <v>0.30679247081279754</v>
      </c>
      <c r="DO13">
        <v>10453760600</v>
      </c>
      <c r="DP13">
        <v>2262175800</v>
      </c>
      <c r="DQ13">
        <v>614</v>
      </c>
      <c r="DR13">
        <v>-0.33609085169174874</v>
      </c>
      <c r="DS13">
        <v>5.4129232717507705</v>
      </c>
      <c r="DT13" s="9">
        <v>2.6666666666666616E-2</v>
      </c>
      <c r="DU13">
        <v>-1.1399999999999999</v>
      </c>
      <c r="DV13">
        <v>-1.1133333333333333</v>
      </c>
      <c r="DW13">
        <v>-3.0251071428571428</v>
      </c>
      <c r="DX13">
        <v>0.35140845070422488</v>
      </c>
      <c r="DY13">
        <v>-3.005056790744467</v>
      </c>
      <c r="DZ13">
        <v>3680</v>
      </c>
      <c r="EA13">
        <v>-3.0014151097386668</v>
      </c>
      <c r="EB13">
        <v>3</v>
      </c>
      <c r="EC13">
        <v>0.10474260603266138</v>
      </c>
      <c r="ED13">
        <v>0.52005070128104602</v>
      </c>
      <c r="EE13" s="10">
        <v>3.2100000000000004E-2</v>
      </c>
      <c r="EF13">
        <v>2.2099999999999995E-2</v>
      </c>
      <c r="EG13">
        <v>15.201408450704225</v>
      </c>
      <c r="EH13" t="s">
        <v>352</v>
      </c>
      <c r="EI13">
        <v>0</v>
      </c>
      <c r="EJ13">
        <v>0</v>
      </c>
      <c r="EK13" s="13">
        <v>45470</v>
      </c>
      <c r="EL13" s="14">
        <v>2.14</v>
      </c>
      <c r="EM13" s="14">
        <v>-2.65</v>
      </c>
      <c r="EN13" s="14">
        <v>-0.43</v>
      </c>
      <c r="EO13" s="14">
        <v>1.3</v>
      </c>
      <c r="EP13" s="14">
        <v>-1</v>
      </c>
    </row>
    <row r="14" spans="1:146" ht="204" x14ac:dyDescent="0.25">
      <c r="A14" s="11" t="s">
        <v>361</v>
      </c>
      <c r="B14" s="11" t="s">
        <v>360</v>
      </c>
      <c r="C14" s="11" t="str">
        <f>"公司是一家农副食品加工企业,从事功能糖的研发、制造及方案服务公司。产品主要包括功能糖系列、糖醇系列、膳食纤维系列、淀粉及淀粉糖系列、医药原辅料系列及益生元终端等，广泛应用于健康食品、功能饮品、保健医药、无抗饲料、日化等领域。"&amp;CHAR(10)&amp;Basic_Fundamental_Information_Constructure(C14)&amp;CHAR(10)&amp;Basic_Fundamental_Information_Concatenate("糖醇 6.68亿 24.17% 51.76% 28.67%
果葡糖浆 3.72亿 13.46% 4.25% 4.22%
麦芽糊精 3.28亿 11.86% 3.44% 3.88%
饲料 3.08亿 11.15% 2.45% 2.94%
低聚糖 2.92亿 10.58% 19.04% 24.10%
其他功能糖 2.51亿 9.09% 7.15% 10.54%
其他淀粉糖 2.32亿 8.41% 8.89% 14.17%")</f>
        <v>公司是一家农副食品加工企业,从事功能糖的研发、制造及方案服务公司。产品主要包括功能糖系列、糖醇系列、膳食纤维系列、淀粉及淀粉糖系列、医药原辅料系列及益生元终端等，广泛应用于健康食品、功能饮品、保健医药、无抗饲料、日化等领域。
市值22.851624亿, 利润5396.90万; PE38.03; 平均PE26.52; 平均PEG3.02, PB1.17; ROIC6.3867%; ROE7.0733%; 股利率1.2945%; 毛利11.0067%; 净利4.78%; 上一年度营收增-6.97%, 利润增-59.42%; 当季营收增-9.67%, 利润增290.04%; 过往5年营收增8.78%, 利润增47.02%
Income profile:
糖醇 6.68亿 24.17% 51.76% 28.67%
果葡糖浆 3.72亿 13.46% 4.25% 4.22%
麦芽糊精 3.28亿 11.86% 3.44% 3.88%
饲料 3.08亿 11.15% 2.45% 2.94%
低聚糖 2.92亿 10.58% 19.04% 24.10%
其他功能糖 2.51亿 9.09% 7.15% 10.54%
其他淀粉糖 2.32亿 8.41% 8.89% 14.17%</v>
      </c>
      <c r="D14" t="s">
        <v>52</v>
      </c>
      <c r="E14" t="s">
        <v>9</v>
      </c>
      <c r="F14">
        <v>6.18</v>
      </c>
      <c r="G14">
        <v>1.81</v>
      </c>
      <c r="H14" t="s">
        <v>1220</v>
      </c>
      <c r="I14">
        <v>2285162400</v>
      </c>
      <c r="J14">
        <v>38.03</v>
      </c>
      <c r="K14">
        <v>1.17</v>
      </c>
      <c r="L14" t="s">
        <v>29</v>
      </c>
      <c r="M14" t="s">
        <v>753</v>
      </c>
      <c r="N14" t="s">
        <v>167</v>
      </c>
      <c r="O14" t="s">
        <v>684</v>
      </c>
      <c r="P14">
        <v>-9.68</v>
      </c>
      <c r="Q14" t="s">
        <v>754</v>
      </c>
      <c r="R14">
        <v>66500000</v>
      </c>
      <c r="S14" s="3">
        <v>0.3589</v>
      </c>
      <c r="T14" t="s">
        <v>755</v>
      </c>
      <c r="U14">
        <v>369628480</v>
      </c>
      <c r="V14">
        <v>369767380</v>
      </c>
      <c r="W14">
        <v>1.36</v>
      </c>
      <c r="X14">
        <v>0.21</v>
      </c>
      <c r="Y14">
        <v>4.2</v>
      </c>
      <c r="Z14" t="s">
        <v>1221</v>
      </c>
      <c r="AA14" t="s">
        <v>1222</v>
      </c>
      <c r="AB14" t="s">
        <v>1223</v>
      </c>
      <c r="AC14" t="s">
        <v>1224</v>
      </c>
      <c r="AD14" t="s">
        <v>53</v>
      </c>
      <c r="AE14">
        <v>935926</v>
      </c>
      <c r="AF14" t="s">
        <v>756</v>
      </c>
      <c r="AG14" t="s">
        <v>1225</v>
      </c>
      <c r="AH14" t="s">
        <v>757</v>
      </c>
      <c r="AI14" t="s">
        <v>1226</v>
      </c>
      <c r="AJ14" t="s">
        <v>759</v>
      </c>
      <c r="AK14" t="s">
        <v>53</v>
      </c>
      <c r="AL14" t="s">
        <v>760</v>
      </c>
      <c r="AM14" t="s">
        <v>53</v>
      </c>
      <c r="AN14" t="s">
        <v>1227</v>
      </c>
      <c r="AO14" t="s">
        <v>1228</v>
      </c>
      <c r="AP14" t="s">
        <v>761</v>
      </c>
      <c r="AQ14" t="s">
        <v>134</v>
      </c>
      <c r="AR14" t="s">
        <v>53</v>
      </c>
      <c r="AS14" t="s">
        <v>1229</v>
      </c>
      <c r="AT14" t="s">
        <v>1230</v>
      </c>
      <c r="AU14" t="s">
        <v>1231</v>
      </c>
      <c r="AV14" t="s">
        <v>1232</v>
      </c>
      <c r="AW14" t="s">
        <v>1233</v>
      </c>
      <c r="AX14" t="s">
        <v>443</v>
      </c>
      <c r="AY14" t="s">
        <v>316</v>
      </c>
      <c r="AZ14" t="s">
        <v>158</v>
      </c>
      <c r="BA14" t="s">
        <v>83</v>
      </c>
      <c r="BB14" t="s">
        <v>160</v>
      </c>
      <c r="BC14" t="s">
        <v>67</v>
      </c>
      <c r="BD14" t="s">
        <v>93</v>
      </c>
      <c r="BE14" t="s">
        <v>159</v>
      </c>
      <c r="BF14" t="s">
        <v>84</v>
      </c>
      <c r="BG14" t="s">
        <v>161</v>
      </c>
      <c r="BH14" t="s">
        <v>754</v>
      </c>
      <c r="BI14" t="s">
        <v>577</v>
      </c>
      <c r="BJ14" t="s">
        <v>443</v>
      </c>
      <c r="BK14" t="s">
        <v>755</v>
      </c>
      <c r="BL14" t="s">
        <v>763</v>
      </c>
      <c r="BM14" t="s">
        <v>67</v>
      </c>
      <c r="BN14">
        <v>2.3199999999999998</v>
      </c>
      <c r="BO14">
        <v>6.41</v>
      </c>
      <c r="BP14">
        <v>10.43</v>
      </c>
      <c r="BQ14">
        <v>2.29</v>
      </c>
      <c r="BR14">
        <v>6.98</v>
      </c>
      <c r="BS14">
        <v>11.95</v>
      </c>
      <c r="BT14" t="s">
        <v>444</v>
      </c>
      <c r="BU14" t="s">
        <v>365</v>
      </c>
      <c r="BV14">
        <v>8.1</v>
      </c>
      <c r="BW14">
        <v>11.53</v>
      </c>
      <c r="BX14">
        <v>13.39</v>
      </c>
      <c r="BY14">
        <v>2.14</v>
      </c>
      <c r="BZ14">
        <v>4.91</v>
      </c>
      <c r="CA14">
        <v>7.29</v>
      </c>
      <c r="CB14">
        <v>12.16</v>
      </c>
      <c r="CC14">
        <v>-4.4800000000000004</v>
      </c>
      <c r="CD14" t="s">
        <v>1234</v>
      </c>
      <c r="CE14" t="s">
        <v>1050</v>
      </c>
      <c r="CF14" s="7">
        <v>-9.6721311475409841E-2</v>
      </c>
      <c r="CG14" s="8">
        <v>2.9003618832002909</v>
      </c>
      <c r="CH14" s="7">
        <v>-6.9664552807807922E-2</v>
      </c>
      <c r="CI14" s="7">
        <v>-1.8806509673595428E-2</v>
      </c>
      <c r="CJ14" s="7">
        <v>0.3454987108707428</v>
      </c>
      <c r="CK14" s="7">
        <v>0.13850423693656921</v>
      </c>
      <c r="CL14" s="7">
        <v>4.3352562934160233E-2</v>
      </c>
      <c r="CM14" s="8">
        <v>-0.59421801567077637</v>
      </c>
      <c r="CN14" s="8">
        <v>-0.34158414602279663</v>
      </c>
      <c r="CO14" s="8">
        <v>3.0511894226074219</v>
      </c>
      <c r="CP14" s="8">
        <v>0.4151763916015625</v>
      </c>
      <c r="CQ14" s="8">
        <v>-0.17971503734588623</v>
      </c>
      <c r="CR14">
        <v>26.519357174688057</v>
      </c>
      <c r="CS14">
        <v>3.0212231579203204</v>
      </c>
      <c r="CT14">
        <v>1.2944983818770228</v>
      </c>
      <c r="CU14" s="7">
        <v>8.7776889652013773E-2</v>
      </c>
      <c r="CV14" s="8">
        <v>0.47016972303390503</v>
      </c>
      <c r="CW14">
        <v>0.06</v>
      </c>
      <c r="CX14">
        <v>18.131161320307317</v>
      </c>
      <c r="CY14">
        <v>55383236.752480678</v>
      </c>
      <c r="CZ14">
        <v>8.7776889652013773E-2</v>
      </c>
      <c r="DA14">
        <v>5.9362616323139363</v>
      </c>
      <c r="DB14">
        <v>169157369.09806329</v>
      </c>
      <c r="DC14">
        <v>8.3388045169413075E-2</v>
      </c>
      <c r="DD14">
        <v>2.9296459515394631</v>
      </c>
      <c r="DE14">
        <v>342758960.16456717</v>
      </c>
      <c r="DF14">
        <v>7.7243662893772116E-2</v>
      </c>
      <c r="DG14">
        <v>1.7642968071216496</v>
      </c>
      <c r="DH14">
        <v>569157295.95307398</v>
      </c>
      <c r="DI14">
        <v>7.0221511721611021E-2</v>
      </c>
      <c r="DJ14">
        <v>0.91708407166305372</v>
      </c>
      <c r="DK14">
        <v>1094951303.8417921</v>
      </c>
      <c r="DL14">
        <v>6.1443822756409638E-2</v>
      </c>
      <c r="DM14">
        <v>53969000</v>
      </c>
      <c r="DN14">
        <v>8.7776889652013773E-2</v>
      </c>
      <c r="DO14">
        <v>1004162400.0000002</v>
      </c>
      <c r="DP14">
        <v>253715670</v>
      </c>
      <c r="DQ14">
        <v>793</v>
      </c>
      <c r="DR14">
        <v>-0.1844982011274236</v>
      </c>
      <c r="DS14">
        <v>2.4301921601663858</v>
      </c>
      <c r="DT14" s="9">
        <v>-0.3066666666666667</v>
      </c>
      <c r="DU14">
        <v>0.5083333333333333</v>
      </c>
      <c r="DV14">
        <v>0.20166666666666661</v>
      </c>
      <c r="DW14">
        <v>5.3684210526315788</v>
      </c>
      <c r="DX14">
        <v>0.58535377358490503</v>
      </c>
      <c r="DY14">
        <v>5.1382882323733865</v>
      </c>
      <c r="DZ14">
        <v>1745</v>
      </c>
      <c r="EA14">
        <v>5.0910645600658402</v>
      </c>
      <c r="EB14">
        <v>5</v>
      </c>
      <c r="EC14">
        <v>0.21520286619117132</v>
      </c>
      <c r="ED14">
        <v>0.57333342924949193</v>
      </c>
      <c r="EE14" s="10">
        <v>-2.0589</v>
      </c>
      <c r="EF14">
        <v>-2.0283000000000002</v>
      </c>
      <c r="EG14">
        <v>21.375353773584905</v>
      </c>
      <c r="EH14" t="s">
        <v>578</v>
      </c>
      <c r="EI14">
        <v>1</v>
      </c>
      <c r="EJ14">
        <v>0</v>
      </c>
      <c r="EK14" s="13">
        <v>45470</v>
      </c>
      <c r="EL14" s="14">
        <v>1.26</v>
      </c>
      <c r="EM14" s="14">
        <v>-5.88</v>
      </c>
      <c r="EN14" s="14">
        <v>0.76</v>
      </c>
      <c r="EO14" s="14">
        <v>4.32</v>
      </c>
      <c r="EP14" s="14">
        <v>-3.06</v>
      </c>
    </row>
    <row r="15" spans="1:146" ht="96" x14ac:dyDescent="0.25">
      <c r="A15" s="11"/>
      <c r="B15" s="11"/>
      <c r="C15" s="11" t="str">
        <f>""&amp;CHAR(10)&amp;Basic_Fundamental_Information_Constructure(F15)&amp;CHAR(10)&amp;Basic_Fundamental_Information_Concatenate("")</f>
        <v xml:space="preserve">
市值793.60874亿, 利润27.41亿; PE24.85; 平均PE36.79; 平均PEG1.6, PB4.01; ROIC10.48%; ROE13.98%; 股利率1.0482%; 毛利8.7433%; 净利2.5333%; 上一年度营收增10.89%, 利润增-7.3%; 当季营收增-.8%, 利润增110.95%; 过往5年营收增22.97%, 利润增21.21%
Income profile:
</v>
      </c>
      <c r="D15" t="s">
        <v>33</v>
      </c>
      <c r="E15" t="s">
        <v>16</v>
      </c>
      <c r="F15">
        <v>47.7</v>
      </c>
      <c r="G15">
        <v>3.47</v>
      </c>
      <c r="H15" t="s">
        <v>1235</v>
      </c>
      <c r="I15">
        <v>79360874000</v>
      </c>
      <c r="J15">
        <v>24.85</v>
      </c>
      <c r="K15">
        <v>4.01</v>
      </c>
      <c r="L15" t="s">
        <v>29</v>
      </c>
      <c r="M15" t="s">
        <v>764</v>
      </c>
      <c r="N15" t="s">
        <v>1236</v>
      </c>
      <c r="O15" t="s">
        <v>765</v>
      </c>
      <c r="P15">
        <v>-0.8</v>
      </c>
      <c r="Q15" t="s">
        <v>766</v>
      </c>
      <c r="R15">
        <v>860694640</v>
      </c>
      <c r="S15" s="3">
        <v>1.1100000000000001</v>
      </c>
      <c r="T15" t="s">
        <v>767</v>
      </c>
      <c r="U15">
        <v>1662560500</v>
      </c>
      <c r="V15">
        <v>1663750000</v>
      </c>
      <c r="W15">
        <v>2.14</v>
      </c>
      <c r="X15">
        <v>0.52</v>
      </c>
      <c r="Y15">
        <v>3.88</v>
      </c>
      <c r="Z15" t="s">
        <v>1237</v>
      </c>
      <c r="AA15" t="s">
        <v>1238</v>
      </c>
      <c r="AB15" t="s">
        <v>1239</v>
      </c>
      <c r="AC15" t="s">
        <v>1240</v>
      </c>
      <c r="AD15" t="s">
        <v>53</v>
      </c>
      <c r="AE15">
        <v>77650417</v>
      </c>
      <c r="AF15" t="s">
        <v>768</v>
      </c>
      <c r="AG15" t="s">
        <v>1241</v>
      </c>
      <c r="AH15" t="s">
        <v>769</v>
      </c>
      <c r="AI15" t="s">
        <v>1242</v>
      </c>
      <c r="AJ15" t="s">
        <v>770</v>
      </c>
      <c r="AK15" t="s">
        <v>1243</v>
      </c>
      <c r="AL15" t="s">
        <v>771</v>
      </c>
      <c r="AM15" t="s">
        <v>53</v>
      </c>
      <c r="AN15" t="s">
        <v>577</v>
      </c>
      <c r="AO15" t="s">
        <v>1244</v>
      </c>
      <c r="AP15" t="s">
        <v>1245</v>
      </c>
      <c r="AQ15" t="s">
        <v>1246</v>
      </c>
      <c r="AR15" t="s">
        <v>1247</v>
      </c>
      <c r="AS15" t="s">
        <v>1248</v>
      </c>
      <c r="AT15" t="s">
        <v>1249</v>
      </c>
      <c r="AU15" t="s">
        <v>1250</v>
      </c>
      <c r="AV15" t="s">
        <v>1251</v>
      </c>
      <c r="AW15" t="s">
        <v>1252</v>
      </c>
      <c r="AX15" t="s">
        <v>445</v>
      </c>
      <c r="AY15" t="s">
        <v>446</v>
      </c>
      <c r="AZ15" t="s">
        <v>162</v>
      </c>
      <c r="BA15" t="s">
        <v>86</v>
      </c>
      <c r="BB15" t="s">
        <v>164</v>
      </c>
      <c r="BC15" t="s">
        <v>772</v>
      </c>
      <c r="BD15" t="s">
        <v>447</v>
      </c>
      <c r="BE15" t="s">
        <v>163</v>
      </c>
      <c r="BF15" t="s">
        <v>87</v>
      </c>
      <c r="BG15" t="s">
        <v>165</v>
      </c>
      <c r="BH15" t="s">
        <v>766</v>
      </c>
      <c r="BI15" t="s">
        <v>773</v>
      </c>
      <c r="BJ15" t="s">
        <v>445</v>
      </c>
      <c r="BK15" t="s">
        <v>767</v>
      </c>
      <c r="BL15" t="s">
        <v>774</v>
      </c>
      <c r="BM15" t="s">
        <v>772</v>
      </c>
      <c r="BN15">
        <v>9.44</v>
      </c>
      <c r="BO15">
        <v>13.2</v>
      </c>
      <c r="BP15">
        <v>8.8000000000000007</v>
      </c>
      <c r="BQ15">
        <v>12.02</v>
      </c>
      <c r="BR15">
        <v>18.46</v>
      </c>
      <c r="BS15">
        <v>11.46</v>
      </c>
      <c r="BT15" t="s">
        <v>475</v>
      </c>
      <c r="BU15" t="s">
        <v>1168</v>
      </c>
      <c r="BV15">
        <v>8.4700000000000006</v>
      </c>
      <c r="BW15">
        <v>9.27</v>
      </c>
      <c r="BX15">
        <v>8.49</v>
      </c>
      <c r="BY15">
        <v>2.4700000000000002</v>
      </c>
      <c r="BZ15">
        <v>3.02</v>
      </c>
      <c r="CA15">
        <v>2.11</v>
      </c>
      <c r="CB15">
        <v>2.4700000000000002</v>
      </c>
      <c r="CC15">
        <v>-7.49</v>
      </c>
      <c r="CD15" t="s">
        <v>1253</v>
      </c>
      <c r="CE15" t="s">
        <v>1254</v>
      </c>
      <c r="CF15" s="7">
        <v>-7.9630105317236057E-3</v>
      </c>
      <c r="CG15" s="8">
        <v>1.1095456862745099</v>
      </c>
      <c r="CH15" s="7">
        <v>0.10888596624135971</v>
      </c>
      <c r="CI15" s="7">
        <v>0.21631516516208649</v>
      </c>
      <c r="CJ15" s="7">
        <v>0.42715996503829956</v>
      </c>
      <c r="CK15" s="7">
        <v>0.26696485280990601</v>
      </c>
      <c r="CL15" s="7">
        <v>0.12942105531692505</v>
      </c>
      <c r="CM15" s="8">
        <v>-7.3047012090682983E-2</v>
      </c>
      <c r="CN15" s="8">
        <v>0.80745714902877808</v>
      </c>
      <c r="CO15" s="8">
        <v>-0.35156559944152832</v>
      </c>
      <c r="CP15" s="8">
        <v>0.53001827001571655</v>
      </c>
      <c r="CQ15" s="8">
        <v>0.14752958714962006</v>
      </c>
      <c r="CR15">
        <v>36.789403075021248</v>
      </c>
      <c r="CS15">
        <v>1.6012839610771332</v>
      </c>
      <c r="CT15">
        <v>1.0482180293501047</v>
      </c>
      <c r="CU15" s="7">
        <v>0.22974940091371537</v>
      </c>
      <c r="CV15" s="8">
        <v>0.21207847893238069</v>
      </c>
      <c r="CW15">
        <v>0.06</v>
      </c>
      <c r="CX15">
        <v>25.819578548097983</v>
      </c>
      <c r="CY15">
        <v>3179946328.2117867</v>
      </c>
      <c r="CZ15">
        <v>0.22974940091371537</v>
      </c>
      <c r="DA15">
        <v>7.5105241900546096</v>
      </c>
      <c r="DB15">
        <v>10931976506.875881</v>
      </c>
      <c r="DC15">
        <v>0.21826193086802959</v>
      </c>
      <c r="DD15">
        <v>3.1405184804252242</v>
      </c>
      <c r="DE15">
        <v>26143732161.347782</v>
      </c>
      <c r="DF15">
        <v>0.20217947280406953</v>
      </c>
      <c r="DG15">
        <v>1.5522940636748663</v>
      </c>
      <c r="DH15">
        <v>52892603225.980751</v>
      </c>
      <c r="DI15">
        <v>0.1837995207309723</v>
      </c>
      <c r="DJ15">
        <v>0.50471605271430675</v>
      </c>
      <c r="DK15">
        <v>162675376696.3605</v>
      </c>
      <c r="DL15">
        <v>0.16082458063960076</v>
      </c>
      <c r="DM15">
        <v>2741000000</v>
      </c>
      <c r="DN15">
        <v>0.22974940091371537</v>
      </c>
      <c r="DO15">
        <v>82104874000</v>
      </c>
      <c r="DP15">
        <v>1410744000</v>
      </c>
      <c r="DQ15">
        <v>818</v>
      </c>
      <c r="DR15">
        <v>-0.23771241144543898</v>
      </c>
      <c r="DS15">
        <v>0.89746720734212926</v>
      </c>
      <c r="DT15" s="9">
        <v>-4.0000000000000036E-2</v>
      </c>
      <c r="DU15">
        <v>0.5033333333333333</v>
      </c>
      <c r="DV15">
        <v>0.46333333333333326</v>
      </c>
      <c r="DW15">
        <v>-2.0749</v>
      </c>
      <c r="DX15">
        <v>0.50450867052022941</v>
      </c>
      <c r="DY15">
        <v>-2.0115726994219654</v>
      </c>
      <c r="DZ15">
        <v>760</v>
      </c>
      <c r="EA15">
        <v>-2.0098515151635126</v>
      </c>
      <c r="EB15">
        <v>2</v>
      </c>
      <c r="EC15">
        <v>1.6066115702479337E-2</v>
      </c>
      <c r="ED15">
        <v>0.10398196844477836</v>
      </c>
      <c r="EE15" s="10">
        <v>4.1999999999999996E-2</v>
      </c>
      <c r="EF15">
        <v>5.2600000000000001E-2</v>
      </c>
      <c r="EG15">
        <v>35.154508670520229</v>
      </c>
      <c r="EH15" t="s">
        <v>352</v>
      </c>
      <c r="EI15">
        <v>0</v>
      </c>
      <c r="EJ15">
        <v>1</v>
      </c>
      <c r="EK15" s="13">
        <v>45470</v>
      </c>
      <c r="EL15" s="14">
        <v>0.06</v>
      </c>
      <c r="EM15" s="14">
        <v>-0.4</v>
      </c>
      <c r="EN15" s="14">
        <v>-0.98</v>
      </c>
      <c r="EO15" s="14">
        <v>-0.54</v>
      </c>
      <c r="EP15" s="14">
        <v>1.06</v>
      </c>
    </row>
    <row r="16" spans="1:146" ht="96" x14ac:dyDescent="0.25">
      <c r="A16" s="11"/>
      <c r="B16" s="11"/>
      <c r="C16" s="11" t="str">
        <f>""&amp;CHAR(10)&amp;Basic_Fundamental_Information_Constructure(F16)&amp;CHAR(10)&amp;Basic_Fundamental_Information_Concatenate("")</f>
        <v xml:space="preserve">
市值164.90089亿, 利润-21.74亿; PE; 平均PE239.52; 平均PEG17.79, PB2.18; ROIC3.03%; ROE-4.11%; 股利率0%; 毛利11.0467%; 净利-3.2433%; 上一年度营收增3.07%, 利润增-4356.07%; 当季营收增-13.76%, 利润增32.21%; 过往5年营收增13.46%, 利润增-816.9%
Income profile:
</v>
      </c>
      <c r="D16" t="s">
        <v>34</v>
      </c>
      <c r="E16" t="s">
        <v>10</v>
      </c>
      <c r="F16">
        <v>4.01</v>
      </c>
      <c r="G16">
        <v>1.26</v>
      </c>
      <c r="H16" t="s">
        <v>1255</v>
      </c>
      <c r="I16">
        <v>16490089000</v>
      </c>
      <c r="K16">
        <v>2.1800000000000002</v>
      </c>
      <c r="L16" t="s">
        <v>29</v>
      </c>
      <c r="M16" t="s">
        <v>775</v>
      </c>
      <c r="N16" t="s">
        <v>1256</v>
      </c>
      <c r="O16" t="s">
        <v>776</v>
      </c>
      <c r="P16">
        <v>-13.76</v>
      </c>
      <c r="Q16" t="s">
        <v>777</v>
      </c>
      <c r="R16">
        <v>-209459750</v>
      </c>
      <c r="S16" s="3">
        <v>0.3216</v>
      </c>
      <c r="T16" t="s">
        <v>586</v>
      </c>
      <c r="U16">
        <v>3312680000</v>
      </c>
      <c r="V16">
        <v>4112241500</v>
      </c>
      <c r="W16">
        <v>3.1</v>
      </c>
      <c r="X16">
        <v>0.23</v>
      </c>
      <c r="Y16">
        <v>-3.73</v>
      </c>
      <c r="Z16" t="s">
        <v>1257</v>
      </c>
      <c r="AA16" t="s">
        <v>1258</v>
      </c>
      <c r="AB16" t="s">
        <v>957</v>
      </c>
      <c r="AC16" t="s">
        <v>978</v>
      </c>
      <c r="AD16" t="s">
        <v>53</v>
      </c>
      <c r="AE16">
        <v>131791207</v>
      </c>
      <c r="AF16" t="s">
        <v>778</v>
      </c>
      <c r="AG16" t="s">
        <v>1259</v>
      </c>
      <c r="AH16" t="s">
        <v>779</v>
      </c>
      <c r="AI16" t="s">
        <v>1260</v>
      </c>
      <c r="AJ16" t="s">
        <v>780</v>
      </c>
      <c r="AK16" t="s">
        <v>1261</v>
      </c>
      <c r="AL16" t="s">
        <v>781</v>
      </c>
      <c r="AM16" t="s">
        <v>53</v>
      </c>
      <c r="AN16" t="s">
        <v>834</v>
      </c>
      <c r="AO16" t="s">
        <v>1262</v>
      </c>
      <c r="AP16" t="s">
        <v>1263</v>
      </c>
      <c r="AQ16" t="s">
        <v>1264</v>
      </c>
      <c r="AR16" t="s">
        <v>53</v>
      </c>
      <c r="AS16" t="s">
        <v>1265</v>
      </c>
      <c r="AT16" t="s">
        <v>1266</v>
      </c>
      <c r="AU16" t="s">
        <v>1267</v>
      </c>
      <c r="AV16" t="s">
        <v>1268</v>
      </c>
      <c r="AW16" t="s">
        <v>1269</v>
      </c>
      <c r="AX16" t="s">
        <v>448</v>
      </c>
      <c r="AY16" t="s">
        <v>317</v>
      </c>
      <c r="AZ16" t="s">
        <v>166</v>
      </c>
      <c r="BA16" t="s">
        <v>88</v>
      </c>
      <c r="BB16" t="s">
        <v>168</v>
      </c>
      <c r="BC16" t="s">
        <v>782</v>
      </c>
      <c r="BD16" t="s">
        <v>318</v>
      </c>
      <c r="BE16" t="s">
        <v>167</v>
      </c>
      <c r="BF16" t="s">
        <v>89</v>
      </c>
      <c r="BG16" t="s">
        <v>169</v>
      </c>
      <c r="BH16" t="s">
        <v>777</v>
      </c>
      <c r="BI16" t="s">
        <v>783</v>
      </c>
      <c r="BJ16" t="s">
        <v>448</v>
      </c>
      <c r="BK16" t="s">
        <v>586</v>
      </c>
      <c r="BL16" t="s">
        <v>784</v>
      </c>
      <c r="BM16" t="s">
        <v>782</v>
      </c>
      <c r="BN16" t="s">
        <v>53</v>
      </c>
      <c r="BO16">
        <v>3.03</v>
      </c>
      <c r="BP16" t="s">
        <v>53</v>
      </c>
      <c r="BQ16">
        <v>-8.8000000000000007</v>
      </c>
      <c r="BR16">
        <v>0.52</v>
      </c>
      <c r="BS16">
        <v>-4.05</v>
      </c>
      <c r="BT16" t="s">
        <v>407</v>
      </c>
      <c r="BU16" t="s">
        <v>1091</v>
      </c>
      <c r="BV16">
        <v>9.6300000000000008</v>
      </c>
      <c r="BW16">
        <v>13.06</v>
      </c>
      <c r="BX16">
        <v>10.45</v>
      </c>
      <c r="BY16">
        <v>-7.71</v>
      </c>
      <c r="BZ16">
        <v>0.97</v>
      </c>
      <c r="CA16">
        <v>-2.99</v>
      </c>
      <c r="CB16">
        <v>4.16</v>
      </c>
      <c r="CC16">
        <v>-15.76</v>
      </c>
      <c r="CD16" t="s">
        <v>730</v>
      </c>
      <c r="CE16" t="s">
        <v>1270</v>
      </c>
      <c r="CF16" s="7">
        <v>-0.1375851870901377</v>
      </c>
      <c r="CG16" s="8">
        <v>0.32213673139158577</v>
      </c>
      <c r="CH16" s="7">
        <v>3.0650967732071877E-2</v>
      </c>
      <c r="CI16" s="7">
        <v>3.4122850745916367E-2</v>
      </c>
      <c r="CJ16" s="7">
        <v>0.3731919527053833</v>
      </c>
      <c r="CK16" s="7">
        <v>0.376161128282547</v>
      </c>
      <c r="CL16" s="7">
        <v>-0.14112530648708344</v>
      </c>
      <c r="CM16" s="8">
        <v>-43.560691833496094</v>
      </c>
      <c r="CN16" s="8">
        <v>1.1160908937454224</v>
      </c>
      <c r="CO16" s="8">
        <v>-1.2249488830566406</v>
      </c>
      <c r="CP16" s="8">
        <v>2.8128657341003418</v>
      </c>
      <c r="CQ16" s="8">
        <v>1.1834319680929184E-2</v>
      </c>
      <c r="CR16">
        <v>239.51906168296696</v>
      </c>
      <c r="CS16">
        <v>17.794836162482863</v>
      </c>
      <c r="CT16">
        <v>0</v>
      </c>
      <c r="CU16" s="7">
        <v>0.13460031859576702</v>
      </c>
      <c r="CV16" s="8">
        <v>-8.1689699538052079</v>
      </c>
      <c r="CW16">
        <v>0.06</v>
      </c>
      <c r="CX16" t="e">
        <v>#VALUE!</v>
      </c>
      <c r="CY16" t="s">
        <v>353</v>
      </c>
      <c r="CZ16">
        <v>0.13460031859576702</v>
      </c>
      <c r="DA16" t="e">
        <v>#VALUE!</v>
      </c>
      <c r="DB16" t="s">
        <v>354</v>
      </c>
      <c r="DC16">
        <v>0.12787030266597865</v>
      </c>
      <c r="DD16" t="e">
        <v>#VALUE!</v>
      </c>
      <c r="DE16" t="s">
        <v>354</v>
      </c>
      <c r="DF16">
        <v>0.11844828036427497</v>
      </c>
      <c r="DG16" t="e">
        <v>#VALUE!</v>
      </c>
      <c r="DH16" t="s">
        <v>354</v>
      </c>
      <c r="DI16">
        <v>0.10768025487661362</v>
      </c>
      <c r="DJ16" t="e">
        <v>#VALUE!</v>
      </c>
      <c r="DK16" t="s">
        <v>354</v>
      </c>
      <c r="DL16">
        <v>9.4220223017036905E-2</v>
      </c>
      <c r="DM16">
        <v>-2174000000</v>
      </c>
      <c r="DN16">
        <v>0.13460031859576702</v>
      </c>
      <c r="DO16">
        <v>26914089000</v>
      </c>
      <c r="DP16">
        <v>-5313869500.0000019</v>
      </c>
      <c r="DQ16">
        <v>891</v>
      </c>
      <c r="DR16">
        <v>-0.27218550568590472</v>
      </c>
      <c r="DS16">
        <v>8.4911066851967938</v>
      </c>
      <c r="DT16" s="9">
        <v>-0.19000000000000003</v>
      </c>
      <c r="DU16">
        <v>-1.6950000000000001</v>
      </c>
      <c r="DV16">
        <v>-1.885</v>
      </c>
      <c r="DW16">
        <v>6.2088353413654618</v>
      </c>
      <c r="DX16">
        <v>0.31833876221498458</v>
      </c>
      <c r="DY16">
        <v>6.03724343628586</v>
      </c>
      <c r="DZ16">
        <v>4317</v>
      </c>
      <c r="EA16">
        <v>6.0057796565508195</v>
      </c>
      <c r="EB16">
        <v>6</v>
      </c>
      <c r="EC16">
        <v>5.3255627131820929E-2</v>
      </c>
      <c r="ED16">
        <v>0.29862059414555298</v>
      </c>
      <c r="EE16" s="10">
        <v>4.0110000000000007E-2</v>
      </c>
      <c r="EF16">
        <v>5.2510000000000001E-2</v>
      </c>
      <c r="EG16">
        <v>14.178338762214985</v>
      </c>
      <c r="EH16">
        <v>-1</v>
      </c>
      <c r="EI16">
        <v>0</v>
      </c>
      <c r="EJ16">
        <v>0</v>
      </c>
      <c r="EK16" s="13">
        <v>45470</v>
      </c>
      <c r="EL16" s="14">
        <v>0.25</v>
      </c>
      <c r="EM16" s="14">
        <v>-2.7</v>
      </c>
      <c r="EN16" s="14">
        <v>0.5</v>
      </c>
      <c r="EO16" s="14">
        <v>0.75</v>
      </c>
      <c r="EP16" s="14">
        <v>-1.24</v>
      </c>
    </row>
    <row r="17" spans="1:146" ht="96" x14ac:dyDescent="0.25">
      <c r="A17" s="11"/>
      <c r="B17" s="11"/>
      <c r="C17" s="11" t="str">
        <f>""&amp;CHAR(10)&amp;Basic_Fundamental_Information_Constructure(F17)&amp;CHAR(10)&amp;Basic_Fundamental_Information_Concatenate("")</f>
        <v xml:space="preserve">
市值48.731012亿, 利润9323.83万; PE24.93; 平均PE42.86; 平均PEG45.64, PB1.87; ROIC8.45%; ROE-.9667%; 股利率.7595%; 毛利15.4733%; 净利1%; 上一年度营收增3.15%, 利润增129.98%; 当季营收增-16.98%, 利润增168.68%; 过往5年营收增.94%, 利润增16.43%
Income profile:
</v>
      </c>
      <c r="D17" t="s">
        <v>256</v>
      </c>
      <c r="E17" t="s">
        <v>257</v>
      </c>
      <c r="F17">
        <v>3.95</v>
      </c>
      <c r="G17">
        <v>1.28</v>
      </c>
      <c r="H17" t="s">
        <v>1271</v>
      </c>
      <c r="I17">
        <v>4873101200</v>
      </c>
      <c r="J17">
        <v>24.93</v>
      </c>
      <c r="K17">
        <v>1.87</v>
      </c>
      <c r="L17" t="s">
        <v>29</v>
      </c>
      <c r="M17" t="s">
        <v>227</v>
      </c>
      <c r="N17" t="s">
        <v>1272</v>
      </c>
      <c r="O17" t="s">
        <v>786</v>
      </c>
      <c r="P17">
        <v>-16.95</v>
      </c>
      <c r="Q17" t="s">
        <v>787</v>
      </c>
      <c r="R17">
        <v>41626199</v>
      </c>
      <c r="S17" s="3">
        <v>1.6870000000000001</v>
      </c>
      <c r="T17" t="s">
        <v>788</v>
      </c>
      <c r="U17">
        <v>1118152600</v>
      </c>
      <c r="V17">
        <v>1233696500</v>
      </c>
      <c r="W17">
        <v>1.56</v>
      </c>
      <c r="X17">
        <v>0.11</v>
      </c>
      <c r="Y17">
        <v>9.41</v>
      </c>
      <c r="Z17" t="s">
        <v>1216</v>
      </c>
      <c r="AA17" t="s">
        <v>1154</v>
      </c>
      <c r="AB17" t="s">
        <v>1273</v>
      </c>
      <c r="AC17" t="s">
        <v>1274</v>
      </c>
      <c r="AD17" t="s">
        <v>53</v>
      </c>
      <c r="AE17">
        <v>958452</v>
      </c>
      <c r="AF17" t="s">
        <v>789</v>
      </c>
      <c r="AG17" t="s">
        <v>1275</v>
      </c>
      <c r="AH17" t="s">
        <v>790</v>
      </c>
      <c r="AI17" t="s">
        <v>1276</v>
      </c>
      <c r="AJ17" t="s">
        <v>791</v>
      </c>
      <c r="AK17" t="s">
        <v>53</v>
      </c>
      <c r="AL17" t="s">
        <v>792</v>
      </c>
      <c r="AM17" t="s">
        <v>53</v>
      </c>
      <c r="AN17" t="s">
        <v>1277</v>
      </c>
      <c r="AO17" t="s">
        <v>1278</v>
      </c>
      <c r="AP17" t="s">
        <v>53</v>
      </c>
      <c r="AQ17" t="s">
        <v>1279</v>
      </c>
      <c r="AR17" t="s">
        <v>53</v>
      </c>
      <c r="AS17" t="s">
        <v>1280</v>
      </c>
      <c r="AT17" t="s">
        <v>1081</v>
      </c>
      <c r="AU17" t="s">
        <v>401</v>
      </c>
      <c r="AV17" t="s">
        <v>1281</v>
      </c>
      <c r="AW17" t="s">
        <v>1282</v>
      </c>
      <c r="AX17" t="s">
        <v>449</v>
      </c>
      <c r="AY17" t="s">
        <v>319</v>
      </c>
      <c r="AZ17" t="s">
        <v>255</v>
      </c>
      <c r="BA17" t="s">
        <v>259</v>
      </c>
      <c r="BB17" t="s">
        <v>260</v>
      </c>
      <c r="BC17" t="s">
        <v>450</v>
      </c>
      <c r="BD17" t="s">
        <v>189</v>
      </c>
      <c r="BE17" t="s">
        <v>258</v>
      </c>
      <c r="BF17" t="s">
        <v>261</v>
      </c>
      <c r="BG17" t="s">
        <v>262</v>
      </c>
      <c r="BH17" t="s">
        <v>787</v>
      </c>
      <c r="BI17" t="s">
        <v>793</v>
      </c>
      <c r="BJ17" t="s">
        <v>449</v>
      </c>
      <c r="BK17" t="s">
        <v>788</v>
      </c>
      <c r="BL17" t="s">
        <v>794</v>
      </c>
      <c r="BM17" t="s">
        <v>450</v>
      </c>
      <c r="BN17" t="s">
        <v>53</v>
      </c>
      <c r="BO17" t="s">
        <v>53</v>
      </c>
      <c r="BP17">
        <v>8.4499999999999993</v>
      </c>
      <c r="BQ17">
        <v>-0.28000000000000003</v>
      </c>
      <c r="BR17">
        <v>-12.1</v>
      </c>
      <c r="BS17">
        <v>9.48</v>
      </c>
      <c r="BT17" t="s">
        <v>795</v>
      </c>
      <c r="BU17" t="s">
        <v>365</v>
      </c>
      <c r="BV17">
        <v>14.81</v>
      </c>
      <c r="BW17">
        <v>5.21</v>
      </c>
      <c r="BX17">
        <v>26.4</v>
      </c>
      <c r="BY17">
        <v>3.73</v>
      </c>
      <c r="BZ17">
        <v>-13.07</v>
      </c>
      <c r="CA17">
        <v>12.34</v>
      </c>
      <c r="CB17">
        <v>2.0699999999999998</v>
      </c>
      <c r="CC17">
        <v>-17.88</v>
      </c>
      <c r="CD17" t="s">
        <v>1283</v>
      </c>
      <c r="CE17" t="s">
        <v>1284</v>
      </c>
      <c r="CF17" s="7">
        <v>-0.16984732824427493</v>
      </c>
      <c r="CG17" s="8">
        <v>1.6867819767202052</v>
      </c>
      <c r="CH17" s="7">
        <v>3.149939700961113E-2</v>
      </c>
      <c r="CI17" s="7">
        <v>9.9769055843353271E-2</v>
      </c>
      <c r="CJ17" s="7">
        <v>7.1782149374485016E-2</v>
      </c>
      <c r="CK17" s="7">
        <v>-4.8067860305309296E-2</v>
      </c>
      <c r="CL17" s="7">
        <v>-0.1080286055803299</v>
      </c>
      <c r="CM17" s="8">
        <v>1.2998015880584717</v>
      </c>
      <c r="CN17" s="8">
        <v>-2.1604478359222412</v>
      </c>
      <c r="CO17" s="8">
        <v>-0.24079319834709167</v>
      </c>
      <c r="CP17" s="8">
        <v>0.88770055770874023</v>
      </c>
      <c r="CQ17" s="8">
        <v>1.0351349115371704</v>
      </c>
      <c r="CR17">
        <v>42.864058314315535</v>
      </c>
      <c r="CS17">
        <v>45.644603067852948</v>
      </c>
      <c r="CT17">
        <v>0.75949367088607589</v>
      </c>
      <c r="CU17" s="7">
        <v>9.3908272683620453E-3</v>
      </c>
      <c r="CV17" s="8">
        <v>0.1642792046070099</v>
      </c>
      <c r="CW17">
        <v>0.06</v>
      </c>
      <c r="CX17">
        <v>39.241258407531831</v>
      </c>
      <c r="CY17">
        <v>88786683.745373309</v>
      </c>
      <c r="CZ17">
        <v>9.3908272683620453E-3</v>
      </c>
      <c r="DA17">
        <v>13.737866689852925</v>
      </c>
      <c r="DB17">
        <v>253612971.98883358</v>
      </c>
      <c r="DC17">
        <v>8.921285904943942E-3</v>
      </c>
      <c r="DD17">
        <v>7.3930097303311948</v>
      </c>
      <c r="DE17">
        <v>471269662.43610203</v>
      </c>
      <c r="DF17">
        <v>8.2639279961585991E-3</v>
      </c>
      <c r="DG17">
        <v>4.8886682709250771</v>
      </c>
      <c r="DH17">
        <v>712689224.73659837</v>
      </c>
      <c r="DI17">
        <v>7.5126618146896364E-3</v>
      </c>
      <c r="DJ17">
        <v>3.0772194504979318</v>
      </c>
      <c r="DK17">
        <v>1132223832.6019387</v>
      </c>
      <c r="DL17">
        <v>6.5735790878534315E-3</v>
      </c>
      <c r="DM17">
        <v>93238300</v>
      </c>
      <c r="DN17">
        <v>9.3908272683620453E-3</v>
      </c>
      <c r="DO17">
        <v>3484101200</v>
      </c>
      <c r="DP17">
        <v>485576700</v>
      </c>
      <c r="DQ17">
        <v>979</v>
      </c>
      <c r="DR17">
        <v>-0.17923815551263697</v>
      </c>
      <c r="DS17">
        <v>1.5225027721131954</v>
      </c>
      <c r="DT17" s="9">
        <v>-0.44</v>
      </c>
      <c r="DU17">
        <v>0.35666666666666663</v>
      </c>
      <c r="DV17">
        <v>-8.333333333333337E-2</v>
      </c>
      <c r="DW17">
        <v>-3.0212619047619049</v>
      </c>
      <c r="DX17">
        <v>0.26585736607142885</v>
      </c>
      <c r="DY17">
        <v>-3.0028885863786141</v>
      </c>
      <c r="DZ17">
        <v>1901</v>
      </c>
      <c r="EA17">
        <v>-3.0018139870232825</v>
      </c>
      <c r="EB17">
        <v>3</v>
      </c>
      <c r="EC17">
        <v>4.9334743188458423E-2</v>
      </c>
      <c r="ED17">
        <v>0.36313631432041837</v>
      </c>
      <c r="EE17" s="10">
        <v>3.0874000000000001</v>
      </c>
      <c r="EF17">
        <v>3.0598000000000001</v>
      </c>
      <c r="EG17">
        <v>13.135857366071429</v>
      </c>
      <c r="EH17" t="s">
        <v>574</v>
      </c>
      <c r="EI17">
        <v>0</v>
      </c>
      <c r="EJ17">
        <v>0</v>
      </c>
      <c r="EK17" s="13">
        <v>45470</v>
      </c>
      <c r="EL17" s="14">
        <v>-0.49</v>
      </c>
      <c r="EM17" s="14">
        <v>-3.9</v>
      </c>
      <c r="EN17" s="14">
        <v>0.25</v>
      </c>
      <c r="EO17" s="14">
        <v>1.01</v>
      </c>
      <c r="EP17" s="14">
        <v>-2.76</v>
      </c>
    </row>
    <row r="18" spans="1:146" ht="84" x14ac:dyDescent="0.25">
      <c r="A18" s="11"/>
      <c r="B18" s="11"/>
      <c r="C18" s="11" t="str">
        <f>""&amp;CHAR(10)&amp;Basic_Fundamental_Information_Constructure(F18)&amp;CHAR(10)&amp;Basic_Fundamental_Information_Concatenate("")</f>
        <v xml:space="preserve">
市值32.042728亿, 利润-6.60亿; PE; 平均PE-11.68; 平均PEG-1, PB2.24; ROIC0%; ROE-20.1567%; 股利率0%; 毛利8.4167%; 净利-12.9667%; 上一年度营收增1.66%, 利润增-3421.34%; 当季营收增-3.49%, 利润增47.45%; 过往5年营收增11.63%, 利润增-805.62%
Income profile:
</v>
      </c>
      <c r="D18" t="s">
        <v>35</v>
      </c>
      <c r="E18" t="s">
        <v>23</v>
      </c>
      <c r="F18">
        <v>3.98</v>
      </c>
      <c r="G18">
        <v>1.02</v>
      </c>
      <c r="H18" t="s">
        <v>1285</v>
      </c>
      <c r="I18">
        <v>3204272800</v>
      </c>
      <c r="K18">
        <v>2.2400000000000002</v>
      </c>
      <c r="L18" t="s">
        <v>29</v>
      </c>
      <c r="M18" t="s">
        <v>796</v>
      </c>
      <c r="N18" t="s">
        <v>1286</v>
      </c>
      <c r="O18" t="s">
        <v>797</v>
      </c>
      <c r="P18">
        <v>-3.55</v>
      </c>
      <c r="Q18" t="s">
        <v>798</v>
      </c>
      <c r="R18">
        <v>-52055103</v>
      </c>
      <c r="S18" s="3">
        <v>0.47449999999999998</v>
      </c>
      <c r="T18" t="s">
        <v>799</v>
      </c>
      <c r="U18">
        <v>804471490</v>
      </c>
      <c r="V18">
        <v>805093660</v>
      </c>
      <c r="W18">
        <v>3.8</v>
      </c>
      <c r="X18">
        <v>0.18</v>
      </c>
      <c r="Y18">
        <v>-4.97</v>
      </c>
      <c r="Z18" t="s">
        <v>1287</v>
      </c>
      <c r="AA18" t="s">
        <v>1288</v>
      </c>
      <c r="AB18" t="s">
        <v>1289</v>
      </c>
      <c r="AC18" t="s">
        <v>1290</v>
      </c>
      <c r="AD18" t="s">
        <v>53</v>
      </c>
      <c r="AE18">
        <v>38492723</v>
      </c>
      <c r="AF18" t="s">
        <v>800</v>
      </c>
      <c r="AG18" t="s">
        <v>1291</v>
      </c>
      <c r="AH18" t="s">
        <v>801</v>
      </c>
      <c r="AI18" t="s">
        <v>1292</v>
      </c>
      <c r="AJ18" t="s">
        <v>802</v>
      </c>
      <c r="AK18" t="s">
        <v>1293</v>
      </c>
      <c r="AL18" t="s">
        <v>803</v>
      </c>
      <c r="AM18" t="s">
        <v>53</v>
      </c>
      <c r="AN18" t="s">
        <v>1294</v>
      </c>
      <c r="AO18" t="s">
        <v>1295</v>
      </c>
      <c r="AP18" t="s">
        <v>53</v>
      </c>
      <c r="AQ18" t="s">
        <v>585</v>
      </c>
      <c r="AR18" t="s">
        <v>1296</v>
      </c>
      <c r="AS18" t="s">
        <v>1297</v>
      </c>
      <c r="AT18" t="s">
        <v>1298</v>
      </c>
      <c r="AU18" t="s">
        <v>1299</v>
      </c>
      <c r="AV18" t="s">
        <v>1300</v>
      </c>
      <c r="AW18" t="s">
        <v>1301</v>
      </c>
      <c r="AX18" t="s">
        <v>451</v>
      </c>
      <c r="AY18" t="s">
        <v>320</v>
      </c>
      <c r="AZ18" t="s">
        <v>153</v>
      </c>
      <c r="BA18" t="s">
        <v>90</v>
      </c>
      <c r="BB18" t="s">
        <v>170</v>
      </c>
      <c r="BC18" t="s">
        <v>804</v>
      </c>
      <c r="BD18" t="s">
        <v>452</v>
      </c>
      <c r="BE18" t="s">
        <v>112</v>
      </c>
      <c r="BF18" t="s">
        <v>91</v>
      </c>
      <c r="BG18" t="s">
        <v>79</v>
      </c>
      <c r="BH18" t="s">
        <v>798</v>
      </c>
      <c r="BI18" t="s">
        <v>805</v>
      </c>
      <c r="BJ18" t="s">
        <v>451</v>
      </c>
      <c r="BK18" t="s">
        <v>799</v>
      </c>
      <c r="BL18" t="s">
        <v>806</v>
      </c>
      <c r="BM18" t="s">
        <v>804</v>
      </c>
      <c r="BN18" t="s">
        <v>53</v>
      </c>
      <c r="BO18" t="s">
        <v>53</v>
      </c>
      <c r="BP18" t="s">
        <v>53</v>
      </c>
      <c r="BQ18">
        <v>-15.57</v>
      </c>
      <c r="BR18">
        <v>1.03</v>
      </c>
      <c r="BS18">
        <v>-45.93</v>
      </c>
      <c r="BT18" t="s">
        <v>407</v>
      </c>
      <c r="BU18" t="s">
        <v>1091</v>
      </c>
      <c r="BV18">
        <v>3.34</v>
      </c>
      <c r="BW18">
        <v>9.75</v>
      </c>
      <c r="BX18">
        <v>12.16</v>
      </c>
      <c r="BY18">
        <v>-16</v>
      </c>
      <c r="BZ18">
        <v>-0.38</v>
      </c>
      <c r="CA18">
        <v>-22.52</v>
      </c>
      <c r="CB18">
        <v>-1.97</v>
      </c>
      <c r="CC18">
        <v>-17.260000000000002</v>
      </c>
      <c r="CD18" t="s">
        <v>1302</v>
      </c>
      <c r="CE18" t="s">
        <v>1303</v>
      </c>
      <c r="CF18" s="7">
        <v>-3.489439853076217E-2</v>
      </c>
      <c r="CG18" s="8">
        <v>0.47448018010287268</v>
      </c>
      <c r="CH18" s="7">
        <v>1.6607919707894325E-2</v>
      </c>
      <c r="CI18" s="7">
        <v>-0.18348053097724915</v>
      </c>
      <c r="CJ18" s="7">
        <v>0.19611695408821106</v>
      </c>
      <c r="CK18" s="7">
        <v>0.69541662931442261</v>
      </c>
      <c r="CL18" s="7">
        <v>-0.14316312968730927</v>
      </c>
      <c r="CM18" s="8">
        <v>-34.213394165039063</v>
      </c>
      <c r="CN18" s="8">
        <v>1.0200316905975342</v>
      </c>
      <c r="CO18" s="8">
        <v>-8.5151519775390625</v>
      </c>
      <c r="CP18" s="8">
        <v>-6.3829787075519562E-2</v>
      </c>
      <c r="CQ18" s="8">
        <v>1.4912892580032349</v>
      </c>
      <c r="CR18">
        <v>-11.679304987429596</v>
      </c>
      <c r="CS18">
        <v>-1.0042431918837935</v>
      </c>
      <c r="CT18">
        <v>0</v>
      </c>
      <c r="CU18" s="7">
        <v>0.11629956848919391</v>
      </c>
      <c r="CV18" s="8">
        <v>-8.0562109962105755</v>
      </c>
      <c r="CW18">
        <v>0.06</v>
      </c>
      <c r="CX18" t="e">
        <v>#VALUE!</v>
      </c>
      <c r="CY18" t="s">
        <v>353</v>
      </c>
      <c r="CZ18">
        <v>0.11629956848919391</v>
      </c>
      <c r="DA18" t="e">
        <v>#VALUE!</v>
      </c>
      <c r="DB18" t="s">
        <v>354</v>
      </c>
      <c r="DC18">
        <v>0.11048459006473421</v>
      </c>
      <c r="DD18" t="e">
        <v>#VALUE!</v>
      </c>
      <c r="DE18" t="s">
        <v>354</v>
      </c>
      <c r="DF18">
        <v>0.10234362027049064</v>
      </c>
      <c r="DG18" t="e">
        <v>#VALUE!</v>
      </c>
      <c r="DH18" t="s">
        <v>354</v>
      </c>
      <c r="DI18">
        <v>9.3039654791355134E-2</v>
      </c>
      <c r="DJ18" t="e">
        <v>#VALUE!</v>
      </c>
      <c r="DK18" t="s">
        <v>354</v>
      </c>
      <c r="DL18">
        <v>8.140969794243573E-2</v>
      </c>
      <c r="DM18">
        <v>-660000000</v>
      </c>
      <c r="DN18">
        <v>0.11629956848919391</v>
      </c>
      <c r="DO18">
        <v>6112272800</v>
      </c>
      <c r="DP18">
        <v>-1735067300</v>
      </c>
      <c r="DQ18">
        <v>1041</v>
      </c>
      <c r="DR18">
        <v>-0.15119396701995608</v>
      </c>
      <c r="DS18">
        <v>8.5306911763134483</v>
      </c>
      <c r="DT18" s="9">
        <v>-0.2233333333333333</v>
      </c>
      <c r="DU18">
        <v>-1.831666666666667</v>
      </c>
      <c r="DV18">
        <v>-2.0550000000000002</v>
      </c>
      <c r="DW18">
        <v>-3.0142500000000001</v>
      </c>
      <c r="DX18">
        <v>0.38416758104738263</v>
      </c>
      <c r="DY18">
        <v>-3.0029093880299254</v>
      </c>
      <c r="DZ18">
        <v>4418</v>
      </c>
      <c r="EA18">
        <v>-3.0003939914905495</v>
      </c>
      <c r="EB18">
        <v>3</v>
      </c>
      <c r="EC18">
        <v>0.10169152244969859</v>
      </c>
      <c r="ED18">
        <v>0.49807869558928086</v>
      </c>
      <c r="EE18" s="10">
        <v>-3.05931</v>
      </c>
      <c r="EF18">
        <v>-3.0666099999999998</v>
      </c>
      <c r="EG18">
        <v>18.204167581047383</v>
      </c>
      <c r="EH18" t="s">
        <v>1304</v>
      </c>
      <c r="EI18">
        <v>0</v>
      </c>
      <c r="EJ18">
        <v>0</v>
      </c>
      <c r="EK18" s="13">
        <v>45470</v>
      </c>
      <c r="EL18" s="14">
        <v>1.47</v>
      </c>
      <c r="EM18" s="14">
        <v>-3.14</v>
      </c>
      <c r="EN18" s="14">
        <v>-0.5</v>
      </c>
      <c r="EO18" s="14">
        <v>2.76</v>
      </c>
      <c r="EP18" s="14">
        <v>-0.73</v>
      </c>
    </row>
    <row r="19" spans="1:146" ht="84" x14ac:dyDescent="0.25">
      <c r="A19" s="11"/>
      <c r="B19" s="11"/>
      <c r="C19" s="11" t="str">
        <f>""&amp;CHAR(10)&amp;Basic_Fundamental_Information_Constructure(F19)&amp;CHAR(10)&amp;Basic_Fundamental_Information_Concatenate("")</f>
        <v xml:space="preserve">
市值78.387911亿, 利润-15.26亿; PE; 平均PE-37.66; 平均PEG-3.07, PB1.48; ROIC2.73%; ROE-10.5667%; 股利率0%; 毛利5.54%; 净利-3.6733%; 上一年度营收增1.54%, 利润增-1230.37%; 当季营收增-25.19%, 利润增41.91%; 过往5年营收增12.26%, 利润增-184.32%
Income profile:
</v>
      </c>
      <c r="D19" t="s">
        <v>36</v>
      </c>
      <c r="E19" t="s">
        <v>6</v>
      </c>
      <c r="F19">
        <v>5.47</v>
      </c>
      <c r="G19">
        <v>1.1100000000000001</v>
      </c>
      <c r="H19" t="s">
        <v>1305</v>
      </c>
      <c r="I19">
        <v>7838791100</v>
      </c>
      <c r="K19">
        <v>1.48</v>
      </c>
      <c r="L19" t="s">
        <v>29</v>
      </c>
      <c r="M19" t="s">
        <v>807</v>
      </c>
      <c r="N19" t="s">
        <v>1306</v>
      </c>
      <c r="O19" t="s">
        <v>808</v>
      </c>
      <c r="P19">
        <v>-25.19</v>
      </c>
      <c r="Q19" t="s">
        <v>809</v>
      </c>
      <c r="R19">
        <v>-197512580</v>
      </c>
      <c r="S19" s="3">
        <v>0.4194</v>
      </c>
      <c r="T19" t="s">
        <v>810</v>
      </c>
      <c r="U19">
        <v>1431514400</v>
      </c>
      <c r="V19">
        <v>1433051400</v>
      </c>
      <c r="W19">
        <v>3.06</v>
      </c>
      <c r="X19">
        <v>0.28000000000000003</v>
      </c>
      <c r="Y19">
        <v>-4.5999999999999996</v>
      </c>
      <c r="Z19" t="s">
        <v>1307</v>
      </c>
      <c r="AA19" t="s">
        <v>1308</v>
      </c>
      <c r="AB19" t="s">
        <v>1309</v>
      </c>
      <c r="AC19" t="s">
        <v>1310</v>
      </c>
      <c r="AD19" t="s">
        <v>53</v>
      </c>
      <c r="AE19">
        <v>72050854</v>
      </c>
      <c r="AF19" t="s">
        <v>811</v>
      </c>
      <c r="AG19" t="s">
        <v>1311</v>
      </c>
      <c r="AH19" t="s">
        <v>812</v>
      </c>
      <c r="AI19" t="s">
        <v>1312</v>
      </c>
      <c r="AJ19" t="s">
        <v>813</v>
      </c>
      <c r="AK19" t="s">
        <v>1313</v>
      </c>
      <c r="AL19" t="s">
        <v>814</v>
      </c>
      <c r="AM19" t="s">
        <v>53</v>
      </c>
      <c r="AN19" t="s">
        <v>1314</v>
      </c>
      <c r="AO19" t="s">
        <v>1315</v>
      </c>
      <c r="AP19" t="s">
        <v>228</v>
      </c>
      <c r="AQ19" t="s">
        <v>1316</v>
      </c>
      <c r="AR19" t="s">
        <v>53</v>
      </c>
      <c r="AS19" t="s">
        <v>1317</v>
      </c>
      <c r="AT19" t="s">
        <v>1318</v>
      </c>
      <c r="AU19" t="s">
        <v>1319</v>
      </c>
      <c r="AV19" t="s">
        <v>1000</v>
      </c>
      <c r="AW19" t="s">
        <v>1320</v>
      </c>
      <c r="AX19" t="s">
        <v>453</v>
      </c>
      <c r="AY19" t="s">
        <v>321</v>
      </c>
      <c r="AZ19" t="s">
        <v>171</v>
      </c>
      <c r="BA19" t="s">
        <v>173</v>
      </c>
      <c r="BB19" t="s">
        <v>174</v>
      </c>
      <c r="BC19" t="s">
        <v>92</v>
      </c>
      <c r="BD19" t="s">
        <v>322</v>
      </c>
      <c r="BE19" t="s">
        <v>172</v>
      </c>
      <c r="BF19" t="s">
        <v>93</v>
      </c>
      <c r="BG19" t="s">
        <v>175</v>
      </c>
      <c r="BH19" t="s">
        <v>809</v>
      </c>
      <c r="BI19" t="s">
        <v>815</v>
      </c>
      <c r="BJ19" t="s">
        <v>453</v>
      </c>
      <c r="BK19" t="s">
        <v>810</v>
      </c>
      <c r="BL19" t="s">
        <v>816</v>
      </c>
      <c r="BM19" t="s">
        <v>92</v>
      </c>
      <c r="BN19" t="s">
        <v>53</v>
      </c>
      <c r="BO19">
        <v>2.73</v>
      </c>
      <c r="BP19" t="s">
        <v>53</v>
      </c>
      <c r="BQ19">
        <v>-14.39</v>
      </c>
      <c r="BR19">
        <v>2.41</v>
      </c>
      <c r="BS19">
        <v>-19.72</v>
      </c>
      <c r="BT19" t="s">
        <v>407</v>
      </c>
      <c r="BU19" t="s">
        <v>1091</v>
      </c>
      <c r="BV19">
        <v>2.74</v>
      </c>
      <c r="BW19">
        <v>7.77</v>
      </c>
      <c r="BX19">
        <v>6.11</v>
      </c>
      <c r="BY19">
        <v>-6.17</v>
      </c>
      <c r="BZ19">
        <v>0.54</v>
      </c>
      <c r="CA19">
        <v>-5.39</v>
      </c>
      <c r="CB19">
        <v>2.0499999999999998</v>
      </c>
      <c r="CC19">
        <v>-21.63</v>
      </c>
      <c r="CD19" t="s">
        <v>1310</v>
      </c>
      <c r="CE19" t="s">
        <v>1321</v>
      </c>
      <c r="CF19" s="7">
        <v>-0.25187797025908326</v>
      </c>
      <c r="CG19" s="8">
        <v>0.41908064705882353</v>
      </c>
      <c r="CH19" s="7">
        <v>1.5448938123881817E-2</v>
      </c>
      <c r="CI19" s="7">
        <v>0.22063286602497101</v>
      </c>
      <c r="CJ19" s="7">
        <v>0.17353048920631409</v>
      </c>
      <c r="CK19" s="7">
        <v>0.20752142369747162</v>
      </c>
      <c r="CL19" s="7">
        <v>-4.0893531404435635E-3</v>
      </c>
      <c r="CM19" s="8">
        <v>-12.303703308105469</v>
      </c>
      <c r="CN19" s="8">
        <v>1.1176984310150146</v>
      </c>
      <c r="CO19" s="8">
        <v>-2.2073683738708496</v>
      </c>
      <c r="CP19" s="8">
        <v>3.7029702663421631</v>
      </c>
      <c r="CQ19" s="8">
        <v>0.47445255517959595</v>
      </c>
      <c r="CR19">
        <v>-37.6563223378703</v>
      </c>
      <c r="CS19">
        <v>-3.0712558955410065</v>
      </c>
      <c r="CT19">
        <v>0</v>
      </c>
      <c r="CU19" s="7">
        <v>0.122608872782439</v>
      </c>
      <c r="CV19" s="8">
        <v>-1.8431900858879089</v>
      </c>
      <c r="CW19">
        <v>0.06</v>
      </c>
      <c r="CX19" t="e">
        <v>#VALUE!</v>
      </c>
      <c r="CY19" t="s">
        <v>353</v>
      </c>
      <c r="CZ19">
        <v>0.122608872782439</v>
      </c>
      <c r="DA19" t="e">
        <v>#VALUE!</v>
      </c>
      <c r="DB19" t="s">
        <v>354</v>
      </c>
      <c r="DC19">
        <v>0.11647842914331705</v>
      </c>
      <c r="DD19" t="e">
        <v>#VALUE!</v>
      </c>
      <c r="DE19" t="s">
        <v>354</v>
      </c>
      <c r="DF19">
        <v>0.10789580804854632</v>
      </c>
      <c r="DG19" t="e">
        <v>#VALUE!</v>
      </c>
      <c r="DH19" t="s">
        <v>354</v>
      </c>
      <c r="DI19">
        <v>9.80870982259512E-2</v>
      </c>
      <c r="DJ19" t="e">
        <v>#VALUE!</v>
      </c>
      <c r="DK19" t="s">
        <v>354</v>
      </c>
      <c r="DL19">
        <v>8.5826210947707288E-2</v>
      </c>
      <c r="DM19">
        <v>-1526000000</v>
      </c>
      <c r="DN19">
        <v>0.122608872782439</v>
      </c>
      <c r="DO19">
        <v>13106791100</v>
      </c>
      <c r="DP19">
        <v>472672900</v>
      </c>
      <c r="DQ19">
        <v>1060</v>
      </c>
      <c r="DR19">
        <v>-0.37448684304152224</v>
      </c>
      <c r="DS19">
        <v>2.2622707329467326</v>
      </c>
      <c r="DT19" s="9">
        <v>-4.0000000000000036E-2</v>
      </c>
      <c r="DU19">
        <v>-1.595</v>
      </c>
      <c r="DV19">
        <v>-1.635</v>
      </c>
      <c r="DW19">
        <v>-3.0636726190476189</v>
      </c>
      <c r="DX19">
        <v>0.29881379617247783</v>
      </c>
      <c r="DY19">
        <v>-3.0094753641527201</v>
      </c>
      <c r="DZ19">
        <v>4119</v>
      </c>
      <c r="EA19">
        <v>-3.00183759019087</v>
      </c>
      <c r="EB19">
        <v>3</v>
      </c>
      <c r="EC19">
        <v>0.14444701704349194</v>
      </c>
      <c r="ED19">
        <v>0.97065604206520439</v>
      </c>
      <c r="EE19" s="10">
        <v>4.0348100000000002</v>
      </c>
      <c r="EF19">
        <v>4.0329100000000002</v>
      </c>
      <c r="EG19">
        <v>15.148813796172478</v>
      </c>
      <c r="EH19" t="s">
        <v>588</v>
      </c>
      <c r="EI19">
        <v>0</v>
      </c>
      <c r="EJ19">
        <v>0</v>
      </c>
      <c r="EK19" s="13">
        <v>45470</v>
      </c>
      <c r="EL19" s="14">
        <v>1.81</v>
      </c>
      <c r="EM19" s="14">
        <v>-3.72</v>
      </c>
      <c r="EN19" s="14">
        <v>-1.1000000000000001</v>
      </c>
      <c r="EO19" s="14">
        <v>0.37</v>
      </c>
      <c r="EP19" s="14">
        <v>0.19</v>
      </c>
    </row>
    <row r="20" spans="1:146" ht="96" x14ac:dyDescent="0.25">
      <c r="A20" s="11"/>
      <c r="B20" s="11"/>
      <c r="C20" s="11" t="str">
        <f>""&amp;CHAR(10)&amp;Basic_Fundamental_Information_Constructure(F20)&amp;CHAR(10)&amp;Basic_Fundamental_Information_Concatenate("")</f>
        <v xml:space="preserve">
市值13.715946亿, 利润-2759.37万; PE; 平均PE-69.38; 平均PEG-25.57, PB.982; ROIC3.1067%; ROE2.35%; 股利率0%; 毛利10.23%; 净利.78%; 上一年度营收增-15.37%, 利润增-144.26%; 当季营收增-8.48%, 利润增-203.73%; 过往5年营收增-2.71%, 利润增-65.19%
Income profile:
</v>
      </c>
      <c r="D20" t="s">
        <v>37</v>
      </c>
      <c r="E20" t="s">
        <v>5</v>
      </c>
      <c r="F20">
        <v>3.96</v>
      </c>
      <c r="G20">
        <v>0</v>
      </c>
      <c r="H20" t="s">
        <v>1322</v>
      </c>
      <c r="I20">
        <v>1371594600</v>
      </c>
      <c r="K20">
        <v>0.98199999999999998</v>
      </c>
      <c r="L20" t="s">
        <v>29</v>
      </c>
      <c r="M20" t="s">
        <v>700</v>
      </c>
      <c r="N20" t="s">
        <v>1323</v>
      </c>
      <c r="O20" t="s">
        <v>169</v>
      </c>
      <c r="P20">
        <v>-8.4700000000000006</v>
      </c>
      <c r="Q20" t="s">
        <v>818</v>
      </c>
      <c r="R20">
        <v>-3758944</v>
      </c>
      <c r="S20" s="3">
        <v>-2.0369999999999999</v>
      </c>
      <c r="T20" t="s">
        <v>819</v>
      </c>
      <c r="U20">
        <v>343541670</v>
      </c>
      <c r="V20">
        <v>346362260</v>
      </c>
      <c r="W20">
        <v>2.0699999999999998</v>
      </c>
      <c r="X20">
        <v>0.17</v>
      </c>
      <c r="Y20">
        <v>-0.57999999999999996</v>
      </c>
      <c r="Z20" t="s">
        <v>1324</v>
      </c>
      <c r="AA20" t="s">
        <v>1325</v>
      </c>
      <c r="AB20" t="s">
        <v>1326</v>
      </c>
      <c r="AC20" t="s">
        <v>1327</v>
      </c>
      <c r="AD20" t="s">
        <v>53</v>
      </c>
      <c r="AE20">
        <v>2353100</v>
      </c>
      <c r="AF20" t="s">
        <v>820</v>
      </c>
      <c r="AG20" t="s">
        <v>1328</v>
      </c>
      <c r="AH20" t="s">
        <v>821</v>
      </c>
      <c r="AI20" t="s">
        <v>675</v>
      </c>
      <c r="AJ20" t="s">
        <v>822</v>
      </c>
      <c r="AK20" t="s">
        <v>1329</v>
      </c>
      <c r="AL20" t="s">
        <v>823</v>
      </c>
      <c r="AM20" t="s">
        <v>53</v>
      </c>
      <c r="AN20" t="s">
        <v>1330</v>
      </c>
      <c r="AO20" t="s">
        <v>1331</v>
      </c>
      <c r="AP20" t="s">
        <v>53</v>
      </c>
      <c r="AQ20" t="s">
        <v>175</v>
      </c>
      <c r="AR20" t="s">
        <v>1332</v>
      </c>
      <c r="AS20" t="s">
        <v>1333</v>
      </c>
      <c r="AT20" t="s">
        <v>890</v>
      </c>
      <c r="AU20" t="s">
        <v>1334</v>
      </c>
      <c r="AV20" t="s">
        <v>1335</v>
      </c>
      <c r="AW20" t="s">
        <v>136</v>
      </c>
      <c r="AX20" t="s">
        <v>454</v>
      </c>
      <c r="AY20" t="s">
        <v>323</v>
      </c>
      <c r="AZ20" t="s">
        <v>177</v>
      </c>
      <c r="BA20" t="s">
        <v>94</v>
      </c>
      <c r="BB20" t="s">
        <v>179</v>
      </c>
      <c r="BC20" t="s">
        <v>455</v>
      </c>
      <c r="BD20" t="s">
        <v>324</v>
      </c>
      <c r="BE20" t="s">
        <v>178</v>
      </c>
      <c r="BF20" t="s">
        <v>95</v>
      </c>
      <c r="BG20" t="s">
        <v>180</v>
      </c>
      <c r="BH20" t="s">
        <v>818</v>
      </c>
      <c r="BI20" t="s">
        <v>826</v>
      </c>
      <c r="BJ20" t="s">
        <v>454</v>
      </c>
      <c r="BK20" t="s">
        <v>819</v>
      </c>
      <c r="BL20" t="s">
        <v>827</v>
      </c>
      <c r="BM20" t="s">
        <v>455</v>
      </c>
      <c r="BN20">
        <v>2.08</v>
      </c>
      <c r="BO20">
        <v>4.49</v>
      </c>
      <c r="BP20">
        <v>2.75</v>
      </c>
      <c r="BQ20">
        <v>0.6</v>
      </c>
      <c r="BR20">
        <v>4.46</v>
      </c>
      <c r="BS20">
        <v>1.99</v>
      </c>
      <c r="BT20" t="s">
        <v>407</v>
      </c>
      <c r="BU20" t="s">
        <v>1168</v>
      </c>
      <c r="BV20">
        <v>8.3000000000000007</v>
      </c>
      <c r="BW20">
        <v>12.01</v>
      </c>
      <c r="BX20">
        <v>10.38</v>
      </c>
      <c r="BY20">
        <v>-0.86</v>
      </c>
      <c r="BZ20">
        <v>2.1</v>
      </c>
      <c r="CA20">
        <v>1.1000000000000001</v>
      </c>
      <c r="CB20">
        <v>0.25</v>
      </c>
      <c r="CC20">
        <v>-19.02</v>
      </c>
      <c r="CD20" t="s">
        <v>1336</v>
      </c>
      <c r="CE20" t="s">
        <v>1337</v>
      </c>
      <c r="CF20" s="7">
        <v>-8.4837545126353789E-2</v>
      </c>
      <c r="CG20" s="8">
        <v>-2.0372648251883332</v>
      </c>
      <c r="CH20" s="7">
        <v>-0.15370258688926697</v>
      </c>
      <c r="CI20" s="7">
        <v>0.10636840015649796</v>
      </c>
      <c r="CJ20" s="7">
        <v>0.16995564103126526</v>
      </c>
      <c r="CK20" s="7">
        <v>-0.12693387269973755</v>
      </c>
      <c r="CL20" s="7">
        <v>-0.13133777678012848</v>
      </c>
      <c r="CM20" s="8">
        <v>-1.4426407814025879</v>
      </c>
      <c r="CN20" s="8">
        <v>1.3233351707458496</v>
      </c>
      <c r="CO20" s="8">
        <v>0.2050967663526535</v>
      </c>
      <c r="CP20" s="8">
        <v>1.0778499841690063</v>
      </c>
      <c r="CQ20" s="8">
        <v>-4.4233822822570801</v>
      </c>
      <c r="CR20">
        <v>-69.380438072387079</v>
      </c>
      <c r="CS20">
        <v>-25.573290911827527</v>
      </c>
      <c r="CT20">
        <v>0</v>
      </c>
      <c r="CU20" s="7">
        <v>-2.7130039036273958E-2</v>
      </c>
      <c r="CV20" s="8">
        <v>-0.6519482284784317</v>
      </c>
      <c r="CW20">
        <v>0.06</v>
      </c>
      <c r="CX20" t="e">
        <v>#VALUE!</v>
      </c>
      <c r="CY20" t="s">
        <v>353</v>
      </c>
      <c r="CZ20">
        <v>-2.7130039036273958E-2</v>
      </c>
      <c r="DA20" t="e">
        <v>#VALUE!</v>
      </c>
      <c r="DB20" t="s">
        <v>354</v>
      </c>
      <c r="DC20">
        <v>-2.5773537084460257E-2</v>
      </c>
      <c r="DD20" t="e">
        <v>#VALUE!</v>
      </c>
      <c r="DE20" t="s">
        <v>354</v>
      </c>
      <c r="DF20">
        <v>-2.3874434351921082E-2</v>
      </c>
      <c r="DG20" t="e">
        <v>#VALUE!</v>
      </c>
      <c r="DH20" t="s">
        <v>354</v>
      </c>
      <c r="DI20">
        <v>-2.1704031229019167E-2</v>
      </c>
      <c r="DJ20" t="e">
        <v>#VALUE!</v>
      </c>
      <c r="DK20" t="s">
        <v>354</v>
      </c>
      <c r="DL20">
        <v>-1.899102732539177E-2</v>
      </c>
      <c r="DM20">
        <v>-27593700</v>
      </c>
      <c r="DN20">
        <v>-2.7130039036273958E-2</v>
      </c>
      <c r="DO20">
        <v>1362594600</v>
      </c>
      <c r="DP20">
        <v>680060500</v>
      </c>
      <c r="DQ20">
        <v>1184</v>
      </c>
      <c r="DR20">
        <v>-5.7707506090079831E-2</v>
      </c>
      <c r="DS20">
        <v>-1.3853165967099015</v>
      </c>
      <c r="DT20" s="9">
        <v>-0.47333333333333333</v>
      </c>
      <c r="DU20">
        <v>-1.5983333333333334</v>
      </c>
      <c r="DV20">
        <v>-2.0716666666666668</v>
      </c>
      <c r="DW20">
        <v>-3.034154761904762</v>
      </c>
      <c r="DX20">
        <v>0.35668684210526208</v>
      </c>
      <c r="DY20">
        <v>-3.0060346970238094</v>
      </c>
      <c r="DZ20">
        <v>4435</v>
      </c>
      <c r="EA20">
        <v>-3.0007971468671371</v>
      </c>
      <c r="EB20">
        <v>3</v>
      </c>
      <c r="EC20">
        <v>7.7538470848411714E-2</v>
      </c>
      <c r="ED20">
        <v>0.43884688822621726</v>
      </c>
      <c r="EE20" s="10">
        <v>-1.0175000000000001</v>
      </c>
      <c r="EF20">
        <v>-1.0225</v>
      </c>
      <c r="EG20">
        <v>18.176686842105262</v>
      </c>
      <c r="EH20" t="s">
        <v>573</v>
      </c>
      <c r="EI20">
        <v>0</v>
      </c>
      <c r="EJ20">
        <v>0</v>
      </c>
      <c r="EK20" s="13">
        <v>45470</v>
      </c>
      <c r="EL20" s="14">
        <v>0.25</v>
      </c>
      <c r="EM20" s="14">
        <v>-5.53</v>
      </c>
      <c r="EN20" s="14">
        <v>2.13</v>
      </c>
      <c r="EO20" s="14">
        <v>4.43</v>
      </c>
      <c r="EP20" s="14">
        <v>0.5</v>
      </c>
    </row>
    <row r="21" spans="1:146" ht="96" x14ac:dyDescent="0.25">
      <c r="A21" s="11"/>
      <c r="B21" s="11"/>
      <c r="C21" s="11" t="str">
        <f>""&amp;CHAR(10)&amp;Basic_Fundamental_Information_Constructure(F21)&amp;CHAR(10)&amp;Basic_Fundamental_Information_Concatenate("")</f>
        <v xml:space="preserve">
市值24.903305亿, 利润7576.75万; PE59.78; 平均PE-57.09; 平均PEG-3.83, PB1.21; ROIC6.92%; ROE-6.94%; 股利率0%; 毛利2.6567%; 净利-2.8433%; 上一年度营收增-.38%, 利润增118.13%; 当季营收增-13.16%, 利润增-31.37%; 过往5年营收增14.89%, 利润增-70.25%
Income profile:
</v>
      </c>
      <c r="D21" t="s">
        <v>47</v>
      </c>
      <c r="E21" t="s">
        <v>21</v>
      </c>
      <c r="F21">
        <v>7.24</v>
      </c>
      <c r="G21">
        <v>0.56000000000000005</v>
      </c>
      <c r="H21" t="s">
        <v>1338</v>
      </c>
      <c r="I21">
        <v>2490330500</v>
      </c>
      <c r="J21">
        <v>59.78</v>
      </c>
      <c r="K21">
        <v>1.21</v>
      </c>
      <c r="L21" t="s">
        <v>29</v>
      </c>
      <c r="M21" t="s">
        <v>583</v>
      </c>
      <c r="N21" t="s">
        <v>1339</v>
      </c>
      <c r="O21" t="s">
        <v>829</v>
      </c>
      <c r="P21">
        <v>-13.14</v>
      </c>
      <c r="Q21" t="s">
        <v>830</v>
      </c>
      <c r="R21">
        <v>74120006</v>
      </c>
      <c r="S21" s="3">
        <v>-0.31509999999999999</v>
      </c>
      <c r="T21" t="s">
        <v>831</v>
      </c>
      <c r="U21">
        <v>285818750</v>
      </c>
      <c r="V21">
        <v>343968310</v>
      </c>
      <c r="W21">
        <v>2.0699999999999998</v>
      </c>
      <c r="X21">
        <v>0.33</v>
      </c>
      <c r="Y21">
        <v>4.97</v>
      </c>
      <c r="Z21" t="s">
        <v>1340</v>
      </c>
      <c r="AA21" t="s">
        <v>1341</v>
      </c>
      <c r="AB21" t="s">
        <v>1342</v>
      </c>
      <c r="AC21" t="s">
        <v>1343</v>
      </c>
      <c r="AD21" t="s">
        <v>53</v>
      </c>
      <c r="AE21">
        <v>22740378</v>
      </c>
      <c r="AF21" t="s">
        <v>832</v>
      </c>
      <c r="AG21" t="s">
        <v>1344</v>
      </c>
      <c r="AH21" t="s">
        <v>833</v>
      </c>
      <c r="AI21" t="s">
        <v>1345</v>
      </c>
      <c r="AJ21" t="s">
        <v>835</v>
      </c>
      <c r="AK21" t="s">
        <v>53</v>
      </c>
      <c r="AL21" t="s">
        <v>836</v>
      </c>
      <c r="AM21" t="s">
        <v>53</v>
      </c>
      <c r="AN21" t="s">
        <v>1346</v>
      </c>
      <c r="AO21" t="s">
        <v>1347</v>
      </c>
      <c r="AP21" t="s">
        <v>53</v>
      </c>
      <c r="AQ21" t="s">
        <v>1348</v>
      </c>
      <c r="AR21" t="s">
        <v>53</v>
      </c>
      <c r="AS21" t="s">
        <v>1349</v>
      </c>
      <c r="AT21" t="s">
        <v>53</v>
      </c>
      <c r="AU21" t="s">
        <v>1350</v>
      </c>
      <c r="AV21" t="s">
        <v>1351</v>
      </c>
      <c r="AW21" t="s">
        <v>1352</v>
      </c>
      <c r="AX21" t="s">
        <v>456</v>
      </c>
      <c r="AY21" t="s">
        <v>325</v>
      </c>
      <c r="AZ21" t="s">
        <v>181</v>
      </c>
      <c r="BA21" t="s">
        <v>96</v>
      </c>
      <c r="BB21" t="s">
        <v>176</v>
      </c>
      <c r="BC21" t="s">
        <v>457</v>
      </c>
      <c r="BD21" t="s">
        <v>326</v>
      </c>
      <c r="BE21" t="s">
        <v>182</v>
      </c>
      <c r="BF21" t="s">
        <v>97</v>
      </c>
      <c r="BG21" t="s">
        <v>183</v>
      </c>
      <c r="BH21" t="s">
        <v>830</v>
      </c>
      <c r="BI21" t="s">
        <v>837</v>
      </c>
      <c r="BJ21" t="s">
        <v>456</v>
      </c>
      <c r="BK21" t="s">
        <v>831</v>
      </c>
      <c r="BL21" t="s">
        <v>224</v>
      </c>
      <c r="BM21" t="s">
        <v>457</v>
      </c>
      <c r="BN21">
        <v>6.92</v>
      </c>
      <c r="BO21" t="s">
        <v>53</v>
      </c>
      <c r="BP21" t="s">
        <v>53</v>
      </c>
      <c r="BQ21">
        <v>9.0399999999999991</v>
      </c>
      <c r="BR21">
        <v>-19.09</v>
      </c>
      <c r="BS21">
        <v>-10.77</v>
      </c>
      <c r="BT21" t="s">
        <v>407</v>
      </c>
      <c r="BU21" t="s">
        <v>363</v>
      </c>
      <c r="BV21">
        <v>7.57</v>
      </c>
      <c r="BW21">
        <v>-1.23</v>
      </c>
      <c r="BX21">
        <v>1.63</v>
      </c>
      <c r="BY21">
        <v>1.2</v>
      </c>
      <c r="BZ21">
        <v>-6.1</v>
      </c>
      <c r="CA21">
        <v>-3.63</v>
      </c>
      <c r="CB21">
        <v>0.56000000000000005</v>
      </c>
      <c r="CC21">
        <v>-15.45</v>
      </c>
      <c r="CD21" t="s">
        <v>1353</v>
      </c>
      <c r="CE21" t="s">
        <v>1354</v>
      </c>
      <c r="CF21" s="7">
        <v>-0.13157894736842105</v>
      </c>
      <c r="CG21" s="8">
        <v>-0.31370364814814816</v>
      </c>
      <c r="CH21" s="7">
        <v>-3.8417484611272812E-3</v>
      </c>
      <c r="CI21" s="7">
        <v>0.28977790474891663</v>
      </c>
      <c r="CJ21" s="7">
        <v>3.0641170218586922E-2</v>
      </c>
      <c r="CK21" s="7">
        <v>0.28418755531311035</v>
      </c>
      <c r="CL21" s="7">
        <v>0.14361108839511871</v>
      </c>
      <c r="CM21" s="8">
        <v>1.1812618970870972</v>
      </c>
      <c r="CN21" s="8">
        <v>-1.1770833730697632</v>
      </c>
      <c r="CO21" s="8">
        <v>-1.5098333358764648</v>
      </c>
      <c r="CP21" s="8">
        <v>-1.5930162668228149</v>
      </c>
      <c r="CQ21" s="8">
        <v>-0.41363635659217834</v>
      </c>
      <c r="CR21">
        <v>-57.088952957915666</v>
      </c>
      <c r="CS21">
        <v>-3.8346853768974292</v>
      </c>
      <c r="CT21">
        <v>0</v>
      </c>
      <c r="CU21" s="7">
        <v>0.14887519404292107</v>
      </c>
      <c r="CV21" s="8">
        <v>-0.70246148705482481</v>
      </c>
      <c r="CW21">
        <v>0.06</v>
      </c>
      <c r="CX21">
        <v>37.838812901330286</v>
      </c>
      <c r="CY21">
        <v>82120189.872308508</v>
      </c>
      <c r="CZ21">
        <v>0.14887519404292107</v>
      </c>
      <c r="DA21">
        <v>11.76799930077788</v>
      </c>
      <c r="DB21">
        <v>264049174.42462808</v>
      </c>
      <c r="DC21">
        <v>0.14143143434077501</v>
      </c>
      <c r="DD21">
        <v>5.4141652669530593</v>
      </c>
      <c r="DE21">
        <v>573926052.63945305</v>
      </c>
      <c r="DF21">
        <v>0.13101017075777055</v>
      </c>
      <c r="DG21">
        <v>3.0064011807513582</v>
      </c>
      <c r="DH21">
        <v>1033571474.0583682</v>
      </c>
      <c r="DI21">
        <v>0.11910015523433687</v>
      </c>
      <c r="DJ21">
        <v>1.2988012854037572</v>
      </c>
      <c r="DK21">
        <v>2392460290.0543227</v>
      </c>
      <c r="DL21">
        <v>0.10421263583004474</v>
      </c>
      <c r="DM21">
        <v>75767500</v>
      </c>
      <c r="DN21">
        <v>0.14887519404292107</v>
      </c>
      <c r="DO21">
        <v>3107330500</v>
      </c>
      <c r="DP21">
        <v>-153504900</v>
      </c>
      <c r="DQ21">
        <v>1321</v>
      </c>
      <c r="DR21">
        <v>-0.28045414141134212</v>
      </c>
      <c r="DS21">
        <v>0.38875783890667664</v>
      </c>
      <c r="DT21" s="9">
        <v>-0.17333333333333334</v>
      </c>
      <c r="DU21">
        <v>-2.2566666666666668</v>
      </c>
      <c r="DV21">
        <v>-2.4300000000000002</v>
      </c>
      <c r="DW21">
        <v>-2.1545000000000001</v>
      </c>
      <c r="DX21">
        <v>0.29484672897196285</v>
      </c>
      <c r="DY21">
        <v>-2.0239238196261682</v>
      </c>
      <c r="DZ21">
        <v>4634</v>
      </c>
      <c r="EA21">
        <v>-2.0022285201843553</v>
      </c>
      <c r="EB21">
        <v>2</v>
      </c>
      <c r="EC21">
        <v>4.8168972310268926E-2</v>
      </c>
      <c r="ED21">
        <v>0.31107516852351891</v>
      </c>
      <c r="EE21" s="10">
        <v>-2.0061</v>
      </c>
      <c r="EF21">
        <v>-2.0022099999999998</v>
      </c>
      <c r="EG21">
        <v>14.154846728971963</v>
      </c>
      <c r="EH21" t="s">
        <v>594</v>
      </c>
      <c r="EI21">
        <v>0</v>
      </c>
      <c r="EJ21">
        <v>0</v>
      </c>
      <c r="EK21" s="13">
        <v>45470</v>
      </c>
      <c r="EL21" s="14">
        <v>0.14000000000000001</v>
      </c>
      <c r="EM21" s="14">
        <v>-4.34</v>
      </c>
      <c r="EN21" s="14">
        <v>0.28000000000000003</v>
      </c>
      <c r="EO21" s="14">
        <v>2.69</v>
      </c>
      <c r="EP21" s="14">
        <v>-0.83</v>
      </c>
    </row>
    <row r="22" spans="1:146" ht="216" x14ac:dyDescent="0.25">
      <c r="A22" s="11" t="s">
        <v>405</v>
      </c>
      <c r="B22" s="11"/>
      <c r="C22" s="11" t="str">
        <f>"公司主营业务为宠物食品的研发、生产和销售，公司目前主要产品包括：宠物干粮、宠物湿粮、宠物零食，每个大类包含多个品种，包括宠物干粮系列、宠物湿粮系列、鸡肉零食系列、鸭肉零食系列、牛肉零食系列、猪肉零食系列、羊肉零食系列、鱼肉零食系列、宠物香肠系列、宠物饼干系列、洁齿骨系列等十余个产品系列"&amp;CHAR(10)&amp;Basic_Fundamental_Information_Constructure(F22)&amp;CHAR(10)&amp;Basic_Fundamental_Information_Concatenate("宠物零食 11.07亿 69.64% 74.09% 17.51%
宠物罐头 2.57亿 16.20% 24.59% 24.98%")</f>
        <v>公司主营业务为宠物食品的研发、生产和销售，公司目前主要产品包括：宠物干粮、宠物湿粮、宠物零食，每个大类包含多个品种，包括宠物干粮系列、宠物湿粮系列、鸡肉零食系列、鸭肉零食系列、牛肉零食系列、猪肉零食系列、羊肉零食系列、鱼肉零食系列、宠物香肠系列、宠物饼干系列、洁齿骨系列等十余个产品系列
市值59.558106亿, 利润2.33亿; PE21.76; 平均PE49.26; 平均PEG2.26, PB2.67; ROIC5.9167%; ROE6.8067%; 股利率1.1852%; 毛利22.04%; 净利5.3%; 上一年度营收增15.36%, 利润增119.81%; 当季营收增24.36%, 利润增259%; 过往5年营收增21.76%, 利润增41.59%
Income profile:
宠物零食 11.07亿 69.64% 74.09% 17.51%
宠物罐头 2.57亿 16.20% 24.59% 24.98%</v>
      </c>
      <c r="D22" t="s">
        <v>38</v>
      </c>
      <c r="E22" t="s">
        <v>7</v>
      </c>
      <c r="F22">
        <v>20.25</v>
      </c>
      <c r="G22">
        <v>1.55</v>
      </c>
      <c r="H22" t="s">
        <v>1355</v>
      </c>
      <c r="I22">
        <v>5955810600</v>
      </c>
      <c r="J22">
        <v>21.76</v>
      </c>
      <c r="K22">
        <v>2.67</v>
      </c>
      <c r="L22" t="s">
        <v>29</v>
      </c>
      <c r="M22" t="s">
        <v>838</v>
      </c>
      <c r="N22" t="s">
        <v>1356</v>
      </c>
      <c r="O22" t="s">
        <v>825</v>
      </c>
      <c r="P22">
        <v>24.42</v>
      </c>
      <c r="Q22" t="s">
        <v>839</v>
      </c>
      <c r="R22">
        <v>56224262</v>
      </c>
      <c r="S22" s="3">
        <v>2.59</v>
      </c>
      <c r="T22" t="s">
        <v>459</v>
      </c>
      <c r="U22">
        <v>294114000</v>
      </c>
      <c r="V22">
        <v>294114100</v>
      </c>
      <c r="W22">
        <v>1.68</v>
      </c>
      <c r="X22">
        <v>0.21</v>
      </c>
      <c r="Y22">
        <v>7.41</v>
      </c>
      <c r="Z22" t="s">
        <v>1357</v>
      </c>
      <c r="AA22" t="s">
        <v>1358</v>
      </c>
      <c r="AB22" t="s">
        <v>1359</v>
      </c>
      <c r="AC22" t="s">
        <v>1360</v>
      </c>
      <c r="AD22" t="s">
        <v>53</v>
      </c>
      <c r="AE22">
        <v>5761783</v>
      </c>
      <c r="AF22" t="s">
        <v>840</v>
      </c>
      <c r="AG22" t="s">
        <v>1361</v>
      </c>
      <c r="AH22" t="s">
        <v>841</v>
      </c>
      <c r="AI22" t="s">
        <v>1222</v>
      </c>
      <c r="AJ22" t="s">
        <v>842</v>
      </c>
      <c r="AK22" t="s">
        <v>53</v>
      </c>
      <c r="AL22" t="s">
        <v>843</v>
      </c>
      <c r="AM22" t="s">
        <v>53</v>
      </c>
      <c r="AN22" t="s">
        <v>786</v>
      </c>
      <c r="AO22" t="s">
        <v>1362</v>
      </c>
      <c r="AP22" t="s">
        <v>53</v>
      </c>
      <c r="AQ22" t="s">
        <v>1363</v>
      </c>
      <c r="AR22" t="s">
        <v>53</v>
      </c>
      <c r="AS22" t="s">
        <v>1364</v>
      </c>
      <c r="AT22" t="s">
        <v>1365</v>
      </c>
      <c r="AU22" t="s">
        <v>1366</v>
      </c>
      <c r="AV22" t="s">
        <v>1367</v>
      </c>
      <c r="AW22" t="s">
        <v>1368</v>
      </c>
      <c r="AX22" t="s">
        <v>458</v>
      </c>
      <c r="AY22" t="s">
        <v>327</v>
      </c>
      <c r="AZ22" t="s">
        <v>184</v>
      </c>
      <c r="BA22" t="s">
        <v>99</v>
      </c>
      <c r="BB22" t="s">
        <v>185</v>
      </c>
      <c r="BC22" t="s">
        <v>366</v>
      </c>
      <c r="BD22" t="s">
        <v>295</v>
      </c>
      <c r="BE22" t="s">
        <v>92</v>
      </c>
      <c r="BF22" t="s">
        <v>100</v>
      </c>
      <c r="BG22" t="s">
        <v>187</v>
      </c>
      <c r="BH22" t="s">
        <v>839</v>
      </c>
      <c r="BI22" t="s">
        <v>844</v>
      </c>
      <c r="BJ22" t="s">
        <v>458</v>
      </c>
      <c r="BK22" t="s">
        <v>459</v>
      </c>
      <c r="BL22" t="s">
        <v>845</v>
      </c>
      <c r="BM22" t="s">
        <v>366</v>
      </c>
      <c r="BN22">
        <v>6.88</v>
      </c>
      <c r="BO22">
        <v>4.78</v>
      </c>
      <c r="BP22">
        <v>6.09</v>
      </c>
      <c r="BQ22">
        <v>8.34</v>
      </c>
      <c r="BR22">
        <v>5.56</v>
      </c>
      <c r="BS22">
        <v>6.52</v>
      </c>
      <c r="BT22" t="s">
        <v>846</v>
      </c>
      <c r="BU22" t="s">
        <v>1369</v>
      </c>
      <c r="BV22">
        <v>26.28</v>
      </c>
      <c r="BW22">
        <v>19.79</v>
      </c>
      <c r="BX22">
        <v>20.05</v>
      </c>
      <c r="BY22">
        <v>7.79</v>
      </c>
      <c r="BZ22">
        <v>3.72</v>
      </c>
      <c r="CA22">
        <v>4.3899999999999997</v>
      </c>
      <c r="CB22">
        <v>-2.97</v>
      </c>
      <c r="CC22">
        <v>-13.79</v>
      </c>
      <c r="CD22" t="s">
        <v>1370</v>
      </c>
      <c r="CE22" t="s">
        <v>1371</v>
      </c>
      <c r="CF22" s="7">
        <v>0.24362606232294601</v>
      </c>
      <c r="CG22" s="8">
        <v>2.5899666060083644</v>
      </c>
      <c r="CH22" s="7">
        <v>0.15363302826881409</v>
      </c>
      <c r="CI22" s="7">
        <v>0.12699519097805023</v>
      </c>
      <c r="CJ22" s="7">
        <v>0.29064038395881653</v>
      </c>
      <c r="CK22" s="7">
        <v>0.30128201842308044</v>
      </c>
      <c r="CL22" s="7">
        <v>0.21529744565486908</v>
      </c>
      <c r="CM22" s="8">
        <v>1.1981132030487061</v>
      </c>
      <c r="CN22" s="8">
        <v>-8.6206898093223572E-2</v>
      </c>
      <c r="CO22" s="8">
        <v>-0.14074073731899261</v>
      </c>
      <c r="CP22" s="8">
        <v>0.70869207382202148</v>
      </c>
      <c r="CQ22" s="8">
        <v>0.39973816275596619</v>
      </c>
      <c r="CR22">
        <v>49.258722797150746</v>
      </c>
      <c r="CS22">
        <v>2.2640442300067862</v>
      </c>
      <c r="CT22">
        <v>1.1851851851851851</v>
      </c>
      <c r="CU22" s="7">
        <v>0.21756961345672607</v>
      </c>
      <c r="CV22" s="8">
        <v>0.41591916084289549</v>
      </c>
      <c r="CW22">
        <v>0.06</v>
      </c>
      <c r="CX22">
        <v>20.598197370496219</v>
      </c>
      <c r="CY22">
        <v>267635584.84473315</v>
      </c>
      <c r="CZ22">
        <v>0.21756961345672607</v>
      </c>
      <c r="DA22">
        <v>6.0518310531714947</v>
      </c>
      <c r="DB22">
        <v>910932666.75231814</v>
      </c>
      <c r="DC22">
        <v>0.20669113278388976</v>
      </c>
      <c r="DD22">
        <v>2.5676516946585766</v>
      </c>
      <c r="DE22">
        <v>2147024306.8669188</v>
      </c>
      <c r="DF22">
        <v>0.19146125984191895</v>
      </c>
      <c r="DG22">
        <v>1.2923005764657183</v>
      </c>
      <c r="DH22">
        <v>4265888834.528615</v>
      </c>
      <c r="DI22">
        <v>0.17405569076538085</v>
      </c>
      <c r="DJ22">
        <v>0.43960218871939699</v>
      </c>
      <c r="DK22">
        <v>12540453031.09009</v>
      </c>
      <c r="DL22">
        <v>0.15229872941970823</v>
      </c>
      <c r="DM22">
        <v>233000000</v>
      </c>
      <c r="DN22">
        <v>0.21756961345672607</v>
      </c>
      <c r="DO22">
        <v>5512810600</v>
      </c>
      <c r="DP22">
        <v>866955300</v>
      </c>
      <c r="DQ22">
        <v>1358</v>
      </c>
      <c r="DR22">
        <v>2.6056448866219939E-2</v>
      </c>
      <c r="DS22">
        <v>2.1740474451654688</v>
      </c>
      <c r="DT22" s="9">
        <v>7.6666666666666591E-2</v>
      </c>
      <c r="DU22">
        <v>0.88666666666666671</v>
      </c>
      <c r="DV22">
        <v>0.96333333333333326</v>
      </c>
      <c r="DW22">
        <v>-8.2153734590282816</v>
      </c>
      <c r="DX22">
        <v>0.35586157091109044</v>
      </c>
      <c r="DY22">
        <v>-8.0357221802469869</v>
      </c>
      <c r="DZ22">
        <v>225</v>
      </c>
      <c r="EA22">
        <v>-8.0341492858134114</v>
      </c>
      <c r="EB22">
        <v>8</v>
      </c>
      <c r="EC22">
        <v>4.9195533298131575E-2</v>
      </c>
      <c r="ED22">
        <v>0.29660597706808345</v>
      </c>
      <c r="EE22" s="10">
        <v>3.0547</v>
      </c>
      <c r="EF22">
        <v>3.0177</v>
      </c>
      <c r="EG22">
        <v>19.16586157091109</v>
      </c>
      <c r="EH22" t="s">
        <v>574</v>
      </c>
      <c r="EI22">
        <v>0</v>
      </c>
      <c r="EJ22">
        <v>1</v>
      </c>
      <c r="EK22" s="13">
        <v>45470</v>
      </c>
      <c r="EL22" s="14">
        <v>2.57</v>
      </c>
      <c r="EM22" s="14">
        <v>-2.59</v>
      </c>
      <c r="EN22" s="14">
        <v>0.62</v>
      </c>
      <c r="EO22" s="14">
        <v>2.13</v>
      </c>
      <c r="EP22" s="14">
        <v>-3.7</v>
      </c>
    </row>
    <row r="23" spans="1:146" ht="84" x14ac:dyDescent="0.25">
      <c r="A23" s="11"/>
      <c r="B23" s="11"/>
      <c r="C23" s="11" t="str">
        <f>""&amp;CHAR(10)&amp;Basic_Fundamental_Information_Constructure(F23)&amp;CHAR(10)&amp;Basic_Fundamental_Information_Concatenate("")</f>
        <v xml:space="preserve">
市值17.993276亿, 利润4046.23万; PE44.07; 平均PE27.71; 平均PEG2.87, PB1.71; ROIC3.4767%; ROE4.16%; 股利率1.0402%; 毛利26.3533%; 净利3.02%; 上一年度营收增-.61%, 利润增5.43%; 当季营收增17.23%, 利润增3.93%; 过往5年营收增9.65%, 利润增-3.5%
Income profile:
</v>
      </c>
      <c r="D23" t="s">
        <v>263</v>
      </c>
      <c r="E23" t="s">
        <v>264</v>
      </c>
      <c r="F23">
        <v>14.42</v>
      </c>
      <c r="G23">
        <v>1.84</v>
      </c>
      <c r="H23" t="s">
        <v>1372</v>
      </c>
      <c r="I23">
        <v>1799327600</v>
      </c>
      <c r="J23">
        <v>44.07</v>
      </c>
      <c r="K23">
        <v>1.71</v>
      </c>
      <c r="L23" t="s">
        <v>29</v>
      </c>
      <c r="M23" t="s">
        <v>721</v>
      </c>
      <c r="N23" t="s">
        <v>1373</v>
      </c>
      <c r="O23" t="s">
        <v>612</v>
      </c>
      <c r="P23">
        <v>17.260000000000002</v>
      </c>
      <c r="Q23" t="s">
        <v>847</v>
      </c>
      <c r="R23">
        <v>9705936</v>
      </c>
      <c r="S23" s="3">
        <v>3.9300000000000002E-2</v>
      </c>
      <c r="T23" t="s">
        <v>848</v>
      </c>
      <c r="U23">
        <v>80998375</v>
      </c>
      <c r="V23">
        <v>124780000</v>
      </c>
      <c r="W23">
        <v>1.96</v>
      </c>
      <c r="X23">
        <v>0.19</v>
      </c>
      <c r="Y23">
        <v>1.82</v>
      </c>
      <c r="Z23" t="s">
        <v>687</v>
      </c>
      <c r="AA23" t="s">
        <v>1374</v>
      </c>
      <c r="AB23" t="s">
        <v>1375</v>
      </c>
      <c r="AC23" t="s">
        <v>1376</v>
      </c>
      <c r="AD23" t="s">
        <v>53</v>
      </c>
      <c r="AE23">
        <v>7781704</v>
      </c>
      <c r="AF23" t="s">
        <v>75</v>
      </c>
      <c r="AG23" t="s">
        <v>1377</v>
      </c>
      <c r="AH23" t="s">
        <v>850</v>
      </c>
      <c r="AI23" t="s">
        <v>91</v>
      </c>
      <c r="AJ23" t="s">
        <v>851</v>
      </c>
      <c r="AK23" t="s">
        <v>53</v>
      </c>
      <c r="AL23" t="s">
        <v>852</v>
      </c>
      <c r="AM23" t="s">
        <v>53</v>
      </c>
      <c r="AN23" t="s">
        <v>646</v>
      </c>
      <c r="AO23" t="s">
        <v>1378</v>
      </c>
      <c r="AP23" t="s">
        <v>53</v>
      </c>
      <c r="AQ23" t="s">
        <v>656</v>
      </c>
      <c r="AR23" t="s">
        <v>53</v>
      </c>
      <c r="AS23" t="s">
        <v>1379</v>
      </c>
      <c r="AT23" t="s">
        <v>311</v>
      </c>
      <c r="AU23" t="s">
        <v>1380</v>
      </c>
      <c r="AV23" t="s">
        <v>1381</v>
      </c>
      <c r="AW23" t="s">
        <v>1382</v>
      </c>
      <c r="AX23" t="s">
        <v>460</v>
      </c>
      <c r="AY23" t="s">
        <v>328</v>
      </c>
      <c r="AZ23" t="s">
        <v>265</v>
      </c>
      <c r="BA23" t="s">
        <v>266</v>
      </c>
      <c r="BB23" t="s">
        <v>267</v>
      </c>
      <c r="BC23" t="s">
        <v>461</v>
      </c>
      <c r="BD23" t="s">
        <v>329</v>
      </c>
      <c r="BE23" t="s">
        <v>65</v>
      </c>
      <c r="BF23" t="s">
        <v>268</v>
      </c>
      <c r="BG23" t="s">
        <v>269</v>
      </c>
      <c r="BH23" t="s">
        <v>847</v>
      </c>
      <c r="BI23" t="s">
        <v>853</v>
      </c>
      <c r="BJ23" t="s">
        <v>460</v>
      </c>
      <c r="BK23" t="s">
        <v>848</v>
      </c>
      <c r="BL23" t="s">
        <v>854</v>
      </c>
      <c r="BM23" t="s">
        <v>461</v>
      </c>
      <c r="BN23">
        <v>2.74</v>
      </c>
      <c r="BO23">
        <v>3.18</v>
      </c>
      <c r="BP23">
        <v>4.51</v>
      </c>
      <c r="BQ23">
        <v>3.17</v>
      </c>
      <c r="BR23">
        <v>3.75</v>
      </c>
      <c r="BS23">
        <v>5.56</v>
      </c>
      <c r="BT23" t="s">
        <v>408</v>
      </c>
      <c r="BU23" t="s">
        <v>365</v>
      </c>
      <c r="BV23">
        <v>27.26</v>
      </c>
      <c r="BW23">
        <v>25.36</v>
      </c>
      <c r="BX23">
        <v>26.44</v>
      </c>
      <c r="BY23">
        <v>2.34</v>
      </c>
      <c r="BZ23">
        <v>2.5499999999999998</v>
      </c>
      <c r="CA23">
        <v>4.17</v>
      </c>
      <c r="CB23">
        <v>0.35</v>
      </c>
      <c r="CC23">
        <v>-11.53</v>
      </c>
      <c r="CD23" t="s">
        <v>1383</v>
      </c>
      <c r="CE23" t="s">
        <v>1384</v>
      </c>
      <c r="CF23" s="7">
        <v>0.1723076923076923</v>
      </c>
      <c r="CG23" s="8">
        <v>3.9257331919951177E-2</v>
      </c>
      <c r="CH23" s="7">
        <v>-6.0524973087012768E-3</v>
      </c>
      <c r="CI23" s="7">
        <v>0.1121915727853775</v>
      </c>
      <c r="CJ23" s="7">
        <v>9.1428577899932861E-2</v>
      </c>
      <c r="CK23" s="7">
        <v>0.16889306902885437</v>
      </c>
      <c r="CL23" s="7">
        <v>0.11608093976974487</v>
      </c>
      <c r="CM23" s="8">
        <v>5.4260313510894775E-2</v>
      </c>
      <c r="CN23" s="8">
        <v>-0.31120243668556213</v>
      </c>
      <c r="CO23" s="8">
        <v>-0.44831684231758118</v>
      </c>
      <c r="CP23" s="8">
        <v>0.12016728520393372</v>
      </c>
      <c r="CQ23" s="8">
        <v>0.41011208295822144</v>
      </c>
      <c r="CR23">
        <v>27.705477212711301</v>
      </c>
      <c r="CS23">
        <v>2.8707860257931044</v>
      </c>
      <c r="CT23">
        <v>1.0402219140083218</v>
      </c>
      <c r="CU23" s="7">
        <v>9.6508332435041672E-2</v>
      </c>
      <c r="CV23" s="8">
        <v>-3.4995919466018675E-2</v>
      </c>
      <c r="CW23">
        <v>0.06</v>
      </c>
      <c r="CX23">
        <v>40.527805813879404</v>
      </c>
      <c r="CY23">
        <v>41855895.376873948</v>
      </c>
      <c r="CZ23">
        <v>9.6508332435041672E-2</v>
      </c>
      <c r="DA23">
        <v>13.171373083039448</v>
      </c>
      <c r="DB23">
        <v>128788972.06126004</v>
      </c>
      <c r="DC23">
        <v>9.1682915813289578E-2</v>
      </c>
      <c r="DD23">
        <v>6.4362666947092029</v>
      </c>
      <c r="DE23">
        <v>263557692.7529169</v>
      </c>
      <c r="DF23">
        <v>8.4927332542836673E-2</v>
      </c>
      <c r="DG23">
        <v>3.8329428482258567</v>
      </c>
      <c r="DH23">
        <v>442565325.69620085</v>
      </c>
      <c r="DI23">
        <v>7.720666594803334E-2</v>
      </c>
      <c r="DJ23">
        <v>1.9439060747893437</v>
      </c>
      <c r="DK23">
        <v>872638663.97651279</v>
      </c>
      <c r="DL23">
        <v>6.7555832704529167E-2</v>
      </c>
      <c r="DM23">
        <v>40462300</v>
      </c>
      <c r="DN23">
        <v>9.6508332435041672E-2</v>
      </c>
      <c r="DO23">
        <v>1696327600</v>
      </c>
      <c r="DP23">
        <v>-212383740</v>
      </c>
      <c r="DQ23">
        <v>1485</v>
      </c>
      <c r="DR23">
        <v>7.5799359872650629E-2</v>
      </c>
      <c r="DS23">
        <v>7.425325138596986E-2</v>
      </c>
      <c r="DT23" s="9">
        <v>-0.32333333333333336</v>
      </c>
      <c r="DU23">
        <v>-0.18333333333333335</v>
      </c>
      <c r="DV23">
        <v>-0.50666666666666671</v>
      </c>
      <c r="DW23">
        <v>-2.1153</v>
      </c>
      <c r="DX23">
        <v>0.29462152521098189</v>
      </c>
      <c r="DY23">
        <v>-2.0132158618568261</v>
      </c>
      <c r="DZ23">
        <v>2886</v>
      </c>
      <c r="EA23">
        <v>-2.0057518741232059</v>
      </c>
      <c r="EB23">
        <v>2</v>
      </c>
      <c r="EC23">
        <v>1.8514986376021798E-2</v>
      </c>
      <c r="ED23">
        <v>0.16153149543196024</v>
      </c>
      <c r="EE23" s="10">
        <v>-3.0007000000000001</v>
      </c>
      <c r="EF23">
        <v>-3.0101100000000001</v>
      </c>
      <c r="EG23">
        <v>18.114621525210982</v>
      </c>
      <c r="EH23" t="s">
        <v>1304</v>
      </c>
      <c r="EI23">
        <v>0</v>
      </c>
      <c r="EJ23">
        <v>0</v>
      </c>
      <c r="EK23" s="13">
        <v>45470</v>
      </c>
      <c r="EL23" s="14">
        <v>-0.87</v>
      </c>
      <c r="EM23" s="14">
        <v>-4.03</v>
      </c>
      <c r="EN23" s="14">
        <v>1.05</v>
      </c>
      <c r="EO23" s="14">
        <v>2.4300000000000002</v>
      </c>
      <c r="EP23" s="14">
        <v>-1.08</v>
      </c>
    </row>
    <row r="24" spans="1:146" ht="240" x14ac:dyDescent="0.25">
      <c r="A24" s="11" t="s">
        <v>413</v>
      </c>
      <c r="B24" s="11" t="s">
        <v>622</v>
      </c>
      <c r="C24" s="11" t="str">
        <f>"公司从事的业务属于天然植物提取物细分领域,主要系列产品有：天然色素、天然香辛料和精油、天然营养及药用提取物、油脂和蛋白等。该行业目前处于成长阶段,公司位于行业前列"&amp;CHAR(10)&amp;Basic_Fundamental_Information_Constructure(F24)&amp;CHAR(10)&amp;Basic_Fundamental_Information_Concatenate("棉籽类业务 33.75亿 53.61% 17.92% 4.66%
天然色素/香辛料/营养及药用类产品 26.55亿 42.16% 76.58% 25.32%
其他 2.66亿 4.23% 5.50% 18.11%")</f>
        <v>公司从事的业务属于天然植物提取物细分领域,主要系列产品有：天然色素、天然香辛料和精油、天然营养及药用提取物、油脂和蛋白等。该行业目前处于成长阶段,公司位于行业前列
市值44.966125亿, 利润4.80亿; PE11.73; 平均PE14.4; 平均PEG.81, PB1.34; ROIC7.7433%; ROE13.3767%; 股利率1.5403%; 毛利13.4333%; 净利7.1033%; 上一年度营收增9.15%, 利润增10.6%; 当季营收增-4.73%, 利润增-71.41%; 过往5年营收增17.86%, 利润增27.44%
Income profile:
棉籽类业务 33.75亿 53.61% 17.92% 4.66%
天然色素/香辛料/营养及药用类产品 26.55亿 42.16% 76.58% 25.32%
其他 2.66亿 4.23% 5.50% 18.11%</v>
      </c>
      <c r="D24" t="s">
        <v>54</v>
      </c>
      <c r="E24" t="s">
        <v>20</v>
      </c>
      <c r="F24">
        <v>8.44</v>
      </c>
      <c r="G24">
        <v>0.72</v>
      </c>
      <c r="H24" t="s">
        <v>1385</v>
      </c>
      <c r="I24">
        <v>4496612500</v>
      </c>
      <c r="J24">
        <v>11.73</v>
      </c>
      <c r="K24">
        <v>1.34</v>
      </c>
      <c r="L24" t="s">
        <v>29</v>
      </c>
      <c r="M24" t="s">
        <v>855</v>
      </c>
      <c r="N24" t="s">
        <v>1386</v>
      </c>
      <c r="O24" t="s">
        <v>468</v>
      </c>
      <c r="P24">
        <v>-4.71</v>
      </c>
      <c r="Q24" t="s">
        <v>715</v>
      </c>
      <c r="R24">
        <v>38591937</v>
      </c>
      <c r="S24" s="3">
        <v>-0.71419999999999995</v>
      </c>
      <c r="T24" t="s">
        <v>610</v>
      </c>
      <c r="U24">
        <v>447987190</v>
      </c>
      <c r="V24">
        <v>532773990</v>
      </c>
      <c r="W24">
        <v>2.66</v>
      </c>
      <c r="X24">
        <v>0.2</v>
      </c>
      <c r="Y24">
        <v>1.9</v>
      </c>
      <c r="Z24" t="s">
        <v>1387</v>
      </c>
      <c r="AA24" t="s">
        <v>1388</v>
      </c>
      <c r="AB24" t="s">
        <v>1389</v>
      </c>
      <c r="AC24" t="s">
        <v>1390</v>
      </c>
      <c r="AD24" t="s">
        <v>53</v>
      </c>
      <c r="AE24">
        <v>21567857</v>
      </c>
      <c r="AF24" t="s">
        <v>856</v>
      </c>
      <c r="AG24" t="s">
        <v>1391</v>
      </c>
      <c r="AH24" t="s">
        <v>857</v>
      </c>
      <c r="AI24" t="s">
        <v>1392</v>
      </c>
      <c r="AJ24" t="s">
        <v>858</v>
      </c>
      <c r="AK24" t="s">
        <v>1393</v>
      </c>
      <c r="AL24" t="s">
        <v>859</v>
      </c>
      <c r="AM24" t="s">
        <v>53</v>
      </c>
      <c r="AN24" t="s">
        <v>1394</v>
      </c>
      <c r="AO24" t="s">
        <v>1395</v>
      </c>
      <c r="AP24" t="s">
        <v>53</v>
      </c>
      <c r="AQ24" t="s">
        <v>1396</v>
      </c>
      <c r="AR24" t="s">
        <v>1397</v>
      </c>
      <c r="AS24" t="s">
        <v>1398</v>
      </c>
      <c r="AT24" t="s">
        <v>1399</v>
      </c>
      <c r="AU24" t="s">
        <v>1400</v>
      </c>
      <c r="AV24" t="s">
        <v>1401</v>
      </c>
      <c r="AW24" t="s">
        <v>1325</v>
      </c>
      <c r="AX24" t="s">
        <v>463</v>
      </c>
      <c r="AY24" t="s">
        <v>330</v>
      </c>
      <c r="AZ24" t="s">
        <v>188</v>
      </c>
      <c r="BA24" t="s">
        <v>101</v>
      </c>
      <c r="BB24" t="s">
        <v>191</v>
      </c>
      <c r="BC24" t="s">
        <v>433</v>
      </c>
      <c r="BD24" t="s">
        <v>331</v>
      </c>
      <c r="BE24" t="s">
        <v>189</v>
      </c>
      <c r="BF24" t="s">
        <v>98</v>
      </c>
      <c r="BG24" t="s">
        <v>192</v>
      </c>
      <c r="BH24" t="s">
        <v>715</v>
      </c>
      <c r="BI24" t="s">
        <v>860</v>
      </c>
      <c r="BJ24" t="s">
        <v>463</v>
      </c>
      <c r="BK24" t="s">
        <v>610</v>
      </c>
      <c r="BL24" t="s">
        <v>92</v>
      </c>
      <c r="BM24" t="s">
        <v>433</v>
      </c>
      <c r="BN24">
        <v>6.76</v>
      </c>
      <c r="BO24">
        <v>8.2799999999999994</v>
      </c>
      <c r="BP24">
        <v>8.19</v>
      </c>
      <c r="BQ24">
        <v>11.95</v>
      </c>
      <c r="BR24">
        <v>14.6</v>
      </c>
      <c r="BS24">
        <v>13.58</v>
      </c>
      <c r="BT24" t="s">
        <v>861</v>
      </c>
      <c r="BU24" t="s">
        <v>365</v>
      </c>
      <c r="BV24">
        <v>11.61</v>
      </c>
      <c r="BW24">
        <v>13.94</v>
      </c>
      <c r="BX24">
        <v>14.75</v>
      </c>
      <c r="BY24">
        <v>7.19</v>
      </c>
      <c r="BZ24">
        <v>6.93</v>
      </c>
      <c r="CA24">
        <v>7.19</v>
      </c>
      <c r="CB24">
        <v>0.12</v>
      </c>
      <c r="CC24">
        <v>-9.44</v>
      </c>
      <c r="CD24" t="s">
        <v>1402</v>
      </c>
      <c r="CE24" t="s">
        <v>393</v>
      </c>
      <c r="CF24" s="7">
        <v>-4.7304730473047306E-2</v>
      </c>
      <c r="CG24" s="8">
        <v>-0.71413380000000004</v>
      </c>
      <c r="CH24" s="7">
        <v>9.1486655175685883E-2</v>
      </c>
      <c r="CI24" s="7">
        <v>0.29175218939781189</v>
      </c>
      <c r="CJ24" s="7">
        <v>0.24559161067008972</v>
      </c>
      <c r="CK24" s="7">
        <v>0.19846861064434052</v>
      </c>
      <c r="CL24" s="7">
        <v>6.5948374569416046E-2</v>
      </c>
      <c r="CM24" s="8">
        <v>0.10599078238010406</v>
      </c>
      <c r="CN24" s="8">
        <v>0.23295454680919647</v>
      </c>
      <c r="CO24" s="8">
        <v>0.31343284249305725</v>
      </c>
      <c r="CP24" s="8">
        <v>0.38144329190254211</v>
      </c>
      <c r="CQ24" s="8">
        <v>0.33793103694915771</v>
      </c>
      <c r="CR24">
        <v>14.404524826481579</v>
      </c>
      <c r="CS24">
        <v>0.80630092928709873</v>
      </c>
      <c r="CT24">
        <v>1.5402843601895737</v>
      </c>
      <c r="CU24" s="7">
        <v>0.1786494880914688</v>
      </c>
      <c r="CV24" s="8">
        <v>0.2743505001068115</v>
      </c>
      <c r="CW24">
        <v>0.06</v>
      </c>
      <c r="CX24">
        <v>11.402084396830508</v>
      </c>
      <c r="CY24">
        <v>533728070.07915562</v>
      </c>
      <c r="CZ24">
        <v>0.1786494880914688</v>
      </c>
      <c r="DA24">
        <v>3.459303852258433</v>
      </c>
      <c r="DB24">
        <v>1759201492.5277412</v>
      </c>
      <c r="DC24">
        <v>0.16971701368689535</v>
      </c>
      <c r="DD24">
        <v>1.5369970150261532</v>
      </c>
      <c r="DE24">
        <v>3959417253.582922</v>
      </c>
      <c r="DF24">
        <v>0.15721154952049254</v>
      </c>
      <c r="DG24">
        <v>0.81854921227221278</v>
      </c>
      <c r="DH24">
        <v>7434632406.6538811</v>
      </c>
      <c r="DI24">
        <v>0.14291959047317504</v>
      </c>
      <c r="DJ24">
        <v>0.31996588311625074</v>
      </c>
      <c r="DK24">
        <v>19019566838.59623</v>
      </c>
      <c r="DL24">
        <v>0.12505464166402816</v>
      </c>
      <c r="DM24">
        <v>480000000</v>
      </c>
      <c r="DN24">
        <v>0.1786494880914688</v>
      </c>
      <c r="DO24">
        <v>6085612500</v>
      </c>
      <c r="DP24">
        <v>2612620300</v>
      </c>
      <c r="DQ24">
        <v>1628</v>
      </c>
      <c r="DR24">
        <v>-0.22595421856451611</v>
      </c>
      <c r="DS24">
        <v>-0.98848430010681154</v>
      </c>
      <c r="DT24" s="9">
        <v>-4.0000000000000036E-2</v>
      </c>
      <c r="DU24">
        <v>5.9999999999999908E-2</v>
      </c>
      <c r="DV24">
        <v>1.9999999999999872E-2</v>
      </c>
      <c r="DW24">
        <v>-2.0943999999999998</v>
      </c>
      <c r="DX24">
        <v>0.24630201342282007</v>
      </c>
      <c r="DY24">
        <v>-2.0081469100671141</v>
      </c>
      <c r="DZ24">
        <v>1673</v>
      </c>
      <c r="EA24">
        <v>-2.0054796340314427</v>
      </c>
      <c r="EB24">
        <v>2</v>
      </c>
      <c r="EC24">
        <v>2.4135938017544739E-2</v>
      </c>
      <c r="ED24">
        <v>0.27966830738114673</v>
      </c>
      <c r="EE24" s="10">
        <v>-3.0198</v>
      </c>
      <c r="EF24">
        <v>-3.0032999999999999</v>
      </c>
      <c r="EG24">
        <v>16.08630201342282</v>
      </c>
      <c r="EH24" t="s">
        <v>663</v>
      </c>
      <c r="EI24">
        <v>0</v>
      </c>
      <c r="EJ24">
        <v>0</v>
      </c>
      <c r="EK24" s="13">
        <v>45470</v>
      </c>
      <c r="EL24" s="14">
        <v>0.6</v>
      </c>
      <c r="EM24" s="14">
        <v>-2.61</v>
      </c>
      <c r="EN24" s="14">
        <v>0</v>
      </c>
      <c r="EO24" s="14">
        <v>3.53</v>
      </c>
      <c r="EP24" s="14">
        <v>-1.65</v>
      </c>
    </row>
    <row r="25" spans="1:146" ht="84" x14ac:dyDescent="0.25">
      <c r="A25" s="11"/>
      <c r="B25" s="11"/>
      <c r="C25" s="11" t="str">
        <f>""&amp;CHAR(10)&amp;Basic_Fundamental_Information_Constructure(F25)&amp;CHAR(10)&amp;Basic_Fundamental_Information_Concatenate("")</f>
        <v xml:space="preserve">
市值30.17828亿, 利润-5362.55万; PE; 平均PE-82.88; 平均PEG-20.36, PB5.96; ROIC0%; ROE-7.89%; 股利率0%; 毛利15.6533%; 净利-26.2033%; 上一年度营收增1.85%, 利润增-93.21%; 当季营收增107.12%, 利润增1094.78%; 过往5年营收增-4.07%, 利润增-102.06%
Income profile:
</v>
      </c>
      <c r="D25" t="s">
        <v>43</v>
      </c>
      <c r="E25" t="s">
        <v>8</v>
      </c>
      <c r="F25">
        <v>6.41</v>
      </c>
      <c r="G25">
        <v>0.47</v>
      </c>
      <c r="H25" t="s">
        <v>1403</v>
      </c>
      <c r="I25">
        <v>3017828000</v>
      </c>
      <c r="K25">
        <v>5.96</v>
      </c>
      <c r="L25" t="s">
        <v>29</v>
      </c>
      <c r="M25" t="s">
        <v>862</v>
      </c>
      <c r="N25" t="s">
        <v>652</v>
      </c>
      <c r="O25" t="s">
        <v>863</v>
      </c>
      <c r="P25">
        <v>107.12</v>
      </c>
      <c r="Q25" t="s">
        <v>183</v>
      </c>
      <c r="R25">
        <v>7061973</v>
      </c>
      <c r="S25" s="3">
        <v>10.95</v>
      </c>
      <c r="T25" t="s">
        <v>864</v>
      </c>
      <c r="U25">
        <v>470800000</v>
      </c>
      <c r="V25">
        <v>470800000</v>
      </c>
      <c r="W25">
        <v>1.39</v>
      </c>
      <c r="X25">
        <v>0.11</v>
      </c>
      <c r="Y25">
        <v>10.06</v>
      </c>
      <c r="Z25" t="s">
        <v>1404</v>
      </c>
      <c r="AA25" t="s">
        <v>1405</v>
      </c>
      <c r="AB25" t="s">
        <v>1406</v>
      </c>
      <c r="AC25" t="s">
        <v>1407</v>
      </c>
      <c r="AD25" t="s">
        <v>53</v>
      </c>
      <c r="AE25">
        <v>539014</v>
      </c>
      <c r="AF25" t="s">
        <v>865</v>
      </c>
      <c r="AG25" t="s">
        <v>1408</v>
      </c>
      <c r="AH25" t="s">
        <v>866</v>
      </c>
      <c r="AI25" t="s">
        <v>1409</v>
      </c>
      <c r="AJ25" t="s">
        <v>867</v>
      </c>
      <c r="AK25" t="s">
        <v>53</v>
      </c>
      <c r="AL25" t="s">
        <v>868</v>
      </c>
      <c r="AM25" t="s">
        <v>53</v>
      </c>
      <c r="AN25">
        <v>0</v>
      </c>
      <c r="AO25" t="s">
        <v>1410</v>
      </c>
      <c r="AP25" t="s">
        <v>53</v>
      </c>
      <c r="AQ25" t="s">
        <v>1411</v>
      </c>
      <c r="AR25" t="s">
        <v>53</v>
      </c>
      <c r="AS25" t="s">
        <v>1412</v>
      </c>
      <c r="AT25" t="s">
        <v>869</v>
      </c>
      <c r="AU25" t="s">
        <v>1413</v>
      </c>
      <c r="AV25">
        <v>-3798</v>
      </c>
      <c r="AW25" t="s">
        <v>1414</v>
      </c>
      <c r="AX25" t="s">
        <v>400</v>
      </c>
      <c r="AY25" t="s">
        <v>102</v>
      </c>
      <c r="AZ25" t="s">
        <v>595</v>
      </c>
      <c r="BA25" t="s">
        <v>596</v>
      </c>
      <c r="BB25" t="s">
        <v>194</v>
      </c>
      <c r="BC25" t="s">
        <v>870</v>
      </c>
      <c r="BD25" t="s">
        <v>465</v>
      </c>
      <c r="BE25" t="s">
        <v>597</v>
      </c>
      <c r="BF25" t="s">
        <v>598</v>
      </c>
      <c r="BG25" t="s">
        <v>196</v>
      </c>
      <c r="BH25" t="s">
        <v>183</v>
      </c>
      <c r="BI25" t="s">
        <v>871</v>
      </c>
      <c r="BJ25" t="s">
        <v>400</v>
      </c>
      <c r="BK25" t="s">
        <v>864</v>
      </c>
      <c r="BL25" t="s">
        <v>872</v>
      </c>
      <c r="BM25" t="s">
        <v>870</v>
      </c>
      <c r="BN25" t="s">
        <v>53</v>
      </c>
      <c r="BO25" t="s">
        <v>53</v>
      </c>
      <c r="BP25" t="s">
        <v>53</v>
      </c>
      <c r="BQ25">
        <v>-3.13</v>
      </c>
      <c r="BR25">
        <v>-4.9000000000000004</v>
      </c>
      <c r="BS25">
        <v>-15.64</v>
      </c>
      <c r="BT25" t="s">
        <v>407</v>
      </c>
      <c r="BU25" t="s">
        <v>369</v>
      </c>
      <c r="BV25">
        <v>16.66</v>
      </c>
      <c r="BW25">
        <v>14.67</v>
      </c>
      <c r="BX25">
        <v>15.63</v>
      </c>
      <c r="BY25">
        <v>-31.32</v>
      </c>
      <c r="BZ25">
        <v>-16.260000000000002</v>
      </c>
      <c r="CA25">
        <v>-31.03</v>
      </c>
      <c r="CB25">
        <v>-7.1</v>
      </c>
      <c r="CC25">
        <v>-41.73</v>
      </c>
      <c r="CD25" t="s">
        <v>91</v>
      </c>
      <c r="CE25" t="s">
        <v>1415</v>
      </c>
      <c r="CF25" s="7">
        <v>1.0711998983111972</v>
      </c>
      <c r="CG25" s="8">
        <v>10.947841949570362</v>
      </c>
      <c r="CH25" s="7">
        <v>1.8518518656492233E-2</v>
      </c>
      <c r="CI25" s="7">
        <v>-0.12550607323646545</v>
      </c>
      <c r="CJ25" s="7">
        <v>-0.16835017502307892</v>
      </c>
      <c r="CK25" s="7">
        <v>-0.43536120653152466</v>
      </c>
      <c r="CL25" s="7">
        <v>0.50716334581375122</v>
      </c>
      <c r="CM25" s="8">
        <v>-0.932137131690979</v>
      </c>
      <c r="CN25" s="8">
        <v>0.46817827224731445</v>
      </c>
      <c r="CO25" s="8">
        <v>0.72387510538101196</v>
      </c>
      <c r="CP25" s="8">
        <v>-5.1429562568664551</v>
      </c>
      <c r="CQ25" s="8">
        <v>-0.21992041170597076</v>
      </c>
      <c r="CR25">
        <v>-82.881822588552154</v>
      </c>
      <c r="CS25">
        <v>-20.360523301578024</v>
      </c>
      <c r="CT25">
        <v>0</v>
      </c>
      <c r="CU25" s="7">
        <v>-4.0707118064165118E-2</v>
      </c>
      <c r="CV25" s="8">
        <v>-1.0205920845270158</v>
      </c>
      <c r="CW25">
        <v>0.06</v>
      </c>
      <c r="CX25" t="e">
        <v>#VALUE!</v>
      </c>
      <c r="CY25" t="s">
        <v>354</v>
      </c>
      <c r="CZ25">
        <v>-4.0707118064165118E-2</v>
      </c>
      <c r="DA25" t="e">
        <v>#VALUE!</v>
      </c>
      <c r="DB25" t="s">
        <v>354</v>
      </c>
      <c r="DC25">
        <v>-3.8671762160956857E-2</v>
      </c>
      <c r="DD25" t="e">
        <v>#VALUE!</v>
      </c>
      <c r="DE25" t="s">
        <v>354</v>
      </c>
      <c r="DF25">
        <v>-3.5822263896465305E-2</v>
      </c>
      <c r="DG25" t="e">
        <v>#VALUE!</v>
      </c>
      <c r="DH25" t="s">
        <v>354</v>
      </c>
      <c r="DI25">
        <v>-3.2565694451332096E-2</v>
      </c>
      <c r="DJ25" t="e">
        <v>#VALUE!</v>
      </c>
      <c r="DK25" t="s">
        <v>354</v>
      </c>
      <c r="DL25">
        <v>-2.8494982644915581E-2</v>
      </c>
      <c r="DM25">
        <v>-53625500</v>
      </c>
      <c r="DN25">
        <v>-4.0707118064165118E-2</v>
      </c>
      <c r="DO25">
        <v>2739828000</v>
      </c>
      <c r="DP25">
        <v>177583690</v>
      </c>
      <c r="DQ25">
        <v>1664</v>
      </c>
      <c r="DR25">
        <v>1.1119070163753624</v>
      </c>
      <c r="DS25">
        <v>11.968434034097378</v>
      </c>
      <c r="DT25" s="9">
        <v>-0.59</v>
      </c>
      <c r="DU25">
        <v>-2.3566666666666669</v>
      </c>
      <c r="DV25">
        <v>-2.9466666666666668</v>
      </c>
      <c r="DW25">
        <v>-9.1701413850946558</v>
      </c>
      <c r="DX25">
        <v>0.27124810279945494</v>
      </c>
      <c r="DY25">
        <v>-9.0121222508956649</v>
      </c>
      <c r="DZ25">
        <v>4889</v>
      </c>
      <c r="EA25">
        <v>-9.0005242695592838</v>
      </c>
      <c r="EB25">
        <v>9</v>
      </c>
      <c r="EC25">
        <v>0.29949022939677145</v>
      </c>
      <c r="ED25">
        <v>4.2034834324553954</v>
      </c>
      <c r="EE25" s="10">
        <v>3.0032100000000002</v>
      </c>
      <c r="EF25">
        <v>3.0498099999999999</v>
      </c>
      <c r="EG25">
        <v>20.071248102799455</v>
      </c>
      <c r="EH25" t="s">
        <v>584</v>
      </c>
      <c r="EI25">
        <v>0</v>
      </c>
      <c r="EJ25">
        <v>0</v>
      </c>
      <c r="EK25" s="13">
        <v>45470</v>
      </c>
      <c r="EL25" s="14">
        <v>0.14000000000000001</v>
      </c>
      <c r="EM25" s="14">
        <v>0.99</v>
      </c>
      <c r="EN25" s="14">
        <v>6.44</v>
      </c>
      <c r="EO25" s="14">
        <v>-3.95</v>
      </c>
      <c r="EP25" s="14">
        <v>-4.66</v>
      </c>
    </row>
    <row r="26" spans="1:146" ht="84" x14ac:dyDescent="0.25">
      <c r="A26" s="11"/>
      <c r="B26" s="11"/>
      <c r="C26" s="11" t="str">
        <f>""&amp;CHAR(10)&amp;Basic_Fundamental_Information_Constructure(F26)&amp;CHAR(10)&amp;Basic_Fundamental_Information_Concatenate("")</f>
        <v xml:space="preserve">
市值11.77592亿, 利润-11.52亿; PE; 平均PE-2.1; 平均PEG-.09, PB; ROIC0%; ROE-37.02%; 股利率0%; 毛利4.89%; 净利-20.4767%; 上一年度营收增-18.51%, 利润增-3.78%; 当季营收增-29.44%, 利润增42.08%; 过往5年营收增22.65%, 利润增-261.58%
Income profile:
</v>
      </c>
      <c r="D26" t="s">
        <v>270</v>
      </c>
      <c r="E26" t="s">
        <v>1416</v>
      </c>
      <c r="F26">
        <v>6.76</v>
      </c>
      <c r="G26">
        <v>2.42</v>
      </c>
      <c r="H26" t="s">
        <v>1417</v>
      </c>
      <c r="I26">
        <v>1177592000</v>
      </c>
      <c r="L26" t="s">
        <v>29</v>
      </c>
      <c r="M26" t="s">
        <v>873</v>
      </c>
      <c r="N26" t="s">
        <v>1418</v>
      </c>
      <c r="O26" t="s">
        <v>874</v>
      </c>
      <c r="P26">
        <v>-29.46</v>
      </c>
      <c r="Q26" t="s">
        <v>875</v>
      </c>
      <c r="R26">
        <v>-88041963</v>
      </c>
      <c r="S26" s="3">
        <v>0.42</v>
      </c>
      <c r="T26" t="s">
        <v>876</v>
      </c>
      <c r="U26">
        <v>133620336</v>
      </c>
      <c r="V26">
        <v>174200000</v>
      </c>
      <c r="W26">
        <v>25.74</v>
      </c>
      <c r="X26">
        <v>0.11</v>
      </c>
      <c r="Y26">
        <v>-9.16</v>
      </c>
      <c r="Z26" t="s">
        <v>817</v>
      </c>
      <c r="AA26" t="s">
        <v>1419</v>
      </c>
      <c r="AB26" t="s">
        <v>1420</v>
      </c>
      <c r="AC26" t="s">
        <v>1421</v>
      </c>
      <c r="AD26" t="s">
        <v>53</v>
      </c>
      <c r="AE26">
        <v>71830155</v>
      </c>
      <c r="AF26" t="s">
        <v>877</v>
      </c>
      <c r="AG26" t="s">
        <v>1422</v>
      </c>
      <c r="AH26" t="s">
        <v>878</v>
      </c>
      <c r="AI26" t="s">
        <v>1423</v>
      </c>
      <c r="AJ26" t="s">
        <v>879</v>
      </c>
      <c r="AK26" t="s">
        <v>53</v>
      </c>
      <c r="AL26" t="s">
        <v>880</v>
      </c>
      <c r="AM26" t="s">
        <v>53</v>
      </c>
      <c r="AN26" t="s">
        <v>1424</v>
      </c>
      <c r="AO26" t="s">
        <v>1425</v>
      </c>
      <c r="AP26" t="s">
        <v>53</v>
      </c>
      <c r="AQ26" t="s">
        <v>1426</v>
      </c>
      <c r="AR26" t="s">
        <v>53</v>
      </c>
      <c r="AS26" t="s">
        <v>1427</v>
      </c>
      <c r="AT26" t="s">
        <v>1428</v>
      </c>
      <c r="AU26" t="s">
        <v>1429</v>
      </c>
      <c r="AV26" t="s">
        <v>1430</v>
      </c>
      <c r="AW26" t="s">
        <v>1431</v>
      </c>
      <c r="AX26" t="s">
        <v>466</v>
      </c>
      <c r="AY26" t="s">
        <v>273</v>
      </c>
      <c r="AZ26" t="s">
        <v>271</v>
      </c>
      <c r="BA26" t="s">
        <v>274</v>
      </c>
      <c r="BB26" t="s">
        <v>275</v>
      </c>
      <c r="BC26" t="s">
        <v>467</v>
      </c>
      <c r="BD26" t="s">
        <v>332</v>
      </c>
      <c r="BE26" t="s">
        <v>272</v>
      </c>
      <c r="BF26" t="s">
        <v>276</v>
      </c>
      <c r="BG26" t="s">
        <v>277</v>
      </c>
      <c r="BH26" t="s">
        <v>875</v>
      </c>
      <c r="BI26" t="s">
        <v>881</v>
      </c>
      <c r="BJ26" t="s">
        <v>466</v>
      </c>
      <c r="BK26" t="s">
        <v>876</v>
      </c>
      <c r="BL26" t="s">
        <v>882</v>
      </c>
      <c r="BM26" t="s">
        <v>467</v>
      </c>
      <c r="BN26" t="s">
        <v>53</v>
      </c>
      <c r="BO26" t="s">
        <v>53</v>
      </c>
      <c r="BP26" t="s">
        <v>53</v>
      </c>
      <c r="BQ26" t="s">
        <v>53</v>
      </c>
      <c r="BR26" t="s">
        <v>53</v>
      </c>
      <c r="BS26">
        <v>-37.020000000000003</v>
      </c>
      <c r="BT26" t="s">
        <v>407</v>
      </c>
      <c r="BU26" t="s">
        <v>365</v>
      </c>
      <c r="BV26">
        <v>-5.44</v>
      </c>
      <c r="BW26">
        <v>14.03</v>
      </c>
      <c r="BX26">
        <v>6.08</v>
      </c>
      <c r="BY26">
        <v>-30.34</v>
      </c>
      <c r="BZ26">
        <v>-23.92</v>
      </c>
      <c r="CA26">
        <v>-7.17</v>
      </c>
      <c r="CB26">
        <v>7.81</v>
      </c>
      <c r="CC26">
        <v>-16.440000000000001</v>
      </c>
      <c r="CD26" t="s">
        <v>1432</v>
      </c>
      <c r="CE26" t="s">
        <v>1433</v>
      </c>
      <c r="CF26" s="7">
        <v>-0.29444063143445443</v>
      </c>
      <c r="CG26" s="8">
        <v>0.42077655921052631</v>
      </c>
      <c r="CH26" s="7">
        <v>-0.18505789339542389</v>
      </c>
      <c r="CI26" s="7">
        <v>0.20252333581447601</v>
      </c>
      <c r="CJ26" s="7">
        <v>1.5911601483821869E-2</v>
      </c>
      <c r="CK26" s="7">
        <v>0.32001173496246338</v>
      </c>
      <c r="CL26" s="7">
        <v>0.7789309024810791</v>
      </c>
      <c r="CM26" s="8">
        <v>-3.7837836891412735E-2</v>
      </c>
      <c r="CN26" s="8">
        <v>-2.8408305644989014</v>
      </c>
      <c r="CO26" s="8">
        <v>0.59467041492462158</v>
      </c>
      <c r="CP26" s="8">
        <v>-4.6587300300598145</v>
      </c>
      <c r="CQ26" s="8">
        <v>-6.1360859870910645</v>
      </c>
      <c r="CR26">
        <v>-2.0994264779305412</v>
      </c>
      <c r="CS26">
        <v>-9.2704671327189125E-2</v>
      </c>
      <c r="CT26">
        <v>0</v>
      </c>
      <c r="CU26" s="7">
        <v>0.22646393626928329</v>
      </c>
      <c r="CV26" s="8">
        <v>-2.6157628007233145</v>
      </c>
      <c r="CW26">
        <v>0.06</v>
      </c>
      <c r="CX26" t="e">
        <v>#VALUE!</v>
      </c>
      <c r="CY26" t="s">
        <v>353</v>
      </c>
      <c r="CZ26">
        <v>0.22646393626928329</v>
      </c>
      <c r="DA26" t="e">
        <v>#VALUE!</v>
      </c>
      <c r="DB26" t="s">
        <v>354</v>
      </c>
      <c r="DC26">
        <v>0.21514073945581913</v>
      </c>
      <c r="DD26" t="e">
        <v>#VALUE!</v>
      </c>
      <c r="DE26" t="s">
        <v>354</v>
      </c>
      <c r="DF26">
        <v>0.1992882639169693</v>
      </c>
      <c r="DG26" t="e">
        <v>#VALUE!</v>
      </c>
      <c r="DH26" t="s">
        <v>354</v>
      </c>
      <c r="DI26">
        <v>0.18117114901542664</v>
      </c>
      <c r="DJ26" t="e">
        <v>#VALUE!</v>
      </c>
      <c r="DK26" t="s">
        <v>354</v>
      </c>
      <c r="DL26">
        <v>0.15852475538849831</v>
      </c>
      <c r="DM26">
        <v>-1152000000</v>
      </c>
      <c r="DN26">
        <v>0.22646393626928329</v>
      </c>
      <c r="DO26">
        <v>10133592000</v>
      </c>
      <c r="DP26">
        <v>-1898212000</v>
      </c>
      <c r="DQ26">
        <v>1753</v>
      </c>
      <c r="DR26">
        <v>-0.52090456770373772</v>
      </c>
      <c r="DS26">
        <v>3.0365393599338408</v>
      </c>
      <c r="DT26" s="9">
        <v>-0.14000000000000004</v>
      </c>
      <c r="DU26">
        <v>-2.7016666666666667</v>
      </c>
      <c r="DV26">
        <v>-2.8416666666666668</v>
      </c>
      <c r="DW26">
        <v>7.3220618556701034</v>
      </c>
      <c r="DX26">
        <v>0.27412118575130939</v>
      </c>
      <c r="DY26">
        <v>7.0496365550811433</v>
      </c>
      <c r="DZ26">
        <v>4852</v>
      </c>
      <c r="EA26">
        <v>7.0025061117829619</v>
      </c>
      <c r="EB26">
        <v>7</v>
      </c>
      <c r="EC26">
        <v>3.741446613088404E-2</v>
      </c>
      <c r="ED26">
        <v>0.24276004592422504</v>
      </c>
      <c r="EE26" s="10">
        <v>2.0103</v>
      </c>
      <c r="EF26">
        <v>2.0070999999999999</v>
      </c>
      <c r="EG26">
        <v>12.154121185751309</v>
      </c>
      <c r="EH26" t="s">
        <v>417</v>
      </c>
      <c r="EI26">
        <v>1</v>
      </c>
      <c r="EJ26">
        <v>0</v>
      </c>
      <c r="EK26" s="13">
        <v>45470</v>
      </c>
      <c r="EL26" s="14">
        <v>0.16</v>
      </c>
      <c r="EM26" s="14">
        <v>13.11</v>
      </c>
      <c r="EN26" s="14">
        <v>-7.1</v>
      </c>
      <c r="EO26" s="14">
        <v>-1.72</v>
      </c>
      <c r="EP26" s="14">
        <v>-0.32</v>
      </c>
    </row>
    <row r="27" spans="1:146" ht="144" x14ac:dyDescent="0.25">
      <c r="A27" s="11" t="s">
        <v>406</v>
      </c>
      <c r="B27" s="11"/>
      <c r="C27" s="11" t="str">
        <f>"公司主营业务定位于宠物食品的研发、生产、销售和自有品牌运营。公司主要产品有畜皮咬胶和植物咬胶等宠物咀嚼食品、宠物营养肉质零食、宠物营养保健品、鸟食及可食用小动物玩具、宠物饼干等。"&amp;CHAR(10)&amp;Basic_Fundamental_Information_Constructure(F27)&amp;CHAR(10)&amp;Basic_Fundamental_Information_Concatenate("植物咬胶 3.34亿 39.42% 52.55% 33.21%
畜皮咬胶 2.69亿 31.80% 25.90% 20.29%
营养肉质零食 1.69亿 19.96% 21.56% 26.91%")</f>
        <v>公司主营业务定位于宠物食品的研发、生产、销售和自有品牌运营。公司主要产品有畜皮咬胶和植物咬胶等宠物咀嚼食品、宠物营养肉质零食、宠物营养保健品、鸟食及可食用小动物玩具、宠物饼干等。
市值32.272929亿, 利润-1109.11万; PE46.98; 平均PE40.26; 平均PEG3.27, PB1.9; ROIC4.21%; ROE2.9633%; 股利率0%; 毛利21.52%; 净利3.74%; 上一年度营收增-18.53%, 利润增-108.73%; 当季营收增141.51%, 利润增209.56%; 过往5年营收增12.3%, 利润增4.15%
Income profile:
植物咬胶 3.34亿 39.42% 52.55% 33.21%
畜皮咬胶 2.69亿 31.80% 25.90% 20.29%
营养肉质零食 1.69亿 19.96% 21.56% 26.91%</v>
      </c>
      <c r="D27" t="s">
        <v>39</v>
      </c>
      <c r="E27" t="s">
        <v>11</v>
      </c>
      <c r="F27">
        <v>12.97</v>
      </c>
      <c r="G27">
        <v>1.81</v>
      </c>
      <c r="H27" t="s">
        <v>1434</v>
      </c>
      <c r="I27">
        <v>3227292900</v>
      </c>
      <c r="J27">
        <v>46.98</v>
      </c>
      <c r="K27">
        <v>1.9</v>
      </c>
      <c r="L27" t="s">
        <v>29</v>
      </c>
      <c r="M27" t="s">
        <v>628</v>
      </c>
      <c r="N27" t="s">
        <v>1435</v>
      </c>
      <c r="O27" t="s">
        <v>621</v>
      </c>
      <c r="P27">
        <v>142.37</v>
      </c>
      <c r="Q27" t="s">
        <v>883</v>
      </c>
      <c r="R27">
        <v>41712069</v>
      </c>
      <c r="S27" s="3">
        <v>2.0960000000000001</v>
      </c>
      <c r="T27" t="s">
        <v>884</v>
      </c>
      <c r="U27">
        <v>161440290</v>
      </c>
      <c r="V27">
        <v>248827520</v>
      </c>
      <c r="W27">
        <v>1.56</v>
      </c>
      <c r="X27">
        <v>0.13</v>
      </c>
      <c r="Y27">
        <v>10.89</v>
      </c>
      <c r="Z27" t="s">
        <v>1436</v>
      </c>
      <c r="AA27" t="s">
        <v>1437</v>
      </c>
      <c r="AB27" t="s">
        <v>1438</v>
      </c>
      <c r="AC27" t="s">
        <v>1439</v>
      </c>
      <c r="AD27" t="s">
        <v>53</v>
      </c>
      <c r="AE27">
        <v>-2347617</v>
      </c>
      <c r="AF27" t="s">
        <v>885</v>
      </c>
      <c r="AG27" t="s">
        <v>1440</v>
      </c>
      <c r="AH27" t="s">
        <v>886</v>
      </c>
      <c r="AI27" t="s">
        <v>1441</v>
      </c>
      <c r="AJ27" t="s">
        <v>887</v>
      </c>
      <c r="AK27" t="s">
        <v>53</v>
      </c>
      <c r="AL27" t="s">
        <v>888</v>
      </c>
      <c r="AM27" t="s">
        <v>53</v>
      </c>
      <c r="AN27" t="s">
        <v>1442</v>
      </c>
      <c r="AO27" t="s">
        <v>1443</v>
      </c>
      <c r="AP27" t="s">
        <v>53</v>
      </c>
      <c r="AQ27" t="s">
        <v>97</v>
      </c>
      <c r="AR27" t="s">
        <v>1444</v>
      </c>
      <c r="AS27" t="s">
        <v>1445</v>
      </c>
      <c r="AT27" t="s">
        <v>1446</v>
      </c>
      <c r="AU27" t="s">
        <v>1447</v>
      </c>
      <c r="AV27" t="s">
        <v>1448</v>
      </c>
      <c r="AW27" t="s">
        <v>1449</v>
      </c>
      <c r="AX27" t="s">
        <v>468</v>
      </c>
      <c r="AY27" t="s">
        <v>333</v>
      </c>
      <c r="AZ27" t="s">
        <v>197</v>
      </c>
      <c r="BA27" t="s">
        <v>103</v>
      </c>
      <c r="BB27" t="s">
        <v>198</v>
      </c>
      <c r="BC27" t="s">
        <v>78</v>
      </c>
      <c r="BD27" t="s">
        <v>334</v>
      </c>
      <c r="BE27" t="s">
        <v>105</v>
      </c>
      <c r="BF27" t="s">
        <v>104</v>
      </c>
      <c r="BG27" t="s">
        <v>199</v>
      </c>
      <c r="BH27" t="s">
        <v>883</v>
      </c>
      <c r="BI27" t="s">
        <v>890</v>
      </c>
      <c r="BJ27" t="s">
        <v>468</v>
      </c>
      <c r="BK27" t="s">
        <v>884</v>
      </c>
      <c r="BL27" t="s">
        <v>891</v>
      </c>
      <c r="BM27" t="s">
        <v>78</v>
      </c>
      <c r="BN27" t="s">
        <v>53</v>
      </c>
      <c r="BO27">
        <v>5.44</v>
      </c>
      <c r="BP27">
        <v>2.98</v>
      </c>
      <c r="BQ27">
        <v>-1.56</v>
      </c>
      <c r="BR27">
        <v>6.92</v>
      </c>
      <c r="BS27">
        <v>3.53</v>
      </c>
      <c r="BT27" t="s">
        <v>407</v>
      </c>
      <c r="BU27" t="s">
        <v>1369</v>
      </c>
      <c r="BV27">
        <v>19.329999999999998</v>
      </c>
      <c r="BW27">
        <v>22.3</v>
      </c>
      <c r="BX27">
        <v>22.93</v>
      </c>
      <c r="BY27">
        <v>-1.1299999999999999</v>
      </c>
      <c r="BZ27">
        <v>7.47</v>
      </c>
      <c r="CA27">
        <v>4.88</v>
      </c>
      <c r="CB27">
        <v>-1.1399999999999999</v>
      </c>
      <c r="CC27">
        <v>-8.92</v>
      </c>
      <c r="CD27" t="s">
        <v>1450</v>
      </c>
      <c r="CE27" t="s">
        <v>1451</v>
      </c>
      <c r="CF27" s="7">
        <v>1.4150943396226414</v>
      </c>
      <c r="CG27" s="8">
        <v>2.0955698466646004</v>
      </c>
      <c r="CH27" s="7">
        <v>-0.18533483147621155</v>
      </c>
      <c r="CI27" s="7">
        <v>0.36270645260810852</v>
      </c>
      <c r="CJ27" s="7">
        <v>-5.1492489874362946E-2</v>
      </c>
      <c r="CK27" s="7">
        <v>0.329365074634552</v>
      </c>
      <c r="CL27" s="7">
        <v>0.15995396673679352</v>
      </c>
      <c r="CM27" s="8">
        <v>-1.0873315334320068</v>
      </c>
      <c r="CN27" s="8">
        <v>1.1160248517990112</v>
      </c>
      <c r="CO27" s="8">
        <v>-0.47810259461402893</v>
      </c>
      <c r="CP27" s="8">
        <v>1.2996734380722046</v>
      </c>
      <c r="CQ27" s="8">
        <v>-0.64280641078948975</v>
      </c>
      <c r="CR27">
        <v>40.262799775936081</v>
      </c>
      <c r="CS27">
        <v>3.2723439021188994</v>
      </c>
      <c r="CT27">
        <v>0</v>
      </c>
      <c r="CU27" s="7">
        <v>0.1230396345257759</v>
      </c>
      <c r="CV27" s="8">
        <v>4.1491550207138059E-2</v>
      </c>
      <c r="CW27">
        <v>0.06</v>
      </c>
      <c r="CX27" t="e">
        <v>#VALUE!</v>
      </c>
      <c r="CY27" t="s">
        <v>354</v>
      </c>
      <c r="CZ27">
        <v>0.1230396345257759</v>
      </c>
      <c r="DA27" t="e">
        <v>#VALUE!</v>
      </c>
      <c r="DB27" t="s">
        <v>354</v>
      </c>
      <c r="DC27">
        <v>0.11688765279948711</v>
      </c>
      <c r="DD27" t="e">
        <v>#VALUE!</v>
      </c>
      <c r="DE27" t="s">
        <v>354</v>
      </c>
      <c r="DF27">
        <v>0.10827487838268279</v>
      </c>
      <c r="DG27" t="e">
        <v>#VALUE!</v>
      </c>
      <c r="DH27" t="s">
        <v>354</v>
      </c>
      <c r="DI27">
        <v>9.8431707620620729E-2</v>
      </c>
      <c r="DJ27" t="e">
        <v>#VALUE!</v>
      </c>
      <c r="DK27" t="s">
        <v>354</v>
      </c>
      <c r="DL27">
        <v>8.6127744168043127E-2</v>
      </c>
      <c r="DM27">
        <v>-11091099.999999998</v>
      </c>
      <c r="DN27">
        <v>0.1230396345257759</v>
      </c>
      <c r="DO27">
        <v>2412292900</v>
      </c>
      <c r="DP27">
        <v>1300709100</v>
      </c>
      <c r="DQ27">
        <v>2139</v>
      </c>
      <c r="DR27">
        <v>1.2920547050968656</v>
      </c>
      <c r="DS27">
        <v>2.0540782964574622</v>
      </c>
      <c r="DT27" s="9">
        <v>-0.24000000000000007</v>
      </c>
      <c r="DU27">
        <v>-0.54999999999999993</v>
      </c>
      <c r="DV27">
        <v>-0.79</v>
      </c>
      <c r="DW27">
        <v>-2.0891999999999999</v>
      </c>
      <c r="DX27">
        <v>0.3634118344213253</v>
      </c>
      <c r="DY27">
        <v>-2.0127923356303823</v>
      </c>
      <c r="DZ27">
        <v>3326</v>
      </c>
      <c r="EA27">
        <v>-2.0044660522044233</v>
      </c>
      <c r="EB27">
        <v>2</v>
      </c>
      <c r="EC27">
        <v>4.824144853431004E-2</v>
      </c>
      <c r="ED27">
        <v>0.33638401411548047</v>
      </c>
      <c r="EE27" s="10">
        <v>1.0528</v>
      </c>
      <c r="EF27">
        <v>1.0209999999999999</v>
      </c>
      <c r="EG27">
        <v>22.143411834421325</v>
      </c>
      <c r="EH27" t="s">
        <v>1452</v>
      </c>
      <c r="EI27">
        <v>0</v>
      </c>
      <c r="EJ27">
        <v>0</v>
      </c>
      <c r="EK27" s="13">
        <v>45470</v>
      </c>
      <c r="EL27" s="14">
        <v>3.39</v>
      </c>
      <c r="EM27" s="14">
        <v>-3.5</v>
      </c>
      <c r="EN27" s="14">
        <v>-0.3</v>
      </c>
      <c r="EO27" s="14">
        <v>2.5</v>
      </c>
      <c r="EP27" s="14">
        <v>-3.18</v>
      </c>
    </row>
    <row r="28" spans="1:146" ht="84" x14ac:dyDescent="0.25">
      <c r="A28" s="11"/>
      <c r="B28" s="11"/>
      <c r="C28" s="11" t="str">
        <f>""&amp;CHAR(10)&amp;Basic_Fundamental_Information_Constructure(F28)&amp;CHAR(10)&amp;Basic_Fundamental_Information_Concatenate("")</f>
        <v xml:space="preserve">
市值1500.6965亿, 利润1.03亿; PE52.18; 平均PE37.86; 平均PEG3.54, PB1.62; ROIC1.7933%; ROE3.55%; 股利率.401%; 毛利6.23%; 净利1.4333%; 上一年度营收增-99.77%, 利润增-96.58%; 当季营收增43289.39%, 利润增4249.33%; 过往5年营收增-10.71%, 利润增-27.69%
Income profile:
</v>
      </c>
      <c r="D28" t="s">
        <v>200</v>
      </c>
      <c r="E28" t="s">
        <v>201</v>
      </c>
      <c r="F28">
        <v>27.68</v>
      </c>
      <c r="G28">
        <v>0.36</v>
      </c>
      <c r="H28" t="s">
        <v>1453</v>
      </c>
      <c r="I28">
        <v>150069650000</v>
      </c>
      <c r="J28">
        <v>52.18</v>
      </c>
      <c r="K28">
        <v>1.62</v>
      </c>
      <c r="L28" t="s">
        <v>29</v>
      </c>
      <c r="M28" t="s">
        <v>893</v>
      </c>
      <c r="N28" t="s">
        <v>1454</v>
      </c>
      <c r="O28" t="s">
        <v>894</v>
      </c>
      <c r="P28">
        <v>-6.17</v>
      </c>
      <c r="Q28" t="s">
        <v>1320</v>
      </c>
      <c r="R28">
        <v>882288000</v>
      </c>
      <c r="S28" s="3">
        <v>3.3000000000000002E-2</v>
      </c>
      <c r="T28" t="s">
        <v>1455</v>
      </c>
      <c r="U28">
        <v>542647100</v>
      </c>
      <c r="V28">
        <v>5421591500</v>
      </c>
      <c r="W28">
        <v>2.34</v>
      </c>
      <c r="X28">
        <v>0.25</v>
      </c>
      <c r="Y28">
        <v>1.41</v>
      </c>
      <c r="Z28" t="s">
        <v>1456</v>
      </c>
      <c r="AA28" t="s">
        <v>1457</v>
      </c>
      <c r="AB28" t="s">
        <v>1458</v>
      </c>
      <c r="AC28" t="s">
        <v>1117</v>
      </c>
      <c r="AD28" t="s">
        <v>53</v>
      </c>
      <c r="AE28">
        <v>-187000</v>
      </c>
      <c r="AF28" t="s">
        <v>897</v>
      </c>
      <c r="AG28" t="s">
        <v>1459</v>
      </c>
      <c r="AH28" t="s">
        <v>898</v>
      </c>
      <c r="AI28" t="s">
        <v>1460</v>
      </c>
      <c r="AJ28" t="s">
        <v>899</v>
      </c>
      <c r="AK28" t="s">
        <v>1461</v>
      </c>
      <c r="AL28" t="s">
        <v>900</v>
      </c>
      <c r="AM28" t="s">
        <v>53</v>
      </c>
      <c r="AN28" t="s">
        <v>1462</v>
      </c>
      <c r="AO28" t="s">
        <v>1463</v>
      </c>
      <c r="AP28" t="s">
        <v>1464</v>
      </c>
      <c r="AQ28" t="s">
        <v>1465</v>
      </c>
      <c r="AR28" t="s">
        <v>53</v>
      </c>
      <c r="AS28" t="s">
        <v>1466</v>
      </c>
      <c r="AT28" t="s">
        <v>1467</v>
      </c>
      <c r="AU28" t="s">
        <v>1468</v>
      </c>
      <c r="AV28" t="s">
        <v>1469</v>
      </c>
      <c r="AW28" t="s">
        <v>1470</v>
      </c>
      <c r="AX28" t="s">
        <v>469</v>
      </c>
      <c r="AY28" t="s">
        <v>335</v>
      </c>
      <c r="AZ28" t="s">
        <v>202</v>
      </c>
      <c r="BA28" t="s">
        <v>204</v>
      </c>
      <c r="BB28" t="s">
        <v>205</v>
      </c>
      <c r="BC28" t="s">
        <v>209</v>
      </c>
      <c r="BD28" t="s">
        <v>336</v>
      </c>
      <c r="BE28" t="s">
        <v>203</v>
      </c>
      <c r="BF28" t="s">
        <v>206</v>
      </c>
      <c r="BG28" t="s">
        <v>207</v>
      </c>
      <c r="BH28" t="s">
        <v>895</v>
      </c>
      <c r="BI28" t="s">
        <v>112</v>
      </c>
      <c r="BJ28" t="s">
        <v>469</v>
      </c>
      <c r="BK28" t="s">
        <v>896</v>
      </c>
      <c r="BL28" t="s">
        <v>1471</v>
      </c>
      <c r="BM28" t="s">
        <v>209</v>
      </c>
      <c r="BN28">
        <v>1.01</v>
      </c>
      <c r="BO28">
        <v>1.7</v>
      </c>
      <c r="BP28">
        <v>2.67</v>
      </c>
      <c r="BQ28">
        <v>2.37</v>
      </c>
      <c r="BR28">
        <v>3.43</v>
      </c>
      <c r="BS28">
        <v>4.8499999999999996</v>
      </c>
      <c r="BT28" t="s">
        <v>901</v>
      </c>
      <c r="BU28" t="s">
        <v>363</v>
      </c>
      <c r="BV28">
        <v>4.83</v>
      </c>
      <c r="BW28">
        <v>5.68</v>
      </c>
      <c r="BX28">
        <v>8.18</v>
      </c>
      <c r="BY28">
        <v>1.1100000000000001</v>
      </c>
      <c r="BZ28">
        <v>1.21</v>
      </c>
      <c r="CA28">
        <v>1.98</v>
      </c>
      <c r="CB28">
        <v>1.21</v>
      </c>
      <c r="CC28">
        <v>-11.88</v>
      </c>
      <c r="CD28" t="s">
        <v>1472</v>
      </c>
      <c r="CE28" t="s">
        <v>1473</v>
      </c>
      <c r="CF28" s="7">
        <v>432.89393939393938</v>
      </c>
      <c r="CG28" s="8">
        <v>42.493315455298337</v>
      </c>
      <c r="CH28" s="7">
        <v>-0.99770468473434448</v>
      </c>
      <c r="CI28" s="7">
        <v>0.13818101584911346</v>
      </c>
      <c r="CJ28" s="7">
        <v>0.16059239208698273</v>
      </c>
      <c r="CK28" s="7">
        <v>0.14161048829555511</v>
      </c>
      <c r="CL28" s="7">
        <v>2.196032926440239E-2</v>
      </c>
      <c r="CM28" s="8">
        <v>-0.96579205989837646</v>
      </c>
      <c r="CN28" s="8">
        <v>-0.27129718661308289</v>
      </c>
      <c r="CO28" s="8">
        <v>-0.31144809722900391</v>
      </c>
      <c r="CP28" s="8">
        <v>0.10965235531330109</v>
      </c>
      <c r="CQ28" s="8">
        <v>5.4602183401584625E-2</v>
      </c>
      <c r="CR28">
        <v>37.859727536475631</v>
      </c>
      <c r="CS28">
        <v>3.5359099540468804</v>
      </c>
      <c r="CT28">
        <v>0.40101156069364163</v>
      </c>
      <c r="CU28" s="7">
        <v>-0.10707209184765816</v>
      </c>
      <c r="CV28" s="8">
        <v>-0.27685656100511552</v>
      </c>
      <c r="CW28">
        <v>0.06</v>
      </c>
      <c r="CX28">
        <v>1901.55</v>
      </c>
      <c r="CY28" t="s">
        <v>1474</v>
      </c>
      <c r="CZ28">
        <v>-0.10707209184765816</v>
      </c>
      <c r="DA28">
        <v>633.85</v>
      </c>
      <c r="DB28" t="s">
        <v>1475</v>
      </c>
      <c r="DC28">
        <v>-0.10171848725527524</v>
      </c>
      <c r="DD28">
        <v>316.92500000000001</v>
      </c>
      <c r="DE28" t="s">
        <v>1476</v>
      </c>
      <c r="DF28">
        <v>-9.4223440825939184E-2</v>
      </c>
      <c r="DG28">
        <v>190.155</v>
      </c>
      <c r="DH28" t="s">
        <v>1477</v>
      </c>
      <c r="DI28">
        <v>-8.5657673478126528E-2</v>
      </c>
      <c r="DJ28">
        <v>95.077500000000001</v>
      </c>
      <c r="DK28" t="s">
        <v>1478</v>
      </c>
      <c r="DL28">
        <v>-7.4950464293360705E-2</v>
      </c>
      <c r="DM28">
        <v>103000000</v>
      </c>
      <c r="DN28">
        <v>-0.10707209184765816</v>
      </c>
      <c r="DO28">
        <v>195859650000</v>
      </c>
      <c r="DP28">
        <v>20102700000</v>
      </c>
      <c r="DQ28">
        <v>2449</v>
      </c>
      <c r="DR28">
        <v>433.00101148578705</v>
      </c>
      <c r="DS28">
        <v>42.770172016303455</v>
      </c>
      <c r="DT28" s="9">
        <v>-0.64</v>
      </c>
      <c r="DU28">
        <v>-0.83666666666666678</v>
      </c>
      <c r="DV28">
        <v>-1.4766666666666668</v>
      </c>
      <c r="DW28">
        <v>-2.1187999999999998</v>
      </c>
      <c r="DX28">
        <v>0.33332183098591461</v>
      </c>
      <c r="DY28">
        <v>-2.0194026335211266</v>
      </c>
      <c r="DZ28">
        <v>4533</v>
      </c>
      <c r="EA28">
        <v>-2.0021908648809568</v>
      </c>
      <c r="EB28">
        <v>2</v>
      </c>
      <c r="EC28">
        <v>4.2776553711211919E-3</v>
      </c>
      <c r="ED28">
        <v>2.6191571238814285E-2</v>
      </c>
      <c r="EE28" s="10">
        <v>-3.0259100000000001</v>
      </c>
      <c r="EF28">
        <v>-3.02901</v>
      </c>
      <c r="EG28">
        <v>17.163321830985915</v>
      </c>
      <c r="EH28" t="s">
        <v>1304</v>
      </c>
      <c r="EI28">
        <v>0</v>
      </c>
      <c r="EJ28">
        <v>0</v>
      </c>
      <c r="EK28" s="13">
        <v>45470</v>
      </c>
      <c r="EL28" s="14">
        <v>0.09</v>
      </c>
      <c r="EM28" s="14">
        <v>0.18</v>
      </c>
      <c r="EN28" s="14">
        <v>0.09</v>
      </c>
      <c r="EO28" s="14">
        <v>-1.72</v>
      </c>
      <c r="EP28" s="14">
        <v>-0.31</v>
      </c>
    </row>
    <row r="29" spans="1:146" ht="84" x14ac:dyDescent="0.25">
      <c r="C29" s="11" t="str">
        <f>""&amp;CHAR(10)&amp;Basic_Fundamental_Information_Constructure(F29)&amp;CHAR(10)&amp;Basic_Fundamental_Information_Concatenate("")</f>
        <v xml:space="preserve">
市值211.2235亿, 利润6420.13万; PE42.92; 平均PE200.88; 平均PEG24.74, PB5.55; ROIC11.2767%; ROE15.84%; 股利率.322%; 毛利32.7367%; 净利7.76%; 上一年度营收增-77.66%, 利润增-75.95%; 当季营收增552.98%, 利润增1415.63%; 过往5年营收增8.12%, 利润增503.67%
Income profile:
</v>
      </c>
      <c r="D29" t="s">
        <v>601</v>
      </c>
      <c r="E29" t="s">
        <v>602</v>
      </c>
      <c r="F29">
        <v>52.8</v>
      </c>
      <c r="G29">
        <v>2.13</v>
      </c>
      <c r="H29" t="s">
        <v>1479</v>
      </c>
      <c r="I29">
        <v>21122350000</v>
      </c>
      <c r="J29">
        <v>42.92</v>
      </c>
      <c r="K29">
        <v>5.55</v>
      </c>
      <c r="L29" t="s">
        <v>29</v>
      </c>
      <c r="M29" t="s">
        <v>902</v>
      </c>
      <c r="N29" t="s">
        <v>1480</v>
      </c>
      <c r="O29" t="s">
        <v>903</v>
      </c>
      <c r="P29" s="3">
        <v>21.33</v>
      </c>
      <c r="Q29" t="s">
        <v>1481</v>
      </c>
      <c r="R29">
        <v>148289330</v>
      </c>
      <c r="S29">
        <v>0.74490000000000001</v>
      </c>
      <c r="T29" t="s">
        <v>1482</v>
      </c>
      <c r="U29">
        <v>40004500</v>
      </c>
      <c r="V29">
        <v>400044500</v>
      </c>
      <c r="W29">
        <v>1.1299999999999999</v>
      </c>
      <c r="X29">
        <v>0.26</v>
      </c>
      <c r="Y29">
        <v>13.56</v>
      </c>
      <c r="Z29" t="s">
        <v>1483</v>
      </c>
      <c r="AA29" t="s">
        <v>1484</v>
      </c>
      <c r="AB29" t="s">
        <v>1485</v>
      </c>
      <c r="AC29" t="s">
        <v>1486</v>
      </c>
      <c r="AD29" t="s">
        <v>53</v>
      </c>
      <c r="AE29">
        <v>-5992153</v>
      </c>
      <c r="AF29" t="s">
        <v>906</v>
      </c>
      <c r="AG29" t="s">
        <v>1487</v>
      </c>
      <c r="AH29" t="s">
        <v>907</v>
      </c>
      <c r="AI29" t="s">
        <v>1488</v>
      </c>
      <c r="AJ29" t="s">
        <v>908</v>
      </c>
      <c r="AK29" t="s">
        <v>53</v>
      </c>
      <c r="AL29" t="s">
        <v>909</v>
      </c>
      <c r="AM29" t="s">
        <v>53</v>
      </c>
      <c r="AN29" t="s">
        <v>1489</v>
      </c>
      <c r="AO29" t="s">
        <v>53</v>
      </c>
      <c r="AP29" t="s">
        <v>53</v>
      </c>
      <c r="AQ29" t="s">
        <v>315</v>
      </c>
      <c r="AR29" t="s">
        <v>53</v>
      </c>
      <c r="AS29" t="s">
        <v>1490</v>
      </c>
      <c r="AT29" t="s">
        <v>53</v>
      </c>
      <c r="AU29" t="s">
        <v>1491</v>
      </c>
      <c r="AV29" t="s">
        <v>1492</v>
      </c>
      <c r="AW29" t="s">
        <v>1493</v>
      </c>
      <c r="AX29" t="s">
        <v>603</v>
      </c>
      <c r="AY29" t="s">
        <v>604</v>
      </c>
      <c r="AZ29" t="s">
        <v>605</v>
      </c>
      <c r="BA29" t="s">
        <v>606</v>
      </c>
      <c r="BB29" t="s">
        <v>607</v>
      </c>
      <c r="BC29" t="s">
        <v>377</v>
      </c>
      <c r="BD29" t="s">
        <v>199</v>
      </c>
      <c r="BE29" t="s">
        <v>107</v>
      </c>
      <c r="BF29" t="s">
        <v>608</v>
      </c>
      <c r="BG29" t="s">
        <v>609</v>
      </c>
      <c r="BH29" t="s">
        <v>904</v>
      </c>
      <c r="BI29" t="s">
        <v>136</v>
      </c>
      <c r="BJ29" t="s">
        <v>603</v>
      </c>
      <c r="BK29" t="s">
        <v>278</v>
      </c>
      <c r="BL29" t="s">
        <v>1494</v>
      </c>
      <c r="BM29" t="s">
        <v>377</v>
      </c>
      <c r="BN29">
        <v>11.02</v>
      </c>
      <c r="BO29">
        <v>14.06</v>
      </c>
      <c r="BP29">
        <v>8.75</v>
      </c>
      <c r="BQ29">
        <v>15.14</v>
      </c>
      <c r="BR29">
        <v>16.54</v>
      </c>
      <c r="BS29" t="s">
        <v>53</v>
      </c>
      <c r="BT29" t="s">
        <v>910</v>
      </c>
      <c r="BU29" t="s">
        <v>1369</v>
      </c>
      <c r="BV29">
        <v>36.840000000000003</v>
      </c>
      <c r="BW29">
        <v>32.590000000000003</v>
      </c>
      <c r="BX29">
        <v>28.78</v>
      </c>
      <c r="BY29">
        <v>9.9499999999999993</v>
      </c>
      <c r="BZ29">
        <v>7.82</v>
      </c>
      <c r="CA29">
        <v>5.51</v>
      </c>
      <c r="CB29">
        <v>-1.86</v>
      </c>
      <c r="CC29" s="7">
        <v>-2.57</v>
      </c>
      <c r="CD29" s="8" t="s">
        <v>1495</v>
      </c>
      <c r="CE29" s="7" t="s">
        <v>1496</v>
      </c>
      <c r="CF29" s="7">
        <v>5.5297619047619051</v>
      </c>
      <c r="CG29" s="7">
        <v>14.15630928045789</v>
      </c>
      <c r="CH29" s="7">
        <v>-0.77663326263427734</v>
      </c>
      <c r="CI29" s="7">
        <v>0.31961157917976379</v>
      </c>
      <c r="CJ29" s="8">
        <v>0.27918535470962524</v>
      </c>
      <c r="CK29" s="8">
        <v>0.43478250503540039</v>
      </c>
      <c r="CL29" s="8">
        <v>0.1490582674741745</v>
      </c>
      <c r="CM29" s="8">
        <v>-0.75954568386077881</v>
      </c>
      <c r="CN29" s="8">
        <v>0.90714287757873535</v>
      </c>
      <c r="CO29">
        <v>0.26126125454902649</v>
      </c>
      <c r="CP29">
        <v>25.68140983581543</v>
      </c>
      <c r="CQ29">
        <v>-0.9065585732460022</v>
      </c>
      <c r="CR29" s="7">
        <v>200.88352286911925</v>
      </c>
      <c r="CS29" s="8">
        <v>24.739079332041499</v>
      </c>
      <c r="CT29">
        <v>0.32196969696969696</v>
      </c>
      <c r="CU29">
        <v>8.1200888752937322E-2</v>
      </c>
      <c r="CV29">
        <v>5.0367419421672821</v>
      </c>
      <c r="CW29">
        <v>0.06</v>
      </c>
      <c r="CX29">
        <v>271.62322408997045</v>
      </c>
      <c r="CY29">
        <v>65485379.829333924</v>
      </c>
      <c r="CZ29">
        <v>8.1200888752937322E-2</v>
      </c>
      <c r="DA29">
        <v>89.428442167715559</v>
      </c>
      <c r="DB29">
        <v>198900367.36457193</v>
      </c>
      <c r="DC29">
        <v>7.7140844315290447E-2</v>
      </c>
      <c r="DD29">
        <v>44.463353066023103</v>
      </c>
      <c r="DE29">
        <v>400045178.18500501</v>
      </c>
      <c r="DF29">
        <v>7.145678210258484E-2</v>
      </c>
      <c r="DG29">
        <v>27.000755287398057</v>
      </c>
      <c r="DH29">
        <v>658772312.5027473</v>
      </c>
      <c r="DI29">
        <v>6.4960711002349861E-2</v>
      </c>
      <c r="DJ29">
        <v>14.291735095007246</v>
      </c>
      <c r="DK29">
        <v>1244589959.2845051</v>
      </c>
      <c r="DL29">
        <v>5.6840622127056123E-2</v>
      </c>
      <c r="DM29">
        <v>64201300</v>
      </c>
      <c r="DN29">
        <v>8.1200888752937322E-2</v>
      </c>
      <c r="DO29">
        <v>17787350000</v>
      </c>
      <c r="DP29">
        <v>1725105600</v>
      </c>
      <c r="DQ29" s="9">
        <v>2803</v>
      </c>
      <c r="DR29">
        <v>5.4485610160089681</v>
      </c>
      <c r="DS29">
        <v>9.1195673382906079</v>
      </c>
      <c r="DT29">
        <v>-0.37333333333333335</v>
      </c>
      <c r="DU29">
        <v>0.96</v>
      </c>
      <c r="DV29">
        <v>0.58666666666666667</v>
      </c>
      <c r="DW29">
        <v>-1.0257000000000001</v>
      </c>
      <c r="DX29">
        <v>0.339276106151637</v>
      </c>
      <c r="DY29">
        <v>-1.0040933959280971</v>
      </c>
      <c r="DZ29">
        <v>2230</v>
      </c>
      <c r="EA29">
        <v>-1.0023070411492994</v>
      </c>
      <c r="EB29" s="10">
        <v>1</v>
      </c>
      <c r="EC29" s="10">
        <v>1.6368179040081792E-2</v>
      </c>
      <c r="ED29">
        <v>0.10276606727501565</v>
      </c>
      <c r="EE29">
        <v>3.0399099999999999</v>
      </c>
      <c r="EF29">
        <v>3.0556100000000002</v>
      </c>
      <c r="EG29">
        <v>18.159276106151637</v>
      </c>
      <c r="EH29" s="13" t="s">
        <v>584</v>
      </c>
      <c r="EI29">
        <v>0</v>
      </c>
      <c r="EJ29">
        <v>0</v>
      </c>
      <c r="EK29">
        <v>45470</v>
      </c>
      <c r="EL29">
        <v>1.78</v>
      </c>
      <c r="EM29">
        <v>-6.57</v>
      </c>
      <c r="EN29" s="14">
        <v>-4.5599999999999996</v>
      </c>
      <c r="EO29" s="14">
        <v>2.44</v>
      </c>
      <c r="EP29" s="14">
        <v>-1.57</v>
      </c>
    </row>
    <row r="30" spans="1:146" ht="96" x14ac:dyDescent="0.25">
      <c r="A30" s="11"/>
      <c r="B30" s="11"/>
      <c r="C30" s="11" t="str">
        <f>""&amp;CHAR(10)&amp;Basic_Fundamental_Information_Constructure(F30)&amp;CHAR(10)&amp;Basic_Fundamental_Information_Concatenate("")</f>
        <v xml:space="preserve">
市值38.506993亿, 利润3263.56万; PE186.2; 平均PE-423.52; 平均PEG-15.81, PB5.54; ROIC2.01%; ROE-2.42%; 股利率0%; 毛利3.8033%; 净利-.26%; 上一年度营收增4.8%, 利润增164.22%; 当季营收增-25.49%, 利润增-65.78%; 过往5年营收增26.79%, 利润增164.22%
Income profile:
</v>
      </c>
      <c r="D30" t="s">
        <v>48</v>
      </c>
      <c r="E30" t="s">
        <v>24</v>
      </c>
      <c r="F30">
        <v>6</v>
      </c>
      <c r="G30">
        <v>0.67</v>
      </c>
      <c r="H30" t="s">
        <v>1497</v>
      </c>
      <c r="I30">
        <v>3850699300</v>
      </c>
      <c r="J30">
        <v>186.2</v>
      </c>
      <c r="K30">
        <v>5.54</v>
      </c>
      <c r="L30" t="s">
        <v>29</v>
      </c>
      <c r="M30" t="s">
        <v>911</v>
      </c>
      <c r="N30" t="s">
        <v>1498</v>
      </c>
      <c r="O30" t="s">
        <v>912</v>
      </c>
      <c r="P30">
        <v>-28.41</v>
      </c>
      <c r="Q30" t="s">
        <v>1499</v>
      </c>
      <c r="R30">
        <v>1937328</v>
      </c>
      <c r="S30" s="3">
        <v>-0.80469999999999997</v>
      </c>
      <c r="T30" t="s">
        <v>1500</v>
      </c>
      <c r="U30">
        <v>641783220</v>
      </c>
      <c r="V30">
        <v>641783220</v>
      </c>
      <c r="W30">
        <v>2.2999999999999998</v>
      </c>
      <c r="X30" t="s">
        <v>53</v>
      </c>
      <c r="Y30">
        <v>0.2</v>
      </c>
      <c r="Z30" t="s">
        <v>53</v>
      </c>
      <c r="AA30" t="s">
        <v>53</v>
      </c>
      <c r="AB30" t="s">
        <v>53</v>
      </c>
      <c r="AC30" t="s">
        <v>53</v>
      </c>
      <c r="AD30" t="s">
        <v>53</v>
      </c>
      <c r="AE30">
        <v>1918865</v>
      </c>
      <c r="AF30" t="s">
        <v>75</v>
      </c>
      <c r="AG30" t="s">
        <v>1501</v>
      </c>
      <c r="AH30" t="s">
        <v>915</v>
      </c>
      <c r="AI30" t="s">
        <v>627</v>
      </c>
      <c r="AJ30" t="s">
        <v>916</v>
      </c>
      <c r="AK30" t="s">
        <v>53</v>
      </c>
      <c r="AL30" t="s">
        <v>917</v>
      </c>
      <c r="AM30" t="s">
        <v>53</v>
      </c>
      <c r="AN30" t="s">
        <v>1502</v>
      </c>
      <c r="AO30" t="s">
        <v>53</v>
      </c>
      <c r="AP30" t="s">
        <v>53</v>
      </c>
      <c r="AQ30" t="s">
        <v>1503</v>
      </c>
      <c r="AR30" t="s">
        <v>53</v>
      </c>
      <c r="AS30" t="s">
        <v>53</v>
      </c>
      <c r="AT30" t="s">
        <v>53</v>
      </c>
      <c r="AU30" t="s">
        <v>1504</v>
      </c>
      <c r="AV30" t="s">
        <v>1505</v>
      </c>
      <c r="AW30" t="s">
        <v>1506</v>
      </c>
      <c r="AX30" t="s">
        <v>470</v>
      </c>
      <c r="AY30" t="s">
        <v>53</v>
      </c>
      <c r="AZ30" t="s">
        <v>208</v>
      </c>
      <c r="BA30" t="s">
        <v>106</v>
      </c>
      <c r="BB30" t="s">
        <v>209</v>
      </c>
      <c r="BC30" t="s">
        <v>918</v>
      </c>
      <c r="BD30" t="s">
        <v>53</v>
      </c>
      <c r="BE30" t="s">
        <v>53</v>
      </c>
      <c r="BF30" t="s">
        <v>53</v>
      </c>
      <c r="BG30" t="s">
        <v>53</v>
      </c>
      <c r="BH30" t="s">
        <v>913</v>
      </c>
      <c r="BI30" t="s">
        <v>1507</v>
      </c>
      <c r="BJ30" t="s">
        <v>470</v>
      </c>
      <c r="BK30" t="s">
        <v>914</v>
      </c>
      <c r="BL30" t="s">
        <v>1508</v>
      </c>
      <c r="BM30" t="s">
        <v>918</v>
      </c>
      <c r="BN30">
        <v>2.0099999999999998</v>
      </c>
      <c r="BO30" t="s">
        <v>53</v>
      </c>
      <c r="BP30" t="s">
        <v>53</v>
      </c>
      <c r="BQ30">
        <v>3.3</v>
      </c>
      <c r="BR30">
        <v>-7.36</v>
      </c>
      <c r="BS30">
        <v>-3.2</v>
      </c>
      <c r="BT30" t="s">
        <v>407</v>
      </c>
      <c r="BU30" t="s">
        <v>363</v>
      </c>
      <c r="BV30">
        <v>4.5999999999999996</v>
      </c>
      <c r="BW30">
        <v>2.92</v>
      </c>
      <c r="BX30">
        <v>3.89</v>
      </c>
      <c r="BY30">
        <v>0.57999999999999996</v>
      </c>
      <c r="BZ30">
        <v>-0.79</v>
      </c>
      <c r="CA30">
        <v>-0.56999999999999995</v>
      </c>
      <c r="CB30">
        <v>-0.5</v>
      </c>
      <c r="CC30">
        <v>-8.1199999999999992</v>
      </c>
      <c r="CD30" t="s">
        <v>1509</v>
      </c>
      <c r="CE30" t="s">
        <v>667</v>
      </c>
      <c r="CF30" s="7">
        <v>-0.25490196078431371</v>
      </c>
      <c r="CG30" s="8">
        <v>-0.65775822778101656</v>
      </c>
      <c r="CH30" s="7">
        <v>4.8034891486167908E-2</v>
      </c>
      <c r="CI30" s="7" t="s">
        <v>53</v>
      </c>
      <c r="CJ30" s="7" t="s">
        <v>53</v>
      </c>
      <c r="CK30" s="7">
        <v>0.3914313018321991</v>
      </c>
      <c r="CL30" s="7">
        <v>0.36433076858520508</v>
      </c>
      <c r="CM30" s="8">
        <v>1.6421828269958496</v>
      </c>
      <c r="CN30" s="8" t="s">
        <v>53</v>
      </c>
      <c r="CO30" s="8" t="s">
        <v>53</v>
      </c>
      <c r="CP30" s="8" t="s">
        <v>53</v>
      </c>
      <c r="CQ30" s="8" t="s">
        <v>53</v>
      </c>
      <c r="CR30">
        <v>-423.52144169113865</v>
      </c>
      <c r="CS30">
        <v>-15.807030696712683</v>
      </c>
      <c r="CT30">
        <v>0</v>
      </c>
      <c r="CU30" s="7">
        <v>0.26793232063452405</v>
      </c>
      <c r="CV30" s="8">
        <v>1.6421828269958496</v>
      </c>
      <c r="CW30">
        <v>0.06</v>
      </c>
      <c r="CX30">
        <v>102.63723442084644</v>
      </c>
      <c r="CY30">
        <v>39037483.059717044</v>
      </c>
      <c r="CZ30">
        <v>0.26793232063452405</v>
      </c>
      <c r="DA30">
        <v>28.941379063185035</v>
      </c>
      <c r="DB30">
        <v>138441892.87775624</v>
      </c>
      <c r="DC30">
        <v>0.25453570460279784</v>
      </c>
      <c r="DD30">
        <v>11.558897686704103</v>
      </c>
      <c r="DE30">
        <v>346633338.97390586</v>
      </c>
      <c r="DF30">
        <v>0.23578044215838115</v>
      </c>
      <c r="DG30">
        <v>5.392503540484662</v>
      </c>
      <c r="DH30">
        <v>743012826.95864308</v>
      </c>
      <c r="DI30">
        <v>0.21434585650761925</v>
      </c>
      <c r="DJ30">
        <v>1.5150426607600691</v>
      </c>
      <c r="DK30">
        <v>2644611537.2024655</v>
      </c>
      <c r="DL30">
        <v>0.18755262444416682</v>
      </c>
      <c r="DM30">
        <v>32635600</v>
      </c>
      <c r="DN30">
        <v>0.26793232063452405</v>
      </c>
      <c r="DO30">
        <v>4006699300</v>
      </c>
      <c r="DP30">
        <v>1043147760</v>
      </c>
      <c r="DQ30">
        <v>2942</v>
      </c>
      <c r="DR30">
        <v>-0.52283428141883781</v>
      </c>
      <c r="DS30">
        <v>-2.2999410547768662</v>
      </c>
      <c r="DT30" s="9">
        <v>-0.66</v>
      </c>
      <c r="DU30">
        <v>-0.32000000000000006</v>
      </c>
      <c r="DV30">
        <v>-0.98000000000000009</v>
      </c>
      <c r="DW30">
        <v>-2.0811999999999999</v>
      </c>
      <c r="DX30">
        <v>0.30176714285714457</v>
      </c>
      <c r="DY30">
        <v>-2.0115114919999999</v>
      </c>
      <c r="DZ30">
        <v>3239</v>
      </c>
      <c r="EA30">
        <v>-2.0042148730982388</v>
      </c>
      <c r="EB30">
        <v>2</v>
      </c>
      <c r="EC30">
        <v>4.6388093474927561E-2</v>
      </c>
      <c r="ED30">
        <v>0.32721329174047276</v>
      </c>
      <c r="EE30" s="10">
        <v>-1.0175000000000001</v>
      </c>
      <c r="EF30">
        <v>-1.0126999999999999</v>
      </c>
      <c r="EG30">
        <v>16.141767142857145</v>
      </c>
      <c r="EH30" t="s">
        <v>573</v>
      </c>
      <c r="EI30">
        <v>0</v>
      </c>
      <c r="EJ30">
        <v>0</v>
      </c>
      <c r="EK30" s="13">
        <v>45470</v>
      </c>
      <c r="EL30" s="14">
        <v>-0.48</v>
      </c>
      <c r="EM30" s="14">
        <v>-2.87</v>
      </c>
      <c r="EN30" s="14">
        <v>-1.23</v>
      </c>
      <c r="EO30" s="14">
        <v>4.49</v>
      </c>
      <c r="EP30" s="14">
        <v>-0.48</v>
      </c>
    </row>
    <row r="31" spans="1:146" ht="84" x14ac:dyDescent="0.25">
      <c r="A31" s="11"/>
      <c r="B31" s="11"/>
      <c r="C31" s="11" t="str">
        <f>""&amp;CHAR(10)&amp;Basic_Fundamental_Information_Constructure(F31)&amp;CHAR(10)&amp;Basic_Fundamental_Information_Concatenate("")</f>
        <v xml:space="preserve">
市值24.004134亿, 利润-1.10亿; PE; 平均PE-17.46; 平均PEG-.11, PB2.38; ROIC1.39%; ROE-2.6667%; 股利率0%; 毛利12.9167%; 净利-6.08%; 上一年度营收增476.36%, 利润增33.33%; 当季营收增-74.64%, 利润增112.4%; 过往5年营收增160.29%, 利润增33.33%
Income profile:
</v>
      </c>
      <c r="D31" t="s">
        <v>55</v>
      </c>
      <c r="E31" t="s">
        <v>372</v>
      </c>
      <c r="F31">
        <v>4.95</v>
      </c>
      <c r="G31">
        <v>1.85</v>
      </c>
      <c r="H31" t="s">
        <v>1510</v>
      </c>
      <c r="I31">
        <v>2400413400</v>
      </c>
      <c r="K31">
        <v>2.38</v>
      </c>
      <c r="L31" t="s">
        <v>29</v>
      </c>
      <c r="M31" t="s">
        <v>919</v>
      </c>
      <c r="N31" t="s">
        <v>464</v>
      </c>
      <c r="O31" t="s">
        <v>580</v>
      </c>
      <c r="P31">
        <v>-6.5</v>
      </c>
      <c r="Q31" t="s">
        <v>1511</v>
      </c>
      <c r="R31">
        <v>1642848</v>
      </c>
      <c r="S31" s="6">
        <v>-0.96299999999999997</v>
      </c>
      <c r="T31" t="s">
        <v>1512</v>
      </c>
      <c r="U31">
        <v>484932000</v>
      </c>
      <c r="V31">
        <v>484932000</v>
      </c>
      <c r="W31">
        <v>1.26</v>
      </c>
      <c r="X31" t="s">
        <v>53</v>
      </c>
      <c r="Y31">
        <v>1.35</v>
      </c>
      <c r="Z31" t="s">
        <v>53</v>
      </c>
      <c r="AA31" t="s">
        <v>53</v>
      </c>
      <c r="AB31" t="s">
        <v>53</v>
      </c>
      <c r="AC31" t="s">
        <v>53</v>
      </c>
      <c r="AD31" t="s">
        <v>53</v>
      </c>
      <c r="AE31">
        <v>2583620</v>
      </c>
      <c r="AF31" t="s">
        <v>922</v>
      </c>
      <c r="AG31">
        <v>5199.63</v>
      </c>
      <c r="AH31" t="s">
        <v>923</v>
      </c>
      <c r="AI31" t="s">
        <v>1513</v>
      </c>
      <c r="AJ31" t="s">
        <v>924</v>
      </c>
      <c r="AK31" t="s">
        <v>53</v>
      </c>
      <c r="AL31" t="s">
        <v>925</v>
      </c>
      <c r="AM31" t="s">
        <v>53</v>
      </c>
      <c r="AN31" t="s">
        <v>1514</v>
      </c>
      <c r="AO31" t="s">
        <v>53</v>
      </c>
      <c r="AP31" t="s">
        <v>53</v>
      </c>
      <c r="AQ31" t="s">
        <v>1515</v>
      </c>
      <c r="AR31" t="s">
        <v>623</v>
      </c>
      <c r="AS31" t="s">
        <v>53</v>
      </c>
      <c r="AT31" t="s">
        <v>53</v>
      </c>
      <c r="AU31" t="s">
        <v>1516</v>
      </c>
      <c r="AV31" t="s">
        <v>1517</v>
      </c>
      <c r="AW31" t="s">
        <v>1518</v>
      </c>
      <c r="AX31" t="s">
        <v>471</v>
      </c>
      <c r="AY31" t="s">
        <v>53</v>
      </c>
      <c r="AZ31" t="s">
        <v>210</v>
      </c>
      <c r="BA31" t="s">
        <v>107</v>
      </c>
      <c r="BB31" t="s">
        <v>211</v>
      </c>
      <c r="BC31" t="s">
        <v>392</v>
      </c>
      <c r="BD31" t="s">
        <v>53</v>
      </c>
      <c r="BE31" t="s">
        <v>53</v>
      </c>
      <c r="BF31" t="s">
        <v>53</v>
      </c>
      <c r="BG31" t="s">
        <v>53</v>
      </c>
      <c r="BH31" t="s">
        <v>920</v>
      </c>
      <c r="BI31" t="s">
        <v>1519</v>
      </c>
      <c r="BJ31" t="s">
        <v>471</v>
      </c>
      <c r="BK31" t="s">
        <v>921</v>
      </c>
      <c r="BL31" t="s">
        <v>1520</v>
      </c>
      <c r="BM31" t="s">
        <v>392</v>
      </c>
      <c r="BN31">
        <v>2.2000000000000002</v>
      </c>
      <c r="BO31" t="s">
        <v>53</v>
      </c>
      <c r="BP31">
        <v>0.57999999999999996</v>
      </c>
      <c r="BQ31">
        <v>1.87</v>
      </c>
      <c r="BR31">
        <v>-10.46</v>
      </c>
      <c r="BS31">
        <v>0.59</v>
      </c>
      <c r="BT31" t="s">
        <v>407</v>
      </c>
      <c r="BU31" t="s">
        <v>365</v>
      </c>
      <c r="BV31">
        <v>8.6</v>
      </c>
      <c r="BW31">
        <v>11.24</v>
      </c>
      <c r="BX31">
        <v>18.91</v>
      </c>
      <c r="BY31">
        <v>2.96</v>
      </c>
      <c r="BZ31">
        <v>-44.8</v>
      </c>
      <c r="CA31">
        <v>23.6</v>
      </c>
      <c r="CB31">
        <v>2.7</v>
      </c>
      <c r="CC31">
        <v>-3.13</v>
      </c>
      <c r="CD31" t="s">
        <v>1521</v>
      </c>
      <c r="CE31" t="s">
        <v>65</v>
      </c>
      <c r="CF31" s="7">
        <v>-0.74636174636174635</v>
      </c>
      <c r="CG31" s="8">
        <v>1.1240072463768116</v>
      </c>
      <c r="CH31" s="7">
        <v>4.7635869979858398</v>
      </c>
      <c r="CI31" s="7" t="s">
        <v>53</v>
      </c>
      <c r="CJ31" s="7" t="s">
        <v>53</v>
      </c>
      <c r="CK31" s="7">
        <v>-0.65189731121063232</v>
      </c>
      <c r="CL31" s="7">
        <v>0.69714647531509399</v>
      </c>
      <c r="CM31" s="8">
        <v>0.3333333432674408</v>
      </c>
      <c r="CN31" s="8" t="s">
        <v>53</v>
      </c>
      <c r="CO31" s="8" t="s">
        <v>53</v>
      </c>
      <c r="CP31" s="8" t="s">
        <v>53</v>
      </c>
      <c r="CQ31" s="8" t="s">
        <v>53</v>
      </c>
      <c r="CR31">
        <v>-17.457552</v>
      </c>
      <c r="CS31">
        <v>-0.10890921261337939</v>
      </c>
      <c r="CT31">
        <v>0</v>
      </c>
      <c r="CU31" s="7">
        <v>1.6029453873634338</v>
      </c>
      <c r="CV31" s="8">
        <v>0.3333333432674408</v>
      </c>
      <c r="CW31">
        <v>0.06</v>
      </c>
      <c r="CX31" t="e">
        <v>#VALUE!</v>
      </c>
      <c r="CY31" t="s">
        <v>354</v>
      </c>
      <c r="CZ31">
        <v>1.6029453873634338</v>
      </c>
      <c r="DA31" t="e">
        <v>#VALUE!</v>
      </c>
      <c r="DB31" t="s">
        <v>354</v>
      </c>
      <c r="DC31">
        <v>1.5227981179952621</v>
      </c>
      <c r="DD31" t="e">
        <v>#VALUE!</v>
      </c>
      <c r="DE31" t="s">
        <v>354</v>
      </c>
      <c r="DF31">
        <v>1.4105919408798218</v>
      </c>
      <c r="DG31" t="e">
        <v>#VALUE!</v>
      </c>
      <c r="DH31" t="s">
        <v>354</v>
      </c>
      <c r="DI31">
        <v>1.2823563098907471</v>
      </c>
      <c r="DJ31" t="e">
        <v>#VALUE!</v>
      </c>
      <c r="DK31" t="s">
        <v>354</v>
      </c>
      <c r="DL31">
        <v>1.1220617711544036</v>
      </c>
      <c r="DM31">
        <v>-110000000.00000001</v>
      </c>
      <c r="DN31">
        <v>1.6029453873634338</v>
      </c>
      <c r="DO31">
        <v>1213413400</v>
      </c>
      <c r="DP31">
        <v>340800730</v>
      </c>
      <c r="DQ31">
        <v>2993</v>
      </c>
      <c r="DR31">
        <v>-2.3493071337251803</v>
      </c>
      <c r="DS31">
        <v>0.7906739031093708</v>
      </c>
      <c r="DT31" s="9">
        <v>-0.21000000000000008</v>
      </c>
      <c r="DU31">
        <v>0.57000000000000006</v>
      </c>
      <c r="DV31">
        <v>0.36</v>
      </c>
      <c r="DW31">
        <v>6.4631217838765007</v>
      </c>
      <c r="DX31">
        <v>0.30750396039604022</v>
      </c>
      <c r="DY31">
        <v>6.0729435151062274</v>
      </c>
      <c r="DZ31">
        <v>3772</v>
      </c>
      <c r="EA31">
        <v>6.0190994957362296</v>
      </c>
      <c r="EB31">
        <v>6</v>
      </c>
      <c r="EC31">
        <v>3.2804393193272462E-2</v>
      </c>
      <c r="ED31">
        <v>0.20827662435145547</v>
      </c>
      <c r="EE31" s="10">
        <v>4.1310000000000006E-2</v>
      </c>
      <c r="EF31">
        <v>5.5710000000000003E-2</v>
      </c>
      <c r="EG31">
        <v>15.15750396039604</v>
      </c>
      <c r="EH31">
        <v>-1</v>
      </c>
      <c r="EI31">
        <v>0</v>
      </c>
      <c r="EJ31">
        <v>0</v>
      </c>
      <c r="EK31" s="13">
        <v>45470</v>
      </c>
      <c r="EL31" s="14">
        <v>-1.27</v>
      </c>
      <c r="EM31" s="14">
        <v>-5.16</v>
      </c>
      <c r="EN31" s="14">
        <v>-4.76</v>
      </c>
      <c r="EO31" s="14">
        <v>0.72</v>
      </c>
      <c r="EP31" s="14">
        <v>-1.44</v>
      </c>
    </row>
    <row r="32" spans="1:146" ht="168.5" customHeight="1" x14ac:dyDescent="0.25">
      <c r="A32" s="11"/>
      <c r="B32" s="11"/>
      <c r="C32" s="11" t="str">
        <f>""&amp;CHAR(10)&amp;Basic_Fundamental_Information_Constructure(F32)&amp;CHAR(10)&amp;Basic_Fundamental_Information_Concatenate("")</f>
        <v xml:space="preserve">
市值57.186728亿, 利润8430.88万; PE8.62; 平均PE20.45; 平均PEG.96, PB1.44; ROIC8%; ROE15.2367%; 股利率6.25%; 毛利11.07%; 净利12.34%; 上一年度营收增28.35%, 利润增-82.25%; 当季营收增53.28%, 利润增1513.07%; 过往5年营收增21.31%, 利润增-82.25%
Income profile:
</v>
      </c>
      <c r="D32" t="s">
        <v>44</v>
      </c>
      <c r="E32" t="s">
        <v>15</v>
      </c>
      <c r="F32">
        <v>7.36</v>
      </c>
      <c r="G32">
        <v>0.96</v>
      </c>
      <c r="H32" t="s">
        <v>1522</v>
      </c>
      <c r="I32">
        <v>5718672800</v>
      </c>
      <c r="J32">
        <v>8.6199999999999992</v>
      </c>
      <c r="K32">
        <v>1.44</v>
      </c>
      <c r="L32" t="s">
        <v>29</v>
      </c>
      <c r="M32" t="s">
        <v>927</v>
      </c>
      <c r="N32" t="s">
        <v>1523</v>
      </c>
      <c r="O32" t="s">
        <v>928</v>
      </c>
      <c r="P32">
        <v>-32.700000000000003</v>
      </c>
      <c r="Q32" t="s">
        <v>1524</v>
      </c>
      <c r="R32">
        <v>241872350</v>
      </c>
      <c r="S32" s="3">
        <v>-0.17419999999999999</v>
      </c>
      <c r="T32" t="s">
        <v>1525</v>
      </c>
      <c r="U32">
        <v>776993580</v>
      </c>
      <c r="V32">
        <v>776993580</v>
      </c>
      <c r="W32">
        <v>1.71</v>
      </c>
      <c r="X32" t="s">
        <v>53</v>
      </c>
      <c r="Y32">
        <v>27.61</v>
      </c>
      <c r="Z32" t="s">
        <v>53</v>
      </c>
      <c r="AA32" t="s">
        <v>53</v>
      </c>
      <c r="AB32" t="s">
        <v>53</v>
      </c>
      <c r="AC32" t="s">
        <v>53</v>
      </c>
      <c r="AD32" t="s">
        <v>53</v>
      </c>
      <c r="AE32">
        <v>10134611</v>
      </c>
      <c r="AF32" t="s">
        <v>931</v>
      </c>
      <c r="AG32">
        <v>8210.5</v>
      </c>
      <c r="AH32" t="s">
        <v>932</v>
      </c>
      <c r="AI32" t="s">
        <v>1526</v>
      </c>
      <c r="AJ32" t="s">
        <v>933</v>
      </c>
      <c r="AK32" t="s">
        <v>53</v>
      </c>
      <c r="AL32" t="s">
        <v>934</v>
      </c>
      <c r="AM32" t="s">
        <v>53</v>
      </c>
      <c r="AN32" t="s">
        <v>1527</v>
      </c>
      <c r="AO32" t="s">
        <v>53</v>
      </c>
      <c r="AP32" t="s">
        <v>593</v>
      </c>
      <c r="AQ32" t="s">
        <v>462</v>
      </c>
      <c r="AR32" t="s">
        <v>1528</v>
      </c>
      <c r="AS32" t="s">
        <v>53</v>
      </c>
      <c r="AT32" t="s">
        <v>53</v>
      </c>
      <c r="AU32" t="s">
        <v>1529</v>
      </c>
      <c r="AV32" t="s">
        <v>890</v>
      </c>
      <c r="AW32" t="s">
        <v>1530</v>
      </c>
      <c r="AX32" t="s">
        <v>403</v>
      </c>
      <c r="AY32" t="s">
        <v>53</v>
      </c>
      <c r="AZ32" t="s">
        <v>472</v>
      </c>
      <c r="BA32" t="s">
        <v>108</v>
      </c>
      <c r="BB32" t="s">
        <v>212</v>
      </c>
      <c r="BC32" t="s">
        <v>404</v>
      </c>
      <c r="BD32" t="s">
        <v>53</v>
      </c>
      <c r="BE32" t="s">
        <v>53</v>
      </c>
      <c r="BF32" t="s">
        <v>53</v>
      </c>
      <c r="BG32" t="s">
        <v>53</v>
      </c>
      <c r="BH32" t="s">
        <v>929</v>
      </c>
      <c r="BI32" t="s">
        <v>1531</v>
      </c>
      <c r="BJ32" t="s">
        <v>403</v>
      </c>
      <c r="BK32" t="s">
        <v>930</v>
      </c>
      <c r="BL32" t="s">
        <v>1532</v>
      </c>
      <c r="BM32" t="s">
        <v>404</v>
      </c>
      <c r="BN32">
        <v>13.67</v>
      </c>
      <c r="BO32">
        <v>4.46</v>
      </c>
      <c r="BP32">
        <v>5.87</v>
      </c>
      <c r="BQ32">
        <v>17.989999999999998</v>
      </c>
      <c r="BR32">
        <v>16.04</v>
      </c>
      <c r="BS32">
        <v>11.68</v>
      </c>
      <c r="BT32" t="s">
        <v>935</v>
      </c>
      <c r="BU32" t="s">
        <v>369</v>
      </c>
      <c r="BV32">
        <v>16.829999999999998</v>
      </c>
      <c r="BW32">
        <v>8.9499999999999993</v>
      </c>
      <c r="BX32">
        <v>7.43</v>
      </c>
      <c r="BY32">
        <v>19.62</v>
      </c>
      <c r="BZ32">
        <v>9.3000000000000007</v>
      </c>
      <c r="CA32">
        <v>8.1</v>
      </c>
      <c r="CB32">
        <v>1.66</v>
      </c>
      <c r="CC32">
        <v>-10.130000000000001</v>
      </c>
      <c r="CD32" t="s">
        <v>1533</v>
      </c>
      <c r="CE32" t="s">
        <v>1534</v>
      </c>
      <c r="CF32" s="7">
        <v>0.53283582089552239</v>
      </c>
      <c r="CG32" s="8">
        <v>15.130699079267153</v>
      </c>
      <c r="CH32" s="7">
        <v>0.28346458077430725</v>
      </c>
      <c r="CI32" s="7" t="s">
        <v>53</v>
      </c>
      <c r="CJ32" s="7" t="s">
        <v>53</v>
      </c>
      <c r="CK32" s="7">
        <v>-0.14154127240180969</v>
      </c>
      <c r="CL32" s="7">
        <v>0.49747118353843689</v>
      </c>
      <c r="CM32" s="8">
        <v>-0.82250779867172241</v>
      </c>
      <c r="CN32" s="8" t="s">
        <v>53</v>
      </c>
      <c r="CO32" s="8" t="s">
        <v>53</v>
      </c>
      <c r="CP32" s="8" t="s">
        <v>53</v>
      </c>
      <c r="CQ32" s="8" t="s">
        <v>53</v>
      </c>
      <c r="CR32">
        <v>20.449071425302087</v>
      </c>
      <c r="CS32">
        <v>0.95945797237883823</v>
      </c>
      <c r="CT32">
        <v>6.2499999999999991</v>
      </c>
      <c r="CU32" s="7">
        <v>0.21313149730364481</v>
      </c>
      <c r="CV32" s="8">
        <v>-0.82250779867172241</v>
      </c>
      <c r="CW32">
        <v>0.06</v>
      </c>
      <c r="CX32">
        <v>53.723297209797558</v>
      </c>
      <c r="CY32">
        <v>96488359.226295769</v>
      </c>
      <c r="CZ32">
        <v>0.21313149730364481</v>
      </c>
      <c r="DA32">
        <v>15.8417708880378</v>
      </c>
      <c r="DB32">
        <v>327215488.51045543</v>
      </c>
      <c r="DC32">
        <v>0.20247492243846255</v>
      </c>
      <c r="DD32">
        <v>6.7569376235203507</v>
      </c>
      <c r="DE32">
        <v>767163038.7641964</v>
      </c>
      <c r="DF32">
        <v>0.18755571762720744</v>
      </c>
      <c r="DG32">
        <v>3.4231019840466823</v>
      </c>
      <c r="DH32">
        <v>1514320293.1605406</v>
      </c>
      <c r="DI32">
        <v>0.17050519784291585</v>
      </c>
      <c r="DJ32">
        <v>1.183545011752916</v>
      </c>
      <c r="DK32">
        <v>4379785093.5323572</v>
      </c>
      <c r="DL32">
        <v>0.14919204811255135</v>
      </c>
      <c r="DM32">
        <v>84308799.999999985</v>
      </c>
      <c r="DN32">
        <v>0.21313149730364481</v>
      </c>
      <c r="DO32">
        <v>5183672800</v>
      </c>
      <c r="DP32">
        <v>4255879200</v>
      </c>
      <c r="DQ32">
        <v>3042</v>
      </c>
      <c r="DR32">
        <v>0.31970432359187761</v>
      </c>
      <c r="DS32">
        <v>15.953206877938875</v>
      </c>
      <c r="DT32" s="9">
        <v>-0.41000000000000003</v>
      </c>
      <c r="DU32">
        <v>-2.3199999999999998</v>
      </c>
      <c r="DV32">
        <v>-2.73</v>
      </c>
      <c r="DW32">
        <v>-2.1013000000000002</v>
      </c>
      <c r="DX32">
        <v>0.35789041916167674</v>
      </c>
      <c r="DY32">
        <v>-2.012955299461078</v>
      </c>
      <c r="DZ32">
        <v>3441</v>
      </c>
      <c r="EA32">
        <v>-2.0042313884149783</v>
      </c>
      <c r="EB32">
        <v>2</v>
      </c>
      <c r="EC32">
        <v>2.7487614505128859E-2</v>
      </c>
      <c r="ED32">
        <v>0.21493099080689959</v>
      </c>
      <c r="EE32" s="10">
        <v>6.6409999999999997E-2</v>
      </c>
      <c r="EF32">
        <v>3.330000000000001E-2</v>
      </c>
      <c r="EG32">
        <v>23.127890419161677</v>
      </c>
      <c r="EH32" t="s">
        <v>352</v>
      </c>
      <c r="EI32">
        <v>0</v>
      </c>
      <c r="EJ32">
        <v>0</v>
      </c>
      <c r="EK32" s="13">
        <v>45470</v>
      </c>
      <c r="EL32" s="14">
        <v>0.56999999999999995</v>
      </c>
      <c r="EM32" s="14">
        <v>-6.48</v>
      </c>
      <c r="EN32" s="14">
        <v>4.07</v>
      </c>
      <c r="EO32" s="14">
        <v>0.14000000000000001</v>
      </c>
      <c r="EP32" s="14">
        <v>9.9700000000000006</v>
      </c>
    </row>
    <row r="33" spans="1:146" ht="168" x14ac:dyDescent="0.25">
      <c r="A33" s="11"/>
      <c r="B33" s="11"/>
      <c r="C33" s="11" t="str">
        <f>"公司的主营业务是白砂糖及相关产品的制造销售、番茄加工及番茄制品的销售。公司的主要产品为贸易糖、自产糖、加工糖、番茄制品、农业、农资、电力。"&amp;CHAR(10)&amp;Basic_Fundamental_Information_Constructure(F33)&amp;CHAR(10)&amp;Basic_Fundamental_Information_Concatenate("贸易糖 173.73亿 65.71% 30.60% 4.27%
自产糖（含Tully） 42.13亿 15.94% 34.32% 19.74%
加工糖 27.81亿 10.52% 11.44% 9.97%
番茄制品（含小包装、林果） 18.72亿 7.08% 22.51% 29.14%
其他业务 1.57亿 0.59% 0.92% 14.26%")</f>
        <v>公司的主营业务是白砂糖及相关产品的制造销售、番茄加工及番茄制品的销售。公司的主要产品为贸易糖、自产糖、加工糖、番茄制品、农业、农资、电力。
市值208.10993亿, 利润8264.28万; PE9.29; 平均PE42.13; 平均PEG4.05, PB1.79; ROIC6.88%; ROE8.7833%; 股利率6.4748%; 毛利11.21%; 净利3.8333%; 上一年度营收增-96.69%, 利润增-88.95%; 当季营收增3141.49%, 利润增1694.98%; 过往5年营收增-10.41%, 利润增-8.1%
Income profile:
贸易糖 173.73亿 65.71% 30.60% 4.27%
自产糖（含Tully） 42.13亿 15.94% 34.32% 19.74%
加工糖 27.81亿 10.52% 11.44% 9.97%
番茄制品（含小包装、林果） 18.72亿 7.08% 22.51% 29.14%
其他业务 1.57亿 0.59% 0.92% 14.26%</v>
      </c>
      <c r="D33" t="s">
        <v>56</v>
      </c>
      <c r="E33" t="s">
        <v>22</v>
      </c>
      <c r="F33">
        <v>9.73</v>
      </c>
      <c r="G33">
        <v>0.41</v>
      </c>
      <c r="H33" t="s">
        <v>1535</v>
      </c>
      <c r="I33">
        <v>20810993000</v>
      </c>
      <c r="J33">
        <v>9.2899999999999991</v>
      </c>
      <c r="K33">
        <v>1.79</v>
      </c>
      <c r="L33" t="s">
        <v>29</v>
      </c>
      <c r="M33" t="s">
        <v>936</v>
      </c>
      <c r="N33" t="s">
        <v>1536</v>
      </c>
      <c r="O33" t="s">
        <v>937</v>
      </c>
      <c r="P33">
        <v>62.84</v>
      </c>
      <c r="Q33" t="s">
        <v>1537</v>
      </c>
      <c r="R33">
        <v>440367210</v>
      </c>
      <c r="S33" s="3">
        <v>0.60709999999999997</v>
      </c>
      <c r="T33" t="s">
        <v>1538</v>
      </c>
      <c r="U33">
        <v>2138848200</v>
      </c>
      <c r="V33">
        <v>2138848200</v>
      </c>
      <c r="W33">
        <v>2.04</v>
      </c>
      <c r="X33">
        <v>0.34</v>
      </c>
      <c r="Y33">
        <v>5.74</v>
      </c>
      <c r="Z33" t="s">
        <v>1539</v>
      </c>
      <c r="AA33" t="s">
        <v>1540</v>
      </c>
      <c r="AB33" t="s">
        <v>1541</v>
      </c>
      <c r="AC33" t="s">
        <v>67</v>
      </c>
      <c r="AD33" t="s">
        <v>53</v>
      </c>
      <c r="AE33">
        <v>25835518</v>
      </c>
      <c r="AF33" t="s">
        <v>940</v>
      </c>
      <c r="AG33" t="s">
        <v>1542</v>
      </c>
      <c r="AH33" t="s">
        <v>941</v>
      </c>
      <c r="AI33" t="s">
        <v>1543</v>
      </c>
      <c r="AJ33" t="s">
        <v>942</v>
      </c>
      <c r="AK33" t="s">
        <v>53</v>
      </c>
      <c r="AL33" t="s">
        <v>943</v>
      </c>
      <c r="AM33" t="s">
        <v>53</v>
      </c>
      <c r="AN33" t="s">
        <v>824</v>
      </c>
      <c r="AO33" t="s">
        <v>1544</v>
      </c>
      <c r="AP33" t="s">
        <v>1545</v>
      </c>
      <c r="AQ33" t="s">
        <v>961</v>
      </c>
      <c r="AR33" t="s">
        <v>53</v>
      </c>
      <c r="AS33" t="s">
        <v>1546</v>
      </c>
      <c r="AT33" t="s">
        <v>53</v>
      </c>
      <c r="AU33" t="s">
        <v>1547</v>
      </c>
      <c r="AV33" t="s">
        <v>1548</v>
      </c>
      <c r="AW33" t="s">
        <v>1549</v>
      </c>
      <c r="AX33" t="s">
        <v>945</v>
      </c>
      <c r="AY33" t="s">
        <v>337</v>
      </c>
      <c r="AZ33" t="s">
        <v>213</v>
      </c>
      <c r="BA33" t="s">
        <v>110</v>
      </c>
      <c r="BB33" t="s">
        <v>215</v>
      </c>
      <c r="BC33" t="s">
        <v>946</v>
      </c>
      <c r="BD33" t="s">
        <v>338</v>
      </c>
      <c r="BE33" t="s">
        <v>214</v>
      </c>
      <c r="BF33" t="s">
        <v>111</v>
      </c>
      <c r="BG33" t="s">
        <v>216</v>
      </c>
      <c r="BH33" t="s">
        <v>938</v>
      </c>
      <c r="BI33" t="s">
        <v>370</v>
      </c>
      <c r="BJ33" t="s">
        <v>945</v>
      </c>
      <c r="BK33" t="s">
        <v>939</v>
      </c>
      <c r="BL33" t="s">
        <v>1550</v>
      </c>
      <c r="BM33" t="s">
        <v>946</v>
      </c>
      <c r="BN33">
        <v>9.73</v>
      </c>
      <c r="BO33">
        <v>5.94</v>
      </c>
      <c r="BP33">
        <v>4.97</v>
      </c>
      <c r="BQ33">
        <v>13.72</v>
      </c>
      <c r="BR33">
        <v>7.23</v>
      </c>
      <c r="BS33">
        <v>5.4</v>
      </c>
      <c r="BT33" t="s">
        <v>947</v>
      </c>
      <c r="BU33" t="s">
        <v>365</v>
      </c>
      <c r="BV33">
        <v>14.11</v>
      </c>
      <c r="BW33">
        <v>9.17</v>
      </c>
      <c r="BX33">
        <v>10.35</v>
      </c>
      <c r="BY33">
        <v>6.41</v>
      </c>
      <c r="BZ33">
        <v>2.96</v>
      </c>
      <c r="CA33">
        <v>2.13</v>
      </c>
      <c r="CB33">
        <v>1.46</v>
      </c>
      <c r="CC33">
        <v>-3.28</v>
      </c>
      <c r="CD33" t="s">
        <v>137</v>
      </c>
      <c r="CE33" t="s">
        <v>1551</v>
      </c>
      <c r="CF33" s="7">
        <v>31.414937759336098</v>
      </c>
      <c r="CG33" s="8">
        <v>16.949774795889667</v>
      </c>
      <c r="CH33" s="7">
        <v>-0.96690738201141357</v>
      </c>
      <c r="CI33" s="7">
        <v>5.6915760040283203E-2</v>
      </c>
      <c r="CJ33" s="7">
        <v>0.19078037142753601</v>
      </c>
      <c r="CK33" s="7">
        <v>0.14675718545913696</v>
      </c>
      <c r="CL33" s="7">
        <v>5.1955476403236389E-2</v>
      </c>
      <c r="CM33" s="8">
        <v>-0.88951492309570313</v>
      </c>
      <c r="CN33" s="8">
        <v>0.4384615421295166</v>
      </c>
      <c r="CO33" s="8">
        <v>-1.7013233155012131E-2</v>
      </c>
      <c r="CP33" s="8">
        <v>-8.7931036949157715E-2</v>
      </c>
      <c r="CQ33" s="8">
        <v>0.15079365670681</v>
      </c>
      <c r="CR33">
        <v>42.132593712035742</v>
      </c>
      <c r="CS33">
        <v>4.0473302548990979</v>
      </c>
      <c r="CT33">
        <v>6.4748201438848918</v>
      </c>
      <c r="CU33" s="7">
        <v>-0.1040997177362442</v>
      </c>
      <c r="CV33" s="8">
        <v>-8.1040798872709277E-2</v>
      </c>
      <c r="CW33">
        <v>0.06</v>
      </c>
      <c r="CX33">
        <v>224.54458222615884</v>
      </c>
      <c r="CY33" t="s">
        <v>1552</v>
      </c>
      <c r="CZ33">
        <v>-0.1040997177362442</v>
      </c>
      <c r="DA33">
        <v>74.848194075386274</v>
      </c>
      <c r="DB33" t="s">
        <v>1553</v>
      </c>
      <c r="DC33">
        <v>-9.8894731849431983E-2</v>
      </c>
      <c r="DD33">
        <v>37.424097037693137</v>
      </c>
      <c r="DE33" t="s">
        <v>1554</v>
      </c>
      <c r="DF33">
        <v>-9.1607751607894902E-2</v>
      </c>
      <c r="DG33">
        <v>22.454458222615884</v>
      </c>
      <c r="DH33" t="s">
        <v>1555</v>
      </c>
      <c r="DI33">
        <v>-8.3279774188995362E-2</v>
      </c>
      <c r="DJ33">
        <v>11.227229111307942</v>
      </c>
      <c r="DK33" t="s">
        <v>1556</v>
      </c>
      <c r="DL33">
        <v>-7.286980241537093E-2</v>
      </c>
      <c r="DM33">
        <v>82642800</v>
      </c>
      <c r="DN33">
        <v>-0.1040997177362442</v>
      </c>
      <c r="DO33">
        <v>18556993000</v>
      </c>
      <c r="DP33">
        <v>6348233000</v>
      </c>
      <c r="DQ33">
        <v>3421</v>
      </c>
      <c r="DR33">
        <v>31.519037477072342</v>
      </c>
      <c r="DS33">
        <v>17.030815594762377</v>
      </c>
      <c r="DT33" s="9">
        <v>-0.64</v>
      </c>
      <c r="DU33">
        <v>-8.3333333333333329E-2</v>
      </c>
      <c r="DV33">
        <v>-0.72333333333333338</v>
      </c>
      <c r="DW33">
        <v>-1.0327999999999999</v>
      </c>
      <c r="DX33">
        <v>0.29869565217391397</v>
      </c>
      <c r="DY33">
        <v>-1.0035652173913043</v>
      </c>
      <c r="DZ33">
        <v>2748</v>
      </c>
      <c r="EA33">
        <v>-1.0016479537139453</v>
      </c>
      <c r="EB33">
        <v>1</v>
      </c>
      <c r="EC33">
        <v>6.0780377027224282E-2</v>
      </c>
      <c r="ED33">
        <v>0.55917946865046342</v>
      </c>
      <c r="EE33" s="10">
        <v>3.3799999999999997E-2</v>
      </c>
      <c r="EF33">
        <v>2.1899999999999996E-2</v>
      </c>
      <c r="EG33">
        <v>19.108695652173914</v>
      </c>
      <c r="EH33" t="s">
        <v>352</v>
      </c>
      <c r="EI33">
        <v>0</v>
      </c>
      <c r="EJ33">
        <v>0</v>
      </c>
      <c r="EK33" s="13">
        <v>45470</v>
      </c>
      <c r="EL33" s="14">
        <v>-0.47</v>
      </c>
      <c r="EM33" s="14">
        <v>-3.77</v>
      </c>
      <c r="EN33" s="14">
        <v>1.72</v>
      </c>
      <c r="EO33" s="14">
        <v>1.45</v>
      </c>
      <c r="EP33" s="14">
        <v>-1.19</v>
      </c>
    </row>
    <row r="34" spans="1:146" ht="84" x14ac:dyDescent="0.25">
      <c r="A34" s="11"/>
      <c r="B34" s="11"/>
      <c r="C34" s="11" t="str">
        <f>""&amp;CHAR(10)&amp;Basic_Fundamental_Information_Constructure(F34)&amp;CHAR(10)&amp;Basic_Fundamental_Information_Concatenate("")</f>
        <v xml:space="preserve">
市值34.392202亿, 利润489.03万; PE; 平均PE-16.78; 平均PEG-2.61, PB.204; ROIC0%; ROE-4.7767%; 股利率0%; 毛利1.71%; 净利-17.55%; 上一年度营收增-10.13%, 利润增100.49%; 当季营收增-84.47%, 利润增3081.82%; 过往5年营收增-6.43%, 利润增-148.72%
Income profile:
</v>
      </c>
      <c r="D34" t="s">
        <v>279</v>
      </c>
      <c r="E34" t="s">
        <v>280</v>
      </c>
      <c r="F34">
        <v>0.94</v>
      </c>
      <c r="G34">
        <v>10.59</v>
      </c>
      <c r="H34" t="s">
        <v>1557</v>
      </c>
      <c r="I34">
        <v>3439220200</v>
      </c>
      <c r="K34">
        <v>0.20399999999999999</v>
      </c>
      <c r="L34" t="s">
        <v>29</v>
      </c>
      <c r="M34" t="s">
        <v>948</v>
      </c>
      <c r="N34" t="s">
        <v>1558</v>
      </c>
      <c r="O34" t="s">
        <v>949</v>
      </c>
      <c r="P34">
        <v>-78.739999999999995</v>
      </c>
      <c r="Q34" t="s">
        <v>1559</v>
      </c>
      <c r="R34">
        <v>172464220</v>
      </c>
      <c r="S34" s="3">
        <v>0.78649999999999998</v>
      </c>
      <c r="T34" t="s">
        <v>1560</v>
      </c>
      <c r="U34">
        <v>3658744900</v>
      </c>
      <c r="V34">
        <v>3658744900</v>
      </c>
      <c r="W34">
        <v>2.25</v>
      </c>
      <c r="X34">
        <v>0.01</v>
      </c>
      <c r="Y34">
        <v>37.380000000000003</v>
      </c>
      <c r="Z34" t="s">
        <v>1561</v>
      </c>
      <c r="AA34" t="s">
        <v>1562</v>
      </c>
      <c r="AB34" t="s">
        <v>1563</v>
      </c>
      <c r="AC34" t="s">
        <v>1564</v>
      </c>
      <c r="AD34" t="s">
        <v>53</v>
      </c>
      <c r="AE34">
        <v>196899460</v>
      </c>
      <c r="AF34" t="s">
        <v>952</v>
      </c>
      <c r="AG34" t="s">
        <v>1565</v>
      </c>
      <c r="AH34" t="s">
        <v>953</v>
      </c>
      <c r="AI34" t="s">
        <v>1566</v>
      </c>
      <c r="AJ34" t="s">
        <v>954</v>
      </c>
      <c r="AK34" t="s">
        <v>53</v>
      </c>
      <c r="AL34" t="s">
        <v>955</v>
      </c>
      <c r="AM34" t="s">
        <v>53</v>
      </c>
      <c r="AN34" t="s">
        <v>137</v>
      </c>
      <c r="AO34" t="s">
        <v>1567</v>
      </c>
      <c r="AP34" t="s">
        <v>1568</v>
      </c>
      <c r="AQ34" t="s">
        <v>1569</v>
      </c>
      <c r="AR34" t="s">
        <v>1570</v>
      </c>
      <c r="AS34" t="s">
        <v>1571</v>
      </c>
      <c r="AT34" t="s">
        <v>1572</v>
      </c>
      <c r="AU34" t="s">
        <v>1573</v>
      </c>
      <c r="AV34" t="s">
        <v>1574</v>
      </c>
      <c r="AW34" t="s">
        <v>1575</v>
      </c>
      <c r="AX34" t="s">
        <v>958</v>
      </c>
      <c r="AY34" t="s">
        <v>959</v>
      </c>
      <c r="AZ34" t="s">
        <v>960</v>
      </c>
      <c r="BA34" t="s">
        <v>281</v>
      </c>
      <c r="BB34" t="s">
        <v>282</v>
      </c>
      <c r="BC34" t="s">
        <v>473</v>
      </c>
      <c r="BD34" t="s">
        <v>339</v>
      </c>
      <c r="BE34" t="s">
        <v>228</v>
      </c>
      <c r="BF34" t="s">
        <v>283</v>
      </c>
      <c r="BG34" t="s">
        <v>284</v>
      </c>
      <c r="BH34" t="s">
        <v>950</v>
      </c>
      <c r="BI34" t="s">
        <v>1576</v>
      </c>
      <c r="BJ34" t="s">
        <v>958</v>
      </c>
      <c r="BK34" t="s">
        <v>951</v>
      </c>
      <c r="BL34" t="s">
        <v>1577</v>
      </c>
      <c r="BM34" t="s">
        <v>473</v>
      </c>
      <c r="BN34" t="s">
        <v>53</v>
      </c>
      <c r="BO34" t="s">
        <v>53</v>
      </c>
      <c r="BP34" t="s">
        <v>53</v>
      </c>
      <c r="BQ34">
        <v>-0.56999999999999995</v>
      </c>
      <c r="BR34">
        <v>-5.28</v>
      </c>
      <c r="BS34">
        <v>-8.48</v>
      </c>
      <c r="BT34" t="s">
        <v>407</v>
      </c>
      <c r="BU34" t="s">
        <v>363</v>
      </c>
      <c r="BV34">
        <v>2.63</v>
      </c>
      <c r="BW34">
        <v>0.46</v>
      </c>
      <c r="BX34">
        <v>2.04</v>
      </c>
      <c r="BY34">
        <v>-28.51</v>
      </c>
      <c r="BZ34">
        <v>-10.78</v>
      </c>
      <c r="CA34">
        <v>-13.36</v>
      </c>
      <c r="CB34">
        <v>42.42</v>
      </c>
      <c r="CC34">
        <v>-41.98</v>
      </c>
      <c r="CD34" t="s">
        <v>1578</v>
      </c>
      <c r="CE34" t="s">
        <v>1579</v>
      </c>
      <c r="CF34" s="7">
        <v>-0.84473684210526312</v>
      </c>
      <c r="CG34" s="8">
        <v>30.818205634374483</v>
      </c>
      <c r="CH34" s="7">
        <v>-0.10132317245006561</v>
      </c>
      <c r="CI34" s="7">
        <v>-0.17946666479110718</v>
      </c>
      <c r="CJ34" s="7">
        <v>-6.6331014037132263E-2</v>
      </c>
      <c r="CK34" s="7">
        <v>0.11694531887769699</v>
      </c>
      <c r="CL34" s="7">
        <v>-9.1160252690315247E-2</v>
      </c>
      <c r="CM34" s="8">
        <v>1.0049099922180176</v>
      </c>
      <c r="CN34" s="8">
        <v>0.42059338092803955</v>
      </c>
      <c r="CO34" s="8">
        <v>-8.1625003814697266</v>
      </c>
      <c r="CP34" s="8">
        <v>-0.58904111385345459</v>
      </c>
      <c r="CQ34" s="8">
        <v>-0.10975609719753265</v>
      </c>
      <c r="CR34">
        <v>-16.775187773903411</v>
      </c>
      <c r="CS34">
        <v>-2.6102271443494534</v>
      </c>
      <c r="CT34">
        <v>0</v>
      </c>
      <c r="CU34" s="7">
        <v>-6.4267157018184667E-2</v>
      </c>
      <c r="CV34" s="8">
        <v>-1.4871588438749312</v>
      </c>
      <c r="CW34">
        <v>0.06</v>
      </c>
      <c r="CX34">
        <v>1721.6163016583851</v>
      </c>
      <c r="CY34" t="s">
        <v>1580</v>
      </c>
      <c r="CZ34">
        <v>-6.4267157018184667E-2</v>
      </c>
      <c r="DA34">
        <v>573.87210055279502</v>
      </c>
      <c r="DB34" t="s">
        <v>1581</v>
      </c>
      <c r="DC34">
        <v>-6.1053799167275428E-2</v>
      </c>
      <c r="DD34">
        <v>286.93605027639751</v>
      </c>
      <c r="DE34" t="s">
        <v>1582</v>
      </c>
      <c r="DF34">
        <v>-5.6555098176002509E-2</v>
      </c>
      <c r="DG34">
        <v>172.16163016583849</v>
      </c>
      <c r="DH34" t="s">
        <v>1583</v>
      </c>
      <c r="DI34">
        <v>-5.1413725614547739E-2</v>
      </c>
      <c r="DJ34">
        <v>86.080815082919244</v>
      </c>
      <c r="DK34" t="s">
        <v>1584</v>
      </c>
      <c r="DL34">
        <v>-4.4987009912729262E-2</v>
      </c>
      <c r="DM34">
        <v>4890300</v>
      </c>
      <c r="DN34">
        <v>-6.4267157018184667E-2</v>
      </c>
      <c r="DO34">
        <v>8419220200</v>
      </c>
      <c r="DP34">
        <v>-2111351299.9999981</v>
      </c>
      <c r="DQ34">
        <v>3484</v>
      </c>
      <c r="DR34">
        <v>-0.78046968508707848</v>
      </c>
      <c r="DS34">
        <v>32.305364478249416</v>
      </c>
      <c r="DT34" s="9">
        <v>-0.59</v>
      </c>
      <c r="DU34">
        <v>-0.13333333333333341</v>
      </c>
      <c r="DV34">
        <v>-0.72333333333333338</v>
      </c>
      <c r="DW34">
        <v>5.9896275341819898</v>
      </c>
      <c r="DX34">
        <v>0.62835844687049747</v>
      </c>
      <c r="DY34">
        <v>5.3348488354460972</v>
      </c>
      <c r="DZ34">
        <v>3064</v>
      </c>
      <c r="EA34">
        <v>5.1340705904741126</v>
      </c>
      <c r="EB34">
        <v>5</v>
      </c>
      <c r="EC34">
        <v>0.331261138211631</v>
      </c>
      <c r="ED34">
        <v>0.97902425501160251</v>
      </c>
      <c r="EE34" s="10">
        <v>1.0435000000000001</v>
      </c>
      <c r="EF34">
        <v>1.0168999999999999</v>
      </c>
      <c r="EG34">
        <v>29.338358446870497</v>
      </c>
      <c r="EH34" t="s">
        <v>1452</v>
      </c>
      <c r="EI34">
        <v>1</v>
      </c>
      <c r="EJ34">
        <v>0</v>
      </c>
      <c r="EK34" s="13">
        <v>45470</v>
      </c>
      <c r="EL34" s="14">
        <v>0.47</v>
      </c>
      <c r="EM34" s="14">
        <v>-3.27</v>
      </c>
      <c r="EN34" s="14">
        <v>1.29</v>
      </c>
      <c r="EO34" s="14">
        <v>1.59</v>
      </c>
      <c r="EP34" s="14">
        <v>-2.66</v>
      </c>
    </row>
    <row r="35" spans="1:146" ht="96" x14ac:dyDescent="0.25">
      <c r="C35" s="11" t="str">
        <f>""&amp;CHAR(10)&amp;Basic_Fundamental_Information_Constructure(F35)&amp;CHAR(10)&amp;Basic_Fundamental_Information_Concatenate("")</f>
        <v xml:space="preserve">
市值18.1272亿, 利润3.16亿; PE22.43; 平均PE13.75; 平均PEG.34, PB1.45; ROIC18.7233%; ROE21.8767%; 股利率1.8536%; 毛利13.1133%; 净利6.4933%; 上一年度营收增141.8%, 利润增163.33%; 当季营收增-46.21%, 利润增3.08%; 过往5年营收增39.9%, 利润增61.62%
Income profile:
</v>
      </c>
      <c r="D35" t="s">
        <v>384</v>
      </c>
      <c r="E35" t="s">
        <v>385</v>
      </c>
      <c r="F35">
        <v>10.79</v>
      </c>
      <c r="G35">
        <v>0</v>
      </c>
      <c r="H35" t="s">
        <v>1585</v>
      </c>
      <c r="I35">
        <v>1812720000</v>
      </c>
      <c r="J35">
        <v>22.43</v>
      </c>
      <c r="K35">
        <v>1.45</v>
      </c>
      <c r="L35" t="s">
        <v>29</v>
      </c>
      <c r="M35" t="s">
        <v>962</v>
      </c>
      <c r="N35" t="s">
        <v>1586</v>
      </c>
      <c r="O35" t="s">
        <v>963</v>
      </c>
      <c r="P35">
        <v>5.72</v>
      </c>
      <c r="Q35" t="s">
        <v>1587</v>
      </c>
      <c r="R35">
        <v>20333510</v>
      </c>
      <c r="S35">
        <v>-0.13089999999999999</v>
      </c>
      <c r="T35" t="s">
        <v>589</v>
      </c>
      <c r="U35">
        <v>80832000</v>
      </c>
      <c r="V35">
        <v>168000000</v>
      </c>
      <c r="W35">
        <v>1.17</v>
      </c>
      <c r="X35">
        <v>0.28000000000000003</v>
      </c>
      <c r="Y35">
        <v>5</v>
      </c>
      <c r="Z35" t="s">
        <v>611</v>
      </c>
      <c r="AA35" t="s">
        <v>1588</v>
      </c>
      <c r="AB35" t="s">
        <v>1589</v>
      </c>
      <c r="AC35" t="s">
        <v>1590</v>
      </c>
      <c r="AD35" t="s">
        <v>53</v>
      </c>
      <c r="AE35">
        <v>297160</v>
      </c>
      <c r="AF35" t="s">
        <v>966</v>
      </c>
      <c r="AG35" t="s">
        <v>1591</v>
      </c>
      <c r="AH35" t="s">
        <v>967</v>
      </c>
      <c r="AI35" t="s">
        <v>1592</v>
      </c>
      <c r="AJ35" t="s">
        <v>968</v>
      </c>
      <c r="AK35" t="s">
        <v>53</v>
      </c>
      <c r="AL35" t="s">
        <v>969</v>
      </c>
      <c r="AM35" t="s">
        <v>53</v>
      </c>
      <c r="AN35" t="s">
        <v>1593</v>
      </c>
      <c r="AO35" t="s">
        <v>1594</v>
      </c>
      <c r="AP35" t="s">
        <v>53</v>
      </c>
      <c r="AQ35" t="s">
        <v>1595</v>
      </c>
      <c r="AR35" t="s">
        <v>53</v>
      </c>
      <c r="AS35" t="s">
        <v>1596</v>
      </c>
      <c r="AT35" t="s">
        <v>53</v>
      </c>
      <c r="AU35" t="s">
        <v>1597</v>
      </c>
      <c r="AV35" t="s">
        <v>1598</v>
      </c>
      <c r="AW35" t="s">
        <v>1599</v>
      </c>
      <c r="AX35" t="s">
        <v>474</v>
      </c>
      <c r="AY35" t="s">
        <v>386</v>
      </c>
      <c r="AZ35" t="s">
        <v>387</v>
      </c>
      <c r="BA35" t="s">
        <v>388</v>
      </c>
      <c r="BB35" t="s">
        <v>389</v>
      </c>
      <c r="BC35" t="s">
        <v>357</v>
      </c>
      <c r="BD35" t="s">
        <v>356</v>
      </c>
      <c r="BE35" t="s">
        <v>383</v>
      </c>
      <c r="BF35" t="s">
        <v>390</v>
      </c>
      <c r="BG35" t="s">
        <v>391</v>
      </c>
      <c r="BH35" t="s">
        <v>964</v>
      </c>
      <c r="BI35" t="s">
        <v>1600</v>
      </c>
      <c r="BJ35" t="s">
        <v>474</v>
      </c>
      <c r="BK35" t="s">
        <v>965</v>
      </c>
      <c r="BL35" t="s">
        <v>1601</v>
      </c>
      <c r="BM35" t="s">
        <v>357</v>
      </c>
      <c r="BN35">
        <v>5.04</v>
      </c>
      <c r="BO35">
        <v>13.94</v>
      </c>
      <c r="BP35">
        <v>37.19</v>
      </c>
      <c r="BQ35">
        <v>5.54</v>
      </c>
      <c r="BR35">
        <v>20.09</v>
      </c>
      <c r="BS35">
        <v>40</v>
      </c>
      <c r="BT35" t="s">
        <v>637</v>
      </c>
      <c r="BU35" t="s">
        <v>1091</v>
      </c>
      <c r="BV35">
        <v>13.03</v>
      </c>
      <c r="BW35">
        <v>13.73</v>
      </c>
      <c r="BX35">
        <v>12.58</v>
      </c>
      <c r="BY35">
        <v>5.08</v>
      </c>
      <c r="BZ35">
        <v>7.22</v>
      </c>
      <c r="CA35">
        <v>7.18</v>
      </c>
      <c r="CB35">
        <v>-4.8499999999999996</v>
      </c>
      <c r="CC35" s="7">
        <v>-25.07</v>
      </c>
      <c r="CD35" s="8" t="s">
        <v>1602</v>
      </c>
      <c r="CE35" s="7" t="s">
        <v>1603</v>
      </c>
      <c r="CF35" s="7">
        <v>-0.46214099216710181</v>
      </c>
      <c r="CG35" s="7">
        <v>3.0844457062321612E-2</v>
      </c>
      <c r="CH35" s="7">
        <v>1.417973518371582</v>
      </c>
      <c r="CI35" s="7">
        <v>-0.18525801599025726</v>
      </c>
      <c r="CJ35" s="8">
        <v>0.18039447069168091</v>
      </c>
      <c r="CK35" s="8">
        <v>0.7154228687286377</v>
      </c>
      <c r="CL35" s="8">
        <v>-0.13362069427967072</v>
      </c>
      <c r="CM35" s="8">
        <v>1.6333333253860474</v>
      </c>
      <c r="CN35" s="8">
        <v>-0.17808219790458679</v>
      </c>
      <c r="CO35">
        <v>0.3035714328289032</v>
      </c>
      <c r="CP35">
        <v>1.096235990524292</v>
      </c>
      <c r="CQ35">
        <v>0.22613832354545593</v>
      </c>
      <c r="CR35" s="7">
        <v>13.750015486643434</v>
      </c>
      <c r="CS35" s="8">
        <v>0.34462709307082373</v>
      </c>
      <c r="CT35">
        <v>1.8535681186283597</v>
      </c>
      <c r="CU35">
        <v>0.39898242950439455</v>
      </c>
      <c r="CV35">
        <v>0.61623937487602232</v>
      </c>
      <c r="CW35">
        <v>0.06</v>
      </c>
      <c r="CX35">
        <v>1.8911648018704539</v>
      </c>
      <c r="CY35">
        <v>417055139.36168736</v>
      </c>
      <c r="CZ35">
        <v>0.39898242950439455</v>
      </c>
      <c r="DA35">
        <v>0.48041003622222811</v>
      </c>
      <c r="DB35">
        <v>1641764202.5179379</v>
      </c>
      <c r="DC35">
        <v>0.37903330802917479</v>
      </c>
      <c r="DD35">
        <v>0.16353357580060687</v>
      </c>
      <c r="DE35">
        <v>4822985103.4485426</v>
      </c>
      <c r="DF35">
        <v>0.3511045379638672</v>
      </c>
      <c r="DG35">
        <v>6.1976247178725491E-2</v>
      </c>
      <c r="DH35">
        <v>12726165844.238838</v>
      </c>
      <c r="DI35">
        <v>0.31918594360351565</v>
      </c>
      <c r="DJ35">
        <v>1.019199191157265E-2</v>
      </c>
      <c r="DK35">
        <v>77386246657.479782</v>
      </c>
      <c r="DL35">
        <v>0.27928770065307618</v>
      </c>
      <c r="DM35">
        <v>316000000</v>
      </c>
      <c r="DN35">
        <v>0.39898242950439455</v>
      </c>
      <c r="DO35">
        <v>788720000</v>
      </c>
      <c r="DP35">
        <v>595158120</v>
      </c>
      <c r="DQ35" s="9">
        <v>3964</v>
      </c>
      <c r="DR35">
        <v>-0.86112342167149636</v>
      </c>
      <c r="DS35">
        <v>-0.58539491781370068</v>
      </c>
      <c r="DT35">
        <v>0.11000000000000003</v>
      </c>
      <c r="DU35">
        <v>0.65</v>
      </c>
      <c r="DV35">
        <v>0.76</v>
      </c>
      <c r="DW35">
        <v>-8.1934583167132029</v>
      </c>
      <c r="DX35">
        <v>0.40195365383665149</v>
      </c>
      <c r="DY35">
        <v>-8.0274621149225283</v>
      </c>
      <c r="DZ35">
        <v>503</v>
      </c>
      <c r="EA35">
        <v>-8.0247588969565733</v>
      </c>
      <c r="EB35" s="10">
        <v>8</v>
      </c>
      <c r="EC35">
        <v>3.9332738095238094E-2</v>
      </c>
      <c r="ED35">
        <v>0.27708154761904763</v>
      </c>
      <c r="EE35">
        <v>-2.0295100000000001</v>
      </c>
      <c r="EF35">
        <v>-2.0442100000000001</v>
      </c>
      <c r="EG35">
        <v>26.141953653836651</v>
      </c>
      <c r="EH35" s="13" t="s">
        <v>594</v>
      </c>
      <c r="EI35" s="14">
        <v>0</v>
      </c>
      <c r="EJ35" s="14">
        <v>1</v>
      </c>
      <c r="EK35" s="14">
        <v>45470</v>
      </c>
      <c r="EL35" s="14">
        <v>0.68</v>
      </c>
      <c r="EM35" s="14">
        <v>-3.32</v>
      </c>
      <c r="EN35" s="14">
        <v>1.78</v>
      </c>
      <c r="EO35" s="14">
        <v>1.99</v>
      </c>
      <c r="EP35" s="14">
        <v>-1.47</v>
      </c>
    </row>
    <row r="36" spans="1:146" ht="84" x14ac:dyDescent="0.25">
      <c r="A36" s="11"/>
      <c r="B36" s="11"/>
      <c r="C36" s="11" t="str">
        <f>""&amp;CHAR(10)&amp;Basic_Fundamental_Information_Constructure(F36)&amp;CHAR(10)&amp;Basic_Fundamental_Information_Concatenate("")</f>
        <v xml:space="preserve">
市值17.261295亿, 利润1.12亿; PE15.63; 平均PE19.68; 平均PEG3.3, PB1.63; ROIC12.91%; ROE15.1333%; 股利率3.8132%; 毛利12.9567%; 净利6.6667%; 上一年度营收增-44.7%, 利润增-1.75%; 当季营收增140.24%, 利润增489.29%; 过往5年营收增5.96%, 利润增10.08%
Income profile:
</v>
      </c>
      <c r="D36" t="s">
        <v>373</v>
      </c>
      <c r="E36" t="s">
        <v>374</v>
      </c>
      <c r="F36">
        <v>10.49</v>
      </c>
      <c r="G36">
        <v>1.25</v>
      </c>
      <c r="H36" t="s">
        <v>1604</v>
      </c>
      <c r="I36">
        <v>1726129500</v>
      </c>
      <c r="J36">
        <v>15.63</v>
      </c>
      <c r="K36">
        <v>1.63</v>
      </c>
      <c r="L36" t="s">
        <v>29</v>
      </c>
      <c r="M36" t="s">
        <v>970</v>
      </c>
      <c r="N36" t="s">
        <v>1605</v>
      </c>
      <c r="O36" t="s">
        <v>971</v>
      </c>
      <c r="P36">
        <v>-15.04</v>
      </c>
      <c r="Q36" t="s">
        <v>1606</v>
      </c>
      <c r="R36">
        <v>31232702</v>
      </c>
      <c r="S36">
        <v>8.9700000000000005E-3</v>
      </c>
      <c r="T36" t="s">
        <v>383</v>
      </c>
      <c r="U36">
        <v>93078672</v>
      </c>
      <c r="V36">
        <v>164550000</v>
      </c>
      <c r="W36">
        <v>1.28</v>
      </c>
      <c r="X36">
        <v>0.3</v>
      </c>
      <c r="Y36">
        <v>7.93</v>
      </c>
      <c r="Z36" t="s">
        <v>258</v>
      </c>
      <c r="AA36" t="s">
        <v>990</v>
      </c>
      <c r="AB36" t="s">
        <v>1607</v>
      </c>
      <c r="AC36" t="s">
        <v>1608</v>
      </c>
      <c r="AD36" t="s">
        <v>53</v>
      </c>
      <c r="AE36">
        <v>-2400268</v>
      </c>
      <c r="AF36" t="s">
        <v>75</v>
      </c>
      <c r="AG36" t="s">
        <v>1609</v>
      </c>
      <c r="AH36" t="s">
        <v>973</v>
      </c>
      <c r="AI36" t="s">
        <v>582</v>
      </c>
      <c r="AJ36" t="s">
        <v>974</v>
      </c>
      <c r="AK36" t="s">
        <v>1610</v>
      </c>
      <c r="AL36" t="s">
        <v>975</v>
      </c>
      <c r="AM36" t="s">
        <v>53</v>
      </c>
      <c r="AN36" t="s">
        <v>1611</v>
      </c>
      <c r="AO36" t="s">
        <v>53</v>
      </c>
      <c r="AP36" t="s">
        <v>53</v>
      </c>
      <c r="AQ36" t="s">
        <v>1081</v>
      </c>
      <c r="AR36" t="s">
        <v>53</v>
      </c>
      <c r="AS36" t="s">
        <v>849</v>
      </c>
      <c r="AT36" t="s">
        <v>53</v>
      </c>
      <c r="AU36" t="s">
        <v>1612</v>
      </c>
      <c r="AV36" t="s">
        <v>1613</v>
      </c>
      <c r="AW36" t="s">
        <v>1614</v>
      </c>
      <c r="AX36" t="s">
        <v>476</v>
      </c>
      <c r="AY36" t="s">
        <v>375</v>
      </c>
      <c r="AZ36" t="s">
        <v>378</v>
      </c>
      <c r="BA36" t="s">
        <v>358</v>
      </c>
      <c r="BB36" t="s">
        <v>367</v>
      </c>
      <c r="BC36" t="s">
        <v>368</v>
      </c>
      <c r="BD36" t="s">
        <v>376</v>
      </c>
      <c r="BE36" t="s">
        <v>379</v>
      </c>
      <c r="BF36" t="s">
        <v>380</v>
      </c>
      <c r="BG36" t="s">
        <v>381</v>
      </c>
      <c r="BH36" t="s">
        <v>972</v>
      </c>
      <c r="BI36" t="s">
        <v>581</v>
      </c>
      <c r="BJ36" t="s">
        <v>476</v>
      </c>
      <c r="BK36" t="s">
        <v>627</v>
      </c>
      <c r="BL36" t="s">
        <v>1615</v>
      </c>
      <c r="BM36" t="s">
        <v>368</v>
      </c>
      <c r="BN36">
        <v>8.15</v>
      </c>
      <c r="BO36">
        <v>15.01</v>
      </c>
      <c r="BP36">
        <v>15.57</v>
      </c>
      <c r="BQ36">
        <v>8.51</v>
      </c>
      <c r="BR36">
        <v>18.420000000000002</v>
      </c>
      <c r="BS36">
        <v>18.47</v>
      </c>
      <c r="BT36" t="s">
        <v>977</v>
      </c>
      <c r="BU36" t="s">
        <v>363</v>
      </c>
      <c r="BV36">
        <v>12.66</v>
      </c>
      <c r="BW36">
        <v>13.12</v>
      </c>
      <c r="BX36">
        <v>13.09</v>
      </c>
      <c r="BY36">
        <v>6.5</v>
      </c>
      <c r="BZ36">
        <v>7.09</v>
      </c>
      <c r="CA36">
        <v>6.41</v>
      </c>
      <c r="CB36">
        <v>-0.28999999999999998</v>
      </c>
      <c r="CC36">
        <v>-8.2200000000000006</v>
      </c>
      <c r="CD36" t="s">
        <v>1616</v>
      </c>
      <c r="CE36" t="s">
        <v>1617</v>
      </c>
      <c r="CF36" s="7">
        <v>1.4024390243902438</v>
      </c>
      <c r="CG36" s="8">
        <v>4.892851455632913</v>
      </c>
      <c r="CH36" s="7">
        <v>-0.44699317216873169</v>
      </c>
      <c r="CI36" s="7">
        <v>0.30713123083114624</v>
      </c>
      <c r="CJ36" s="7">
        <v>0.27347782254219055</v>
      </c>
      <c r="CK36" s="7">
        <v>0.11379310488700867</v>
      </c>
      <c r="CL36" s="7">
        <v>5.0724636763334274E-2</v>
      </c>
      <c r="CM36" s="8">
        <v>-1.7543859779834747E-2</v>
      </c>
      <c r="CN36" s="8">
        <v>0.44032332301139832</v>
      </c>
      <c r="CO36" s="8">
        <v>6.8302102386951447E-2</v>
      </c>
      <c r="CP36" s="8">
        <v>1.8972199177369475E-3</v>
      </c>
      <c r="CQ36" s="8">
        <v>1.1067956686019897E-2</v>
      </c>
      <c r="CR36">
        <v>19.677558113885297</v>
      </c>
      <c r="CS36">
        <v>3.3001239386305459</v>
      </c>
      <c r="CT36">
        <v>3.8131553860819829</v>
      </c>
      <c r="CU36" s="7">
        <v>5.9626724570989609E-2</v>
      </c>
      <c r="CV36" s="8">
        <v>0.10080934844445437</v>
      </c>
      <c r="CW36">
        <v>0.06</v>
      </c>
      <c r="CX36">
        <v>8.2272677403325449</v>
      </c>
      <c r="CY36">
        <v>111960559.57731213</v>
      </c>
      <c r="CZ36">
        <v>5.9626724570989609E-2</v>
      </c>
      <c r="DA36">
        <v>2.7588822559932566</v>
      </c>
      <c r="DB36">
        <v>333877786.19366038</v>
      </c>
      <c r="DC36">
        <v>5.6645388342440123E-2</v>
      </c>
      <c r="DD36">
        <v>1.4052498252031884</v>
      </c>
      <c r="DE36">
        <v>655491631.08190513</v>
      </c>
      <c r="DF36">
        <v>5.2471517622470855E-2</v>
      </c>
      <c r="DG36">
        <v>0.87646510103795838</v>
      </c>
      <c r="DH36">
        <v>1050959700.4023863</v>
      </c>
      <c r="DI36">
        <v>4.7701379656791693E-2</v>
      </c>
      <c r="DJ36">
        <v>0.49106463077509349</v>
      </c>
      <c r="DK36">
        <v>1875780584.2096481</v>
      </c>
      <c r="DL36">
        <v>4.1738707199692721E-2</v>
      </c>
      <c r="DM36">
        <v>112000000.00000001</v>
      </c>
      <c r="DN36">
        <v>5.9626724570989609E-2</v>
      </c>
      <c r="DO36">
        <v>921129500</v>
      </c>
      <c r="DP36">
        <v>584727500</v>
      </c>
      <c r="DQ36">
        <v>3989</v>
      </c>
      <c r="DR36">
        <v>1.3428122998192542</v>
      </c>
      <c r="DS36">
        <v>4.7920421071884585</v>
      </c>
      <c r="DT36" s="9">
        <v>-0.32333333333333331</v>
      </c>
      <c r="DU36">
        <v>0.15</v>
      </c>
      <c r="DV36">
        <v>-0.17333333333333331</v>
      </c>
      <c r="DW36">
        <v>-2.0821999999999998</v>
      </c>
      <c r="DX36">
        <v>0.29830001364698205</v>
      </c>
      <c r="DY36">
        <v>-2.0089022611217819</v>
      </c>
      <c r="DZ36">
        <v>2010</v>
      </c>
      <c r="EA36">
        <v>-2.00540058893885</v>
      </c>
      <c r="EB36">
        <v>2</v>
      </c>
      <c r="EC36">
        <v>3.2312367061683382E-2</v>
      </c>
      <c r="ED36">
        <v>0.29835976906715284</v>
      </c>
      <c r="EE36" s="10">
        <v>2.2600000000000002E-2</v>
      </c>
      <c r="EF36">
        <v>5.2999999999999992E-3</v>
      </c>
      <c r="EG36">
        <v>19.108300013646982</v>
      </c>
      <c r="EH36" t="s">
        <v>352</v>
      </c>
      <c r="EI36">
        <v>0</v>
      </c>
      <c r="EJ36">
        <v>0</v>
      </c>
      <c r="EK36" s="13">
        <v>45470</v>
      </c>
      <c r="EL36" s="14">
        <v>0.21</v>
      </c>
      <c r="EM36" s="14">
        <v>-3.64</v>
      </c>
      <c r="EN36">
        <v>1.33</v>
      </c>
      <c r="EO36">
        <v>1.31</v>
      </c>
      <c r="EP36">
        <v>-1.73</v>
      </c>
    </row>
    <row r="37" spans="1:146" ht="96" x14ac:dyDescent="0.25">
      <c r="C37" s="11" t="str">
        <f>""&amp;CHAR(10)&amp;Basic_Fundamental_Information_Constructure(F37)&amp;CHAR(10)&amp;Basic_Fundamental_Information_Concatenate("")</f>
        <v xml:space="preserve">
市值31.820503亿, 利润3696.57万; PE19.6; 平均PE32.29; 平均PEG14.6, PB1.65; ROIC17.0167%; ROE18.51%; 股利率3.0084%; 毛利13.64%; 净利8.5033%; 上一年度营收增-69.63%, 利润增-78%; 当季营收增472.9%, 利润增189.47%; 过往5年营收增-2.21%, 利润增8.12%
Income profile:
</v>
      </c>
      <c r="D37" t="s">
        <v>614</v>
      </c>
      <c r="E37" t="s">
        <v>615</v>
      </c>
      <c r="F37">
        <v>16.62</v>
      </c>
      <c r="G37">
        <v>0.97</v>
      </c>
      <c r="H37" t="s">
        <v>1618</v>
      </c>
      <c r="I37">
        <v>3182050300</v>
      </c>
      <c r="J37">
        <v>19.600000000000001</v>
      </c>
      <c r="K37">
        <v>1.65</v>
      </c>
      <c r="L37" t="s">
        <v>29</v>
      </c>
      <c r="M37" t="s">
        <v>739</v>
      </c>
      <c r="N37" t="s">
        <v>275</v>
      </c>
      <c r="O37" t="s">
        <v>978</v>
      </c>
      <c r="P37" s="3">
        <v>-4.55</v>
      </c>
      <c r="Q37" t="s">
        <v>1619</v>
      </c>
      <c r="R37">
        <v>37265470</v>
      </c>
      <c r="S37">
        <v>0.47770000000000001</v>
      </c>
      <c r="T37" t="s">
        <v>1620</v>
      </c>
      <c r="U37">
        <v>47864800</v>
      </c>
      <c r="V37">
        <v>191459110</v>
      </c>
      <c r="W37">
        <v>1.1100000000000001</v>
      </c>
      <c r="X37">
        <v>0.18</v>
      </c>
      <c r="Y37">
        <v>9.49</v>
      </c>
      <c r="Z37" t="s">
        <v>258</v>
      </c>
      <c r="AA37" t="s">
        <v>1621</v>
      </c>
      <c r="AB37" t="s">
        <v>1622</v>
      </c>
      <c r="AC37" t="s">
        <v>1623</v>
      </c>
      <c r="AD37" t="s">
        <v>53</v>
      </c>
      <c r="AE37">
        <v>-5041406</v>
      </c>
      <c r="AF37" t="s">
        <v>979</v>
      </c>
      <c r="AG37" t="s">
        <v>1624</v>
      </c>
      <c r="AH37" t="s">
        <v>980</v>
      </c>
      <c r="AI37" t="s">
        <v>1625</v>
      </c>
      <c r="AJ37" t="s">
        <v>981</v>
      </c>
      <c r="AK37" t="s">
        <v>1626</v>
      </c>
      <c r="AL37" t="s">
        <v>982</v>
      </c>
      <c r="AM37" t="s">
        <v>53</v>
      </c>
      <c r="AN37" t="s">
        <v>1627</v>
      </c>
      <c r="AO37" t="s">
        <v>1628</v>
      </c>
      <c r="AP37" t="s">
        <v>53</v>
      </c>
      <c r="AQ37" t="s">
        <v>357</v>
      </c>
      <c r="AR37" t="s">
        <v>53</v>
      </c>
      <c r="AS37" t="s">
        <v>1629</v>
      </c>
      <c r="AT37" t="s">
        <v>53</v>
      </c>
      <c r="AU37" t="s">
        <v>1630</v>
      </c>
      <c r="AV37" t="s">
        <v>1631</v>
      </c>
      <c r="AW37" t="s">
        <v>1632</v>
      </c>
      <c r="AX37" t="s">
        <v>616</v>
      </c>
      <c r="AY37" t="s">
        <v>464</v>
      </c>
      <c r="AZ37" t="s">
        <v>617</v>
      </c>
      <c r="BA37" t="s">
        <v>618</v>
      </c>
      <c r="BB37" t="s">
        <v>53</v>
      </c>
      <c r="BC37" t="s">
        <v>136</v>
      </c>
      <c r="BD37" t="s">
        <v>401</v>
      </c>
      <c r="BE37" t="s">
        <v>619</v>
      </c>
      <c r="BF37" t="s">
        <v>620</v>
      </c>
      <c r="BG37" t="s">
        <v>53</v>
      </c>
      <c r="BH37" t="s">
        <v>837</v>
      </c>
      <c r="BI37" t="s">
        <v>1633</v>
      </c>
      <c r="BJ37" t="s">
        <v>616</v>
      </c>
      <c r="BK37" t="s">
        <v>575</v>
      </c>
      <c r="BL37" t="s">
        <v>1634</v>
      </c>
      <c r="BM37" t="s">
        <v>136</v>
      </c>
      <c r="BN37">
        <v>13.04</v>
      </c>
      <c r="BO37">
        <v>20.59</v>
      </c>
      <c r="BP37">
        <v>17.420000000000002</v>
      </c>
      <c r="BQ37">
        <v>14.21</v>
      </c>
      <c r="BR37">
        <v>22.81</v>
      </c>
      <c r="BS37" t="s">
        <v>53</v>
      </c>
      <c r="BT37" t="s">
        <v>475</v>
      </c>
      <c r="BU37" t="s">
        <v>363</v>
      </c>
      <c r="BV37">
        <v>13.65</v>
      </c>
      <c r="BW37">
        <v>13.27</v>
      </c>
      <c r="BX37">
        <v>14</v>
      </c>
      <c r="BY37">
        <v>8.6</v>
      </c>
      <c r="BZ37">
        <v>9.1</v>
      </c>
      <c r="CA37">
        <v>7.81</v>
      </c>
      <c r="CB37">
        <v>-2.46</v>
      </c>
      <c r="CC37" s="7">
        <v>-13.84</v>
      </c>
      <c r="CD37" s="8" t="s">
        <v>1635</v>
      </c>
      <c r="CE37" s="7" t="s">
        <v>1636</v>
      </c>
      <c r="CF37" s="7">
        <v>4.7290049461867127</v>
      </c>
      <c r="CG37" s="7">
        <v>1.8946905055723882</v>
      </c>
      <c r="CH37" s="7">
        <v>-0.69626426696777344</v>
      </c>
      <c r="CI37" s="7">
        <v>0.16456498205661774</v>
      </c>
      <c r="CJ37" s="8">
        <v>0.24003121256828308</v>
      </c>
      <c r="CK37" s="8">
        <v>0.20319855213165283</v>
      </c>
      <c r="CL37" s="8" t="s">
        <v>53</v>
      </c>
      <c r="CM37" s="8">
        <v>-0.77996611595153809</v>
      </c>
      <c r="CN37" s="8">
        <v>0.35483869910240173</v>
      </c>
      <c r="CO37">
        <v>0.26860573887825012</v>
      </c>
      <c r="CP37">
        <v>0.48119962215423584</v>
      </c>
      <c r="CQ37" t="s">
        <v>53</v>
      </c>
      <c r="CR37" s="7">
        <v>32.291880496357528</v>
      </c>
      <c r="CS37" s="8">
        <v>14.600228607213467</v>
      </c>
      <c r="CT37">
        <v>3.0084235860409145</v>
      </c>
      <c r="CU37">
        <v>-2.2117380052804947E-2</v>
      </c>
      <c r="CV37">
        <v>8.1169486045837402E-2</v>
      </c>
      <c r="CW37">
        <v>0.06</v>
      </c>
      <c r="CX37">
        <v>40.741830940574644</v>
      </c>
      <c r="CY37" t="s">
        <v>1637</v>
      </c>
      <c r="CZ37">
        <v>-2.2117380052804947E-2</v>
      </c>
      <c r="DA37">
        <v>13.580610313524881</v>
      </c>
      <c r="DB37" t="s">
        <v>1638</v>
      </c>
      <c r="DC37">
        <v>-2.1011511050164699E-2</v>
      </c>
      <c r="DD37">
        <v>6.7903051567624404</v>
      </c>
      <c r="DE37" t="s">
        <v>1639</v>
      </c>
      <c r="DF37">
        <v>-1.9463294446468354E-2</v>
      </c>
      <c r="DG37">
        <v>4.0741830940574637</v>
      </c>
      <c r="DH37" t="s">
        <v>1640</v>
      </c>
      <c r="DI37">
        <v>-1.7693904042243958E-2</v>
      </c>
      <c r="DJ37">
        <v>2.0370915470287319</v>
      </c>
      <c r="DK37" t="s">
        <v>1641</v>
      </c>
      <c r="DL37">
        <v>-1.5482166036963462E-2</v>
      </c>
      <c r="DM37">
        <v>36965700</v>
      </c>
      <c r="DN37">
        <v>-2.2117380052804947E-2</v>
      </c>
      <c r="DO37">
        <v>1506050300</v>
      </c>
      <c r="DP37">
        <v>1288641900</v>
      </c>
      <c r="DQ37" s="9">
        <v>4030</v>
      </c>
      <c r="DR37">
        <v>4.7511223262395177</v>
      </c>
      <c r="DS37">
        <v>1.8135210195265508</v>
      </c>
      <c r="DT37">
        <v>-0.44800000000000006</v>
      </c>
      <c r="DU37">
        <v>7.9999999999999988E-2</v>
      </c>
      <c r="DV37">
        <v>-0.3680000000000001</v>
      </c>
      <c r="DW37">
        <v>-2.1383999999999999</v>
      </c>
      <c r="DX37">
        <v>0.26402161137509228</v>
      </c>
      <c r="DY37">
        <v>-2.0143965910143127</v>
      </c>
      <c r="DZ37">
        <v>1457</v>
      </c>
      <c r="EA37">
        <v>-2.0102917313063178</v>
      </c>
      <c r="EB37" s="10">
        <v>2</v>
      </c>
      <c r="EC37" s="10">
        <v>3.85852624092946E-2</v>
      </c>
      <c r="ED37">
        <v>0.37093507851363144</v>
      </c>
      <c r="EE37">
        <v>-4.0965999999999996</v>
      </c>
      <c r="EF37">
        <v>-4.0846999999999998</v>
      </c>
      <c r="EG37">
        <v>16.104021611375092</v>
      </c>
      <c r="EH37" s="13" t="s">
        <v>625</v>
      </c>
      <c r="EI37">
        <v>0</v>
      </c>
      <c r="EJ37">
        <v>1</v>
      </c>
      <c r="EK37">
        <v>45470</v>
      </c>
      <c r="EL37">
        <v>0.17</v>
      </c>
      <c r="EM37">
        <v>-3.65</v>
      </c>
      <c r="EN37">
        <v>1.29</v>
      </c>
      <c r="EO37">
        <v>3.8</v>
      </c>
      <c r="EP37">
        <v>-1.19</v>
      </c>
    </row>
    <row r="38" spans="1:146" ht="96" x14ac:dyDescent="0.25">
      <c r="A38" s="11"/>
      <c r="B38" s="11"/>
      <c r="C38" s="11" t="str">
        <f>""&amp;CHAR(10)&amp;Basic_Fundamental_Information_Constructure(F38)&amp;CHAR(10)&amp;Basic_Fundamental_Information_Concatenate("")</f>
        <v xml:space="preserve">
市值17.225584亿, 利润5.38亿; PE78.22; 平均PE12.18; 平均PEG.15, PB1.55; ROIC3.4267%; ROE3.8267%; 股利率0%; 毛利8.9933%; 净利3.5567%; 上一年度营收增367.26%, 利润增1034.83%; 当季营收增-85.07%, 利润增-92.77%; 过往5年营收增81.89%, 利润增203.13%
Income profile:
</v>
      </c>
      <c r="D38" t="s">
        <v>45</v>
      </c>
      <c r="E38" t="s">
        <v>12</v>
      </c>
      <c r="F38">
        <v>3.02</v>
      </c>
      <c r="G38">
        <v>1</v>
      </c>
      <c r="H38" t="s">
        <v>1642</v>
      </c>
      <c r="I38">
        <v>1722558400</v>
      </c>
      <c r="J38">
        <v>78.22</v>
      </c>
      <c r="K38">
        <v>1.55</v>
      </c>
      <c r="L38" t="s">
        <v>29</v>
      </c>
      <c r="M38" t="s">
        <v>983</v>
      </c>
      <c r="N38" t="s">
        <v>1643</v>
      </c>
      <c r="O38" t="s">
        <v>400</v>
      </c>
      <c r="P38">
        <v>-12.1</v>
      </c>
      <c r="Q38" t="s">
        <v>1644</v>
      </c>
      <c r="R38">
        <v>8099072</v>
      </c>
      <c r="S38" s="3">
        <v>-0.1925</v>
      </c>
      <c r="T38" t="s">
        <v>1645</v>
      </c>
      <c r="U38">
        <v>570383560</v>
      </c>
      <c r="V38">
        <v>570383560</v>
      </c>
      <c r="W38">
        <v>1.6</v>
      </c>
      <c r="X38">
        <v>0.12</v>
      </c>
      <c r="Y38">
        <v>3.23</v>
      </c>
      <c r="Z38" t="s">
        <v>1050</v>
      </c>
      <c r="AA38" t="s">
        <v>762</v>
      </c>
      <c r="AB38" t="s">
        <v>1646</v>
      </c>
      <c r="AC38" t="s">
        <v>1647</v>
      </c>
      <c r="AD38" t="s">
        <v>53</v>
      </c>
      <c r="AE38">
        <v>6421270</v>
      </c>
      <c r="AF38" t="s">
        <v>986</v>
      </c>
      <c r="AG38" t="s">
        <v>1648</v>
      </c>
      <c r="AH38" t="s">
        <v>987</v>
      </c>
      <c r="AI38" t="s">
        <v>1649</v>
      </c>
      <c r="AJ38" t="s">
        <v>988</v>
      </c>
      <c r="AK38" t="s">
        <v>53</v>
      </c>
      <c r="AL38" t="s">
        <v>989</v>
      </c>
      <c r="AM38" t="s">
        <v>53</v>
      </c>
      <c r="AN38" t="s">
        <v>1650</v>
      </c>
      <c r="AO38" t="s">
        <v>774</v>
      </c>
      <c r="AP38" t="s">
        <v>53</v>
      </c>
      <c r="AQ38" t="s">
        <v>1651</v>
      </c>
      <c r="AR38" t="s">
        <v>53</v>
      </c>
      <c r="AS38" t="s">
        <v>956</v>
      </c>
      <c r="AT38" t="s">
        <v>1652</v>
      </c>
      <c r="AU38" t="s">
        <v>1653</v>
      </c>
      <c r="AV38" t="s">
        <v>1654</v>
      </c>
      <c r="AW38" t="s">
        <v>1655</v>
      </c>
      <c r="AX38" t="s">
        <v>298</v>
      </c>
      <c r="AY38" t="s">
        <v>340</v>
      </c>
      <c r="AZ38" t="s">
        <v>118</v>
      </c>
      <c r="BA38" t="s">
        <v>113</v>
      </c>
      <c r="BB38" t="s">
        <v>218</v>
      </c>
      <c r="BC38" t="s">
        <v>477</v>
      </c>
      <c r="BD38" t="s">
        <v>341</v>
      </c>
      <c r="BE38" t="s">
        <v>217</v>
      </c>
      <c r="BF38" t="s">
        <v>114</v>
      </c>
      <c r="BG38" t="s">
        <v>219</v>
      </c>
      <c r="BH38" t="s">
        <v>984</v>
      </c>
      <c r="BI38" t="s">
        <v>1656</v>
      </c>
      <c r="BJ38" t="s">
        <v>298</v>
      </c>
      <c r="BK38" t="s">
        <v>985</v>
      </c>
      <c r="BL38" t="s">
        <v>383</v>
      </c>
      <c r="BM38" t="s">
        <v>477</v>
      </c>
      <c r="BN38">
        <v>2.2599999999999998</v>
      </c>
      <c r="BO38">
        <v>3.94</v>
      </c>
      <c r="BP38">
        <v>4.08</v>
      </c>
      <c r="BQ38">
        <v>2.88</v>
      </c>
      <c r="BR38">
        <v>4.25</v>
      </c>
      <c r="BS38">
        <v>4.3499999999999996</v>
      </c>
      <c r="BT38" t="s">
        <v>407</v>
      </c>
      <c r="BU38" t="s">
        <v>369</v>
      </c>
      <c r="BV38">
        <v>8.01</v>
      </c>
      <c r="BW38">
        <v>8.4499999999999993</v>
      </c>
      <c r="BX38">
        <v>10.52</v>
      </c>
      <c r="BY38">
        <v>1.81</v>
      </c>
      <c r="BZ38">
        <v>4.08</v>
      </c>
      <c r="CA38">
        <v>4.78</v>
      </c>
      <c r="CB38">
        <v>0.33</v>
      </c>
      <c r="CC38">
        <v>-19.25</v>
      </c>
      <c r="CD38" t="s">
        <v>1657</v>
      </c>
      <c r="CE38" t="s">
        <v>1658</v>
      </c>
      <c r="CF38" s="7">
        <v>-0.85072563925362821</v>
      </c>
      <c r="CG38" s="8">
        <v>-0.92768685714285715</v>
      </c>
      <c r="CH38" s="7">
        <v>3.672551155090332</v>
      </c>
      <c r="CI38" s="7">
        <v>0.16324429214000702</v>
      </c>
      <c r="CJ38" s="7">
        <v>1.0373444296419621E-2</v>
      </c>
      <c r="CK38" s="7">
        <v>0.13145539164543152</v>
      </c>
      <c r="CL38" s="7">
        <v>0.11664482206106186</v>
      </c>
      <c r="CM38" s="8">
        <v>10.348319053649902</v>
      </c>
      <c r="CN38" s="8">
        <v>8.9921550825238228E-3</v>
      </c>
      <c r="CO38" s="8">
        <v>-0.35775268077850342</v>
      </c>
      <c r="CP38" s="8">
        <v>-7.3680989444255829E-2</v>
      </c>
      <c r="CQ38" s="8">
        <v>0.23074674606323242</v>
      </c>
      <c r="CR38">
        <v>12.177890860811603</v>
      </c>
      <c r="CS38">
        <v>0.14871874011952402</v>
      </c>
      <c r="CT38">
        <v>0</v>
      </c>
      <c r="CU38" s="7">
        <v>0.81885382104665039</v>
      </c>
      <c r="CV38" s="8">
        <v>2.0313248569145799</v>
      </c>
      <c r="CW38">
        <v>0.06</v>
      </c>
      <c r="CX38">
        <v>1.3644075106037583</v>
      </c>
      <c r="CY38">
        <v>923154109.1727339</v>
      </c>
      <c r="CZ38">
        <v>0.81885382104665039</v>
      </c>
      <c r="DA38">
        <v>0.25422484052579902</v>
      </c>
      <c r="DB38">
        <v>4954505615.5603275</v>
      </c>
      <c r="DC38">
        <v>0.77791112999431788</v>
      </c>
      <c r="DD38">
        <v>5.1984951698077056E-2</v>
      </c>
      <c r="DE38">
        <v>24229288647.133465</v>
      </c>
      <c r="DF38">
        <v>0.72059136252105238</v>
      </c>
      <c r="DG38">
        <v>9.8884117490527744E-3</v>
      </c>
      <c r="DH38">
        <v>127377220120.37524</v>
      </c>
      <c r="DI38">
        <v>0.65508305683732038</v>
      </c>
      <c r="DJ38">
        <v>2.841517658378524E-4</v>
      </c>
      <c r="DK38">
        <v>4432696014702.0557</v>
      </c>
      <c r="DL38">
        <v>0.57319767473265526</v>
      </c>
      <c r="DM38">
        <v>538000000</v>
      </c>
      <c r="DN38">
        <v>0.81885382104665039</v>
      </c>
      <c r="DO38">
        <v>1259558400</v>
      </c>
      <c r="DP38">
        <v>694111330</v>
      </c>
      <c r="DQ38">
        <v>4101</v>
      </c>
      <c r="DR38">
        <v>-1.6695794603002785</v>
      </c>
      <c r="DS38">
        <v>-2.959011714057437</v>
      </c>
      <c r="DT38" s="9">
        <v>1.0000000000000011E-2</v>
      </c>
      <c r="DU38">
        <v>-0.17333333333333337</v>
      </c>
      <c r="DV38">
        <v>-0.16333333333333336</v>
      </c>
      <c r="DW38">
        <v>-3.0367559523809522</v>
      </c>
      <c r="DX38">
        <v>0.36991904761904704</v>
      </c>
      <c r="DY38">
        <v>-3.0055104173752833</v>
      </c>
      <c r="DZ38">
        <v>2863</v>
      </c>
      <c r="EA38">
        <v>-3.0024230739417344</v>
      </c>
      <c r="EB38">
        <v>3</v>
      </c>
      <c r="EC38">
        <v>4.967657202462146E-2</v>
      </c>
      <c r="ED38">
        <v>0.33135597386432386</v>
      </c>
      <c r="EE38" s="10">
        <v>-3.0453000000000001</v>
      </c>
      <c r="EF38">
        <v>-3.0257999999999998</v>
      </c>
      <c r="EG38">
        <v>22.149919047619047</v>
      </c>
      <c r="EH38" t="s">
        <v>663</v>
      </c>
      <c r="EI38">
        <v>0</v>
      </c>
      <c r="EJ38">
        <v>0</v>
      </c>
      <c r="EK38" s="13">
        <v>45470</v>
      </c>
      <c r="EL38" s="14">
        <v>0</v>
      </c>
      <c r="EM38" s="14">
        <v>-4.58</v>
      </c>
      <c r="EN38">
        <v>1.37</v>
      </c>
      <c r="EO38">
        <v>3.72</v>
      </c>
      <c r="EP38">
        <v>-1.95</v>
      </c>
    </row>
    <row r="39" spans="1:146" ht="84" x14ac:dyDescent="0.25">
      <c r="A39" s="11"/>
      <c r="B39" s="11"/>
      <c r="C39" s="11" t="str">
        <f>""&amp;CHAR(10)&amp;Basic_Fundamental_Information_Constructure(F39)&amp;CHAR(10)&amp;Basic_Fundamental_Information_Concatenate("")</f>
        <v xml:space="preserve">
市值34.288825亿, 利润3.79亿; PE; 平均PE-13.3; 平均PEG-.7, PB; ROIC0%; ROE-65.9033%; 股利率0%; 毛利.36%; 净利-11.77%; 上一年度营收增-80.52%, 利润增136.51%; 当季营收增194.38%, 利润增-449.06%; 过往5年营收增19.07%, 利润增333.01%
Income profile:
</v>
      </c>
      <c r="D39" t="s">
        <v>40</v>
      </c>
      <c r="E39" t="s">
        <v>1659</v>
      </c>
      <c r="F39">
        <v>3.94</v>
      </c>
      <c r="G39">
        <v>3.41</v>
      </c>
      <c r="H39" t="s">
        <v>1660</v>
      </c>
      <c r="I39">
        <v>3428882500</v>
      </c>
      <c r="L39" t="s">
        <v>29</v>
      </c>
      <c r="M39" t="s">
        <v>991</v>
      </c>
      <c r="N39" t="s">
        <v>1661</v>
      </c>
      <c r="O39" t="s">
        <v>992</v>
      </c>
      <c r="P39">
        <v>-50.02</v>
      </c>
      <c r="Q39" t="s">
        <v>1662</v>
      </c>
      <c r="R39">
        <v>-292019920</v>
      </c>
      <c r="S39" s="3">
        <v>-0.62490000000000001</v>
      </c>
      <c r="T39" t="s">
        <v>1663</v>
      </c>
      <c r="U39">
        <v>737455030</v>
      </c>
      <c r="V39">
        <v>870274740</v>
      </c>
      <c r="W39" t="s">
        <v>53</v>
      </c>
      <c r="X39">
        <v>0.18</v>
      </c>
      <c r="Y39">
        <v>-15.48</v>
      </c>
      <c r="Z39" t="s">
        <v>1664</v>
      </c>
      <c r="AA39" t="s">
        <v>1665</v>
      </c>
      <c r="AB39" t="s">
        <v>1666</v>
      </c>
      <c r="AC39" t="s">
        <v>697</v>
      </c>
      <c r="AD39" t="s">
        <v>53</v>
      </c>
      <c r="AE39">
        <v>110030996</v>
      </c>
      <c r="AF39" t="s">
        <v>995</v>
      </c>
      <c r="AG39" t="s">
        <v>1667</v>
      </c>
      <c r="AH39" t="s">
        <v>996</v>
      </c>
      <c r="AI39" t="s">
        <v>1310</v>
      </c>
      <c r="AJ39" t="s">
        <v>53</v>
      </c>
      <c r="AK39" t="s">
        <v>1668</v>
      </c>
      <c r="AL39" t="s">
        <v>997</v>
      </c>
      <c r="AM39" t="s">
        <v>53</v>
      </c>
      <c r="AN39" t="s">
        <v>1669</v>
      </c>
      <c r="AO39" t="s">
        <v>1670</v>
      </c>
      <c r="AP39" t="s">
        <v>575</v>
      </c>
      <c r="AQ39" t="s">
        <v>1671</v>
      </c>
      <c r="AR39" t="s">
        <v>53</v>
      </c>
      <c r="AS39" t="s">
        <v>1672</v>
      </c>
      <c r="AT39" t="s">
        <v>1673</v>
      </c>
      <c r="AU39" t="s">
        <v>1674</v>
      </c>
      <c r="AV39" t="s">
        <v>1675</v>
      </c>
      <c r="AW39" t="s">
        <v>1676</v>
      </c>
      <c r="AX39" t="s">
        <v>478</v>
      </c>
      <c r="AY39" t="s">
        <v>342</v>
      </c>
      <c r="AZ39" t="s">
        <v>220</v>
      </c>
      <c r="BA39" t="s">
        <v>116</v>
      </c>
      <c r="BB39" t="s">
        <v>222</v>
      </c>
      <c r="BC39" t="s">
        <v>999</v>
      </c>
      <c r="BD39" t="s">
        <v>343</v>
      </c>
      <c r="BE39" t="s">
        <v>221</v>
      </c>
      <c r="BF39" t="s">
        <v>117</v>
      </c>
      <c r="BG39" t="s">
        <v>223</v>
      </c>
      <c r="BH39" t="s">
        <v>993</v>
      </c>
      <c r="BI39" t="s">
        <v>1677</v>
      </c>
      <c r="BJ39" t="s">
        <v>478</v>
      </c>
      <c r="BK39" t="s">
        <v>994</v>
      </c>
      <c r="BL39" t="s">
        <v>1678</v>
      </c>
      <c r="BM39" t="s">
        <v>999</v>
      </c>
      <c r="BN39" t="s">
        <v>53</v>
      </c>
      <c r="BO39" t="s">
        <v>53</v>
      </c>
      <c r="BP39" t="s">
        <v>53</v>
      </c>
      <c r="BQ39">
        <v>-73.84</v>
      </c>
      <c r="BR39">
        <v>-49.79</v>
      </c>
      <c r="BS39">
        <v>-74.08</v>
      </c>
      <c r="BT39" t="s">
        <v>407</v>
      </c>
      <c r="BU39" t="s">
        <v>1091</v>
      </c>
      <c r="BV39">
        <v>-4.74</v>
      </c>
      <c r="BW39">
        <v>4.3899999999999997</v>
      </c>
      <c r="BX39">
        <v>1.43</v>
      </c>
      <c r="BY39">
        <v>-19.37</v>
      </c>
      <c r="BZ39">
        <v>-5.68</v>
      </c>
      <c r="CA39">
        <v>-10.26</v>
      </c>
      <c r="CB39">
        <v>5.91</v>
      </c>
      <c r="CC39">
        <v>-14.16</v>
      </c>
      <c r="CD39" t="s">
        <v>1679</v>
      </c>
      <c r="CE39" t="s">
        <v>1680</v>
      </c>
      <c r="CF39" s="7">
        <v>1.9437652811735942</v>
      </c>
      <c r="CG39" s="8">
        <v>-4.4905769219275751</v>
      </c>
      <c r="CH39" s="7">
        <v>-0.80516362190246582</v>
      </c>
      <c r="CI39" s="7">
        <v>0.1981927752494812</v>
      </c>
      <c r="CJ39" s="7">
        <v>0.56620651483535767</v>
      </c>
      <c r="CK39" s="7">
        <v>0.98980635404586792</v>
      </c>
      <c r="CL39" s="7">
        <v>4.5123887248337269E-3</v>
      </c>
      <c r="CM39" s="8">
        <v>1.3651251792907715</v>
      </c>
      <c r="CN39" s="8">
        <v>0.31710526347160339</v>
      </c>
      <c r="CO39" s="8">
        <v>-3.6527049541473389</v>
      </c>
      <c r="CP39" s="8">
        <v>18.653102874755859</v>
      </c>
      <c r="CQ39" s="8">
        <v>-3.2198421657085419E-2</v>
      </c>
      <c r="CR39">
        <v>-13.301252729488091</v>
      </c>
      <c r="CS39">
        <v>-0.69745641028462813</v>
      </c>
      <c r="CT39">
        <v>0</v>
      </c>
      <c r="CU39" s="7">
        <v>0.19071088219061494</v>
      </c>
      <c r="CV39" s="8">
        <v>3.3300859883427618</v>
      </c>
      <c r="CW39">
        <v>0.06</v>
      </c>
      <c r="CX39">
        <v>43.263695166494436</v>
      </c>
      <c r="CY39">
        <v>425735305.99079531</v>
      </c>
      <c r="CZ39">
        <v>0.19071088219061494</v>
      </c>
      <c r="DA39">
        <v>12.995451451813343</v>
      </c>
      <c r="DB39">
        <v>1417333023.6580498</v>
      </c>
      <c r="DC39">
        <v>0.18117533808108419</v>
      </c>
      <c r="DD39">
        <v>5.6923783046141097</v>
      </c>
      <c r="DE39">
        <v>3235709489.8401399</v>
      </c>
      <c r="DF39">
        <v>0.16782557632774114</v>
      </c>
      <c r="DG39">
        <v>2.9795753087254115</v>
      </c>
      <c r="DH39">
        <v>6181714033.5610924</v>
      </c>
      <c r="DI39">
        <v>0.15256870575249196</v>
      </c>
      <c r="DJ39">
        <v>1.1166420005243494</v>
      </c>
      <c r="DK39">
        <v>16494885998.691538</v>
      </c>
      <c r="DL39">
        <v>0.13349761753343045</v>
      </c>
      <c r="DM39">
        <v>379000000</v>
      </c>
      <c r="DN39">
        <v>0.19071088219061494</v>
      </c>
      <c r="DO39">
        <v>18418882500</v>
      </c>
      <c r="DP39">
        <v>-8737309000</v>
      </c>
      <c r="DQ39">
        <v>4118</v>
      </c>
      <c r="DR39">
        <v>1.7530543989829792</v>
      </c>
      <c r="DS39">
        <v>-7.8206629102703369</v>
      </c>
      <c r="DT39" s="9">
        <v>-0.25666666666666665</v>
      </c>
      <c r="DU39">
        <v>-1.1266666666666667</v>
      </c>
      <c r="DV39">
        <v>-1.3833333333333333</v>
      </c>
      <c r="DW39">
        <v>6.2944693572496266</v>
      </c>
      <c r="DX39">
        <v>0.34923718371837054</v>
      </c>
      <c r="DY39">
        <v>6.0321670032773085</v>
      </c>
      <c r="DZ39">
        <v>2096</v>
      </c>
      <c r="EA39">
        <v>6.018972866512291</v>
      </c>
      <c r="EB39">
        <v>6</v>
      </c>
      <c r="EC39">
        <v>0.11409799162963181</v>
      </c>
      <c r="ED39">
        <v>1.044497741023714</v>
      </c>
      <c r="EE39" s="10">
        <v>2.0499999999999998</v>
      </c>
      <c r="EF39">
        <v>2.0404</v>
      </c>
      <c r="EG39">
        <v>24.109237183718371</v>
      </c>
      <c r="EH39" t="s">
        <v>417</v>
      </c>
      <c r="EI39">
        <v>0</v>
      </c>
      <c r="EJ39">
        <v>0</v>
      </c>
      <c r="EK39" s="13">
        <v>45470</v>
      </c>
      <c r="EL39" s="14">
        <v>1.8</v>
      </c>
      <c r="EM39" s="14">
        <v>-5.59</v>
      </c>
      <c r="EN39">
        <v>0.36</v>
      </c>
      <c r="EO39">
        <v>-0.06</v>
      </c>
      <c r="EP39">
        <v>-0.96</v>
      </c>
    </row>
    <row r="40" spans="1:146" ht="84" x14ac:dyDescent="0.25">
      <c r="A40" s="11"/>
      <c r="B40" s="11"/>
      <c r="C40" s="11" t="str">
        <f>""&amp;CHAR(10)&amp;Basic_Fundamental_Information_Constructure(F40)&amp;CHAR(10)&amp;Basic_Fundamental_Information_Concatenate("")</f>
        <v xml:space="preserve">
市值61.326232亿, 利润2.06亿; PE; 平均PE9.62; 平均PEG5.56, PB.97; ROIC2.1%; ROE3.2767%; 股利率0%; 毛利5.1033%; 净利.03%; 上一年度营收增-90.54%, 利润增-59.84%; 当季营收增936.15%, 利润增-528.7%; 过往5年营收增-1.73%, 利润增60.22%
Income profile:
</v>
      </c>
      <c r="D40" t="s">
        <v>41</v>
      </c>
      <c r="E40" t="s">
        <v>225</v>
      </c>
      <c r="F40">
        <v>6.67</v>
      </c>
      <c r="G40">
        <v>1.37</v>
      </c>
      <c r="H40" t="s">
        <v>1681</v>
      </c>
      <c r="I40">
        <v>6132623200</v>
      </c>
      <c r="K40">
        <v>0.97</v>
      </c>
      <c r="L40" t="s">
        <v>29</v>
      </c>
      <c r="M40" t="s">
        <v>1001</v>
      </c>
      <c r="N40" t="s">
        <v>1682</v>
      </c>
      <c r="O40" t="s">
        <v>1002</v>
      </c>
      <c r="P40">
        <v>-7.93</v>
      </c>
      <c r="Q40" t="s">
        <v>1683</v>
      </c>
      <c r="R40">
        <v>-102487079</v>
      </c>
      <c r="S40" s="3">
        <v>-6.2729999999999997</v>
      </c>
      <c r="T40" t="s">
        <v>1684</v>
      </c>
      <c r="U40">
        <v>919433760</v>
      </c>
      <c r="V40">
        <v>919433760</v>
      </c>
      <c r="W40">
        <v>1.99</v>
      </c>
      <c r="X40">
        <v>0.48</v>
      </c>
      <c r="Y40">
        <v>-1.85</v>
      </c>
      <c r="Z40" t="s">
        <v>1685</v>
      </c>
      <c r="AA40" t="s">
        <v>1686</v>
      </c>
      <c r="AB40" t="s">
        <v>1254</v>
      </c>
      <c r="AC40" t="s">
        <v>109</v>
      </c>
      <c r="AD40" t="s">
        <v>53</v>
      </c>
      <c r="AE40">
        <v>41032916</v>
      </c>
      <c r="AF40" t="s">
        <v>1005</v>
      </c>
      <c r="AG40" t="s">
        <v>1687</v>
      </c>
      <c r="AH40" t="s">
        <v>1006</v>
      </c>
      <c r="AI40" t="s">
        <v>847</v>
      </c>
      <c r="AJ40" t="s">
        <v>1007</v>
      </c>
      <c r="AK40" t="s">
        <v>1688</v>
      </c>
      <c r="AL40" t="s">
        <v>1008</v>
      </c>
      <c r="AM40" t="s">
        <v>53</v>
      </c>
      <c r="AN40" t="s">
        <v>301</v>
      </c>
      <c r="AO40" t="s">
        <v>1689</v>
      </c>
      <c r="AP40" t="s">
        <v>53</v>
      </c>
      <c r="AQ40" t="s">
        <v>1690</v>
      </c>
      <c r="AR40" t="s">
        <v>1691</v>
      </c>
      <c r="AS40" t="s">
        <v>1692</v>
      </c>
      <c r="AT40" t="s">
        <v>1693</v>
      </c>
      <c r="AU40" t="s">
        <v>1694</v>
      </c>
      <c r="AV40" t="s">
        <v>1695</v>
      </c>
      <c r="AW40" t="s">
        <v>1696</v>
      </c>
      <c r="AX40" t="s">
        <v>479</v>
      </c>
      <c r="AY40" t="s">
        <v>344</v>
      </c>
      <c r="AZ40" t="s">
        <v>226</v>
      </c>
      <c r="BA40" t="s">
        <v>119</v>
      </c>
      <c r="BB40" t="s">
        <v>229</v>
      </c>
      <c r="BC40" t="s">
        <v>89</v>
      </c>
      <c r="BD40" t="s">
        <v>299</v>
      </c>
      <c r="BE40" t="s">
        <v>227</v>
      </c>
      <c r="BF40" t="s">
        <v>120</v>
      </c>
      <c r="BG40" t="s">
        <v>230</v>
      </c>
      <c r="BH40" t="s">
        <v>1003</v>
      </c>
      <c r="BI40" t="s">
        <v>1697</v>
      </c>
      <c r="BJ40" t="s">
        <v>479</v>
      </c>
      <c r="BK40" t="s">
        <v>1004</v>
      </c>
      <c r="BL40" t="s">
        <v>1698</v>
      </c>
      <c r="BM40" t="s">
        <v>89</v>
      </c>
      <c r="BN40">
        <v>0.08</v>
      </c>
      <c r="BO40">
        <v>5.85</v>
      </c>
      <c r="BP40">
        <v>0.37</v>
      </c>
      <c r="BQ40">
        <v>0.55000000000000004</v>
      </c>
      <c r="BR40">
        <v>7.48</v>
      </c>
      <c r="BS40">
        <v>1.8</v>
      </c>
      <c r="BT40" t="s">
        <v>407</v>
      </c>
      <c r="BU40" t="s">
        <v>1091</v>
      </c>
      <c r="BV40">
        <v>3.98</v>
      </c>
      <c r="BW40">
        <v>6.01</v>
      </c>
      <c r="BX40">
        <v>5.32</v>
      </c>
      <c r="BY40">
        <v>-1.63</v>
      </c>
      <c r="BZ40">
        <v>1.64</v>
      </c>
      <c r="CA40">
        <v>0.08</v>
      </c>
      <c r="CB40">
        <v>1.99</v>
      </c>
      <c r="CC40">
        <v>-14.49</v>
      </c>
      <c r="CD40" t="s">
        <v>1699</v>
      </c>
      <c r="CE40" t="s">
        <v>1700</v>
      </c>
      <c r="CF40" s="7">
        <v>9.3615494978479195</v>
      </c>
      <c r="CG40" s="8">
        <v>-5.28696051734451</v>
      </c>
      <c r="CH40" s="7">
        <v>-0.90543091297149658</v>
      </c>
      <c r="CI40" s="7">
        <v>0.11344122886657715</v>
      </c>
      <c r="CJ40" s="7">
        <v>0.23725749552249908</v>
      </c>
      <c r="CK40" s="7">
        <v>0.33869156241416931</v>
      </c>
      <c r="CL40" s="7">
        <v>0.12957906723022461</v>
      </c>
      <c r="CM40" s="8">
        <v>-0.59844052791595459</v>
      </c>
      <c r="CN40" s="8">
        <v>3.3109242916107178</v>
      </c>
      <c r="CO40" s="8">
        <v>-0.90364366769790649</v>
      </c>
      <c r="CP40" s="8">
        <v>3.0025018379092216E-2</v>
      </c>
      <c r="CQ40" s="8">
        <v>1.172101616859436</v>
      </c>
      <c r="CR40">
        <v>9.6223167364016735</v>
      </c>
      <c r="CS40">
        <v>5.5645056916558264</v>
      </c>
      <c r="CT40">
        <v>0</v>
      </c>
      <c r="CU40" s="7">
        <v>-1.7292311787605284E-2</v>
      </c>
      <c r="CV40" s="8">
        <v>0.60219334624707699</v>
      </c>
      <c r="CW40">
        <v>0.06</v>
      </c>
      <c r="CX40" t="e">
        <v>#VALUE!</v>
      </c>
      <c r="CY40" t="s">
        <v>1701</v>
      </c>
      <c r="CZ40">
        <v>-1.7292311787605284E-2</v>
      </c>
      <c r="DA40">
        <v>9.6660569579288023</v>
      </c>
      <c r="DB40" t="s">
        <v>1476</v>
      </c>
      <c r="DC40">
        <v>-1.6427696198225018E-2</v>
      </c>
      <c r="DD40">
        <v>4.8330284789644011</v>
      </c>
      <c r="DE40" t="s">
        <v>1702</v>
      </c>
      <c r="DF40">
        <v>-1.521723437309265E-2</v>
      </c>
      <c r="DG40">
        <v>2.8998170873786409</v>
      </c>
      <c r="DH40" t="s">
        <v>1478</v>
      </c>
      <c r="DI40">
        <v>-1.3833849430084227E-2</v>
      </c>
      <c r="DJ40">
        <v>1.4499085436893204</v>
      </c>
      <c r="DK40" t="s">
        <v>1703</v>
      </c>
      <c r="DL40">
        <v>-1.2104618251323699E-2</v>
      </c>
      <c r="DM40">
        <v>206000000</v>
      </c>
      <c r="DN40">
        <v>-1.7292311787605284E-2</v>
      </c>
      <c r="DO40">
        <v>5973623200</v>
      </c>
      <c r="DP40">
        <v>2468156899.9999995</v>
      </c>
      <c r="DQ40">
        <v>4211</v>
      </c>
      <c r="DR40">
        <v>9.3788418096355244</v>
      </c>
      <c r="DS40">
        <v>-5.889153863591587</v>
      </c>
      <c r="DT40" s="9">
        <v>-0.52333333333333332</v>
      </c>
      <c r="DU40">
        <v>-0.79833333333333334</v>
      </c>
      <c r="DV40">
        <v>-1.3216666666666668</v>
      </c>
      <c r="DW40">
        <v>-2.1448999999999998</v>
      </c>
      <c r="DX40">
        <v>0.37714043715846968</v>
      </c>
      <c r="DY40">
        <v>-2.0213206493442621</v>
      </c>
      <c r="DZ40">
        <v>840</v>
      </c>
      <c r="EA40">
        <v>-2.0178158850684929</v>
      </c>
      <c r="EB40">
        <v>2</v>
      </c>
      <c r="EC40">
        <v>2.9286177179310882E-2</v>
      </c>
      <c r="ED40">
        <v>0.1990355455296747</v>
      </c>
      <c r="EE40" s="10">
        <v>1.0772999999999999</v>
      </c>
      <c r="EF40">
        <v>1.0516000000000001</v>
      </c>
      <c r="EG40">
        <v>23.14714043715847</v>
      </c>
      <c r="EH40" t="s">
        <v>1452</v>
      </c>
      <c r="EI40">
        <v>0</v>
      </c>
      <c r="EJ40">
        <v>1</v>
      </c>
      <c r="EK40" s="13">
        <v>45470</v>
      </c>
      <c r="EL40" s="14">
        <v>2.4900000000000002</v>
      </c>
      <c r="EM40" s="14">
        <v>-5.05</v>
      </c>
      <c r="EN40">
        <v>1.02</v>
      </c>
      <c r="EO40">
        <v>2.4300000000000002</v>
      </c>
      <c r="EP40">
        <v>-2.57</v>
      </c>
    </row>
    <row r="41" spans="1:146" ht="84" x14ac:dyDescent="0.25">
      <c r="A41" s="11"/>
      <c r="B41" s="11"/>
      <c r="C41" s="11" t="str">
        <f>""&amp;CHAR(10)&amp;Basic_Fundamental_Information_Constructure(F41)&amp;CHAR(10)&amp;Basic_Fundamental_Information_Concatenate("")</f>
        <v xml:space="preserve">
市值58.974216亿, 利润-1.51亿; PE; 平均PE133.25; 平均PEG9.18, PB2.66; ROIC5.56%; ROE2.69%; 股利率0%; 毛利9.1%; 净利.9133%; 上一年度营收增-97.19%, 利润增-216.15%; 当季营收增1756.66%, 利润增350.09%; 过往5年营收增14.52%, 利润增-28.85%
Income profile:
</v>
      </c>
      <c r="D41" t="s">
        <v>42</v>
      </c>
      <c r="E41" t="s">
        <v>14</v>
      </c>
      <c r="F41">
        <v>11.74</v>
      </c>
      <c r="G41">
        <v>0</v>
      </c>
      <c r="H41" t="s">
        <v>1704</v>
      </c>
      <c r="I41">
        <v>5897421600</v>
      </c>
      <c r="K41">
        <v>2.66</v>
      </c>
      <c r="L41" t="s">
        <v>29</v>
      </c>
      <c r="M41" t="s">
        <v>1009</v>
      </c>
      <c r="N41" t="s">
        <v>1705</v>
      </c>
      <c r="O41" t="s">
        <v>1010</v>
      </c>
      <c r="P41">
        <v>-11.09</v>
      </c>
      <c r="Q41" t="s">
        <v>1400</v>
      </c>
      <c r="R41">
        <v>57500000</v>
      </c>
      <c r="S41" s="3">
        <v>0.17399999999999999</v>
      </c>
      <c r="T41" t="s">
        <v>976</v>
      </c>
      <c r="U41">
        <v>479748470</v>
      </c>
      <c r="V41">
        <v>502335740</v>
      </c>
      <c r="W41">
        <v>3.41</v>
      </c>
      <c r="X41">
        <v>0.15</v>
      </c>
      <c r="Y41">
        <v>0.69</v>
      </c>
      <c r="Z41" t="s">
        <v>1706</v>
      </c>
      <c r="AA41" t="s">
        <v>1707</v>
      </c>
      <c r="AB41" t="s">
        <v>1708</v>
      </c>
      <c r="AC41" t="s">
        <v>1709</v>
      </c>
      <c r="AD41" t="s">
        <v>53</v>
      </c>
      <c r="AE41">
        <v>30999222</v>
      </c>
      <c r="AF41" t="s">
        <v>1013</v>
      </c>
      <c r="AG41" t="s">
        <v>1710</v>
      </c>
      <c r="AH41" t="s">
        <v>1014</v>
      </c>
      <c r="AI41" t="s">
        <v>1711</v>
      </c>
      <c r="AJ41" t="s">
        <v>1015</v>
      </c>
      <c r="AK41" t="s">
        <v>1712</v>
      </c>
      <c r="AL41" t="s">
        <v>1016</v>
      </c>
      <c r="AM41" t="s">
        <v>53</v>
      </c>
      <c r="AN41" t="s">
        <v>1713</v>
      </c>
      <c r="AO41" t="s">
        <v>1714</v>
      </c>
      <c r="AP41" t="s">
        <v>1715</v>
      </c>
      <c r="AQ41" t="s">
        <v>1716</v>
      </c>
      <c r="AR41" t="s">
        <v>1717</v>
      </c>
      <c r="AS41" t="s">
        <v>1718</v>
      </c>
      <c r="AT41" t="s">
        <v>1719</v>
      </c>
      <c r="AU41" t="s">
        <v>1720</v>
      </c>
      <c r="AV41" t="s">
        <v>1721</v>
      </c>
      <c r="AW41" t="s">
        <v>1722</v>
      </c>
      <c r="AX41" t="s">
        <v>481</v>
      </c>
      <c r="AY41" t="s">
        <v>345</v>
      </c>
      <c r="AZ41" t="s">
        <v>231</v>
      </c>
      <c r="BA41" t="s">
        <v>121</v>
      </c>
      <c r="BB41" t="s">
        <v>233</v>
      </c>
      <c r="BC41" t="s">
        <v>137</v>
      </c>
      <c r="BD41" t="s">
        <v>482</v>
      </c>
      <c r="BE41" t="s">
        <v>232</v>
      </c>
      <c r="BF41" t="s">
        <v>122</v>
      </c>
      <c r="BG41" t="s">
        <v>234</v>
      </c>
      <c r="BH41" t="s">
        <v>1011</v>
      </c>
      <c r="BI41" t="s">
        <v>1723</v>
      </c>
      <c r="BJ41" t="s">
        <v>481</v>
      </c>
      <c r="BK41" t="s">
        <v>1012</v>
      </c>
      <c r="BL41" t="s">
        <v>1724</v>
      </c>
      <c r="BM41" t="s">
        <v>137</v>
      </c>
      <c r="BN41" t="s">
        <v>53</v>
      </c>
      <c r="BO41">
        <v>5.42</v>
      </c>
      <c r="BP41">
        <v>5.7</v>
      </c>
      <c r="BQ41">
        <v>-4.28</v>
      </c>
      <c r="BR41">
        <v>6.74</v>
      </c>
      <c r="BS41">
        <v>5.61</v>
      </c>
      <c r="BT41" t="s">
        <v>1017</v>
      </c>
      <c r="BU41" t="s">
        <v>1168</v>
      </c>
      <c r="BV41">
        <v>7.51</v>
      </c>
      <c r="BW41">
        <v>9.58</v>
      </c>
      <c r="BX41">
        <v>10.210000000000001</v>
      </c>
      <c r="BY41">
        <v>-2.1800000000000002</v>
      </c>
      <c r="BZ41">
        <v>2.4900000000000002</v>
      </c>
      <c r="CA41">
        <v>2.4300000000000002</v>
      </c>
      <c r="CB41">
        <v>3.44</v>
      </c>
      <c r="CC41">
        <v>-13.85</v>
      </c>
      <c r="CD41" t="s">
        <v>1725</v>
      </c>
      <c r="CE41" t="s">
        <v>1726</v>
      </c>
      <c r="CF41" s="7">
        <v>17.566618829088885</v>
      </c>
      <c r="CG41" s="8">
        <v>3.5009351322668474</v>
      </c>
      <c r="CH41" s="7">
        <v>-0.97188925743103027</v>
      </c>
      <c r="CI41" s="7">
        <v>0.29322758316993713</v>
      </c>
      <c r="CJ41" s="7">
        <v>0.48873621225357056</v>
      </c>
      <c r="CK41" s="7">
        <v>0.4991762638092041</v>
      </c>
      <c r="CL41" s="7">
        <v>0.41656944155693054</v>
      </c>
      <c r="CM41" s="8">
        <v>-2.1615383625030518</v>
      </c>
      <c r="CN41" s="8">
        <v>0.54921621084213257</v>
      </c>
      <c r="CO41" s="8">
        <v>0.21713279187679291</v>
      </c>
      <c r="CP41" s="8">
        <v>0.21263481676578522</v>
      </c>
      <c r="CQ41" s="8">
        <v>-0.26011717319488525</v>
      </c>
      <c r="CR41">
        <v>133.24821401337206</v>
      </c>
      <c r="CS41">
        <v>9.1791469880192498</v>
      </c>
      <c r="CT41">
        <v>0</v>
      </c>
      <c r="CU41" s="7">
        <v>0.14516404867172242</v>
      </c>
      <c r="CV41" s="8">
        <v>-0.28853434324264526</v>
      </c>
      <c r="CW41">
        <v>0.06</v>
      </c>
      <c r="CX41" t="e">
        <v>#VALUE!</v>
      </c>
      <c r="CY41" t="s">
        <v>354</v>
      </c>
      <c r="CZ41">
        <v>0.14516404867172242</v>
      </c>
      <c r="DA41" t="e">
        <v>#VALUE!</v>
      </c>
      <c r="DB41" t="s">
        <v>354</v>
      </c>
      <c r="DC41">
        <v>0.13790584623813629</v>
      </c>
      <c r="DD41" t="e">
        <v>#VALUE!</v>
      </c>
      <c r="DE41" t="s">
        <v>354</v>
      </c>
      <c r="DF41">
        <v>0.12774436283111573</v>
      </c>
      <c r="DG41" t="e">
        <v>#VALUE!</v>
      </c>
      <c r="DH41" t="s">
        <v>354</v>
      </c>
      <c r="DI41">
        <v>0.11613123893737794</v>
      </c>
      <c r="DJ41" t="e">
        <v>#VALUE!</v>
      </c>
      <c r="DK41" t="s">
        <v>354</v>
      </c>
      <c r="DL41">
        <v>0.10161483407020569</v>
      </c>
      <c r="DM41">
        <v>-151000000</v>
      </c>
      <c r="DN41">
        <v>0.14516404867172242</v>
      </c>
      <c r="DO41">
        <v>9664421600</v>
      </c>
      <c r="DP41">
        <v>-522282400</v>
      </c>
      <c r="DQ41">
        <v>4244</v>
      </c>
      <c r="DR41">
        <v>17.421454780417161</v>
      </c>
      <c r="DS41">
        <v>3.7894694755094926</v>
      </c>
      <c r="DT41" s="9">
        <v>-0.27333333333333343</v>
      </c>
      <c r="DU41">
        <v>-0.67</v>
      </c>
      <c r="DV41">
        <v>-0.94333333333333347</v>
      </c>
      <c r="DW41">
        <v>6.1989589358010413</v>
      </c>
      <c r="DX41">
        <v>0.28822928176795493</v>
      </c>
      <c r="DY41">
        <v>6.0334707188711256</v>
      </c>
      <c r="DZ41">
        <v>4741</v>
      </c>
      <c r="EA41">
        <v>6.0024169658049793</v>
      </c>
      <c r="EB41">
        <v>6</v>
      </c>
      <c r="EC41">
        <v>6.0615834342187161E-2</v>
      </c>
      <c r="ED41">
        <v>0.36031678733430356</v>
      </c>
      <c r="EE41" s="10">
        <v>9.3310000000000004E-2</v>
      </c>
      <c r="EF41">
        <v>0.12440999999999999</v>
      </c>
      <c r="EG41">
        <v>12.168229281767955</v>
      </c>
      <c r="EH41">
        <v>-1</v>
      </c>
      <c r="EI41">
        <v>0</v>
      </c>
      <c r="EJ41">
        <v>0</v>
      </c>
      <c r="EK41" s="13">
        <v>45470</v>
      </c>
      <c r="EL41" s="14">
        <v>-1.84</v>
      </c>
      <c r="EM41" s="14">
        <v>-3.13</v>
      </c>
      <c r="EN41">
        <v>2.37</v>
      </c>
      <c r="EO41">
        <v>1.68</v>
      </c>
      <c r="EP41">
        <v>-3.11</v>
      </c>
    </row>
    <row r="42" spans="1:146" ht="84" x14ac:dyDescent="0.25">
      <c r="C42" s="11" t="str">
        <f>""&amp;CHAR(10)&amp;Basic_Fundamental_Information_Constructure(F42)&amp;CHAR(10)&amp;Basic_Fundamental_Information_Concatenate("")</f>
        <v xml:space="preserve">
市值12.548984亿, 利润8110.69万; PE43.33; 平均PE25.73; 平均PEG.97, PB1.39; ROIC5.51%; ROE5.5833%; 股利率.4013%; 毛利36.2833%; 净利13.5567%; 上一年度营收增72.51%, 利润增212.84%; 当季营收增-27.87%, 利润增86.96%; 过往5年营收增26.44%, 利润增70.93%
Income profile:
</v>
      </c>
      <c r="D42" t="s">
        <v>1727</v>
      </c>
      <c r="E42" t="s">
        <v>1728</v>
      </c>
      <c r="F42">
        <v>12.46</v>
      </c>
      <c r="G42">
        <v>1.96</v>
      </c>
      <c r="H42" t="s">
        <v>1729</v>
      </c>
      <c r="I42">
        <v>1254898400</v>
      </c>
      <c r="J42">
        <v>43.33</v>
      </c>
      <c r="K42">
        <v>1.39</v>
      </c>
      <c r="L42" t="s">
        <v>29</v>
      </c>
      <c r="M42" t="s">
        <v>1730</v>
      </c>
      <c r="N42" t="s">
        <v>172</v>
      </c>
      <c r="O42" t="s">
        <v>1731</v>
      </c>
      <c r="P42" s="3">
        <v>21.9</v>
      </c>
      <c r="Q42" t="s">
        <v>1294</v>
      </c>
      <c r="R42">
        <v>5673774</v>
      </c>
      <c r="S42">
        <v>0.54159999999999997</v>
      </c>
      <c r="T42" t="s">
        <v>1732</v>
      </c>
      <c r="U42">
        <v>92373760</v>
      </c>
      <c r="V42">
        <v>100714157</v>
      </c>
      <c r="W42">
        <v>1.77</v>
      </c>
      <c r="X42">
        <v>0.04</v>
      </c>
      <c r="Y42">
        <v>5.99</v>
      </c>
      <c r="Z42" t="s">
        <v>1733</v>
      </c>
      <c r="AA42" t="s">
        <v>1734</v>
      </c>
      <c r="AB42" t="s">
        <v>1735</v>
      </c>
      <c r="AC42" t="s">
        <v>1736</v>
      </c>
      <c r="AD42" t="s">
        <v>53</v>
      </c>
      <c r="AE42">
        <v>1856773</v>
      </c>
      <c r="AF42" t="s">
        <v>1737</v>
      </c>
      <c r="AG42" t="s">
        <v>1738</v>
      </c>
      <c r="AH42" t="s">
        <v>1739</v>
      </c>
      <c r="AI42" t="s">
        <v>1310</v>
      </c>
      <c r="AJ42" t="s">
        <v>1740</v>
      </c>
      <c r="AK42" t="s">
        <v>1741</v>
      </c>
      <c r="AL42" t="s">
        <v>1742</v>
      </c>
      <c r="AM42" t="s">
        <v>53</v>
      </c>
      <c r="AN42" t="s">
        <v>1182</v>
      </c>
      <c r="AO42" t="s">
        <v>109</v>
      </c>
      <c r="AP42" t="s">
        <v>1743</v>
      </c>
      <c r="AQ42" t="s">
        <v>1744</v>
      </c>
      <c r="AR42" t="s">
        <v>53</v>
      </c>
      <c r="AS42" t="s">
        <v>1745</v>
      </c>
      <c r="AT42" t="s">
        <v>730</v>
      </c>
      <c r="AU42" t="s">
        <v>1746</v>
      </c>
      <c r="AV42" t="s">
        <v>1747</v>
      </c>
      <c r="AW42" t="s">
        <v>359</v>
      </c>
      <c r="AX42" t="s">
        <v>1748</v>
      </c>
      <c r="AY42" t="s">
        <v>1749</v>
      </c>
      <c r="AZ42" t="s">
        <v>905</v>
      </c>
      <c r="BA42" t="s">
        <v>1750</v>
      </c>
      <c r="BB42" t="s">
        <v>576</v>
      </c>
      <c r="BC42" t="s">
        <v>1751</v>
      </c>
      <c r="BD42" t="s">
        <v>1752</v>
      </c>
      <c r="BE42" t="s">
        <v>1753</v>
      </c>
      <c r="BF42" t="s">
        <v>1754</v>
      </c>
      <c r="BG42" t="s">
        <v>1755</v>
      </c>
      <c r="BH42" t="s">
        <v>1625</v>
      </c>
      <c r="BI42" t="s">
        <v>1756</v>
      </c>
      <c r="BJ42" t="s">
        <v>1748</v>
      </c>
      <c r="BK42" t="s">
        <v>1757</v>
      </c>
      <c r="BL42" t="s">
        <v>1758</v>
      </c>
      <c r="BM42" t="s">
        <v>1751</v>
      </c>
      <c r="BN42">
        <v>2.79</v>
      </c>
      <c r="BO42">
        <v>4.08</v>
      </c>
      <c r="BP42">
        <v>9.66</v>
      </c>
      <c r="BQ42">
        <v>3.16</v>
      </c>
      <c r="BR42">
        <v>3.35</v>
      </c>
      <c r="BS42">
        <v>10.24</v>
      </c>
      <c r="BT42" t="s">
        <v>409</v>
      </c>
      <c r="BU42" t="s">
        <v>1091</v>
      </c>
      <c r="BV42">
        <v>36.25</v>
      </c>
      <c r="BW42">
        <v>35.17</v>
      </c>
      <c r="BX42">
        <v>37.43</v>
      </c>
      <c r="BY42">
        <v>8.44</v>
      </c>
      <c r="BZ42">
        <v>11.46</v>
      </c>
      <c r="CA42">
        <v>20.77</v>
      </c>
      <c r="CB42">
        <v>-5.82</v>
      </c>
      <c r="CC42" s="7">
        <v>-28.02</v>
      </c>
      <c r="CD42" s="8" t="s">
        <v>1759</v>
      </c>
      <c r="CE42" s="7" t="s">
        <v>1760</v>
      </c>
      <c r="CF42" s="7">
        <v>-0.27865770615216245</v>
      </c>
      <c r="CG42" s="7">
        <v>0.86963258312188985</v>
      </c>
      <c r="CH42" s="7">
        <v>0.72514617443084717</v>
      </c>
      <c r="CI42" s="7">
        <v>-0.10471203923225403</v>
      </c>
      <c r="CJ42" s="8">
        <v>0.52799999713897705</v>
      </c>
      <c r="CK42" s="8">
        <v>-0.17763157188892365</v>
      </c>
      <c r="CL42" s="8">
        <v>0.35111111402511597</v>
      </c>
      <c r="CM42" s="8">
        <v>2.1283879280090332</v>
      </c>
      <c r="CN42" s="8">
        <v>-0.65678572654724121</v>
      </c>
      <c r="CO42">
        <v>0.5822756290435791</v>
      </c>
      <c r="CP42">
        <v>8.3646386861801147E-2</v>
      </c>
      <c r="CQ42">
        <v>1.4087842702865601</v>
      </c>
      <c r="CR42" s="7">
        <v>25.727590752625417</v>
      </c>
      <c r="CS42" s="8">
        <v>0.97311916993623859</v>
      </c>
      <c r="CT42">
        <v>0.40128410914927765</v>
      </c>
      <c r="CU42">
        <v>0.2643827348947525</v>
      </c>
      <c r="CV42">
        <v>0.70926169753074642</v>
      </c>
      <c r="CW42">
        <v>0.06</v>
      </c>
      <c r="CX42">
        <v>9.7978614992746618</v>
      </c>
      <c r="CY42">
        <v>96745437.774372831</v>
      </c>
      <c r="CZ42">
        <v>0.2643827348947525</v>
      </c>
      <c r="DA42">
        <v>2.7707386759771286</v>
      </c>
      <c r="DB42">
        <v>342110357.86899471</v>
      </c>
      <c r="DC42">
        <v>0.25116359815001488</v>
      </c>
      <c r="DD42">
        <v>1.1113561088391888</v>
      </c>
      <c r="DE42">
        <v>852920492.77533519</v>
      </c>
      <c r="DF42">
        <v>0.2326568067073822</v>
      </c>
      <c r="DG42">
        <v>0.52130125380678816</v>
      </c>
      <c r="DH42">
        <v>1818331325.8466153</v>
      </c>
      <c r="DI42">
        <v>0.211506187915802</v>
      </c>
      <c r="DJ42">
        <v>0.14850195096384547</v>
      </c>
      <c r="DK42">
        <v>6383070349.2291288</v>
      </c>
      <c r="DL42">
        <v>0.18506791442632675</v>
      </c>
      <c r="DM42">
        <v>81106900</v>
      </c>
      <c r="DN42">
        <v>0.2643827348947525</v>
      </c>
      <c r="DO42">
        <v>947898400</v>
      </c>
      <c r="DP42">
        <v>246940890</v>
      </c>
      <c r="DQ42" s="9">
        <v>4674</v>
      </c>
      <c r="DR42">
        <v>-0.54304044104691496</v>
      </c>
      <c r="DS42">
        <v>0.16037088559114343</v>
      </c>
      <c r="DT42">
        <v>1.0000000000000011E-2</v>
      </c>
      <c r="DU42">
        <v>0.77333333333333332</v>
      </c>
      <c r="DV42">
        <v>0.78333333333333333</v>
      </c>
      <c r="DW42">
        <v>-8.2077087794432551</v>
      </c>
      <c r="DX42">
        <v>0.39200347258301815</v>
      </c>
      <c r="DY42">
        <v>-8.0357266313502205</v>
      </c>
      <c r="DZ42">
        <v>1460</v>
      </c>
      <c r="EA42">
        <v>-8.0255190223930146</v>
      </c>
      <c r="EB42" s="10">
        <v>8</v>
      </c>
      <c r="EC42" s="10">
        <v>5.0951128946052741E-2</v>
      </c>
      <c r="ED42">
        <v>0.29622151332706881</v>
      </c>
      <c r="EE42">
        <v>-1.0343100000000001</v>
      </c>
      <c r="EF42">
        <v>-1.0094000000000001</v>
      </c>
      <c r="EG42">
        <v>22.172003472583018</v>
      </c>
      <c r="EH42" s="13" t="s">
        <v>573</v>
      </c>
      <c r="EI42">
        <v>0</v>
      </c>
      <c r="EJ42">
        <v>1</v>
      </c>
      <c r="EK42">
        <v>45470</v>
      </c>
      <c r="EL42">
        <v>2.13</v>
      </c>
      <c r="EM42">
        <v>-6.54</v>
      </c>
      <c r="EN42">
        <v>-1.06</v>
      </c>
      <c r="EO42">
        <v>-0.18</v>
      </c>
      <c r="EP42">
        <v>4.37</v>
      </c>
    </row>
  </sheetData>
  <sortState ref="D2:AF35">
    <sortCondition ref="E2:E35"/>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农产品加工&quot;,&quot;&quot;'" altText="更新基本面按钮_x000a_">
                <anchor moveWithCells="1" sizeWithCells="1">
                  <from>
                    <xdr:col>147</xdr:col>
                    <xdr:colOff>317500</xdr:colOff>
                    <xdr:row>0</xdr:row>
                    <xdr:rowOff>95250</xdr:rowOff>
                  </from>
                  <to>
                    <xdr:col>147</xdr:col>
                    <xdr:colOff>1460500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农产品加工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2024-07-10T22:42:13Z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