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煤炭\"/>
    </mc:Choice>
  </mc:AlternateContent>
  <bookViews>
    <workbookView xWindow="0" yWindow="0" windowWidth="3800" windowHeight="2950"/>
  </bookViews>
  <sheets>
    <sheet name="煤炭开采加工" sheetId="16" r:id="rId1"/>
    <sheet name="估值-增速与年化收益" sheetId="14" r:id="rId2"/>
  </sheets>
  <functionGroups builtInGroupCount="18"/>
  <definedNames>
    <definedName name="_xlnm._FilterDatabase" localSheetId="0" hidden="1">煤炭开采加工!$BU$1:$BU$35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2" i="16"/>
  <c r="C34" i="16"/>
  <c r="C30" i="16"/>
  <c r="C26" i="16"/>
  <c r="C28" i="16"/>
  <c r="C31" i="16"/>
  <c r="C23" i="16"/>
  <c r="C33" i="16"/>
  <c r="C29" i="16"/>
  <c r="C25" i="16"/>
  <c r="C32" i="16"/>
  <c r="C24" i="16"/>
  <c r="C35" i="16"/>
  <c r="C27" i="16"/>
  <c r="C21" i="16"/>
  <c r="C20" i="16"/>
  <c r="C19" i="16"/>
  <c r="C18" i="16"/>
  <c r="C17" i="16"/>
  <c r="C16" i="16"/>
  <c r="C15" i="16"/>
  <c r="C14" i="16"/>
  <c r="C13" i="16"/>
  <c r="C12" i="16"/>
  <c r="C11" i="16"/>
  <c r="C10" i="16"/>
  <c r="C9" i="16"/>
  <c r="C8" i="16"/>
  <c r="C7" i="16"/>
  <c r="C6" i="16"/>
  <c r="C5" i="16"/>
  <c r="C4" i="16"/>
  <c r="C3" i="16"/>
  <c r="C2" i="16"/>
</calcChain>
</file>

<file path=xl/sharedStrings.xml><?xml version="1.0" encoding="utf-8"?>
<sst xmlns="http://schemas.openxmlformats.org/spreadsheetml/2006/main" count="2039" uniqueCount="1620">
  <si>
    <t>&lt;-增速</t>
    <phoneticPr fontId="1" type="noConversion"/>
  </si>
  <si>
    <t>&lt;-估值</t>
    <phoneticPr fontId="1" type="noConversion"/>
  </si>
  <si>
    <t>&lt;-折合年化收益</t>
    <phoneticPr fontId="1" type="noConversion"/>
  </si>
  <si>
    <t>市净率</t>
  </si>
  <si>
    <t>新集能源</t>
  </si>
  <si>
    <t>云煤能源</t>
  </si>
  <si>
    <t>宝泰隆</t>
  </si>
  <si>
    <t>陕西黑猫</t>
  </si>
  <si>
    <t>美锦能源</t>
  </si>
  <si>
    <t>中煤能源</t>
  </si>
  <si>
    <t>郑州煤电</t>
  </si>
  <si>
    <t>平煤股份</t>
  </si>
  <si>
    <t>冀中能源</t>
  </si>
  <si>
    <t>山煤国际</t>
  </si>
  <si>
    <t>盘江股份</t>
  </si>
  <si>
    <t>中国神华</t>
  </si>
  <si>
    <t>山西焦化</t>
  </si>
  <si>
    <t>陕西煤业</t>
  </si>
  <si>
    <t>开滦股份</t>
  </si>
  <si>
    <t>潞安环能</t>
  </si>
  <si>
    <t>淮北矿业</t>
  </si>
  <si>
    <t>昊华能源</t>
  </si>
  <si>
    <t>恒源煤电</t>
  </si>
  <si>
    <t>代码</t>
  </si>
  <si>
    <t>总市值</t>
  </si>
  <si>
    <t>TTM市盈率</t>
  </si>
  <si>
    <t>SH600397</t>
  </si>
  <si>
    <t>安源煤业</t>
  </si>
  <si>
    <t>SH600121</t>
  </si>
  <si>
    <t>SH600758</t>
  </si>
  <si>
    <t>SH601918</t>
  </si>
  <si>
    <t>SH600546</t>
  </si>
  <si>
    <t>SH601011</t>
  </si>
  <si>
    <t>SH600403</t>
  </si>
  <si>
    <t>SH601015</t>
  </si>
  <si>
    <t>SZ000723</t>
  </si>
  <si>
    <t>SZ000937</t>
  </si>
  <si>
    <t>SH601898</t>
  </si>
  <si>
    <t>SH601101</t>
  </si>
  <si>
    <t>SH600508</t>
  </si>
  <si>
    <t>SH600792</t>
  </si>
  <si>
    <t>SZ000552</t>
  </si>
  <si>
    <t>SH601001</t>
  </si>
  <si>
    <t>SZ000983</t>
  </si>
  <si>
    <t>SH601666</t>
  </si>
  <si>
    <t>SH600395</t>
  </si>
  <si>
    <t>SH601088</t>
  </si>
  <si>
    <t>SH601225</t>
  </si>
  <si>
    <t>SH601699</t>
  </si>
  <si>
    <t>SH600740</t>
  </si>
  <si>
    <t>SH600123</t>
  </si>
  <si>
    <t>SZ002128</t>
  </si>
  <si>
    <t>SH600188</t>
  </si>
  <si>
    <t>SH600997</t>
  </si>
  <si>
    <t>SH600985</t>
  </si>
  <si>
    <t>SH600348</t>
  </si>
  <si>
    <t>SH600971</t>
  </si>
  <si>
    <t>SH600408</t>
  </si>
  <si>
    <t>SZ000571</t>
  </si>
  <si>
    <t>预期多</t>
    <phoneticPr fontId="1" type="noConversion"/>
  </si>
  <si>
    <t>预期空</t>
    <phoneticPr fontId="1" type="noConversion"/>
  </si>
  <si>
    <t>已知和基本信息</t>
    <phoneticPr fontId="1" type="noConversion"/>
  </si>
  <si>
    <t>现价</t>
  </si>
  <si>
    <t>所属行业</t>
  </si>
  <si>
    <t>负债合计</t>
  </si>
  <si>
    <t>所有者权益合计</t>
  </si>
  <si>
    <t>主营业务收入</t>
  </si>
  <si>
    <t>净利润增长率</t>
  </si>
  <si>
    <t>总股本</t>
  </si>
  <si>
    <t>财务费用</t>
  </si>
  <si>
    <t>投资收益</t>
  </si>
  <si>
    <t>应收账款</t>
  </si>
  <si>
    <t>--</t>
  </si>
  <si>
    <t>煤炭开采加工</t>
  </si>
  <si>
    <t>1.13亿</t>
  </si>
  <si>
    <t>14.39亿</t>
  </si>
  <si>
    <t>-6.13亿</t>
  </si>
  <si>
    <t>140.90亿</t>
  </si>
  <si>
    <t>9.56亿</t>
  </si>
  <si>
    <t>2.61亿</t>
  </si>
  <si>
    <t>0亿</t>
  </si>
  <si>
    <t>191.55亿</t>
  </si>
  <si>
    <t>24.66亿</t>
  </si>
  <si>
    <t>79.47亿</t>
  </si>
  <si>
    <t>6.63亿</t>
  </si>
  <si>
    <t>326.58亿</t>
  </si>
  <si>
    <t>17.01亿</t>
  </si>
  <si>
    <t>4.45亿</t>
  </si>
  <si>
    <t>55.54亿</t>
  </si>
  <si>
    <t>1897.15万</t>
  </si>
  <si>
    <t>59.03亿</t>
  </si>
  <si>
    <t>7686.29万</t>
  </si>
  <si>
    <t>95.63亿</t>
  </si>
  <si>
    <t>4.57亿</t>
  </si>
  <si>
    <t>3.25亿</t>
  </si>
  <si>
    <t>76.23亿</t>
  </si>
  <si>
    <t>5.75亿</t>
  </si>
  <si>
    <t>376.57亿</t>
  </si>
  <si>
    <t>11.73亿</t>
  </si>
  <si>
    <t>66.42亿</t>
  </si>
  <si>
    <t>4.74亿</t>
  </si>
  <si>
    <t>辽宁能源</t>
  </si>
  <si>
    <t>66.90亿</t>
  </si>
  <si>
    <t>2621.29万</t>
  </si>
  <si>
    <t>19.71亿</t>
  </si>
  <si>
    <t>57.26亿</t>
  </si>
  <si>
    <t>2.40亿</t>
  </si>
  <si>
    <t>60.02亿</t>
  </si>
  <si>
    <t>11.28亿</t>
  </si>
  <si>
    <t>600.86亿</t>
  </si>
  <si>
    <t>67.71亿</t>
  </si>
  <si>
    <t>200.72亿</t>
  </si>
  <si>
    <t>11.50亿</t>
  </si>
  <si>
    <t>113.58亿</t>
  </si>
  <si>
    <t>8.97亿</t>
  </si>
  <si>
    <t>27.26亿</t>
  </si>
  <si>
    <t>7041.05万</t>
  </si>
  <si>
    <t>93.88亿</t>
  </si>
  <si>
    <t>2879.26万</t>
  </si>
  <si>
    <t>1.62亿</t>
  </si>
  <si>
    <t>2418.71亿</t>
  </si>
  <si>
    <t>432.50亿</t>
  </si>
  <si>
    <t>55.33亿</t>
  </si>
  <si>
    <t>20.71亿</t>
  </si>
  <si>
    <t>177.68亿</t>
  </si>
  <si>
    <t>267.91亿</t>
  </si>
  <si>
    <t>23.79亿</t>
  </si>
  <si>
    <t>92.24亿</t>
  </si>
  <si>
    <t>5.76亿</t>
  </si>
  <si>
    <t>50.55亿</t>
  </si>
  <si>
    <t>6.60亿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</si>
  <si>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</si>
  <si>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</si>
  <si>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</si>
  <si>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</si>
  <si>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</si>
  <si>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</si>
  <si>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</si>
  <si>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</si>
  <si>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</si>
  <si>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</si>
  <si>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</si>
  <si>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</si>
  <si>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</si>
  <si>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36.87亿</t>
  </si>
  <si>
    <t>40.65亿</t>
  </si>
  <si>
    <t>40.92亿</t>
  </si>
  <si>
    <t>5.19亿</t>
  </si>
  <si>
    <t>5.73亿</t>
  </si>
  <si>
    <t>9.89亿</t>
  </si>
  <si>
    <t>-3.32亿</t>
  </si>
  <si>
    <t>15.89亿</t>
  </si>
  <si>
    <t>-8.78亿</t>
  </si>
  <si>
    <t>128.46亿</t>
  </si>
  <si>
    <t>10.79亿</t>
  </si>
  <si>
    <t>151.47亿</t>
  </si>
  <si>
    <t>17.97亿</t>
  </si>
  <si>
    <t>206.43亿</t>
  </si>
  <si>
    <t>7.86亿</t>
  </si>
  <si>
    <t>8.20亿</t>
  </si>
  <si>
    <t>225.27亿</t>
  </si>
  <si>
    <t>214.58亿</t>
  </si>
  <si>
    <t>7.83亿</t>
  </si>
  <si>
    <t>8.72亿</t>
  </si>
  <si>
    <t>10.64亿</t>
  </si>
  <si>
    <t>山西焦煤</t>
  </si>
  <si>
    <t>337.57亿</t>
  </si>
  <si>
    <t>19.56亿</t>
  </si>
  <si>
    <t>360.08亿</t>
  </si>
  <si>
    <t>322.71亿</t>
  </si>
  <si>
    <t>21.16亿</t>
  </si>
  <si>
    <t>18.02亿</t>
  </si>
  <si>
    <t>200.74亿</t>
  </si>
  <si>
    <t>20.29亿</t>
  </si>
  <si>
    <t>27.93亿</t>
  </si>
  <si>
    <t>35.96亿</t>
  </si>
  <si>
    <t>48.10亿</t>
  </si>
  <si>
    <t>-1.47亿</t>
  </si>
  <si>
    <t>66.26亿</t>
  </si>
  <si>
    <t>85.29亿</t>
  </si>
  <si>
    <t>2149.92亿</t>
  </si>
  <si>
    <t>2146.88亿</t>
  </si>
  <si>
    <t>1630.08亿</t>
  </si>
  <si>
    <t>华阳股份</t>
  </si>
  <si>
    <t>311.81亿</t>
  </si>
  <si>
    <t>15.05亿</t>
  </si>
  <si>
    <t>326.84亿</t>
  </si>
  <si>
    <t>74.13亿</t>
  </si>
  <si>
    <t>60.90亿</t>
  </si>
  <si>
    <t>12.12亿</t>
  </si>
  <si>
    <t>9.45亿</t>
  </si>
  <si>
    <t>76.03亿</t>
  </si>
  <si>
    <t>-2.23亿</t>
  </si>
  <si>
    <t>50.49亿</t>
  </si>
  <si>
    <t>6427.00万</t>
  </si>
  <si>
    <t>78.61亿</t>
  </si>
  <si>
    <t>6.51亿</t>
  </si>
  <si>
    <t>87.90亿</t>
  </si>
  <si>
    <t>3.33亿</t>
  </si>
  <si>
    <t>88.16亿</t>
  </si>
  <si>
    <t>76.54亿</t>
  </si>
  <si>
    <t>6.68亿</t>
  </si>
  <si>
    <t>68.49亿</t>
  </si>
  <si>
    <t>51.80亿</t>
  </si>
  <si>
    <t>6.61亿</t>
  </si>
  <si>
    <t>354.22亿</t>
  </si>
  <si>
    <t>8.27亿</t>
  </si>
  <si>
    <t>381.43亿</t>
  </si>
  <si>
    <t>2.20亿</t>
  </si>
  <si>
    <t>3.08亿</t>
  </si>
  <si>
    <t>71.01亿</t>
  </si>
  <si>
    <t>10.97亿</t>
  </si>
  <si>
    <t>72.29亿</t>
  </si>
  <si>
    <t>15.33亿</t>
  </si>
  <si>
    <t>-4.67亿</t>
  </si>
  <si>
    <t>8.76亿</t>
  </si>
  <si>
    <t>73.12亿</t>
  </si>
  <si>
    <t>47.20亿</t>
  </si>
  <si>
    <t>5903.30万</t>
  </si>
  <si>
    <t>3.40亿</t>
  </si>
  <si>
    <t>53.99亿</t>
  </si>
  <si>
    <t>44.23亿</t>
  </si>
  <si>
    <t>1.92亿</t>
  </si>
  <si>
    <t>52.10亿</t>
  </si>
  <si>
    <t>59.06亿</t>
  </si>
  <si>
    <t>12.20亿</t>
  </si>
  <si>
    <t>11.05亿</t>
  </si>
  <si>
    <t>34.68亿</t>
  </si>
  <si>
    <t>577.75亿</t>
  </si>
  <si>
    <t>36.31亿</t>
  </si>
  <si>
    <t>35.61亿</t>
  </si>
  <si>
    <t>181.77亿</t>
  </si>
  <si>
    <t>204.60亿</t>
  </si>
  <si>
    <t>13.63亿</t>
  </si>
  <si>
    <t>晋控煤业</t>
  </si>
  <si>
    <t>109.05亿</t>
  </si>
  <si>
    <t>112.59亿</t>
  </si>
  <si>
    <t>26.75亿</t>
  </si>
  <si>
    <t>5355.34万</t>
  </si>
  <si>
    <t>104.72亿</t>
  </si>
  <si>
    <t>2.14亿</t>
  </si>
  <si>
    <t>2332.63亿</t>
  </si>
  <si>
    <t>391.70亿</t>
  </si>
  <si>
    <t>2641.01亿</t>
  </si>
  <si>
    <t>438.67亿</t>
  </si>
  <si>
    <t>43.62亿</t>
  </si>
  <si>
    <t>4789.58万</t>
  </si>
  <si>
    <t>58.10亿</t>
  </si>
  <si>
    <t>2.91亿</t>
  </si>
  <si>
    <t>7.21亿</t>
  </si>
  <si>
    <t>737.32亿</t>
  </si>
  <si>
    <t>572.24亿</t>
  </si>
  <si>
    <t>116.40亿</t>
  </si>
  <si>
    <t>109.93亿</t>
  </si>
  <si>
    <t>223.97亿</t>
  </si>
  <si>
    <t>13.88亿</t>
  </si>
  <si>
    <t>236.53亿</t>
  </si>
  <si>
    <t>208.30亿</t>
  </si>
  <si>
    <t>11.53亿</t>
  </si>
  <si>
    <t>7.15亿</t>
  </si>
  <si>
    <t>266.82亿</t>
  </si>
  <si>
    <t>23.46亿</t>
  </si>
  <si>
    <t>1293.35亿</t>
  </si>
  <si>
    <t>1041.40亿</t>
  </si>
  <si>
    <t>56.29亿</t>
  </si>
  <si>
    <t>33.52亿</t>
  </si>
  <si>
    <t>83.55亿</t>
  </si>
  <si>
    <t>8.47亿</t>
  </si>
  <si>
    <t>87.50亿</t>
  </si>
  <si>
    <t>12.70亿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</si>
  <si>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</si>
  <si>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</si>
  <si>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</si>
  <si>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</si>
  <si>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</si>
  <si>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</si>
  <si>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</si>
  <si>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</si>
  <si>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</si>
  <si>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</si>
  <si>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</si>
  <si>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</si>
  <si>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</si>
  <si>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</si>
  <si>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</si>
  <si>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兰花科创</t>
  </si>
  <si>
    <t>4.62亿</t>
  </si>
  <si>
    <t>上海能源</t>
  </si>
  <si>
    <t>1.98亿</t>
  </si>
  <si>
    <t>1.07亿</t>
  </si>
  <si>
    <t>5.05亿</t>
  </si>
  <si>
    <t>流通股本</t>
  </si>
  <si>
    <t>净利润[20201231]</t>
  </si>
  <si>
    <t>投入资本回报率roic%[20201231]</t>
  </si>
  <si>
    <t>净资产收益率%[20201231]</t>
  </si>
  <si>
    <t>11.87亿</t>
  </si>
  <si>
    <t>6.95亿</t>
  </si>
  <si>
    <t>314.24亿</t>
  </si>
  <si>
    <t>27.39亿</t>
  </si>
  <si>
    <t>电投能源</t>
  </si>
  <si>
    <t>兖矿能源</t>
  </si>
  <si>
    <t>97.26亿</t>
  </si>
  <si>
    <t>11.72亿</t>
  </si>
  <si>
    <t>65.63亿</t>
  </si>
  <si>
    <t>8.67亿</t>
  </si>
  <si>
    <t>2.08亿</t>
  </si>
  <si>
    <t>93.84亿</t>
  </si>
  <si>
    <t>5514.72万</t>
  </si>
  <si>
    <t>大有能源</t>
  </si>
  <si>
    <t>79.11亿</t>
  </si>
  <si>
    <t>12.89亿</t>
  </si>
  <si>
    <t>68.26亿</t>
  </si>
  <si>
    <t>-9.29亿</t>
  </si>
  <si>
    <t>129.90亿</t>
  </si>
  <si>
    <t>2.83亿</t>
  </si>
  <si>
    <t>101.56亿</t>
  </si>
  <si>
    <t>480.54亿</t>
  </si>
  <si>
    <t>49.38亿</t>
  </si>
  <si>
    <t>112.27亿</t>
  </si>
  <si>
    <t>12.60亿</t>
  </si>
  <si>
    <t>59.15亿</t>
  </si>
  <si>
    <t>2662.23万</t>
  </si>
  <si>
    <t>11.38亿</t>
  </si>
  <si>
    <t>61.01亿</t>
  </si>
  <si>
    <t>-2972.17万</t>
  </si>
  <si>
    <t>67.49亿</t>
  </si>
  <si>
    <t>13.87亿</t>
  </si>
  <si>
    <t>7.71亿</t>
  </si>
  <si>
    <t>182.65亿</t>
  </si>
  <si>
    <t>46.58亿</t>
  </si>
  <si>
    <t>35.79亿</t>
  </si>
  <si>
    <t>1.51亿</t>
  </si>
  <si>
    <t>1.75亿</t>
  </si>
  <si>
    <t>188.95亿</t>
  </si>
  <si>
    <t>15.27亿</t>
  </si>
  <si>
    <t>95.88亿</t>
  </si>
  <si>
    <t>83.69亿</t>
  </si>
  <si>
    <t>20.14亿</t>
  </si>
  <si>
    <t>950.63亿</t>
  </si>
  <si>
    <t>148.60亿</t>
  </si>
  <si>
    <t>296.99亿</t>
  </si>
  <si>
    <t>29.22亿</t>
  </si>
  <si>
    <t>260.48亿</t>
  </si>
  <si>
    <t>19.46亿</t>
  </si>
  <si>
    <t>1409.65亿</t>
  </si>
  <si>
    <t>59.07亿</t>
  </si>
  <si>
    <t>124.89亿</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</si>
  <si>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</si>
  <si>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</si>
  <si>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</si>
  <si>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</si>
  <si>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</si>
  <si>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</si>
  <si>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</si>
  <si>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</si>
  <si>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</si>
  <si>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</si>
  <si>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</si>
  <si>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</si>
  <si>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</si>
  <si>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</si>
  <si>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</si>
  <si>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</si>
  <si>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</si>
  <si>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煤炭开采</t>
  </si>
  <si>
    <t>扭亏</t>
  </si>
  <si>
    <t>焦炭加工</t>
  </si>
  <si>
    <t>19.44亿</t>
  </si>
  <si>
    <t>1.12亿</t>
  </si>
  <si>
    <t>1.33亿</t>
  </si>
  <si>
    <t>安泰集团</t>
  </si>
  <si>
    <t>16.53亿</t>
  </si>
  <si>
    <t>亏损</t>
  </si>
  <si>
    <t>9.23亿</t>
  </si>
  <si>
    <t>1.问：一辆重卡车一年大概消耗多少氢气？答：根据目前测算的数据情况来看，如嘉兴港区，经过一个月的运营监测，百公里耗氢8公斤；在河钢的运营区域内，百公里耗氢约为10-11公斤。按照一年行驶十万公里算的话，大概一辆氢燃料电池重卡车一年消耗8-10吨氢气。假设氢气的成本降低到25元以内的话，运营费用基本可以与柴油车持平。</t>
    <phoneticPr fontId="1" type="noConversion"/>
  </si>
  <si>
    <t>1.氢能业务板块产业链布局：公司是从2017年开始涉足氢能，经过5年的发展，公司已完成“一点一线一网”的战略布局；一点即飞驰汽车，一线即燃料电池核心零部件产业线（参股了国鸿氢能及鸿基创能。国鸿氢能是全球最大的燃料电池电堆生产企业之一，电堆年产能两万套。鸿基创能是国内首家将膜电极国产化并规模化生产的公司），一网就是加氢站网络的建设</t>
    <phoneticPr fontId="1" type="noConversion"/>
  </si>
  <si>
    <t>14.07亿</t>
  </si>
  <si>
    <t>1.76亿</t>
  </si>
  <si>
    <t>2279.40万</t>
  </si>
  <si>
    <t>4.87亿</t>
  </si>
  <si>
    <t/>
  </si>
  <si>
    <t>1.01亿</t>
  </si>
  <si>
    <t>1.18亿</t>
  </si>
  <si>
    <t>1.22亿</t>
  </si>
  <si>
    <t>2.89亿</t>
  </si>
  <si>
    <t>38.05亿</t>
  </si>
  <si>
    <t>1.39亿</t>
  </si>
  <si>
    <t>16.34亿</t>
  </si>
  <si>
    <t>5.00亿</t>
  </si>
  <si>
    <t>20.27亿</t>
  </si>
  <si>
    <t>11.46亿</t>
  </si>
  <si>
    <t>42.39亿</t>
  </si>
  <si>
    <t>1.17亿</t>
  </si>
  <si>
    <t>2.35亿</t>
  </si>
  <si>
    <t>5.30亿</t>
  </si>
  <si>
    <t>20.98亿</t>
  </si>
  <si>
    <t>8.01亿</t>
  </si>
  <si>
    <t>6.67亿</t>
  </si>
  <si>
    <t>1.54亿</t>
  </si>
  <si>
    <t>24.51亿</t>
  </si>
  <si>
    <t>54.68亿</t>
  </si>
  <si>
    <t>5.41亿</t>
  </si>
  <si>
    <t>22.72亿</t>
  </si>
  <si>
    <t>1.10亿</t>
  </si>
  <si>
    <t>1.45亿</t>
  </si>
  <si>
    <t>9.81亿</t>
  </si>
  <si>
    <t>11.29亿</t>
  </si>
  <si>
    <t>6.54亿</t>
  </si>
  <si>
    <t>8.80亿</t>
  </si>
  <si>
    <t>8.51亿</t>
  </si>
  <si>
    <t>25.95亿</t>
  </si>
  <si>
    <t>1.23亿</t>
  </si>
  <si>
    <t>1.60亿</t>
  </si>
  <si>
    <t>18.79亿</t>
  </si>
  <si>
    <t>14.20亿</t>
  </si>
  <si>
    <t>4.58亿</t>
  </si>
  <si>
    <t>88.64亿</t>
  </si>
  <si>
    <t>1.65亿</t>
  </si>
  <si>
    <r>
      <t>1.公司拥有煤炭储量 149 亿吨、可开采储量 86 亿吨，</t>
    </r>
    <r>
      <rPr>
        <sz val="9"/>
        <color rgb="FFFF0000"/>
        <rFont val="宋体"/>
        <family val="3"/>
        <charset val="134"/>
        <scheme val="minor"/>
      </rPr>
      <t>可开采年限 70 年以上</t>
    </r>
    <r>
      <rPr>
        <sz val="9"/>
        <color theme="1"/>
        <rFont val="宋体"/>
        <family val="2"/>
        <charset val="134"/>
        <scheme val="minor"/>
      </rPr>
      <t>，公司核定产能 1.43 亿吨。</t>
    </r>
    <phoneticPr fontId="1" type="noConversion"/>
  </si>
  <si>
    <t>5.66亿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</si>
  <si>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</si>
  <si>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</si>
  <si>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</si>
  <si>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</si>
  <si>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</si>
  <si>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</si>
  <si>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</si>
  <si>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</si>
  <si>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</si>
  <si>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</si>
  <si>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</si>
  <si>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</si>
  <si>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</si>
  <si>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</si>
  <si>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</si>
  <si>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</si>
  <si>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</si>
  <si>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</si>
  <si>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</si>
  <si>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</si>
  <si>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</si>
  <si>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</si>
  <si>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</si>
  <si>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</si>
  <si>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</si>
  <si>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</si>
  <si>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</si>
  <si>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</si>
  <si>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</si>
  <si>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</si>
  <si>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</si>
  <si>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</si>
  <si>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</si>
  <si>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扣非对比净利润</t>
    <phoneticPr fontId="1" type="noConversion"/>
  </si>
  <si>
    <t>股利率</t>
    <phoneticPr fontId="1" type="noConversion"/>
  </si>
  <si>
    <t>折现率</t>
    <phoneticPr fontId="1" type="noConversion"/>
  </si>
  <si>
    <t>6年自由现金流折现</t>
    <phoneticPr fontId="1" type="noConversion"/>
  </si>
  <si>
    <t>10年自由现金流折现</t>
    <phoneticPr fontId="1" type="noConversion"/>
  </si>
  <si>
    <t>10增速</t>
    <phoneticPr fontId="1" type="noConversion"/>
  </si>
  <si>
    <t>清算价格</t>
    <phoneticPr fontId="1" type="noConversion"/>
  </si>
  <si>
    <t>策略1营收单季最佳增速</t>
    <phoneticPr fontId="1" type="noConversion"/>
  </si>
  <si>
    <t>综合策略</t>
    <phoneticPr fontId="1" type="noConversion"/>
  </si>
  <si>
    <t>今日价格累积指数</t>
    <phoneticPr fontId="1" type="noConversion"/>
  </si>
  <si>
    <t>价格箱体形态过滤</t>
    <phoneticPr fontId="1" type="noConversion"/>
  </si>
  <si>
    <t>过往营收增速均值</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</si>
  <si>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</si>
  <si>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</si>
  <si>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</si>
  <si>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</si>
  <si>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</si>
  <si>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6增速</t>
    <phoneticPr fontId="1" type="noConversion"/>
  </si>
  <si>
    <t>20年自由现金流折现</t>
    <phoneticPr fontId="1" type="noConversion"/>
  </si>
  <si>
    <t>承担负债现期溢价</t>
    <phoneticPr fontId="1" type="noConversion"/>
  </si>
  <si>
    <t>原始顺序</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</si>
  <si>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</si>
  <si>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</si>
  <si>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</si>
  <si>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</si>
  <si>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</si>
  <si>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</si>
  <si>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</si>
  <si>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</si>
  <si>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</si>
  <si>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</si>
  <si>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</si>
  <si>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</si>
  <si>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成交量异动策略</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</si>
  <si>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</si>
  <si>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</si>
  <si>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</si>
  <si>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</si>
  <si>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</si>
  <si>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</si>
  <si>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</si>
  <si>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10派0.5元(含税)</t>
  </si>
  <si>
    <t>不分配不转增</t>
  </si>
  <si>
    <t>10派8元(含税)</t>
  </si>
  <si>
    <t>10派1.5元(含税)</t>
  </si>
  <si>
    <t>10派3.5元(含税)</t>
  </si>
  <si>
    <t>SH600726</t>
  </si>
  <si>
    <t>2.05亿</t>
  </si>
  <si>
    <t>106.71亿</t>
  </si>
  <si>
    <t>108.28亿</t>
  </si>
  <si>
    <t>98.07亿</t>
  </si>
  <si>
    <t>-11.07亿</t>
  </si>
  <si>
    <t>7556.02万</t>
  </si>
  <si>
    <t>-7.62亿</t>
  </si>
  <si>
    <t>1.无烟煤。</t>
    <phoneticPr fontId="1" type="noConversion"/>
  </si>
  <si>
    <t>1.炼焦煤。</t>
    <phoneticPr fontId="1" type="noConversion"/>
  </si>
  <si>
    <t>1.炼焦煤。</t>
    <phoneticPr fontId="1" type="noConversion"/>
  </si>
  <si>
    <t>1.无烟煤。</t>
    <phoneticPr fontId="1" type="noConversion"/>
  </si>
  <si>
    <t>9.06亿</t>
  </si>
  <si>
    <t>14.29亿</t>
  </si>
  <si>
    <t>4.31亿</t>
  </si>
  <si>
    <t>1.73亿</t>
  </si>
  <si>
    <t>1.41亿</t>
  </si>
  <si>
    <t>甘肃能化</t>
  </si>
  <si>
    <t>3527.12万</t>
  </si>
  <si>
    <t>143.89亿</t>
  </si>
  <si>
    <t>172.24亿</t>
  </si>
  <si>
    <t>28.22亿</t>
  </si>
  <si>
    <t>17.38亿</t>
  </si>
  <si>
    <t>22.04亿</t>
  </si>
  <si>
    <t>17.90亿</t>
  </si>
  <si>
    <t>2900.35万</t>
  </si>
  <si>
    <t>2.27亿</t>
  </si>
  <si>
    <t>160.15万</t>
  </si>
  <si>
    <t>528907810亿</t>
  </si>
  <si>
    <t>81.23亿</t>
  </si>
  <si>
    <t>1120101530亿</t>
  </si>
  <si>
    <t>3484.38万</t>
  </si>
  <si>
    <t>11932346200亿</t>
  </si>
  <si>
    <t>48.79亿</t>
  </si>
  <si>
    <t>4.06亿</t>
  </si>
  <si>
    <t>31.68亿</t>
  </si>
  <si>
    <t>440.95万</t>
  </si>
  <si>
    <t>60.03亿</t>
  </si>
  <si>
    <t>39.27亿</t>
  </si>
  <si>
    <t>-3.09亿</t>
  </si>
  <si>
    <t>-3.56亿</t>
  </si>
  <si>
    <t>5.90亿</t>
  </si>
  <si>
    <t>122.61亿</t>
  </si>
  <si>
    <t>100.22亿</t>
  </si>
  <si>
    <t>31.69亿</t>
  </si>
  <si>
    <t>17.34亿</t>
  </si>
  <si>
    <t>31.57亿</t>
  </si>
  <si>
    <t>9.58亿</t>
  </si>
  <si>
    <t>10派0.999999元(含税)</t>
  </si>
  <si>
    <t>2.39亿</t>
  </si>
  <si>
    <t>20.12亿</t>
  </si>
  <si>
    <t>1-1</t>
  </si>
  <si>
    <t>新大洲A</t>
  </si>
  <si>
    <t>516.41万</t>
  </si>
  <si>
    <t>17.62亿</t>
  </si>
  <si>
    <t>11.18亿</t>
  </si>
  <si>
    <t>12.24亿</t>
  </si>
  <si>
    <t>-1.09亿</t>
  </si>
  <si>
    <t>1.35亿</t>
  </si>
  <si>
    <t>437.11万</t>
  </si>
  <si>
    <t>3440.15万</t>
  </si>
  <si>
    <t>-2503477亿</t>
  </si>
  <si>
    <t>13.17万</t>
  </si>
  <si>
    <t>-13983697亿</t>
  </si>
  <si>
    <t>5.04亿</t>
  </si>
  <si>
    <t>1289548亿</t>
  </si>
  <si>
    <t>540.00万</t>
  </si>
  <si>
    <t>794586790亿</t>
  </si>
  <si>
    <t>5972.21万</t>
  </si>
  <si>
    <t>8413.53万</t>
  </si>
  <si>
    <t>8490.21万</t>
  </si>
  <si>
    <t>518.00万</t>
  </si>
  <si>
    <t>12.74亿</t>
  </si>
  <si>
    <t>-2157.97万</t>
  </si>
  <si>
    <t>-1673.76万</t>
  </si>
  <si>
    <t>-878.30万</t>
  </si>
  <si>
    <t>13.17亿</t>
  </si>
  <si>
    <t>-3761.88万</t>
  </si>
  <si>
    <t>3.05亿</t>
  </si>
  <si>
    <t>-1962.42万</t>
  </si>
  <si>
    <t>3811.04万</t>
  </si>
  <si>
    <t>3.07亿</t>
  </si>
  <si>
    <t>3-1</t>
  </si>
  <si>
    <t>1920.30万</t>
  </si>
  <si>
    <t>255.95亿</t>
  </si>
  <si>
    <t>164.05亿</t>
  </si>
  <si>
    <t>41.93亿</t>
  </si>
  <si>
    <t>208.11亿</t>
  </si>
  <si>
    <t>42.45亿</t>
  </si>
  <si>
    <t>4200.21万</t>
  </si>
  <si>
    <t>1.94亿</t>
  </si>
  <si>
    <t>3060190亿</t>
  </si>
  <si>
    <t>6.41万</t>
  </si>
  <si>
    <t>-363326940亿</t>
  </si>
  <si>
    <t>52.02亿</t>
  </si>
  <si>
    <t>1493250000亿</t>
  </si>
  <si>
    <t>9511309200亿</t>
  </si>
  <si>
    <t>62.35亿</t>
  </si>
  <si>
    <t>58.32亿</t>
  </si>
  <si>
    <t>70.23亿</t>
  </si>
  <si>
    <t>173.82亿</t>
  </si>
  <si>
    <t>20.74亿</t>
  </si>
  <si>
    <t>-10.25亿</t>
  </si>
  <si>
    <t>246.00亿</t>
  </si>
  <si>
    <t>213.58亿</t>
  </si>
  <si>
    <t>22.09亿</t>
  </si>
  <si>
    <t>25.41亿</t>
  </si>
  <si>
    <t>53.38亿</t>
  </si>
  <si>
    <t>4.02亿</t>
  </si>
  <si>
    <t>9343.77万</t>
  </si>
  <si>
    <t>7.38亿</t>
  </si>
  <si>
    <t>2390.45万</t>
  </si>
  <si>
    <t>266.89亿</t>
  </si>
  <si>
    <t>265.61亿</t>
  </si>
  <si>
    <t>53.33亿</t>
  </si>
  <si>
    <t>243.30亿</t>
  </si>
  <si>
    <t>49.44亿</t>
  </si>
  <si>
    <t>42.62亿</t>
  </si>
  <si>
    <t>32.08亿</t>
  </si>
  <si>
    <t>3882.47万</t>
  </si>
  <si>
    <t>3.66亿</t>
  </si>
  <si>
    <t>26356989亿</t>
  </si>
  <si>
    <t>130.74万</t>
  </si>
  <si>
    <t>704412600亿</t>
  </si>
  <si>
    <t>132.69亿</t>
  </si>
  <si>
    <t>3283423200亿</t>
  </si>
  <si>
    <t>10.99亿</t>
  </si>
  <si>
    <t>20462093000亿</t>
  </si>
  <si>
    <t>10.06亿</t>
  </si>
  <si>
    <t>97.95亿</t>
  </si>
  <si>
    <t>47.34亿</t>
  </si>
  <si>
    <t>190.22亿</t>
  </si>
  <si>
    <t>41.14亿</t>
  </si>
  <si>
    <t>-4.92亿</t>
  </si>
  <si>
    <t>360.36亿</t>
  </si>
  <si>
    <t>44.61亿</t>
  </si>
  <si>
    <t>79.25亿</t>
  </si>
  <si>
    <t>27.06亿</t>
  </si>
  <si>
    <t>10派6元(含税)</t>
  </si>
  <si>
    <t>8.92亿</t>
  </si>
  <si>
    <t>2-1</t>
  </si>
  <si>
    <t>2184.95万</t>
  </si>
  <si>
    <t>453.60亿</t>
  </si>
  <si>
    <t>496.52亿</t>
  </si>
  <si>
    <t>105.52亿</t>
  </si>
  <si>
    <t>555.23亿</t>
  </si>
  <si>
    <t>92.17亿</t>
  </si>
  <si>
    <t>75.72亿</t>
  </si>
  <si>
    <t>6864.38万</t>
  </si>
  <si>
    <t>8.91亿</t>
  </si>
  <si>
    <t>39854396亿</t>
  </si>
  <si>
    <t>6313.47万</t>
  </si>
  <si>
    <t>896365210亿</t>
  </si>
  <si>
    <t>179.99亿</t>
  </si>
  <si>
    <t>3399383900亿</t>
  </si>
  <si>
    <t>75.39万</t>
  </si>
  <si>
    <t>26488669000亿</t>
  </si>
  <si>
    <t>27.75亿</t>
  </si>
  <si>
    <t>12.27亿</t>
  </si>
  <si>
    <t>125.38亿</t>
  </si>
  <si>
    <t>229.51亿</t>
  </si>
  <si>
    <t>39.41亿</t>
  </si>
  <si>
    <t>-11.72亿</t>
  </si>
  <si>
    <t>-9.30亿</t>
  </si>
  <si>
    <t>-4.89亿</t>
  </si>
  <si>
    <t>651.83亿</t>
  </si>
  <si>
    <t>541.70亿</t>
  </si>
  <si>
    <t>107.54亿</t>
  </si>
  <si>
    <t>51.02亿</t>
  </si>
  <si>
    <t>147.52亿</t>
  </si>
  <si>
    <t>24.70亿</t>
  </si>
  <si>
    <t>-1-1</t>
  </si>
  <si>
    <t>1135.13万</t>
  </si>
  <si>
    <t>141.97亿</t>
  </si>
  <si>
    <t>366.60亿</t>
  </si>
  <si>
    <t>73.45亿</t>
  </si>
  <si>
    <t>268.46亿</t>
  </si>
  <si>
    <t>45.60亿</t>
  </si>
  <si>
    <t>48.02亿</t>
  </si>
  <si>
    <t>40.85亿</t>
  </si>
  <si>
    <t>1446.04万</t>
  </si>
  <si>
    <t>1.61亿</t>
  </si>
  <si>
    <t>10096944亿</t>
  </si>
  <si>
    <t>176.19万</t>
  </si>
  <si>
    <t>1914028900亿</t>
  </si>
  <si>
    <t>30.33亿</t>
  </si>
  <si>
    <t>3335513900亿</t>
  </si>
  <si>
    <t>10456870000亿</t>
  </si>
  <si>
    <t>25.74亿</t>
  </si>
  <si>
    <t>5.21亿</t>
  </si>
  <si>
    <t>31.71亿</t>
  </si>
  <si>
    <t>32.49万</t>
  </si>
  <si>
    <t>76.06亿</t>
  </si>
  <si>
    <t>13.48亿</t>
  </si>
  <si>
    <t>-4.15亿</t>
  </si>
  <si>
    <t>4.07亿</t>
  </si>
  <si>
    <t>267.93亿</t>
  </si>
  <si>
    <t>246.73亿</t>
  </si>
  <si>
    <t>39.86亿</t>
  </si>
  <si>
    <t>35.82亿</t>
  </si>
  <si>
    <t>68.44亿</t>
  </si>
  <si>
    <t>16.17亿</t>
  </si>
  <si>
    <t>10派6.8元(含税)</t>
  </si>
  <si>
    <t>7504.76万</t>
  </si>
  <si>
    <t>5.07亿</t>
  </si>
  <si>
    <t>583.31万</t>
  </si>
  <si>
    <t>104.58亿</t>
  </si>
  <si>
    <t>29.28亿</t>
  </si>
  <si>
    <t>132.84亿</t>
  </si>
  <si>
    <t>4765905亿</t>
  </si>
  <si>
    <t>516.62万</t>
  </si>
  <si>
    <t>32678947亿</t>
  </si>
  <si>
    <t>1165726340亿</t>
  </si>
  <si>
    <t>4798907100亿</t>
  </si>
  <si>
    <t>13.21亿</t>
  </si>
  <si>
    <t>41.29亿</t>
  </si>
  <si>
    <t>13.04亿</t>
  </si>
  <si>
    <t>1.44亿</t>
  </si>
  <si>
    <t>-6050.66万</t>
  </si>
  <si>
    <t>-8940.71万</t>
  </si>
  <si>
    <t>6835.81万</t>
  </si>
  <si>
    <t>43.23亿</t>
  </si>
  <si>
    <t>30.17亿</t>
  </si>
  <si>
    <t>3197.98万</t>
  </si>
  <si>
    <t>7.73亿</t>
  </si>
  <si>
    <t>3751.67万</t>
  </si>
  <si>
    <t>5.78亿</t>
  </si>
  <si>
    <t>-1-0</t>
  </si>
  <si>
    <t>940.41万</t>
  </si>
  <si>
    <t>142.59亿</t>
  </si>
  <si>
    <t>156.58亿</t>
  </si>
  <si>
    <t>22.62亿</t>
  </si>
  <si>
    <t>146.93亿</t>
  </si>
  <si>
    <t>4.71亿</t>
  </si>
  <si>
    <t>-11157254亿</t>
  </si>
  <si>
    <t>210.99万</t>
  </si>
  <si>
    <t>133752302亿</t>
  </si>
  <si>
    <t>61.20亿</t>
  </si>
  <si>
    <t>120914805亿</t>
  </si>
  <si>
    <t>9024364000亿</t>
  </si>
  <si>
    <t>19.48亿</t>
  </si>
  <si>
    <t>5.38亿</t>
  </si>
  <si>
    <t>-1.29亿</t>
  </si>
  <si>
    <t>2.29亿</t>
  </si>
  <si>
    <t>141.56亿</t>
  </si>
  <si>
    <t>32.24亿</t>
  </si>
  <si>
    <t>33.47亿</t>
  </si>
  <si>
    <t>1.72亿</t>
  </si>
  <si>
    <t>5101.77万</t>
  </si>
  <si>
    <t>4.48亿</t>
  </si>
  <si>
    <t>0471000000</t>
  </si>
  <si>
    <t>01413000000</t>
  </si>
  <si>
    <t>02826000000</t>
  </si>
  <si>
    <t>04710000000</t>
  </si>
  <si>
    <t>09420000000</t>
  </si>
  <si>
    <t>2463.38万</t>
  </si>
  <si>
    <t>2359.44亿</t>
  </si>
  <si>
    <t>1257.43亿</t>
  </si>
  <si>
    <t>396.33亿</t>
  </si>
  <si>
    <t>11.22亿</t>
  </si>
  <si>
    <t>-4.57亿</t>
  </si>
  <si>
    <t>620895000亿</t>
  </si>
  <si>
    <t>3667192000亿</t>
  </si>
  <si>
    <t>447.89亿</t>
  </si>
  <si>
    <t>7751636000亿</t>
  </si>
  <si>
    <t>107901940000亿</t>
  </si>
  <si>
    <t>208.14亿</t>
  </si>
  <si>
    <t>134.95亿</t>
  </si>
  <si>
    <t>169.11亿</t>
  </si>
  <si>
    <t>-39.28亿</t>
  </si>
  <si>
    <t>37.44亿</t>
  </si>
  <si>
    <t>2249.73亿</t>
  </si>
  <si>
    <t>333.57亿</t>
  </si>
  <si>
    <t>1500.25亿</t>
  </si>
  <si>
    <t>201.40亿</t>
  </si>
  <si>
    <t>-2102.19万</t>
  </si>
  <si>
    <t>10送3.0股派14.9元(含税)</t>
  </si>
  <si>
    <t>1.00亿</t>
  </si>
  <si>
    <t>7.02亿</t>
  </si>
  <si>
    <t>5000.21万</t>
  </si>
  <si>
    <t>394.05亿</t>
  </si>
  <si>
    <t>352.79亿</t>
  </si>
  <si>
    <t>61.58亿</t>
  </si>
  <si>
    <t>265.46亿</t>
  </si>
  <si>
    <t>32.97亿</t>
  </si>
  <si>
    <t>50.43亿</t>
  </si>
  <si>
    <t>41.79亿</t>
  </si>
  <si>
    <t>2783.88万</t>
  </si>
  <si>
    <t>2.79亿</t>
  </si>
  <si>
    <t>19898872亿</t>
  </si>
  <si>
    <t>1164.56万</t>
  </si>
  <si>
    <t>779953020亿</t>
  </si>
  <si>
    <t>157.71亿</t>
  </si>
  <si>
    <t>2127108500亿</t>
  </si>
  <si>
    <t>19667533000亿</t>
  </si>
  <si>
    <t>114.71亿</t>
  </si>
  <si>
    <t>15.04亿</t>
  </si>
  <si>
    <t>83.96亿</t>
  </si>
  <si>
    <t>40.82万</t>
  </si>
  <si>
    <t>234.42亿</t>
  </si>
  <si>
    <t>122.78亿</t>
  </si>
  <si>
    <t>-4.26亿</t>
  </si>
  <si>
    <t>-11.92亿</t>
  </si>
  <si>
    <t>28.73亿</t>
  </si>
  <si>
    <t>350.46亿</t>
  </si>
  <si>
    <t>380.33亿</t>
  </si>
  <si>
    <t>70.24亿</t>
  </si>
  <si>
    <t>35.31亿</t>
  </si>
  <si>
    <t>285.18亿</t>
  </si>
  <si>
    <t>51.42亿</t>
  </si>
  <si>
    <t>51.79亿</t>
  </si>
  <si>
    <t>8.25亿</t>
  </si>
  <si>
    <t>10派7.18元(含税)</t>
  </si>
  <si>
    <t>8.73亿</t>
  </si>
  <si>
    <t>03297000000</t>
  </si>
  <si>
    <t>09891000000</t>
  </si>
  <si>
    <t>019782000000</t>
  </si>
  <si>
    <t>032970000000</t>
  </si>
  <si>
    <t>065940000000</t>
  </si>
  <si>
    <t>-2-1</t>
  </si>
  <si>
    <t>997.23万</t>
  </si>
  <si>
    <t>227.44亿</t>
  </si>
  <si>
    <t>126.60亿</t>
  </si>
  <si>
    <t>19.49亿</t>
  </si>
  <si>
    <t>62.75亿</t>
  </si>
  <si>
    <t>21.40亿</t>
  </si>
  <si>
    <t>14.10亿</t>
  </si>
  <si>
    <t>442.44万</t>
  </si>
  <si>
    <t>3.37亿</t>
  </si>
  <si>
    <t>34272653亿</t>
  </si>
  <si>
    <t>3780.68万</t>
  </si>
  <si>
    <t>2608316亿</t>
  </si>
  <si>
    <t>515501640亿</t>
  </si>
  <si>
    <t>10.11亿</t>
  </si>
  <si>
    <t>5861372800亿</t>
  </si>
  <si>
    <t>94.40亿</t>
  </si>
  <si>
    <t>24.36亿</t>
  </si>
  <si>
    <t>6.64亿</t>
  </si>
  <si>
    <t>28.08亿</t>
  </si>
  <si>
    <t>98.55亿</t>
  </si>
  <si>
    <t>92.36亿</t>
  </si>
  <si>
    <t>2310.92万</t>
  </si>
  <si>
    <t>-21.59亿</t>
  </si>
  <si>
    <t>21.34亿</t>
  </si>
  <si>
    <t>118.43亿</t>
  </si>
  <si>
    <t>21.94亿</t>
  </si>
  <si>
    <t>94.03亿</t>
  </si>
  <si>
    <t>7.32亿</t>
  </si>
  <si>
    <t>-2.53亿</t>
  </si>
  <si>
    <t>10派2.8元(含税)</t>
  </si>
  <si>
    <t>6048.96万</t>
  </si>
  <si>
    <t>749.56万</t>
  </si>
  <si>
    <t>75.38亿</t>
  </si>
  <si>
    <t>3.47亿</t>
  </si>
  <si>
    <t>215.28亿</t>
  </si>
  <si>
    <t>29.52亿</t>
  </si>
  <si>
    <t>12.38亿</t>
  </si>
  <si>
    <t>11.27亿</t>
  </si>
  <si>
    <t>858.51万</t>
  </si>
  <si>
    <t>4330.57万</t>
  </si>
  <si>
    <t>-220457亿</t>
  </si>
  <si>
    <t>151.19万</t>
  </si>
  <si>
    <t>-94515202亿</t>
  </si>
  <si>
    <t>685919460亿</t>
  </si>
  <si>
    <t>8.07亿</t>
  </si>
  <si>
    <t>2998176500亿</t>
  </si>
  <si>
    <t>39.52亿</t>
  </si>
  <si>
    <t>2.67亿</t>
  </si>
  <si>
    <t>64.43亿</t>
  </si>
  <si>
    <t>-1822.23万</t>
  </si>
  <si>
    <t>-3415.50万</t>
  </si>
  <si>
    <t>1984.01万</t>
  </si>
  <si>
    <t>89.16亿</t>
  </si>
  <si>
    <t>-7655.58万</t>
  </si>
  <si>
    <t>68.71亿</t>
  </si>
  <si>
    <t>56.82亿</t>
  </si>
  <si>
    <t>-1.14亿</t>
  </si>
  <si>
    <t>8.03亿</t>
  </si>
  <si>
    <t>3884.01万</t>
  </si>
  <si>
    <t>3.15亿</t>
  </si>
  <si>
    <t>537.01万</t>
  </si>
  <si>
    <t>135.49亿</t>
  </si>
  <si>
    <t>71.60亿</t>
  </si>
  <si>
    <t>14.09亿</t>
  </si>
  <si>
    <t>8.50亿</t>
  </si>
  <si>
    <t>-2.76亿</t>
  </si>
  <si>
    <t>16.45亿</t>
  </si>
  <si>
    <t>13.02亿</t>
  </si>
  <si>
    <t>3116.35万</t>
  </si>
  <si>
    <t>5077899亿</t>
  </si>
  <si>
    <t>198.39万</t>
  </si>
  <si>
    <t>-269444480亿</t>
  </si>
  <si>
    <t>42.01亿</t>
  </si>
  <si>
    <t>830384770亿</t>
  </si>
  <si>
    <t>5457961100亿</t>
  </si>
  <si>
    <t>50.66亿</t>
  </si>
  <si>
    <t>5.24亿</t>
  </si>
  <si>
    <t>30.86亿</t>
  </si>
  <si>
    <t>116.68亿</t>
  </si>
  <si>
    <t>2.50亿</t>
  </si>
  <si>
    <t>1456.90万</t>
  </si>
  <si>
    <t>1.24亿</t>
  </si>
  <si>
    <t>85.89亿</t>
  </si>
  <si>
    <t>15.54亿</t>
  </si>
  <si>
    <t>58.14亿</t>
  </si>
  <si>
    <t>-4.81亿</t>
  </si>
  <si>
    <t>-4600.91万</t>
  </si>
  <si>
    <t>3302.34万</t>
  </si>
  <si>
    <t>3.60亿</t>
  </si>
  <si>
    <t>606.41万</t>
  </si>
  <si>
    <t>31.19亿</t>
  </si>
  <si>
    <t>17.31亿</t>
  </si>
  <si>
    <t>18.06亿</t>
  </si>
  <si>
    <t>219.20亿</t>
  </si>
  <si>
    <t>19.33亿</t>
  </si>
  <si>
    <t>18.71亿</t>
  </si>
  <si>
    <t>99.06万</t>
  </si>
  <si>
    <t>1654.02万</t>
  </si>
  <si>
    <t>4430180亿</t>
  </si>
  <si>
    <t>31.25万</t>
  </si>
  <si>
    <t>-126438015亿</t>
  </si>
  <si>
    <t>1.50亿</t>
  </si>
  <si>
    <t>13601322亿</t>
  </si>
  <si>
    <t>691003150亿</t>
  </si>
  <si>
    <t>2837.90万</t>
  </si>
  <si>
    <t>6000.00万</t>
  </si>
  <si>
    <t>8.18亿</t>
  </si>
  <si>
    <t>22.76亿</t>
  </si>
  <si>
    <t>5052.18万</t>
  </si>
  <si>
    <t>-1334.65万</t>
  </si>
  <si>
    <t>-1.23亿</t>
  </si>
  <si>
    <t>126.96亿</t>
  </si>
  <si>
    <t>-2.97亿</t>
  </si>
  <si>
    <t>100.06亿</t>
  </si>
  <si>
    <t>54.59亿</t>
  </si>
  <si>
    <t>-6.78亿</t>
  </si>
  <si>
    <t>-9731.76万</t>
  </si>
  <si>
    <t>4319.11万</t>
  </si>
  <si>
    <t>361.31万</t>
  </si>
  <si>
    <t>73.26亿</t>
  </si>
  <si>
    <t>129.59亿</t>
  </si>
  <si>
    <t>23.20亿</t>
  </si>
  <si>
    <t>95.08亿</t>
  </si>
  <si>
    <t>19.09亿</t>
  </si>
  <si>
    <t>16.73亿</t>
  </si>
  <si>
    <t>655.51万</t>
  </si>
  <si>
    <t>294.19万</t>
  </si>
  <si>
    <t>299647550亿</t>
  </si>
  <si>
    <t>30.12亿</t>
  </si>
  <si>
    <t>463060740亿</t>
  </si>
  <si>
    <t>6.61万</t>
  </si>
  <si>
    <t>4506739200亿</t>
  </si>
  <si>
    <t>16.48亿</t>
  </si>
  <si>
    <t>2500.00万</t>
  </si>
  <si>
    <t>11.36亿</t>
  </si>
  <si>
    <t>31.27亿</t>
  </si>
  <si>
    <t>11.96亿</t>
  </si>
  <si>
    <t>6982.98万</t>
  </si>
  <si>
    <t>-1.58亿</t>
  </si>
  <si>
    <t>-9860.38万</t>
  </si>
  <si>
    <t>126.34亿</t>
  </si>
  <si>
    <t>17.40亿</t>
  </si>
  <si>
    <t>3.74亿</t>
  </si>
  <si>
    <t>109.78亿</t>
  </si>
  <si>
    <t>21.88亿</t>
  </si>
  <si>
    <t>9.69亿</t>
  </si>
  <si>
    <t>1.28亿</t>
  </si>
  <si>
    <t>10派4.1元(含税)</t>
  </si>
  <si>
    <t>2090.09万</t>
  </si>
  <si>
    <t>1.84亿</t>
  </si>
  <si>
    <t>995.92万</t>
  </si>
  <si>
    <t>200.85亿</t>
  </si>
  <si>
    <t>214.66亿</t>
  </si>
  <si>
    <t>63.56亿</t>
  </si>
  <si>
    <t>592.75亿</t>
  </si>
  <si>
    <t>23.28亿</t>
  </si>
  <si>
    <t>51.41亿</t>
  </si>
  <si>
    <t>42.90亿</t>
  </si>
  <si>
    <t>9416.04万</t>
  </si>
  <si>
    <t>3.52亿</t>
  </si>
  <si>
    <t>10935446亿</t>
  </si>
  <si>
    <t>46.73万</t>
  </si>
  <si>
    <t>602908010亿</t>
  </si>
  <si>
    <t>88.42亿</t>
  </si>
  <si>
    <t>597012820亿</t>
  </si>
  <si>
    <t>11494023600亿</t>
  </si>
  <si>
    <t>24.88亿</t>
  </si>
  <si>
    <t>40.34亿</t>
  </si>
  <si>
    <t>36.13万</t>
  </si>
  <si>
    <t>109.69亿</t>
  </si>
  <si>
    <t>80.80亿</t>
  </si>
  <si>
    <t>54.53万</t>
  </si>
  <si>
    <t>-6.87亿</t>
  </si>
  <si>
    <t>31.21亿</t>
  </si>
  <si>
    <t>463.94亿</t>
  </si>
  <si>
    <t>69.29亿</t>
  </si>
  <si>
    <t>373.71亿</t>
  </si>
  <si>
    <t>130.98亿</t>
  </si>
  <si>
    <t>42.60亿</t>
  </si>
  <si>
    <t>4.39亿</t>
  </si>
  <si>
    <t>10派6.5元(含税)</t>
  </si>
  <si>
    <t>6870.01万</t>
  </si>
  <si>
    <t>-3-1</t>
  </si>
  <si>
    <t>华电能源</t>
  </si>
  <si>
    <t>1325.83万</t>
  </si>
  <si>
    <t>228.83亿</t>
  </si>
  <si>
    <t>70.39亿</t>
  </si>
  <si>
    <t>53.54亿</t>
  </si>
  <si>
    <t>49.94亿</t>
  </si>
  <si>
    <t>45.12亿</t>
  </si>
  <si>
    <t>40.87亿</t>
  </si>
  <si>
    <t>4567.58万</t>
  </si>
  <si>
    <t>5802.01万</t>
  </si>
  <si>
    <t>4588906亿</t>
  </si>
  <si>
    <t>446.79万</t>
  </si>
  <si>
    <t>371785080亿</t>
  </si>
  <si>
    <t>37.81亿</t>
  </si>
  <si>
    <t>1493435500亿</t>
  </si>
  <si>
    <t>6504009600亿</t>
  </si>
  <si>
    <t>5.18亿</t>
  </si>
  <si>
    <t>65.93亿</t>
  </si>
  <si>
    <t>8015.05万</t>
  </si>
  <si>
    <t>16.79亿</t>
  </si>
  <si>
    <t>285.02万</t>
  </si>
  <si>
    <t>58.81亿</t>
  </si>
  <si>
    <t>-5161.03万</t>
  </si>
  <si>
    <t>-2.56亿</t>
  </si>
  <si>
    <t>7.60亿</t>
  </si>
  <si>
    <t>188.77亿</t>
  </si>
  <si>
    <t>189.20亿</t>
  </si>
  <si>
    <t>-10.16亿</t>
  </si>
  <si>
    <t>-9.24亿</t>
  </si>
  <si>
    <t>188.44亿</t>
  </si>
  <si>
    <t>11.06亿</t>
  </si>
  <si>
    <t>-9098.19万</t>
  </si>
  <si>
    <t>156.41万</t>
  </si>
  <si>
    <t>7097.02万</t>
  </si>
  <si>
    <t>8.04亿</t>
  </si>
  <si>
    <t>716.56万</t>
  </si>
  <si>
    <t>96.18亿</t>
  </si>
  <si>
    <t>154.74亿</t>
  </si>
  <si>
    <t>18.21亿</t>
  </si>
  <si>
    <t>1685.94亿</t>
  </si>
  <si>
    <t>72.14亿</t>
  </si>
  <si>
    <t>24.17亿</t>
  </si>
  <si>
    <t>22.40亿</t>
  </si>
  <si>
    <t>1160.94万</t>
  </si>
  <si>
    <t>7366.52万</t>
  </si>
  <si>
    <t>766015130亿</t>
  </si>
  <si>
    <t>322.78万</t>
  </si>
  <si>
    <t>61316105亿</t>
  </si>
  <si>
    <t>13.60亿</t>
  </si>
  <si>
    <t>48783514亿</t>
  </si>
  <si>
    <t>2068778000亿</t>
  </si>
  <si>
    <t>37.78亿</t>
  </si>
  <si>
    <t>6.28亿</t>
  </si>
  <si>
    <t>7.33亿</t>
  </si>
  <si>
    <t>2.38万</t>
  </si>
  <si>
    <t>70.79亿</t>
  </si>
  <si>
    <t>31.85亿</t>
  </si>
  <si>
    <t>-10.37亿</t>
  </si>
  <si>
    <t>120.75亿</t>
  </si>
  <si>
    <t>25.82亿</t>
  </si>
  <si>
    <t>87.49亿</t>
  </si>
  <si>
    <t>368.15亿</t>
  </si>
  <si>
    <t>12.75亿</t>
  </si>
  <si>
    <t>14.34亿</t>
  </si>
  <si>
    <t>4219.78万</t>
  </si>
  <si>
    <t>3.58亿</t>
  </si>
  <si>
    <t>594.69万</t>
  </si>
  <si>
    <t>53.84亿</t>
  </si>
  <si>
    <t>15.74亿</t>
  </si>
  <si>
    <t>14.65亿</t>
  </si>
  <si>
    <t>12.69亿</t>
  </si>
  <si>
    <t>974.49万</t>
  </si>
  <si>
    <t>9794.01万</t>
  </si>
  <si>
    <t>16981250亿</t>
  </si>
  <si>
    <t>63.17万</t>
  </si>
  <si>
    <t>84589316亿</t>
  </si>
  <si>
    <t>21.96亿</t>
  </si>
  <si>
    <t>568290450亿</t>
  </si>
  <si>
    <t>8.16亿</t>
  </si>
  <si>
    <t>3923353200亿</t>
  </si>
  <si>
    <t>1647.12万</t>
  </si>
  <si>
    <t>39.53亿</t>
  </si>
  <si>
    <t>3.69亿</t>
  </si>
  <si>
    <t>17.24亿</t>
  </si>
  <si>
    <t>78.16万</t>
  </si>
  <si>
    <t>68.20亿</t>
  </si>
  <si>
    <t>-3.96亿</t>
  </si>
  <si>
    <t>-1874.39万</t>
  </si>
  <si>
    <t>66.19亿</t>
  </si>
  <si>
    <t>1.95亿</t>
  </si>
  <si>
    <t>55.96亿</t>
  </si>
  <si>
    <t>2387.73万</t>
  </si>
  <si>
    <t>-2514.89万</t>
  </si>
  <si>
    <t>4114.91万</t>
  </si>
  <si>
    <t>3.42亿</t>
  </si>
  <si>
    <t>01270000000</t>
  </si>
  <si>
    <t>03810000000</t>
  </si>
  <si>
    <t>07620000000</t>
  </si>
  <si>
    <t>012700000000</t>
  </si>
  <si>
    <t>025400000000</t>
  </si>
  <si>
    <t>428.75万</t>
  </si>
  <si>
    <t>64.60亿</t>
  </si>
  <si>
    <t>32.75亿</t>
  </si>
  <si>
    <t>18.64亿</t>
  </si>
  <si>
    <t>16.71亿</t>
  </si>
  <si>
    <t>-7812.19万</t>
  </si>
  <si>
    <t>19.73亿</t>
  </si>
  <si>
    <t>196.51万</t>
  </si>
  <si>
    <t>4318.14万</t>
  </si>
  <si>
    <t>1552051亿</t>
  </si>
  <si>
    <t>194.32万</t>
  </si>
  <si>
    <t>-126907560亿</t>
  </si>
  <si>
    <t>3.93亿</t>
  </si>
  <si>
    <t>1287823240亿</t>
  </si>
  <si>
    <t>28.57亿</t>
  </si>
  <si>
    <t>5399160900亿</t>
  </si>
  <si>
    <t>7611.35万</t>
  </si>
  <si>
    <t>11.17亿</t>
  </si>
  <si>
    <t>4.51亿</t>
  </si>
  <si>
    <t>37.29亿</t>
  </si>
  <si>
    <t>747.48万</t>
  </si>
  <si>
    <t>60.45亿</t>
  </si>
  <si>
    <t>8.54亿</t>
  </si>
  <si>
    <t>-2255.23万</t>
  </si>
  <si>
    <t>1192.82万</t>
  </si>
  <si>
    <t>75.41亿</t>
  </si>
  <si>
    <t>-1.81亿</t>
  </si>
  <si>
    <t>74.61亿</t>
  </si>
  <si>
    <t>1.47亿</t>
  </si>
  <si>
    <t>643.38万</t>
  </si>
  <si>
    <t>10派0.69元(含税)</t>
  </si>
  <si>
    <t>2699.38万</t>
  </si>
  <si>
    <t>-2-0</t>
  </si>
  <si>
    <t>SH600925</t>
  </si>
  <si>
    <t>苏能股份</t>
  </si>
  <si>
    <t>540.53万</t>
  </si>
  <si>
    <t>201.54亿</t>
  </si>
  <si>
    <t>182.85亿</t>
  </si>
  <si>
    <t>32.81亿</t>
  </si>
  <si>
    <t>350.16亿</t>
  </si>
  <si>
    <t>143.83亿</t>
  </si>
  <si>
    <t>26.36亿</t>
  </si>
  <si>
    <t>21.73亿</t>
  </si>
  <si>
    <t>2878.30万</t>
  </si>
  <si>
    <t>2.15亿</t>
  </si>
  <si>
    <t>9087621亿</t>
  </si>
  <si>
    <t>260.51万</t>
  </si>
  <si>
    <t>436159100亿</t>
  </si>
  <si>
    <t>78.45亿</t>
  </si>
  <si>
    <t>950816320亿</t>
  </si>
  <si>
    <t>12.58亿</t>
  </si>
  <si>
    <t>13082031900亿</t>
  </si>
  <si>
    <t>39.83亿</t>
  </si>
  <si>
    <t>18.26亿</t>
  </si>
  <si>
    <t>14.79亿</t>
  </si>
  <si>
    <t>35.76亿</t>
  </si>
  <si>
    <t>99.06亿</t>
  </si>
  <si>
    <t>51.48亿</t>
  </si>
  <si>
    <t>7.94亿</t>
  </si>
  <si>
    <t>-8.25亿</t>
  </si>
  <si>
    <t>-786.00万</t>
  </si>
  <si>
    <t>151.40亿</t>
  </si>
  <si>
    <t>116.78亿</t>
  </si>
  <si>
    <t>100.36亿</t>
  </si>
  <si>
    <t>112.75亿</t>
  </si>
  <si>
    <t>115.41亿</t>
  </si>
  <si>
    <t>27.17亿</t>
  </si>
  <si>
    <t>20.03亿</t>
  </si>
  <si>
    <t>18.13亿</t>
  </si>
  <si>
    <t>18.96亿</t>
  </si>
  <si>
    <t>15.46亿</t>
  </si>
  <si>
    <t>120.29亿</t>
  </si>
  <si>
    <t>94.31亿</t>
  </si>
  <si>
    <t>23.96亿</t>
  </si>
  <si>
    <t>10派2.1元(含税)</t>
  </si>
  <si>
    <t>3300.80万</t>
  </si>
  <si>
    <t>3.48亿</t>
  </si>
  <si>
    <t>542.52万</t>
  </si>
  <si>
    <t>85.78亿</t>
  </si>
  <si>
    <t>131.68亿</t>
  </si>
  <si>
    <t>20.51亿</t>
  </si>
  <si>
    <t>437.98亿</t>
  </si>
  <si>
    <t>3102.45万</t>
  </si>
  <si>
    <t>15.55亿</t>
  </si>
  <si>
    <t>1328.49万</t>
  </si>
  <si>
    <t>2.37亿</t>
  </si>
  <si>
    <t>22282187亿</t>
  </si>
  <si>
    <t>106.22万</t>
  </si>
  <si>
    <t>432626670亿</t>
  </si>
  <si>
    <t>74.64亿</t>
  </si>
  <si>
    <t>128471849亿</t>
  </si>
  <si>
    <t>10267071500亿</t>
  </si>
  <si>
    <t>17.96亿</t>
  </si>
  <si>
    <t>10.41亿</t>
  </si>
  <si>
    <t>58.36亿</t>
  </si>
  <si>
    <t>6.10亿</t>
  </si>
  <si>
    <t>6.65亿</t>
  </si>
  <si>
    <t>-5104.43万</t>
  </si>
  <si>
    <t>-629.37万</t>
  </si>
  <si>
    <t>83.93亿</t>
  </si>
  <si>
    <t>25.27亿</t>
  </si>
  <si>
    <t>77.86亿</t>
  </si>
  <si>
    <t>104.00亿</t>
  </si>
  <si>
    <t>20.36亿</t>
  </si>
  <si>
    <t>3893.10万</t>
  </si>
  <si>
    <t>10派8.5元(含税)</t>
  </si>
  <si>
    <t>3116.87万</t>
  </si>
  <si>
    <t>2.45亿</t>
  </si>
  <si>
    <t>2-0</t>
  </si>
  <si>
    <t>1373.49万</t>
  </si>
  <si>
    <t>454.47亿</t>
  </si>
  <si>
    <t>463.06亿</t>
  </si>
  <si>
    <t>173.22亿</t>
  </si>
  <si>
    <t>108.18亿</t>
  </si>
  <si>
    <t>155.87亿</t>
  </si>
  <si>
    <t>140.79亿</t>
  </si>
  <si>
    <t>5359.81万</t>
  </si>
  <si>
    <t>32030499亿</t>
  </si>
  <si>
    <t>1201.66万</t>
  </si>
  <si>
    <t>1564949000亿</t>
  </si>
  <si>
    <t>48.98亿</t>
  </si>
  <si>
    <t>2549254500亿</t>
  </si>
  <si>
    <t>5.42亿</t>
  </si>
  <si>
    <t>18471018000亿</t>
  </si>
  <si>
    <t>50.04亿</t>
  </si>
  <si>
    <t>22.93亿</t>
  </si>
  <si>
    <t>110.03亿</t>
  </si>
  <si>
    <t>263.85亿</t>
  </si>
  <si>
    <t>34.78亿</t>
  </si>
  <si>
    <t>16.22亿</t>
  </si>
  <si>
    <t>-19.93亿</t>
  </si>
  <si>
    <t>3568.06万</t>
  </si>
  <si>
    <t>690.62亿</t>
  </si>
  <si>
    <t>654.49亿</t>
  </si>
  <si>
    <t>522.76亿</t>
  </si>
  <si>
    <t>70.11亿</t>
  </si>
  <si>
    <t>49.08亿</t>
  </si>
  <si>
    <t>733.87亿</t>
  </si>
  <si>
    <t>27.96亿</t>
  </si>
  <si>
    <t>62.25亿</t>
  </si>
  <si>
    <t>3836.23万</t>
  </si>
  <si>
    <t>10派10.0元(含税)</t>
  </si>
  <si>
    <t>7844.47万</t>
  </si>
  <si>
    <t>4.97亿</t>
  </si>
  <si>
    <t>0192000000</t>
  </si>
  <si>
    <t>0576000000</t>
  </si>
  <si>
    <t>01152000000</t>
  </si>
  <si>
    <t>01920000000</t>
  </si>
  <si>
    <t>03840000000</t>
  </si>
  <si>
    <t>-4-1</t>
  </si>
  <si>
    <t>540.71万</t>
  </si>
  <si>
    <t>132.34亿</t>
  </si>
  <si>
    <t>156.09亿</t>
  </si>
  <si>
    <t>53.72亿</t>
  </si>
  <si>
    <t>1501.40亿</t>
  </si>
  <si>
    <t>21.74亿</t>
  </si>
  <si>
    <t>47.02亿</t>
  </si>
  <si>
    <t>4864.26万</t>
  </si>
  <si>
    <t>10004922亿</t>
  </si>
  <si>
    <t>163.68万</t>
  </si>
  <si>
    <t>198271870亿</t>
  </si>
  <si>
    <t>63.67亿</t>
  </si>
  <si>
    <t>1364422900亿</t>
  </si>
  <si>
    <t>24.65亿</t>
  </si>
  <si>
    <t>12402758600亿</t>
  </si>
  <si>
    <t>10.19亿</t>
  </si>
  <si>
    <t>28.15亿</t>
  </si>
  <si>
    <t>43.39亿</t>
  </si>
  <si>
    <t>9.60万</t>
  </si>
  <si>
    <t>95.50亿</t>
  </si>
  <si>
    <t>8.43亿</t>
  </si>
  <si>
    <t>-1.50亿</t>
  </si>
  <si>
    <t>-2.50亿</t>
  </si>
  <si>
    <t>6456.38万</t>
  </si>
  <si>
    <t>260.04亿</t>
  </si>
  <si>
    <t>231.66亿</t>
  </si>
  <si>
    <t>18.51亿</t>
  </si>
  <si>
    <t>19.26亿</t>
  </si>
  <si>
    <t>228.41亿</t>
  </si>
  <si>
    <t>420.93亿</t>
  </si>
  <si>
    <t>10.90亿</t>
  </si>
  <si>
    <t>5.61亿</t>
  </si>
  <si>
    <t>10派3.434元(含税)</t>
  </si>
  <si>
    <t>3526.36万</t>
  </si>
  <si>
    <t>2.46亿</t>
  </si>
  <si>
    <t>3-0</t>
  </si>
  <si>
    <t>1012.50万</t>
  </si>
  <si>
    <t>133.02亿</t>
  </si>
  <si>
    <t>256.80亿</t>
  </si>
  <si>
    <t>36.58亿</t>
  </si>
  <si>
    <t>23.14亿</t>
  </si>
  <si>
    <t>-1928.56万</t>
  </si>
  <si>
    <t>24.60亿</t>
  </si>
  <si>
    <t>19.96亿</t>
  </si>
  <si>
    <t>2156.71万</t>
  </si>
  <si>
    <t>166618980亿</t>
  </si>
  <si>
    <t>16.85万</t>
  </si>
  <si>
    <t>783988520亿</t>
  </si>
  <si>
    <t>160.88亿</t>
  </si>
  <si>
    <t>323456970亿</t>
  </si>
  <si>
    <t>18447940000亿</t>
  </si>
  <si>
    <t>7.11亿</t>
  </si>
  <si>
    <t>42.43亿</t>
  </si>
  <si>
    <t>92.49亿</t>
  </si>
  <si>
    <t>23.87亿</t>
  </si>
  <si>
    <t>11.39亿</t>
  </si>
  <si>
    <t>-9729.41万</t>
  </si>
  <si>
    <t>-1.63亿</t>
  </si>
  <si>
    <t>160.82亿</t>
  </si>
  <si>
    <t>30.49亿</t>
  </si>
  <si>
    <t>153.42亿</t>
  </si>
  <si>
    <t>33.01亿</t>
  </si>
  <si>
    <t>1911.95万</t>
  </si>
  <si>
    <t>10派7.9元(含税)</t>
  </si>
  <si>
    <t>6656.67万</t>
  </si>
  <si>
    <t>4.86亿</t>
  </si>
  <si>
    <t>7-0</t>
  </si>
  <si>
    <t>2691.96万</t>
  </si>
  <si>
    <t>57.01亿</t>
  </si>
  <si>
    <t>66.04亿</t>
  </si>
  <si>
    <t>5.22亿</t>
  </si>
  <si>
    <t>1294.98亿</t>
  </si>
  <si>
    <t>107.51亿</t>
  </si>
  <si>
    <t>5.54亿</t>
  </si>
  <si>
    <t>277.11万</t>
  </si>
  <si>
    <t>4195.00万</t>
  </si>
  <si>
    <t>-3008916亿</t>
  </si>
  <si>
    <t>11.86万</t>
  </si>
  <si>
    <t>-90279998亿</t>
  </si>
  <si>
    <t>2.87亿</t>
  </si>
  <si>
    <t>67881634亿</t>
  </si>
  <si>
    <t>1.93亿</t>
  </si>
  <si>
    <t>1354272300亿</t>
  </si>
  <si>
    <t>65.51亿</t>
  </si>
  <si>
    <t>7.84亿</t>
  </si>
  <si>
    <t>1.81亿</t>
  </si>
  <si>
    <t>44.10亿</t>
  </si>
  <si>
    <t>-1.15亿</t>
  </si>
  <si>
    <t>-906.44万</t>
  </si>
  <si>
    <t>37.73亿</t>
  </si>
  <si>
    <t>1.52亿</t>
  </si>
  <si>
    <t>37.27亿</t>
  </si>
  <si>
    <t>283.19亿</t>
  </si>
  <si>
    <t>-15.36亿</t>
  </si>
  <si>
    <t>36.37亿</t>
  </si>
  <si>
    <t>11.90亿</t>
  </si>
  <si>
    <t>732.63万</t>
  </si>
  <si>
    <t>110.49亿</t>
  </si>
  <si>
    <t>95.97亿</t>
  </si>
  <si>
    <t>41.23亿</t>
  </si>
  <si>
    <t>51.16亿</t>
  </si>
  <si>
    <t>15.11亿</t>
  </si>
  <si>
    <t>44.36亿</t>
  </si>
  <si>
    <t>42.47亿</t>
  </si>
  <si>
    <t>1856.03万</t>
  </si>
  <si>
    <t>6720.86万</t>
  </si>
  <si>
    <t>53194535亿</t>
  </si>
  <si>
    <t>-237929830亿</t>
  </si>
  <si>
    <t>17.78亿</t>
  </si>
  <si>
    <t>540850900亿</t>
  </si>
  <si>
    <t>2871.51万</t>
  </si>
  <si>
    <t>4276460500亿</t>
  </si>
  <si>
    <t>20.59亿</t>
  </si>
  <si>
    <t>26.22亿</t>
  </si>
  <si>
    <t>22.21亿</t>
  </si>
  <si>
    <t>93.21亿</t>
  </si>
  <si>
    <t>15.87亿</t>
  </si>
  <si>
    <t>-6.31亿</t>
  </si>
  <si>
    <t>-1.46亿</t>
  </si>
  <si>
    <t>7.89亿</t>
  </si>
  <si>
    <t>232.00亿</t>
  </si>
  <si>
    <t>2.82亿</t>
  </si>
  <si>
    <t>185.93亿</t>
  </si>
  <si>
    <t>12.72亿</t>
  </si>
  <si>
    <t>-5.12亿</t>
  </si>
  <si>
    <t>5211.60万</t>
  </si>
  <si>
    <t>3.53亿</t>
  </si>
  <si>
    <t>2740.57万</t>
  </si>
  <si>
    <t>1517.61亿</t>
  </si>
  <si>
    <t>4994.13亿</t>
  </si>
  <si>
    <t>876.47亿</t>
  </si>
  <si>
    <t>33.40亿</t>
  </si>
  <si>
    <t>4.89亿</t>
  </si>
  <si>
    <t>654.70亿</t>
  </si>
  <si>
    <t>581.39亿</t>
  </si>
  <si>
    <t>1.08亿</t>
  </si>
  <si>
    <t>24.29亿</t>
  </si>
  <si>
    <t>1090000000亿</t>
  </si>
  <si>
    <t>7300.00万</t>
  </si>
  <si>
    <t>16460000000亿</t>
  </si>
  <si>
    <t>1674.64亿</t>
  </si>
  <si>
    <t>14169000000亿</t>
  </si>
  <si>
    <t>61.74亿</t>
  </si>
  <si>
    <t>218364000000亿</t>
  </si>
  <si>
    <t>206.08亿</t>
  </si>
  <si>
    <t>27.45亿</t>
  </si>
  <si>
    <t>800.00万</t>
  </si>
  <si>
    <t>321.12亿</t>
  </si>
  <si>
    <t>929.68亿</t>
  </si>
  <si>
    <t>298.20亿</t>
  </si>
  <si>
    <t>285.53亿</t>
  </si>
  <si>
    <t>-250.05亿</t>
  </si>
  <si>
    <t>-10.68亿</t>
  </si>
  <si>
    <t>3445.33亿</t>
  </si>
  <si>
    <t>3356.40亿</t>
  </si>
  <si>
    <t>696.48亿</t>
  </si>
  <si>
    <t>500.84亿</t>
  </si>
  <si>
    <t>3430.74亿</t>
  </si>
  <si>
    <t>8.19亿</t>
  </si>
  <si>
    <t>596.94亿</t>
  </si>
  <si>
    <t>1.14亿</t>
  </si>
  <si>
    <t>10派22.6元(含税)</t>
  </si>
  <si>
    <t>7.04亿</t>
  </si>
  <si>
    <t>0489000000</t>
  </si>
  <si>
    <t>01467000000</t>
  </si>
  <si>
    <t>02934000000</t>
  </si>
  <si>
    <t>04890000000</t>
  </si>
  <si>
    <t>09780000000</t>
  </si>
  <si>
    <t>855.67万</t>
  </si>
  <si>
    <t>153.65亿</t>
  </si>
  <si>
    <t>153.88亿</t>
  </si>
  <si>
    <t>24.13亿</t>
  </si>
  <si>
    <t>171.67亿</t>
  </si>
  <si>
    <t>-27.08亿</t>
  </si>
  <si>
    <t>11.84亿</t>
  </si>
  <si>
    <t>3940.73万</t>
  </si>
  <si>
    <t>175.47万</t>
  </si>
  <si>
    <t>450191450亿</t>
  </si>
  <si>
    <t>49.16亿</t>
  </si>
  <si>
    <t>11545830亿</t>
  </si>
  <si>
    <t>6017649100亿</t>
  </si>
  <si>
    <t>24.80亿</t>
  </si>
  <si>
    <t>9.48亿</t>
  </si>
  <si>
    <t>11.95亿</t>
  </si>
  <si>
    <t>54.35亿</t>
  </si>
  <si>
    <t>53.92亿</t>
  </si>
  <si>
    <t>13.07亿</t>
  </si>
  <si>
    <t>-3.87亿</t>
  </si>
  <si>
    <t>-12.36亿</t>
  </si>
  <si>
    <t>92.87亿</t>
  </si>
  <si>
    <t>13.44亿</t>
  </si>
  <si>
    <t>84.37亿</t>
  </si>
  <si>
    <t>44.97亿</t>
  </si>
  <si>
    <t>10.40亿</t>
  </si>
  <si>
    <t>3728.36万</t>
  </si>
  <si>
    <t>5705.63万</t>
  </si>
  <si>
    <t>4.46亿</t>
  </si>
  <si>
    <t>2583.09万</t>
  </si>
  <si>
    <t>698.15亿</t>
  </si>
  <si>
    <t>1332.82亿</t>
  </si>
  <si>
    <t>404.49亿</t>
  </si>
  <si>
    <t>71.74亿</t>
  </si>
  <si>
    <t>9751.77万</t>
  </si>
  <si>
    <t>306.46亿</t>
  </si>
  <si>
    <t>261.97亿</t>
  </si>
  <si>
    <t>2.03亿</t>
  </si>
  <si>
    <t>18.30亿</t>
  </si>
  <si>
    <t>389704970亿</t>
  </si>
  <si>
    <t>1986.04万</t>
  </si>
  <si>
    <t>5353760100亿</t>
  </si>
  <si>
    <t>282.20亿</t>
  </si>
  <si>
    <t>2825977800亿</t>
  </si>
  <si>
    <t>2.12亿</t>
  </si>
  <si>
    <t>59106175000亿</t>
  </si>
  <si>
    <t>66.93亿</t>
  </si>
  <si>
    <t>4906.18万</t>
  </si>
  <si>
    <t>179.18亿</t>
  </si>
  <si>
    <t>181.05万</t>
  </si>
  <si>
    <t>398.89亿</t>
  </si>
  <si>
    <t>28.99亿</t>
  </si>
  <si>
    <t>-9.59亿</t>
  </si>
  <si>
    <t>-7.91亿</t>
  </si>
  <si>
    <t>1668.48亿</t>
  </si>
  <si>
    <t>1523.08亿</t>
  </si>
  <si>
    <t>352.02亿</t>
  </si>
  <si>
    <t>214.19亿</t>
  </si>
  <si>
    <t>1708.72亿</t>
  </si>
  <si>
    <t>9.01亿</t>
  </si>
  <si>
    <t>212.39亿</t>
  </si>
  <si>
    <t>-1.10亿</t>
  </si>
  <si>
    <t>10派13.15元(含税)</t>
  </si>
  <si>
    <t>8.42亿</t>
  </si>
  <si>
    <t>1716.07万</t>
  </si>
  <si>
    <t>485.79亿</t>
  </si>
  <si>
    <t>311.73亿</t>
  </si>
  <si>
    <t>82.44亿</t>
  </si>
  <si>
    <t>22655.29亿</t>
  </si>
  <si>
    <t>542.64亿</t>
  </si>
  <si>
    <t>71.55亿</t>
  </si>
  <si>
    <t>60.29亿</t>
  </si>
  <si>
    <t>5112.59万</t>
  </si>
  <si>
    <t>24878990亿</t>
  </si>
  <si>
    <t>176.21万</t>
  </si>
  <si>
    <t>755404760亿</t>
  </si>
  <si>
    <t>166.59亿</t>
  </si>
  <si>
    <t>3890022100亿</t>
  </si>
  <si>
    <t>1462.40万</t>
  </si>
  <si>
    <t>22757264000亿</t>
  </si>
  <si>
    <t>39.04亿</t>
  </si>
  <si>
    <t>58.83亿</t>
  </si>
  <si>
    <t>131.62亿</t>
  </si>
  <si>
    <t>55.87亿</t>
  </si>
  <si>
    <t>2170.76万</t>
  </si>
  <si>
    <t>310.03亿</t>
  </si>
  <si>
    <t>57.52亿</t>
  </si>
  <si>
    <t>28.27亿</t>
  </si>
  <si>
    <t>-22.81亿</t>
  </si>
  <si>
    <t>8.45亿</t>
  </si>
  <si>
    <t>360.44亿</t>
  </si>
  <si>
    <t>57.39亿</t>
  </si>
  <si>
    <t>315.61亿</t>
  </si>
  <si>
    <t>5248.28亿</t>
  </si>
  <si>
    <t>40.03亿</t>
  </si>
  <si>
    <t>147.45亿</t>
  </si>
  <si>
    <t>10派9.9元(含税)</t>
  </si>
  <si>
    <t>7.45亿</t>
  </si>
  <si>
    <t>827.85万</t>
  </si>
  <si>
    <t>373.43亿</t>
  </si>
  <si>
    <t>514.93亿</t>
  </si>
  <si>
    <t>86.59亿</t>
  </si>
  <si>
    <t>34.24亿</t>
  </si>
  <si>
    <t>6875.85万</t>
  </si>
  <si>
    <t>66.61亿</t>
  </si>
  <si>
    <t>49.83亿</t>
  </si>
  <si>
    <t>3057.33万</t>
  </si>
  <si>
    <t>2453977亿</t>
  </si>
  <si>
    <t>274.75万</t>
  </si>
  <si>
    <t>1284675720亿</t>
  </si>
  <si>
    <t>248.31亿</t>
  </si>
  <si>
    <t>4579457500亿</t>
  </si>
  <si>
    <t>2863.46万</t>
  </si>
  <si>
    <t>38901855000亿</t>
  </si>
  <si>
    <t>22.08亿</t>
  </si>
  <si>
    <t>10.50亿</t>
  </si>
  <si>
    <t>139.41亿</t>
  </si>
  <si>
    <t>245.95亿</t>
  </si>
  <si>
    <t>2270.15万</t>
  </si>
  <si>
    <t>-15.65亿</t>
  </si>
  <si>
    <t>-2.45亿</t>
  </si>
  <si>
    <t>-1.51亿</t>
  </si>
  <si>
    <t>542.97亿</t>
  </si>
  <si>
    <t>453.22亿</t>
  </si>
  <si>
    <t>141.75亿</t>
  </si>
  <si>
    <t>67.31亿</t>
  </si>
  <si>
    <t>431.37亿</t>
  </si>
  <si>
    <t>79.22亿</t>
  </si>
  <si>
    <t>1127.91万</t>
  </si>
  <si>
    <t>10派15.89元(含税)</t>
  </si>
  <si>
    <t>6942.33万</t>
  </si>
  <si>
    <t>5.26亿</t>
  </si>
  <si>
    <t>068758500</t>
  </si>
  <si>
    <t>0206275500</t>
  </si>
  <si>
    <t>0412551000</t>
  </si>
  <si>
    <t>0687585000</t>
  </si>
  <si>
    <t>01375170000</t>
  </si>
  <si>
    <t>1536.64万</t>
  </si>
  <si>
    <t>1665.78亿</t>
  </si>
  <si>
    <t>1894.45亿</t>
  </si>
  <si>
    <t>453.94亿</t>
  </si>
  <si>
    <t>2934.03亿</t>
  </si>
  <si>
    <t>211.19亿</t>
  </si>
  <si>
    <t>372.51亿</t>
  </si>
  <si>
    <t>331.15亿</t>
  </si>
  <si>
    <t>12.71亿</t>
  </si>
  <si>
    <t>444478000亿</t>
  </si>
  <si>
    <t>2547.10万</t>
  </si>
  <si>
    <t>4892218000亿</t>
  </si>
  <si>
    <t>905.33亿</t>
  </si>
  <si>
    <t>10757296000亿</t>
  </si>
  <si>
    <t>123121940000亿</t>
  </si>
  <si>
    <t>118.32亿</t>
  </si>
  <si>
    <t>241.46亿</t>
  </si>
  <si>
    <t>913.30亿</t>
  </si>
  <si>
    <t>450.53亿</t>
  </si>
  <si>
    <t>34.05亿</t>
  </si>
  <si>
    <t>-10.71亿</t>
  </si>
  <si>
    <t>-27.52亿</t>
  </si>
  <si>
    <t>2205.77亿</t>
  </si>
  <si>
    <t>2398.28亿</t>
  </si>
  <si>
    <t>182.59亿</t>
  </si>
  <si>
    <t>137.39亿</t>
  </si>
  <si>
    <t>1929.69亿</t>
  </si>
  <si>
    <t>749.45亿</t>
  </si>
  <si>
    <t>195.34亿</t>
  </si>
  <si>
    <t>54.42亿</t>
  </si>
  <si>
    <t>10派4.42元(含税)</t>
  </si>
  <si>
    <t>8856.59万</t>
  </si>
  <si>
    <t>7.05亿</t>
  </si>
  <si>
    <t>1609.05万</t>
  </si>
  <si>
    <t>214.70亿</t>
  </si>
  <si>
    <t>156.00亿</t>
  </si>
  <si>
    <t>30.58亿</t>
  </si>
  <si>
    <t>1754.48亿</t>
  </si>
  <si>
    <t>238.60亿</t>
  </si>
  <si>
    <t>21.85亿</t>
  </si>
  <si>
    <t>17.75亿</t>
  </si>
  <si>
    <t>1236.31万</t>
  </si>
  <si>
    <t>22085599亿</t>
  </si>
  <si>
    <t>1364.95万</t>
  </si>
  <si>
    <t>582039070亿</t>
  </si>
  <si>
    <t>24.12亿</t>
  </si>
  <si>
    <t>712864660亿</t>
  </si>
  <si>
    <t>3835732700亿</t>
  </si>
  <si>
    <t>18.91亿</t>
  </si>
  <si>
    <t>4798.00万</t>
  </si>
  <si>
    <t>19.63亿</t>
  </si>
  <si>
    <t>49.12万</t>
  </si>
  <si>
    <t>110.98亿</t>
  </si>
  <si>
    <t>9.78亿</t>
  </si>
  <si>
    <t>-16.03亿</t>
  </si>
  <si>
    <t>120.03亿</t>
  </si>
  <si>
    <t>20.77亿</t>
  </si>
  <si>
    <t>26.62亿</t>
  </si>
  <si>
    <t>128.45亿</t>
  </si>
  <si>
    <t>473.53亿</t>
  </si>
  <si>
    <t>21.09亿</t>
  </si>
  <si>
    <t>71.27亿</t>
  </si>
  <si>
    <t>7.06亿</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</si>
</sst>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2"/>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3" fillId="0" borderId="0" xfId="0" applyFon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4" fillId="0" borderId="0" xfId="0" applyFont="1" applyAlignment="1">
      <alignment vertical="center" wrapText="1"/>
    </xf>
    <xf numFmtId="0" fontId="6"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228600</xdr:colOff>
          <xdr:row>0</xdr:row>
          <xdr:rowOff>107950</xdr:rowOff>
        </xdr:from>
        <xdr:to>
          <xdr:col>147</xdr:col>
          <xdr:colOff>1397000</xdr:colOff>
          <xdr:row>0</xdr:row>
          <xdr:rowOff>419100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5"/>
  <sheetViews>
    <sheetView tabSelected="1" zoomScale="85" zoomScaleNormal="85" workbookViewId="0">
      <pane xSplit="5" ySplit="1" topLeftCell="F2" activePane="bottomRight" state="frozen"/>
      <selection pane="topRight" activeCell="F1" sqref="F1"/>
      <selection pane="bottomLeft" activeCell="A2" sqref="A2"/>
      <selection pane="bottomRight" activeCell="C21" sqref="C21:C22"/>
    </sheetView>
  </sheetViews>
  <sheetFormatPr defaultColWidth="10.90625" defaultRowHeight="14" x14ac:dyDescent="0.25"/>
  <cols>
    <col min="1" max="1" width="44.1796875" customWidth="1"/>
    <col min="2" max="2" width="42.1796875" customWidth="1"/>
    <col min="3" max="3" width="46.6328125" customWidth="1"/>
    <col min="148" max="148" width="23.453125" customWidth="1"/>
  </cols>
  <sheetData>
    <row r="1" spans="1:146" s="3" customFormat="1" ht="42.5" customHeight="1" x14ac:dyDescent="0.25">
      <c r="A1" s="4" t="s">
        <v>59</v>
      </c>
      <c r="B1" s="5" t="s">
        <v>60</v>
      </c>
      <c r="C1" s="4" t="s">
        <v>61</v>
      </c>
      <c r="D1" t="s">
        <v>23</v>
      </c>
      <c r="E1" t="s">
        <v>347</v>
      </c>
      <c r="F1" t="s">
        <v>62</v>
      </c>
      <c r="G1" t="s">
        <v>420</v>
      </c>
      <c r="H1" t="s">
        <v>421</v>
      </c>
      <c r="I1" t="s">
        <v>24</v>
      </c>
      <c r="J1" t="s">
        <v>25</v>
      </c>
      <c r="K1" t="s">
        <v>3</v>
      </c>
      <c r="L1" t="s">
        <v>63</v>
      </c>
      <c r="M1" t="s">
        <v>64</v>
      </c>
      <c r="N1" t="s">
        <v>65</v>
      </c>
      <c r="O1" t="s">
        <v>66</v>
      </c>
      <c r="P1" t="s">
        <v>422</v>
      </c>
      <c r="Q1" t="s">
        <v>348</v>
      </c>
      <c r="R1" t="s">
        <v>349</v>
      </c>
      <c r="S1" t="s">
        <v>67</v>
      </c>
      <c r="T1" t="s">
        <v>423</v>
      </c>
      <c r="U1" t="s">
        <v>291</v>
      </c>
      <c r="V1" t="s">
        <v>68</v>
      </c>
      <c r="W1" t="s">
        <v>350</v>
      </c>
      <c r="X1" t="s">
        <v>351</v>
      </c>
      <c r="Y1" t="s">
        <v>352</v>
      </c>
      <c r="Z1" t="s">
        <v>353</v>
      </c>
      <c r="AA1" t="s">
        <v>354</v>
      </c>
      <c r="AB1" t="s">
        <v>424</v>
      </c>
      <c r="AC1" t="s">
        <v>355</v>
      </c>
      <c r="AD1" t="s">
        <v>356</v>
      </c>
      <c r="AE1" t="s">
        <v>69</v>
      </c>
      <c r="AF1" t="s">
        <v>70</v>
      </c>
      <c r="AG1" t="s">
        <v>425</v>
      </c>
      <c r="AH1" t="s">
        <v>357</v>
      </c>
      <c r="AI1" t="s">
        <v>426</v>
      </c>
      <c r="AJ1" t="s">
        <v>71</v>
      </c>
      <c r="AK1" t="s">
        <v>427</v>
      </c>
      <c r="AL1" t="s">
        <v>131</v>
      </c>
      <c r="AM1" t="s">
        <v>428</v>
      </c>
      <c r="AN1" t="s">
        <v>429</v>
      </c>
      <c r="AO1" t="s">
        <v>430</v>
      </c>
      <c r="AP1" t="s">
        <v>431</v>
      </c>
      <c r="AQ1" t="s">
        <v>432</v>
      </c>
      <c r="AR1" t="s">
        <v>433</v>
      </c>
      <c r="AS1" t="s">
        <v>434</v>
      </c>
      <c r="AT1" t="s">
        <v>435</v>
      </c>
      <c r="AU1" t="s">
        <v>436</v>
      </c>
      <c r="AV1" t="s">
        <v>437</v>
      </c>
      <c r="AW1" t="s">
        <v>438</v>
      </c>
      <c r="AX1" t="s">
        <v>358</v>
      </c>
      <c r="AY1" t="s">
        <v>132</v>
      </c>
      <c r="AZ1" t="s">
        <v>133</v>
      </c>
      <c r="BA1" t="s">
        <v>134</v>
      </c>
      <c r="BB1" t="s">
        <v>135</v>
      </c>
      <c r="BC1" t="s">
        <v>292</v>
      </c>
      <c r="BD1" t="s">
        <v>136</v>
      </c>
      <c r="BE1" t="s">
        <v>137</v>
      </c>
      <c r="BF1" t="s">
        <v>138</v>
      </c>
      <c r="BG1" t="s">
        <v>139</v>
      </c>
      <c r="BH1" t="s">
        <v>439</v>
      </c>
      <c r="BI1" t="s">
        <v>440</v>
      </c>
      <c r="BJ1" t="s">
        <v>441</v>
      </c>
      <c r="BK1" t="s">
        <v>442</v>
      </c>
      <c r="BL1" t="s">
        <v>443</v>
      </c>
      <c r="BM1" t="s">
        <v>444</v>
      </c>
      <c r="BN1" t="s">
        <v>359</v>
      </c>
      <c r="BO1" t="s">
        <v>293</v>
      </c>
      <c r="BP1" t="s">
        <v>140</v>
      </c>
      <c r="BQ1" t="s">
        <v>360</v>
      </c>
      <c r="BR1" t="s">
        <v>294</v>
      </c>
      <c r="BS1" t="s">
        <v>141</v>
      </c>
      <c r="BT1" t="s">
        <v>445</v>
      </c>
      <c r="BU1" t="s">
        <v>361</v>
      </c>
      <c r="BV1" t="s">
        <v>446</v>
      </c>
      <c r="BW1" t="s">
        <v>283</v>
      </c>
      <c r="BX1" t="s">
        <v>142</v>
      </c>
      <c r="BY1" t="s">
        <v>447</v>
      </c>
      <c r="BZ1" t="s">
        <v>284</v>
      </c>
      <c r="CA1" t="s">
        <v>143</v>
      </c>
      <c r="CB1" t="s">
        <v>448</v>
      </c>
      <c r="CC1" t="s">
        <v>449</v>
      </c>
      <c r="CD1" t="s">
        <v>450</v>
      </c>
      <c r="CE1" t="s">
        <v>451</v>
      </c>
      <c r="CF1" s="1" t="s">
        <v>362</v>
      </c>
      <c r="CG1" s="1" t="s">
        <v>363</v>
      </c>
      <c r="CH1" s="1" t="s">
        <v>270</v>
      </c>
      <c r="CI1" s="1" t="s">
        <v>271</v>
      </c>
      <c r="CJ1" s="1" t="s">
        <v>272</v>
      </c>
      <c r="CK1" s="1" t="s">
        <v>273</v>
      </c>
      <c r="CL1" s="1" t="s">
        <v>274</v>
      </c>
      <c r="CM1" s="1" t="s">
        <v>275</v>
      </c>
      <c r="CN1" s="1" t="s">
        <v>276</v>
      </c>
      <c r="CO1" s="1" t="s">
        <v>277</v>
      </c>
      <c r="CP1" s="1" t="s">
        <v>278</v>
      </c>
      <c r="CQ1" s="1" t="s">
        <v>279</v>
      </c>
      <c r="CR1" s="1" t="s">
        <v>452</v>
      </c>
      <c r="CS1" s="1" t="s">
        <v>453</v>
      </c>
      <c r="CT1" s="1" t="s">
        <v>454</v>
      </c>
      <c r="CU1" s="1" t="s">
        <v>464</v>
      </c>
      <c r="CV1" s="1" t="s">
        <v>465</v>
      </c>
      <c r="CW1" s="1" t="s">
        <v>455</v>
      </c>
      <c r="CX1">
        <v>1</v>
      </c>
      <c r="CY1" t="s">
        <v>466</v>
      </c>
      <c r="CZ1" t="s">
        <v>467</v>
      </c>
      <c r="DA1">
        <v>3</v>
      </c>
      <c r="DB1" t="s">
        <v>468</v>
      </c>
      <c r="DC1" t="s">
        <v>469</v>
      </c>
      <c r="DD1">
        <v>6</v>
      </c>
      <c r="DE1" t="s">
        <v>456</v>
      </c>
      <c r="DF1" t="s">
        <v>470</v>
      </c>
      <c r="DG1">
        <v>10</v>
      </c>
      <c r="DH1" t="s">
        <v>457</v>
      </c>
      <c r="DI1" t="s">
        <v>458</v>
      </c>
      <c r="DJ1">
        <v>20</v>
      </c>
      <c r="DK1" t="s">
        <v>471</v>
      </c>
      <c r="DL1" t="s">
        <v>280</v>
      </c>
      <c r="DM1" t="s">
        <v>281</v>
      </c>
      <c r="DN1" s="2" t="s">
        <v>282</v>
      </c>
      <c r="DO1" t="s">
        <v>472</v>
      </c>
      <c r="DP1" t="s">
        <v>459</v>
      </c>
      <c r="DQ1" s="8" t="s">
        <v>473</v>
      </c>
      <c r="DR1" s="1" t="s">
        <v>460</v>
      </c>
      <c r="DS1" s="1" t="s">
        <v>474</v>
      </c>
      <c r="DT1" t="s">
        <v>475</v>
      </c>
      <c r="DU1" t="s">
        <v>476</v>
      </c>
      <c r="DV1" t="s">
        <v>477</v>
      </c>
      <c r="DW1" t="s">
        <v>478</v>
      </c>
      <c r="DX1" t="s">
        <v>479</v>
      </c>
      <c r="DY1" t="s">
        <v>480</v>
      </c>
      <c r="DZ1" t="s">
        <v>481</v>
      </c>
      <c r="EA1" t="s">
        <v>461</v>
      </c>
      <c r="EB1" t="s">
        <v>482</v>
      </c>
      <c r="EC1" t="s">
        <v>483</v>
      </c>
      <c r="ED1" t="s">
        <v>484</v>
      </c>
      <c r="EE1" t="s">
        <v>485</v>
      </c>
      <c r="EF1" t="s">
        <v>462</v>
      </c>
      <c r="EG1" t="s">
        <v>486</v>
      </c>
      <c r="EH1" t="s">
        <v>463</v>
      </c>
      <c r="EI1" t="s">
        <v>487</v>
      </c>
      <c r="EJ1"/>
      <c r="EK1" s="9" t="s">
        <v>488</v>
      </c>
      <c r="EL1" t="s">
        <v>489</v>
      </c>
      <c r="EM1" t="s">
        <v>490</v>
      </c>
      <c r="EN1" t="s">
        <v>491</v>
      </c>
      <c r="EO1" t="s">
        <v>492</v>
      </c>
      <c r="EP1" t="s">
        <v>493</v>
      </c>
    </row>
    <row r="2" spans="1:146" ht="84" x14ac:dyDescent="0.25">
      <c r="A2" s="7"/>
      <c r="B2" s="7"/>
      <c r="C2" s="7" t="str">
        <f>""&amp;CHAR(10)&amp;Basic_Fundamental_Information_Constructure(F2)&amp;CHAR(10)&amp;Basic_Fundamental_Information_Concatenate("")</f>
        <v xml:space="preserve">
市值185.17223亿, 利润17.38亿; PE14.07; 平均PE13.59; 平均PEG.39, PB1.12; ROIC10.56%; ROE15.97%; 股利率2.8902%; 毛利37.78%; 净利18.84%; 上一年度营收增-8.17%, 利润增-45.16%; 当季营收增-10.61%, 利润增-44%; 过往5年营收增35.21%, 利润增60.72%
Income profile:
</v>
      </c>
      <c r="D2" t="s">
        <v>41</v>
      </c>
      <c r="E2" t="s">
        <v>516</v>
      </c>
      <c r="F2">
        <v>3.46</v>
      </c>
      <c r="G2">
        <v>0.57999999999999996</v>
      </c>
      <c r="H2" t="s">
        <v>517</v>
      </c>
      <c r="I2">
        <v>18517223000</v>
      </c>
      <c r="J2">
        <v>14.07</v>
      </c>
      <c r="K2">
        <v>1.1200000000000001</v>
      </c>
      <c r="L2" t="s">
        <v>73</v>
      </c>
      <c r="M2" t="s">
        <v>518</v>
      </c>
      <c r="N2" t="s">
        <v>519</v>
      </c>
      <c r="O2" t="s">
        <v>520</v>
      </c>
      <c r="P2">
        <v>-10.59</v>
      </c>
      <c r="Q2" t="s">
        <v>236</v>
      </c>
      <c r="R2">
        <v>536497300</v>
      </c>
      <c r="S2" s="6">
        <v>-0.44009999999999999</v>
      </c>
      <c r="T2" t="s">
        <v>521</v>
      </c>
      <c r="U2">
        <v>3725774000</v>
      </c>
      <c r="V2">
        <v>5351798500</v>
      </c>
      <c r="W2">
        <v>1.82</v>
      </c>
      <c r="X2">
        <v>0.09</v>
      </c>
      <c r="Y2">
        <v>19.03</v>
      </c>
      <c r="Z2" t="s">
        <v>522</v>
      </c>
      <c r="AA2" t="s">
        <v>523</v>
      </c>
      <c r="AB2" t="s">
        <v>524</v>
      </c>
      <c r="AC2" t="s">
        <v>525</v>
      </c>
      <c r="AD2" t="s">
        <v>72</v>
      </c>
      <c r="AE2">
        <v>23823754</v>
      </c>
      <c r="AF2" t="s">
        <v>80</v>
      </c>
      <c r="AG2" t="s">
        <v>526</v>
      </c>
      <c r="AH2" t="s">
        <v>527</v>
      </c>
      <c r="AI2" t="s">
        <v>528</v>
      </c>
      <c r="AJ2" t="s">
        <v>529</v>
      </c>
      <c r="AK2" t="s">
        <v>530</v>
      </c>
      <c r="AL2" t="s">
        <v>531</v>
      </c>
      <c r="AM2" t="s">
        <v>72</v>
      </c>
      <c r="AN2" t="s">
        <v>532</v>
      </c>
      <c r="AO2" t="s">
        <v>533</v>
      </c>
      <c r="AP2" t="s">
        <v>368</v>
      </c>
      <c r="AQ2" t="s">
        <v>534</v>
      </c>
      <c r="AR2" t="s">
        <v>535</v>
      </c>
      <c r="AS2" t="s">
        <v>536</v>
      </c>
      <c r="AT2" t="s">
        <v>537</v>
      </c>
      <c r="AU2" t="s">
        <v>538</v>
      </c>
      <c r="AV2" t="s">
        <v>539</v>
      </c>
      <c r="AW2" t="s">
        <v>540</v>
      </c>
      <c r="AX2" t="s">
        <v>541</v>
      </c>
      <c r="AY2" t="s">
        <v>542</v>
      </c>
      <c r="AZ2" t="s">
        <v>144</v>
      </c>
      <c r="BA2" t="s">
        <v>145</v>
      </c>
      <c r="BB2" t="s">
        <v>146</v>
      </c>
      <c r="BC2" t="s">
        <v>543</v>
      </c>
      <c r="BD2" t="s">
        <v>544</v>
      </c>
      <c r="BE2" t="s">
        <v>87</v>
      </c>
      <c r="BF2" t="s">
        <v>147</v>
      </c>
      <c r="BG2" t="s">
        <v>148</v>
      </c>
      <c r="BH2" t="s">
        <v>236</v>
      </c>
      <c r="BI2" t="s">
        <v>545</v>
      </c>
      <c r="BJ2" t="s">
        <v>541</v>
      </c>
      <c r="BK2" t="s">
        <v>521</v>
      </c>
      <c r="BL2" t="s">
        <v>546</v>
      </c>
      <c r="BM2" t="s">
        <v>543</v>
      </c>
      <c r="BN2">
        <v>8.3000000000000007</v>
      </c>
      <c r="BO2">
        <v>18.16</v>
      </c>
      <c r="BP2">
        <v>5.22</v>
      </c>
      <c r="BQ2">
        <v>11.2</v>
      </c>
      <c r="BR2">
        <v>28.29</v>
      </c>
      <c r="BS2">
        <v>8.42</v>
      </c>
      <c r="BT2" t="s">
        <v>547</v>
      </c>
      <c r="BU2" t="s">
        <v>364</v>
      </c>
      <c r="BV2">
        <v>35.89</v>
      </c>
      <c r="BW2">
        <v>46.94</v>
      </c>
      <c r="BX2">
        <v>30.51</v>
      </c>
      <c r="BY2">
        <v>15.48</v>
      </c>
      <c r="BZ2">
        <v>26.06</v>
      </c>
      <c r="CA2">
        <v>14.98</v>
      </c>
      <c r="CB2">
        <v>-0.28999999999999998</v>
      </c>
      <c r="CC2">
        <v>0.28999999999999998</v>
      </c>
      <c r="CD2" t="s">
        <v>548</v>
      </c>
      <c r="CE2" t="s">
        <v>549</v>
      </c>
      <c r="CF2" s="10">
        <v>-0.10611339879632563</v>
      </c>
      <c r="CG2" s="11">
        <v>-0.43998194154488518</v>
      </c>
      <c r="CH2" s="10">
        <v>-8.1722564995288849E-2</v>
      </c>
      <c r="CI2" s="10">
        <v>0.22340856492519379</v>
      </c>
      <c r="CJ2" s="10">
        <v>1.7181988954544067</v>
      </c>
      <c r="CK2" s="10">
        <v>-9.298890084028244E-2</v>
      </c>
      <c r="CL2" s="10">
        <v>-6.5982560627162457E-3</v>
      </c>
      <c r="CM2" s="11">
        <v>-0.45156198740005493</v>
      </c>
      <c r="CN2" s="11">
        <v>0.82756626605987549</v>
      </c>
      <c r="CO2" s="11">
        <v>2.8966290950775146</v>
      </c>
      <c r="CP2" s="11">
        <v>-0.14258189499378204</v>
      </c>
      <c r="CQ2" s="11">
        <v>-9.4240836799144745E-2</v>
      </c>
      <c r="CR2">
        <v>13.58563683052091</v>
      </c>
      <c r="CS2">
        <v>0.38589031086984871</v>
      </c>
      <c r="CT2">
        <v>2.890170520231214</v>
      </c>
      <c r="CU2" s="10">
        <v>0.35205954769626258</v>
      </c>
      <c r="CV2" s="11">
        <v>0.60716212838888173</v>
      </c>
      <c r="CW2">
        <v>0.06</v>
      </c>
      <c r="CX2">
        <v>7.0740463173448855</v>
      </c>
      <c r="CY2">
        <v>2216867447.0717964</v>
      </c>
      <c r="CZ2">
        <v>0.35205954769626258</v>
      </c>
      <c r="DA2">
        <v>1.8646530108800337</v>
      </c>
      <c r="DB2">
        <v>8410263415.4966373</v>
      </c>
      <c r="DC2">
        <v>0.33445657031144943</v>
      </c>
      <c r="DD2">
        <v>0.67230344808363951</v>
      </c>
      <c r="DE2">
        <v>23326108239.815269</v>
      </c>
      <c r="DF2">
        <v>0.30981240197271109</v>
      </c>
      <c r="DG2">
        <v>0.27483932188140858</v>
      </c>
      <c r="DH2">
        <v>57059604472.342499</v>
      </c>
      <c r="DI2">
        <v>0.28164763815701005</v>
      </c>
      <c r="DJ2">
        <v>5.4985621897688873E-2</v>
      </c>
      <c r="DK2">
        <v>285205885807.37952</v>
      </c>
      <c r="DL2">
        <v>0.24644168338738379</v>
      </c>
      <c r="DM2">
        <v>1738000000</v>
      </c>
      <c r="DN2">
        <v>0.35205954769626258</v>
      </c>
      <c r="DO2">
        <v>15682223000</v>
      </c>
      <c r="DP2">
        <v>5929346200</v>
      </c>
      <c r="DQ2">
        <v>133</v>
      </c>
      <c r="DR2">
        <v>-0.45817294649258822</v>
      </c>
      <c r="DS2">
        <v>-1.0471440699337669</v>
      </c>
      <c r="DT2" s="12">
        <v>-2.3333333333333355E-2</v>
      </c>
      <c r="DU2">
        <v>0.32666666666666677</v>
      </c>
      <c r="DV2">
        <v>0.3033333333333334</v>
      </c>
      <c r="DW2">
        <v>2.8999999999999998E-3</v>
      </c>
      <c r="DX2">
        <v>0.28878727634194779</v>
      </c>
      <c r="DY2">
        <v>3.444831013916501E-4</v>
      </c>
      <c r="DZ2">
        <v>1039</v>
      </c>
      <c r="EA2">
        <v>2.7444045122610719E-4</v>
      </c>
      <c r="EB2">
        <v>0</v>
      </c>
      <c r="EC2">
        <v>4.4657884634483155E-2</v>
      </c>
      <c r="ED2">
        <v>0.37594838445431006</v>
      </c>
      <c r="EE2" s="13">
        <v>1.0320100000000001</v>
      </c>
      <c r="EF2">
        <v>1.0521100000000001</v>
      </c>
      <c r="EG2">
        <v>17.118787276341948</v>
      </c>
      <c r="EH2" t="s">
        <v>550</v>
      </c>
      <c r="EI2">
        <v>0</v>
      </c>
      <c r="EJ2">
        <v>1</v>
      </c>
      <c r="EK2" s="9">
        <v>45470</v>
      </c>
      <c r="EL2" s="14">
        <v>-1.21</v>
      </c>
      <c r="EM2" s="14">
        <v>-2.14</v>
      </c>
      <c r="EN2" s="14">
        <v>4.0599999999999996</v>
      </c>
      <c r="EO2" s="14">
        <v>4.8</v>
      </c>
      <c r="EP2" s="14">
        <v>-2.0099999999999998</v>
      </c>
    </row>
    <row r="3" spans="1:146" ht="84" x14ac:dyDescent="0.25">
      <c r="A3" s="7"/>
      <c r="B3" s="7"/>
      <c r="C3" s="7" t="str">
        <f>""&amp;CHAR(10)&amp;Basic_Fundamental_Information_Constructure(F3)&amp;CHAR(10)&amp;Basic_Fundamental_Information_Concatenate("")</f>
        <v xml:space="preserve">
市值24.426795亿, 利润-1.09亿; PE; 平均PE-6.92; 平均PEG-2.06, PB6.88; ROIC5.365%; ROE-20.0933%; 股利率0%; 毛利43.8333%; 净利.1667%; 上一年度营收增-7.06%, 利润增-189.75%; 当季营收增-32.79%, 利润增14.7%; 过往5年营收增-3.36%, 利润增3.28%
Income profile:
</v>
      </c>
      <c r="D3" t="s">
        <v>58</v>
      </c>
      <c r="E3" t="s">
        <v>551</v>
      </c>
      <c r="F3">
        <v>2.93</v>
      </c>
      <c r="G3">
        <v>1.74</v>
      </c>
      <c r="H3" t="s">
        <v>552</v>
      </c>
      <c r="I3">
        <v>2442679500</v>
      </c>
      <c r="K3">
        <v>6.88</v>
      </c>
      <c r="L3" t="s">
        <v>73</v>
      </c>
      <c r="M3" t="s">
        <v>553</v>
      </c>
      <c r="N3" t="s">
        <v>554</v>
      </c>
      <c r="O3" t="s">
        <v>500</v>
      </c>
      <c r="P3">
        <v>-32.69</v>
      </c>
      <c r="Q3" t="s">
        <v>555</v>
      </c>
      <c r="R3">
        <v>-16740138</v>
      </c>
      <c r="S3" s="6">
        <v>0.14699999999999999</v>
      </c>
      <c r="T3" t="s">
        <v>556</v>
      </c>
      <c r="U3">
        <v>814036330</v>
      </c>
      <c r="V3">
        <v>833679000</v>
      </c>
      <c r="W3">
        <v>2.52</v>
      </c>
      <c r="X3">
        <v>7.0000000000000007E-2</v>
      </c>
      <c r="Y3">
        <v>-6.34</v>
      </c>
      <c r="Z3" t="s">
        <v>305</v>
      </c>
      <c r="AA3" t="s">
        <v>557</v>
      </c>
      <c r="AB3" t="s">
        <v>558</v>
      </c>
      <c r="AC3" t="s">
        <v>559</v>
      </c>
      <c r="AD3" t="s">
        <v>72</v>
      </c>
      <c r="AE3">
        <v>7813468</v>
      </c>
      <c r="AF3" t="s">
        <v>560</v>
      </c>
      <c r="AG3" t="s">
        <v>561</v>
      </c>
      <c r="AH3" t="s">
        <v>562</v>
      </c>
      <c r="AI3" t="s">
        <v>563</v>
      </c>
      <c r="AJ3" t="s">
        <v>564</v>
      </c>
      <c r="AK3" t="s">
        <v>565</v>
      </c>
      <c r="AL3" t="s">
        <v>566</v>
      </c>
      <c r="AM3" t="s">
        <v>72</v>
      </c>
      <c r="AN3" t="s">
        <v>567</v>
      </c>
      <c r="AO3" t="s">
        <v>568</v>
      </c>
      <c r="AP3" t="s">
        <v>72</v>
      </c>
      <c r="AQ3" t="s">
        <v>569</v>
      </c>
      <c r="AR3" t="s">
        <v>570</v>
      </c>
      <c r="AS3" t="s">
        <v>571</v>
      </c>
      <c r="AT3" t="s">
        <v>72</v>
      </c>
      <c r="AU3" t="s">
        <v>572</v>
      </c>
      <c r="AV3" t="s">
        <v>573</v>
      </c>
      <c r="AW3" t="s">
        <v>574</v>
      </c>
      <c r="AX3" t="s">
        <v>575</v>
      </c>
      <c r="AY3" t="s">
        <v>295</v>
      </c>
      <c r="AZ3" t="s">
        <v>149</v>
      </c>
      <c r="BA3" t="s">
        <v>75</v>
      </c>
      <c r="BB3" t="s">
        <v>151</v>
      </c>
      <c r="BC3" t="s">
        <v>576</v>
      </c>
      <c r="BD3" t="s">
        <v>177</v>
      </c>
      <c r="BE3" t="s">
        <v>150</v>
      </c>
      <c r="BF3" t="s">
        <v>76</v>
      </c>
      <c r="BG3" t="s">
        <v>152</v>
      </c>
      <c r="BH3" t="s">
        <v>555</v>
      </c>
      <c r="BI3" t="s">
        <v>577</v>
      </c>
      <c r="BJ3" t="s">
        <v>575</v>
      </c>
      <c r="BK3" t="s">
        <v>556</v>
      </c>
      <c r="BL3" t="s">
        <v>578</v>
      </c>
      <c r="BM3" t="s">
        <v>576</v>
      </c>
      <c r="BN3">
        <v>-0.08</v>
      </c>
      <c r="BO3">
        <v>10.81</v>
      </c>
      <c r="BP3" t="s">
        <v>72</v>
      </c>
      <c r="BQ3">
        <v>-17.79</v>
      </c>
      <c r="BR3">
        <v>-9.7200000000000006</v>
      </c>
      <c r="BS3">
        <v>-32.770000000000003</v>
      </c>
      <c r="BT3" t="s">
        <v>495</v>
      </c>
      <c r="BU3" t="s">
        <v>364</v>
      </c>
      <c r="BV3">
        <v>45.44</v>
      </c>
      <c r="BW3">
        <v>47.08</v>
      </c>
      <c r="BX3">
        <v>38.979999999999997</v>
      </c>
      <c r="BY3">
        <v>-0.48</v>
      </c>
      <c r="BZ3">
        <v>8.69</v>
      </c>
      <c r="CA3">
        <v>-7.71</v>
      </c>
      <c r="CB3">
        <v>3.53</v>
      </c>
      <c r="CC3">
        <v>-4.25</v>
      </c>
      <c r="CD3" t="s">
        <v>579</v>
      </c>
      <c r="CE3" t="s">
        <v>580</v>
      </c>
      <c r="CF3" s="10">
        <v>-0.32786885245901648</v>
      </c>
      <c r="CG3" s="11">
        <v>0.14696456416057724</v>
      </c>
      <c r="CH3" s="10">
        <v>-7.061498612165451E-2</v>
      </c>
      <c r="CI3" s="10">
        <v>0.10951968282461166</v>
      </c>
      <c r="CJ3" s="10">
        <v>0.20020228624343872</v>
      </c>
      <c r="CK3" s="10">
        <v>-0.31271719932556152</v>
      </c>
      <c r="CL3" s="10">
        <v>-9.4398915767669678E-2</v>
      </c>
      <c r="CM3" s="11">
        <v>-1.8974874019622803</v>
      </c>
      <c r="CN3" s="11">
        <v>0.74408978223800659</v>
      </c>
      <c r="CO3" s="11">
        <v>0.55722892284393311</v>
      </c>
      <c r="CP3" s="11">
        <v>0.45840129256248474</v>
      </c>
      <c r="CQ3" s="11">
        <v>0.30182233452796936</v>
      </c>
      <c r="CR3">
        <v>-6.9242874531776817</v>
      </c>
      <c r="CS3">
        <v>-2.060687822351837</v>
      </c>
      <c r="CT3">
        <v>0</v>
      </c>
      <c r="CU3" s="10">
        <v>-3.3601826429367064E-2</v>
      </c>
      <c r="CV3" s="11">
        <v>3.2810986042022705E-2</v>
      </c>
      <c r="CW3">
        <v>0.06</v>
      </c>
      <c r="CX3" t="e">
        <v>#VALUE!</v>
      </c>
      <c r="CY3" t="s">
        <v>372</v>
      </c>
      <c r="CZ3">
        <v>-3.3601826429367064E-2</v>
      </c>
      <c r="DA3" t="e">
        <v>#VALUE!</v>
      </c>
      <c r="DB3" t="s">
        <v>365</v>
      </c>
      <c r="DC3">
        <v>-3.192173510789871E-2</v>
      </c>
      <c r="DD3" t="e">
        <v>#VALUE!</v>
      </c>
      <c r="DE3" t="s">
        <v>365</v>
      </c>
      <c r="DF3">
        <v>-2.9569607257843016E-2</v>
      </c>
      <c r="DG3" t="e">
        <v>#VALUE!</v>
      </c>
      <c r="DH3" t="s">
        <v>365</v>
      </c>
      <c r="DI3">
        <v>-2.6881461143493653E-2</v>
      </c>
      <c r="DJ3" t="e">
        <v>#VALUE!</v>
      </c>
      <c r="DK3" t="s">
        <v>365</v>
      </c>
      <c r="DL3">
        <v>-2.3521278500556943E-2</v>
      </c>
      <c r="DM3">
        <v>-109000000.00000001</v>
      </c>
      <c r="DN3">
        <v>-3.3601826429367064E-2</v>
      </c>
      <c r="DO3">
        <v>3086679500</v>
      </c>
      <c r="DP3">
        <v>-479413210</v>
      </c>
      <c r="DQ3">
        <v>149</v>
      </c>
      <c r="DR3">
        <v>-0.29426702602964944</v>
      </c>
      <c r="DS3">
        <v>0.11415357811855453</v>
      </c>
      <c r="DT3" s="12">
        <v>-0.42333333333333334</v>
      </c>
      <c r="DU3">
        <v>-2.2250000000000001</v>
      </c>
      <c r="DV3">
        <v>-2.6483333333333334</v>
      </c>
      <c r="DW3">
        <v>6.453727506426735</v>
      </c>
      <c r="DX3">
        <v>0.27413811074918615</v>
      </c>
      <c r="DY3">
        <v>6.0563248754427539</v>
      </c>
      <c r="DZ3">
        <v>4766</v>
      </c>
      <c r="EA3">
        <v>6.0037917332979074</v>
      </c>
      <c r="EB3">
        <v>6</v>
      </c>
      <c r="EC3">
        <v>4.571351803272003E-2</v>
      </c>
      <c r="ED3">
        <v>0.36824725104026851</v>
      </c>
      <c r="EE3" s="13">
        <v>3.0087999999999999</v>
      </c>
      <c r="EF3">
        <v>3.0153099999999999</v>
      </c>
      <c r="EG3">
        <v>15.124138110749186</v>
      </c>
      <c r="EH3" t="s">
        <v>581</v>
      </c>
      <c r="EI3">
        <v>0</v>
      </c>
      <c r="EJ3">
        <v>0</v>
      </c>
      <c r="EK3" s="9">
        <v>45470</v>
      </c>
      <c r="EL3" s="14">
        <v>3.46</v>
      </c>
      <c r="EM3" s="14">
        <v>-5.0199999999999996</v>
      </c>
      <c r="EN3" s="14">
        <v>-0.35</v>
      </c>
      <c r="EO3" s="14">
        <v>2.4700000000000002</v>
      </c>
      <c r="EP3" s="14">
        <v>-2.41</v>
      </c>
    </row>
    <row r="4" spans="1:146" ht="168" x14ac:dyDescent="0.25">
      <c r="A4" s="7" t="s">
        <v>375</v>
      </c>
      <c r="B4" s="7" t="s">
        <v>374</v>
      </c>
      <c r="C4" s="7" t="str">
        <f>"公司主要从事煤炭、焦化、天然气、氢燃料电池汽车为主的新能源汽车等商品的生产销售。拥有储量丰富的煤炭和煤层气资源，具备“煤-焦-气-化”一体化的完整产业链，是全国最大的独立商品焦和炼焦煤生产商之一，并在氢能产业链广泛布局，正在形成“产业链+区域+综合能源站网络”的三维格局。公司旗下控股子公司飞驰汽车是全国最具规模的氢燃料电池汽车生产基地，具备新能源客车5000台/年产能"&amp;CHAR(10)&amp;Basic_Fundamental_Information_Constructure(F4)&amp;CHAR(10)&amp;Basic_Fundamental_Information_Concatenate("焦化产品及副产品 130.47亿 97.70% 100.00% 23.47%
其他 3.08亿 2.30% ")</f>
        <v xml:space="preserve">公司主要从事煤炭、焦化、天然气、氢燃料电池汽车为主的新能源汽车等商品的生产销售。拥有储量丰富的煤炭和煤层气资源，具备“煤-焦-气-化”一体化的完整产业链，是全国最大的独立商品焦和炼焦煤生产商之一，并在氢能产业链广泛布局，正在形成“产业链+区域+综合能源站网络”的三维格局。公司旗下控股子公司飞驰汽车是全国最具规模的氢燃料电池汽车生产基地，具备新能源客车5000台/年产能
市值203.7657亿, 利润2.89亿; PE; 平均PE14.41; 平均PEG1.43, PB1.45; ROIC11.3167%; ROE13.66%; 股利率0%; 毛利20.9067%; 净利8.1633%; 上一年度营收增-15.4%, 利润增-86.92%; 当季营收增-21.45%, 利润增-189.91%; 过往5年营收增10.05%, 利润增18.31%
Income profile:
焦化产品及副产品 130.47亿 97.70% 100.00% 23.47%
其他 3.08亿 2.30% </v>
      </c>
      <c r="D4" t="s">
        <v>35</v>
      </c>
      <c r="E4" t="s">
        <v>8</v>
      </c>
      <c r="F4">
        <v>4.71</v>
      </c>
      <c r="G4">
        <v>0.21</v>
      </c>
      <c r="H4" t="s">
        <v>582</v>
      </c>
      <c r="I4">
        <v>20376570000</v>
      </c>
      <c r="K4">
        <v>1.45</v>
      </c>
      <c r="L4" t="s">
        <v>73</v>
      </c>
      <c r="M4" t="s">
        <v>583</v>
      </c>
      <c r="N4" t="s">
        <v>584</v>
      </c>
      <c r="O4" t="s">
        <v>585</v>
      </c>
      <c r="P4">
        <v>-21.45</v>
      </c>
      <c r="Q4" t="s">
        <v>586</v>
      </c>
      <c r="R4">
        <v>-361454570</v>
      </c>
      <c r="S4" s="6">
        <v>-1.8979999999999999</v>
      </c>
      <c r="T4" t="s">
        <v>384</v>
      </c>
      <c r="U4">
        <v>4296337600</v>
      </c>
      <c r="V4">
        <v>4326235600</v>
      </c>
      <c r="W4">
        <v>2.57</v>
      </c>
      <c r="X4">
        <v>0.1</v>
      </c>
      <c r="Y4">
        <v>-10.220000000000001</v>
      </c>
      <c r="Z4" t="s">
        <v>329</v>
      </c>
      <c r="AA4" t="s">
        <v>587</v>
      </c>
      <c r="AB4" t="s">
        <v>588</v>
      </c>
      <c r="AC4" t="s">
        <v>589</v>
      </c>
      <c r="AD4" t="s">
        <v>72</v>
      </c>
      <c r="AE4">
        <v>90980331</v>
      </c>
      <c r="AF4" t="s">
        <v>590</v>
      </c>
      <c r="AG4" t="s">
        <v>591</v>
      </c>
      <c r="AH4" t="s">
        <v>592</v>
      </c>
      <c r="AI4" t="s">
        <v>593</v>
      </c>
      <c r="AJ4" t="s">
        <v>594</v>
      </c>
      <c r="AK4" t="s">
        <v>72</v>
      </c>
      <c r="AL4" t="s">
        <v>595</v>
      </c>
      <c r="AM4" t="s">
        <v>72</v>
      </c>
      <c r="AN4" t="s">
        <v>596</v>
      </c>
      <c r="AO4" t="s">
        <v>373</v>
      </c>
      <c r="AP4" t="s">
        <v>597</v>
      </c>
      <c r="AQ4" t="s">
        <v>598</v>
      </c>
      <c r="AR4" t="s">
        <v>72</v>
      </c>
      <c r="AS4" t="s">
        <v>599</v>
      </c>
      <c r="AT4" t="s">
        <v>600</v>
      </c>
      <c r="AU4" t="s">
        <v>386</v>
      </c>
      <c r="AV4" t="s">
        <v>601</v>
      </c>
      <c r="AW4" t="s">
        <v>396</v>
      </c>
      <c r="AX4" t="s">
        <v>602</v>
      </c>
      <c r="AY4" t="s">
        <v>603</v>
      </c>
      <c r="AZ4" t="s">
        <v>153</v>
      </c>
      <c r="BA4" t="s">
        <v>77</v>
      </c>
      <c r="BB4" t="s">
        <v>155</v>
      </c>
      <c r="BC4" t="s">
        <v>604</v>
      </c>
      <c r="BD4" t="s">
        <v>605</v>
      </c>
      <c r="BE4" t="s">
        <v>296</v>
      </c>
      <c r="BF4" t="s">
        <v>78</v>
      </c>
      <c r="BG4" t="s">
        <v>156</v>
      </c>
      <c r="BH4" t="s">
        <v>586</v>
      </c>
      <c r="BI4" t="s">
        <v>606</v>
      </c>
      <c r="BJ4" t="s">
        <v>602</v>
      </c>
      <c r="BK4" t="s">
        <v>384</v>
      </c>
      <c r="BL4" t="s">
        <v>607</v>
      </c>
      <c r="BM4" t="s">
        <v>604</v>
      </c>
      <c r="BN4">
        <v>2.06</v>
      </c>
      <c r="BO4">
        <v>12.22</v>
      </c>
      <c r="BP4">
        <v>19.670000000000002</v>
      </c>
      <c r="BQ4">
        <v>2.75</v>
      </c>
      <c r="BR4">
        <v>16.38</v>
      </c>
      <c r="BS4">
        <v>21.85</v>
      </c>
      <c r="BT4" t="s">
        <v>495</v>
      </c>
      <c r="BU4" t="s">
        <v>366</v>
      </c>
      <c r="BV4">
        <v>11.48</v>
      </c>
      <c r="BW4">
        <v>20.99</v>
      </c>
      <c r="BX4">
        <v>30.25</v>
      </c>
      <c r="BY4">
        <v>0.75</v>
      </c>
      <c r="BZ4">
        <v>9.06</v>
      </c>
      <c r="CA4">
        <v>14.68</v>
      </c>
      <c r="CB4">
        <v>-1.05</v>
      </c>
      <c r="CC4">
        <v>-13.89</v>
      </c>
      <c r="CD4" t="s">
        <v>608</v>
      </c>
      <c r="CE4" t="s">
        <v>609</v>
      </c>
      <c r="CF4" s="10">
        <v>-0.21449981266391907</v>
      </c>
      <c r="CG4" s="11">
        <v>-1.8991407213930351</v>
      </c>
      <c r="CH4" s="10">
        <v>-0.15402442216873169</v>
      </c>
      <c r="CI4" s="10">
        <v>0.15179325640201569</v>
      </c>
      <c r="CJ4" s="10">
        <v>0.66261869668960571</v>
      </c>
      <c r="CK4" s="10">
        <v>-8.828958123922348E-2</v>
      </c>
      <c r="CL4" s="10">
        <v>-6.9782756268978119E-2</v>
      </c>
      <c r="CM4" s="11">
        <v>-0.8691716194152832</v>
      </c>
      <c r="CN4" s="11">
        <v>-0.13065722584724426</v>
      </c>
      <c r="CO4" s="11">
        <v>2.6561148166656494</v>
      </c>
      <c r="CP4" s="11">
        <v>-0.27301254868507385</v>
      </c>
      <c r="CQ4" s="11">
        <v>-0.46800220012664795</v>
      </c>
      <c r="CR4">
        <v>14.405493107104984</v>
      </c>
      <c r="CS4">
        <v>1.433909753871657</v>
      </c>
      <c r="CT4">
        <v>0</v>
      </c>
      <c r="CU4" s="10">
        <v>0.10046303868293763</v>
      </c>
      <c r="CV4" s="11">
        <v>0.18305424451828003</v>
      </c>
      <c r="CW4">
        <v>0.06</v>
      </c>
      <c r="CX4">
        <v>98.544753446075745</v>
      </c>
      <c r="CY4">
        <v>300031903.94280094</v>
      </c>
      <c r="CZ4">
        <v>0.10046303868293763</v>
      </c>
      <c r="DA4">
        <v>31.919782237432116</v>
      </c>
      <c r="DB4">
        <v>926277309.16433012</v>
      </c>
      <c r="DC4">
        <v>9.5439886748790739E-2</v>
      </c>
      <c r="DD4">
        <v>15.527773682110441</v>
      </c>
      <c r="DE4">
        <v>1904108766.9936655</v>
      </c>
      <c r="DF4">
        <v>8.8407474040985118E-2</v>
      </c>
      <c r="DG4">
        <v>9.1999752695677781</v>
      </c>
      <c r="DH4">
        <v>3213766247.5900393</v>
      </c>
      <c r="DI4">
        <v>8.0370430946350102E-2</v>
      </c>
      <c r="DJ4">
        <v>4.6131309636605051</v>
      </c>
      <c r="DK4">
        <v>6409219732.3049812</v>
      </c>
      <c r="DL4">
        <v>7.0324127078056339E-2</v>
      </c>
      <c r="DM4">
        <v>289000000</v>
      </c>
      <c r="DN4">
        <v>0.10046303868293763</v>
      </c>
      <c r="DO4">
        <v>29566570000</v>
      </c>
      <c r="DP4">
        <v>-7870690800</v>
      </c>
      <c r="DQ4">
        <v>247</v>
      </c>
      <c r="DR4">
        <v>-0.3149628513468567</v>
      </c>
      <c r="DS4">
        <v>-2.0821949659113153</v>
      </c>
      <c r="DT4" s="12">
        <v>-0.19000000000000003</v>
      </c>
      <c r="DU4">
        <v>-1.0816666666666668</v>
      </c>
      <c r="DV4">
        <v>-1.2716666666666667</v>
      </c>
      <c r="DW4">
        <v>-2.1389</v>
      </c>
      <c r="DX4">
        <v>0.37660934417344194</v>
      </c>
      <c r="DY4">
        <v>-2.0175860379056911</v>
      </c>
      <c r="DZ4">
        <v>3832</v>
      </c>
      <c r="EA4">
        <v>-2.0043982302237717</v>
      </c>
      <c r="EB4">
        <v>2</v>
      </c>
      <c r="EC4">
        <v>2.1597922221341805E-2</v>
      </c>
      <c r="ED4">
        <v>0.17058710348553371</v>
      </c>
      <c r="EE4" s="13">
        <v>6.5100000000000005E-2</v>
      </c>
      <c r="EF4">
        <v>4.0700000000000007E-2</v>
      </c>
      <c r="EG4">
        <v>25.126609344173442</v>
      </c>
      <c r="EH4" t="s">
        <v>380</v>
      </c>
      <c r="EI4">
        <v>0</v>
      </c>
      <c r="EJ4">
        <v>0</v>
      </c>
      <c r="EK4" s="9">
        <v>45470</v>
      </c>
      <c r="EL4" s="14">
        <v>-0.82</v>
      </c>
      <c r="EM4" s="14">
        <v>-2.27</v>
      </c>
      <c r="EN4" s="14">
        <v>1.69</v>
      </c>
      <c r="EO4" s="14">
        <v>2.29</v>
      </c>
      <c r="EP4" s="14">
        <v>-2.44</v>
      </c>
    </row>
    <row r="5" spans="1:146" ht="96" x14ac:dyDescent="0.25">
      <c r="A5" s="7"/>
      <c r="B5" s="7"/>
      <c r="C5" s="7" t="str">
        <f>""&amp;CHAR(10)&amp;Basic_Fundamental_Information_Constructure(F5)&amp;CHAR(10)&amp;Basic_Fundamental_Information_Concatenate("")</f>
        <v xml:space="preserve">
市值236.74764亿, 利润49.44亿; PE8.04; 平均PE9.74; 平均PEG1.57, PB1.02; ROIC12.0567%; ROE17.31%; 股利率8.9552%; 毛利31.9533%; 净利16.2667%; 上一年度营收增-32.48%, 利润增10.83%; 当季营收增-32.71%, 利润增-73.83%; 过往5年营收增6.21%, 利润增62.47%
Income profile:
</v>
      </c>
      <c r="D5" t="s">
        <v>36</v>
      </c>
      <c r="E5" t="s">
        <v>12</v>
      </c>
      <c r="F5">
        <v>6.7</v>
      </c>
      <c r="G5">
        <v>-1.33</v>
      </c>
      <c r="H5" t="s">
        <v>610</v>
      </c>
      <c r="I5">
        <v>23674764000</v>
      </c>
      <c r="J5">
        <v>8.0399999999999991</v>
      </c>
      <c r="K5">
        <v>1.02</v>
      </c>
      <c r="L5" t="s">
        <v>73</v>
      </c>
      <c r="M5" t="s">
        <v>611</v>
      </c>
      <c r="N5" t="s">
        <v>612</v>
      </c>
      <c r="O5" t="s">
        <v>613</v>
      </c>
      <c r="P5">
        <v>-32.71</v>
      </c>
      <c r="Q5" t="s">
        <v>614</v>
      </c>
      <c r="R5">
        <v>708201230</v>
      </c>
      <c r="S5" s="6">
        <v>-0.73829999999999996</v>
      </c>
      <c r="T5" t="s">
        <v>615</v>
      </c>
      <c r="U5">
        <v>2906599800</v>
      </c>
      <c r="V5">
        <v>3533546900</v>
      </c>
      <c r="W5">
        <v>2.06</v>
      </c>
      <c r="X5">
        <v>0.1</v>
      </c>
      <c r="Y5">
        <v>16.190000000000001</v>
      </c>
      <c r="Z5" t="s">
        <v>616</v>
      </c>
      <c r="AA5" t="s">
        <v>617</v>
      </c>
      <c r="AB5" t="s">
        <v>618</v>
      </c>
      <c r="AC5" t="s">
        <v>619</v>
      </c>
      <c r="AD5" t="s">
        <v>72</v>
      </c>
      <c r="AE5">
        <v>144141790</v>
      </c>
      <c r="AF5" t="s">
        <v>620</v>
      </c>
      <c r="AG5" t="s">
        <v>621</v>
      </c>
      <c r="AH5" t="s">
        <v>622</v>
      </c>
      <c r="AI5" t="s">
        <v>623</v>
      </c>
      <c r="AJ5" t="s">
        <v>624</v>
      </c>
      <c r="AK5" t="s">
        <v>625</v>
      </c>
      <c r="AL5" t="s">
        <v>626</v>
      </c>
      <c r="AM5" t="s">
        <v>72</v>
      </c>
      <c r="AN5" t="s">
        <v>627</v>
      </c>
      <c r="AO5" t="s">
        <v>628</v>
      </c>
      <c r="AP5" t="s">
        <v>286</v>
      </c>
      <c r="AQ5" t="s">
        <v>629</v>
      </c>
      <c r="AR5" t="s">
        <v>378</v>
      </c>
      <c r="AS5" t="s">
        <v>630</v>
      </c>
      <c r="AT5" t="s">
        <v>631</v>
      </c>
      <c r="AU5" t="s">
        <v>209</v>
      </c>
      <c r="AV5" t="s">
        <v>632</v>
      </c>
      <c r="AW5" t="s">
        <v>371</v>
      </c>
      <c r="AX5" t="s">
        <v>633</v>
      </c>
      <c r="AY5" t="s">
        <v>297</v>
      </c>
      <c r="AZ5" t="s">
        <v>157</v>
      </c>
      <c r="BA5" t="s">
        <v>160</v>
      </c>
      <c r="BB5" t="s">
        <v>161</v>
      </c>
      <c r="BC5" t="s">
        <v>634</v>
      </c>
      <c r="BD5" t="s">
        <v>298</v>
      </c>
      <c r="BE5" t="s">
        <v>158</v>
      </c>
      <c r="BF5" t="s">
        <v>162</v>
      </c>
      <c r="BG5" t="s">
        <v>163</v>
      </c>
      <c r="BH5" t="s">
        <v>614</v>
      </c>
      <c r="BI5" t="s">
        <v>635</v>
      </c>
      <c r="BJ5" t="s">
        <v>633</v>
      </c>
      <c r="BK5" t="s">
        <v>615</v>
      </c>
      <c r="BL5" t="s">
        <v>636</v>
      </c>
      <c r="BM5" t="s">
        <v>634</v>
      </c>
      <c r="BN5">
        <v>12.1</v>
      </c>
      <c r="BO5">
        <v>14.22</v>
      </c>
      <c r="BP5">
        <v>9.85</v>
      </c>
      <c r="BQ5">
        <v>16.93</v>
      </c>
      <c r="BR5">
        <v>21.42</v>
      </c>
      <c r="BS5">
        <v>13.58</v>
      </c>
      <c r="BT5" t="s">
        <v>637</v>
      </c>
      <c r="BU5" t="s">
        <v>364</v>
      </c>
      <c r="BV5">
        <v>36.770000000000003</v>
      </c>
      <c r="BW5">
        <v>31.96</v>
      </c>
      <c r="BX5">
        <v>27.13</v>
      </c>
      <c r="BY5">
        <v>23.13</v>
      </c>
      <c r="BZ5">
        <v>14.49</v>
      </c>
      <c r="CA5">
        <v>11.18</v>
      </c>
      <c r="CB5">
        <v>0</v>
      </c>
      <c r="CC5">
        <v>-10.55</v>
      </c>
      <c r="CD5" t="s">
        <v>398</v>
      </c>
      <c r="CE5" t="s">
        <v>638</v>
      </c>
      <c r="CF5" s="10">
        <v>-0.32706624605678236</v>
      </c>
      <c r="CG5" s="11">
        <v>-0.73828483739837403</v>
      </c>
      <c r="CH5" s="10">
        <v>-0.32484185695648193</v>
      </c>
      <c r="CI5" s="10">
        <v>0.14676685631275177</v>
      </c>
      <c r="CJ5" s="10">
        <v>0.52225935459136963</v>
      </c>
      <c r="CK5" s="10">
        <v>-8.3632983267307281E-2</v>
      </c>
      <c r="CL5" s="10">
        <v>4.9818281084299088E-2</v>
      </c>
      <c r="CM5" s="11">
        <v>0.10827164351940155</v>
      </c>
      <c r="CN5" s="11">
        <v>0.62869662046432495</v>
      </c>
      <c r="CO5" s="11">
        <v>2.4847328662872314</v>
      </c>
      <c r="CP5" s="11">
        <v>3.8314175326377153E-3</v>
      </c>
      <c r="CQ5" s="11">
        <v>-0.10206422209739685</v>
      </c>
      <c r="CR5">
        <v>9.7393612615701048</v>
      </c>
      <c r="CS5">
        <v>1.5689938120876501</v>
      </c>
      <c r="CT5">
        <v>8.9552238805970141</v>
      </c>
      <c r="CU5" s="10">
        <v>6.2073930352926257E-2</v>
      </c>
      <c r="CV5" s="11">
        <v>0.62469366514123981</v>
      </c>
      <c r="CW5">
        <v>0.06</v>
      </c>
      <c r="CX5">
        <v>4.8050736096531876</v>
      </c>
      <c r="CY5">
        <v>4953673124.2121382</v>
      </c>
      <c r="CZ5">
        <v>6.2073930352926257E-2</v>
      </c>
      <c r="DA5">
        <v>1.6079471190888779</v>
      </c>
      <c r="DB5">
        <v>14803200750.462194</v>
      </c>
      <c r="DC5">
        <v>5.8970233835279939E-2</v>
      </c>
      <c r="DD5">
        <v>0.81678647397541948</v>
      </c>
      <c r="DE5">
        <v>29141966423.79306</v>
      </c>
      <c r="DF5">
        <v>5.462505871057511E-2</v>
      </c>
      <c r="DG5">
        <v>0.50791777841150099</v>
      </c>
      <c r="DH5">
        <v>46863419655.130989</v>
      </c>
      <c r="DI5">
        <v>4.9659144282341007E-2</v>
      </c>
      <c r="DJ5">
        <v>0.28280332855693746</v>
      </c>
      <c r="DK5">
        <v>84167198885.02916</v>
      </c>
      <c r="DL5">
        <v>4.3451751247048379E-2</v>
      </c>
      <c r="DM5">
        <v>4944000000</v>
      </c>
      <c r="DN5">
        <v>6.2073930352926257E-2</v>
      </c>
      <c r="DO5">
        <v>23802764000</v>
      </c>
      <c r="DP5">
        <v>1440093000</v>
      </c>
      <c r="DQ5">
        <v>385</v>
      </c>
      <c r="DR5">
        <v>-0.3891401764097086</v>
      </c>
      <c r="DS5">
        <v>-1.3629785025396139</v>
      </c>
      <c r="DT5" s="12">
        <v>-0.47333333333333333</v>
      </c>
      <c r="DU5">
        <v>0.29000000000000009</v>
      </c>
      <c r="DV5">
        <v>-0.18333333333333324</v>
      </c>
      <c r="DW5">
        <v>-2.1055000000000001</v>
      </c>
      <c r="DX5">
        <v>0.35264573991031539</v>
      </c>
      <c r="DY5">
        <v>-2.0182141255605379</v>
      </c>
      <c r="DZ5">
        <v>2157</v>
      </c>
      <c r="EA5">
        <v>-2.0105256972172736</v>
      </c>
      <c r="EB5">
        <v>2</v>
      </c>
      <c r="EC5">
        <v>4.3582271399878691E-2</v>
      </c>
      <c r="ED5">
        <v>0.25243757200449213</v>
      </c>
      <c r="EE5" s="13">
        <v>2.0920100000000001</v>
      </c>
      <c r="EF5">
        <v>2.09951</v>
      </c>
      <c r="EG5">
        <v>18.172645739910315</v>
      </c>
      <c r="EH5" t="s">
        <v>639</v>
      </c>
      <c r="EI5">
        <v>0</v>
      </c>
      <c r="EJ5">
        <v>0</v>
      </c>
      <c r="EK5" s="9">
        <v>45470</v>
      </c>
      <c r="EL5" s="14">
        <v>-0.28000000000000003</v>
      </c>
      <c r="EM5" s="14">
        <v>-3</v>
      </c>
      <c r="EN5" s="14">
        <v>-0.88</v>
      </c>
      <c r="EO5" s="14">
        <v>-0.74</v>
      </c>
      <c r="EP5" s="14">
        <v>-0.75</v>
      </c>
    </row>
    <row r="6" spans="1:146" ht="135.4" customHeight="1" x14ac:dyDescent="0.25">
      <c r="A6" s="7" t="s">
        <v>509</v>
      </c>
      <c r="B6" s="7"/>
      <c r="C6" s="7" t="str">
        <f>"公司主营业务是煤炭的生产、洗选加工、销售及发供电，矿山开发设计施工、矿用及电力器材生产经营等。公司主要产品有焦煤、肥煤、瘦煤、贫瘦煤、气煤、电力热力、焦炭及化工产品。"&amp;CHAR(10)&amp;Basic_Fundamental_Information_Constructure(F6)&amp;CHAR(10)&amp;Basic_Fundamental_Information_Concatenate("煤炭 164.39亿 59.32% 100.77% 70.36%
焦炭 63.88亿 23.05% 1.64% 2.94%
电力热力 32.42亿 11.70% -2.41% -8.52%")</f>
        <v>公司主营业务是煤炭的生产、洗选加工、销售及发供电，矿山开发设计施工、矿用及电力器材生产经营等。公司主要产品有焦煤、肥煤、瘦煤、贫瘦煤、气煤、电力热力、焦炭及化工产品。
市值578.4966亿, 利润67.71亿; PE11.01; 平均PE12.18; 平均PEG.85, PB1.49; ROIC13.87%; ROE24.1167%; 股利率7.8508%; 毛利36.5367%; 净利15.2533%; 上一年度营收增-14.82%, 利润增-37.04%; 当季营收增-28.47%, 利润增-61.53%; 过往5年营收增14.26%, 利润增48.89%
Income profile:
煤炭 164.39亿 59.32% 100.77% 70.36%
焦炭 63.88亿 23.05% 1.64% 2.94%
电力热力 32.42亿 11.70% -2.41% -8.52%</v>
      </c>
      <c r="D6" t="s">
        <v>43</v>
      </c>
      <c r="E6" t="s">
        <v>165</v>
      </c>
      <c r="F6">
        <v>10.19</v>
      </c>
      <c r="G6">
        <v>0.2</v>
      </c>
      <c r="H6" t="s">
        <v>640</v>
      </c>
      <c r="I6">
        <v>57849660000</v>
      </c>
      <c r="J6">
        <v>11.01</v>
      </c>
      <c r="K6">
        <v>1.49</v>
      </c>
      <c r="L6" t="s">
        <v>73</v>
      </c>
      <c r="M6" t="s">
        <v>641</v>
      </c>
      <c r="N6" t="s">
        <v>642</v>
      </c>
      <c r="O6" t="s">
        <v>643</v>
      </c>
      <c r="P6">
        <v>-28.47</v>
      </c>
      <c r="Q6" t="s">
        <v>644</v>
      </c>
      <c r="R6">
        <v>950193730</v>
      </c>
      <c r="S6" s="6">
        <v>-0.61529999999999996</v>
      </c>
      <c r="T6" t="s">
        <v>110</v>
      </c>
      <c r="U6">
        <v>4640211000</v>
      </c>
      <c r="V6">
        <v>5677101100</v>
      </c>
      <c r="W6">
        <v>1.87</v>
      </c>
      <c r="X6">
        <v>0.11</v>
      </c>
      <c r="Y6">
        <v>10.26</v>
      </c>
      <c r="Z6" t="s">
        <v>645</v>
      </c>
      <c r="AA6" t="s">
        <v>646</v>
      </c>
      <c r="AB6" t="s">
        <v>647</v>
      </c>
      <c r="AC6" t="s">
        <v>648</v>
      </c>
      <c r="AD6" t="s">
        <v>72</v>
      </c>
      <c r="AE6">
        <v>156483200</v>
      </c>
      <c r="AF6" t="s">
        <v>649</v>
      </c>
      <c r="AG6" t="s">
        <v>650</v>
      </c>
      <c r="AH6" t="s">
        <v>651</v>
      </c>
      <c r="AI6" t="s">
        <v>652</v>
      </c>
      <c r="AJ6" t="s">
        <v>653</v>
      </c>
      <c r="AK6" t="s">
        <v>654</v>
      </c>
      <c r="AL6" t="s">
        <v>655</v>
      </c>
      <c r="AM6" t="s">
        <v>72</v>
      </c>
      <c r="AN6" t="s">
        <v>656</v>
      </c>
      <c r="AO6" t="s">
        <v>657</v>
      </c>
      <c r="AP6" t="s">
        <v>512</v>
      </c>
      <c r="AQ6" t="s">
        <v>658</v>
      </c>
      <c r="AR6" t="s">
        <v>72</v>
      </c>
      <c r="AS6" t="s">
        <v>659</v>
      </c>
      <c r="AT6" t="s">
        <v>660</v>
      </c>
      <c r="AU6" t="s">
        <v>661</v>
      </c>
      <c r="AV6" t="s">
        <v>662</v>
      </c>
      <c r="AW6" t="s">
        <v>663</v>
      </c>
      <c r="AX6" t="s">
        <v>664</v>
      </c>
      <c r="AY6" t="s">
        <v>665</v>
      </c>
      <c r="AZ6" t="s">
        <v>166</v>
      </c>
      <c r="BA6" t="s">
        <v>168</v>
      </c>
      <c r="BB6" t="s">
        <v>169</v>
      </c>
      <c r="BC6" t="s">
        <v>666</v>
      </c>
      <c r="BD6" t="s">
        <v>667</v>
      </c>
      <c r="BE6" t="s">
        <v>167</v>
      </c>
      <c r="BF6" t="s">
        <v>170</v>
      </c>
      <c r="BG6" t="s">
        <v>171</v>
      </c>
      <c r="BH6" t="s">
        <v>644</v>
      </c>
      <c r="BI6" t="s">
        <v>668</v>
      </c>
      <c r="BJ6" t="s">
        <v>664</v>
      </c>
      <c r="BK6" t="s">
        <v>110</v>
      </c>
      <c r="BL6" t="s">
        <v>669</v>
      </c>
      <c r="BM6" t="s">
        <v>666</v>
      </c>
      <c r="BN6">
        <v>10.67</v>
      </c>
      <c r="BO6">
        <v>21.24</v>
      </c>
      <c r="BP6">
        <v>9.6999999999999993</v>
      </c>
      <c r="BQ6">
        <v>15.46</v>
      </c>
      <c r="BR6">
        <v>36.729999999999997</v>
      </c>
      <c r="BS6">
        <v>20.16</v>
      </c>
      <c r="BT6" t="s">
        <v>496</v>
      </c>
      <c r="BU6" t="s">
        <v>364</v>
      </c>
      <c r="BV6">
        <v>37.659999999999997</v>
      </c>
      <c r="BW6">
        <v>42.2</v>
      </c>
      <c r="BX6">
        <v>29.75</v>
      </c>
      <c r="BY6">
        <v>15.19</v>
      </c>
      <c r="BZ6">
        <v>20.3</v>
      </c>
      <c r="CA6">
        <v>10.27</v>
      </c>
      <c r="CB6">
        <v>-1.1599999999999999</v>
      </c>
      <c r="CC6">
        <v>-8.94</v>
      </c>
      <c r="CD6" t="s">
        <v>369</v>
      </c>
      <c r="CE6" t="s">
        <v>163</v>
      </c>
      <c r="CF6" s="10">
        <v>-0.28470715835141008</v>
      </c>
      <c r="CG6" s="11">
        <v>-0.61530618218623478</v>
      </c>
      <c r="CH6" s="10">
        <v>-0.14819812774658203</v>
      </c>
      <c r="CI6" s="10">
        <v>0.20330435037612915</v>
      </c>
      <c r="CJ6" s="10">
        <v>0.60470426082611084</v>
      </c>
      <c r="CK6" s="10">
        <v>-6.2513932585716248E-2</v>
      </c>
      <c r="CL6" s="10">
        <v>0.11580062657594681</v>
      </c>
      <c r="CM6" s="11">
        <v>-0.37037381529808044</v>
      </c>
      <c r="CN6" s="11">
        <v>1.1078008413314819</v>
      </c>
      <c r="CO6" s="11">
        <v>1.6083844900131226</v>
      </c>
      <c r="CP6" s="11">
        <v>-7.5614370405673981E-2</v>
      </c>
      <c r="CQ6" s="11">
        <v>0.17425082623958588</v>
      </c>
      <c r="CR6">
        <v>12.178448475492088</v>
      </c>
      <c r="CS6">
        <v>0.85391226193825565</v>
      </c>
      <c r="CT6">
        <v>7.8508341511285575</v>
      </c>
      <c r="CU6" s="10">
        <v>0.14261943548917771</v>
      </c>
      <c r="CV6" s="11">
        <v>0.4888895943760872</v>
      </c>
      <c r="CW6">
        <v>0.06</v>
      </c>
      <c r="CX6">
        <v>7.3379211109930651</v>
      </c>
      <c r="CY6">
        <v>7298751129.903039</v>
      </c>
      <c r="CZ6">
        <v>0.14261943548917771</v>
      </c>
      <c r="DA6">
        <v>2.2940821039802981</v>
      </c>
      <c r="DB6">
        <v>23346008369.567909</v>
      </c>
      <c r="DC6">
        <v>0.13548846371471882</v>
      </c>
      <c r="DD6">
        <v>1.063156508942692</v>
      </c>
      <c r="DE6">
        <v>50376082495.382584</v>
      </c>
      <c r="DF6">
        <v>0.12550510323047639</v>
      </c>
      <c r="DG6">
        <v>0.59545449374186143</v>
      </c>
      <c r="DH6">
        <v>89944169643.328049</v>
      </c>
      <c r="DI6">
        <v>0.11409554839134217</v>
      </c>
      <c r="DJ6">
        <v>0.26250382471619632</v>
      </c>
      <c r="DK6">
        <v>204026208219.64554</v>
      </c>
      <c r="DL6">
        <v>9.98336048424244E-2</v>
      </c>
      <c r="DM6">
        <v>6770999999.999999</v>
      </c>
      <c r="DN6">
        <v>0.14261943548917771</v>
      </c>
      <c r="DO6">
        <v>53557660000</v>
      </c>
      <c r="DP6">
        <v>3537669000</v>
      </c>
      <c r="DQ6">
        <v>417</v>
      </c>
      <c r="DR6">
        <v>-0.4273265938405878</v>
      </c>
      <c r="DS6">
        <v>-1.104195776562322</v>
      </c>
      <c r="DT6" s="12">
        <v>-2.3333333333333355E-2</v>
      </c>
      <c r="DU6">
        <v>5.9999999999999977E-2</v>
      </c>
      <c r="DV6">
        <v>3.6666666666666625E-2</v>
      </c>
      <c r="DW6">
        <v>-2.0893999999999999</v>
      </c>
      <c r="DX6">
        <v>0.34252293577981746</v>
      </c>
      <c r="DY6">
        <v>-2.0136355504587158</v>
      </c>
      <c r="DZ6">
        <v>1626</v>
      </c>
      <c r="EA6">
        <v>-2.0092967236395629</v>
      </c>
      <c r="EB6">
        <v>2</v>
      </c>
      <c r="EC6">
        <v>2.3427449618609045E-2</v>
      </c>
      <c r="ED6">
        <v>0.15359951930396309</v>
      </c>
      <c r="EE6" s="13">
        <v>-1.0254099999999999</v>
      </c>
      <c r="EF6">
        <v>-1.0380100000000001</v>
      </c>
      <c r="EG6">
        <v>19.152522935779817</v>
      </c>
      <c r="EH6" t="s">
        <v>670</v>
      </c>
      <c r="EI6">
        <v>0</v>
      </c>
      <c r="EJ6">
        <v>0</v>
      </c>
      <c r="EK6" s="9">
        <v>45470</v>
      </c>
      <c r="EL6" s="14">
        <v>-1.47</v>
      </c>
      <c r="EM6" s="14">
        <v>-3.36</v>
      </c>
      <c r="EN6" s="14">
        <v>0</v>
      </c>
      <c r="EO6" s="14">
        <v>-0.28999999999999998</v>
      </c>
      <c r="EP6" s="14">
        <v>-1.26</v>
      </c>
    </row>
    <row r="7" spans="1:146" ht="84" x14ac:dyDescent="0.25">
      <c r="A7" s="7"/>
      <c r="B7" s="7"/>
      <c r="C7" s="7" t="str">
        <f>""&amp;CHAR(10)&amp;Basic_Fundamental_Information_Constructure(F7)&amp;CHAR(10)&amp;Basic_Fundamental_Information_Concatenate("")</f>
        <v xml:space="preserve">
市值482.38662亿, 利润45.60亿; PE9.87; 平均PE15.48; 平均PEG1.75, PB1.46; ROIC13.3%; ROE16.6967%; 股利率3.1599%; 毛利32.4067%; 净利18.54%; 上一年度营收增.2%, 利润增14.4%; 当季营收增7.32%, 利润增20.24%; 过往5年营收增8.86%, 利润增20.83%
Income profile:
</v>
      </c>
      <c r="D7" t="s">
        <v>51</v>
      </c>
      <c r="E7" t="s">
        <v>299</v>
      </c>
      <c r="F7">
        <v>21.52</v>
      </c>
      <c r="G7">
        <v>-0.92</v>
      </c>
      <c r="H7" t="s">
        <v>671</v>
      </c>
      <c r="I7">
        <v>48238662000</v>
      </c>
      <c r="J7">
        <v>9.8699999999999992</v>
      </c>
      <c r="K7">
        <v>1.46</v>
      </c>
      <c r="L7" t="s">
        <v>73</v>
      </c>
      <c r="M7" t="s">
        <v>672</v>
      </c>
      <c r="N7" t="s">
        <v>673</v>
      </c>
      <c r="O7" t="s">
        <v>674</v>
      </c>
      <c r="P7">
        <v>7.32</v>
      </c>
      <c r="Q7" t="s">
        <v>675</v>
      </c>
      <c r="R7">
        <v>1944336600</v>
      </c>
      <c r="S7" s="6">
        <v>0.2021</v>
      </c>
      <c r="T7" t="s">
        <v>676</v>
      </c>
      <c r="U7">
        <v>2113573500</v>
      </c>
      <c r="V7">
        <v>2241573500</v>
      </c>
      <c r="W7">
        <v>1.41</v>
      </c>
      <c r="X7">
        <v>0.15</v>
      </c>
      <c r="Y7">
        <v>29.57</v>
      </c>
      <c r="Z7" t="s">
        <v>677</v>
      </c>
      <c r="AA7" t="s">
        <v>678</v>
      </c>
      <c r="AB7" t="s">
        <v>679</v>
      </c>
      <c r="AC7" t="s">
        <v>680</v>
      </c>
      <c r="AD7" t="s">
        <v>72</v>
      </c>
      <c r="AE7">
        <v>55236181</v>
      </c>
      <c r="AF7" t="s">
        <v>681</v>
      </c>
      <c r="AG7" t="s">
        <v>682</v>
      </c>
      <c r="AH7" t="s">
        <v>683</v>
      </c>
      <c r="AI7" t="s">
        <v>684</v>
      </c>
      <c r="AJ7" t="s">
        <v>685</v>
      </c>
      <c r="AK7" t="s">
        <v>72</v>
      </c>
      <c r="AL7" t="s">
        <v>686</v>
      </c>
      <c r="AM7" t="s">
        <v>72</v>
      </c>
      <c r="AN7" t="s">
        <v>687</v>
      </c>
      <c r="AO7" t="s">
        <v>688</v>
      </c>
      <c r="AP7" t="s">
        <v>72</v>
      </c>
      <c r="AQ7" t="s">
        <v>689</v>
      </c>
      <c r="AR7" t="s">
        <v>690</v>
      </c>
      <c r="AS7" t="s">
        <v>102</v>
      </c>
      <c r="AT7" t="s">
        <v>691</v>
      </c>
      <c r="AU7" t="s">
        <v>692</v>
      </c>
      <c r="AV7" t="s">
        <v>693</v>
      </c>
      <c r="AW7" t="s">
        <v>694</v>
      </c>
      <c r="AX7" t="s">
        <v>695</v>
      </c>
      <c r="AY7" t="s">
        <v>696</v>
      </c>
      <c r="AZ7" t="s">
        <v>172</v>
      </c>
      <c r="BA7" t="s">
        <v>81</v>
      </c>
      <c r="BB7" t="s">
        <v>124</v>
      </c>
      <c r="BC7" t="s">
        <v>697</v>
      </c>
      <c r="BD7" t="s">
        <v>698</v>
      </c>
      <c r="BE7" t="s">
        <v>123</v>
      </c>
      <c r="BF7" t="s">
        <v>82</v>
      </c>
      <c r="BG7" t="s">
        <v>173</v>
      </c>
      <c r="BH7" t="s">
        <v>675</v>
      </c>
      <c r="BI7" t="s">
        <v>699</v>
      </c>
      <c r="BJ7" t="s">
        <v>695</v>
      </c>
      <c r="BK7" t="s">
        <v>676</v>
      </c>
      <c r="BL7" t="s">
        <v>700</v>
      </c>
      <c r="BM7" t="s">
        <v>697</v>
      </c>
      <c r="BN7">
        <v>10.14</v>
      </c>
      <c r="BO7">
        <v>13.96</v>
      </c>
      <c r="BP7">
        <v>15.8</v>
      </c>
      <c r="BQ7">
        <v>13.06</v>
      </c>
      <c r="BR7">
        <v>18.22</v>
      </c>
      <c r="BS7">
        <v>18.809999999999999</v>
      </c>
      <c r="BT7" t="s">
        <v>701</v>
      </c>
      <c r="BU7" t="s">
        <v>364</v>
      </c>
      <c r="BV7">
        <v>31.81</v>
      </c>
      <c r="BW7">
        <v>31.38</v>
      </c>
      <c r="BX7">
        <v>34.03</v>
      </c>
      <c r="BY7">
        <v>18.7</v>
      </c>
      <c r="BZ7">
        <v>17.57</v>
      </c>
      <c r="CA7">
        <v>19.350000000000001</v>
      </c>
      <c r="CB7">
        <v>1.99</v>
      </c>
      <c r="CC7">
        <v>-1.24</v>
      </c>
      <c r="CD7" t="s">
        <v>702</v>
      </c>
      <c r="CE7" t="s">
        <v>703</v>
      </c>
      <c r="CF7" s="10">
        <v>7.3202805376972532E-2</v>
      </c>
      <c r="CG7" s="11">
        <v>0.2024345083487939</v>
      </c>
      <c r="CH7" s="10">
        <v>1.9780592992901802E-3</v>
      </c>
      <c r="CI7" s="10">
        <v>8.5923947393894196E-2</v>
      </c>
      <c r="CJ7" s="10">
        <v>0.22910226881504059</v>
      </c>
      <c r="CK7" s="10">
        <v>4.7977089881896973E-2</v>
      </c>
      <c r="CL7" s="10">
        <v>7.8061677515506744E-2</v>
      </c>
      <c r="CM7" s="11">
        <v>0.14400404691696167</v>
      </c>
      <c r="CN7" s="11">
        <v>0.11278607696294785</v>
      </c>
      <c r="CO7" s="11">
        <v>0.7295992374420166</v>
      </c>
      <c r="CP7" s="11">
        <v>-0.16017836332321167</v>
      </c>
      <c r="CQ7" s="11">
        <v>0.21537700295448303</v>
      </c>
      <c r="CR7">
        <v>15.482613244891409</v>
      </c>
      <c r="CS7">
        <v>1.7473035061504527</v>
      </c>
      <c r="CT7">
        <v>3.1598513011152418</v>
      </c>
      <c r="CU7" s="10">
        <v>8.8608608581125736E-2</v>
      </c>
      <c r="CV7" s="11">
        <v>0.2083176001906395</v>
      </c>
      <c r="CW7">
        <v>0.06</v>
      </c>
      <c r="CX7">
        <v>5.5040083793919914</v>
      </c>
      <c r="CY7">
        <v>4683070995.4055967</v>
      </c>
      <c r="CZ7">
        <v>8.8608608581125736E-2</v>
      </c>
      <c r="DA7">
        <v>1.8007793661419293</v>
      </c>
      <c r="DB7">
        <v>14313614696.29838</v>
      </c>
      <c r="DC7">
        <v>8.4178178152069447E-2</v>
      </c>
      <c r="DD7">
        <v>0.88787936321720051</v>
      </c>
      <c r="DE7">
        <v>29030590266.906048</v>
      </c>
      <c r="DF7">
        <v>7.7975575551390647E-2</v>
      </c>
      <c r="DG7">
        <v>0.53413422365176755</v>
      </c>
      <c r="DH7">
        <v>48256900341.97213</v>
      </c>
      <c r="DI7">
        <v>7.0886886864900592E-2</v>
      </c>
      <c r="DJ7">
        <v>0.27700083104386841</v>
      </c>
      <c r="DK7">
        <v>93052652235.24881</v>
      </c>
      <c r="DL7">
        <v>6.2026026006788013E-2</v>
      </c>
      <c r="DM7">
        <v>4560000000</v>
      </c>
      <c r="DN7">
        <v>8.8608608581125736E-2</v>
      </c>
      <c r="DO7">
        <v>25775662000</v>
      </c>
      <c r="DP7">
        <v>3766869999.999999</v>
      </c>
      <c r="DQ7">
        <v>640</v>
      </c>
      <c r="DR7">
        <v>-1.5405803204153204E-2</v>
      </c>
      <c r="DS7">
        <v>-5.8830918418456002E-3</v>
      </c>
      <c r="DT7" s="12">
        <v>-0.3066666666666667</v>
      </c>
      <c r="DU7">
        <v>0.47</v>
      </c>
      <c r="DV7">
        <v>0.16333333333333327</v>
      </c>
      <c r="DW7">
        <v>-1.24E-2</v>
      </c>
      <c r="DX7">
        <v>0.31802287968441878</v>
      </c>
      <c r="DY7">
        <v>-1.8354837080867851E-3</v>
      </c>
      <c r="DZ7">
        <v>1332</v>
      </c>
      <c r="EA7">
        <v>-1.357036682808586E-3</v>
      </c>
      <c r="EB7">
        <v>0</v>
      </c>
      <c r="EC7">
        <v>3.3479874739775428E-2</v>
      </c>
      <c r="ED7">
        <v>0.22618040407776055</v>
      </c>
      <c r="EE7" s="13">
        <v>1.6109999999999999E-2</v>
      </c>
      <c r="EF7">
        <v>3.1109999999999999E-2</v>
      </c>
      <c r="EG7">
        <v>17.148022879684419</v>
      </c>
      <c r="EH7">
        <v>-1</v>
      </c>
      <c r="EI7">
        <v>0</v>
      </c>
      <c r="EJ7">
        <v>1</v>
      </c>
      <c r="EK7" s="9">
        <v>45470</v>
      </c>
      <c r="EL7" s="14">
        <v>0.41</v>
      </c>
      <c r="EM7" s="14">
        <v>-1.56</v>
      </c>
      <c r="EN7" s="14">
        <v>-0.37</v>
      </c>
      <c r="EO7" s="14">
        <v>-0.23</v>
      </c>
      <c r="EP7" s="14">
        <v>-1.5</v>
      </c>
    </row>
    <row r="8" spans="1:146" ht="84" x14ac:dyDescent="0.25">
      <c r="A8" s="7"/>
      <c r="B8" s="7"/>
      <c r="C8" s="7" t="str">
        <f>""&amp;CHAR(10)&amp;Basic_Fundamental_Information_Constructure(F8)&amp;CHAR(10)&amp;Basic_Fundamental_Information_Concatenate("")</f>
        <v xml:space="preserve">
市值39.232868亿, 利润20.98亿; PE; 平均PE3.62; 平均PEG.07, PB2.36; ROIC2.6767%; ROE-4.8667%; 股利率0%; 毛利33.4733%; 净利3.99%; 上一年度营收增200.34%, 利润增2969.13%; 当季营收增-62.28%, 利润增-95.62%; 过往5年营收增50.92%, 利润增2969.13%
Income profile:
</v>
      </c>
      <c r="D8" t="s">
        <v>28</v>
      </c>
      <c r="E8" t="s">
        <v>10</v>
      </c>
      <c r="F8">
        <v>3.22</v>
      </c>
      <c r="G8">
        <v>0.63</v>
      </c>
      <c r="H8" t="s">
        <v>704</v>
      </c>
      <c r="I8">
        <v>3923286800</v>
      </c>
      <c r="K8">
        <v>2.36</v>
      </c>
      <c r="L8" t="s">
        <v>73</v>
      </c>
      <c r="M8" t="s">
        <v>705</v>
      </c>
      <c r="N8" t="s">
        <v>706</v>
      </c>
      <c r="O8" t="s">
        <v>322</v>
      </c>
      <c r="P8">
        <v>-3.41</v>
      </c>
      <c r="Q8" t="s">
        <v>707</v>
      </c>
      <c r="R8">
        <v>33825037</v>
      </c>
      <c r="S8" s="6">
        <v>-0.49569999999999997</v>
      </c>
      <c r="T8" t="s">
        <v>395</v>
      </c>
      <c r="U8">
        <v>1218412040</v>
      </c>
      <c r="V8">
        <v>1218412040</v>
      </c>
      <c r="W8">
        <v>4.72</v>
      </c>
      <c r="X8" t="s">
        <v>72</v>
      </c>
      <c r="Y8">
        <v>6.71</v>
      </c>
      <c r="Z8" t="s">
        <v>72</v>
      </c>
      <c r="AA8" t="s">
        <v>72</v>
      </c>
      <c r="AB8" t="s">
        <v>72</v>
      </c>
      <c r="AC8" t="s">
        <v>72</v>
      </c>
      <c r="AD8" t="s">
        <v>72</v>
      </c>
      <c r="AE8">
        <v>50425569</v>
      </c>
      <c r="AF8" t="s">
        <v>708</v>
      </c>
      <c r="AG8" t="s">
        <v>709</v>
      </c>
      <c r="AH8" t="s">
        <v>710</v>
      </c>
      <c r="AI8" t="s">
        <v>543</v>
      </c>
      <c r="AJ8" t="s">
        <v>711</v>
      </c>
      <c r="AK8" t="s">
        <v>72</v>
      </c>
      <c r="AL8" t="s">
        <v>712</v>
      </c>
      <c r="AM8" t="s">
        <v>72</v>
      </c>
      <c r="AN8" t="s">
        <v>713</v>
      </c>
      <c r="AO8" t="s">
        <v>72</v>
      </c>
      <c r="AP8" t="s">
        <v>714</v>
      </c>
      <c r="AQ8" t="s">
        <v>715</v>
      </c>
      <c r="AR8" t="s">
        <v>72</v>
      </c>
      <c r="AS8" t="s">
        <v>72</v>
      </c>
      <c r="AT8" t="s">
        <v>72</v>
      </c>
      <c r="AU8" t="s">
        <v>716</v>
      </c>
      <c r="AV8" t="s">
        <v>717</v>
      </c>
      <c r="AW8" t="s">
        <v>718</v>
      </c>
      <c r="AX8" t="s">
        <v>221</v>
      </c>
      <c r="AY8" t="s">
        <v>72</v>
      </c>
      <c r="AZ8" t="s">
        <v>174</v>
      </c>
      <c r="BA8" t="s">
        <v>175</v>
      </c>
      <c r="BB8" t="s">
        <v>176</v>
      </c>
      <c r="BC8" t="s">
        <v>719</v>
      </c>
      <c r="BD8" t="s">
        <v>72</v>
      </c>
      <c r="BE8" t="s">
        <v>72</v>
      </c>
      <c r="BF8" t="s">
        <v>72</v>
      </c>
      <c r="BG8" t="s">
        <v>72</v>
      </c>
      <c r="BH8" t="s">
        <v>720</v>
      </c>
      <c r="BI8" t="s">
        <v>721</v>
      </c>
      <c r="BJ8" t="s">
        <v>221</v>
      </c>
      <c r="BK8" t="s">
        <v>722</v>
      </c>
      <c r="BL8" t="s">
        <v>723</v>
      </c>
      <c r="BM8" t="s">
        <v>719</v>
      </c>
      <c r="BN8">
        <v>0.55000000000000004</v>
      </c>
      <c r="BO8">
        <v>7.78</v>
      </c>
      <c r="BP8">
        <v>-0.3</v>
      </c>
      <c r="BQ8">
        <v>-6.14</v>
      </c>
      <c r="BR8">
        <v>4.21</v>
      </c>
      <c r="BS8">
        <v>-12.67</v>
      </c>
      <c r="BT8" t="s">
        <v>495</v>
      </c>
      <c r="BU8" t="s">
        <v>364</v>
      </c>
      <c r="BV8">
        <v>30.64</v>
      </c>
      <c r="BW8">
        <v>35.86</v>
      </c>
      <c r="BX8">
        <v>33.92</v>
      </c>
      <c r="BY8">
        <v>5.04</v>
      </c>
      <c r="BZ8">
        <v>7.18</v>
      </c>
      <c r="CA8">
        <v>-0.25</v>
      </c>
      <c r="CB8">
        <v>-1.23</v>
      </c>
      <c r="CC8">
        <v>-9.8000000000000007</v>
      </c>
      <c r="CD8" t="s">
        <v>724</v>
      </c>
      <c r="CE8" t="s">
        <v>725</v>
      </c>
      <c r="CF8" s="10">
        <v>-0.62280411004308911</v>
      </c>
      <c r="CG8" s="11">
        <v>-0.95624186675291079</v>
      </c>
      <c r="CH8" s="10">
        <v>2.0033912658691406</v>
      </c>
      <c r="CI8" s="10" t="s">
        <v>72</v>
      </c>
      <c r="CJ8" s="10" t="s">
        <v>72</v>
      </c>
      <c r="CK8" s="10">
        <v>-0.22330369055271149</v>
      </c>
      <c r="CL8" s="10">
        <v>-0.25239083170890808</v>
      </c>
      <c r="CM8" s="11">
        <v>29.691316604614258</v>
      </c>
      <c r="CN8" s="11" t="s">
        <v>72</v>
      </c>
      <c r="CO8" s="11" t="s">
        <v>72</v>
      </c>
      <c r="CP8" s="11" t="s">
        <v>72</v>
      </c>
      <c r="CQ8" s="11" t="s">
        <v>72</v>
      </c>
      <c r="CR8">
        <v>3.6220113378300662</v>
      </c>
      <c r="CS8">
        <v>7.112690433463266E-2</v>
      </c>
      <c r="CT8">
        <v>0</v>
      </c>
      <c r="CU8" s="10">
        <v>0.50923224786917365</v>
      </c>
      <c r="CV8" s="11">
        <v>29.691316604614258</v>
      </c>
      <c r="CW8">
        <v>0.06</v>
      </c>
      <c r="CX8">
        <v>3.8341971596905853</v>
      </c>
      <c r="CY8">
        <v>2987140807.5750246</v>
      </c>
      <c r="CZ8">
        <v>0.50923224786917365</v>
      </c>
      <c r="DA8">
        <v>0.89466235256223048</v>
      </c>
      <c r="DB8">
        <v>12801798094.218275</v>
      </c>
      <c r="DC8">
        <v>0.48377063547571492</v>
      </c>
      <c r="DD8">
        <v>0.26596508599652618</v>
      </c>
      <c r="DE8">
        <v>43063121451.022308</v>
      </c>
      <c r="DF8">
        <v>0.44812437812487282</v>
      </c>
      <c r="DG8">
        <v>8.4089258176788112E-2</v>
      </c>
      <c r="DH8">
        <v>136203922454.88437</v>
      </c>
      <c r="DI8">
        <v>0.40738579829533894</v>
      </c>
      <c r="DJ8">
        <v>8.6654375796609891E-3</v>
      </c>
      <c r="DK8">
        <v>1321720535715.6445</v>
      </c>
      <c r="DL8">
        <v>0.35646257350842153</v>
      </c>
      <c r="DM8">
        <v>2098000000</v>
      </c>
      <c r="DN8">
        <v>0.50923224786917365</v>
      </c>
      <c r="DO8">
        <v>11453286800</v>
      </c>
      <c r="DP8">
        <v>4798907100</v>
      </c>
      <c r="DQ8">
        <v>2938</v>
      </c>
      <c r="DR8">
        <v>-1.1320363579122628</v>
      </c>
      <c r="DS8">
        <v>-30.647558471367169</v>
      </c>
      <c r="DT8" s="12">
        <v>-0.21000000000000008</v>
      </c>
      <c r="DU8">
        <v>-0.42000000000000015</v>
      </c>
      <c r="DV8">
        <v>-0.63000000000000023</v>
      </c>
      <c r="DW8">
        <v>-2.0979999999999999</v>
      </c>
      <c r="DX8">
        <v>0.2449077854671276</v>
      </c>
      <c r="DY8">
        <v>-2.0063609629757786</v>
      </c>
      <c r="DZ8">
        <v>3646</v>
      </c>
      <c r="EA8">
        <v>-2.0018223972204581</v>
      </c>
      <c r="EB8">
        <v>2</v>
      </c>
      <c r="EC8">
        <v>3.0791471824260699E-2</v>
      </c>
      <c r="ED8">
        <v>0.47438795828051733</v>
      </c>
      <c r="EE8" s="13">
        <v>-1.0639000000000001</v>
      </c>
      <c r="EF8">
        <v>-1.0463</v>
      </c>
      <c r="EG8">
        <v>18.064907785467128</v>
      </c>
      <c r="EH8" t="s">
        <v>726</v>
      </c>
      <c r="EI8">
        <v>0</v>
      </c>
      <c r="EJ8">
        <v>0</v>
      </c>
      <c r="EK8" s="9">
        <v>45470</v>
      </c>
      <c r="EL8" s="14">
        <v>-0.59</v>
      </c>
      <c r="EM8" s="14">
        <v>-2.67</v>
      </c>
      <c r="EN8" s="14">
        <v>0.91</v>
      </c>
      <c r="EO8" s="14">
        <v>2.72</v>
      </c>
      <c r="EP8" s="14">
        <v>-1.76</v>
      </c>
    </row>
    <row r="9" spans="1:146" ht="108" x14ac:dyDescent="0.25">
      <c r="A9" s="7" t="s">
        <v>510</v>
      </c>
      <c r="B9" s="7"/>
      <c r="C9" s="7" t="str">
        <f>"公司主营业务是煤炭、化肥、建筑材料的生产和销售。公司主要产品为无烟煤"&amp;CHAR(10)&amp;Basic_Fundamental_Information_Constructure(F9)&amp;CHAR(10)&amp;Basic_Fundamental_Information_Concatenate("煤炭分部 54.75亿 71.48% 104.88% 62.36%
煤化工分部 21.70亿 28.34% -3.52% -5.27%")</f>
        <v>公司主营业务是煤炭、化肥、建筑材料的生产和销售。公司主要产品为无烟煤
市值132.621216亿, 利润4.71亿; PE9.09; 平均PE7.18; 平均PEG1.1, PB.847; ROIC11.34%; ROE17.8833%; 股利率0%; 毛利47.8833%; 净利18.7433%; 上一年度营收增3.79%, 利润增-85.39%; 当季营收增-32.42%, 利润增-21.56%; 过往5年营收增-6.55%, 利润增-85.39%
Income profile:
煤炭分部 54.75亿 71.48% 104.88% 62.36%
煤化工分部 21.70亿 28.34% -3.52% -5.27%</v>
      </c>
      <c r="D9" t="s">
        <v>50</v>
      </c>
      <c r="E9" t="s">
        <v>285</v>
      </c>
      <c r="F9">
        <v>8.93</v>
      </c>
      <c r="G9">
        <v>-0.45</v>
      </c>
      <c r="H9" t="s">
        <v>727</v>
      </c>
      <c r="I9">
        <v>13262121600</v>
      </c>
      <c r="J9">
        <v>9.09</v>
      </c>
      <c r="K9">
        <v>0.84699999999999998</v>
      </c>
      <c r="L9" t="s">
        <v>73</v>
      </c>
      <c r="M9" t="s">
        <v>728</v>
      </c>
      <c r="N9" t="s">
        <v>729</v>
      </c>
      <c r="O9" t="s">
        <v>730</v>
      </c>
      <c r="P9">
        <v>-25.03</v>
      </c>
      <c r="Q9" t="s">
        <v>731</v>
      </c>
      <c r="R9">
        <v>134909190</v>
      </c>
      <c r="S9" s="6">
        <v>-0.82550000000000001</v>
      </c>
      <c r="T9" t="s">
        <v>732</v>
      </c>
      <c r="U9">
        <v>1485120000</v>
      </c>
      <c r="V9">
        <v>1485120000</v>
      </c>
      <c r="W9">
        <v>2.02</v>
      </c>
      <c r="X9" t="s">
        <v>72</v>
      </c>
      <c r="Y9">
        <v>3.49</v>
      </c>
      <c r="Z9" t="s">
        <v>72</v>
      </c>
      <c r="AA9" t="s">
        <v>72</v>
      </c>
      <c r="AB9" t="s">
        <v>72</v>
      </c>
      <c r="AC9" t="s">
        <v>72</v>
      </c>
      <c r="AD9" t="s">
        <v>72</v>
      </c>
      <c r="AE9">
        <v>56402885</v>
      </c>
      <c r="AF9" t="s">
        <v>733</v>
      </c>
      <c r="AG9" t="s">
        <v>734</v>
      </c>
      <c r="AH9" t="s">
        <v>735</v>
      </c>
      <c r="AI9" t="s">
        <v>736</v>
      </c>
      <c r="AJ9" t="s">
        <v>737</v>
      </c>
      <c r="AK9" t="s">
        <v>72</v>
      </c>
      <c r="AL9" t="s">
        <v>738</v>
      </c>
      <c r="AM9" t="s">
        <v>72</v>
      </c>
      <c r="AN9" t="s">
        <v>739</v>
      </c>
      <c r="AO9" t="s">
        <v>72</v>
      </c>
      <c r="AP9" t="s">
        <v>393</v>
      </c>
      <c r="AQ9" t="s">
        <v>410</v>
      </c>
      <c r="AR9" t="s">
        <v>72</v>
      </c>
      <c r="AS9" t="s">
        <v>72</v>
      </c>
      <c r="AT9" t="s">
        <v>72</v>
      </c>
      <c r="AU9" t="s">
        <v>740</v>
      </c>
      <c r="AV9" t="s">
        <v>741</v>
      </c>
      <c r="AW9" t="s">
        <v>742</v>
      </c>
      <c r="AX9" t="s">
        <v>743</v>
      </c>
      <c r="AY9" t="s">
        <v>72</v>
      </c>
      <c r="AZ9" t="s">
        <v>178</v>
      </c>
      <c r="BA9" t="s">
        <v>83</v>
      </c>
      <c r="BB9" t="s">
        <v>179</v>
      </c>
      <c r="BC9" t="s">
        <v>744</v>
      </c>
      <c r="BD9" t="s">
        <v>72</v>
      </c>
      <c r="BE9" t="s">
        <v>72</v>
      </c>
      <c r="BF9" t="s">
        <v>72</v>
      </c>
      <c r="BG9" t="s">
        <v>72</v>
      </c>
      <c r="BH9" t="s">
        <v>707</v>
      </c>
      <c r="BI9" t="s">
        <v>745</v>
      </c>
      <c r="BJ9" t="s">
        <v>743</v>
      </c>
      <c r="BK9" t="s">
        <v>395</v>
      </c>
      <c r="BL9" t="s">
        <v>746</v>
      </c>
      <c r="BM9" t="s">
        <v>744</v>
      </c>
      <c r="BN9">
        <v>8.2200000000000006</v>
      </c>
      <c r="BO9">
        <v>15.17</v>
      </c>
      <c r="BP9">
        <v>10.63</v>
      </c>
      <c r="BQ9">
        <v>11.29</v>
      </c>
      <c r="BR9">
        <v>22.57</v>
      </c>
      <c r="BS9">
        <v>19.79</v>
      </c>
      <c r="BT9" t="s">
        <v>495</v>
      </c>
      <c r="BU9" t="s">
        <v>364</v>
      </c>
      <c r="BV9">
        <v>41.68</v>
      </c>
      <c r="BW9">
        <v>54.5</v>
      </c>
      <c r="BX9">
        <v>47.47</v>
      </c>
      <c r="BY9">
        <v>17.37</v>
      </c>
      <c r="BZ9">
        <v>23.28</v>
      </c>
      <c r="CA9">
        <v>15.58</v>
      </c>
      <c r="CB9">
        <v>-0.22</v>
      </c>
      <c r="CC9">
        <v>-8.5</v>
      </c>
      <c r="CD9" t="s">
        <v>747</v>
      </c>
      <c r="CE9" t="s">
        <v>748</v>
      </c>
      <c r="CF9" s="10">
        <v>-0.32417089931281745</v>
      </c>
      <c r="CG9" s="11">
        <v>-0.21564424418604652</v>
      </c>
      <c r="CH9" s="10">
        <v>3.7934441119432449E-2</v>
      </c>
      <c r="CI9" s="10" t="s">
        <v>72</v>
      </c>
      <c r="CJ9" s="10" t="s">
        <v>72</v>
      </c>
      <c r="CK9" s="10">
        <v>-0.16622623801231384</v>
      </c>
      <c r="CL9" s="10">
        <v>-6.82377889752388E-2</v>
      </c>
      <c r="CM9" s="11">
        <v>-0.85390818119049072</v>
      </c>
      <c r="CN9" s="11" t="s">
        <v>72</v>
      </c>
      <c r="CO9" s="11" t="s">
        <v>72</v>
      </c>
      <c r="CP9" s="11" t="s">
        <v>72</v>
      </c>
      <c r="CQ9" s="11" t="s">
        <v>72</v>
      </c>
      <c r="CR9">
        <v>7.1784149391069016</v>
      </c>
      <c r="CS9">
        <v>1.0957762273906066</v>
      </c>
      <c r="CT9">
        <v>0</v>
      </c>
      <c r="CU9" s="10">
        <v>-6.5509861956040069E-2</v>
      </c>
      <c r="CV9" s="11">
        <v>-0.85390818119049072</v>
      </c>
      <c r="CW9">
        <v>0.06</v>
      </c>
      <c r="CX9">
        <v>25.18709469214437</v>
      </c>
      <c r="CY9" t="s">
        <v>749</v>
      </c>
      <c r="CZ9">
        <v>-6.5509861956040069E-2</v>
      </c>
      <c r="DA9">
        <v>8.3956982307147907</v>
      </c>
      <c r="DB9" t="s">
        <v>750</v>
      </c>
      <c r="DC9">
        <v>-6.2234368858238062E-2</v>
      </c>
      <c r="DD9">
        <v>4.1978491153573954</v>
      </c>
      <c r="DE9" t="s">
        <v>751</v>
      </c>
      <c r="DF9">
        <v>-5.7648678521315264E-2</v>
      </c>
      <c r="DG9">
        <v>2.5187094692144369</v>
      </c>
      <c r="DH9" t="s">
        <v>752</v>
      </c>
      <c r="DI9">
        <v>-5.2407889564832055E-2</v>
      </c>
      <c r="DJ9">
        <v>1.2593547346072185</v>
      </c>
      <c r="DK9" t="s">
        <v>753</v>
      </c>
      <c r="DL9">
        <v>-4.5856903369228048E-2</v>
      </c>
      <c r="DM9">
        <v>471000000</v>
      </c>
      <c r="DN9">
        <v>-6.5509861956040069E-2</v>
      </c>
      <c r="DO9">
        <v>11863121599.999998</v>
      </c>
      <c r="DP9">
        <v>9024364000</v>
      </c>
      <c r="DQ9">
        <v>2939</v>
      </c>
      <c r="DR9">
        <v>-0.25866103735677737</v>
      </c>
      <c r="DS9">
        <v>0.63826393700444417</v>
      </c>
      <c r="DT9" s="12">
        <v>-0.66</v>
      </c>
      <c r="DU9">
        <v>-2.3199999999999998</v>
      </c>
      <c r="DV9">
        <v>-2.98</v>
      </c>
      <c r="DW9">
        <v>-2.085</v>
      </c>
      <c r="DX9">
        <v>0.33387879464285786</v>
      </c>
      <c r="DY9">
        <v>-2.0096796975446427</v>
      </c>
      <c r="DZ9">
        <v>4299</v>
      </c>
      <c r="EA9">
        <v>-2.0015362494537583</v>
      </c>
      <c r="EB9">
        <v>2</v>
      </c>
      <c r="EC9">
        <v>3.435257756948934E-2</v>
      </c>
      <c r="ED9">
        <v>0.30165912518853699</v>
      </c>
      <c r="EE9" s="13">
        <v>1.0262100000000001</v>
      </c>
      <c r="EF9">
        <v>1.05331</v>
      </c>
      <c r="EG9">
        <v>22.113878794642858</v>
      </c>
      <c r="EH9" t="s">
        <v>550</v>
      </c>
      <c r="EI9">
        <v>0</v>
      </c>
      <c r="EJ9">
        <v>0</v>
      </c>
      <c r="EK9" s="9">
        <v>45470</v>
      </c>
      <c r="EL9" s="14">
        <v>0</v>
      </c>
      <c r="EM9" s="14">
        <v>-3.52</v>
      </c>
      <c r="EN9" s="14">
        <v>0</v>
      </c>
      <c r="EO9" s="14">
        <v>0.91</v>
      </c>
      <c r="EP9" s="14">
        <v>-2.71</v>
      </c>
    </row>
    <row r="10" spans="1:146" ht="168" x14ac:dyDescent="0.25">
      <c r="A10" s="7"/>
      <c r="B10" s="7"/>
      <c r="C10" s="7" t="str">
        <f>"公司的主营业务为从事煤炭采选、销售、矿区自有铁路货物运输、公路货物运输、港口经营、煤矿综合科学技术服务、甲醇生产销售。产品主要包括自产煤、贸易煤、铁路运输、煤化工、电力、热力、机电装备。"&amp;CHAR(10)&amp;Basic_Fundamental_Information_Constructure(F10)&amp;CHAR(10)&amp;Basic_Fundamental_Information_Concatenate("煤炭业务 837.97亿 55.13% 82.34% 43.88%
其他 433.75亿 28.54% 2.10% 2.16%
煤化工业务 214.02亿 14.08% 15.34% 32.01%
电力业务 19.34亿 1.27% -0.02% -0.41%")</f>
        <v>公司的主营业务为从事煤炭采选、销售、矿区自有铁路货物运输、公路货物运输、港口经营、煤矿综合科学技术服务、甲醇生产销售。产品主要包括自产煤、贸易煤、铁路运输、煤化工、电力、热力、机电装备。
市值2019.4547亿, 利润-4.57亿; PE11.58; 平均PE12.28; 平均PEG.54, PB2.92; ROIC13.8533%; ROE27.34%; 股利率.0621%; 毛利36.9867%; 净利16.6533%; 上一年度营收增-99.5%, 利润增-101.37%; 当季营收增17915%, 利润增17970.9%; 过往5年营收增-22.55%, 利润增-101.37%
Income profile:
煤炭业务 837.97亿 55.13% 82.34% 43.88%
其他 433.75亿 28.54% 2.10% 2.16%
煤化工业务 214.02亿 14.08% 15.34% 32.01%
电力业务 19.34亿 1.27% -0.02% -0.41%</v>
      </c>
      <c r="D10" t="s">
        <v>52</v>
      </c>
      <c r="E10" t="s">
        <v>300</v>
      </c>
      <c r="F10">
        <v>23.31</v>
      </c>
      <c r="G10">
        <v>-0.68</v>
      </c>
      <c r="H10" t="s">
        <v>754</v>
      </c>
      <c r="I10">
        <v>201945470000</v>
      </c>
      <c r="J10">
        <v>11.58</v>
      </c>
      <c r="K10">
        <v>2.92</v>
      </c>
      <c r="L10" t="s">
        <v>73</v>
      </c>
      <c r="M10" t="s">
        <v>755</v>
      </c>
      <c r="N10" t="s">
        <v>756</v>
      </c>
      <c r="O10" t="s">
        <v>757</v>
      </c>
      <c r="P10">
        <v>-20.76</v>
      </c>
      <c r="Q10" t="s">
        <v>758</v>
      </c>
      <c r="R10">
        <v>3756802000</v>
      </c>
      <c r="S10" s="6">
        <v>-0.41849999999999998</v>
      </c>
      <c r="T10" t="s">
        <v>759</v>
      </c>
      <c r="U10">
        <v>4528594100</v>
      </c>
      <c r="V10">
        <v>8663469500</v>
      </c>
      <c r="W10">
        <v>2.88</v>
      </c>
      <c r="X10" t="s">
        <v>72</v>
      </c>
      <c r="Y10">
        <v>13.62</v>
      </c>
      <c r="Z10" t="s">
        <v>72</v>
      </c>
      <c r="AA10" t="s">
        <v>72</v>
      </c>
      <c r="AB10" t="s">
        <v>72</v>
      </c>
      <c r="AC10" t="s">
        <v>72</v>
      </c>
      <c r="AD10" t="s">
        <v>72</v>
      </c>
      <c r="AE10">
        <v>807259000</v>
      </c>
      <c r="AF10" t="s">
        <v>760</v>
      </c>
      <c r="AG10" t="s">
        <v>514</v>
      </c>
      <c r="AH10" t="s">
        <v>761</v>
      </c>
      <c r="AI10" t="s">
        <v>762</v>
      </c>
      <c r="AJ10" t="s">
        <v>763</v>
      </c>
      <c r="AK10" t="s">
        <v>72</v>
      </c>
      <c r="AL10" t="s">
        <v>764</v>
      </c>
      <c r="AM10" t="s">
        <v>72</v>
      </c>
      <c r="AN10" t="s">
        <v>765</v>
      </c>
      <c r="AO10" t="s">
        <v>72</v>
      </c>
      <c r="AP10" t="s">
        <v>766</v>
      </c>
      <c r="AQ10" t="s">
        <v>767</v>
      </c>
      <c r="AR10" t="s">
        <v>72</v>
      </c>
      <c r="AS10" t="s">
        <v>72</v>
      </c>
      <c r="AT10" t="s">
        <v>72</v>
      </c>
      <c r="AU10" t="s">
        <v>400</v>
      </c>
      <c r="AV10" t="s">
        <v>768</v>
      </c>
      <c r="AW10" t="s">
        <v>769</v>
      </c>
      <c r="AX10" t="s">
        <v>770</v>
      </c>
      <c r="AY10" t="s">
        <v>72</v>
      </c>
      <c r="AZ10" t="s">
        <v>180</v>
      </c>
      <c r="BA10" t="s">
        <v>181</v>
      </c>
      <c r="BB10" t="s">
        <v>182</v>
      </c>
      <c r="BC10" t="s">
        <v>771</v>
      </c>
      <c r="BD10" t="s">
        <v>72</v>
      </c>
      <c r="BE10" t="s">
        <v>72</v>
      </c>
      <c r="BF10" t="s">
        <v>72</v>
      </c>
      <c r="BG10" t="s">
        <v>72</v>
      </c>
      <c r="BH10" t="s">
        <v>772</v>
      </c>
      <c r="BI10" t="s">
        <v>208</v>
      </c>
      <c r="BJ10" t="s">
        <v>770</v>
      </c>
      <c r="BK10" t="s">
        <v>773</v>
      </c>
      <c r="BL10" t="s">
        <v>774</v>
      </c>
      <c r="BM10" t="s">
        <v>771</v>
      </c>
      <c r="BN10">
        <v>10.039999999999999</v>
      </c>
      <c r="BO10">
        <v>19.68</v>
      </c>
      <c r="BP10">
        <v>11.84</v>
      </c>
      <c r="BQ10">
        <v>15.57</v>
      </c>
      <c r="BR10">
        <v>38.67</v>
      </c>
      <c r="BS10">
        <v>27.78</v>
      </c>
      <c r="BT10" t="s">
        <v>775</v>
      </c>
      <c r="BU10" t="s">
        <v>364</v>
      </c>
      <c r="BV10">
        <v>40.64</v>
      </c>
      <c r="BW10">
        <v>40.94</v>
      </c>
      <c r="BX10">
        <v>29.38</v>
      </c>
      <c r="BY10">
        <v>18.100000000000001</v>
      </c>
      <c r="BZ10">
        <v>19.64</v>
      </c>
      <c r="CA10">
        <v>12.22</v>
      </c>
      <c r="CB10">
        <v>2.5499999999999998</v>
      </c>
      <c r="CC10">
        <v>-6.57</v>
      </c>
      <c r="CD10" t="s">
        <v>776</v>
      </c>
      <c r="CE10" t="s">
        <v>777</v>
      </c>
      <c r="CF10" s="10">
        <v>179.14999999999998</v>
      </c>
      <c r="CG10" s="11">
        <v>179.70896541226054</v>
      </c>
      <c r="CH10" s="10">
        <v>-0.99501276016235352</v>
      </c>
      <c r="CI10" s="10" t="s">
        <v>72</v>
      </c>
      <c r="CJ10" s="10" t="s">
        <v>72</v>
      </c>
      <c r="CK10" s="10">
        <v>1.4159558340907097E-3</v>
      </c>
      <c r="CL10" s="10">
        <v>0.31703966856002808</v>
      </c>
      <c r="CM10" s="11">
        <v>-1.0137002468109131</v>
      </c>
      <c r="CN10" s="11" t="s">
        <v>72</v>
      </c>
      <c r="CO10" s="11" t="s">
        <v>72</v>
      </c>
      <c r="CP10" s="11" t="s">
        <v>72</v>
      </c>
      <c r="CQ10" s="11" t="s">
        <v>72</v>
      </c>
      <c r="CR10">
        <v>12.276320364741641</v>
      </c>
      <c r="CS10">
        <v>0.5443584753918147</v>
      </c>
      <c r="CT10">
        <v>6.205928536025624E-2</v>
      </c>
      <c r="CU10" s="10">
        <v>-0.22551904525607824</v>
      </c>
      <c r="CV10" s="11">
        <v>-1.0137002468109131</v>
      </c>
      <c r="CW10">
        <v>0.06</v>
      </c>
      <c r="CX10" t="e">
        <v>#VALUE!</v>
      </c>
      <c r="CY10" t="s">
        <v>365</v>
      </c>
      <c r="CZ10">
        <v>-0.22551904525607824</v>
      </c>
      <c r="DA10" t="e">
        <v>#VALUE!</v>
      </c>
      <c r="DB10" t="s">
        <v>365</v>
      </c>
      <c r="DC10">
        <v>-0.21424309299327432</v>
      </c>
      <c r="DD10" t="e">
        <v>#VALUE!</v>
      </c>
      <c r="DE10" t="s">
        <v>365</v>
      </c>
      <c r="DF10">
        <v>-0.19845675982534886</v>
      </c>
      <c r="DG10" t="e">
        <v>#VALUE!</v>
      </c>
      <c r="DH10" t="s">
        <v>365</v>
      </c>
      <c r="DI10">
        <v>-0.18041523620486261</v>
      </c>
      <c r="DJ10" t="e">
        <v>#VALUE!</v>
      </c>
      <c r="DK10" t="s">
        <v>365</v>
      </c>
      <c r="DL10">
        <v>-0.15786333167925476</v>
      </c>
      <c r="DM10">
        <v>-457000000</v>
      </c>
      <c r="DN10">
        <v>-0.22551904525607824</v>
      </c>
      <c r="DO10">
        <v>312146470000</v>
      </c>
      <c r="DP10">
        <v>107901940000</v>
      </c>
      <c r="DQ10">
        <v>2990</v>
      </c>
      <c r="DR10">
        <v>179.37551904525606</v>
      </c>
      <c r="DS10">
        <v>180.72266565907145</v>
      </c>
      <c r="DT10" s="12">
        <v>-1.1599999999999999</v>
      </c>
      <c r="DU10">
        <v>-3.57</v>
      </c>
      <c r="DV10">
        <v>-4.7299999999999995</v>
      </c>
      <c r="DW10">
        <v>6.2796052631578947</v>
      </c>
      <c r="DX10">
        <v>0.46245014245014432</v>
      </c>
      <c r="DY10">
        <v>6.0398298095666521</v>
      </c>
      <c r="DZ10">
        <v>4176</v>
      </c>
      <c r="EA10">
        <v>6.0072800473845893</v>
      </c>
      <c r="EB10">
        <v>6</v>
      </c>
      <c r="EC10">
        <v>1.1542719692151048E-2</v>
      </c>
      <c r="ED10">
        <v>8.1029892238900364E-2</v>
      </c>
      <c r="EE10" s="13">
        <v>2.0747100000000001</v>
      </c>
      <c r="EF10">
        <v>2.1161099999999999</v>
      </c>
      <c r="EG10">
        <v>32.142450142450144</v>
      </c>
      <c r="EH10" t="s">
        <v>639</v>
      </c>
      <c r="EI10">
        <v>0</v>
      </c>
      <c r="EJ10">
        <v>0</v>
      </c>
      <c r="EK10" s="9">
        <v>45470</v>
      </c>
      <c r="EL10" s="14">
        <v>-2.6</v>
      </c>
      <c r="EM10" s="14">
        <v>-4</v>
      </c>
      <c r="EN10" s="14">
        <v>-3.47</v>
      </c>
      <c r="EO10" s="14">
        <v>4.32</v>
      </c>
      <c r="EP10" s="14">
        <v>-4.1399999999999997</v>
      </c>
    </row>
    <row r="11" spans="1:146" ht="156" x14ac:dyDescent="0.25">
      <c r="A11" s="7" t="s">
        <v>507</v>
      </c>
      <c r="B11" s="7"/>
      <c r="C11" s="7" t="str">
        <f>"公司主要从事煤炭生产、洗选加工、销售，电力生产、销售，热力生产、销售，以及道路普通货物运输、设备租赁、施工机械配件。公司主要产品分为煤炭产品、电力、热力等三大类。其中：煤炭产品主要是优质无烟煤"&amp;CHAR(10)&amp;Basic_Fundamental_Information_Constructure(F11)&amp;CHAR(10)&amp;Basic_Fundamental_Information_Concatenate("洗末煤 131.34亿 71.64% 66.56% 36.15%
洗块煤 25.89亿 14.12% 20.49% 56.44%
洗粉煤 12.32亿 6.72% 9.56% 55.33%
其他业务 9.73亿 5.31% 3.44% 25.20%")</f>
        <v>公司主要从事煤炭生产、洗选加工、销售，电力生产、销售，热力生产、销售，以及道路普通货物运输、设备租赁、施工机械配件。公司主要产品分为煤炭产品、电力、热力等三大类。其中：煤炭产品主要是优质无烟煤
市值344.877亿, 利润32.97亿; PE7.98; 平均PE10.87; 平均PEG3.69, PB1.19; ROIC13.1533%; ROE22.1967%; 股利率7.5105%; 毛利42.48%; 净利18.38%; 上一年度营收增-24.25%, 利润增-53.06%; 当季营收增19.76%, 利润增5.13%; 过往5年营收增-2.95%, 利润增31.05%
Income profile:
洗末煤 131.34亿 71.64% 66.56% 36.15%
洗块煤 25.89亿 14.12% 20.49% 56.44%
洗粉煤 12.32亿 6.72% 9.56% 55.33%
其他业务 9.73亿 5.31% 3.44% 25.20%</v>
      </c>
      <c r="D11" t="s">
        <v>55</v>
      </c>
      <c r="E11" t="s">
        <v>183</v>
      </c>
      <c r="F11">
        <v>9.56</v>
      </c>
      <c r="G11">
        <v>-2.5499999999999998</v>
      </c>
      <c r="H11" t="s">
        <v>778</v>
      </c>
      <c r="I11">
        <v>34487700000</v>
      </c>
      <c r="J11">
        <v>7.98</v>
      </c>
      <c r="K11">
        <v>1.19</v>
      </c>
      <c r="L11" t="s">
        <v>73</v>
      </c>
      <c r="M11" t="s">
        <v>779</v>
      </c>
      <c r="N11" t="s">
        <v>780</v>
      </c>
      <c r="O11" t="s">
        <v>781</v>
      </c>
      <c r="P11">
        <v>-26.51</v>
      </c>
      <c r="Q11" t="s">
        <v>782</v>
      </c>
      <c r="R11">
        <v>867321520</v>
      </c>
      <c r="S11" s="6">
        <v>-0.49780000000000002</v>
      </c>
      <c r="T11" t="s">
        <v>783</v>
      </c>
      <c r="U11">
        <v>3607500000</v>
      </c>
      <c r="V11">
        <v>3607500000</v>
      </c>
      <c r="W11">
        <v>2.08</v>
      </c>
      <c r="X11">
        <v>0.08</v>
      </c>
      <c r="Y11">
        <v>15.16</v>
      </c>
      <c r="Z11" t="s">
        <v>784</v>
      </c>
      <c r="AA11" t="s">
        <v>785</v>
      </c>
      <c r="AB11" t="s">
        <v>786</v>
      </c>
      <c r="AC11" t="s">
        <v>787</v>
      </c>
      <c r="AD11" t="s">
        <v>72</v>
      </c>
      <c r="AE11">
        <v>100622256</v>
      </c>
      <c r="AF11" t="s">
        <v>788</v>
      </c>
      <c r="AG11" t="s">
        <v>789</v>
      </c>
      <c r="AH11" t="s">
        <v>790</v>
      </c>
      <c r="AI11" t="s">
        <v>791</v>
      </c>
      <c r="AJ11" t="s">
        <v>792</v>
      </c>
      <c r="AK11" t="s">
        <v>72</v>
      </c>
      <c r="AL11" t="s">
        <v>793</v>
      </c>
      <c r="AM11" t="s">
        <v>72</v>
      </c>
      <c r="AN11" t="s">
        <v>794</v>
      </c>
      <c r="AO11" t="s">
        <v>385</v>
      </c>
      <c r="AP11" t="s">
        <v>795</v>
      </c>
      <c r="AQ11" t="s">
        <v>796</v>
      </c>
      <c r="AR11" t="s">
        <v>797</v>
      </c>
      <c r="AS11" t="s">
        <v>798</v>
      </c>
      <c r="AT11" t="s">
        <v>799</v>
      </c>
      <c r="AU11" t="s">
        <v>800</v>
      </c>
      <c r="AV11" t="s">
        <v>801</v>
      </c>
      <c r="AW11" t="s">
        <v>802</v>
      </c>
      <c r="AX11" t="s">
        <v>803</v>
      </c>
      <c r="AY11" t="s">
        <v>804</v>
      </c>
      <c r="AZ11" t="s">
        <v>184</v>
      </c>
      <c r="BA11" t="s">
        <v>85</v>
      </c>
      <c r="BB11" t="s">
        <v>186</v>
      </c>
      <c r="BC11" t="s">
        <v>805</v>
      </c>
      <c r="BD11" t="s">
        <v>806</v>
      </c>
      <c r="BE11" t="s">
        <v>185</v>
      </c>
      <c r="BF11" t="s">
        <v>86</v>
      </c>
      <c r="BG11" t="s">
        <v>104</v>
      </c>
      <c r="BH11" t="s">
        <v>807</v>
      </c>
      <c r="BI11" t="s">
        <v>808</v>
      </c>
      <c r="BJ11" t="s">
        <v>803</v>
      </c>
      <c r="BK11" t="s">
        <v>809</v>
      </c>
      <c r="BL11" t="s">
        <v>810</v>
      </c>
      <c r="BM11" t="s">
        <v>805</v>
      </c>
      <c r="BN11">
        <v>10</v>
      </c>
      <c r="BO11">
        <v>17.86</v>
      </c>
      <c r="BP11">
        <v>11.6</v>
      </c>
      <c r="BQ11">
        <v>15.81</v>
      </c>
      <c r="BR11">
        <v>31.36</v>
      </c>
      <c r="BS11">
        <v>19.420000000000002</v>
      </c>
      <c r="BT11" t="s">
        <v>811</v>
      </c>
      <c r="BU11" t="s">
        <v>364</v>
      </c>
      <c r="BV11">
        <v>44.9</v>
      </c>
      <c r="BW11">
        <v>46.43</v>
      </c>
      <c r="BX11">
        <v>36.11</v>
      </c>
      <c r="BY11">
        <v>21.21</v>
      </c>
      <c r="BZ11">
        <v>22.73</v>
      </c>
      <c r="CA11">
        <v>11.2</v>
      </c>
      <c r="CB11">
        <v>-4.0199999999999996</v>
      </c>
      <c r="CC11">
        <v>-10.99</v>
      </c>
      <c r="CD11" t="s">
        <v>412</v>
      </c>
      <c r="CE11" t="s">
        <v>812</v>
      </c>
      <c r="CF11" s="10">
        <v>0.19758848697005058</v>
      </c>
      <c r="CG11" s="11">
        <v>5.1298812121212123E-2</v>
      </c>
      <c r="CH11" s="10">
        <v>-0.24253834784030914</v>
      </c>
      <c r="CI11" s="10">
        <v>-7.8537061810493469E-2</v>
      </c>
      <c r="CJ11" s="10">
        <v>0.21974912285804749</v>
      </c>
      <c r="CK11" s="10">
        <v>-4.5226261019706726E-2</v>
      </c>
      <c r="CL11" s="10">
        <v>-7.9547672066837549E-4</v>
      </c>
      <c r="CM11" s="11">
        <v>-0.5306093692779541</v>
      </c>
      <c r="CN11" s="11">
        <v>0.98923814296722412</v>
      </c>
      <c r="CO11" s="11">
        <v>1.3461794853210449</v>
      </c>
      <c r="CP11" s="11">
        <v>-0.11522641032934189</v>
      </c>
      <c r="CQ11" s="11">
        <v>-0.13698630034923553</v>
      </c>
      <c r="CR11">
        <v>10.874255084344947</v>
      </c>
      <c r="CS11">
        <v>3.6899901165284854</v>
      </c>
      <c r="CT11">
        <v>7.5104602510460241</v>
      </c>
      <c r="CU11" s="10">
        <v>-2.9469604906626045E-2</v>
      </c>
      <c r="CV11" s="11">
        <v>0.31051910966634749</v>
      </c>
      <c r="CW11">
        <v>0.06</v>
      </c>
      <c r="CX11">
        <v>11.711768274188657</v>
      </c>
      <c r="CY11" t="s">
        <v>813</v>
      </c>
      <c r="CZ11">
        <v>-2.9469604906626045E-2</v>
      </c>
      <c r="DA11">
        <v>3.9039227580628855</v>
      </c>
      <c r="DB11" t="s">
        <v>814</v>
      </c>
      <c r="DC11">
        <v>-2.7996124661294742E-2</v>
      </c>
      <c r="DD11">
        <v>1.9519613790314427</v>
      </c>
      <c r="DE11" t="s">
        <v>815</v>
      </c>
      <c r="DF11">
        <v>-2.5933252317830918E-2</v>
      </c>
      <c r="DG11">
        <v>1.1711768274188656</v>
      </c>
      <c r="DH11" t="s">
        <v>816</v>
      </c>
      <c r="DI11">
        <v>-2.3575683925300836E-2</v>
      </c>
      <c r="DJ11">
        <v>0.58558841370943282</v>
      </c>
      <c r="DK11" t="s">
        <v>817</v>
      </c>
      <c r="DL11">
        <v>-2.062872343463823E-2</v>
      </c>
      <c r="DM11">
        <v>3297000000</v>
      </c>
      <c r="DN11">
        <v>-2.9469604906626045E-2</v>
      </c>
      <c r="DO11">
        <v>38613700000</v>
      </c>
      <c r="DP11">
        <v>-3774467000</v>
      </c>
      <c r="DQ11">
        <v>3115</v>
      </c>
      <c r="DR11">
        <v>0.22705809187667661</v>
      </c>
      <c r="DS11">
        <v>-0.25922029754513537</v>
      </c>
      <c r="DT11" s="12">
        <v>-0.47333333333333333</v>
      </c>
      <c r="DU11">
        <v>0.40000000000000008</v>
      </c>
      <c r="DV11">
        <v>-7.333333333333325E-2</v>
      </c>
      <c r="DW11">
        <v>-8.3657870791628746</v>
      </c>
      <c r="DX11">
        <v>0.63327605956471866</v>
      </c>
      <c r="DY11">
        <v>-8.0670400145086596</v>
      </c>
      <c r="DZ11">
        <v>128</v>
      </c>
      <c r="EA11">
        <v>-8.0653607343017892</v>
      </c>
      <c r="EB11">
        <v>8</v>
      </c>
      <c r="EC11">
        <v>4.4352044352044352E-2</v>
      </c>
      <c r="ED11">
        <v>0.24199584199584201</v>
      </c>
      <c r="EE11" s="13">
        <v>-2.0185</v>
      </c>
      <c r="EF11">
        <v>-2.0141100000000001</v>
      </c>
      <c r="EG11">
        <v>45.183276059564719</v>
      </c>
      <c r="EH11" t="s">
        <v>818</v>
      </c>
      <c r="EI11">
        <v>0</v>
      </c>
      <c r="EJ11">
        <v>1</v>
      </c>
      <c r="EK11" s="9">
        <v>45470</v>
      </c>
      <c r="EL11" s="14">
        <v>0.28999999999999998</v>
      </c>
      <c r="EM11" s="14">
        <v>0.15</v>
      </c>
      <c r="EN11" s="14">
        <v>2.25</v>
      </c>
      <c r="EO11" s="14">
        <v>2.13</v>
      </c>
      <c r="EP11" s="14">
        <v>-3.26</v>
      </c>
    </row>
    <row r="12" spans="1:146" ht="96" x14ac:dyDescent="0.25">
      <c r="A12" s="7"/>
      <c r="B12" s="7"/>
      <c r="C12" s="7" t="str">
        <f>""&amp;CHAR(10)&amp;Basic_Fundamental_Information_Constructure(F12)&amp;CHAR(10)&amp;Basic_Fundamental_Information_Concatenate("")</f>
        <v xml:space="preserve">
市值127.509519亿, 利润21.40亿; PE31.61; 平均PE8.97; 平均PEG1.35, PB1.11; ROIC8.7633%; ROE15.1433%; 股利率4.7138%; 毛利34.8133%; 净利13.4333%; 上一年度营收增-47.02%, 利润增-2.46%; 当季营收增-3.85%, 利润增108.43%; 过往5年营收增6.64%, 利润增23.94%
Income profile:
</v>
      </c>
      <c r="D12" t="s">
        <v>45</v>
      </c>
      <c r="E12" t="s">
        <v>14</v>
      </c>
      <c r="F12">
        <v>5.94</v>
      </c>
      <c r="G12">
        <v>0.34</v>
      </c>
      <c r="H12" t="s">
        <v>819</v>
      </c>
      <c r="I12">
        <v>12750951900</v>
      </c>
      <c r="J12">
        <v>31.61</v>
      </c>
      <c r="K12">
        <v>1.1100000000000001</v>
      </c>
      <c r="L12" t="s">
        <v>73</v>
      </c>
      <c r="M12" t="s">
        <v>820</v>
      </c>
      <c r="N12" t="s">
        <v>821</v>
      </c>
      <c r="O12" t="s">
        <v>822</v>
      </c>
      <c r="P12">
        <v>-31.91</v>
      </c>
      <c r="Q12" t="s">
        <v>823</v>
      </c>
      <c r="R12">
        <v>21325156</v>
      </c>
      <c r="S12" s="6">
        <v>-0.93920000000000003</v>
      </c>
      <c r="T12" t="s">
        <v>824</v>
      </c>
      <c r="U12">
        <v>2146624900</v>
      </c>
      <c r="V12">
        <v>2146624900</v>
      </c>
      <c r="W12">
        <v>2.93</v>
      </c>
      <c r="X12">
        <v>0.05</v>
      </c>
      <c r="Y12">
        <v>2.74</v>
      </c>
      <c r="Z12" t="s">
        <v>367</v>
      </c>
      <c r="AA12" t="s">
        <v>825</v>
      </c>
      <c r="AB12" t="s">
        <v>826</v>
      </c>
      <c r="AC12" t="s">
        <v>827</v>
      </c>
      <c r="AD12" t="s">
        <v>72</v>
      </c>
      <c r="AE12">
        <v>63843493</v>
      </c>
      <c r="AF12" t="s">
        <v>828</v>
      </c>
      <c r="AG12" t="s">
        <v>829</v>
      </c>
      <c r="AH12" t="s">
        <v>830</v>
      </c>
      <c r="AI12" t="s">
        <v>261</v>
      </c>
      <c r="AJ12" t="s">
        <v>831</v>
      </c>
      <c r="AK12" t="s">
        <v>832</v>
      </c>
      <c r="AL12" t="s">
        <v>833</v>
      </c>
      <c r="AM12" t="s">
        <v>72</v>
      </c>
      <c r="AN12" t="s">
        <v>834</v>
      </c>
      <c r="AO12" t="s">
        <v>835</v>
      </c>
      <c r="AP12" t="s">
        <v>836</v>
      </c>
      <c r="AQ12" t="s">
        <v>837</v>
      </c>
      <c r="AR12" t="s">
        <v>72</v>
      </c>
      <c r="AS12" t="s">
        <v>838</v>
      </c>
      <c r="AT12" t="s">
        <v>839</v>
      </c>
      <c r="AU12" t="s">
        <v>840</v>
      </c>
      <c r="AV12" t="s">
        <v>841</v>
      </c>
      <c r="AW12" t="s">
        <v>842</v>
      </c>
      <c r="AX12" t="s">
        <v>843</v>
      </c>
      <c r="AY12" t="s">
        <v>301</v>
      </c>
      <c r="AZ12" t="s">
        <v>303</v>
      </c>
      <c r="BA12" t="s">
        <v>187</v>
      </c>
      <c r="BB12" t="s">
        <v>188</v>
      </c>
      <c r="BC12" t="s">
        <v>844</v>
      </c>
      <c r="BD12" t="s">
        <v>302</v>
      </c>
      <c r="BE12" t="s">
        <v>304</v>
      </c>
      <c r="BF12" t="s">
        <v>189</v>
      </c>
      <c r="BG12" t="s">
        <v>190</v>
      </c>
      <c r="BH12" t="s">
        <v>845</v>
      </c>
      <c r="BI12" t="s">
        <v>389</v>
      </c>
      <c r="BJ12" t="s">
        <v>843</v>
      </c>
      <c r="BK12" t="s">
        <v>846</v>
      </c>
      <c r="BL12" t="s">
        <v>847</v>
      </c>
      <c r="BM12" t="s">
        <v>844</v>
      </c>
      <c r="BN12">
        <v>3.44</v>
      </c>
      <c r="BO12">
        <v>12.47</v>
      </c>
      <c r="BP12">
        <v>10.38</v>
      </c>
      <c r="BQ12">
        <v>6.66</v>
      </c>
      <c r="BR12">
        <v>22.23</v>
      </c>
      <c r="BS12">
        <v>16.54</v>
      </c>
      <c r="BT12" t="s">
        <v>848</v>
      </c>
      <c r="BU12" t="s">
        <v>364</v>
      </c>
      <c r="BV12">
        <v>29.23</v>
      </c>
      <c r="BW12">
        <v>40.56</v>
      </c>
      <c r="BX12">
        <v>34.65</v>
      </c>
      <c r="BY12">
        <v>7.94</v>
      </c>
      <c r="BZ12">
        <v>18.91</v>
      </c>
      <c r="CA12">
        <v>13.45</v>
      </c>
      <c r="CB12">
        <v>-1.1599999999999999</v>
      </c>
      <c r="CC12">
        <v>-8.0500000000000007</v>
      </c>
      <c r="CD12" t="s">
        <v>849</v>
      </c>
      <c r="CE12" t="s">
        <v>513</v>
      </c>
      <c r="CF12" s="10">
        <v>-3.8480513073507763E-2</v>
      </c>
      <c r="CG12" s="11">
        <v>1.0842891541501978</v>
      </c>
      <c r="CH12" s="10">
        <v>-0.47015118598937988</v>
      </c>
      <c r="CI12" s="10">
        <v>0.21766400337219238</v>
      </c>
      <c r="CJ12" s="10">
        <v>0.48194429278373718</v>
      </c>
      <c r="CK12" s="10">
        <v>-0.11466347426176071</v>
      </c>
      <c r="CL12" s="10">
        <v>0.21724143624305725</v>
      </c>
      <c r="CM12" s="11">
        <v>-2.461252361536026E-2</v>
      </c>
      <c r="CN12" s="11">
        <v>0.87201356887817383</v>
      </c>
      <c r="CO12" s="11">
        <v>0.35178777575492859</v>
      </c>
      <c r="CP12" s="11">
        <v>-0.28465345501899719</v>
      </c>
      <c r="CQ12" s="11">
        <v>0.28253969550132751</v>
      </c>
      <c r="CR12">
        <v>8.9690165767878067</v>
      </c>
      <c r="CS12">
        <v>1.3506128311641348</v>
      </c>
      <c r="CT12">
        <v>4.7138047138047128</v>
      </c>
      <c r="CU12" s="10">
        <v>6.6407014429569242E-2</v>
      </c>
      <c r="CV12" s="11">
        <v>0.2394150123000145</v>
      </c>
      <c r="CW12">
        <v>0.06</v>
      </c>
      <c r="CX12">
        <v>10.606429265977734</v>
      </c>
      <c r="CY12">
        <v>2152934915.9238467</v>
      </c>
      <c r="CZ12">
        <v>6.6407014429569242E-2</v>
      </c>
      <c r="DA12">
        <v>3.5362115605938009</v>
      </c>
      <c r="DB12">
        <v>6457462034.9257479</v>
      </c>
      <c r="DC12">
        <v>6.3086663708090782E-2</v>
      </c>
      <c r="DD12">
        <v>1.7876191508185413</v>
      </c>
      <c r="DE12">
        <v>12773946782.536983</v>
      </c>
      <c r="DF12">
        <v>5.8438172698020936E-2</v>
      </c>
      <c r="DG12">
        <v>1.1057368673089429</v>
      </c>
      <c r="DH12">
        <v>20651343529.472744</v>
      </c>
      <c r="DI12">
        <v>5.3125611543655395E-2</v>
      </c>
      <c r="DJ12">
        <v>0.60881241387948992</v>
      </c>
      <c r="DK12">
        <v>37507369067.083473</v>
      </c>
      <c r="DL12">
        <v>4.6484910100698468E-2</v>
      </c>
      <c r="DM12">
        <v>2139999999.9999998</v>
      </c>
      <c r="DN12">
        <v>6.6407014429569242E-2</v>
      </c>
      <c r="DO12">
        <v>22834951900</v>
      </c>
      <c r="DP12">
        <v>-3993627200</v>
      </c>
      <c r="DQ12">
        <v>3154</v>
      </c>
      <c r="DR12">
        <v>-0.104887527503077</v>
      </c>
      <c r="DS12">
        <v>0.84487414185018328</v>
      </c>
      <c r="DT12" s="12">
        <v>-0.22333333333333338</v>
      </c>
      <c r="DU12">
        <v>0.6366666666666666</v>
      </c>
      <c r="DV12">
        <v>0.41333333333333322</v>
      </c>
      <c r="DW12">
        <v>-2.0804999999999998</v>
      </c>
      <c r="DX12">
        <v>0.33034709976798254</v>
      </c>
      <c r="DY12">
        <v>-2.0112979415313226</v>
      </c>
      <c r="DZ12">
        <v>2902</v>
      </c>
      <c r="EA12">
        <v>-2.0048817719963132</v>
      </c>
      <c r="EB12">
        <v>2</v>
      </c>
      <c r="EC12">
        <v>2.817893335719715E-2</v>
      </c>
      <c r="ED12">
        <v>0.20078030400187752</v>
      </c>
      <c r="EE12" s="13">
        <v>3.0247999999999999</v>
      </c>
      <c r="EF12">
        <v>3.0013100000000001</v>
      </c>
      <c r="EG12">
        <v>19.140347099767983</v>
      </c>
      <c r="EH12" t="s">
        <v>581</v>
      </c>
      <c r="EI12">
        <v>0</v>
      </c>
      <c r="EJ12">
        <v>0</v>
      </c>
      <c r="EK12" s="9">
        <v>45470</v>
      </c>
      <c r="EL12" s="14">
        <v>-0.11</v>
      </c>
      <c r="EM12" s="14">
        <v>-3.04</v>
      </c>
      <c r="EN12" s="14">
        <v>0.47</v>
      </c>
      <c r="EO12" s="14">
        <v>2.08</v>
      </c>
      <c r="EP12" s="14">
        <v>-2.61</v>
      </c>
    </row>
    <row r="13" spans="1:146" ht="84" x14ac:dyDescent="0.25">
      <c r="A13" s="7"/>
      <c r="B13" s="7"/>
      <c r="C13" s="7" t="str">
        <f>""&amp;CHAR(10)&amp;Basic_Fundamental_Information_Constructure(F13)&amp;CHAR(10)&amp;Basic_Fundamental_Information_Concatenate("")</f>
        <v xml:space="preserve">
市值18.413254亿, 利润29.52亿; PE; 平均PE3.96; 平均PEG.1, PB4.04; ROIC3.13%; ROE-.9633%; 股利率0%; 毛利5.8933%; 净利-.62%; 上一年度营收增141.45%, 利润增3956.01%; 当季营收增-79.83%, 利润增-112.1%; 过往5年营收增41.36%, 利润增499.2%
Income profile:
</v>
      </c>
      <c r="D13" t="s">
        <v>26</v>
      </c>
      <c r="E13" t="s">
        <v>27</v>
      </c>
      <c r="F13">
        <v>1.86</v>
      </c>
      <c r="G13">
        <v>1.0900000000000001</v>
      </c>
      <c r="H13" t="s">
        <v>850</v>
      </c>
      <c r="I13">
        <v>1841325400</v>
      </c>
      <c r="K13">
        <v>4.04</v>
      </c>
      <c r="L13" t="s">
        <v>73</v>
      </c>
      <c r="M13" t="s">
        <v>851</v>
      </c>
      <c r="N13" t="s">
        <v>852</v>
      </c>
      <c r="O13" t="s">
        <v>390</v>
      </c>
      <c r="P13">
        <v>-31.24</v>
      </c>
      <c r="Q13" t="s">
        <v>853</v>
      </c>
      <c r="R13">
        <v>-97134098</v>
      </c>
      <c r="S13" s="6">
        <v>-2.7080000000000002</v>
      </c>
      <c r="T13" t="s">
        <v>854</v>
      </c>
      <c r="U13">
        <v>989959880</v>
      </c>
      <c r="V13">
        <v>989959880</v>
      </c>
      <c r="W13">
        <v>22.46</v>
      </c>
      <c r="X13">
        <v>0.15</v>
      </c>
      <c r="Y13">
        <v>-8.4700000000000006</v>
      </c>
      <c r="Z13" t="s">
        <v>855</v>
      </c>
      <c r="AA13" t="s">
        <v>856</v>
      </c>
      <c r="AB13" t="s">
        <v>857</v>
      </c>
      <c r="AC13" t="s">
        <v>858</v>
      </c>
      <c r="AD13" t="s">
        <v>72</v>
      </c>
      <c r="AE13">
        <v>47903527</v>
      </c>
      <c r="AF13" t="s">
        <v>859</v>
      </c>
      <c r="AG13" t="s">
        <v>860</v>
      </c>
      <c r="AH13" t="s">
        <v>861</v>
      </c>
      <c r="AI13" t="s">
        <v>638</v>
      </c>
      <c r="AJ13" t="s">
        <v>862</v>
      </c>
      <c r="AK13" t="s">
        <v>863</v>
      </c>
      <c r="AL13" t="s">
        <v>864</v>
      </c>
      <c r="AM13" t="s">
        <v>72</v>
      </c>
      <c r="AN13" t="s">
        <v>680</v>
      </c>
      <c r="AO13" t="s">
        <v>865</v>
      </c>
      <c r="AP13" t="s">
        <v>84</v>
      </c>
      <c r="AQ13" t="s">
        <v>866</v>
      </c>
      <c r="AR13" t="s">
        <v>72</v>
      </c>
      <c r="AS13" t="s">
        <v>867</v>
      </c>
      <c r="AT13" t="s">
        <v>382</v>
      </c>
      <c r="AU13" t="s">
        <v>868</v>
      </c>
      <c r="AV13" t="s">
        <v>869</v>
      </c>
      <c r="AW13" t="s">
        <v>870</v>
      </c>
      <c r="AX13" t="s">
        <v>871</v>
      </c>
      <c r="AY13" t="s">
        <v>306</v>
      </c>
      <c r="AZ13" t="s">
        <v>191</v>
      </c>
      <c r="BA13" t="s">
        <v>88</v>
      </c>
      <c r="BB13" t="s">
        <v>193</v>
      </c>
      <c r="BC13" t="s">
        <v>872</v>
      </c>
      <c r="BD13" t="s">
        <v>307</v>
      </c>
      <c r="BE13" t="s">
        <v>192</v>
      </c>
      <c r="BF13" t="s">
        <v>89</v>
      </c>
      <c r="BG13" t="s">
        <v>194</v>
      </c>
      <c r="BH13" t="s">
        <v>873</v>
      </c>
      <c r="BI13" t="s">
        <v>874</v>
      </c>
      <c r="BJ13" t="s">
        <v>871</v>
      </c>
      <c r="BK13" t="s">
        <v>875</v>
      </c>
      <c r="BL13" t="s">
        <v>876</v>
      </c>
      <c r="BM13" t="s">
        <v>872</v>
      </c>
      <c r="BN13">
        <v>1.54</v>
      </c>
      <c r="BO13" t="s">
        <v>72</v>
      </c>
      <c r="BP13">
        <v>4.72</v>
      </c>
      <c r="BQ13">
        <v>1.67</v>
      </c>
      <c r="BR13">
        <v>-12.36</v>
      </c>
      <c r="BS13">
        <v>7.8</v>
      </c>
      <c r="BT13" t="s">
        <v>495</v>
      </c>
      <c r="BU13" t="s">
        <v>364</v>
      </c>
      <c r="BV13">
        <v>5.85</v>
      </c>
      <c r="BW13">
        <v>5.21</v>
      </c>
      <c r="BX13">
        <v>6.62</v>
      </c>
      <c r="BY13">
        <v>-1.68</v>
      </c>
      <c r="BZ13">
        <v>-0.79</v>
      </c>
      <c r="CA13">
        <v>0.61</v>
      </c>
      <c r="CB13">
        <v>3.33</v>
      </c>
      <c r="CC13">
        <v>-14.68</v>
      </c>
      <c r="CD13" t="s">
        <v>877</v>
      </c>
      <c r="CE13" t="s">
        <v>878</v>
      </c>
      <c r="CF13" s="10">
        <v>-0.79831045406546985</v>
      </c>
      <c r="CG13" s="11">
        <v>-1.12096400747198</v>
      </c>
      <c r="CH13" s="10">
        <v>1.4145357608795166</v>
      </c>
      <c r="CI13" s="10">
        <v>-4.9872096627950668E-2</v>
      </c>
      <c r="CJ13" s="10">
        <v>0.23424960672855377</v>
      </c>
      <c r="CK13" s="10">
        <v>0.36892330646514893</v>
      </c>
      <c r="CL13" s="10">
        <v>0.10001979768276215</v>
      </c>
      <c r="CM13" s="11">
        <v>39.560108184814453</v>
      </c>
      <c r="CN13" s="11">
        <v>-2.3882083892822266</v>
      </c>
      <c r="CO13" s="11">
        <v>1.2472968101501465</v>
      </c>
      <c r="CP13" s="11">
        <v>-12.754473686218262</v>
      </c>
      <c r="CQ13" s="11">
        <v>-0.70481562614440918</v>
      </c>
      <c r="CR13">
        <v>3.9586577899379067</v>
      </c>
      <c r="CS13">
        <v>9.5718876744832135E-2</v>
      </c>
      <c r="CT13">
        <v>0</v>
      </c>
      <c r="CU13" s="10">
        <v>0.41357127502560614</v>
      </c>
      <c r="CV13" s="11">
        <v>4.9919814586639406</v>
      </c>
      <c r="CW13">
        <v>0.06</v>
      </c>
      <c r="CX13">
        <v>2.2944118442793133</v>
      </c>
      <c r="CY13">
        <v>3936662645.1656504</v>
      </c>
      <c r="CZ13">
        <v>0.41357127502560614</v>
      </c>
      <c r="DA13">
        <v>0.57624424474761149</v>
      </c>
      <c r="DB13">
        <v>15674473944.561577</v>
      </c>
      <c r="DC13">
        <v>0.39289271127432585</v>
      </c>
      <c r="DD13">
        <v>0.19267355142960196</v>
      </c>
      <c r="DE13">
        <v>46878906487.070091</v>
      </c>
      <c r="DF13">
        <v>0.36394272202253342</v>
      </c>
      <c r="DG13">
        <v>7.1304813658402605E-2</v>
      </c>
      <c r="DH13">
        <v>126672028669.35233</v>
      </c>
      <c r="DI13">
        <v>0.33085702002048495</v>
      </c>
      <c r="DJ13">
        <v>1.1026598165104713E-2</v>
      </c>
      <c r="DK13">
        <v>819139798581.22681</v>
      </c>
      <c r="DL13">
        <v>0.2894998925179243</v>
      </c>
      <c r="DM13">
        <v>2952000000</v>
      </c>
      <c r="DN13">
        <v>0.41357127502560614</v>
      </c>
      <c r="DO13">
        <v>9032325400</v>
      </c>
      <c r="DP13">
        <v>-3444823500.000001</v>
      </c>
      <c r="DQ13">
        <v>3156</v>
      </c>
      <c r="DR13">
        <v>-1.2118817290910759</v>
      </c>
      <c r="DS13">
        <v>-6.1129454661359208</v>
      </c>
      <c r="DT13" s="12">
        <v>0.14333333333333331</v>
      </c>
      <c r="DU13">
        <v>-1.8983333333333334</v>
      </c>
      <c r="DV13">
        <v>-1.7550000000000001</v>
      </c>
      <c r="DW13">
        <v>6.1848972792892836</v>
      </c>
      <c r="DX13">
        <v>0.35330190476190593</v>
      </c>
      <c r="DY13">
        <v>6.0227981867216629</v>
      </c>
      <c r="DZ13">
        <v>3908</v>
      </c>
      <c r="EA13">
        <v>6.0053627045869744</v>
      </c>
      <c r="EB13">
        <v>6</v>
      </c>
      <c r="EC13">
        <v>3.9234014210757714E-2</v>
      </c>
      <c r="ED13">
        <v>0.31819471310291886</v>
      </c>
      <c r="EE13" s="13">
        <v>1.0624100000000001</v>
      </c>
      <c r="EF13">
        <v>1.0878099999999999</v>
      </c>
      <c r="EG13">
        <v>23.123301904761906</v>
      </c>
      <c r="EH13" t="s">
        <v>550</v>
      </c>
      <c r="EI13">
        <v>0</v>
      </c>
      <c r="EJ13">
        <v>0</v>
      </c>
      <c r="EK13" s="9">
        <v>45470</v>
      </c>
      <c r="EL13" s="14">
        <v>-0.7</v>
      </c>
      <c r="EM13" s="14">
        <v>-1.05</v>
      </c>
      <c r="EN13" s="14">
        <v>-3.55</v>
      </c>
      <c r="EO13" s="14">
        <v>1.47</v>
      </c>
      <c r="EP13" s="14">
        <v>-2.54</v>
      </c>
    </row>
    <row r="14" spans="1:146" ht="84" x14ac:dyDescent="0.25">
      <c r="A14" s="7"/>
      <c r="B14" s="7"/>
      <c r="C14" s="7" t="str">
        <f>""&amp;CHAR(10)&amp;Basic_Fundamental_Information_Constructure(F14)&amp;CHAR(10)&amp;Basic_Fundamental_Information_Concatenate("")</f>
        <v xml:space="preserve">
市值63.117447亿, 利润-2.76亿; PE; 平均PE16.01; 平均PEG1.07, PB.973; ROIC10.24%; ROE13.0433%; 股利率0%; 毛利34.88%; 净利10.8333%; 上一年度营收增-90.1%, 利润增-117.76%; 当季营收增719.19%, 利润增-487.57%; 过往5年营收增-14.98%, 利润增-251.06%
Income profile:
</v>
      </c>
      <c r="D14" t="s">
        <v>33</v>
      </c>
      <c r="E14" t="s">
        <v>308</v>
      </c>
      <c r="F14">
        <v>2.64</v>
      </c>
      <c r="G14">
        <v>0.38</v>
      </c>
      <c r="H14" t="s">
        <v>879</v>
      </c>
      <c r="I14">
        <v>6311744700</v>
      </c>
      <c r="K14">
        <v>0.97299999999999998</v>
      </c>
      <c r="L14" t="s">
        <v>73</v>
      </c>
      <c r="M14" t="s">
        <v>880</v>
      </c>
      <c r="N14" t="s">
        <v>881</v>
      </c>
      <c r="O14" t="s">
        <v>882</v>
      </c>
      <c r="P14">
        <v>-29.66</v>
      </c>
      <c r="Q14" t="s">
        <v>883</v>
      </c>
      <c r="R14">
        <v>-270336420</v>
      </c>
      <c r="S14" s="6">
        <v>-1.859</v>
      </c>
      <c r="T14" t="s">
        <v>884</v>
      </c>
      <c r="U14">
        <v>2390812400</v>
      </c>
      <c r="V14">
        <v>2390812400</v>
      </c>
      <c r="W14">
        <v>2.91</v>
      </c>
      <c r="X14">
        <v>7.0000000000000007E-2</v>
      </c>
      <c r="Y14">
        <v>-18.739999999999998</v>
      </c>
      <c r="Z14" t="s">
        <v>885</v>
      </c>
      <c r="AA14" t="s">
        <v>886</v>
      </c>
      <c r="AB14" t="s">
        <v>887</v>
      </c>
      <c r="AC14" t="s">
        <v>680</v>
      </c>
      <c r="AD14" t="s">
        <v>72</v>
      </c>
      <c r="AE14">
        <v>55065392</v>
      </c>
      <c r="AF14" t="s">
        <v>888</v>
      </c>
      <c r="AG14" t="s">
        <v>889</v>
      </c>
      <c r="AH14" t="s">
        <v>890</v>
      </c>
      <c r="AI14" t="s">
        <v>891</v>
      </c>
      <c r="AJ14" t="s">
        <v>892</v>
      </c>
      <c r="AK14" t="s">
        <v>72</v>
      </c>
      <c r="AL14" t="s">
        <v>893</v>
      </c>
      <c r="AM14" t="s">
        <v>72</v>
      </c>
      <c r="AN14" t="s">
        <v>405</v>
      </c>
      <c r="AO14" t="s">
        <v>894</v>
      </c>
      <c r="AP14" t="s">
        <v>895</v>
      </c>
      <c r="AQ14" t="s">
        <v>896</v>
      </c>
      <c r="AR14" t="s">
        <v>72</v>
      </c>
      <c r="AS14" t="s">
        <v>897</v>
      </c>
      <c r="AT14" t="s">
        <v>898</v>
      </c>
      <c r="AU14" t="s">
        <v>899</v>
      </c>
      <c r="AV14" t="s">
        <v>556</v>
      </c>
      <c r="AW14" t="s">
        <v>900</v>
      </c>
      <c r="AX14" t="s">
        <v>901</v>
      </c>
      <c r="AY14" t="s">
        <v>309</v>
      </c>
      <c r="AZ14" t="s">
        <v>311</v>
      </c>
      <c r="BA14" t="s">
        <v>90</v>
      </c>
      <c r="BB14" t="s">
        <v>195</v>
      </c>
      <c r="BC14" t="s">
        <v>902</v>
      </c>
      <c r="BD14" t="s">
        <v>310</v>
      </c>
      <c r="BE14" t="s">
        <v>312</v>
      </c>
      <c r="BF14" t="s">
        <v>91</v>
      </c>
      <c r="BG14" t="s">
        <v>196</v>
      </c>
      <c r="BH14" t="s">
        <v>903</v>
      </c>
      <c r="BI14" t="s">
        <v>746</v>
      </c>
      <c r="BJ14" t="s">
        <v>901</v>
      </c>
      <c r="BK14" t="s">
        <v>904</v>
      </c>
      <c r="BL14" t="s">
        <v>905</v>
      </c>
      <c r="BM14" t="s">
        <v>902</v>
      </c>
      <c r="BN14">
        <v>4.3499999999999996</v>
      </c>
      <c r="BO14">
        <v>14.29</v>
      </c>
      <c r="BP14">
        <v>12.08</v>
      </c>
      <c r="BQ14">
        <v>2.4700000000000002</v>
      </c>
      <c r="BR14">
        <v>19.329999999999998</v>
      </c>
      <c r="BS14">
        <v>17.329999999999998</v>
      </c>
      <c r="BT14" t="s">
        <v>495</v>
      </c>
      <c r="BU14" t="s">
        <v>364</v>
      </c>
      <c r="BV14">
        <v>18.510000000000002</v>
      </c>
      <c r="BW14">
        <v>45.02</v>
      </c>
      <c r="BX14">
        <v>41.11</v>
      </c>
      <c r="BY14">
        <v>-6.86</v>
      </c>
      <c r="BZ14">
        <v>21.47</v>
      </c>
      <c r="CA14">
        <v>17.89</v>
      </c>
      <c r="CB14">
        <v>2.33</v>
      </c>
      <c r="CC14">
        <v>-15.38</v>
      </c>
      <c r="CD14" t="s">
        <v>906</v>
      </c>
      <c r="CE14" t="s">
        <v>907</v>
      </c>
      <c r="CF14" s="10">
        <v>7.191860465116279</v>
      </c>
      <c r="CG14" s="11">
        <v>-4.8757163256833973</v>
      </c>
      <c r="CH14" s="10">
        <v>-0.90103620290756226</v>
      </c>
      <c r="CI14" s="10">
        <v>8.5703469812870026E-2</v>
      </c>
      <c r="CJ14" s="10">
        <v>0.15895110368728638</v>
      </c>
      <c r="CK14" s="10">
        <v>0.15636113286018372</v>
      </c>
      <c r="CL14" s="10">
        <v>-0.24907773733139038</v>
      </c>
      <c r="CM14" s="11">
        <v>-1.1776062250137329</v>
      </c>
      <c r="CN14" s="11">
        <v>0.2055857926607132</v>
      </c>
      <c r="CO14" s="11">
        <v>2.3875133991241455</v>
      </c>
      <c r="CP14" s="11">
        <v>-13.086456298828125</v>
      </c>
      <c r="CQ14" s="11">
        <v>-0.88193100690841675</v>
      </c>
      <c r="CR14">
        <v>16.007042588985186</v>
      </c>
      <c r="CS14">
        <v>1.0684207934989634</v>
      </c>
      <c r="CT14">
        <v>0</v>
      </c>
      <c r="CU14" s="10">
        <v>-0.14981964677572251</v>
      </c>
      <c r="CV14" s="11">
        <v>-2.5105788677930834</v>
      </c>
      <c r="CW14">
        <v>0.06</v>
      </c>
      <c r="CX14" t="e">
        <v>#VALUE!</v>
      </c>
      <c r="CY14" t="s">
        <v>372</v>
      </c>
      <c r="CZ14">
        <v>-0.14981964677572251</v>
      </c>
      <c r="DA14" t="e">
        <v>#VALUE!</v>
      </c>
      <c r="DB14" t="s">
        <v>365</v>
      </c>
      <c r="DC14">
        <v>-0.14232866443693637</v>
      </c>
      <c r="DD14" t="e">
        <v>#VALUE!</v>
      </c>
      <c r="DE14" t="s">
        <v>365</v>
      </c>
      <c r="DF14">
        <v>-0.13184128916263582</v>
      </c>
      <c r="DG14" t="e">
        <v>#VALUE!</v>
      </c>
      <c r="DH14" t="s">
        <v>365</v>
      </c>
      <c r="DI14">
        <v>-0.11985571742057802</v>
      </c>
      <c r="DJ14" t="e">
        <v>#VALUE!</v>
      </c>
      <c r="DK14" t="s">
        <v>365</v>
      </c>
      <c r="DL14">
        <v>-0.10487375274300575</v>
      </c>
      <c r="DM14">
        <v>-276000000</v>
      </c>
      <c r="DN14">
        <v>-0.14981964677572251</v>
      </c>
      <c r="DO14">
        <v>12700744700</v>
      </c>
      <c r="DP14">
        <v>-6210038900</v>
      </c>
      <c r="DQ14">
        <v>3160</v>
      </c>
      <c r="DR14">
        <v>7.3416801118920016</v>
      </c>
      <c r="DS14">
        <v>-2.3651374578903139</v>
      </c>
      <c r="DT14" s="12">
        <v>-0.62333333333333341</v>
      </c>
      <c r="DU14">
        <v>-2.0083333333333333</v>
      </c>
      <c r="DV14">
        <v>-2.6316666666666668</v>
      </c>
      <c r="DW14">
        <v>-2.1537999999999999</v>
      </c>
      <c r="DX14">
        <v>0.28173166666666788</v>
      </c>
      <c r="DY14">
        <v>-2.0141083303333334</v>
      </c>
      <c r="DZ14">
        <v>1815</v>
      </c>
      <c r="EA14">
        <v>-2.0090972501855839</v>
      </c>
      <c r="EB14">
        <v>2</v>
      </c>
      <c r="EC14">
        <v>1.381262703840753E-2</v>
      </c>
      <c r="ED14">
        <v>0.1505764316765297</v>
      </c>
      <c r="EE14" s="13">
        <v>1.0887100000000001</v>
      </c>
      <c r="EF14">
        <v>1.11551</v>
      </c>
      <c r="EG14">
        <v>19.091731666666668</v>
      </c>
      <c r="EH14" t="s">
        <v>550</v>
      </c>
      <c r="EI14">
        <v>0</v>
      </c>
      <c r="EJ14">
        <v>0</v>
      </c>
      <c r="EK14" s="9">
        <v>45470</v>
      </c>
      <c r="EL14" s="14">
        <v>0.45</v>
      </c>
      <c r="EM14" s="14">
        <v>-0.45</v>
      </c>
      <c r="EN14" s="14">
        <v>-1.81</v>
      </c>
      <c r="EO14" s="14">
        <v>3.23</v>
      </c>
      <c r="EP14" s="14">
        <v>-2.68</v>
      </c>
    </row>
    <row r="15" spans="1:146" ht="84" x14ac:dyDescent="0.25">
      <c r="A15" s="7"/>
      <c r="B15" s="7"/>
      <c r="C15" s="7" t="str">
        <f>""&amp;CHAR(10)&amp;Basic_Fundamental_Information_Constructure(F15)&amp;CHAR(10)&amp;Basic_Fundamental_Information_Concatenate("")</f>
        <v xml:space="preserve">
市值16.20948亿, 利润5.66亿; PE; 平均PE4.5; 平均PEG.19, PB.94; ROIC10.11%; ROE-6.51%; 股利率0%; 毛利.9833%; 净利-2.3133%; 上一年度营收增72.65%, 利润增290.57%; 当季营收增-66.92%, 利润增-27.8%; 过往5年营收增23.71%, 利润增-.16%
Income profile:
</v>
      </c>
      <c r="D15" t="s">
        <v>57</v>
      </c>
      <c r="E15" t="s">
        <v>370</v>
      </c>
      <c r="F15">
        <v>1.61</v>
      </c>
      <c r="G15">
        <v>1.26</v>
      </c>
      <c r="H15" t="s">
        <v>908</v>
      </c>
      <c r="I15">
        <v>1620948000</v>
      </c>
      <c r="K15">
        <v>0.94</v>
      </c>
      <c r="L15" t="s">
        <v>73</v>
      </c>
      <c r="M15" t="s">
        <v>909</v>
      </c>
      <c r="N15" t="s">
        <v>910</v>
      </c>
      <c r="O15" t="s">
        <v>911</v>
      </c>
      <c r="P15">
        <v>-31.57</v>
      </c>
      <c r="Q15" t="s">
        <v>912</v>
      </c>
      <c r="R15">
        <v>-124371759</v>
      </c>
      <c r="S15" s="6">
        <v>-9.9500000000000005E-3</v>
      </c>
      <c r="T15" t="s">
        <v>419</v>
      </c>
      <c r="U15">
        <v>1006800000</v>
      </c>
      <c r="V15">
        <v>1006800000</v>
      </c>
      <c r="W15">
        <v>2.81</v>
      </c>
      <c r="X15">
        <v>0.37</v>
      </c>
      <c r="Y15">
        <v>-6.89</v>
      </c>
      <c r="Z15" t="s">
        <v>913</v>
      </c>
      <c r="AA15" t="s">
        <v>914</v>
      </c>
      <c r="AB15" t="s">
        <v>915</v>
      </c>
      <c r="AC15" t="s">
        <v>916</v>
      </c>
      <c r="AD15" t="s">
        <v>72</v>
      </c>
      <c r="AE15">
        <v>34023502</v>
      </c>
      <c r="AF15" t="s">
        <v>917</v>
      </c>
      <c r="AG15" t="s">
        <v>918</v>
      </c>
      <c r="AH15" t="s">
        <v>919</v>
      </c>
      <c r="AI15" t="s">
        <v>920</v>
      </c>
      <c r="AJ15" t="s">
        <v>921</v>
      </c>
      <c r="AK15" t="s">
        <v>72</v>
      </c>
      <c r="AL15" t="s">
        <v>922</v>
      </c>
      <c r="AM15" t="s">
        <v>72</v>
      </c>
      <c r="AN15" t="s">
        <v>923</v>
      </c>
      <c r="AO15" t="s">
        <v>79</v>
      </c>
      <c r="AP15" t="s">
        <v>924</v>
      </c>
      <c r="AQ15" t="s">
        <v>925</v>
      </c>
      <c r="AR15" t="s">
        <v>72</v>
      </c>
      <c r="AS15" t="s">
        <v>926</v>
      </c>
      <c r="AT15" t="s">
        <v>240</v>
      </c>
      <c r="AU15" t="s">
        <v>927</v>
      </c>
      <c r="AV15" t="s">
        <v>928</v>
      </c>
      <c r="AW15" t="s">
        <v>929</v>
      </c>
      <c r="AX15" t="s">
        <v>930</v>
      </c>
      <c r="AY15" t="s">
        <v>313</v>
      </c>
      <c r="AZ15" t="s">
        <v>197</v>
      </c>
      <c r="BA15" t="s">
        <v>92</v>
      </c>
      <c r="BB15" t="s">
        <v>199</v>
      </c>
      <c r="BC15" t="s">
        <v>931</v>
      </c>
      <c r="BD15" t="s">
        <v>314</v>
      </c>
      <c r="BE15" t="s">
        <v>198</v>
      </c>
      <c r="BF15" t="s">
        <v>93</v>
      </c>
      <c r="BG15" t="s">
        <v>159</v>
      </c>
      <c r="BH15" t="s">
        <v>932</v>
      </c>
      <c r="BI15" t="s">
        <v>933</v>
      </c>
      <c r="BJ15" t="s">
        <v>930</v>
      </c>
      <c r="BK15" t="s">
        <v>934</v>
      </c>
      <c r="BL15" t="s">
        <v>935</v>
      </c>
      <c r="BM15" t="s">
        <v>931</v>
      </c>
      <c r="BN15" t="s">
        <v>72</v>
      </c>
      <c r="BO15" t="s">
        <v>72</v>
      </c>
      <c r="BP15">
        <v>10.11</v>
      </c>
      <c r="BQ15">
        <v>-18.96</v>
      </c>
      <c r="BR15">
        <v>-11.14</v>
      </c>
      <c r="BS15">
        <v>10.57</v>
      </c>
      <c r="BT15" t="s">
        <v>495</v>
      </c>
      <c r="BU15" t="s">
        <v>366</v>
      </c>
      <c r="BV15">
        <v>-2.88</v>
      </c>
      <c r="BW15">
        <v>0.67</v>
      </c>
      <c r="BX15">
        <v>5.16</v>
      </c>
      <c r="BY15">
        <v>-6.78</v>
      </c>
      <c r="BZ15">
        <v>-2.34</v>
      </c>
      <c r="CA15">
        <v>2.1800000000000002</v>
      </c>
      <c r="CB15">
        <v>1.9</v>
      </c>
      <c r="CC15">
        <v>-16.149999999999999</v>
      </c>
      <c r="CD15" t="s">
        <v>936</v>
      </c>
      <c r="CE15" t="s">
        <v>79</v>
      </c>
      <c r="CF15" s="10">
        <v>-0.66917017768822129</v>
      </c>
      <c r="CG15" s="11">
        <v>-0.27799862512022494</v>
      </c>
      <c r="CH15" s="10">
        <v>0.72652798891067505</v>
      </c>
      <c r="CI15" s="10">
        <v>-2.2632764652371407E-2</v>
      </c>
      <c r="CJ15" s="10">
        <v>0.47781577706336975</v>
      </c>
      <c r="CK15" s="10">
        <v>-8.0832399427890778E-2</v>
      </c>
      <c r="CL15" s="10">
        <v>8.4732286632061005E-2</v>
      </c>
      <c r="CM15" s="11">
        <v>2.9057238101959229</v>
      </c>
      <c r="CN15" s="11">
        <v>-2.0494699478149414</v>
      </c>
      <c r="CO15" s="11">
        <v>-0.15015015006065369</v>
      </c>
      <c r="CP15" s="11">
        <v>-0.27133479714393616</v>
      </c>
      <c r="CQ15" s="11">
        <v>-0.44268292188644409</v>
      </c>
      <c r="CR15">
        <v>4.4984680851063832</v>
      </c>
      <c r="CS15">
        <v>0.18971098058569857</v>
      </c>
      <c r="CT15">
        <v>0</v>
      </c>
      <c r="CU15" s="10">
        <v>0.23712217770516872</v>
      </c>
      <c r="CV15" s="11">
        <v>-1.582801342010498E-3</v>
      </c>
      <c r="CW15">
        <v>0.06</v>
      </c>
      <c r="CX15">
        <v>4.5550329614758178</v>
      </c>
      <c r="CY15">
        <v>660576559.03879762</v>
      </c>
      <c r="CZ15">
        <v>0.23712217770516872</v>
      </c>
      <c r="DA15">
        <v>1.317025509472348</v>
      </c>
      <c r="DB15">
        <v>2284654304.991786</v>
      </c>
      <c r="DC15">
        <v>0.22526606881991026</v>
      </c>
      <c r="DD15">
        <v>0.54587175807115518</v>
      </c>
      <c r="DE15">
        <v>5512188449.9615002</v>
      </c>
      <c r="DF15">
        <v>0.20866751638054848</v>
      </c>
      <c r="DG15">
        <v>0.26685256865626877</v>
      </c>
      <c r="DH15">
        <v>11275694347.449989</v>
      </c>
      <c r="DI15">
        <v>0.18969774216413499</v>
      </c>
      <c r="DJ15">
        <v>8.4394319457035225E-2</v>
      </c>
      <c r="DK15">
        <v>35653442309.370621</v>
      </c>
      <c r="DL15">
        <v>0.16598552439361811</v>
      </c>
      <c r="DM15">
        <v>566000000</v>
      </c>
      <c r="DN15">
        <v>0.23712217770516872</v>
      </c>
      <c r="DO15">
        <v>3008948000</v>
      </c>
      <c r="DP15">
        <v>-1584996850</v>
      </c>
      <c r="DQ15">
        <v>3163</v>
      </c>
      <c r="DR15">
        <v>-0.90629235539339004</v>
      </c>
      <c r="DS15">
        <v>-0.27641582377821444</v>
      </c>
      <c r="DT15" s="12">
        <v>2.6666666666666616E-2</v>
      </c>
      <c r="DU15">
        <v>-1.4450000000000001</v>
      </c>
      <c r="DV15">
        <v>-1.4183333333333334</v>
      </c>
      <c r="DW15">
        <v>-3.0016964285714285</v>
      </c>
      <c r="DX15">
        <v>0.32548314176245075</v>
      </c>
      <c r="DY15">
        <v>-3.0002807303297754</v>
      </c>
      <c r="DZ15">
        <v>2175</v>
      </c>
      <c r="EA15">
        <v>-3.0001612413929335</v>
      </c>
      <c r="EB15">
        <v>3</v>
      </c>
      <c r="EC15">
        <v>4.2899384187524828E-2</v>
      </c>
      <c r="ED15">
        <v>0.2592371871275328</v>
      </c>
      <c r="EE15" s="13">
        <v>-2.0588099999999998</v>
      </c>
      <c r="EF15">
        <v>-2.06501</v>
      </c>
      <c r="EG15">
        <v>16.165483141762451</v>
      </c>
      <c r="EH15" t="s">
        <v>818</v>
      </c>
      <c r="EI15">
        <v>0</v>
      </c>
      <c r="EJ15">
        <v>0</v>
      </c>
      <c r="EK15" s="9">
        <v>45470</v>
      </c>
      <c r="EL15" s="14">
        <v>0.16</v>
      </c>
      <c r="EM15" s="14">
        <v>0.9</v>
      </c>
      <c r="EN15" s="14">
        <v>-1.86</v>
      </c>
      <c r="EO15" s="14">
        <v>0.12</v>
      </c>
      <c r="EP15" s="14">
        <v>-0.62</v>
      </c>
    </row>
    <row r="16" spans="1:146" ht="96" x14ac:dyDescent="0.25">
      <c r="A16" s="7"/>
      <c r="B16" s="7"/>
      <c r="C16" s="7" t="str">
        <f>""&amp;CHAR(10)&amp;Basic_Fundamental_Information_Constructure(F16)&amp;CHAR(10)&amp;Basic_Fundamental_Information_Concatenate("")</f>
        <v xml:space="preserve">
市值100.891433亿, 利润4.31亿; PE23.12; 平均PE13.61; 平均PEG1.54, PB.779; ROIC9.0567%; ROE9.8367%; 股利率2.937%; 毛利25.9267%; 净利8.8567%; 上一年度营收增-24.74%, 利润增-75.23%; 当季营收增6.03%, 利润增136.53%; 过往5年营收增8.81%, 利润增49.83%
Income profile:
</v>
      </c>
      <c r="D16" t="s">
        <v>39</v>
      </c>
      <c r="E16" t="s">
        <v>287</v>
      </c>
      <c r="F16">
        <v>13.96</v>
      </c>
      <c r="G16">
        <v>-1.1299999999999999</v>
      </c>
      <c r="H16" t="s">
        <v>937</v>
      </c>
      <c r="I16">
        <v>10089143300</v>
      </c>
      <c r="J16">
        <v>23.12</v>
      </c>
      <c r="K16">
        <v>0.77900000000000003</v>
      </c>
      <c r="L16" t="s">
        <v>73</v>
      </c>
      <c r="M16" t="s">
        <v>938</v>
      </c>
      <c r="N16" t="s">
        <v>939</v>
      </c>
      <c r="O16" t="s">
        <v>940</v>
      </c>
      <c r="P16">
        <v>-26.18</v>
      </c>
      <c r="Q16" t="s">
        <v>941</v>
      </c>
      <c r="R16">
        <v>302764650</v>
      </c>
      <c r="S16" s="6">
        <v>-0.63759999999999994</v>
      </c>
      <c r="T16" t="s">
        <v>513</v>
      </c>
      <c r="U16">
        <v>722718000</v>
      </c>
      <c r="V16">
        <v>722718000</v>
      </c>
      <c r="W16">
        <v>1.53</v>
      </c>
      <c r="X16">
        <v>0.12</v>
      </c>
      <c r="Y16">
        <v>12.9</v>
      </c>
      <c r="Z16" t="s">
        <v>942</v>
      </c>
      <c r="AA16" t="s">
        <v>943</v>
      </c>
      <c r="AB16" t="s">
        <v>944</v>
      </c>
      <c r="AC16" t="s">
        <v>383</v>
      </c>
      <c r="AD16" t="s">
        <v>72</v>
      </c>
      <c r="AE16">
        <v>17073286</v>
      </c>
      <c r="AF16" t="s">
        <v>80</v>
      </c>
      <c r="AG16" t="s">
        <v>945</v>
      </c>
      <c r="AH16" t="s">
        <v>946</v>
      </c>
      <c r="AI16" t="s">
        <v>947</v>
      </c>
      <c r="AJ16" t="s">
        <v>948</v>
      </c>
      <c r="AK16" t="s">
        <v>949</v>
      </c>
      <c r="AL16" t="s">
        <v>950</v>
      </c>
      <c r="AM16" t="s">
        <v>72</v>
      </c>
      <c r="AN16" t="s">
        <v>951</v>
      </c>
      <c r="AO16" t="s">
        <v>72</v>
      </c>
      <c r="AP16" t="s">
        <v>952</v>
      </c>
      <c r="AQ16" t="s">
        <v>953</v>
      </c>
      <c r="AR16" t="s">
        <v>72</v>
      </c>
      <c r="AS16" t="s">
        <v>954</v>
      </c>
      <c r="AT16" t="s">
        <v>955</v>
      </c>
      <c r="AU16" t="s">
        <v>956</v>
      </c>
      <c r="AV16" t="s">
        <v>957</v>
      </c>
      <c r="AW16" t="s">
        <v>958</v>
      </c>
      <c r="AX16" t="s">
        <v>959</v>
      </c>
      <c r="AY16" t="s">
        <v>315</v>
      </c>
      <c r="AZ16" t="s">
        <v>200</v>
      </c>
      <c r="BA16" t="s">
        <v>95</v>
      </c>
      <c r="BB16" t="s">
        <v>202</v>
      </c>
      <c r="BC16" t="s">
        <v>960</v>
      </c>
      <c r="BD16" t="s">
        <v>961</v>
      </c>
      <c r="BE16" t="s">
        <v>201</v>
      </c>
      <c r="BF16" t="s">
        <v>96</v>
      </c>
      <c r="BG16" t="s">
        <v>204</v>
      </c>
      <c r="BH16" t="s">
        <v>962</v>
      </c>
      <c r="BI16" t="s">
        <v>963</v>
      </c>
      <c r="BJ16" t="s">
        <v>959</v>
      </c>
      <c r="BK16" t="s">
        <v>964</v>
      </c>
      <c r="BL16" t="s">
        <v>965</v>
      </c>
      <c r="BM16" t="s">
        <v>960</v>
      </c>
      <c r="BN16">
        <v>9.7799999999999994</v>
      </c>
      <c r="BO16">
        <v>13.42</v>
      </c>
      <c r="BP16">
        <v>3.97</v>
      </c>
      <c r="BQ16">
        <v>10.55</v>
      </c>
      <c r="BR16">
        <v>15.37</v>
      </c>
      <c r="BS16">
        <v>3.59</v>
      </c>
      <c r="BT16" t="s">
        <v>966</v>
      </c>
      <c r="BU16" t="s">
        <v>364</v>
      </c>
      <c r="BV16">
        <v>22.57</v>
      </c>
      <c r="BW16">
        <v>34.53</v>
      </c>
      <c r="BX16">
        <v>20.68</v>
      </c>
      <c r="BY16">
        <v>8.91</v>
      </c>
      <c r="BZ16">
        <v>13.63</v>
      </c>
      <c r="CA16">
        <v>4.03</v>
      </c>
      <c r="CB16">
        <v>-1.34</v>
      </c>
      <c r="CC16">
        <v>-4.71</v>
      </c>
      <c r="CD16" t="s">
        <v>967</v>
      </c>
      <c r="CE16" t="s">
        <v>968</v>
      </c>
      <c r="CF16" s="10">
        <v>6.0329067641681902E-2</v>
      </c>
      <c r="CG16" s="11">
        <v>1.3653488281249999</v>
      </c>
      <c r="CH16" s="10">
        <v>-0.24742761254310608</v>
      </c>
      <c r="CI16" s="10">
        <v>0.24399369955062866</v>
      </c>
      <c r="CJ16" s="10">
        <v>0.32688790559768677</v>
      </c>
      <c r="CK16" s="10">
        <v>4.0666488930583E-3</v>
      </c>
      <c r="CL16" s="10">
        <v>0.11300922185182571</v>
      </c>
      <c r="CM16" s="11">
        <v>-0.75229883193969727</v>
      </c>
      <c r="CN16" s="11">
        <v>3.6524064540863037</v>
      </c>
      <c r="CO16" s="11">
        <v>-0.44011977314949036</v>
      </c>
      <c r="CP16" s="11">
        <v>0.16173912584781647</v>
      </c>
      <c r="CQ16" s="11">
        <v>-0.13010589778423309</v>
      </c>
      <c r="CR16">
        <v>13.606396898179366</v>
      </c>
      <c r="CS16">
        <v>1.5443217395872921</v>
      </c>
      <c r="CT16">
        <v>2.9369627507163321</v>
      </c>
      <c r="CU16" s="10">
        <v>8.810597267001867E-2</v>
      </c>
      <c r="CV16" s="11">
        <v>0.49832421541213989</v>
      </c>
      <c r="CW16">
        <v>0.06</v>
      </c>
      <c r="CX16">
        <v>10.072019300120289</v>
      </c>
      <c r="CY16">
        <v>442427994.54790372</v>
      </c>
      <c r="CZ16">
        <v>8.810597267001867E-2</v>
      </c>
      <c r="DA16">
        <v>3.2967262278354532</v>
      </c>
      <c r="DB16">
        <v>1351687398.9642115</v>
      </c>
      <c r="DC16">
        <v>8.3700674036517736E-2</v>
      </c>
      <c r="DD16">
        <v>1.6263848568964374</v>
      </c>
      <c r="DE16">
        <v>2739907028.2193065</v>
      </c>
      <c r="DF16">
        <v>7.7533255949616436E-2</v>
      </c>
      <c r="DG16">
        <v>0.97903420992800283</v>
      </c>
      <c r="DH16">
        <v>4551570573.1342115</v>
      </c>
      <c r="DI16">
        <v>7.0484778136014933E-2</v>
      </c>
      <c r="DJ16">
        <v>0.50843717826505896</v>
      </c>
      <c r="DK16">
        <v>8764393105.9599247</v>
      </c>
      <c r="DL16">
        <v>6.1674180869013065E-2</v>
      </c>
      <c r="DM16">
        <v>430999999.99999994</v>
      </c>
      <c r="DN16">
        <v>8.810597267001867E-2</v>
      </c>
      <c r="DO16">
        <v>4456143300</v>
      </c>
      <c r="DP16">
        <v>1379739200</v>
      </c>
      <c r="DQ16">
        <v>3228</v>
      </c>
      <c r="DR16">
        <v>-2.7776905028336768E-2</v>
      </c>
      <c r="DS16">
        <v>0.86702461271286002</v>
      </c>
      <c r="DT16" s="12">
        <v>-0.32333333333333331</v>
      </c>
      <c r="DU16">
        <v>0.18666666666666662</v>
      </c>
      <c r="DV16">
        <v>-0.13666666666666669</v>
      </c>
      <c r="DW16">
        <v>-1.0470999999999999</v>
      </c>
      <c r="DX16">
        <v>0.31359184782608623</v>
      </c>
      <c r="DY16">
        <v>-1.0053501760326087</v>
      </c>
      <c r="DZ16">
        <v>3416</v>
      </c>
      <c r="EA16">
        <v>-1.001773619999851</v>
      </c>
      <c r="EB16">
        <v>1</v>
      </c>
      <c r="EC16">
        <v>2.8919855323929943E-2</v>
      </c>
      <c r="ED16">
        <v>0.25459446146353071</v>
      </c>
      <c r="EE16" s="13">
        <v>1.0100000000000009E-3</v>
      </c>
      <c r="EF16">
        <v>1.9010000000000003E-2</v>
      </c>
      <c r="EG16">
        <v>20.113591847826086</v>
      </c>
      <c r="EH16">
        <v>-1</v>
      </c>
      <c r="EI16">
        <v>0</v>
      </c>
      <c r="EJ16">
        <v>0</v>
      </c>
      <c r="EK16" s="9">
        <v>45470</v>
      </c>
      <c r="EL16" s="14">
        <v>-0.26</v>
      </c>
      <c r="EM16" s="14">
        <v>-1.53</v>
      </c>
      <c r="EN16" s="14">
        <v>-0.26</v>
      </c>
      <c r="EO16" s="14">
        <v>1.04</v>
      </c>
      <c r="EP16" s="14">
        <v>-1.8</v>
      </c>
    </row>
    <row r="17" spans="1:146" ht="96" x14ac:dyDescent="0.25">
      <c r="A17" s="7"/>
      <c r="B17" s="7"/>
      <c r="C17" s="7" t="str">
        <f>""&amp;CHAR(10)&amp;Basic_Fundamental_Information_Constructure(F17)&amp;CHAR(10)&amp;Basic_Fundamental_Information_Concatenate("")</f>
        <v xml:space="preserve">
市值282.30175亿, 利润23.28亿; PE9; 平均PE10.32; 平均PEG.98, PB1.73; ROIC32.14%; ROE40.5933%; 股利率4.5646%; 毛利40.6067%; 净利19.3833%; 上一年度营收增27.76%, 利润增-66.4%; 当季营收增-51.47%, 利润增32.85%; 过往5年营收增10.55%, 利润增174.94%
Income profile:
</v>
      </c>
      <c r="D17" t="s">
        <v>31</v>
      </c>
      <c r="E17" t="s">
        <v>13</v>
      </c>
      <c r="F17">
        <v>14.24</v>
      </c>
      <c r="G17">
        <v>-0.42</v>
      </c>
      <c r="H17" t="s">
        <v>969</v>
      </c>
      <c r="I17">
        <v>28230175000</v>
      </c>
      <c r="J17">
        <v>9</v>
      </c>
      <c r="K17">
        <v>1.73</v>
      </c>
      <c r="L17" t="s">
        <v>73</v>
      </c>
      <c r="M17" t="s">
        <v>970</v>
      </c>
      <c r="N17" t="s">
        <v>971</v>
      </c>
      <c r="O17" t="s">
        <v>972</v>
      </c>
      <c r="P17">
        <v>-40.31</v>
      </c>
      <c r="Q17" t="s">
        <v>973</v>
      </c>
      <c r="R17">
        <v>583216920</v>
      </c>
      <c r="S17" s="6">
        <v>-0.65810000000000002</v>
      </c>
      <c r="T17" t="s">
        <v>974</v>
      </c>
      <c r="U17">
        <v>1982456100</v>
      </c>
      <c r="V17">
        <v>1982456100</v>
      </c>
      <c r="W17">
        <v>2.02</v>
      </c>
      <c r="X17">
        <v>0.15</v>
      </c>
      <c r="Y17">
        <v>13.46</v>
      </c>
      <c r="Z17" t="s">
        <v>975</v>
      </c>
      <c r="AA17" t="s">
        <v>976</v>
      </c>
      <c r="AB17" t="s">
        <v>977</v>
      </c>
      <c r="AC17" t="s">
        <v>978</v>
      </c>
      <c r="AD17" t="s">
        <v>72</v>
      </c>
      <c r="AE17">
        <v>45014431</v>
      </c>
      <c r="AF17" t="s">
        <v>979</v>
      </c>
      <c r="AG17" t="s">
        <v>980</v>
      </c>
      <c r="AH17" t="s">
        <v>981</v>
      </c>
      <c r="AI17" t="s">
        <v>982</v>
      </c>
      <c r="AJ17" t="s">
        <v>983</v>
      </c>
      <c r="AK17" t="s">
        <v>72</v>
      </c>
      <c r="AL17" t="s">
        <v>984</v>
      </c>
      <c r="AM17" t="s">
        <v>72</v>
      </c>
      <c r="AN17" t="s">
        <v>985</v>
      </c>
      <c r="AO17" t="s">
        <v>388</v>
      </c>
      <c r="AP17" t="s">
        <v>332</v>
      </c>
      <c r="AQ17" t="s">
        <v>986</v>
      </c>
      <c r="AR17" t="s">
        <v>987</v>
      </c>
      <c r="AS17" t="s">
        <v>988</v>
      </c>
      <c r="AT17" t="s">
        <v>989</v>
      </c>
      <c r="AU17" t="s">
        <v>990</v>
      </c>
      <c r="AV17" t="s">
        <v>991</v>
      </c>
      <c r="AW17" t="s">
        <v>992</v>
      </c>
      <c r="AX17" t="s">
        <v>993</v>
      </c>
      <c r="AY17" t="s">
        <v>316</v>
      </c>
      <c r="AZ17" t="s">
        <v>205</v>
      </c>
      <c r="BA17" t="s">
        <v>97</v>
      </c>
      <c r="BB17" t="s">
        <v>207</v>
      </c>
      <c r="BC17" t="s">
        <v>994</v>
      </c>
      <c r="BD17" t="s">
        <v>317</v>
      </c>
      <c r="BE17" t="s">
        <v>206</v>
      </c>
      <c r="BF17" t="s">
        <v>98</v>
      </c>
      <c r="BG17" t="s">
        <v>208</v>
      </c>
      <c r="BH17" t="s">
        <v>995</v>
      </c>
      <c r="BI17" t="s">
        <v>996</v>
      </c>
      <c r="BJ17" t="s">
        <v>993</v>
      </c>
      <c r="BK17" t="s">
        <v>997</v>
      </c>
      <c r="BL17" t="s">
        <v>998</v>
      </c>
      <c r="BM17" t="s">
        <v>994</v>
      </c>
      <c r="BN17">
        <v>23.77</v>
      </c>
      <c r="BO17">
        <v>42.51</v>
      </c>
      <c r="BP17">
        <v>30.14</v>
      </c>
      <c r="BQ17">
        <v>26.09</v>
      </c>
      <c r="BR17">
        <v>52.07</v>
      </c>
      <c r="BS17">
        <v>43.62</v>
      </c>
      <c r="BT17" t="s">
        <v>999</v>
      </c>
      <c r="BU17" t="s">
        <v>364</v>
      </c>
      <c r="BV17">
        <v>39.119999999999997</v>
      </c>
      <c r="BW17">
        <v>44.84</v>
      </c>
      <c r="BX17">
        <v>37.86</v>
      </c>
      <c r="BY17">
        <v>18.190000000000001</v>
      </c>
      <c r="BZ17">
        <v>23.7</v>
      </c>
      <c r="CA17">
        <v>16.260000000000002</v>
      </c>
      <c r="CB17">
        <v>-2.6</v>
      </c>
      <c r="CC17">
        <v>-7.35</v>
      </c>
      <c r="CD17" t="s">
        <v>1000</v>
      </c>
      <c r="CE17" t="s">
        <v>397</v>
      </c>
      <c r="CF17" s="10">
        <v>-0.51473507405710783</v>
      </c>
      <c r="CG17" s="11">
        <v>0.32851234624145803</v>
      </c>
      <c r="CH17" s="10">
        <v>0.27764371037483215</v>
      </c>
      <c r="CI17" s="10">
        <v>-3.4544516354799271E-2</v>
      </c>
      <c r="CJ17" s="10">
        <v>0.3566146194934845</v>
      </c>
      <c r="CK17" s="10">
        <v>-5.9351589530706406E-2</v>
      </c>
      <c r="CL17" s="10">
        <v>-1.274148840457201E-2</v>
      </c>
      <c r="CM17" s="11">
        <v>-0.66402077674865723</v>
      </c>
      <c r="CN17" s="11">
        <v>0.403199702501297</v>
      </c>
      <c r="CO17" s="11">
        <v>4.9709792137145996</v>
      </c>
      <c r="CP17" s="11">
        <v>-0.29497012495994568</v>
      </c>
      <c r="CQ17" s="11">
        <v>4.3318181037902832</v>
      </c>
      <c r="CR17">
        <v>10.318674992385013</v>
      </c>
      <c r="CS17">
        <v>0.97784964621191373</v>
      </c>
      <c r="CT17">
        <v>4.5646067415730336</v>
      </c>
      <c r="CU17" s="10">
        <v>0.1055241471156478</v>
      </c>
      <c r="CV17" s="11">
        <v>1.7494012236595153</v>
      </c>
      <c r="CW17">
        <v>0.06</v>
      </c>
      <c r="CX17">
        <v>11.058229575069399</v>
      </c>
      <c r="CY17">
        <v>2427981334.4200263</v>
      </c>
      <c r="CZ17">
        <v>0.1055241471156478</v>
      </c>
      <c r="DA17">
        <v>3.566615485458092</v>
      </c>
      <c r="DB17">
        <v>7527914099.3668184</v>
      </c>
      <c r="DC17">
        <v>0.1002479397598654</v>
      </c>
      <c r="DD17">
        <v>1.7250412284848651</v>
      </c>
      <c r="DE17">
        <v>15564367133.174038</v>
      </c>
      <c r="DF17">
        <v>9.286124946177006E-2</v>
      </c>
      <c r="DG17">
        <v>1.0153516745814626</v>
      </c>
      <c r="DH17">
        <v>26443227181.427044</v>
      </c>
      <c r="DI17">
        <v>8.4419317692518245E-2</v>
      </c>
      <c r="DJ17">
        <v>0.50168460402234361</v>
      </c>
      <c r="DK17">
        <v>53518036600.549568</v>
      </c>
      <c r="DL17">
        <v>7.3866902980953456E-2</v>
      </c>
      <c r="DM17">
        <v>2328000000</v>
      </c>
      <c r="DN17">
        <v>0.1055241471156478</v>
      </c>
      <c r="DO17">
        <v>26849175000</v>
      </c>
      <c r="DP17">
        <v>525023600</v>
      </c>
      <c r="DQ17">
        <v>3259</v>
      </c>
      <c r="DR17">
        <v>-0.62025922117275567</v>
      </c>
      <c r="DS17">
        <v>-1.4208888774180573</v>
      </c>
      <c r="DT17" s="12">
        <v>-0.14000000000000001</v>
      </c>
      <c r="DU17">
        <v>0.76983333333333326</v>
      </c>
      <c r="DV17">
        <v>0.62983333333333325</v>
      </c>
      <c r="DW17">
        <v>-8.353741496598639</v>
      </c>
      <c r="DX17">
        <v>0.26299864467766187</v>
      </c>
      <c r="DY17">
        <v>-8.0364348947159066</v>
      </c>
      <c r="DZ17">
        <v>4264</v>
      </c>
      <c r="EA17">
        <v>-8.0060320784598158</v>
      </c>
      <c r="EB17">
        <v>8</v>
      </c>
      <c r="EC17">
        <v>3.4654033448710417E-2</v>
      </c>
      <c r="ED17">
        <v>0.33645133428175283</v>
      </c>
      <c r="EE17" s="13">
        <v>-3.03511</v>
      </c>
      <c r="EF17">
        <v>-3.0564100000000001</v>
      </c>
      <c r="EG17">
        <v>16.102998644677662</v>
      </c>
      <c r="EH17" t="s">
        <v>1001</v>
      </c>
      <c r="EI17">
        <v>0</v>
      </c>
      <c r="EJ17">
        <v>0</v>
      </c>
      <c r="EK17" s="9">
        <v>45470</v>
      </c>
      <c r="EL17" s="14">
        <v>0</v>
      </c>
      <c r="EM17" s="14">
        <v>-6.34</v>
      </c>
      <c r="EN17" s="14">
        <v>0.75</v>
      </c>
      <c r="EO17" s="14">
        <v>5.22</v>
      </c>
      <c r="EP17" s="14">
        <v>-2.13</v>
      </c>
    </row>
    <row r="18" spans="1:146" ht="84" x14ac:dyDescent="0.25">
      <c r="C18" s="7" t="str">
        <f>""&amp;CHAR(10)&amp;Basic_Fundamental_Information_Constructure(F18)&amp;CHAR(10)&amp;Basic_Fundamental_Information_Concatenate("")</f>
        <v xml:space="preserve">
市值162.10039亿, 利润1.01亿; PE95.84; 平均PE-26.78; 平均PEG-10.72, PB4.07; ROIC3.23%; ROE-41.64%; 股利率0%; 毛利7.32%; 净利-8.0833%; 上一年度营收增-73.54%, 利润增109.94%; 当季营收增384.09%, 利润增26902.94%; 过往5年营收增2.5%, 利润增-267.73%
Income profile:
</v>
      </c>
      <c r="D18" t="s">
        <v>499</v>
      </c>
      <c r="E18" t="s">
        <v>1002</v>
      </c>
      <c r="F18">
        <v>2.0499999999999998</v>
      </c>
      <c r="G18">
        <v>1.49</v>
      </c>
      <c r="H18" t="s">
        <v>1003</v>
      </c>
      <c r="I18">
        <v>16210039000</v>
      </c>
      <c r="J18">
        <v>95.84</v>
      </c>
      <c r="K18">
        <v>4.07</v>
      </c>
      <c r="L18" t="s">
        <v>73</v>
      </c>
      <c r="M18" t="s">
        <v>1004</v>
      </c>
      <c r="N18" t="s">
        <v>1005</v>
      </c>
      <c r="O18" t="s">
        <v>1006</v>
      </c>
      <c r="P18" s="6">
        <v>-7.49</v>
      </c>
      <c r="Q18" t="s">
        <v>1007</v>
      </c>
      <c r="R18">
        <v>422353000</v>
      </c>
      <c r="S18">
        <v>1.603</v>
      </c>
      <c r="T18" t="s">
        <v>381</v>
      </c>
      <c r="U18">
        <v>1927887800</v>
      </c>
      <c r="V18">
        <v>7907336200</v>
      </c>
      <c r="W18">
        <v>4.17</v>
      </c>
      <c r="X18">
        <v>0.18</v>
      </c>
      <c r="Y18">
        <v>13.17</v>
      </c>
      <c r="Z18" t="s">
        <v>1008</v>
      </c>
      <c r="AA18" t="s">
        <v>1009</v>
      </c>
      <c r="AB18" t="s">
        <v>1010</v>
      </c>
      <c r="AC18" t="s">
        <v>1011</v>
      </c>
      <c r="AD18" t="s">
        <v>72</v>
      </c>
      <c r="AE18">
        <v>166285960</v>
      </c>
      <c r="AF18" t="s">
        <v>1012</v>
      </c>
      <c r="AG18" t="s">
        <v>1013</v>
      </c>
      <c r="AH18" t="s">
        <v>1014</v>
      </c>
      <c r="AI18" t="s">
        <v>1015</v>
      </c>
      <c r="AJ18" t="s">
        <v>1016</v>
      </c>
      <c r="AK18" t="s">
        <v>72</v>
      </c>
      <c r="AL18" t="s">
        <v>1017</v>
      </c>
      <c r="AM18" t="s">
        <v>72</v>
      </c>
      <c r="AN18" t="s">
        <v>1018</v>
      </c>
      <c r="AO18" t="s">
        <v>1019</v>
      </c>
      <c r="AP18" t="s">
        <v>1020</v>
      </c>
      <c r="AQ18" t="s">
        <v>1021</v>
      </c>
      <c r="AR18" t="s">
        <v>1022</v>
      </c>
      <c r="AS18" t="s">
        <v>253</v>
      </c>
      <c r="AT18" t="s">
        <v>1023</v>
      </c>
      <c r="AU18" t="s">
        <v>1024</v>
      </c>
      <c r="AV18" t="s">
        <v>1025</v>
      </c>
      <c r="AW18" t="s">
        <v>1026</v>
      </c>
      <c r="AX18" t="s">
        <v>1027</v>
      </c>
      <c r="AY18" t="s">
        <v>1028</v>
      </c>
      <c r="AZ18" t="s">
        <v>501</v>
      </c>
      <c r="BA18" t="s">
        <v>502</v>
      </c>
      <c r="BB18" t="s">
        <v>503</v>
      </c>
      <c r="BC18" t="s">
        <v>1029</v>
      </c>
      <c r="BD18" t="s">
        <v>1030</v>
      </c>
      <c r="BE18" t="s">
        <v>504</v>
      </c>
      <c r="BF18" t="s">
        <v>505</v>
      </c>
      <c r="BG18" t="s">
        <v>506</v>
      </c>
      <c r="BH18" t="s">
        <v>1031</v>
      </c>
      <c r="BI18" t="s">
        <v>1032</v>
      </c>
      <c r="BJ18" t="s">
        <v>1027</v>
      </c>
      <c r="BK18" t="s">
        <v>1033</v>
      </c>
      <c r="BL18" t="s">
        <v>1034</v>
      </c>
      <c r="BM18" t="s">
        <v>1029</v>
      </c>
      <c r="BN18">
        <v>4.2</v>
      </c>
      <c r="BO18">
        <v>2.2599999999999998</v>
      </c>
      <c r="BP18" t="s">
        <v>72</v>
      </c>
      <c r="BQ18">
        <v>-1.87</v>
      </c>
      <c r="BR18">
        <v>-81.41</v>
      </c>
      <c r="BS18" t="s">
        <v>72</v>
      </c>
      <c r="BT18" t="s">
        <v>495</v>
      </c>
      <c r="BU18" t="s">
        <v>364</v>
      </c>
      <c r="BV18">
        <v>18.03</v>
      </c>
      <c r="BW18">
        <v>20.32</v>
      </c>
      <c r="BX18">
        <v>-16.39</v>
      </c>
      <c r="BY18">
        <v>5.55</v>
      </c>
      <c r="BZ18">
        <v>2.08</v>
      </c>
      <c r="CA18">
        <v>-31.88</v>
      </c>
      <c r="CB18">
        <v>3.02</v>
      </c>
      <c r="CC18" s="1">
        <v>-6.82</v>
      </c>
      <c r="CD18" s="1" t="s">
        <v>1035</v>
      </c>
      <c r="CE18" s="1" t="s">
        <v>1036</v>
      </c>
      <c r="CF18" s="10">
        <v>3.8408679927667269</v>
      </c>
      <c r="CG18" s="11">
        <v>269.02940988427849</v>
      </c>
      <c r="CH18" s="10">
        <v>-0.73544526100158691</v>
      </c>
      <c r="CI18" s="10">
        <v>-2.2727171890437603E-3</v>
      </c>
      <c r="CJ18" s="10">
        <v>0.77302974462509155</v>
      </c>
      <c r="CK18" s="10">
        <v>-1.4499510638415813E-2</v>
      </c>
      <c r="CL18" s="10">
        <v>0.10410938411951065</v>
      </c>
      <c r="CM18" s="11">
        <v>1.0994093418121338</v>
      </c>
      <c r="CN18" s="11">
        <v>-9.9567100405693054E-2</v>
      </c>
      <c r="CO18" s="11">
        <v>0.16531169414520264</v>
      </c>
      <c r="CP18" s="11">
        <v>-15.650570869445801</v>
      </c>
      <c r="CQ18" s="11">
        <v>1.0991603136062622</v>
      </c>
      <c r="CR18" s="1">
        <v>-26.775456540257046</v>
      </c>
      <c r="CS18" s="1">
        <v>-10.71690083413757</v>
      </c>
      <c r="CT18" s="1">
        <v>0</v>
      </c>
      <c r="CU18" s="10">
        <v>2.4984327983111142E-2</v>
      </c>
      <c r="CV18" s="11">
        <v>-2.677251324057579</v>
      </c>
      <c r="CW18">
        <v>0.06</v>
      </c>
      <c r="CX18">
        <v>328.2086534928531</v>
      </c>
      <c r="CY18">
        <v>97663601.062541738</v>
      </c>
      <c r="CZ18">
        <v>2.4984327983111142E-2</v>
      </c>
      <c r="DA18">
        <v>113.37081152534908</v>
      </c>
      <c r="DB18">
        <v>282736257.84916335</v>
      </c>
      <c r="DC18">
        <v>2.3735111583955585E-2</v>
      </c>
      <c r="DD18">
        <v>59.989970287551294</v>
      </c>
      <c r="DE18">
        <v>534323301.8178646</v>
      </c>
      <c r="DF18">
        <v>2.1986208625137806E-2</v>
      </c>
      <c r="DG18">
        <v>38.978301987065528</v>
      </c>
      <c r="DH18">
        <v>822355961.28935373</v>
      </c>
      <c r="DI18">
        <v>1.9987462386488915E-2</v>
      </c>
      <c r="DJ18">
        <v>23.722010058483672</v>
      </c>
      <c r="DK18">
        <v>1351236211.4751129</v>
      </c>
      <c r="DL18">
        <v>1.7489029588177798E-2</v>
      </c>
      <c r="DM18">
        <v>101000000</v>
      </c>
      <c r="DN18">
        <v>2.4984327983111142E-2</v>
      </c>
      <c r="DO18">
        <v>32054039000</v>
      </c>
      <c r="DP18">
        <v>-4488990400</v>
      </c>
      <c r="DQ18" s="12">
        <v>3410</v>
      </c>
      <c r="DR18">
        <v>3.8158836647836156</v>
      </c>
      <c r="DS18">
        <v>271.70666120833607</v>
      </c>
      <c r="DT18">
        <v>-0.50666666666666671</v>
      </c>
      <c r="DU18">
        <v>-1.2566666666666666</v>
      </c>
      <c r="DV18">
        <v>-1.7633333333333332</v>
      </c>
      <c r="DW18">
        <v>6.3069105691056908</v>
      </c>
      <c r="DX18">
        <v>0.30827139303482665</v>
      </c>
      <c r="DY18">
        <v>6.0270914234720703</v>
      </c>
      <c r="DZ18">
        <v>3587</v>
      </c>
      <c r="EA18">
        <v>6.0080744105573309</v>
      </c>
      <c r="EB18" s="13">
        <v>6</v>
      </c>
      <c r="EC18" s="13">
        <v>8.9752349217173798E-3</v>
      </c>
      <c r="ED18">
        <v>0.10167773061173242</v>
      </c>
      <c r="EE18">
        <v>3.0790099999999998</v>
      </c>
      <c r="EF18">
        <v>3.0884100000000001</v>
      </c>
      <c r="EG18">
        <v>22.088271393034827</v>
      </c>
      <c r="EH18" s="9" t="s">
        <v>581</v>
      </c>
      <c r="EI18" s="14">
        <v>0</v>
      </c>
      <c r="EJ18" s="14">
        <v>0</v>
      </c>
      <c r="EK18" s="14">
        <v>45470</v>
      </c>
      <c r="EL18" s="14">
        <v>-4.99</v>
      </c>
      <c r="EM18" s="14">
        <v>-0.31</v>
      </c>
      <c r="EN18" s="14">
        <v>-2.79</v>
      </c>
      <c r="EO18" s="14">
        <v>1.59</v>
      </c>
      <c r="EP18" s="14">
        <v>-0.94</v>
      </c>
    </row>
    <row r="19" spans="1:146" ht="156" x14ac:dyDescent="0.25">
      <c r="A19" s="7"/>
      <c r="B19" s="7"/>
      <c r="C19" s="7" t="str">
        <f>"公司的主营业务为焦炭及相关化工产品的生产和销售，主要产品有焦炭、甲醇、纯苯、硬质炭黑、炭黑油2号、液体改质沥青、软质炭黑、焦化甲苯、工业萘、蒽油、重苯、焦化二甲苯等。"&amp;CHAR(10)&amp;Basic_Fundamental_Information_Constructure(F19)&amp;CHAR(10)&amp;Basic_Fundamental_Information_Concatenate("焦炭 87.43亿 77.88% 60.44% 5.14%
甲醇 5.01亿 4.46% 9.84% 14.60%
纯苯 5.00亿 4.45% 14.93% 22.21%
炭黑 4.36亿 3.88% 9.41% 16.05%
改质液体沥青 2.39亿 2.13% 2.68% 8.33%")</f>
        <v>公司的主营业务为焦炭及相关化工产品的生产和销售，主要产品有焦炭、甲醇、纯苯、硬质炭黑、炭黑油2号、液体改质沥青、软质炭黑、焦化甲苯、工业萘、蒽油、重苯、焦化二甲苯等。
市值100.947573亿, 利润72.14亿; PE17.45; 平均PE4.28; 平均PEG.02, PB.661; ROIC9.93%; ROE12.9633%; 股利率1.269%; 毛利-1.9167%; 净利15%; 上一年度营收增1296.22%, 利润增179.4%; 当季营收增-95.05%, 利润增-95.41%; 过往5年营收增272.13%, 利润增72.31%
Income profile:
焦炭 87.43亿 77.88% 60.44% 5.14%
甲醇 5.01亿 4.46% 9.84% 14.60%
纯苯 5.00亿 4.45% 14.93% 22.21%
炭黑 4.36亿 3.88% 9.41% 16.05%
改质液体沥青 2.39亿 2.13% 2.68% 8.33%</v>
      </c>
      <c r="D19" t="s">
        <v>49</v>
      </c>
      <c r="E19" t="s">
        <v>16</v>
      </c>
      <c r="F19">
        <v>3.94</v>
      </c>
      <c r="G19">
        <v>0.51</v>
      </c>
      <c r="H19" t="s">
        <v>1037</v>
      </c>
      <c r="I19">
        <v>10094757300</v>
      </c>
      <c r="J19">
        <v>17.45</v>
      </c>
      <c r="K19">
        <v>0.66100000000000003</v>
      </c>
      <c r="L19" t="s">
        <v>73</v>
      </c>
      <c r="M19" t="s">
        <v>1038</v>
      </c>
      <c r="N19" t="s">
        <v>1039</v>
      </c>
      <c r="O19" t="s">
        <v>1040</v>
      </c>
      <c r="P19">
        <v>-26.18</v>
      </c>
      <c r="Q19" t="s">
        <v>1041</v>
      </c>
      <c r="R19">
        <v>65824767</v>
      </c>
      <c r="S19" s="6">
        <v>-0.91369999999999996</v>
      </c>
      <c r="T19" t="s">
        <v>1042</v>
      </c>
      <c r="U19">
        <v>2562121200</v>
      </c>
      <c r="V19">
        <v>2562121200</v>
      </c>
      <c r="W19">
        <v>1.67</v>
      </c>
      <c r="X19">
        <v>7.0000000000000007E-2</v>
      </c>
      <c r="Y19">
        <v>3.56</v>
      </c>
      <c r="Z19" t="s">
        <v>1043</v>
      </c>
      <c r="AA19" t="s">
        <v>1044</v>
      </c>
      <c r="AB19" t="s">
        <v>1045</v>
      </c>
      <c r="AC19" t="s">
        <v>1046</v>
      </c>
      <c r="AD19" t="s">
        <v>72</v>
      </c>
      <c r="AE19">
        <v>71476984</v>
      </c>
      <c r="AF19" t="s">
        <v>1047</v>
      </c>
      <c r="AG19" t="s">
        <v>1048</v>
      </c>
      <c r="AH19" t="s">
        <v>1049</v>
      </c>
      <c r="AI19" t="s">
        <v>1050</v>
      </c>
      <c r="AJ19" t="s">
        <v>1051</v>
      </c>
      <c r="AK19" t="s">
        <v>72</v>
      </c>
      <c r="AL19" t="s">
        <v>1052</v>
      </c>
      <c r="AM19" t="s">
        <v>72</v>
      </c>
      <c r="AN19" t="s">
        <v>226</v>
      </c>
      <c r="AO19" t="s">
        <v>1053</v>
      </c>
      <c r="AP19" t="s">
        <v>1054</v>
      </c>
      <c r="AQ19" t="s">
        <v>1055</v>
      </c>
      <c r="AR19" t="s">
        <v>1056</v>
      </c>
      <c r="AS19" t="s">
        <v>1057</v>
      </c>
      <c r="AT19" t="s">
        <v>1058</v>
      </c>
      <c r="AU19" t="s">
        <v>1059</v>
      </c>
      <c r="AV19" t="s">
        <v>415</v>
      </c>
      <c r="AW19" t="s">
        <v>164</v>
      </c>
      <c r="AX19" t="s">
        <v>1060</v>
      </c>
      <c r="AY19" t="s">
        <v>318</v>
      </c>
      <c r="AZ19" t="s">
        <v>210</v>
      </c>
      <c r="BA19" t="s">
        <v>99</v>
      </c>
      <c r="BB19" t="s">
        <v>212</v>
      </c>
      <c r="BC19" t="s">
        <v>1061</v>
      </c>
      <c r="BD19" t="s">
        <v>319</v>
      </c>
      <c r="BE19" t="s">
        <v>211</v>
      </c>
      <c r="BF19" t="s">
        <v>100</v>
      </c>
      <c r="BG19" t="s">
        <v>213</v>
      </c>
      <c r="BH19" t="s">
        <v>1062</v>
      </c>
      <c r="BI19" t="s">
        <v>1063</v>
      </c>
      <c r="BJ19" t="s">
        <v>1060</v>
      </c>
      <c r="BK19" t="s">
        <v>1064</v>
      </c>
      <c r="BL19" t="s">
        <v>1065</v>
      </c>
      <c r="BM19" t="s">
        <v>1061</v>
      </c>
      <c r="BN19">
        <v>6.76</v>
      </c>
      <c r="BO19">
        <v>15.29</v>
      </c>
      <c r="BP19">
        <v>7.74</v>
      </c>
      <c r="BQ19">
        <v>8.6199999999999992</v>
      </c>
      <c r="BR19">
        <v>19.440000000000001</v>
      </c>
      <c r="BS19">
        <v>10.83</v>
      </c>
      <c r="BT19" t="s">
        <v>494</v>
      </c>
      <c r="BU19" t="s">
        <v>366</v>
      </c>
      <c r="BV19">
        <v>-10.93</v>
      </c>
      <c r="BW19">
        <v>-1.44</v>
      </c>
      <c r="BX19">
        <v>6.62</v>
      </c>
      <c r="BY19">
        <v>14.5</v>
      </c>
      <c r="BZ19">
        <v>21.31</v>
      </c>
      <c r="CA19">
        <v>9.19</v>
      </c>
      <c r="CB19">
        <v>0.51</v>
      </c>
      <c r="CC19">
        <v>-11.66</v>
      </c>
      <c r="CD19" t="s">
        <v>1066</v>
      </c>
      <c r="CE19" t="s">
        <v>1067</v>
      </c>
      <c r="CF19" s="10">
        <v>-0.9505364661143556</v>
      </c>
      <c r="CG19" s="11">
        <v>-0.95409709414225941</v>
      </c>
      <c r="CH19" s="10">
        <v>12.962236404418945</v>
      </c>
      <c r="CI19" s="10">
        <v>7.5532197952270508E-2</v>
      </c>
      <c r="CJ19" s="10">
        <v>0.58104485273361206</v>
      </c>
      <c r="CK19" s="10">
        <v>6.9105736911296844E-2</v>
      </c>
      <c r="CL19" s="10">
        <v>-8.1200763583183289E-2</v>
      </c>
      <c r="CM19" s="11">
        <v>1.7939580678939819</v>
      </c>
      <c r="CN19" s="11">
        <v>1.0492064952850342</v>
      </c>
      <c r="CO19" s="11">
        <v>0.14858712255954742</v>
      </c>
      <c r="CP19" s="11">
        <v>1.3143458366394043</v>
      </c>
      <c r="CQ19" s="11">
        <v>-0.69080233573913574</v>
      </c>
      <c r="CR19">
        <v>4.2774395338983053</v>
      </c>
      <c r="CS19">
        <v>1.5718115857237334E-2</v>
      </c>
      <c r="CT19">
        <v>1.2690355329949239</v>
      </c>
      <c r="CU19" s="10">
        <v>2.7213436856865885</v>
      </c>
      <c r="CV19" s="11">
        <v>0.72305903732776644</v>
      </c>
      <c r="CW19">
        <v>0.06</v>
      </c>
      <c r="CX19">
        <v>0.16736648557914779</v>
      </c>
      <c r="CY19">
        <v>25326201272.210423</v>
      </c>
      <c r="CZ19">
        <v>2.7213436856865885</v>
      </c>
      <c r="DA19">
        <v>1.097917100872999E-2</v>
      </c>
      <c r="DB19">
        <v>386072618472.70526</v>
      </c>
      <c r="DC19">
        <v>2.5852765014022587</v>
      </c>
      <c r="DD19">
        <v>3.7485478648099192E-4</v>
      </c>
      <c r="DE19">
        <v>11307731561312.045</v>
      </c>
      <c r="DF19">
        <v>2.394782443404198</v>
      </c>
      <c r="DG19">
        <v>6.692103665721024E-6</v>
      </c>
      <c r="DH19">
        <v>633396837785432.87</v>
      </c>
      <c r="DI19">
        <v>2.1770749485492709</v>
      </c>
      <c r="DJ19">
        <v>6.5355144724259594E-10</v>
      </c>
      <c r="DK19">
        <v>6.4857285801810616E+18</v>
      </c>
      <c r="DL19">
        <v>1.9049405799806118</v>
      </c>
      <c r="DM19">
        <v>7214000000</v>
      </c>
      <c r="DN19">
        <v>2.7213436856865885</v>
      </c>
      <c r="DO19">
        <v>4238757300</v>
      </c>
      <c r="DP19">
        <v>-5010222000.000001</v>
      </c>
      <c r="DQ19">
        <v>3424</v>
      </c>
      <c r="DR19">
        <v>-3.6718801518009441</v>
      </c>
      <c r="DS19">
        <v>-1.6771561314700258</v>
      </c>
      <c r="DT19" s="12">
        <v>-6.6666666666666714E-3</v>
      </c>
      <c r="DU19">
        <v>0.22666666666666666</v>
      </c>
      <c r="DV19">
        <v>0.21999999999999997</v>
      </c>
      <c r="DW19">
        <v>-2.1166</v>
      </c>
      <c r="DX19">
        <v>0.31787094972067181</v>
      </c>
      <c r="DY19">
        <v>-2.01374375273743</v>
      </c>
      <c r="DZ19">
        <v>4003</v>
      </c>
      <c r="EA19">
        <v>-2.0029773648298113</v>
      </c>
      <c r="EB19">
        <v>2</v>
      </c>
      <c r="EC19">
        <v>1.6469868794653428E-2</v>
      </c>
      <c r="ED19">
        <v>0.13972797227547237</v>
      </c>
      <c r="EE19" s="13">
        <v>9.4410000000000008E-2</v>
      </c>
      <c r="EF19">
        <v>0.11280999999999999</v>
      </c>
      <c r="EG19">
        <v>20.117870949720672</v>
      </c>
      <c r="EH19">
        <v>-1</v>
      </c>
      <c r="EI19">
        <v>0</v>
      </c>
      <c r="EJ19">
        <v>0</v>
      </c>
      <c r="EK19" s="9">
        <v>45470</v>
      </c>
      <c r="EL19" s="14">
        <v>-0.11</v>
      </c>
      <c r="EM19" s="14">
        <v>-2.72</v>
      </c>
      <c r="EN19" s="14">
        <v>-1.05</v>
      </c>
      <c r="EO19" s="14">
        <v>2.59</v>
      </c>
      <c r="EP19" s="14">
        <v>-1.84</v>
      </c>
    </row>
    <row r="20" spans="1:146" ht="96" x14ac:dyDescent="0.25">
      <c r="A20" s="7"/>
      <c r="B20" s="7"/>
      <c r="C20" s="7" t="str">
        <f>""&amp;CHAR(10)&amp;Basic_Fundamental_Information_Constructure(F20)&amp;CHAR(10)&amp;Basic_Fundamental_Information_Concatenate("")</f>
        <v xml:space="preserve">
市值38.602908亿, 利润12.70亿; PE; 平均PE19.9; 平均PEG1.58, PB.717; ROIC1.3267%; ROE1.8067%; 股利率0%; 毛利22.1167%; 净利1.26%; 上一年度营收增-58.82%, 利润增551.28%; 当季营收增190.94%, 利润增428.18%; 过往5年营收增-12.57%, 利润增-133.78%
Income profile:
</v>
      </c>
      <c r="D20" t="s">
        <v>29</v>
      </c>
      <c r="E20" t="s">
        <v>101</v>
      </c>
      <c r="F20">
        <v>2.92</v>
      </c>
      <c r="G20">
        <v>0.34</v>
      </c>
      <c r="H20" t="s">
        <v>1068</v>
      </c>
      <c r="I20">
        <v>3860290800</v>
      </c>
      <c r="K20">
        <v>0.71699999999999997</v>
      </c>
      <c r="L20" t="s">
        <v>73</v>
      </c>
      <c r="M20" t="s">
        <v>336</v>
      </c>
      <c r="N20" t="s">
        <v>1069</v>
      </c>
      <c r="O20" t="s">
        <v>1070</v>
      </c>
      <c r="P20">
        <v>-20.260000000000002</v>
      </c>
      <c r="Q20" t="s">
        <v>115</v>
      </c>
      <c r="R20">
        <v>82533784</v>
      </c>
      <c r="S20" s="6">
        <v>-0.71250000000000002</v>
      </c>
      <c r="T20" t="s">
        <v>269</v>
      </c>
      <c r="U20">
        <v>1320743390</v>
      </c>
      <c r="V20">
        <v>1322017390</v>
      </c>
      <c r="W20">
        <v>2.46</v>
      </c>
      <c r="X20">
        <v>0.12</v>
      </c>
      <c r="Y20">
        <v>5.23</v>
      </c>
      <c r="Z20" t="s">
        <v>1071</v>
      </c>
      <c r="AA20" t="s">
        <v>1072</v>
      </c>
      <c r="AB20" t="s">
        <v>1073</v>
      </c>
      <c r="AC20" t="s">
        <v>1074</v>
      </c>
      <c r="AD20" t="s">
        <v>72</v>
      </c>
      <c r="AE20">
        <v>32366865</v>
      </c>
      <c r="AF20" t="s">
        <v>1075</v>
      </c>
      <c r="AG20" t="s">
        <v>1076</v>
      </c>
      <c r="AH20" t="s">
        <v>1077</v>
      </c>
      <c r="AI20" t="s">
        <v>1078</v>
      </c>
      <c r="AJ20" t="s">
        <v>1079</v>
      </c>
      <c r="AK20" t="s">
        <v>1080</v>
      </c>
      <c r="AL20" t="s">
        <v>1081</v>
      </c>
      <c r="AM20" t="s">
        <v>72</v>
      </c>
      <c r="AN20" t="s">
        <v>1082</v>
      </c>
      <c r="AO20" t="s">
        <v>1083</v>
      </c>
      <c r="AP20" t="s">
        <v>1084</v>
      </c>
      <c r="AQ20" t="s">
        <v>1085</v>
      </c>
      <c r="AR20" t="s">
        <v>1086</v>
      </c>
      <c r="AS20" t="s">
        <v>1087</v>
      </c>
      <c r="AT20" t="s">
        <v>72</v>
      </c>
      <c r="AU20" t="s">
        <v>1088</v>
      </c>
      <c r="AV20" t="s">
        <v>1089</v>
      </c>
      <c r="AW20" t="s">
        <v>968</v>
      </c>
      <c r="AX20" t="s">
        <v>1090</v>
      </c>
      <c r="AY20" t="s">
        <v>320</v>
      </c>
      <c r="AZ20" t="s">
        <v>129</v>
      </c>
      <c r="BA20" t="s">
        <v>102</v>
      </c>
      <c r="BB20" t="s">
        <v>216</v>
      </c>
      <c r="BC20" t="s">
        <v>1091</v>
      </c>
      <c r="BD20" t="s">
        <v>321</v>
      </c>
      <c r="BE20" t="s">
        <v>214</v>
      </c>
      <c r="BF20" t="s">
        <v>103</v>
      </c>
      <c r="BG20" t="s">
        <v>74</v>
      </c>
      <c r="BH20" t="s">
        <v>1092</v>
      </c>
      <c r="BI20" t="s">
        <v>401</v>
      </c>
      <c r="BJ20" t="s">
        <v>1090</v>
      </c>
      <c r="BK20" t="s">
        <v>1093</v>
      </c>
      <c r="BL20" t="s">
        <v>1094</v>
      </c>
      <c r="BM20" t="s">
        <v>1091</v>
      </c>
      <c r="BN20">
        <v>0.96</v>
      </c>
      <c r="BO20">
        <v>2.52</v>
      </c>
      <c r="BP20">
        <v>0.5</v>
      </c>
      <c r="BQ20">
        <v>1.18</v>
      </c>
      <c r="BR20">
        <v>3.71</v>
      </c>
      <c r="BS20">
        <v>0.53</v>
      </c>
      <c r="BT20" t="s">
        <v>495</v>
      </c>
      <c r="BU20" t="s">
        <v>364</v>
      </c>
      <c r="BV20">
        <v>18.52</v>
      </c>
      <c r="BW20">
        <v>26.09</v>
      </c>
      <c r="BX20">
        <v>21.74</v>
      </c>
      <c r="BY20">
        <v>0.42</v>
      </c>
      <c r="BZ20">
        <v>2.92</v>
      </c>
      <c r="CA20">
        <v>0.44</v>
      </c>
      <c r="CB20">
        <v>2.1</v>
      </c>
      <c r="CC20">
        <v>-12.57</v>
      </c>
      <c r="CD20" t="s">
        <v>1095</v>
      </c>
      <c r="CE20" t="s">
        <v>1096</v>
      </c>
      <c r="CF20" s="10">
        <v>1.9094269870609981</v>
      </c>
      <c r="CG20" s="11">
        <v>4.281804929837886</v>
      </c>
      <c r="CH20" s="10">
        <v>-0.58815526962280273</v>
      </c>
      <c r="CI20" s="10">
        <v>0.11901944875717163</v>
      </c>
      <c r="CJ20" s="10">
        <v>0.17012853920459747</v>
      </c>
      <c r="CK20" s="10">
        <v>-0.24439460039138794</v>
      </c>
      <c r="CL20" s="10">
        <v>-8.5065662860870361E-2</v>
      </c>
      <c r="CM20" s="11">
        <v>5.5128207206726074</v>
      </c>
      <c r="CN20" s="11">
        <v>6.3246865272521973</v>
      </c>
      <c r="CO20" s="11">
        <v>1.0570070743560791</v>
      </c>
      <c r="CP20" s="11">
        <v>-18.815654754638672</v>
      </c>
      <c r="CQ20" s="11">
        <v>-0.76802748441696167</v>
      </c>
      <c r="CR20">
        <v>19.90122381588046</v>
      </c>
      <c r="CS20">
        <v>1.5833135678172674</v>
      </c>
      <c r="CT20">
        <v>0</v>
      </c>
      <c r="CU20" s="10">
        <v>-0.12569350898265838</v>
      </c>
      <c r="CV20" s="11">
        <v>-1.33783358335495</v>
      </c>
      <c r="CW20">
        <v>0.06</v>
      </c>
      <c r="CX20">
        <v>5.3899927559055119</v>
      </c>
      <c r="CY20" t="s">
        <v>1097</v>
      </c>
      <c r="CZ20">
        <v>-0.12569350898265838</v>
      </c>
      <c r="DA20">
        <v>1.7966642519685039</v>
      </c>
      <c r="DB20" t="s">
        <v>1098</v>
      </c>
      <c r="DC20">
        <v>-0.11940883353352545</v>
      </c>
      <c r="DD20">
        <v>0.89833212598425194</v>
      </c>
      <c r="DE20" t="s">
        <v>1099</v>
      </c>
      <c r="DF20">
        <v>-0.11061028790473938</v>
      </c>
      <c r="DG20">
        <v>0.53899927559055116</v>
      </c>
      <c r="DH20" t="s">
        <v>1100</v>
      </c>
      <c r="DI20">
        <v>-0.10055480718612671</v>
      </c>
      <c r="DJ20">
        <v>0.26949963779527558</v>
      </c>
      <c r="DK20" t="s">
        <v>1101</v>
      </c>
      <c r="DL20">
        <v>-8.7985456287860864E-2</v>
      </c>
      <c r="DM20">
        <v>1270000000</v>
      </c>
      <c r="DN20">
        <v>-0.12569350898265838</v>
      </c>
      <c r="DO20">
        <v>6845290800</v>
      </c>
      <c r="DP20">
        <v>-2896646800</v>
      </c>
      <c r="DQ20">
        <v>3440</v>
      </c>
      <c r="DR20">
        <v>2.0351204960436564</v>
      </c>
      <c r="DS20">
        <v>5.6196385131928359</v>
      </c>
      <c r="DT20" s="12">
        <v>-0.59</v>
      </c>
      <c r="DU20">
        <v>-0.37333333333333329</v>
      </c>
      <c r="DV20">
        <v>-0.96333333333333326</v>
      </c>
      <c r="DW20">
        <v>-2.1257000000000001</v>
      </c>
      <c r="DX20">
        <v>0.28031900584795355</v>
      </c>
      <c r="DY20">
        <v>-2.0151240990350878</v>
      </c>
      <c r="DZ20">
        <v>3031</v>
      </c>
      <c r="EA20">
        <v>-2.0061532293334534</v>
      </c>
      <c r="EB20">
        <v>2</v>
      </c>
      <c r="EC20">
        <v>3.1125989953884041E-2</v>
      </c>
      <c r="ED20">
        <v>0.2586955380367576</v>
      </c>
      <c r="EE20" s="13">
        <v>1.07501</v>
      </c>
      <c r="EF20">
        <v>1.09731</v>
      </c>
      <c r="EG20">
        <v>16.120319005847954</v>
      </c>
      <c r="EH20" t="s">
        <v>550</v>
      </c>
      <c r="EI20">
        <v>0</v>
      </c>
      <c r="EJ20">
        <v>0</v>
      </c>
      <c r="EK20" s="9">
        <v>45470</v>
      </c>
      <c r="EL20" s="14">
        <v>0.38</v>
      </c>
      <c r="EM20" s="14">
        <v>-3.77</v>
      </c>
      <c r="EN20" s="14">
        <v>1.96</v>
      </c>
      <c r="EO20" s="14">
        <v>3.46</v>
      </c>
      <c r="EP20" s="14">
        <v>-2.23</v>
      </c>
    </row>
    <row r="21" spans="1:146" ht="84" x14ac:dyDescent="0.25">
      <c r="A21" s="7"/>
      <c r="B21" s="7"/>
      <c r="C21" s="7" t="str">
        <f>""&amp;CHAR(10)&amp;Basic_Fundamental_Information_Constructure(F21)&amp;CHAR(10)&amp;Basic_Fundamental_Information_Concatenate("")</f>
        <v xml:space="preserve">
市值36.738471亿, 利润-7812.19万; PE92.48; 平均PE109.02; 平均PEG14.94, PB1.01; ROIC.25%; ROE.2333%; 股利率2.0846%; 毛利3.4167%; 净利-.2133%; 上一年度营收增-77.84%, 利润增56.84%; 当季营收增269.11%, 利润增-2009.91%; 过往5年营收增-7.3%, 利润增-130.58%
Income profile:
</v>
      </c>
      <c r="D21" t="s">
        <v>40</v>
      </c>
      <c r="E21" t="s">
        <v>5</v>
      </c>
      <c r="F21">
        <v>3.31</v>
      </c>
      <c r="G21">
        <v>1.85</v>
      </c>
      <c r="H21" t="s">
        <v>1102</v>
      </c>
      <c r="I21">
        <v>3673847100</v>
      </c>
      <c r="J21">
        <v>92.48</v>
      </c>
      <c r="K21">
        <v>1.01</v>
      </c>
      <c r="L21" t="s">
        <v>73</v>
      </c>
      <c r="M21" t="s">
        <v>1103</v>
      </c>
      <c r="N21" t="s">
        <v>1104</v>
      </c>
      <c r="O21" t="s">
        <v>1105</v>
      </c>
      <c r="P21">
        <v>-1.2</v>
      </c>
      <c r="Q21" t="s">
        <v>1106</v>
      </c>
      <c r="R21">
        <v>-122879575</v>
      </c>
      <c r="S21" s="6">
        <v>-6.8810000000000002</v>
      </c>
      <c r="T21" t="s">
        <v>1107</v>
      </c>
      <c r="U21">
        <v>989923600</v>
      </c>
      <c r="V21">
        <v>1109923600</v>
      </c>
      <c r="W21">
        <v>3.3</v>
      </c>
      <c r="X21">
        <v>0.18</v>
      </c>
      <c r="Y21">
        <v>-6.56</v>
      </c>
      <c r="Z21" t="s">
        <v>1108</v>
      </c>
      <c r="AA21" t="s">
        <v>413</v>
      </c>
      <c r="AB21" t="s">
        <v>1109</v>
      </c>
      <c r="AC21" t="s">
        <v>1110</v>
      </c>
      <c r="AD21" t="s">
        <v>72</v>
      </c>
      <c r="AE21">
        <v>39343152</v>
      </c>
      <c r="AF21" t="s">
        <v>1111</v>
      </c>
      <c r="AG21" t="s">
        <v>1112</v>
      </c>
      <c r="AH21" t="s">
        <v>1113</v>
      </c>
      <c r="AI21" t="s">
        <v>1114</v>
      </c>
      <c r="AJ21" t="s">
        <v>1115</v>
      </c>
      <c r="AK21" t="s">
        <v>1116</v>
      </c>
      <c r="AL21" t="s">
        <v>1117</v>
      </c>
      <c r="AM21" t="s">
        <v>72</v>
      </c>
      <c r="AN21" t="s">
        <v>1118</v>
      </c>
      <c r="AO21" t="s">
        <v>1119</v>
      </c>
      <c r="AP21" t="s">
        <v>1120</v>
      </c>
      <c r="AQ21" t="s">
        <v>1121</v>
      </c>
      <c r="AR21" t="s">
        <v>1122</v>
      </c>
      <c r="AS21" t="s">
        <v>1123</v>
      </c>
      <c r="AT21" t="s">
        <v>1124</v>
      </c>
      <c r="AU21" t="s">
        <v>381</v>
      </c>
      <c r="AV21" t="s">
        <v>1125</v>
      </c>
      <c r="AW21" t="s">
        <v>1126</v>
      </c>
      <c r="AX21" t="s">
        <v>1127</v>
      </c>
      <c r="AY21" t="s">
        <v>323</v>
      </c>
      <c r="AZ21" t="s">
        <v>217</v>
      </c>
      <c r="BA21" t="s">
        <v>105</v>
      </c>
      <c r="BB21" t="s">
        <v>220</v>
      </c>
      <c r="BC21" t="s">
        <v>1128</v>
      </c>
      <c r="BD21" t="s">
        <v>324</v>
      </c>
      <c r="BE21" t="s">
        <v>218</v>
      </c>
      <c r="BF21" t="s">
        <v>106</v>
      </c>
      <c r="BG21" t="s">
        <v>222</v>
      </c>
      <c r="BH21" t="s">
        <v>1129</v>
      </c>
      <c r="BI21" t="s">
        <v>290</v>
      </c>
      <c r="BJ21" t="s">
        <v>1127</v>
      </c>
      <c r="BK21" t="s">
        <v>1130</v>
      </c>
      <c r="BL21" t="s">
        <v>1131</v>
      </c>
      <c r="BM21" t="s">
        <v>1128</v>
      </c>
      <c r="BN21">
        <v>4.8499999999999996</v>
      </c>
      <c r="BO21" t="s">
        <v>72</v>
      </c>
      <c r="BP21">
        <v>-4.3499999999999996</v>
      </c>
      <c r="BQ21">
        <v>7.11</v>
      </c>
      <c r="BR21">
        <v>-5.53</v>
      </c>
      <c r="BS21">
        <v>-0.88</v>
      </c>
      <c r="BT21" t="s">
        <v>1132</v>
      </c>
      <c r="BU21" t="s">
        <v>366</v>
      </c>
      <c r="BV21">
        <v>2.56</v>
      </c>
      <c r="BW21">
        <v>2.6</v>
      </c>
      <c r="BX21">
        <v>5.09</v>
      </c>
      <c r="BY21">
        <v>2.02</v>
      </c>
      <c r="BZ21">
        <v>-2.3199999999999998</v>
      </c>
      <c r="CA21">
        <v>-0.34</v>
      </c>
      <c r="CB21">
        <v>0.61</v>
      </c>
      <c r="CC21">
        <v>-9.09</v>
      </c>
      <c r="CD21" t="s">
        <v>1133</v>
      </c>
      <c r="CE21" t="s">
        <v>106</v>
      </c>
      <c r="CF21" s="10">
        <v>2.6910891089108913</v>
      </c>
      <c r="CG21" s="11">
        <v>-20.099066648015171</v>
      </c>
      <c r="CH21" s="10">
        <v>-0.77841132879257202</v>
      </c>
      <c r="CI21" s="10">
        <v>0.23602686822414398</v>
      </c>
      <c r="CJ21" s="10">
        <v>0.29258477687835693</v>
      </c>
      <c r="CK21" s="10">
        <v>-0.17568986117839813</v>
      </c>
      <c r="CL21" s="10">
        <v>6.056678295135498E-2</v>
      </c>
      <c r="CM21" s="11">
        <v>0.56838726997375488</v>
      </c>
      <c r="CN21" s="11">
        <v>-5.0898265838623047</v>
      </c>
      <c r="CO21" s="11">
        <v>-1.5034761428833008</v>
      </c>
      <c r="CP21" s="11">
        <v>-0.75402921438217163</v>
      </c>
      <c r="CQ21" s="11">
        <v>0.25</v>
      </c>
      <c r="CR21">
        <v>109.02194971645397</v>
      </c>
      <c r="CS21">
        <v>14.937674638834446</v>
      </c>
      <c r="CT21">
        <v>2.0845921450151055</v>
      </c>
      <c r="CU21" s="10">
        <v>-7.2984552383422857E-2</v>
      </c>
      <c r="CV21" s="11">
        <v>-1.3057889342308044</v>
      </c>
      <c r="CW21">
        <v>0.06</v>
      </c>
      <c r="CX21" t="e">
        <v>#VALUE!</v>
      </c>
      <c r="CY21" t="s">
        <v>372</v>
      </c>
      <c r="CZ21">
        <v>-7.2984552383422857E-2</v>
      </c>
      <c r="DA21" t="e">
        <v>#VALUE!</v>
      </c>
      <c r="DB21" t="s">
        <v>365</v>
      </c>
      <c r="DC21">
        <v>-6.9335324764251707E-2</v>
      </c>
      <c r="DD21" t="e">
        <v>#VALUE!</v>
      </c>
      <c r="DE21" t="s">
        <v>365</v>
      </c>
      <c r="DF21">
        <v>-6.422640609741212E-2</v>
      </c>
      <c r="DG21" t="e">
        <v>#VALUE!</v>
      </c>
      <c r="DH21" t="s">
        <v>365</v>
      </c>
      <c r="DI21">
        <v>-5.8387641906738286E-2</v>
      </c>
      <c r="DJ21" t="e">
        <v>#VALUE!</v>
      </c>
      <c r="DK21" t="s">
        <v>365</v>
      </c>
      <c r="DL21">
        <v>-5.1089186668396E-2</v>
      </c>
      <c r="DM21">
        <v>-78121900</v>
      </c>
      <c r="DN21">
        <v>-7.2984552383422857E-2</v>
      </c>
      <c r="DO21">
        <v>6858847100</v>
      </c>
      <c r="DP21">
        <v>-645839100</v>
      </c>
      <c r="DQ21">
        <v>3467</v>
      </c>
      <c r="DR21">
        <v>2.7640736612943142</v>
      </c>
      <c r="DS21">
        <v>-18.793277713784367</v>
      </c>
      <c r="DT21" s="12">
        <v>-0.60666666666666669</v>
      </c>
      <c r="DU21">
        <v>-2.6816666666666666</v>
      </c>
      <c r="DV21">
        <v>-3.2883333333333331</v>
      </c>
      <c r="DW21">
        <v>-2.0909</v>
      </c>
      <c r="DX21">
        <v>0.29247416666666509</v>
      </c>
      <c r="DY21">
        <v>-2.0102239017499999</v>
      </c>
      <c r="DZ21">
        <v>4374</v>
      </c>
      <c r="EA21">
        <v>-2.0014725619741682</v>
      </c>
      <c r="EB21">
        <v>2</v>
      </c>
      <c r="EC21">
        <v>2.4320412684260429E-2</v>
      </c>
      <c r="ED21">
        <v>0.21623109914952704</v>
      </c>
      <c r="EE21" s="13">
        <v>-2.1362999999999999</v>
      </c>
      <c r="EF21">
        <v>-2.1301999999999999</v>
      </c>
      <c r="EG21">
        <v>18.112474166666665</v>
      </c>
      <c r="EH21" t="s">
        <v>1134</v>
      </c>
      <c r="EI21">
        <v>0</v>
      </c>
      <c r="EJ21">
        <v>0</v>
      </c>
      <c r="EK21" s="9">
        <v>45470</v>
      </c>
      <c r="EL21" s="14">
        <v>0.61</v>
      </c>
      <c r="EM21" s="14">
        <v>-4.55</v>
      </c>
      <c r="EN21" s="14">
        <v>4.13</v>
      </c>
      <c r="EO21" s="14">
        <v>0.61</v>
      </c>
      <c r="EP21" s="14">
        <v>-0.61</v>
      </c>
    </row>
    <row r="22" spans="1:146" ht="96" x14ac:dyDescent="0.25">
      <c r="C22" s="7" t="str">
        <f>""&amp;CHAR(10)&amp;Basic_Fundamental_Information_Constructure(F22)&amp;CHAR(10)&amp;Basic_Fundamental_Information_Concatenate("")</f>
        <v xml:space="preserve">
市值351.33333亿, 利润143.83亿; PE17.73; 平均PE8.65; 平均PEG.26, PB2.14; ROIC12.6533%; ROE20.98%; 股利率4.1176%; 毛利41.0333%; 净利20.04%; 上一年度营收增131.28%, 利润增429.37%; 当季营收增-65.21%, 利润增-89.49%; 过往5年营收增32.8%, 利润增98.75%
Income profile:
</v>
      </c>
      <c r="D22" t="s">
        <v>1135</v>
      </c>
      <c r="E22" t="s">
        <v>1136</v>
      </c>
      <c r="F22">
        <v>5.0999999999999996</v>
      </c>
      <c r="G22">
        <v>0.79</v>
      </c>
      <c r="H22" t="s">
        <v>1137</v>
      </c>
      <c r="I22">
        <v>35133333000</v>
      </c>
      <c r="J22">
        <v>17.73</v>
      </c>
      <c r="K22">
        <v>2.14</v>
      </c>
      <c r="L22" t="s">
        <v>73</v>
      </c>
      <c r="M22" t="s">
        <v>1138</v>
      </c>
      <c r="N22" t="s">
        <v>1139</v>
      </c>
      <c r="O22" t="s">
        <v>1140</v>
      </c>
      <c r="P22" s="6">
        <v>-2.37</v>
      </c>
      <c r="Q22" t="s">
        <v>1141</v>
      </c>
      <c r="R22">
        <v>445423030</v>
      </c>
      <c r="S22">
        <v>-0.48220000000000002</v>
      </c>
      <c r="T22" t="s">
        <v>1142</v>
      </c>
      <c r="U22">
        <v>1606048600</v>
      </c>
      <c r="V22">
        <v>6888888900</v>
      </c>
      <c r="W22">
        <v>2.11</v>
      </c>
      <c r="X22">
        <v>0.09</v>
      </c>
      <c r="Y22">
        <v>15.06</v>
      </c>
      <c r="Z22" t="s">
        <v>1143</v>
      </c>
      <c r="AA22" t="s">
        <v>1144</v>
      </c>
      <c r="AB22" t="s">
        <v>1145</v>
      </c>
      <c r="AC22" t="s">
        <v>1146</v>
      </c>
      <c r="AD22" t="s">
        <v>72</v>
      </c>
      <c r="AE22">
        <v>46999123</v>
      </c>
      <c r="AF22" t="s">
        <v>1147</v>
      </c>
      <c r="AG22" t="s">
        <v>1148</v>
      </c>
      <c r="AH22" t="s">
        <v>1149</v>
      </c>
      <c r="AI22" t="s">
        <v>1150</v>
      </c>
      <c r="AJ22" t="s">
        <v>1151</v>
      </c>
      <c r="AK22" t="s">
        <v>1152</v>
      </c>
      <c r="AL22" t="s">
        <v>1153</v>
      </c>
      <c r="AM22" t="s">
        <v>72</v>
      </c>
      <c r="AN22" t="s">
        <v>1154</v>
      </c>
      <c r="AO22" t="s">
        <v>1155</v>
      </c>
      <c r="AP22" t="s">
        <v>1156</v>
      </c>
      <c r="AQ22" t="s">
        <v>1157</v>
      </c>
      <c r="AR22" t="s">
        <v>72</v>
      </c>
      <c r="AS22" t="s">
        <v>1158</v>
      </c>
      <c r="AT22" t="s">
        <v>1159</v>
      </c>
      <c r="AU22" t="s">
        <v>1160</v>
      </c>
      <c r="AV22" t="s">
        <v>1161</v>
      </c>
      <c r="AW22" t="s">
        <v>1162</v>
      </c>
      <c r="AX22" t="s">
        <v>1163</v>
      </c>
      <c r="AY22" t="s">
        <v>1164</v>
      </c>
      <c r="AZ22" t="s">
        <v>1165</v>
      </c>
      <c r="BA22" t="s">
        <v>1166</v>
      </c>
      <c r="BB22" t="s">
        <v>1167</v>
      </c>
      <c r="BC22" t="s">
        <v>1168</v>
      </c>
      <c r="BD22" t="s">
        <v>1169</v>
      </c>
      <c r="BE22" t="s">
        <v>1170</v>
      </c>
      <c r="BF22" t="s">
        <v>1171</v>
      </c>
      <c r="BG22" t="s">
        <v>1172</v>
      </c>
      <c r="BH22" t="s">
        <v>1173</v>
      </c>
      <c r="BI22" t="s">
        <v>1174</v>
      </c>
      <c r="BJ22" t="s">
        <v>1163</v>
      </c>
      <c r="BK22" t="s">
        <v>1175</v>
      </c>
      <c r="BL22" t="s">
        <v>391</v>
      </c>
      <c r="BM22" t="s">
        <v>1168</v>
      </c>
      <c r="BN22">
        <v>8.49</v>
      </c>
      <c r="BO22">
        <v>15.11</v>
      </c>
      <c r="BP22">
        <v>14.36</v>
      </c>
      <c r="BQ22">
        <v>13.52</v>
      </c>
      <c r="BR22">
        <v>28.44</v>
      </c>
      <c r="BS22" t="s">
        <v>72</v>
      </c>
      <c r="BT22" t="s">
        <v>1176</v>
      </c>
      <c r="BU22" t="s">
        <v>364</v>
      </c>
      <c r="BV22">
        <v>42.98</v>
      </c>
      <c r="BW22">
        <v>40.35</v>
      </c>
      <c r="BX22">
        <v>39.770000000000003</v>
      </c>
      <c r="BY22">
        <v>21.83</v>
      </c>
      <c r="BZ22">
        <v>19.850000000000001</v>
      </c>
      <c r="CA22">
        <v>18.440000000000001</v>
      </c>
      <c r="CB22">
        <v>0.99</v>
      </c>
      <c r="CC22" s="10">
        <v>-3.59</v>
      </c>
      <c r="CD22" s="11" t="s">
        <v>1177</v>
      </c>
      <c r="CE22" s="10" t="s">
        <v>1178</v>
      </c>
      <c r="CF22" s="10">
        <v>-0.65210476089492098</v>
      </c>
      <c r="CG22" s="10">
        <v>-0.89492261618306201</v>
      </c>
      <c r="CH22" s="10">
        <v>1.3128137588500977</v>
      </c>
      <c r="CI22" s="10">
        <v>0.29645484685897827</v>
      </c>
      <c r="CJ22" s="11">
        <v>0.16361103951931</v>
      </c>
      <c r="CK22" s="11">
        <v>-0.10988914221525192</v>
      </c>
      <c r="CL22" s="11">
        <v>-2.3048294708132744E-2</v>
      </c>
      <c r="CM22" s="11">
        <v>4.2937064170837402</v>
      </c>
      <c r="CN22" s="11">
        <v>0.35646522045135498</v>
      </c>
      <c r="CO22">
        <v>0.10479874908924103</v>
      </c>
      <c r="CP22">
        <v>-4.3776404112577438E-2</v>
      </c>
      <c r="CQ22">
        <v>0.22639068961143494</v>
      </c>
      <c r="CR22" s="10">
        <v>8.6542408243698166</v>
      </c>
      <c r="CS22" s="11">
        <v>0.26385810367411056</v>
      </c>
      <c r="CT22">
        <v>4.1176470588235299</v>
      </c>
      <c r="CU22">
        <v>0.32798844166100027</v>
      </c>
      <c r="CV22">
        <v>0.98751693442463873</v>
      </c>
      <c r="CW22">
        <v>0.06</v>
      </c>
      <c r="CX22">
        <v>2.0534834023460418</v>
      </c>
      <c r="CY22">
        <v>18019299770.198273</v>
      </c>
      <c r="CZ22">
        <v>0.32798844166100027</v>
      </c>
      <c r="DA22">
        <v>0.55173838463307856</v>
      </c>
      <c r="DB22">
        <v>67064996800.263557</v>
      </c>
      <c r="DC22">
        <v>0.31158901957795027</v>
      </c>
      <c r="DD22">
        <v>0.2048654048234945</v>
      </c>
      <c r="DE22">
        <v>180617772102.02979</v>
      </c>
      <c r="DF22">
        <v>0.28862982866168024</v>
      </c>
      <c r="DG22">
        <v>8.7023691252055946E-2</v>
      </c>
      <c r="DH22">
        <v>425198385262.99945</v>
      </c>
      <c r="DI22">
        <v>0.26239075332880024</v>
      </c>
      <c r="DJ22">
        <v>1.9223587810577664E-2</v>
      </c>
      <c r="DK22">
        <v>1924840116455.248</v>
      </c>
      <c r="DL22">
        <v>0.22959190916270017</v>
      </c>
      <c r="DM22">
        <v>14383000000.000002</v>
      </c>
      <c r="DN22">
        <v>0.32798844166100027</v>
      </c>
      <c r="DO22">
        <v>37002333000</v>
      </c>
      <c r="DP22">
        <v>3176031900</v>
      </c>
      <c r="DQ22" s="12">
        <v>3570</v>
      </c>
      <c r="DR22">
        <v>-0.98009320255592125</v>
      </c>
      <c r="DS22">
        <v>-1.8824395506077007</v>
      </c>
      <c r="DT22">
        <v>0.17666666666666667</v>
      </c>
      <c r="DU22">
        <v>0.10999999999999995</v>
      </c>
      <c r="DV22">
        <v>0.28666666666666663</v>
      </c>
      <c r="DW22">
        <v>-1.0359</v>
      </c>
      <c r="DX22">
        <v>0.28485057471264469</v>
      </c>
      <c r="DY22">
        <v>-1.0034051356321838</v>
      </c>
      <c r="DZ22">
        <v>1279</v>
      </c>
      <c r="EA22">
        <v>-1.0025528521735609</v>
      </c>
      <c r="EB22" s="13">
        <v>1</v>
      </c>
      <c r="EC22" s="13">
        <v>4.7914838632395424E-3</v>
      </c>
      <c r="ED22">
        <v>5.0516128950780434E-2</v>
      </c>
      <c r="EE22">
        <v>3.1299999999999994E-2</v>
      </c>
      <c r="EF22">
        <v>3.8100000000000002E-2</v>
      </c>
      <c r="EG22">
        <v>19.094850574712645</v>
      </c>
      <c r="EH22" s="9" t="s">
        <v>380</v>
      </c>
      <c r="EI22">
        <v>0</v>
      </c>
      <c r="EJ22">
        <v>1</v>
      </c>
      <c r="EK22">
        <v>45470</v>
      </c>
      <c r="EL22">
        <v>0.41</v>
      </c>
      <c r="EM22">
        <v>-0.41</v>
      </c>
      <c r="EN22" s="14">
        <v>-0.55000000000000004</v>
      </c>
      <c r="EO22" s="14">
        <v>0.41</v>
      </c>
      <c r="EP22" s="14">
        <v>0.68</v>
      </c>
    </row>
    <row r="23" spans="1:146" ht="96" x14ac:dyDescent="0.25">
      <c r="A23" s="7"/>
      <c r="B23" s="7"/>
      <c r="C23" s="7" t="str">
        <f>""&amp;CHAR(10)&amp;Basic_Fundamental_Information_Constructure(F23)&amp;CHAR(10)&amp;Basic_Fundamental_Information_Concatenate("")</f>
        <v xml:space="preserve">
市值142.44058亿, 利润3102.45万; PE7.66; 平均PE12.1; 平均PEG.13, PB1.09; ROIC13.2033%; ROE16.3033%; 股利率7.1609%; 毛利46.6267%; 净利25.49%; 上一年度营收增421.84%, 利润增-98.77%; 当季营收增-80.28%, 利润增1007.67%; 过往5年营收增92.83%, 利润增4.83%
Income profile:
</v>
      </c>
      <c r="D23" t="s">
        <v>56</v>
      </c>
      <c r="E23" t="s">
        <v>22</v>
      </c>
      <c r="F23">
        <v>11.87</v>
      </c>
      <c r="G23">
        <v>-0.5</v>
      </c>
      <c r="H23" t="s">
        <v>1179</v>
      </c>
      <c r="I23">
        <v>14244058000</v>
      </c>
      <c r="J23">
        <v>7.66</v>
      </c>
      <c r="K23">
        <v>1.0900000000000001</v>
      </c>
      <c r="L23" t="s">
        <v>73</v>
      </c>
      <c r="M23" t="s">
        <v>1180</v>
      </c>
      <c r="N23" t="s">
        <v>1181</v>
      </c>
      <c r="O23" t="s">
        <v>1182</v>
      </c>
      <c r="P23">
        <v>-8.34</v>
      </c>
      <c r="Q23" t="s">
        <v>1183</v>
      </c>
      <c r="R23">
        <v>431228430</v>
      </c>
      <c r="S23" s="6">
        <v>-0.29089999999999999</v>
      </c>
      <c r="T23" t="s">
        <v>1184</v>
      </c>
      <c r="U23">
        <v>1200004880</v>
      </c>
      <c r="V23">
        <v>1200004880</v>
      </c>
      <c r="W23">
        <v>1.63</v>
      </c>
      <c r="X23">
        <v>0.1</v>
      </c>
      <c r="Y23">
        <v>20.96</v>
      </c>
      <c r="Z23" t="s">
        <v>1185</v>
      </c>
      <c r="AA23" t="s">
        <v>406</v>
      </c>
      <c r="AB23" t="s">
        <v>1186</v>
      </c>
      <c r="AC23" t="s">
        <v>1187</v>
      </c>
      <c r="AD23" t="s">
        <v>72</v>
      </c>
      <c r="AE23">
        <v>5412583</v>
      </c>
      <c r="AF23" t="s">
        <v>1188</v>
      </c>
      <c r="AG23" t="s">
        <v>1189</v>
      </c>
      <c r="AH23" t="s">
        <v>1190</v>
      </c>
      <c r="AI23" t="s">
        <v>1191</v>
      </c>
      <c r="AJ23" t="s">
        <v>1192</v>
      </c>
      <c r="AK23" t="s">
        <v>777</v>
      </c>
      <c r="AL23" t="s">
        <v>1193</v>
      </c>
      <c r="AM23" t="s">
        <v>72</v>
      </c>
      <c r="AN23" t="s">
        <v>1194</v>
      </c>
      <c r="AO23" t="s">
        <v>511</v>
      </c>
      <c r="AP23" t="s">
        <v>548</v>
      </c>
      <c r="AQ23" t="s">
        <v>1195</v>
      </c>
      <c r="AR23" t="s">
        <v>72</v>
      </c>
      <c r="AS23" t="s">
        <v>1196</v>
      </c>
      <c r="AT23" t="s">
        <v>1197</v>
      </c>
      <c r="AU23" t="s">
        <v>1198</v>
      </c>
      <c r="AV23" t="s">
        <v>1199</v>
      </c>
      <c r="AW23" t="s">
        <v>1200</v>
      </c>
      <c r="AX23" t="s">
        <v>1201</v>
      </c>
      <c r="AY23" t="s">
        <v>325</v>
      </c>
      <c r="AZ23" t="s">
        <v>223</v>
      </c>
      <c r="BA23" t="s">
        <v>107</v>
      </c>
      <c r="BB23" t="s">
        <v>224</v>
      </c>
      <c r="BC23" t="s">
        <v>1202</v>
      </c>
      <c r="BD23" t="s">
        <v>326</v>
      </c>
      <c r="BE23" t="s">
        <v>327</v>
      </c>
      <c r="BF23" t="s">
        <v>108</v>
      </c>
      <c r="BG23" t="s">
        <v>225</v>
      </c>
      <c r="BH23" t="s">
        <v>1203</v>
      </c>
      <c r="BI23" t="s">
        <v>1204</v>
      </c>
      <c r="BJ23" t="s">
        <v>1201</v>
      </c>
      <c r="BK23" t="s">
        <v>1205</v>
      </c>
      <c r="BL23" t="s">
        <v>1206</v>
      </c>
      <c r="BM23" t="s">
        <v>1202</v>
      </c>
      <c r="BN23">
        <v>10.67</v>
      </c>
      <c r="BO23">
        <v>17.55</v>
      </c>
      <c r="BP23">
        <v>11.39</v>
      </c>
      <c r="BQ23">
        <v>11.26</v>
      </c>
      <c r="BR23">
        <v>23.19</v>
      </c>
      <c r="BS23">
        <v>14.46</v>
      </c>
      <c r="BT23" t="s">
        <v>1207</v>
      </c>
      <c r="BU23" t="s">
        <v>364</v>
      </c>
      <c r="BV23">
        <v>46.96</v>
      </c>
      <c r="BW23">
        <v>50.79</v>
      </c>
      <c r="BX23">
        <v>42.13</v>
      </c>
      <c r="BY23">
        <v>26.09</v>
      </c>
      <c r="BZ23">
        <v>29.89</v>
      </c>
      <c r="CA23">
        <v>20.49</v>
      </c>
      <c r="CB23">
        <v>-0.59</v>
      </c>
      <c r="CC23">
        <v>-3.02</v>
      </c>
      <c r="CD23" t="s">
        <v>1208</v>
      </c>
      <c r="CE23" t="s">
        <v>1209</v>
      </c>
      <c r="CF23" s="10">
        <v>-0.80278846153846151</v>
      </c>
      <c r="CG23" s="11">
        <v>10.076736533867612</v>
      </c>
      <c r="CH23" s="10">
        <v>4.2183961868286133</v>
      </c>
      <c r="CI23" s="10">
        <v>0.24359159171581268</v>
      </c>
      <c r="CJ23" s="10">
        <v>0.29539355635643005</v>
      </c>
      <c r="CK23" s="10">
        <v>-0.13195601105690002</v>
      </c>
      <c r="CL23" s="10">
        <v>1.625465601682663E-2</v>
      </c>
      <c r="CM23" s="11">
        <v>-0.98772281408309937</v>
      </c>
      <c r="CN23" s="11">
        <v>0.82191777229309082</v>
      </c>
      <c r="CO23" s="11">
        <v>0.79896247386932373</v>
      </c>
      <c r="CP23" s="11">
        <v>-0.31648936867713928</v>
      </c>
      <c r="CQ23" s="11">
        <v>-7.5409837067127228E-2</v>
      </c>
      <c r="CR23">
        <v>12.098535048965358</v>
      </c>
      <c r="CS23">
        <v>0.13032495886681345</v>
      </c>
      <c r="CT23">
        <v>7.160909856781803</v>
      </c>
      <c r="CU23" s="10">
        <v>0.92833599597215655</v>
      </c>
      <c r="CV23" s="11">
        <v>4.8251645267009736E-2</v>
      </c>
      <c r="CW23">
        <v>0.06</v>
      </c>
      <c r="CX23">
        <v>171.052044585733</v>
      </c>
      <c r="CY23">
        <v>56439301.987771854</v>
      </c>
      <c r="CZ23">
        <v>0.92833599597215655</v>
      </c>
      <c r="DA23">
        <v>29.569499399201458</v>
      </c>
      <c r="DB23">
        <v>326487028.73409867</v>
      </c>
      <c r="DC23">
        <v>0.88191919617354864</v>
      </c>
      <c r="DD23">
        <v>5.3209871009948149</v>
      </c>
      <c r="DE23">
        <v>1814335914.8897526</v>
      </c>
      <c r="DF23">
        <v>0.81693567645549781</v>
      </c>
      <c r="DG23">
        <v>0.85100435921747919</v>
      </c>
      <c r="DH23">
        <v>11344310866.841105</v>
      </c>
      <c r="DI23">
        <v>0.74266879677772524</v>
      </c>
      <c r="DJ23">
        <v>1.5983196508681144E-2</v>
      </c>
      <c r="DK23">
        <v>604012970419.05701</v>
      </c>
      <c r="DL23">
        <v>0.64983519718050953</v>
      </c>
      <c r="DM23">
        <v>31024500</v>
      </c>
      <c r="DN23">
        <v>0.92833599597215655</v>
      </c>
      <c r="DO23">
        <v>9654058000</v>
      </c>
      <c r="DP23">
        <v>4431071500</v>
      </c>
      <c r="DQ23">
        <v>3595</v>
      </c>
      <c r="DR23">
        <v>-1.7311244575106182</v>
      </c>
      <c r="DS23">
        <v>10.028484888600602</v>
      </c>
      <c r="DT23" s="12">
        <v>0.14333333333333331</v>
      </c>
      <c r="DU23">
        <v>0.1166666666666667</v>
      </c>
      <c r="DV23">
        <v>0.26</v>
      </c>
      <c r="DW23">
        <v>-1.0302</v>
      </c>
      <c r="DX23">
        <v>0.3372191836734677</v>
      </c>
      <c r="DY23">
        <v>-1.0038420193469388</v>
      </c>
      <c r="DZ23">
        <v>969</v>
      </c>
      <c r="EA23">
        <v>-1.0031134642105037</v>
      </c>
      <c r="EB23">
        <v>1</v>
      </c>
      <c r="EC23">
        <v>2.5973811039835103E-2</v>
      </c>
      <c r="ED23">
        <v>0.20416583639226538</v>
      </c>
      <c r="EE23" s="13">
        <v>2.0667</v>
      </c>
      <c r="EF23">
        <v>2.0567000000000002</v>
      </c>
      <c r="EG23">
        <v>21.127219183673468</v>
      </c>
      <c r="EH23" t="s">
        <v>1210</v>
      </c>
      <c r="EI23">
        <v>0</v>
      </c>
      <c r="EJ23">
        <v>1</v>
      </c>
      <c r="EK23" s="9">
        <v>45470</v>
      </c>
      <c r="EL23" s="14">
        <v>0.75</v>
      </c>
      <c r="EM23" s="14">
        <v>-1.1499999999999999</v>
      </c>
      <c r="EN23" s="14">
        <v>-0.5</v>
      </c>
      <c r="EO23" s="14">
        <v>0.17</v>
      </c>
      <c r="EP23" s="14">
        <v>-1</v>
      </c>
    </row>
    <row r="24" spans="1:146" ht="96" x14ac:dyDescent="0.25">
      <c r="A24" s="7"/>
      <c r="B24" s="7"/>
      <c r="C24" s="7" t="str">
        <f>""&amp;CHAR(10)&amp;Basic_Fundamental_Information_Constructure(F24)&amp;CHAR(10)&amp;Basic_Fundamental_Information_Concatenate("")</f>
        <v xml:space="preserve">
市值434.42263亿, 利润1.92亿; PE7.62; 平均PE11.45; 平均PEG.91, PB1.03; ROIC11.8167%; ROE19.0133%; 股利率6.1996%; 毛利20.5967%; 净利8.8167%; 上一年度营收增-84.34%, 利润增-97.26%; 当季营收增519.53%, 利润增4044.02%; 过往5年营收增-12.52%, 利润增-3.08%
Income profile:
</v>
      </c>
      <c r="D24" t="s">
        <v>54</v>
      </c>
      <c r="E24" t="s">
        <v>20</v>
      </c>
      <c r="F24">
        <v>16.13</v>
      </c>
      <c r="G24">
        <v>-0.43</v>
      </c>
      <c r="H24" t="s">
        <v>1211</v>
      </c>
      <c r="I24">
        <v>43442263000</v>
      </c>
      <c r="J24">
        <v>7.62</v>
      </c>
      <c r="K24">
        <v>1.03</v>
      </c>
      <c r="L24" t="s">
        <v>73</v>
      </c>
      <c r="M24" t="s">
        <v>1212</v>
      </c>
      <c r="N24" t="s">
        <v>1213</v>
      </c>
      <c r="O24" t="s">
        <v>1214</v>
      </c>
      <c r="P24">
        <v>-8.8000000000000007</v>
      </c>
      <c r="Q24" t="s">
        <v>1215</v>
      </c>
      <c r="R24">
        <v>1589742300</v>
      </c>
      <c r="S24" s="6">
        <v>-0.247</v>
      </c>
      <c r="T24" t="s">
        <v>222</v>
      </c>
      <c r="U24">
        <v>2693258700</v>
      </c>
      <c r="V24">
        <v>2693258700</v>
      </c>
      <c r="W24">
        <v>1.88</v>
      </c>
      <c r="X24">
        <v>0.2</v>
      </c>
      <c r="Y24">
        <v>9.1</v>
      </c>
      <c r="Z24" t="s">
        <v>1216</v>
      </c>
      <c r="AA24" t="s">
        <v>1217</v>
      </c>
      <c r="AB24" t="s">
        <v>1218</v>
      </c>
      <c r="AC24" t="s">
        <v>162</v>
      </c>
      <c r="AD24" t="s">
        <v>72</v>
      </c>
      <c r="AE24">
        <v>133354734</v>
      </c>
      <c r="AF24" t="s">
        <v>1219</v>
      </c>
      <c r="AG24" t="s">
        <v>1220</v>
      </c>
      <c r="AH24" t="s">
        <v>1221</v>
      </c>
      <c r="AI24" t="s">
        <v>1222</v>
      </c>
      <c r="AJ24" t="s">
        <v>1223</v>
      </c>
      <c r="AK24" t="s">
        <v>1224</v>
      </c>
      <c r="AL24" t="s">
        <v>1225</v>
      </c>
      <c r="AM24" t="s">
        <v>72</v>
      </c>
      <c r="AN24" t="s">
        <v>1226</v>
      </c>
      <c r="AO24" t="s">
        <v>72</v>
      </c>
      <c r="AP24" t="s">
        <v>1227</v>
      </c>
      <c r="AQ24" t="s">
        <v>1228</v>
      </c>
      <c r="AR24" t="s">
        <v>72</v>
      </c>
      <c r="AS24" t="s">
        <v>1229</v>
      </c>
      <c r="AT24" t="s">
        <v>1230</v>
      </c>
      <c r="AU24" t="s">
        <v>1231</v>
      </c>
      <c r="AV24" t="s">
        <v>1232</v>
      </c>
      <c r="AW24" t="s">
        <v>1233</v>
      </c>
      <c r="AX24" t="s">
        <v>1234</v>
      </c>
      <c r="AY24" t="s">
        <v>1235</v>
      </c>
      <c r="AZ24" t="s">
        <v>1236</v>
      </c>
      <c r="BA24" t="s">
        <v>109</v>
      </c>
      <c r="BB24" t="s">
        <v>228</v>
      </c>
      <c r="BC24" t="s">
        <v>1237</v>
      </c>
      <c r="BD24" t="s">
        <v>1238</v>
      </c>
      <c r="BE24" t="s">
        <v>227</v>
      </c>
      <c r="BF24" t="s">
        <v>229</v>
      </c>
      <c r="BG24" t="s">
        <v>230</v>
      </c>
      <c r="BH24" t="s">
        <v>1239</v>
      </c>
      <c r="BI24" t="s">
        <v>1240</v>
      </c>
      <c r="BJ24" t="s">
        <v>1234</v>
      </c>
      <c r="BK24" t="s">
        <v>1241</v>
      </c>
      <c r="BL24" t="s">
        <v>1242</v>
      </c>
      <c r="BM24" t="s">
        <v>1237</v>
      </c>
      <c r="BN24">
        <v>9.3000000000000007</v>
      </c>
      <c r="BO24">
        <v>14.36</v>
      </c>
      <c r="BP24">
        <v>11.79</v>
      </c>
      <c r="BQ24">
        <v>14.28</v>
      </c>
      <c r="BR24">
        <v>23.11</v>
      </c>
      <c r="BS24">
        <v>19.649999999999999</v>
      </c>
      <c r="BT24" t="s">
        <v>1243</v>
      </c>
      <c r="BU24" t="s">
        <v>364</v>
      </c>
      <c r="BV24">
        <v>18.87</v>
      </c>
      <c r="BW24">
        <v>23.15</v>
      </c>
      <c r="BX24">
        <v>19.77</v>
      </c>
      <c r="BY24">
        <v>8.11</v>
      </c>
      <c r="BZ24">
        <v>10.34</v>
      </c>
      <c r="CA24">
        <v>8</v>
      </c>
      <c r="CB24">
        <v>-3.64</v>
      </c>
      <c r="CC24">
        <v>-10.59</v>
      </c>
      <c r="CD24" t="s">
        <v>1244</v>
      </c>
      <c r="CE24" t="s">
        <v>1245</v>
      </c>
      <c r="CF24" s="10">
        <v>5.1952789699570818</v>
      </c>
      <c r="CG24" s="11">
        <v>40.440223865618066</v>
      </c>
      <c r="CH24" s="10">
        <v>-0.84335815906524658</v>
      </c>
      <c r="CI24" s="10">
        <v>5.5203281342983246E-2</v>
      </c>
      <c r="CJ24" s="10">
        <v>0.25198948383331299</v>
      </c>
      <c r="CK24" s="10">
        <v>-0.12998040020465851</v>
      </c>
      <c r="CL24" s="10">
        <v>3.9999999105930328E-2</v>
      </c>
      <c r="CM24" s="11">
        <v>-0.97261446714401245</v>
      </c>
      <c r="CN24" s="11">
        <v>0.4284839928150177</v>
      </c>
      <c r="CO24" s="11">
        <v>0.41522499918937683</v>
      </c>
      <c r="CP24" s="11">
        <v>-4.4891230762004852E-2</v>
      </c>
      <c r="CQ24" s="11">
        <v>1.96574367582798E-2</v>
      </c>
      <c r="CR24">
        <v>11.446733915945721</v>
      </c>
      <c r="CS24">
        <v>0.91406298721298396</v>
      </c>
      <c r="CT24">
        <v>6.1996280223186613</v>
      </c>
      <c r="CU24" s="10">
        <v>-0.1252291589975357</v>
      </c>
      <c r="CV24" s="11">
        <v>-3.0827853828668594E-2</v>
      </c>
      <c r="CW24">
        <v>0.06</v>
      </c>
      <c r="CX24">
        <v>221.787828125</v>
      </c>
      <c r="CY24" t="s">
        <v>1246</v>
      </c>
      <c r="CZ24">
        <v>-0.1252291589975357</v>
      </c>
      <c r="DA24">
        <v>73.929276041666668</v>
      </c>
      <c r="DB24" t="s">
        <v>1247</v>
      </c>
      <c r="DC24">
        <v>-0.11896770104765891</v>
      </c>
      <c r="DD24">
        <v>36.964638020833334</v>
      </c>
      <c r="DE24" t="s">
        <v>1248</v>
      </c>
      <c r="DF24">
        <v>-0.11020165991783142</v>
      </c>
      <c r="DG24">
        <v>22.1787828125</v>
      </c>
      <c r="DH24" t="s">
        <v>1249</v>
      </c>
      <c r="DI24">
        <v>-0.10018332719802857</v>
      </c>
      <c r="DJ24">
        <v>11.08939140625</v>
      </c>
      <c r="DK24" t="s">
        <v>1250</v>
      </c>
      <c r="DL24">
        <v>-8.7660411298274982E-2</v>
      </c>
      <c r="DM24">
        <v>192000000</v>
      </c>
      <c r="DN24">
        <v>-0.1252291589975357</v>
      </c>
      <c r="DO24">
        <v>42583263000</v>
      </c>
      <c r="DP24">
        <v>-7913982000.0000038</v>
      </c>
      <c r="DQ24">
        <v>3606</v>
      </c>
      <c r="DR24">
        <v>5.3205081289546179</v>
      </c>
      <c r="DS24">
        <v>40.471051719446734</v>
      </c>
      <c r="DT24" s="12">
        <v>-0.64</v>
      </c>
      <c r="DU24">
        <v>-4.9999999999999968E-2</v>
      </c>
      <c r="DV24">
        <v>-0.69</v>
      </c>
      <c r="DW24">
        <v>-8.3437204910292735</v>
      </c>
      <c r="DX24">
        <v>0.36783642655935633</v>
      </c>
      <c r="DY24">
        <v>-8.0542516140392877</v>
      </c>
      <c r="DZ24">
        <v>4711</v>
      </c>
      <c r="EA24">
        <v>-8.0042360849318346</v>
      </c>
      <c r="EB24">
        <v>8</v>
      </c>
      <c r="EC24">
        <v>2.9126314527453304E-2</v>
      </c>
      <c r="ED24">
        <v>0.18453481650314543</v>
      </c>
      <c r="EE24" s="13">
        <v>-4.0062100000000003</v>
      </c>
      <c r="EF24">
        <v>-4.0267099999999996</v>
      </c>
      <c r="EG24">
        <v>21.157836426559356</v>
      </c>
      <c r="EH24" t="s">
        <v>1251</v>
      </c>
      <c r="EI24">
        <v>0</v>
      </c>
      <c r="EJ24">
        <v>0</v>
      </c>
      <c r="EK24" s="9">
        <v>45470</v>
      </c>
      <c r="EL24" s="14">
        <v>-1.22</v>
      </c>
      <c r="EM24" s="14">
        <v>-4.12</v>
      </c>
      <c r="EN24" s="14">
        <v>3.86</v>
      </c>
      <c r="EO24" s="14">
        <v>0.83</v>
      </c>
      <c r="EP24" s="14">
        <v>-2.0499999999999998</v>
      </c>
    </row>
    <row r="25" spans="1:146" ht="156" x14ac:dyDescent="0.25">
      <c r="A25" s="7"/>
      <c r="B25" s="7"/>
      <c r="C25" s="7" t="str">
        <f>"公司主要业务包括煤炭开采、原煤洗选加工、炼焦及煤化工产品的生产销售，主要产品包括洗精煤、焦炭以及甲醇、纯苯、己二酸、聚甲醛等化工产品。"&amp;CHAR(10)&amp;Basic_Fundamental_Information_Constructure(F25)&amp;CHAR(10)&amp;Basic_Fundamental_Information_Concatenate("冶金焦 70.30亿 53.13% 24.10% 9.33%
洗精煤 36.92亿 27.90% 77.26% 56.95%
其他煤化工产品 23.03亿 17.40% -9.36% -11.06%
聚甲醛 4.19亿 3.17% 6.54% 42.46%")</f>
        <v>公司主要业务包括煤炭开采、原煤洗选加工、炼焦及煤化工产品的生产销售，主要产品包括洗精煤、焦炭以及甲醇、纯苯、己二酸、聚甲醛等化工产品。
市值108.92307亿, 利润21.74亿; PE12.21; 平均PE6.85; 平均PEG.07, PB.756; ROIC7.0467%; ROE11.5367%; 股利率5.0058%; 毛利17.07%; 净利6.1633%; 上一年度营收增477.37%, 利润增17.45%; 当季营收增-87.24%, 利润增-62.67%; 过往5年营收增101.15%, 利润增14.05%
Income profile:
冶金焦 70.30亿 53.13% 24.10% 9.33%
洗精煤 36.92亿 27.90% 77.26% 56.95%
其他煤化工产品 23.03亿 17.40% -9.36% -11.06%
聚甲醛 4.19亿 3.17% 6.54% 42.46%</v>
      </c>
      <c r="D25" t="s">
        <v>53</v>
      </c>
      <c r="E25" t="s">
        <v>18</v>
      </c>
      <c r="F25">
        <v>6.86</v>
      </c>
      <c r="G25">
        <v>0.15</v>
      </c>
      <c r="H25" t="s">
        <v>1252</v>
      </c>
      <c r="I25">
        <v>10892307000</v>
      </c>
      <c r="J25">
        <v>12.21</v>
      </c>
      <c r="K25">
        <v>0.75600000000000001</v>
      </c>
      <c r="L25" t="s">
        <v>73</v>
      </c>
      <c r="M25" t="s">
        <v>1253</v>
      </c>
      <c r="N25" t="s">
        <v>1254</v>
      </c>
      <c r="O25" t="s">
        <v>1255</v>
      </c>
      <c r="P25">
        <v>-14.21</v>
      </c>
      <c r="Q25" t="s">
        <v>1256</v>
      </c>
      <c r="R25">
        <v>209408270</v>
      </c>
      <c r="S25" s="6">
        <v>-0.4864</v>
      </c>
      <c r="T25" t="s">
        <v>1257</v>
      </c>
      <c r="U25">
        <v>1587799900</v>
      </c>
      <c r="V25">
        <v>1587799900</v>
      </c>
      <c r="W25">
        <v>1.82</v>
      </c>
      <c r="X25">
        <v>0.19</v>
      </c>
      <c r="Y25">
        <v>1.29</v>
      </c>
      <c r="Z25" t="s">
        <v>203</v>
      </c>
      <c r="AA25" t="s">
        <v>1258</v>
      </c>
      <c r="AB25" t="s">
        <v>1259</v>
      </c>
      <c r="AC25" t="s">
        <v>377</v>
      </c>
      <c r="AD25" t="s">
        <v>72</v>
      </c>
      <c r="AE25">
        <v>38206252</v>
      </c>
      <c r="AF25" t="s">
        <v>1260</v>
      </c>
      <c r="AG25" t="s">
        <v>1261</v>
      </c>
      <c r="AH25" t="s">
        <v>1262</v>
      </c>
      <c r="AI25" t="s">
        <v>1263</v>
      </c>
      <c r="AJ25" t="s">
        <v>1264</v>
      </c>
      <c r="AK25" t="s">
        <v>1265</v>
      </c>
      <c r="AL25" t="s">
        <v>1266</v>
      </c>
      <c r="AM25" t="s">
        <v>72</v>
      </c>
      <c r="AN25" t="s">
        <v>1267</v>
      </c>
      <c r="AO25" t="s">
        <v>1268</v>
      </c>
      <c r="AP25" t="s">
        <v>158</v>
      </c>
      <c r="AQ25" t="s">
        <v>1269</v>
      </c>
      <c r="AR25" t="s">
        <v>1270</v>
      </c>
      <c r="AS25" t="s">
        <v>1271</v>
      </c>
      <c r="AT25" t="s">
        <v>1272</v>
      </c>
      <c r="AU25" t="s">
        <v>1273</v>
      </c>
      <c r="AV25" t="s">
        <v>1274</v>
      </c>
      <c r="AW25" t="s">
        <v>1275</v>
      </c>
      <c r="AX25" t="s">
        <v>1276</v>
      </c>
      <c r="AY25" t="s">
        <v>1277</v>
      </c>
      <c r="AZ25" t="s">
        <v>231</v>
      </c>
      <c r="BA25" t="s">
        <v>111</v>
      </c>
      <c r="BB25" t="s">
        <v>232</v>
      </c>
      <c r="BC25" t="s">
        <v>1278</v>
      </c>
      <c r="BD25" t="s">
        <v>1279</v>
      </c>
      <c r="BE25" t="s">
        <v>154</v>
      </c>
      <c r="BF25" t="s">
        <v>112</v>
      </c>
      <c r="BG25" t="s">
        <v>233</v>
      </c>
      <c r="BH25" t="s">
        <v>1280</v>
      </c>
      <c r="BI25" t="s">
        <v>1281</v>
      </c>
      <c r="BJ25" t="s">
        <v>1276</v>
      </c>
      <c r="BK25" t="s">
        <v>1282</v>
      </c>
      <c r="BL25" t="s">
        <v>1283</v>
      </c>
      <c r="BM25" t="s">
        <v>1278</v>
      </c>
      <c r="BN25">
        <v>3.58</v>
      </c>
      <c r="BO25">
        <v>7.59</v>
      </c>
      <c r="BP25">
        <v>9.9700000000000006</v>
      </c>
      <c r="BQ25">
        <v>7.03</v>
      </c>
      <c r="BR25">
        <v>13.29</v>
      </c>
      <c r="BS25">
        <v>14.29</v>
      </c>
      <c r="BT25" t="s">
        <v>1284</v>
      </c>
      <c r="BU25" t="s">
        <v>364</v>
      </c>
      <c r="BV25">
        <v>14.11</v>
      </c>
      <c r="BW25">
        <v>16.260000000000002</v>
      </c>
      <c r="BX25">
        <v>20.84</v>
      </c>
      <c r="BY25">
        <v>3.31</v>
      </c>
      <c r="BZ25">
        <v>5.92</v>
      </c>
      <c r="CA25">
        <v>9.26</v>
      </c>
      <c r="CB25">
        <v>0</v>
      </c>
      <c r="CC25">
        <v>-14.04</v>
      </c>
      <c r="CD25" t="s">
        <v>1285</v>
      </c>
      <c r="CE25" t="s">
        <v>1286</v>
      </c>
      <c r="CF25" s="10">
        <v>-0.87237783004300007</v>
      </c>
      <c r="CG25" s="11">
        <v>-0.62672322638146172</v>
      </c>
      <c r="CH25" s="10">
        <v>4.7737269401550293</v>
      </c>
      <c r="CI25" s="10">
        <v>0.12250719964504242</v>
      </c>
      <c r="CJ25" s="10">
        <v>0.27446773648262024</v>
      </c>
      <c r="CK25" s="10">
        <v>-9.4410128891468048E-2</v>
      </c>
      <c r="CL25" s="10">
        <v>-1.8963819369673729E-2</v>
      </c>
      <c r="CM25" s="11">
        <v>0.17450030148029327</v>
      </c>
      <c r="CN25" s="11">
        <v>-3.8940776139497757E-2</v>
      </c>
      <c r="CO25" s="11">
        <v>0.78498601913452148</v>
      </c>
      <c r="CP25" s="11">
        <v>-6.1739075928926468E-2</v>
      </c>
      <c r="CQ25" s="11">
        <v>-0.15627296268939972</v>
      </c>
      <c r="CR25">
        <v>6.8483539767368748</v>
      </c>
      <c r="CS25">
        <v>6.7707236649532265E-2</v>
      </c>
      <c r="CT25">
        <v>5.0058309037900877</v>
      </c>
      <c r="CU25" s="10">
        <v>1.01146558560431</v>
      </c>
      <c r="CV25" s="11">
        <v>0.14050670117139816</v>
      </c>
      <c r="CW25">
        <v>0.06</v>
      </c>
      <c r="CX25">
        <v>2.0646004624738383</v>
      </c>
      <c r="CY25">
        <v>4125402059.5318584</v>
      </c>
      <c r="CZ25">
        <v>1.01146558560431</v>
      </c>
      <c r="DA25">
        <v>0.33766595601592875</v>
      </c>
      <c r="DB25">
        <v>25224061970.873405</v>
      </c>
      <c r="DC25">
        <v>0.96089230632409439</v>
      </c>
      <c r="DD25">
        <v>5.5252621188798777E-2</v>
      </c>
      <c r="DE25">
        <v>154152089380.45264</v>
      </c>
      <c r="DF25">
        <v>0.89008971533179282</v>
      </c>
      <c r="DG25">
        <v>7.7710347286454933E-3</v>
      </c>
      <c r="DH25">
        <v>1096032548742.0107</v>
      </c>
      <c r="DI25">
        <v>0.80917246848344804</v>
      </c>
      <c r="DJ25">
        <v>1.0675791543803081E-4</v>
      </c>
      <c r="DK25">
        <v>79781503460921.312</v>
      </c>
      <c r="DL25">
        <v>0.70802590992301695</v>
      </c>
      <c r="DM25">
        <v>2174000000</v>
      </c>
      <c r="DN25">
        <v>1.01146558560431</v>
      </c>
      <c r="DO25">
        <v>8517307000</v>
      </c>
      <c r="DP25">
        <v>2852758600</v>
      </c>
      <c r="DQ25">
        <v>3616</v>
      </c>
      <c r="DR25">
        <v>-1.8838434156473101</v>
      </c>
      <c r="DS25">
        <v>-0.7672299275528599</v>
      </c>
      <c r="DT25" s="12">
        <v>-6.6666666666666714E-3</v>
      </c>
      <c r="DU25">
        <v>-0.10666666666666669</v>
      </c>
      <c r="DV25">
        <v>-0.11333333333333336</v>
      </c>
      <c r="DW25">
        <v>-2.1404000000000001</v>
      </c>
      <c r="DX25">
        <v>0.32334796747967359</v>
      </c>
      <c r="DY25">
        <v>-2.0201260546341464</v>
      </c>
      <c r="DZ25">
        <v>5003</v>
      </c>
      <c r="EA25">
        <v>-2.0004214261929265</v>
      </c>
      <c r="EB25">
        <v>2</v>
      </c>
      <c r="EC25">
        <v>2.2209095743109697E-2</v>
      </c>
      <c r="ED25">
        <v>0.15493136131322341</v>
      </c>
      <c r="EE25" s="13">
        <v>3.0390000000000001</v>
      </c>
      <c r="EF25">
        <v>3.0262000000000002</v>
      </c>
      <c r="EG25">
        <v>18.143347967479674</v>
      </c>
      <c r="EH25" t="s">
        <v>1287</v>
      </c>
      <c r="EI25">
        <v>0</v>
      </c>
      <c r="EJ25">
        <v>0</v>
      </c>
      <c r="EK25" s="9">
        <v>45470</v>
      </c>
      <c r="EL25" s="14">
        <v>-1.78</v>
      </c>
      <c r="EM25" s="14">
        <v>-4.91</v>
      </c>
      <c r="EN25" s="14">
        <v>7.34</v>
      </c>
      <c r="EO25" s="14">
        <v>-1.39</v>
      </c>
      <c r="EP25" s="14">
        <v>-1.28</v>
      </c>
    </row>
    <row r="26" spans="1:146" ht="96" x14ac:dyDescent="0.25">
      <c r="A26" s="7"/>
      <c r="B26" s="7"/>
      <c r="C26" s="7" t="str">
        <f>""&amp;CHAR(10)&amp;Basic_Fundamental_Information_Constructure(F26)&amp;CHAR(10)&amp;Basic_Fundamental_Information_Concatenate("")</f>
        <v xml:space="preserve">
市值283.02267亿, 利润-1928.56万; PE8.4; 平均PE16.78; 平均PEG2.53, PB1.59; ROIC17.4633%; ROE28.57%; 股利率4.6718%; 毛利51.48%; 净利30.4933%; 上一年度营收增-85.61%, 利润增-100.63%; 当季营收增651.13%, 利润增3981.15%; 过往5年营收增-6.64%, 利润增66.03%
Income profile:
</v>
      </c>
      <c r="D26" t="s">
        <v>42</v>
      </c>
      <c r="E26" t="s">
        <v>234</v>
      </c>
      <c r="F26">
        <v>16.91</v>
      </c>
      <c r="G26">
        <v>0.77</v>
      </c>
      <c r="H26" t="s">
        <v>1288</v>
      </c>
      <c r="I26">
        <v>28302267000</v>
      </c>
      <c r="J26">
        <v>8.4</v>
      </c>
      <c r="K26">
        <v>1.59</v>
      </c>
      <c r="L26" t="s">
        <v>73</v>
      </c>
      <c r="M26" t="s">
        <v>1289</v>
      </c>
      <c r="N26" t="s">
        <v>1290</v>
      </c>
      <c r="O26" t="s">
        <v>1291</v>
      </c>
      <c r="P26">
        <v>-1.53</v>
      </c>
      <c r="Q26" t="s">
        <v>1292</v>
      </c>
      <c r="R26">
        <v>780295120</v>
      </c>
      <c r="S26" s="6">
        <v>9.7699999999999995E-2</v>
      </c>
      <c r="T26" t="s">
        <v>1293</v>
      </c>
      <c r="U26">
        <v>1673700000</v>
      </c>
      <c r="V26">
        <v>1673700000</v>
      </c>
      <c r="W26">
        <v>1.5</v>
      </c>
      <c r="X26">
        <v>0.1</v>
      </c>
      <c r="Y26">
        <v>28.96</v>
      </c>
      <c r="Z26" t="s">
        <v>1294</v>
      </c>
      <c r="AA26" t="s">
        <v>1295</v>
      </c>
      <c r="AB26" t="s">
        <v>1296</v>
      </c>
      <c r="AC26" t="s">
        <v>403</v>
      </c>
      <c r="AD26" t="s">
        <v>72</v>
      </c>
      <c r="AE26">
        <v>15633674</v>
      </c>
      <c r="AF26" t="s">
        <v>1297</v>
      </c>
      <c r="AG26" t="s">
        <v>1298</v>
      </c>
      <c r="AH26" t="s">
        <v>1299</v>
      </c>
      <c r="AI26" t="s">
        <v>1300</v>
      </c>
      <c r="AJ26" t="s">
        <v>1301</v>
      </c>
      <c r="AK26" t="s">
        <v>72</v>
      </c>
      <c r="AL26" t="s">
        <v>1302</v>
      </c>
      <c r="AM26" t="s">
        <v>72</v>
      </c>
      <c r="AN26" t="s">
        <v>1303</v>
      </c>
      <c r="AO26" t="s">
        <v>883</v>
      </c>
      <c r="AP26" t="s">
        <v>72</v>
      </c>
      <c r="AQ26" t="s">
        <v>1304</v>
      </c>
      <c r="AR26" t="s">
        <v>72</v>
      </c>
      <c r="AS26" t="s">
        <v>1305</v>
      </c>
      <c r="AT26" t="s">
        <v>1306</v>
      </c>
      <c r="AU26" t="s">
        <v>1307</v>
      </c>
      <c r="AV26" t="s">
        <v>1308</v>
      </c>
      <c r="AW26" t="s">
        <v>1309</v>
      </c>
      <c r="AX26" t="s">
        <v>1310</v>
      </c>
      <c r="AY26" t="s">
        <v>328</v>
      </c>
      <c r="AZ26" t="s">
        <v>235</v>
      </c>
      <c r="BA26" t="s">
        <v>113</v>
      </c>
      <c r="BB26" t="s">
        <v>236</v>
      </c>
      <c r="BC26" t="s">
        <v>1311</v>
      </c>
      <c r="BD26" t="s">
        <v>329</v>
      </c>
      <c r="BE26" t="s">
        <v>215</v>
      </c>
      <c r="BF26" t="s">
        <v>114</v>
      </c>
      <c r="BG26" t="s">
        <v>130</v>
      </c>
      <c r="BH26" t="s">
        <v>1312</v>
      </c>
      <c r="BI26" t="s">
        <v>379</v>
      </c>
      <c r="BJ26" t="s">
        <v>1310</v>
      </c>
      <c r="BK26" t="s">
        <v>1313</v>
      </c>
      <c r="BL26" t="s">
        <v>1314</v>
      </c>
      <c r="BM26" t="s">
        <v>1311</v>
      </c>
      <c r="BN26">
        <v>10.5</v>
      </c>
      <c r="BO26">
        <v>15.77</v>
      </c>
      <c r="BP26">
        <v>26.12</v>
      </c>
      <c r="BQ26">
        <v>14.13</v>
      </c>
      <c r="BR26">
        <v>23.03</v>
      </c>
      <c r="BS26">
        <v>48.55</v>
      </c>
      <c r="BT26" t="s">
        <v>1315</v>
      </c>
      <c r="BU26" t="s">
        <v>364</v>
      </c>
      <c r="BV26">
        <v>50.05</v>
      </c>
      <c r="BW26">
        <v>50.02</v>
      </c>
      <c r="BX26">
        <v>54.37</v>
      </c>
      <c r="BY26">
        <v>29.36</v>
      </c>
      <c r="BZ26">
        <v>27.43</v>
      </c>
      <c r="CA26">
        <v>34.69</v>
      </c>
      <c r="CB26">
        <v>2.36</v>
      </c>
      <c r="CC26">
        <v>1.26</v>
      </c>
      <c r="CD26" t="s">
        <v>1316</v>
      </c>
      <c r="CE26" t="s">
        <v>1317</v>
      </c>
      <c r="CF26" s="10">
        <v>6.5112936344969201</v>
      </c>
      <c r="CG26" s="11">
        <v>39.811481471795808</v>
      </c>
      <c r="CH26" s="10">
        <v>-0.85611242055892944</v>
      </c>
      <c r="CI26" s="10">
        <v>-0.11951820552349091</v>
      </c>
      <c r="CJ26" s="10">
        <v>0.67491978406906128</v>
      </c>
      <c r="CK26" s="10">
        <v>-3.9883799850940704E-2</v>
      </c>
      <c r="CL26" s="10">
        <v>8.7929945439100266E-3</v>
      </c>
      <c r="CM26" s="11">
        <v>-1.0063252449035645</v>
      </c>
      <c r="CN26" s="11">
        <v>-0.34542721509933472</v>
      </c>
      <c r="CO26" s="11">
        <v>4.3173513412475586</v>
      </c>
      <c r="CP26" s="11">
        <v>-2.3411370813846588E-2</v>
      </c>
      <c r="CQ26" s="11">
        <v>0.3590908944606781</v>
      </c>
      <c r="CR26">
        <v>16.77881573261271</v>
      </c>
      <c r="CS26">
        <v>2.528440691617631</v>
      </c>
      <c r="CT26">
        <v>4.6717918391484332</v>
      </c>
      <c r="CU26" s="10">
        <v>-6.6360329464077952E-2</v>
      </c>
      <c r="CV26" s="11">
        <v>0.66025568097829823</v>
      </c>
      <c r="CW26">
        <v>0.06</v>
      </c>
      <c r="CX26" t="e">
        <v>#VALUE!</v>
      </c>
      <c r="CY26" t="s">
        <v>365</v>
      </c>
      <c r="CZ26">
        <v>-6.6360329464077952E-2</v>
      </c>
      <c r="DA26" t="e">
        <v>#VALUE!</v>
      </c>
      <c r="DB26" t="s">
        <v>365</v>
      </c>
      <c r="DC26">
        <v>-6.3042312990874053E-2</v>
      </c>
      <c r="DD26" t="e">
        <v>#VALUE!</v>
      </c>
      <c r="DE26" t="s">
        <v>365</v>
      </c>
      <c r="DF26">
        <v>-5.8397089928388601E-2</v>
      </c>
      <c r="DG26" t="e">
        <v>#VALUE!</v>
      </c>
      <c r="DH26" t="s">
        <v>365</v>
      </c>
      <c r="DI26">
        <v>-5.3088263571262367E-2</v>
      </c>
      <c r="DJ26" t="e">
        <v>#VALUE!</v>
      </c>
      <c r="DK26" t="s">
        <v>365</v>
      </c>
      <c r="DL26">
        <v>-4.6452230624854561E-2</v>
      </c>
      <c r="DM26">
        <v>-19285600</v>
      </c>
      <c r="DN26">
        <v>-6.6360329464077952E-2</v>
      </c>
      <c r="DO26">
        <v>15924267000</v>
      </c>
      <c r="DP26">
        <v>9198940000</v>
      </c>
      <c r="DQ26">
        <v>3620</v>
      </c>
      <c r="DR26">
        <v>6.5776539639609979</v>
      </c>
      <c r="DS26">
        <v>39.151225790817513</v>
      </c>
      <c r="DT26" s="12">
        <v>-0.50666666666666671</v>
      </c>
      <c r="DU26">
        <v>-5.0000000000000044E-2</v>
      </c>
      <c r="DV26">
        <v>-0.55666666666666675</v>
      </c>
      <c r="DW26">
        <v>1.26E-2</v>
      </c>
      <c r="DX26">
        <v>0.30696851851851836</v>
      </c>
      <c r="DY26">
        <v>1.7258033333333333E-3</v>
      </c>
      <c r="DZ26">
        <v>3396</v>
      </c>
      <c r="EA26">
        <v>5.7887023744292241E-4</v>
      </c>
      <c r="EB26">
        <v>0</v>
      </c>
      <c r="EC26">
        <v>3.9772181394515146E-2</v>
      </c>
      <c r="ED26">
        <v>0.29037461910736695</v>
      </c>
      <c r="EE26" s="13">
        <v>7.1153000000000004</v>
      </c>
      <c r="EF26">
        <v>7.133</v>
      </c>
      <c r="EG26">
        <v>17.136968518518518</v>
      </c>
      <c r="EH26" t="s">
        <v>1318</v>
      </c>
      <c r="EI26">
        <v>0</v>
      </c>
      <c r="EJ26">
        <v>0</v>
      </c>
      <c r="EK26" s="9">
        <v>45470</v>
      </c>
      <c r="EL26" s="14">
        <v>0.68</v>
      </c>
      <c r="EM26" s="14">
        <v>0.68</v>
      </c>
      <c r="EN26" s="14">
        <v>1.79</v>
      </c>
      <c r="EO26" s="14">
        <v>-0.66</v>
      </c>
      <c r="EP26" s="14">
        <v>1.77</v>
      </c>
    </row>
    <row r="27" spans="1:146" ht="96" x14ac:dyDescent="0.25">
      <c r="A27" s="7"/>
      <c r="B27" s="7"/>
      <c r="C27" s="7" t="str">
        <f>""&amp;CHAR(10)&amp;Basic_Fundamental_Information_Constructure(F27)&amp;CHAR(10)&amp;Basic_Fundamental_Information_Concatenate("")</f>
        <v xml:space="preserve">
市值31.033766亿, 利润107.51亿; PE; 平均PE1.62; 平均PEG0, PB.509; ROIC2.13%; ROE1.6133%; 股利率0%; 毛利13.21%; 净利-12.83%; 上一年度营收增3332.23%, 利润增6973.03%; 当季营收增-98.16%, 利润增-102.47%; 过往5年营收增669.22%, 利润增1410.48%
Income profile:
</v>
      </c>
      <c r="D27" t="s">
        <v>32</v>
      </c>
      <c r="E27" t="s">
        <v>6</v>
      </c>
      <c r="F27">
        <v>1.62</v>
      </c>
      <c r="G27">
        <v>1.25</v>
      </c>
      <c r="H27" t="s">
        <v>1319</v>
      </c>
      <c r="I27">
        <v>3103376600</v>
      </c>
      <c r="K27">
        <v>0.50900000000000001</v>
      </c>
      <c r="L27" t="s">
        <v>73</v>
      </c>
      <c r="M27" t="s">
        <v>1320</v>
      </c>
      <c r="N27" t="s">
        <v>1321</v>
      </c>
      <c r="O27" t="s">
        <v>1322</v>
      </c>
      <c r="P27">
        <v>-37.07</v>
      </c>
      <c r="Q27" t="s">
        <v>1323</v>
      </c>
      <c r="R27">
        <v>-89941931</v>
      </c>
      <c r="S27" s="6">
        <v>-3.968</v>
      </c>
      <c r="T27" t="s">
        <v>1324</v>
      </c>
      <c r="U27">
        <v>1915664500</v>
      </c>
      <c r="V27">
        <v>1915664500</v>
      </c>
      <c r="W27">
        <v>1.85</v>
      </c>
      <c r="X27">
        <v>0.04</v>
      </c>
      <c r="Y27">
        <v>-18.489999999999998</v>
      </c>
      <c r="Z27" t="s">
        <v>1054</v>
      </c>
      <c r="AA27" t="s">
        <v>1325</v>
      </c>
      <c r="AB27" t="s">
        <v>1326</v>
      </c>
      <c r="AC27" t="s">
        <v>1327</v>
      </c>
      <c r="AD27" t="s">
        <v>72</v>
      </c>
      <c r="AE27">
        <v>19414159</v>
      </c>
      <c r="AF27" t="s">
        <v>1328</v>
      </c>
      <c r="AG27" t="s">
        <v>1329</v>
      </c>
      <c r="AH27" t="s">
        <v>1330</v>
      </c>
      <c r="AI27" t="s">
        <v>1331</v>
      </c>
      <c r="AJ27" t="s">
        <v>1332</v>
      </c>
      <c r="AK27" t="s">
        <v>1333</v>
      </c>
      <c r="AL27" t="s">
        <v>1334</v>
      </c>
      <c r="AM27" t="s">
        <v>72</v>
      </c>
      <c r="AN27" t="s">
        <v>1335</v>
      </c>
      <c r="AO27" t="s">
        <v>1336</v>
      </c>
      <c r="AP27" t="s">
        <v>1337</v>
      </c>
      <c r="AQ27" t="s">
        <v>376</v>
      </c>
      <c r="AR27" t="s">
        <v>72</v>
      </c>
      <c r="AS27" t="s">
        <v>1338</v>
      </c>
      <c r="AT27" t="s">
        <v>394</v>
      </c>
      <c r="AU27" t="s">
        <v>515</v>
      </c>
      <c r="AV27" t="s">
        <v>1339</v>
      </c>
      <c r="AW27" t="s">
        <v>1340</v>
      </c>
      <c r="AX27" t="s">
        <v>1341</v>
      </c>
      <c r="AY27" t="s">
        <v>330</v>
      </c>
      <c r="AZ27" t="s">
        <v>237</v>
      </c>
      <c r="BA27" t="s">
        <v>115</v>
      </c>
      <c r="BB27" t="s">
        <v>230</v>
      </c>
      <c r="BC27" t="s">
        <v>1342</v>
      </c>
      <c r="BD27" t="s">
        <v>331</v>
      </c>
      <c r="BE27" t="s">
        <v>238</v>
      </c>
      <c r="BF27" t="s">
        <v>116</v>
      </c>
      <c r="BG27" t="s">
        <v>219</v>
      </c>
      <c r="BH27" t="s">
        <v>1343</v>
      </c>
      <c r="BI27" t="s">
        <v>1344</v>
      </c>
      <c r="BJ27" t="s">
        <v>1341</v>
      </c>
      <c r="BK27" t="s">
        <v>1345</v>
      </c>
      <c r="BL27" t="s">
        <v>1346</v>
      </c>
      <c r="BM27" t="s">
        <v>1342</v>
      </c>
      <c r="BN27" t="s">
        <v>72</v>
      </c>
      <c r="BO27">
        <v>1.85</v>
      </c>
      <c r="BP27">
        <v>2.41</v>
      </c>
      <c r="BQ27">
        <v>0.35</v>
      </c>
      <c r="BR27">
        <v>2.0699999999999998</v>
      </c>
      <c r="BS27">
        <v>2.42</v>
      </c>
      <c r="BT27" t="s">
        <v>495</v>
      </c>
      <c r="BU27" t="s">
        <v>366</v>
      </c>
      <c r="BV27">
        <v>7.93</v>
      </c>
      <c r="BW27">
        <v>14.79</v>
      </c>
      <c r="BX27">
        <v>16.91</v>
      </c>
      <c r="BY27">
        <v>-45.11</v>
      </c>
      <c r="BZ27">
        <v>3.28</v>
      </c>
      <c r="CA27">
        <v>3.34</v>
      </c>
      <c r="CB27">
        <v>1.25</v>
      </c>
      <c r="CC27">
        <v>-27.68</v>
      </c>
      <c r="CD27" t="s">
        <v>680</v>
      </c>
      <c r="CE27" t="s">
        <v>1347</v>
      </c>
      <c r="CF27" s="10">
        <v>-0.98156714573254711</v>
      </c>
      <c r="CG27" s="11">
        <v>-1.0247297033269178</v>
      </c>
      <c r="CH27" s="10">
        <v>33.322292327880859</v>
      </c>
      <c r="CI27" s="10">
        <v>5.4205048829317093E-2</v>
      </c>
      <c r="CJ27" s="10">
        <v>0.3379439115524292</v>
      </c>
      <c r="CK27" s="10">
        <v>-1.870875246822834E-2</v>
      </c>
      <c r="CL27" s="10">
        <v>-0.23448464274406433</v>
      </c>
      <c r="CM27" s="11">
        <v>69.730262756347656</v>
      </c>
      <c r="CN27" s="11">
        <v>6.6225165501236916E-3</v>
      </c>
      <c r="CO27" s="11">
        <v>1.8196156024932861</v>
      </c>
      <c r="CP27" s="11">
        <v>-0.23941169679164886</v>
      </c>
      <c r="CQ27" s="11">
        <v>-0.79291027784347534</v>
      </c>
      <c r="CR27">
        <v>1.6166277096944193</v>
      </c>
      <c r="CS27">
        <v>2.4156715775537209E-3</v>
      </c>
      <c r="CT27">
        <v>0</v>
      </c>
      <c r="CU27" s="10">
        <v>6.6922495786100624</v>
      </c>
      <c r="CV27" s="11">
        <v>14.104835780151188</v>
      </c>
      <c r="CW27">
        <v>0.06</v>
      </c>
      <c r="CX27">
        <v>2.8203347241808136E-2</v>
      </c>
      <c r="CY27">
        <v>78018278509.091293</v>
      </c>
      <c r="CZ27">
        <v>6.6922495786100624</v>
      </c>
      <c r="DA27">
        <v>5.2540053277733948E-4</v>
      </c>
      <c r="DB27">
        <v>4187998417832.7832</v>
      </c>
      <c r="DC27">
        <v>6.3576370996795593</v>
      </c>
      <c r="DD27">
        <v>2.2978622340462447E-6</v>
      </c>
      <c r="DE27">
        <v>957575509705564.12</v>
      </c>
      <c r="DF27">
        <v>5.889179629176855</v>
      </c>
      <c r="DG27">
        <v>2.8477747022145406E-9</v>
      </c>
      <c r="DH27">
        <v>7.7266526677440474E+17</v>
      </c>
      <c r="DI27">
        <v>5.3537996628880506</v>
      </c>
      <c r="DJ27">
        <v>4.3011017613445043E-16</v>
      </c>
      <c r="DK27">
        <v>5.1158440838939172E+24</v>
      </c>
      <c r="DL27">
        <v>4.6845747050270434</v>
      </c>
      <c r="DM27">
        <v>10751000000</v>
      </c>
      <c r="DN27">
        <v>6.6922495786100624</v>
      </c>
      <c r="DO27">
        <v>2200376599.999999</v>
      </c>
      <c r="DP27">
        <v>-3055727700</v>
      </c>
      <c r="DQ27">
        <v>3629</v>
      </c>
      <c r="DR27">
        <v>-7.6738167243426094</v>
      </c>
      <c r="DS27">
        <v>-15.129565483478105</v>
      </c>
      <c r="DT27" s="12">
        <v>-0.10666666666666669</v>
      </c>
      <c r="DU27">
        <v>-0.51500000000000001</v>
      </c>
      <c r="DV27">
        <v>-0.6216666666666667</v>
      </c>
      <c r="DW27">
        <v>-3.1320952380952383</v>
      </c>
      <c r="DX27">
        <v>0.33529411764706013</v>
      </c>
      <c r="DY27">
        <v>-3.0178717086834732</v>
      </c>
      <c r="DZ27">
        <v>3878</v>
      </c>
      <c r="EA27">
        <v>-3.0043087955182073</v>
      </c>
      <c r="EB27">
        <v>3</v>
      </c>
      <c r="EC27">
        <v>8.4043944020469136E-2</v>
      </c>
      <c r="ED27">
        <v>0.62119436884694579</v>
      </c>
      <c r="EE27" s="13">
        <v>5.8200000000000002E-2</v>
      </c>
      <c r="EF27">
        <v>3.49E-2</v>
      </c>
      <c r="EG27">
        <v>20.13529411764706</v>
      </c>
      <c r="EH27" t="s">
        <v>380</v>
      </c>
      <c r="EI27">
        <v>0</v>
      </c>
      <c r="EJ27">
        <v>0</v>
      </c>
      <c r="EK27" s="9">
        <v>45470</v>
      </c>
      <c r="EL27" s="14">
        <v>0.56999999999999995</v>
      </c>
      <c r="EM27" s="14">
        <v>-3.98</v>
      </c>
      <c r="EN27" s="14">
        <v>0.59</v>
      </c>
      <c r="EO27" s="14">
        <v>4.24</v>
      </c>
      <c r="EP27" s="14">
        <v>-2.33</v>
      </c>
    </row>
    <row r="28" spans="1:146" ht="180.5" customHeight="1" x14ac:dyDescent="0.25">
      <c r="A28" s="7"/>
      <c r="B28" s="7"/>
      <c r="C28" s="7" t="str">
        <f>"公司主营业务为煤焦化及相应化工产品的生产和销售。公司的主要产品有焦炭、焦油、甲醇、合成氨、LNG、BDO、精煤、中煤。"&amp;CHAR(10)&amp;Basic_Fundamental_Information_Constructure(F28)&amp;CHAR(10)&amp;Basic_Fundamental_Information_Concatenate("焦炭 143.08亿 75.72% 19.28% 3.42%
BDO 11.25亿 5.96% 13.87% 31.30%
精煤 7.98亿 4.23% 16.25% 51.69%
合成氨 7.20亿 3.81% 13.61% 47.98%
焦油 7.17亿 3.80% 18.55% 65.65%
LNG 5.66亿 3.00% 6.83% 30.64%")</f>
        <v>公司主营业务为煤焦化及相应化工产品的生产和销售。公司的主要产品有焦炭、焦油、甲醇、合成氨、LNG、BDO、精煤、中煤。
市值59.028182亿, 利润15.11亿; PE; 平均PE9.15; 平均PEG1.36, PB.797; ROIC9.995%; ROE7.28%; 股利率0%; 毛利6.7%; 净利2.6933%; 上一年度营收增-77.95%, 利润增435.82%; 当季营收增224.14%, 利润增-152.81%; 过往5年营收增6.74%, 利润增304.41%
Income profile:
焦炭 143.08亿 75.72% 19.28% 3.42%
BDO 11.25亿 5.96% 13.87% 31.30%
精煤 7.98亿 4.23% 16.25% 51.69%
合成氨 7.20亿 3.81% 13.61% 47.98%
焦油 7.17亿 3.80% 18.55% 65.65%
LNG 5.66亿 3.00% 6.83% 30.64%</v>
      </c>
      <c r="D28" t="s">
        <v>34</v>
      </c>
      <c r="E28" t="s">
        <v>7</v>
      </c>
      <c r="F28">
        <v>2.89</v>
      </c>
      <c r="G28">
        <v>0.35</v>
      </c>
      <c r="H28" t="s">
        <v>1348</v>
      </c>
      <c r="I28">
        <v>5902818200</v>
      </c>
      <c r="K28">
        <v>0.79700000000000004</v>
      </c>
      <c r="L28" t="s">
        <v>73</v>
      </c>
      <c r="M28" t="s">
        <v>1349</v>
      </c>
      <c r="N28" t="s">
        <v>1350</v>
      </c>
      <c r="O28" t="s">
        <v>1351</v>
      </c>
      <c r="P28">
        <v>-17.73</v>
      </c>
      <c r="Q28" t="s">
        <v>1352</v>
      </c>
      <c r="R28">
        <v>-212296320</v>
      </c>
      <c r="S28" s="6">
        <v>-4.7919999999999998</v>
      </c>
      <c r="T28" t="s">
        <v>1353</v>
      </c>
      <c r="U28">
        <v>2042497600</v>
      </c>
      <c r="V28">
        <v>2042497600</v>
      </c>
      <c r="W28">
        <v>2.23</v>
      </c>
      <c r="X28">
        <v>0.2</v>
      </c>
      <c r="Y28">
        <v>-5.75</v>
      </c>
      <c r="Z28" t="s">
        <v>1354</v>
      </c>
      <c r="AA28" t="s">
        <v>1355</v>
      </c>
      <c r="AB28" t="s">
        <v>1356</v>
      </c>
      <c r="AC28" t="s">
        <v>1357</v>
      </c>
      <c r="AD28" t="s">
        <v>72</v>
      </c>
      <c r="AE28">
        <v>87654599</v>
      </c>
      <c r="AF28" t="s">
        <v>1358</v>
      </c>
      <c r="AG28" t="s">
        <v>72</v>
      </c>
      <c r="AH28" t="s">
        <v>1359</v>
      </c>
      <c r="AI28" t="s">
        <v>1360</v>
      </c>
      <c r="AJ28" t="s">
        <v>1361</v>
      </c>
      <c r="AK28" t="s">
        <v>1362</v>
      </c>
      <c r="AL28" t="s">
        <v>1363</v>
      </c>
      <c r="AM28" t="s">
        <v>72</v>
      </c>
      <c r="AN28" t="s">
        <v>408</v>
      </c>
      <c r="AO28" t="s">
        <v>1364</v>
      </c>
      <c r="AP28" t="s">
        <v>1365</v>
      </c>
      <c r="AQ28" t="s">
        <v>1366</v>
      </c>
      <c r="AR28" t="s">
        <v>72</v>
      </c>
      <c r="AS28" t="s">
        <v>1367</v>
      </c>
      <c r="AT28" t="s">
        <v>1368</v>
      </c>
      <c r="AU28" t="s">
        <v>1369</v>
      </c>
      <c r="AV28" t="s">
        <v>1370</v>
      </c>
      <c r="AW28" t="s">
        <v>1371</v>
      </c>
      <c r="AX28" t="s">
        <v>1372</v>
      </c>
      <c r="AY28" t="s">
        <v>333</v>
      </c>
      <c r="AZ28" t="s">
        <v>335</v>
      </c>
      <c r="BA28" t="s">
        <v>117</v>
      </c>
      <c r="BB28" t="s">
        <v>239</v>
      </c>
      <c r="BC28" t="s">
        <v>1373</v>
      </c>
      <c r="BD28" t="s">
        <v>334</v>
      </c>
      <c r="BE28" t="s">
        <v>288</v>
      </c>
      <c r="BF28" t="s">
        <v>118</v>
      </c>
      <c r="BG28" t="s">
        <v>94</v>
      </c>
      <c r="BH28" t="s">
        <v>1374</v>
      </c>
      <c r="BI28" t="s">
        <v>1375</v>
      </c>
      <c r="BJ28" t="s">
        <v>1372</v>
      </c>
      <c r="BK28" t="s">
        <v>1376</v>
      </c>
      <c r="BL28" t="s">
        <v>607</v>
      </c>
      <c r="BM28" t="s">
        <v>1373</v>
      </c>
      <c r="BN28" t="s">
        <v>72</v>
      </c>
      <c r="BO28">
        <v>2.66</v>
      </c>
      <c r="BP28">
        <v>17.329999999999998</v>
      </c>
      <c r="BQ28">
        <v>-3.07</v>
      </c>
      <c r="BR28">
        <v>3.23</v>
      </c>
      <c r="BS28">
        <v>21.68</v>
      </c>
      <c r="BT28" t="s">
        <v>495</v>
      </c>
      <c r="BU28" t="s">
        <v>366</v>
      </c>
      <c r="BV28">
        <v>2.56</v>
      </c>
      <c r="BW28">
        <v>4.0999999999999996</v>
      </c>
      <c r="BX28">
        <v>13.44</v>
      </c>
      <c r="BY28">
        <v>-2.96</v>
      </c>
      <c r="BZ28">
        <v>1.02</v>
      </c>
      <c r="CA28">
        <v>10.02</v>
      </c>
      <c r="CB28">
        <v>3.21</v>
      </c>
      <c r="CC28">
        <v>-15</v>
      </c>
      <c r="CD28" t="s">
        <v>1377</v>
      </c>
      <c r="CE28" t="s">
        <v>1378</v>
      </c>
      <c r="CF28" s="10">
        <v>2.2413522012578611</v>
      </c>
      <c r="CG28" s="11">
        <v>-1.528100298507463</v>
      </c>
      <c r="CH28" s="10">
        <v>-0.77948272228240967</v>
      </c>
      <c r="CI28" s="10">
        <v>0.22783808410167694</v>
      </c>
      <c r="CJ28" s="10">
        <v>0.97069251537322998</v>
      </c>
      <c r="CK28" s="10">
        <v>2.1303737536072731E-2</v>
      </c>
      <c r="CL28" s="10">
        <v>-0.10351406782865524</v>
      </c>
      <c r="CM28" s="11">
        <v>4.3581562042236328</v>
      </c>
      <c r="CN28" s="11">
        <v>-0.81532418727874756</v>
      </c>
      <c r="CO28" s="11">
        <v>6.7121214866638184</v>
      </c>
      <c r="CP28" s="11">
        <v>5.8767666816711426</v>
      </c>
      <c r="CQ28" s="11">
        <v>-0.91140735149383545</v>
      </c>
      <c r="CR28">
        <v>9.1474190017306203</v>
      </c>
      <c r="CS28">
        <v>1.3578383832085992</v>
      </c>
      <c r="CT28">
        <v>0</v>
      </c>
      <c r="CU28" s="10">
        <v>6.7367509379982954E-2</v>
      </c>
      <c r="CV28" s="11">
        <v>3.0440625667572023</v>
      </c>
      <c r="CW28">
        <v>0.06</v>
      </c>
      <c r="CX28">
        <v>4.8339189489821548</v>
      </c>
      <c r="CY28">
        <v>1521502176.1067495</v>
      </c>
      <c r="CZ28">
        <v>6.7367509379982954E-2</v>
      </c>
      <c r="DA28">
        <v>1.6103243197663113</v>
      </c>
      <c r="DB28">
        <v>4567290023.3335133</v>
      </c>
      <c r="DC28">
        <v>6.3999133910983802E-2</v>
      </c>
      <c r="DD28">
        <v>0.81317472500237287</v>
      </c>
      <c r="DE28">
        <v>9044573046.6826038</v>
      </c>
      <c r="DF28">
        <v>5.9283408254385002E-2</v>
      </c>
      <c r="DG28">
        <v>0.50239673343431557</v>
      </c>
      <c r="DH28">
        <v>14639462620.951902</v>
      </c>
      <c r="DI28">
        <v>5.3894007503986367E-2</v>
      </c>
      <c r="DJ28">
        <v>0.27592543209709353</v>
      </c>
      <c r="DK28">
        <v>26655093530.530247</v>
      </c>
      <c r="DL28">
        <v>4.7157256565988064E-2</v>
      </c>
      <c r="DM28">
        <v>1511000000</v>
      </c>
      <c r="DN28">
        <v>6.7367509379982954E-2</v>
      </c>
      <c r="DO28">
        <v>7354818200</v>
      </c>
      <c r="DP28">
        <v>-5044539500</v>
      </c>
      <c r="DQ28">
        <v>3631</v>
      </c>
      <c r="DR28">
        <v>2.173984691877878</v>
      </c>
      <c r="DS28">
        <v>-4.5721628652646658</v>
      </c>
      <c r="DT28" s="12">
        <v>-0.35666666666666669</v>
      </c>
      <c r="DU28">
        <v>-0.31133333333333341</v>
      </c>
      <c r="DV28">
        <v>-0.66800000000000015</v>
      </c>
      <c r="DW28">
        <v>6.1762767710049422</v>
      </c>
      <c r="DX28">
        <v>0.30763739376770605</v>
      </c>
      <c r="DY28">
        <v>6.0260250430529565</v>
      </c>
      <c r="DZ28">
        <v>1718</v>
      </c>
      <c r="EA28">
        <v>6.0172753319052115</v>
      </c>
      <c r="EB28">
        <v>6</v>
      </c>
      <c r="EC28">
        <v>2.5515819455552848E-2</v>
      </c>
      <c r="ED28">
        <v>0.17282762045840347</v>
      </c>
      <c r="EE28" s="13">
        <v>-1.0337099999999999</v>
      </c>
      <c r="EF28">
        <v>-1.06101</v>
      </c>
      <c r="EG28">
        <v>16.147637393767706</v>
      </c>
      <c r="EH28" t="s">
        <v>670</v>
      </c>
      <c r="EI28">
        <v>0</v>
      </c>
      <c r="EJ28">
        <v>0</v>
      </c>
      <c r="EK28" s="9">
        <v>45470</v>
      </c>
      <c r="EL28" s="14">
        <v>-0.77</v>
      </c>
      <c r="EM28" s="14">
        <v>-2.78</v>
      </c>
      <c r="EN28" s="14">
        <v>-3.93</v>
      </c>
      <c r="EO28" s="14">
        <v>1.52</v>
      </c>
      <c r="EP28" s="14">
        <v>-2.73</v>
      </c>
    </row>
    <row r="29" spans="1:146" ht="180" x14ac:dyDescent="0.25">
      <c r="A29" s="7"/>
      <c r="B29" s="7"/>
      <c r="C29" s="7" t="str">
        <f>"公司成立于2004年11月8日。主营业务是煤炭、电力的生产和销售，铁路、港口和船舶运输，煤制烯烃等业务。主要产品及服务为商品煤、煤炭、聚乙烯、聚丙烯、运输、发电。"&amp;CHAR(10)&amp;Basic_Fundamental_Information_Constructure(F29)&amp;CHAR(10)&amp;Basic_Fundamental_Information_Concatenate("煤炭 2926.61亿 87.31% 73.02% 27.55%
发电 641.24亿 19.13% 4.48% 7.72%
铁路 406.99亿 12.14% 17.34% 47.06%
港口 64.40亿 1.92% 2.90% 49.67%
航运 61.95亿 1.85% 1.08% 19.19%
煤化工 58.51亿 1.75% 1.10% 20.82%")</f>
        <v>公司成立于2004年11月8日。主营业务是煤炭、电力的生产和销售，铁路、港口和船舶运输，煤制烯烃等业务。主要产品及服务为商品煤、煤炭、聚乙烯、聚丙烯、运输、发电。
市值8960.7025亿, 利润4.89亿; PE15.73; 平均PE21.81; 平均PEG1.69, PB2.1; ROIC12.7667%; ROE14.64%; 股利率5.0111%; 毛利35.99%; 净利20.5667%; 上一年度营收增-99.03%, 利润增-99.3%; 当季营收增10601.71%, 利润增13833.33%; 过往5年营收增-12.89%, 利润增-8.64%
Income profile:
煤炭 2926.61亿 87.31% 73.02% 27.55%
发电 641.24亿 19.13% 4.48% 7.72%
铁路 406.99亿 12.14% 17.34% 47.06%
港口 64.40亿 1.92% 2.90% 49.67%
航运 61.95亿 1.85% 1.08% 19.19%
煤化工 58.51亿 1.75% 1.10% 20.82%</v>
      </c>
      <c r="D29" t="s">
        <v>46</v>
      </c>
      <c r="E29" t="s">
        <v>15</v>
      </c>
      <c r="F29">
        <v>45.1</v>
      </c>
      <c r="G29">
        <v>-0.66</v>
      </c>
      <c r="H29" t="s">
        <v>1379</v>
      </c>
      <c r="I29">
        <v>896070250000</v>
      </c>
      <c r="J29">
        <v>15.73</v>
      </c>
      <c r="K29">
        <v>2.1</v>
      </c>
      <c r="L29" t="s">
        <v>73</v>
      </c>
      <c r="M29" t="s">
        <v>1380</v>
      </c>
      <c r="N29" t="s">
        <v>1381</v>
      </c>
      <c r="O29" t="s">
        <v>1382</v>
      </c>
      <c r="P29">
        <v>0.7</v>
      </c>
      <c r="Q29" t="s">
        <v>1383</v>
      </c>
      <c r="R29">
        <v>15884000000</v>
      </c>
      <c r="S29" s="6">
        <v>-0.14660000000000001</v>
      </c>
      <c r="T29" t="s">
        <v>1384</v>
      </c>
      <c r="U29">
        <v>16491038000</v>
      </c>
      <c r="V29">
        <v>19868520000</v>
      </c>
      <c r="W29">
        <v>1.31</v>
      </c>
      <c r="X29">
        <v>0.14000000000000001</v>
      </c>
      <c r="Y29">
        <v>21.24</v>
      </c>
      <c r="Z29" t="s">
        <v>1385</v>
      </c>
      <c r="AA29" t="s">
        <v>1386</v>
      </c>
      <c r="AB29" t="s">
        <v>1387</v>
      </c>
      <c r="AC29" t="s">
        <v>1388</v>
      </c>
      <c r="AD29" t="s">
        <v>72</v>
      </c>
      <c r="AE29">
        <v>21000000</v>
      </c>
      <c r="AF29" t="s">
        <v>1389</v>
      </c>
      <c r="AG29" t="s">
        <v>1390</v>
      </c>
      <c r="AH29" t="s">
        <v>1391</v>
      </c>
      <c r="AI29" t="s">
        <v>1392</v>
      </c>
      <c r="AJ29" t="s">
        <v>1393</v>
      </c>
      <c r="AK29" t="s">
        <v>1394</v>
      </c>
      <c r="AL29" t="s">
        <v>1395</v>
      </c>
      <c r="AM29" t="s">
        <v>72</v>
      </c>
      <c r="AN29" t="s">
        <v>1396</v>
      </c>
      <c r="AO29" t="s">
        <v>1397</v>
      </c>
      <c r="AP29" t="s">
        <v>1398</v>
      </c>
      <c r="AQ29" t="s">
        <v>1399</v>
      </c>
      <c r="AR29" t="s">
        <v>72</v>
      </c>
      <c r="AS29" t="s">
        <v>1400</v>
      </c>
      <c r="AT29" t="s">
        <v>1401</v>
      </c>
      <c r="AU29" t="s">
        <v>1402</v>
      </c>
      <c r="AV29" t="s">
        <v>1403</v>
      </c>
      <c r="AW29" t="s">
        <v>1404</v>
      </c>
      <c r="AX29" t="s">
        <v>1405</v>
      </c>
      <c r="AY29" t="s">
        <v>1406</v>
      </c>
      <c r="AZ29" t="s">
        <v>241</v>
      </c>
      <c r="BA29" t="s">
        <v>120</v>
      </c>
      <c r="BB29" t="s">
        <v>243</v>
      </c>
      <c r="BC29" t="s">
        <v>1407</v>
      </c>
      <c r="BD29" t="s">
        <v>1408</v>
      </c>
      <c r="BE29" t="s">
        <v>242</v>
      </c>
      <c r="BF29" t="s">
        <v>121</v>
      </c>
      <c r="BG29" t="s">
        <v>244</v>
      </c>
      <c r="BH29" t="s">
        <v>1409</v>
      </c>
      <c r="BI29" t="s">
        <v>1410</v>
      </c>
      <c r="BJ29" t="s">
        <v>1405</v>
      </c>
      <c r="BK29" t="s">
        <v>1411</v>
      </c>
      <c r="BL29" t="s">
        <v>1412</v>
      </c>
      <c r="BM29" t="s">
        <v>1407</v>
      </c>
      <c r="BN29">
        <v>10.79</v>
      </c>
      <c r="BO29">
        <v>15.72</v>
      </c>
      <c r="BP29">
        <v>11.79</v>
      </c>
      <c r="BQ29">
        <v>12.21</v>
      </c>
      <c r="BR29">
        <v>18.07</v>
      </c>
      <c r="BS29">
        <v>13.64</v>
      </c>
      <c r="BT29" t="s">
        <v>1413</v>
      </c>
      <c r="BU29" t="s">
        <v>364</v>
      </c>
      <c r="BV29">
        <v>35.9</v>
      </c>
      <c r="BW29">
        <v>39.03</v>
      </c>
      <c r="BX29">
        <v>33.04</v>
      </c>
      <c r="BY29">
        <v>20.29</v>
      </c>
      <c r="BZ29">
        <v>23.7</v>
      </c>
      <c r="CA29">
        <v>17.71</v>
      </c>
      <c r="CB29">
        <v>1.65</v>
      </c>
      <c r="CC29">
        <v>7.38</v>
      </c>
      <c r="CD29" t="s">
        <v>289</v>
      </c>
      <c r="CE29" t="s">
        <v>1414</v>
      </c>
      <c r="CF29" s="10">
        <v>106.01709401709402</v>
      </c>
      <c r="CG29" s="11">
        <v>138.33333333333334</v>
      </c>
      <c r="CH29" s="10">
        <v>-0.99030566215515137</v>
      </c>
      <c r="CI29" s="10">
        <v>2.6495667174458504E-2</v>
      </c>
      <c r="CJ29" s="10">
        <v>0.43889084458351135</v>
      </c>
      <c r="CK29" s="10">
        <v>-3.5589177161455154E-2</v>
      </c>
      <c r="CL29" s="10">
        <v>-8.4172368049621582E-2</v>
      </c>
      <c r="CM29" s="11">
        <v>-0.99297904968261719</v>
      </c>
      <c r="CN29" s="11">
        <v>0.39062374830245972</v>
      </c>
      <c r="CO29" s="11">
        <v>0.27863162755966187</v>
      </c>
      <c r="CP29" s="11">
        <v>-9.4335280358791351E-2</v>
      </c>
      <c r="CQ29" s="11">
        <v>-1.4065264724195004E-2</v>
      </c>
      <c r="CR29">
        <v>21.810332727538256</v>
      </c>
      <c r="CS29">
        <v>1.6915608669622209</v>
      </c>
      <c r="CT29">
        <v>5.0110864745011092</v>
      </c>
      <c r="CU29" s="10">
        <v>-0.12893613912165164</v>
      </c>
      <c r="CV29" s="11">
        <v>-8.6424843780696398E-2</v>
      </c>
      <c r="CW29">
        <v>0.06</v>
      </c>
      <c r="CX29">
        <v>1121.5097137014316</v>
      </c>
      <c r="CY29" t="s">
        <v>1415</v>
      </c>
      <c r="CZ29">
        <v>-0.12893613912165164</v>
      </c>
      <c r="DA29">
        <v>373.8365712338105</v>
      </c>
      <c r="DB29" t="s">
        <v>1416</v>
      </c>
      <c r="DC29">
        <v>-0.12248933216556905</v>
      </c>
      <c r="DD29">
        <v>186.91828561690525</v>
      </c>
      <c r="DE29" t="s">
        <v>1417</v>
      </c>
      <c r="DF29">
        <v>-0.11346380242705344</v>
      </c>
      <c r="DG29">
        <v>112.15097137014315</v>
      </c>
      <c r="DH29" t="s">
        <v>1418</v>
      </c>
      <c r="DI29">
        <v>-0.10314891129732132</v>
      </c>
      <c r="DJ29">
        <v>56.075485685071577</v>
      </c>
      <c r="DK29" t="s">
        <v>1419</v>
      </c>
      <c r="DL29">
        <v>-9.0255297385156141E-2</v>
      </c>
      <c r="DM29">
        <v>488999999.99999994</v>
      </c>
      <c r="DN29">
        <v>-0.12893613912165164</v>
      </c>
      <c r="DO29">
        <v>548418250000</v>
      </c>
      <c r="DP29">
        <v>125396000000</v>
      </c>
      <c r="DQ29">
        <v>3651</v>
      </c>
      <c r="DR29">
        <v>106.14603015621567</v>
      </c>
      <c r="DS29">
        <v>138.41975817711403</v>
      </c>
      <c r="DT29" s="12">
        <v>-0.64</v>
      </c>
      <c r="DU29">
        <v>-4.9999999999999968E-2</v>
      </c>
      <c r="DV29">
        <v>-0.69</v>
      </c>
      <c r="DW29">
        <v>2.0737999999999999</v>
      </c>
      <c r="DX29">
        <v>0.49198863636363316</v>
      </c>
      <c r="DY29">
        <v>2.0112167613636363</v>
      </c>
      <c r="DZ29">
        <v>3312</v>
      </c>
      <c r="EA29">
        <v>2.0039467195561289</v>
      </c>
      <c r="EB29">
        <v>2</v>
      </c>
      <c r="EC29">
        <v>5.3854036435527159E-3</v>
      </c>
      <c r="ED29">
        <v>3.5432936122066466E-2</v>
      </c>
      <c r="EE29" s="13">
        <v>-1.0206999999999999</v>
      </c>
      <c r="EF29">
        <v>-1.0021</v>
      </c>
      <c r="EG29">
        <v>34.151988636363633</v>
      </c>
      <c r="EH29" t="s">
        <v>726</v>
      </c>
      <c r="EI29">
        <v>1</v>
      </c>
      <c r="EJ29">
        <v>0</v>
      </c>
      <c r="EK29" s="9">
        <v>45470</v>
      </c>
      <c r="EL29" s="14">
        <v>-1.58</v>
      </c>
      <c r="EM29" s="14">
        <v>-3.48</v>
      </c>
      <c r="EN29" s="14">
        <v>2.2200000000000002</v>
      </c>
      <c r="EO29" s="14">
        <v>2.17</v>
      </c>
      <c r="EP29" s="14">
        <v>-1.86</v>
      </c>
    </row>
    <row r="30" spans="1:146" ht="96" x14ac:dyDescent="0.25">
      <c r="A30" s="7"/>
      <c r="B30" s="7"/>
      <c r="C30" s="7" t="str">
        <f>""&amp;CHAR(10)&amp;Basic_Fundamental_Information_Constructure(F30)&amp;CHAR(10)&amp;Basic_Fundamental_Information_Concatenate("")</f>
        <v xml:space="preserve">
市值129.743813亿, 利润-27.08亿; PE12.22; 平均PE45.53; 平均PEG1.41, PB1.1; ROIC9.6867%; ROE15.3333%; 股利率3.8846%; 毛利57.2933%; 净利26.1567%; 上一年度营收增84.85%, 利润增-301.49%; 当季营收增-46.34%, 利润增1111.92%; 过往5年营收增32.35%, 利润增725.41%
Income profile:
</v>
      </c>
      <c r="D30" t="s">
        <v>38</v>
      </c>
      <c r="E30" t="s">
        <v>21</v>
      </c>
      <c r="F30">
        <v>9.01</v>
      </c>
      <c r="G30">
        <v>-0.33</v>
      </c>
      <c r="H30" t="s">
        <v>1420</v>
      </c>
      <c r="I30">
        <v>12974381300</v>
      </c>
      <c r="J30">
        <v>12.22</v>
      </c>
      <c r="K30">
        <v>1.1000000000000001</v>
      </c>
      <c r="L30" t="s">
        <v>73</v>
      </c>
      <c r="M30" t="s">
        <v>1421</v>
      </c>
      <c r="N30" t="s">
        <v>1422</v>
      </c>
      <c r="O30" t="s">
        <v>1423</v>
      </c>
      <c r="P30">
        <v>7.58</v>
      </c>
      <c r="Q30" t="s">
        <v>1424</v>
      </c>
      <c r="R30">
        <v>451845570</v>
      </c>
      <c r="S30" s="6">
        <v>5.1200000000000002E-2</v>
      </c>
      <c r="T30" t="s">
        <v>1425</v>
      </c>
      <c r="U30">
        <v>1439997900</v>
      </c>
      <c r="V30">
        <v>1439997900</v>
      </c>
      <c r="W30">
        <v>1.93</v>
      </c>
      <c r="X30">
        <v>0.08</v>
      </c>
      <c r="Y30">
        <v>26.83</v>
      </c>
      <c r="Z30" t="s">
        <v>387</v>
      </c>
      <c r="AA30" t="s">
        <v>1426</v>
      </c>
      <c r="AB30" t="s">
        <v>1427</v>
      </c>
      <c r="AC30" t="s">
        <v>404</v>
      </c>
      <c r="AD30" t="s">
        <v>72</v>
      </c>
      <c r="AE30">
        <v>56215762</v>
      </c>
      <c r="AF30" t="s">
        <v>80</v>
      </c>
      <c r="AG30" t="s">
        <v>1428</v>
      </c>
      <c r="AH30" t="s">
        <v>1429</v>
      </c>
      <c r="AI30" t="s">
        <v>1430</v>
      </c>
      <c r="AJ30" t="s">
        <v>1431</v>
      </c>
      <c r="AK30" t="s">
        <v>72</v>
      </c>
      <c r="AL30" t="s">
        <v>1432</v>
      </c>
      <c r="AM30" t="s">
        <v>72</v>
      </c>
      <c r="AN30" t="s">
        <v>1433</v>
      </c>
      <c r="AO30" t="s">
        <v>1434</v>
      </c>
      <c r="AP30" t="s">
        <v>72</v>
      </c>
      <c r="AQ30" t="s">
        <v>1435</v>
      </c>
      <c r="AR30" t="s">
        <v>72</v>
      </c>
      <c r="AS30" t="s">
        <v>1436</v>
      </c>
      <c r="AT30" t="s">
        <v>1437</v>
      </c>
      <c r="AU30" t="s">
        <v>1438</v>
      </c>
      <c r="AV30" t="s">
        <v>1439</v>
      </c>
      <c r="AW30" t="s">
        <v>1440</v>
      </c>
      <c r="AX30" t="s">
        <v>1441</v>
      </c>
      <c r="AY30" t="s">
        <v>336</v>
      </c>
      <c r="AZ30" t="s">
        <v>245</v>
      </c>
      <c r="BA30" t="s">
        <v>122</v>
      </c>
      <c r="BB30" t="s">
        <v>247</v>
      </c>
      <c r="BC30" t="s">
        <v>1442</v>
      </c>
      <c r="BD30" t="s">
        <v>337</v>
      </c>
      <c r="BE30" t="s">
        <v>246</v>
      </c>
      <c r="BF30" t="s">
        <v>248</v>
      </c>
      <c r="BG30" t="s">
        <v>249</v>
      </c>
      <c r="BH30" t="s">
        <v>1443</v>
      </c>
      <c r="BI30" t="s">
        <v>1444</v>
      </c>
      <c r="BJ30" t="s">
        <v>1441</v>
      </c>
      <c r="BK30" t="s">
        <v>1445</v>
      </c>
      <c r="BL30" t="s">
        <v>1446</v>
      </c>
      <c r="BM30" t="s">
        <v>1442</v>
      </c>
      <c r="BN30">
        <v>6.73</v>
      </c>
      <c r="BO30">
        <v>9.19</v>
      </c>
      <c r="BP30">
        <v>13.14</v>
      </c>
      <c r="BQ30">
        <v>9.3000000000000007</v>
      </c>
      <c r="BR30">
        <v>13.36</v>
      </c>
      <c r="BS30">
        <v>23.34</v>
      </c>
      <c r="BT30" t="s">
        <v>498</v>
      </c>
      <c r="BU30" t="s">
        <v>364</v>
      </c>
      <c r="BV30">
        <v>52.65</v>
      </c>
      <c r="BW30">
        <v>54.71</v>
      </c>
      <c r="BX30">
        <v>64.52</v>
      </c>
      <c r="BY30">
        <v>20.28</v>
      </c>
      <c r="BZ30">
        <v>23.43</v>
      </c>
      <c r="CA30">
        <v>34.76</v>
      </c>
      <c r="CB30">
        <v>-1.96</v>
      </c>
      <c r="CC30">
        <v>-7.59</v>
      </c>
      <c r="CD30" t="s">
        <v>1447</v>
      </c>
      <c r="CE30" t="s">
        <v>1448</v>
      </c>
      <c r="CF30" s="10">
        <v>-0.46342005781632201</v>
      </c>
      <c r="CG30" s="11">
        <v>11.119150779431171</v>
      </c>
      <c r="CH30" s="10">
        <v>0.84849786758422852</v>
      </c>
      <c r="CI30" s="10">
        <v>0.10969053953886032</v>
      </c>
      <c r="CJ30" s="10">
        <v>0.91861534118652344</v>
      </c>
      <c r="CK30" s="10">
        <v>-0.21163929998874664</v>
      </c>
      <c r="CL30" s="10">
        <v>-4.7676365822553635E-2</v>
      </c>
      <c r="CM30" s="11">
        <v>-3.014880895614624</v>
      </c>
      <c r="CN30" s="11">
        <v>-0.33267131447792053</v>
      </c>
      <c r="CO30" s="11">
        <v>41.049617767333984</v>
      </c>
      <c r="CP30" s="11">
        <v>-0.83540958166122437</v>
      </c>
      <c r="CQ30" s="11">
        <v>-0.596393883228302</v>
      </c>
      <c r="CR30">
        <v>45.526919125715146</v>
      </c>
      <c r="CS30">
        <v>1.4073339896080086</v>
      </c>
      <c r="CT30">
        <v>3.8845726970033296</v>
      </c>
      <c r="CU30" s="10">
        <v>0.32349761649966241</v>
      </c>
      <c r="CV30" s="11">
        <v>7.2540524184703825</v>
      </c>
      <c r="CW30">
        <v>0.06</v>
      </c>
      <c r="CX30" t="e">
        <v>#VALUE!</v>
      </c>
      <c r="CY30" t="s">
        <v>365</v>
      </c>
      <c r="CZ30">
        <v>0.32349761649966241</v>
      </c>
      <c r="DA30" t="e">
        <v>#VALUE!</v>
      </c>
      <c r="DB30" t="s">
        <v>365</v>
      </c>
      <c r="DC30">
        <v>0.30732273567467927</v>
      </c>
      <c r="DD30" t="e">
        <v>#VALUE!</v>
      </c>
      <c r="DE30" t="s">
        <v>365</v>
      </c>
      <c r="DF30">
        <v>0.28467790251970293</v>
      </c>
      <c r="DG30" t="e">
        <v>#VALUE!</v>
      </c>
      <c r="DH30" t="s">
        <v>365</v>
      </c>
      <c r="DI30">
        <v>0.25879809319972996</v>
      </c>
      <c r="DJ30" t="e">
        <v>#VALUE!</v>
      </c>
      <c r="DK30" t="s">
        <v>365</v>
      </c>
      <c r="DL30">
        <v>0.22644833154976368</v>
      </c>
      <c r="DM30">
        <v>-2708000000</v>
      </c>
      <c r="DN30">
        <v>0.32349761649966241</v>
      </c>
      <c r="DO30">
        <v>12951381300</v>
      </c>
      <c r="DP30">
        <v>582649100</v>
      </c>
      <c r="DQ30">
        <v>3657</v>
      </c>
      <c r="DR30">
        <v>-0.78691767431598447</v>
      </c>
      <c r="DS30">
        <v>3.865098360960789</v>
      </c>
      <c r="DT30" s="12">
        <v>4.333333333333337E-2</v>
      </c>
      <c r="DU30">
        <v>-0.32333333333333353</v>
      </c>
      <c r="DV30">
        <v>-0.28000000000000014</v>
      </c>
      <c r="DW30">
        <v>-2.0758999999999999</v>
      </c>
      <c r="DX30">
        <v>0.29792892376681668</v>
      </c>
      <c r="DY30">
        <v>-2.0097098053139013</v>
      </c>
      <c r="DZ30">
        <v>917</v>
      </c>
      <c r="EA30">
        <v>-2.0079673607986668</v>
      </c>
      <c r="EB30">
        <v>2</v>
      </c>
      <c r="EC30">
        <v>3.9622488338351046E-2</v>
      </c>
      <c r="ED30">
        <v>0.30972267390112168</v>
      </c>
      <c r="EE30" s="13">
        <v>5.0910000000000004E-2</v>
      </c>
      <c r="EF30">
        <v>7.5909999999999991E-2</v>
      </c>
      <c r="EG30">
        <v>17.127928923766817</v>
      </c>
      <c r="EH30">
        <v>-1</v>
      </c>
      <c r="EI30">
        <v>0</v>
      </c>
      <c r="EJ30">
        <v>1</v>
      </c>
      <c r="EK30" s="9">
        <v>45470</v>
      </c>
      <c r="EL30" s="14">
        <v>-0.98</v>
      </c>
      <c r="EM30" s="14">
        <v>0.39</v>
      </c>
      <c r="EN30" s="14">
        <v>1.21</v>
      </c>
      <c r="EO30" s="14">
        <v>-1.31</v>
      </c>
      <c r="EP30" s="14">
        <v>-2.5</v>
      </c>
    </row>
    <row r="31" spans="1:146" ht="120" x14ac:dyDescent="0.25">
      <c r="A31" s="7" t="s">
        <v>418</v>
      </c>
      <c r="B31" s="7"/>
      <c r="C31" s="7" t="str">
        <f>"公司主营业务为从事煤炭开采、洗选、运输、销售以及生产服务等业务。公司的主要产品及服务为原选煤、洗煤、运输。"&amp;CHAR(10)&amp;Basic_Fundamental_Information_Constructure(F31)&amp;CHAR(10)&amp;Basic_Fundamental_Information_Concatenate("原选煤 589.89亿 38.74% 70.78% 65.49%
洗煤 235.16亿 15.44% 26.22% 60.85%")</f>
        <v>公司主营业务为从事煤炭开采、洗选、运输、销售以及生产服务等业务。公司的主要产品及服务为原选煤、洗煤、运输。
市值2525.5475亿, 利润9751.77万; PE13.31; 平均PE16.08; 平均PEG2.53, PB2.66; ROIC26.8733%; ROE25.7967%; 股利率5.048%; 毛利39.5633%; 净利24.9933%; 上一年度营收增-95.7%, 利润增-99.72%; 当季营收增4389.35%, 利润增4328.99%; 过往5年营收增6.37%, 利润增8.46%
Income profile:
原选煤 589.89亿 38.74% 70.78% 65.49%
洗煤 235.16亿 15.44% 26.22% 60.85%</v>
      </c>
      <c r="D31" t="s">
        <v>47</v>
      </c>
      <c r="E31" t="s">
        <v>17</v>
      </c>
      <c r="F31">
        <v>26.05</v>
      </c>
      <c r="G31">
        <v>-0.88</v>
      </c>
      <c r="H31" t="s">
        <v>1449</v>
      </c>
      <c r="I31">
        <v>252554750000</v>
      </c>
      <c r="J31">
        <v>13.31</v>
      </c>
      <c r="K31">
        <v>2.66</v>
      </c>
      <c r="L31" t="s">
        <v>73</v>
      </c>
      <c r="M31" t="s">
        <v>1450</v>
      </c>
      <c r="N31" t="s">
        <v>1451</v>
      </c>
      <c r="O31" t="s">
        <v>1452</v>
      </c>
      <c r="P31">
        <v>-9.73</v>
      </c>
      <c r="Q31" t="s">
        <v>1453</v>
      </c>
      <c r="R31">
        <v>4651893100</v>
      </c>
      <c r="S31" s="6">
        <v>-0.32690000000000002</v>
      </c>
      <c r="T31" t="s">
        <v>1454</v>
      </c>
      <c r="U31">
        <v>9695000000</v>
      </c>
      <c r="V31">
        <v>9695000000</v>
      </c>
      <c r="W31">
        <v>1.52</v>
      </c>
      <c r="X31">
        <v>0.2</v>
      </c>
      <c r="Y31">
        <v>19.760000000000002</v>
      </c>
      <c r="Z31" t="s">
        <v>1455</v>
      </c>
      <c r="AA31" t="s">
        <v>1456</v>
      </c>
      <c r="AB31" t="s">
        <v>1457</v>
      </c>
      <c r="AC31" t="s">
        <v>1458</v>
      </c>
      <c r="AD31" t="s">
        <v>72</v>
      </c>
      <c r="AE31">
        <v>-45052490</v>
      </c>
      <c r="AF31" t="s">
        <v>1459</v>
      </c>
      <c r="AG31" t="s">
        <v>1460</v>
      </c>
      <c r="AH31" t="s">
        <v>1461</v>
      </c>
      <c r="AI31" t="s">
        <v>1462</v>
      </c>
      <c r="AJ31" t="s">
        <v>1463</v>
      </c>
      <c r="AK31" t="s">
        <v>1464</v>
      </c>
      <c r="AL31" t="s">
        <v>1465</v>
      </c>
      <c r="AM31" t="s">
        <v>72</v>
      </c>
      <c r="AN31" t="s">
        <v>1466</v>
      </c>
      <c r="AO31" t="s">
        <v>72</v>
      </c>
      <c r="AP31" t="s">
        <v>1467</v>
      </c>
      <c r="AQ31" t="s">
        <v>1468</v>
      </c>
      <c r="AR31" t="s">
        <v>1469</v>
      </c>
      <c r="AS31" t="s">
        <v>1470</v>
      </c>
      <c r="AT31" t="s">
        <v>1471</v>
      </c>
      <c r="AU31" t="s">
        <v>95</v>
      </c>
      <c r="AV31" t="s">
        <v>1472</v>
      </c>
      <c r="AW31" t="s">
        <v>1473</v>
      </c>
      <c r="AX31" t="s">
        <v>1474</v>
      </c>
      <c r="AY31" t="s">
        <v>1475</v>
      </c>
      <c r="AZ31" t="s">
        <v>338</v>
      </c>
      <c r="BA31" t="s">
        <v>250</v>
      </c>
      <c r="BB31" t="s">
        <v>251</v>
      </c>
      <c r="BC31" t="s">
        <v>1476</v>
      </c>
      <c r="BD31" t="s">
        <v>1477</v>
      </c>
      <c r="BE31" t="s">
        <v>339</v>
      </c>
      <c r="BF31" t="s">
        <v>252</v>
      </c>
      <c r="BG31" t="s">
        <v>253</v>
      </c>
      <c r="BH31" t="s">
        <v>1478</v>
      </c>
      <c r="BI31" t="s">
        <v>1479</v>
      </c>
      <c r="BJ31" t="s">
        <v>1474</v>
      </c>
      <c r="BK31" t="s">
        <v>1480</v>
      </c>
      <c r="BL31" t="s">
        <v>1481</v>
      </c>
      <c r="BM31" t="s">
        <v>1476</v>
      </c>
      <c r="BN31">
        <v>18.45</v>
      </c>
      <c r="BO31">
        <v>35.22</v>
      </c>
      <c r="BP31">
        <v>26.95</v>
      </c>
      <c r="BQ31">
        <v>14.87</v>
      </c>
      <c r="BR31">
        <v>35.28</v>
      </c>
      <c r="BS31">
        <v>27.24</v>
      </c>
      <c r="BT31" t="s">
        <v>1482</v>
      </c>
      <c r="BU31" t="s">
        <v>364</v>
      </c>
      <c r="BV31">
        <v>37.86</v>
      </c>
      <c r="BW31">
        <v>44.99</v>
      </c>
      <c r="BX31">
        <v>35.840000000000003</v>
      </c>
      <c r="BY31">
        <v>21</v>
      </c>
      <c r="BZ31">
        <v>31.82</v>
      </c>
      <c r="CA31">
        <v>22.16</v>
      </c>
      <c r="CB31">
        <v>1.0900000000000001</v>
      </c>
      <c r="CC31">
        <v>7.22</v>
      </c>
      <c r="CD31" t="s">
        <v>392</v>
      </c>
      <c r="CE31" t="s">
        <v>1483</v>
      </c>
      <c r="CF31" s="10">
        <v>43.893451720310765</v>
      </c>
      <c r="CG31" s="11">
        <v>43.289937272727265</v>
      </c>
      <c r="CH31" s="10">
        <v>-0.95700281858444214</v>
      </c>
      <c r="CI31" s="10">
        <v>9.5464430749416351E-2</v>
      </c>
      <c r="CJ31" s="10">
        <v>0.60217970609664917</v>
      </c>
      <c r="CK31" s="10">
        <v>0.28930452466011047</v>
      </c>
      <c r="CL31" s="10">
        <v>0.28848034143447876</v>
      </c>
      <c r="CM31" s="11">
        <v>-0.99722975492477417</v>
      </c>
      <c r="CN31" s="11">
        <v>0.64349406957626343</v>
      </c>
      <c r="CO31" s="11">
        <v>0.44138622283935547</v>
      </c>
      <c r="CP31" s="11">
        <v>0.27663227915763855</v>
      </c>
      <c r="CQ31" s="11">
        <v>5.8855637907981873E-2</v>
      </c>
      <c r="CR31">
        <v>16.084323201599375</v>
      </c>
      <c r="CS31">
        <v>2.5255968246013309</v>
      </c>
      <c r="CT31">
        <v>5.0479846449136279</v>
      </c>
      <c r="CU31" s="10">
        <v>6.3685236871242529E-2</v>
      </c>
      <c r="CV31" s="11">
        <v>8.4627690911293033E-2</v>
      </c>
      <c r="CW31">
        <v>0.06</v>
      </c>
      <c r="CX31">
        <v>1932.2916539847781</v>
      </c>
      <c r="CY31">
        <v>97856733.795885637</v>
      </c>
      <c r="CZ31">
        <v>6.3685236871242529E-2</v>
      </c>
      <c r="DA31">
        <v>645.72595552723385</v>
      </c>
      <c r="DB31">
        <v>292829718.83267456</v>
      </c>
      <c r="DC31">
        <v>6.0500975027680398E-2</v>
      </c>
      <c r="DD31">
        <v>327.41965287644814</v>
      </c>
      <c r="DE31">
        <v>577508858.55148196</v>
      </c>
      <c r="DF31">
        <v>5.6043008446693424E-2</v>
      </c>
      <c r="DG31">
        <v>203.20447360775606</v>
      </c>
      <c r="DH31">
        <v>930529464.44965839</v>
      </c>
      <c r="DI31">
        <v>5.0948189496994027E-2</v>
      </c>
      <c r="DJ31">
        <v>112.67450625702546</v>
      </c>
      <c r="DK31">
        <v>1678176867.8769786</v>
      </c>
      <c r="DL31">
        <v>4.4579665809869766E-2</v>
      </c>
      <c r="DM31">
        <v>97517700</v>
      </c>
      <c r="DN31">
        <v>6.3685236871242529E-2</v>
      </c>
      <c r="DO31">
        <v>189087750000</v>
      </c>
      <c r="DP31">
        <v>19217175000</v>
      </c>
      <c r="DQ31">
        <v>3697</v>
      </c>
      <c r="DR31">
        <v>43.829766483439521</v>
      </c>
      <c r="DS31">
        <v>43.205309581815975</v>
      </c>
      <c r="DT31" s="12">
        <v>-0.29000000000000004</v>
      </c>
      <c r="DU31">
        <v>0.21666666666666665</v>
      </c>
      <c r="DV31">
        <v>-7.3333333333333389E-2</v>
      </c>
      <c r="DW31">
        <v>2.0722</v>
      </c>
      <c r="DX31">
        <v>0.41895486935867043</v>
      </c>
      <c r="DY31">
        <v>2.0100325415676958</v>
      </c>
      <c r="DZ31">
        <v>1384</v>
      </c>
      <c r="EA31">
        <v>2.0073153130883044</v>
      </c>
      <c r="EB31">
        <v>2</v>
      </c>
      <c r="EC31">
        <v>1.2068076328004126E-2</v>
      </c>
      <c r="ED31">
        <v>8.684889118102114E-2</v>
      </c>
      <c r="EE31" s="13">
        <v>1.03701</v>
      </c>
      <c r="EF31">
        <v>1.0580099999999999</v>
      </c>
      <c r="EG31">
        <v>28.13895486935867</v>
      </c>
      <c r="EH31" t="s">
        <v>550</v>
      </c>
      <c r="EI31">
        <v>1</v>
      </c>
      <c r="EJ31">
        <v>1</v>
      </c>
      <c r="EK31" s="9">
        <v>45470</v>
      </c>
      <c r="EL31" s="14">
        <v>1.1399999999999999</v>
      </c>
      <c r="EM31" s="14">
        <v>-2.09</v>
      </c>
      <c r="EN31" s="14">
        <v>0.66</v>
      </c>
      <c r="EO31" s="14">
        <v>0.81</v>
      </c>
      <c r="EP31" s="14">
        <v>-2.1</v>
      </c>
    </row>
    <row r="32" spans="1:146" ht="96" x14ac:dyDescent="0.25">
      <c r="A32" s="7"/>
      <c r="B32" s="7"/>
      <c r="C32" s="7" t="str">
        <f>""&amp;CHAR(10)&amp;Basic_Fundamental_Information_Constructure(F32)&amp;CHAR(10)&amp;Basic_Fundamental_Information_Concatenate("")</f>
        <v xml:space="preserve">
市值273.39216亿, 利润542.64亿; PE7.6; 平均PE2.48; 平均PEG0, PB1.08; ROIC11.6933%; ROE19.7433%; 股利率8.9674%; 毛利31.1367%; 净利13.8767%; 上一年度营收增6185.45%, 利润增845.53%; 当季营收增-98.43%, 利润增-94.98%; 过往5年营收增1249.53%, 利润增226.82%
Income profile:
</v>
      </c>
      <c r="D32" t="s">
        <v>44</v>
      </c>
      <c r="E32" t="s">
        <v>11</v>
      </c>
      <c r="F32">
        <v>11.04</v>
      </c>
      <c r="G32">
        <v>-0.54</v>
      </c>
      <c r="H32" t="s">
        <v>1484</v>
      </c>
      <c r="I32">
        <v>27339216000</v>
      </c>
      <c r="J32">
        <v>7.6</v>
      </c>
      <c r="K32">
        <v>1.08</v>
      </c>
      <c r="L32" t="s">
        <v>73</v>
      </c>
      <c r="M32" t="s">
        <v>1485</v>
      </c>
      <c r="N32" t="s">
        <v>1486</v>
      </c>
      <c r="O32" t="s">
        <v>1487</v>
      </c>
      <c r="P32">
        <v>-4.47</v>
      </c>
      <c r="Q32" t="s">
        <v>1488</v>
      </c>
      <c r="R32">
        <v>740477570</v>
      </c>
      <c r="S32" s="6">
        <v>-0.35399999999999998</v>
      </c>
      <c r="T32" t="s">
        <v>1489</v>
      </c>
      <c r="U32">
        <v>2469341100</v>
      </c>
      <c r="V32">
        <v>2476378200</v>
      </c>
      <c r="W32">
        <v>2.56</v>
      </c>
      <c r="X32">
        <v>0.1</v>
      </c>
      <c r="Y32">
        <v>9.65</v>
      </c>
      <c r="Z32" t="s">
        <v>1490</v>
      </c>
      <c r="AA32" t="s">
        <v>1491</v>
      </c>
      <c r="AB32" t="s">
        <v>1492</v>
      </c>
      <c r="AC32" t="s">
        <v>852</v>
      </c>
      <c r="AD32" t="s">
        <v>72</v>
      </c>
      <c r="AE32">
        <v>390632200</v>
      </c>
      <c r="AF32" t="s">
        <v>1493</v>
      </c>
      <c r="AG32" t="s">
        <v>1494</v>
      </c>
      <c r="AH32" t="s">
        <v>1495</v>
      </c>
      <c r="AI32" t="s">
        <v>1496</v>
      </c>
      <c r="AJ32" t="s">
        <v>1497</v>
      </c>
      <c r="AK32" t="s">
        <v>1498</v>
      </c>
      <c r="AL32" t="s">
        <v>1499</v>
      </c>
      <c r="AM32" t="s">
        <v>72</v>
      </c>
      <c r="AN32" t="s">
        <v>1500</v>
      </c>
      <c r="AO32" t="s">
        <v>1501</v>
      </c>
      <c r="AP32" t="s">
        <v>1502</v>
      </c>
      <c r="AQ32" t="s">
        <v>1503</v>
      </c>
      <c r="AR32" t="s">
        <v>1504</v>
      </c>
      <c r="AS32" t="s">
        <v>1505</v>
      </c>
      <c r="AT32" t="s">
        <v>1506</v>
      </c>
      <c r="AU32" t="s">
        <v>1507</v>
      </c>
      <c r="AV32" t="s">
        <v>1508</v>
      </c>
      <c r="AW32" t="s">
        <v>1509</v>
      </c>
      <c r="AX32" t="s">
        <v>1510</v>
      </c>
      <c r="AY32" t="s">
        <v>340</v>
      </c>
      <c r="AZ32" t="s">
        <v>254</v>
      </c>
      <c r="BA32" t="s">
        <v>256</v>
      </c>
      <c r="BB32" t="s">
        <v>257</v>
      </c>
      <c r="BC32" t="s">
        <v>1511</v>
      </c>
      <c r="BD32" t="s">
        <v>341</v>
      </c>
      <c r="BE32" t="s">
        <v>255</v>
      </c>
      <c r="BF32" t="s">
        <v>258</v>
      </c>
      <c r="BG32" t="s">
        <v>259</v>
      </c>
      <c r="BH32" t="s">
        <v>1512</v>
      </c>
      <c r="BI32" t="s">
        <v>1513</v>
      </c>
      <c r="BJ32" t="s">
        <v>1510</v>
      </c>
      <c r="BK32" t="s">
        <v>1514</v>
      </c>
      <c r="BL32" t="s">
        <v>1515</v>
      </c>
      <c r="BM32" t="s">
        <v>1511</v>
      </c>
      <c r="BN32">
        <v>8.1199999999999992</v>
      </c>
      <c r="BO32">
        <v>16.100000000000001</v>
      </c>
      <c r="BP32">
        <v>10.86</v>
      </c>
      <c r="BQ32">
        <v>12.93</v>
      </c>
      <c r="BR32">
        <v>29.21</v>
      </c>
      <c r="BS32">
        <v>17.09</v>
      </c>
      <c r="BT32" t="s">
        <v>1516</v>
      </c>
      <c r="BU32" t="s">
        <v>364</v>
      </c>
      <c r="BV32">
        <v>31.45</v>
      </c>
      <c r="BW32">
        <v>34.380000000000003</v>
      </c>
      <c r="BX32">
        <v>27.58</v>
      </c>
      <c r="BY32">
        <v>13.47</v>
      </c>
      <c r="BZ32">
        <v>17.149999999999999</v>
      </c>
      <c r="CA32">
        <v>11.01</v>
      </c>
      <c r="CB32">
        <v>-1.43</v>
      </c>
      <c r="CC32">
        <v>-13.55</v>
      </c>
      <c r="CD32" t="s">
        <v>289</v>
      </c>
      <c r="CE32" t="s">
        <v>1517</v>
      </c>
      <c r="CF32" s="10">
        <v>-0.98429199661603417</v>
      </c>
      <c r="CG32" s="11">
        <v>-0.94978110749406575</v>
      </c>
      <c r="CH32" s="10">
        <v>61.854534149169922</v>
      </c>
      <c r="CI32" s="10">
        <v>0.21364358067512512</v>
      </c>
      <c r="CJ32" s="10">
        <v>0.32602584362030029</v>
      </c>
      <c r="CK32" s="10">
        <v>-5.3101066499948502E-2</v>
      </c>
      <c r="CL32" s="10">
        <v>0.13552568852901459</v>
      </c>
      <c r="CM32" s="11">
        <v>8.4553060531616211</v>
      </c>
      <c r="CN32" s="11">
        <v>0.96406573057174683</v>
      </c>
      <c r="CO32" s="11">
        <v>1.1051871776580811</v>
      </c>
      <c r="CP32" s="11">
        <v>0.20381620526313782</v>
      </c>
      <c r="CQ32" s="11">
        <v>0.6125873327255249</v>
      </c>
      <c r="CR32">
        <v>2.4785859385624276</v>
      </c>
      <c r="CS32">
        <v>1.9836105197664736E-3</v>
      </c>
      <c r="CT32">
        <v>8.9673913043478279</v>
      </c>
      <c r="CU32" s="10">
        <v>12.495325639098883</v>
      </c>
      <c r="CV32" s="11">
        <v>2.2681924998760223</v>
      </c>
      <c r="CW32">
        <v>0.06</v>
      </c>
      <c r="CX32">
        <v>6.4767525037584928E-2</v>
      </c>
      <c r="CY32">
        <v>690858821207.60547</v>
      </c>
      <c r="CZ32">
        <v>12.495325639098883</v>
      </c>
      <c r="DA32">
        <v>4.2293717316373017E-4</v>
      </c>
      <c r="DB32">
        <v>105796366077942.12</v>
      </c>
      <c r="DC32">
        <v>11.870559357143939</v>
      </c>
      <c r="DD32">
        <v>3.5784730271054772E-7</v>
      </c>
      <c r="DE32">
        <v>1.2503997001255339E+17</v>
      </c>
      <c r="DF32">
        <v>10.995886562407017</v>
      </c>
      <c r="DG32">
        <v>5.1620380996602555E-11</v>
      </c>
      <c r="DH32">
        <v>8.6681297456802864E+20</v>
      </c>
      <c r="DI32">
        <v>9.9962605112791074</v>
      </c>
      <c r="DJ32">
        <v>3.9370651732211179E-20</v>
      </c>
      <c r="DK32">
        <v>1.1365119456072303E+30</v>
      </c>
      <c r="DL32">
        <v>8.7467279473692177</v>
      </c>
      <c r="DM32">
        <v>54264000000</v>
      </c>
      <c r="DN32">
        <v>12.495325639098883</v>
      </c>
      <c r="DO32">
        <v>44745216000</v>
      </c>
      <c r="DP32">
        <v>-8245735999.9999962</v>
      </c>
      <c r="DQ32">
        <v>3760</v>
      </c>
      <c r="DR32">
        <v>-13.479617635714918</v>
      </c>
      <c r="DS32">
        <v>-3.2179736073700882</v>
      </c>
      <c r="DT32" s="12">
        <v>0.14333333333333331</v>
      </c>
      <c r="DU32">
        <v>0.74333333333333329</v>
      </c>
      <c r="DV32">
        <v>0.8866666666666666</v>
      </c>
      <c r="DW32">
        <v>-2.1355</v>
      </c>
      <c r="DX32">
        <v>0.33362416107382714</v>
      </c>
      <c r="DY32">
        <v>-2.0194610738255032</v>
      </c>
      <c r="DZ32">
        <v>755</v>
      </c>
      <c r="EA32">
        <v>-2.0165857096888584</v>
      </c>
      <c r="EB32">
        <v>2</v>
      </c>
      <c r="EC32">
        <v>4.3208262776663113E-2</v>
      </c>
      <c r="ED32">
        <v>0.30084257727676655</v>
      </c>
      <c r="EE32" s="13">
        <v>2.1122000000000001</v>
      </c>
      <c r="EF32">
        <v>2.1164000000000001</v>
      </c>
      <c r="EG32">
        <v>19.143624161073827</v>
      </c>
      <c r="EH32" t="s">
        <v>1210</v>
      </c>
      <c r="EI32">
        <v>0</v>
      </c>
      <c r="EJ32">
        <v>1</v>
      </c>
      <c r="EK32" s="9">
        <v>45470</v>
      </c>
      <c r="EL32" s="14">
        <v>1.06</v>
      </c>
      <c r="EM32" s="14">
        <v>-1.26</v>
      </c>
      <c r="EN32" s="14">
        <v>1.92</v>
      </c>
      <c r="EO32" s="14">
        <v>0</v>
      </c>
      <c r="EP32" s="14">
        <v>0.42</v>
      </c>
    </row>
    <row r="33" spans="1:146" ht="132" x14ac:dyDescent="0.25">
      <c r="A33" s="7" t="s">
        <v>508</v>
      </c>
      <c r="B33" s="7"/>
      <c r="C33" s="7" t="str">
        <f>"公司主营业务包括原煤开采、煤炭洗选、煤焦冶炼;洁净煤技术的开发与利用;煤层气开发;煤炭的综合利用、地质勘探等。"&amp;CHAR(10)&amp;Basic_Fundamental_Information_Constructure(F33)&amp;CHAR(10)&amp;Basic_Fundamental_Information_Concatenate("煤炭 399.76亿 88.55% 96.18% 52.88%
焦炭 48.49亿 10.74% 3.15% 14.28%
其他业务 3.23亿 0.71% 0.67% 45.47%")</f>
        <v>公司主营业务包括原煤开采、煤炭洗选、煤焦冶炼;洁净煤技术的开发与利用;煤层气开发;煤炭的综合利用、地质勘探等。
市值529.18029亿, 利润6875.85万; PE9.08; 平均PE11.48; 平均PEG25.39, PB1.06; ROIC19.38%; ROE23.6367%; 股利率8.9825%; 毛利50.7567%; 净利21.8233%; 上一年度营收增-93.69%, 利润增-99.51%; 当季营收增1642.25%, 利润增11318.05%; 过往5年营收增-.45%, 利润增48.03%
Income profile:
煤炭 399.76亿 88.55% 96.18% 52.88%
焦炭 48.49亿 10.74% 3.15% 14.28%
其他业务 3.23亿 0.71% 0.67% 45.47%</v>
      </c>
      <c r="D33" t="s">
        <v>48</v>
      </c>
      <c r="E33" t="s">
        <v>19</v>
      </c>
      <c r="F33">
        <v>17.690000000000001</v>
      </c>
      <c r="G33">
        <v>0.11</v>
      </c>
      <c r="H33" t="s">
        <v>1518</v>
      </c>
      <c r="I33">
        <v>52918029000</v>
      </c>
      <c r="J33">
        <v>9.08</v>
      </c>
      <c r="K33">
        <v>1.06</v>
      </c>
      <c r="L33" t="s">
        <v>73</v>
      </c>
      <c r="M33" t="s">
        <v>1519</v>
      </c>
      <c r="N33" t="s">
        <v>1520</v>
      </c>
      <c r="O33" t="s">
        <v>1521</v>
      </c>
      <c r="P33">
        <v>-27.19</v>
      </c>
      <c r="Q33" t="s">
        <v>1522</v>
      </c>
      <c r="R33">
        <v>1287852800</v>
      </c>
      <c r="S33" s="6">
        <v>-0.61899999999999999</v>
      </c>
      <c r="T33" t="s">
        <v>1523</v>
      </c>
      <c r="U33">
        <v>2991409200</v>
      </c>
      <c r="V33">
        <v>2991409200</v>
      </c>
      <c r="W33">
        <v>1.63</v>
      </c>
      <c r="X33">
        <v>0.1</v>
      </c>
      <c r="Y33">
        <v>17.72</v>
      </c>
      <c r="Z33" t="s">
        <v>1524</v>
      </c>
      <c r="AA33" t="s">
        <v>1525</v>
      </c>
      <c r="AB33" t="s">
        <v>1526</v>
      </c>
      <c r="AC33" t="s">
        <v>407</v>
      </c>
      <c r="AD33" t="s">
        <v>72</v>
      </c>
      <c r="AE33">
        <v>51408063</v>
      </c>
      <c r="AF33" t="s">
        <v>1527</v>
      </c>
      <c r="AG33" t="s">
        <v>1528</v>
      </c>
      <c r="AH33" t="s">
        <v>1529</v>
      </c>
      <c r="AI33" t="s">
        <v>1530</v>
      </c>
      <c r="AJ33" t="s">
        <v>1531</v>
      </c>
      <c r="AK33" t="s">
        <v>1532</v>
      </c>
      <c r="AL33" t="s">
        <v>1533</v>
      </c>
      <c r="AM33" t="s">
        <v>72</v>
      </c>
      <c r="AN33" t="s">
        <v>1534</v>
      </c>
      <c r="AO33" t="s">
        <v>1535</v>
      </c>
      <c r="AP33" t="s">
        <v>409</v>
      </c>
      <c r="AQ33" t="s">
        <v>1536</v>
      </c>
      <c r="AR33" t="s">
        <v>72</v>
      </c>
      <c r="AS33" t="s">
        <v>1537</v>
      </c>
      <c r="AT33" t="s">
        <v>1538</v>
      </c>
      <c r="AU33" t="s">
        <v>1539</v>
      </c>
      <c r="AV33" t="s">
        <v>1540</v>
      </c>
      <c r="AW33" t="s">
        <v>1541</v>
      </c>
      <c r="AX33" t="s">
        <v>1542</v>
      </c>
      <c r="AY33" t="s">
        <v>1543</v>
      </c>
      <c r="AZ33" t="s">
        <v>342</v>
      </c>
      <c r="BA33" t="s">
        <v>125</v>
      </c>
      <c r="BB33" t="s">
        <v>260</v>
      </c>
      <c r="BC33" t="s">
        <v>1544</v>
      </c>
      <c r="BD33" t="s">
        <v>1545</v>
      </c>
      <c r="BE33" t="s">
        <v>343</v>
      </c>
      <c r="BF33" t="s">
        <v>126</v>
      </c>
      <c r="BG33" t="s">
        <v>261</v>
      </c>
      <c r="BH33" t="s">
        <v>1546</v>
      </c>
      <c r="BI33" t="s">
        <v>1245</v>
      </c>
      <c r="BJ33" t="s">
        <v>1542</v>
      </c>
      <c r="BK33" t="s">
        <v>1547</v>
      </c>
      <c r="BL33" t="s">
        <v>1548</v>
      </c>
      <c r="BM33" t="s">
        <v>1544</v>
      </c>
      <c r="BN33">
        <v>14.59</v>
      </c>
      <c r="BO33">
        <v>28.4</v>
      </c>
      <c r="BP33">
        <v>15.15</v>
      </c>
      <c r="BQ33">
        <v>14.91</v>
      </c>
      <c r="BR33">
        <v>33.979999999999997</v>
      </c>
      <c r="BS33">
        <v>22.02</v>
      </c>
      <c r="BT33" t="s">
        <v>1549</v>
      </c>
      <c r="BU33" t="s">
        <v>364</v>
      </c>
      <c r="BV33">
        <v>47.71</v>
      </c>
      <c r="BW33">
        <v>55.88</v>
      </c>
      <c r="BX33">
        <v>48.68</v>
      </c>
      <c r="BY33">
        <v>21.5</v>
      </c>
      <c r="BZ33">
        <v>28.81</v>
      </c>
      <c r="CA33">
        <v>15.16</v>
      </c>
      <c r="CB33">
        <v>-2.4300000000000002</v>
      </c>
      <c r="CC33">
        <v>-18.18</v>
      </c>
      <c r="CD33" t="s">
        <v>1550</v>
      </c>
      <c r="CE33" t="s">
        <v>1551</v>
      </c>
      <c r="CF33" s="10">
        <v>16.422535211267604</v>
      </c>
      <c r="CG33" s="11">
        <v>113.18045766062895</v>
      </c>
      <c r="CH33" s="10">
        <v>-0.93693941831588745</v>
      </c>
      <c r="CI33" s="10">
        <v>0.19802753627300262</v>
      </c>
      <c r="CJ33" s="10">
        <v>0.73994159698486328</v>
      </c>
      <c r="CK33" s="10">
        <v>-2.7733195573091507E-2</v>
      </c>
      <c r="CL33" s="10">
        <v>4.085177555680275E-3</v>
      </c>
      <c r="CM33" s="11">
        <v>-0.99514931440353394</v>
      </c>
      <c r="CN33" s="11">
        <v>1.1059278249740601</v>
      </c>
      <c r="CO33" s="11">
        <v>2.4588899612426758</v>
      </c>
      <c r="CP33" s="11">
        <v>-0.1820092648267746</v>
      </c>
      <c r="CQ33" s="11">
        <v>1.4066578820347786E-2</v>
      </c>
      <c r="CR33">
        <v>11.484878376550963</v>
      </c>
      <c r="CS33">
        <v>25.38846158849433</v>
      </c>
      <c r="CT33">
        <v>8.9824759751271905</v>
      </c>
      <c r="CU33" s="10">
        <v>-4.5236606150865551E-3</v>
      </c>
      <c r="CV33" s="11">
        <v>0.48034515716135501</v>
      </c>
      <c r="CW33">
        <v>0.06</v>
      </c>
      <c r="CX33">
        <v>563.82889388221099</v>
      </c>
      <c r="CY33" t="s">
        <v>1552</v>
      </c>
      <c r="CZ33">
        <v>-4.5236606150865551E-3</v>
      </c>
      <c r="DA33">
        <v>187.94296462740368</v>
      </c>
      <c r="DB33" t="s">
        <v>1553</v>
      </c>
      <c r="DC33">
        <v>-4.2974775843322268E-3</v>
      </c>
      <c r="DD33">
        <v>93.971482313701841</v>
      </c>
      <c r="DE33" t="s">
        <v>1554</v>
      </c>
      <c r="DF33">
        <v>-3.9808213412761686E-3</v>
      </c>
      <c r="DG33">
        <v>56.382889388221102</v>
      </c>
      <c r="DH33" t="s">
        <v>1555</v>
      </c>
      <c r="DI33">
        <v>-3.6189284920692443E-3</v>
      </c>
      <c r="DJ33">
        <v>28.191444694110551</v>
      </c>
      <c r="DK33" t="s">
        <v>1556</v>
      </c>
      <c r="DL33">
        <v>-3.1665624305605884E-3</v>
      </c>
      <c r="DM33">
        <v>68758500</v>
      </c>
      <c r="DN33">
        <v>-4.5236606150865551E-3</v>
      </c>
      <c r="DO33">
        <v>38768029000.000008</v>
      </c>
      <c r="DP33">
        <v>14306855000</v>
      </c>
      <c r="DQ33">
        <v>3770</v>
      </c>
      <c r="DR33">
        <v>16.427058871882689</v>
      </c>
      <c r="DS33">
        <v>112.70011250346759</v>
      </c>
      <c r="DT33" s="12">
        <v>-0.35666666666666669</v>
      </c>
      <c r="DU33">
        <v>0.46666666666666673</v>
      </c>
      <c r="DV33">
        <v>0.11000000000000004</v>
      </c>
      <c r="DW33">
        <v>-3.0246547619047619</v>
      </c>
      <c r="DX33">
        <v>0.26198345247148247</v>
      </c>
      <c r="DY33">
        <v>-3.003254020596053</v>
      </c>
      <c r="DZ33">
        <v>2977</v>
      </c>
      <c r="EA33">
        <v>-3.0013582829611312</v>
      </c>
      <c r="EB33">
        <v>3</v>
      </c>
      <c r="EC33">
        <v>2.320755716068534E-2</v>
      </c>
      <c r="ED33">
        <v>0.17583685976495625</v>
      </c>
      <c r="EE33" s="13">
        <v>1.0031099999999999</v>
      </c>
      <c r="EF33">
        <v>1.02701</v>
      </c>
      <c r="EG33">
        <v>13.131983452471482</v>
      </c>
      <c r="EH33" t="s">
        <v>550</v>
      </c>
      <c r="EI33">
        <v>0</v>
      </c>
      <c r="EJ33">
        <v>0</v>
      </c>
      <c r="EK33" s="9">
        <v>45470</v>
      </c>
      <c r="EL33" s="14">
        <v>0</v>
      </c>
      <c r="EM33" s="14">
        <v>-3.74</v>
      </c>
      <c r="EN33" s="14">
        <v>-0.86</v>
      </c>
      <c r="EO33" s="14">
        <v>3.49</v>
      </c>
      <c r="EP33" s="14">
        <v>-2.39</v>
      </c>
    </row>
    <row r="34" spans="1:146" ht="168" x14ac:dyDescent="0.25">
      <c r="A34" s="7"/>
      <c r="B34" s="7"/>
      <c r="C34" s="7" t="str">
        <f>"公司的主营业务是集煤炭生产和贸易、煤化工、煤矿装备制造、坑口发电、金融及相关服务。主要产品为动力煤、炼焦煤、聚烯烃、尿素、甲醇等。"&amp;CHAR(10)&amp;Basic_Fundamental_Information_Constructure(F34)&amp;CHAR(10)&amp;Basic_Fundamental_Information_Concatenate("煤炭业务 1015.34亿 86.02% 85.50% 26.10%
煤化工业务 123.29亿 10.44% 7.88% 19.81%
煤矿装备业务 50.65亿 4.29% 2.49% 15.21%
其他业务 40.53亿 3.43% 1.46% 11.16%
金融业务 11.25亿 0.95% 2.08% 57.45%")</f>
        <v>公司的主营业务是集煤炭生产和贸易、煤化工、煤矿装备制造、坑口发电、金融及相关服务。主要产品为动力煤、炼焦煤、聚烯烃、尿素、甲醇等。
市值1674.5692亿, 利润211.19亿; PE9.65; 平均PE14.77; 平均PEG.58, PB1.12; ROIC9.9667%; ROE13.1033%; 股利率3.4996%; 毛利22.7933%; 净利11.0233%; 上一年度营收增33.02%, 利润增15.66%; 当季营收增-39.43%, 利润增-8.68%; 过往5年营收增25.66%, 利润增50.8%
Income profile:
煤炭业务 1015.34亿 86.02% 85.50% 26.10%
煤化工业务 123.29亿 10.44% 7.88% 19.81%
煤矿装备业务 50.65亿 4.29% 2.49% 15.21%
其他业务 40.53亿 3.43% 1.46% 11.16%
金融业务 11.25亿 0.95% 2.08% 57.45%</v>
      </c>
      <c r="D34" t="s">
        <v>37</v>
      </c>
      <c r="E34" t="s">
        <v>9</v>
      </c>
      <c r="F34">
        <v>12.63</v>
      </c>
      <c r="G34">
        <v>-1.1000000000000001</v>
      </c>
      <c r="H34" t="s">
        <v>1557</v>
      </c>
      <c r="I34">
        <v>167456920000</v>
      </c>
      <c r="J34">
        <v>9.65</v>
      </c>
      <c r="K34">
        <v>1.1200000000000001</v>
      </c>
      <c r="L34" t="s">
        <v>73</v>
      </c>
      <c r="M34" t="s">
        <v>1558</v>
      </c>
      <c r="N34" t="s">
        <v>1559</v>
      </c>
      <c r="O34" t="s">
        <v>1560</v>
      </c>
      <c r="P34">
        <v>-23.27</v>
      </c>
      <c r="Q34" t="s">
        <v>1561</v>
      </c>
      <c r="R34">
        <v>4969520000</v>
      </c>
      <c r="S34" s="6">
        <v>-0.30549999999999999</v>
      </c>
      <c r="T34" t="s">
        <v>1562</v>
      </c>
      <c r="U34">
        <v>9152000400</v>
      </c>
      <c r="V34">
        <v>13258663400</v>
      </c>
      <c r="W34">
        <v>1.86</v>
      </c>
      <c r="X34">
        <v>0.13</v>
      </c>
      <c r="Y34">
        <v>14.6</v>
      </c>
      <c r="Z34" t="s">
        <v>1563</v>
      </c>
      <c r="AA34" t="s">
        <v>1564</v>
      </c>
      <c r="AB34" t="s">
        <v>417</v>
      </c>
      <c r="AC34" t="s">
        <v>1565</v>
      </c>
      <c r="AD34" t="s">
        <v>72</v>
      </c>
      <c r="AE34">
        <v>652924000</v>
      </c>
      <c r="AF34" t="s">
        <v>1566</v>
      </c>
      <c r="AG34" t="s">
        <v>1567</v>
      </c>
      <c r="AH34" t="s">
        <v>1568</v>
      </c>
      <c r="AI34" t="s">
        <v>1569</v>
      </c>
      <c r="AJ34" t="s">
        <v>1570</v>
      </c>
      <c r="AK34" t="s">
        <v>1178</v>
      </c>
      <c r="AL34" t="s">
        <v>1571</v>
      </c>
      <c r="AM34" t="s">
        <v>72</v>
      </c>
      <c r="AN34" t="s">
        <v>1572</v>
      </c>
      <c r="AO34" t="s">
        <v>411</v>
      </c>
      <c r="AP34" t="s">
        <v>402</v>
      </c>
      <c r="AQ34" t="s">
        <v>1573</v>
      </c>
      <c r="AR34" t="s">
        <v>72</v>
      </c>
      <c r="AS34" t="s">
        <v>1574</v>
      </c>
      <c r="AT34" t="s">
        <v>1575</v>
      </c>
      <c r="AU34" t="s">
        <v>1576</v>
      </c>
      <c r="AV34" t="s">
        <v>1577</v>
      </c>
      <c r="AW34" t="s">
        <v>1578</v>
      </c>
      <c r="AX34" t="s">
        <v>1579</v>
      </c>
      <c r="AY34" t="s">
        <v>1580</v>
      </c>
      <c r="AZ34" t="s">
        <v>344</v>
      </c>
      <c r="BA34" t="s">
        <v>262</v>
      </c>
      <c r="BB34" t="s">
        <v>263</v>
      </c>
      <c r="BC34" t="s">
        <v>1581</v>
      </c>
      <c r="BD34" t="s">
        <v>1582</v>
      </c>
      <c r="BE34" t="s">
        <v>345</v>
      </c>
      <c r="BF34" t="s">
        <v>264</v>
      </c>
      <c r="BG34" t="s">
        <v>265</v>
      </c>
      <c r="BH34" t="s">
        <v>1583</v>
      </c>
      <c r="BI34" t="s">
        <v>1584</v>
      </c>
      <c r="BJ34" t="s">
        <v>1579</v>
      </c>
      <c r="BK34" t="s">
        <v>1585</v>
      </c>
      <c r="BL34" t="s">
        <v>1586</v>
      </c>
      <c r="BM34" t="s">
        <v>1581</v>
      </c>
      <c r="BN34">
        <v>9.18</v>
      </c>
      <c r="BO34">
        <v>11.36</v>
      </c>
      <c r="BP34">
        <v>9.36</v>
      </c>
      <c r="BQ34">
        <v>12.17</v>
      </c>
      <c r="BR34">
        <v>14.88</v>
      </c>
      <c r="BS34">
        <v>12.26</v>
      </c>
      <c r="BT34" t="s">
        <v>1587</v>
      </c>
      <c r="BU34" t="s">
        <v>364</v>
      </c>
      <c r="BV34">
        <v>25.07</v>
      </c>
      <c r="BW34">
        <v>25.12</v>
      </c>
      <c r="BX34">
        <v>18.190000000000001</v>
      </c>
      <c r="BY34">
        <v>13.34</v>
      </c>
      <c r="BZ34">
        <v>11.51</v>
      </c>
      <c r="CA34">
        <v>8.2200000000000006</v>
      </c>
      <c r="CB34">
        <v>1.2</v>
      </c>
      <c r="CC34">
        <v>2.27</v>
      </c>
      <c r="CD34" t="s">
        <v>1588</v>
      </c>
      <c r="CE34" t="s">
        <v>1589</v>
      </c>
      <c r="CF34" s="10">
        <v>-0.39430248849156047</v>
      </c>
      <c r="CG34" s="11">
        <v>-8.6821021683204699E-2</v>
      </c>
      <c r="CH34" s="10">
        <v>0.33016133308410645</v>
      </c>
      <c r="CI34" s="10">
        <v>-8.0269977450370789E-2</v>
      </c>
      <c r="CJ34" s="10">
        <v>0.70133000612258911</v>
      </c>
      <c r="CK34" s="10">
        <v>8.9921534061431885E-2</v>
      </c>
      <c r="CL34" s="10">
        <v>0.24193398654460907</v>
      </c>
      <c r="CM34" s="11">
        <v>0.15663516521453857</v>
      </c>
      <c r="CN34" s="11">
        <v>0.32899042963981628</v>
      </c>
      <c r="CO34" s="11">
        <v>1.3258845806121826</v>
      </c>
      <c r="CP34" s="11">
        <v>4.9387034028768539E-2</v>
      </c>
      <c r="CQ34" s="11">
        <v>0.67929601669311523</v>
      </c>
      <c r="CR34">
        <v>14.774524226159842</v>
      </c>
      <c r="CS34">
        <v>0.57574586641127068</v>
      </c>
      <c r="CT34">
        <v>3.4996041171813141</v>
      </c>
      <c r="CU34" s="10">
        <v>0.25661537647247312</v>
      </c>
      <c r="CV34" s="11">
        <v>0.50803864523768427</v>
      </c>
      <c r="CW34">
        <v>0.06</v>
      </c>
      <c r="CX34">
        <v>5.7752150809118286</v>
      </c>
      <c r="CY34">
        <v>25036283146.9077</v>
      </c>
      <c r="CZ34">
        <v>0.25661537647247312</v>
      </c>
      <c r="DA34">
        <v>1.6435077651606902</v>
      </c>
      <c r="DB34">
        <v>87976414267.725143</v>
      </c>
      <c r="DC34">
        <v>0.24378460764884946</v>
      </c>
      <c r="DD34">
        <v>0.66541967120840684</v>
      </c>
      <c r="DE34">
        <v>217291321937.36276</v>
      </c>
      <c r="DF34">
        <v>0.22582153129577634</v>
      </c>
      <c r="DG34">
        <v>0.31584887463608485</v>
      </c>
      <c r="DH34">
        <v>457781969831.5968</v>
      </c>
      <c r="DI34">
        <v>0.2052923011779785</v>
      </c>
      <c r="DJ34">
        <v>9.2724950461948383E-2</v>
      </c>
      <c r="DK34">
        <v>1559342111046.3196</v>
      </c>
      <c r="DL34">
        <v>0.17963076353073118</v>
      </c>
      <c r="DM34">
        <v>21119000000</v>
      </c>
      <c r="DN34">
        <v>0.25661537647247312</v>
      </c>
      <c r="DO34">
        <v>144589920000</v>
      </c>
      <c r="DP34">
        <v>31791940000</v>
      </c>
      <c r="DQ34">
        <v>3810</v>
      </c>
      <c r="DR34">
        <v>-0.65091786496403359</v>
      </c>
      <c r="DS34">
        <v>-0.59485966692088899</v>
      </c>
      <c r="DT34" s="12">
        <v>9.3333333333333338E-2</v>
      </c>
      <c r="DU34">
        <v>0.78333333333333321</v>
      </c>
      <c r="DV34">
        <v>0.87666666666666659</v>
      </c>
      <c r="DW34">
        <v>2.2700000000000001E-2</v>
      </c>
      <c r="DX34">
        <v>0.32562539574468091</v>
      </c>
      <c r="DY34">
        <v>2.8516964834042553E-3</v>
      </c>
      <c r="DZ34">
        <v>135</v>
      </c>
      <c r="EA34">
        <v>2.7763581222967067E-3</v>
      </c>
      <c r="EB34">
        <v>0</v>
      </c>
      <c r="EC34">
        <v>6.6798513038652148E-3</v>
      </c>
      <c r="ED34">
        <v>5.3172780598683876E-2</v>
      </c>
      <c r="EE34" s="13">
        <v>1.0763100000000001</v>
      </c>
      <c r="EF34">
        <v>1.09921</v>
      </c>
      <c r="EG34">
        <v>20.125625395744681</v>
      </c>
      <c r="EH34" t="s">
        <v>550</v>
      </c>
      <c r="EI34">
        <v>0</v>
      </c>
      <c r="EJ34">
        <v>1</v>
      </c>
      <c r="EK34" s="9">
        <v>45470</v>
      </c>
      <c r="EL34" s="14">
        <v>-0.99</v>
      </c>
      <c r="EM34" s="14">
        <v>-2.99</v>
      </c>
      <c r="EN34" s="14">
        <v>0.15</v>
      </c>
      <c r="EO34" s="14">
        <v>2.34</v>
      </c>
      <c r="EP34" s="14">
        <v>-2.29</v>
      </c>
    </row>
    <row r="35" spans="1:146" ht="96" x14ac:dyDescent="0.25">
      <c r="A35" s="7"/>
      <c r="B35" s="7"/>
      <c r="C35" s="7" t="str">
        <f>""&amp;CHAR(10)&amp;Basic_Fundamental_Information_Constructure(F35)&amp;CHAR(10)&amp;Basic_Fundamental_Information_Concatenate("")</f>
        <v xml:space="preserve">
市值259.83134亿, 利润238.60亿; PE12.3; 平均PE5.15; 平均PEG.02, PB1.83; ROIC10.69%; ROE21.6033%; 股利率1.4955%; 毛利41.7%; 净利19.3%; 上一年度营收增1361.7%, 利润增1048.77%; 当季营收增-93.54%, 利润增-91.61%; 过往5年营收增280.66%, 利润增281.76%
Income profile:
</v>
      </c>
      <c r="D35" t="s">
        <v>30</v>
      </c>
      <c r="E35" t="s">
        <v>4</v>
      </c>
      <c r="F35">
        <v>10.029999999999999</v>
      </c>
      <c r="G35">
        <v>1.01</v>
      </c>
      <c r="H35" t="s">
        <v>1590</v>
      </c>
      <c r="I35">
        <v>25983134000</v>
      </c>
      <c r="J35">
        <v>12.3</v>
      </c>
      <c r="K35">
        <v>1.83</v>
      </c>
      <c r="L35" t="s">
        <v>73</v>
      </c>
      <c r="M35" t="s">
        <v>1591</v>
      </c>
      <c r="N35" t="s">
        <v>1592</v>
      </c>
      <c r="O35" t="s">
        <v>1593</v>
      </c>
      <c r="P35">
        <v>5.59</v>
      </c>
      <c r="Q35" t="s">
        <v>1594</v>
      </c>
      <c r="R35">
        <v>597626580</v>
      </c>
      <c r="S35" s="6">
        <v>6.2199999999999998E-3</v>
      </c>
      <c r="T35" t="s">
        <v>1595</v>
      </c>
      <c r="U35">
        <v>2590541800</v>
      </c>
      <c r="V35">
        <v>2590541800</v>
      </c>
      <c r="W35">
        <v>2.46</v>
      </c>
      <c r="X35">
        <v>0.08</v>
      </c>
      <c r="Y35">
        <v>21.67</v>
      </c>
      <c r="Z35" t="s">
        <v>1596</v>
      </c>
      <c r="AA35" t="s">
        <v>1597</v>
      </c>
      <c r="AB35" t="s">
        <v>1598</v>
      </c>
      <c r="AC35" t="s">
        <v>119</v>
      </c>
      <c r="AD35" t="s">
        <v>72</v>
      </c>
      <c r="AE35">
        <v>132318744</v>
      </c>
      <c r="AF35" t="s">
        <v>1599</v>
      </c>
      <c r="AG35" t="s">
        <v>1600</v>
      </c>
      <c r="AH35" t="s">
        <v>1601</v>
      </c>
      <c r="AI35" t="s">
        <v>1602</v>
      </c>
      <c r="AJ35" t="s">
        <v>1603</v>
      </c>
      <c r="AK35" t="s">
        <v>72</v>
      </c>
      <c r="AL35" t="s">
        <v>1604</v>
      </c>
      <c r="AM35" t="s">
        <v>72</v>
      </c>
      <c r="AN35" t="s">
        <v>399</v>
      </c>
      <c r="AO35" t="s">
        <v>1605</v>
      </c>
      <c r="AP35" t="s">
        <v>1606</v>
      </c>
      <c r="AQ35" t="s">
        <v>1607</v>
      </c>
      <c r="AR35" t="s">
        <v>1608</v>
      </c>
      <c r="AS35" t="s">
        <v>416</v>
      </c>
      <c r="AT35" t="s">
        <v>1609</v>
      </c>
      <c r="AU35" t="s">
        <v>1610</v>
      </c>
      <c r="AV35" t="s">
        <v>1611</v>
      </c>
      <c r="AW35" t="s">
        <v>414</v>
      </c>
      <c r="AX35" t="s">
        <v>1612</v>
      </c>
      <c r="AY35" t="s">
        <v>346</v>
      </c>
      <c r="AZ35" t="s">
        <v>266</v>
      </c>
      <c r="BA35" t="s">
        <v>127</v>
      </c>
      <c r="BB35" t="s">
        <v>268</v>
      </c>
      <c r="BC35" t="s">
        <v>1613</v>
      </c>
      <c r="BD35" t="s">
        <v>1614</v>
      </c>
      <c r="BE35" t="s">
        <v>267</v>
      </c>
      <c r="BF35" t="s">
        <v>128</v>
      </c>
      <c r="BG35" t="s">
        <v>79</v>
      </c>
      <c r="BH35" t="s">
        <v>1615</v>
      </c>
      <c r="BI35" t="s">
        <v>1616</v>
      </c>
      <c r="BJ35" t="s">
        <v>1612</v>
      </c>
      <c r="BK35" t="s">
        <v>1617</v>
      </c>
      <c r="BL35" t="s">
        <v>1618</v>
      </c>
      <c r="BM35" t="s">
        <v>1613</v>
      </c>
      <c r="BN35">
        <v>8.99</v>
      </c>
      <c r="BO35">
        <v>10.62</v>
      </c>
      <c r="BP35">
        <v>12.46</v>
      </c>
      <c r="BQ35">
        <v>15.46</v>
      </c>
      <c r="BR35">
        <v>19.559999999999999</v>
      </c>
      <c r="BS35">
        <v>29.79</v>
      </c>
      <c r="BT35" t="s">
        <v>497</v>
      </c>
      <c r="BU35" t="s">
        <v>364</v>
      </c>
      <c r="BV35">
        <v>39.659999999999997</v>
      </c>
      <c r="BW35">
        <v>42.4</v>
      </c>
      <c r="BX35">
        <v>43.04</v>
      </c>
      <c r="BY35">
        <v>18.72</v>
      </c>
      <c r="BZ35">
        <v>19.46</v>
      </c>
      <c r="CA35">
        <v>19.72</v>
      </c>
      <c r="CB35">
        <v>2.87</v>
      </c>
      <c r="CC35">
        <v>3.62</v>
      </c>
      <c r="CD35" t="s">
        <v>381</v>
      </c>
      <c r="CE35" t="s">
        <v>1619</v>
      </c>
      <c r="CF35" s="10">
        <v>-0.9354211982345364</v>
      </c>
      <c r="CG35" s="11">
        <v>-0.91614612319348954</v>
      </c>
      <c r="CH35" s="10">
        <v>13.617012023925781</v>
      </c>
      <c r="CI35" s="10">
        <v>-3.8914214819669724E-2</v>
      </c>
      <c r="CJ35" s="10">
        <v>0.49479356408119202</v>
      </c>
      <c r="CK35" s="10">
        <v>-9.4210721552371979E-2</v>
      </c>
      <c r="CL35" s="10">
        <v>5.4171353578567505E-2</v>
      </c>
      <c r="CM35" s="11">
        <v>10.487723350524902</v>
      </c>
      <c r="CN35" s="11">
        <v>-0.21975964307785034</v>
      </c>
      <c r="CO35" s="11">
        <v>2.1428573131561279</v>
      </c>
      <c r="CP35" s="11">
        <v>0.4704861044883728</v>
      </c>
      <c r="CQ35" s="11">
        <v>1.2068965435028076</v>
      </c>
      <c r="CR35">
        <v>5.1480634019086615</v>
      </c>
      <c r="CS35">
        <v>1.8342897794390078E-2</v>
      </c>
      <c r="CT35">
        <v>1.4955134596211366</v>
      </c>
      <c r="CU35" s="10">
        <v>2.8065704010426997</v>
      </c>
      <c r="CV35" s="11">
        <v>2.8176407337188722</v>
      </c>
      <c r="CW35">
        <v>0.06</v>
      </c>
      <c r="CX35">
        <v>0.37175235484680935</v>
      </c>
      <c r="CY35">
        <v>85683745064.980011</v>
      </c>
      <c r="CZ35">
        <v>2.8065704010426997</v>
      </c>
      <c r="DA35">
        <v>2.3504708377666553E-2</v>
      </c>
      <c r="DB35">
        <v>1355180991322.822</v>
      </c>
      <c r="DC35">
        <v>2.6662418809905648</v>
      </c>
      <c r="DD35">
        <v>7.5427992796719588E-4</v>
      </c>
      <c r="DE35">
        <v>42229857668153.82</v>
      </c>
      <c r="DF35">
        <v>2.4697819529175757</v>
      </c>
      <c r="DG35">
        <v>1.2425381178554606E-5</v>
      </c>
      <c r="DH35">
        <v>2563553869476167.5</v>
      </c>
      <c r="DI35">
        <v>2.24525632083416</v>
      </c>
      <c r="DJ35">
        <v>1.0002686880253239E-9</v>
      </c>
      <c r="DK35">
        <v>3.1844577743288881E+19</v>
      </c>
      <c r="DL35">
        <v>1.9645992807298898</v>
      </c>
      <c r="DM35">
        <v>23860000000</v>
      </c>
      <c r="DN35">
        <v>2.8065704010426997</v>
      </c>
      <c r="DO35">
        <v>31853134000</v>
      </c>
      <c r="DP35">
        <v>-5028267300</v>
      </c>
      <c r="DQ35">
        <v>3816</v>
      </c>
      <c r="DR35">
        <v>-3.7419915992772363</v>
      </c>
      <c r="DS35">
        <v>-3.7337868569123618</v>
      </c>
      <c r="DT35" s="12">
        <v>-6.6666666666666714E-3</v>
      </c>
      <c r="DU35">
        <v>0.41166666666666657</v>
      </c>
      <c r="DV35">
        <v>0.40499999999999992</v>
      </c>
      <c r="DW35">
        <v>8.7928176795580111</v>
      </c>
      <c r="DX35">
        <v>0.32305949008498686</v>
      </c>
      <c r="DY35">
        <v>8.1134200929679317</v>
      </c>
      <c r="DZ35">
        <v>2553</v>
      </c>
      <c r="EA35">
        <v>8.0567544379097846</v>
      </c>
      <c r="EB35">
        <v>8</v>
      </c>
      <c r="EC35">
        <v>3.8987983131559587E-2</v>
      </c>
      <c r="ED35">
        <v>0.27252986228595116</v>
      </c>
      <c r="EE35" s="13">
        <v>5.6099999999999987E-3</v>
      </c>
      <c r="EF35">
        <v>9.2999999999999992E-3</v>
      </c>
      <c r="EG35">
        <v>18.143059490084987</v>
      </c>
      <c r="EH35" t="s">
        <v>380</v>
      </c>
      <c r="EI35">
        <v>0</v>
      </c>
      <c r="EJ35">
        <v>0</v>
      </c>
      <c r="EK35" s="9">
        <v>45470</v>
      </c>
      <c r="EL35" s="14">
        <v>0.72</v>
      </c>
      <c r="EM35" s="14">
        <v>-0.71</v>
      </c>
      <c r="EN35">
        <v>1.08</v>
      </c>
      <c r="EO35">
        <v>1.1299999999999999</v>
      </c>
      <c r="EP35">
        <v>1.49</v>
      </c>
    </row>
  </sheetData>
  <autoFilter ref="BU1:BU35"/>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煤炭开采加工&quot;,&quot;&quot;'" altText="更新基本面按钮_x000a_">
                <anchor moveWithCells="1" sizeWithCells="1">
                  <from>
                    <xdr:col>147</xdr:col>
                    <xdr:colOff>228600</xdr:colOff>
                    <xdr:row>0</xdr:row>
                    <xdr:rowOff>107950</xdr:rowOff>
                  </from>
                  <to>
                    <xdr:col>147</xdr:col>
                    <xdr:colOff>1397000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煤炭开采加工</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2024-07-10T22:31:16Z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