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机械设备\"/>
    </mc:Choice>
  </mc:AlternateContent>
  <bookViews>
    <workbookView xWindow="0" yWindow="0" windowWidth="3800" windowHeight="2950"/>
  </bookViews>
  <sheets>
    <sheet name="非汽车交运" sheetId="7" r:id="rId1"/>
    <sheet name="估值-增速与年化收益" sheetId="14" r:id="rId2"/>
  </sheets>
  <functionGroups builtInGroupCount="18"/>
  <definedNames>
    <definedName name="_xlnm._FilterDatabase" localSheetId="0" hidden="1">非汽车交运!$BU$1:$BU$96</definedName>
  </definedNames>
  <calcPr calcId="152511"/>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5" i="7"/>
  <c r="C17" i="7"/>
  <c r="C18" i="7"/>
  <c r="C24" i="7"/>
  <c r="C30" i="7"/>
  <c r="C19" i="7"/>
  <c r="C7" i="7"/>
  <c r="C16" i="7"/>
  <c r="C10" i="7"/>
  <c r="C13" i="7"/>
  <c r="C2" i="7"/>
  <c r="C22" i="7"/>
  <c r="C14" i="7"/>
  <c r="C26" i="7"/>
  <c r="C3" i="7"/>
  <c r="C27" i="7"/>
  <c r="C9" i="7"/>
  <c r="C21" i="7"/>
  <c r="C11" i="7"/>
  <c r="C28" i="7"/>
  <c r="C8" i="7"/>
  <c r="C23" i="7"/>
  <c r="C15" i="7"/>
  <c r="C29" i="7"/>
  <c r="C25" i="7"/>
  <c r="C4" i="7"/>
  <c r="C12" i="7"/>
</calcChain>
</file>

<file path=xl/sharedStrings.xml><?xml version="1.0" encoding="utf-8"?>
<sst xmlns="http://schemas.openxmlformats.org/spreadsheetml/2006/main" count="1768" uniqueCount="1317">
  <si>
    <t>&lt;-增速</t>
    <phoneticPr fontId="1" type="noConversion"/>
  </si>
  <si>
    <t>&lt;-估值</t>
    <phoneticPr fontId="1" type="noConversion"/>
  </si>
  <si>
    <t>&lt;-折合年化收益</t>
    <phoneticPr fontId="1" type="noConversion"/>
  </si>
  <si>
    <t>已知和基本信息</t>
    <phoneticPr fontId="1" type="noConversion"/>
  </si>
  <si>
    <t>预期多</t>
    <phoneticPr fontId="1" type="noConversion"/>
  </si>
  <si>
    <t>预期空</t>
    <phoneticPr fontId="1" type="noConversion"/>
  </si>
  <si>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</si>
  <si>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</si>
  <si>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</si>
  <si>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</si>
  <si>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</si>
  <si>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</si>
  <si>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</si>
  <si>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</si>
  <si>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</si>
  <si>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</si>
  <si>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</si>
  <si>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</si>
  <si>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</si>
  <si>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现价</t>
  </si>
  <si>
    <t>总市值</t>
  </si>
  <si>
    <t>TTM市盈率</t>
  </si>
  <si>
    <t>市净率</t>
  </si>
  <si>
    <t>所属行业</t>
  </si>
  <si>
    <t>负债合计</t>
  </si>
  <si>
    <t>所有者权益合计</t>
  </si>
  <si>
    <t>主营业务收入</t>
  </si>
  <si>
    <t>净利润增长率</t>
  </si>
  <si>
    <t>总股本</t>
  </si>
  <si>
    <t>财务费用</t>
  </si>
  <si>
    <t>投资收益</t>
  </si>
  <si>
    <t>应收账款</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</si>
  <si>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</si>
  <si>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</si>
  <si>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</si>
  <si>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</si>
  <si>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</si>
  <si>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</si>
  <si>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</si>
  <si>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</si>
  <si>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</si>
  <si>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</si>
  <si>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</si>
  <si>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销售毛利率%[20201231]</t>
  </si>
  <si>
    <t>销售毛利率%[20191231]</t>
  </si>
  <si>
    <t>销售净利率%[20201231]</t>
  </si>
  <si>
    <t>销售净利率%[20191231]</t>
  </si>
  <si>
    <t>--</t>
  </si>
  <si>
    <t>1.24亿</t>
  </si>
  <si>
    <t>2.41亿</t>
  </si>
  <si>
    <t>1.26亿</t>
  </si>
  <si>
    <t>1.40亿</t>
  </si>
  <si>
    <t>1.54亿</t>
  </si>
  <si>
    <t>3.49亿</t>
  </si>
  <si>
    <t>1.10亿</t>
  </si>
  <si>
    <t>1.59亿</t>
  </si>
  <si>
    <t>4.74亿</t>
  </si>
  <si>
    <t>1.22亿</t>
  </si>
  <si>
    <t>0亿</t>
  </si>
  <si>
    <t>1.94亿</t>
  </si>
  <si>
    <t>1.51亿</t>
  </si>
  <si>
    <t>2.62亿</t>
  </si>
  <si>
    <t>5.84亿</t>
  </si>
  <si>
    <t>1.11亿</t>
  </si>
  <si>
    <t>1.45亿</t>
  </si>
  <si>
    <t>1.27亿</t>
  </si>
  <si>
    <t>1.46亿</t>
  </si>
  <si>
    <t>1.05亿</t>
  </si>
  <si>
    <t>1.29亿</t>
  </si>
  <si>
    <t>1.04亿</t>
  </si>
  <si>
    <t>2.73亿</t>
  </si>
  <si>
    <t>2.50亿</t>
  </si>
  <si>
    <t>1.17亿</t>
  </si>
  <si>
    <t>1.16亿</t>
  </si>
  <si>
    <t>1.53亿</t>
  </si>
  <si>
    <t>1.06亿</t>
  </si>
  <si>
    <t>2.83亿</t>
  </si>
  <si>
    <t>1.14亿</t>
  </si>
  <si>
    <t>1.37亿</t>
  </si>
  <si>
    <t>2.61亿</t>
  </si>
  <si>
    <t>4.42亿</t>
  </si>
  <si>
    <t>1.34亿</t>
  </si>
  <si>
    <t>1.02亿</t>
  </si>
  <si>
    <t>1.65亿</t>
  </si>
  <si>
    <t>3.36亿</t>
  </si>
  <si>
    <t>1.19亿</t>
  </si>
  <si>
    <t>3.21亿</t>
  </si>
  <si>
    <t>1.01亿</t>
  </si>
  <si>
    <t>3.50亿</t>
  </si>
  <si>
    <t>2.01亿</t>
  </si>
  <si>
    <t>1.85亿</t>
  </si>
  <si>
    <t>1.81亿</t>
  </si>
  <si>
    <t>2.12亿</t>
  </si>
  <si>
    <t>1.67亿</t>
  </si>
  <si>
    <t>4.63亿</t>
  </si>
  <si>
    <t>1.23亿</t>
  </si>
  <si>
    <t>2.36亿</t>
  </si>
  <si>
    <t>1.68亿</t>
  </si>
  <si>
    <t>1.09亿</t>
  </si>
  <si>
    <t>3.59亿</t>
  </si>
  <si>
    <t>4.68亿</t>
  </si>
  <si>
    <t>16.27亿</t>
  </si>
  <si>
    <t>2.53亿</t>
  </si>
  <si>
    <t>1.21亿</t>
  </si>
  <si>
    <t>3.45亿</t>
  </si>
  <si>
    <t>3.02亿</t>
  </si>
  <si>
    <t>3.03亿</t>
  </si>
  <si>
    <t>3.61亿</t>
  </si>
  <si>
    <t>1.69亿</t>
  </si>
  <si>
    <t>6.50亿</t>
  </si>
  <si>
    <t>1.49亿</t>
  </si>
  <si>
    <t>1.00亿</t>
  </si>
  <si>
    <t>1.91亿</t>
  </si>
  <si>
    <t>2.00亿</t>
  </si>
  <si>
    <t>9.69亿</t>
  </si>
  <si>
    <t>3.40亿</t>
  </si>
  <si>
    <t>11.63亿</t>
  </si>
  <si>
    <t>2.81亿</t>
  </si>
  <si>
    <t>20.18亿</t>
  </si>
  <si>
    <t>16.00亿</t>
  </si>
  <si>
    <t>4.26亿</t>
  </si>
  <si>
    <t>3.13亿</t>
  </si>
  <si>
    <t>3.62亿</t>
  </si>
  <si>
    <t>25.65亿</t>
  </si>
  <si>
    <t>4.34亿</t>
  </si>
  <si>
    <t>2.37亿</t>
  </si>
  <si>
    <t>3.71亿</t>
  </si>
  <si>
    <t>3.25亿</t>
  </si>
  <si>
    <t>3.01亿</t>
  </si>
  <si>
    <t>13.82亿</t>
  </si>
  <si>
    <t>33.98亿</t>
  </si>
  <si>
    <t>代码</t>
  </si>
  <si>
    <t>SZ000008</t>
  </si>
  <si>
    <t>神州高铁</t>
  </si>
  <si>
    <t>非汽车交运</t>
  </si>
  <si>
    <t>19.18亿</t>
  </si>
  <si>
    <t>-8.94亿</t>
  </si>
  <si>
    <t>32.20亿</t>
  </si>
  <si>
    <t>18.76亿</t>
  </si>
  <si>
    <t>SZ000925</t>
  </si>
  <si>
    <t>众合科技</t>
  </si>
  <si>
    <t>29.27亿</t>
  </si>
  <si>
    <t>5643.06万</t>
  </si>
  <si>
    <t>-5.77亿</t>
  </si>
  <si>
    <t>27.78亿</t>
  </si>
  <si>
    <t>20.89亿</t>
  </si>
  <si>
    <t>2701.10万</t>
  </si>
  <si>
    <t>SZ000976</t>
  </si>
  <si>
    <t>6.76亿</t>
  </si>
  <si>
    <t>10.54亿</t>
  </si>
  <si>
    <t>16.72亿</t>
  </si>
  <si>
    <t>17.31亿</t>
  </si>
  <si>
    <t>SZ002972</t>
  </si>
  <si>
    <t>科安达</t>
  </si>
  <si>
    <t>2.69亿</t>
  </si>
  <si>
    <t>9514.53万</t>
  </si>
  <si>
    <t>5.53亿</t>
  </si>
  <si>
    <t>SZ300011</t>
  </si>
  <si>
    <t>鼎汉技术</t>
  </si>
  <si>
    <t>12.20亿</t>
  </si>
  <si>
    <t>-4.70亿</t>
  </si>
  <si>
    <t>13.57亿</t>
  </si>
  <si>
    <t>12.37亿</t>
  </si>
  <si>
    <t>4268.27万</t>
  </si>
  <si>
    <t>SZ300351</t>
  </si>
  <si>
    <t>永贵电器</t>
  </si>
  <si>
    <t>10.80亿</t>
  </si>
  <si>
    <t>13.10亿</t>
  </si>
  <si>
    <t>-4.30亿</t>
  </si>
  <si>
    <t>-4.59亿</t>
  </si>
  <si>
    <t>SZ300594</t>
  </si>
  <si>
    <t>朗进科技</t>
  </si>
  <si>
    <t>8688.18万</t>
  </si>
  <si>
    <t>5.26亿</t>
  </si>
  <si>
    <t>8174.38万</t>
  </si>
  <si>
    <t>7628.84万</t>
  </si>
  <si>
    <t>SZ300851</t>
  </si>
  <si>
    <t>交大思诺</t>
  </si>
  <si>
    <t>3.44亿</t>
  </si>
  <si>
    <t>3.05亿</t>
  </si>
  <si>
    <t>SZ300906</t>
  </si>
  <si>
    <t>日月明</t>
  </si>
  <si>
    <t>5395.56万</t>
  </si>
  <si>
    <t>6223.98万</t>
  </si>
  <si>
    <t>4486.92万</t>
  </si>
  <si>
    <t>SZ300923</t>
  </si>
  <si>
    <t>研奥股份</t>
  </si>
  <si>
    <t>5785.52万</t>
  </si>
  <si>
    <t>5970.25万</t>
  </si>
  <si>
    <t>4942.01万</t>
  </si>
  <si>
    <t>SZ300960</t>
  </si>
  <si>
    <t>通业科技</t>
  </si>
  <si>
    <t>3.18亿</t>
  </si>
  <si>
    <t>7367.88万</t>
  </si>
  <si>
    <t>3.89亿</t>
  </si>
  <si>
    <t>3.60亿</t>
  </si>
  <si>
    <t>7421.40万</t>
  </si>
  <si>
    <t>5189.08万</t>
  </si>
  <si>
    <t>SZ301016</t>
  </si>
  <si>
    <t>雷尔伟</t>
  </si>
  <si>
    <t>4.67亿</t>
  </si>
  <si>
    <t>8597.02万</t>
  </si>
  <si>
    <t>5240.89万</t>
  </si>
  <si>
    <t>SZ301048</t>
  </si>
  <si>
    <t>金鹰重工</t>
  </si>
  <si>
    <t>26.35亿</t>
  </si>
  <si>
    <t>21.98亿</t>
  </si>
  <si>
    <t>5.78亿</t>
  </si>
  <si>
    <t>SH600495</t>
  </si>
  <si>
    <t>晋西车轴</t>
  </si>
  <si>
    <t>11.40亿</t>
  </si>
  <si>
    <t>2024.43万</t>
  </si>
  <si>
    <t>14.38亿</t>
  </si>
  <si>
    <t>13.75亿</t>
  </si>
  <si>
    <t>6007.89万</t>
  </si>
  <si>
    <t>3572.47万</t>
  </si>
  <si>
    <t>SH600528</t>
  </si>
  <si>
    <t>中铁工业</t>
  </si>
  <si>
    <t>242.92亿</t>
  </si>
  <si>
    <t>18.26亿</t>
  </si>
  <si>
    <t>5.10亿</t>
  </si>
  <si>
    <t>205.75亿</t>
  </si>
  <si>
    <t>178.98亿</t>
  </si>
  <si>
    <t>14.81亿</t>
  </si>
  <si>
    <t>SH601766</t>
  </si>
  <si>
    <t>中国中车</t>
  </si>
  <si>
    <t>2276.56亿</t>
  </si>
  <si>
    <t>113.31亿</t>
  </si>
  <si>
    <t>2290.11亿</t>
  </si>
  <si>
    <t>2190.83亿</t>
  </si>
  <si>
    <t>117.95亿</t>
  </si>
  <si>
    <t>113.05亿</t>
  </si>
  <si>
    <t>SH603111</t>
  </si>
  <si>
    <t>康尼机电</t>
  </si>
  <si>
    <t>33.26亿</t>
  </si>
  <si>
    <t>4.27亿</t>
  </si>
  <si>
    <t>34.15亿</t>
  </si>
  <si>
    <t>-31.51亿</t>
  </si>
  <si>
    <t>2.11亿</t>
  </si>
  <si>
    <t>SH603500</t>
  </si>
  <si>
    <t>祥和实业</t>
  </si>
  <si>
    <t>5655.49万</t>
  </si>
  <si>
    <t>8867.50万</t>
  </si>
  <si>
    <t>8237.47万</t>
  </si>
  <si>
    <t>SH603680</t>
  </si>
  <si>
    <t>今创集团</t>
  </si>
  <si>
    <t>38.78亿</t>
  </si>
  <si>
    <t>37.53亿</t>
  </si>
  <si>
    <t>32.28亿</t>
  </si>
  <si>
    <t>3.96亿</t>
  </si>
  <si>
    <t>SH605001</t>
  </si>
  <si>
    <t>威奥股份</t>
  </si>
  <si>
    <t>4.80亿</t>
  </si>
  <si>
    <t>16.09亿</t>
  </si>
  <si>
    <t>15.11亿</t>
  </si>
  <si>
    <t>11.49亿</t>
  </si>
  <si>
    <t>SH605298</t>
  </si>
  <si>
    <t>必得科技</t>
  </si>
  <si>
    <t>3.47亿</t>
  </si>
  <si>
    <t>SH688009</t>
  </si>
  <si>
    <t>中国通号</t>
  </si>
  <si>
    <t>401.24亿</t>
  </si>
  <si>
    <t>38.19亿</t>
  </si>
  <si>
    <t>416.46亿</t>
  </si>
  <si>
    <t>400.13亿</t>
  </si>
  <si>
    <t>38.16亿</t>
  </si>
  <si>
    <t>34.09亿</t>
  </si>
  <si>
    <t>SH688015</t>
  </si>
  <si>
    <t>交控科技</t>
  </si>
  <si>
    <t>20.26亿</t>
  </si>
  <si>
    <t>16.52亿</t>
  </si>
  <si>
    <t>6639.52万</t>
  </si>
  <si>
    <t>SH688187</t>
  </si>
  <si>
    <t>时代电气</t>
  </si>
  <si>
    <t>160.34亿</t>
  </si>
  <si>
    <t>24.75亿</t>
  </si>
  <si>
    <t>163.04亿</t>
  </si>
  <si>
    <t>156.58亿</t>
  </si>
  <si>
    <t>26.59亿</t>
  </si>
  <si>
    <t>26.12亿</t>
  </si>
  <si>
    <t>25.23亿</t>
  </si>
  <si>
    <t>SH688285</t>
  </si>
  <si>
    <t>高铁电气</t>
  </si>
  <si>
    <t>13.55亿</t>
  </si>
  <si>
    <t>12.87亿</t>
  </si>
  <si>
    <t>10.40亿</t>
  </si>
  <si>
    <t>7498.35万</t>
  </si>
  <si>
    <t>SH688367</t>
  </si>
  <si>
    <t>工大高科</t>
  </si>
  <si>
    <t>4853.48万</t>
  </si>
  <si>
    <t>3722.63万</t>
  </si>
  <si>
    <t>2097.42万</t>
  </si>
  <si>
    <t>SH688569</t>
  </si>
  <si>
    <t>铁科轨道</t>
  </si>
  <si>
    <t>12.29亿</t>
  </si>
  <si>
    <t>12.65亿</t>
  </si>
  <si>
    <t>11.19亿</t>
  </si>
  <si>
    <t>1.轨道交通信号控制系统及应用于轨道交通行业的防雷产品，其对铁路、地铁等轨道交通市场较为依赖。</t>
    <phoneticPr fontId="1" type="noConversion"/>
  </si>
  <si>
    <t>轨道交通信号控制系统 2.74亿 76.02%（毛利59.51%,增速10.39%）
防雷及防护业务 8051.82万 22.33%（毛利67.09%，增速8.54%）
道岔融雪系统 594.51万 1.65%（毛利66.51%）
其他 4400.00 0.0012%</t>
    <phoneticPr fontId="1" type="noConversion"/>
  </si>
  <si>
    <t>1.公司根据未来发展战略规划，在继续稳固发展轨道交通业务市场的基础上，设立专门的研发和销售团队，积极开拓新的业务领域，加大了新能源汽车、数据中心、热泵烘干领域的节能产品研发和市场布局，新业务板块产品陆续投放市场，实现营业收入的持续增</t>
    <phoneticPr fontId="1" type="noConversion"/>
  </si>
  <si>
    <t>1.2021Q2预告利润下降-70%以上，原因是准备新业务</t>
    <phoneticPr fontId="1" type="noConversion"/>
  </si>
  <si>
    <t>1.2021年中报每股收益0.67元，净利润8015.63万元，同比去年增长56.90%，处于招股说明书的预测的上限，增速可期待；</t>
    <phoneticPr fontId="1" type="noConversion"/>
  </si>
  <si>
    <r>
      <t>1.目前公司</t>
    </r>
    <r>
      <rPr>
        <sz val="9"/>
        <color rgb="FFFF0000"/>
        <rFont val="宋体"/>
        <family val="3"/>
        <charset val="134"/>
        <scheme val="minor"/>
      </rPr>
      <t>竞争对手</t>
    </r>
    <r>
      <rPr>
        <sz val="9"/>
        <color theme="1"/>
        <rFont val="宋体"/>
        <family val="2"/>
        <charset val="134"/>
        <scheme val="minor"/>
      </rPr>
      <t>主要包括南京金欧铁路装配制造有限公司、南京中兴轨道装备有限公司、广东南奥交通设备有限公司、青岛泰泓轨道装备有限公司、株洲联诚集团控股股份有限公司，</t>
    </r>
    <r>
      <rPr>
        <sz val="9"/>
        <color rgb="FFFF0000"/>
        <rFont val="宋体"/>
        <family val="3"/>
        <charset val="134"/>
        <scheme val="minor"/>
      </rPr>
      <t>均为非上市公司</t>
    </r>
    <r>
      <rPr>
        <sz val="9"/>
        <color theme="1"/>
        <rFont val="宋体"/>
        <family val="2"/>
        <charset val="134"/>
        <scheme val="minor"/>
      </rPr>
      <t>；2.基于我国相关产业政策及市场格局，自 2015 年中国南车与中国北车合并为中国中车后，国内整车制造业务主要集中于中国中车各子公司。按照同一控制口径统计公司主要客户集中于中国中车，报告期内，公司对中国中车销售金额占主营业务收入的比例比分别为 85.76%、89.63%、93.77%；3.公司产品的市场需求主要与下游整车行业的景气度密切相关，而整车行业的发展主要取决于我国铁路投资规模的大小</t>
    </r>
    <phoneticPr fontId="1" type="noConversion"/>
  </si>
  <si>
    <t>轨道扣件非金属部件和电子元器件配件的研发、生产和销售。
扣件系统用尼龙件 1.60亿 58.53%（毛利51.78%）
扣件系统用橡胶件 3124.46万 11.44%（毛利43.83%）
橡胶塞 2817.27万 10.31%（毛利20.26%）
底座 2113.42万 7.74%（毛利14.64%）
扣件系统用塑料件 1152.17万 4.22%（毛利67.95%）
WJ8铁垫板下弹性垫板 1130.76万 4.14%（毛利23.38%）
盖板 781.07万 2.86%（毛利3.55%）
其他业务 209.80万 0.77%（毛利79.83%）</t>
    <phoneticPr fontId="1" type="noConversion"/>
  </si>
  <si>
    <t>流通股本</t>
  </si>
  <si>
    <t>净利润[20201231]</t>
  </si>
  <si>
    <t>投入资本回报率roic%[20201231]</t>
  </si>
  <si>
    <t>净资产收益率%[20201231]</t>
  </si>
  <si>
    <t>22.15亿</t>
  </si>
  <si>
    <t>-13.94亿</t>
  </si>
  <si>
    <t>29.06亿</t>
  </si>
  <si>
    <t>4.01亿</t>
  </si>
  <si>
    <t>1992.96万</t>
  </si>
  <si>
    <t>6.15亿</t>
  </si>
  <si>
    <t>552.08万</t>
  </si>
  <si>
    <t>9692.75万</t>
  </si>
  <si>
    <t>4067.92万</t>
  </si>
  <si>
    <t>4.09亿</t>
  </si>
  <si>
    <t>7533.44万</t>
  </si>
  <si>
    <t>2.94亿</t>
  </si>
  <si>
    <t>4536.70万</t>
  </si>
  <si>
    <t>30.52亿</t>
  </si>
  <si>
    <t>26.22亿</t>
  </si>
  <si>
    <t>12.07亿</t>
  </si>
  <si>
    <t>1080.58万</t>
  </si>
  <si>
    <t>271.57亿</t>
  </si>
  <si>
    <t>18.56亿</t>
  </si>
  <si>
    <t>1.41亿</t>
  </si>
  <si>
    <t>2257.32亿</t>
  </si>
  <si>
    <t>103.03亿</t>
  </si>
  <si>
    <t>35.25亿</t>
  </si>
  <si>
    <t>3.70亿</t>
  </si>
  <si>
    <t>4.88亿</t>
  </si>
  <si>
    <t>6274.72万</t>
  </si>
  <si>
    <t>37.94亿</t>
  </si>
  <si>
    <t>-2.06亿</t>
  </si>
  <si>
    <t>8452.61万</t>
  </si>
  <si>
    <t>383.58亿</t>
  </si>
  <si>
    <t>32.75亿</t>
  </si>
  <si>
    <t>25.82亿</t>
  </si>
  <si>
    <t>2.91亿</t>
  </si>
  <si>
    <t>151.21亿</t>
  </si>
  <si>
    <t>151.44亿</t>
  </si>
  <si>
    <t>14.15亿</t>
  </si>
  <si>
    <t>5725.53万</t>
  </si>
  <si>
    <t>13.51亿</t>
  </si>
  <si>
    <t xml:space="preserve">    名称</t>
  </si>
  <si>
    <t>净利润?</t>
  </si>
  <si>
    <t>扣非净利润</t>
  </si>
  <si>
    <t>营业总收入[20201231]</t>
  </si>
  <si>
    <t>投入资本回报率roic%[20211231]</t>
  </si>
  <si>
    <t>净资产收益率%[20211231]</t>
  </si>
  <si>
    <t>单季营收增速</t>
  </si>
  <si>
    <t>单季利润增速</t>
  </si>
  <si>
    <t>亏损</t>
  </si>
  <si>
    <t>扭亏</t>
  </si>
  <si>
    <t>-1-0</t>
  </si>
  <si>
    <t>1.74亿</t>
  </si>
  <si>
    <t>1.25亿</t>
  </si>
  <si>
    <t>1-0</t>
  </si>
  <si>
    <t>2.68亿</t>
  </si>
  <si>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</si>
  <si>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</si>
  <si>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</si>
  <si>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</si>
  <si>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</si>
  <si>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</si>
  <si>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</si>
  <si>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</si>
  <si>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</si>
  <si>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轨交设备</t>
  </si>
  <si>
    <t>3.06亿</t>
  </si>
  <si>
    <t>5.18亿</t>
  </si>
  <si>
    <t>12.91亿</t>
  </si>
  <si>
    <t>2.88亿</t>
  </si>
  <si>
    <t>3.48亿</t>
  </si>
  <si>
    <t>3.14亿</t>
  </si>
  <si>
    <t>-1.21亿</t>
  </si>
  <si>
    <t>3.16亿</t>
  </si>
  <si>
    <t>2.93亿</t>
  </si>
  <si>
    <t>2.96亿</t>
  </si>
  <si>
    <t>1.89亿</t>
  </si>
  <si>
    <t>7.55亿</t>
  </si>
  <si>
    <t>7.28亿</t>
  </si>
  <si>
    <t>52.98亿</t>
  </si>
  <si>
    <t>6.95亿</t>
  </si>
  <si>
    <t>1.28亿</t>
  </si>
  <si>
    <t>1.82亿</t>
  </si>
  <si>
    <t>5.94亿</t>
  </si>
  <si>
    <t>2.75亿</t>
  </si>
  <si>
    <t>SH688459</t>
  </si>
  <si>
    <t>哈铁科技</t>
  </si>
  <si>
    <t>1.08亿</t>
  </si>
  <si>
    <t>8.01亿</t>
  </si>
  <si>
    <t>6.89亿</t>
  </si>
  <si>
    <t>7.90亿</t>
  </si>
  <si>
    <t>7254.62万</t>
  </si>
  <si>
    <t>9.02亿</t>
  </si>
  <si>
    <t>11.79亿</t>
  </si>
  <si>
    <t>13.31亿</t>
  </si>
  <si>
    <t>12.45亿</t>
  </si>
  <si>
    <t>9.07亿</t>
  </si>
  <si>
    <t>2.06亿</t>
  </si>
  <si>
    <t>2.48亿</t>
  </si>
  <si>
    <t>1.63亿</t>
  </si>
  <si>
    <t>1.13亿</t>
  </si>
  <si>
    <t>6.37亿</t>
  </si>
  <si>
    <t>5.97亿</t>
  </si>
  <si>
    <t>5.27亿</t>
  </si>
  <si>
    <t>2.25亿</t>
  </si>
  <si>
    <t>2.64亿</t>
  </si>
  <si>
    <t>2.04亿</t>
  </si>
  <si>
    <t>2.49亿</t>
  </si>
  <si>
    <t>1.33亿</t>
  </si>
  <si>
    <t>1.66亿</t>
  </si>
  <si>
    <t>3.79亿</t>
  </si>
  <si>
    <t>4.30亿</t>
  </si>
  <si>
    <t>3.37亿</t>
  </si>
  <si>
    <t>4.23亿</t>
  </si>
  <si>
    <t>2.55亿</t>
  </si>
  <si>
    <t>37.21亿</t>
  </si>
  <si>
    <t>2.67亿</t>
  </si>
  <si>
    <t>6.22亿</t>
  </si>
  <si>
    <t>5.57亿</t>
  </si>
  <si>
    <t>1.56亿</t>
  </si>
  <si>
    <t>10.07亿</t>
  </si>
  <si>
    <t>8.67亿</t>
  </si>
  <si>
    <t>-1.20亿</t>
  </si>
  <si>
    <t>127.32亿</t>
  </si>
  <si>
    <t>343.05亿</t>
  </si>
  <si>
    <t>10875598300亿</t>
  </si>
  <si>
    <t>94.49亿</t>
  </si>
  <si>
    <t>72.59亿</t>
  </si>
  <si>
    <t>6.59亿</t>
  </si>
  <si>
    <t>5.14亿</t>
  </si>
  <si>
    <t>-56569092亿</t>
  </si>
  <si>
    <t>846.06万</t>
  </si>
  <si>
    <t>1138433420亿</t>
  </si>
  <si>
    <t>76.94亿</t>
  </si>
  <si>
    <t>9881922500亿</t>
  </si>
  <si>
    <t>28.82亿</t>
  </si>
  <si>
    <t>35995140000亿</t>
  </si>
  <si>
    <t>7.02亿</t>
  </si>
  <si>
    <t>22.95亿</t>
  </si>
  <si>
    <t>57.59亿</t>
  </si>
  <si>
    <t>112.64亿</t>
  </si>
  <si>
    <t>7268.80万</t>
  </si>
  <si>
    <t>-2.65亿</t>
  </si>
  <si>
    <t>-7.23亿</t>
  </si>
  <si>
    <t>65.27亿</t>
  </si>
  <si>
    <t>85.26亿</t>
  </si>
  <si>
    <t>8.71亿</t>
  </si>
  <si>
    <t>12.02亿</t>
  </si>
  <si>
    <t>32.60亿</t>
  </si>
  <si>
    <t>28.07亿</t>
  </si>
  <si>
    <t>2.56亿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</si>
  <si>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</si>
  <si>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</si>
  <si>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</si>
  <si>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</si>
  <si>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</si>
  <si>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</si>
  <si>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</si>
  <si>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</si>
  <si>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</si>
  <si>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</si>
  <si>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</si>
  <si>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</si>
  <si>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</si>
  <si>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</si>
  <si>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</si>
  <si>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</si>
  <si>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</si>
  <si>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</si>
  <si>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</si>
  <si>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</si>
  <si>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</si>
  <si>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</si>
  <si>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</si>
  <si>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</si>
  <si>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</si>
  <si>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</si>
  <si>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</si>
  <si>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</si>
  <si>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</si>
  <si>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</si>
  <si>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</si>
  <si>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</si>
  <si>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市销率</t>
    <phoneticPr fontId="1" type="noConversion"/>
  </si>
  <si>
    <t>过往营收增速均值</t>
    <phoneticPr fontId="1" type="noConversion"/>
  </si>
  <si>
    <t>1年自由现金流折现</t>
    <phoneticPr fontId="1" type="noConversion"/>
  </si>
  <si>
    <t>3年自由现金流折现</t>
    <phoneticPr fontId="1" type="noConversion"/>
  </si>
  <si>
    <t>6年自由现金流折现</t>
    <phoneticPr fontId="1" type="noConversion"/>
  </si>
  <si>
    <t>10增速</t>
    <phoneticPr fontId="1" type="noConversion"/>
  </si>
  <si>
    <t>清算价格</t>
    <phoneticPr fontId="1" type="noConversion"/>
  </si>
  <si>
    <t>策略1营收单季最佳增速</t>
    <phoneticPr fontId="1" type="noConversion"/>
  </si>
  <si>
    <t>营收成长策略</t>
    <phoneticPr fontId="1" type="noConversion"/>
  </si>
  <si>
    <t>利润成长策略</t>
    <phoneticPr fontId="1" type="noConversion"/>
  </si>
  <si>
    <t>营收和利润加权</t>
    <phoneticPr fontId="1" type="noConversion"/>
  </si>
  <si>
    <t>成交量综合策略</t>
    <phoneticPr fontId="1" type="noConversion"/>
  </si>
  <si>
    <t>量价齐升策略</t>
    <phoneticPr fontId="1" type="noConversion"/>
  </si>
  <si>
    <t>机会区域号</t>
    <phoneticPr fontId="1" type="noConversion"/>
  </si>
  <si>
    <t>5日成交换手率</t>
    <phoneticPr fontId="1" type="noConversion"/>
  </si>
  <si>
    <t>今日价格累积指数</t>
    <phoneticPr fontId="1" type="noConversion"/>
  </si>
  <si>
    <t>价格箱体形态过滤</t>
    <phoneticPr fontId="1" type="noConversion"/>
  </si>
  <si>
    <t>N-1</t>
    <phoneticPr fontId="1" type="noConversion"/>
  </si>
  <si>
    <t>N</t>
    <phoneticPr fontId="1" type="noConversion"/>
  </si>
  <si>
    <t>扣非对比净利润</t>
    <phoneticPr fontId="1" type="noConversion"/>
  </si>
  <si>
    <t>股利率</t>
    <phoneticPr fontId="1" type="noConversion"/>
  </si>
  <si>
    <t>过往利润增速均值</t>
    <phoneticPr fontId="1" type="noConversion"/>
  </si>
  <si>
    <t>折现率</t>
    <phoneticPr fontId="1" type="noConversion"/>
  </si>
  <si>
    <t>1增速</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</si>
  <si>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</si>
  <si>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</si>
  <si>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</si>
  <si>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</si>
  <si>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承担负债现期溢价</t>
    <phoneticPr fontId="1" type="noConversion"/>
  </si>
  <si>
    <t>原始顺序</t>
    <phoneticPr fontId="1" type="noConversion"/>
  </si>
  <si>
    <t>策略1利润单季最佳增速</t>
    <phoneticPr fontId="1" type="noConversion"/>
  </si>
  <si>
    <t>价格变动策略</t>
    <phoneticPr fontId="1" type="noConversion"/>
  </si>
  <si>
    <t>基本面排序</t>
    <phoneticPr fontId="1" type="noConversion"/>
  </si>
  <si>
    <t>综合策略</t>
    <phoneticPr fontId="1" type="noConversion"/>
  </si>
  <si>
    <t>30日成交换手率</t>
    <phoneticPr fontId="1" type="noConversion"/>
  </si>
  <si>
    <t>昨日价格累计指数</t>
    <phoneticPr fontId="1" type="noConversion"/>
  </si>
  <si>
    <t>成交量异动策略</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</si>
  <si>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</si>
  <si>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</si>
  <si>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</si>
  <si>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</si>
  <si>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</si>
  <si>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不分配不转增</t>
  </si>
  <si>
    <t>10派5元(含税)</t>
  </si>
  <si>
    <t>1.98亿</t>
  </si>
  <si>
    <t>1.35亿</t>
  </si>
  <si>
    <t>10派3元(含税)</t>
  </si>
  <si>
    <t>10派1元(含税)</t>
  </si>
  <si>
    <t>10派1.7元(含税)</t>
  </si>
  <si>
    <t>10派4.5元(含税)</t>
  </si>
  <si>
    <t>10派2元(含税)</t>
  </si>
  <si>
    <t>4.33亿</t>
  </si>
  <si>
    <t>6.12亿</t>
  </si>
  <si>
    <t>223.01万</t>
  </si>
  <si>
    <t>1147.60万</t>
  </si>
  <si>
    <t>1291.89万</t>
  </si>
  <si>
    <t>70.01亿</t>
  </si>
  <si>
    <t>36.04亿</t>
  </si>
  <si>
    <t>1.80亿</t>
  </si>
  <si>
    <t>25.12亿</t>
  </si>
  <si>
    <t>-8.28亿</t>
  </si>
  <si>
    <t>3189.80万</t>
  </si>
  <si>
    <t>6554.00万</t>
  </si>
  <si>
    <t>20068169亿</t>
  </si>
  <si>
    <t>83.82万</t>
  </si>
  <si>
    <t>-54396554亿</t>
  </si>
  <si>
    <t>5.25亿</t>
  </si>
  <si>
    <t>2209858100亿</t>
  </si>
  <si>
    <t>4875215700亿</t>
  </si>
  <si>
    <t>8.23亿</t>
  </si>
  <si>
    <t>30.01亿</t>
  </si>
  <si>
    <t>11.10亿</t>
  </si>
  <si>
    <t>28.21万</t>
  </si>
  <si>
    <t>65.04亿</t>
  </si>
  <si>
    <t>-1.37亿</t>
  </si>
  <si>
    <t>2231.94万</t>
  </si>
  <si>
    <t>1.52亿</t>
  </si>
  <si>
    <t>17.73亿</t>
  </si>
  <si>
    <t>-8.46亿</t>
  </si>
  <si>
    <t>4.31亿</t>
  </si>
  <si>
    <t>-3294.90万</t>
  </si>
  <si>
    <t>6294.09万</t>
  </si>
  <si>
    <t>5.17亿</t>
  </si>
  <si>
    <t>-1-1</t>
  </si>
  <si>
    <t>873.92万</t>
  </si>
  <si>
    <t>44.21亿</t>
  </si>
  <si>
    <t>29.96亿</t>
  </si>
  <si>
    <t>23.25亿</t>
  </si>
  <si>
    <t>5754.66万</t>
  </si>
  <si>
    <t>1015.24万</t>
  </si>
  <si>
    <t>4743.92万</t>
  </si>
  <si>
    <t>6948774亿</t>
  </si>
  <si>
    <t>5.42万</t>
  </si>
  <si>
    <t>-31016697亿</t>
  </si>
  <si>
    <t>1096787490亿</t>
  </si>
  <si>
    <t>2265.16万</t>
  </si>
  <si>
    <t>3530492500亿</t>
  </si>
  <si>
    <t>7.16亿</t>
  </si>
  <si>
    <t>2.65亿</t>
  </si>
  <si>
    <t>16.97亿</t>
  </si>
  <si>
    <t>28.05亿</t>
  </si>
  <si>
    <t>14.04亿</t>
  </si>
  <si>
    <t>-3.21亿</t>
  </si>
  <si>
    <t>-2.07亿</t>
  </si>
  <si>
    <t>1.39亿</t>
  </si>
  <si>
    <t>25.60亿</t>
  </si>
  <si>
    <t>5642.72万</t>
  </si>
  <si>
    <t>-2699.07万</t>
  </si>
  <si>
    <t>6350.31万</t>
  </si>
  <si>
    <t>4.56亿</t>
  </si>
  <si>
    <t>4-1</t>
  </si>
  <si>
    <t>ST华铁</t>
  </si>
  <si>
    <t>16104206亿</t>
  </si>
  <si>
    <t>43156197亿</t>
  </si>
  <si>
    <t>778529460亿</t>
  </si>
  <si>
    <t>3485161600亿</t>
  </si>
  <si>
    <t>5.73亿</t>
  </si>
  <si>
    <t>18.70亿</t>
  </si>
  <si>
    <t>20.72亿</t>
  </si>
  <si>
    <t>-12.07亿</t>
  </si>
  <si>
    <t>4.20亿</t>
  </si>
  <si>
    <t>1718.84万</t>
  </si>
  <si>
    <t>开始亏损</t>
  </si>
  <si>
    <t>00</t>
  </si>
  <si>
    <t>n/a</t>
  </si>
  <si>
    <t>-7-1</t>
  </si>
  <si>
    <t>SZ001324</t>
  </si>
  <si>
    <t>长青科技</t>
  </si>
  <si>
    <t>60.56万</t>
  </si>
  <si>
    <t>10.83亿</t>
  </si>
  <si>
    <t>8159.13万</t>
  </si>
  <si>
    <t>5.30亿</t>
  </si>
  <si>
    <t>7199.03万</t>
  </si>
  <si>
    <t>7319.14万</t>
  </si>
  <si>
    <t>5299.90万</t>
  </si>
  <si>
    <t>524.91万</t>
  </si>
  <si>
    <t>815.92万</t>
  </si>
  <si>
    <t>1451716亿</t>
  </si>
  <si>
    <t>8.08万</t>
  </si>
  <si>
    <t>10057130亿</t>
  </si>
  <si>
    <t>7683.63万</t>
  </si>
  <si>
    <t>317821710亿</t>
  </si>
  <si>
    <t>1481.85万</t>
  </si>
  <si>
    <t>1053299460亿</t>
  </si>
  <si>
    <t>4671.77万</t>
  </si>
  <si>
    <t>3582.00万</t>
  </si>
  <si>
    <t>2099.23万</t>
  </si>
  <si>
    <t>1.15亿</t>
  </si>
  <si>
    <t>7.53万</t>
  </si>
  <si>
    <t>2.08亿</t>
  </si>
  <si>
    <t>-1398.26万</t>
  </si>
  <si>
    <t>-667.36万</t>
  </si>
  <si>
    <t>-1371.88万</t>
  </si>
  <si>
    <t>5.12亿</t>
  </si>
  <si>
    <t>6666.46万</t>
  </si>
  <si>
    <t>6610.02万</t>
  </si>
  <si>
    <t>7097.42万</t>
  </si>
  <si>
    <t>7100.53万</t>
  </si>
  <si>
    <t>3865.74万</t>
  </si>
  <si>
    <t>1298.90万</t>
  </si>
  <si>
    <t>377.23万</t>
  </si>
  <si>
    <t>3254.51万</t>
  </si>
  <si>
    <t>2-1</t>
  </si>
  <si>
    <t>135.49万</t>
  </si>
  <si>
    <t>12.73亿</t>
  </si>
  <si>
    <t>6971.38万</t>
  </si>
  <si>
    <t>2.44亿</t>
  </si>
  <si>
    <t>6216.15万</t>
  </si>
  <si>
    <t>4363.24万</t>
  </si>
  <si>
    <t>2275.53万</t>
  </si>
  <si>
    <t>404.10万</t>
  </si>
  <si>
    <t>702.15万</t>
  </si>
  <si>
    <t>1141292亿</t>
  </si>
  <si>
    <t>24389939亿</t>
  </si>
  <si>
    <t>1.76亿</t>
  </si>
  <si>
    <t>485209620亿</t>
  </si>
  <si>
    <t>6573.67万</t>
  </si>
  <si>
    <t>1095639090亿</t>
  </si>
  <si>
    <t>457.81万</t>
  </si>
  <si>
    <t>3387.23万</t>
  </si>
  <si>
    <t>861.67万</t>
  </si>
  <si>
    <t>-9284.77万</t>
  </si>
  <si>
    <t>-214.81万</t>
  </si>
  <si>
    <t>3.67亿</t>
  </si>
  <si>
    <t>5574.56万</t>
  </si>
  <si>
    <t>2588.79万</t>
  </si>
  <si>
    <t>817.09万</t>
  </si>
  <si>
    <t>7473.29万</t>
  </si>
  <si>
    <t>-6-1</t>
  </si>
  <si>
    <t>402.69万</t>
  </si>
  <si>
    <t>15.18亿</t>
  </si>
  <si>
    <t>1783.90万</t>
  </si>
  <si>
    <t>2.72亿</t>
  </si>
  <si>
    <t>2631.48万</t>
  </si>
  <si>
    <t>2864.94万</t>
  </si>
  <si>
    <t>2681812亿</t>
  </si>
  <si>
    <t>25.86万</t>
  </si>
  <si>
    <t>-1743887亿</t>
  </si>
  <si>
    <t>1608778000亿</t>
  </si>
  <si>
    <t>6195.01万</t>
  </si>
  <si>
    <t>2612993900亿</t>
  </si>
  <si>
    <t>238.45万</t>
  </si>
  <si>
    <t>9.43亿</t>
  </si>
  <si>
    <t>5964.48万</t>
  </si>
  <si>
    <t>19.97亿</t>
  </si>
  <si>
    <t>2.19亿</t>
  </si>
  <si>
    <t>-201.55万</t>
  </si>
  <si>
    <t>-1412.94万</t>
  </si>
  <si>
    <t>-516.59万</t>
  </si>
  <si>
    <t>12.69亿</t>
  </si>
  <si>
    <t>-1.96亿</t>
  </si>
  <si>
    <t>152.16万</t>
  </si>
  <si>
    <t>2586.52万</t>
  </si>
  <si>
    <t>-3-1</t>
  </si>
  <si>
    <t>449.98万</t>
  </si>
  <si>
    <t>8.37亿</t>
  </si>
  <si>
    <t>24.08亿</t>
  </si>
  <si>
    <t>3.64亿</t>
  </si>
  <si>
    <t>2773.90万</t>
  </si>
  <si>
    <t>2388.30万</t>
  </si>
  <si>
    <t>238859亿</t>
  </si>
  <si>
    <t>32.87万</t>
  </si>
  <si>
    <t>40049667亿</t>
  </si>
  <si>
    <t>5.68亿</t>
  </si>
  <si>
    <t>839499910亿</t>
  </si>
  <si>
    <t>5574.11万</t>
  </si>
  <si>
    <t>2265696000亿</t>
  </si>
  <si>
    <t>1.87亿</t>
  </si>
  <si>
    <t>90.00万</t>
  </si>
  <si>
    <t>7429.96万</t>
  </si>
  <si>
    <t>5.24亿</t>
  </si>
  <si>
    <t>185.54万</t>
  </si>
  <si>
    <t>7.18亿</t>
  </si>
  <si>
    <t>-7086.82万</t>
  </si>
  <si>
    <t>-4447.49万</t>
  </si>
  <si>
    <t>131.55万</t>
  </si>
  <si>
    <t>15.10亿</t>
  </si>
  <si>
    <t>1.55亿</t>
  </si>
  <si>
    <t>3.19亿</t>
  </si>
  <si>
    <t>3516.48万</t>
  </si>
  <si>
    <t>2897.17万</t>
  </si>
  <si>
    <t>249.20万</t>
  </si>
  <si>
    <t>9.03亿</t>
  </si>
  <si>
    <t>-317.13万</t>
  </si>
  <si>
    <t>9598.53万</t>
  </si>
  <si>
    <t>3036.00万</t>
  </si>
  <si>
    <t>1022.37万</t>
  </si>
  <si>
    <t>-186704亿</t>
  </si>
  <si>
    <t>37.82万</t>
  </si>
  <si>
    <t>-22031281亿</t>
  </si>
  <si>
    <t>1041559750亿</t>
  </si>
  <si>
    <t>2398.68万</t>
  </si>
  <si>
    <t>1562717700亿</t>
  </si>
  <si>
    <t>3.69亿</t>
  </si>
  <si>
    <t>6960.00万</t>
  </si>
  <si>
    <t>4.25亿</t>
  </si>
  <si>
    <t>8.96亿</t>
  </si>
  <si>
    <t>998.00万</t>
  </si>
  <si>
    <t>-8051.55万</t>
  </si>
  <si>
    <t>-260.21万</t>
  </si>
  <si>
    <t>9040.55万</t>
  </si>
  <si>
    <t>7.71亿</t>
  </si>
  <si>
    <t>-5799.21万</t>
  </si>
  <si>
    <t>-1940.51万</t>
  </si>
  <si>
    <t>1515.98万</t>
  </si>
  <si>
    <t>26.89万</t>
  </si>
  <si>
    <t>5816.85万</t>
  </si>
  <si>
    <t>13.15亿</t>
  </si>
  <si>
    <t>6383.52万</t>
  </si>
  <si>
    <t>1245.21万</t>
  </si>
  <si>
    <t>779.55万</t>
  </si>
  <si>
    <t>1658.01万</t>
  </si>
  <si>
    <t>2664105亿</t>
  </si>
  <si>
    <t>-1179088亿</t>
  </si>
  <si>
    <t>243383300亿</t>
  </si>
  <si>
    <t>887.66万</t>
  </si>
  <si>
    <t>897321450亿</t>
  </si>
  <si>
    <t>2364.59万</t>
  </si>
  <si>
    <t>3483.62万</t>
  </si>
  <si>
    <t>120.48万</t>
  </si>
  <si>
    <t>7994.35万</t>
  </si>
  <si>
    <t>-4185.35万</t>
  </si>
  <si>
    <t>2473.36万</t>
  </si>
  <si>
    <t>-37.04万</t>
  </si>
  <si>
    <t>3699.01万</t>
  </si>
  <si>
    <t>3.15亿</t>
  </si>
  <si>
    <t>8496.29万</t>
  </si>
  <si>
    <t>4713.66万</t>
  </si>
  <si>
    <t>173.30万</t>
  </si>
  <si>
    <t>1242.63万</t>
  </si>
  <si>
    <t>-5-1</t>
  </si>
  <si>
    <t>86.20万</t>
  </si>
  <si>
    <t>9251.49万</t>
  </si>
  <si>
    <t>8.83亿</t>
  </si>
  <si>
    <t>2473.55万</t>
  </si>
  <si>
    <t>9.35亿</t>
  </si>
  <si>
    <t>4962.20万</t>
  </si>
  <si>
    <t>1921.40万</t>
  </si>
  <si>
    <t>1512.49万</t>
  </si>
  <si>
    <t>176.21万</t>
  </si>
  <si>
    <t>218.29万</t>
  </si>
  <si>
    <t>-74422亿</t>
  </si>
  <si>
    <t>7100363亿</t>
  </si>
  <si>
    <t>145940720亿</t>
  </si>
  <si>
    <t>583.37万</t>
  </si>
  <si>
    <t>891042640亿</t>
  </si>
  <si>
    <t>3180.25万</t>
  </si>
  <si>
    <t>1347.29万</t>
  </si>
  <si>
    <t>4583.45万</t>
  </si>
  <si>
    <t>6656.49万</t>
  </si>
  <si>
    <t>-35.76万</t>
  </si>
  <si>
    <t>-3.31亿</t>
  </si>
  <si>
    <t>-4.85万</t>
  </si>
  <si>
    <t>3061.27万</t>
  </si>
  <si>
    <t>6063.33万</t>
  </si>
  <si>
    <t>687.56万</t>
  </si>
  <si>
    <t>642.53万</t>
  </si>
  <si>
    <t>8533.09万</t>
  </si>
  <si>
    <t>5-1</t>
  </si>
  <si>
    <t>76.55万</t>
  </si>
  <si>
    <t>11.60亿</t>
  </si>
  <si>
    <t>7570.32万</t>
  </si>
  <si>
    <t>38.85亿</t>
  </si>
  <si>
    <t>7273.42万</t>
  </si>
  <si>
    <t>5411.86万</t>
  </si>
  <si>
    <t>493.81万</t>
  </si>
  <si>
    <t>779.95万</t>
  </si>
  <si>
    <t>1121407亿</t>
  </si>
  <si>
    <t>2.17万</t>
  </si>
  <si>
    <t>2756624亿</t>
  </si>
  <si>
    <t>445667270亿</t>
  </si>
  <si>
    <t>5902.50万</t>
  </si>
  <si>
    <t>1011265330亿</t>
  </si>
  <si>
    <t>333.59万</t>
  </si>
  <si>
    <t>1594.42万</t>
  </si>
  <si>
    <t>7194.88万</t>
  </si>
  <si>
    <t>-494.06万</t>
  </si>
  <si>
    <t>6826.48万</t>
  </si>
  <si>
    <t>4991.50万</t>
  </si>
  <si>
    <t>4.24亿</t>
  </si>
  <si>
    <t>8.82亿</t>
  </si>
  <si>
    <t>4701.47万</t>
  </si>
  <si>
    <t>2865.58万</t>
  </si>
  <si>
    <t>341.83万</t>
  </si>
  <si>
    <t>2659.59万</t>
  </si>
  <si>
    <t>-2-1</t>
  </si>
  <si>
    <t>64.82万</t>
  </si>
  <si>
    <t>6.34亿</t>
  </si>
  <si>
    <t>5914.33万</t>
  </si>
  <si>
    <t>4.72亿</t>
  </si>
  <si>
    <t>-3492.61万</t>
  </si>
  <si>
    <t>6547.93万</t>
  </si>
  <si>
    <t>3523.14万</t>
  </si>
  <si>
    <t>790.10万</t>
  </si>
  <si>
    <t>1040.74万</t>
  </si>
  <si>
    <t>86663亿</t>
  </si>
  <si>
    <t>2.57万</t>
  </si>
  <si>
    <t>-3688408亿</t>
  </si>
  <si>
    <t>201842930亿</t>
  </si>
  <si>
    <t>800.00万</t>
  </si>
  <si>
    <t>795518720亿</t>
  </si>
  <si>
    <t>4250.38万</t>
  </si>
  <si>
    <t>5293.00万</t>
  </si>
  <si>
    <t>1353.47万</t>
  </si>
  <si>
    <t>1.42亿</t>
  </si>
  <si>
    <t>2702.47万</t>
  </si>
  <si>
    <t>-304.29万</t>
  </si>
  <si>
    <t>2940.67万</t>
  </si>
  <si>
    <t>3584.44万</t>
  </si>
  <si>
    <t>-687.93万</t>
  </si>
  <si>
    <t>10派6元(含税)</t>
  </si>
  <si>
    <t>460.37万</t>
  </si>
  <si>
    <t>3777.44万</t>
  </si>
  <si>
    <t>-2-0</t>
  </si>
  <si>
    <t>68.05万</t>
  </si>
  <si>
    <t>2.24亿</t>
  </si>
  <si>
    <t>10.16亿</t>
  </si>
  <si>
    <t>4277.61万</t>
  </si>
  <si>
    <t>91.91亿</t>
  </si>
  <si>
    <t>4152.28万</t>
  </si>
  <si>
    <t>2298.20万</t>
  </si>
  <si>
    <t>110.59万</t>
  </si>
  <si>
    <t>1056.00万</t>
  </si>
  <si>
    <t>3386723亿</t>
  </si>
  <si>
    <t>27.30万</t>
  </si>
  <si>
    <t>1206799亿</t>
  </si>
  <si>
    <t>146268020亿</t>
  </si>
  <si>
    <t>4759.02万</t>
  </si>
  <si>
    <t>946706700亿</t>
  </si>
  <si>
    <t>102.00万</t>
  </si>
  <si>
    <t>4877.04万</t>
  </si>
  <si>
    <t>-2884.59万</t>
  </si>
  <si>
    <t>-1.06亿</t>
  </si>
  <si>
    <t>4.50亿</t>
  </si>
  <si>
    <t>9081.00万</t>
  </si>
  <si>
    <t>5422.88万</t>
  </si>
  <si>
    <t>6455.36万</t>
  </si>
  <si>
    <t>10转3股派3.3元(含税)</t>
  </si>
  <si>
    <t>601.99万</t>
  </si>
  <si>
    <t>149.11万</t>
  </si>
  <si>
    <t>24.77亿</t>
  </si>
  <si>
    <t>25.71亿</t>
  </si>
  <si>
    <t>5.20亿</t>
  </si>
  <si>
    <t>493.69万</t>
  </si>
  <si>
    <t>1214.24万</t>
  </si>
  <si>
    <t>-186172亿</t>
  </si>
  <si>
    <t>8.23万</t>
  </si>
  <si>
    <t>34858403亿</t>
  </si>
  <si>
    <t>8.31亿</t>
  </si>
  <si>
    <t>1708352100亿</t>
  </si>
  <si>
    <t>160.00万</t>
  </si>
  <si>
    <t>4158658400亿</t>
  </si>
  <si>
    <t>8765.31万</t>
  </si>
  <si>
    <t>17.57亿</t>
  </si>
  <si>
    <t>187.73万</t>
  </si>
  <si>
    <t>25.43亿</t>
  </si>
  <si>
    <t>9057.43万</t>
  </si>
  <si>
    <t>-192.42万</t>
  </si>
  <si>
    <t>-147.43万</t>
  </si>
  <si>
    <t>30.59亿</t>
  </si>
  <si>
    <t>4885.01万</t>
  </si>
  <si>
    <t>-1026.92万</t>
  </si>
  <si>
    <t>10派0.489899元(含税)</t>
  </si>
  <si>
    <t>1573.54万</t>
  </si>
  <si>
    <t>349.53万</t>
  </si>
  <si>
    <t>7.10亿</t>
  </si>
  <si>
    <t>32.29亿</t>
  </si>
  <si>
    <t>165.06亿</t>
  </si>
  <si>
    <t>5.48亿</t>
  </si>
  <si>
    <t>2.74亿</t>
  </si>
  <si>
    <t>397.69万</t>
  </si>
  <si>
    <t>1600.72万</t>
  </si>
  <si>
    <t>4695843亿</t>
  </si>
  <si>
    <t>31.07万</t>
  </si>
  <si>
    <t>-32938921亿</t>
  </si>
  <si>
    <t>5.15亿</t>
  </si>
  <si>
    <t>213622190亿</t>
  </si>
  <si>
    <t>6868.22万</t>
  </si>
  <si>
    <t>2426256000亿</t>
  </si>
  <si>
    <t>348.30万</t>
  </si>
  <si>
    <t>2.20亿</t>
  </si>
  <si>
    <t>477.63万</t>
  </si>
  <si>
    <t>-439.32万</t>
  </si>
  <si>
    <t>1051.82万</t>
  </si>
  <si>
    <t>12.83亿</t>
  </si>
  <si>
    <t>2035.03万</t>
  </si>
  <si>
    <t>10派0.12元(含税)</t>
  </si>
  <si>
    <t>2344.13万</t>
  </si>
  <si>
    <t>626.64万</t>
  </si>
  <si>
    <t>318.57亿</t>
  </si>
  <si>
    <t>263.32亿</t>
  </si>
  <si>
    <t>71.18亿</t>
  </si>
  <si>
    <t>49.82亿</t>
  </si>
  <si>
    <t>7.76亿</t>
  </si>
  <si>
    <t>66.92亿</t>
  </si>
  <si>
    <t>58.45亿</t>
  </si>
  <si>
    <t>11555268亿</t>
  </si>
  <si>
    <t>373.34万</t>
  </si>
  <si>
    <t>453105070亿</t>
  </si>
  <si>
    <t>52.18亿</t>
  </si>
  <si>
    <t>16420999000亿</t>
  </si>
  <si>
    <t>3631.42万</t>
  </si>
  <si>
    <t>45506117000亿</t>
  </si>
  <si>
    <t>8.07亿</t>
  </si>
  <si>
    <t>29.35亿</t>
  </si>
  <si>
    <t>162.80亿</t>
  </si>
  <si>
    <t>3.56亿</t>
  </si>
  <si>
    <t>315.43亿</t>
  </si>
  <si>
    <t>5290.00万</t>
  </si>
  <si>
    <t>-16.00亿</t>
  </si>
  <si>
    <t>-1.52亿</t>
  </si>
  <si>
    <t>7226.33万</t>
  </si>
  <si>
    <t>288.17亿</t>
  </si>
  <si>
    <t>300.67亿</t>
  </si>
  <si>
    <t>17.44亿</t>
  </si>
  <si>
    <t>10派1.013元(含税)</t>
  </si>
  <si>
    <t>3440.94万</t>
  </si>
  <si>
    <t>0776000000</t>
  </si>
  <si>
    <t>02328000000</t>
  </si>
  <si>
    <t>04656000000</t>
  </si>
  <si>
    <t>07760000000</t>
  </si>
  <si>
    <t>015520000000</t>
  </si>
  <si>
    <t>2752.68亿</t>
  </si>
  <si>
    <t>1980.04亿</t>
  </si>
  <si>
    <t>321.83亿</t>
  </si>
  <si>
    <t>67.68亿</t>
  </si>
  <si>
    <t>2421.22万</t>
  </si>
  <si>
    <t>311.62亿</t>
  </si>
  <si>
    <t>241.63亿</t>
  </si>
  <si>
    <t>14.86亿</t>
  </si>
  <si>
    <t>153299000亿</t>
  </si>
  <si>
    <t>8789.70万</t>
  </si>
  <si>
    <t>667902000亿</t>
  </si>
  <si>
    <t>675.52亿</t>
  </si>
  <si>
    <t>81418971000亿</t>
  </si>
  <si>
    <t>148.70亿</t>
  </si>
  <si>
    <t>313298650000亿</t>
  </si>
  <si>
    <t>47.44亿</t>
  </si>
  <si>
    <t>84.04亿</t>
  </si>
  <si>
    <t>252.93亿</t>
  </si>
  <si>
    <t>1546.25亿</t>
  </si>
  <si>
    <t>1588.10万</t>
  </si>
  <si>
    <t>2484.56亿</t>
  </si>
  <si>
    <t>71.52亿</t>
  </si>
  <si>
    <t>144.88亿</t>
  </si>
  <si>
    <t>-29.54亿</t>
  </si>
  <si>
    <t>-7.58亿</t>
  </si>
  <si>
    <t>2229.39亿</t>
  </si>
  <si>
    <t>116.53亿</t>
  </si>
  <si>
    <t>2342.62亿</t>
  </si>
  <si>
    <t>10.94亿</t>
  </si>
  <si>
    <t>117.12亿</t>
  </si>
  <si>
    <t>4068.49万</t>
  </si>
  <si>
    <t>40.50亿</t>
  </si>
  <si>
    <t>024212200</t>
  </si>
  <si>
    <t>072636600</t>
  </si>
  <si>
    <t>0145273200</t>
  </si>
  <si>
    <t>0242122000</t>
  </si>
  <si>
    <t>0484244000</t>
  </si>
  <si>
    <t>570.33万</t>
  </si>
  <si>
    <t>22.89亿</t>
  </si>
  <si>
    <t>39.71亿</t>
  </si>
  <si>
    <t>7.25亿</t>
  </si>
  <si>
    <t>32.64亿</t>
  </si>
  <si>
    <t>5207.53万</t>
  </si>
  <si>
    <t>7544.25万</t>
  </si>
  <si>
    <t>7599566亿</t>
  </si>
  <si>
    <t>125.36万</t>
  </si>
  <si>
    <t>34452876亿</t>
  </si>
  <si>
    <t>10.37亿</t>
  </si>
  <si>
    <t>1928431900亿</t>
  </si>
  <si>
    <t>5452872400亿</t>
  </si>
  <si>
    <t>5011.10万</t>
  </si>
  <si>
    <t>8.46亿</t>
  </si>
  <si>
    <t>19.31亿</t>
  </si>
  <si>
    <t>-1.51亿</t>
  </si>
  <si>
    <t>-1.26亿</t>
  </si>
  <si>
    <t>32.95亿</t>
  </si>
  <si>
    <t>35.22亿</t>
  </si>
  <si>
    <t>7.61亿</t>
  </si>
  <si>
    <t>7657.29万</t>
  </si>
  <si>
    <t>2858.78万</t>
  </si>
  <si>
    <t>4.40亿</t>
  </si>
  <si>
    <t>0389000000</t>
  </si>
  <si>
    <t>01167000000</t>
  </si>
  <si>
    <t>02334000000</t>
  </si>
  <si>
    <t>03890000000</t>
  </si>
  <si>
    <t>07780000000</t>
  </si>
  <si>
    <t>160.55万</t>
  </si>
  <si>
    <t>2.27亿</t>
  </si>
  <si>
    <t>10.18亿</t>
  </si>
  <si>
    <t>210.21亿</t>
  </si>
  <si>
    <t>5.56亿</t>
  </si>
  <si>
    <t>138.17万</t>
  </si>
  <si>
    <t>1199.51万</t>
  </si>
  <si>
    <t>4718290亿</t>
  </si>
  <si>
    <t>2.65万</t>
  </si>
  <si>
    <t>17800965亿</t>
  </si>
  <si>
    <t>2.76亿</t>
  </si>
  <si>
    <t>322196060亿</t>
  </si>
  <si>
    <t>1017.81万</t>
  </si>
  <si>
    <t>851420030亿</t>
  </si>
  <si>
    <t>429.07万</t>
  </si>
  <si>
    <t>5998.22万</t>
  </si>
  <si>
    <t>3418.17万</t>
  </si>
  <si>
    <t>6935.28万</t>
  </si>
  <si>
    <t>2.09亿</t>
  </si>
  <si>
    <t>1000.00万</t>
  </si>
  <si>
    <t>-3140.09万</t>
  </si>
  <si>
    <t>-455.14万</t>
  </si>
  <si>
    <t>641.08万</t>
  </si>
  <si>
    <t>6.07亿</t>
  </si>
  <si>
    <t>6651.37万</t>
  </si>
  <si>
    <t>6.41亿</t>
  </si>
  <si>
    <t>43.35亿</t>
  </si>
  <si>
    <t>6705.13万</t>
  </si>
  <si>
    <t>1.99亿</t>
  </si>
  <si>
    <t>10转4.0股派1.3元(含税)</t>
  </si>
  <si>
    <t>1145.48万</t>
  </si>
  <si>
    <t>200.32万</t>
  </si>
  <si>
    <t>39.16亿</t>
  </si>
  <si>
    <t>50.38亿</t>
  </si>
  <si>
    <t>8.90亿</t>
  </si>
  <si>
    <t>54.57亿</t>
  </si>
  <si>
    <t>8272.36万</t>
  </si>
  <si>
    <t>6.65亿</t>
  </si>
  <si>
    <t>5936.62万</t>
  </si>
  <si>
    <t>7192.57万</t>
  </si>
  <si>
    <t>8120519亿</t>
  </si>
  <si>
    <t>44.56万</t>
  </si>
  <si>
    <t>40850244亿</t>
  </si>
  <si>
    <t>2839155500亿</t>
  </si>
  <si>
    <t>6066740100亿</t>
  </si>
  <si>
    <t>8201.24万</t>
  </si>
  <si>
    <t>5.96亿</t>
  </si>
  <si>
    <t>4.99亿</t>
  </si>
  <si>
    <t>11.51亿</t>
  </si>
  <si>
    <t>86.47万</t>
  </si>
  <si>
    <t>29.98亿</t>
  </si>
  <si>
    <t>4.57亿</t>
  </si>
  <si>
    <t>-1941.33万</t>
  </si>
  <si>
    <t>1494.75万</t>
  </si>
  <si>
    <t>35.34亿</t>
  </si>
  <si>
    <t>36.97亿</t>
  </si>
  <si>
    <t>2.77亿</t>
  </si>
  <si>
    <t>-1542.38万</t>
  </si>
  <si>
    <t>10派1.2元(含税)</t>
  </si>
  <si>
    <t>1304.22万</t>
  </si>
  <si>
    <t>-3-0</t>
  </si>
  <si>
    <t>218.88万</t>
  </si>
  <si>
    <t>20.98亿</t>
  </si>
  <si>
    <t>27.42亿</t>
  </si>
  <si>
    <t>4.62亿</t>
  </si>
  <si>
    <t>1833.28万</t>
  </si>
  <si>
    <t>4240.93万</t>
  </si>
  <si>
    <t>-660731亿</t>
  </si>
  <si>
    <t>14.62万</t>
  </si>
  <si>
    <t>-17212470亿</t>
  </si>
  <si>
    <t>5.35亿</t>
  </si>
  <si>
    <t>992433200亿</t>
  </si>
  <si>
    <t>2754152300亿</t>
  </si>
  <si>
    <t>2636.47万</t>
  </si>
  <si>
    <t>8.09亿</t>
  </si>
  <si>
    <t>5533.40万</t>
  </si>
  <si>
    <t>3.26亿</t>
  </si>
  <si>
    <t>1354.30万</t>
  </si>
  <si>
    <t>-1.88亿</t>
  </si>
  <si>
    <t>7.97亿</t>
  </si>
  <si>
    <t>-1.14亿</t>
  </si>
  <si>
    <t>11.80亿</t>
  </si>
  <si>
    <t>1731.99万</t>
  </si>
  <si>
    <t>10派2.0元(含税)</t>
  </si>
  <si>
    <t>1643.47万</t>
  </si>
  <si>
    <t>0942000000</t>
  </si>
  <si>
    <t>01884000000</t>
  </si>
  <si>
    <t>03140000000</t>
  </si>
  <si>
    <t>06280000000</t>
  </si>
  <si>
    <t>135.08万</t>
  </si>
  <si>
    <t>2.79亿</t>
  </si>
  <si>
    <t>9.88亿</t>
  </si>
  <si>
    <t>7381.67万</t>
  </si>
  <si>
    <t>14.22亿</t>
  </si>
  <si>
    <t>7519.69万</t>
  </si>
  <si>
    <t>4636.86万</t>
  </si>
  <si>
    <t>524.31万</t>
  </si>
  <si>
    <t>1961.97万</t>
  </si>
  <si>
    <t>-46000亿</t>
  </si>
  <si>
    <t>8.90万</t>
  </si>
  <si>
    <t>-2253308亿</t>
  </si>
  <si>
    <t>362313920亿</t>
  </si>
  <si>
    <t>211.85万</t>
  </si>
  <si>
    <t>877624170亿</t>
  </si>
  <si>
    <t>107.64万</t>
  </si>
  <si>
    <t>3802.82万</t>
  </si>
  <si>
    <t>2581.91万</t>
  </si>
  <si>
    <t>133.00万</t>
  </si>
  <si>
    <t>2.84亿</t>
  </si>
  <si>
    <t>-3873.22万</t>
  </si>
  <si>
    <t>-3821.25万</t>
  </si>
  <si>
    <t>-557.18万</t>
  </si>
  <si>
    <t>2.30亿</t>
  </si>
  <si>
    <t>4682.45万</t>
  </si>
  <si>
    <t>3062.87万</t>
  </si>
  <si>
    <t>1446.43万</t>
  </si>
  <si>
    <t>10转3.0股派1.0元(含税)</t>
  </si>
  <si>
    <t>520.61万</t>
  </si>
  <si>
    <t>3126.18万</t>
  </si>
  <si>
    <t>2008.48万</t>
  </si>
  <si>
    <t>701.16亿</t>
  </si>
  <si>
    <t>496.30亿</t>
  </si>
  <si>
    <t>65.09亿</t>
  </si>
  <si>
    <t>5.87亿</t>
  </si>
  <si>
    <t>-6827.45万</t>
  </si>
  <si>
    <t>57.96亿</t>
  </si>
  <si>
    <t>47.25亿</t>
  </si>
  <si>
    <t>6695326亿</t>
  </si>
  <si>
    <t>879.29万</t>
  </si>
  <si>
    <t>594368030亿</t>
  </si>
  <si>
    <t>224.11亿</t>
  </si>
  <si>
    <t>22163692000亿</t>
  </si>
  <si>
    <t>9.79亿</t>
  </si>
  <si>
    <t>91811902000亿</t>
  </si>
  <si>
    <t>17.60亿</t>
  </si>
  <si>
    <t>468.15亿</t>
  </si>
  <si>
    <t>645.61亿</t>
  </si>
  <si>
    <t>29.21亿</t>
  </si>
  <si>
    <t>20.82亿</t>
  </si>
  <si>
    <t>5573.28万</t>
  </si>
  <si>
    <t>-21.67亿</t>
  </si>
  <si>
    <t>402.03亿</t>
  </si>
  <si>
    <t>36.34亿</t>
  </si>
  <si>
    <t>370.02亿</t>
  </si>
  <si>
    <t>34.77亿</t>
  </si>
  <si>
    <t>-774.00万</t>
  </si>
  <si>
    <t>10.38亿</t>
  </si>
  <si>
    <t>169.69万</t>
  </si>
  <si>
    <t>30.85亿</t>
  </si>
  <si>
    <t>26.48亿</t>
  </si>
  <si>
    <t>11.87亿</t>
  </si>
  <si>
    <t>4.92亿</t>
  </si>
  <si>
    <t>4.07亿</t>
  </si>
  <si>
    <t>979.47万</t>
  </si>
  <si>
    <t>4763.53万</t>
  </si>
  <si>
    <t>-3371735亿</t>
  </si>
  <si>
    <t>5719211亿</t>
  </si>
  <si>
    <t>11.91亿</t>
  </si>
  <si>
    <t>1480743800亿</t>
  </si>
  <si>
    <t>1017.98万</t>
  </si>
  <si>
    <t>4033834400亿</t>
  </si>
  <si>
    <t>4258.62万</t>
  </si>
  <si>
    <t>9444.85万</t>
  </si>
  <si>
    <t>17.53亿</t>
  </si>
  <si>
    <t>26.53亿</t>
  </si>
  <si>
    <t>52.03万</t>
  </si>
  <si>
    <t>-1.57亿</t>
  </si>
  <si>
    <t>-8401.41万</t>
  </si>
  <si>
    <t>-1353.10万</t>
  </si>
  <si>
    <t>24.68亿</t>
  </si>
  <si>
    <t>2.29亿</t>
  </si>
  <si>
    <t>19.95亿</t>
  </si>
  <si>
    <t>2.86亿</t>
  </si>
  <si>
    <t>8898.79万</t>
  </si>
  <si>
    <t>834.98万</t>
  </si>
  <si>
    <t>9009.57万</t>
  </si>
  <si>
    <t>45.71万</t>
  </si>
  <si>
    <t>15.87亿</t>
  </si>
  <si>
    <t>16.30亿</t>
  </si>
  <si>
    <t>3.73亿</t>
  </si>
  <si>
    <t>-1.02亿</t>
  </si>
  <si>
    <t>8722.04万</t>
  </si>
  <si>
    <t>748.83万</t>
  </si>
  <si>
    <t>773.52万</t>
  </si>
  <si>
    <t>-2480001亿</t>
  </si>
  <si>
    <t>1278455250亿</t>
  </si>
  <si>
    <t>3666.82万</t>
  </si>
  <si>
    <t>2268081200亿</t>
  </si>
  <si>
    <t>3674.85万</t>
  </si>
  <si>
    <t>2.10亿</t>
  </si>
  <si>
    <t>5044.04万</t>
  </si>
  <si>
    <t>20.21万</t>
  </si>
  <si>
    <t>13.89亿</t>
  </si>
  <si>
    <t>-5614.74万</t>
  </si>
  <si>
    <t>-2375.07万</t>
  </si>
  <si>
    <t>-377.08万</t>
  </si>
  <si>
    <t>14.88亿</t>
  </si>
  <si>
    <t>12.03亿</t>
  </si>
  <si>
    <t>6559.09万</t>
  </si>
  <si>
    <t>5513.04万</t>
  </si>
  <si>
    <t>-2055.44万</t>
  </si>
  <si>
    <t>10派0.22元(含税)</t>
  </si>
  <si>
    <t>250.98万</t>
  </si>
  <si>
    <t>2417.90万</t>
  </si>
  <si>
    <t>45.26万</t>
  </si>
  <si>
    <t>3092.12万</t>
  </si>
  <si>
    <t>13.03亿</t>
  </si>
  <si>
    <t>-9126.00万</t>
  </si>
  <si>
    <t>3454.06万</t>
  </si>
  <si>
    <t>2047.56万</t>
  </si>
  <si>
    <t>427.40万</t>
  </si>
  <si>
    <t>391.01万</t>
  </si>
  <si>
    <t>548438亿</t>
  </si>
  <si>
    <t>590893亿</t>
  </si>
  <si>
    <t>9499.38万</t>
  </si>
  <si>
    <t>206892180亿</t>
  </si>
  <si>
    <t>2669.13万</t>
  </si>
  <si>
    <t>622131940亿</t>
  </si>
  <si>
    <t>155.05万</t>
  </si>
  <si>
    <t>386.01万</t>
  </si>
  <si>
    <t>1000.30万</t>
  </si>
  <si>
    <t>-3055.05万</t>
  </si>
  <si>
    <t>-800.89万</t>
  </si>
  <si>
    <t>5104.74万</t>
  </si>
  <si>
    <t>2004.12万</t>
  </si>
  <si>
    <t>-6001.53万</t>
  </si>
  <si>
    <t>331.03万</t>
  </si>
  <si>
    <t>1915.51万</t>
  </si>
  <si>
    <t>47.01万</t>
  </si>
  <si>
    <t>34.35亿</t>
  </si>
  <si>
    <t>7077.09万</t>
  </si>
  <si>
    <t>9853.73万</t>
  </si>
  <si>
    <t>5539.94万</t>
  </si>
  <si>
    <t>727.72万</t>
  </si>
  <si>
    <t>3325.91万</t>
  </si>
  <si>
    <t>675372亿</t>
  </si>
  <si>
    <t>3304130亿</t>
  </si>
  <si>
    <t>25.07亿</t>
  </si>
  <si>
    <t>518116300亿</t>
  </si>
  <si>
    <t>219.52万</t>
  </si>
  <si>
    <t>3536650800亿</t>
  </si>
  <si>
    <t>2571.38万</t>
  </si>
  <si>
    <t>4.71万</t>
  </si>
  <si>
    <t>-2252.78万</t>
  </si>
  <si>
    <t>-2137.11万</t>
  </si>
  <si>
    <t>-31.38万</t>
  </si>
  <si>
    <t>9.09亿</t>
  </si>
  <si>
    <t>10.12亿</t>
  </si>
  <si>
    <t>8703.78万</t>
  </si>
  <si>
    <t>8767.98万</t>
  </si>
  <si>
    <t>745.90万</t>
  </si>
  <si>
    <t>199.71万</t>
  </si>
  <si>
    <t>1964.26万</t>
  </si>
  <si>
    <t>070770900</t>
  </si>
  <si>
    <t>0212312700</t>
  </si>
  <si>
    <t>0424625400</t>
  </si>
  <si>
    <t>0707709000</t>
  </si>
  <si>
    <t>01415418000</t>
  </si>
  <si>
    <t>51.12万</t>
  </si>
  <si>
    <t>32.13亿</t>
  </si>
  <si>
    <t>3.33亿</t>
  </si>
  <si>
    <t>22.06亿</t>
  </si>
  <si>
    <t>1179.21万</t>
  </si>
  <si>
    <t>2575.67万</t>
  </si>
  <si>
    <t>69541亿</t>
  </si>
  <si>
    <t>54641864亿</t>
  </si>
  <si>
    <t>14.59亿</t>
  </si>
  <si>
    <t>882919670亿</t>
  </si>
  <si>
    <t>3972.55万</t>
  </si>
  <si>
    <t>2917940200亿</t>
  </si>
  <si>
    <t>3073.43万</t>
  </si>
  <si>
    <t>6779.63万</t>
  </si>
  <si>
    <t>4.14亿</t>
  </si>
  <si>
    <t>-2507.07万</t>
  </si>
  <si>
    <t>-3044.93万</t>
  </si>
  <si>
    <t>-522.44万</t>
  </si>
  <si>
    <t>13.40亿</t>
  </si>
  <si>
    <t>16.37亿</t>
  </si>
  <si>
    <t>9344.42万</t>
  </si>
  <si>
    <t>264.51万</t>
  </si>
  <si>
    <t>1882.76万</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</si>
</sst>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9"/>
      <color rgb="FFFF0000"/>
      <name val="宋体"/>
      <family val="3"/>
      <charset val="134"/>
      <scheme val="minor"/>
    </font>
    <font>
      <sz val="11"/>
      <name val="宋体"/>
      <family val="2"/>
      <charset val="134"/>
      <scheme val="minor"/>
    </font>
    <font>
      <sz val="11"/>
      <color rgb="FF000000"/>
      <name val="宋体"/>
      <family val="3"/>
      <charset val="134"/>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3" fillId="0" borderId="0" xfId="0" applyFont="1">
      <alignment vertical="center"/>
    </xf>
    <xf numFmtId="0" fontId="16" fillId="0" borderId="0" xfId="0" applyFont="1">
      <alignment vertical="center"/>
    </xf>
    <xf numFmtId="0" fontId="23"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203200</xdr:colOff>
          <xdr:row>0</xdr:row>
          <xdr:rowOff>133350</xdr:rowOff>
        </xdr:from>
        <xdr:to>
          <xdr:col>147</xdr:col>
          <xdr:colOff>1346200</xdr:colOff>
          <xdr:row>0</xdr:row>
          <xdr:rowOff>444500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96"/>
  <sheetViews>
    <sheetView tabSelected="1" zoomScale="85" zoomScaleNormal="85" workbookViewId="0">
      <pane xSplit="5" ySplit="1" topLeftCell="F2" activePane="bottomRight" state="frozen"/>
      <selection pane="topRight" activeCell="F1" sqref="F1"/>
      <selection pane="bottomLeft" activeCell="A2" sqref="A2"/>
      <selection pane="bottomRight" activeCell="C4" sqref="C4:C5"/>
    </sheetView>
  </sheetViews>
  <sheetFormatPr defaultColWidth="8.81640625" defaultRowHeight="14" x14ac:dyDescent="0.25"/>
  <cols>
    <col min="1" max="1" width="38.26953125" style="7" customWidth="1"/>
    <col min="2" max="2" width="41.453125" style="7" customWidth="1"/>
    <col min="3" max="3" width="42.453125" style="7"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2.7265625" style="3" customWidth="1"/>
    <col min="149" max="16384" width="8.81640625" style="3"/>
  </cols>
  <sheetData>
    <row r="1" spans="1:146" ht="44.5" customHeight="1" x14ac:dyDescent="0.25">
      <c r="A1" s="6" t="s">
        <v>4</v>
      </c>
      <c r="B1" s="8" t="s">
        <v>5</v>
      </c>
      <c r="C1" s="6" t="s">
        <v>3</v>
      </c>
      <c r="D1" s="3" t="s">
        <v>131</v>
      </c>
      <c r="E1" s="3" t="s">
        <v>346</v>
      </c>
      <c r="F1" s="3" t="s">
        <v>19</v>
      </c>
      <c r="G1" s="3" t="s">
        <v>456</v>
      </c>
      <c r="H1" s="3" t="s">
        <v>457</v>
      </c>
      <c r="I1" s="3" t="s">
        <v>20</v>
      </c>
      <c r="J1" s="3" t="s">
        <v>21</v>
      </c>
      <c r="K1" s="3" t="s">
        <v>22</v>
      </c>
      <c r="L1" s="3" t="s">
        <v>23</v>
      </c>
      <c r="M1" s="3" t="s">
        <v>24</v>
      </c>
      <c r="N1" s="3" t="s">
        <v>25</v>
      </c>
      <c r="O1" s="3" t="s">
        <v>26</v>
      </c>
      <c r="P1" s="3" t="s">
        <v>458</v>
      </c>
      <c r="Q1" s="3" t="s">
        <v>361</v>
      </c>
      <c r="R1" s="3" t="s">
        <v>347</v>
      </c>
      <c r="S1" s="3" t="s">
        <v>27</v>
      </c>
      <c r="T1" s="3" t="s">
        <v>459</v>
      </c>
      <c r="U1" s="3" t="s">
        <v>304</v>
      </c>
      <c r="V1" s="3" t="s">
        <v>28</v>
      </c>
      <c r="W1" s="3" t="s">
        <v>362</v>
      </c>
      <c r="X1" s="3" t="s">
        <v>363</v>
      </c>
      <c r="Y1" s="3" t="s">
        <v>364</v>
      </c>
      <c r="Z1" s="3" t="s">
        <v>365</v>
      </c>
      <c r="AA1" s="3" t="s">
        <v>366</v>
      </c>
      <c r="AB1" s="3" t="s">
        <v>460</v>
      </c>
      <c r="AC1" s="3" t="s">
        <v>367</v>
      </c>
      <c r="AD1" s="3" t="s">
        <v>368</v>
      </c>
      <c r="AE1" s="3" t="s">
        <v>29</v>
      </c>
      <c r="AF1" s="3" t="s">
        <v>30</v>
      </c>
      <c r="AG1" s="3" t="s">
        <v>461</v>
      </c>
      <c r="AH1" s="3" t="s">
        <v>348</v>
      </c>
      <c r="AI1" s="3" t="s">
        <v>462</v>
      </c>
      <c r="AJ1" s="3" t="s">
        <v>31</v>
      </c>
      <c r="AK1" s="3" t="s">
        <v>463</v>
      </c>
      <c r="AL1" s="3" t="s">
        <v>32</v>
      </c>
      <c r="AM1" s="3" t="s">
        <v>464</v>
      </c>
      <c r="AN1" s="3" t="s">
        <v>465</v>
      </c>
      <c r="AO1" s="3" t="s">
        <v>466</v>
      </c>
      <c r="AP1" s="3" t="s">
        <v>467</v>
      </c>
      <c r="AQ1" s="3" t="s">
        <v>468</v>
      </c>
      <c r="AR1" s="3" t="s">
        <v>469</v>
      </c>
      <c r="AS1" s="3" t="s">
        <v>470</v>
      </c>
      <c r="AT1" s="3" t="s">
        <v>471</v>
      </c>
      <c r="AU1" s="3" t="s">
        <v>472</v>
      </c>
      <c r="AV1" s="3" t="s">
        <v>473</v>
      </c>
      <c r="AW1" s="3" t="s">
        <v>474</v>
      </c>
      <c r="AX1" s="3" t="s">
        <v>349</v>
      </c>
      <c r="AY1" s="3" t="s">
        <v>33</v>
      </c>
      <c r="AZ1" s="3" t="s">
        <v>34</v>
      </c>
      <c r="BA1" s="3" t="s">
        <v>35</v>
      </c>
      <c r="BB1" s="3" t="s">
        <v>36</v>
      </c>
      <c r="BC1" s="3" t="s">
        <v>305</v>
      </c>
      <c r="BD1" s="3" t="s">
        <v>37</v>
      </c>
      <c r="BE1" s="3" t="s">
        <v>38</v>
      </c>
      <c r="BF1" s="3" t="s">
        <v>39</v>
      </c>
      <c r="BG1" s="3" t="s">
        <v>40</v>
      </c>
      <c r="BH1" s="3" t="s">
        <v>475</v>
      </c>
      <c r="BI1" s="3" t="s">
        <v>476</v>
      </c>
      <c r="BJ1" s="3" t="s">
        <v>477</v>
      </c>
      <c r="BK1" s="3" t="s">
        <v>478</v>
      </c>
      <c r="BL1" s="3" t="s">
        <v>479</v>
      </c>
      <c r="BM1" s="3" t="s">
        <v>480</v>
      </c>
      <c r="BN1" s="3" t="s">
        <v>350</v>
      </c>
      <c r="BO1" s="3" t="s">
        <v>306</v>
      </c>
      <c r="BP1" s="3" t="s">
        <v>41</v>
      </c>
      <c r="BQ1" s="3" t="s">
        <v>351</v>
      </c>
      <c r="BR1" s="3" t="s">
        <v>307</v>
      </c>
      <c r="BS1" s="3" t="s">
        <v>42</v>
      </c>
      <c r="BT1" s="3" t="s">
        <v>481</v>
      </c>
      <c r="BU1" s="3" t="s">
        <v>369</v>
      </c>
      <c r="BV1" s="3" t="s">
        <v>482</v>
      </c>
      <c r="BW1" s="3" t="s">
        <v>43</v>
      </c>
      <c r="BX1" s="3" t="s">
        <v>44</v>
      </c>
      <c r="BY1" s="3" t="s">
        <v>483</v>
      </c>
      <c r="BZ1" s="3" t="s">
        <v>45</v>
      </c>
      <c r="CA1" s="3" t="s">
        <v>46</v>
      </c>
      <c r="CB1" s="3" t="s">
        <v>484</v>
      </c>
      <c r="CC1" s="3" t="s">
        <v>485</v>
      </c>
      <c r="CD1" s="3" t="s">
        <v>486</v>
      </c>
      <c r="CE1" s="3" t="s">
        <v>487</v>
      </c>
      <c r="CF1" s="1" t="s">
        <v>352</v>
      </c>
      <c r="CG1" s="1" t="s">
        <v>353</v>
      </c>
      <c r="CH1" s="1" t="s">
        <v>6</v>
      </c>
      <c r="CI1" s="1" t="s">
        <v>7</v>
      </c>
      <c r="CJ1" s="1" t="s">
        <v>8</v>
      </c>
      <c r="CK1" s="1" t="s">
        <v>9</v>
      </c>
      <c r="CL1" s="1" t="s">
        <v>10</v>
      </c>
      <c r="CM1" s="1" t="s">
        <v>11</v>
      </c>
      <c r="CN1" s="1" t="s">
        <v>12</v>
      </c>
      <c r="CO1" s="1" t="s">
        <v>13</v>
      </c>
      <c r="CP1" s="1" t="s">
        <v>14</v>
      </c>
      <c r="CQ1" s="1" t="s">
        <v>15</v>
      </c>
      <c r="CR1" s="1" t="s">
        <v>488</v>
      </c>
      <c r="CS1" s="1" t="s">
        <v>507</v>
      </c>
      <c r="CT1" s="1" t="s">
        <v>508</v>
      </c>
      <c r="CU1" s="1" t="s">
        <v>489</v>
      </c>
      <c r="CV1" s="1" t="s">
        <v>509</v>
      </c>
      <c r="CW1" s="1" t="s">
        <v>510</v>
      </c>
      <c r="CX1" s="3">
        <v>1</v>
      </c>
      <c r="CY1" s="3" t="s">
        <v>490</v>
      </c>
      <c r="CZ1" s="3" t="s">
        <v>511</v>
      </c>
      <c r="DA1" s="3">
        <v>3</v>
      </c>
      <c r="DB1" s="3" t="s">
        <v>491</v>
      </c>
      <c r="DC1" s="3" t="s">
        <v>512</v>
      </c>
      <c r="DD1" s="3">
        <v>6</v>
      </c>
      <c r="DE1" s="3" t="s">
        <v>492</v>
      </c>
      <c r="DF1" s="3" t="s">
        <v>513</v>
      </c>
      <c r="DG1" s="3">
        <v>10</v>
      </c>
      <c r="DH1" s="3" t="s">
        <v>514</v>
      </c>
      <c r="DI1" s="3" t="s">
        <v>493</v>
      </c>
      <c r="DJ1" s="3">
        <v>20</v>
      </c>
      <c r="DK1" s="3" t="s">
        <v>515</v>
      </c>
      <c r="DL1" s="3" t="s">
        <v>16</v>
      </c>
      <c r="DM1" s="3" t="s">
        <v>17</v>
      </c>
      <c r="DN1" s="2" t="s">
        <v>18</v>
      </c>
      <c r="DO1" s="3" t="s">
        <v>516</v>
      </c>
      <c r="DP1" s="3" t="s">
        <v>494</v>
      </c>
      <c r="DQ1" s="14" t="s">
        <v>517</v>
      </c>
      <c r="DR1" s="1" t="s">
        <v>495</v>
      </c>
      <c r="DS1" s="1" t="s">
        <v>518</v>
      </c>
      <c r="DT1" s="3" t="s">
        <v>496</v>
      </c>
      <c r="DU1" s="3" t="s">
        <v>497</v>
      </c>
      <c r="DV1" s="3" t="s">
        <v>498</v>
      </c>
      <c r="DW1" s="3" t="s">
        <v>519</v>
      </c>
      <c r="DX1" s="3" t="s">
        <v>499</v>
      </c>
      <c r="DY1" s="3" t="s">
        <v>500</v>
      </c>
      <c r="DZ1" s="3" t="s">
        <v>520</v>
      </c>
      <c r="EA1" s="3" t="s">
        <v>521</v>
      </c>
      <c r="EB1" s="3" t="s">
        <v>501</v>
      </c>
      <c r="EC1" s="3" t="s">
        <v>502</v>
      </c>
      <c r="ED1" s="3" t="s">
        <v>522</v>
      </c>
      <c r="EE1" s="3" t="s">
        <v>523</v>
      </c>
      <c r="EF1" s="3" t="s">
        <v>503</v>
      </c>
      <c r="EG1" s="3" t="s">
        <v>524</v>
      </c>
      <c r="EH1" s="3" t="s">
        <v>504</v>
      </c>
      <c r="EI1" s="3" t="s">
        <v>525</v>
      </c>
      <c r="EK1" s="15" t="s">
        <v>526</v>
      </c>
      <c r="EL1" s="3" t="s">
        <v>527</v>
      </c>
      <c r="EM1" s="3" t="s">
        <v>528</v>
      </c>
      <c r="EN1" s="3" t="s">
        <v>529</v>
      </c>
      <c r="EO1" s="3" t="s">
        <v>505</v>
      </c>
      <c r="EP1" s="3" t="s">
        <v>506</v>
      </c>
    </row>
    <row r="2" spans="1:146" ht="96" x14ac:dyDescent="0.25">
      <c r="C2" s="7" t="str">
        <f>""&amp;CHAR(10)&amp;Basic_Fundamental_Information_Constructure(F2)&amp;CHAR(10)&amp;Basic_Fundamental_Information_Concatenate("")</f>
        <v xml:space="preserve">
市值52.426089亿, 利润-8.28亿; PE; 平均PE-9.82; 平均PEG-2.2, PB1.5; ROIC0%; ROE-17.3367%; 股利率0%; 毛利31.0867%; 净利-47.6233%; 上一年度营收增41.68%, 利润增2.13%; 当季营收增-58.24%, 利润增-47.56%; 过往5年营收增4.46%, 利润增-57.39%
Income profile:
</v>
      </c>
      <c r="D2" s="3" t="s">
        <v>132</v>
      </c>
      <c r="E2" s="3" t="s">
        <v>133</v>
      </c>
      <c r="F2" s="3">
        <v>1.93</v>
      </c>
      <c r="G2" s="3">
        <v>1.05</v>
      </c>
      <c r="H2" s="3" t="s">
        <v>543</v>
      </c>
      <c r="I2" s="3">
        <v>5242608900</v>
      </c>
      <c r="K2" s="3">
        <v>1.5</v>
      </c>
      <c r="L2" s="3" t="s">
        <v>370</v>
      </c>
      <c r="M2" s="3" t="s">
        <v>544</v>
      </c>
      <c r="N2" s="3" t="s">
        <v>545</v>
      </c>
      <c r="O2" s="3" t="s">
        <v>546</v>
      </c>
      <c r="P2" s="3">
        <v>-58.2</v>
      </c>
      <c r="Q2" s="3" t="s">
        <v>547</v>
      </c>
      <c r="R2" s="3">
        <v>-48618414</v>
      </c>
      <c r="S2" s="5">
        <v>-0.47560000000000002</v>
      </c>
      <c r="T2" s="3" t="s">
        <v>548</v>
      </c>
      <c r="U2" s="3">
        <v>2675949300</v>
      </c>
      <c r="V2" s="3">
        <v>2716377700</v>
      </c>
      <c r="W2" s="3">
        <v>2.96</v>
      </c>
      <c r="X2" s="3">
        <v>0.02</v>
      </c>
      <c r="Y2" s="3">
        <v>-29.75</v>
      </c>
      <c r="Z2" s="3" t="s">
        <v>374</v>
      </c>
      <c r="AA2" s="3" t="s">
        <v>67</v>
      </c>
      <c r="AB2" s="3" t="s">
        <v>549</v>
      </c>
      <c r="AC2" s="3" t="s">
        <v>550</v>
      </c>
      <c r="AD2" s="3" t="s">
        <v>47</v>
      </c>
      <c r="AE2" s="3">
        <v>45216275</v>
      </c>
      <c r="AF2" s="3" t="s">
        <v>551</v>
      </c>
      <c r="AG2" s="3" t="s">
        <v>552</v>
      </c>
      <c r="AH2" s="3" t="s">
        <v>553</v>
      </c>
      <c r="AI2" s="3" t="s">
        <v>554</v>
      </c>
      <c r="AJ2" s="3" t="s">
        <v>555</v>
      </c>
      <c r="AK2" s="3" t="s">
        <v>125</v>
      </c>
      <c r="AL2" s="3" t="s">
        <v>556</v>
      </c>
      <c r="AM2" s="3" t="s">
        <v>47</v>
      </c>
      <c r="AN2" s="3" t="s">
        <v>557</v>
      </c>
      <c r="AO2" s="3" t="s">
        <v>558</v>
      </c>
      <c r="AP2" s="3" t="s">
        <v>91</v>
      </c>
      <c r="AQ2" s="3" t="s">
        <v>559</v>
      </c>
      <c r="AR2" s="3" t="s">
        <v>560</v>
      </c>
      <c r="AS2" s="3" t="s">
        <v>561</v>
      </c>
      <c r="AT2" s="3" t="s">
        <v>59</v>
      </c>
      <c r="AU2" s="3" t="s">
        <v>562</v>
      </c>
      <c r="AV2" s="3" t="s">
        <v>563</v>
      </c>
      <c r="AW2" s="3" t="s">
        <v>564</v>
      </c>
      <c r="AX2" s="3" t="s">
        <v>565</v>
      </c>
      <c r="AY2" s="3" t="s">
        <v>308</v>
      </c>
      <c r="AZ2" s="3" t="s">
        <v>135</v>
      </c>
      <c r="BA2" s="3" t="s">
        <v>137</v>
      </c>
      <c r="BB2" s="3" t="s">
        <v>123</v>
      </c>
      <c r="BC2" s="3" t="s">
        <v>566</v>
      </c>
      <c r="BD2" s="3" t="s">
        <v>309</v>
      </c>
      <c r="BE2" s="3" t="s">
        <v>136</v>
      </c>
      <c r="BF2" s="3" t="s">
        <v>124</v>
      </c>
      <c r="BG2" s="3" t="s">
        <v>127</v>
      </c>
      <c r="BH2" s="3" t="s">
        <v>547</v>
      </c>
      <c r="BI2" s="3" t="s">
        <v>567</v>
      </c>
      <c r="BJ2" s="3" t="s">
        <v>565</v>
      </c>
      <c r="BK2" s="3" t="s">
        <v>548</v>
      </c>
      <c r="BL2" s="3" t="s">
        <v>568</v>
      </c>
      <c r="BM2" s="3" t="s">
        <v>566</v>
      </c>
      <c r="BN2" s="3" t="s">
        <v>47</v>
      </c>
      <c r="BO2" s="3" t="s">
        <v>47</v>
      </c>
      <c r="BP2" s="3" t="s">
        <v>47</v>
      </c>
      <c r="BQ2" s="3">
        <v>-3.38</v>
      </c>
      <c r="BR2" s="3">
        <v>-17.66</v>
      </c>
      <c r="BS2" s="3">
        <v>-30.97</v>
      </c>
      <c r="BT2" s="3" t="s">
        <v>530</v>
      </c>
      <c r="BU2" s="3" t="s">
        <v>370</v>
      </c>
      <c r="BV2" s="3">
        <v>24.41</v>
      </c>
      <c r="BW2" s="3">
        <v>35.380000000000003</v>
      </c>
      <c r="BX2" s="3">
        <v>33.47</v>
      </c>
      <c r="BY2" s="3">
        <v>-32.83</v>
      </c>
      <c r="BZ2" s="3">
        <v>-47.79</v>
      </c>
      <c r="CA2" s="3">
        <v>-62.25</v>
      </c>
      <c r="CB2" s="3">
        <v>0</v>
      </c>
      <c r="CC2" s="3">
        <v>-12.27</v>
      </c>
      <c r="CD2" s="3" t="s">
        <v>569</v>
      </c>
      <c r="CE2" s="3" t="s">
        <v>570</v>
      </c>
      <c r="CF2" s="10">
        <v>-0.58236658932714613</v>
      </c>
      <c r="CG2" s="11">
        <v>-0.47556569243376129</v>
      </c>
      <c r="CH2" s="10">
        <v>0.41680771112442017</v>
      </c>
      <c r="CI2" s="10">
        <v>-0.19954858720302582</v>
      </c>
      <c r="CJ2" s="10">
        <v>0.15484882891178131</v>
      </c>
      <c r="CK2" s="10">
        <v>-0.40434783697128296</v>
      </c>
      <c r="CL2" s="10">
        <v>0.25536066293716431</v>
      </c>
      <c r="CM2" s="11">
        <v>2.1276595070958138E-2</v>
      </c>
      <c r="CN2" s="11">
        <v>0.39311334490776062</v>
      </c>
      <c r="CO2" s="11">
        <v>-0.55928409099578857</v>
      </c>
      <c r="CP2" s="11">
        <v>-3.0599079132080078</v>
      </c>
      <c r="CQ2" s="11">
        <v>0.33538460731506348</v>
      </c>
      <c r="CR2" s="3">
        <v>-9.8206847955042154</v>
      </c>
      <c r="CS2" s="3">
        <v>-2.2007553147590846</v>
      </c>
      <c r="CT2" s="3">
        <v>0</v>
      </c>
      <c r="CU2" s="10">
        <v>4.46241557598114E-2</v>
      </c>
      <c r="CV2" s="11">
        <v>-0.57388349138200279</v>
      </c>
      <c r="CW2" s="3">
        <v>0.06</v>
      </c>
      <c r="CX2" s="3" t="e">
        <v>#VALUE!</v>
      </c>
      <c r="CY2" s="3" t="s">
        <v>354</v>
      </c>
      <c r="CZ2" s="3">
        <v>4.46241557598114E-2</v>
      </c>
      <c r="DA2" s="3" t="e">
        <v>#VALUE!</v>
      </c>
      <c r="DB2" s="3" t="s">
        <v>355</v>
      </c>
      <c r="DC2" s="3">
        <v>4.2392947971820825E-2</v>
      </c>
      <c r="DD2" s="3" t="e">
        <v>#VALUE!</v>
      </c>
      <c r="DE2" s="3" t="s">
        <v>355</v>
      </c>
      <c r="DF2" s="3">
        <v>3.9269257068634031E-2</v>
      </c>
      <c r="DG2" s="3" t="e">
        <v>#VALUE!</v>
      </c>
      <c r="DH2" s="3" t="s">
        <v>355</v>
      </c>
      <c r="DI2" s="3">
        <v>3.5699324607849123E-2</v>
      </c>
      <c r="DJ2" s="3" t="e">
        <v>#VALUE!</v>
      </c>
      <c r="DK2" s="3" t="s">
        <v>355</v>
      </c>
      <c r="DL2" s="3">
        <v>3.1236909031867977E-2</v>
      </c>
      <c r="DM2" s="3">
        <v>-827999999.99999988</v>
      </c>
      <c r="DN2" s="3">
        <v>4.46241557598114E-2</v>
      </c>
      <c r="DO2" s="3">
        <v>8639608900</v>
      </c>
      <c r="DP2" s="3">
        <v>-1628784300.000001</v>
      </c>
      <c r="DQ2" s="3">
        <v>6</v>
      </c>
      <c r="DR2" s="3">
        <v>-0.62699074508695751</v>
      </c>
      <c r="DS2" s="3">
        <v>9.8317798948241497E-2</v>
      </c>
      <c r="DT2" s="12">
        <v>-0.3066666666666667</v>
      </c>
      <c r="DU2" s="3">
        <v>-2.4616666666666664</v>
      </c>
      <c r="DV2" s="3">
        <v>-2.7683333333333331</v>
      </c>
      <c r="DW2" s="3">
        <v>-2.1227</v>
      </c>
      <c r="DX2" s="3">
        <v>0.37174255319148841</v>
      </c>
      <c r="DY2" s="3">
        <v>-2.0149378112765959</v>
      </c>
      <c r="DZ2" s="3">
        <v>4819</v>
      </c>
      <c r="EA2" s="3">
        <v>-2.0008506659650664</v>
      </c>
      <c r="EB2" s="3">
        <v>2</v>
      </c>
      <c r="EC2" s="3">
        <v>2.3170894091789958E-2</v>
      </c>
      <c r="ED2" s="3">
        <v>0.19032699318655133</v>
      </c>
      <c r="EE2" s="13">
        <v>-1.0014000000000001</v>
      </c>
      <c r="EF2" s="3">
        <v>-1.00891</v>
      </c>
      <c r="EG2" s="3">
        <v>25.121742553191488</v>
      </c>
      <c r="EH2" s="3" t="s">
        <v>571</v>
      </c>
      <c r="EI2" s="3">
        <v>0</v>
      </c>
      <c r="EJ2" s="3">
        <v>0</v>
      </c>
      <c r="EK2" s="15">
        <v>45470</v>
      </c>
      <c r="EL2" s="16">
        <v>0</v>
      </c>
      <c r="EM2" s="16">
        <v>-3.52</v>
      </c>
      <c r="EN2" s="16">
        <v>0</v>
      </c>
      <c r="EO2" s="16">
        <v>1.04</v>
      </c>
      <c r="EP2" s="16">
        <v>-1.03</v>
      </c>
    </row>
    <row r="3" spans="1:146" ht="96" x14ac:dyDescent="0.25">
      <c r="C3" s="7" t="str">
        <f>""&amp;CHAR(10)&amp;Basic_Fundamental_Information_Constructure(F3)&amp;CHAR(10)&amp;Basic_Fundamental_Information_Concatenate("")</f>
        <v xml:space="preserve">
市值33.991645亿, 利润5754.66万; PE58.84; 平均PE38.31; 平均PEG11.58, PB1.26; ROIC5.035%; ROE2.9633%; 股利率0%; 毛利29.9967%; 净利4.2267%; 上一年度营收增-9.18%, 利润增1.98%; 当季营收增-26.67%, 利润增.83%; 过往5年营收增3.31%, 利润增104.89%
Income profile:
</v>
      </c>
      <c r="D3" s="3" t="s">
        <v>139</v>
      </c>
      <c r="E3" s="3" t="s">
        <v>140</v>
      </c>
      <c r="F3" s="3">
        <v>6.11</v>
      </c>
      <c r="G3" s="3">
        <v>0.49</v>
      </c>
      <c r="H3" s="3" t="s">
        <v>572</v>
      </c>
      <c r="I3" s="3">
        <v>3399164500</v>
      </c>
      <c r="J3" s="3">
        <v>58.84</v>
      </c>
      <c r="K3" s="3">
        <v>1.26</v>
      </c>
      <c r="L3" s="3" t="s">
        <v>370</v>
      </c>
      <c r="M3" s="3" t="s">
        <v>573</v>
      </c>
      <c r="N3" s="3" t="s">
        <v>574</v>
      </c>
      <c r="O3" s="3" t="s">
        <v>102</v>
      </c>
      <c r="P3" s="3">
        <v>-26.85</v>
      </c>
      <c r="Q3" s="3" t="s">
        <v>575</v>
      </c>
      <c r="R3" s="3">
        <v>-26766681</v>
      </c>
      <c r="S3" s="5">
        <v>8.3000000000000001E-3</v>
      </c>
      <c r="T3" s="3" t="s">
        <v>576</v>
      </c>
      <c r="U3" s="3">
        <v>548134720</v>
      </c>
      <c r="V3" s="3">
        <v>556328060</v>
      </c>
      <c r="W3" s="3">
        <v>2.4300000000000002</v>
      </c>
      <c r="X3" s="3">
        <v>0.03</v>
      </c>
      <c r="Y3" s="3">
        <v>-9.2899999999999991</v>
      </c>
      <c r="Z3" s="3" t="s">
        <v>371</v>
      </c>
      <c r="AA3" s="3" t="s">
        <v>90</v>
      </c>
      <c r="AB3" s="3" t="s">
        <v>577</v>
      </c>
      <c r="AC3" s="3" t="s">
        <v>578</v>
      </c>
      <c r="AD3" s="3" t="s">
        <v>47</v>
      </c>
      <c r="AE3" s="3">
        <v>18393558</v>
      </c>
      <c r="AF3" s="3" t="s">
        <v>579</v>
      </c>
      <c r="AG3" s="3" t="s">
        <v>580</v>
      </c>
      <c r="AH3" s="3" t="s">
        <v>581</v>
      </c>
      <c r="AI3" s="3" t="s">
        <v>540</v>
      </c>
      <c r="AJ3" s="3" t="s">
        <v>582</v>
      </c>
      <c r="AK3" s="3" t="s">
        <v>583</v>
      </c>
      <c r="AL3" s="3" t="s">
        <v>584</v>
      </c>
      <c r="AM3" s="3" t="s">
        <v>47</v>
      </c>
      <c r="AN3" s="3" t="s">
        <v>585</v>
      </c>
      <c r="AO3" s="3" t="s">
        <v>126</v>
      </c>
      <c r="AP3" s="3" t="s">
        <v>586</v>
      </c>
      <c r="AQ3" s="3" t="s">
        <v>587</v>
      </c>
      <c r="AR3" s="3" t="s">
        <v>47</v>
      </c>
      <c r="AS3" s="3" t="s">
        <v>588</v>
      </c>
      <c r="AT3" s="3" t="s">
        <v>589</v>
      </c>
      <c r="AU3" s="3" t="s">
        <v>590</v>
      </c>
      <c r="AV3" s="3" t="s">
        <v>591</v>
      </c>
      <c r="AW3" s="3" t="s">
        <v>592</v>
      </c>
      <c r="AX3" s="3" t="s">
        <v>593</v>
      </c>
      <c r="AY3" s="3" t="s">
        <v>310</v>
      </c>
      <c r="AZ3" s="3" t="s">
        <v>141</v>
      </c>
      <c r="BA3" s="3" t="s">
        <v>144</v>
      </c>
      <c r="BB3" s="3" t="s">
        <v>145</v>
      </c>
      <c r="BC3" s="3" t="s">
        <v>594</v>
      </c>
      <c r="BD3" s="3" t="s">
        <v>89</v>
      </c>
      <c r="BE3" s="3" t="s">
        <v>142</v>
      </c>
      <c r="BF3" s="3" t="s">
        <v>81</v>
      </c>
      <c r="BG3" s="3" t="s">
        <v>146</v>
      </c>
      <c r="BH3" s="3" t="s">
        <v>575</v>
      </c>
      <c r="BI3" s="3" t="s">
        <v>104</v>
      </c>
      <c r="BJ3" s="3" t="s">
        <v>593</v>
      </c>
      <c r="BK3" s="3" t="s">
        <v>576</v>
      </c>
      <c r="BL3" s="3" t="s">
        <v>595</v>
      </c>
      <c r="BM3" s="3" t="s">
        <v>594</v>
      </c>
      <c r="BN3" s="3" t="s">
        <v>47</v>
      </c>
      <c r="BO3" s="3">
        <v>3.22</v>
      </c>
      <c r="BP3" s="3">
        <v>6.85</v>
      </c>
      <c r="BQ3" s="3">
        <v>-0.99</v>
      </c>
      <c r="BR3" s="3">
        <v>2.08</v>
      </c>
      <c r="BS3" s="3">
        <v>7.8</v>
      </c>
      <c r="BT3" s="3" t="s">
        <v>530</v>
      </c>
      <c r="BU3" s="3" t="s">
        <v>370</v>
      </c>
      <c r="BV3" s="3">
        <v>29.22</v>
      </c>
      <c r="BW3" s="3">
        <v>28.01</v>
      </c>
      <c r="BX3" s="3">
        <v>32.76</v>
      </c>
      <c r="BY3" s="3">
        <v>2.8</v>
      </c>
      <c r="BZ3" s="3">
        <v>3.04</v>
      </c>
      <c r="CA3" s="3">
        <v>6.84</v>
      </c>
      <c r="CB3" s="3">
        <v>-7.14</v>
      </c>
      <c r="CC3" s="3">
        <v>-11.58</v>
      </c>
      <c r="CD3" s="3" t="s">
        <v>596</v>
      </c>
      <c r="CE3" s="3" t="s">
        <v>597</v>
      </c>
      <c r="CF3" s="10">
        <v>-0.26666666666666677</v>
      </c>
      <c r="CG3" s="11">
        <v>8.2998588402672033E-3</v>
      </c>
      <c r="CH3" s="10">
        <v>-9.1796897351741791E-2</v>
      </c>
      <c r="CI3" s="10">
        <v>-0.11906396597623825</v>
      </c>
      <c r="CJ3" s="10">
        <v>-7.1746469475328922E-3</v>
      </c>
      <c r="CK3" s="10">
        <v>5.3635779768228531E-2</v>
      </c>
      <c r="CL3" s="10">
        <v>0.32982286810874939</v>
      </c>
      <c r="CM3" s="11">
        <v>1.983795128762722E-2</v>
      </c>
      <c r="CN3" s="11">
        <v>-0.71926766633987427</v>
      </c>
      <c r="CO3" s="11">
        <v>2.5618975162506104</v>
      </c>
      <c r="CP3" s="11">
        <v>-0.57887613773345947</v>
      </c>
      <c r="CQ3" s="11">
        <v>3.9609417915344238</v>
      </c>
      <c r="CR3" s="3">
        <v>38.306530953086629</v>
      </c>
      <c r="CS3" s="3">
        <v>11.578347354701423</v>
      </c>
      <c r="CT3" s="3">
        <v>0</v>
      </c>
      <c r="CU3" s="10">
        <v>3.3084627520292995E-2</v>
      </c>
      <c r="CV3" s="11">
        <v>1.0489066909998654</v>
      </c>
      <c r="CW3" s="3">
        <v>0.06</v>
      </c>
      <c r="CX3" s="3">
        <v>86.014645744683108</v>
      </c>
      <c r="CY3" s="3">
        <v>56085384.741565362</v>
      </c>
      <c r="CZ3" s="3">
        <v>3.3084627520292995E-2</v>
      </c>
      <c r="DA3" s="3">
        <v>29.505637425630923</v>
      </c>
      <c r="DB3" s="3">
        <v>163499755.3318184</v>
      </c>
      <c r="DC3" s="3">
        <v>3.1430396144278346E-2</v>
      </c>
      <c r="DD3" s="3">
        <v>15.475517129963123</v>
      </c>
      <c r="DE3" s="3">
        <v>311728807.47614121</v>
      </c>
      <c r="DF3" s="3">
        <v>2.9114472217857835E-2</v>
      </c>
      <c r="DG3" s="3">
        <v>9.9617593672986402</v>
      </c>
      <c r="DH3" s="3">
        <v>484268322.70574945</v>
      </c>
      <c r="DI3" s="3">
        <v>2.6467702016234398E-2</v>
      </c>
      <c r="DJ3" s="3">
        <v>5.9522750818808081</v>
      </c>
      <c r="DK3" s="3">
        <v>810474051.28925157</v>
      </c>
      <c r="DL3" s="3">
        <v>2.3159239264205093E-2</v>
      </c>
      <c r="DM3" s="3">
        <v>57546600</v>
      </c>
      <c r="DN3" s="3">
        <v>3.3084627520292995E-2</v>
      </c>
      <c r="DO3" s="3">
        <v>4824164500</v>
      </c>
      <c r="DP3" s="3">
        <v>725492500</v>
      </c>
      <c r="DQ3" s="3">
        <v>374</v>
      </c>
      <c r="DR3" s="3">
        <v>-0.29975129418695978</v>
      </c>
      <c r="DS3" s="3">
        <v>-1.0406068321595983</v>
      </c>
      <c r="DT3" s="12">
        <v>-0.34</v>
      </c>
      <c r="DU3" s="3">
        <v>-4.9666666666666782E-2</v>
      </c>
      <c r="DV3" s="3">
        <v>-0.38966666666666683</v>
      </c>
      <c r="DW3" s="3">
        <v>-9.6165803108808294</v>
      </c>
      <c r="DX3" s="3">
        <v>0.28926118421052716</v>
      </c>
      <c r="DY3" s="3">
        <v>-9.0858657042541591</v>
      </c>
      <c r="DZ3" s="3">
        <v>2646</v>
      </c>
      <c r="EA3" s="3">
        <v>-9.0414037368458402</v>
      </c>
      <c r="EB3" s="3">
        <v>9</v>
      </c>
      <c r="EC3" s="3">
        <v>0.1141468578809417</v>
      </c>
      <c r="ED3" s="3">
        <v>0.81966025585694879</v>
      </c>
      <c r="EE3" s="13">
        <v>4.0277099999999999</v>
      </c>
      <c r="EF3" s="3">
        <v>4.0404099999999996</v>
      </c>
      <c r="EG3" s="3">
        <v>15.139261184210527</v>
      </c>
      <c r="EH3" s="3" t="s">
        <v>598</v>
      </c>
      <c r="EI3" s="3">
        <v>0</v>
      </c>
      <c r="EJ3" s="3">
        <v>0</v>
      </c>
      <c r="EK3" s="15">
        <v>45470</v>
      </c>
      <c r="EL3" s="16">
        <v>1.4</v>
      </c>
      <c r="EM3" s="16">
        <v>-5.96</v>
      </c>
      <c r="EN3" s="16">
        <v>-1.79</v>
      </c>
      <c r="EO3" s="16">
        <v>4.3</v>
      </c>
      <c r="EP3" s="16">
        <v>-1.27</v>
      </c>
    </row>
    <row r="4" spans="1:146" x14ac:dyDescent="0.25">
      <c r="C4" s="7" t="e">
        <f>""&amp;CHAR(10)&amp;Basic_Fundamental_Information_Constructure(F4)&amp;CHAR(10)&amp;Basic_Fundamental_Information_Concatenate("")</f>
        <v>#VALUE!</v>
      </c>
      <c r="D4" s="3" t="s">
        <v>147</v>
      </c>
      <c r="E4" s="3" t="s">
        <v>599</v>
      </c>
      <c r="F4" s="3" t="s">
        <v>47</v>
      </c>
      <c r="G4" s="3" t="s">
        <v>47</v>
      </c>
      <c r="H4" s="3" t="s">
        <v>47</v>
      </c>
      <c r="I4" s="3">
        <v>1260586250</v>
      </c>
      <c r="K4" s="3">
        <v>0.4</v>
      </c>
      <c r="L4" s="3" t="s">
        <v>370</v>
      </c>
      <c r="M4" s="3" t="s">
        <v>47</v>
      </c>
      <c r="N4" s="3" t="s">
        <v>47</v>
      </c>
      <c r="O4" s="3" t="s">
        <v>47</v>
      </c>
      <c r="P4" s="3" t="s">
        <v>47</v>
      </c>
      <c r="Q4" s="3" t="s">
        <v>47</v>
      </c>
      <c r="R4" s="3">
        <v>-577000000</v>
      </c>
      <c r="S4" s="5">
        <v>-0.81869999999999998</v>
      </c>
      <c r="T4" s="3" t="s">
        <v>47</v>
      </c>
      <c r="U4" s="3">
        <v>1594640300</v>
      </c>
      <c r="V4" s="3">
        <v>1595678800</v>
      </c>
      <c r="W4" s="3" t="s">
        <v>47</v>
      </c>
      <c r="X4" s="3" t="s">
        <v>47</v>
      </c>
      <c r="Y4" s="3" t="s">
        <v>47</v>
      </c>
      <c r="Z4" s="3" t="s">
        <v>47</v>
      </c>
      <c r="AA4" s="3" t="s">
        <v>47</v>
      </c>
      <c r="AB4" s="3" t="s">
        <v>47</v>
      </c>
      <c r="AC4" s="3" t="s">
        <v>47</v>
      </c>
      <c r="AD4" s="3" t="s">
        <v>47</v>
      </c>
      <c r="AE4" s="3">
        <v>70970110</v>
      </c>
      <c r="AF4" s="3" t="s">
        <v>600</v>
      </c>
      <c r="AG4" s="3" t="s">
        <v>47</v>
      </c>
      <c r="AH4" s="3" t="s">
        <v>601</v>
      </c>
      <c r="AI4" s="3" t="s">
        <v>47</v>
      </c>
      <c r="AJ4" s="3" t="s">
        <v>602</v>
      </c>
      <c r="AK4" s="3" t="s">
        <v>47</v>
      </c>
      <c r="AL4" s="3" t="s">
        <v>603</v>
      </c>
      <c r="AM4" s="3" t="s">
        <v>47</v>
      </c>
      <c r="AN4" s="3" t="s">
        <v>47</v>
      </c>
      <c r="AO4" s="3" t="s">
        <v>47</v>
      </c>
      <c r="AP4" s="3" t="s">
        <v>47</v>
      </c>
      <c r="AQ4" s="3" t="s">
        <v>47</v>
      </c>
      <c r="AR4" s="3" t="s">
        <v>47</v>
      </c>
      <c r="AS4" s="3" t="s">
        <v>47</v>
      </c>
      <c r="AT4" s="3" t="s">
        <v>47</v>
      </c>
      <c r="AU4" s="3" t="s">
        <v>47</v>
      </c>
      <c r="AV4" s="3" t="s">
        <v>47</v>
      </c>
      <c r="AW4" s="3" t="s">
        <v>47</v>
      </c>
      <c r="AX4" s="3" t="s">
        <v>604</v>
      </c>
      <c r="AY4" s="3" t="s">
        <v>605</v>
      </c>
      <c r="AZ4" s="3" t="s">
        <v>606</v>
      </c>
      <c r="BA4" s="3" t="s">
        <v>150</v>
      </c>
      <c r="BB4" s="3" t="s">
        <v>151</v>
      </c>
      <c r="BC4" s="3" t="s">
        <v>607</v>
      </c>
      <c r="BD4" s="3" t="s">
        <v>117</v>
      </c>
      <c r="BE4" s="3" t="s">
        <v>608</v>
      </c>
      <c r="BF4" s="3" t="s">
        <v>106</v>
      </c>
      <c r="BG4" s="3" t="s">
        <v>66</v>
      </c>
      <c r="BH4" s="3" t="s">
        <v>47</v>
      </c>
      <c r="BI4" s="3" t="s">
        <v>360</v>
      </c>
      <c r="BJ4" s="3" t="s">
        <v>604</v>
      </c>
      <c r="BK4" s="3" t="s">
        <v>47</v>
      </c>
      <c r="BL4" s="3" t="s">
        <v>609</v>
      </c>
      <c r="BM4" s="3" t="s">
        <v>607</v>
      </c>
      <c r="BN4" s="3">
        <v>2.16</v>
      </c>
      <c r="BO4" s="3" t="s">
        <v>47</v>
      </c>
      <c r="BP4" s="3">
        <v>6.22</v>
      </c>
      <c r="BQ4" s="3">
        <v>1.8</v>
      </c>
      <c r="BR4" s="3">
        <v>-29.57</v>
      </c>
      <c r="BS4" s="3">
        <v>7.8</v>
      </c>
      <c r="BT4" s="3" t="s">
        <v>47</v>
      </c>
      <c r="BU4" s="3" t="s">
        <v>370</v>
      </c>
      <c r="BV4" s="3" t="s">
        <v>47</v>
      </c>
      <c r="BW4" s="3">
        <v>31.57</v>
      </c>
      <c r="BX4" s="3">
        <v>45.94</v>
      </c>
      <c r="BY4" s="3" t="s">
        <v>47</v>
      </c>
      <c r="BZ4" s="3">
        <v>-211.42</v>
      </c>
      <c r="CA4" s="3">
        <v>20.420000000000002</v>
      </c>
      <c r="CB4" s="3">
        <v>0</v>
      </c>
      <c r="CC4" s="3">
        <v>0</v>
      </c>
      <c r="CD4" s="3" t="s">
        <v>47</v>
      </c>
      <c r="CE4" s="3" t="s">
        <v>47</v>
      </c>
      <c r="CF4" s="10" t="s">
        <v>47</v>
      </c>
      <c r="CG4" s="11" t="s">
        <v>47</v>
      </c>
      <c r="CH4" s="10" t="s">
        <v>47</v>
      </c>
      <c r="CI4" s="10">
        <v>-0.69358283281326294</v>
      </c>
      <c r="CJ4" s="10">
        <v>-9.7490347921848297E-2</v>
      </c>
      <c r="CK4" s="10">
        <v>0.23923444747924805</v>
      </c>
      <c r="CL4" s="10">
        <v>-3.408430889248848E-2</v>
      </c>
      <c r="CM4" s="11" t="s">
        <v>47</v>
      </c>
      <c r="CN4" s="11">
        <v>-5.2953734397888184</v>
      </c>
      <c r="CO4" s="11">
        <v>-0.33095237612724304</v>
      </c>
      <c r="CP4" s="11">
        <v>0.38613861799240112</v>
      </c>
      <c r="CQ4" s="11">
        <v>1.0753424167633057</v>
      </c>
      <c r="CR4" s="3">
        <v>-110.57774122807018</v>
      </c>
      <c r="CS4" s="3">
        <v>-7.5489600697473618</v>
      </c>
      <c r="CT4" s="3">
        <v>0</v>
      </c>
      <c r="CU4" s="10">
        <v>-0.14648076053708792</v>
      </c>
      <c r="CV4" s="11">
        <v>-1.0412111952900887</v>
      </c>
      <c r="CW4" s="3">
        <v>0.06</v>
      </c>
      <c r="CX4" s="3" t="e">
        <v>#VALUE!</v>
      </c>
      <c r="CY4" s="3" t="s">
        <v>610</v>
      </c>
      <c r="CZ4" s="3">
        <v>-0.14648076053708792</v>
      </c>
      <c r="DA4" s="3" t="e">
        <v>#DIV/0!</v>
      </c>
      <c r="DB4" s="3" t="s">
        <v>611</v>
      </c>
      <c r="DC4" s="3">
        <v>-0.1391567225102335</v>
      </c>
      <c r="DD4" s="3" t="e">
        <v>#DIV/0!</v>
      </c>
      <c r="DE4" s="3" t="s">
        <v>611</v>
      </c>
      <c r="DF4" s="3">
        <v>-0.12890306927263737</v>
      </c>
      <c r="DG4" s="3" t="e">
        <v>#DIV/0!</v>
      </c>
      <c r="DH4" s="3" t="s">
        <v>611</v>
      </c>
      <c r="DI4" s="3">
        <v>-0.11718460842967034</v>
      </c>
      <c r="DJ4" s="3" t="e">
        <v>#DIV/0!</v>
      </c>
      <c r="DK4" s="3" t="s">
        <v>611</v>
      </c>
      <c r="DL4" s="3">
        <v>-0.10253653237596154</v>
      </c>
      <c r="DM4" s="3">
        <v>0</v>
      </c>
      <c r="DN4" s="3">
        <v>-0.14648076053708792</v>
      </c>
      <c r="DO4" s="3">
        <v>1260586250</v>
      </c>
      <c r="DP4" s="3">
        <v>3485161600</v>
      </c>
      <c r="DQ4" s="3">
        <v>411</v>
      </c>
      <c r="DR4" s="3" t="e">
        <v>#VALUE!</v>
      </c>
      <c r="DS4" s="3" t="e">
        <v>#VALUE!</v>
      </c>
      <c r="DT4" s="12" t="e">
        <v>#VALUE!</v>
      </c>
      <c r="DU4" s="3" t="e">
        <v>#VALUE!</v>
      </c>
      <c r="DV4" s="3" t="e">
        <v>#VALUE!</v>
      </c>
      <c r="DW4" s="3">
        <v>0</v>
      </c>
      <c r="DX4" s="3" t="e">
        <v>#VALUE!</v>
      </c>
      <c r="DY4" s="3" t="e">
        <v>#VALUE!</v>
      </c>
      <c r="DZ4" s="3" t="s">
        <v>612</v>
      </c>
      <c r="EA4" s="3" t="e">
        <v>#VALUE!</v>
      </c>
      <c r="EB4" s="3" t="e">
        <v>#VALUE!</v>
      </c>
      <c r="EC4" s="3">
        <v>0</v>
      </c>
      <c r="ED4" s="3">
        <v>0</v>
      </c>
      <c r="EE4" s="13">
        <v>-7.0556099999999997</v>
      </c>
      <c r="EF4" s="3">
        <v>-7.0556099999999997</v>
      </c>
      <c r="EG4" s="3" t="e">
        <v>#VALUE!</v>
      </c>
      <c r="EH4" s="3" t="s">
        <v>613</v>
      </c>
      <c r="EI4" s="3" t="e">
        <v>#VALUE!</v>
      </c>
      <c r="EJ4" s="3">
        <v>0</v>
      </c>
      <c r="EK4" s="15">
        <v>45470</v>
      </c>
      <c r="EL4" s="16">
        <v>0</v>
      </c>
      <c r="EM4" s="16">
        <v>0</v>
      </c>
      <c r="EN4" s="16">
        <v>0</v>
      </c>
      <c r="EO4" s="16">
        <v>0</v>
      </c>
      <c r="EP4" s="16">
        <v>0</v>
      </c>
    </row>
    <row r="5" spans="1:146" ht="96" x14ac:dyDescent="0.25">
      <c r="A5" s="3"/>
      <c r="B5" s="3"/>
      <c r="C5" s="7" t="str">
        <f>""&amp;CHAR(10)&amp;Basic_Fundamental_Information_Constructure(F5)&amp;CHAR(10)&amp;Basic_Fundamental_Information_Concatenate("")</f>
        <v xml:space="preserve">
市值21.6522亿, 利润7199.03万; PE29.69; 平均PE33.71; 平均PEG3.34, PB2.01; ROIC12.7967%; ROE11.58%; 股利率.6373%; 毛利30.9333%; 净利13.4467%; 上一年度营收增2.32%, 利润增7.99%; 当季营收增-20.01%, 利润增7.17%; 过往5年营收增10.1%, 利润增17.12%
Income profile:
</v>
      </c>
      <c r="D5" s="3" t="s">
        <v>614</v>
      </c>
      <c r="E5" s="3" t="s">
        <v>615</v>
      </c>
      <c r="F5" s="3">
        <v>15.69</v>
      </c>
      <c r="G5" s="3">
        <v>1.1599999999999999</v>
      </c>
      <c r="H5" s="3" t="s">
        <v>616</v>
      </c>
      <c r="I5" s="3">
        <v>2165220000</v>
      </c>
      <c r="J5" s="3">
        <v>29.69</v>
      </c>
      <c r="K5" s="3">
        <v>2.0099999999999998</v>
      </c>
      <c r="L5" s="3" t="s">
        <v>370</v>
      </c>
      <c r="M5" s="3" t="s">
        <v>61</v>
      </c>
      <c r="N5" s="3" t="s">
        <v>617</v>
      </c>
      <c r="O5" s="3" t="s">
        <v>618</v>
      </c>
      <c r="P5" s="5">
        <v>-20.21</v>
      </c>
      <c r="Q5" s="3" t="s">
        <v>619</v>
      </c>
      <c r="R5" s="3">
        <v>13919745</v>
      </c>
      <c r="S5" s="3">
        <v>7.17E-2</v>
      </c>
      <c r="T5" s="3" t="s">
        <v>620</v>
      </c>
      <c r="U5" s="3">
        <v>81653600</v>
      </c>
      <c r="V5" s="3">
        <v>138000000</v>
      </c>
      <c r="W5" s="3">
        <v>1.2</v>
      </c>
      <c r="X5" s="3">
        <v>0.06</v>
      </c>
      <c r="Y5" s="3">
        <v>16.84</v>
      </c>
      <c r="Z5" s="3" t="s">
        <v>621</v>
      </c>
      <c r="AA5" s="3" t="s">
        <v>622</v>
      </c>
      <c r="AB5" s="3" t="s">
        <v>623</v>
      </c>
      <c r="AC5" s="3" t="s">
        <v>624</v>
      </c>
      <c r="AD5" s="3" t="s">
        <v>47</v>
      </c>
      <c r="AE5" s="3">
        <v>330252</v>
      </c>
      <c r="AF5" s="3" t="s">
        <v>625</v>
      </c>
      <c r="AG5" s="3" t="s">
        <v>626</v>
      </c>
      <c r="AH5" s="3" t="s">
        <v>627</v>
      </c>
      <c r="AI5" s="3" t="s">
        <v>628</v>
      </c>
      <c r="AJ5" s="3" t="s">
        <v>629</v>
      </c>
      <c r="AK5" s="3" t="s">
        <v>630</v>
      </c>
      <c r="AL5" s="3" t="s">
        <v>631</v>
      </c>
      <c r="AM5" s="3" t="s">
        <v>47</v>
      </c>
      <c r="AN5" s="3" t="s">
        <v>632</v>
      </c>
      <c r="AO5" s="3" t="s">
        <v>633</v>
      </c>
      <c r="AP5" s="3" t="s">
        <v>634</v>
      </c>
      <c r="AQ5" s="3" t="s">
        <v>635</v>
      </c>
      <c r="AR5" s="3" t="s">
        <v>636</v>
      </c>
      <c r="AS5" s="3" t="s">
        <v>637</v>
      </c>
      <c r="AT5" s="3" t="s">
        <v>47</v>
      </c>
      <c r="AU5" s="3" t="s">
        <v>638</v>
      </c>
      <c r="AV5" s="3" t="s">
        <v>639</v>
      </c>
      <c r="AW5" s="3" t="s">
        <v>640</v>
      </c>
      <c r="AX5" s="3" t="s">
        <v>372</v>
      </c>
      <c r="AY5" s="3" t="s">
        <v>252</v>
      </c>
      <c r="AZ5" s="3" t="s">
        <v>641</v>
      </c>
      <c r="BA5" s="3" t="s">
        <v>608</v>
      </c>
      <c r="BB5" s="3" t="s">
        <v>417</v>
      </c>
      <c r="BC5" s="3" t="s">
        <v>642</v>
      </c>
      <c r="BD5" s="3" t="s">
        <v>643</v>
      </c>
      <c r="BE5" s="3" t="s">
        <v>644</v>
      </c>
      <c r="BF5" s="3" t="s">
        <v>645</v>
      </c>
      <c r="BG5" s="3" t="s">
        <v>646</v>
      </c>
      <c r="BH5" s="3" t="s">
        <v>619</v>
      </c>
      <c r="BI5" s="3" t="s">
        <v>82</v>
      </c>
      <c r="BJ5" s="3" t="s">
        <v>372</v>
      </c>
      <c r="BK5" s="3" t="s">
        <v>620</v>
      </c>
      <c r="BL5" s="3" t="s">
        <v>647</v>
      </c>
      <c r="BM5" s="3" t="s">
        <v>642</v>
      </c>
      <c r="BN5" s="3">
        <v>6.76</v>
      </c>
      <c r="BO5" s="3">
        <v>14.55</v>
      </c>
      <c r="BP5" s="3">
        <v>17.079999999999998</v>
      </c>
      <c r="BQ5" s="3">
        <v>7.9</v>
      </c>
      <c r="BR5" s="3">
        <v>15.26</v>
      </c>
      <c r="BS5" s="3" t="s">
        <v>47</v>
      </c>
      <c r="BT5" s="3" t="s">
        <v>535</v>
      </c>
      <c r="BU5" s="3" t="s">
        <v>370</v>
      </c>
      <c r="BV5" s="3">
        <v>29.11</v>
      </c>
      <c r="BW5" s="3">
        <v>30.22</v>
      </c>
      <c r="BX5" s="3">
        <v>33.47</v>
      </c>
      <c r="BY5" s="3">
        <v>13.27</v>
      </c>
      <c r="BZ5" s="3">
        <v>13.2</v>
      </c>
      <c r="CA5" s="3">
        <v>13.87</v>
      </c>
      <c r="CB5" s="3">
        <v>-3.15</v>
      </c>
      <c r="CC5" s="10">
        <v>-13.98</v>
      </c>
      <c r="CD5" s="11" t="s">
        <v>648</v>
      </c>
      <c r="CE5" s="10" t="s">
        <v>649</v>
      </c>
      <c r="CF5" s="10">
        <v>-0.20008529411764706</v>
      </c>
      <c r="CG5" s="10">
        <v>7.1656401570559705E-2</v>
      </c>
      <c r="CH5" s="10">
        <v>2.3166023194789886E-2</v>
      </c>
      <c r="CI5" s="10">
        <v>7.916666567325592E-2</v>
      </c>
      <c r="CJ5" s="11">
        <v>-6.25E-2</v>
      </c>
      <c r="CK5" s="11">
        <v>0.21904762089252472</v>
      </c>
      <c r="CL5" s="11">
        <v>0.24629080295562744</v>
      </c>
      <c r="CM5" s="11">
        <v>7.9888038337230682E-2</v>
      </c>
      <c r="CN5" s="11">
        <v>8.5385516285896301E-3</v>
      </c>
      <c r="CO5" s="3">
        <v>-6.8672843277454376E-2</v>
      </c>
      <c r="CP5" s="3">
        <v>-4.3793916120193899E-4</v>
      </c>
      <c r="CQ5" s="3">
        <v>0.83678406476974487</v>
      </c>
      <c r="CR5" s="10">
        <v>33.709366048075722</v>
      </c>
      <c r="CS5" s="11">
        <v>3.336430488555413</v>
      </c>
      <c r="CT5" s="3">
        <v>0.63734862970044615</v>
      </c>
      <c r="CU5" s="3">
        <v>0.1010342225432396</v>
      </c>
      <c r="CV5" s="3">
        <v>0.17121997445938178</v>
      </c>
      <c r="CW5" s="3">
        <v>0.06</v>
      </c>
      <c r="CX5" s="3">
        <v>17.976345920591029</v>
      </c>
      <c r="CY5" s="3">
        <v>74777154.708636388</v>
      </c>
      <c r="CZ5" s="3">
        <v>0.1010342225432396</v>
      </c>
      <c r="DA5" s="3">
        <v>5.8199370722171748</v>
      </c>
      <c r="DB5" s="3">
        <v>230968133.04338756</v>
      </c>
      <c r="DC5" s="3">
        <v>9.5982511416077609E-2</v>
      </c>
      <c r="DD5" s="3">
        <v>2.8293394485589096</v>
      </c>
      <c r="DE5" s="3">
        <v>475100292.64415848</v>
      </c>
      <c r="DF5" s="3">
        <v>8.8910115838050849E-2</v>
      </c>
      <c r="DG5" s="3">
        <v>1.6750999355897267</v>
      </c>
      <c r="DH5" s="3">
        <v>802471525.09546316</v>
      </c>
      <c r="DI5" s="3">
        <v>8.0827378034591682E-2</v>
      </c>
      <c r="DJ5" s="3">
        <v>0.83855713854478742</v>
      </c>
      <c r="DK5" s="3">
        <v>1603015391.810662</v>
      </c>
      <c r="DL5" s="3">
        <v>7.0723955780267717E-2</v>
      </c>
      <c r="DM5" s="3">
        <v>71990300</v>
      </c>
      <c r="DN5" s="3">
        <v>0.1010342225432396</v>
      </c>
      <c r="DO5" s="3">
        <v>1344220000</v>
      </c>
      <c r="DP5" s="3">
        <v>845299460</v>
      </c>
      <c r="DQ5" s="12">
        <v>492</v>
      </c>
      <c r="DR5" s="3">
        <v>-0.30111951666088665</v>
      </c>
      <c r="DS5" s="3">
        <v>-9.9563572888822074E-2</v>
      </c>
      <c r="DT5" s="3">
        <v>-0.22333333333333338</v>
      </c>
      <c r="DU5" s="3">
        <v>0.19999999999999998</v>
      </c>
      <c r="DV5" s="3">
        <v>-2.33333333333334E-2</v>
      </c>
      <c r="DW5" s="3">
        <v>-8.2253218884120169</v>
      </c>
      <c r="DX5" s="3">
        <v>0.30590992192373051</v>
      </c>
      <c r="DY5" s="3">
        <v>-8.026117042493544</v>
      </c>
      <c r="DZ5" s="3">
        <v>1771</v>
      </c>
      <c r="EA5" s="3">
        <v>-8.0170655195471507</v>
      </c>
      <c r="EB5" s="13">
        <v>8</v>
      </c>
      <c r="EC5" s="13">
        <v>2.7335507246376813E-2</v>
      </c>
      <c r="ED5" s="3">
        <v>0.23583405797101453</v>
      </c>
      <c r="EE5" s="3">
        <v>2.0937100000000002</v>
      </c>
      <c r="EF5" s="3">
        <v>2.11191</v>
      </c>
      <c r="EG5" s="3">
        <v>19.115909921923731</v>
      </c>
      <c r="EH5" s="15" t="s">
        <v>650</v>
      </c>
      <c r="EI5" s="3">
        <v>0</v>
      </c>
      <c r="EJ5" s="3">
        <v>0</v>
      </c>
      <c r="EK5" s="3">
        <v>45470</v>
      </c>
      <c r="EL5" s="3">
        <v>-0.72</v>
      </c>
      <c r="EM5" s="3">
        <v>-4.3499999999999996</v>
      </c>
      <c r="EN5" s="16">
        <v>1.89</v>
      </c>
      <c r="EO5" s="16">
        <v>2.54</v>
      </c>
      <c r="EP5" s="16">
        <v>-1.82</v>
      </c>
    </row>
    <row r="6" spans="1:146" ht="72" x14ac:dyDescent="0.25">
      <c r="A6" s="9"/>
      <c r="B6" s="9" t="s">
        <v>297</v>
      </c>
      <c r="C6" s="9" t="s">
        <v>298</v>
      </c>
      <c r="D6" s="3" t="s">
        <v>152</v>
      </c>
      <c r="E6" s="3" t="s">
        <v>153</v>
      </c>
      <c r="F6" s="3">
        <v>8.8699999999999992</v>
      </c>
      <c r="G6" s="3">
        <v>0.68</v>
      </c>
      <c r="H6" s="3" t="s">
        <v>651</v>
      </c>
      <c r="I6" s="3">
        <v>2182098100</v>
      </c>
      <c r="J6" s="3">
        <v>34.76</v>
      </c>
      <c r="K6" s="3">
        <v>1.72</v>
      </c>
      <c r="L6" s="3" t="s">
        <v>370</v>
      </c>
      <c r="M6" s="3" t="s">
        <v>60</v>
      </c>
      <c r="N6" s="3" t="s">
        <v>652</v>
      </c>
      <c r="O6" s="3" t="s">
        <v>653</v>
      </c>
      <c r="P6" s="3">
        <v>25.06</v>
      </c>
      <c r="Q6" s="3" t="s">
        <v>654</v>
      </c>
      <c r="R6" s="3">
        <v>26495187</v>
      </c>
      <c r="S6" s="5">
        <v>2.35E-2</v>
      </c>
      <c r="T6" s="3" t="s">
        <v>655</v>
      </c>
      <c r="U6" s="3">
        <v>133137214</v>
      </c>
      <c r="V6" s="3">
        <v>246008800</v>
      </c>
      <c r="W6" s="3">
        <v>1.1200000000000001</v>
      </c>
      <c r="X6" s="3">
        <v>0.05</v>
      </c>
      <c r="Y6" s="3">
        <v>37.950000000000003</v>
      </c>
      <c r="Z6" s="3" t="s">
        <v>656</v>
      </c>
      <c r="AA6" s="3" t="s">
        <v>657</v>
      </c>
      <c r="AB6" s="3" t="s">
        <v>658</v>
      </c>
      <c r="AC6" s="3" t="s">
        <v>659</v>
      </c>
      <c r="AD6" s="3" t="s">
        <v>47</v>
      </c>
      <c r="AE6" s="3">
        <v>-429179</v>
      </c>
      <c r="AF6" s="3" t="s">
        <v>660</v>
      </c>
      <c r="AG6" s="3">
        <v>380</v>
      </c>
      <c r="AH6" s="3" t="s">
        <v>661</v>
      </c>
      <c r="AI6" s="3" t="s">
        <v>662</v>
      </c>
      <c r="AJ6" s="3" t="s">
        <v>663</v>
      </c>
      <c r="AK6" s="3" t="s">
        <v>664</v>
      </c>
      <c r="AL6" s="3" t="s">
        <v>665</v>
      </c>
      <c r="AM6" s="3" t="s">
        <v>47</v>
      </c>
      <c r="AN6" s="3" t="s">
        <v>666</v>
      </c>
      <c r="AO6" s="3" t="s">
        <v>47</v>
      </c>
      <c r="AP6" s="3" t="s">
        <v>47</v>
      </c>
      <c r="AQ6" s="3" t="s">
        <v>667</v>
      </c>
      <c r="AR6" s="3" t="s">
        <v>47</v>
      </c>
      <c r="AS6" s="3" t="s">
        <v>327</v>
      </c>
      <c r="AT6" s="3" t="s">
        <v>47</v>
      </c>
      <c r="AU6" s="3" t="s">
        <v>668</v>
      </c>
      <c r="AV6" s="3" t="s">
        <v>669</v>
      </c>
      <c r="AW6" s="3" t="s">
        <v>670</v>
      </c>
      <c r="AX6" s="3" t="s">
        <v>671</v>
      </c>
      <c r="AY6" s="3" t="s">
        <v>311</v>
      </c>
      <c r="AZ6" s="3" t="s">
        <v>107</v>
      </c>
      <c r="BA6" s="3" t="s">
        <v>86</v>
      </c>
      <c r="BB6" s="3" t="s">
        <v>154</v>
      </c>
      <c r="BC6" s="3" t="s">
        <v>57</v>
      </c>
      <c r="BD6" s="3" t="s">
        <v>60</v>
      </c>
      <c r="BE6" s="3" t="s">
        <v>78</v>
      </c>
      <c r="BF6" s="3" t="s">
        <v>48</v>
      </c>
      <c r="BG6" s="3" t="s">
        <v>155</v>
      </c>
      <c r="BH6" s="3" t="s">
        <v>654</v>
      </c>
      <c r="BI6" s="3" t="s">
        <v>672</v>
      </c>
      <c r="BJ6" s="3" t="s">
        <v>671</v>
      </c>
      <c r="BK6" s="3" t="s">
        <v>655</v>
      </c>
      <c r="BL6" s="3" t="s">
        <v>673</v>
      </c>
      <c r="BM6" s="3" t="s">
        <v>57</v>
      </c>
      <c r="BN6" s="3">
        <v>3.73</v>
      </c>
      <c r="BO6" s="3">
        <v>9.36</v>
      </c>
      <c r="BP6" s="3">
        <v>12.18</v>
      </c>
      <c r="BQ6" s="3">
        <v>3.96</v>
      </c>
      <c r="BR6" s="3">
        <v>9.85</v>
      </c>
      <c r="BS6" s="3">
        <v>12.79</v>
      </c>
      <c r="BT6" s="3" t="s">
        <v>534</v>
      </c>
      <c r="BU6" s="3" t="s">
        <v>370</v>
      </c>
      <c r="BV6" s="3">
        <v>56.67</v>
      </c>
      <c r="BW6" s="3">
        <v>68.739999999999995</v>
      </c>
      <c r="BX6" s="3">
        <v>62.27</v>
      </c>
      <c r="BY6" s="3">
        <v>25.48</v>
      </c>
      <c r="BZ6" s="3">
        <v>33.36</v>
      </c>
      <c r="CA6" s="3">
        <v>37.79</v>
      </c>
      <c r="CB6" s="3">
        <v>-3.17</v>
      </c>
      <c r="CC6" s="3">
        <v>-7.02</v>
      </c>
      <c r="CD6" s="3" t="s">
        <v>674</v>
      </c>
      <c r="CE6" s="3" t="s">
        <v>675</v>
      </c>
      <c r="CF6" s="10">
        <v>0.25057044860939681</v>
      </c>
      <c r="CG6" s="11">
        <v>2.3458333816184396E-2</v>
      </c>
      <c r="CH6" s="10">
        <v>-0.3351498544216156</v>
      </c>
      <c r="CI6" s="10">
        <v>-8.4788031876087189E-2</v>
      </c>
      <c r="CJ6" s="10">
        <v>0.11080332100391388</v>
      </c>
      <c r="CK6" s="10">
        <v>0.12461059540510178</v>
      </c>
      <c r="CL6" s="10">
        <v>0.19330854713916779</v>
      </c>
      <c r="CM6" s="11">
        <v>-0.49047949910163879</v>
      </c>
      <c r="CN6" s="11">
        <v>-0.19205297529697418</v>
      </c>
      <c r="CO6" s="11">
        <v>0.10218977928161621</v>
      </c>
      <c r="CP6" s="11">
        <v>0.10483870655298233</v>
      </c>
      <c r="CQ6" s="11">
        <v>0.3032698929309845</v>
      </c>
      <c r="CR6" s="3">
        <v>18.938897462024098</v>
      </c>
      <c r="CS6" s="3">
        <v>107.79629413007808</v>
      </c>
      <c r="CT6" s="3">
        <v>3.382187147688839</v>
      </c>
      <c r="CU6" s="10">
        <v>1.7569154500961305E-3</v>
      </c>
      <c r="CV6" s="11">
        <v>-3.4446819126605986E-2</v>
      </c>
      <c r="CW6" s="3">
        <v>0.06</v>
      </c>
      <c r="CX6" s="3">
        <v>18.045465370329442</v>
      </c>
      <c r="CY6" s="3">
        <v>58745955.188444473</v>
      </c>
      <c r="CZ6" s="3">
        <v>1.7569154500961305E-3</v>
      </c>
      <c r="DA6" s="3">
        <v>6.3592055059846331</v>
      </c>
      <c r="DB6" s="3">
        <v>166702915.79700392</v>
      </c>
      <c r="DC6" s="3">
        <v>1.6690696775913238E-3</v>
      </c>
      <c r="DD6" s="3">
        <v>3.4503227394637164</v>
      </c>
      <c r="DE6" s="3">
        <v>307246069.44009274</v>
      </c>
      <c r="DF6" s="3">
        <v>1.5460855960845949E-3</v>
      </c>
      <c r="DG6" s="3">
        <v>2.3007783831870192</v>
      </c>
      <c r="DH6" s="3">
        <v>460756284.80634493</v>
      </c>
      <c r="DI6" s="3">
        <v>1.4055323600769044E-3</v>
      </c>
      <c r="DJ6" s="3">
        <v>1.4711624292019372</v>
      </c>
      <c r="DK6" s="3">
        <v>720585354.1101321</v>
      </c>
      <c r="DL6" s="3">
        <v>1.2298408150672913E-3</v>
      </c>
      <c r="DM6" s="3">
        <v>62161500</v>
      </c>
      <c r="DN6" s="3">
        <v>1.7569154500961305E-3</v>
      </c>
      <c r="DO6" s="3">
        <v>1060098100</v>
      </c>
      <c r="DP6" s="3">
        <v>954639090</v>
      </c>
      <c r="DQ6" s="3">
        <v>1431</v>
      </c>
      <c r="DR6" s="3">
        <v>0.24881353315930069</v>
      </c>
      <c r="DS6" s="3">
        <v>5.7905152942790382E-2</v>
      </c>
      <c r="DT6" s="12">
        <v>-0.50666666666666671</v>
      </c>
      <c r="DU6" s="3">
        <v>-0.21666666666666667</v>
      </c>
      <c r="DV6" s="3">
        <v>-0.72333333333333338</v>
      </c>
      <c r="DW6" s="3">
        <v>-8.4515669515669511</v>
      </c>
      <c r="DX6" s="3">
        <v>0.29933471653500604</v>
      </c>
      <c r="DY6" s="3">
        <v>-8.0493719446461487</v>
      </c>
      <c r="DZ6" s="3">
        <v>3233</v>
      </c>
      <c r="EA6" s="3">
        <v>-8.018135252465914</v>
      </c>
      <c r="EB6" s="3">
        <v>8</v>
      </c>
      <c r="EC6" s="3">
        <v>3.3213852512593046E-2</v>
      </c>
      <c r="ED6" s="3">
        <v>0.30378140944551579</v>
      </c>
      <c r="EE6" s="13">
        <v>-6.0190099999999997</v>
      </c>
      <c r="EF6" s="3">
        <v>-6.0322100000000001</v>
      </c>
      <c r="EG6" s="3">
        <v>19.109334716535006</v>
      </c>
      <c r="EH6" s="3" t="s">
        <v>676</v>
      </c>
      <c r="EI6" s="3">
        <v>0</v>
      </c>
      <c r="EJ6" s="3">
        <v>0</v>
      </c>
      <c r="EK6" s="15">
        <v>45470</v>
      </c>
      <c r="EL6" s="16">
        <v>-0.76</v>
      </c>
      <c r="EM6" s="16">
        <v>-4.25</v>
      </c>
      <c r="EN6" s="16">
        <v>0.11</v>
      </c>
      <c r="EO6" s="16">
        <v>3.75</v>
      </c>
      <c r="EP6" s="16">
        <v>-1.32</v>
      </c>
    </row>
    <row r="7" spans="1:146" ht="96" x14ac:dyDescent="0.25">
      <c r="C7" s="7" t="str">
        <f>""&amp;CHAR(10)&amp;Basic_Fundamental_Information_Constructure(F7)&amp;CHAR(10)&amp;Basic_Fundamental_Information_Concatenate("")</f>
        <v xml:space="preserve">
市值27.597329亿, 利润1783.90万; PE130.5; 平均PE-14.24; 平均PEG-3.77, PB2.09; ROIC2.26%; ROE-4.12%; 股利率0%; 毛利32.7%; 净利-4.28%; 上一年度营收增19.62%, 利润增109.1%; 当季营收增3%, 利润增217.45%; 过往5年营收增3.78%, 利润增-392.77%
Income profile:
</v>
      </c>
      <c r="D7" s="3" t="s">
        <v>157</v>
      </c>
      <c r="E7" s="3" t="s">
        <v>158</v>
      </c>
      <c r="F7" s="3">
        <v>4.9400000000000004</v>
      </c>
      <c r="G7" s="3">
        <v>1.02</v>
      </c>
      <c r="H7" s="3" t="s">
        <v>677</v>
      </c>
      <c r="I7" s="3">
        <v>2759732900</v>
      </c>
      <c r="J7" s="3">
        <v>130.5</v>
      </c>
      <c r="K7" s="3">
        <v>2.09</v>
      </c>
      <c r="L7" s="3" t="s">
        <v>370</v>
      </c>
      <c r="M7" s="3" t="s">
        <v>575</v>
      </c>
      <c r="N7" s="3" t="s">
        <v>399</v>
      </c>
      <c r="O7" s="3" t="s">
        <v>389</v>
      </c>
      <c r="P7" s="3">
        <v>2.92</v>
      </c>
      <c r="Q7" s="3" t="s">
        <v>678</v>
      </c>
      <c r="R7" s="3">
        <v>4830284</v>
      </c>
      <c r="S7" s="5">
        <v>2.1739999999999999</v>
      </c>
      <c r="T7" s="3" t="s">
        <v>679</v>
      </c>
      <c r="U7" s="3">
        <v>501628830</v>
      </c>
      <c r="V7" s="3">
        <v>558650390</v>
      </c>
      <c r="W7" s="3">
        <v>2.74</v>
      </c>
      <c r="X7" s="3">
        <v>0.08</v>
      </c>
      <c r="Y7" s="3">
        <v>1.67</v>
      </c>
      <c r="Z7" s="3" t="s">
        <v>680</v>
      </c>
      <c r="AA7" s="3" t="s">
        <v>387</v>
      </c>
      <c r="AB7" s="3" t="s">
        <v>681</v>
      </c>
      <c r="AC7" s="3" t="s">
        <v>682</v>
      </c>
      <c r="AD7" s="3" t="s">
        <v>47</v>
      </c>
      <c r="AE7" s="3">
        <v>15541176</v>
      </c>
      <c r="AF7" s="3" t="s">
        <v>683</v>
      </c>
      <c r="AG7" s="3" t="s">
        <v>684</v>
      </c>
      <c r="AH7" s="3" t="s">
        <v>685</v>
      </c>
      <c r="AI7" s="3" t="s">
        <v>455</v>
      </c>
      <c r="AJ7" s="3" t="s">
        <v>686</v>
      </c>
      <c r="AK7" s="3" t="s">
        <v>687</v>
      </c>
      <c r="AL7" s="3" t="s">
        <v>688</v>
      </c>
      <c r="AM7" s="3" t="s">
        <v>47</v>
      </c>
      <c r="AN7" s="3" t="s">
        <v>689</v>
      </c>
      <c r="AO7" s="3" t="s">
        <v>690</v>
      </c>
      <c r="AP7" s="3" t="s">
        <v>691</v>
      </c>
      <c r="AQ7" s="3" t="s">
        <v>407</v>
      </c>
      <c r="AR7" s="3" t="s">
        <v>47</v>
      </c>
      <c r="AS7" s="3" t="s">
        <v>692</v>
      </c>
      <c r="AT7" s="3" t="s">
        <v>693</v>
      </c>
      <c r="AU7" s="3" t="s">
        <v>694</v>
      </c>
      <c r="AV7" s="3" t="s">
        <v>695</v>
      </c>
      <c r="AW7" s="3" t="s">
        <v>696</v>
      </c>
      <c r="AX7" s="3" t="s">
        <v>697</v>
      </c>
      <c r="AY7" s="3" t="s">
        <v>129</v>
      </c>
      <c r="AZ7" s="3" t="s">
        <v>159</v>
      </c>
      <c r="BA7" s="3" t="s">
        <v>119</v>
      </c>
      <c r="BB7" s="3" t="s">
        <v>161</v>
      </c>
      <c r="BC7" s="3" t="s">
        <v>698</v>
      </c>
      <c r="BD7" s="3" t="s">
        <v>312</v>
      </c>
      <c r="BE7" s="3" t="s">
        <v>160</v>
      </c>
      <c r="BF7" s="3" t="s">
        <v>163</v>
      </c>
      <c r="BG7" s="3" t="s">
        <v>143</v>
      </c>
      <c r="BH7" s="3" t="s">
        <v>678</v>
      </c>
      <c r="BI7" s="3" t="s">
        <v>421</v>
      </c>
      <c r="BJ7" s="3" t="s">
        <v>697</v>
      </c>
      <c r="BK7" s="3" t="s">
        <v>679</v>
      </c>
      <c r="BL7" s="3" t="s">
        <v>699</v>
      </c>
      <c r="BM7" s="3" t="s">
        <v>698</v>
      </c>
      <c r="BN7" s="3">
        <v>1.72</v>
      </c>
      <c r="BO7" s="3" t="s">
        <v>47</v>
      </c>
      <c r="BP7" s="3">
        <v>2.8</v>
      </c>
      <c r="BQ7" s="3">
        <v>0.45</v>
      </c>
      <c r="BR7" s="3">
        <v>-14.15</v>
      </c>
      <c r="BS7" s="3">
        <v>1.34</v>
      </c>
      <c r="BT7" s="3" t="s">
        <v>530</v>
      </c>
      <c r="BU7" s="3" t="s">
        <v>370</v>
      </c>
      <c r="BV7" s="3">
        <v>31.14</v>
      </c>
      <c r="BW7" s="3">
        <v>30.64</v>
      </c>
      <c r="BX7" s="3">
        <v>36.32</v>
      </c>
      <c r="BY7" s="3">
        <v>1.2</v>
      </c>
      <c r="BZ7" s="3">
        <v>-15.48</v>
      </c>
      <c r="CA7" s="3">
        <v>1.44</v>
      </c>
      <c r="CB7" s="3">
        <v>-1</v>
      </c>
      <c r="CC7" s="3">
        <v>-10.83</v>
      </c>
      <c r="CD7" s="3" t="s">
        <v>700</v>
      </c>
      <c r="CE7" s="3" t="s">
        <v>381</v>
      </c>
      <c r="CF7" s="10">
        <v>2.9962546816479401E-2</v>
      </c>
      <c r="CG7" s="11">
        <v>2.1744768664563616</v>
      </c>
      <c r="CH7" s="10">
        <v>0.19621755182743073</v>
      </c>
      <c r="CI7" s="10">
        <v>-8.1765606999397278E-2</v>
      </c>
      <c r="CJ7" s="10">
        <v>0.13278688490390778</v>
      </c>
      <c r="CK7" s="10">
        <v>-0.23749999701976776</v>
      </c>
      <c r="CL7" s="10">
        <v>0.17907153069972992</v>
      </c>
      <c r="CM7" s="11">
        <v>1.0910153388977051</v>
      </c>
      <c r="CN7" s="11">
        <v>-10.834617614746094</v>
      </c>
      <c r="CO7" s="11">
        <v>1.0424034595489502</v>
      </c>
      <c r="CP7" s="11">
        <v>-12.011487007141113</v>
      </c>
      <c r="CQ7" s="11">
        <v>1.0739734172821045</v>
      </c>
      <c r="CR7" s="3">
        <v>-14.243186027389649</v>
      </c>
      <c r="CS7" s="3">
        <v>-3.7718231589642981</v>
      </c>
      <c r="CT7" s="3">
        <v>0</v>
      </c>
      <c r="CU7" s="10">
        <v>3.7762072682380673E-2</v>
      </c>
      <c r="CV7" s="11">
        <v>-3.9277424812316895</v>
      </c>
      <c r="CW7" s="3">
        <v>0.06</v>
      </c>
      <c r="CX7" s="3">
        <v>214.93192687281257</v>
      </c>
      <c r="CY7" s="3">
        <v>17464752.466585837</v>
      </c>
      <c r="CZ7" s="3">
        <v>3.7762072682380673E-2</v>
      </c>
      <c r="DA7" s="3">
        <v>73.433252539618408</v>
      </c>
      <c r="DB7" s="3">
        <v>51117617.294355869</v>
      </c>
      <c r="DC7" s="3">
        <v>3.5873969048261636E-2</v>
      </c>
      <c r="DD7" s="3">
        <v>38.318403503878592</v>
      </c>
      <c r="DE7" s="3">
        <v>97961620.442251638</v>
      </c>
      <c r="DF7" s="3">
        <v>3.323062396049499E-2</v>
      </c>
      <c r="DG7" s="3">
        <v>24.531800952148338</v>
      </c>
      <c r="DH7" s="3">
        <v>153014974.6169073</v>
      </c>
      <c r="DI7" s="3">
        <v>3.0209658145904539E-2</v>
      </c>
      <c r="DJ7" s="3">
        <v>14.499415953771903</v>
      </c>
      <c r="DK7" s="3">
        <v>258888558.81974319</v>
      </c>
      <c r="DL7" s="3">
        <v>2.6433450877666471E-2</v>
      </c>
      <c r="DM7" s="3">
        <v>17839000</v>
      </c>
      <c r="DN7" s="3">
        <v>3.7762072682380673E-2</v>
      </c>
      <c r="DO7" s="3">
        <v>3753732900</v>
      </c>
      <c r="DP7" s="3">
        <v>615993900</v>
      </c>
      <c r="DQ7" s="3">
        <v>1509</v>
      </c>
      <c r="DR7" s="3">
        <v>-7.7995258659012724E-3</v>
      </c>
      <c r="DS7" s="3">
        <v>6.1022193476880506</v>
      </c>
      <c r="DT7" s="12">
        <v>-0.28999999999999998</v>
      </c>
      <c r="DU7" s="3">
        <v>-1.0066666666666666</v>
      </c>
      <c r="DV7" s="3">
        <v>-1.2966666666666666</v>
      </c>
      <c r="DW7" s="3">
        <v>-2.1082999999999998</v>
      </c>
      <c r="DX7" s="3">
        <v>0.31685291005290878</v>
      </c>
      <c r="DY7" s="3">
        <v>-2.0148211701587302</v>
      </c>
      <c r="DZ7" s="3">
        <v>3850</v>
      </c>
      <c r="EA7" s="3">
        <v>-2.003654535107632</v>
      </c>
      <c r="EB7" s="3">
        <v>2</v>
      </c>
      <c r="EC7" s="3">
        <v>4.6299439619114917E-2</v>
      </c>
      <c r="ED7" s="3">
        <v>0.33831534602526636</v>
      </c>
      <c r="EE7" s="13">
        <v>-3.0089999999999999</v>
      </c>
      <c r="EF7" s="3">
        <v>-3.0030100000000002</v>
      </c>
      <c r="EG7" s="3">
        <v>18.136852910052909</v>
      </c>
      <c r="EH7" s="3" t="s">
        <v>701</v>
      </c>
      <c r="EI7" s="3">
        <v>0</v>
      </c>
      <c r="EJ7" s="3">
        <v>0</v>
      </c>
      <c r="EK7" s="15">
        <v>45470</v>
      </c>
      <c r="EL7" s="16">
        <v>-1.38</v>
      </c>
      <c r="EM7" s="16">
        <v>-5.19</v>
      </c>
      <c r="EN7" s="16">
        <v>1.47</v>
      </c>
      <c r="EO7" s="16">
        <v>3.94</v>
      </c>
      <c r="EP7" s="16">
        <v>-1.2</v>
      </c>
    </row>
    <row r="8" spans="1:146" ht="96" x14ac:dyDescent="0.25">
      <c r="C8" s="7" t="str">
        <f>""&amp;CHAR(10)&amp;Basic_Fundamental_Information_Constructure(F8)&amp;CHAR(10)&amp;Basic_Fundamental_Information_Concatenate("")</f>
        <v xml:space="preserve">
市值55.386002亿, 利润1.01亿; PE52.25; 平均PE-81.85; 平均PEG-19.49, PB2.34; ROIC4.59%; ROE5.67%; 股利率.6983%; 毛利31.6767%; 净利8.9567%; 上一年度营收增.53%, 利润增-34.84%; 当季营收增25.71%, 利润增14.05%; 过往5年营收增4.2%, 利润增27.83%
Income profile:
</v>
      </c>
      <c r="D8" s="3" t="s">
        <v>164</v>
      </c>
      <c r="E8" s="3" t="s">
        <v>165</v>
      </c>
      <c r="F8" s="3">
        <v>14.32</v>
      </c>
      <c r="G8" s="3">
        <v>1.06</v>
      </c>
      <c r="H8" s="3" t="s">
        <v>702</v>
      </c>
      <c r="I8" s="3">
        <v>5538600200</v>
      </c>
      <c r="J8" s="3">
        <v>52.25</v>
      </c>
      <c r="K8" s="3">
        <v>2.34</v>
      </c>
      <c r="L8" s="3" t="s">
        <v>370</v>
      </c>
      <c r="M8" s="3" t="s">
        <v>703</v>
      </c>
      <c r="N8" s="3" t="s">
        <v>704</v>
      </c>
      <c r="O8" s="3" t="s">
        <v>311</v>
      </c>
      <c r="P8" s="3">
        <v>25.69</v>
      </c>
      <c r="Q8" s="3" t="s">
        <v>678</v>
      </c>
      <c r="R8" s="3">
        <v>40105472</v>
      </c>
      <c r="S8" s="5">
        <v>0.14050000000000001</v>
      </c>
      <c r="T8" s="3" t="s">
        <v>87</v>
      </c>
      <c r="U8" s="3">
        <v>260270700</v>
      </c>
      <c r="V8" s="3">
        <v>386773760</v>
      </c>
      <c r="W8" s="3">
        <v>1.31</v>
      </c>
      <c r="X8" s="3">
        <v>0.13</v>
      </c>
      <c r="Y8" s="3">
        <v>10.37</v>
      </c>
      <c r="Z8" s="3" t="s">
        <v>705</v>
      </c>
      <c r="AA8" s="3" t="s">
        <v>374</v>
      </c>
      <c r="AB8" s="3" t="s">
        <v>706</v>
      </c>
      <c r="AC8" s="3" t="s">
        <v>707</v>
      </c>
      <c r="AD8" s="3" t="s">
        <v>47</v>
      </c>
      <c r="AE8" s="3">
        <v>-9605564</v>
      </c>
      <c r="AF8" s="3" t="s">
        <v>708</v>
      </c>
      <c r="AG8" s="3" t="s">
        <v>709</v>
      </c>
      <c r="AH8" s="3" t="s">
        <v>710</v>
      </c>
      <c r="AI8" s="3" t="s">
        <v>711</v>
      </c>
      <c r="AJ8" s="3" t="s">
        <v>712</v>
      </c>
      <c r="AK8" s="3" t="s">
        <v>713</v>
      </c>
      <c r="AL8" s="3" t="s">
        <v>714</v>
      </c>
      <c r="AM8" s="3" t="s">
        <v>47</v>
      </c>
      <c r="AN8" s="3" t="s">
        <v>715</v>
      </c>
      <c r="AO8" s="3" t="s">
        <v>716</v>
      </c>
      <c r="AP8" s="3" t="s">
        <v>717</v>
      </c>
      <c r="AQ8" s="3" t="s">
        <v>718</v>
      </c>
      <c r="AR8" s="3" t="s">
        <v>719</v>
      </c>
      <c r="AS8" s="3" t="s">
        <v>720</v>
      </c>
      <c r="AT8" s="3" t="s">
        <v>47</v>
      </c>
      <c r="AU8" s="3" t="s">
        <v>721</v>
      </c>
      <c r="AV8" s="3" t="s">
        <v>722</v>
      </c>
      <c r="AW8" s="3" t="s">
        <v>723</v>
      </c>
      <c r="AX8" s="3" t="s">
        <v>724</v>
      </c>
      <c r="AY8" s="3" t="s">
        <v>255</v>
      </c>
      <c r="AZ8" s="3" t="s">
        <v>149</v>
      </c>
      <c r="BA8" s="3" t="s">
        <v>166</v>
      </c>
      <c r="BB8" s="3" t="s">
        <v>167</v>
      </c>
      <c r="BC8" s="3" t="s">
        <v>725</v>
      </c>
      <c r="BD8" s="3" t="s">
        <v>57</v>
      </c>
      <c r="BE8" s="3" t="s">
        <v>67</v>
      </c>
      <c r="BF8" s="3" t="s">
        <v>168</v>
      </c>
      <c r="BG8" s="3" t="s">
        <v>169</v>
      </c>
      <c r="BH8" s="3" t="s">
        <v>678</v>
      </c>
      <c r="BI8" s="3" t="s">
        <v>726</v>
      </c>
      <c r="BJ8" s="3" t="s">
        <v>724</v>
      </c>
      <c r="BK8" s="3" t="s">
        <v>87</v>
      </c>
      <c r="BL8" s="3" t="s">
        <v>727</v>
      </c>
      <c r="BM8" s="3" t="s">
        <v>725</v>
      </c>
      <c r="BN8" s="3">
        <v>2.81</v>
      </c>
      <c r="BO8" s="3">
        <v>5.72</v>
      </c>
      <c r="BP8" s="3">
        <v>5.24</v>
      </c>
      <c r="BQ8" s="3">
        <v>3.93</v>
      </c>
      <c r="BR8" s="3">
        <v>7.1</v>
      </c>
      <c r="BS8" s="3">
        <v>5.98</v>
      </c>
      <c r="BT8" s="3" t="s">
        <v>535</v>
      </c>
      <c r="BU8" s="3" t="s">
        <v>370</v>
      </c>
      <c r="BV8" s="3">
        <v>29.38</v>
      </c>
      <c r="BW8" s="3">
        <v>30.83</v>
      </c>
      <c r="BX8" s="3">
        <v>34.82</v>
      </c>
      <c r="BY8" s="3">
        <v>6.37</v>
      </c>
      <c r="BZ8" s="3">
        <v>10.07</v>
      </c>
      <c r="CA8" s="3">
        <v>10.43</v>
      </c>
      <c r="CB8" s="3">
        <v>-3.24</v>
      </c>
      <c r="CC8" s="3">
        <v>-17.649999999999999</v>
      </c>
      <c r="CD8" s="3" t="s">
        <v>728</v>
      </c>
      <c r="CE8" s="3" t="s">
        <v>79</v>
      </c>
      <c r="CF8" s="10">
        <v>0.25705329153605017</v>
      </c>
      <c r="CG8" s="11">
        <v>0.1405005005005005</v>
      </c>
      <c r="CH8" s="10">
        <v>5.2980133332312107E-3</v>
      </c>
      <c r="CI8" s="10">
        <v>0.31418633460998535</v>
      </c>
      <c r="CJ8" s="10">
        <v>9.0132765471935272E-2</v>
      </c>
      <c r="CK8" s="10">
        <v>-2.4074073880910873E-2</v>
      </c>
      <c r="CL8" s="10">
        <v>-0.17557251453399658</v>
      </c>
      <c r="CM8" s="11">
        <v>-0.34838709235191345</v>
      </c>
      <c r="CN8" s="11">
        <v>0.27049180865287781</v>
      </c>
      <c r="CO8" s="11">
        <v>0.16190476715564728</v>
      </c>
      <c r="CP8" s="11">
        <v>1.2441860437393188</v>
      </c>
      <c r="CQ8" s="11">
        <v>6.3180826604366302E-2</v>
      </c>
      <c r="CR8" s="3">
        <v>-81.851234482758613</v>
      </c>
      <c r="CS8" s="3">
        <v>-19.49112488113828</v>
      </c>
      <c r="CT8" s="3">
        <v>0.6983240223463687</v>
      </c>
      <c r="CU8" s="10">
        <v>4.1994105000048874E-2</v>
      </c>
      <c r="CV8" s="11">
        <v>0.27827527076005937</v>
      </c>
      <c r="CW8" s="3">
        <v>0.06</v>
      </c>
      <c r="CX8" s="3">
        <v>39.961992409591922</v>
      </c>
      <c r="CY8" s="3">
        <v>99284343.966985792</v>
      </c>
      <c r="CZ8" s="3">
        <v>4.1994105000048874E-2</v>
      </c>
      <c r="DA8" s="3">
        <v>13.603962977009552</v>
      </c>
      <c r="DB8" s="3">
        <v>291650323.2701509</v>
      </c>
      <c r="DC8" s="3">
        <v>3.9894399750046432E-2</v>
      </c>
      <c r="DD8" s="3">
        <v>7.0657854372559452</v>
      </c>
      <c r="DE8" s="3">
        <v>561522881.67143238</v>
      </c>
      <c r="DF8" s="3">
        <v>3.6954812400043009E-2</v>
      </c>
      <c r="DG8" s="3">
        <v>4.5011302221325202</v>
      </c>
      <c r="DH8" s="3">
        <v>881467543.52737927</v>
      </c>
      <c r="DI8" s="3">
        <v>3.3595284000039104E-2</v>
      </c>
      <c r="DJ8" s="3">
        <v>2.6338636177875028</v>
      </c>
      <c r="DK8" s="3">
        <v>1506380274.6676998</v>
      </c>
      <c r="DL8" s="3">
        <v>2.9395873500034211E-2</v>
      </c>
      <c r="DM8" s="3">
        <v>101000000</v>
      </c>
      <c r="DN8" s="3">
        <v>4.1994105000048874E-2</v>
      </c>
      <c r="DO8" s="3">
        <v>3967600200</v>
      </c>
      <c r="DP8" s="3">
        <v>1547696000</v>
      </c>
      <c r="DQ8" s="3">
        <v>1829</v>
      </c>
      <c r="DR8" s="3">
        <v>0.21505918653600128</v>
      </c>
      <c r="DS8" s="3">
        <v>-0.13777477025955887</v>
      </c>
      <c r="DT8" s="12">
        <v>-0.38999999999999996</v>
      </c>
      <c r="DU8" s="3">
        <v>-6.6666666666666666E-2</v>
      </c>
      <c r="DV8" s="3">
        <v>-0.45666666666666661</v>
      </c>
      <c r="DW8" s="3">
        <v>-8.183569405099151</v>
      </c>
      <c r="DX8" s="3">
        <v>0.29100268199233553</v>
      </c>
      <c r="DY8" s="3">
        <v>-8.0203766962977436</v>
      </c>
      <c r="DZ8" s="3">
        <v>2794</v>
      </c>
      <c r="EA8" s="3">
        <v>-8.0092353089286838</v>
      </c>
      <c r="EB8" s="3">
        <v>8</v>
      </c>
      <c r="EC8" s="3">
        <v>7.4906063948081691E-2</v>
      </c>
      <c r="ED8" s="3">
        <v>0.67481310004070594</v>
      </c>
      <c r="EE8" s="13">
        <v>2.00021</v>
      </c>
      <c r="EF8" s="3">
        <v>2.0285099999999998</v>
      </c>
      <c r="EG8" s="3">
        <v>18.111002681992336</v>
      </c>
      <c r="EH8" s="3" t="s">
        <v>650</v>
      </c>
      <c r="EI8" s="3">
        <v>0</v>
      </c>
      <c r="EJ8" s="3">
        <v>0</v>
      </c>
      <c r="EK8" s="15">
        <v>45470</v>
      </c>
      <c r="EL8" s="16">
        <v>-0.71</v>
      </c>
      <c r="EM8" s="16">
        <v>-5.09</v>
      </c>
      <c r="EN8" s="16">
        <v>-0.96</v>
      </c>
      <c r="EO8" s="16">
        <v>3.06</v>
      </c>
      <c r="EP8" s="16">
        <v>-2.83</v>
      </c>
    </row>
    <row r="9" spans="1:146" ht="132" x14ac:dyDescent="0.25">
      <c r="A9" s="9" t="s">
        <v>299</v>
      </c>
      <c r="B9" s="9" t="s">
        <v>300</v>
      </c>
      <c r="C9" s="7" t="str">
        <f>""&amp;CHAR(10)&amp;Basic_Fundamental_Information_Constructure(F9)&amp;CHAR(10)&amp;Basic_Fundamental_Information_Concatenate("轨道交通车辆空调 5.10亿 87.30%（毛利40.33%）
变频控制器 4905.84万 8.40%（毛利22.31%）
维护服务及其他 2269.44万 3.89%（毛利41.64%）
其他业务 238.84万 0.41%（毛利43.57%）")</f>
        <v xml:space="preserve">
市值12.0726969亿, 利润-317.13万; PE; 平均PE38.27; 平均PEG2.78, PB1.34; ROIC.53%; ROE-1.7967%; 股利率.761%; 毛利24.6933%; 净利-2.39%; 上一年度营收增16.99%, 利润增94.53%; 当季营收增11.5%, 利润增-12.29%; 过往5年营收增13.76%, 利润增-227.22%
Income profile:
轨道交通车辆空调 5.10亿 87.30%（毛利40.33%）
变频控制器 4905.84万 8.40%（毛利22.31%）
维护服务及其他 2269.44万 3.89%（毛利41.64%）
其他业务 238.84万 0.41%（毛利43.57%）</v>
      </c>
      <c r="D9" s="3" t="s">
        <v>170</v>
      </c>
      <c r="E9" s="3" t="s">
        <v>171</v>
      </c>
      <c r="F9" s="3">
        <v>13.14</v>
      </c>
      <c r="G9" s="3">
        <v>0.84</v>
      </c>
      <c r="H9" s="3" t="s">
        <v>729</v>
      </c>
      <c r="I9" s="3">
        <v>1207269690</v>
      </c>
      <c r="K9" s="3">
        <v>1.34</v>
      </c>
      <c r="L9" s="3" t="s">
        <v>370</v>
      </c>
      <c r="M9" s="3" t="s">
        <v>401</v>
      </c>
      <c r="N9" s="3" t="s">
        <v>730</v>
      </c>
      <c r="O9" s="3" t="s">
        <v>50</v>
      </c>
      <c r="P9" s="3">
        <v>11.94</v>
      </c>
      <c r="Q9" s="3" t="s">
        <v>397</v>
      </c>
      <c r="R9" s="3">
        <v>-21789157</v>
      </c>
      <c r="S9" s="5">
        <v>-0.1229</v>
      </c>
      <c r="T9" s="3" t="s">
        <v>731</v>
      </c>
      <c r="U9" s="3">
        <v>90852251</v>
      </c>
      <c r="V9" s="3">
        <v>91877450</v>
      </c>
      <c r="W9" s="3">
        <v>2.09</v>
      </c>
      <c r="X9" s="3">
        <v>7.0000000000000007E-2</v>
      </c>
      <c r="Y9" s="3">
        <v>-17.100000000000001</v>
      </c>
      <c r="Z9" s="3" t="s">
        <v>52</v>
      </c>
      <c r="AA9" s="3" t="s">
        <v>732</v>
      </c>
      <c r="AB9" s="3" t="s">
        <v>733</v>
      </c>
      <c r="AC9" s="3" t="s">
        <v>734</v>
      </c>
      <c r="AD9" s="3" t="s">
        <v>47</v>
      </c>
      <c r="AE9" s="3">
        <v>3403286</v>
      </c>
      <c r="AF9" s="3" t="s">
        <v>735</v>
      </c>
      <c r="AG9" s="3" t="s">
        <v>736</v>
      </c>
      <c r="AH9" s="3" t="s">
        <v>737</v>
      </c>
      <c r="AI9" s="3" t="s">
        <v>78</v>
      </c>
      <c r="AJ9" s="3" t="s">
        <v>738</v>
      </c>
      <c r="AK9" s="3" t="s">
        <v>739</v>
      </c>
      <c r="AL9" s="3" t="s">
        <v>740</v>
      </c>
      <c r="AM9" s="3" t="s">
        <v>47</v>
      </c>
      <c r="AN9" s="3">
        <v>0</v>
      </c>
      <c r="AO9" s="3" t="s">
        <v>741</v>
      </c>
      <c r="AP9" s="3" t="s">
        <v>742</v>
      </c>
      <c r="AQ9" s="3" t="s">
        <v>743</v>
      </c>
      <c r="AR9" s="3" t="s">
        <v>47</v>
      </c>
      <c r="AS9" s="3" t="s">
        <v>744</v>
      </c>
      <c r="AT9" s="3" t="s">
        <v>745</v>
      </c>
      <c r="AU9" s="3" t="s">
        <v>746</v>
      </c>
      <c r="AV9" s="3" t="s">
        <v>747</v>
      </c>
      <c r="AW9" s="3" t="s">
        <v>748</v>
      </c>
      <c r="AX9" s="3" t="s">
        <v>749</v>
      </c>
      <c r="AY9" s="3" t="s">
        <v>148</v>
      </c>
      <c r="AZ9" s="3" t="s">
        <v>62</v>
      </c>
      <c r="BA9" s="3" t="s">
        <v>173</v>
      </c>
      <c r="BB9" s="3" t="s">
        <v>56</v>
      </c>
      <c r="BC9" s="3" t="s">
        <v>750</v>
      </c>
      <c r="BD9" s="3" t="s">
        <v>314</v>
      </c>
      <c r="BE9" s="3" t="s">
        <v>172</v>
      </c>
      <c r="BF9" s="3" t="s">
        <v>174</v>
      </c>
      <c r="BG9" s="3" t="s">
        <v>175</v>
      </c>
      <c r="BH9" s="3" t="s">
        <v>397</v>
      </c>
      <c r="BI9" s="3" t="s">
        <v>405</v>
      </c>
      <c r="BJ9" s="3" t="s">
        <v>749</v>
      </c>
      <c r="BK9" s="3" t="s">
        <v>731</v>
      </c>
      <c r="BL9" s="3" t="s">
        <v>751</v>
      </c>
      <c r="BM9" s="3" t="s">
        <v>750</v>
      </c>
      <c r="BN9" s="3" t="s">
        <v>47</v>
      </c>
      <c r="BO9" s="3" t="s">
        <v>47</v>
      </c>
      <c r="BP9" s="3">
        <v>0.53</v>
      </c>
      <c r="BQ9" s="3">
        <v>0.23</v>
      </c>
      <c r="BR9" s="3">
        <v>-6.23</v>
      </c>
      <c r="BS9" s="3">
        <v>0.61</v>
      </c>
      <c r="BT9" s="3" t="s">
        <v>535</v>
      </c>
      <c r="BU9" s="3" t="s">
        <v>370</v>
      </c>
      <c r="BV9" s="3">
        <v>24.97</v>
      </c>
      <c r="BW9" s="3">
        <v>21.69</v>
      </c>
      <c r="BX9" s="3">
        <v>27.42</v>
      </c>
      <c r="BY9" s="3">
        <v>-0.48</v>
      </c>
      <c r="BZ9" s="3">
        <v>-7.5</v>
      </c>
      <c r="CA9" s="3">
        <v>0.81</v>
      </c>
      <c r="CB9" s="3">
        <v>-5.6</v>
      </c>
      <c r="CC9" s="3">
        <v>-25.26</v>
      </c>
      <c r="CD9" s="3" t="s">
        <v>752</v>
      </c>
      <c r="CE9" s="3" t="s">
        <v>95</v>
      </c>
      <c r="CF9" s="10">
        <v>0.11504424778761077</v>
      </c>
      <c r="CG9" s="11">
        <v>-0.12285723856099685</v>
      </c>
      <c r="CH9" s="10">
        <v>0.16990920901298523</v>
      </c>
      <c r="CI9" s="10">
        <v>0.14053253829479218</v>
      </c>
      <c r="CJ9" s="10">
        <v>0.15753424167633057</v>
      </c>
      <c r="CK9" s="10">
        <v>0.11026615649461746</v>
      </c>
      <c r="CL9" s="10">
        <v>0.1097046434879303</v>
      </c>
      <c r="CM9" s="11">
        <v>0.94531494379043579</v>
      </c>
      <c r="CN9" s="11">
        <v>-11.504292488098145</v>
      </c>
      <c r="CO9" s="11">
        <v>-0.93645620346069336</v>
      </c>
      <c r="CP9" s="11">
        <v>6.285492330789566E-2</v>
      </c>
      <c r="CQ9" s="11">
        <v>7.151021808385849E-2</v>
      </c>
      <c r="CR9" s="3">
        <v>38.271065464724202</v>
      </c>
      <c r="CS9" s="3">
        <v>2.7815425610322291</v>
      </c>
      <c r="CT9" s="3">
        <v>0.76103500761035003</v>
      </c>
      <c r="CU9" s="10">
        <v>0.13758935779333115</v>
      </c>
      <c r="CV9" s="11">
        <v>-2.2722137212753295</v>
      </c>
      <c r="CW9" s="3">
        <v>0.06</v>
      </c>
      <c r="CX9" s="3" t="e">
        <v>#VALUE!</v>
      </c>
      <c r="CY9" s="3" t="s">
        <v>354</v>
      </c>
      <c r="CZ9" s="3">
        <v>0.13758935779333115</v>
      </c>
      <c r="DA9" s="3" t="e">
        <v>#VALUE!</v>
      </c>
      <c r="DB9" s="3" t="s">
        <v>355</v>
      </c>
      <c r="DC9" s="3">
        <v>0.13070988990366458</v>
      </c>
      <c r="DD9" s="3" t="e">
        <v>#VALUE!</v>
      </c>
      <c r="DE9" s="3" t="s">
        <v>355</v>
      </c>
      <c r="DF9" s="3">
        <v>0.1210786348581314</v>
      </c>
      <c r="DG9" s="3" t="e">
        <v>#VALUE!</v>
      </c>
      <c r="DH9" s="3" t="s">
        <v>355</v>
      </c>
      <c r="DI9" s="3">
        <v>0.11007148623466492</v>
      </c>
      <c r="DJ9" s="3" t="e">
        <v>#VALUE!</v>
      </c>
      <c r="DK9" s="3" t="s">
        <v>355</v>
      </c>
      <c r="DL9" s="3">
        <v>9.6312550455331797E-2</v>
      </c>
      <c r="DM9" s="3">
        <v>-3171300</v>
      </c>
      <c r="DN9" s="3">
        <v>0.13758935779333115</v>
      </c>
      <c r="DO9" s="3">
        <v>1211269690</v>
      </c>
      <c r="DP9" s="3">
        <v>666717699.99999988</v>
      </c>
      <c r="DQ9" s="3">
        <v>2061</v>
      </c>
      <c r="DR9" s="3">
        <v>-2.2545110005720376E-2</v>
      </c>
      <c r="DS9" s="3">
        <v>2.1493564827143326</v>
      </c>
      <c r="DT9" s="12">
        <v>-0.14000000000000001</v>
      </c>
      <c r="DU9" s="3">
        <v>-1.9649999999999999</v>
      </c>
      <c r="DV9" s="3">
        <v>-2.105</v>
      </c>
      <c r="DW9" s="3">
        <v>-8.2216943784639742</v>
      </c>
      <c r="DX9" s="3">
        <v>0.31325040650406649</v>
      </c>
      <c r="DY9" s="3">
        <v>-8.0273239222653512</v>
      </c>
      <c r="DZ9" s="3">
        <v>4464</v>
      </c>
      <c r="EA9" s="3">
        <v>-8.0034542571004721</v>
      </c>
      <c r="EB9" s="3">
        <v>8</v>
      </c>
      <c r="EC9" s="3">
        <v>0.16500022584431762</v>
      </c>
      <c r="ED9" s="3">
        <v>1.3387398104758024</v>
      </c>
      <c r="EE9" s="13">
        <v>2.0239099999999999</v>
      </c>
      <c r="EF9" s="3">
        <v>2.0495100000000002</v>
      </c>
      <c r="EG9" s="3">
        <v>19.123250406504066</v>
      </c>
      <c r="EH9" s="3" t="s">
        <v>650</v>
      </c>
      <c r="EI9" s="3">
        <v>0</v>
      </c>
      <c r="EJ9" s="3">
        <v>0</v>
      </c>
      <c r="EK9" s="15">
        <v>45470</v>
      </c>
      <c r="EL9" s="16">
        <v>2.06</v>
      </c>
      <c r="EM9" s="16">
        <v>-8.32</v>
      </c>
      <c r="EN9" s="16">
        <v>-4.1100000000000003</v>
      </c>
      <c r="EO9" s="16">
        <v>4.22</v>
      </c>
      <c r="EP9" s="16">
        <v>-2.56</v>
      </c>
    </row>
    <row r="10" spans="1:146" ht="108" x14ac:dyDescent="0.25">
      <c r="C10" s="7" t="str">
        <f>""&amp;CHAR(10)&amp;Basic_Fundamental_Information_Constructure(F10)&amp;CHAR(10)&amp;Basic_Fundamental_Information_Concatenate("")</f>
        <v xml:space="preserve">
市值18.751534亿, 利润2.04亿; PE21.79; 平均PE16.45; 平均PEG.24, PB1.45; ROIC4.4733%; ROE4.7467%; 股利率2.0862%; 毛利70.0433%; 净利20.46%; 上一年度营收增348.81%, 利润增451.5%; 当季营收增-81.53%, 利润增-97.99%; 过往5年营收增69.55%, 利润增76.74%
Income profile:
</v>
      </c>
      <c r="D10" s="3" t="s">
        <v>176</v>
      </c>
      <c r="E10" s="3" t="s">
        <v>177</v>
      </c>
      <c r="F10" s="3">
        <v>21.57</v>
      </c>
      <c r="G10" s="3">
        <v>-1.19</v>
      </c>
      <c r="H10" s="3" t="s">
        <v>753</v>
      </c>
      <c r="I10" s="3">
        <v>1875153400</v>
      </c>
      <c r="J10" s="3">
        <v>21.79</v>
      </c>
      <c r="K10" s="3">
        <v>1.45</v>
      </c>
      <c r="L10" s="3" t="s">
        <v>370</v>
      </c>
      <c r="M10" s="3" t="s">
        <v>592</v>
      </c>
      <c r="N10" s="3" t="s">
        <v>373</v>
      </c>
      <c r="O10" s="3" t="s">
        <v>754</v>
      </c>
      <c r="P10" s="3">
        <v>52.13</v>
      </c>
      <c r="Q10" s="3" t="s">
        <v>755</v>
      </c>
      <c r="R10" s="3">
        <v>946704</v>
      </c>
      <c r="S10" s="5">
        <v>8.1579999999999995</v>
      </c>
      <c r="T10" s="3" t="s">
        <v>411</v>
      </c>
      <c r="U10" s="3">
        <v>46152878</v>
      </c>
      <c r="V10" s="3">
        <v>86933400</v>
      </c>
      <c r="W10" s="3">
        <v>1.08</v>
      </c>
      <c r="X10" s="3">
        <v>0.04</v>
      </c>
      <c r="Y10" s="3">
        <v>2.08</v>
      </c>
      <c r="Z10" s="3" t="s">
        <v>756</v>
      </c>
      <c r="AA10" s="3" t="s">
        <v>757</v>
      </c>
      <c r="AB10" s="3" t="s">
        <v>758</v>
      </c>
      <c r="AC10" s="3" t="s">
        <v>759</v>
      </c>
      <c r="AD10" s="3" t="s">
        <v>47</v>
      </c>
      <c r="AE10" s="3">
        <v>-210832</v>
      </c>
      <c r="AF10" s="3" t="s">
        <v>760</v>
      </c>
      <c r="AG10" s="3">
        <v>8.39</v>
      </c>
      <c r="AH10" s="3" t="s">
        <v>761</v>
      </c>
      <c r="AI10" s="3" t="s">
        <v>87</v>
      </c>
      <c r="AJ10" s="3" t="s">
        <v>762</v>
      </c>
      <c r="AK10" s="3" t="s">
        <v>763</v>
      </c>
      <c r="AL10" s="3" t="s">
        <v>764</v>
      </c>
      <c r="AM10" s="3" t="s">
        <v>47</v>
      </c>
      <c r="AN10" s="3">
        <v>0</v>
      </c>
      <c r="AO10" s="3" t="s">
        <v>47</v>
      </c>
      <c r="AP10" s="3" t="s">
        <v>765</v>
      </c>
      <c r="AQ10" s="3" t="s">
        <v>766</v>
      </c>
      <c r="AR10" s="3" t="s">
        <v>767</v>
      </c>
      <c r="AS10" s="3" t="s">
        <v>768</v>
      </c>
      <c r="AT10" s="3" t="s">
        <v>47</v>
      </c>
      <c r="AU10" s="3" t="s">
        <v>769</v>
      </c>
      <c r="AV10" s="3" t="s">
        <v>770</v>
      </c>
      <c r="AW10" s="3" t="s">
        <v>771</v>
      </c>
      <c r="AX10" s="3" t="s">
        <v>379</v>
      </c>
      <c r="AY10" s="3" t="s">
        <v>122</v>
      </c>
      <c r="AZ10" s="3" t="s">
        <v>99</v>
      </c>
      <c r="BA10" s="3" t="s">
        <v>178</v>
      </c>
      <c r="BB10" s="3" t="s">
        <v>179</v>
      </c>
      <c r="BC10" s="3" t="s">
        <v>772</v>
      </c>
      <c r="BD10" s="3" t="s">
        <v>315</v>
      </c>
      <c r="BE10" s="3" t="s">
        <v>103</v>
      </c>
      <c r="BF10" s="3" t="s">
        <v>85</v>
      </c>
      <c r="BG10" s="3" t="s">
        <v>75</v>
      </c>
      <c r="BH10" s="3" t="s">
        <v>195</v>
      </c>
      <c r="BI10" s="3" t="s">
        <v>773</v>
      </c>
      <c r="BJ10" s="3" t="s">
        <v>379</v>
      </c>
      <c r="BK10" s="3" t="s">
        <v>774</v>
      </c>
      <c r="BL10" s="3" t="s">
        <v>775</v>
      </c>
      <c r="BM10" s="3" t="s">
        <v>772</v>
      </c>
      <c r="BN10" s="3">
        <v>2.88</v>
      </c>
      <c r="BO10" s="3">
        <v>2.71</v>
      </c>
      <c r="BP10" s="3">
        <v>7.83</v>
      </c>
      <c r="BQ10" s="3">
        <v>3.09</v>
      </c>
      <c r="BR10" s="3">
        <v>3.01</v>
      </c>
      <c r="BS10" s="3">
        <v>8.14</v>
      </c>
      <c r="BT10" s="3" t="s">
        <v>537</v>
      </c>
      <c r="BU10" s="3" t="s">
        <v>370</v>
      </c>
      <c r="BV10" s="3">
        <v>69.97</v>
      </c>
      <c r="BW10" s="3">
        <v>69.33</v>
      </c>
      <c r="BX10" s="3">
        <v>70.83</v>
      </c>
      <c r="BY10" s="3">
        <v>23.13</v>
      </c>
      <c r="BZ10" s="3">
        <v>11.89</v>
      </c>
      <c r="CA10" s="3">
        <v>26.36</v>
      </c>
      <c r="CB10" s="3">
        <v>-6.7</v>
      </c>
      <c r="CC10" s="3">
        <v>-8.83</v>
      </c>
      <c r="CD10" s="3" t="s">
        <v>776</v>
      </c>
      <c r="CE10" s="3" t="s">
        <v>777</v>
      </c>
      <c r="CF10" s="10">
        <v>-0.8153380952380952</v>
      </c>
      <c r="CG10" s="11">
        <v>-0.97991573427018497</v>
      </c>
      <c r="CH10" s="10">
        <v>3.4880547523498535</v>
      </c>
      <c r="CI10" s="10">
        <v>-0.19060774147510529</v>
      </c>
      <c r="CJ10" s="10">
        <v>8.356546051800251E-3</v>
      </c>
      <c r="CK10" s="10">
        <v>4.3604649603366852E-2</v>
      </c>
      <c r="CL10" s="10">
        <v>0.12786884605884552</v>
      </c>
      <c r="CM10" s="11">
        <v>4.5149893760681152</v>
      </c>
      <c r="CN10" s="11">
        <v>-0.61837351322174072</v>
      </c>
      <c r="CO10" s="11">
        <v>-0.19894625246524811</v>
      </c>
      <c r="CP10" s="11">
        <v>1.6806723549962044E-2</v>
      </c>
      <c r="CQ10" s="11">
        <v>0.12264151126146317</v>
      </c>
      <c r="CR10" s="3">
        <v>16.450695814817458</v>
      </c>
      <c r="CS10" s="3">
        <v>0.23654565865797572</v>
      </c>
      <c r="CT10" s="3">
        <v>2.0862308762169679</v>
      </c>
      <c r="CU10" s="10">
        <v>0.69545541051775217</v>
      </c>
      <c r="CV10" s="11">
        <v>0.76742356903851028</v>
      </c>
      <c r="CW10" s="3">
        <v>0.06</v>
      </c>
      <c r="CX10" s="3">
        <v>2.2162551495036102</v>
      </c>
      <c r="CY10" s="3">
        <v>326295192.21285039</v>
      </c>
      <c r="CZ10" s="3">
        <v>0.69545541051775217</v>
      </c>
      <c r="DA10" s="3">
        <v>0.45062394498548392</v>
      </c>
      <c r="DB10" s="3">
        <v>1604782453.4120023</v>
      </c>
      <c r="DC10" s="3">
        <v>0.6606826399918645</v>
      </c>
      <c r="DD10" s="3">
        <v>0.10676498711439984</v>
      </c>
      <c r="DE10" s="3">
        <v>6773319789.0534401</v>
      </c>
      <c r="DF10" s="3">
        <v>0.61200076125562186</v>
      </c>
      <c r="DG10" s="3">
        <v>2.4812120665264923E-2</v>
      </c>
      <c r="DH10" s="3">
        <v>29145166983.34293</v>
      </c>
      <c r="DI10" s="3">
        <v>0.5563643284142018</v>
      </c>
      <c r="DJ10" s="3">
        <v>1.1723094829524097E-3</v>
      </c>
      <c r="DK10" s="3">
        <v>616862194255.02734</v>
      </c>
      <c r="DL10" s="3">
        <v>0.48681878736242651</v>
      </c>
      <c r="DM10" s="3">
        <v>204000000</v>
      </c>
      <c r="DN10" s="3">
        <v>0.69545541051775217</v>
      </c>
      <c r="DO10" s="3">
        <v>723153400</v>
      </c>
      <c r="DP10" s="3">
        <v>817377950</v>
      </c>
      <c r="DQ10" s="3">
        <v>2308</v>
      </c>
      <c r="DR10" s="3">
        <v>-1.5107935057558475</v>
      </c>
      <c r="DS10" s="3">
        <v>-1.7473393033086952</v>
      </c>
      <c r="DT10" s="12">
        <v>-0.29000000000000004</v>
      </c>
      <c r="DU10" s="3">
        <v>-0.57333333333333336</v>
      </c>
      <c r="DV10" s="3">
        <v>-0.8633333333333334</v>
      </c>
      <c r="DW10" s="3">
        <v>-9.7587768969422424</v>
      </c>
      <c r="DX10" s="3">
        <v>0.31946226954121598</v>
      </c>
      <c r="DY10" s="3">
        <v>-9.1058207481230049</v>
      </c>
      <c r="DZ10" s="3">
        <v>1314</v>
      </c>
      <c r="EA10" s="3">
        <v>-9.0786096986056606</v>
      </c>
      <c r="EB10" s="3">
        <v>9</v>
      </c>
      <c r="EC10" s="3">
        <v>1.9934800663496424E-2</v>
      </c>
      <c r="ED10" s="3">
        <v>0.14294045786774706</v>
      </c>
      <c r="EE10" s="13">
        <v>-5.0522099999999996</v>
      </c>
      <c r="EF10" s="3">
        <v>-5.0941099999999997</v>
      </c>
      <c r="EG10" s="3">
        <v>18.139462269541216</v>
      </c>
      <c r="EH10" s="3" t="s">
        <v>778</v>
      </c>
      <c r="EI10" s="3">
        <v>0</v>
      </c>
      <c r="EJ10" s="3">
        <v>1</v>
      </c>
      <c r="EK10" s="15">
        <v>45470</v>
      </c>
      <c r="EL10" s="16">
        <v>-1.67</v>
      </c>
      <c r="EM10" s="16">
        <v>-3.6</v>
      </c>
      <c r="EN10" s="16">
        <v>-0.34</v>
      </c>
      <c r="EO10" s="16">
        <v>7.36</v>
      </c>
      <c r="EP10" s="16">
        <v>-4.1900000000000004</v>
      </c>
    </row>
    <row r="11" spans="1:146" ht="96" x14ac:dyDescent="0.25">
      <c r="C11" s="7" t="str">
        <f>""&amp;CHAR(10)&amp;Basic_Fundamental_Information_Constructure(F11)&amp;CHAR(10)&amp;Basic_Fundamental_Information_Concatenate("")</f>
        <v xml:space="preserve">
市值15.064亿, 利润4962.20万; PE23.67; 平均PE32.05; 平均PEG.22, PB1.71; ROIC3.4867%; ROE4.2667%; 股利率2.6553%; 毛利57.7767%; 净利33.0533%; 上一年度营收增720.18%, 利润增62.1%; 当季营收增-89.01%, 利润增104.96%; 过往5年营收增143.23%, 利润增7.63%
Income profile:
</v>
      </c>
      <c r="D11" s="3" t="s">
        <v>180</v>
      </c>
      <c r="E11" s="3" t="s">
        <v>181</v>
      </c>
      <c r="F11" s="3">
        <v>18.829999999999998</v>
      </c>
      <c r="G11" s="3">
        <v>-0.11</v>
      </c>
      <c r="H11" s="3" t="s">
        <v>779</v>
      </c>
      <c r="I11" s="3">
        <v>1506400000</v>
      </c>
      <c r="J11" s="3">
        <v>23.67</v>
      </c>
      <c r="K11" s="3">
        <v>1.71</v>
      </c>
      <c r="L11" s="3" t="s">
        <v>370</v>
      </c>
      <c r="M11" s="3" t="s">
        <v>780</v>
      </c>
      <c r="N11" s="3" t="s">
        <v>781</v>
      </c>
      <c r="O11" s="3" t="s">
        <v>782</v>
      </c>
      <c r="P11" s="3">
        <v>37.409999999999997</v>
      </c>
      <c r="Q11" s="3" t="s">
        <v>783</v>
      </c>
      <c r="R11" s="3">
        <v>14092478</v>
      </c>
      <c r="S11" s="5">
        <v>0.27200000000000002</v>
      </c>
      <c r="T11" s="3" t="s">
        <v>784</v>
      </c>
      <c r="U11" s="3">
        <v>71686851</v>
      </c>
      <c r="V11" s="3">
        <v>80000000</v>
      </c>
      <c r="W11" s="3">
        <v>1.0900000000000001</v>
      </c>
      <c r="X11" s="3">
        <v>0.03</v>
      </c>
      <c r="Y11" s="3">
        <v>56.97</v>
      </c>
      <c r="Z11" s="3" t="s">
        <v>785</v>
      </c>
      <c r="AA11" s="3" t="s">
        <v>786</v>
      </c>
      <c r="AB11" s="3" t="s">
        <v>787</v>
      </c>
      <c r="AC11" s="3" t="s">
        <v>788</v>
      </c>
      <c r="AD11" s="3" t="s">
        <v>47</v>
      </c>
      <c r="AE11" s="3">
        <v>-2390540</v>
      </c>
      <c r="AF11" s="3" t="s">
        <v>789</v>
      </c>
      <c r="AG11" s="3" t="s">
        <v>47</v>
      </c>
      <c r="AH11" s="3" t="s">
        <v>790</v>
      </c>
      <c r="AI11" s="3" t="s">
        <v>415</v>
      </c>
      <c r="AJ11" s="3" t="s">
        <v>791</v>
      </c>
      <c r="AK11" s="3" t="s">
        <v>792</v>
      </c>
      <c r="AL11" s="3" t="s">
        <v>793</v>
      </c>
      <c r="AM11" s="3" t="s">
        <v>47</v>
      </c>
      <c r="AN11" s="3" t="s">
        <v>794</v>
      </c>
      <c r="AO11" s="3" t="s">
        <v>47</v>
      </c>
      <c r="AP11" s="3" t="s">
        <v>795</v>
      </c>
      <c r="AQ11" s="3" t="s">
        <v>796</v>
      </c>
      <c r="AR11" s="3" t="s">
        <v>47</v>
      </c>
      <c r="AS11" s="3" t="s">
        <v>797</v>
      </c>
      <c r="AT11" s="3" t="s">
        <v>47</v>
      </c>
      <c r="AU11" s="3" t="s">
        <v>798</v>
      </c>
      <c r="AV11" s="3" t="s">
        <v>799</v>
      </c>
      <c r="AW11" s="3" t="s">
        <v>800</v>
      </c>
      <c r="AX11" s="3" t="s">
        <v>77</v>
      </c>
      <c r="AY11" s="3" t="s">
        <v>95</v>
      </c>
      <c r="AZ11" s="3" t="s">
        <v>73</v>
      </c>
      <c r="BA11" s="3" t="s">
        <v>74</v>
      </c>
      <c r="BB11" s="3" t="s">
        <v>50</v>
      </c>
      <c r="BC11" s="3" t="s">
        <v>801</v>
      </c>
      <c r="BD11" s="3" t="s">
        <v>316</v>
      </c>
      <c r="BE11" s="3" t="s">
        <v>182</v>
      </c>
      <c r="BF11" s="3" t="s">
        <v>183</v>
      </c>
      <c r="BG11" s="3" t="s">
        <v>184</v>
      </c>
      <c r="BH11" s="3" t="s">
        <v>52</v>
      </c>
      <c r="BI11" s="3" t="s">
        <v>409</v>
      </c>
      <c r="BJ11" s="3" t="s">
        <v>77</v>
      </c>
      <c r="BK11" s="3" t="s">
        <v>802</v>
      </c>
      <c r="BL11" s="3" t="s">
        <v>803</v>
      </c>
      <c r="BM11" s="3" t="s">
        <v>801</v>
      </c>
      <c r="BN11" s="3">
        <v>3.46</v>
      </c>
      <c r="BO11" s="3">
        <v>2.9</v>
      </c>
      <c r="BP11" s="3">
        <v>4.0999999999999996</v>
      </c>
      <c r="BQ11" s="3">
        <v>4.07</v>
      </c>
      <c r="BR11" s="3">
        <v>3.73</v>
      </c>
      <c r="BS11" s="3">
        <v>5</v>
      </c>
      <c r="BT11" s="3" t="s">
        <v>531</v>
      </c>
      <c r="BU11" s="3" t="s">
        <v>370</v>
      </c>
      <c r="BV11" s="3">
        <v>57.28</v>
      </c>
      <c r="BW11" s="3">
        <v>62.1</v>
      </c>
      <c r="BX11" s="3">
        <v>53.95</v>
      </c>
      <c r="BY11" s="3">
        <v>39.32</v>
      </c>
      <c r="BZ11" s="3">
        <v>26.86</v>
      </c>
      <c r="CA11" s="3">
        <v>32.979999999999997</v>
      </c>
      <c r="CB11" s="3">
        <v>-9.17</v>
      </c>
      <c r="CC11" s="3">
        <v>-4.22</v>
      </c>
      <c r="CD11" s="3" t="s">
        <v>804</v>
      </c>
      <c r="CE11" s="3" t="s">
        <v>805</v>
      </c>
      <c r="CF11" s="10">
        <v>-0.89006444444444444</v>
      </c>
      <c r="CG11" s="11">
        <v>1.049636104485427</v>
      </c>
      <c r="CH11" s="10">
        <v>7.2017545700073242</v>
      </c>
      <c r="CI11" s="10">
        <v>-7.3170728981494904E-2</v>
      </c>
      <c r="CJ11" s="10">
        <v>6.0344826430082321E-2</v>
      </c>
      <c r="CK11" s="10">
        <v>-0.24183006584644318</v>
      </c>
      <c r="CL11" s="10">
        <v>0.2142857164144516</v>
      </c>
      <c r="CM11" s="11">
        <v>0.62096124887466431</v>
      </c>
      <c r="CN11" s="11">
        <v>-0.24746061861515045</v>
      </c>
      <c r="CO11" s="11">
        <v>-0.24606157839298248</v>
      </c>
      <c r="CP11" s="11">
        <v>-0.13310132920742035</v>
      </c>
      <c r="CQ11" s="11">
        <v>0.38713860511779785</v>
      </c>
      <c r="CR11" s="3">
        <v>32.053507625581382</v>
      </c>
      <c r="CS11" s="3">
        <v>0.22379407529427273</v>
      </c>
      <c r="CT11" s="3">
        <v>2.6553372278279346</v>
      </c>
      <c r="CU11" s="10">
        <v>1.432276863604784</v>
      </c>
      <c r="CV11" s="11">
        <v>7.6295265555381769E-2</v>
      </c>
      <c r="CW11" s="3">
        <v>0.06</v>
      </c>
      <c r="CX11" s="3">
        <v>6.2875288879834148</v>
      </c>
      <c r="CY11" s="3">
        <v>113862681.62810999</v>
      </c>
      <c r="CZ11" s="3">
        <v>1.432276863604784</v>
      </c>
      <c r="DA11" s="3">
        <v>0.79131146481688419</v>
      </c>
      <c r="DB11" s="3">
        <v>904719483.83266306</v>
      </c>
      <c r="DC11" s="3">
        <v>1.3606630204245447</v>
      </c>
      <c r="DD11" s="3">
        <v>8.2355177406356186E-2</v>
      </c>
      <c r="DE11" s="3">
        <v>8693016305.0653038</v>
      </c>
      <c r="DF11" s="3">
        <v>1.2604036399722098</v>
      </c>
      <c r="DG11" s="3">
        <v>6.321944026864851E-3</v>
      </c>
      <c r="DH11" s="3">
        <v>113242840644.86304</v>
      </c>
      <c r="DI11" s="3">
        <v>1.1458214908838273</v>
      </c>
      <c r="DJ11" s="3">
        <v>2.0238582165905996E-5</v>
      </c>
      <c r="DK11" s="3">
        <v>35373767496718.883</v>
      </c>
      <c r="DL11" s="3">
        <v>1.0025938045233487</v>
      </c>
      <c r="DM11" s="3">
        <v>49622000</v>
      </c>
      <c r="DN11" s="3">
        <v>1.432276863604784</v>
      </c>
      <c r="DO11" s="3">
        <v>715914900</v>
      </c>
      <c r="DP11" s="3">
        <v>824477740</v>
      </c>
      <c r="DQ11" s="3">
        <v>2362</v>
      </c>
      <c r="DR11" s="3">
        <v>-2.3223413080492286</v>
      </c>
      <c r="DS11" s="3">
        <v>0.97334083893004519</v>
      </c>
      <c r="DT11" s="12">
        <v>-0.1566666666666667</v>
      </c>
      <c r="DU11" s="3">
        <v>0.15</v>
      </c>
      <c r="DV11" s="3">
        <v>-6.6666666666667096E-3</v>
      </c>
      <c r="DW11" s="3">
        <v>-5.4601962922573613</v>
      </c>
      <c r="DX11" s="3">
        <v>0.22529863509226508</v>
      </c>
      <c r="DY11" s="3">
        <v>-5.0346521526815007</v>
      </c>
      <c r="DZ11" s="3">
        <v>762</v>
      </c>
      <c r="EA11" s="3">
        <v>-5.0294848453736138</v>
      </c>
      <c r="EB11" s="3">
        <v>5</v>
      </c>
      <c r="EC11" s="3">
        <v>8.0316250000000006E-2</v>
      </c>
      <c r="ED11" s="3">
        <v>1.06663625</v>
      </c>
      <c r="EE11" s="13">
        <v>5.04711</v>
      </c>
      <c r="EF11" s="3">
        <v>5.07761</v>
      </c>
      <c r="EG11" s="3">
        <v>15.075298635092265</v>
      </c>
      <c r="EH11" s="3" t="s">
        <v>806</v>
      </c>
      <c r="EI11" s="3">
        <v>0</v>
      </c>
      <c r="EJ11" s="3">
        <v>1</v>
      </c>
      <c r="EK11" s="15">
        <v>45470</v>
      </c>
      <c r="EL11" s="16">
        <v>2.39</v>
      </c>
      <c r="EM11" s="16">
        <v>-2.79</v>
      </c>
      <c r="EN11" s="16">
        <v>-1.81</v>
      </c>
      <c r="EO11" s="16">
        <v>-1.01</v>
      </c>
      <c r="EP11" s="16">
        <v>-3.05</v>
      </c>
    </row>
    <row r="12" spans="1:146" ht="96" x14ac:dyDescent="0.25">
      <c r="C12" s="7" t="str">
        <f>""&amp;CHAR(10)&amp;Basic_Fundamental_Information_Constructure(F12)&amp;CHAR(10)&amp;Basic_Fundamental_Information_Concatenate("")</f>
        <v xml:space="preserve">
市值12.59958亿, 利润1.13亿; PE28.51; 平均PE18.66; 平均PEG.11, PB1.09; ROIC3.9033%; ROE4.3567%; 股利率2.8072%; 毛利30.97%; 净利13.78%; 上一年度营收增818.44%, 利润增126.38%; 当季营收增-91.42%, 利润增-86.37%; 过往5年营收增167.82%, 利润增28.11%
Income profile:
</v>
      </c>
      <c r="D12" s="3" t="s">
        <v>185</v>
      </c>
      <c r="E12" s="3" t="s">
        <v>186</v>
      </c>
      <c r="F12" s="3">
        <v>16.03</v>
      </c>
      <c r="G12" s="3">
        <v>1.33</v>
      </c>
      <c r="H12" s="3" t="s">
        <v>807</v>
      </c>
      <c r="I12" s="3">
        <v>1259958000</v>
      </c>
      <c r="J12" s="3">
        <v>28.51</v>
      </c>
      <c r="K12" s="3">
        <v>1.0900000000000001</v>
      </c>
      <c r="L12" s="3" t="s">
        <v>370</v>
      </c>
      <c r="M12" s="3" t="s">
        <v>72</v>
      </c>
      <c r="N12" s="3" t="s">
        <v>808</v>
      </c>
      <c r="O12" s="3" t="s">
        <v>809</v>
      </c>
      <c r="P12" s="3">
        <v>-2.73</v>
      </c>
      <c r="Q12" s="3" t="s">
        <v>810</v>
      </c>
      <c r="R12" s="3">
        <v>3905440</v>
      </c>
      <c r="S12" s="5">
        <v>-0.4199</v>
      </c>
      <c r="T12" s="3" t="s">
        <v>405</v>
      </c>
      <c r="U12" s="3">
        <v>76468500</v>
      </c>
      <c r="V12" s="3">
        <v>78600000</v>
      </c>
      <c r="W12" s="3">
        <v>1.1100000000000001</v>
      </c>
      <c r="X12" s="3">
        <v>0.06</v>
      </c>
      <c r="Y12" s="3">
        <v>5.16</v>
      </c>
      <c r="Z12" s="3" t="s">
        <v>811</v>
      </c>
      <c r="AA12" s="3" t="s">
        <v>812</v>
      </c>
      <c r="AB12" s="3" t="s">
        <v>813</v>
      </c>
      <c r="AC12" s="3" t="s">
        <v>814</v>
      </c>
      <c r="AD12" s="3" t="s">
        <v>47</v>
      </c>
      <c r="AE12" s="3">
        <v>-78700</v>
      </c>
      <c r="AF12" s="3" t="s">
        <v>815</v>
      </c>
      <c r="AG12" s="3" t="s">
        <v>816</v>
      </c>
      <c r="AH12" s="3" t="s">
        <v>817</v>
      </c>
      <c r="AI12" s="3" t="s">
        <v>77</v>
      </c>
      <c r="AJ12" s="3" t="s">
        <v>818</v>
      </c>
      <c r="AK12" s="3" t="s">
        <v>819</v>
      </c>
      <c r="AL12" s="3" t="s">
        <v>820</v>
      </c>
      <c r="AM12" s="3" t="s">
        <v>47</v>
      </c>
      <c r="AN12" s="3" t="s">
        <v>821</v>
      </c>
      <c r="AO12" s="3" t="s">
        <v>47</v>
      </c>
      <c r="AP12" s="3" t="s">
        <v>822</v>
      </c>
      <c r="AQ12" s="3" t="s">
        <v>823</v>
      </c>
      <c r="AR12" s="3" t="s">
        <v>47</v>
      </c>
      <c r="AS12" s="3" t="s">
        <v>85</v>
      </c>
      <c r="AT12" s="3" t="s">
        <v>47</v>
      </c>
      <c r="AU12" s="3" t="s">
        <v>824</v>
      </c>
      <c r="AV12" s="3" t="s">
        <v>825</v>
      </c>
      <c r="AW12" s="3" t="s">
        <v>47</v>
      </c>
      <c r="AX12" s="3" t="s">
        <v>418</v>
      </c>
      <c r="AY12" s="3" t="s">
        <v>317</v>
      </c>
      <c r="AZ12" s="3" t="s">
        <v>53</v>
      </c>
      <c r="BA12" s="3" t="s">
        <v>126</v>
      </c>
      <c r="BB12" s="3" t="s">
        <v>88</v>
      </c>
      <c r="BC12" s="3" t="s">
        <v>826</v>
      </c>
      <c r="BD12" s="3" t="s">
        <v>318</v>
      </c>
      <c r="BE12" s="3" t="s">
        <v>187</v>
      </c>
      <c r="BF12" s="3" t="s">
        <v>188</v>
      </c>
      <c r="BG12" s="3" t="s">
        <v>189</v>
      </c>
      <c r="BH12" s="3" t="s">
        <v>827</v>
      </c>
      <c r="BI12" s="3" t="s">
        <v>828</v>
      </c>
      <c r="BJ12" s="3" t="s">
        <v>418</v>
      </c>
      <c r="BK12" s="3" t="s">
        <v>829</v>
      </c>
      <c r="BL12" s="3" t="s">
        <v>830</v>
      </c>
      <c r="BM12" s="3" t="s">
        <v>826</v>
      </c>
      <c r="BN12" s="3">
        <v>1.52</v>
      </c>
      <c r="BO12" s="3">
        <v>3.61</v>
      </c>
      <c r="BP12" s="3">
        <v>6.58</v>
      </c>
      <c r="BQ12" s="3">
        <v>1.82</v>
      </c>
      <c r="BR12" s="3">
        <v>4.4000000000000004</v>
      </c>
      <c r="BS12" s="3">
        <v>6.85</v>
      </c>
      <c r="BT12" s="3" t="s">
        <v>537</v>
      </c>
      <c r="BU12" s="3" t="s">
        <v>370</v>
      </c>
      <c r="BV12" s="3">
        <v>30.17</v>
      </c>
      <c r="BW12" s="3">
        <v>29.55</v>
      </c>
      <c r="BX12" s="3">
        <v>33.19</v>
      </c>
      <c r="BY12" s="3">
        <v>11.1</v>
      </c>
      <c r="BZ12" s="3">
        <v>11.81</v>
      </c>
      <c r="CA12" s="3">
        <v>18.43</v>
      </c>
      <c r="CB12" s="3">
        <v>-5.71</v>
      </c>
      <c r="CC12" s="3">
        <v>-5.98</v>
      </c>
      <c r="CD12" s="3" t="s">
        <v>831</v>
      </c>
      <c r="CE12" s="3" t="s">
        <v>832</v>
      </c>
      <c r="CF12" s="10">
        <v>-0.91416870748299317</v>
      </c>
      <c r="CG12" s="11">
        <v>-0.86371205829186415</v>
      </c>
      <c r="CH12" s="10">
        <v>8.1843967437744141</v>
      </c>
      <c r="CI12" s="10">
        <v>3.4229829907417297E-2</v>
      </c>
      <c r="CJ12" s="10">
        <v>0.17191977798938751</v>
      </c>
      <c r="CK12" s="10">
        <v>-5.929918959736824E-2</v>
      </c>
      <c r="CL12" s="10">
        <v>5.9999998658895493E-2</v>
      </c>
      <c r="CM12" s="11">
        <v>1.2638485431671143</v>
      </c>
      <c r="CN12" s="11">
        <v>-0.33742088079452515</v>
      </c>
      <c r="CO12" s="11">
        <v>0.30211976170539856</v>
      </c>
      <c r="CP12" s="11">
        <v>-3.0941752716898918E-2</v>
      </c>
      <c r="CQ12" s="11">
        <v>0.2080610990524292</v>
      </c>
      <c r="CR12" s="3">
        <v>18.655578895000136</v>
      </c>
      <c r="CS12" s="3">
        <v>0.11116094269216521</v>
      </c>
      <c r="CT12" s="3">
        <v>2.8072364316905798</v>
      </c>
      <c r="CU12" s="10">
        <v>1.6782494321465493</v>
      </c>
      <c r="CV12" s="11">
        <v>0.28113335408270357</v>
      </c>
      <c r="CW12" s="3">
        <v>0.06</v>
      </c>
      <c r="CX12" s="3">
        <v>0.75989234404762185</v>
      </c>
      <c r="CY12" s="3">
        <v>285511496.06845284</v>
      </c>
      <c r="CZ12" s="3">
        <v>1.6782494321465493</v>
      </c>
      <c r="DA12" s="3">
        <v>8.3121101160259808E-2</v>
      </c>
      <c r="DB12" s="3">
        <v>2610143477.0660572</v>
      </c>
      <c r="DC12" s="3">
        <v>1.5943369605392217</v>
      </c>
      <c r="DD12" s="3">
        <v>6.7893154218845626E-3</v>
      </c>
      <c r="DE12" s="3">
        <v>31955799151.805691</v>
      </c>
      <c r="DF12" s="3">
        <v>1.4768595002889635</v>
      </c>
      <c r="DG12" s="3">
        <v>3.7837693155616704E-4</v>
      </c>
      <c r="DH12" s="3">
        <v>573391192501.37036</v>
      </c>
      <c r="DI12" s="3">
        <v>1.3425995457172395</v>
      </c>
      <c r="DJ12" s="3">
        <v>5.63511185361327E-7</v>
      </c>
      <c r="DK12" s="3">
        <v>385010991149865.37</v>
      </c>
      <c r="DL12" s="3">
        <v>1.1747746025025845</v>
      </c>
      <c r="DM12" s="3">
        <v>112999999.99999999</v>
      </c>
      <c r="DN12" s="3">
        <v>1.6782494321465493</v>
      </c>
      <c r="DO12" s="3">
        <v>216958000</v>
      </c>
      <c r="DP12" s="3">
        <v>892265330</v>
      </c>
      <c r="DQ12" s="3">
        <v>2378</v>
      </c>
      <c r="DR12" s="3">
        <v>-2.5924181396295425</v>
      </c>
      <c r="DS12" s="3">
        <v>-1.1448454123745677</v>
      </c>
      <c r="DT12" s="12">
        <v>-6.6666666666666714E-3</v>
      </c>
      <c r="DU12" s="3">
        <v>-2.3333333333333355E-2</v>
      </c>
      <c r="DV12" s="3">
        <v>-3.0000000000000027E-2</v>
      </c>
      <c r="DW12" s="3">
        <v>-8.9548494983277589</v>
      </c>
      <c r="DX12" s="3">
        <v>0.40852732940039505</v>
      </c>
      <c r="DY12" s="3">
        <v>-8.1227242559993744</v>
      </c>
      <c r="DZ12" s="3">
        <v>2328</v>
      </c>
      <c r="EA12" s="3">
        <v>-8.06681387087872</v>
      </c>
      <c r="EB12" s="3">
        <v>8</v>
      </c>
      <c r="EC12" s="3">
        <v>4.3489821882951654E-2</v>
      </c>
      <c r="ED12" s="3">
        <v>0.33837022900763358</v>
      </c>
      <c r="EE12" s="13">
        <v>-2.04521</v>
      </c>
      <c r="EF12" s="3">
        <v>-2.0546099999999998</v>
      </c>
      <c r="EG12" s="3">
        <v>28.128527329400395</v>
      </c>
      <c r="EH12" s="3" t="s">
        <v>833</v>
      </c>
      <c r="EI12" s="3">
        <v>0</v>
      </c>
      <c r="EJ12" s="3">
        <v>0</v>
      </c>
      <c r="EK12" s="15">
        <v>45470</v>
      </c>
      <c r="EL12" s="16">
        <v>6.09</v>
      </c>
      <c r="EM12" s="16">
        <v>-7.68</v>
      </c>
      <c r="EN12" s="16">
        <v>0.4</v>
      </c>
      <c r="EO12" s="16">
        <v>2.73</v>
      </c>
      <c r="EP12" s="16">
        <v>-0.94</v>
      </c>
    </row>
    <row r="13" spans="1:146" ht="96" x14ac:dyDescent="0.25">
      <c r="C13" s="7" t="str">
        <f>""&amp;CHAR(10)&amp;Basic_Fundamental_Information_Constructure(F13)&amp;CHAR(10)&amp;Basic_Fundamental_Information_Concatenate("")</f>
        <v xml:space="preserve">
市值14.86642亿, 利润-3492.61万; PE38.01; 平均PE37.22; 平均PEG4.39, PB2.35; ROIC4.83%; ROE5.07%; 股利率4.1322%; 毛利46.1967%; 净利11.7833%; 上一年度营收增59.46%, 利润增-218.77%; 当季营收增-42.02%, 利润增50.75%; 过往5年营收增8.48%, 利润增-50.02%
Income profile:
</v>
      </c>
      <c r="D13" s="3" t="s">
        <v>190</v>
      </c>
      <c r="E13" s="3" t="s">
        <v>191</v>
      </c>
      <c r="F13" s="3">
        <v>14.52</v>
      </c>
      <c r="G13" s="3">
        <v>0.62</v>
      </c>
      <c r="H13" s="3" t="s">
        <v>834</v>
      </c>
      <c r="I13" s="3">
        <v>1486642000</v>
      </c>
      <c r="J13" s="3">
        <v>38.01</v>
      </c>
      <c r="K13" s="3">
        <v>2.35</v>
      </c>
      <c r="L13" s="3" t="s">
        <v>370</v>
      </c>
      <c r="M13" s="3" t="s">
        <v>70</v>
      </c>
      <c r="N13" s="3" t="s">
        <v>835</v>
      </c>
      <c r="O13" s="3" t="s">
        <v>836</v>
      </c>
      <c r="P13" s="3">
        <v>49.56</v>
      </c>
      <c r="Q13" s="3" t="s">
        <v>837</v>
      </c>
      <c r="R13" s="3">
        <v>-3387826</v>
      </c>
      <c r="S13" s="5">
        <v>0.49059999999999998</v>
      </c>
      <c r="T13" s="3" t="s">
        <v>838</v>
      </c>
      <c r="U13" s="3">
        <v>92695812</v>
      </c>
      <c r="V13" s="3">
        <v>102385812</v>
      </c>
      <c r="W13" s="3">
        <v>1.43</v>
      </c>
      <c r="X13" s="3">
        <v>7.0000000000000007E-2</v>
      </c>
      <c r="Y13" s="3">
        <v>-5.73</v>
      </c>
      <c r="Z13" s="3" t="s">
        <v>839</v>
      </c>
      <c r="AA13" s="3" t="s">
        <v>840</v>
      </c>
      <c r="AB13" s="3" t="s">
        <v>841</v>
      </c>
      <c r="AC13" s="3" t="s">
        <v>842</v>
      </c>
      <c r="AD13" s="3" t="s">
        <v>47</v>
      </c>
      <c r="AE13" s="3">
        <v>-136786</v>
      </c>
      <c r="AF13" s="3" t="s">
        <v>843</v>
      </c>
      <c r="AG13" s="3" t="s">
        <v>844</v>
      </c>
      <c r="AH13" s="3" t="s">
        <v>845</v>
      </c>
      <c r="AI13" s="3" t="s">
        <v>112</v>
      </c>
      <c r="AJ13" s="3" t="s">
        <v>846</v>
      </c>
      <c r="AK13" s="3" t="s">
        <v>847</v>
      </c>
      <c r="AL13" s="3" t="s">
        <v>848</v>
      </c>
      <c r="AM13" s="3" t="s">
        <v>47</v>
      </c>
      <c r="AN13" s="3" t="s">
        <v>849</v>
      </c>
      <c r="AO13" s="3" t="s">
        <v>850</v>
      </c>
      <c r="AP13" s="3" t="s">
        <v>851</v>
      </c>
      <c r="AQ13" s="3" t="s">
        <v>852</v>
      </c>
      <c r="AR13" s="3" t="s">
        <v>47</v>
      </c>
      <c r="AS13" s="3" t="s">
        <v>412</v>
      </c>
      <c r="AT13" s="3" t="s">
        <v>47</v>
      </c>
      <c r="AU13" s="3" t="s">
        <v>853</v>
      </c>
      <c r="AV13" s="3" t="s">
        <v>377</v>
      </c>
      <c r="AW13" s="3" t="s">
        <v>854</v>
      </c>
      <c r="AX13" s="3" t="s">
        <v>380</v>
      </c>
      <c r="AY13" s="3" t="s">
        <v>319</v>
      </c>
      <c r="AZ13" s="3" t="s">
        <v>192</v>
      </c>
      <c r="BA13" s="3" t="s">
        <v>194</v>
      </c>
      <c r="BB13" s="3" t="s">
        <v>195</v>
      </c>
      <c r="BC13" s="3" t="s">
        <v>855</v>
      </c>
      <c r="BD13" s="3" t="s">
        <v>320</v>
      </c>
      <c r="BE13" s="3" t="s">
        <v>193</v>
      </c>
      <c r="BF13" s="3" t="s">
        <v>196</v>
      </c>
      <c r="BG13" s="3" t="s">
        <v>197</v>
      </c>
      <c r="BH13" s="3" t="s">
        <v>99</v>
      </c>
      <c r="BI13" s="3" t="s">
        <v>82</v>
      </c>
      <c r="BJ13" s="3" t="s">
        <v>380</v>
      </c>
      <c r="BK13" s="3" t="s">
        <v>856</v>
      </c>
      <c r="BL13" s="3" t="s">
        <v>857</v>
      </c>
      <c r="BM13" s="3" t="s">
        <v>855</v>
      </c>
      <c r="BN13" s="3">
        <v>2.21</v>
      </c>
      <c r="BO13" s="3">
        <v>4.1100000000000003</v>
      </c>
      <c r="BP13" s="3">
        <v>8.17</v>
      </c>
      <c r="BQ13" s="3">
        <v>2.54</v>
      </c>
      <c r="BR13" s="3">
        <v>4.63</v>
      </c>
      <c r="BS13" s="3">
        <v>8.0399999999999991</v>
      </c>
      <c r="BT13" s="3" t="s">
        <v>858</v>
      </c>
      <c r="BU13" s="3" t="s">
        <v>370</v>
      </c>
      <c r="BV13" s="3">
        <v>44.67</v>
      </c>
      <c r="BW13" s="3">
        <v>46.18</v>
      </c>
      <c r="BX13" s="3">
        <v>47.74</v>
      </c>
      <c r="BY13" s="3">
        <v>9.99</v>
      </c>
      <c r="BZ13" s="3">
        <v>9.9499999999999993</v>
      </c>
      <c r="CA13" s="3">
        <v>15.41</v>
      </c>
      <c r="CB13" s="3">
        <v>-3.65</v>
      </c>
      <c r="CC13" s="3">
        <v>-12.95</v>
      </c>
      <c r="CD13" s="3" t="s">
        <v>859</v>
      </c>
      <c r="CE13" s="3" t="s">
        <v>860</v>
      </c>
      <c r="CF13" s="10">
        <v>-0.42016372549019609</v>
      </c>
      <c r="CG13" s="11">
        <v>0.50753332461151568</v>
      </c>
      <c r="CH13" s="10">
        <v>0.59459459781646729</v>
      </c>
      <c r="CI13" s="10">
        <v>6.8027209490537643E-3</v>
      </c>
      <c r="CJ13" s="10">
        <v>-7.5471699237823486E-2</v>
      </c>
      <c r="CK13" s="10">
        <v>-0.18251928687095642</v>
      </c>
      <c r="CL13" s="10">
        <v>8.0555558204650879E-2</v>
      </c>
      <c r="CM13" s="11">
        <v>-2.1876919269561768</v>
      </c>
      <c r="CN13" s="11">
        <v>-0.35180416703224182</v>
      </c>
      <c r="CO13" s="11">
        <v>-0.38425979018211365</v>
      </c>
      <c r="CP13" s="11">
        <v>-7.2115771472454071E-3</v>
      </c>
      <c r="CQ13" s="11">
        <v>0.43019571900367737</v>
      </c>
      <c r="CR13" s="3">
        <v>37.223249727080614</v>
      </c>
      <c r="CS13" s="3">
        <v>4.3899287329164922</v>
      </c>
      <c r="CT13" s="3">
        <v>4.1322314049586781</v>
      </c>
      <c r="CU13" s="10">
        <v>8.4792378172278401E-2</v>
      </c>
      <c r="CV13" s="11">
        <v>-0.50015434846282003</v>
      </c>
      <c r="CW13" s="3">
        <v>0.06</v>
      </c>
      <c r="CX13" s="3" t="e">
        <v>#VALUE!</v>
      </c>
      <c r="CY13" s="3" t="s">
        <v>354</v>
      </c>
      <c r="CZ13" s="3">
        <v>8.4792378172278401E-2</v>
      </c>
      <c r="DA13" s="3" t="e">
        <v>#VALUE!</v>
      </c>
      <c r="DB13" s="3" t="s">
        <v>355</v>
      </c>
      <c r="DC13" s="3">
        <v>8.0552759263664481E-2</v>
      </c>
      <c r="DD13" s="3" t="e">
        <v>#VALUE!</v>
      </c>
      <c r="DE13" s="3" t="s">
        <v>355</v>
      </c>
      <c r="DF13" s="3">
        <v>7.4617292791604992E-2</v>
      </c>
      <c r="DG13" s="3" t="e">
        <v>#VALUE!</v>
      </c>
      <c r="DH13" s="3" t="s">
        <v>355</v>
      </c>
      <c r="DI13" s="3">
        <v>6.7833902537822718E-2</v>
      </c>
      <c r="DJ13" s="3" t="e">
        <v>#VALUE!</v>
      </c>
      <c r="DK13" s="3" t="s">
        <v>355</v>
      </c>
      <c r="DL13" s="3">
        <v>5.9354664720594877E-2</v>
      </c>
      <c r="DM13" s="3">
        <v>-34926100</v>
      </c>
      <c r="DN13" s="3">
        <v>8.4792378172278401E-2</v>
      </c>
      <c r="DO13" s="3">
        <v>1125642000</v>
      </c>
      <c r="DP13" s="3">
        <v>546518720</v>
      </c>
      <c r="DQ13" s="3">
        <v>2411</v>
      </c>
      <c r="DR13" s="3">
        <v>-0.50495610366247445</v>
      </c>
      <c r="DS13" s="3">
        <v>1.0076876730743356</v>
      </c>
      <c r="DT13" s="12">
        <v>-0.38999999999999996</v>
      </c>
      <c r="DU13" s="3">
        <v>-1.6116666666666666</v>
      </c>
      <c r="DV13" s="3">
        <v>-2.0016666666666665</v>
      </c>
      <c r="DW13" s="3">
        <v>-8.281853281853282</v>
      </c>
      <c r="DX13" s="3">
        <v>0.28187354398746212</v>
      </c>
      <c r="DY13" s="3">
        <v>-8.0343504583439564</v>
      </c>
      <c r="DZ13" s="3">
        <v>3653</v>
      </c>
      <c r="EA13" s="3">
        <v>-8.0097942500601071</v>
      </c>
      <c r="EB13" s="3">
        <v>8</v>
      </c>
      <c r="EC13" s="3">
        <v>4.4964237818419607E-2</v>
      </c>
      <c r="ED13" s="3">
        <v>0.36894174360799131</v>
      </c>
      <c r="EE13" s="13">
        <v>-3.0299</v>
      </c>
      <c r="EF13" s="3">
        <v>-2.08</v>
      </c>
      <c r="EG13" s="3">
        <v>16.121873543987462</v>
      </c>
      <c r="EH13" s="3" t="s">
        <v>861</v>
      </c>
      <c r="EI13" s="3">
        <v>0</v>
      </c>
      <c r="EJ13" s="3">
        <v>0</v>
      </c>
      <c r="EK13" s="15">
        <v>45470</v>
      </c>
      <c r="EL13" s="16">
        <v>0.17</v>
      </c>
      <c r="EM13" s="16">
        <v>-5.31</v>
      </c>
      <c r="EN13" s="16">
        <v>1.77</v>
      </c>
      <c r="EO13" s="16">
        <v>20.02</v>
      </c>
      <c r="EP13" s="16">
        <v>20.010000000000002</v>
      </c>
    </row>
    <row r="14" spans="1:146" ht="288" x14ac:dyDescent="0.25">
      <c r="A14" s="9" t="s">
        <v>301</v>
      </c>
      <c r="B14" s="9" t="s">
        <v>302</v>
      </c>
      <c r="C14" s="7" t="str">
        <f>"公司主要从事各类型轨道车辆车体部件及转向架零部件的研发和制造，具体包括底架组成、墙板组成、车顶组成、司机室组成等车体部件以及牵引制动类、减震缓冲类等转向架零部件，主要产品已全面应用于铁路交通领域及城市轨道交通领域、覆盖时速 60 公里至 350 公里的各类型轨道车辆；其中买料模式占比92.43%；
按照终端应用领域划分，公司主要产品同时适用于城市轨道交通领域及铁路交通领域，其中以城市轨道交通领域为主；"&amp;CHAR(10)&amp;Basic_Fundamental_Information_Constructure(F14)&amp;CHAR(10)&amp;Basic_Fundamental_Information_Concatenate("轨道交通装备行业 4.62亿 99.01%（毛利43.67%）
其他业务 461.10万 0.99%（毛利60.00%）
按列车部位组件分：
底架组成 18,508.84 40.04%
墙板组成 4,825.79 10.44%
车顶组成 1,973.89 4.27%
司机室组成 2,147.91 4.65%
牵引制动类零部件5,948.66 12.87%
减震缓冲类零部件3,156.40 6.83%")</f>
        <v>公司主要从事各类型轨道车辆车体部件及转向架零部件的研发和制造，具体包括底架组成、墙板组成、车顶组成、司机室组成等车体部件以及牵引制动类、减震缓冲类等转向架零部件，主要产品已全面应用于铁路交通领域及城市轨道交通领域、覆盖时速 60 公里至 350 公里的各类型轨道车辆；其中买料模式占比92.43%；
按照终端应用领域划分，公司主要产品同时适用于城市轨道交通领域及铁路交通领域，其中以城市轨道交通领域为主；
市值19.668亿, 利润1.33亿; PE36.54; 平均PE19.56; 平均PEG.05, PB1.94; ROIC10.6567%; ROE11.5233%; 股利率2.0134%; 毛利38.3333%; 净利20.21%; 上一年度营收增1942.44%, 利润增46.46%; 当季营收增-97.94%, 利润增-93.18%; 过往5年营收增401.58%, 利润增25.2%
Income profile:
轨道交通装备行业 4.62亿 99.01%（毛利43.67%）
其他业务 461.10万 0.99%（毛利60.00%）
按列车部位组件分：
底架组成 18,508.84 40.04%
墙板组成 4,825.79 10.44%
车顶组成 1,973.89 4.27%
司机室组成 2,147.91 4.65%
牵引制动类零部件5,948.66 12.87%
减震缓冲类零部件3,156.40 6.83%</v>
      </c>
      <c r="D14" s="3" t="s">
        <v>198</v>
      </c>
      <c r="E14" s="3" t="s">
        <v>199</v>
      </c>
      <c r="F14" s="3">
        <v>16.39</v>
      </c>
      <c r="G14" s="3">
        <v>0.74</v>
      </c>
      <c r="H14" s="3" t="s">
        <v>862</v>
      </c>
      <c r="I14" s="3">
        <v>1966800000</v>
      </c>
      <c r="J14" s="3">
        <v>36.54</v>
      </c>
      <c r="K14" s="3">
        <v>1.94</v>
      </c>
      <c r="L14" s="3" t="s">
        <v>370</v>
      </c>
      <c r="M14" s="3" t="s">
        <v>863</v>
      </c>
      <c r="N14" s="3" t="s">
        <v>864</v>
      </c>
      <c r="O14" s="3" t="s">
        <v>865</v>
      </c>
      <c r="P14" s="3">
        <v>-9.69</v>
      </c>
      <c r="Q14" s="3" t="s">
        <v>866</v>
      </c>
      <c r="R14" s="3">
        <v>4401481</v>
      </c>
      <c r="S14" s="5">
        <v>-8.4199999999999997E-2</v>
      </c>
      <c r="T14" s="3" t="s">
        <v>413</v>
      </c>
      <c r="U14" s="3">
        <v>120000000</v>
      </c>
      <c r="V14" s="3">
        <v>120000000</v>
      </c>
      <c r="W14" s="3">
        <v>1.17</v>
      </c>
      <c r="X14" s="3">
        <v>0.04</v>
      </c>
      <c r="Y14" s="3">
        <v>10.29</v>
      </c>
      <c r="Z14" s="3" t="s">
        <v>867</v>
      </c>
      <c r="AA14" s="3" t="s">
        <v>868</v>
      </c>
      <c r="AB14" s="3" t="s">
        <v>869</v>
      </c>
      <c r="AC14" s="3" t="s">
        <v>870</v>
      </c>
      <c r="AD14" s="3" t="s">
        <v>47</v>
      </c>
      <c r="AE14" s="3">
        <v>762137</v>
      </c>
      <c r="AF14" s="3" t="s">
        <v>871</v>
      </c>
      <c r="AG14" s="3" t="s">
        <v>872</v>
      </c>
      <c r="AH14" s="3" t="s">
        <v>873</v>
      </c>
      <c r="AI14" s="3" t="s">
        <v>95</v>
      </c>
      <c r="AJ14" s="3" t="s">
        <v>874</v>
      </c>
      <c r="AK14" s="3" t="s">
        <v>875</v>
      </c>
      <c r="AL14" s="3" t="s">
        <v>876</v>
      </c>
      <c r="AM14" s="3" t="s">
        <v>47</v>
      </c>
      <c r="AN14" s="3" t="s">
        <v>877</v>
      </c>
      <c r="AO14" s="3" t="s">
        <v>47</v>
      </c>
      <c r="AP14" s="3" t="s">
        <v>878</v>
      </c>
      <c r="AQ14" s="3" t="s">
        <v>54</v>
      </c>
      <c r="AR14" s="3" t="s">
        <v>47</v>
      </c>
      <c r="AS14" s="3" t="s">
        <v>93</v>
      </c>
      <c r="AT14" s="3" t="s">
        <v>47</v>
      </c>
      <c r="AU14" s="3" t="s">
        <v>879</v>
      </c>
      <c r="AV14" s="3" t="s">
        <v>880</v>
      </c>
      <c r="AW14" s="3">
        <v>0</v>
      </c>
      <c r="AX14" s="3" t="s">
        <v>881</v>
      </c>
      <c r="AY14" s="3" t="s">
        <v>220</v>
      </c>
      <c r="AZ14" s="3" t="s">
        <v>200</v>
      </c>
      <c r="BA14" s="3" t="s">
        <v>126</v>
      </c>
      <c r="BB14" s="3" t="s">
        <v>79</v>
      </c>
      <c r="BC14" s="3" t="s">
        <v>882</v>
      </c>
      <c r="BD14" s="3" t="s">
        <v>65</v>
      </c>
      <c r="BE14" s="3" t="s">
        <v>77</v>
      </c>
      <c r="BF14" s="3" t="s">
        <v>201</v>
      </c>
      <c r="BG14" s="3" t="s">
        <v>202</v>
      </c>
      <c r="BH14" s="3" t="s">
        <v>375</v>
      </c>
      <c r="BI14" s="3" t="s">
        <v>606</v>
      </c>
      <c r="BJ14" s="3" t="s">
        <v>881</v>
      </c>
      <c r="BK14" s="3" t="s">
        <v>883</v>
      </c>
      <c r="BL14" s="3" t="s">
        <v>884</v>
      </c>
      <c r="BM14" s="3" t="s">
        <v>882</v>
      </c>
      <c r="BN14" s="3">
        <v>3.81</v>
      </c>
      <c r="BO14" s="3">
        <v>9.3800000000000008</v>
      </c>
      <c r="BP14" s="3">
        <v>18.78</v>
      </c>
      <c r="BQ14" s="3">
        <v>5.17</v>
      </c>
      <c r="BR14" s="3">
        <v>9.7100000000000009</v>
      </c>
      <c r="BS14" s="3">
        <v>19.690000000000001</v>
      </c>
      <c r="BT14" s="3" t="s">
        <v>885</v>
      </c>
      <c r="BU14" s="3" t="s">
        <v>370</v>
      </c>
      <c r="BV14" s="3">
        <v>33.130000000000003</v>
      </c>
      <c r="BW14" s="3">
        <v>38.659999999999997</v>
      </c>
      <c r="BX14" s="3">
        <v>43.21</v>
      </c>
      <c r="BY14" s="3">
        <v>15.6</v>
      </c>
      <c r="BZ14" s="3">
        <v>20.16</v>
      </c>
      <c r="CA14" s="3">
        <v>24.87</v>
      </c>
      <c r="CB14" s="3">
        <v>-2.61</v>
      </c>
      <c r="CC14" s="3">
        <v>-14.19</v>
      </c>
      <c r="CD14" s="3" t="s">
        <v>886</v>
      </c>
      <c r="CE14" s="3" t="s">
        <v>69</v>
      </c>
      <c r="CF14" s="10">
        <v>-0.9793551640926641</v>
      </c>
      <c r="CG14" s="11">
        <v>-0.93181664539235609</v>
      </c>
      <c r="CH14" s="10">
        <v>19.424444198608398</v>
      </c>
      <c r="CI14" s="10">
        <v>-0.11764705926179886</v>
      </c>
      <c r="CJ14" s="10">
        <v>9.2077091336250305E-2</v>
      </c>
      <c r="CK14" s="10">
        <v>0.25876009464263916</v>
      </c>
      <c r="CL14" s="10">
        <v>0.42145594954490662</v>
      </c>
      <c r="CM14" s="11">
        <v>0.46459642052650452</v>
      </c>
      <c r="CN14" s="11">
        <v>-0.28496062755584717</v>
      </c>
      <c r="CO14" s="11">
        <v>0.11403508484363556</v>
      </c>
      <c r="CP14" s="11">
        <v>0.32604089379310608</v>
      </c>
      <c r="CQ14" s="11">
        <v>0.64037406444549561</v>
      </c>
      <c r="CR14" s="3">
        <v>19.564014004894982</v>
      </c>
      <c r="CS14" s="3">
        <v>4.8717381457714627E-2</v>
      </c>
      <c r="CT14" s="3">
        <v>2.0134228187919461</v>
      </c>
      <c r="CU14" s="10">
        <v>4.015818054974079</v>
      </c>
      <c r="CV14" s="11">
        <v>0.25201716721057893</v>
      </c>
      <c r="CW14" s="3">
        <v>0.06</v>
      </c>
      <c r="CX14" s="3">
        <v>1.8667079958946637</v>
      </c>
      <c r="CY14" s="3">
        <v>629343208.78448343</v>
      </c>
      <c r="CZ14" s="3">
        <v>4.015818054974079</v>
      </c>
      <c r="DA14" s="3">
        <v>7.4285896620846004E-2</v>
      </c>
      <c r="DB14" s="3">
        <v>15814576567.557096</v>
      </c>
      <c r="DC14" s="3">
        <v>3.8150271522253747</v>
      </c>
      <c r="DD14" s="3">
        <v>1.1054047325319361E-3</v>
      </c>
      <c r="DE14" s="3">
        <v>1062778153038.2213</v>
      </c>
      <c r="DF14" s="3">
        <v>3.5339198883771896</v>
      </c>
      <c r="DG14" s="3">
        <v>6.7256391738889511E-6</v>
      </c>
      <c r="DH14" s="3">
        <v>174674847940243.87</v>
      </c>
      <c r="DI14" s="3">
        <v>3.2126544439792633</v>
      </c>
      <c r="DJ14" s="3">
        <v>4.8948558252200768E-11</v>
      </c>
      <c r="DK14" s="3">
        <v>2.4000706904317862E+19</v>
      </c>
      <c r="DL14" s="3">
        <v>2.8110726384818552</v>
      </c>
      <c r="DM14" s="3">
        <v>133000000</v>
      </c>
      <c r="DN14" s="3">
        <v>4.015818054974079</v>
      </c>
      <c r="DO14" s="3">
        <v>1174800000</v>
      </c>
      <c r="DP14" s="3">
        <v>779706700</v>
      </c>
      <c r="DQ14" s="3">
        <v>2465</v>
      </c>
      <c r="DR14" s="3">
        <v>-4.9951732190667428</v>
      </c>
      <c r="DS14" s="3">
        <v>-1.1838338126029351</v>
      </c>
      <c r="DT14" s="12">
        <v>7.6666666666666591E-2</v>
      </c>
      <c r="DU14" s="3">
        <v>-0.10666666666666669</v>
      </c>
      <c r="DV14" s="3">
        <v>-3.0000000000000096E-2</v>
      </c>
      <c r="DW14" s="3">
        <v>-8.1839323467230436</v>
      </c>
      <c r="DX14" s="3">
        <v>0.17788365384615445</v>
      </c>
      <c r="DY14" s="3">
        <v>-8.0106466762888271</v>
      </c>
      <c r="DZ14" s="3">
        <v>587</v>
      </c>
      <c r="EA14" s="3">
        <v>-8.0094236627895032</v>
      </c>
      <c r="EB14" s="3">
        <v>8</v>
      </c>
      <c r="EC14" s="3">
        <v>5.0165833333333333E-2</v>
      </c>
      <c r="ED14" s="3">
        <v>0.8666666666666667</v>
      </c>
      <c r="EE14" s="13">
        <v>5.9409999999999998E-2</v>
      </c>
      <c r="EF14" s="3">
        <v>8.3309999999999995E-2</v>
      </c>
      <c r="EG14" s="3">
        <v>12.057883653846154</v>
      </c>
      <c r="EH14" s="3">
        <v>-1</v>
      </c>
      <c r="EI14" s="3">
        <v>0</v>
      </c>
      <c r="EJ14" s="3">
        <v>1</v>
      </c>
      <c r="EK14" s="15">
        <v>45470</v>
      </c>
      <c r="EL14" s="16">
        <v>0.47</v>
      </c>
      <c r="EM14" s="16">
        <v>-5.0199999999999996</v>
      </c>
      <c r="EN14" s="16">
        <v>-1.26</v>
      </c>
      <c r="EO14" s="16">
        <v>1.65</v>
      </c>
      <c r="EP14" s="16">
        <v>-2.39</v>
      </c>
    </row>
    <row r="15" spans="1:146" ht="96" x14ac:dyDescent="0.25">
      <c r="C15" s="7" t="str">
        <f>""&amp;CHAR(10)&amp;Basic_Fundamental_Information_Constructure(F15)&amp;CHAR(10)&amp;Basic_Fundamental_Information_Concatenate("")</f>
        <v xml:space="preserve">
市值44.106672亿, 利润-1.20亿; PE16.06; 平均PE29.87; 平均PEG3.03, PB1.75; ROIC11.0267%; ROE12.2967%; 股利率.5924%; 毛利17.51%; 净利8.9567%; 上一年度营收增-91.9%, 利润增-139.74%; 当季营收增1115.96%, 利润增529.51%; 过往5年营收增-9.86%, 利润增-1.28%
Income profile:
</v>
      </c>
      <c r="D15" s="3" t="s">
        <v>203</v>
      </c>
      <c r="E15" s="3" t="s">
        <v>204</v>
      </c>
      <c r="F15" s="3">
        <v>8.27</v>
      </c>
      <c r="G15" s="3">
        <v>0.73</v>
      </c>
      <c r="H15" s="3" t="s">
        <v>887</v>
      </c>
      <c r="I15" s="3">
        <v>4410667200</v>
      </c>
      <c r="J15" s="3">
        <v>16.059999999999999</v>
      </c>
      <c r="K15" s="3">
        <v>1.75</v>
      </c>
      <c r="L15" s="3" t="s">
        <v>370</v>
      </c>
      <c r="M15" s="3" t="s">
        <v>888</v>
      </c>
      <c r="N15" s="3" t="s">
        <v>889</v>
      </c>
      <c r="O15" s="3" t="s">
        <v>388</v>
      </c>
      <c r="P15" s="3">
        <v>-3.38</v>
      </c>
      <c r="Q15" s="3" t="s">
        <v>410</v>
      </c>
      <c r="R15" s="3">
        <v>44107001</v>
      </c>
      <c r="S15" s="5">
        <v>-0.32290000000000002</v>
      </c>
      <c r="T15" s="3" t="s">
        <v>427</v>
      </c>
      <c r="U15" s="3">
        <v>133333400</v>
      </c>
      <c r="V15" s="3">
        <v>533333400</v>
      </c>
      <c r="W15" s="3">
        <v>2.0499999999999998</v>
      </c>
      <c r="X15" s="3">
        <v>0.12</v>
      </c>
      <c r="Y15" s="3">
        <v>7.41</v>
      </c>
      <c r="Z15" s="3" t="s">
        <v>423</v>
      </c>
      <c r="AA15" s="3" t="s">
        <v>890</v>
      </c>
      <c r="AB15" s="3" t="s">
        <v>891</v>
      </c>
      <c r="AC15" s="3" t="s">
        <v>892</v>
      </c>
      <c r="AD15" s="3" t="s">
        <v>47</v>
      </c>
      <c r="AE15" s="3">
        <v>1007869</v>
      </c>
      <c r="AF15" s="3" t="s">
        <v>893</v>
      </c>
      <c r="AG15" s="3" t="s">
        <v>894</v>
      </c>
      <c r="AH15" s="3" t="s">
        <v>895</v>
      </c>
      <c r="AI15" s="3" t="s">
        <v>896</v>
      </c>
      <c r="AJ15" s="3" t="s">
        <v>897</v>
      </c>
      <c r="AK15" s="3" t="s">
        <v>898</v>
      </c>
      <c r="AL15" s="3" t="s">
        <v>899</v>
      </c>
      <c r="AM15" s="3" t="s">
        <v>47</v>
      </c>
      <c r="AN15" s="3" t="s">
        <v>900</v>
      </c>
      <c r="AO15" s="3" t="s">
        <v>71</v>
      </c>
      <c r="AP15" s="3" t="s">
        <v>421</v>
      </c>
      <c r="AQ15" s="3" t="s">
        <v>901</v>
      </c>
      <c r="AR15" s="3" t="s">
        <v>902</v>
      </c>
      <c r="AS15" s="3" t="s">
        <v>903</v>
      </c>
      <c r="AT15" s="3" t="s">
        <v>47</v>
      </c>
      <c r="AU15" s="3" t="s">
        <v>904</v>
      </c>
      <c r="AV15" s="3" t="s">
        <v>905</v>
      </c>
      <c r="AW15" s="3" t="s">
        <v>906</v>
      </c>
      <c r="AX15" s="3" t="s">
        <v>453</v>
      </c>
      <c r="AY15" s="3" t="s">
        <v>321</v>
      </c>
      <c r="AZ15" s="3" t="s">
        <v>322</v>
      </c>
      <c r="BA15" s="3" t="s">
        <v>205</v>
      </c>
      <c r="BB15" s="3" t="s">
        <v>206</v>
      </c>
      <c r="BC15" s="3" t="s">
        <v>105</v>
      </c>
      <c r="BD15" s="3" t="s">
        <v>49</v>
      </c>
      <c r="BE15" s="3" t="s">
        <v>59</v>
      </c>
      <c r="BF15" s="3" t="s">
        <v>108</v>
      </c>
      <c r="BG15" s="3" t="s">
        <v>111</v>
      </c>
      <c r="BH15" s="3" t="s">
        <v>907</v>
      </c>
      <c r="BI15" s="3" t="s">
        <v>908</v>
      </c>
      <c r="BJ15" s="3" t="s">
        <v>453</v>
      </c>
      <c r="BK15" s="3" t="s">
        <v>380</v>
      </c>
      <c r="BL15" s="3" t="s">
        <v>909</v>
      </c>
      <c r="BM15" s="3" t="s">
        <v>105</v>
      </c>
      <c r="BN15" s="3">
        <v>6.8</v>
      </c>
      <c r="BO15" s="3">
        <v>13.17</v>
      </c>
      <c r="BP15" s="3">
        <v>13.11</v>
      </c>
      <c r="BQ15" s="3">
        <v>7.63</v>
      </c>
      <c r="BR15" s="3">
        <v>14.54</v>
      </c>
      <c r="BS15" s="3">
        <v>14.72</v>
      </c>
      <c r="BT15" s="3" t="s">
        <v>910</v>
      </c>
      <c r="BU15" s="3" t="s">
        <v>370</v>
      </c>
      <c r="BV15" s="3">
        <v>18.57</v>
      </c>
      <c r="BW15" s="3">
        <v>17.78</v>
      </c>
      <c r="BX15" s="3">
        <v>16.18</v>
      </c>
      <c r="BY15" s="3">
        <v>9.69</v>
      </c>
      <c r="BZ15" s="3">
        <v>9.27</v>
      </c>
      <c r="CA15" s="3">
        <v>7.91</v>
      </c>
      <c r="CB15" s="3">
        <v>-0.36</v>
      </c>
      <c r="CC15" s="3">
        <v>-9.1199999999999992</v>
      </c>
      <c r="CD15" s="3" t="s">
        <v>911</v>
      </c>
      <c r="CE15" s="3" t="s">
        <v>63</v>
      </c>
      <c r="CF15" s="10">
        <v>11.159647574928199</v>
      </c>
      <c r="CG15" s="11">
        <v>5.2950766369337439</v>
      </c>
      <c r="CH15" s="10">
        <v>-0.91901838779449463</v>
      </c>
      <c r="CI15" s="10">
        <v>6.8152032792568207E-2</v>
      </c>
      <c r="CJ15" s="10">
        <v>0.16399689018726349</v>
      </c>
      <c r="CK15" s="10">
        <v>-4.9335621297359467E-3</v>
      </c>
      <c r="CL15" s="10">
        <v>0.19881705939769745</v>
      </c>
      <c r="CM15" s="11">
        <v>-1.3973510265350342</v>
      </c>
      <c r="CN15" s="11">
        <v>0.25311204791069031</v>
      </c>
      <c r="CO15" s="11">
        <v>0.24226804077625275</v>
      </c>
      <c r="CP15" s="11">
        <v>0.14792899787425995</v>
      </c>
      <c r="CQ15" s="11">
        <v>0.68999999761581421</v>
      </c>
      <c r="CR15" s="3">
        <v>29.869078103837474</v>
      </c>
      <c r="CS15" s="3">
        <v>3.0294044932433013</v>
      </c>
      <c r="CT15" s="3">
        <v>0.59238089480048373</v>
      </c>
      <c r="CU15" s="10">
        <v>-9.8597193509340292E-2</v>
      </c>
      <c r="CV15" s="11">
        <v>-1.2808388471603394E-2</v>
      </c>
      <c r="CW15" s="3">
        <v>0.06</v>
      </c>
      <c r="CX15" s="3" t="e">
        <v>#VALUE!</v>
      </c>
      <c r="CY15" s="3" t="s">
        <v>355</v>
      </c>
      <c r="CZ15" s="3">
        <v>-9.8597193509340292E-2</v>
      </c>
      <c r="DA15" s="3" t="e">
        <v>#VALUE!</v>
      </c>
      <c r="DB15" s="3" t="s">
        <v>355</v>
      </c>
      <c r="DC15" s="3">
        <v>-9.3667333833873268E-2</v>
      </c>
      <c r="DD15" s="3" t="e">
        <v>#VALUE!</v>
      </c>
      <c r="DE15" s="3" t="s">
        <v>355</v>
      </c>
      <c r="DF15" s="3">
        <v>-8.6765530288219456E-2</v>
      </c>
      <c r="DG15" s="3" t="e">
        <v>#VALUE!</v>
      </c>
      <c r="DH15" s="3" t="s">
        <v>355</v>
      </c>
      <c r="DI15" s="3">
        <v>-7.8877754807472236E-2</v>
      </c>
      <c r="DJ15" s="3" t="e">
        <v>#VALUE!</v>
      </c>
      <c r="DK15" s="3" t="s">
        <v>355</v>
      </c>
      <c r="DL15" s="3">
        <v>-6.9018035456538201E-2</v>
      </c>
      <c r="DM15" s="3">
        <v>-120000000</v>
      </c>
      <c r="DN15" s="3">
        <v>-9.8597193509340292E-2</v>
      </c>
      <c r="DO15" s="3">
        <v>4316667200</v>
      </c>
      <c r="DP15" s="3">
        <v>1615658400</v>
      </c>
      <c r="DQ15" s="3">
        <v>2495</v>
      </c>
      <c r="DR15" s="3">
        <v>11.258244768437539</v>
      </c>
      <c r="DS15" s="3">
        <v>5.3078850254053469</v>
      </c>
      <c r="DT15" s="12">
        <v>-0.54</v>
      </c>
      <c r="DU15" s="3">
        <v>-0.26666666666666666</v>
      </c>
      <c r="DV15" s="3">
        <v>-0.80666666666666664</v>
      </c>
      <c r="DW15" s="3">
        <v>-2.0912000000000002</v>
      </c>
      <c r="DX15" s="3">
        <v>0.24176036036035989</v>
      </c>
      <c r="DY15" s="3">
        <v>-2.0129285448648648</v>
      </c>
      <c r="DZ15" s="3">
        <v>2398</v>
      </c>
      <c r="EA15" s="3">
        <v>-2.0068614899556776</v>
      </c>
      <c r="EB15" s="3">
        <v>2</v>
      </c>
      <c r="EC15" s="3">
        <v>2.9503871312016088E-2</v>
      </c>
      <c r="ED15" s="3">
        <v>0.20812497398437829</v>
      </c>
      <c r="EE15" s="13">
        <v>-2.0844999999999998</v>
      </c>
      <c r="EF15" s="3">
        <v>-2.0592000000000001</v>
      </c>
      <c r="EG15" s="3">
        <v>10.14176036036036</v>
      </c>
      <c r="EH15" s="3" t="s">
        <v>861</v>
      </c>
      <c r="EI15" s="3">
        <v>0</v>
      </c>
      <c r="EJ15" s="3">
        <v>0</v>
      </c>
      <c r="EK15" s="15">
        <v>45470</v>
      </c>
      <c r="EL15" s="16">
        <v>1.01</v>
      </c>
      <c r="EM15" s="16">
        <v>-2.8</v>
      </c>
      <c r="EN15" s="16">
        <v>1.7</v>
      </c>
      <c r="EO15" s="16">
        <v>4.05</v>
      </c>
      <c r="EP15" s="16">
        <v>-2.5299999999999998</v>
      </c>
    </row>
    <row r="16" spans="1:146" ht="96" x14ac:dyDescent="0.25">
      <c r="C16" s="7" t="str">
        <f>""&amp;CHAR(10)&amp;Basic_Fundamental_Information_Constructure(F16)&amp;CHAR(10)&amp;Basic_Fundamental_Information_Concatenate("")</f>
        <v xml:space="preserve">
市值38.662108亿, 利润5.48亿; PE277.9; 平均PE33.85; 平均PEG.14, PB1.2; ROIC.01%; ROE.2433%; 股利率.375%; 毛利12.5033%; 净利1.11%; 上一年度营收增1225.78%, 利润增5110.02%; 当季营收增-93.44%, 利润增-113.12%; 过往5年营收增243.73%, 利润增1012.52%
Income profile:
</v>
      </c>
      <c r="D16" s="3" t="s">
        <v>208</v>
      </c>
      <c r="E16" s="3" t="s">
        <v>209</v>
      </c>
      <c r="F16" s="3">
        <v>3.2</v>
      </c>
      <c r="G16" s="3">
        <v>0.63</v>
      </c>
      <c r="H16" s="3" t="s">
        <v>912</v>
      </c>
      <c r="I16" s="3">
        <v>3866210800</v>
      </c>
      <c r="J16" s="3">
        <v>277.89999999999998</v>
      </c>
      <c r="K16" s="3">
        <v>1.2</v>
      </c>
      <c r="L16" s="3" t="s">
        <v>370</v>
      </c>
      <c r="M16" s="3" t="s">
        <v>913</v>
      </c>
      <c r="N16" s="3" t="s">
        <v>914</v>
      </c>
      <c r="O16" s="3" t="s">
        <v>654</v>
      </c>
      <c r="P16" s="3">
        <v>45.31</v>
      </c>
      <c r="Q16" s="3" t="s">
        <v>915</v>
      </c>
      <c r="R16" s="3">
        <v>-23615340</v>
      </c>
      <c r="S16" s="5">
        <v>-0.375</v>
      </c>
      <c r="T16" s="3" t="s">
        <v>916</v>
      </c>
      <c r="U16" s="3">
        <v>1208190890</v>
      </c>
      <c r="V16" s="3">
        <v>1208190890</v>
      </c>
      <c r="W16" s="3">
        <v>1.18</v>
      </c>
      <c r="X16" s="3">
        <v>0.06</v>
      </c>
      <c r="Y16" s="3">
        <v>-9.67</v>
      </c>
      <c r="Z16" s="3" t="s">
        <v>917</v>
      </c>
      <c r="AA16" s="3" t="s">
        <v>96</v>
      </c>
      <c r="AB16" s="3" t="s">
        <v>918</v>
      </c>
      <c r="AC16" s="3" t="s">
        <v>919</v>
      </c>
      <c r="AD16" s="3" t="s">
        <v>47</v>
      </c>
      <c r="AE16" s="3">
        <v>-1717467</v>
      </c>
      <c r="AF16" s="3" t="s">
        <v>920</v>
      </c>
      <c r="AG16" s="3" t="s">
        <v>921</v>
      </c>
      <c r="AH16" s="3" t="s">
        <v>922</v>
      </c>
      <c r="AI16" s="3" t="s">
        <v>923</v>
      </c>
      <c r="AJ16" s="3" t="s">
        <v>924</v>
      </c>
      <c r="AK16" s="3" t="s">
        <v>925</v>
      </c>
      <c r="AL16" s="3" t="s">
        <v>926</v>
      </c>
      <c r="AM16" s="3" t="s">
        <v>47</v>
      </c>
      <c r="AN16" s="3" t="s">
        <v>927</v>
      </c>
      <c r="AO16" s="3" t="s">
        <v>47</v>
      </c>
      <c r="AP16" s="3" t="s">
        <v>403</v>
      </c>
      <c r="AQ16" s="3" t="s">
        <v>928</v>
      </c>
      <c r="AR16" s="3" t="s">
        <v>47</v>
      </c>
      <c r="AS16" s="3" t="s">
        <v>408</v>
      </c>
      <c r="AT16" s="3" t="s">
        <v>47</v>
      </c>
      <c r="AU16" s="3" t="s">
        <v>929</v>
      </c>
      <c r="AV16" s="3" t="s">
        <v>930</v>
      </c>
      <c r="AW16" s="3" t="s">
        <v>47</v>
      </c>
      <c r="AX16" s="3" t="s">
        <v>400</v>
      </c>
      <c r="AY16" s="3" t="s">
        <v>323</v>
      </c>
      <c r="AZ16" s="3" t="s">
        <v>210</v>
      </c>
      <c r="BA16" s="3" t="s">
        <v>212</v>
      </c>
      <c r="BB16" s="3" t="s">
        <v>213</v>
      </c>
      <c r="BC16" s="3" t="s">
        <v>931</v>
      </c>
      <c r="BD16" s="3" t="s">
        <v>324</v>
      </c>
      <c r="BE16" s="3" t="s">
        <v>211</v>
      </c>
      <c r="BF16" s="3" t="s">
        <v>214</v>
      </c>
      <c r="BG16" s="3" t="s">
        <v>215</v>
      </c>
      <c r="BH16" s="3" t="s">
        <v>932</v>
      </c>
      <c r="BI16" s="3" t="s">
        <v>420</v>
      </c>
      <c r="BJ16" s="3" t="s">
        <v>400</v>
      </c>
      <c r="BK16" s="3" t="s">
        <v>933</v>
      </c>
      <c r="BL16" s="3" t="s">
        <v>546</v>
      </c>
      <c r="BM16" s="3" t="s">
        <v>931</v>
      </c>
      <c r="BN16" s="3">
        <v>-0.06</v>
      </c>
      <c r="BO16" s="3">
        <v>0.11</v>
      </c>
      <c r="BP16" s="3">
        <v>-0.02</v>
      </c>
      <c r="BQ16" s="3">
        <v>7.0000000000000007E-2</v>
      </c>
      <c r="BR16" s="3">
        <v>0.33</v>
      </c>
      <c r="BS16" s="3">
        <v>0.33</v>
      </c>
      <c r="BT16" s="3" t="s">
        <v>934</v>
      </c>
      <c r="BU16" s="3" t="s">
        <v>370</v>
      </c>
      <c r="BV16" s="3">
        <v>13.55</v>
      </c>
      <c r="BW16" s="3">
        <v>11.24</v>
      </c>
      <c r="BX16" s="3">
        <v>12.72</v>
      </c>
      <c r="BY16" s="3">
        <v>1.59</v>
      </c>
      <c r="BZ16" s="3">
        <v>0.84</v>
      </c>
      <c r="CA16" s="3">
        <v>0.9</v>
      </c>
      <c r="CB16" s="3">
        <v>-0.31</v>
      </c>
      <c r="CC16" s="3">
        <v>-9.5500000000000007</v>
      </c>
      <c r="CD16" s="3" t="s">
        <v>935</v>
      </c>
      <c r="CE16" s="3" t="s">
        <v>546</v>
      </c>
      <c r="CF16" s="10">
        <v>-0.93442622950819676</v>
      </c>
      <c r="CG16" s="11">
        <v>-1.1311963333333332</v>
      </c>
      <c r="CH16" s="10">
        <v>12.257832527160645</v>
      </c>
      <c r="CI16" s="10">
        <v>3.1482908874750137E-2</v>
      </c>
      <c r="CJ16" s="10">
        <v>5.877198651432991E-2</v>
      </c>
      <c r="CK16" s="10">
        <v>-0.207232266664505</v>
      </c>
      <c r="CL16" s="10">
        <v>4.5818131417036057E-2</v>
      </c>
      <c r="CM16" s="11">
        <v>51.100170135498047</v>
      </c>
      <c r="CN16" s="11">
        <v>-2.6615336537361145E-2</v>
      </c>
      <c r="CO16" s="11">
        <v>-0.46623000502586365</v>
      </c>
      <c r="CP16" s="11">
        <v>-0.66303813457489014</v>
      </c>
      <c r="CQ16" s="11">
        <v>0.68171882629394531</v>
      </c>
      <c r="CR16" s="3">
        <v>33.846244352883446</v>
      </c>
      <c r="CS16" s="3">
        <v>0.13886580675035037</v>
      </c>
      <c r="CT16" s="3">
        <v>0.37499999999999994</v>
      </c>
      <c r="CU16" s="10">
        <v>2.4373346574604513</v>
      </c>
      <c r="CV16" s="11">
        <v>10.125201097130775</v>
      </c>
      <c r="CW16" s="3">
        <v>0.06</v>
      </c>
      <c r="CX16" s="3">
        <v>0.7581219056090438</v>
      </c>
      <c r="CY16" s="3">
        <v>1777037162.5361578</v>
      </c>
      <c r="CZ16" s="3">
        <v>2.4373346574604513</v>
      </c>
      <c r="DA16" s="3">
        <v>5.6501476113742365E-2</v>
      </c>
      <c r="DB16" s="3">
        <v>23843815996.735165</v>
      </c>
      <c r="DC16" s="3">
        <v>2.3154679245874288</v>
      </c>
      <c r="DD16" s="3">
        <v>2.3933120518406766E-3</v>
      </c>
      <c r="DE16" s="3">
        <v>562906453825.7229</v>
      </c>
      <c r="DF16" s="3">
        <v>2.1448544985651972</v>
      </c>
      <c r="DG16" s="3">
        <v>5.6536989800731241E-5</v>
      </c>
      <c r="DH16" s="3">
        <v>23828838513481.937</v>
      </c>
      <c r="DI16" s="3">
        <v>1.9498677259683612</v>
      </c>
      <c r="DJ16" s="3">
        <v>1.0811885266163927E-8</v>
      </c>
      <c r="DK16" s="3">
        <v>1.2460461490616542E+17</v>
      </c>
      <c r="DL16" s="3">
        <v>1.7061342602223157</v>
      </c>
      <c r="DM16" s="3">
        <v>548000000</v>
      </c>
      <c r="DN16" s="3">
        <v>2.4373346574604513</v>
      </c>
      <c r="DO16" s="3">
        <v>1347210800</v>
      </c>
      <c r="DP16" s="3">
        <v>1899256000</v>
      </c>
      <c r="DQ16" s="3">
        <v>3216</v>
      </c>
      <c r="DR16" s="3">
        <v>-3.371760886968648</v>
      </c>
      <c r="DS16" s="3">
        <v>-11.256397430464109</v>
      </c>
      <c r="DT16" s="12">
        <v>-0.25666666666666665</v>
      </c>
      <c r="DU16" s="3">
        <v>-0.76500000000000001</v>
      </c>
      <c r="DV16" s="3">
        <v>-1.0216666666666667</v>
      </c>
      <c r="DW16" s="3">
        <v>-2.0954999999999999</v>
      </c>
      <c r="DX16" s="3">
        <v>0.30022944444444566</v>
      </c>
      <c r="DY16" s="3">
        <v>-2.0124369119444445</v>
      </c>
      <c r="DZ16" s="3">
        <v>1043</v>
      </c>
      <c r="EA16" s="3">
        <v>-2.0098984189585236</v>
      </c>
      <c r="EB16" s="3">
        <v>2</v>
      </c>
      <c r="EC16" s="3">
        <v>1.9401983737851226E-2</v>
      </c>
      <c r="ED16" s="3">
        <v>0.14898307998332946</v>
      </c>
      <c r="EE16" s="13">
        <v>-1.1146</v>
      </c>
      <c r="EF16" s="3">
        <v>-1.0965</v>
      </c>
      <c r="EG16" s="3">
        <v>17.130229444444446</v>
      </c>
      <c r="EH16" s="3" t="s">
        <v>356</v>
      </c>
      <c r="EI16" s="3">
        <v>0</v>
      </c>
      <c r="EJ16" s="3">
        <v>1</v>
      </c>
      <c r="EK16" s="15">
        <v>45470</v>
      </c>
      <c r="EL16" s="16">
        <v>-0.45</v>
      </c>
      <c r="EM16" s="16">
        <v>-3.88</v>
      </c>
      <c r="EN16" s="16">
        <v>1.19</v>
      </c>
      <c r="EO16" s="16">
        <v>3.52</v>
      </c>
      <c r="EP16" s="16">
        <v>-1.81</v>
      </c>
    </row>
    <row r="17" spans="1:146" ht="96" x14ac:dyDescent="0.25">
      <c r="C17" s="7" t="str">
        <f>""&amp;CHAR(10)&amp;Basic_Fundamental_Information_Constructure(F17)&amp;CHAR(10)&amp;Basic_Fundamental_Information_Concatenate("")</f>
        <v xml:space="preserve">
市值161.5068亿, 利润7.76亿; PE9.58; 平均PE10.26; 平均PEG1.61, PB.699; ROIC6.9167%; ROE7.0233%; 股利率1.3934%; 毛利18.41%; 净利6.41%; 上一年度营收增-82.71%, 利润增-58.64%; 当季营收增475.42%, 利润增180.09%; 过往5年营收增-6.36%, 利润增-6.77%
Income profile:
</v>
      </c>
      <c r="D17" s="3" t="s">
        <v>216</v>
      </c>
      <c r="E17" s="3" t="s">
        <v>217</v>
      </c>
      <c r="F17" s="3">
        <v>7.27</v>
      </c>
      <c r="G17" s="3">
        <v>-0.41</v>
      </c>
      <c r="H17" s="3" t="s">
        <v>936</v>
      </c>
      <c r="I17" s="3">
        <v>16150680000</v>
      </c>
      <c r="J17" s="3">
        <v>9.58</v>
      </c>
      <c r="K17" s="3">
        <v>0.69899999999999995</v>
      </c>
      <c r="L17" s="3" t="s">
        <v>370</v>
      </c>
      <c r="M17" s="3" t="s">
        <v>937</v>
      </c>
      <c r="N17" s="3" t="s">
        <v>938</v>
      </c>
      <c r="O17" s="3" t="s">
        <v>939</v>
      </c>
      <c r="P17" s="3">
        <v>-4.26</v>
      </c>
      <c r="Q17" s="3" t="s">
        <v>940</v>
      </c>
      <c r="R17" s="3">
        <v>467755390</v>
      </c>
      <c r="S17" s="5">
        <v>-0.1087</v>
      </c>
      <c r="T17" s="3" t="s">
        <v>941</v>
      </c>
      <c r="U17" s="3">
        <v>2221551600</v>
      </c>
      <c r="V17" s="3">
        <v>2221551600</v>
      </c>
      <c r="W17" s="3">
        <v>2.2200000000000002</v>
      </c>
      <c r="X17" s="3">
        <v>0.12</v>
      </c>
      <c r="Y17" s="3">
        <v>6.46</v>
      </c>
      <c r="Z17" s="3" t="s">
        <v>942</v>
      </c>
      <c r="AA17" s="3" t="s">
        <v>943</v>
      </c>
      <c r="AB17" s="3" t="s">
        <v>592</v>
      </c>
      <c r="AC17" s="3" t="s">
        <v>115</v>
      </c>
      <c r="AD17" s="3" t="s">
        <v>47</v>
      </c>
      <c r="AE17" s="3">
        <v>-12865749</v>
      </c>
      <c r="AF17" s="3" t="s">
        <v>944</v>
      </c>
      <c r="AG17" s="3" t="s">
        <v>945</v>
      </c>
      <c r="AH17" s="3" t="s">
        <v>946</v>
      </c>
      <c r="AI17" s="3" t="s">
        <v>947</v>
      </c>
      <c r="AJ17" s="3" t="s">
        <v>948</v>
      </c>
      <c r="AK17" s="3" t="s">
        <v>949</v>
      </c>
      <c r="AL17" s="3" t="s">
        <v>950</v>
      </c>
      <c r="AM17" s="3" t="s">
        <v>47</v>
      </c>
      <c r="AN17" s="3" t="s">
        <v>951</v>
      </c>
      <c r="AO17" s="3" t="s">
        <v>64</v>
      </c>
      <c r="AP17" s="3" t="s">
        <v>952</v>
      </c>
      <c r="AQ17" s="3" t="s">
        <v>953</v>
      </c>
      <c r="AR17" s="3" t="s">
        <v>954</v>
      </c>
      <c r="AS17" s="3" t="s">
        <v>955</v>
      </c>
      <c r="AT17" s="3" t="s">
        <v>956</v>
      </c>
      <c r="AU17" s="3" t="s">
        <v>957</v>
      </c>
      <c r="AV17" s="3" t="s">
        <v>958</v>
      </c>
      <c r="AW17" s="3" t="s">
        <v>959</v>
      </c>
      <c r="AX17" s="3" t="s">
        <v>960</v>
      </c>
      <c r="AY17" s="3" t="s">
        <v>325</v>
      </c>
      <c r="AZ17" s="3" t="s">
        <v>218</v>
      </c>
      <c r="BA17" s="3" t="s">
        <v>221</v>
      </c>
      <c r="BB17" s="3" t="s">
        <v>222</v>
      </c>
      <c r="BC17" s="3" t="s">
        <v>138</v>
      </c>
      <c r="BD17" s="3" t="s">
        <v>326</v>
      </c>
      <c r="BE17" s="3" t="s">
        <v>219</v>
      </c>
      <c r="BF17" s="3" t="s">
        <v>101</v>
      </c>
      <c r="BG17" s="3" t="s">
        <v>223</v>
      </c>
      <c r="BH17" s="3" t="s">
        <v>961</v>
      </c>
      <c r="BI17" s="3" t="s">
        <v>162</v>
      </c>
      <c r="BJ17" s="3" t="s">
        <v>960</v>
      </c>
      <c r="BK17" s="3" t="s">
        <v>962</v>
      </c>
      <c r="BL17" s="3" t="s">
        <v>93</v>
      </c>
      <c r="BM17" s="3" t="s">
        <v>138</v>
      </c>
      <c r="BN17" s="3">
        <v>5.8</v>
      </c>
      <c r="BO17" s="3">
        <v>7.31</v>
      </c>
      <c r="BP17" s="3">
        <v>7.64</v>
      </c>
      <c r="BQ17" s="3">
        <v>5.65</v>
      </c>
      <c r="BR17" s="3">
        <v>7.53</v>
      </c>
      <c r="BS17" s="3">
        <v>7.89</v>
      </c>
      <c r="BT17" s="3" t="s">
        <v>963</v>
      </c>
      <c r="BU17" s="3" t="s">
        <v>370</v>
      </c>
      <c r="BV17" s="3">
        <v>19.079999999999998</v>
      </c>
      <c r="BW17" s="3">
        <v>18.079999999999998</v>
      </c>
      <c r="BX17" s="3">
        <v>18.07</v>
      </c>
      <c r="BY17" s="3">
        <v>5.86</v>
      </c>
      <c r="BZ17" s="3">
        <v>6.53</v>
      </c>
      <c r="CA17" s="3">
        <v>6.84</v>
      </c>
      <c r="CB17" s="3">
        <v>-0.68</v>
      </c>
      <c r="CC17" s="3">
        <v>-8.09</v>
      </c>
      <c r="CD17" s="3" t="s">
        <v>964</v>
      </c>
      <c r="CE17" s="3" t="s">
        <v>389</v>
      </c>
      <c r="CF17" s="10">
        <v>4.7542441390460803</v>
      </c>
      <c r="CG17" s="11">
        <v>1.8009304790419163</v>
      </c>
      <c r="CH17" s="10">
        <v>-0.82711595296859741</v>
      </c>
      <c r="CI17" s="10">
        <v>6.1126053333282471E-2</v>
      </c>
      <c r="CJ17" s="10">
        <v>0.11794008314609528</v>
      </c>
      <c r="CK17" s="10">
        <v>0.18065609037876129</v>
      </c>
      <c r="CL17" s="10">
        <v>0.1495697945356369</v>
      </c>
      <c r="CM17" s="11">
        <v>-0.58635395765304565</v>
      </c>
      <c r="CN17" s="11">
        <v>1.0775862261652946E-2</v>
      </c>
      <c r="CO17" s="11">
        <v>1.6429353505373001E-2</v>
      </c>
      <c r="CP17" s="11">
        <v>0.12231095880270004</v>
      </c>
      <c r="CQ17" s="11">
        <v>9.8582126200199127E-2</v>
      </c>
      <c r="CR17" s="3">
        <v>10.26308832874391</v>
      </c>
      <c r="CS17" s="3">
        <v>1.6145870888152103</v>
      </c>
      <c r="CT17" s="3">
        <v>1.3933975240715268</v>
      </c>
      <c r="CU17" s="10">
        <v>-6.3564786314964289E-2</v>
      </c>
      <c r="CV17" s="11">
        <v>-6.765113137662411E-2</v>
      </c>
      <c r="CW17" s="3">
        <v>0.06</v>
      </c>
      <c r="CX17" s="3">
        <v>27.932577319587629</v>
      </c>
      <c r="CY17" s="3" t="s">
        <v>965</v>
      </c>
      <c r="CZ17" s="3">
        <v>-6.3564786314964289E-2</v>
      </c>
      <c r="DA17" s="3">
        <v>9.3108591065292092</v>
      </c>
      <c r="DB17" s="3" t="s">
        <v>966</v>
      </c>
      <c r="DC17" s="3">
        <v>-6.038654699921607E-2</v>
      </c>
      <c r="DD17" s="3">
        <v>4.6554295532646046</v>
      </c>
      <c r="DE17" s="3" t="s">
        <v>967</v>
      </c>
      <c r="DF17" s="3">
        <v>-5.5937011957168575E-2</v>
      </c>
      <c r="DG17" s="3">
        <v>2.793257731958763</v>
      </c>
      <c r="DH17" s="3" t="s">
        <v>968</v>
      </c>
      <c r="DI17" s="3">
        <v>-5.0851829051971435E-2</v>
      </c>
      <c r="DJ17" s="3">
        <v>1.3966288659793815</v>
      </c>
      <c r="DK17" s="3" t="s">
        <v>969</v>
      </c>
      <c r="DL17" s="3">
        <v>-4.4495350420474998E-2</v>
      </c>
      <c r="DM17" s="3">
        <v>776000000</v>
      </c>
      <c r="DN17" s="3">
        <v>-6.3564786314964289E-2</v>
      </c>
      <c r="DO17" s="3">
        <v>21675680000</v>
      </c>
      <c r="DP17" s="3">
        <v>13963117000</v>
      </c>
      <c r="DQ17" s="3">
        <v>3246</v>
      </c>
      <c r="DR17" s="3">
        <v>4.817808925361045</v>
      </c>
      <c r="DS17" s="3">
        <v>1.8685816104185404</v>
      </c>
      <c r="DT17" s="12">
        <v>-0.65666666666666662</v>
      </c>
      <c r="DU17" s="3">
        <v>-0.16666666666666666</v>
      </c>
      <c r="DV17" s="3">
        <v>-0.82333333333333325</v>
      </c>
      <c r="DW17" s="3">
        <v>-2.0809000000000002</v>
      </c>
      <c r="DX17" s="3">
        <v>0.3451250909090906</v>
      </c>
      <c r="DY17" s="3">
        <v>-2.0101226198545454</v>
      </c>
      <c r="DZ17" s="3">
        <v>3494</v>
      </c>
      <c r="EA17" s="3">
        <v>-2.0032012042436294</v>
      </c>
      <c r="EB17" s="3">
        <v>2</v>
      </c>
      <c r="EC17" s="3">
        <v>1.5488904241522007E-2</v>
      </c>
      <c r="ED17" s="3">
        <v>0.1237873565484592</v>
      </c>
      <c r="EE17" s="13">
        <v>-2.0163099999999998</v>
      </c>
      <c r="EF17" s="3">
        <v>-2.02311</v>
      </c>
      <c r="EG17" s="3">
        <v>22.125125090909091</v>
      </c>
      <c r="EH17" s="3" t="s">
        <v>833</v>
      </c>
      <c r="EI17" s="3">
        <v>0</v>
      </c>
      <c r="EJ17" s="3">
        <v>0</v>
      </c>
      <c r="EK17" s="15">
        <v>45470</v>
      </c>
      <c r="EL17" s="16">
        <v>-0.68</v>
      </c>
      <c r="EM17" s="16">
        <v>-3.4</v>
      </c>
      <c r="EN17" s="16">
        <v>1.41</v>
      </c>
      <c r="EO17" s="16">
        <v>1.39</v>
      </c>
      <c r="EP17" s="16">
        <v>-0.68</v>
      </c>
    </row>
    <row r="18" spans="1:146" ht="108" x14ac:dyDescent="0.25">
      <c r="C18" s="7" t="str">
        <f>""&amp;CHAR(10)&amp;Basic_Fundamental_Information_Constructure(F18)&amp;CHAR(10)&amp;Basic_Fundamental_Information_Concatenate("")</f>
        <v xml:space="preserve">
市值2198.333亿, 利润2421.22万; PE18.16; 平均PE23.38; 平均PEG1.23, PB1.36; ROIC5.4333%; ROE6%; 股利率2.611%; 毛利21.3533%; 净利6.0533%; 上一年度营收增-96.96%, 利润增-99.79%; 当季营收增2841.77%, 利润增2378.28%; 过往5年营收增-19.02%, 利润增-19.07%
Income profile:
</v>
      </c>
      <c r="D18" s="3" t="s">
        <v>224</v>
      </c>
      <c r="E18" s="3" t="s">
        <v>225</v>
      </c>
      <c r="F18" s="3">
        <v>7.66</v>
      </c>
      <c r="G18" s="3">
        <v>-0.39</v>
      </c>
      <c r="H18" s="3" t="s">
        <v>414</v>
      </c>
      <c r="I18" s="3">
        <v>219833300000</v>
      </c>
      <c r="J18" s="3">
        <v>18.16</v>
      </c>
      <c r="K18" s="3">
        <v>1.36</v>
      </c>
      <c r="L18" s="3" t="s">
        <v>370</v>
      </c>
      <c r="M18" s="3" t="s">
        <v>970</v>
      </c>
      <c r="N18" s="3" t="s">
        <v>971</v>
      </c>
      <c r="O18" s="3" t="s">
        <v>972</v>
      </c>
      <c r="P18" s="3">
        <v>-0.6</v>
      </c>
      <c r="Q18" s="3" t="s">
        <v>973</v>
      </c>
      <c r="R18" s="3">
        <v>1008287000</v>
      </c>
      <c r="S18" s="5">
        <v>0.63859999999999995</v>
      </c>
      <c r="T18" s="3" t="s">
        <v>974</v>
      </c>
      <c r="U18" s="3">
        <v>24327798000</v>
      </c>
      <c r="V18" s="3">
        <v>28698864000</v>
      </c>
      <c r="W18" s="3">
        <v>2.38</v>
      </c>
      <c r="X18" s="3">
        <v>7.0000000000000007E-2</v>
      </c>
      <c r="Y18" s="3">
        <v>4.72</v>
      </c>
      <c r="Z18" s="3" t="s">
        <v>975</v>
      </c>
      <c r="AA18" s="3" t="s">
        <v>976</v>
      </c>
      <c r="AB18" s="3" t="s">
        <v>977</v>
      </c>
      <c r="AC18" s="3" t="s">
        <v>454</v>
      </c>
      <c r="AD18" s="3" t="s">
        <v>47</v>
      </c>
      <c r="AE18" s="3">
        <v>-54071000</v>
      </c>
      <c r="AF18" s="3" t="s">
        <v>978</v>
      </c>
      <c r="AG18" s="3" t="s">
        <v>979</v>
      </c>
      <c r="AH18" s="3" t="s">
        <v>980</v>
      </c>
      <c r="AI18" s="3" t="s">
        <v>981</v>
      </c>
      <c r="AJ18" s="3" t="s">
        <v>982</v>
      </c>
      <c r="AK18" s="3" t="s">
        <v>983</v>
      </c>
      <c r="AL18" s="3" t="s">
        <v>984</v>
      </c>
      <c r="AM18" s="3" t="s">
        <v>47</v>
      </c>
      <c r="AN18" s="3" t="s">
        <v>985</v>
      </c>
      <c r="AO18" s="3" t="s">
        <v>986</v>
      </c>
      <c r="AP18" s="3" t="s">
        <v>987</v>
      </c>
      <c r="AQ18" s="3" t="s">
        <v>988</v>
      </c>
      <c r="AR18" s="3" t="s">
        <v>989</v>
      </c>
      <c r="AS18" s="3" t="s">
        <v>990</v>
      </c>
      <c r="AT18" s="3" t="s">
        <v>991</v>
      </c>
      <c r="AU18" s="3" t="s">
        <v>992</v>
      </c>
      <c r="AV18" s="3" t="s">
        <v>993</v>
      </c>
      <c r="AW18" s="3" t="s">
        <v>994</v>
      </c>
      <c r="AX18" s="3" t="s">
        <v>995</v>
      </c>
      <c r="AY18" s="3" t="s">
        <v>328</v>
      </c>
      <c r="AZ18" s="3" t="s">
        <v>226</v>
      </c>
      <c r="BA18" s="3" t="s">
        <v>228</v>
      </c>
      <c r="BB18" s="3" t="s">
        <v>229</v>
      </c>
      <c r="BC18" s="3" t="s">
        <v>996</v>
      </c>
      <c r="BD18" s="3" t="s">
        <v>329</v>
      </c>
      <c r="BE18" s="3" t="s">
        <v>227</v>
      </c>
      <c r="BF18" s="3" t="s">
        <v>230</v>
      </c>
      <c r="BG18" s="3" t="s">
        <v>231</v>
      </c>
      <c r="BH18" s="3" t="s">
        <v>997</v>
      </c>
      <c r="BI18" s="3" t="s">
        <v>998</v>
      </c>
      <c r="BJ18" s="3" t="s">
        <v>995</v>
      </c>
      <c r="BK18" s="3" t="s">
        <v>999</v>
      </c>
      <c r="BL18" s="3" t="s">
        <v>1000</v>
      </c>
      <c r="BM18" s="3" t="s">
        <v>996</v>
      </c>
      <c r="BN18" s="3">
        <v>3.62</v>
      </c>
      <c r="BO18" s="3">
        <v>6.58</v>
      </c>
      <c r="BP18" s="3">
        <v>6.1</v>
      </c>
      <c r="BQ18" s="3">
        <v>3.94</v>
      </c>
      <c r="BR18" s="3">
        <v>7.35</v>
      </c>
      <c r="BS18" s="3">
        <v>6.71</v>
      </c>
      <c r="BT18" s="3" t="s">
        <v>538</v>
      </c>
      <c r="BU18" s="3" t="s">
        <v>370</v>
      </c>
      <c r="BV18" s="3">
        <v>22.27</v>
      </c>
      <c r="BW18" s="3">
        <v>21.22</v>
      </c>
      <c r="BX18" s="3">
        <v>20.57</v>
      </c>
      <c r="BY18" s="3">
        <v>6.22</v>
      </c>
      <c r="BZ18" s="3">
        <v>6.44</v>
      </c>
      <c r="CA18" s="3">
        <v>5.5</v>
      </c>
      <c r="CB18" s="3">
        <v>2</v>
      </c>
      <c r="CC18" s="3">
        <v>11.82</v>
      </c>
      <c r="CD18" s="3" t="s">
        <v>382</v>
      </c>
      <c r="CE18" s="3" t="s">
        <v>1001</v>
      </c>
      <c r="CF18" s="10">
        <v>28.417733089579524</v>
      </c>
      <c r="CG18" s="11">
        <v>23.782830976603112</v>
      </c>
      <c r="CH18" s="10">
        <v>-0.96964192390441895</v>
      </c>
      <c r="CI18" s="10">
        <v>-1.2373065575957298E-2</v>
      </c>
      <c r="CJ18" s="10">
        <v>-8.451373316347599E-3</v>
      </c>
      <c r="CK18" s="10">
        <v>-5.9167006984353065E-3</v>
      </c>
      <c r="CL18" s="10">
        <v>4.5316155999898911E-2</v>
      </c>
      <c r="CM18" s="11">
        <v>-0.99792218208312988</v>
      </c>
      <c r="CN18" s="11">
        <v>0.13102985918521881</v>
      </c>
      <c r="CO18" s="11">
        <v>-9.0724624693393707E-2</v>
      </c>
      <c r="CP18" s="11">
        <v>-3.9338700473308563E-2</v>
      </c>
      <c r="CQ18" s="11">
        <v>4.3343689292669296E-2</v>
      </c>
      <c r="CR18" s="3">
        <v>23.381873009990024</v>
      </c>
      <c r="CS18" s="3">
        <v>1.2292443794290335</v>
      </c>
      <c r="CT18" s="3">
        <v>2.6109660574412534</v>
      </c>
      <c r="CU18" s="10">
        <v>-0.19021338149905204</v>
      </c>
      <c r="CV18" s="11">
        <v>-0.19072239175438882</v>
      </c>
      <c r="CW18" s="3">
        <v>0.06</v>
      </c>
      <c r="CX18" s="3">
        <v>12270.561948108805</v>
      </c>
      <c r="CY18" s="3" t="s">
        <v>1002</v>
      </c>
      <c r="CZ18" s="3">
        <v>-0.19021338149905204</v>
      </c>
      <c r="DA18" s="3">
        <v>4090.1873160362684</v>
      </c>
      <c r="DB18" s="3" t="s">
        <v>1003</v>
      </c>
      <c r="DC18" s="3">
        <v>-0.18070271242409944</v>
      </c>
      <c r="DD18" s="3">
        <v>2045.0936580181342</v>
      </c>
      <c r="DE18" s="3" t="s">
        <v>1004</v>
      </c>
      <c r="DF18" s="3">
        <v>-0.1673877757191658</v>
      </c>
      <c r="DG18" s="3">
        <v>1227.0561948108805</v>
      </c>
      <c r="DH18" s="3" t="s">
        <v>1005</v>
      </c>
      <c r="DI18" s="3">
        <v>-0.15217070519924164</v>
      </c>
      <c r="DJ18" s="3">
        <v>613.52809740544023</v>
      </c>
      <c r="DK18" s="3" t="s">
        <v>1006</v>
      </c>
      <c r="DL18" s="3">
        <v>-0.13314936704933641</v>
      </c>
      <c r="DM18" s="3">
        <v>24212199.999999996</v>
      </c>
      <c r="DN18" s="3">
        <v>-0.19021338149905204</v>
      </c>
      <c r="DO18" s="3">
        <v>297097300000</v>
      </c>
      <c r="DP18" s="3">
        <v>64842650000</v>
      </c>
      <c r="DQ18" s="3">
        <v>3777</v>
      </c>
      <c r="DR18" s="3">
        <v>28.607946471078577</v>
      </c>
      <c r="DS18" s="3">
        <v>23.9735533683575</v>
      </c>
      <c r="DT18" s="12">
        <v>-0.77333333333333332</v>
      </c>
      <c r="DU18" s="3">
        <v>-0.55333333333333334</v>
      </c>
      <c r="DV18" s="3">
        <v>-1.3266666666666667</v>
      </c>
      <c r="DW18" s="3">
        <v>2.1181999999999999</v>
      </c>
      <c r="DX18" s="3">
        <v>0.46641975897820376</v>
      </c>
      <c r="DY18" s="3">
        <v>2.022034815511224</v>
      </c>
      <c r="DZ18" s="3">
        <v>2459</v>
      </c>
      <c r="EA18" s="3">
        <v>2.011431369064629</v>
      </c>
      <c r="EB18" s="3">
        <v>2</v>
      </c>
      <c r="EC18" s="3">
        <v>2.6307661515800766E-2</v>
      </c>
      <c r="ED18" s="3">
        <v>0.14112056839601736</v>
      </c>
      <c r="EE18" s="13">
        <v>0.12890000000000001</v>
      </c>
      <c r="EF18" s="3">
        <v>1.0011000000000001</v>
      </c>
      <c r="EG18" s="3">
        <v>28.186419758978204</v>
      </c>
      <c r="EH18" s="3" t="s">
        <v>359</v>
      </c>
      <c r="EI18" s="3">
        <v>1</v>
      </c>
      <c r="EJ18" s="3">
        <v>0</v>
      </c>
      <c r="EK18" s="15">
        <v>45470</v>
      </c>
      <c r="EL18" s="16">
        <v>1.04</v>
      </c>
      <c r="EM18" s="16">
        <v>0</v>
      </c>
      <c r="EN18" s="16">
        <v>0.34</v>
      </c>
      <c r="EO18" s="16">
        <v>0.17</v>
      </c>
      <c r="EP18" s="16">
        <v>2.2200000000000002</v>
      </c>
    </row>
    <row r="19" spans="1:146" ht="96" x14ac:dyDescent="0.25">
      <c r="C19" s="7" t="str">
        <f>""&amp;CHAR(10)&amp;Basic_Fundamental_Information_Constructure(F19)&amp;CHAR(10)&amp;Basic_Fundamental_Information_Concatenate("")</f>
        <v xml:space="preserve">
市值51.880555亿, 利润3.89亿; PE14.41; 平均PE-29.73; 平均PEG-36.26, PB1.36; ROIC7.46%; ROE8.19%; 股利率3.5273%; 毛利34.1267%; 净利10.0167%; 上一年度营收增-.94%, 利润增45.15%; 当季营收增-4.73%, 利润增-41.76%; 过往5年营收增-.82%, 利润增18.11%
Income profile:
</v>
      </c>
      <c r="D19" s="3" t="s">
        <v>232</v>
      </c>
      <c r="E19" s="3" t="s">
        <v>233</v>
      </c>
      <c r="F19" s="3">
        <v>5.67</v>
      </c>
      <c r="G19" s="3">
        <v>-0.35</v>
      </c>
      <c r="H19" s="3" t="s">
        <v>1007</v>
      </c>
      <c r="I19" s="3">
        <v>5188055500</v>
      </c>
      <c r="J19" s="3">
        <v>14.41</v>
      </c>
      <c r="K19" s="3">
        <v>1.36</v>
      </c>
      <c r="L19" s="3" t="s">
        <v>370</v>
      </c>
      <c r="M19" s="3" t="s">
        <v>1008</v>
      </c>
      <c r="N19" s="3" t="s">
        <v>1009</v>
      </c>
      <c r="O19" s="3" t="s">
        <v>1010</v>
      </c>
      <c r="P19" s="3">
        <v>19.420000000000002</v>
      </c>
      <c r="Q19" s="3" t="s">
        <v>1011</v>
      </c>
      <c r="R19" s="3">
        <v>44598573</v>
      </c>
      <c r="S19" s="5">
        <v>0.34050000000000002</v>
      </c>
      <c r="T19" s="3" t="s">
        <v>194</v>
      </c>
      <c r="U19" s="3">
        <v>837171570</v>
      </c>
      <c r="V19" s="3">
        <v>915000980</v>
      </c>
      <c r="W19" s="3">
        <v>1.53</v>
      </c>
      <c r="X19" s="3">
        <v>0.12</v>
      </c>
      <c r="Y19" s="3">
        <v>6.41</v>
      </c>
      <c r="Z19" s="3" t="s">
        <v>394</v>
      </c>
      <c r="AA19" s="3" t="s">
        <v>332</v>
      </c>
      <c r="AB19" s="3" t="s">
        <v>1012</v>
      </c>
      <c r="AC19" s="3" t="s">
        <v>1013</v>
      </c>
      <c r="AD19" s="3" t="s">
        <v>47</v>
      </c>
      <c r="AE19" s="3">
        <v>-1855880</v>
      </c>
      <c r="AF19" s="3" t="s">
        <v>1014</v>
      </c>
      <c r="AG19" s="3" t="s">
        <v>1015</v>
      </c>
      <c r="AH19" s="3" t="s">
        <v>1016</v>
      </c>
      <c r="AI19" s="3" t="s">
        <v>1017</v>
      </c>
      <c r="AJ19" s="3" t="s">
        <v>1018</v>
      </c>
      <c r="AK19" s="3" t="s">
        <v>75</v>
      </c>
      <c r="AL19" s="3" t="s">
        <v>1019</v>
      </c>
      <c r="AM19" s="3" t="s">
        <v>47</v>
      </c>
      <c r="AN19" s="3" t="s">
        <v>1020</v>
      </c>
      <c r="AO19" s="3" t="s">
        <v>404</v>
      </c>
      <c r="AP19" s="3" t="s">
        <v>416</v>
      </c>
      <c r="AQ19" s="3" t="s">
        <v>1021</v>
      </c>
      <c r="AR19" s="3" t="s">
        <v>47</v>
      </c>
      <c r="AS19" s="3" t="s">
        <v>1022</v>
      </c>
      <c r="AT19" s="3" t="s">
        <v>47</v>
      </c>
      <c r="AU19" s="3" t="s">
        <v>1023</v>
      </c>
      <c r="AV19" s="3" t="s">
        <v>125</v>
      </c>
      <c r="AW19" s="3" t="s">
        <v>1024</v>
      </c>
      <c r="AX19" s="3" t="s">
        <v>1025</v>
      </c>
      <c r="AY19" s="3" t="s">
        <v>330</v>
      </c>
      <c r="AZ19" s="3" t="s">
        <v>234</v>
      </c>
      <c r="BA19" s="3" t="s">
        <v>130</v>
      </c>
      <c r="BB19" s="3" t="s">
        <v>236</v>
      </c>
      <c r="BC19" s="3" t="s">
        <v>360</v>
      </c>
      <c r="BD19" s="3" t="s">
        <v>331</v>
      </c>
      <c r="BE19" s="3" t="s">
        <v>235</v>
      </c>
      <c r="BF19" s="3" t="s">
        <v>109</v>
      </c>
      <c r="BG19" s="3" t="s">
        <v>237</v>
      </c>
      <c r="BH19" s="3" t="s">
        <v>1026</v>
      </c>
      <c r="BI19" s="3" t="s">
        <v>1027</v>
      </c>
      <c r="BJ19" s="3" t="s">
        <v>1025</v>
      </c>
      <c r="BK19" s="3" t="s">
        <v>53</v>
      </c>
      <c r="BL19" s="3" t="s">
        <v>1028</v>
      </c>
      <c r="BM19" s="3" t="s">
        <v>360</v>
      </c>
      <c r="BN19" s="3">
        <v>4.59</v>
      </c>
      <c r="BO19" s="3">
        <v>7.26</v>
      </c>
      <c r="BP19" s="3">
        <v>10.53</v>
      </c>
      <c r="BQ19" s="3">
        <v>5.09</v>
      </c>
      <c r="BR19" s="3">
        <v>7.73</v>
      </c>
      <c r="BS19" s="3">
        <v>11.75</v>
      </c>
      <c r="BT19" s="3" t="s">
        <v>538</v>
      </c>
      <c r="BU19" s="3" t="s">
        <v>370</v>
      </c>
      <c r="BV19" s="3">
        <v>34.590000000000003</v>
      </c>
      <c r="BW19" s="3">
        <v>31.97</v>
      </c>
      <c r="BX19" s="3">
        <v>35.82</v>
      </c>
      <c r="BY19" s="3">
        <v>10.43</v>
      </c>
      <c r="BZ19" s="3">
        <v>8.82</v>
      </c>
      <c r="CA19" s="3">
        <v>10.8</v>
      </c>
      <c r="CB19" s="3">
        <v>-2.58</v>
      </c>
      <c r="CC19" s="3">
        <v>-13.57</v>
      </c>
      <c r="CD19" s="3" t="s">
        <v>1029</v>
      </c>
      <c r="CE19" s="3" t="s">
        <v>1030</v>
      </c>
      <c r="CF19" s="10">
        <v>-4.7306176084099871E-2</v>
      </c>
      <c r="CG19" s="11">
        <v>-0.41756714190007171</v>
      </c>
      <c r="CH19" s="10">
        <v>-9.408213198184967E-3</v>
      </c>
      <c r="CI19" s="10">
        <v>-6.5248191356658936E-2</v>
      </c>
      <c r="CJ19" s="10">
        <v>5.9831570833921432E-2</v>
      </c>
      <c r="CK19" s="10">
        <v>-2.1188860759139061E-2</v>
      </c>
      <c r="CL19" s="10">
        <v>-4.9780942499637604E-3</v>
      </c>
      <c r="CM19" s="11">
        <v>0.4514925479888916</v>
      </c>
      <c r="CN19" s="11">
        <v>-0.27567568421363831</v>
      </c>
      <c r="CO19" s="11">
        <v>-0.1334894597530365</v>
      </c>
      <c r="CP19" s="11">
        <v>-0.3430769145488739</v>
      </c>
      <c r="CQ19" s="11">
        <v>1.2062836885452271</v>
      </c>
      <c r="CR19" s="3">
        <v>-29.730977077363896</v>
      </c>
      <c r="CS19" s="3">
        <v>-36.264551997442872</v>
      </c>
      <c r="CT19" s="3">
        <v>3.5273368606701943</v>
      </c>
      <c r="CU19" s="10">
        <v>-8.1983577460050579E-3</v>
      </c>
      <c r="CV19" s="11">
        <v>0.18110683560371399</v>
      </c>
      <c r="CW19" s="3">
        <v>0.06</v>
      </c>
      <c r="CX19" s="3">
        <v>9.0129961439588691</v>
      </c>
      <c r="CY19" s="3" t="s">
        <v>1031</v>
      </c>
      <c r="CZ19" s="3">
        <v>-8.1983577460050579E-3</v>
      </c>
      <c r="DA19" s="3">
        <v>3.0043320479862898</v>
      </c>
      <c r="DB19" s="3" t="s">
        <v>1032</v>
      </c>
      <c r="DC19" s="3">
        <v>-7.7884398587048046E-3</v>
      </c>
      <c r="DD19" s="3">
        <v>1.5021660239931449</v>
      </c>
      <c r="DE19" s="3" t="s">
        <v>1033</v>
      </c>
      <c r="DF19" s="3">
        <v>-7.214554816484451E-3</v>
      </c>
      <c r="DG19" s="3">
        <v>0.90129961439588691</v>
      </c>
      <c r="DH19" s="3" t="s">
        <v>1034</v>
      </c>
      <c r="DI19" s="3">
        <v>-6.5586861968040464E-3</v>
      </c>
      <c r="DJ19" s="3">
        <v>0.45064980719794345</v>
      </c>
      <c r="DK19" s="3" t="s">
        <v>1035</v>
      </c>
      <c r="DL19" s="3">
        <v>-5.7388504222035406E-3</v>
      </c>
      <c r="DM19" s="3">
        <v>389000000</v>
      </c>
      <c r="DN19" s="3">
        <v>-8.1983577460050579E-3</v>
      </c>
      <c r="DO19" s="3">
        <v>3506055500</v>
      </c>
      <c r="DP19" s="3">
        <v>3521872400</v>
      </c>
      <c r="DQ19" s="3">
        <v>3939</v>
      </c>
      <c r="DR19" s="3">
        <v>-3.9107818338094812E-2</v>
      </c>
      <c r="DS19" s="3">
        <v>-0.5986739775037857</v>
      </c>
      <c r="DT19" s="12">
        <v>-0.44</v>
      </c>
      <c r="DU19" s="3">
        <v>-0.12000000000000001</v>
      </c>
      <c r="DV19" s="3">
        <v>-0.56000000000000005</v>
      </c>
      <c r="DW19" s="3">
        <v>-8.1901252763448777</v>
      </c>
      <c r="DX19" s="3">
        <v>0.30497227272727101</v>
      </c>
      <c r="DY19" s="3">
        <v>-8.0123528713070282</v>
      </c>
      <c r="DZ19" s="3">
        <v>2736</v>
      </c>
      <c r="EA19" s="3">
        <v>-8.0057388877657303</v>
      </c>
      <c r="EB19" s="3">
        <v>8</v>
      </c>
      <c r="EC19" s="3">
        <v>3.1243463804814728E-2</v>
      </c>
      <c r="ED19" s="3">
        <v>0.48087380190565487</v>
      </c>
      <c r="EE19" s="13">
        <v>-5.0098099999999999</v>
      </c>
      <c r="EF19" s="3">
        <v>-5.0340100000000003</v>
      </c>
      <c r="EG19" s="3">
        <v>24.064972272727271</v>
      </c>
      <c r="EH19" s="3" t="s">
        <v>778</v>
      </c>
      <c r="EI19" s="3">
        <v>0</v>
      </c>
      <c r="EJ19" s="3">
        <v>0</v>
      </c>
      <c r="EK19" s="15">
        <v>45470</v>
      </c>
      <c r="EL19" s="16">
        <v>-1.61</v>
      </c>
      <c r="EM19" s="16">
        <v>-5.01</v>
      </c>
      <c r="EN19" s="16">
        <v>-0.45</v>
      </c>
      <c r="EO19" s="16">
        <v>5.66</v>
      </c>
      <c r="EP19" s="16">
        <v>-2.42</v>
      </c>
    </row>
    <row r="20" spans="1:146" ht="120" x14ac:dyDescent="0.25">
      <c r="A20" s="9"/>
      <c r="B20" s="9"/>
      <c r="C20" s="9" t="s">
        <v>303</v>
      </c>
      <c r="D20" s="3" t="s">
        <v>239</v>
      </c>
      <c r="E20" s="3" t="s">
        <v>240</v>
      </c>
      <c r="F20" s="3">
        <v>6.66</v>
      </c>
      <c r="G20" s="3">
        <v>1.22</v>
      </c>
      <c r="H20" s="3" t="s">
        <v>1036</v>
      </c>
      <c r="I20" s="3">
        <v>2289356900</v>
      </c>
      <c r="J20" s="3">
        <v>33.020000000000003</v>
      </c>
      <c r="K20" s="3">
        <v>2.34</v>
      </c>
      <c r="L20" s="3" t="s">
        <v>370</v>
      </c>
      <c r="M20" s="3" t="s">
        <v>1037</v>
      </c>
      <c r="N20" s="3" t="s">
        <v>1038</v>
      </c>
      <c r="O20" s="3" t="s">
        <v>424</v>
      </c>
      <c r="P20" s="3">
        <v>3.07</v>
      </c>
      <c r="Q20" s="3" t="s">
        <v>1039</v>
      </c>
      <c r="R20" s="3">
        <v>18379812</v>
      </c>
      <c r="S20" s="5">
        <v>0.14230000000000001</v>
      </c>
      <c r="T20" s="3" t="s">
        <v>1040</v>
      </c>
      <c r="U20" s="3">
        <v>340413800</v>
      </c>
      <c r="V20" s="3">
        <v>343747290</v>
      </c>
      <c r="W20" s="3">
        <v>1.22</v>
      </c>
      <c r="X20" s="3">
        <v>0.13</v>
      </c>
      <c r="Y20" s="3">
        <v>13.1</v>
      </c>
      <c r="Z20" s="3" t="s">
        <v>533</v>
      </c>
      <c r="AA20" s="3" t="s">
        <v>77</v>
      </c>
      <c r="AB20" s="3" t="s">
        <v>1041</v>
      </c>
      <c r="AC20" s="3" t="s">
        <v>1042</v>
      </c>
      <c r="AD20" s="3" t="s">
        <v>47</v>
      </c>
      <c r="AE20" s="3">
        <v>472208</v>
      </c>
      <c r="AF20" s="3" t="s">
        <v>1043</v>
      </c>
      <c r="AG20" s="3" t="s">
        <v>1044</v>
      </c>
      <c r="AH20" s="3" t="s">
        <v>1045</v>
      </c>
      <c r="AI20" s="3" t="s">
        <v>1046</v>
      </c>
      <c r="AJ20" s="3" t="s">
        <v>1047</v>
      </c>
      <c r="AK20" s="3" t="s">
        <v>1048</v>
      </c>
      <c r="AL20" s="3" t="s">
        <v>1049</v>
      </c>
      <c r="AM20" s="3" t="s">
        <v>47</v>
      </c>
      <c r="AN20" s="3" t="s">
        <v>1050</v>
      </c>
      <c r="AO20" s="3" t="s">
        <v>1051</v>
      </c>
      <c r="AP20" s="3" t="s">
        <v>1052</v>
      </c>
      <c r="AQ20" s="3" t="s">
        <v>1053</v>
      </c>
      <c r="AR20" s="3" t="s">
        <v>47</v>
      </c>
      <c r="AS20" s="3" t="s">
        <v>1054</v>
      </c>
      <c r="AT20" s="3" t="s">
        <v>1055</v>
      </c>
      <c r="AU20" s="3" t="s">
        <v>1056</v>
      </c>
      <c r="AV20" s="3" t="s">
        <v>1057</v>
      </c>
      <c r="AW20" s="3" t="s">
        <v>1058</v>
      </c>
      <c r="AX20" s="3" t="s">
        <v>1059</v>
      </c>
      <c r="AY20" s="3" t="s">
        <v>332</v>
      </c>
      <c r="AZ20" s="3" t="s">
        <v>70</v>
      </c>
      <c r="BA20" s="3" t="s">
        <v>84</v>
      </c>
      <c r="BB20" s="3" t="s">
        <v>115</v>
      </c>
      <c r="BC20" s="3" t="s">
        <v>1060</v>
      </c>
      <c r="BD20" s="3" t="s">
        <v>333</v>
      </c>
      <c r="BE20" s="3" t="s">
        <v>241</v>
      </c>
      <c r="BF20" s="3" t="s">
        <v>242</v>
      </c>
      <c r="BG20" s="3" t="s">
        <v>243</v>
      </c>
      <c r="BH20" s="3" t="s">
        <v>1061</v>
      </c>
      <c r="BI20" s="3" t="s">
        <v>1062</v>
      </c>
      <c r="BJ20" s="3" t="s">
        <v>1059</v>
      </c>
      <c r="BK20" s="3" t="s">
        <v>1063</v>
      </c>
      <c r="BL20" s="3" t="s">
        <v>1064</v>
      </c>
      <c r="BM20" s="3" t="s">
        <v>1060</v>
      </c>
      <c r="BN20" s="3">
        <v>5.85</v>
      </c>
      <c r="BO20" s="3">
        <v>7.62</v>
      </c>
      <c r="BP20" s="3">
        <v>6.71</v>
      </c>
      <c r="BQ20" s="3">
        <v>5.82</v>
      </c>
      <c r="BR20" s="3">
        <v>7.47</v>
      </c>
      <c r="BS20" s="3">
        <v>7.35</v>
      </c>
      <c r="BT20" s="3" t="s">
        <v>1065</v>
      </c>
      <c r="BU20" s="3" t="s">
        <v>370</v>
      </c>
      <c r="BV20" s="3">
        <v>28.39</v>
      </c>
      <c r="BW20" s="3">
        <v>25.7</v>
      </c>
      <c r="BX20" s="3">
        <v>26.99</v>
      </c>
      <c r="BY20" s="3">
        <v>11.91</v>
      </c>
      <c r="BZ20" s="3">
        <v>12.13</v>
      </c>
      <c r="CA20" s="3">
        <v>13.33</v>
      </c>
      <c r="CB20" s="3">
        <v>-2.06</v>
      </c>
      <c r="CC20" s="3">
        <v>-8.39</v>
      </c>
      <c r="CD20" s="3" t="s">
        <v>1066</v>
      </c>
      <c r="CE20" s="3" t="s">
        <v>725</v>
      </c>
      <c r="CF20" s="10">
        <v>-0.96401384083044983</v>
      </c>
      <c r="CG20" s="11">
        <v>-0.90763913567839194</v>
      </c>
      <c r="CH20" s="10">
        <v>33.630970001220703</v>
      </c>
      <c r="CI20" s="10">
        <v>0.24385246634483337</v>
      </c>
      <c r="CJ20" s="10">
        <v>0.78754580020904541</v>
      </c>
      <c r="CK20" s="10">
        <v>-0.1875</v>
      </c>
      <c r="CL20" s="10">
        <v>-1.1764706112444401E-2</v>
      </c>
      <c r="CM20" s="11">
        <v>7.3591799736022949</v>
      </c>
      <c r="CN20" s="11">
        <v>6.0026582330465317E-2</v>
      </c>
      <c r="CO20" s="11">
        <v>0.10949184000492096</v>
      </c>
      <c r="CP20" s="11">
        <v>-0.36222273111343384</v>
      </c>
      <c r="CQ20" s="11">
        <v>7.6483383774757385E-2</v>
      </c>
      <c r="CR20" s="3">
        <v>15.047278487356571</v>
      </c>
      <c r="CS20" s="3">
        <v>2.183099740340224E-2</v>
      </c>
      <c r="CT20" s="3">
        <v>1.9519519519519519</v>
      </c>
      <c r="CU20" s="10">
        <v>6.8926207123324277</v>
      </c>
      <c r="CV20" s="11">
        <v>1.4485918097198009</v>
      </c>
      <c r="CW20" s="3">
        <v>0.06</v>
      </c>
      <c r="CX20" s="3">
        <v>0.36193044180817763</v>
      </c>
      <c r="CY20" s="3">
        <v>4139902939.6762543</v>
      </c>
      <c r="CZ20" s="3">
        <v>6.8926207123324277</v>
      </c>
      <c r="DA20" s="3">
        <v>6.4335035611910304E-3</v>
      </c>
      <c r="DB20" s="3">
        <v>232899055040.33173</v>
      </c>
      <c r="DC20" s="3">
        <v>6.5479896767158063</v>
      </c>
      <c r="DD20" s="3">
        <v>2.6117238873572043E-5</v>
      </c>
      <c r="DE20" s="3">
        <v>57370417571827.734</v>
      </c>
      <c r="DF20" s="3">
        <v>6.0655062268525368</v>
      </c>
      <c r="DG20" s="3">
        <v>2.9371480875120123E-8</v>
      </c>
      <c r="DH20" s="3">
        <v>5.10140059457888E+16</v>
      </c>
      <c r="DI20" s="3">
        <v>5.5140965698659423</v>
      </c>
      <c r="DJ20" s="3">
        <v>3.4974395055058902E-15</v>
      </c>
      <c r="DK20" s="3">
        <v>4.2841538721147052E+23</v>
      </c>
      <c r="DL20" s="3">
        <v>4.8248344986326988</v>
      </c>
      <c r="DM20" s="3">
        <v>556000000</v>
      </c>
      <c r="DN20" s="3">
        <v>6.8926207123324277</v>
      </c>
      <c r="DO20" s="3">
        <v>1498356900</v>
      </c>
      <c r="DP20" s="3">
        <v>642420030</v>
      </c>
      <c r="DQ20" s="3">
        <v>4158</v>
      </c>
      <c r="DR20" s="3">
        <v>-7.8566345531628778</v>
      </c>
      <c r="DS20" s="3">
        <v>-2.3562309453981927</v>
      </c>
      <c r="DT20" s="12">
        <v>0.16</v>
      </c>
      <c r="DU20" s="3">
        <v>-0.25666666666666665</v>
      </c>
      <c r="DV20" s="3">
        <v>-9.6666666666666651E-2</v>
      </c>
      <c r="DW20" s="3">
        <v>-2.0838999999999999</v>
      </c>
      <c r="DX20" s="3">
        <v>0.23390193548387103</v>
      </c>
      <c r="DY20" s="3">
        <v>-2.0062003723870969</v>
      </c>
      <c r="DZ20" s="3">
        <v>176</v>
      </c>
      <c r="EA20" s="3">
        <v>-2.005986817486876</v>
      </c>
      <c r="EB20" s="3">
        <v>2</v>
      </c>
      <c r="EC20" s="3">
        <v>3.3323317254370211E-2</v>
      </c>
      <c r="ED20" s="3">
        <v>0.45091264574042167</v>
      </c>
      <c r="EE20" s="13">
        <v>-2.1342099999999999</v>
      </c>
      <c r="EF20" s="3">
        <v>-2.1449099999999999</v>
      </c>
      <c r="EG20" s="3">
        <v>16.073901935483871</v>
      </c>
      <c r="EH20" s="3" t="s">
        <v>833</v>
      </c>
      <c r="EI20" s="3">
        <v>0</v>
      </c>
      <c r="EJ20" s="3">
        <v>1</v>
      </c>
      <c r="EK20" s="15">
        <v>45470</v>
      </c>
      <c r="EL20" s="16">
        <v>0.68</v>
      </c>
      <c r="EM20" s="16">
        <v>-0.71</v>
      </c>
      <c r="EN20" s="16">
        <v>-3.16</v>
      </c>
      <c r="EO20" s="16">
        <v>0.25</v>
      </c>
      <c r="EP20" s="16">
        <v>-1.07</v>
      </c>
    </row>
    <row r="21" spans="1:146" ht="96" x14ac:dyDescent="0.25">
      <c r="A21" s="9"/>
      <c r="B21" s="9"/>
      <c r="C21" s="7" t="str">
        <f>""&amp;CHAR(10)&amp;Basic_Fundamental_Information_Constructure(F21)&amp;CHAR(10)&amp;Basic_Fundamental_Information_Concatenate("")</f>
        <v xml:space="preserve">
市值50.158001亿, 利润8272.36万; PE17.08; 平均PE15.93; 平均PEG1.23, PB.979; ROIC3.8767%; ROE5.2933%; 股利率1.875%; 毛利26.1633%; 净利6.8433%; 上一年度营收增54.41%, 利润增-58.22%; 当季营收增-24.51%, 利润增381.31%; 过往5年营收增13%, 利润增-24.53%
Income profile:
</v>
      </c>
      <c r="D21" s="3" t="s">
        <v>244</v>
      </c>
      <c r="E21" s="3" t="s">
        <v>245</v>
      </c>
      <c r="F21" s="3">
        <v>6.4</v>
      </c>
      <c r="G21" s="3">
        <v>0.31</v>
      </c>
      <c r="H21" s="3" t="s">
        <v>1067</v>
      </c>
      <c r="I21" s="3">
        <v>5015800100</v>
      </c>
      <c r="J21" s="3">
        <v>17.079999999999998</v>
      </c>
      <c r="K21" s="3">
        <v>0.97899999999999998</v>
      </c>
      <c r="L21" s="3" t="s">
        <v>370</v>
      </c>
      <c r="M21" s="3" t="s">
        <v>1068</v>
      </c>
      <c r="N21" s="3" t="s">
        <v>1069</v>
      </c>
      <c r="O21" s="3" t="s">
        <v>1070</v>
      </c>
      <c r="P21" s="3">
        <v>13.3</v>
      </c>
      <c r="Q21" s="3" t="s">
        <v>1071</v>
      </c>
      <c r="R21" s="3">
        <v>43388264</v>
      </c>
      <c r="S21" s="5">
        <v>0.59860000000000002</v>
      </c>
      <c r="T21" s="3" t="s">
        <v>1072</v>
      </c>
      <c r="U21" s="3">
        <v>783718770</v>
      </c>
      <c r="V21" s="3">
        <v>783718770</v>
      </c>
      <c r="W21" s="3">
        <v>1.77</v>
      </c>
      <c r="X21" s="3">
        <v>0.1</v>
      </c>
      <c r="Y21" s="3">
        <v>4.6500000000000004</v>
      </c>
      <c r="Z21" s="3" t="s">
        <v>426</v>
      </c>
      <c r="AA21" s="3" t="s">
        <v>1073</v>
      </c>
      <c r="AB21" s="3" t="s">
        <v>1074</v>
      </c>
      <c r="AC21" s="3" t="s">
        <v>1075</v>
      </c>
      <c r="AD21" s="3" t="s">
        <v>47</v>
      </c>
      <c r="AE21" s="3">
        <v>17738822</v>
      </c>
      <c r="AF21" s="3" t="s">
        <v>1076</v>
      </c>
      <c r="AG21" s="3" t="s">
        <v>1077</v>
      </c>
      <c r="AH21" s="3" t="s">
        <v>1078</v>
      </c>
      <c r="AI21" s="3" t="s">
        <v>406</v>
      </c>
      <c r="AJ21" s="3" t="s">
        <v>1079</v>
      </c>
      <c r="AK21" s="3" t="s">
        <v>358</v>
      </c>
      <c r="AL21" s="3" t="s">
        <v>1080</v>
      </c>
      <c r="AM21" s="3" t="s">
        <v>47</v>
      </c>
      <c r="AN21" s="3" t="s">
        <v>1081</v>
      </c>
      <c r="AO21" s="3" t="s">
        <v>1082</v>
      </c>
      <c r="AP21" s="3" t="s">
        <v>1083</v>
      </c>
      <c r="AQ21" s="3" t="s">
        <v>1084</v>
      </c>
      <c r="AR21" s="3" t="s">
        <v>1085</v>
      </c>
      <c r="AS21" s="3" t="s">
        <v>1086</v>
      </c>
      <c r="AT21" s="3" t="s">
        <v>1087</v>
      </c>
      <c r="AU21" s="3" t="s">
        <v>63</v>
      </c>
      <c r="AV21" s="3" t="s">
        <v>1088</v>
      </c>
      <c r="AW21" s="3" t="s">
        <v>1089</v>
      </c>
      <c r="AX21" s="3" t="s">
        <v>1090</v>
      </c>
      <c r="AY21" s="3" t="s">
        <v>334</v>
      </c>
      <c r="AZ21" s="3" t="s">
        <v>246</v>
      </c>
      <c r="BA21" s="3" t="s">
        <v>247</v>
      </c>
      <c r="BB21" s="3" t="s">
        <v>248</v>
      </c>
      <c r="BC21" s="3" t="s">
        <v>532</v>
      </c>
      <c r="BD21" s="3" t="s">
        <v>104</v>
      </c>
      <c r="BE21" s="3" t="s">
        <v>120</v>
      </c>
      <c r="BF21" s="3" t="s">
        <v>249</v>
      </c>
      <c r="BG21" s="3" t="s">
        <v>80</v>
      </c>
      <c r="BH21" s="3" t="s">
        <v>1091</v>
      </c>
      <c r="BI21" s="3" t="s">
        <v>398</v>
      </c>
      <c r="BJ21" s="3" t="s">
        <v>1090</v>
      </c>
      <c r="BK21" s="3" t="s">
        <v>1092</v>
      </c>
      <c r="BL21" s="3" t="s">
        <v>1093</v>
      </c>
      <c r="BM21" s="3" t="s">
        <v>532</v>
      </c>
      <c r="BN21" s="3">
        <v>3.13</v>
      </c>
      <c r="BO21" s="3">
        <v>3.05</v>
      </c>
      <c r="BP21" s="3">
        <v>5.45</v>
      </c>
      <c r="BQ21" s="3">
        <v>4.28</v>
      </c>
      <c r="BR21" s="3">
        <v>4.1399999999999997</v>
      </c>
      <c r="BS21" s="3">
        <v>7.46</v>
      </c>
      <c r="BT21" s="3" t="s">
        <v>1094</v>
      </c>
      <c r="BU21" s="3" t="s">
        <v>370</v>
      </c>
      <c r="BV21" s="3">
        <v>26.71</v>
      </c>
      <c r="BW21" s="3">
        <v>24.66</v>
      </c>
      <c r="BX21" s="3">
        <v>27.12</v>
      </c>
      <c r="BY21" s="3">
        <v>6.85</v>
      </c>
      <c r="BZ21" s="3">
        <v>4.8600000000000003</v>
      </c>
      <c r="CA21" s="3">
        <v>8.82</v>
      </c>
      <c r="CB21" s="3">
        <v>-3.03</v>
      </c>
      <c r="CC21" s="3">
        <v>-18.05</v>
      </c>
      <c r="CD21" s="3" t="s">
        <v>1095</v>
      </c>
      <c r="CE21" s="3" t="s">
        <v>392</v>
      </c>
      <c r="CF21" s="10">
        <v>-0.24512298558100085</v>
      </c>
      <c r="CG21" s="11">
        <v>3.8130722649411943</v>
      </c>
      <c r="CH21" s="10">
        <v>0.54414254426956177</v>
      </c>
      <c r="CI21" s="10">
        <v>-6.8529188632965088E-2</v>
      </c>
      <c r="CJ21" s="10">
        <v>-2.1660715341567993E-2</v>
      </c>
      <c r="CK21" s="10">
        <v>3.330674022436142E-2</v>
      </c>
      <c r="CL21" s="10">
        <v>0.16263937950134277</v>
      </c>
      <c r="CM21" s="11">
        <v>-0.58220404386520386</v>
      </c>
      <c r="CN21" s="11">
        <v>-0.42608696222305298</v>
      </c>
      <c r="CO21" s="11">
        <v>-0.19014084339141846</v>
      </c>
      <c r="CP21" s="11">
        <v>7.5757578015327454E-2</v>
      </c>
      <c r="CQ21" s="11">
        <v>-0.10407239943742752</v>
      </c>
      <c r="CR21" s="3">
        <v>15.925503920255853</v>
      </c>
      <c r="CS21" s="3">
        <v>1.2252295972797211</v>
      </c>
      <c r="CT21" s="3">
        <v>1.8749999999999998</v>
      </c>
      <c r="CU21" s="10">
        <v>0.12997975200414658</v>
      </c>
      <c r="CV21" s="11">
        <v>-0.24534933418035507</v>
      </c>
      <c r="CW21" s="3">
        <v>0.06</v>
      </c>
      <c r="CX21" s="3">
        <v>44.154953298338683</v>
      </c>
      <c r="CY21" s="3">
        <v>88184899.068764344</v>
      </c>
      <c r="CZ21" s="3">
        <v>0.12997975200414658</v>
      </c>
      <c r="DA21" s="3">
        <v>13.951272813922753</v>
      </c>
      <c r="DB21" s="3">
        <v>279099989.7954945</v>
      </c>
      <c r="DC21" s="3">
        <v>0.12348076440393924</v>
      </c>
      <c r="DD21" s="3">
        <v>6.5608456861009978</v>
      </c>
      <c r="DE21" s="3">
        <v>593490578.24190664</v>
      </c>
      <c r="DF21" s="3">
        <v>0.11438218176364899</v>
      </c>
      <c r="DG21" s="3">
        <v>3.7383034649429674</v>
      </c>
      <c r="DH21" s="3">
        <v>1041595508.9027008</v>
      </c>
      <c r="DI21" s="3">
        <v>0.10398380160331727</v>
      </c>
      <c r="DJ21" s="3">
        <v>1.7153301170409421</v>
      </c>
      <c r="DK21" s="3">
        <v>2270000428.0908113</v>
      </c>
      <c r="DL21" s="3">
        <v>9.0985826402902592E-2</v>
      </c>
      <c r="DM21" s="3">
        <v>82723600</v>
      </c>
      <c r="DN21" s="3">
        <v>0.12997975200414658</v>
      </c>
      <c r="DO21" s="3">
        <v>3893800100</v>
      </c>
      <c r="DP21" s="3">
        <v>3068740100</v>
      </c>
      <c r="DQ21" s="3">
        <v>4250</v>
      </c>
      <c r="DR21" s="3">
        <v>-0.37510273758514745</v>
      </c>
      <c r="DS21" s="3">
        <v>4.0584215991215498</v>
      </c>
      <c r="DT21" s="12">
        <v>-0.17333333333333334</v>
      </c>
      <c r="DU21" s="3">
        <v>-0.67</v>
      </c>
      <c r="DV21" s="3">
        <v>-0.84333333333333338</v>
      </c>
      <c r="DW21" s="3">
        <v>-8.1678670360110797</v>
      </c>
      <c r="DX21" s="3">
        <v>0.30076111111111131</v>
      </c>
      <c r="DY21" s="3">
        <v>-8.0202718097876264</v>
      </c>
      <c r="DZ21" s="3">
        <v>2049</v>
      </c>
      <c r="EA21" s="3">
        <v>-8.0121432504422554</v>
      </c>
      <c r="EB21" s="3">
        <v>8</v>
      </c>
      <c r="EC21" s="3">
        <v>1.6641428659415671E-2</v>
      </c>
      <c r="ED21" s="3">
        <v>0.13780453414430791</v>
      </c>
      <c r="EE21" s="13">
        <v>-3.0794999999999999</v>
      </c>
      <c r="EF21" s="3">
        <v>-3.0548000000000002</v>
      </c>
      <c r="EG21" s="3">
        <v>18.120761111111111</v>
      </c>
      <c r="EH21" s="3" t="s">
        <v>1096</v>
      </c>
      <c r="EI21" s="3">
        <v>0</v>
      </c>
      <c r="EJ21" s="3">
        <v>0</v>
      </c>
      <c r="EK21" s="15">
        <v>45470</v>
      </c>
      <c r="EL21" s="16">
        <v>-0.08</v>
      </c>
      <c r="EM21" s="16">
        <v>-4.9400000000000004</v>
      </c>
      <c r="EN21" s="16">
        <v>1.65</v>
      </c>
      <c r="EO21" s="16">
        <v>5.27</v>
      </c>
      <c r="EP21" s="16">
        <v>-2.4700000000000002</v>
      </c>
    </row>
    <row r="22" spans="1:146" ht="96" x14ac:dyDescent="0.25">
      <c r="C22" s="7" t="str">
        <f>""&amp;CHAR(10)&amp;Basic_Fundamental_Information_Constructure(F22)&amp;CHAR(10)&amp;Basic_Fundamental_Information_Concatenate("")</f>
        <v xml:space="preserve">
市值18.701374亿, 利润3.14亿; PE6.58; 平均PE18.49; 平均PEG1.14, PB.686; ROIC0%; ROE-4.66%; 股利率4.2017%; 毛利20.5733%; 净利-8.6867%; 上一年度营收增-42.03%, 利润增375.44%; 当季营收增200.95%, 利润增-172.05%; 过往5年营收增-16.16%, 利润增35.3%
Income profile:
</v>
      </c>
      <c r="D22" s="3" t="s">
        <v>250</v>
      </c>
      <c r="E22" s="3" t="s">
        <v>251</v>
      </c>
      <c r="F22" s="3">
        <v>4.76</v>
      </c>
      <c r="G22" s="3">
        <v>1.49</v>
      </c>
      <c r="H22" s="3" t="s">
        <v>1097</v>
      </c>
      <c r="I22" s="3">
        <v>1870137400</v>
      </c>
      <c r="J22" s="3">
        <v>6.58</v>
      </c>
      <c r="K22" s="3">
        <v>0.68600000000000005</v>
      </c>
      <c r="L22" s="3" t="s">
        <v>370</v>
      </c>
      <c r="M22" s="3" t="s">
        <v>1098</v>
      </c>
      <c r="N22" s="3" t="s">
        <v>1099</v>
      </c>
      <c r="O22" s="3" t="s">
        <v>378</v>
      </c>
      <c r="P22" s="3">
        <v>155.94</v>
      </c>
      <c r="Q22" s="3" t="s">
        <v>1100</v>
      </c>
      <c r="R22" s="3">
        <v>-12479757</v>
      </c>
      <c r="S22" s="5">
        <v>0.69010000000000005</v>
      </c>
      <c r="T22" s="3" t="s">
        <v>376</v>
      </c>
      <c r="U22" s="3">
        <v>392886000</v>
      </c>
      <c r="V22" s="3">
        <v>392886000</v>
      </c>
      <c r="W22" s="3">
        <v>1.66</v>
      </c>
      <c r="X22" s="3">
        <v>7.0000000000000007E-2</v>
      </c>
      <c r="Y22" s="3">
        <v>-4.1100000000000003</v>
      </c>
      <c r="Z22" s="3" t="s">
        <v>417</v>
      </c>
      <c r="AA22" s="3" t="s">
        <v>96</v>
      </c>
      <c r="AB22" s="3" t="s">
        <v>1101</v>
      </c>
      <c r="AC22" s="3" t="s">
        <v>1102</v>
      </c>
      <c r="AD22" s="3" t="s">
        <v>47</v>
      </c>
      <c r="AE22" s="3">
        <v>17747702</v>
      </c>
      <c r="AF22" s="3" t="s">
        <v>1103</v>
      </c>
      <c r="AG22" s="3" t="s">
        <v>1104</v>
      </c>
      <c r="AH22" s="3" t="s">
        <v>1105</v>
      </c>
      <c r="AI22" s="3" t="s">
        <v>1106</v>
      </c>
      <c r="AJ22" s="3" t="s">
        <v>1107</v>
      </c>
      <c r="AK22" s="3" t="s">
        <v>112</v>
      </c>
      <c r="AL22" s="3" t="s">
        <v>1108</v>
      </c>
      <c r="AM22" s="3" t="s">
        <v>47</v>
      </c>
      <c r="AN22" s="3" t="s">
        <v>1109</v>
      </c>
      <c r="AO22" s="3" t="s">
        <v>1110</v>
      </c>
      <c r="AP22" s="3" t="s">
        <v>1111</v>
      </c>
      <c r="AQ22" s="3" t="s">
        <v>1112</v>
      </c>
      <c r="AR22" s="3" t="s">
        <v>47</v>
      </c>
      <c r="AS22" s="3" t="s">
        <v>589</v>
      </c>
      <c r="AT22" s="3" t="s">
        <v>360</v>
      </c>
      <c r="AU22" s="3" t="s">
        <v>1113</v>
      </c>
      <c r="AV22" s="3" t="s">
        <v>402</v>
      </c>
      <c r="AW22" s="3" t="s">
        <v>1114</v>
      </c>
      <c r="AX22" s="3" t="s">
        <v>1115</v>
      </c>
      <c r="AY22" s="3" t="s">
        <v>313</v>
      </c>
      <c r="AZ22" s="3" t="s">
        <v>116</v>
      </c>
      <c r="BA22" s="3" t="s">
        <v>253</v>
      </c>
      <c r="BB22" s="3" t="s">
        <v>254</v>
      </c>
      <c r="BC22" s="3" t="s">
        <v>1116</v>
      </c>
      <c r="BD22" s="3" t="s">
        <v>335</v>
      </c>
      <c r="BE22" s="3" t="s">
        <v>83</v>
      </c>
      <c r="BF22" s="3" t="s">
        <v>96</v>
      </c>
      <c r="BG22" s="3" t="s">
        <v>92</v>
      </c>
      <c r="BH22" s="3" t="s">
        <v>1117</v>
      </c>
      <c r="BI22" s="3" t="s">
        <v>67</v>
      </c>
      <c r="BJ22" s="3" t="s">
        <v>1115</v>
      </c>
      <c r="BK22" s="3" t="s">
        <v>455</v>
      </c>
      <c r="BL22" s="3" t="s">
        <v>1118</v>
      </c>
      <c r="BM22" s="3" t="s">
        <v>1116</v>
      </c>
      <c r="BN22" s="3" t="s">
        <v>47</v>
      </c>
      <c r="BO22" s="3" t="s">
        <v>47</v>
      </c>
      <c r="BP22" s="3" t="s">
        <v>47</v>
      </c>
      <c r="BQ22" s="3">
        <v>-2.0699999999999998</v>
      </c>
      <c r="BR22" s="3">
        <v>-4.46</v>
      </c>
      <c r="BS22" s="3">
        <v>-7.45</v>
      </c>
      <c r="BT22" s="3" t="s">
        <v>1119</v>
      </c>
      <c r="BU22" s="3" t="s">
        <v>370</v>
      </c>
      <c r="BV22" s="3">
        <v>33.07</v>
      </c>
      <c r="BW22" s="3">
        <v>16.95</v>
      </c>
      <c r="BX22" s="3">
        <v>11.7</v>
      </c>
      <c r="BY22" s="3">
        <v>21.88</v>
      </c>
      <c r="BZ22" s="3">
        <v>-14.08</v>
      </c>
      <c r="CA22" s="3">
        <v>-33.86</v>
      </c>
      <c r="CB22" s="3">
        <v>-2.2599999999999998</v>
      </c>
      <c r="CC22" s="3">
        <v>-11.85</v>
      </c>
      <c r="CD22" s="3" t="s">
        <v>1120</v>
      </c>
      <c r="CE22" s="3" t="s">
        <v>103</v>
      </c>
      <c r="CF22" s="10">
        <v>2.0095238095238095</v>
      </c>
      <c r="CG22" s="11">
        <v>-1.7205444026813088</v>
      </c>
      <c r="CH22" s="10">
        <v>-0.42032623291015625</v>
      </c>
      <c r="CI22" s="10">
        <v>0.29593494534492493</v>
      </c>
      <c r="CJ22" s="10">
        <v>-0.47119522094726563</v>
      </c>
      <c r="CK22" s="10">
        <v>-0.27719074487686157</v>
      </c>
      <c r="CL22" s="10">
        <v>6.4857624471187592E-2</v>
      </c>
      <c r="CM22" s="11">
        <v>3.7543859481811523</v>
      </c>
      <c r="CN22" s="11">
        <v>0.44660192728042603</v>
      </c>
      <c r="CO22" s="11">
        <v>-2.2484848499298096</v>
      </c>
      <c r="CP22" s="11">
        <v>-0.30084747076034546</v>
      </c>
      <c r="CQ22" s="11">
        <v>0.11320754885673523</v>
      </c>
      <c r="CR22" s="3">
        <v>18.485707413509061</v>
      </c>
      <c r="CS22" s="3">
        <v>1.144031333801234</v>
      </c>
      <c r="CT22" s="3">
        <v>4.2016806722689077</v>
      </c>
      <c r="CU22" s="10">
        <v>-0.16158392578363417</v>
      </c>
      <c r="CV22" s="11">
        <v>0.35297262072563174</v>
      </c>
      <c r="CW22" s="3">
        <v>0.06</v>
      </c>
      <c r="CX22" s="3" t="e">
        <v>#VALUE!</v>
      </c>
      <c r="CY22" s="3" t="s">
        <v>610</v>
      </c>
      <c r="CZ22" s="3">
        <v>-0.16158392578363417</v>
      </c>
      <c r="DA22" s="3">
        <v>1.3016320594479831</v>
      </c>
      <c r="DB22" s="3" t="s">
        <v>1121</v>
      </c>
      <c r="DC22" s="3">
        <v>-0.15350472949445246</v>
      </c>
      <c r="DD22" s="3">
        <v>0.65081602972399155</v>
      </c>
      <c r="DE22" s="3" t="s">
        <v>1122</v>
      </c>
      <c r="DF22" s="3">
        <v>-0.14219385468959808</v>
      </c>
      <c r="DG22" s="3">
        <v>0.3904896178343949</v>
      </c>
      <c r="DH22" s="3" t="s">
        <v>1123</v>
      </c>
      <c r="DI22" s="3">
        <v>-0.12926714062690733</v>
      </c>
      <c r="DJ22" s="3">
        <v>0.19524480891719745</v>
      </c>
      <c r="DK22" s="3" t="s">
        <v>1124</v>
      </c>
      <c r="DL22" s="3">
        <v>-0.11310874804854391</v>
      </c>
      <c r="DM22" s="3">
        <v>314000000</v>
      </c>
      <c r="DN22" s="3">
        <v>-0.16158392578363417</v>
      </c>
      <c r="DO22" s="3">
        <v>1226137400</v>
      </c>
      <c r="DP22" s="3">
        <v>1350152300</v>
      </c>
      <c r="DQ22" s="3">
        <v>4427</v>
      </c>
      <c r="DR22" s="3">
        <v>2.1711077353074435</v>
      </c>
      <c r="DS22" s="3">
        <v>-2.0735170234069407</v>
      </c>
      <c r="DT22" s="12">
        <v>-0.70666666666666667</v>
      </c>
      <c r="DU22" s="3">
        <v>-1.665</v>
      </c>
      <c r="DV22" s="3">
        <v>-2.3716666666666666</v>
      </c>
      <c r="DW22" s="3">
        <v>-2.1185</v>
      </c>
      <c r="DX22" s="3">
        <v>0.28582396694214796</v>
      </c>
      <c r="DY22" s="3">
        <v>-2.0160951400826446</v>
      </c>
      <c r="DZ22" s="3">
        <v>1680</v>
      </c>
      <c r="EA22" s="3">
        <v>-2.0108035871787613</v>
      </c>
      <c r="EB22" s="3">
        <v>2</v>
      </c>
      <c r="EC22" s="3">
        <v>4.1830709162454252E-2</v>
      </c>
      <c r="ED22" s="3">
        <v>0.30797737766171357</v>
      </c>
      <c r="EE22" s="13">
        <v>-3.06</v>
      </c>
      <c r="EF22" s="3">
        <v>-3.0385</v>
      </c>
      <c r="EG22" s="3">
        <v>15.135823966942148</v>
      </c>
      <c r="EH22" s="3" t="s">
        <v>1096</v>
      </c>
      <c r="EI22" s="3">
        <v>0</v>
      </c>
      <c r="EJ22" s="3">
        <v>0</v>
      </c>
      <c r="EK22" s="15">
        <v>45470</v>
      </c>
      <c r="EL22" s="16">
        <v>0.18</v>
      </c>
      <c r="EM22" s="16">
        <v>-3.77</v>
      </c>
      <c r="EN22" s="16">
        <v>0.5</v>
      </c>
      <c r="EO22" s="16">
        <v>0.68</v>
      </c>
      <c r="EP22" s="16">
        <v>-2.15</v>
      </c>
    </row>
    <row r="23" spans="1:146" ht="96" x14ac:dyDescent="0.25">
      <c r="C23" s="7" t="str">
        <f>""&amp;CHAR(10)&amp;Basic_Fundamental_Information_Constructure(F23)&amp;CHAR(10)&amp;Basic_Fundamental_Information_Concatenate("")</f>
        <v xml:space="preserve">
市值15.272205亿, 利润1.29亿; PE55.23; 平均PE15.79; 平均PEG.16, PB1.55; ROIC4.9133%; ROE7.1633%; 股利率1.23%; 毛利49.4467%; 净利19.1%; 上一年度营收增518.26%, 利润增175.5%; 当季营收增-70.82%, 利润增-114.82%; 过往5年营收增100.58%, 利润增22.1%
Income profile:
</v>
      </c>
      <c r="D23" s="3" t="s">
        <v>256</v>
      </c>
      <c r="E23" s="3" t="s">
        <v>257</v>
      </c>
      <c r="F23" s="3">
        <v>8.1300000000000008</v>
      </c>
      <c r="G23" s="3">
        <v>0.87</v>
      </c>
      <c r="H23" s="3" t="s">
        <v>1125</v>
      </c>
      <c r="I23" s="3">
        <v>1527220500</v>
      </c>
      <c r="J23" s="3">
        <v>55.23</v>
      </c>
      <c r="K23" s="3">
        <v>1.55</v>
      </c>
      <c r="L23" s="3" t="s">
        <v>370</v>
      </c>
      <c r="M23" s="3" t="s">
        <v>1126</v>
      </c>
      <c r="N23" s="3" t="s">
        <v>1127</v>
      </c>
      <c r="O23" s="3" t="s">
        <v>1128</v>
      </c>
      <c r="P23" s="3">
        <v>40.15</v>
      </c>
      <c r="Q23" s="3" t="s">
        <v>1129</v>
      </c>
      <c r="R23" s="3">
        <v>-2143693</v>
      </c>
      <c r="S23" s="5">
        <v>-3.5720000000000001</v>
      </c>
      <c r="T23" s="3" t="s">
        <v>68</v>
      </c>
      <c r="U23" s="3">
        <v>182520000</v>
      </c>
      <c r="V23" s="3">
        <v>187850000</v>
      </c>
      <c r="W23" s="3">
        <v>1.3</v>
      </c>
      <c r="X23" s="3">
        <v>0.06</v>
      </c>
      <c r="Y23" s="3">
        <v>-3.24</v>
      </c>
      <c r="Z23" s="3" t="s">
        <v>1130</v>
      </c>
      <c r="AA23" s="3" t="s">
        <v>1131</v>
      </c>
      <c r="AB23" s="3" t="s">
        <v>1132</v>
      </c>
      <c r="AC23" s="3" t="s">
        <v>1133</v>
      </c>
      <c r="AD23" s="3" t="s">
        <v>47</v>
      </c>
      <c r="AE23" s="3">
        <v>-1316164</v>
      </c>
      <c r="AF23" s="3" t="s">
        <v>1134</v>
      </c>
      <c r="AG23" s="3" t="s">
        <v>1135</v>
      </c>
      <c r="AH23" s="3" t="s">
        <v>1136</v>
      </c>
      <c r="AI23" s="3" t="s">
        <v>410</v>
      </c>
      <c r="AJ23" s="3" t="s">
        <v>1137</v>
      </c>
      <c r="AK23" s="3" t="s">
        <v>1138</v>
      </c>
      <c r="AL23" s="3" t="s">
        <v>1139</v>
      </c>
      <c r="AM23" s="3" t="s">
        <v>47</v>
      </c>
      <c r="AN23" s="3" t="s">
        <v>1140</v>
      </c>
      <c r="AO23" s="3" t="s">
        <v>1141</v>
      </c>
      <c r="AP23" s="3" t="s">
        <v>1142</v>
      </c>
      <c r="AQ23" s="3" t="s">
        <v>98</v>
      </c>
      <c r="AR23" s="3" t="s">
        <v>1143</v>
      </c>
      <c r="AS23" s="3" t="s">
        <v>1144</v>
      </c>
      <c r="AT23" s="3" t="s">
        <v>47</v>
      </c>
      <c r="AU23" s="3" t="s">
        <v>1145</v>
      </c>
      <c r="AV23" s="3" t="s">
        <v>1146</v>
      </c>
      <c r="AW23" s="3" t="s">
        <v>1147</v>
      </c>
      <c r="AX23" s="3" t="s">
        <v>1148</v>
      </c>
      <c r="AY23" s="3" t="s">
        <v>128</v>
      </c>
      <c r="AZ23" s="3" t="s">
        <v>258</v>
      </c>
      <c r="BA23" s="3" t="s">
        <v>121</v>
      </c>
      <c r="BB23" s="3" t="s">
        <v>76</v>
      </c>
      <c r="BC23" s="3" t="s">
        <v>1149</v>
      </c>
      <c r="BD23" s="3" t="s">
        <v>336</v>
      </c>
      <c r="BE23" s="3" t="s">
        <v>69</v>
      </c>
      <c r="BF23" s="3" t="s">
        <v>54</v>
      </c>
      <c r="BG23" s="3" t="s">
        <v>75</v>
      </c>
      <c r="BH23" s="3" t="s">
        <v>375</v>
      </c>
      <c r="BI23" s="3" t="s">
        <v>102</v>
      </c>
      <c r="BJ23" s="3" t="s">
        <v>1148</v>
      </c>
      <c r="BK23" s="3" t="s">
        <v>1150</v>
      </c>
      <c r="BL23" s="3" t="s">
        <v>1151</v>
      </c>
      <c r="BM23" s="3" t="s">
        <v>1149</v>
      </c>
      <c r="BN23" s="3">
        <v>0.82</v>
      </c>
      <c r="BO23" s="3">
        <v>4.03</v>
      </c>
      <c r="BP23" s="3">
        <v>9.89</v>
      </c>
      <c r="BQ23" s="3">
        <v>1.34</v>
      </c>
      <c r="BR23" s="3">
        <v>4.8499999999999996</v>
      </c>
      <c r="BS23" s="3">
        <v>15.3</v>
      </c>
      <c r="BT23" s="3" t="s">
        <v>1152</v>
      </c>
      <c r="BU23" s="3" t="s">
        <v>370</v>
      </c>
      <c r="BV23" s="3">
        <v>40.46</v>
      </c>
      <c r="BW23" s="3">
        <v>52.91</v>
      </c>
      <c r="BX23" s="3">
        <v>54.97</v>
      </c>
      <c r="BY23" s="3">
        <v>8.69</v>
      </c>
      <c r="BZ23" s="3">
        <v>20.37</v>
      </c>
      <c r="CA23" s="3">
        <v>28.24</v>
      </c>
      <c r="CB23" s="3">
        <v>-2.0499999999999998</v>
      </c>
      <c r="CC23" s="3">
        <v>-9.67</v>
      </c>
      <c r="CD23" s="3" t="s">
        <v>1153</v>
      </c>
      <c r="CE23" s="3" t="s">
        <v>1154</v>
      </c>
      <c r="CF23" s="10">
        <v>-0.70823438735177857</v>
      </c>
      <c r="CG23" s="11">
        <v>-1.1482057894263809</v>
      </c>
      <c r="CH23" s="10">
        <v>5.1826086044311523</v>
      </c>
      <c r="CI23" s="10">
        <v>-0.23588040471076965</v>
      </c>
      <c r="CJ23" s="10">
        <v>-0.13256484270095825</v>
      </c>
      <c r="CK23" s="10">
        <v>0.10862620174884796</v>
      </c>
      <c r="CL23" s="10">
        <v>0.10600706934928894</v>
      </c>
      <c r="CM23" s="11">
        <v>1.7549680471420288</v>
      </c>
      <c r="CN23" s="11">
        <v>-0.4460349977016449</v>
      </c>
      <c r="CO23" s="11">
        <v>-0.1872490793466568</v>
      </c>
      <c r="CP23" s="11">
        <v>-5.4545454680919647E-2</v>
      </c>
      <c r="CQ23" s="11">
        <v>3.7735849618911743E-2</v>
      </c>
      <c r="CR23" s="3">
        <v>15.789288406008367</v>
      </c>
      <c r="CS23" s="3">
        <v>0.15698873481704906</v>
      </c>
      <c r="CT23" s="3">
        <v>1.230012300123001</v>
      </c>
      <c r="CU23" s="10">
        <v>1.0057593256235122</v>
      </c>
      <c r="CV23" s="11">
        <v>0.22097487300634383</v>
      </c>
      <c r="CW23" s="3">
        <v>0.06</v>
      </c>
      <c r="CX23" s="3">
        <v>3.352028412467674</v>
      </c>
      <c r="CY23" s="3">
        <v>244097125.47682369</v>
      </c>
      <c r="CZ23" s="3">
        <v>1.0057593256235122</v>
      </c>
      <c r="DA23" s="3">
        <v>0.55029187192150653</v>
      </c>
      <c r="DB23" s="3">
        <v>1486884582.0726762</v>
      </c>
      <c r="DC23" s="3">
        <v>0.95547135934233651</v>
      </c>
      <c r="DD23" s="3">
        <v>9.0629062790031731E-2</v>
      </c>
      <c r="DE23" s="3">
        <v>9028235257.1121998</v>
      </c>
      <c r="DF23" s="3">
        <v>0.88506820654869078</v>
      </c>
      <c r="DG23" s="3">
        <v>1.2858342109471647E-2</v>
      </c>
      <c r="DH23" s="3">
        <v>63633436801.878716</v>
      </c>
      <c r="DI23" s="3">
        <v>0.80460746049880982</v>
      </c>
      <c r="DJ23" s="3">
        <v>1.8042953253410174E-4</v>
      </c>
      <c r="DK23" s="3">
        <v>4534847973656.1621</v>
      </c>
      <c r="DL23" s="3">
        <v>0.70403152793645851</v>
      </c>
      <c r="DM23" s="3">
        <v>129000000</v>
      </c>
      <c r="DN23" s="3">
        <v>1.0057593256235122</v>
      </c>
      <c r="DO23" s="3">
        <v>818220499.99999988</v>
      </c>
      <c r="DP23" s="3">
        <v>593624170</v>
      </c>
      <c r="DQ23" s="3">
        <v>4503</v>
      </c>
      <c r="DR23" s="3">
        <v>-1.7139937129752907</v>
      </c>
      <c r="DS23" s="3">
        <v>-1.3691806624327247</v>
      </c>
      <c r="DT23" s="12">
        <v>-0.29000000000000004</v>
      </c>
      <c r="DU23" s="3">
        <v>-0.84833333333333327</v>
      </c>
      <c r="DV23" s="3">
        <v>-1.1383333333333332</v>
      </c>
      <c r="DW23" s="3">
        <v>-2.0966999999999998</v>
      </c>
      <c r="DX23" s="3">
        <v>0.51653231739694971</v>
      </c>
      <c r="DY23" s="3">
        <v>-2.0161036750922849</v>
      </c>
      <c r="DZ23" s="3">
        <v>2461</v>
      </c>
      <c r="EA23" s="3">
        <v>-2.0083480695341414</v>
      </c>
      <c r="EB23" s="3">
        <v>2</v>
      </c>
      <c r="EC23" s="3">
        <v>2.7714133617247803E-2</v>
      </c>
      <c r="ED23" s="3">
        <v>0.1664189512909236</v>
      </c>
      <c r="EE23" s="13">
        <v>-2.0057999999999998</v>
      </c>
      <c r="EF23" s="3">
        <v>-2.00501</v>
      </c>
      <c r="EG23" s="3">
        <v>35.16653231739695</v>
      </c>
      <c r="EH23" s="3" t="s">
        <v>833</v>
      </c>
      <c r="EI23" s="3">
        <v>0</v>
      </c>
      <c r="EJ23" s="3">
        <v>0</v>
      </c>
      <c r="EK23" s="15">
        <v>45470</v>
      </c>
      <c r="EL23" s="16">
        <v>0</v>
      </c>
      <c r="EM23" s="16">
        <v>-5.09</v>
      </c>
      <c r="EN23" s="16">
        <v>2.17</v>
      </c>
      <c r="EO23" s="16">
        <v>4</v>
      </c>
      <c r="EP23" s="16">
        <v>-1.08</v>
      </c>
    </row>
    <row r="24" spans="1:146" ht="96" x14ac:dyDescent="0.25">
      <c r="C24" s="7" t="str">
        <f>""&amp;CHAR(10)&amp;Basic_Fundamental_Information_Constructure(F24)&amp;CHAR(10)&amp;Basic_Fundamental_Information_Concatenate("")</f>
        <v xml:space="preserve">
市值621.62238亿, 利润-6827.45万; PE18.26; 平均PE20.85; 平均PEG1.07, PB1.39; ROIC6.6133%; ROE7.1067%; 股利率2.8961%; 毛利23.8767%; 净利10.2267%; 上一年度营收增-98.54%, 利润增-101.88%; 当季营收增4549.29%, 利润增7909.96%; 过往5年营收增-19.54%, 利润增-18.63%
Income profile:
</v>
      </c>
      <c r="D24" s="3" t="s">
        <v>259</v>
      </c>
      <c r="E24" s="3" t="s">
        <v>260</v>
      </c>
      <c r="F24" s="3">
        <v>5.87</v>
      </c>
      <c r="G24" s="3">
        <v>-1.01</v>
      </c>
      <c r="H24" s="3" t="s">
        <v>1155</v>
      </c>
      <c r="I24" s="3">
        <v>62162238000</v>
      </c>
      <c r="J24" s="3">
        <v>18.260000000000002</v>
      </c>
      <c r="K24" s="3">
        <v>1.39</v>
      </c>
      <c r="L24" s="3" t="s">
        <v>370</v>
      </c>
      <c r="M24" s="3" t="s">
        <v>1156</v>
      </c>
      <c r="N24" s="3" t="s">
        <v>1157</v>
      </c>
      <c r="O24" s="3" t="s">
        <v>1158</v>
      </c>
      <c r="P24" s="3">
        <v>-13.1</v>
      </c>
      <c r="Q24" s="3" t="s">
        <v>1159</v>
      </c>
      <c r="R24" s="3">
        <v>604490950</v>
      </c>
      <c r="S24" s="5">
        <v>-0.1084</v>
      </c>
      <c r="T24" s="3" t="s">
        <v>1160</v>
      </c>
      <c r="U24" s="3">
        <v>8621018000</v>
      </c>
      <c r="V24" s="3">
        <v>10589819000</v>
      </c>
      <c r="W24" s="3">
        <v>2.38</v>
      </c>
      <c r="X24" s="3">
        <v>0.05</v>
      </c>
      <c r="Y24" s="3">
        <v>10.89</v>
      </c>
      <c r="Z24" s="3" t="s">
        <v>1161</v>
      </c>
      <c r="AA24" s="3" t="s">
        <v>1162</v>
      </c>
      <c r="AB24" s="3" t="s">
        <v>357</v>
      </c>
      <c r="AC24" s="3" t="s">
        <v>332</v>
      </c>
      <c r="AD24" s="3" t="s">
        <v>47</v>
      </c>
      <c r="AE24" s="3">
        <v>-24299096</v>
      </c>
      <c r="AF24" s="3" t="s">
        <v>1163</v>
      </c>
      <c r="AG24" s="3" t="s">
        <v>1164</v>
      </c>
      <c r="AH24" s="3" t="s">
        <v>1165</v>
      </c>
      <c r="AI24" s="3" t="s">
        <v>1166</v>
      </c>
      <c r="AJ24" s="3" t="s">
        <v>1167</v>
      </c>
      <c r="AK24" s="3" t="s">
        <v>1168</v>
      </c>
      <c r="AL24" s="3" t="s">
        <v>1169</v>
      </c>
      <c r="AM24" s="3" t="s">
        <v>47</v>
      </c>
      <c r="AN24" s="3" t="s">
        <v>539</v>
      </c>
      <c r="AO24" s="3" t="s">
        <v>47</v>
      </c>
      <c r="AP24" s="3" t="s">
        <v>1170</v>
      </c>
      <c r="AQ24" s="3" t="s">
        <v>1171</v>
      </c>
      <c r="AR24" s="3" t="s">
        <v>47</v>
      </c>
      <c r="AS24" s="3" t="s">
        <v>1172</v>
      </c>
      <c r="AT24" s="3" t="s">
        <v>1173</v>
      </c>
      <c r="AU24" s="3" t="s">
        <v>1174</v>
      </c>
      <c r="AV24" s="3" t="s">
        <v>1175</v>
      </c>
      <c r="AW24" s="3" t="s">
        <v>1176</v>
      </c>
      <c r="AX24" s="3" t="s">
        <v>1177</v>
      </c>
      <c r="AY24" s="3" t="s">
        <v>337</v>
      </c>
      <c r="AZ24" s="3" t="s">
        <v>261</v>
      </c>
      <c r="BA24" s="3" t="s">
        <v>263</v>
      </c>
      <c r="BB24" s="3" t="s">
        <v>264</v>
      </c>
      <c r="BC24" s="3" t="s">
        <v>1178</v>
      </c>
      <c r="BD24" s="3" t="s">
        <v>338</v>
      </c>
      <c r="BE24" s="3" t="s">
        <v>262</v>
      </c>
      <c r="BF24" s="3" t="s">
        <v>265</v>
      </c>
      <c r="BG24" s="3" t="s">
        <v>266</v>
      </c>
      <c r="BH24" s="3" t="s">
        <v>1179</v>
      </c>
      <c r="BI24" s="3" t="s">
        <v>51</v>
      </c>
      <c r="BJ24" s="3" t="s">
        <v>1177</v>
      </c>
      <c r="BK24" s="3" t="s">
        <v>1180</v>
      </c>
      <c r="BL24" s="3" t="s">
        <v>1181</v>
      </c>
      <c r="BM24" s="3" t="s">
        <v>1178</v>
      </c>
      <c r="BN24" s="3">
        <v>5.24</v>
      </c>
      <c r="BO24" s="3">
        <v>7.61</v>
      </c>
      <c r="BP24" s="3">
        <v>6.99</v>
      </c>
      <c r="BQ24" s="3">
        <v>5.58</v>
      </c>
      <c r="BR24" s="3">
        <v>8.17</v>
      </c>
      <c r="BS24" s="3">
        <v>7.57</v>
      </c>
      <c r="BT24" s="3" t="s">
        <v>536</v>
      </c>
      <c r="BU24" s="3" t="s">
        <v>370</v>
      </c>
      <c r="BV24" s="3">
        <v>25.75</v>
      </c>
      <c r="BW24" s="3">
        <v>23.69</v>
      </c>
      <c r="BX24" s="3">
        <v>22.19</v>
      </c>
      <c r="BY24" s="3">
        <v>10.85</v>
      </c>
      <c r="BZ24" s="3">
        <v>10.199999999999999</v>
      </c>
      <c r="CA24" s="3">
        <v>9.6300000000000008</v>
      </c>
      <c r="CB24" s="3">
        <v>-2.17</v>
      </c>
      <c r="CC24" s="3">
        <v>5.58</v>
      </c>
      <c r="CD24" s="3" t="s">
        <v>386</v>
      </c>
      <c r="CE24" s="3" t="s">
        <v>1182</v>
      </c>
      <c r="CF24" s="10">
        <v>45.49285714285714</v>
      </c>
      <c r="CG24" s="11">
        <v>79.099605943152454</v>
      </c>
      <c r="CH24" s="10">
        <v>-0.98539906740188599</v>
      </c>
      <c r="CI24" s="10">
        <v>4.8099543899297714E-2</v>
      </c>
      <c r="CJ24" s="10">
        <v>-4.4013526290655136E-2</v>
      </c>
      <c r="CK24" s="10">
        <v>-3.6546126008033752E-2</v>
      </c>
      <c r="CL24" s="10">
        <v>4.0811669081449509E-2</v>
      </c>
      <c r="CM24" s="11">
        <v>-1.0187876224517822</v>
      </c>
      <c r="CN24" s="11">
        <v>0.10961833596229553</v>
      </c>
      <c r="CO24" s="11">
        <v>-0.14244566857814789</v>
      </c>
      <c r="CP24" s="11">
        <v>7.861803169362247E-4</v>
      </c>
      <c r="CQ24" s="11">
        <v>0.11938986927270889</v>
      </c>
      <c r="CR24" s="3">
        <v>20.854299832558233</v>
      </c>
      <c r="CS24" s="3">
        <v>1.0672101248469943</v>
      </c>
      <c r="CT24" s="3">
        <v>2.8960817717206133</v>
      </c>
      <c r="CU24" s="10">
        <v>-0.19540950134396554</v>
      </c>
      <c r="CV24" s="11">
        <v>-0.1862877810955979</v>
      </c>
      <c r="CW24" s="3">
        <v>0.06</v>
      </c>
      <c r="CX24" s="3" t="e">
        <v>#VALUE!</v>
      </c>
      <c r="CY24" s="3" t="s">
        <v>355</v>
      </c>
      <c r="CZ24" s="3">
        <v>-0.19540950134396554</v>
      </c>
      <c r="DA24" s="3" t="e">
        <v>#VALUE!</v>
      </c>
      <c r="DB24" s="3" t="s">
        <v>355</v>
      </c>
      <c r="DC24" s="3">
        <v>-0.18563902627676726</v>
      </c>
      <c r="DD24" s="3" t="e">
        <v>#VALUE!</v>
      </c>
      <c r="DE24" s="3" t="s">
        <v>355</v>
      </c>
      <c r="DF24" s="3">
        <v>-0.17196036118268967</v>
      </c>
      <c r="DG24" s="3" t="e">
        <v>#VALUE!</v>
      </c>
      <c r="DH24" s="3" t="s">
        <v>355</v>
      </c>
      <c r="DI24" s="3">
        <v>-0.15632760107517243</v>
      </c>
      <c r="DJ24" s="3" t="e">
        <v>#VALUE!</v>
      </c>
      <c r="DK24" s="3" t="s">
        <v>355</v>
      </c>
      <c r="DL24" s="3">
        <v>-0.13678665094077586</v>
      </c>
      <c r="DM24" s="3">
        <v>-68274500</v>
      </c>
      <c r="DN24" s="3">
        <v>-0.19540950134396554</v>
      </c>
      <c r="DO24" s="3">
        <v>82648238000</v>
      </c>
      <c r="DP24" s="3">
        <v>27250902000</v>
      </c>
      <c r="DQ24" s="3">
        <v>4548</v>
      </c>
      <c r="DR24" s="3">
        <v>45.688266644201107</v>
      </c>
      <c r="DS24" s="3">
        <v>79.285893724248055</v>
      </c>
      <c r="DT24" s="12">
        <v>-0.77333333333333332</v>
      </c>
      <c r="DU24" s="3">
        <v>-0.97000000000000008</v>
      </c>
      <c r="DV24" s="3">
        <v>-1.7433333333333334</v>
      </c>
      <c r="DW24" s="3">
        <v>1.0558000000000001</v>
      </c>
      <c r="DX24" s="3">
        <v>0.30331406551059842</v>
      </c>
      <c r="DY24" s="3">
        <v>1.0068809248554913</v>
      </c>
      <c r="DZ24" s="3">
        <v>4613</v>
      </c>
      <c r="EA24" s="3">
        <v>1.00066924063663</v>
      </c>
      <c r="EB24" s="3">
        <v>1</v>
      </c>
      <c r="EC24" s="3">
        <v>1.2087080997323939E-2</v>
      </c>
      <c r="ED24" s="3">
        <v>9.8018672462673831E-2</v>
      </c>
      <c r="EE24" s="13">
        <v>-3.0337000000000001</v>
      </c>
      <c r="EF24" s="3">
        <v>-3.0076999999999998</v>
      </c>
      <c r="EG24" s="3">
        <v>18.123314065510598</v>
      </c>
      <c r="EH24" s="3" t="s">
        <v>1096</v>
      </c>
      <c r="EI24" s="3">
        <v>0</v>
      </c>
      <c r="EJ24" s="3">
        <v>0</v>
      </c>
      <c r="EK24" s="15">
        <v>45470</v>
      </c>
      <c r="EL24" s="16">
        <v>-2.4500000000000002</v>
      </c>
      <c r="EM24" s="16">
        <v>-5.15</v>
      </c>
      <c r="EN24" s="16">
        <v>-2.33</v>
      </c>
      <c r="EO24" s="16">
        <v>4.43</v>
      </c>
      <c r="EP24" s="16">
        <v>-2.6</v>
      </c>
    </row>
    <row r="25" spans="1:146" ht="108" x14ac:dyDescent="0.25">
      <c r="C25" s="7" t="str">
        <f>""&amp;CHAR(10)&amp;Basic_Fundamental_Information_Constructure(F25)&amp;CHAR(10)&amp;Basic_Fundamental_Information_Concatenate("")</f>
        <v xml:space="preserve">
市值31.037982亿, 利润4.92亿; PE34; 平均PE12.91; 平均PEG1.8, PB1.24; ROIC9.1867%; ROE9.9467%; 股利率1.2158%; 毛利35.8333%; 净利9.45%; 上一年度营收增-51.9%, 利润增114.85%; 当季营收增47.9%, 利润增-90.07%; 过往5年营收增7.16%, 利润增58.84%
Income profile:
</v>
      </c>
      <c r="D25" s="3" t="s">
        <v>267</v>
      </c>
      <c r="E25" s="3" t="s">
        <v>268</v>
      </c>
      <c r="F25" s="3">
        <v>16.45</v>
      </c>
      <c r="G25" s="3">
        <v>-0.84</v>
      </c>
      <c r="H25" s="3" t="s">
        <v>1183</v>
      </c>
      <c r="I25" s="3">
        <v>3103798200</v>
      </c>
      <c r="J25" s="3">
        <v>34</v>
      </c>
      <c r="K25" s="3">
        <v>1.24</v>
      </c>
      <c r="L25" s="3" t="s">
        <v>370</v>
      </c>
      <c r="M25" s="3" t="s">
        <v>1184</v>
      </c>
      <c r="N25" s="3" t="s">
        <v>1185</v>
      </c>
      <c r="O25" s="3" t="s">
        <v>418</v>
      </c>
      <c r="P25" s="3">
        <v>43.31</v>
      </c>
      <c r="Q25" s="3" t="s">
        <v>1186</v>
      </c>
      <c r="R25" s="3">
        <v>12415122</v>
      </c>
      <c r="S25" s="5">
        <v>0.22650000000000001</v>
      </c>
      <c r="T25" s="3" t="s">
        <v>1187</v>
      </c>
      <c r="U25" s="3">
        <v>188680740</v>
      </c>
      <c r="V25" s="3">
        <v>188680740</v>
      </c>
      <c r="W25" s="3">
        <v>2.08</v>
      </c>
      <c r="X25" s="3">
        <v>0.08</v>
      </c>
      <c r="Y25" s="3">
        <v>4.8</v>
      </c>
      <c r="Z25" s="3" t="s">
        <v>1188</v>
      </c>
      <c r="AA25" s="3" t="s">
        <v>379</v>
      </c>
      <c r="AB25" s="3" t="s">
        <v>1189</v>
      </c>
      <c r="AC25" s="3" t="s">
        <v>1190</v>
      </c>
      <c r="AD25" s="3" t="s">
        <v>47</v>
      </c>
      <c r="AE25" s="3">
        <v>-578195</v>
      </c>
      <c r="AF25" s="3" t="s">
        <v>1191</v>
      </c>
      <c r="AG25" s="3">
        <v>1925.37</v>
      </c>
      <c r="AH25" s="3" t="s">
        <v>1192</v>
      </c>
      <c r="AI25" s="3" t="s">
        <v>1193</v>
      </c>
      <c r="AJ25" s="3" t="s">
        <v>1194</v>
      </c>
      <c r="AK25" s="3" t="s">
        <v>1195</v>
      </c>
      <c r="AL25" s="3" t="s">
        <v>1196</v>
      </c>
      <c r="AM25" s="3" t="s">
        <v>47</v>
      </c>
      <c r="AN25" s="3" t="s">
        <v>1197</v>
      </c>
      <c r="AO25" s="3" t="s">
        <v>47</v>
      </c>
      <c r="AP25" s="3" t="s">
        <v>1198</v>
      </c>
      <c r="AQ25" s="3" t="s">
        <v>1199</v>
      </c>
      <c r="AR25" s="3" t="s">
        <v>47</v>
      </c>
      <c r="AS25" s="3" t="s">
        <v>1200</v>
      </c>
      <c r="AT25" s="3" t="s">
        <v>1201</v>
      </c>
      <c r="AU25" s="3" t="s">
        <v>1202</v>
      </c>
      <c r="AV25" s="3" t="s">
        <v>1203</v>
      </c>
      <c r="AW25" s="3" t="s">
        <v>1204</v>
      </c>
      <c r="AX25" s="3" t="s">
        <v>1205</v>
      </c>
      <c r="AY25" s="3" t="s">
        <v>339</v>
      </c>
      <c r="AZ25" s="3" t="s">
        <v>269</v>
      </c>
      <c r="BA25" s="3" t="s">
        <v>270</v>
      </c>
      <c r="BB25" s="3" t="s">
        <v>116</v>
      </c>
      <c r="BC25" s="3" t="s">
        <v>1206</v>
      </c>
      <c r="BD25" s="3" t="s">
        <v>340</v>
      </c>
      <c r="BE25" s="3" t="s">
        <v>125</v>
      </c>
      <c r="BF25" s="3" t="s">
        <v>65</v>
      </c>
      <c r="BG25" s="3" t="s">
        <v>271</v>
      </c>
      <c r="BH25" s="3" t="s">
        <v>1207</v>
      </c>
      <c r="BI25" s="3" t="s">
        <v>1208</v>
      </c>
      <c r="BJ25" s="3" t="s">
        <v>1205</v>
      </c>
      <c r="BK25" s="3" t="s">
        <v>1209</v>
      </c>
      <c r="BL25" s="3" t="s">
        <v>358</v>
      </c>
      <c r="BM25" s="3" t="s">
        <v>1206</v>
      </c>
      <c r="BN25" s="3">
        <v>2.11</v>
      </c>
      <c r="BO25" s="3">
        <v>9.9</v>
      </c>
      <c r="BP25" s="3">
        <v>15.55</v>
      </c>
      <c r="BQ25" s="3">
        <v>1.86</v>
      </c>
      <c r="BR25" s="3">
        <v>9.7100000000000009</v>
      </c>
      <c r="BS25" s="3">
        <v>18.27</v>
      </c>
      <c r="BT25" s="3" t="s">
        <v>538</v>
      </c>
      <c r="BU25" s="3" t="s">
        <v>370</v>
      </c>
      <c r="BV25" s="3">
        <v>34.020000000000003</v>
      </c>
      <c r="BW25" s="3">
        <v>37.9</v>
      </c>
      <c r="BX25" s="3">
        <v>35.58</v>
      </c>
      <c r="BY25" s="3">
        <v>6.37</v>
      </c>
      <c r="BZ25" s="3">
        <v>10.48</v>
      </c>
      <c r="CA25" s="3">
        <v>11.5</v>
      </c>
      <c r="CB25" s="3">
        <v>-8.4600000000000009</v>
      </c>
      <c r="CC25" s="3">
        <v>-27.18</v>
      </c>
      <c r="CD25" s="3" t="s">
        <v>1210</v>
      </c>
      <c r="CE25" s="3" t="s">
        <v>1211</v>
      </c>
      <c r="CF25" s="10">
        <v>0.47902097902097923</v>
      </c>
      <c r="CG25" s="11">
        <v>-0.90067902399999999</v>
      </c>
      <c r="CH25" s="10">
        <v>-0.51904374361038208</v>
      </c>
      <c r="CI25" s="10">
        <v>-4.4151868671178818E-2</v>
      </c>
      <c r="CJ25" s="10">
        <v>0.27443245053291321</v>
      </c>
      <c r="CK25" s="10">
        <v>0.22639225423336029</v>
      </c>
      <c r="CL25" s="10">
        <v>0.42046424746513367</v>
      </c>
      <c r="CM25" s="11">
        <v>1.1484715938568115</v>
      </c>
      <c r="CN25" s="11">
        <v>-0.21305841207504272</v>
      </c>
      <c r="CO25" s="11">
        <v>0.22784809768199921</v>
      </c>
      <c r="CP25" s="11">
        <v>0.86614173650741577</v>
      </c>
      <c r="CQ25" s="11">
        <v>0.91278886795043945</v>
      </c>
      <c r="CR25" s="3">
        <v>12.911017174765973</v>
      </c>
      <c r="CS25" s="3">
        <v>1.8027446665964606</v>
      </c>
      <c r="CT25" s="3">
        <v>1.21580547112462</v>
      </c>
      <c r="CU25" s="10">
        <v>7.1618667989969256E-2</v>
      </c>
      <c r="CV25" s="11">
        <v>0.58843837678432465</v>
      </c>
      <c r="CW25" s="3">
        <v>0.06</v>
      </c>
      <c r="CX25" s="3">
        <v>7.1187160091084563</v>
      </c>
      <c r="CY25" s="3">
        <v>497392815.70855182</v>
      </c>
      <c r="CZ25" s="3">
        <v>7.1618667989969256E-2</v>
      </c>
      <c r="DA25" s="3">
        <v>2.3628986489883563</v>
      </c>
      <c r="DB25" s="3">
        <v>1498497703.8756807</v>
      </c>
      <c r="DC25" s="3">
        <v>6.8037734590470786E-2</v>
      </c>
      <c r="DD25" s="3">
        <v>1.1875416596499972</v>
      </c>
      <c r="DE25" s="3">
        <v>2981620199.3651114</v>
      </c>
      <c r="DF25" s="3">
        <v>6.3024427831172944E-2</v>
      </c>
      <c r="DG25" s="3">
        <v>0.72984023612127225</v>
      </c>
      <c r="DH25" s="3">
        <v>4851470259.8715744</v>
      </c>
      <c r="DI25" s="3">
        <v>5.7294934391975409E-2</v>
      </c>
      <c r="DJ25" s="3">
        <v>0.39638833199032197</v>
      </c>
      <c r="DK25" s="3">
        <v>8932649914.8477726</v>
      </c>
      <c r="DL25" s="3">
        <v>5.0133067592978475E-2</v>
      </c>
      <c r="DM25" s="3">
        <v>492000000</v>
      </c>
      <c r="DN25" s="3">
        <v>7.1618667989969256E-2</v>
      </c>
      <c r="DO25" s="3">
        <v>3540798200</v>
      </c>
      <c r="DP25" s="3">
        <v>1380834400</v>
      </c>
      <c r="DQ25" s="3">
        <v>4553</v>
      </c>
      <c r="DR25" s="3">
        <v>0.40740231103100999</v>
      </c>
      <c r="DS25" s="3">
        <v>-1.4891174007843246</v>
      </c>
      <c r="DT25" s="12">
        <v>-0.25666666666666677</v>
      </c>
      <c r="DU25" s="3">
        <v>0.31</v>
      </c>
      <c r="DV25" s="3">
        <v>5.3333333333333233E-2</v>
      </c>
      <c r="DW25" s="3">
        <v>-9.3112582781456954</v>
      </c>
      <c r="DX25" s="3">
        <v>0.34267701311725318</v>
      </c>
      <c r="DY25" s="3">
        <v>-9.0288464875265628</v>
      </c>
      <c r="DZ25" s="3">
        <v>227</v>
      </c>
      <c r="EA25" s="3">
        <v>-9.0275650486481815</v>
      </c>
      <c r="EB25" s="3">
        <v>9</v>
      </c>
      <c r="EC25" s="3">
        <v>4.4253589423064593E-2</v>
      </c>
      <c r="ED25" s="3">
        <v>0.47750342721784961</v>
      </c>
      <c r="EE25" s="13">
        <v>-1.0019</v>
      </c>
      <c r="EF25" s="3">
        <v>-1.0280100000000001</v>
      </c>
      <c r="EG25" s="3">
        <v>25.092677013117253</v>
      </c>
      <c r="EH25" s="3" t="s">
        <v>571</v>
      </c>
      <c r="EI25" s="3">
        <v>0</v>
      </c>
      <c r="EJ25" s="3">
        <v>1</v>
      </c>
      <c r="EK25" s="15">
        <v>45470</v>
      </c>
      <c r="EL25" s="16">
        <v>-0.38</v>
      </c>
      <c r="EM25" s="16">
        <v>-4.51</v>
      </c>
      <c r="EN25" s="16">
        <v>-0.6</v>
      </c>
      <c r="EO25" s="16">
        <v>1.66</v>
      </c>
      <c r="EP25" s="16">
        <v>-2.99</v>
      </c>
    </row>
    <row r="26" spans="1:146" ht="96" x14ac:dyDescent="0.25">
      <c r="C26" s="7" t="str">
        <f>""&amp;CHAR(10)&amp;Basic_Fundamental_Information_Constructure(F26)&amp;CHAR(10)&amp;Basic_Fundamental_Information_Concatenate("")</f>
        <v xml:space="preserve">
市值772.84048亿, 利润20.18亿; PE32.5; 平均PE5.11; 平均PEG56413945.49, PB2.3; ROIC9.0533%; ROE9.195%; 股利率.8246%; 毛利36.7667%; 净利15.1133%; 上一年度营收增-5.69%, 利润增-18.46%; 当季营收增34.71%, 利润增36.42%; 过往5年营收增.04%, 利润增-5.01%
Income profile:
</v>
      </c>
      <c r="D26" s="3" t="s">
        <v>272</v>
      </c>
      <c r="E26" s="3" t="s">
        <v>273</v>
      </c>
      <c r="F26" s="3">
        <v>54.57</v>
      </c>
      <c r="G26" s="3">
        <v>0.59</v>
      </c>
      <c r="H26" s="3" t="s">
        <v>541</v>
      </c>
      <c r="I26" s="3">
        <v>77284048000</v>
      </c>
      <c r="J26" s="3">
        <v>32.5</v>
      </c>
      <c r="K26" s="3">
        <v>2.2999999999999998</v>
      </c>
      <c r="L26" s="3" t="s">
        <v>134</v>
      </c>
      <c r="M26" s="3" t="s">
        <v>428</v>
      </c>
      <c r="N26" s="3" t="s">
        <v>429</v>
      </c>
      <c r="O26" s="3" t="s">
        <v>430</v>
      </c>
      <c r="P26" s="3">
        <v>27.56</v>
      </c>
      <c r="Q26" s="3" t="s">
        <v>341</v>
      </c>
      <c r="R26" s="3">
        <v>1562633200</v>
      </c>
      <c r="S26" s="5">
        <v>0.29970000000000002</v>
      </c>
      <c r="T26" s="3" t="s">
        <v>118</v>
      </c>
      <c r="U26" s="3">
        <v>209844490</v>
      </c>
      <c r="V26" s="3">
        <v>1416236900</v>
      </c>
      <c r="W26" s="3">
        <v>1.37</v>
      </c>
      <c r="X26" s="3">
        <v>0.24</v>
      </c>
      <c r="Y26" s="3">
        <v>14.47</v>
      </c>
      <c r="Z26" s="3" t="s">
        <v>431</v>
      </c>
      <c r="AA26" s="3" t="s">
        <v>432</v>
      </c>
      <c r="AB26" s="3" t="s">
        <v>433</v>
      </c>
      <c r="AC26" s="3" t="s">
        <v>434</v>
      </c>
      <c r="AD26" s="3" t="s">
        <v>383</v>
      </c>
      <c r="AE26" s="3">
        <v>-126851104</v>
      </c>
      <c r="AF26" s="3" t="s">
        <v>435</v>
      </c>
      <c r="AG26" s="3" t="s">
        <v>436</v>
      </c>
      <c r="AH26" s="3" t="s">
        <v>437</v>
      </c>
      <c r="AI26" s="3" t="s">
        <v>438</v>
      </c>
      <c r="AJ26" s="3" t="s">
        <v>439</v>
      </c>
      <c r="AK26" s="3" t="s">
        <v>440</v>
      </c>
      <c r="AL26" s="3" t="s">
        <v>441</v>
      </c>
      <c r="AM26" s="3" t="s">
        <v>47</v>
      </c>
      <c r="AN26" s="3" t="s">
        <v>442</v>
      </c>
      <c r="AO26" s="3" t="s">
        <v>417</v>
      </c>
      <c r="AP26" s="3" t="s">
        <v>443</v>
      </c>
      <c r="AQ26" s="3" t="s">
        <v>444</v>
      </c>
      <c r="AR26" s="3" t="s">
        <v>47</v>
      </c>
      <c r="AS26" s="3" t="s">
        <v>445</v>
      </c>
      <c r="AT26" s="3" t="s">
        <v>446</v>
      </c>
      <c r="AU26" s="3" t="s">
        <v>126</v>
      </c>
      <c r="AV26" s="3" t="s">
        <v>447</v>
      </c>
      <c r="AW26" s="3" t="s">
        <v>448</v>
      </c>
      <c r="AX26" s="3" t="s">
        <v>274</v>
      </c>
      <c r="AY26" s="3" t="s">
        <v>276</v>
      </c>
      <c r="AZ26" s="3" t="s">
        <v>277</v>
      </c>
      <c r="BA26" s="3" t="s">
        <v>342</v>
      </c>
      <c r="BB26" s="3" t="s">
        <v>47</v>
      </c>
      <c r="BC26" s="3" t="s">
        <v>275</v>
      </c>
      <c r="BD26" s="3" t="s">
        <v>278</v>
      </c>
      <c r="BE26" s="3" t="s">
        <v>279</v>
      </c>
      <c r="BF26" s="3" t="s">
        <v>280</v>
      </c>
      <c r="BG26" s="3" t="s">
        <v>47</v>
      </c>
      <c r="BH26" s="3" t="s">
        <v>449</v>
      </c>
      <c r="BI26" s="3" t="s">
        <v>450</v>
      </c>
      <c r="BJ26" s="3" t="s">
        <v>384</v>
      </c>
      <c r="BK26" s="3" t="s">
        <v>451</v>
      </c>
      <c r="BL26" s="3" t="s">
        <v>452</v>
      </c>
      <c r="BM26" s="3" t="s">
        <v>385</v>
      </c>
      <c r="BN26" s="3">
        <v>5.87</v>
      </c>
      <c r="BO26" s="3">
        <v>9.93</v>
      </c>
      <c r="BP26" s="3">
        <v>11.36</v>
      </c>
      <c r="BQ26" s="3">
        <v>7.56</v>
      </c>
      <c r="BR26" s="3">
        <v>10.83</v>
      </c>
      <c r="BS26" s="3" t="s">
        <v>47</v>
      </c>
      <c r="BT26" s="3" t="s">
        <v>537</v>
      </c>
      <c r="BU26" s="3" t="s">
        <v>370</v>
      </c>
      <c r="BV26" s="3">
        <v>34.200000000000003</v>
      </c>
      <c r="BW26" s="3">
        <v>37.22</v>
      </c>
      <c r="BX26" s="3">
        <v>38.880000000000003</v>
      </c>
      <c r="BY26" s="3">
        <v>13.47</v>
      </c>
      <c r="BZ26" s="3">
        <v>15.57</v>
      </c>
      <c r="CA26" s="3">
        <v>16.3</v>
      </c>
      <c r="CB26" s="3">
        <v>3.76</v>
      </c>
      <c r="CC26" s="3">
        <v>-4.5</v>
      </c>
      <c r="CD26" s="3" t="s">
        <v>542</v>
      </c>
      <c r="CE26" s="3" t="s">
        <v>77</v>
      </c>
      <c r="CF26" s="10">
        <v>0.34714941140024741</v>
      </c>
      <c r="CG26" s="11">
        <v>0.36416804733727787</v>
      </c>
      <c r="CH26" s="10">
        <v>-5.694146454334259E-2</v>
      </c>
      <c r="CI26" s="10">
        <v>-1.6560360789299011E-2</v>
      </c>
      <c r="CJ26" s="10">
        <v>4.1256841272115707E-2</v>
      </c>
      <c r="CK26" s="10">
        <v>3.3940896391868591E-2</v>
      </c>
      <c r="CL26" s="10" t="e">
        <v>#VALUE!</v>
      </c>
      <c r="CM26" s="11">
        <v>-0.18464648723602295</v>
      </c>
      <c r="CN26" s="11">
        <v>-6.9198943674564362E-2</v>
      </c>
      <c r="CO26" s="11">
        <v>1.7993899062275887E-2</v>
      </c>
      <c r="CP26" s="11">
        <v>3.5275440663099289E-2</v>
      </c>
      <c r="CQ26" s="11" t="e">
        <v>#VALUE!</v>
      </c>
      <c r="CR26" s="3">
        <v>5.111040804179618</v>
      </c>
      <c r="CS26" s="3">
        <v>56413945.490584739</v>
      </c>
      <c r="CT26" s="3">
        <v>0.82462891698735563</v>
      </c>
      <c r="CU26" s="10">
        <v>4.2397808283567429E-4</v>
      </c>
      <c r="CV26" s="11">
        <v>-5.0144022796303034E-2</v>
      </c>
      <c r="CW26" s="3">
        <v>0.06</v>
      </c>
      <c r="CX26" s="3">
        <v>29.251082265470963</v>
      </c>
      <c r="CY26" s="3">
        <v>1904580743.1803417</v>
      </c>
      <c r="CZ26" s="3">
        <v>4.2397808283567429E-4</v>
      </c>
      <c r="DA26" s="3">
        <v>10.319918164813455</v>
      </c>
      <c r="DB26" s="3">
        <v>5398400172.3919725</v>
      </c>
      <c r="DC26" s="3">
        <v>4.0277917869389055E-4</v>
      </c>
      <c r="DD26" s="3">
        <v>5.6072727542784611</v>
      </c>
      <c r="DE26" s="3">
        <v>9935498136.3250713</v>
      </c>
      <c r="DF26" s="3">
        <v>3.731007128953934E-4</v>
      </c>
      <c r="DG26" s="3">
        <v>3.7445304890162681</v>
      </c>
      <c r="DH26" s="3">
        <v>14877979539.334969</v>
      </c>
      <c r="DI26" s="3">
        <v>3.3918246626853945E-4</v>
      </c>
      <c r="DJ26" s="3">
        <v>2.40076785169299</v>
      </c>
      <c r="DK26" s="3">
        <v>23205512336.693985</v>
      </c>
      <c r="DL26" s="3">
        <v>2.9678465798497198E-4</v>
      </c>
      <c r="DM26" s="3">
        <v>2018000000</v>
      </c>
      <c r="DN26" s="3">
        <v>4.2397808283567429E-4</v>
      </c>
      <c r="DO26" s="3">
        <v>55711048000</v>
      </c>
      <c r="DP26" s="3">
        <v>24731140000</v>
      </c>
      <c r="DQ26" s="3">
        <v>4573</v>
      </c>
      <c r="DR26" s="3">
        <v>0.34672543331741174</v>
      </c>
      <c r="DS26" s="3">
        <v>0.4143120701335809</v>
      </c>
      <c r="DT26" s="12">
        <v>0.6</v>
      </c>
      <c r="DU26" s="3">
        <v>0.6</v>
      </c>
      <c r="DV26" s="3">
        <v>1.2</v>
      </c>
      <c r="DW26" s="3">
        <v>6.4552058111380148</v>
      </c>
      <c r="DX26" s="3">
        <v>0.34066666666666534</v>
      </c>
      <c r="DY26" s="3">
        <v>6.0458240516545603</v>
      </c>
      <c r="DZ26" s="3">
        <v>1848</v>
      </c>
      <c r="EA26" s="3">
        <v>6.0285875673358902</v>
      </c>
      <c r="EB26" s="3">
        <v>6</v>
      </c>
      <c r="EC26" s="3">
        <v>8.1031640963457451E-3</v>
      </c>
      <c r="ED26" s="3">
        <v>8.0495007579593492E-2</v>
      </c>
      <c r="EE26" s="13">
        <v>2.2010000000000002E-2</v>
      </c>
      <c r="EF26" s="3">
        <v>1.6109999999999999E-2</v>
      </c>
      <c r="EG26" s="3">
        <v>24.100666666666665</v>
      </c>
      <c r="EH26" s="3">
        <v>-1</v>
      </c>
      <c r="EI26" s="3">
        <v>0</v>
      </c>
      <c r="EJ26" s="3">
        <v>0</v>
      </c>
      <c r="EK26" s="15">
        <v>44925</v>
      </c>
      <c r="EL26" s="16">
        <v>3.86</v>
      </c>
      <c r="EM26" s="16">
        <v>-0.4</v>
      </c>
      <c r="EN26" s="16">
        <v>-2.1800000000000002</v>
      </c>
      <c r="EO26" s="16">
        <v>-0.13</v>
      </c>
      <c r="EP26" s="16">
        <v>0.79</v>
      </c>
    </row>
    <row r="27" spans="1:146" ht="108" x14ac:dyDescent="0.25">
      <c r="C27" s="7" t="str">
        <f>""&amp;CHAR(10)&amp;Basic_Fundamental_Information_Constructure(F27)&amp;CHAR(10)&amp;Basic_Fundamental_Information_Concatenate("")</f>
        <v xml:space="preserve">
市值23.819151亿, 利润-1.02亿; PE58.04; 平均PE25.75; 平均PEG3.55, PB1.48; ROIC7.5%; ROE9.72%; 股利率.3476%; 毛利20.76%; 净利8.4333%; 上一年度营收增-74.93%, 利润增-171.83%; 当季营收增78.38%, 利润增99.58%; 过往5年营收增-7.26%, 利润增-16.43%
Income profile:
</v>
      </c>
      <c r="D27" s="3" t="s">
        <v>281</v>
      </c>
      <c r="E27" s="3" t="s">
        <v>282</v>
      </c>
      <c r="F27" s="3">
        <v>6.33</v>
      </c>
      <c r="G27" s="3">
        <v>0.8</v>
      </c>
      <c r="H27" s="3" t="s">
        <v>1212</v>
      </c>
      <c r="I27" s="3">
        <v>2381915100</v>
      </c>
      <c r="J27" s="3">
        <v>58.04</v>
      </c>
      <c r="K27" s="3">
        <v>1.48</v>
      </c>
      <c r="L27" s="3" t="s">
        <v>370</v>
      </c>
      <c r="M27" s="3" t="s">
        <v>1213</v>
      </c>
      <c r="N27" s="3" t="s">
        <v>1214</v>
      </c>
      <c r="O27" s="3" t="s">
        <v>72</v>
      </c>
      <c r="P27" s="3">
        <v>-45.95</v>
      </c>
      <c r="Q27" s="3" t="s">
        <v>1215</v>
      </c>
      <c r="R27" s="3">
        <v>-86262</v>
      </c>
      <c r="S27" s="5">
        <v>-1.006</v>
      </c>
      <c r="T27" s="3" t="s">
        <v>1216</v>
      </c>
      <c r="U27" s="3">
        <v>94100000</v>
      </c>
      <c r="V27" s="3">
        <v>376289910</v>
      </c>
      <c r="W27" s="3">
        <v>1.86</v>
      </c>
      <c r="X27" s="3">
        <v>0.04</v>
      </c>
      <c r="Y27" s="3">
        <v>0.56999999999999995</v>
      </c>
      <c r="Z27" s="3" t="s">
        <v>635</v>
      </c>
      <c r="AA27" s="3" t="s">
        <v>1217</v>
      </c>
      <c r="AB27" s="3" t="s">
        <v>1218</v>
      </c>
      <c r="AC27" s="3" t="s">
        <v>1219</v>
      </c>
      <c r="AD27" s="3" t="s">
        <v>47</v>
      </c>
      <c r="AE27" s="3">
        <v>-247790</v>
      </c>
      <c r="AF27" s="3" t="s">
        <v>58</v>
      </c>
      <c r="AG27" s="3">
        <v>2176.9899999999998</v>
      </c>
      <c r="AH27" s="3" t="s">
        <v>1220</v>
      </c>
      <c r="AI27" s="3" t="s">
        <v>570</v>
      </c>
      <c r="AJ27" s="3" t="s">
        <v>1221</v>
      </c>
      <c r="AK27" s="3" t="s">
        <v>1222</v>
      </c>
      <c r="AL27" s="3" t="s">
        <v>1223</v>
      </c>
      <c r="AM27" s="3" t="s">
        <v>47</v>
      </c>
      <c r="AN27" s="3" t="s">
        <v>1224</v>
      </c>
      <c r="AO27" s="3" t="s">
        <v>1225</v>
      </c>
      <c r="AP27" s="3" t="s">
        <v>1226</v>
      </c>
      <c r="AQ27" s="3" t="s">
        <v>425</v>
      </c>
      <c r="AR27" s="3" t="s">
        <v>1227</v>
      </c>
      <c r="AS27" s="3" t="s">
        <v>1228</v>
      </c>
      <c r="AT27" s="3" t="s">
        <v>47</v>
      </c>
      <c r="AU27" s="3" t="s">
        <v>1229</v>
      </c>
      <c r="AV27" s="3" t="s">
        <v>1230</v>
      </c>
      <c r="AW27" s="3" t="s">
        <v>1231</v>
      </c>
      <c r="AX27" s="3" t="s">
        <v>1232</v>
      </c>
      <c r="AY27" s="3" t="s">
        <v>343</v>
      </c>
      <c r="AZ27" s="3" t="s">
        <v>283</v>
      </c>
      <c r="BA27" s="3" t="s">
        <v>284</v>
      </c>
      <c r="BB27" s="3" t="s">
        <v>285</v>
      </c>
      <c r="BC27" s="3" t="s">
        <v>852</v>
      </c>
      <c r="BD27" s="3" t="s">
        <v>327</v>
      </c>
      <c r="BE27" s="3" t="s">
        <v>55</v>
      </c>
      <c r="BF27" s="3" t="s">
        <v>51</v>
      </c>
      <c r="BG27" s="3" t="s">
        <v>286</v>
      </c>
      <c r="BH27" s="3" t="s">
        <v>1233</v>
      </c>
      <c r="BI27" s="3" t="s">
        <v>1234</v>
      </c>
      <c r="BJ27" s="3" t="s">
        <v>1232</v>
      </c>
      <c r="BK27" s="3" t="s">
        <v>1235</v>
      </c>
      <c r="BL27" s="3" t="s">
        <v>1236</v>
      </c>
      <c r="BM27" s="3" t="s">
        <v>852</v>
      </c>
      <c r="BN27" s="3">
        <v>3.4</v>
      </c>
      <c r="BO27" s="3">
        <v>8.14</v>
      </c>
      <c r="BP27" s="3">
        <v>10.96</v>
      </c>
      <c r="BQ27" s="3">
        <v>3.87</v>
      </c>
      <c r="BR27" s="3">
        <v>9.25</v>
      </c>
      <c r="BS27" s="3">
        <v>16.04</v>
      </c>
      <c r="BT27" s="3" t="s">
        <v>1237</v>
      </c>
      <c r="BU27" s="3" t="s">
        <v>370</v>
      </c>
      <c r="BV27" s="3">
        <v>18.61</v>
      </c>
      <c r="BW27" s="3">
        <v>21.61</v>
      </c>
      <c r="BX27" s="3">
        <v>22.06</v>
      </c>
      <c r="BY27" s="3">
        <v>5.0999999999999996</v>
      </c>
      <c r="BZ27" s="3">
        <v>9.8800000000000008</v>
      </c>
      <c r="CA27" s="3">
        <v>10.32</v>
      </c>
      <c r="CB27" s="3">
        <v>-1.56</v>
      </c>
      <c r="CC27" s="3">
        <v>-7.97</v>
      </c>
      <c r="CD27" s="3" t="s">
        <v>1238</v>
      </c>
      <c r="CE27" s="3" t="s">
        <v>1239</v>
      </c>
      <c r="CF27" s="10">
        <v>0.78378403101649774</v>
      </c>
      <c r="CG27" s="11">
        <v>0.99580323434398477</v>
      </c>
      <c r="CH27" s="10">
        <v>-0.74932801723480225</v>
      </c>
      <c r="CI27" s="10">
        <v>5.1590058952569962E-2</v>
      </c>
      <c r="CJ27" s="10">
        <v>4.4280439615249634E-2</v>
      </c>
      <c r="CK27" s="10">
        <v>5.2836049348115921E-2</v>
      </c>
      <c r="CL27" s="10">
        <v>0.23750005662441254</v>
      </c>
      <c r="CM27" s="11">
        <v>-1.7183098793029785</v>
      </c>
      <c r="CN27" s="11">
        <v>7.0921983569860458E-3</v>
      </c>
      <c r="CO27" s="11">
        <v>-0.11320754885673523</v>
      </c>
      <c r="CP27" s="11">
        <v>0.13571429252624512</v>
      </c>
      <c r="CQ27" s="11">
        <v>0.86707735061645508</v>
      </c>
      <c r="CR27" s="3">
        <v>25.751199089702666</v>
      </c>
      <c r="CS27" s="3">
        <v>3.5458111515129547</v>
      </c>
      <c r="CT27" s="3">
        <v>0.34755134281200634</v>
      </c>
      <c r="CU27" s="10">
        <v>-7.2624282538890833E-2</v>
      </c>
      <c r="CV27" s="11">
        <v>-0.16432671733200549</v>
      </c>
      <c r="CW27" s="3">
        <v>0.06</v>
      </c>
      <c r="CX27" s="3" t="e">
        <v>#VALUE!</v>
      </c>
      <c r="CY27" s="3" t="s">
        <v>354</v>
      </c>
      <c r="CZ27" s="3">
        <v>-7.2624282538890833E-2</v>
      </c>
      <c r="DA27" s="3" t="e">
        <v>#VALUE!</v>
      </c>
      <c r="DB27" s="3" t="s">
        <v>355</v>
      </c>
      <c r="DC27" s="3">
        <v>-6.8993068411946287E-2</v>
      </c>
      <c r="DD27" s="3" t="e">
        <v>#VALUE!</v>
      </c>
      <c r="DE27" s="3" t="s">
        <v>355</v>
      </c>
      <c r="DF27" s="3">
        <v>-6.3909368634223931E-2</v>
      </c>
      <c r="DG27" s="3" t="e">
        <v>#VALUE!</v>
      </c>
      <c r="DH27" s="3" t="s">
        <v>355</v>
      </c>
      <c r="DI27" s="3">
        <v>-5.8099426031112671E-2</v>
      </c>
      <c r="DJ27" s="3" t="e">
        <v>#VALUE!</v>
      </c>
      <c r="DK27" s="3" t="s">
        <v>355</v>
      </c>
      <c r="DL27" s="3">
        <v>-5.0836997777223579E-2</v>
      </c>
      <c r="DM27" s="3">
        <v>-102000000</v>
      </c>
      <c r="DN27" s="3">
        <v>-7.2624282538890833E-2</v>
      </c>
      <c r="DO27" s="3">
        <v>2338915100</v>
      </c>
      <c r="DP27" s="3">
        <v>879081200</v>
      </c>
      <c r="DQ27" s="3">
        <v>4786</v>
      </c>
      <c r="DR27" s="3">
        <v>0.8564083135553886</v>
      </c>
      <c r="DS27" s="3">
        <v>1.1601299516759902</v>
      </c>
      <c r="DT27" s="12">
        <v>-0.67333333333333334</v>
      </c>
      <c r="DU27" s="3">
        <v>-1.2283333333333333</v>
      </c>
      <c r="DV27" s="3">
        <v>-1.9016666666666666</v>
      </c>
      <c r="DW27" s="3">
        <v>-2.0796999999999999</v>
      </c>
      <c r="DX27" s="3">
        <v>0.32380081889242729</v>
      </c>
      <c r="DY27" s="3">
        <v>-2.0082729252657265</v>
      </c>
      <c r="DZ27" s="3">
        <v>4925</v>
      </c>
      <c r="EA27" s="3">
        <v>-2.0002995090360391</v>
      </c>
      <c r="EB27" s="3">
        <v>2</v>
      </c>
      <c r="EC27" s="3">
        <v>6.6698572916823627E-3</v>
      </c>
      <c r="ED27" s="3">
        <v>6.4256307058565568E-2</v>
      </c>
      <c r="EE27" s="13">
        <v>-1.0179100000000001</v>
      </c>
      <c r="EF27" s="3">
        <v>-1.05311</v>
      </c>
      <c r="EG27" s="3">
        <v>22.103800818892427</v>
      </c>
      <c r="EH27" s="3" t="s">
        <v>571</v>
      </c>
      <c r="EI27" s="3">
        <v>0</v>
      </c>
      <c r="EJ27" s="3">
        <v>0</v>
      </c>
      <c r="EK27" s="15">
        <v>45470</v>
      </c>
      <c r="EL27" s="16">
        <v>12.61</v>
      </c>
      <c r="EM27" s="16">
        <v>0.48</v>
      </c>
      <c r="EN27" s="16">
        <v>-6.18</v>
      </c>
      <c r="EO27" s="16">
        <v>-3.06</v>
      </c>
      <c r="EP27" s="16">
        <v>-3.52</v>
      </c>
    </row>
    <row r="28" spans="1:146" ht="108" x14ac:dyDescent="0.25">
      <c r="C28" s="7" t="str">
        <f>""&amp;CHAR(10)&amp;Basic_Fundamental_Information_Constructure(F28)&amp;CHAR(10)&amp;Basic_Fundamental_Information_Concatenate("")</f>
        <v xml:space="preserve">
市值9.8370873亿, 利润-9126.00万; PE46.22; 平均PE47.68; 平均PEG.56, PB1.71; ROIC8.2533%; ROE8.5067%; 股利率.8881%; 毛利35.93%; 净利16.17%; 上一年度营收增331.46%, 利润增-278.78%; 当季营收增-88.33%, 利润增102.33%; 过往5年营收增85.73%, 利润增-32.76%
Income profile:
</v>
      </c>
      <c r="D28" s="3" t="s">
        <v>287</v>
      </c>
      <c r="E28" s="3" t="s">
        <v>288</v>
      </c>
      <c r="F28" s="3">
        <v>11.26</v>
      </c>
      <c r="G28" s="3">
        <v>0.63</v>
      </c>
      <c r="H28" s="3" t="s">
        <v>1240</v>
      </c>
      <c r="I28" s="3">
        <v>983708730</v>
      </c>
      <c r="J28" s="3">
        <v>46.22</v>
      </c>
      <c r="K28" s="3">
        <v>1.71</v>
      </c>
      <c r="L28" s="3" t="s">
        <v>370</v>
      </c>
      <c r="M28" s="3" t="s">
        <v>113</v>
      </c>
      <c r="N28" s="3" t="s">
        <v>207</v>
      </c>
      <c r="O28" s="3" t="s">
        <v>1241</v>
      </c>
      <c r="P28" s="3">
        <v>71.599999999999994</v>
      </c>
      <c r="Q28" s="3" t="s">
        <v>1242</v>
      </c>
      <c r="R28" s="3">
        <v>1396294</v>
      </c>
      <c r="S28" s="5">
        <v>8.1199999999999992</v>
      </c>
      <c r="T28" s="3" t="s">
        <v>1243</v>
      </c>
      <c r="U28" s="3">
        <v>87363120</v>
      </c>
      <c r="V28" s="3">
        <v>87363120</v>
      </c>
      <c r="W28" s="3">
        <v>1.34</v>
      </c>
      <c r="X28" s="3">
        <v>0.04</v>
      </c>
      <c r="Y28" s="3">
        <v>4.53</v>
      </c>
      <c r="Z28" s="3" t="s">
        <v>1244</v>
      </c>
      <c r="AA28" s="3" t="s">
        <v>1245</v>
      </c>
      <c r="AB28" s="3" t="s">
        <v>1246</v>
      </c>
      <c r="AC28" s="3" t="s">
        <v>1247</v>
      </c>
      <c r="AD28" s="3" t="s">
        <v>47</v>
      </c>
      <c r="AE28" s="3">
        <v>-393710</v>
      </c>
      <c r="AF28" s="3" t="s">
        <v>1248</v>
      </c>
      <c r="AG28" s="3" t="s">
        <v>47</v>
      </c>
      <c r="AH28" s="3" t="s">
        <v>1249</v>
      </c>
      <c r="AI28" s="3" t="s">
        <v>1250</v>
      </c>
      <c r="AJ28" s="3" t="s">
        <v>1251</v>
      </c>
      <c r="AK28" s="3" t="s">
        <v>1252</v>
      </c>
      <c r="AL28" s="3" t="s">
        <v>1253</v>
      </c>
      <c r="AM28" s="3" t="s">
        <v>47</v>
      </c>
      <c r="AN28" s="3" t="s">
        <v>1254</v>
      </c>
      <c r="AO28" s="3" t="s">
        <v>47</v>
      </c>
      <c r="AP28" s="3" t="s">
        <v>1255</v>
      </c>
      <c r="AQ28" s="3" t="s">
        <v>66</v>
      </c>
      <c r="AR28" s="3" t="s">
        <v>47</v>
      </c>
      <c r="AS28" s="3" t="s">
        <v>546</v>
      </c>
      <c r="AT28" s="3" t="s">
        <v>1256</v>
      </c>
      <c r="AU28" s="3" t="s">
        <v>1257</v>
      </c>
      <c r="AV28" s="3" t="s">
        <v>1258</v>
      </c>
      <c r="AW28" s="3" t="s">
        <v>1055</v>
      </c>
      <c r="AX28" s="3" t="s">
        <v>105</v>
      </c>
      <c r="AY28" s="3" t="s">
        <v>71</v>
      </c>
      <c r="AZ28" s="3" t="s">
        <v>238</v>
      </c>
      <c r="BA28" s="3" t="s">
        <v>108</v>
      </c>
      <c r="BB28" s="3" t="s">
        <v>65</v>
      </c>
      <c r="BC28" s="3" t="s">
        <v>1259</v>
      </c>
      <c r="BD28" s="3" t="s">
        <v>344</v>
      </c>
      <c r="BE28" s="3" t="s">
        <v>289</v>
      </c>
      <c r="BF28" s="3" t="s">
        <v>290</v>
      </c>
      <c r="BG28" s="3" t="s">
        <v>291</v>
      </c>
      <c r="BH28" s="3" t="s">
        <v>1148</v>
      </c>
      <c r="BI28" s="3" t="s">
        <v>586</v>
      </c>
      <c r="BJ28" s="3" t="s">
        <v>105</v>
      </c>
      <c r="BK28" s="3" t="s">
        <v>1260</v>
      </c>
      <c r="BL28" s="3" t="s">
        <v>1261</v>
      </c>
      <c r="BM28" s="3" t="s">
        <v>1259</v>
      </c>
      <c r="BN28" s="3">
        <v>1.76</v>
      </c>
      <c r="BO28" s="3">
        <v>9.09</v>
      </c>
      <c r="BP28" s="3">
        <v>13.91</v>
      </c>
      <c r="BQ28" s="3">
        <v>1.85</v>
      </c>
      <c r="BR28" s="3">
        <v>9.4</v>
      </c>
      <c r="BS28" s="3">
        <v>14.27</v>
      </c>
      <c r="BT28" s="3" t="s">
        <v>535</v>
      </c>
      <c r="BU28" s="3" t="s">
        <v>370</v>
      </c>
      <c r="BV28" s="3">
        <v>33.25</v>
      </c>
      <c r="BW28" s="3">
        <v>36.299999999999997</v>
      </c>
      <c r="BX28" s="3">
        <v>38.24</v>
      </c>
      <c r="BY28" s="3">
        <v>8.69</v>
      </c>
      <c r="BZ28" s="3">
        <v>16.940000000000001</v>
      </c>
      <c r="CA28" s="3">
        <v>22.88</v>
      </c>
      <c r="CB28" s="3">
        <v>-7.7</v>
      </c>
      <c r="CC28" s="3">
        <v>-14.95</v>
      </c>
      <c r="CD28" s="3" t="s">
        <v>1262</v>
      </c>
      <c r="CE28" s="3" t="s">
        <v>1263</v>
      </c>
      <c r="CF28" s="10">
        <v>-0.88331622641509433</v>
      </c>
      <c r="CG28" s="11">
        <v>1.0232656339300146</v>
      </c>
      <c r="CH28" s="10">
        <v>3.3145697116851807</v>
      </c>
      <c r="CI28" s="10">
        <v>0.20800000429153442</v>
      </c>
      <c r="CJ28" s="10">
        <v>0.18483412265777588</v>
      </c>
      <c r="CK28" s="10">
        <v>0.24852071702480316</v>
      </c>
      <c r="CL28" s="10">
        <v>0.33070865273475647</v>
      </c>
      <c r="CM28" s="11">
        <v>-2.7877500057220459</v>
      </c>
      <c r="CN28" s="11">
        <v>-0.10842489451169968</v>
      </c>
      <c r="CO28" s="11">
        <v>0.17967520654201508</v>
      </c>
      <c r="CP28" s="11">
        <v>0.30377715826034546</v>
      </c>
      <c r="CQ28" s="11">
        <v>0.77486151456832886</v>
      </c>
      <c r="CR28" s="3">
        <v>47.684179579569872</v>
      </c>
      <c r="CS28" s="3">
        <v>0.55619617146383193</v>
      </c>
      <c r="CT28" s="3">
        <v>0.88809946714031973</v>
      </c>
      <c r="CU28" s="10">
        <v>0.85732664167881012</v>
      </c>
      <c r="CV28" s="11">
        <v>-0.32757220417261124</v>
      </c>
      <c r="CW28" s="3">
        <v>0.06</v>
      </c>
      <c r="CX28" s="3" t="e">
        <v>#VALUE!</v>
      </c>
      <c r="CY28" s="3" t="s">
        <v>355</v>
      </c>
      <c r="CZ28" s="3">
        <v>0.85732664167881012</v>
      </c>
      <c r="DA28" s="3" t="e">
        <v>#VALUE!</v>
      </c>
      <c r="DB28" s="3" t="s">
        <v>355</v>
      </c>
      <c r="DC28" s="3">
        <v>0.81446030959486959</v>
      </c>
      <c r="DD28" s="3" t="e">
        <v>#VALUE!</v>
      </c>
      <c r="DE28" s="3" t="s">
        <v>355</v>
      </c>
      <c r="DF28" s="3">
        <v>0.75444744467735292</v>
      </c>
      <c r="DG28" s="3" t="e">
        <v>#VALUE!</v>
      </c>
      <c r="DH28" s="3" t="s">
        <v>355</v>
      </c>
      <c r="DI28" s="3">
        <v>0.68586131334304812</v>
      </c>
      <c r="DJ28" s="3" t="e">
        <v>#VALUE!</v>
      </c>
      <c r="DK28" s="3" t="s">
        <v>355</v>
      </c>
      <c r="DL28" s="3">
        <v>0.60012864917516706</v>
      </c>
      <c r="DM28" s="3">
        <v>-91260000</v>
      </c>
      <c r="DN28" s="3">
        <v>0.85732664167881012</v>
      </c>
      <c r="DO28" s="3">
        <v>605708730</v>
      </c>
      <c r="DP28" s="3">
        <v>442131940</v>
      </c>
      <c r="DQ28" s="3">
        <v>4858</v>
      </c>
      <c r="DR28" s="3">
        <v>-1.7406428680939046</v>
      </c>
      <c r="DS28" s="3">
        <v>1.3508378381026258</v>
      </c>
      <c r="DT28" s="12">
        <v>0.35999999999999993</v>
      </c>
      <c r="DU28" s="3">
        <v>-0.51999999999999991</v>
      </c>
      <c r="DV28" s="3">
        <v>-0.15999999999999998</v>
      </c>
      <c r="DW28" s="3">
        <v>-9.5150501672240804</v>
      </c>
      <c r="DX28" s="3">
        <v>0.3228155948024295</v>
      </c>
      <c r="DY28" s="3">
        <v>-9.0890087010019194</v>
      </c>
      <c r="DZ28" s="3">
        <v>3619</v>
      </c>
      <c r="EA28" s="3">
        <v>-9.0259710319361766</v>
      </c>
      <c r="EB28" s="3">
        <v>9</v>
      </c>
      <c r="EC28" s="3">
        <v>3.7891274945308723E-2</v>
      </c>
      <c r="ED28" s="3">
        <v>0.21925842392075742</v>
      </c>
      <c r="EE28" s="13">
        <v>-2.00251</v>
      </c>
      <c r="EF28" s="3">
        <v>-2.0312100000000002</v>
      </c>
      <c r="EG28" s="3">
        <v>15.172815594802429</v>
      </c>
      <c r="EH28" s="3" t="s">
        <v>833</v>
      </c>
      <c r="EI28" s="3">
        <v>0</v>
      </c>
      <c r="EJ28" s="3">
        <v>0</v>
      </c>
      <c r="EK28" s="15">
        <v>45470</v>
      </c>
      <c r="EL28" s="16">
        <v>-0.61</v>
      </c>
      <c r="EM28" s="16">
        <v>-2.92</v>
      </c>
      <c r="EN28" s="16">
        <v>-4.28</v>
      </c>
      <c r="EO28" s="16">
        <v>5.66</v>
      </c>
      <c r="EP28" s="16">
        <v>-2.87</v>
      </c>
    </row>
    <row r="29" spans="1:146" ht="96" x14ac:dyDescent="0.25">
      <c r="A29" s="3"/>
      <c r="B29" s="3"/>
      <c r="C29" s="7" t="str">
        <f>""&amp;CHAR(10)&amp;Basic_Fundamental_Information_Constructure(F29)&amp;CHAR(10)&amp;Basic_Fundamental_Information_Concatenate("")</f>
        <v xml:space="preserve">
市值38.736亿, 利润7077.09万; PE33.63; 平均PE41.33; 平均PEG11.92, PB1.16; ROIC3.6667%; ROE4.4867%; 股利率1.2392%; 毛利37.9833%; 净利13.0367%; 上一年度营收增-36.96%, 利润增-38.46%; 当季营收增15.19%, 利润增-51.35%; 过往5年营收增-3.47%, 利润增4.72%
Income profile:
</v>
      </c>
      <c r="D29" s="3" t="s">
        <v>390</v>
      </c>
      <c r="E29" s="3" t="s">
        <v>391</v>
      </c>
      <c r="F29" s="3">
        <v>8.07</v>
      </c>
      <c r="G29" s="3">
        <v>-0.25</v>
      </c>
      <c r="H29" s="3" t="s">
        <v>1264</v>
      </c>
      <c r="I29" s="3">
        <v>3873600000</v>
      </c>
      <c r="J29" s="3">
        <v>33.630000000000003</v>
      </c>
      <c r="K29" s="3">
        <v>1.1599999999999999</v>
      </c>
      <c r="L29" s="3" t="s">
        <v>370</v>
      </c>
      <c r="M29" s="3" t="s">
        <v>422</v>
      </c>
      <c r="N29" s="3" t="s">
        <v>1265</v>
      </c>
      <c r="O29" s="3" t="s">
        <v>87</v>
      </c>
      <c r="P29" s="3">
        <v>8.52</v>
      </c>
      <c r="Q29" s="3" t="s">
        <v>604</v>
      </c>
      <c r="R29" s="3">
        <v>3628519</v>
      </c>
      <c r="S29" s="3">
        <v>5.27</v>
      </c>
      <c r="T29" s="3" t="s">
        <v>1266</v>
      </c>
      <c r="U29" s="3">
        <v>171166710</v>
      </c>
      <c r="V29" s="3">
        <v>480000000</v>
      </c>
      <c r="W29" s="3">
        <v>1.1499999999999999</v>
      </c>
      <c r="X29" s="3">
        <v>0.03</v>
      </c>
      <c r="Y29" s="3">
        <v>3.74</v>
      </c>
      <c r="Z29" s="3" t="s">
        <v>1267</v>
      </c>
      <c r="AA29" s="3" t="s">
        <v>1268</v>
      </c>
      <c r="AB29" s="3" t="s">
        <v>1269</v>
      </c>
      <c r="AC29" s="3" t="s">
        <v>1270</v>
      </c>
      <c r="AD29" s="3" t="s">
        <v>47</v>
      </c>
      <c r="AE29" s="3">
        <v>-11721070</v>
      </c>
      <c r="AF29" s="3" t="s">
        <v>1271</v>
      </c>
      <c r="AG29" s="3">
        <v>400</v>
      </c>
      <c r="AH29" s="3" t="s">
        <v>1272</v>
      </c>
      <c r="AI29" s="3" t="s">
        <v>1273</v>
      </c>
      <c r="AJ29" s="3" t="s">
        <v>1274</v>
      </c>
      <c r="AK29" s="3" t="s">
        <v>1275</v>
      </c>
      <c r="AL29" s="3" t="s">
        <v>1276</v>
      </c>
      <c r="AM29" s="3" t="s">
        <v>47</v>
      </c>
      <c r="AN29" s="3" t="s">
        <v>1277</v>
      </c>
      <c r="AO29" s="3" t="s">
        <v>47</v>
      </c>
      <c r="AP29" s="3" t="s">
        <v>47</v>
      </c>
      <c r="AQ29" s="3" t="s">
        <v>917</v>
      </c>
      <c r="AR29" s="3" t="s">
        <v>1278</v>
      </c>
      <c r="AS29" s="3" t="s">
        <v>94</v>
      </c>
      <c r="AT29" s="3" t="s">
        <v>47</v>
      </c>
      <c r="AU29" s="3" t="s">
        <v>1279</v>
      </c>
      <c r="AV29" s="3" t="s">
        <v>1280</v>
      </c>
      <c r="AW29" s="3" t="s">
        <v>1281</v>
      </c>
      <c r="AX29" s="3" t="s">
        <v>1282</v>
      </c>
      <c r="AY29" s="3" t="s">
        <v>1283</v>
      </c>
      <c r="AZ29" s="3" t="s">
        <v>393</v>
      </c>
      <c r="BA29" s="3" t="s">
        <v>394</v>
      </c>
      <c r="BB29" s="3" t="s">
        <v>395</v>
      </c>
      <c r="BC29" s="3" t="s">
        <v>635</v>
      </c>
      <c r="BD29" s="3" t="s">
        <v>1284</v>
      </c>
      <c r="BE29" s="3" t="s">
        <v>392</v>
      </c>
      <c r="BF29" s="3" t="s">
        <v>98</v>
      </c>
      <c r="BG29" s="3" t="s">
        <v>396</v>
      </c>
      <c r="BH29" s="3" t="s">
        <v>114</v>
      </c>
      <c r="BI29" s="3" t="s">
        <v>1285</v>
      </c>
      <c r="BJ29" s="3" t="s">
        <v>1282</v>
      </c>
      <c r="BK29" s="3" t="s">
        <v>63</v>
      </c>
      <c r="BL29" s="3" t="s">
        <v>1286</v>
      </c>
      <c r="BM29" s="3" t="s">
        <v>635</v>
      </c>
      <c r="BN29" s="3">
        <v>0.11</v>
      </c>
      <c r="BO29" s="3">
        <v>3.73</v>
      </c>
      <c r="BP29" s="3">
        <v>7.16</v>
      </c>
      <c r="BQ29" s="3">
        <v>0.9</v>
      </c>
      <c r="BR29" s="3">
        <v>4.8600000000000003</v>
      </c>
      <c r="BS29" s="3">
        <v>7.7</v>
      </c>
      <c r="BT29" s="3" t="s">
        <v>535</v>
      </c>
      <c r="BU29" s="3" t="s">
        <v>370</v>
      </c>
      <c r="BV29" s="3">
        <v>38.1</v>
      </c>
      <c r="BW29" s="3">
        <v>38.369999999999997</v>
      </c>
      <c r="BX29" s="3">
        <v>37.479999999999997</v>
      </c>
      <c r="BY29" s="3">
        <v>11.96</v>
      </c>
      <c r="BZ29" s="3">
        <v>13.63</v>
      </c>
      <c r="CA29" s="3">
        <v>13.52</v>
      </c>
      <c r="CB29" s="3">
        <v>-1.71</v>
      </c>
      <c r="CC29" s="10">
        <v>-9.6300000000000008</v>
      </c>
      <c r="CD29" s="11" t="s">
        <v>1287</v>
      </c>
      <c r="CE29" s="10" t="s">
        <v>1288</v>
      </c>
      <c r="CF29" s="10">
        <v>0.15191868594590771</v>
      </c>
      <c r="CG29" s="10">
        <v>-0.51353814184207003</v>
      </c>
      <c r="CH29" s="10">
        <v>-0.36963695287704468</v>
      </c>
      <c r="CI29" s="10">
        <v>-0.10177865624427795</v>
      </c>
      <c r="CJ29" s="11">
        <v>0.26342073082923889</v>
      </c>
      <c r="CK29" s="11">
        <v>0.16255442798137665</v>
      </c>
      <c r="CL29" s="11">
        <v>-0.12784810364246368</v>
      </c>
      <c r="CM29" s="11">
        <v>-0.38460090756416321</v>
      </c>
      <c r="CN29" s="11">
        <v>0.32126501202583313</v>
      </c>
      <c r="CO29" s="3">
        <v>-0.1940944492816925</v>
      </c>
      <c r="CP29" s="3">
        <v>-9.1743115335702896E-3</v>
      </c>
      <c r="CQ29" s="3">
        <v>0.5024908185005188</v>
      </c>
      <c r="CR29" s="10">
        <v>41.329061060906554</v>
      </c>
      <c r="CS29" s="11">
        <v>11.924925252730556</v>
      </c>
      <c r="CT29" s="3">
        <v>1.2391573729863692</v>
      </c>
      <c r="CU29" s="3">
        <v>-3.4657710790634157E-2</v>
      </c>
      <c r="CV29" s="3">
        <v>4.7177232429385187E-2</v>
      </c>
      <c r="CW29" s="3">
        <v>0.06</v>
      </c>
      <c r="CX29" s="3">
        <v>14.986385647208104</v>
      </c>
      <c r="CY29" s="3" t="s">
        <v>1289</v>
      </c>
      <c r="CZ29" s="3">
        <v>-3.4657710790634157E-2</v>
      </c>
      <c r="DA29" s="3">
        <v>4.9954618824027017</v>
      </c>
      <c r="DB29" s="3" t="s">
        <v>1290</v>
      </c>
      <c r="DC29" s="3">
        <v>-3.2924825251102449E-2</v>
      </c>
      <c r="DD29" s="3">
        <v>2.4977309412013509</v>
      </c>
      <c r="DE29" s="3" t="s">
        <v>1291</v>
      </c>
      <c r="DF29" s="3">
        <v>-3.0498785495758057E-2</v>
      </c>
      <c r="DG29" s="3">
        <v>1.4986385647208105</v>
      </c>
      <c r="DH29" s="3" t="s">
        <v>1292</v>
      </c>
      <c r="DI29" s="3">
        <v>-2.7726168632507327E-2</v>
      </c>
      <c r="DJ29" s="3">
        <v>0.74931928236040524</v>
      </c>
      <c r="DK29" s="3" t="s">
        <v>1293</v>
      </c>
      <c r="DL29" s="3">
        <v>-2.4260397553443908E-2</v>
      </c>
      <c r="DM29" s="3">
        <v>70770900</v>
      </c>
      <c r="DN29" s="3">
        <v>-3.4657710790634157E-2</v>
      </c>
      <c r="DO29" s="3">
        <v>1060600000</v>
      </c>
      <c r="DP29" s="3">
        <v>3073650800</v>
      </c>
      <c r="DQ29" s="12">
        <v>4911</v>
      </c>
      <c r="DR29" s="3">
        <v>0.18657639673654186</v>
      </c>
      <c r="DS29" s="3">
        <v>-0.56071537427145524</v>
      </c>
      <c r="DT29" s="3">
        <v>-0.35666666666666669</v>
      </c>
      <c r="DU29" s="3">
        <v>-0.27</v>
      </c>
      <c r="DV29" s="3">
        <v>-0.62666666666666671</v>
      </c>
      <c r="DW29" s="3">
        <v>-2.0962999999999998</v>
      </c>
      <c r="DX29" s="3">
        <v>0.40167187643183694</v>
      </c>
      <c r="DY29" s="3">
        <v>-2.0097910017003859</v>
      </c>
      <c r="DZ29" s="3">
        <v>1813</v>
      </c>
      <c r="EA29" s="3">
        <v>-2.0063172079464135</v>
      </c>
      <c r="EB29" s="13">
        <v>2</v>
      </c>
      <c r="EC29" s="3">
        <v>4.1606250000000003E-3</v>
      </c>
      <c r="ED29" s="3">
        <v>4.0922083333333331E-2</v>
      </c>
      <c r="EE29" s="3">
        <v>2.0106099999999998</v>
      </c>
      <c r="EF29" s="3">
        <v>2.0274100000000002</v>
      </c>
      <c r="EG29" s="3">
        <v>30.101671876431837</v>
      </c>
      <c r="EH29" s="15" t="s">
        <v>650</v>
      </c>
      <c r="EI29" s="16">
        <v>0</v>
      </c>
      <c r="EJ29" s="16">
        <v>0</v>
      </c>
      <c r="EK29" s="16">
        <v>45470</v>
      </c>
      <c r="EL29" s="16">
        <v>-2.5099999999999998</v>
      </c>
      <c r="EM29" s="16">
        <v>-5.57</v>
      </c>
      <c r="EN29" s="16">
        <v>0.26</v>
      </c>
      <c r="EO29" s="16">
        <v>4.3899999999999997</v>
      </c>
      <c r="EP29" s="16">
        <v>-1.68</v>
      </c>
    </row>
    <row r="30" spans="1:146" ht="108" x14ac:dyDescent="0.25">
      <c r="C30" s="7" t="str">
        <f>""&amp;CHAR(10)&amp;Basic_Fundamental_Information_Constructure(F30)&amp;CHAR(10)&amp;Basic_Fundamental_Information_Concatenate("")</f>
        <v xml:space="preserve">
市值41.712007亿, 利润4.25亿; PE20.17; 平均PE20.13; 平均PEG1.2, PB1.5; ROIC9.6033%; ROE9.5367%; 股利率2.2727%; 毛利36.8167%; 净利19.56%; 上一年度营收增64.63%, 利润增79.32%; 当季营收增-28.85%, 利润增-41.19%; 过往5年营收增16.79%, 利润增31.55%
Income profile:
</v>
      </c>
      <c r="D30" s="3" t="s">
        <v>292</v>
      </c>
      <c r="E30" s="3" t="s">
        <v>293</v>
      </c>
      <c r="F30" s="3">
        <v>19.8</v>
      </c>
      <c r="G30" s="3">
        <v>-1.05</v>
      </c>
      <c r="H30" s="3" t="s">
        <v>1294</v>
      </c>
      <c r="I30" s="3">
        <v>4171200700</v>
      </c>
      <c r="J30" s="3">
        <v>20.170000000000002</v>
      </c>
      <c r="K30" s="3">
        <v>1.5</v>
      </c>
      <c r="L30" s="3" t="s">
        <v>370</v>
      </c>
      <c r="M30" s="3" t="s">
        <v>835</v>
      </c>
      <c r="N30" s="3" t="s">
        <v>1295</v>
      </c>
      <c r="O30" s="3" t="s">
        <v>1296</v>
      </c>
      <c r="P30" s="3">
        <v>-41.84</v>
      </c>
      <c r="Q30" s="3" t="s">
        <v>1297</v>
      </c>
      <c r="R30" s="3">
        <v>54959027</v>
      </c>
      <c r="S30" s="5">
        <v>-0.60399999999999998</v>
      </c>
      <c r="T30" s="3" t="s">
        <v>743</v>
      </c>
      <c r="U30" s="3">
        <v>210666700</v>
      </c>
      <c r="V30" s="3">
        <v>210666700</v>
      </c>
      <c r="W30" s="3">
        <v>1.18</v>
      </c>
      <c r="X30" s="3">
        <v>0.09</v>
      </c>
      <c r="Y30" s="3">
        <v>20.21</v>
      </c>
      <c r="Z30" s="3" t="s">
        <v>419</v>
      </c>
      <c r="AA30" s="3" t="s">
        <v>113</v>
      </c>
      <c r="AB30" s="3" t="s">
        <v>1298</v>
      </c>
      <c r="AC30" s="3" t="s">
        <v>1299</v>
      </c>
      <c r="AD30" s="3" t="s">
        <v>47</v>
      </c>
      <c r="AE30" s="3">
        <v>-5080020</v>
      </c>
      <c r="AF30" s="3" t="s">
        <v>1300</v>
      </c>
      <c r="AG30" s="3" t="s">
        <v>47</v>
      </c>
      <c r="AH30" s="3" t="s">
        <v>1301</v>
      </c>
      <c r="AI30" s="3" t="s">
        <v>1302</v>
      </c>
      <c r="AJ30" s="3" t="s">
        <v>1303</v>
      </c>
      <c r="AK30" s="3" t="s">
        <v>1304</v>
      </c>
      <c r="AL30" s="3" t="s">
        <v>1305</v>
      </c>
      <c r="AM30" s="3" t="s">
        <v>47</v>
      </c>
      <c r="AN30" s="3" t="s">
        <v>1306</v>
      </c>
      <c r="AO30" s="3" t="s">
        <v>47</v>
      </c>
      <c r="AP30" s="3" t="s">
        <v>1307</v>
      </c>
      <c r="AQ30" s="3" t="s">
        <v>1308</v>
      </c>
      <c r="AR30" s="3" t="s">
        <v>47</v>
      </c>
      <c r="AS30" s="3" t="s">
        <v>156</v>
      </c>
      <c r="AT30" s="3" t="s">
        <v>47</v>
      </c>
      <c r="AU30" s="3" t="s">
        <v>1309</v>
      </c>
      <c r="AV30" s="3" t="s">
        <v>1310</v>
      </c>
      <c r="AW30" s="3" t="s">
        <v>1311</v>
      </c>
      <c r="AX30" s="3" t="s">
        <v>1312</v>
      </c>
      <c r="AY30" s="3" t="s">
        <v>345</v>
      </c>
      <c r="AZ30" s="3" t="s">
        <v>294</v>
      </c>
      <c r="BA30" s="3" t="s">
        <v>295</v>
      </c>
      <c r="BB30" s="3" t="s">
        <v>296</v>
      </c>
      <c r="BC30" s="3" t="s">
        <v>125</v>
      </c>
      <c r="BD30" s="3" t="s">
        <v>97</v>
      </c>
      <c r="BE30" s="3" t="s">
        <v>110</v>
      </c>
      <c r="BF30" s="3" t="s">
        <v>64</v>
      </c>
      <c r="BG30" s="3" t="s">
        <v>85</v>
      </c>
      <c r="BH30" s="3" t="s">
        <v>1313</v>
      </c>
      <c r="BI30" s="3" t="s">
        <v>100</v>
      </c>
      <c r="BJ30" s="3" t="s">
        <v>1312</v>
      </c>
      <c r="BK30" s="3" t="s">
        <v>340</v>
      </c>
      <c r="BL30" s="3" t="s">
        <v>1314</v>
      </c>
      <c r="BM30" s="3" t="s">
        <v>125</v>
      </c>
      <c r="BN30" s="3">
        <v>11.88</v>
      </c>
      <c r="BO30" s="3">
        <v>9.3800000000000008</v>
      </c>
      <c r="BP30" s="3">
        <v>7.55</v>
      </c>
      <c r="BQ30" s="3">
        <v>11.33</v>
      </c>
      <c r="BR30" s="3">
        <v>9.81</v>
      </c>
      <c r="BS30" s="3">
        <v>7.47</v>
      </c>
      <c r="BT30" s="3" t="s">
        <v>537</v>
      </c>
      <c r="BU30" s="3" t="s">
        <v>370</v>
      </c>
      <c r="BV30" s="3">
        <v>42.12</v>
      </c>
      <c r="BW30" s="3">
        <v>36.22</v>
      </c>
      <c r="BX30" s="3">
        <v>32.11</v>
      </c>
      <c r="BY30" s="3">
        <v>22.7</v>
      </c>
      <c r="BZ30" s="3">
        <v>20.66</v>
      </c>
      <c r="CA30" s="3">
        <v>15.32</v>
      </c>
      <c r="CB30" s="3">
        <v>-4.21</v>
      </c>
      <c r="CC30" s="3">
        <v>-13.57</v>
      </c>
      <c r="CD30" s="3" t="s">
        <v>1315</v>
      </c>
      <c r="CE30" s="3" t="s">
        <v>1316</v>
      </c>
      <c r="CF30" s="10">
        <v>-0.28846153846153844</v>
      </c>
      <c r="CG30" s="11">
        <v>-0.41185191804306742</v>
      </c>
      <c r="CH30" s="10">
        <v>0.64626872539520264</v>
      </c>
      <c r="CI30" s="10">
        <v>-8.1421639770269394E-3</v>
      </c>
      <c r="CJ30" s="10">
        <v>9.9267803132534027E-2</v>
      </c>
      <c r="CK30" s="10">
        <v>-2.8458500280976295E-2</v>
      </c>
      <c r="CL30" s="10">
        <v>0.13047350943088531</v>
      </c>
      <c r="CM30" s="11">
        <v>0.79324895143508911</v>
      </c>
      <c r="CN30" s="11">
        <v>0.41071429848670959</v>
      </c>
      <c r="CO30" s="11">
        <v>0.12751677632331848</v>
      </c>
      <c r="CP30" s="11">
        <v>2.7586206793785095E-2</v>
      </c>
      <c r="CQ30" s="11">
        <v>0.21848739683628082</v>
      </c>
      <c r="CR30" s="3">
        <v>20.134516653258249</v>
      </c>
      <c r="CS30" s="3">
        <v>1.1993264123614233</v>
      </c>
      <c r="CT30" s="3">
        <v>2.2727272727272725</v>
      </c>
      <c r="CU30" s="10">
        <v>0.16788187474012375</v>
      </c>
      <c r="CV30" s="11">
        <v>0.3155107259750366</v>
      </c>
      <c r="CW30" s="3">
        <v>0.06</v>
      </c>
      <c r="CX30" s="3">
        <v>3.4002889756406782</v>
      </c>
      <c r="CY30" s="3">
        <v>468254525.24957794</v>
      </c>
      <c r="CZ30" s="3">
        <v>0.16788187474012375</v>
      </c>
      <c r="DA30" s="3">
        <v>1.0408849959321931</v>
      </c>
      <c r="DB30" s="3">
        <v>1529660535.2391121</v>
      </c>
      <c r="DC30" s="3">
        <v>0.15948778100311756</v>
      </c>
      <c r="DD30" s="3">
        <v>0.46836420229804082</v>
      </c>
      <c r="DE30" s="3">
        <v>3399492728.4959579</v>
      </c>
      <c r="DF30" s="3">
        <v>0.14773604977130891</v>
      </c>
      <c r="DG30" s="3">
        <v>0.25327022397044407</v>
      </c>
      <c r="DH30" s="3">
        <v>6286568847.4528494</v>
      </c>
      <c r="DI30" s="3">
        <v>0.13430549979209902</v>
      </c>
      <c r="DJ30" s="3">
        <v>0.10271786165075751</v>
      </c>
      <c r="DK30" s="3">
        <v>15500718905.281626</v>
      </c>
      <c r="DL30" s="3">
        <v>0.11751731231808663</v>
      </c>
      <c r="DM30" s="3">
        <v>425000000</v>
      </c>
      <c r="DN30" s="3">
        <v>0.16788187474012375</v>
      </c>
      <c r="DO30" s="3">
        <v>1592200699.9999995</v>
      </c>
      <c r="DP30" s="3">
        <v>2364940200</v>
      </c>
      <c r="DQ30" s="3">
        <v>4980</v>
      </c>
      <c r="DR30" s="3">
        <v>-0.45634341320166216</v>
      </c>
      <c r="DS30" s="3">
        <v>-0.72736264401810402</v>
      </c>
      <c r="DT30" s="12">
        <v>-0.10666666666666669</v>
      </c>
      <c r="DU30" s="3">
        <v>0.36333333333333334</v>
      </c>
      <c r="DV30" s="3">
        <v>0.25666666666666665</v>
      </c>
      <c r="DW30" s="3">
        <v>-8.3102431834929984</v>
      </c>
      <c r="DX30" s="3">
        <v>0.37049055641717343</v>
      </c>
      <c r="DY30" s="3">
        <v>-8.0435862374735674</v>
      </c>
      <c r="DZ30" s="3">
        <v>1144</v>
      </c>
      <c r="EA30" s="3">
        <v>-8.033828379221168</v>
      </c>
      <c r="EB30" s="3">
        <v>8</v>
      </c>
      <c r="EC30" s="3">
        <v>1.2555852443694233E-2</v>
      </c>
      <c r="ED30" s="3">
        <v>8.9371504846280883E-2</v>
      </c>
      <c r="EE30" s="13">
        <v>2.0256099999999999</v>
      </c>
      <c r="EF30" s="3">
        <v>2.0449099999999998</v>
      </c>
      <c r="EG30" s="3">
        <v>23.140490556417173</v>
      </c>
      <c r="EH30" s="3" t="s">
        <v>650</v>
      </c>
      <c r="EI30" s="3">
        <v>0</v>
      </c>
      <c r="EJ30" s="3">
        <v>1</v>
      </c>
      <c r="EK30" s="15">
        <v>45470</v>
      </c>
      <c r="EL30" s="16">
        <v>-1.17</v>
      </c>
      <c r="EM30" s="16">
        <v>-4.59</v>
      </c>
      <c r="EN30" s="3">
        <v>0.69</v>
      </c>
      <c r="EO30" s="3">
        <v>2.17</v>
      </c>
      <c r="EP30" s="3">
        <v>-1.93</v>
      </c>
    </row>
    <row r="31" spans="1:146" x14ac:dyDescent="0.25">
      <c r="Q31" s="5"/>
    </row>
    <row r="32" spans="1:146" x14ac:dyDescent="0.25">
      <c r="A32" s="9"/>
      <c r="B32" s="9"/>
      <c r="C32" s="9"/>
      <c r="Q32" s="5"/>
    </row>
    <row r="33" spans="1:17" x14ac:dyDescent="0.25">
      <c r="Q33" s="5"/>
    </row>
    <row r="34" spans="1:17" x14ac:dyDescent="0.25">
      <c r="Q34" s="5"/>
    </row>
    <row r="35" spans="1:17" x14ac:dyDescent="0.25">
      <c r="Q35" s="5"/>
    </row>
    <row r="36" spans="1:17" x14ac:dyDescent="0.25">
      <c r="Q36" s="5"/>
    </row>
    <row r="37" spans="1:17" x14ac:dyDescent="0.25">
      <c r="Q37" s="5"/>
    </row>
    <row r="38" spans="1:17" x14ac:dyDescent="0.25">
      <c r="A38" s="9"/>
      <c r="B38" s="9"/>
      <c r="C38" s="9"/>
      <c r="Q38" s="5"/>
    </row>
    <row r="39" spans="1:17" x14ac:dyDescent="0.25">
      <c r="Q39" s="5"/>
    </row>
    <row r="40" spans="1:17" x14ac:dyDescent="0.25">
      <c r="Q40" s="5"/>
    </row>
    <row r="41" spans="1:17" x14ac:dyDescent="0.25">
      <c r="Q41" s="5"/>
    </row>
    <row r="42" spans="1:17" x14ac:dyDescent="0.25">
      <c r="Q42" s="5"/>
    </row>
    <row r="43" spans="1:17" x14ac:dyDescent="0.25">
      <c r="Q43" s="5"/>
    </row>
    <row r="44" spans="1:17" x14ac:dyDescent="0.25">
      <c r="Q44" s="5"/>
    </row>
    <row r="45" spans="1:17" x14ac:dyDescent="0.25">
      <c r="Q45" s="5"/>
    </row>
    <row r="46" spans="1:17" x14ac:dyDescent="0.25">
      <c r="Q46" s="5"/>
    </row>
    <row r="47" spans="1:17" x14ac:dyDescent="0.25">
      <c r="Q47" s="5"/>
    </row>
    <row r="48" spans="1:17" x14ac:dyDescent="0.25">
      <c r="Q48" s="5"/>
    </row>
    <row r="49" spans="17:17" x14ac:dyDescent="0.25">
      <c r="Q49" s="5"/>
    </row>
    <row r="50" spans="17:17" x14ac:dyDescent="0.25">
      <c r="Q50" s="5"/>
    </row>
    <row r="51" spans="17:17" x14ac:dyDescent="0.25">
      <c r="Q51" s="5"/>
    </row>
    <row r="52" spans="17:17" x14ac:dyDescent="0.25">
      <c r="Q52" s="5"/>
    </row>
    <row r="53" spans="17:17" x14ac:dyDescent="0.25">
      <c r="Q53" s="5"/>
    </row>
    <row r="54" spans="17:17" x14ac:dyDescent="0.25">
      <c r="Q54" s="5"/>
    </row>
    <row r="55" spans="17:17" x14ac:dyDescent="0.25">
      <c r="Q55" s="5"/>
    </row>
    <row r="56" spans="17:17" x14ac:dyDescent="0.25">
      <c r="Q56" s="5"/>
    </row>
    <row r="57" spans="17:17" x14ac:dyDescent="0.25">
      <c r="Q57" s="5"/>
    </row>
    <row r="58" spans="17:17" x14ac:dyDescent="0.25">
      <c r="Q58" s="5"/>
    </row>
    <row r="59" spans="17:17" x14ac:dyDescent="0.25">
      <c r="Q59" s="5"/>
    </row>
    <row r="60" spans="17:17" x14ac:dyDescent="0.25">
      <c r="Q60" s="5"/>
    </row>
    <row r="61" spans="17:17" x14ac:dyDescent="0.25">
      <c r="Q61" s="5"/>
    </row>
    <row r="62" spans="17:17" x14ac:dyDescent="0.25">
      <c r="Q62" s="5"/>
    </row>
    <row r="63" spans="17:17" x14ac:dyDescent="0.25">
      <c r="Q63" s="5"/>
    </row>
    <row r="64" spans="17:17" x14ac:dyDescent="0.25">
      <c r="Q64" s="5"/>
    </row>
    <row r="65" spans="17:17" x14ac:dyDescent="0.25">
      <c r="Q65" s="5"/>
    </row>
    <row r="66" spans="17:17" x14ac:dyDescent="0.25">
      <c r="Q66" s="5"/>
    </row>
    <row r="67" spans="17:17" x14ac:dyDescent="0.25">
      <c r="Q67" s="5"/>
    </row>
    <row r="68" spans="17:17" x14ac:dyDescent="0.25">
      <c r="Q68" s="5"/>
    </row>
    <row r="69" spans="17:17" x14ac:dyDescent="0.25">
      <c r="Q69" s="5"/>
    </row>
    <row r="70" spans="17:17" x14ac:dyDescent="0.25">
      <c r="Q70" s="5"/>
    </row>
    <row r="71" spans="17:17" x14ac:dyDescent="0.25">
      <c r="Q71" s="5"/>
    </row>
    <row r="72" spans="17:17" x14ac:dyDescent="0.25">
      <c r="Q72" s="5"/>
    </row>
    <row r="73" spans="17:17" x14ac:dyDescent="0.25">
      <c r="Q73" s="5"/>
    </row>
    <row r="74" spans="17:17" x14ac:dyDescent="0.25">
      <c r="Q74" s="5"/>
    </row>
    <row r="75" spans="17:17" x14ac:dyDescent="0.25">
      <c r="Q75" s="5"/>
    </row>
    <row r="76" spans="17:17" x14ac:dyDescent="0.25">
      <c r="Q76" s="5"/>
    </row>
    <row r="77" spans="17:17" x14ac:dyDescent="0.25">
      <c r="Q77" s="5"/>
    </row>
    <row r="78" spans="17:17" x14ac:dyDescent="0.25">
      <c r="Q78" s="4"/>
    </row>
    <row r="79" spans="17:17" x14ac:dyDescent="0.25">
      <c r="Q79" s="5"/>
    </row>
    <row r="80" spans="17:17" x14ac:dyDescent="0.25">
      <c r="Q80" s="5"/>
    </row>
    <row r="81" spans="17:17" x14ac:dyDescent="0.25">
      <c r="Q81" s="5"/>
    </row>
    <row r="82" spans="17:17" x14ac:dyDescent="0.25">
      <c r="Q82" s="5"/>
    </row>
    <row r="83" spans="17:17" x14ac:dyDescent="0.25">
      <c r="Q83" s="5"/>
    </row>
    <row r="84" spans="17:17" x14ac:dyDescent="0.25">
      <c r="Q84" s="5"/>
    </row>
    <row r="85" spans="17:17" x14ac:dyDescent="0.25">
      <c r="Q85" s="5"/>
    </row>
    <row r="86" spans="17:17" x14ac:dyDescent="0.25">
      <c r="Q86" s="5"/>
    </row>
    <row r="87" spans="17:17" x14ac:dyDescent="0.25">
      <c r="Q87" s="5"/>
    </row>
    <row r="88" spans="17:17" x14ac:dyDescent="0.25">
      <c r="Q88" s="5"/>
    </row>
    <row r="89" spans="17:17" x14ac:dyDescent="0.25">
      <c r="Q89" s="5"/>
    </row>
    <row r="90" spans="17:17" x14ac:dyDescent="0.25">
      <c r="Q90" s="5"/>
    </row>
    <row r="91" spans="17:17" x14ac:dyDescent="0.25">
      <c r="Q91" s="5"/>
    </row>
    <row r="92" spans="17:17" x14ac:dyDescent="0.25">
      <c r="Q92" s="5"/>
    </row>
    <row r="93" spans="17:17" x14ac:dyDescent="0.25">
      <c r="Q93" s="5"/>
    </row>
    <row r="94" spans="17:17" x14ac:dyDescent="0.25">
      <c r="Q94" s="5"/>
    </row>
    <row r="95" spans="17:17" x14ac:dyDescent="0.25">
      <c r="Q95" s="5"/>
    </row>
    <row r="96" spans="17:17" x14ac:dyDescent="0.25">
      <c r="Q96" s="5"/>
    </row>
  </sheetData>
  <autoFilter ref="BU1:BU96"/>
  <sortState ref="D2:AD92">
    <sortCondition ref="D2:D92"/>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轨交设备&quot;,&quot;&quot;'" altText="更新基本面按钮_x000a_">
                <anchor moveWithCells="1" sizeWithCells="1">
                  <from>
                    <xdr:col>147</xdr:col>
                    <xdr:colOff>203200</xdr:colOff>
                    <xdr:row>0</xdr:row>
                    <xdr:rowOff>133350</xdr:rowOff>
                  </from>
                  <to>
                    <xdr:col>147</xdr:col>
                    <xdr:colOff>1346200</xdr:colOff>
                    <xdr:row>0</xdr:row>
                    <xdr:rowOff>444500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6"/>
  <sheetViews>
    <sheetView workbookViewId="0">
      <selection activeCell="I58" sqref="I58"/>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非汽车交运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2024-07-10T15:00:31Z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