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机械设备\"/>
    </mc:Choice>
  </mc:AlternateContent>
  <bookViews>
    <workbookView xWindow="0" yWindow="0" windowWidth="3800" windowHeight="2950"/>
  </bookViews>
  <sheets>
    <sheet name="专用设备" sheetId="15" r:id="rId1"/>
    <sheet name="估值-增速与年化收益" sheetId="14" r:id="rId2"/>
  </sheets>
  <functionGroups builtInGroupCount="18"/>
  <definedNames>
    <definedName name="_xlnm._FilterDatabase" localSheetId="0" hidden="1">专用设备!$BU$1:$BU$176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48" i="15"/>
  <c r="C94" i="15"/>
  <c r="C8" i="15"/>
  <c r="C127" i="15"/>
  <c r="C26" i="15"/>
  <c r="C133" i="15"/>
  <c r="C153" i="15"/>
  <c r="C103" i="15"/>
  <c r="C27" i="15"/>
  <c r="C135" i="15"/>
  <c r="C141" i="15"/>
  <c r="C85" i="15"/>
  <c r="C60" i="15"/>
  <c r="C130" i="15"/>
  <c r="C51" i="15"/>
  <c r="C74" i="15"/>
  <c r="C92" i="15"/>
  <c r="C24" i="15"/>
  <c r="C58" i="15"/>
  <c r="C9" i="15"/>
  <c r="C102" i="15"/>
  <c r="C14" i="15"/>
  <c r="C110" i="15"/>
  <c r="C10" i="15"/>
  <c r="C107" i="15"/>
  <c r="C98" i="15"/>
  <c r="C91" i="15"/>
  <c r="C37" i="15"/>
  <c r="C129" i="15"/>
  <c r="C150" i="15"/>
  <c r="C63" i="15"/>
  <c r="C33" i="15"/>
  <c r="C168" i="15"/>
  <c r="C77" i="15"/>
  <c r="C61" i="15"/>
  <c r="C32" i="15"/>
  <c r="C66" i="15"/>
  <c r="C143" i="15"/>
  <c r="C139" i="15"/>
  <c r="C53" i="15"/>
  <c r="C89" i="15"/>
  <c r="C138" i="15"/>
  <c r="C71" i="15"/>
  <c r="C64" i="15"/>
  <c r="C136" i="15"/>
  <c r="C49" i="15"/>
  <c r="C140" i="15"/>
  <c r="C145" i="15"/>
  <c r="C72" i="15"/>
  <c r="C47" i="15"/>
  <c r="C17" i="15"/>
  <c r="C57" i="15"/>
  <c r="C128" i="15"/>
  <c r="C19" i="15"/>
  <c r="C44" i="15"/>
  <c r="C31" i="15"/>
  <c r="C20" i="15"/>
  <c r="C68" i="15"/>
  <c r="C155" i="15"/>
  <c r="C87" i="15"/>
  <c r="C78" i="15"/>
  <c r="C96" i="15"/>
  <c r="C149" i="15"/>
  <c r="C154" i="15"/>
  <c r="C159" i="15"/>
  <c r="C83" i="15"/>
  <c r="C76" i="15"/>
  <c r="C86" i="15"/>
  <c r="C40" i="15"/>
  <c r="C54" i="15"/>
  <c r="C123" i="15"/>
  <c r="C80" i="15"/>
  <c r="C134" i="15"/>
  <c r="C137" i="15"/>
  <c r="C45" i="15"/>
  <c r="C114" i="15"/>
  <c r="C117" i="15"/>
  <c r="C112" i="15"/>
  <c r="C4" i="15"/>
  <c r="C70" i="15"/>
  <c r="C75" i="15"/>
  <c r="C119" i="15"/>
  <c r="C167" i="15"/>
  <c r="C22" i="15"/>
  <c r="C25" i="15"/>
  <c r="C104" i="15"/>
  <c r="C11" i="15"/>
  <c r="C36" i="15"/>
  <c r="C2" i="15"/>
  <c r="C15" i="15"/>
  <c r="C120" i="15"/>
  <c r="C151" i="15"/>
  <c r="C3" i="15"/>
  <c r="C29" i="15"/>
  <c r="C56" i="15"/>
  <c r="C93" i="15"/>
  <c r="C126" i="15"/>
  <c r="C69" i="15"/>
  <c r="C43" i="15"/>
  <c r="C147" i="15"/>
  <c r="C6" i="15"/>
  <c r="C162" i="15"/>
  <c r="C84" i="15"/>
  <c r="C18" i="15"/>
  <c r="C160" i="15"/>
  <c r="C59" i="15"/>
  <c r="C65" i="15"/>
  <c r="C132" i="15"/>
  <c r="C101" i="15"/>
  <c r="C124" i="15"/>
  <c r="C161" i="15"/>
  <c r="C156" i="15"/>
  <c r="C16" i="15"/>
  <c r="C125" i="15"/>
  <c r="C99" i="15"/>
  <c r="C131" i="15"/>
  <c r="C38" i="15"/>
  <c r="C95" i="15"/>
  <c r="C122" i="15"/>
  <c r="C163" i="15"/>
  <c r="C13" i="15"/>
  <c r="C21" i="15"/>
  <c r="C100" i="15"/>
  <c r="C62" i="15"/>
  <c r="C144" i="15"/>
  <c r="C115" i="15"/>
  <c r="C113" i="15"/>
  <c r="C81" i="15"/>
  <c r="C55" i="15"/>
  <c r="C12" i="15"/>
  <c r="C73" i="15"/>
  <c r="C35" i="15"/>
  <c r="C166" i="15"/>
  <c r="C46" i="15"/>
  <c r="C165" i="15"/>
  <c r="C39" i="15"/>
  <c r="C41" i="15"/>
  <c r="C88" i="15"/>
  <c r="C28" i="15"/>
  <c r="C50" i="15"/>
  <c r="C105" i="15"/>
  <c r="C90" i="15"/>
  <c r="C146" i="15"/>
  <c r="C52" i="15"/>
  <c r="C23" i="15"/>
  <c r="C142" i="15"/>
  <c r="C7" i="15"/>
  <c r="C67" i="15"/>
  <c r="C106" i="15"/>
  <c r="C164" i="15"/>
  <c r="C152" i="15"/>
  <c r="C42" i="15"/>
  <c r="C79" i="15"/>
  <c r="C118" i="15"/>
  <c r="C148" i="15"/>
  <c r="C97" i="15"/>
  <c r="C30" i="15"/>
  <c r="C157" i="15"/>
  <c r="C121" i="15"/>
  <c r="C111" i="15"/>
  <c r="C158" i="15"/>
  <c r="C5" i="15"/>
  <c r="C108" i="15"/>
</calcChain>
</file>

<file path=xl/sharedStrings.xml><?xml version="1.0" encoding="utf-8"?>
<sst xmlns="http://schemas.openxmlformats.org/spreadsheetml/2006/main" count="9286" uniqueCount="5642">
  <si>
    <t>&lt;-增速</t>
    <phoneticPr fontId="1" type="noConversion"/>
  </si>
  <si>
    <t>&lt;-估值</t>
    <phoneticPr fontId="1" type="noConversion"/>
  </si>
  <si>
    <t>&lt;-折合年化收益</t>
    <phoneticPr fontId="1" type="noConversion"/>
  </si>
  <si>
    <t>现价</t>
  </si>
  <si>
    <t>市净率</t>
  </si>
  <si>
    <t>--</t>
  </si>
  <si>
    <t>太原重工</t>
  </si>
  <si>
    <t>大连重工</t>
  </si>
  <si>
    <t>远大智能</t>
  </si>
  <si>
    <t>星光农机</t>
  </si>
  <si>
    <t>赛象科技</t>
  </si>
  <si>
    <t>文一科技</t>
  </si>
  <si>
    <t>中坚科技</t>
  </si>
  <si>
    <t>中信重工</t>
  </si>
  <si>
    <t>冀凯股份</t>
  </si>
  <si>
    <t>中国一重</t>
  </si>
  <si>
    <t>冀东装备</t>
  </si>
  <si>
    <t>达 意 隆</t>
  </si>
  <si>
    <t>蓝英装备</t>
  </si>
  <si>
    <t>梅安森</t>
  </si>
  <si>
    <t>威派格</t>
  </si>
  <si>
    <t>金明精机</t>
  </si>
  <si>
    <t>金自天正</t>
  </si>
  <si>
    <t>巨轮智能</t>
  </si>
  <si>
    <t>金鹰股份</t>
  </si>
  <si>
    <t>神开股份</t>
  </si>
  <si>
    <t>如通股份</t>
  </si>
  <si>
    <t>振华重工</t>
  </si>
  <si>
    <t>银宝山新</t>
  </si>
  <si>
    <t>爱司凯</t>
  </si>
  <si>
    <t>康力电梯</t>
  </si>
  <si>
    <t>昌红科技</t>
  </si>
  <si>
    <t>北矿科技</t>
  </si>
  <si>
    <t>新元科技</t>
  </si>
  <si>
    <t>合锻智能</t>
  </si>
  <si>
    <t>长荣股份</t>
  </si>
  <si>
    <t>弘宇股份</t>
  </si>
  <si>
    <t>快意电梯</t>
  </si>
  <si>
    <t>天桥起重</t>
  </si>
  <si>
    <t>新美星</t>
  </si>
  <si>
    <t>沪宁股份</t>
  </si>
  <si>
    <t>润邦股份</t>
  </si>
  <si>
    <t>电光科技</t>
  </si>
  <si>
    <t>天永智能</t>
  </si>
  <si>
    <t>美亚光电</t>
  </si>
  <si>
    <t>北方股份</t>
  </si>
  <si>
    <t>英维克</t>
  </si>
  <si>
    <t>永创智能</t>
  </si>
  <si>
    <t>国机通用</t>
  </si>
  <si>
    <t>优德精密</t>
  </si>
  <si>
    <t>法兰泰克</t>
  </si>
  <si>
    <t>海默科技</t>
  </si>
  <si>
    <t>杰瑞股份</t>
  </si>
  <si>
    <t>泰瑞机器</t>
  </si>
  <si>
    <t>道森股份</t>
  </si>
  <si>
    <t>慈星股份</t>
  </si>
  <si>
    <t>山东矿机</t>
  </si>
  <si>
    <t>高澜股份</t>
  </si>
  <si>
    <t>斯莱克</t>
  </si>
  <si>
    <t>华菱精工</t>
  </si>
  <si>
    <t>乐惠国际</t>
  </si>
  <si>
    <t>杰克股份</t>
  </si>
  <si>
    <t>上工申贝</t>
  </si>
  <si>
    <t>天奇股份</t>
  </si>
  <si>
    <t>创力集团</t>
  </si>
  <si>
    <t>大丰实业</t>
  </si>
  <si>
    <t>豪迈科技</t>
  </si>
  <si>
    <t>弘亚数控</t>
  </si>
  <si>
    <t>中亚股份</t>
  </si>
  <si>
    <t>卓郎智能</t>
  </si>
  <si>
    <t>华荣股份</t>
  </si>
  <si>
    <t>天地科技</t>
  </si>
  <si>
    <t>伊之密</t>
  </si>
  <si>
    <t>广日股份</t>
  </si>
  <si>
    <t>上海机电</t>
  </si>
  <si>
    <t>厚普股份</t>
  </si>
  <si>
    <t>森远股份</t>
  </si>
  <si>
    <t>南风股份</t>
  </si>
  <si>
    <t>软控股份</t>
  </si>
  <si>
    <t>石化机械</t>
  </si>
  <si>
    <t>兰石重装</t>
  </si>
  <si>
    <t>天鹅股份</t>
  </si>
  <si>
    <t>一拖股份</t>
  </si>
  <si>
    <t>航天晨光</t>
  </si>
  <si>
    <t>标准股份</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</si>
  <si>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</si>
  <si>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</si>
  <si>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</si>
  <si>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</si>
  <si>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</si>
  <si>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</si>
  <si>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</si>
  <si>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</si>
  <si>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</si>
  <si>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</si>
  <si>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</si>
  <si>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</si>
  <si>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</si>
  <si>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</si>
  <si>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</si>
  <si>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SZ002021</t>
  </si>
  <si>
    <t>专用设备</t>
  </si>
  <si>
    <t>2.75亿</t>
  </si>
  <si>
    <t>6.96亿</t>
  </si>
  <si>
    <t>7.07亿</t>
  </si>
  <si>
    <t>1025.73万</t>
  </si>
  <si>
    <t>2.39亿</t>
  </si>
  <si>
    <t>1.88亿</t>
  </si>
  <si>
    <t>2.20亿</t>
  </si>
  <si>
    <t>SZ002722</t>
  </si>
  <si>
    <t>24.14亿</t>
  </si>
  <si>
    <t>5891.84万</t>
  </si>
  <si>
    <t>9.71亿</t>
  </si>
  <si>
    <t>3.42亿</t>
  </si>
  <si>
    <t>1.31亿</t>
  </si>
  <si>
    <t>SZ300307</t>
  </si>
  <si>
    <t>15.21亿</t>
  </si>
  <si>
    <t>-8.74亿</t>
  </si>
  <si>
    <t>4.98亿</t>
  </si>
  <si>
    <t>4.78亿</t>
  </si>
  <si>
    <t>2.80亿</t>
  </si>
  <si>
    <t>1.08亿</t>
  </si>
  <si>
    <t>3.65亿</t>
  </si>
  <si>
    <t>SH600232</t>
  </si>
  <si>
    <t>12.40亿</t>
  </si>
  <si>
    <t>4.28亿</t>
  </si>
  <si>
    <t>3.62亿</t>
  </si>
  <si>
    <t>0亿</t>
  </si>
  <si>
    <t>2.16亿</t>
  </si>
  <si>
    <t>3.80亿</t>
  </si>
  <si>
    <t>2.79亿</t>
  </si>
  <si>
    <t>2.72亿</t>
  </si>
  <si>
    <t>SH600302</t>
  </si>
  <si>
    <t>5.12亿</t>
  </si>
  <si>
    <t>5.42亿</t>
  </si>
  <si>
    <t>-1.65亿</t>
  </si>
  <si>
    <t>3.03亿</t>
  </si>
  <si>
    <t>2.23亿</t>
  </si>
  <si>
    <t>3.40亿</t>
  </si>
  <si>
    <t>1.64亿</t>
  </si>
  <si>
    <t>1.83亿</t>
  </si>
  <si>
    <t>1.56亿</t>
  </si>
  <si>
    <t>SH600545</t>
  </si>
  <si>
    <t>85.75亿</t>
  </si>
  <si>
    <t>6.09亿</t>
  </si>
  <si>
    <t>1.67亿</t>
  </si>
  <si>
    <t>1.47亿</t>
  </si>
  <si>
    <t>2.07亿</t>
  </si>
  <si>
    <t>SH600843</t>
  </si>
  <si>
    <t>26.32亿</t>
  </si>
  <si>
    <t>32.10亿</t>
  </si>
  <si>
    <t>8568.98万</t>
  </si>
  <si>
    <t>1.38亿</t>
  </si>
  <si>
    <t>1.03亿</t>
  </si>
  <si>
    <t>5.44亿</t>
  </si>
  <si>
    <t>2.93亿</t>
  </si>
  <si>
    <t>3.19亿</t>
  </si>
  <si>
    <t>3.16亿</t>
  </si>
  <si>
    <t>SH603095</t>
  </si>
  <si>
    <t>4.75亿</t>
  </si>
  <si>
    <t>10.18亿</t>
  </si>
  <si>
    <t>1.73亿</t>
  </si>
  <si>
    <t>3.00亿</t>
  </si>
  <si>
    <t>2.88亿</t>
  </si>
  <si>
    <t>2.02亿</t>
  </si>
  <si>
    <t>1.58亿</t>
  </si>
  <si>
    <t>4.14亿</t>
  </si>
  <si>
    <t>3.18亿</t>
  </si>
  <si>
    <t>5.67亿</t>
  </si>
  <si>
    <t>1.13亿</t>
  </si>
  <si>
    <t>64.03亿</t>
  </si>
  <si>
    <t>2.04亿</t>
  </si>
  <si>
    <t>1.35亿</t>
  </si>
  <si>
    <t>2.06亿</t>
  </si>
  <si>
    <t>2.81亿</t>
  </si>
  <si>
    <t>5.03亿</t>
  </si>
  <si>
    <t>2.63亿</t>
  </si>
  <si>
    <t>2.28亿</t>
  </si>
  <si>
    <t>1.10亿</t>
  </si>
  <si>
    <t>3.57亿</t>
  </si>
  <si>
    <t>1.78亿</t>
  </si>
  <si>
    <t>2.76亿</t>
  </si>
  <si>
    <t>25.46亿</t>
  </si>
  <si>
    <t>6.51亿</t>
  </si>
  <si>
    <t>2.11亿</t>
  </si>
  <si>
    <t>1.48亿</t>
  </si>
  <si>
    <t>3.72亿</t>
  </si>
  <si>
    <t>1.49亿</t>
  </si>
  <si>
    <t>5.37亿</t>
  </si>
  <si>
    <t>5.00亿</t>
  </si>
  <si>
    <t>3.05亿</t>
  </si>
  <si>
    <t>7.84亿</t>
  </si>
  <si>
    <t>3.47亿</t>
  </si>
  <si>
    <t>2000.00万</t>
  </si>
  <si>
    <t>1.15亿</t>
  </si>
  <si>
    <t>5.96亿</t>
  </si>
  <si>
    <t>5.05亿</t>
  </si>
  <si>
    <t>1.12亿</t>
  </si>
  <si>
    <t>20.92亿</t>
  </si>
  <si>
    <t>1.53亿</t>
  </si>
  <si>
    <t>6.45亿</t>
  </si>
  <si>
    <t>2.85亿</t>
  </si>
  <si>
    <t>1.33亿</t>
  </si>
  <si>
    <t>3.83亿</t>
  </si>
  <si>
    <t>17.07亿</t>
  </si>
  <si>
    <t>2.84亿</t>
  </si>
  <si>
    <t>2.42亿</t>
  </si>
  <si>
    <t>1.14亿</t>
  </si>
  <si>
    <t>1.06亿</t>
  </si>
  <si>
    <t>9.05亿</t>
  </si>
  <si>
    <t>3.56亿</t>
  </si>
  <si>
    <t>1.86亿</t>
  </si>
  <si>
    <t>3.37亿</t>
  </si>
  <si>
    <t>SZ002890</t>
  </si>
  <si>
    <t>1.23亿</t>
  </si>
  <si>
    <t>5.38亿</t>
  </si>
  <si>
    <t>2.82亿</t>
  </si>
  <si>
    <t>855.34万</t>
  </si>
  <si>
    <t>1.75亿</t>
  </si>
  <si>
    <t>1.55亿</t>
  </si>
  <si>
    <t>1.42亿</t>
  </si>
  <si>
    <t>SH601038</t>
  </si>
  <si>
    <t>6147.54万</t>
  </si>
  <si>
    <t>1.61亿</t>
  </si>
  <si>
    <t>1.39亿</t>
  </si>
  <si>
    <t>2.90亿</t>
  </si>
  <si>
    <t>2.86亿</t>
  </si>
  <si>
    <t>1.32亿</t>
  </si>
  <si>
    <t>4.53亿</t>
  </si>
  <si>
    <t>SH603789</t>
  </si>
  <si>
    <t>5.06亿</t>
  </si>
  <si>
    <t>7.05亿</t>
  </si>
  <si>
    <t>1208.65万</t>
  </si>
  <si>
    <t>3.23亿</t>
  </si>
  <si>
    <t>SZ002204</t>
  </si>
  <si>
    <t>72.10亿</t>
  </si>
  <si>
    <t>4962.73万</t>
  </si>
  <si>
    <t>1.44亿</t>
  </si>
  <si>
    <t>14.96亿</t>
  </si>
  <si>
    <t>2.30亿</t>
  </si>
  <si>
    <t>5000.00万</t>
  </si>
  <si>
    <t>2.32亿</t>
  </si>
  <si>
    <t>SZ002483</t>
  </si>
  <si>
    <t>23.14亿</t>
  </si>
  <si>
    <t>1.40亿</t>
  </si>
  <si>
    <t>12.68亿</t>
  </si>
  <si>
    <t>2.65亿</t>
  </si>
  <si>
    <t>3.74亿</t>
  </si>
  <si>
    <t>1.68亿</t>
  </si>
  <si>
    <t>1.36亿</t>
  </si>
  <si>
    <t>SZ002523</t>
  </si>
  <si>
    <t>13.34亿</t>
  </si>
  <si>
    <t>8094.61万</t>
  </si>
  <si>
    <t>4.55亿</t>
  </si>
  <si>
    <t>3.34亿</t>
  </si>
  <si>
    <t>2.91亿</t>
  </si>
  <si>
    <t>1.21亿</t>
  </si>
  <si>
    <t>3.08亿</t>
  </si>
  <si>
    <t>SH600169</t>
  </si>
  <si>
    <t>70.38亿</t>
  </si>
  <si>
    <t>1.16亿</t>
  </si>
  <si>
    <t>1.22亿</t>
  </si>
  <si>
    <t>SH600320</t>
  </si>
  <si>
    <t>245.96亿</t>
  </si>
  <si>
    <t>5.15亿</t>
  </si>
  <si>
    <t>2.95亿</t>
  </si>
  <si>
    <t>1.29亿</t>
  </si>
  <si>
    <t>SH601399</t>
  </si>
  <si>
    <t>92.65亿</t>
  </si>
  <si>
    <t>2.56亿</t>
  </si>
  <si>
    <t>37.29亿</t>
  </si>
  <si>
    <t>SH601608</t>
  </si>
  <si>
    <t>52.40亿</t>
  </si>
  <si>
    <t>1.17亿</t>
  </si>
  <si>
    <t>1.79亿</t>
  </si>
  <si>
    <t>1.66亿</t>
  </si>
  <si>
    <t>2.35亿</t>
  </si>
  <si>
    <t>SH603966</t>
  </si>
  <si>
    <t>11.06亿</t>
  </si>
  <si>
    <t>3.79亿</t>
  </si>
  <si>
    <t>2.21亿</t>
  </si>
  <si>
    <t>1.87亿</t>
  </si>
  <si>
    <t>1.76亿</t>
  </si>
  <si>
    <t>SZ000852</t>
  </si>
  <si>
    <t>65.88亿</t>
  </si>
  <si>
    <t>2494.73万</t>
  </si>
  <si>
    <t>1.09亿</t>
  </si>
  <si>
    <t>1.70亿</t>
  </si>
  <si>
    <t>3.55亿</t>
  </si>
  <si>
    <t>3.81亿</t>
  </si>
  <si>
    <t>SZ002278</t>
  </si>
  <si>
    <t>4.70亿</t>
  </si>
  <si>
    <t>4354.29万</t>
  </si>
  <si>
    <t>2.77亿</t>
  </si>
  <si>
    <t>SZ002353</t>
  </si>
  <si>
    <t>69.25亿</t>
  </si>
  <si>
    <t>13.61亿</t>
  </si>
  <si>
    <t>1.52亿</t>
  </si>
  <si>
    <t>1.27亿</t>
  </si>
  <si>
    <t>SZ002490</t>
  </si>
  <si>
    <t>43.89亿</t>
  </si>
  <si>
    <t>-1.96亿</t>
  </si>
  <si>
    <t>7.08亿</t>
  </si>
  <si>
    <t>1.30亿</t>
  </si>
  <si>
    <t>7.90亿</t>
  </si>
  <si>
    <t>1.51亿</t>
  </si>
  <si>
    <t>SZ002526</t>
  </si>
  <si>
    <t>21.78亿</t>
  </si>
  <si>
    <t>1.90亿</t>
  </si>
  <si>
    <t>9.11亿</t>
  </si>
  <si>
    <t>1.11亿</t>
  </si>
  <si>
    <t>3.20亿</t>
  </si>
  <si>
    <t>3.89亿</t>
  </si>
  <si>
    <t>4.46亿</t>
  </si>
  <si>
    <t>1.96亿</t>
  </si>
  <si>
    <t>SZ002535</t>
  </si>
  <si>
    <t>10.47亿</t>
  </si>
  <si>
    <t>-19.91亿</t>
  </si>
  <si>
    <t>4.16亿</t>
  </si>
  <si>
    <t>3.01亿</t>
  </si>
  <si>
    <t>2.74亿</t>
  </si>
  <si>
    <t>3.67亿</t>
  </si>
  <si>
    <t>3.09亿</t>
  </si>
  <si>
    <t>2.10亿</t>
  </si>
  <si>
    <t>1.57亿</t>
  </si>
  <si>
    <t>1.45亿</t>
  </si>
  <si>
    <t>1.41亿</t>
  </si>
  <si>
    <t>2.22亿</t>
  </si>
  <si>
    <t>SZ002691</t>
  </si>
  <si>
    <t>2.08亿</t>
  </si>
  <si>
    <t>3.91亿</t>
  </si>
  <si>
    <t>1556.62万</t>
  </si>
  <si>
    <t>3.07亿</t>
  </si>
  <si>
    <t>6.44亿</t>
  </si>
  <si>
    <t>5.20亿</t>
  </si>
  <si>
    <t>2.15亿</t>
  </si>
  <si>
    <t>3.15亿</t>
  </si>
  <si>
    <t>2.25亿</t>
  </si>
  <si>
    <t>2.36亿</t>
  </si>
  <si>
    <t>SZ002730</t>
  </si>
  <si>
    <t>4.89亿</t>
  </si>
  <si>
    <t>10.03亿</t>
  </si>
  <si>
    <t>4286.18万</t>
  </si>
  <si>
    <t>2.31亿</t>
  </si>
  <si>
    <t>1.72亿</t>
  </si>
  <si>
    <t>2.09亿</t>
  </si>
  <si>
    <t>2.45亿</t>
  </si>
  <si>
    <t>1.25亿</t>
  </si>
  <si>
    <t>4.90亿</t>
  </si>
  <si>
    <t>SZ300084</t>
  </si>
  <si>
    <t>13.38亿</t>
  </si>
  <si>
    <t>6.92亿</t>
  </si>
  <si>
    <t>3454.71万</t>
  </si>
  <si>
    <t>1.02亿</t>
  </si>
  <si>
    <t>2.03亿</t>
  </si>
  <si>
    <t>3.38亿</t>
  </si>
  <si>
    <t>1.43亿</t>
  </si>
  <si>
    <t>SZ300099</t>
  </si>
  <si>
    <t>16.77亿</t>
  </si>
  <si>
    <t>4.72亿</t>
  </si>
  <si>
    <t>6408.74万</t>
  </si>
  <si>
    <t>1.93亿</t>
  </si>
  <si>
    <t>1.26亿</t>
  </si>
  <si>
    <t>SZ300275</t>
  </si>
  <si>
    <t>2.71亿</t>
  </si>
  <si>
    <t>2659.00万</t>
  </si>
  <si>
    <t>2.97亿</t>
  </si>
  <si>
    <t>1.84亿</t>
  </si>
  <si>
    <t>5.54亿</t>
  </si>
  <si>
    <t>3.49亿</t>
  </si>
  <si>
    <t>8.16亿</t>
  </si>
  <si>
    <t>1.71亿</t>
  </si>
  <si>
    <t>3.17亿</t>
  </si>
  <si>
    <t>SZ300837</t>
  </si>
  <si>
    <t>浙矿股份</t>
  </si>
  <si>
    <t>8.83亿</t>
  </si>
  <si>
    <t>3.69亿</t>
  </si>
  <si>
    <t>9619.36万</t>
  </si>
  <si>
    <t>SZ300865</t>
  </si>
  <si>
    <t>大宏立</t>
  </si>
  <si>
    <t>4.27亿</t>
  </si>
  <si>
    <t>5.28亿</t>
  </si>
  <si>
    <t>7726.23万</t>
  </si>
  <si>
    <t>SH600262</t>
  </si>
  <si>
    <t>14.18亿</t>
  </si>
  <si>
    <t>5.58亿</t>
  </si>
  <si>
    <t>1.89亿</t>
  </si>
  <si>
    <t>3.39亿</t>
  </si>
  <si>
    <t>2.00亿</t>
  </si>
  <si>
    <t>SH600560</t>
  </si>
  <si>
    <t>6.60亿</t>
  </si>
  <si>
    <t>2784.97万</t>
  </si>
  <si>
    <t>2.05亿</t>
  </si>
  <si>
    <t>SH600582</t>
  </si>
  <si>
    <t>193.84亿</t>
  </si>
  <si>
    <t>11.07亿</t>
  </si>
  <si>
    <t>4.00亿</t>
  </si>
  <si>
    <t>5.40亿</t>
  </si>
  <si>
    <t>4.20亿</t>
  </si>
  <si>
    <t>6.07亿</t>
  </si>
  <si>
    <t>SH600980</t>
  </si>
  <si>
    <t>6.48亿</t>
  </si>
  <si>
    <t>4.99亿</t>
  </si>
  <si>
    <t>4542.02万</t>
  </si>
  <si>
    <t>2.34亿</t>
  </si>
  <si>
    <t>2.26亿</t>
  </si>
  <si>
    <t>1.59亿</t>
  </si>
  <si>
    <t>SH601106</t>
  </si>
  <si>
    <t>131.65亿</t>
  </si>
  <si>
    <t>2.52亿</t>
  </si>
  <si>
    <t>10.07亿</t>
  </si>
  <si>
    <t>SH601798</t>
  </si>
  <si>
    <t>蓝科高新</t>
  </si>
  <si>
    <t>10.79亿</t>
  </si>
  <si>
    <t>-3630.77万</t>
  </si>
  <si>
    <t>4.22亿</t>
  </si>
  <si>
    <t>6.37亿</t>
  </si>
  <si>
    <t>2.33亿</t>
  </si>
  <si>
    <t>SH603012</t>
  </si>
  <si>
    <t>22.88亿</t>
  </si>
  <si>
    <t>1.54亿</t>
  </si>
  <si>
    <t>4.03亿</t>
  </si>
  <si>
    <t>SH603036</t>
  </si>
  <si>
    <t>2.99亿</t>
  </si>
  <si>
    <t>6482.37万</t>
  </si>
  <si>
    <t>1.07亿</t>
  </si>
  <si>
    <t>SH603169</t>
  </si>
  <si>
    <t>34.38亿</t>
  </si>
  <si>
    <t>5639.25万</t>
  </si>
  <si>
    <t>22.81亿</t>
  </si>
  <si>
    <t>SH603800</t>
  </si>
  <si>
    <t>13.10亿</t>
  </si>
  <si>
    <t>3.85亿</t>
  </si>
  <si>
    <t>1.74亿</t>
  </si>
  <si>
    <t>SH688377</t>
  </si>
  <si>
    <t>迪威尔</t>
  </si>
  <si>
    <t>7.87亿</t>
  </si>
  <si>
    <t>6.94亿</t>
  </si>
  <si>
    <t>9481.76万</t>
  </si>
  <si>
    <t>3.32亿</t>
  </si>
  <si>
    <t>3.11亿</t>
  </si>
  <si>
    <t>1.01亿</t>
  </si>
  <si>
    <t>3.97亿</t>
  </si>
  <si>
    <t>3.93亿</t>
  </si>
  <si>
    <t>4.40亿</t>
  </si>
  <si>
    <t>SZ002209</t>
  </si>
  <si>
    <t>7.12亿</t>
  </si>
  <si>
    <t>-3603.87万</t>
  </si>
  <si>
    <t>3.51亿</t>
  </si>
  <si>
    <t>2.40亿</t>
  </si>
  <si>
    <t>1.94亿</t>
  </si>
  <si>
    <t>2.48亿</t>
  </si>
  <si>
    <t>SZ002611</t>
  </si>
  <si>
    <t>东方精工</t>
  </si>
  <si>
    <t>99.74亿</t>
  </si>
  <si>
    <t>18.38亿</t>
  </si>
  <si>
    <t>4.52亿</t>
  </si>
  <si>
    <t>SZ300195</t>
  </si>
  <si>
    <t>2.60亿</t>
  </si>
  <si>
    <t>7.83亿</t>
  </si>
  <si>
    <t>6.40亿</t>
  </si>
  <si>
    <t>2.44亿</t>
  </si>
  <si>
    <t>SZ300509</t>
  </si>
  <si>
    <t>6.63亿</t>
  </si>
  <si>
    <t>4187.45万</t>
  </si>
  <si>
    <t>3.02亿</t>
  </si>
  <si>
    <t>4.42亿</t>
  </si>
  <si>
    <t>1.98亿</t>
  </si>
  <si>
    <t>1.69亿</t>
  </si>
  <si>
    <t>SZ300512</t>
  </si>
  <si>
    <t>4.80亿</t>
  </si>
  <si>
    <t>8.58亿</t>
  </si>
  <si>
    <t>2.41亿</t>
  </si>
  <si>
    <t>SZ300521</t>
  </si>
  <si>
    <t>1.65亿</t>
  </si>
  <si>
    <t>576.78万</t>
  </si>
  <si>
    <t>SH603901</t>
  </si>
  <si>
    <t>18.71亿</t>
  </si>
  <si>
    <t>9855.71万</t>
  </si>
  <si>
    <t>2.83亿</t>
  </si>
  <si>
    <t>1.34亿</t>
  </si>
  <si>
    <t>SZ000856</t>
  </si>
  <si>
    <t>2361.20万</t>
  </si>
  <si>
    <t>3.25亿</t>
  </si>
  <si>
    <t>1.20亿</t>
  </si>
  <si>
    <t>SZ002006</t>
  </si>
  <si>
    <t>7.99亿</t>
  </si>
  <si>
    <t>8.65亿</t>
  </si>
  <si>
    <t>-1.21亿</t>
  </si>
  <si>
    <t>4.48亿</t>
  </si>
  <si>
    <t>3.48亿</t>
  </si>
  <si>
    <t>4.08亿</t>
  </si>
  <si>
    <t>SZ002009</t>
  </si>
  <si>
    <t>31.58亿</t>
  </si>
  <si>
    <t>7198.74万</t>
  </si>
  <si>
    <t>SZ002031</t>
  </si>
  <si>
    <t>14.07亿</t>
  </si>
  <si>
    <t>2091.03万</t>
  </si>
  <si>
    <t>4.18亿</t>
  </si>
  <si>
    <t>2.13亿</t>
  </si>
  <si>
    <t>SZ002073</t>
  </si>
  <si>
    <t>28.65亿</t>
  </si>
  <si>
    <t>7804.86万</t>
  </si>
  <si>
    <t>7.02亿</t>
  </si>
  <si>
    <t>3.04亿</t>
  </si>
  <si>
    <t>10.51亿</t>
  </si>
  <si>
    <t>2.67亿</t>
  </si>
  <si>
    <t>3.10亿</t>
  </si>
  <si>
    <t>1.24亿</t>
  </si>
  <si>
    <t>8.52亿</t>
  </si>
  <si>
    <t>4.06亿</t>
  </si>
  <si>
    <t>2.70亿</t>
  </si>
  <si>
    <t>1.37亿</t>
  </si>
  <si>
    <t>SZ002337</t>
  </si>
  <si>
    <t>1089.24万</t>
  </si>
  <si>
    <t>SZ002529</t>
  </si>
  <si>
    <t>2.18亿</t>
  </si>
  <si>
    <t>-5.35亿</t>
  </si>
  <si>
    <t>3.21亿</t>
  </si>
  <si>
    <t>SZ002595</t>
  </si>
  <si>
    <t>43.87亿</t>
  </si>
  <si>
    <t>8.63亿</t>
  </si>
  <si>
    <t>2.49亿</t>
  </si>
  <si>
    <t>4.02亿</t>
  </si>
  <si>
    <t>4.50亿</t>
  </si>
  <si>
    <t>SZ002690</t>
  </si>
  <si>
    <t>15.01亿</t>
  </si>
  <si>
    <t>5.45亿</t>
  </si>
  <si>
    <t>4.61亿</t>
  </si>
  <si>
    <t>SZ002757</t>
  </si>
  <si>
    <t>南兴股份</t>
  </si>
  <si>
    <t>15.20亿</t>
  </si>
  <si>
    <t>6.95亿</t>
  </si>
  <si>
    <t>1.28亿</t>
  </si>
  <si>
    <t>2.01亿</t>
  </si>
  <si>
    <t>5.71亿</t>
  </si>
  <si>
    <t>1.82亿</t>
  </si>
  <si>
    <t>SZ002779</t>
  </si>
  <si>
    <t>6.36亿</t>
  </si>
  <si>
    <t>3.95亿</t>
  </si>
  <si>
    <t>777.70万</t>
  </si>
  <si>
    <t>SZ002786</t>
  </si>
  <si>
    <t>9.39亿</t>
  </si>
  <si>
    <t>27.79亿</t>
  </si>
  <si>
    <t>-2.63亿</t>
  </si>
  <si>
    <t>4.35亿</t>
  </si>
  <si>
    <t>SZ002816</t>
  </si>
  <si>
    <t>-6843.03万</t>
  </si>
  <si>
    <t>SZ002833</t>
  </si>
  <si>
    <t>4.56亿</t>
  </si>
  <si>
    <t>13.11亿</t>
  </si>
  <si>
    <t>1.46亿</t>
  </si>
  <si>
    <t>SZ002837</t>
  </si>
  <si>
    <t>1.60亿</t>
  </si>
  <si>
    <t>6.03亿</t>
  </si>
  <si>
    <t>4.44亿</t>
  </si>
  <si>
    <t>3.64亿</t>
  </si>
  <si>
    <t>4.10亿</t>
  </si>
  <si>
    <t>1.62亿</t>
  </si>
  <si>
    <t>2.62亿</t>
  </si>
  <si>
    <t>6.41亿</t>
  </si>
  <si>
    <t>4.38亿</t>
  </si>
  <si>
    <t>4.45亿</t>
  </si>
  <si>
    <t>3.59亿</t>
  </si>
  <si>
    <t>SZ002960</t>
  </si>
  <si>
    <t>青鸟消防</t>
  </si>
  <si>
    <t>29.01亿</t>
  </si>
  <si>
    <t>22.71亿</t>
  </si>
  <si>
    <t>7.04亿</t>
  </si>
  <si>
    <t>4.82亿</t>
  </si>
  <si>
    <t>12.33亿</t>
  </si>
  <si>
    <t>11.55亿</t>
  </si>
  <si>
    <t>1.50亿</t>
  </si>
  <si>
    <t>1.99亿</t>
  </si>
  <si>
    <t>3.82亿</t>
  </si>
  <si>
    <t>3.43亿</t>
  </si>
  <si>
    <t>2.14亿</t>
  </si>
  <si>
    <t>SZ300004</t>
  </si>
  <si>
    <t>8.49亿</t>
  </si>
  <si>
    <t>1728.21万</t>
  </si>
  <si>
    <t>SZ300151</t>
  </si>
  <si>
    <t>7.15亿</t>
  </si>
  <si>
    <t>6179.21万</t>
  </si>
  <si>
    <t>7.52亿</t>
  </si>
  <si>
    <t>3.41亿</t>
  </si>
  <si>
    <t>19.43亿</t>
  </si>
  <si>
    <t>3.66亿</t>
  </si>
  <si>
    <t>SZ300201</t>
  </si>
  <si>
    <t>6.19亿</t>
  </si>
  <si>
    <t>4.58亿</t>
  </si>
  <si>
    <t>SZ300210</t>
  </si>
  <si>
    <t>2.57亿</t>
  </si>
  <si>
    <t>-3.20亿</t>
  </si>
  <si>
    <t>2.66亿</t>
  </si>
  <si>
    <t>5.59亿</t>
  </si>
  <si>
    <t>2.47亿</t>
  </si>
  <si>
    <t>SZ300281</t>
  </si>
  <si>
    <t>2459.00万</t>
  </si>
  <si>
    <t>SZ300293</t>
  </si>
  <si>
    <t>14.30亿</t>
  </si>
  <si>
    <t>1539.62万</t>
  </si>
  <si>
    <t>3.58亿</t>
  </si>
  <si>
    <t>SZ300382</t>
  </si>
  <si>
    <t>7.92亿</t>
  </si>
  <si>
    <t>9739.82万</t>
  </si>
  <si>
    <t>2.38亿</t>
  </si>
  <si>
    <t>4.04亿</t>
  </si>
  <si>
    <t>5.22亿</t>
  </si>
  <si>
    <t>2.94亿</t>
  </si>
  <si>
    <t>SZ300412</t>
  </si>
  <si>
    <t>迦南科技</t>
  </si>
  <si>
    <t>7.03亿</t>
  </si>
  <si>
    <t>5131.42万</t>
  </si>
  <si>
    <t>2.37亿</t>
  </si>
  <si>
    <t>2.19亿</t>
  </si>
  <si>
    <t>SZ300415</t>
  </si>
  <si>
    <t>21.14亿</t>
  </si>
  <si>
    <t>6.99亿</t>
  </si>
  <si>
    <t>3.70亿</t>
  </si>
  <si>
    <t>4.71亿</t>
  </si>
  <si>
    <t>8.30亿</t>
  </si>
  <si>
    <t>5.24亿</t>
  </si>
  <si>
    <t>7.01亿</t>
  </si>
  <si>
    <t>5.79亿</t>
  </si>
  <si>
    <t>7.38亿</t>
  </si>
  <si>
    <t>4.33亿</t>
  </si>
  <si>
    <t>SZ300471</t>
  </si>
  <si>
    <t>5.43亿</t>
  </si>
  <si>
    <t>2082.76万</t>
  </si>
  <si>
    <t>1.95亿</t>
  </si>
  <si>
    <t>1.19亿</t>
  </si>
  <si>
    <t>1.80亿</t>
  </si>
  <si>
    <t>SZ300472</t>
  </si>
  <si>
    <t>4.86亿</t>
  </si>
  <si>
    <t>6142.89万</t>
  </si>
  <si>
    <t>2.24亿</t>
  </si>
  <si>
    <t>3.33亿</t>
  </si>
  <si>
    <t>SZ300499</t>
  </si>
  <si>
    <t>10.94亿</t>
  </si>
  <si>
    <t>8.48亿</t>
  </si>
  <si>
    <t>8.17亿</t>
  </si>
  <si>
    <t>5369.28万</t>
  </si>
  <si>
    <t>1.63亿</t>
  </si>
  <si>
    <t>SZ300540</t>
  </si>
  <si>
    <t>5.64亿</t>
  </si>
  <si>
    <t>741.66万</t>
  </si>
  <si>
    <t>SZ300549</t>
  </si>
  <si>
    <t>1.85亿</t>
  </si>
  <si>
    <t>3.54亿</t>
  </si>
  <si>
    <t>2097.58万</t>
  </si>
  <si>
    <t>1.04亿</t>
  </si>
  <si>
    <t>4.66亿</t>
  </si>
  <si>
    <t>SZ300756</t>
  </si>
  <si>
    <t>6.25亿</t>
  </si>
  <si>
    <t>2.64亿</t>
  </si>
  <si>
    <t>5.39亿</t>
  </si>
  <si>
    <t>SZ300813</t>
  </si>
  <si>
    <t>泰林生物</t>
  </si>
  <si>
    <t>1.81亿</t>
  </si>
  <si>
    <t>3440.64万</t>
  </si>
  <si>
    <t>SZ300823</t>
  </si>
  <si>
    <t>8.95亿</t>
  </si>
  <si>
    <t>8415.90万</t>
  </si>
  <si>
    <t>SZ300833</t>
  </si>
  <si>
    <t>浩洋股份</t>
  </si>
  <si>
    <t>8.45亿</t>
  </si>
  <si>
    <t>SZ300836</t>
  </si>
  <si>
    <t>佰奥智能</t>
  </si>
  <si>
    <t>6.15亿</t>
  </si>
  <si>
    <t>6427.32万</t>
  </si>
  <si>
    <t>SZ300879</t>
  </si>
  <si>
    <t>大叶股份</t>
  </si>
  <si>
    <t>9.88亿</t>
  </si>
  <si>
    <t>8148.25万</t>
  </si>
  <si>
    <t>1.18亿</t>
  </si>
  <si>
    <t>SH600444</t>
  </si>
  <si>
    <t>5.83亿</t>
  </si>
  <si>
    <t>6.78亿</t>
  </si>
  <si>
    <t>4855.89万</t>
  </si>
  <si>
    <t>SH600499</t>
  </si>
  <si>
    <t>64.22亿</t>
  </si>
  <si>
    <t>SH600501</t>
  </si>
  <si>
    <t>30.00亿</t>
  </si>
  <si>
    <t>3495.10万</t>
  </si>
  <si>
    <t>4.85亿</t>
  </si>
  <si>
    <t>SH600520</t>
  </si>
  <si>
    <t>2.59亿</t>
  </si>
  <si>
    <t>-7250.47万</t>
  </si>
  <si>
    <t>SH600579</t>
  </si>
  <si>
    <t>克劳斯</t>
  </si>
  <si>
    <t>105.76亿</t>
  </si>
  <si>
    <t>-1.58亿</t>
  </si>
  <si>
    <t>1.05亿</t>
  </si>
  <si>
    <t>SH603011</t>
  </si>
  <si>
    <t>9.52亿</t>
  </si>
  <si>
    <t>2731.01万</t>
  </si>
  <si>
    <t>SH603029</t>
  </si>
  <si>
    <t>4.62亿</t>
  </si>
  <si>
    <t>1015.83万</t>
  </si>
  <si>
    <t>SH603076</t>
  </si>
  <si>
    <t>7.54亿</t>
  </si>
  <si>
    <t>-2481.36万</t>
  </si>
  <si>
    <t>2.54亿</t>
  </si>
  <si>
    <t>SH603081</t>
  </si>
  <si>
    <t>21.41亿</t>
  </si>
  <si>
    <t>8.08亿</t>
  </si>
  <si>
    <t>SH603159</t>
  </si>
  <si>
    <t>2279.18万</t>
  </si>
  <si>
    <t>5.68亿</t>
  </si>
  <si>
    <t>10.74亿</t>
  </si>
  <si>
    <t>4.43亿</t>
  </si>
  <si>
    <t>SH603289</t>
  </si>
  <si>
    <t>8.04亿</t>
  </si>
  <si>
    <t>3.24亿</t>
  </si>
  <si>
    <t>SH603337</t>
  </si>
  <si>
    <t>27.61亿</t>
  </si>
  <si>
    <t>36.08亿</t>
  </si>
  <si>
    <t>6.55亿</t>
  </si>
  <si>
    <t>10.50亿</t>
  </si>
  <si>
    <t>3.14亿</t>
  </si>
  <si>
    <t>12.35亿</t>
  </si>
  <si>
    <t>4.57亿</t>
  </si>
  <si>
    <t>14.42亿</t>
  </si>
  <si>
    <t>6.86亿</t>
  </si>
  <si>
    <t>SH603656</t>
  </si>
  <si>
    <t>6241.83万</t>
  </si>
  <si>
    <t>9.86亿</t>
  </si>
  <si>
    <t>3.44亿</t>
  </si>
  <si>
    <t>SH603855</t>
  </si>
  <si>
    <t>SH603895</t>
  </si>
  <si>
    <t>5.98亿</t>
  </si>
  <si>
    <t>-4027.86万</t>
  </si>
  <si>
    <t>2.12亿</t>
  </si>
  <si>
    <t>4.11亿</t>
  </si>
  <si>
    <t>SH603956</t>
  </si>
  <si>
    <t>8.59亿</t>
  </si>
  <si>
    <t>2.96亿</t>
  </si>
  <si>
    <t>SH688001</t>
  </si>
  <si>
    <t>华兴源创</t>
  </si>
  <si>
    <t>8.38亿</t>
  </si>
  <si>
    <t>12.58亿</t>
  </si>
  <si>
    <t>1.00亿</t>
  </si>
  <si>
    <t>4.41亿</t>
  </si>
  <si>
    <t>4.63亿</t>
  </si>
  <si>
    <t>5.41亿</t>
  </si>
  <si>
    <t>9.30亿</t>
  </si>
  <si>
    <t>SH688022</t>
  </si>
  <si>
    <t>瀚川智能</t>
  </si>
  <si>
    <t>5.07亿</t>
  </si>
  <si>
    <t>7328.19万</t>
  </si>
  <si>
    <t>4.07亿</t>
  </si>
  <si>
    <t>4.26亿</t>
  </si>
  <si>
    <t>2.61亿</t>
  </si>
  <si>
    <t>-1.03亿</t>
  </si>
  <si>
    <t>SH688128</t>
  </si>
  <si>
    <t>中国电研</t>
  </si>
  <si>
    <t>27.52亿</t>
  </si>
  <si>
    <t>2.55亿</t>
  </si>
  <si>
    <t>2.92亿</t>
  </si>
  <si>
    <t>5.46亿</t>
  </si>
  <si>
    <t>SH688378</t>
  </si>
  <si>
    <t>奥来德</t>
  </si>
  <si>
    <t>8.12亿</t>
  </si>
  <si>
    <t>13.85亿</t>
  </si>
  <si>
    <t>SZ002367</t>
  </si>
  <si>
    <t>36.63亿</t>
  </si>
  <si>
    <t>SZ002689</t>
  </si>
  <si>
    <t>8.10亿</t>
  </si>
  <si>
    <t>3.76亿</t>
  </si>
  <si>
    <t>SZ002774</t>
  </si>
  <si>
    <t>8.22亿</t>
  </si>
  <si>
    <t>2068.43万</t>
  </si>
  <si>
    <t>2.73亿</t>
  </si>
  <si>
    <t>SZ300669</t>
  </si>
  <si>
    <t>5494.34万</t>
  </si>
  <si>
    <t>SH600835</t>
  </si>
  <si>
    <t>SH600894</t>
  </si>
  <si>
    <t>61.22亿</t>
  </si>
  <si>
    <t>SH603321</t>
  </si>
  <si>
    <t>7.37亿</t>
  </si>
  <si>
    <t>3959.02万</t>
  </si>
  <si>
    <t>SH603356</t>
  </si>
  <si>
    <t>14.43亿</t>
  </si>
  <si>
    <t>6902.13万</t>
  </si>
  <si>
    <t>SH603488</t>
  </si>
  <si>
    <t>展鹏科技</t>
  </si>
  <si>
    <t>8.73亿</t>
  </si>
  <si>
    <t>8639.50万</t>
  </si>
  <si>
    <t>11.26亿</t>
  </si>
  <si>
    <t>5.36亿</t>
  </si>
  <si>
    <t>3.63亿</t>
  </si>
  <si>
    <t>3.73亿</t>
  </si>
  <si>
    <t>1.91亿</t>
  </si>
  <si>
    <t>6.18亿</t>
  </si>
  <si>
    <t>5.19亿</t>
  </si>
  <si>
    <t>2.29亿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</si>
  <si>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</si>
  <si>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</si>
  <si>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</si>
  <si>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</si>
  <si>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</si>
  <si>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</si>
  <si>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</si>
  <si>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</si>
  <si>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</si>
  <si>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</si>
  <si>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</si>
  <si>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</si>
  <si>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</si>
  <si>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20.20亿</t>
  </si>
  <si>
    <t>4.05亿</t>
  </si>
  <si>
    <t>5.73亿</t>
  </si>
  <si>
    <t>7.17亿</t>
  </si>
  <si>
    <t>23.67亿</t>
  </si>
  <si>
    <t>4.36亿</t>
  </si>
  <si>
    <t>7.34亿</t>
  </si>
  <si>
    <t>2.51亿</t>
  </si>
  <si>
    <t>7.47亿</t>
  </si>
  <si>
    <t>6.53亿</t>
  </si>
  <si>
    <t>1.97亿</t>
  </si>
  <si>
    <t>64.28亿</t>
  </si>
  <si>
    <t>62.13亿</t>
  </si>
  <si>
    <t>712.13万</t>
  </si>
  <si>
    <t>49.19亿</t>
  </si>
  <si>
    <t>1353.54万</t>
  </si>
  <si>
    <t>20.32亿</t>
  </si>
  <si>
    <t>2303.82万</t>
  </si>
  <si>
    <t>10.70亿</t>
  </si>
  <si>
    <t>2834.21万</t>
  </si>
  <si>
    <t>3.61亿</t>
  </si>
  <si>
    <t>10.04亿</t>
  </si>
  <si>
    <t>9.50亿</t>
  </si>
  <si>
    <t>6.98亿</t>
  </si>
  <si>
    <t>573.21万</t>
  </si>
  <si>
    <t>35.92亿</t>
  </si>
  <si>
    <t>6104.81万</t>
  </si>
  <si>
    <t>35.03亿</t>
  </si>
  <si>
    <t>5.26亿</t>
  </si>
  <si>
    <t>-7855.02万</t>
  </si>
  <si>
    <t>2.27亿</t>
  </si>
  <si>
    <t>11.41亿</t>
  </si>
  <si>
    <t>10.02亿</t>
  </si>
  <si>
    <t>-2.38亿</t>
  </si>
  <si>
    <t>16.78亿</t>
  </si>
  <si>
    <t>-1.60亿</t>
  </si>
  <si>
    <t>14.02亿</t>
  </si>
  <si>
    <t>5452.10万</t>
  </si>
  <si>
    <t>30.82亿</t>
  </si>
  <si>
    <t>9511.55万</t>
  </si>
  <si>
    <t>4.74亿</t>
  </si>
  <si>
    <t>10.01亿</t>
  </si>
  <si>
    <t>-3.13亿</t>
  </si>
  <si>
    <t>5.65亿</t>
  </si>
  <si>
    <t>57.56亿</t>
  </si>
  <si>
    <t>5.27亿</t>
  </si>
  <si>
    <t>3.90亿</t>
  </si>
  <si>
    <t>65.71亿</t>
  </si>
  <si>
    <t>1539.28万</t>
  </si>
  <si>
    <t>1781.58万</t>
  </si>
  <si>
    <t>9.62亿</t>
  </si>
  <si>
    <t>8.05亿</t>
  </si>
  <si>
    <t>1034.60万</t>
  </si>
  <si>
    <t>7.26亿</t>
  </si>
  <si>
    <t>2838.39万</t>
  </si>
  <si>
    <t>2976.20万</t>
  </si>
  <si>
    <t>-1.09亿</t>
  </si>
  <si>
    <t>11.80亿</t>
  </si>
  <si>
    <t>-1.02亿</t>
  </si>
  <si>
    <t>740.92万</t>
  </si>
  <si>
    <t>82.95亿</t>
  </si>
  <si>
    <t>16.90亿</t>
  </si>
  <si>
    <t>8.67亿</t>
  </si>
  <si>
    <t>45.97亿</t>
  </si>
  <si>
    <t>3.36亿</t>
  </si>
  <si>
    <t>3.92亿</t>
  </si>
  <si>
    <t>42.80亿</t>
  </si>
  <si>
    <t>30.92亿</t>
  </si>
  <si>
    <t>1554.78万</t>
  </si>
  <si>
    <t>3.26亿</t>
  </si>
  <si>
    <t>4.24亿</t>
  </si>
  <si>
    <t>36.15亿</t>
  </si>
  <si>
    <t>19.61亿</t>
  </si>
  <si>
    <t>6547.73万</t>
  </si>
  <si>
    <t>30.10亿</t>
  </si>
  <si>
    <t>3217.86万</t>
  </si>
  <si>
    <t>6.62亿</t>
  </si>
  <si>
    <t>5.32亿</t>
  </si>
  <si>
    <t>44.52亿</t>
  </si>
  <si>
    <t>9247.64万</t>
  </si>
  <si>
    <t>15.02亿</t>
  </si>
  <si>
    <t>5809.72万</t>
  </si>
  <si>
    <t>14.06亿</t>
  </si>
  <si>
    <t>12.39亿</t>
  </si>
  <si>
    <t>20.90亿</t>
  </si>
  <si>
    <t>3.52亿</t>
  </si>
  <si>
    <t>2.89亿</t>
  </si>
  <si>
    <t>18.74亿</t>
  </si>
  <si>
    <t>3286.69万</t>
  </si>
  <si>
    <t>-1.75亿</t>
  </si>
  <si>
    <t>3725.96万</t>
  </si>
  <si>
    <t>20.63亿</t>
  </si>
  <si>
    <t>16.52亿</t>
  </si>
  <si>
    <t>-1.25亿</t>
  </si>
  <si>
    <t>52.94亿</t>
  </si>
  <si>
    <t>37.24亿</t>
  </si>
  <si>
    <t>7.39亿</t>
  </si>
  <si>
    <t>7.18亿</t>
  </si>
  <si>
    <t>29.16亿</t>
  </si>
  <si>
    <t>4.32亿</t>
  </si>
  <si>
    <t>66.21亿</t>
  </si>
  <si>
    <t>-38.76亿</t>
  </si>
  <si>
    <t>8.77亿</t>
  </si>
  <si>
    <t>12.61亿</t>
  </si>
  <si>
    <t>9.76亿</t>
  </si>
  <si>
    <t>10.06亿</t>
  </si>
  <si>
    <t>8.19亿</t>
  </si>
  <si>
    <t>1.92亿</t>
  </si>
  <si>
    <t>935.40万</t>
  </si>
  <si>
    <t>2.43亿</t>
  </si>
  <si>
    <t>9.01亿</t>
  </si>
  <si>
    <t>4.17亿</t>
  </si>
  <si>
    <t>1506.69万</t>
  </si>
  <si>
    <t>7.88亿</t>
  </si>
  <si>
    <t>4.87亿</t>
  </si>
  <si>
    <t>10.40亿</t>
  </si>
  <si>
    <t>3365.85万</t>
  </si>
  <si>
    <t>5638.70万</t>
  </si>
  <si>
    <t>5716.96万</t>
  </si>
  <si>
    <t>21.33亿</t>
  </si>
  <si>
    <t>3123.76万</t>
  </si>
  <si>
    <t>7.49亿</t>
  </si>
  <si>
    <t>7.82亿</t>
  </si>
  <si>
    <t>7175.63万</t>
  </si>
  <si>
    <t>-2418.02万</t>
  </si>
  <si>
    <t>1177.47万</t>
  </si>
  <si>
    <t>32.42亿</t>
  </si>
  <si>
    <t>-3.25亿</t>
  </si>
  <si>
    <t>4166.29万</t>
  </si>
  <si>
    <t>-5124.83万</t>
  </si>
  <si>
    <t>3.45亿</t>
  </si>
  <si>
    <t>3.50亿</t>
  </si>
  <si>
    <t>643.34万</t>
  </si>
  <si>
    <t>16.89亿</t>
  </si>
  <si>
    <t>3.87亿</t>
  </si>
  <si>
    <t>11.94亿</t>
  </si>
  <si>
    <t>17.03亿</t>
  </si>
  <si>
    <t>3.13亿</t>
  </si>
  <si>
    <t>5.56亿</t>
  </si>
  <si>
    <t>2341.99万</t>
  </si>
  <si>
    <t>2812.56万</t>
  </si>
  <si>
    <t>-1.68亿</t>
  </si>
  <si>
    <t>25.25亿</t>
  </si>
  <si>
    <t>4.30亿</t>
  </si>
  <si>
    <t>17.77亿</t>
  </si>
  <si>
    <t>SZ003036</t>
  </si>
  <si>
    <t>泰坦股份</t>
  </si>
  <si>
    <t>7.32亿</t>
  </si>
  <si>
    <t>6.68亿</t>
  </si>
  <si>
    <t>5989.04万</t>
  </si>
  <si>
    <t>5940.43万</t>
  </si>
  <si>
    <t>6905.49万</t>
  </si>
  <si>
    <t>-10.31亿</t>
  </si>
  <si>
    <t>5.04亿</t>
  </si>
  <si>
    <t>-5.98亿</t>
  </si>
  <si>
    <t>6593.57万</t>
  </si>
  <si>
    <t>9745.32万</t>
  </si>
  <si>
    <t>11.18亿</t>
  </si>
  <si>
    <t>5.99亿</t>
  </si>
  <si>
    <t>5684.51万</t>
  </si>
  <si>
    <t>12.23亿</t>
  </si>
  <si>
    <t>-9648.53万</t>
  </si>
  <si>
    <t>13.12亿</t>
  </si>
  <si>
    <t>11.30亿</t>
  </si>
  <si>
    <t>-6.73亿</t>
  </si>
  <si>
    <t>8353.75万</t>
  </si>
  <si>
    <t>11.56亿</t>
  </si>
  <si>
    <t>20.36亿</t>
  </si>
  <si>
    <t>5.92亿</t>
  </si>
  <si>
    <t>-9667.49万</t>
  </si>
  <si>
    <t>2708.55万</t>
  </si>
  <si>
    <t>-5963.05万</t>
  </si>
  <si>
    <t>3683.21万</t>
  </si>
  <si>
    <t>1986.39万</t>
  </si>
  <si>
    <t>-1.84亿</t>
  </si>
  <si>
    <t>17.27亿</t>
  </si>
  <si>
    <t>1616.12万</t>
  </si>
  <si>
    <t>-5.27亿</t>
  </si>
  <si>
    <t>10.98亿</t>
  </si>
  <si>
    <t>4.69亿</t>
  </si>
  <si>
    <t>4.65亿</t>
  </si>
  <si>
    <t>5.53亿</t>
  </si>
  <si>
    <t>8.32亿</t>
  </si>
  <si>
    <t>6790.55万</t>
  </si>
  <si>
    <t>3363.25万</t>
  </si>
  <si>
    <t>27.18亿</t>
  </si>
  <si>
    <t>4.68亿</t>
  </si>
  <si>
    <t>20.15亿</t>
  </si>
  <si>
    <t>5.47亿</t>
  </si>
  <si>
    <t>3.98亿</t>
  </si>
  <si>
    <t>-4.79亿</t>
  </si>
  <si>
    <t>-3.71亿</t>
  </si>
  <si>
    <t>7003.46万</t>
  </si>
  <si>
    <t>10.37亿</t>
  </si>
  <si>
    <t>12.28亿</t>
  </si>
  <si>
    <t>8098.26万</t>
  </si>
  <si>
    <t>5748.79万</t>
  </si>
  <si>
    <t>6.91亿</t>
  </si>
  <si>
    <t>5805.02万</t>
  </si>
  <si>
    <t>4.54亿</t>
  </si>
  <si>
    <t>4307.06万</t>
  </si>
  <si>
    <t>4419.68万</t>
  </si>
  <si>
    <t>-1214.64万</t>
  </si>
  <si>
    <t>2544.33万</t>
  </si>
  <si>
    <t>942.71万</t>
  </si>
  <si>
    <t>-1.17亿</t>
  </si>
  <si>
    <t>2263.97万</t>
  </si>
  <si>
    <t>4901.37万</t>
  </si>
  <si>
    <t>5.16亿</t>
  </si>
  <si>
    <t>2.46亿</t>
  </si>
  <si>
    <t>5422.97万</t>
  </si>
  <si>
    <t>3793.86万</t>
  </si>
  <si>
    <t>金马游乐</t>
  </si>
  <si>
    <t>-2016.06万</t>
  </si>
  <si>
    <t>9804.38万</t>
  </si>
  <si>
    <t>18.13亿</t>
  </si>
  <si>
    <t>4838.56万</t>
  </si>
  <si>
    <t>4821.46万</t>
  </si>
  <si>
    <t>8975.07万</t>
  </si>
  <si>
    <t>7952.56万</t>
  </si>
  <si>
    <t>6189.65万</t>
  </si>
  <si>
    <t>8812.66万</t>
  </si>
  <si>
    <t>1521.86万</t>
  </si>
  <si>
    <t>5068.82万</t>
  </si>
  <si>
    <t>3.60亿</t>
  </si>
  <si>
    <t>7444.04万</t>
  </si>
  <si>
    <t>6494.04万</t>
  </si>
  <si>
    <t>5814.68万</t>
  </si>
  <si>
    <t>7670.16万</t>
  </si>
  <si>
    <t>6251.66万</t>
  </si>
  <si>
    <t>SZ300902</t>
  </si>
  <si>
    <t>国安达</t>
  </si>
  <si>
    <t>6212.08万</t>
  </si>
  <si>
    <t>7456.80万</t>
  </si>
  <si>
    <t>6284.37万</t>
  </si>
  <si>
    <t>4.67亿</t>
  </si>
  <si>
    <t>SZ300931</t>
  </si>
  <si>
    <t>通用电梯</t>
  </si>
  <si>
    <t>5514.22万</t>
  </si>
  <si>
    <t>4.79亿</t>
  </si>
  <si>
    <t>6214.45万</t>
  </si>
  <si>
    <t>6284.66万</t>
  </si>
  <si>
    <t>SZ300950</t>
  </si>
  <si>
    <t>德固特</t>
  </si>
  <si>
    <t>6152.48万</t>
  </si>
  <si>
    <t>6197.71万</t>
  </si>
  <si>
    <t>5105.49万</t>
  </si>
  <si>
    <t>61.16亿</t>
  </si>
  <si>
    <t>86.11亿</t>
  </si>
  <si>
    <t>4.15亿</t>
  </si>
  <si>
    <t>10.13亿</t>
  </si>
  <si>
    <t>11.99亿</t>
  </si>
  <si>
    <t>13.88亿</t>
  </si>
  <si>
    <t>11.96亿</t>
  </si>
  <si>
    <t>9.90亿</t>
  </si>
  <si>
    <t>2837.17万</t>
  </si>
  <si>
    <t>226.55亿</t>
  </si>
  <si>
    <t>218.12亿</t>
  </si>
  <si>
    <t>8.37亿</t>
  </si>
  <si>
    <t>5.11亿</t>
  </si>
  <si>
    <t>6.64亿</t>
  </si>
  <si>
    <t>5.60亿</t>
  </si>
  <si>
    <t>4556.14万</t>
  </si>
  <si>
    <t>4719.70万</t>
  </si>
  <si>
    <t>16.07亿</t>
  </si>
  <si>
    <t>4.19亿</t>
  </si>
  <si>
    <t>60.71亿</t>
  </si>
  <si>
    <t>57.29亿</t>
  </si>
  <si>
    <t>-5.89亿</t>
  </si>
  <si>
    <t>37.00亿</t>
  </si>
  <si>
    <t>4445.26万</t>
  </si>
  <si>
    <t>-1.14亿</t>
  </si>
  <si>
    <t>829.77万</t>
  </si>
  <si>
    <t>504.38万</t>
  </si>
  <si>
    <t>35.21亿</t>
  </si>
  <si>
    <t>48.50亿</t>
  </si>
  <si>
    <t>-5.61亿</t>
  </si>
  <si>
    <t>92.21亿</t>
  </si>
  <si>
    <t>6.58亿</t>
  </si>
  <si>
    <t>3805.63万</t>
  </si>
  <si>
    <t>2100.60万</t>
  </si>
  <si>
    <t>98.16亿</t>
  </si>
  <si>
    <t>-2.30亿</t>
  </si>
  <si>
    <t>113.04亿</t>
  </si>
  <si>
    <t>205.52亿</t>
  </si>
  <si>
    <t>13.64亿</t>
  </si>
  <si>
    <t>5.61亿</t>
  </si>
  <si>
    <t>179.39亿</t>
  </si>
  <si>
    <t>9.42亿</t>
  </si>
  <si>
    <t>4.31亿</t>
  </si>
  <si>
    <t>19.12亿</t>
  </si>
  <si>
    <t>233.94亿</t>
  </si>
  <si>
    <t>222.88亿</t>
  </si>
  <si>
    <t>212.34亿</t>
  </si>
  <si>
    <t>30.65亿</t>
  </si>
  <si>
    <t>8446.48万</t>
  </si>
  <si>
    <t>32.01亿</t>
  </si>
  <si>
    <t>67.73亿</t>
  </si>
  <si>
    <t>7.13亿</t>
  </si>
  <si>
    <t>54.63亿</t>
  </si>
  <si>
    <t>10.68亿</t>
  </si>
  <si>
    <t>4786.71万</t>
  </si>
  <si>
    <t>3387.49万</t>
  </si>
  <si>
    <t>22.27亿</t>
  </si>
  <si>
    <t>57.37亿</t>
  </si>
  <si>
    <t>55.41亿</t>
  </si>
  <si>
    <t>-13.00亿</t>
  </si>
  <si>
    <t>199.03亿</t>
  </si>
  <si>
    <t>5.14亿</t>
  </si>
  <si>
    <t>105.11亿</t>
  </si>
  <si>
    <t>国机重装</t>
  </si>
  <si>
    <t>88.24亿</t>
  </si>
  <si>
    <t>95.23亿</t>
  </si>
  <si>
    <t>63.18亿</t>
  </si>
  <si>
    <t>52.01亿</t>
  </si>
  <si>
    <t>1850.01万</t>
  </si>
  <si>
    <t>7.35亿</t>
  </si>
  <si>
    <t>6294.09万</t>
  </si>
  <si>
    <t>2590.27万</t>
  </si>
  <si>
    <t>6.50亿</t>
  </si>
  <si>
    <t>5145.23万</t>
  </si>
  <si>
    <t>22.87亿</t>
  </si>
  <si>
    <t>19.57亿</t>
  </si>
  <si>
    <t>1367.46万</t>
  </si>
  <si>
    <t>1509.94万</t>
  </si>
  <si>
    <t>6780.71万</t>
  </si>
  <si>
    <t>3907.84万</t>
  </si>
  <si>
    <t>4.73亿</t>
  </si>
  <si>
    <t>3897.68万</t>
  </si>
  <si>
    <t>25.09亿</t>
  </si>
  <si>
    <t>17.95亿</t>
  </si>
  <si>
    <t>9.19亿</t>
  </si>
  <si>
    <t>4023.54万</t>
  </si>
  <si>
    <t>4292.60万</t>
  </si>
  <si>
    <t>-2.85亿</t>
  </si>
  <si>
    <t>25.47亿</t>
  </si>
  <si>
    <t>-15.09亿</t>
  </si>
  <si>
    <t>8669.50万</t>
  </si>
  <si>
    <t>6.59亿</t>
  </si>
  <si>
    <t>11.03亿</t>
  </si>
  <si>
    <t>5108.63万</t>
  </si>
  <si>
    <t>5014.20万</t>
  </si>
  <si>
    <t>41.52亿</t>
  </si>
  <si>
    <t>27.87亿</t>
  </si>
  <si>
    <t>11.39亿</t>
  </si>
  <si>
    <t>7365.52万</t>
  </si>
  <si>
    <t>6.82亿</t>
  </si>
  <si>
    <t>6108.00万</t>
  </si>
  <si>
    <t>7400.82万</t>
  </si>
  <si>
    <t>泰禾智能</t>
  </si>
  <si>
    <t>4342.21万</t>
  </si>
  <si>
    <t>8073.31万</t>
  </si>
  <si>
    <t>7.60亿</t>
  </si>
  <si>
    <t>-2.77亿</t>
  </si>
  <si>
    <t>-5854.89万</t>
  </si>
  <si>
    <t>434.09万</t>
  </si>
  <si>
    <t>11.69亿</t>
  </si>
  <si>
    <t>8906.81万</t>
  </si>
  <si>
    <t>22.83亿</t>
  </si>
  <si>
    <t>4.81亿</t>
  </si>
  <si>
    <t>16.31亿</t>
  </si>
  <si>
    <t>12.00亿</t>
  </si>
  <si>
    <t>1220.40万</t>
  </si>
  <si>
    <t>6.81亿</t>
  </si>
  <si>
    <t>3611.81万</t>
  </si>
  <si>
    <t>16.51亿</t>
  </si>
  <si>
    <t>10.05亿</t>
  </si>
  <si>
    <t>7418.43万</t>
  </si>
  <si>
    <t>6.52亿</t>
  </si>
  <si>
    <t>7.64亿</t>
  </si>
  <si>
    <t>6592.67万</t>
  </si>
  <si>
    <t>13.70亿</t>
  </si>
  <si>
    <t>4.92亿</t>
  </si>
  <si>
    <t>5.30亿</t>
  </si>
  <si>
    <t>4414.84万</t>
  </si>
  <si>
    <t>7025.66万</t>
  </si>
  <si>
    <t>SH688092</t>
  </si>
  <si>
    <t>爱科科技</t>
  </si>
  <si>
    <t>4889.29万</t>
  </si>
  <si>
    <t>4472.04万</t>
  </si>
  <si>
    <t>3903.03万</t>
  </si>
  <si>
    <t>15.50亿</t>
  </si>
  <si>
    <t>SH688113</t>
  </si>
  <si>
    <t>联测科技</t>
  </si>
  <si>
    <t>7256.91万</t>
  </si>
  <si>
    <t>6159.94万</t>
  </si>
  <si>
    <t>3648.43万</t>
  </si>
  <si>
    <t>25.20亿</t>
  </si>
  <si>
    <t>25.98亿</t>
  </si>
  <si>
    <t>7.16亿</t>
  </si>
  <si>
    <t>SH688328</t>
  </si>
  <si>
    <t>深科达</t>
  </si>
  <si>
    <t>7277.79万</t>
  </si>
  <si>
    <t>5088.93万</t>
  </si>
  <si>
    <t>4417.14万</t>
  </si>
  <si>
    <t>-1.83亿</t>
  </si>
  <si>
    <t>8025.65万</t>
  </si>
  <si>
    <t>5187.73万</t>
  </si>
  <si>
    <t>7191.64万</t>
  </si>
  <si>
    <t>8906.64万</t>
  </si>
  <si>
    <t>SH688383</t>
  </si>
  <si>
    <t>新益昌</t>
  </si>
  <si>
    <t>8775.40万</t>
  </si>
  <si>
    <t>SH688529</t>
  </si>
  <si>
    <t>8217.30万</t>
  </si>
  <si>
    <t>3410.86万</t>
  </si>
  <si>
    <t>2813.60万</t>
  </si>
  <si>
    <t>SH688630</t>
  </si>
  <si>
    <t>芯碁微装</t>
  </si>
  <si>
    <t>7103.89万</t>
  </si>
  <si>
    <t>8729.53万</t>
  </si>
  <si>
    <t>4762.51万</t>
  </si>
  <si>
    <t>1729.27万</t>
  </si>
  <si>
    <t>SH688633</t>
  </si>
  <si>
    <t>星球石墨</t>
  </si>
  <si>
    <t>4966.48万</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</si>
  <si>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</si>
  <si>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</si>
  <si>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</si>
  <si>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</si>
  <si>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</si>
  <si>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</si>
  <si>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</si>
  <si>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</si>
  <si>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</si>
  <si>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</si>
  <si>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</si>
  <si>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</si>
  <si>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</si>
  <si>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海源复材</t>
  </si>
  <si>
    <t>SZ301013</t>
  </si>
  <si>
    <t>利和兴</t>
  </si>
  <si>
    <t>8484.11万</t>
  </si>
  <si>
    <t>9174.09万</t>
  </si>
  <si>
    <t>5047.23万</t>
  </si>
  <si>
    <t>12.15亿</t>
  </si>
  <si>
    <t>15.67亿</t>
  </si>
  <si>
    <t>SH688700</t>
  </si>
  <si>
    <t>东威科技</t>
  </si>
  <si>
    <t>8781.20万</t>
  </si>
  <si>
    <t>7424.26万</t>
  </si>
  <si>
    <t>6322.10万</t>
  </si>
  <si>
    <t>SH688789</t>
  </si>
  <si>
    <t>宏华数科</t>
  </si>
  <si>
    <t>5.91亿</t>
  </si>
  <si>
    <r>
      <t>自成立以来专注于板式家具的研发和销售，公司可以为下游家具企业</t>
    </r>
    <r>
      <rPr>
        <sz val="9"/>
        <color rgb="FFFF0000"/>
        <rFont val="宋体"/>
        <family val="3"/>
        <charset val="134"/>
        <scheme val="minor"/>
      </rPr>
      <t>提供成套设备</t>
    </r>
    <r>
      <rPr>
        <sz val="9"/>
        <color theme="1"/>
        <rFont val="宋体"/>
        <family val="2"/>
        <charset val="134"/>
        <scheme val="minor"/>
      </rPr>
      <t>以及整体解决方案，是板式家具专用设备领域领先企业。另外在2018年并购了唯一网络进入</t>
    </r>
    <r>
      <rPr>
        <sz val="9"/>
        <color rgb="FFFF0000"/>
        <rFont val="宋体"/>
        <family val="3"/>
        <charset val="134"/>
        <scheme val="minor"/>
      </rPr>
      <t>IDC综合服务</t>
    </r>
    <r>
      <rPr>
        <sz val="9"/>
        <color theme="1"/>
        <rFont val="宋体"/>
        <family val="2"/>
        <charset val="134"/>
        <scheme val="minor"/>
      </rPr>
      <t>领域，形成了公司双主业的战略发展布局；
IDC及云计算相关服务 8.52亿 39.94%（毛利23.04%）
自动封边机 4.75亿 22.29%（毛利28.48%）
数控钻(含多排钻) 2.44亿 11.46%（毛利21.47%）
数控裁板锯 1.83亿 8.60%
其他设备 1.74亿 8.14%（毛利38.81%）
加工中心 1.15亿 5.37%</t>
    </r>
    <phoneticPr fontId="1" type="noConversion"/>
  </si>
  <si>
    <t>1.专用设备方面：订单饱满，随着原有设备的投入和无锡工厂准备投产，未来产能会逐渐释放，专用设备的规模增长；;2.IDC业务汇总，带宽的业务占比约70%，机柜占比约20%；未来资源重点的投放是机房的投资</t>
    <phoneticPr fontId="1" type="noConversion"/>
  </si>
  <si>
    <t>销售毛利率%[20201231]</t>
  </si>
  <si>
    <t>销售净利率%[20201231]</t>
  </si>
  <si>
    <t>27.07亿</t>
  </si>
  <si>
    <t>9.43亿</t>
  </si>
  <si>
    <t>11.97亿</t>
  </si>
  <si>
    <t>7.75亿</t>
  </si>
  <si>
    <t>6.32亿</t>
  </si>
  <si>
    <t>10.63亿</t>
  </si>
  <si>
    <t>11.86亿</t>
  </si>
  <si>
    <t>11.93亿</t>
  </si>
  <si>
    <t>7.74亿</t>
  </si>
  <si>
    <t>5.33亿</t>
  </si>
  <si>
    <t>6.01亿</t>
  </si>
  <si>
    <t>SZ300971</t>
  </si>
  <si>
    <t>博亚精工</t>
  </si>
  <si>
    <t>8379.31万</t>
  </si>
  <si>
    <t>7266.00万</t>
  </si>
  <si>
    <t>5006.33万</t>
  </si>
  <si>
    <t>SZ300988</t>
  </si>
  <si>
    <t>津荣天宇</t>
  </si>
  <si>
    <t>6237.44万</t>
  </si>
  <si>
    <t>8.74亿</t>
  </si>
  <si>
    <t>5325.90万</t>
  </si>
  <si>
    <t>4335.82万</t>
  </si>
  <si>
    <t>SZ301053</t>
  </si>
  <si>
    <t>远信工业</t>
  </si>
  <si>
    <t>6470.68万</t>
  </si>
  <si>
    <t>3.27亿</t>
  </si>
  <si>
    <t>6915.28万</t>
  </si>
  <si>
    <t>5476.62万</t>
  </si>
  <si>
    <t>SZ301056</t>
  </si>
  <si>
    <t>森赫股份</t>
  </si>
  <si>
    <t>7058.02万</t>
  </si>
  <si>
    <t>5418.57万</t>
  </si>
  <si>
    <t>4882.29万</t>
  </si>
  <si>
    <t>21.23亿</t>
  </si>
  <si>
    <t>22.86亿</t>
  </si>
  <si>
    <t>9.08亿</t>
  </si>
  <si>
    <t>16.20亿</t>
  </si>
  <si>
    <t>22.54亿</t>
  </si>
  <si>
    <t>12.96亿</t>
  </si>
  <si>
    <t>SH601717</t>
  </si>
  <si>
    <t>郑煤机</t>
  </si>
  <si>
    <t>257.21亿</t>
  </si>
  <si>
    <t>260.12亿</t>
  </si>
  <si>
    <t>越剑智能</t>
  </si>
  <si>
    <t>22.34亿</t>
  </si>
  <si>
    <t>17.28亿</t>
  </si>
  <si>
    <t>9.21亿</t>
  </si>
  <si>
    <t>SH603698</t>
  </si>
  <si>
    <t>20.71亿</t>
  </si>
  <si>
    <t>17.76亿</t>
  </si>
  <si>
    <t>13.03亿</t>
  </si>
  <si>
    <t>SH605259</t>
  </si>
  <si>
    <t>绿田机械</t>
  </si>
  <si>
    <t>12.25亿</t>
  </si>
  <si>
    <t>7.10亿</t>
  </si>
  <si>
    <t>8865.69万</t>
  </si>
  <si>
    <t>3525.52万</t>
  </si>
  <si>
    <t>SH605286</t>
  </si>
  <si>
    <t>同力日升</t>
  </si>
  <si>
    <t>17.49亿</t>
  </si>
  <si>
    <t>15.12亿</t>
  </si>
  <si>
    <t>13.89亿</t>
  </si>
  <si>
    <t>SH688071</t>
  </si>
  <si>
    <t>华依科技</t>
  </si>
  <si>
    <t>4187.91万</t>
  </si>
  <si>
    <t>3874.50万</t>
  </si>
  <si>
    <t>867.34万</t>
  </si>
  <si>
    <t>SH688121</t>
  </si>
  <si>
    <t>卓然股份</t>
  </si>
  <si>
    <t>27.28亿</t>
  </si>
  <si>
    <t>13.95亿</t>
  </si>
  <si>
    <t>3966.05万</t>
  </si>
  <si>
    <r>
      <t>1.下游家具企业对于家具机械设备需求最核心驱动因素是家具厂商生产效率提升的需要；2.目前订单已基本覆盖三季度，产能利用率100%，公司把扩大产能作为首要任务，积极提升订单交付能力，本次发行可转债募</t>
    </r>
    <r>
      <rPr>
        <sz val="9"/>
        <color rgb="FFFF0000"/>
        <rFont val="宋体"/>
        <family val="3"/>
        <charset val="134"/>
        <scheme val="minor"/>
      </rPr>
      <t>集资金总额不超过 60,000万元</t>
    </r>
    <r>
      <rPr>
        <sz val="9"/>
        <color theme="1"/>
        <rFont val="宋体"/>
        <family val="3"/>
        <charset val="134"/>
        <scheme val="minor"/>
      </rPr>
      <t>，拟投入以下项目：1）.高端智能家具生产装备创新及产业化建设项目；2）.高精密家具机械零部件自动化生产建设项目；3）.补充流动资金；公司募集资金投资项目达产后预计实现年产1,000 台加工中心、6,000 台封边机、1,000 台裁板锯、1,800台数控钻及 200 套生产线自动化设备。3.净现比过往三年都很高；4.公司品牌目前与欧洲品牌相比性价比较高，同款类似产品的功能效率，产品价格只有欧洲的一半；与国内品牌相比产品技术较为先进、产品稳定性较好。而国内家具机械装备与欧洲品牌相比柔性化、智能化程度相对低，主要体现在柔性封边机等高端产品的差距</t>
    </r>
    <phoneticPr fontId="1" type="noConversion"/>
  </si>
  <si>
    <r>
      <t>1.公司与德国豪迈集团（HOMAG）、意大利比雅斯集团（BIESSE）和意大利SCM等跨国企业在研发能力、技术水平、资本规模以及品牌影响力等方面尚存较大差距；2.国内同行业企业数量较多而大多数企业规模较小、主要产品技术整体水平不高，但仍有少数国内企业通过积累或引进技术，在某些产品领域已具备了与公司相当的技术研发能力，公司仍面临着国内同行业企业的激烈竞争压力，国内上市的企业有</t>
    </r>
    <r>
      <rPr>
        <b/>
        <sz val="9"/>
        <color theme="1"/>
        <rFont val="宋体"/>
        <family val="3"/>
        <charset val="134"/>
        <scheme val="minor"/>
      </rPr>
      <t>南兴股份。</t>
    </r>
    <phoneticPr fontId="1" type="noConversion"/>
  </si>
  <si>
    <t>1.英维克作为国内间接蒸发冷却大规模商用的主流供应商,也是最早将该技术导入数据中心规模商用的公司，公司该产品的良好商用运行记录最长已超过五年,公司在该技术方案上也持续保持行业第一份额的地位；2.公司从2013年开始拓展储能业务,其发展是以公司统一的技术和供应链管理平台为基础的,平台化是公司的核心运营模式之一,无论是风冷产品还是液冷产品均和其他行业的业务有协同,加上起步早,积累了丰富的应用经验</t>
    <phoneticPr fontId="1" type="noConversion"/>
  </si>
  <si>
    <t>工程承包 23.19亿 26.28%（毛利17.56%）
设备总包 14.45亿 16.38%（毛利13.64%）
冶金成套设备及备件 12.49亿 14.16%(毛利8.17%）
贸易及其他 11.75亿 13.32%（毛利3.52%）
重型石油化工容器 8.80亿 9.97%（毛利19.99%）
能源发电设备 7.20亿 8.16%（毛利4.43%）
售电业务 4.38亿 4.97%（毛利68.15%）
锻压及其他设备 3.96亿 4.49%（毛利-0.57%）
其他业务 2.01亿 2.28%（毛利33.82%）</t>
    <phoneticPr fontId="1" type="noConversion"/>
  </si>
  <si>
    <t>-4.69亿</t>
  </si>
  <si>
    <r>
      <t xml:space="preserve">1.预计年报业绩：净利润4.800亿元左右，增长幅度为53.00%左右；原因：2021 上半年，全球主要经济体社会经济发展逐步回归正轨，欧美等发达经济体消费需求较快
释放。国内内循环作用持续加强，纺织服装、鞋帽箱包、家具玩具等行业均呈现稳步复苏态势。我国缝制机械行业销售持续增长，公司充分把握需求回暖和市场反弹重要机遇，公司快速提升产能，立足中低端市场，拓展中高端市场，实现销售额快速增长。2.公司地位市占率：公司上半年营业收入占行业 236 家规上企业销售收入的 </t>
    </r>
    <r>
      <rPr>
        <sz val="9"/>
        <color rgb="FFFF0000"/>
        <rFont val="宋体"/>
        <family val="3"/>
        <charset val="134"/>
        <scheme val="minor"/>
      </rPr>
      <t>18.83%</t>
    </r>
    <r>
      <rPr>
        <sz val="9"/>
        <color theme="1"/>
        <rFont val="宋体"/>
        <family val="2"/>
        <charset val="134"/>
        <scheme val="minor"/>
      </rPr>
      <t>。</t>
    </r>
    <r>
      <rPr>
        <sz val="9"/>
        <color theme="1"/>
        <rFont val="宋体"/>
        <family val="3"/>
        <charset val="134"/>
        <scheme val="minor"/>
      </rPr>
      <t>3.公司战略原则：聚焦、专注，二十余年一直坚守缝制设备产业。公司在立足单机（平、包、绷为主）市场份额不断扩大的基础上，引领中国缝制设备行业由大变强，实现全球缝制设备第一品牌的杰克梦。</t>
    </r>
    <phoneticPr fontId="1" type="noConversion"/>
  </si>
  <si>
    <t>公司主要业务分为煤机智能制造、安全技术装备、清洁能源、设计建设、示范工程、新兴产业等六大板块。
2021H1:
煤机销售 47.53亿 44.07% 利润占比45.18% 32.53%
安全装备 21.30亿 19.75% 利润占比20.40% 32.77%
煤炭销售 15.95亿 14.79% 利润占比17.68% 37.93%
技术项目 15.07亿 13.97% 利润占比11.08% 25.15%
工程项目 8.55亿 7.93% 利润占比3.42% 13.68%
环保设备 2.42亿 2.24% 利润占比1.26% 17.77%
其他业务 1.02亿 0.95% 利润占比1.29% 43.14%</t>
    <phoneticPr fontId="1" type="noConversion"/>
  </si>
  <si>
    <t>1. 据国家统计局数据显示，2021 年上半年全国原煤产量 19.5 亿吨，同比增长6.4%；全国煤炭消费量约 21 亿吨，同比增长10.7%。基于保障国家能源安全和应对气候变化两大目标任务，在未来一段时期，煤炭在我国能源消费结构中的比例会下降，但仍将是我国的主体能源；</t>
    <phoneticPr fontId="1" type="noConversion"/>
  </si>
  <si>
    <t>流通股本</t>
  </si>
  <si>
    <t>净利润[20201231]</t>
  </si>
  <si>
    <t>投入资本回报率roic%[20201231]</t>
  </si>
  <si>
    <t>净资产收益率%[20201231]</t>
  </si>
  <si>
    <t>69.51亿</t>
  </si>
  <si>
    <t>4453.29万</t>
  </si>
  <si>
    <t>-1.85亿</t>
  </si>
  <si>
    <t>34.50亿</t>
  </si>
  <si>
    <t>2092.79万</t>
  </si>
  <si>
    <t>29.77亿</t>
  </si>
  <si>
    <t>1669.66万</t>
  </si>
  <si>
    <t>SZ001288</t>
  </si>
  <si>
    <t>运机集团</t>
  </si>
  <si>
    <t>8530.00万</t>
  </si>
  <si>
    <t>9420.20万</t>
  </si>
  <si>
    <t>9890.15万</t>
  </si>
  <si>
    <t>37.79亿</t>
  </si>
  <si>
    <t>9.59亿</t>
  </si>
  <si>
    <t>-5.17亿</t>
  </si>
  <si>
    <t>22.09亿</t>
  </si>
  <si>
    <t>54.55亿</t>
  </si>
  <si>
    <t>91.09亿</t>
  </si>
  <si>
    <t>81.68亿</t>
  </si>
  <si>
    <t>4814.14万</t>
  </si>
  <si>
    <t>5.76亿</t>
  </si>
  <si>
    <t>-5153.32万</t>
  </si>
  <si>
    <t>14.94亿</t>
  </si>
  <si>
    <t>4298.03万</t>
  </si>
  <si>
    <t>3715.90万</t>
  </si>
  <si>
    <t>87.76亿</t>
  </si>
  <si>
    <t>15.86亿</t>
  </si>
  <si>
    <t>3.68亿</t>
  </si>
  <si>
    <t>38.47亿</t>
  </si>
  <si>
    <t>51.70亿</t>
  </si>
  <si>
    <t>37.34亿</t>
  </si>
  <si>
    <t>-3.68亿</t>
  </si>
  <si>
    <t>17.74亿</t>
  </si>
  <si>
    <t>6015.99万</t>
  </si>
  <si>
    <t>6105.25万</t>
  </si>
  <si>
    <t>2.58亿</t>
  </si>
  <si>
    <t>-4.29亿</t>
  </si>
  <si>
    <t>60.08亿</t>
  </si>
  <si>
    <t>10.53亿</t>
  </si>
  <si>
    <t>35.25亿</t>
  </si>
  <si>
    <t>31.50亿</t>
  </si>
  <si>
    <t>8579.65万</t>
  </si>
  <si>
    <t>8.42亿</t>
  </si>
  <si>
    <t>27.77亿</t>
  </si>
  <si>
    <t>19.84亿</t>
  </si>
  <si>
    <t>1249.97万</t>
  </si>
  <si>
    <t>26.74亿</t>
  </si>
  <si>
    <t>-2.46亿</t>
  </si>
  <si>
    <t>1327.69万</t>
  </si>
  <si>
    <t>23.71亿</t>
  </si>
  <si>
    <t>16.05亿</t>
  </si>
  <si>
    <t>22.28亿</t>
  </si>
  <si>
    <t>2474.50万</t>
  </si>
  <si>
    <t>38.63亿</t>
  </si>
  <si>
    <t>12.43亿</t>
  </si>
  <si>
    <t>7273.00万</t>
  </si>
  <si>
    <t>-6.87亿</t>
  </si>
  <si>
    <t>3.94亿</t>
  </si>
  <si>
    <t>5.77亿</t>
  </si>
  <si>
    <t>-2.62亿</t>
  </si>
  <si>
    <t>11.27亿</t>
  </si>
  <si>
    <t>7.97亿</t>
  </si>
  <si>
    <t>14.67亿</t>
  </si>
  <si>
    <t>3449.79万</t>
  </si>
  <si>
    <t>-1.04亿</t>
  </si>
  <si>
    <t>16.66亿</t>
  </si>
  <si>
    <t>-1.20亿</t>
  </si>
  <si>
    <t>2922.39万</t>
  </si>
  <si>
    <t>-6908.26万</t>
  </si>
  <si>
    <t>21.31亿</t>
  </si>
  <si>
    <t>8817.16万</t>
  </si>
  <si>
    <t>-1.44亿</t>
  </si>
  <si>
    <t>6396.37万</t>
  </si>
  <si>
    <t>10.60亿</t>
  </si>
  <si>
    <t>7369.74万</t>
  </si>
  <si>
    <t>35.33亿</t>
  </si>
  <si>
    <t>8.75亿</t>
  </si>
  <si>
    <t>1091.53万</t>
  </si>
  <si>
    <t>6.84亿</t>
  </si>
  <si>
    <t>-2.76亿</t>
  </si>
  <si>
    <t>16.79亿</t>
  </si>
  <si>
    <t>6454.81万</t>
  </si>
  <si>
    <t>5828.28万</t>
  </si>
  <si>
    <t>12.06亿</t>
  </si>
  <si>
    <t>-1.05亿</t>
  </si>
  <si>
    <t>蜀道装备</t>
  </si>
  <si>
    <t>-7643.57万</t>
  </si>
  <si>
    <t>3842.58万</t>
  </si>
  <si>
    <t>5043.74万</t>
  </si>
  <si>
    <t>6352.99万</t>
  </si>
  <si>
    <t>9055.55万</t>
  </si>
  <si>
    <t>-1014.76万</t>
  </si>
  <si>
    <t>3099.90万</t>
  </si>
  <si>
    <t>5552.29万</t>
  </si>
  <si>
    <t>2644.43万</t>
  </si>
  <si>
    <t>4737.56万</t>
  </si>
  <si>
    <t>4290.26万</t>
  </si>
  <si>
    <t>8577.33万</t>
  </si>
  <si>
    <t>13.41亿</t>
  </si>
  <si>
    <t>7321.27万</t>
  </si>
  <si>
    <t>4796.55万</t>
  </si>
  <si>
    <t>8526.23万</t>
  </si>
  <si>
    <t>7347.43万</t>
  </si>
  <si>
    <t>SZ301128</t>
  </si>
  <si>
    <t>强瑞技术</t>
  </si>
  <si>
    <t>5517.04万</t>
  </si>
  <si>
    <t>6428.61万</t>
  </si>
  <si>
    <t>6156.48万</t>
  </si>
  <si>
    <t>2707.51万</t>
  </si>
  <si>
    <t>SZ301138</t>
  </si>
  <si>
    <t>华研精机</t>
  </si>
  <si>
    <t>9855.52万</t>
  </si>
  <si>
    <t>7858.10万</t>
  </si>
  <si>
    <t>6075.97万</t>
  </si>
  <si>
    <t>3677.30万</t>
  </si>
  <si>
    <t>SZ301158</t>
  </si>
  <si>
    <t>德石股份</t>
  </si>
  <si>
    <t>6240.54万</t>
  </si>
  <si>
    <t>6022.25万</t>
  </si>
  <si>
    <t>6378.11万</t>
  </si>
  <si>
    <t>4306.54万</t>
  </si>
  <si>
    <t>4.51亿</t>
  </si>
  <si>
    <t>-9467.91万</t>
  </si>
  <si>
    <t>259.78亿</t>
  </si>
  <si>
    <t>4865.15万</t>
  </si>
  <si>
    <t>97.97亿</t>
  </si>
  <si>
    <t>72.98亿</t>
  </si>
  <si>
    <t>40.79亿</t>
  </si>
  <si>
    <t>6644.83万</t>
  </si>
  <si>
    <t>34.07亿</t>
  </si>
  <si>
    <t>880.58万</t>
  </si>
  <si>
    <t>54.70亿</t>
  </si>
  <si>
    <t>-4.65亿</t>
  </si>
  <si>
    <t>4628.07万</t>
  </si>
  <si>
    <t>98.55亿</t>
  </si>
  <si>
    <t>235.71亿</t>
  </si>
  <si>
    <t>9.07亿</t>
  </si>
  <si>
    <t>4.01亿</t>
  </si>
  <si>
    <t>247.17亿</t>
  </si>
  <si>
    <t>8.11亿</t>
  </si>
  <si>
    <t>31.25亿</t>
  </si>
  <si>
    <t>6167.71万</t>
  </si>
  <si>
    <t>77.67亿</t>
  </si>
  <si>
    <t>6.28亿</t>
  </si>
  <si>
    <t>231.28亿</t>
  </si>
  <si>
    <t>11.09亿</t>
  </si>
  <si>
    <t>95.08亿</t>
  </si>
  <si>
    <t>75.50亿</t>
  </si>
  <si>
    <t>19.48亿</t>
  </si>
  <si>
    <t>-1.74亿</t>
  </si>
  <si>
    <t>6433.65万</t>
  </si>
  <si>
    <t>26.14亿</t>
  </si>
  <si>
    <t>3613.55万</t>
  </si>
  <si>
    <t>5553.52万</t>
  </si>
  <si>
    <t>9.89亿</t>
  </si>
  <si>
    <t>4625.47万</t>
  </si>
  <si>
    <t>7.55亿</t>
  </si>
  <si>
    <t>29.59亿</t>
  </si>
  <si>
    <t>3764.16万</t>
  </si>
  <si>
    <t>40.37亿</t>
  </si>
  <si>
    <t>梅轮电梯</t>
  </si>
  <si>
    <t>4390.96万</t>
  </si>
  <si>
    <t>60.54亿</t>
  </si>
  <si>
    <t>202.87万</t>
  </si>
  <si>
    <t>7204.28万</t>
  </si>
  <si>
    <t>9.97亿</t>
  </si>
  <si>
    <t>3840.47万</t>
  </si>
  <si>
    <t>24.32亿</t>
  </si>
  <si>
    <t>11.75亿</t>
  </si>
  <si>
    <t>-3560.17万</t>
  </si>
  <si>
    <t>12.37亿</t>
  </si>
  <si>
    <t>30.27亿</t>
  </si>
  <si>
    <t>721.77万</t>
  </si>
  <si>
    <t>18.37亿</t>
  </si>
  <si>
    <t>12.64亿</t>
  </si>
  <si>
    <t>15.89亿</t>
  </si>
  <si>
    <t>22.96亿</t>
  </si>
  <si>
    <t>7.58亿</t>
  </si>
  <si>
    <t>6080.49万</t>
  </si>
  <si>
    <t>5801.37万</t>
  </si>
  <si>
    <t>5322.48万</t>
  </si>
  <si>
    <t>7651.04万</t>
  </si>
  <si>
    <t>39.01亿</t>
  </si>
  <si>
    <t>SH688162</t>
  </si>
  <si>
    <t>巨一科技</t>
  </si>
  <si>
    <t>14.32亿</t>
  </si>
  <si>
    <t>1216.91万</t>
  </si>
  <si>
    <t>5574.48万</t>
  </si>
  <si>
    <t>3218.95万</t>
  </si>
  <si>
    <t>7016.68万</t>
  </si>
  <si>
    <t>SH688596</t>
  </si>
  <si>
    <t>正帆科技</t>
  </si>
  <si>
    <t>8302.28万</t>
  </si>
  <si>
    <t>6003.35万</t>
  </si>
  <si>
    <t>能源及重型设备</t>
  </si>
  <si>
    <t>其他专用设备</t>
  </si>
  <si>
    <t xml:space="preserve">    名称</t>
  </si>
  <si>
    <t>净利润?</t>
  </si>
  <si>
    <t>扣非净利润</t>
  </si>
  <si>
    <t>营业总收入[20201231]</t>
  </si>
  <si>
    <t>投入资本回报率roic%[20211231]</t>
  </si>
  <si>
    <t>净资产收益率%[20211231]</t>
  </si>
  <si>
    <t>单季营收增速</t>
  </si>
  <si>
    <t>单季利润增速</t>
  </si>
  <si>
    <t>5.90亿</t>
  </si>
  <si>
    <t/>
  </si>
  <si>
    <t>16.19亿</t>
  </si>
  <si>
    <t>扭亏</t>
  </si>
  <si>
    <t>14.35亿</t>
  </si>
  <si>
    <t>8.98亿</t>
  </si>
  <si>
    <t>亏损</t>
  </si>
  <si>
    <t>3.28亿</t>
  </si>
  <si>
    <t>-1.73亿</t>
  </si>
  <si>
    <t>4.76亿</t>
  </si>
  <si>
    <t>开始亏损</t>
  </si>
  <si>
    <t>-1.47亿</t>
  </si>
  <si>
    <t>6.04亿</t>
  </si>
  <si>
    <t>11.34亿</t>
  </si>
  <si>
    <t>-1.33亿</t>
  </si>
  <si>
    <t>12.79亿</t>
  </si>
  <si>
    <t>4.94亿</t>
  </si>
  <si>
    <t>-1-1</t>
  </si>
  <si>
    <t>5.48亿</t>
  </si>
  <si>
    <t>5.31亿</t>
  </si>
  <si>
    <t>13.15亿</t>
  </si>
  <si>
    <t>5.72亿</t>
  </si>
  <si>
    <t>5.89亿</t>
  </si>
  <si>
    <r>
      <t>公司主营业务是节能环保装备及专用定制装备的设计、制造和销售。公司主要产品包括</t>
    </r>
    <r>
      <rPr>
        <sz val="9"/>
        <color rgb="FFFF0000"/>
        <rFont val="宋体"/>
        <family val="3"/>
        <charset val="134"/>
        <scheme val="minor"/>
      </rPr>
      <t>节能换热装备</t>
    </r>
    <r>
      <rPr>
        <sz val="9"/>
        <color theme="1"/>
        <rFont val="宋体"/>
        <family val="2"/>
        <charset val="134"/>
        <scheme val="minor"/>
      </rPr>
      <t>、</t>
    </r>
    <r>
      <rPr>
        <sz val="9"/>
        <color rgb="FFFF0000"/>
        <rFont val="宋体"/>
        <family val="3"/>
        <charset val="134"/>
        <scheme val="minor"/>
      </rPr>
      <t>粉体及其他环保装备和专用定制装备</t>
    </r>
    <r>
      <rPr>
        <sz val="9"/>
        <color theme="1"/>
        <rFont val="宋体"/>
        <family val="2"/>
        <charset val="134"/>
        <scheme val="minor"/>
      </rPr>
      <t>。
市值31.4亿，利润0.429亿；pe64.24,pb5.34；毛利39%，净利19.43%；2021营收增17.53%，利润增-30.27%；2022Q2营收增11.9%，利润增33.81%；过往5年营收增13.3%，利润增11.38%；
2021：（境内外对半开）
节能换热装备 2.18亿 73.85% 68.80% 29.20%
粉体及其他环保装备 2303.84万 7.82% 7.99% 32.01%
装备维修改造 1651.63万 5.61% 8.36% 46.72%
专用定制装备 1554.67万 5.28% 3.47% 20.60%
装备配件 1496.68万 5.08% 5.03% 31.00%
其他业务收入 694.62万 2.36% 6.36% 84.49%</t>
    </r>
    <phoneticPr fontId="1" type="noConversion"/>
  </si>
  <si>
    <r>
      <t>1.公司所处细分行业因其细分产品结构、应用行业等方面分类多变的特点，尚无专业机构进行公开的市场统计。但是，公司在技术研发、市场、资质等方面与竞争对手相比均有一定的优势，因此公司在行业内属于第一梯队的行业地位;2.公司目前已经</t>
    </r>
    <r>
      <rPr>
        <sz val="9"/>
        <color rgb="FFFF0000"/>
        <rFont val="宋体"/>
        <family val="3"/>
        <charset val="134"/>
        <scheme val="minor"/>
      </rPr>
      <t>进入氢能源生产行业</t>
    </r>
    <r>
      <rPr>
        <sz val="9"/>
        <color theme="1"/>
        <rFont val="宋体"/>
        <family val="2"/>
        <charset val="134"/>
        <scheme val="minor"/>
      </rPr>
      <t>，近几年为多个客户提供了节能换热及储存装备；公司拥有压力容器设计资质，</t>
    </r>
    <r>
      <rPr>
        <sz val="9"/>
        <color rgb="FFFF0000"/>
        <rFont val="宋体"/>
        <family val="3"/>
        <charset val="134"/>
        <scheme val="minor"/>
      </rPr>
      <t>具备设计生产氢能源储存设备的能力</t>
    </r>
    <r>
      <rPr>
        <sz val="9"/>
        <color theme="1"/>
        <rFont val="宋体"/>
        <family val="2"/>
        <charset val="134"/>
        <scheme val="minor"/>
      </rPr>
      <t>，可根据客户不同制氢工艺所要求的设备参数加工定制，其中主要包括换热器、加热器、冷凝器、储罐等。</t>
    </r>
    <phoneticPr fontId="1" type="noConversion"/>
  </si>
  <si>
    <t>LY营业总收入[20211231]</t>
  </si>
  <si>
    <t>权益乘数[20220630]</t>
  </si>
  <si>
    <t>总资产周转率[20220630]</t>
  </si>
  <si>
    <t>净利润／营业总收入%[20220630]</t>
  </si>
  <si>
    <t>营业总成本[20220630]</t>
  </si>
  <si>
    <t>营业成本[20220630]</t>
  </si>
  <si>
    <t>管理费用[20220630]</t>
  </si>
  <si>
    <t>研发费用总额[20220630]</t>
  </si>
  <si>
    <t>细分行业</t>
  </si>
  <si>
    <t>市销率</t>
    <phoneticPr fontId="1" type="noConversion"/>
  </si>
  <si>
    <t>1年自由现金流折现</t>
    <phoneticPr fontId="1" type="noConversion"/>
  </si>
  <si>
    <t>3年自由现金流折现</t>
    <phoneticPr fontId="1" type="noConversion"/>
  </si>
  <si>
    <t>6增速</t>
    <phoneticPr fontId="1" type="noConversion"/>
  </si>
  <si>
    <t>10年自由现金流折现</t>
    <phoneticPr fontId="1" type="noConversion"/>
  </si>
  <si>
    <t>营收和利润加权</t>
    <phoneticPr fontId="1" type="noConversion"/>
  </si>
  <si>
    <t>量价齐升策略</t>
    <phoneticPr fontId="1" type="noConversion"/>
  </si>
  <si>
    <t>综合策略</t>
    <phoneticPr fontId="1" type="noConversion"/>
  </si>
  <si>
    <t>6.75亿</t>
  </si>
  <si>
    <t>纺织服装设备</t>
  </si>
  <si>
    <t>印刷包装机械</t>
  </si>
  <si>
    <t>5.95亿</t>
  </si>
  <si>
    <t>7.63亿</t>
  </si>
  <si>
    <t>8.64亿</t>
  </si>
  <si>
    <t>22.35亿</t>
  </si>
  <si>
    <t>楼宇设备</t>
  </si>
  <si>
    <t>4.37亿</t>
  </si>
  <si>
    <t>5.81亿</t>
  </si>
  <si>
    <t>6.80亿</t>
  </si>
  <si>
    <t>物产金轮</t>
  </si>
  <si>
    <t>6.14亿</t>
  </si>
  <si>
    <t>7.19亿</t>
  </si>
  <si>
    <t>3.46亿</t>
  </si>
  <si>
    <t>12.04亿</t>
  </si>
  <si>
    <t>9.81亿</t>
  </si>
  <si>
    <t>农用机械</t>
  </si>
  <si>
    <t>12.75亿</t>
  </si>
  <si>
    <t>SZ300095</t>
  </si>
  <si>
    <t>华伍股份</t>
  </si>
  <si>
    <t>6.42亿</t>
  </si>
  <si>
    <t>9.25亿</t>
  </si>
  <si>
    <t>7820.63万</t>
  </si>
  <si>
    <t>-9942.11万</t>
  </si>
  <si>
    <t>8.50亿</t>
  </si>
  <si>
    <t>SZ300159</t>
  </si>
  <si>
    <t>13.63亿</t>
  </si>
  <si>
    <t>9.26亿</t>
  </si>
  <si>
    <t>6.23亿</t>
  </si>
  <si>
    <t>3.31亿</t>
  </si>
  <si>
    <t>7.42亿</t>
  </si>
  <si>
    <t>2.68亿</t>
  </si>
  <si>
    <t>24.78万</t>
  </si>
  <si>
    <t>4.09亿</t>
  </si>
  <si>
    <t>4.34亿</t>
  </si>
  <si>
    <t>10.16亿</t>
  </si>
  <si>
    <t>9.12亿</t>
  </si>
  <si>
    <t>SZ301338</t>
  </si>
  <si>
    <t>凯格精机</t>
  </si>
  <si>
    <t>8418.64万</t>
  </si>
  <si>
    <t>4868.92万</t>
  </si>
  <si>
    <t>3720.29万</t>
  </si>
  <si>
    <t>5.13亿</t>
  </si>
  <si>
    <t>-1.40亿</t>
  </si>
  <si>
    <t>10.57亿</t>
  </si>
  <si>
    <t>12.30亿</t>
  </si>
  <si>
    <t>23.43亿</t>
  </si>
  <si>
    <t>7.62亿</t>
  </si>
  <si>
    <t>2.69亿</t>
  </si>
  <si>
    <t>3.53亿</t>
  </si>
  <si>
    <t>SZ001332</t>
  </si>
  <si>
    <t>锡装股份</t>
  </si>
  <si>
    <t>8.35亿</t>
  </si>
  <si>
    <t>7.59亿</t>
  </si>
  <si>
    <t>8340.66万</t>
  </si>
  <si>
    <r>
      <t>1.东富龙主要是</t>
    </r>
    <r>
      <rPr>
        <sz val="9"/>
        <color rgb="FFFF0000"/>
        <rFont val="宋体"/>
        <family val="3"/>
        <charset val="134"/>
        <scheme val="minor"/>
      </rPr>
      <t>注射剂和冻干系统</t>
    </r>
    <r>
      <rPr>
        <sz val="9"/>
        <color theme="1"/>
        <rFont val="宋体"/>
        <family val="2"/>
        <charset val="134"/>
        <scheme val="minor"/>
      </rPr>
      <t>制药装备、楚天科技主要是</t>
    </r>
    <r>
      <rPr>
        <sz val="9"/>
        <color rgb="FFFF0000"/>
        <rFont val="宋体"/>
        <family val="3"/>
        <charset val="134"/>
        <scheme val="minor"/>
      </rPr>
      <t>水剂类制药装备</t>
    </r>
    <r>
      <rPr>
        <sz val="9"/>
        <color theme="1"/>
        <rFont val="宋体"/>
        <family val="2"/>
        <charset val="134"/>
        <scheme val="minor"/>
      </rPr>
      <t>;我们主要是</t>
    </r>
    <r>
      <rPr>
        <b/>
        <sz val="9"/>
        <color rgb="FFFF0000"/>
        <rFont val="宋体"/>
        <family val="3"/>
        <charset val="134"/>
        <scheme val="minor"/>
      </rPr>
      <t>固体制剂类</t>
    </r>
    <r>
      <rPr>
        <sz val="9"/>
        <color theme="1"/>
        <rFont val="宋体"/>
        <family val="2"/>
        <charset val="134"/>
        <scheme val="minor"/>
      </rPr>
      <t>制药装备,近几年又新增了粉体工艺设备、中药提取设备、生物制剂制药用水设备和配液系统、智能仓储物流系统及医药研发服务等,</t>
    </r>
    <phoneticPr fontId="1" type="noConversion"/>
  </si>
  <si>
    <t>8.28亿</t>
  </si>
  <si>
    <t>8.56亿</t>
  </si>
  <si>
    <t>6.06亿</t>
  </si>
  <si>
    <r>
      <t>1.问：公司在</t>
    </r>
    <r>
      <rPr>
        <sz val="9"/>
        <color rgb="FFFF0000"/>
        <rFont val="宋体"/>
        <family val="3"/>
        <charset val="134"/>
        <scheme val="minor"/>
      </rPr>
      <t>家得宝渠道实现高增</t>
    </r>
    <r>
      <rPr>
        <sz val="9"/>
        <color theme="1"/>
        <rFont val="宋体"/>
        <family val="2"/>
        <charset val="134"/>
        <scheme val="minor"/>
      </rPr>
      <t>的主要契机是？答：
　　1）公司产能提前在全球布局；
　　2）公司营销和售后团队具有在北美本地化运作的专业能力；
　　3）公司美国海外仓，满足客户全方位需求；
　　4）差异化的产品研发设计能力，能够吸引客户和消费者；2.问：相比竞争对手，公司的差异化优势主要是？答：主要体现在技术研发优势、产品优势、优质客户优势、质量管理优势、人才优势等;</t>
    </r>
    <phoneticPr fontId="1" type="noConversion"/>
  </si>
  <si>
    <t>9.28亿</t>
  </si>
  <si>
    <t>14.53亿</t>
  </si>
  <si>
    <t>4.47亿</t>
  </si>
  <si>
    <t>SZ001256</t>
  </si>
  <si>
    <t>炜冈科技</t>
  </si>
  <si>
    <t>9619.25万</t>
  </si>
  <si>
    <t>8468.11万</t>
  </si>
  <si>
    <t>7510.14万</t>
  </si>
  <si>
    <t>5.62亿</t>
  </si>
  <si>
    <t>5.78亿</t>
  </si>
  <si>
    <t>7.57亿</t>
  </si>
  <si>
    <t>6.61亿</t>
  </si>
  <si>
    <t>4.25亿</t>
  </si>
  <si>
    <t>6.27亿</t>
  </si>
  <si>
    <t>17.53亿</t>
  </si>
  <si>
    <t>11.19亿</t>
  </si>
  <si>
    <t>-2.58亿</t>
  </si>
  <si>
    <t>9.83亿</t>
  </si>
  <si>
    <t>15.71亿</t>
  </si>
  <si>
    <t>5.51亿</t>
  </si>
  <si>
    <t>-3.23亿</t>
  </si>
  <si>
    <t>5.29亿</t>
  </si>
  <si>
    <t>6.17亿</t>
  </si>
  <si>
    <t>1664.25万</t>
  </si>
  <si>
    <t>-1647.79万</t>
  </si>
  <si>
    <t>9.14亿</t>
  </si>
  <si>
    <t>13.50亿</t>
  </si>
  <si>
    <t>14.97亿</t>
  </si>
  <si>
    <t>18.70亿</t>
  </si>
  <si>
    <t>4.83亿</t>
  </si>
  <si>
    <t>15.28亿</t>
  </si>
  <si>
    <t>12.95亿</t>
  </si>
  <si>
    <t>6.11亿</t>
  </si>
  <si>
    <t>12.63亿</t>
  </si>
  <si>
    <t>3.22亿</t>
  </si>
  <si>
    <t>5.69亿</t>
  </si>
  <si>
    <t>27.05亿</t>
  </si>
  <si>
    <t>14.46亿</t>
  </si>
  <si>
    <t>-1.11亿</t>
  </si>
  <si>
    <t>14.47亿</t>
  </si>
  <si>
    <t>16.01亿</t>
  </si>
  <si>
    <t>10.08亿</t>
  </si>
  <si>
    <t>-1.41亿</t>
  </si>
  <si>
    <t>4.77亿</t>
  </si>
  <si>
    <t>9.24亿</t>
  </si>
  <si>
    <t>26.34亿</t>
  </si>
  <si>
    <t>23.15亿</t>
  </si>
  <si>
    <t>14.21亿</t>
  </si>
  <si>
    <t>6.47亿</t>
  </si>
  <si>
    <t>26.08亿</t>
  </si>
  <si>
    <t>7.77亿</t>
  </si>
  <si>
    <t>9.16亿</t>
  </si>
  <si>
    <t>7.30亿</t>
  </si>
  <si>
    <t>9.60亿</t>
  </si>
  <si>
    <t>11.84亿</t>
  </si>
  <si>
    <t>11.20亿</t>
  </si>
  <si>
    <t>6.93亿</t>
  </si>
  <si>
    <t>31.12亿</t>
  </si>
  <si>
    <t>29.44亿</t>
  </si>
  <si>
    <t>4.96亿</t>
  </si>
  <si>
    <t>13.97亿</t>
  </si>
  <si>
    <t>7.89亿</t>
  </si>
  <si>
    <t>11.02亿</t>
  </si>
  <si>
    <t>3.84亿</t>
  </si>
  <si>
    <t>24.31亿</t>
  </si>
  <si>
    <t>6.90亿</t>
  </si>
  <si>
    <t>SH688420</t>
  </si>
  <si>
    <t>8594.48万</t>
  </si>
  <si>
    <t>9174.69万</t>
  </si>
  <si>
    <t>6328.41万</t>
  </si>
  <si>
    <t>1525.52万</t>
  </si>
  <si>
    <t>不分配不转增</t>
  </si>
  <si>
    <t>10派1.6元(含税)</t>
  </si>
  <si>
    <t>10派0.15元(含税)</t>
  </si>
  <si>
    <t>10派1元(含税)</t>
  </si>
  <si>
    <t>10派3元(含税)</t>
  </si>
  <si>
    <t>10派0.5元(含税)</t>
  </si>
  <si>
    <t>10派1.5元(含税)</t>
  </si>
  <si>
    <t>10派1.1元(含税)</t>
  </si>
  <si>
    <t>10派4元(含税)</t>
  </si>
  <si>
    <t>10派7元(含税)</t>
  </si>
  <si>
    <t>10派5元(含税)</t>
  </si>
  <si>
    <t>10派2元(含税)</t>
  </si>
  <si>
    <t>10派3.5元(含税)</t>
  </si>
  <si>
    <t>10派1.3元(含税)</t>
  </si>
  <si>
    <t>10派0.8元(含税)</t>
  </si>
  <si>
    <t>10派1.2元(含税)</t>
  </si>
  <si>
    <t>10派10元(含税)</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</si>
  <si>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</si>
  <si>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</si>
  <si>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</si>
  <si>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</si>
  <si>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</si>
  <si>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</si>
  <si>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</si>
  <si>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</si>
  <si>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</si>
  <si>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</si>
  <si>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</si>
  <si>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</si>
  <si>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</si>
  <si>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</si>
  <si>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</si>
  <si>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</si>
  <si>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</si>
  <si>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</si>
  <si>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</si>
  <si>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</si>
  <si>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</si>
  <si>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</si>
  <si>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</si>
  <si>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</si>
  <si>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</si>
  <si>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</si>
  <si>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</si>
  <si>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</si>
  <si>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</si>
  <si>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</si>
  <si>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</si>
  <si>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</si>
  <si>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股利率</t>
    <phoneticPr fontId="1" type="noConversion"/>
  </si>
  <si>
    <t>折现率</t>
    <phoneticPr fontId="1" type="noConversion"/>
  </si>
  <si>
    <t>6年自由现金流折现</t>
    <phoneticPr fontId="1" type="noConversion"/>
  </si>
  <si>
    <t>10增速</t>
    <phoneticPr fontId="1" type="noConversion"/>
  </si>
  <si>
    <t>清算价格</t>
    <phoneticPr fontId="1" type="noConversion"/>
  </si>
  <si>
    <t>原始顺序</t>
    <phoneticPr fontId="1" type="noConversion"/>
  </si>
  <si>
    <t>利润成长策略</t>
    <phoneticPr fontId="1" type="noConversion"/>
  </si>
  <si>
    <t>5日成交换手率</t>
    <phoneticPr fontId="1" type="noConversion"/>
  </si>
  <si>
    <t>今日价格累积指数</t>
    <phoneticPr fontId="1" type="noConversion"/>
  </si>
  <si>
    <t>成交量异动策略</t>
    <phoneticPr fontId="1" type="noConversion"/>
  </si>
  <si>
    <t>N-2</t>
    <phoneticPr fontId="1" type="noConversion"/>
  </si>
  <si>
    <t>扣非对比净利润</t>
    <phoneticPr fontId="1" type="noConversion"/>
  </si>
  <si>
    <t>过往营收增速均值</t>
    <phoneticPr fontId="1" type="noConversion"/>
  </si>
  <si>
    <t>过往利润增速均值</t>
    <phoneticPr fontId="1" type="noConversion"/>
  </si>
  <si>
    <t>1增速</t>
    <phoneticPr fontId="1" type="noConversion"/>
  </si>
  <si>
    <t>3增速</t>
    <phoneticPr fontId="1" type="noConversion"/>
  </si>
  <si>
    <t>20年自由现金流折现</t>
    <phoneticPr fontId="1" type="noConversion"/>
  </si>
  <si>
    <t>承担负债现期溢价</t>
    <phoneticPr fontId="1" type="noConversion"/>
  </si>
  <si>
    <t>策略1营收单季最佳增速</t>
    <phoneticPr fontId="1" type="noConversion"/>
  </si>
  <si>
    <t>策略1利润单季最佳增速</t>
    <phoneticPr fontId="1" type="noConversion"/>
  </si>
  <si>
    <t>营收成长策略</t>
    <phoneticPr fontId="1" type="noConversion"/>
  </si>
  <si>
    <t>价格变动策略</t>
    <phoneticPr fontId="1" type="noConversion"/>
  </si>
  <si>
    <t>成交量综合策略</t>
    <phoneticPr fontId="1" type="noConversion"/>
  </si>
  <si>
    <t>基本面排序</t>
    <phoneticPr fontId="1" type="noConversion"/>
  </si>
  <si>
    <t>机会区域号</t>
    <phoneticPr fontId="1" type="noConversion"/>
  </si>
  <si>
    <t>30日成交换手率</t>
    <phoneticPr fontId="1" type="noConversion"/>
  </si>
  <si>
    <t>昨日价格累计指数</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</si>
  <si>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</si>
  <si>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</si>
  <si>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</si>
  <si>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</si>
  <si>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</si>
  <si>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N-1</t>
    <phoneticPr fontId="1" type="noConversion"/>
  </si>
  <si>
    <t>N</t>
    <phoneticPr fontId="1" type="noConversion"/>
  </si>
  <si>
    <t>SZ301105</t>
  </si>
  <si>
    <t>鸿铭股份</t>
  </si>
  <si>
    <t>6065.72万</t>
  </si>
  <si>
    <t>5890.11万</t>
  </si>
  <si>
    <t>5835.15万</t>
  </si>
  <si>
    <t>6699.23万</t>
  </si>
  <si>
    <r>
      <t>1.山东省</t>
    </r>
    <r>
      <rPr>
        <b/>
        <sz val="9"/>
        <color rgb="FFFF0000"/>
        <rFont val="宋体"/>
        <family val="3"/>
        <charset val="134"/>
        <scheme val="minor"/>
      </rPr>
      <t>供销合作社联合社</t>
    </r>
    <r>
      <rPr>
        <sz val="9"/>
        <color theme="1"/>
        <rFont val="宋体"/>
        <family val="2"/>
        <charset val="134"/>
        <scheme val="minor"/>
      </rPr>
      <t>是实际控制人；</t>
    </r>
    <phoneticPr fontId="1" type="noConversion"/>
  </si>
  <si>
    <t>SZ001225</t>
  </si>
  <si>
    <t>和泰机电</t>
  </si>
  <si>
    <t>n/a</t>
  </si>
  <si>
    <t>-1-0</t>
  </si>
  <si>
    <t>1-0</t>
  </si>
  <si>
    <t>1-1</t>
  </si>
  <si>
    <t>2-1</t>
  </si>
  <si>
    <t>SZ301260</t>
  </si>
  <si>
    <t>格力博</t>
  </si>
  <si>
    <t>SZ300411</t>
  </si>
  <si>
    <t>金盾股份</t>
  </si>
  <si>
    <t>-2735.34万</t>
  </si>
  <si>
    <t>2989.12万</t>
  </si>
  <si>
    <t>5157.17万</t>
  </si>
  <si>
    <t>-17.58亿</t>
  </si>
  <si>
    <t>SZ300480</t>
  </si>
  <si>
    <t>光力科技</t>
  </si>
  <si>
    <t>5935.17万</t>
  </si>
  <si>
    <t>5612.07万</t>
  </si>
  <si>
    <t>4233.25万</t>
  </si>
  <si>
    <t>5.82亿</t>
  </si>
  <si>
    <t>5.86亿</t>
  </si>
  <si>
    <t>7.46亿</t>
  </si>
  <si>
    <t>5.50亿</t>
  </si>
  <si>
    <t>3-0</t>
  </si>
  <si>
    <t>15.85亿</t>
  </si>
  <si>
    <t>9.06亿</t>
  </si>
  <si>
    <t>77.52亿</t>
  </si>
  <si>
    <t>17.61亿</t>
  </si>
  <si>
    <t>32.00亿</t>
  </si>
  <si>
    <t>1372.87万</t>
  </si>
  <si>
    <t>7.06亿</t>
  </si>
  <si>
    <t>2.17亿</t>
  </si>
  <si>
    <t>4.97亿</t>
  </si>
  <si>
    <t>8.93亿</t>
  </si>
  <si>
    <t>3.35亿</t>
  </si>
  <si>
    <t>6078.85万</t>
  </si>
  <si>
    <t>10派12.5元(含税)</t>
  </si>
  <si>
    <t>3-1</t>
  </si>
  <si>
    <t>-1.95亿</t>
  </si>
  <si>
    <t>8096.05万</t>
  </si>
  <si>
    <t>10派1.7元(含税)</t>
  </si>
  <si>
    <t>-2-0</t>
  </si>
  <si>
    <t>11.70亿</t>
  </si>
  <si>
    <t>SZ001360</t>
  </si>
  <si>
    <t>南矿集团</t>
  </si>
  <si>
    <t>7.44亿</t>
  </si>
  <si>
    <t>10.74万</t>
  </si>
  <si>
    <t>1888.43万</t>
  </si>
  <si>
    <t>7.25亿</t>
  </si>
  <si>
    <t>8878.04万</t>
  </si>
  <si>
    <t>6475.82万</t>
  </si>
  <si>
    <t>精工科技</t>
  </si>
  <si>
    <t>23.57亿</t>
  </si>
  <si>
    <t>19.62亿</t>
  </si>
  <si>
    <t>43.51亿</t>
  </si>
  <si>
    <t>6.71亿</t>
  </si>
  <si>
    <t>-4.09亿</t>
  </si>
  <si>
    <t>17.56亿</t>
  </si>
  <si>
    <t>3780.50万</t>
  </si>
  <si>
    <t>57.36亿</t>
  </si>
  <si>
    <t>2-0</t>
  </si>
  <si>
    <t>27.66亿</t>
  </si>
  <si>
    <t>6.13亿</t>
  </si>
  <si>
    <t>11.48亿</t>
  </si>
  <si>
    <t>2235.17万</t>
  </si>
  <si>
    <t>5152.59万</t>
  </si>
  <si>
    <t>114.09亿</t>
  </si>
  <si>
    <t>22.45亿</t>
  </si>
  <si>
    <t>22.82亿</t>
  </si>
  <si>
    <t>51.15亿</t>
  </si>
  <si>
    <t>18.86亿</t>
  </si>
  <si>
    <t>10派2.5元(含税)</t>
  </si>
  <si>
    <t>51.74亿</t>
  </si>
  <si>
    <t>11.58亿</t>
  </si>
  <si>
    <t>-4.25亿</t>
  </si>
  <si>
    <t>19.04亿</t>
  </si>
  <si>
    <t>13.47亿</t>
  </si>
  <si>
    <t>24.05亿</t>
  </si>
  <si>
    <t>5.75亿</t>
  </si>
  <si>
    <t>-1.50亿</t>
  </si>
  <si>
    <t>林州重机</t>
  </si>
  <si>
    <t>6.74亿</t>
  </si>
  <si>
    <t>13.58亿</t>
  </si>
  <si>
    <t>10.11亿</t>
  </si>
  <si>
    <t>8.70亿</t>
  </si>
  <si>
    <t>66.42亿</t>
  </si>
  <si>
    <t>16.45亿</t>
  </si>
  <si>
    <t>38.93亿</t>
  </si>
  <si>
    <t>-1.36亿</t>
  </si>
  <si>
    <t>21.17亿</t>
  </si>
  <si>
    <t>4.59亿</t>
  </si>
  <si>
    <t>3.29亿</t>
  </si>
  <si>
    <t>13.71亿</t>
  </si>
  <si>
    <t>28.36亿</t>
  </si>
  <si>
    <t>11.66亿</t>
  </si>
  <si>
    <t>15.35亿</t>
  </si>
  <si>
    <t>1.77亿</t>
  </si>
  <si>
    <t>29.60亿</t>
  </si>
  <si>
    <t>10派6元(含税)</t>
  </si>
  <si>
    <t>14.72亿</t>
  </si>
  <si>
    <t>7556.70万</t>
  </si>
  <si>
    <t>11.43亿</t>
  </si>
  <si>
    <t>25.97亿</t>
  </si>
  <si>
    <t>-5.86亿</t>
  </si>
  <si>
    <t>*ST和科</t>
  </si>
  <si>
    <t>8625.62万</t>
  </si>
  <si>
    <t>-8107.05万</t>
  </si>
  <si>
    <t>21.27亿</t>
  </si>
  <si>
    <t>8.92亿</t>
  </si>
  <si>
    <t>-1.26亿</t>
  </si>
  <si>
    <t>29.23亿</t>
  </si>
  <si>
    <t>2261.12万</t>
  </si>
  <si>
    <t>46.02亿</t>
  </si>
  <si>
    <t>5.70亿</t>
  </si>
  <si>
    <t>13.17亿</t>
  </si>
  <si>
    <t>4.39亿</t>
  </si>
  <si>
    <t>2436.60万</t>
  </si>
  <si>
    <t>9000.06万</t>
  </si>
  <si>
    <t>2.87亿</t>
  </si>
  <si>
    <t>10派0.6元(含税)</t>
  </si>
  <si>
    <t>2.53亿</t>
  </si>
  <si>
    <t>2500.00万</t>
  </si>
  <si>
    <t>新研股份</t>
  </si>
  <si>
    <t>21.44亿</t>
  </si>
  <si>
    <t>7656.70万</t>
  </si>
  <si>
    <t>-4.96亿</t>
  </si>
  <si>
    <t>-5.44亿</t>
  </si>
  <si>
    <t>2510.35万</t>
  </si>
  <si>
    <t>28.42亿</t>
  </si>
  <si>
    <t>7.76亿</t>
  </si>
  <si>
    <t>海伦哲</t>
  </si>
  <si>
    <t>10.24亿</t>
  </si>
  <si>
    <t>7273.01万</t>
  </si>
  <si>
    <t>-2.45亿</t>
  </si>
  <si>
    <t>3734.94万</t>
  </si>
  <si>
    <t>-3-0</t>
  </si>
  <si>
    <t>-157.92万</t>
  </si>
  <si>
    <t>4052.77万</t>
  </si>
  <si>
    <t>-5449.71万</t>
  </si>
  <si>
    <t>19.01亿</t>
  </si>
  <si>
    <t>9126.46万</t>
  </si>
  <si>
    <t>11.40亿</t>
  </si>
  <si>
    <t>5-1</t>
  </si>
  <si>
    <t>17.31亿</t>
  </si>
  <si>
    <t>1350.58万</t>
  </si>
  <si>
    <t>-7520.14万</t>
  </si>
  <si>
    <t>36.80亿</t>
  </si>
  <si>
    <t>8.55亿</t>
  </si>
  <si>
    <t>7.14亿</t>
  </si>
  <si>
    <t>-7577.13万</t>
  </si>
  <si>
    <t>29.99万</t>
  </si>
  <si>
    <t>3414.61万</t>
  </si>
  <si>
    <t>9286.04万</t>
  </si>
  <si>
    <t>2848.63万</t>
  </si>
  <si>
    <t>8.61亿</t>
  </si>
  <si>
    <t>5.35亿</t>
  </si>
  <si>
    <t>3464.24万</t>
  </si>
  <si>
    <t>7968.62万</t>
  </si>
  <si>
    <t>3544.16万</t>
  </si>
  <si>
    <t>-4760.43万</t>
  </si>
  <si>
    <t>6.54亿</t>
  </si>
  <si>
    <t>1125.11万</t>
  </si>
  <si>
    <t>14.00亿</t>
  </si>
  <si>
    <t>-7979.27万</t>
  </si>
  <si>
    <t>3.77亿</t>
  </si>
  <si>
    <t>14.29亿</t>
  </si>
  <si>
    <t>8334.02万</t>
  </si>
  <si>
    <t>7423.59万</t>
  </si>
  <si>
    <t>5026.82万</t>
  </si>
  <si>
    <t>6.87亿</t>
  </si>
  <si>
    <t>10转3股派1元(含税)</t>
  </si>
  <si>
    <t>3.99亿</t>
  </si>
  <si>
    <t>6.73亿</t>
  </si>
  <si>
    <t>7649.73万</t>
  </si>
  <si>
    <t>52.11亿</t>
  </si>
  <si>
    <t>50.04亿</t>
  </si>
  <si>
    <t>42.91亿</t>
  </si>
  <si>
    <t>37.25亿</t>
  </si>
  <si>
    <t>7.79亿</t>
  </si>
  <si>
    <t>10转4股派5元(含税)</t>
  </si>
  <si>
    <t>SZ301468</t>
  </si>
  <si>
    <t>博盈特焊</t>
  </si>
  <si>
    <t>8207.56万</t>
  </si>
  <si>
    <t>6139.25万</t>
  </si>
  <si>
    <t>SZ301533</t>
  </si>
  <si>
    <t>威马农机</t>
  </si>
  <si>
    <t>6.67亿</t>
  </si>
  <si>
    <t>6994.74万</t>
  </si>
  <si>
    <t>7.73亿</t>
  </si>
  <si>
    <t>7103.03万</t>
  </si>
  <si>
    <t>6173.37万</t>
  </si>
  <si>
    <t>4486.09万</t>
  </si>
  <si>
    <t>2540.26万</t>
  </si>
  <si>
    <t>80.40亿</t>
  </si>
  <si>
    <t>4949.85万</t>
  </si>
  <si>
    <t>301.92亿</t>
  </si>
  <si>
    <t>111.57亿</t>
  </si>
  <si>
    <t>42.51亿</t>
  </si>
  <si>
    <t>41.45亿</t>
  </si>
  <si>
    <t>7570.67万</t>
  </si>
  <si>
    <t>51.09亿</t>
  </si>
  <si>
    <t>4402.12万</t>
  </si>
  <si>
    <t>104.30亿</t>
  </si>
  <si>
    <t>-16.18亿</t>
  </si>
  <si>
    <t>274.16亿</t>
  </si>
  <si>
    <t>19.52亿</t>
  </si>
  <si>
    <t>11.11亿</t>
  </si>
  <si>
    <t>235.70亿</t>
  </si>
  <si>
    <t>33.29亿</t>
  </si>
  <si>
    <t>7315.97万</t>
  </si>
  <si>
    <t>70.64亿</t>
  </si>
  <si>
    <t>9446.38万</t>
  </si>
  <si>
    <t>7.65亿</t>
  </si>
  <si>
    <t>9.54亿</t>
  </si>
  <si>
    <t>92.09亿</t>
  </si>
  <si>
    <t>74.81亿</t>
  </si>
  <si>
    <t>238.86亿</t>
  </si>
  <si>
    <t>96.55亿</t>
  </si>
  <si>
    <t>88.27亿</t>
  </si>
  <si>
    <t>25.38亿</t>
  </si>
  <si>
    <t>292.75亿</t>
  </si>
  <si>
    <t>265.09亿</t>
  </si>
  <si>
    <t>13.84亿</t>
  </si>
  <si>
    <t>17.34亿</t>
  </si>
  <si>
    <t>34.83亿</t>
  </si>
  <si>
    <t>12.18亿</t>
  </si>
  <si>
    <t>8114.38万</t>
  </si>
  <si>
    <t>8.41亿</t>
  </si>
  <si>
    <t>2189.47万</t>
  </si>
  <si>
    <t>13.87亿</t>
  </si>
  <si>
    <t>SH603135</t>
  </si>
  <si>
    <t>中重科技</t>
  </si>
  <si>
    <t>17.79亿</t>
  </si>
  <si>
    <t>9800.36万</t>
  </si>
  <si>
    <t>3022.16万</t>
  </si>
  <si>
    <t>49.80亿</t>
  </si>
  <si>
    <t>9.36亿</t>
  </si>
  <si>
    <t>SH603173</t>
  </si>
  <si>
    <t>福斯达</t>
  </si>
  <si>
    <t>9.48亿</t>
  </si>
  <si>
    <t>10.78亿</t>
  </si>
  <si>
    <t>7081.60万</t>
  </si>
  <si>
    <t>1421.48万</t>
  </si>
  <si>
    <t>11.98亿</t>
  </si>
  <si>
    <t>12.17亿</t>
  </si>
  <si>
    <t>4661.07万</t>
  </si>
  <si>
    <t>55.02亿</t>
  </si>
  <si>
    <t>13.02亿</t>
  </si>
  <si>
    <t>-947.62万</t>
  </si>
  <si>
    <t>2156.32万</t>
  </si>
  <si>
    <t>25.06亿</t>
  </si>
  <si>
    <t>-1.59亿</t>
  </si>
  <si>
    <t>10.58亿</t>
  </si>
  <si>
    <t>21.90亿</t>
  </si>
  <si>
    <t>30.43亿</t>
  </si>
  <si>
    <t>27.49亿</t>
  </si>
  <si>
    <t>8.46亿</t>
  </si>
  <si>
    <t>24.52亿</t>
  </si>
  <si>
    <t>8.86亿</t>
  </si>
  <si>
    <t>23.20亿</t>
  </si>
  <si>
    <t>7351.32万</t>
  </si>
  <si>
    <t>5.08亿</t>
  </si>
  <si>
    <t>5.97亿</t>
  </si>
  <si>
    <t>8122.61万</t>
  </si>
  <si>
    <t>29.36亿</t>
  </si>
  <si>
    <t>9.27亿</t>
  </si>
  <si>
    <t>37.95亿</t>
  </si>
  <si>
    <t>-1.08亿</t>
  </si>
  <si>
    <t>7.40亿</t>
  </si>
  <si>
    <t>12.48亿</t>
  </si>
  <si>
    <t>10派3.3元(含税)</t>
  </si>
  <si>
    <t>-3584.32万</t>
  </si>
  <si>
    <t>14.14亿</t>
  </si>
  <si>
    <t>美腾科技</t>
  </si>
  <si>
    <t>9021.44万</t>
  </si>
  <si>
    <t>SH688531</t>
  </si>
  <si>
    <t>日联科技</t>
  </si>
  <si>
    <t>7172.51万</t>
  </si>
  <si>
    <t>5081.59万</t>
  </si>
  <si>
    <t>2137.62万</t>
  </si>
  <si>
    <t>831.84万</t>
  </si>
  <si>
    <t>SH688627</t>
  </si>
  <si>
    <t>精智达</t>
  </si>
  <si>
    <t>6790.75万</t>
  </si>
  <si>
    <t>2750.25万</t>
  </si>
  <si>
    <t>44.68万</t>
  </si>
  <si>
    <t>10.12亿</t>
  </si>
  <si>
    <t>103.57亿</t>
  </si>
  <si>
    <t>-2792.76万</t>
  </si>
  <si>
    <t>4.64亿</t>
  </si>
  <si>
    <t>-2810.58万</t>
  </si>
  <si>
    <t>-1428.43万</t>
  </si>
  <si>
    <t>-2-1</t>
  </si>
  <si>
    <r>
      <t>1.2021 年陶机收入达 58亿元，YoY+53%，全球市占率</t>
    </r>
    <r>
      <rPr>
        <sz val="9"/>
        <color rgb="FFFF0000"/>
        <rFont val="宋体"/>
        <family val="3"/>
        <charset val="134"/>
        <scheme val="minor"/>
      </rPr>
      <t>接近 30%</t>
    </r>
    <r>
      <rPr>
        <sz val="9"/>
        <color theme="1"/>
        <rFont val="宋体"/>
        <family val="2"/>
        <charset val="134"/>
        <scheme val="minor"/>
      </rPr>
      <t>。</t>
    </r>
    <phoneticPr fontId="1" type="noConversion"/>
  </si>
  <si>
    <t>1.通过自身发展积淀和外延收购恒力泰、
Welko，已成为亚洲第一、全球第二的建陶机械龙头；2.非洲每年从海外进口瓷砖超 2
亿 m²，价值约 10 亿美元，产能缺口明显。</t>
    <phoneticPr fontId="1" type="noConversion"/>
  </si>
  <si>
    <t>18.95亿</t>
  </si>
  <si>
    <t>15.96亿</t>
  </si>
  <si>
    <t>51.62亿</t>
  </si>
  <si>
    <t>25.57亿</t>
  </si>
  <si>
    <t>17.52亿</t>
  </si>
  <si>
    <t>9.10亿</t>
  </si>
  <si>
    <t>27.76亿</t>
  </si>
  <si>
    <t>-2.18亿</t>
  </si>
  <si>
    <t>8.33亿</t>
  </si>
  <si>
    <t>8-0</t>
  </si>
  <si>
    <t>10.92亿</t>
  </si>
  <si>
    <t>2.78亿</t>
  </si>
  <si>
    <t>-3-1</t>
  </si>
  <si>
    <t>-4-1</t>
  </si>
  <si>
    <t>-4-0</t>
  </si>
  <si>
    <t>22.51亿</t>
  </si>
  <si>
    <t>24.54亿</t>
  </si>
  <si>
    <t>7.00亿</t>
  </si>
  <si>
    <t>17.00亿</t>
  </si>
  <si>
    <t>8.43亿</t>
  </si>
  <si>
    <t>6.05亿</t>
  </si>
  <si>
    <t>3.86亿</t>
  </si>
  <si>
    <t>8.57亿</t>
  </si>
  <si>
    <t>38.35亿</t>
  </si>
  <si>
    <t>14.69亿</t>
  </si>
  <si>
    <t>12.52亿</t>
  </si>
  <si>
    <t>9.29亿</t>
  </si>
  <si>
    <t>17.62亿</t>
  </si>
  <si>
    <t>5.17亿</t>
  </si>
  <si>
    <t>10.26亿</t>
  </si>
  <si>
    <t>3.96亿</t>
  </si>
  <si>
    <t>16.32亿</t>
  </si>
  <si>
    <t>18.61亿</t>
  </si>
  <si>
    <t>5.34亿</t>
  </si>
  <si>
    <t>SZ002564</t>
  </si>
  <si>
    <t>*ST天沃</t>
  </si>
  <si>
    <t>35.91亿</t>
  </si>
  <si>
    <t>24.13亿</t>
  </si>
  <si>
    <t>11.36亿</t>
  </si>
  <si>
    <t>8.69亿</t>
  </si>
  <si>
    <t>9.32亿</t>
  </si>
  <si>
    <t>7.28亿</t>
  </si>
  <si>
    <t>15.00亿</t>
  </si>
  <si>
    <t>3000.00万</t>
  </si>
  <si>
    <t>8.78亿</t>
  </si>
  <si>
    <t>-2.25亿</t>
  </si>
  <si>
    <t>15.39亿</t>
  </si>
  <si>
    <t>15.92亿</t>
  </si>
  <si>
    <t>21.13亿</t>
  </si>
  <si>
    <t>5804.04万</t>
  </si>
  <si>
    <t>17.47亿</t>
  </si>
  <si>
    <t>-4.87亿</t>
  </si>
  <si>
    <t>13.23亿</t>
  </si>
  <si>
    <t>372.60万</t>
  </si>
  <si>
    <t>-2.26亿</t>
  </si>
  <si>
    <t>13.52亿</t>
  </si>
  <si>
    <t>23.10亿</t>
  </si>
  <si>
    <t>尤洛卡</t>
  </si>
  <si>
    <t>22.78亿</t>
  </si>
  <si>
    <t>8.26亿</t>
  </si>
  <si>
    <t>3.06亿</t>
  </si>
  <si>
    <t>28.41亿</t>
  </si>
  <si>
    <t>11.95亿</t>
  </si>
  <si>
    <t>16.39亿</t>
  </si>
  <si>
    <t>13.80亿</t>
  </si>
  <si>
    <t>2902.82万</t>
  </si>
  <si>
    <t>-345.47万</t>
  </si>
  <si>
    <t>2543.88万</t>
  </si>
  <si>
    <t>11.24亿</t>
  </si>
  <si>
    <t>8.21亿</t>
  </si>
  <si>
    <t>17.96亿</t>
  </si>
  <si>
    <t>5.02亿</t>
  </si>
  <si>
    <t>15.42亿</t>
  </si>
  <si>
    <t>19.72亿</t>
  </si>
  <si>
    <t>23.05亿</t>
  </si>
  <si>
    <t>10.36亿</t>
  </si>
  <si>
    <t>5.87亿</t>
  </si>
  <si>
    <t>29.80万</t>
  </si>
  <si>
    <t>6.46亿</t>
  </si>
  <si>
    <t>4000.00万</t>
  </si>
  <si>
    <t>15.70亿</t>
  </si>
  <si>
    <t>4640.00万</t>
  </si>
  <si>
    <t>6.66亿</t>
  </si>
  <si>
    <t>9.68亿</t>
  </si>
  <si>
    <t>5.25亿</t>
  </si>
  <si>
    <t>8.09亿</t>
  </si>
  <si>
    <t>12.26亿</t>
  </si>
  <si>
    <t>-5-1</t>
  </si>
  <si>
    <t>4.91亿</t>
  </si>
  <si>
    <t>-2.11亿</t>
  </si>
  <si>
    <t>12.85亿</t>
  </si>
  <si>
    <t>4.49亿</t>
  </si>
  <si>
    <t>22.22亿</t>
  </si>
  <si>
    <t>20.97亿</t>
  </si>
  <si>
    <t>-2.19亿</t>
  </si>
  <si>
    <t>134.52万</t>
  </si>
  <si>
    <t>11.82亿</t>
  </si>
  <si>
    <t>9.15亿</t>
  </si>
  <si>
    <t>18.20亿</t>
  </si>
  <si>
    <t>17.18亿</t>
  </si>
  <si>
    <t>6.88亿</t>
  </si>
  <si>
    <t>-1.13亿</t>
  </si>
  <si>
    <t>7.67亿</t>
  </si>
  <si>
    <t>12.83亿</t>
  </si>
  <si>
    <t>24.38亿</t>
  </si>
  <si>
    <t>-4882207亿</t>
  </si>
  <si>
    <t>18.26亿</t>
  </si>
  <si>
    <t>14.44亿</t>
  </si>
  <si>
    <t>37.23亿</t>
  </si>
  <si>
    <t>14.15亿</t>
  </si>
  <si>
    <t>8.39亿</t>
  </si>
  <si>
    <t>6.31亿</t>
  </si>
  <si>
    <t>16.09亿</t>
  </si>
  <si>
    <t>-1.77亿</t>
  </si>
  <si>
    <t>29.21亿</t>
  </si>
  <si>
    <t>7.80亿</t>
  </si>
  <si>
    <t>14.10亿</t>
  </si>
  <si>
    <t>26.68亿</t>
  </si>
  <si>
    <t>12.24亿</t>
  </si>
  <si>
    <t>8.82亿</t>
  </si>
  <si>
    <t>8.54亿</t>
  </si>
  <si>
    <t>9.35亿</t>
  </si>
  <si>
    <t>SH603325</t>
  </si>
  <si>
    <t>博隆技术</t>
  </si>
  <si>
    <t>10.38亿</t>
  </si>
  <si>
    <t>10.41亿</t>
  </si>
  <si>
    <t>22.74亿</t>
  </si>
  <si>
    <t>9.78亿</t>
  </si>
  <si>
    <t>2226.82万</t>
  </si>
  <si>
    <t>5398.21万</t>
  </si>
  <si>
    <t>13.31亿</t>
  </si>
  <si>
    <t>17.32亿</t>
  </si>
  <si>
    <t>-3.09亿</t>
  </si>
  <si>
    <t>10.66亿</t>
  </si>
  <si>
    <t>7.71亿</t>
  </si>
  <si>
    <t>11.00亿</t>
  </si>
  <si>
    <t>15.41亿</t>
  </si>
  <si>
    <t>16.15亿</t>
  </si>
  <si>
    <t>1300.00万</t>
  </si>
  <si>
    <t>19.38亿</t>
  </si>
  <si>
    <t>16.81万</t>
  </si>
  <si>
    <t>21.70亿</t>
  </si>
  <si>
    <t>14.12亿</t>
  </si>
  <si>
    <t>28.07亿</t>
  </si>
  <si>
    <t>1500.00万</t>
  </si>
  <si>
    <t>7.21亿</t>
  </si>
  <si>
    <t>8.25亿</t>
  </si>
  <si>
    <t>80.35亿</t>
  </si>
  <si>
    <t>13.39亿</t>
  </si>
  <si>
    <t>豪森智能</t>
  </si>
  <si>
    <t>21.37亿</t>
  </si>
  <si>
    <t>26.13亿</t>
  </si>
  <si>
    <t>13.22亿</t>
  </si>
  <si>
    <t>ST墨龙</t>
  </si>
  <si>
    <t>9.55亿</t>
  </si>
  <si>
    <t>431.98万</t>
  </si>
  <si>
    <t>20.09亿</t>
  </si>
  <si>
    <t>5-0</t>
  </si>
  <si>
    <t>6-1</t>
  </si>
  <si>
    <t>-5-0</t>
  </si>
  <si>
    <t>6.83亿</t>
  </si>
  <si>
    <t>19.28亿</t>
  </si>
  <si>
    <r>
      <t>1.受国家</t>
    </r>
    <r>
      <rPr>
        <sz val="9"/>
        <color rgb="FFFF0000"/>
        <rFont val="宋体"/>
        <family val="3"/>
        <charset val="134"/>
        <scheme val="minor"/>
      </rPr>
      <t>双碳政策影响</t>
    </r>
    <r>
      <rPr>
        <sz val="9"/>
        <color theme="1"/>
        <rFont val="宋体"/>
        <family val="2"/>
        <charset val="134"/>
        <scheme val="minor"/>
      </rPr>
      <t>，新建炼油化工厂及相关行业的行政审批收紧甚至在一段时间内出现暂停审批，使公司部分意向订单无法落地，未来如果乙烯等石化产业政策或行业规划出现变化，将对公司的经营业绩产生不利影响.2.国外炼化设备竞争对手：典型企业代表为美国ABB鲁玛斯公司、绍尔集团、德国鲁奇集团和日本制钢所株式会社；3.国内竞争对手：钢研高纳 惠生工程 兰石重装 中国一重 科新机电，但卓然聚焦于乙烯裂解炉为核心产品的大型炼化专用装备模块化、集成化生产制造模式。</t>
    </r>
    <phoneticPr fontId="1" type="noConversion"/>
  </si>
  <si>
    <r>
      <t>0.主要产品中的</t>
    </r>
    <r>
      <rPr>
        <sz val="9"/>
        <color rgb="FFFF0000"/>
        <rFont val="宋体"/>
        <family val="3"/>
        <charset val="134"/>
        <scheme val="minor"/>
      </rPr>
      <t>乙烯裂解炉</t>
    </r>
    <r>
      <rPr>
        <sz val="9"/>
        <color theme="1"/>
        <rFont val="宋体"/>
        <family val="2"/>
        <charset val="134"/>
        <scheme val="minor"/>
      </rPr>
      <t>投资大、能耗高、工艺技术壁垒高，是乙烯装置中的关键和核心工艺设备;1.辐射段模块是炼化专用设备最重要的部分，其制造成本约占整个设备 总成本的 40%-50%，</t>
    </r>
    <r>
      <rPr>
        <b/>
        <sz val="9"/>
        <color rgb="FFFF0000"/>
        <rFont val="宋体"/>
        <family val="3"/>
        <charset val="134"/>
        <scheme val="minor"/>
      </rPr>
      <t>公司已可以实现辐射段模块100%自产</t>
    </r>
    <r>
      <rPr>
        <sz val="9"/>
        <color theme="1"/>
        <rFont val="宋体"/>
        <family val="2"/>
        <charset val="134"/>
        <scheme val="minor"/>
      </rPr>
      <t>.2.2023年预告 营业收入： 29.59亿元 同比增长0.78% 净利润： 1.57亿元 同比下降12.35%。</t>
    </r>
    <phoneticPr fontId="1" type="noConversion"/>
  </si>
  <si>
    <t>281.83万</t>
  </si>
  <si>
    <t>68.97亿</t>
  </si>
  <si>
    <t>31.74亿</t>
  </si>
  <si>
    <t>16.72亿</t>
  </si>
  <si>
    <t>83.98亿</t>
  </si>
  <si>
    <t>9196.01万</t>
  </si>
  <si>
    <t>16.58亿</t>
  </si>
  <si>
    <t>14.31亿</t>
  </si>
  <si>
    <t>6425.07万</t>
  </si>
  <si>
    <t>6552.96万</t>
  </si>
  <si>
    <t>12.23万</t>
  </si>
  <si>
    <t>23504177亿</t>
  </si>
  <si>
    <t>2624128900亿</t>
  </si>
  <si>
    <t>7939773600亿</t>
  </si>
  <si>
    <t>22.64亿</t>
  </si>
  <si>
    <t>25.32亿</t>
  </si>
  <si>
    <t>64.74亿</t>
  </si>
  <si>
    <t>-6.37亿</t>
  </si>
  <si>
    <t>-3738.32万</t>
  </si>
  <si>
    <t>-6328.10万</t>
  </si>
  <si>
    <t>5207.41万</t>
  </si>
  <si>
    <t>19.32亿</t>
  </si>
  <si>
    <t>2574.34万</t>
  </si>
  <si>
    <t>1711.46万</t>
  </si>
  <si>
    <t>206.83万</t>
  </si>
  <si>
    <t>16.83亿</t>
  </si>
  <si>
    <t>3066.66万</t>
  </si>
  <si>
    <t>984.78万</t>
  </si>
  <si>
    <t>2471.89万</t>
  </si>
  <si>
    <t>538.37万</t>
  </si>
  <si>
    <t>-1486079亿</t>
  </si>
  <si>
    <t>905513300亿</t>
  </si>
  <si>
    <t>7246.30万</t>
  </si>
  <si>
    <t>1710888800亿</t>
  </si>
  <si>
    <t>222.67万</t>
  </si>
  <si>
    <t>-2.03亿</t>
  </si>
  <si>
    <t>-2417.83万</t>
  </si>
  <si>
    <t>556.15万</t>
  </si>
  <si>
    <t>-60.38万</t>
  </si>
  <si>
    <t>1387.24万</t>
  </si>
  <si>
    <t>15.79万</t>
  </si>
  <si>
    <t>8329.69万</t>
  </si>
  <si>
    <t>6065.52万</t>
  </si>
  <si>
    <t>5481.41万</t>
  </si>
  <si>
    <t>139.93万</t>
  </si>
  <si>
    <t>672.31万</t>
  </si>
  <si>
    <t>689556亿</t>
  </si>
  <si>
    <t>19949771亿</t>
  </si>
  <si>
    <t>31610813亿</t>
  </si>
  <si>
    <t>1300316610亿</t>
  </si>
  <si>
    <t>8453.82万</t>
  </si>
  <si>
    <t>1674.74万</t>
  </si>
  <si>
    <t>5894.40万</t>
  </si>
  <si>
    <t>485.10万</t>
  </si>
  <si>
    <t>-1792.64万</t>
  </si>
  <si>
    <t>-46.64万</t>
  </si>
  <si>
    <t>3136.55万</t>
  </si>
  <si>
    <t>82.86万</t>
  </si>
  <si>
    <t>675.53万</t>
  </si>
  <si>
    <t>40.10万</t>
  </si>
  <si>
    <t>11.10亿</t>
  </si>
  <si>
    <t>8327.36万</t>
  </si>
  <si>
    <t>8416.89万</t>
  </si>
  <si>
    <t>6923.80万</t>
  </si>
  <si>
    <t>563.72万</t>
  </si>
  <si>
    <t>600.52万</t>
  </si>
  <si>
    <t>3757974亿</t>
  </si>
  <si>
    <t>7.82万</t>
  </si>
  <si>
    <t>20945312亿</t>
  </si>
  <si>
    <t>10080965亿</t>
  </si>
  <si>
    <t>710673800亿</t>
  </si>
  <si>
    <t>665.15万</t>
  </si>
  <si>
    <t>7041.71万</t>
  </si>
  <si>
    <t>4586.21万</t>
  </si>
  <si>
    <t>5118.33万</t>
  </si>
  <si>
    <t>-542.00万</t>
  </si>
  <si>
    <t>-5332.38万</t>
  </si>
  <si>
    <t>-999.97万</t>
  </si>
  <si>
    <t>7032.95万</t>
  </si>
  <si>
    <t>1864.79万</t>
  </si>
  <si>
    <t>10派2.0元(含税)</t>
  </si>
  <si>
    <t>294.64万</t>
  </si>
  <si>
    <t>2720.66万</t>
  </si>
  <si>
    <t>118.95万</t>
  </si>
  <si>
    <t>14.66亿</t>
  </si>
  <si>
    <t>21.09亿</t>
  </si>
  <si>
    <t>1018.82万</t>
  </si>
  <si>
    <t>1578.98万</t>
  </si>
  <si>
    <t>262675亿</t>
  </si>
  <si>
    <t>1.51万</t>
  </si>
  <si>
    <t>29901118亿</t>
  </si>
  <si>
    <t>1248750500亿</t>
  </si>
  <si>
    <t>1424.56万</t>
  </si>
  <si>
    <t>3008036800亿</t>
  </si>
  <si>
    <t>-6754.82万</t>
  </si>
  <si>
    <t>-604.34万</t>
  </si>
  <si>
    <t>8626.30万</t>
  </si>
  <si>
    <t>2730.34万</t>
  </si>
  <si>
    <t>662.18万</t>
  </si>
  <si>
    <t>6444.92万</t>
  </si>
  <si>
    <t>53.43万</t>
  </si>
  <si>
    <t>11.71亿</t>
  </si>
  <si>
    <t>361.05万</t>
  </si>
  <si>
    <t>1679.82万</t>
  </si>
  <si>
    <t>34692549亿</t>
  </si>
  <si>
    <t>347524610亿</t>
  </si>
  <si>
    <t>178.29万</t>
  </si>
  <si>
    <t>2708171600亿</t>
  </si>
  <si>
    <t>-5511.38万</t>
  </si>
  <si>
    <t>-3197.08万</t>
  </si>
  <si>
    <t>5430.27万</t>
  </si>
  <si>
    <t>219.73万</t>
  </si>
  <si>
    <t>1930.10万</t>
  </si>
  <si>
    <t>73.20万</t>
  </si>
  <si>
    <t>9665.14万</t>
  </si>
  <si>
    <t>1779.59万</t>
  </si>
  <si>
    <t>1299.43万</t>
  </si>
  <si>
    <t>55174亿</t>
  </si>
  <si>
    <t>24.03万</t>
  </si>
  <si>
    <t>13026301亿</t>
  </si>
  <si>
    <t>414958500亿</t>
  </si>
  <si>
    <t>4666.07万</t>
  </si>
  <si>
    <t>1630909600亿</t>
  </si>
  <si>
    <t>1496.22万</t>
  </si>
  <si>
    <t>-3293.50万</t>
  </si>
  <si>
    <t>-22.47万</t>
  </si>
  <si>
    <t>1474.90万</t>
  </si>
  <si>
    <t>10派2.25元(含税)</t>
  </si>
  <si>
    <t>444.18万</t>
  </si>
  <si>
    <t>5949.96万</t>
  </si>
  <si>
    <t>351.97万</t>
  </si>
  <si>
    <t>15.40亿</t>
  </si>
  <si>
    <t>1231.49万</t>
  </si>
  <si>
    <t>2659.11万</t>
  </si>
  <si>
    <t>-23600亿</t>
  </si>
  <si>
    <t>11.15万</t>
  </si>
  <si>
    <t>57398226亿</t>
  </si>
  <si>
    <t>886797360亿</t>
  </si>
  <si>
    <t>8.36万</t>
  </si>
  <si>
    <t>2209978400亿</t>
  </si>
  <si>
    <t>144.39万</t>
  </si>
  <si>
    <t>62.48万</t>
  </si>
  <si>
    <t>1000.00万</t>
  </si>
  <si>
    <t>-8513.98万</t>
  </si>
  <si>
    <t>-348.99万</t>
  </si>
  <si>
    <t>4789.23万</t>
  </si>
  <si>
    <t>1711.88万</t>
  </si>
  <si>
    <t>828.16万</t>
  </si>
  <si>
    <t>43.09亿</t>
  </si>
  <si>
    <t>21.84亿</t>
  </si>
  <si>
    <t>36.16亿</t>
  </si>
  <si>
    <t>-4.15亿</t>
  </si>
  <si>
    <t>1400.33万</t>
  </si>
  <si>
    <t>6299.18万</t>
  </si>
  <si>
    <t>1106369亿</t>
  </si>
  <si>
    <t>18.76万</t>
  </si>
  <si>
    <t>568072亿</t>
  </si>
  <si>
    <t>894343460亿</t>
  </si>
  <si>
    <t>3932.25万</t>
  </si>
  <si>
    <t>3861944300亿</t>
  </si>
  <si>
    <t>5577.16万</t>
  </si>
  <si>
    <t>11.61亿</t>
  </si>
  <si>
    <t>3.30亿</t>
  </si>
  <si>
    <t>75.00万</t>
  </si>
  <si>
    <t>36.46亿</t>
  </si>
  <si>
    <t>-2931.79万</t>
  </si>
  <si>
    <t>4777.95万</t>
  </si>
  <si>
    <t>-2.99亿</t>
  </si>
  <si>
    <t>4034.63万</t>
  </si>
  <si>
    <t>中捷资源</t>
  </si>
  <si>
    <t>9554.23万</t>
  </si>
  <si>
    <t>829.28万</t>
  </si>
  <si>
    <t>1143.96万</t>
  </si>
  <si>
    <t>765770亿</t>
  </si>
  <si>
    <t>4.20万</t>
  </si>
  <si>
    <t>9384952亿</t>
  </si>
  <si>
    <t>6876.51万</t>
  </si>
  <si>
    <t>245045650亿</t>
  </si>
  <si>
    <t>1123392270亿</t>
  </si>
  <si>
    <t>128.98万</t>
  </si>
  <si>
    <t>-6833.52万</t>
  </si>
  <si>
    <t>90.01万</t>
  </si>
  <si>
    <t>0595000000</t>
  </si>
  <si>
    <t>01785000000</t>
  </si>
  <si>
    <t>03570000000</t>
  </si>
  <si>
    <t>05950000000</t>
  </si>
  <si>
    <t>011900000000</t>
  </si>
  <si>
    <t>6808.46万</t>
  </si>
  <si>
    <t>24.20亿</t>
  </si>
  <si>
    <t>8.03亿</t>
  </si>
  <si>
    <t>-3059.52万</t>
  </si>
  <si>
    <t>154.32万</t>
  </si>
  <si>
    <t>1644.01万</t>
  </si>
  <si>
    <t>-1902056亿</t>
  </si>
  <si>
    <t>3.11万</t>
  </si>
  <si>
    <t>-16644964亿</t>
  </si>
  <si>
    <t>354527230亿</t>
  </si>
  <si>
    <t>375.12万</t>
  </si>
  <si>
    <t>1670195000亿</t>
  </si>
  <si>
    <t>-2.39亿</t>
  </si>
  <si>
    <t>-3566.16万</t>
  </si>
  <si>
    <t>503.43万</t>
  </si>
  <si>
    <t>552.10万</t>
  </si>
  <si>
    <t>25.83亿</t>
  </si>
  <si>
    <t>1401.14万</t>
  </si>
  <si>
    <t>104.18亿</t>
  </si>
  <si>
    <t>56.47亿</t>
  </si>
  <si>
    <t>14.64亿</t>
  </si>
  <si>
    <t>56.48亿</t>
  </si>
  <si>
    <t>14.16亿</t>
  </si>
  <si>
    <t>11.63亿</t>
  </si>
  <si>
    <t>3672.84万</t>
  </si>
  <si>
    <t>5291460亿</t>
  </si>
  <si>
    <t>148.59万</t>
  </si>
  <si>
    <t>55829543亿</t>
  </si>
  <si>
    <t>33.41亿</t>
  </si>
  <si>
    <t>997241150亿</t>
  </si>
  <si>
    <t>12536254100亿</t>
  </si>
  <si>
    <t>5.55亿</t>
  </si>
  <si>
    <t>11.52亿</t>
  </si>
  <si>
    <t>19.26亿</t>
  </si>
  <si>
    <t>98.53亿</t>
  </si>
  <si>
    <t>7900.26万</t>
  </si>
  <si>
    <t>-2.71亿</t>
  </si>
  <si>
    <t>6186.44万</t>
  </si>
  <si>
    <t>920.79万</t>
  </si>
  <si>
    <t>173.05亿</t>
  </si>
  <si>
    <t>70.71亿</t>
  </si>
  <si>
    <t>31.88亿</t>
  </si>
  <si>
    <t>120.03亿</t>
  </si>
  <si>
    <t>30.36亿</t>
  </si>
  <si>
    <t>7103.33万</t>
  </si>
  <si>
    <t>2344649亿</t>
  </si>
  <si>
    <t>293.98万</t>
  </si>
  <si>
    <t>119932109亿</t>
  </si>
  <si>
    <t>24.03亿</t>
  </si>
  <si>
    <t>4809317200亿</t>
  </si>
  <si>
    <t>23.27亿</t>
  </si>
  <si>
    <t>18521397000亿</t>
  </si>
  <si>
    <t>16.22亿</t>
  </si>
  <si>
    <t>1940.00万</t>
  </si>
  <si>
    <t>27.04亿</t>
  </si>
  <si>
    <t>50.95亿</t>
  </si>
  <si>
    <t>150.21亿</t>
  </si>
  <si>
    <t>3540.75万</t>
  </si>
  <si>
    <t>-2.59亿</t>
  </si>
  <si>
    <t>26.33亿</t>
  </si>
  <si>
    <t>10派0.35元(含税)</t>
  </si>
  <si>
    <t>5435.60万</t>
  </si>
  <si>
    <t>207.25万</t>
  </si>
  <si>
    <t>4662.29万</t>
  </si>
  <si>
    <t>2662.87万</t>
  </si>
  <si>
    <t>2232.75万</t>
  </si>
  <si>
    <t>637688亿</t>
  </si>
  <si>
    <t>7.50万</t>
  </si>
  <si>
    <t>2831854亿</t>
  </si>
  <si>
    <t>297579280亿</t>
  </si>
  <si>
    <t>1637323400亿</t>
  </si>
  <si>
    <t>402.50万</t>
  </si>
  <si>
    <t>9113.83万</t>
  </si>
  <si>
    <t>13.51亿</t>
  </si>
  <si>
    <t>5107.00万</t>
  </si>
  <si>
    <t>8620.03万</t>
  </si>
  <si>
    <t>-574.03万</t>
  </si>
  <si>
    <t>-7609.66万</t>
  </si>
  <si>
    <t>-978.24万</t>
  </si>
  <si>
    <t>10派0.24元(含税)</t>
  </si>
  <si>
    <t>1305.09万</t>
  </si>
  <si>
    <t>9561.81万</t>
  </si>
  <si>
    <t>801.60万</t>
  </si>
  <si>
    <t>6.16亿</t>
  </si>
  <si>
    <t>11.87亿</t>
  </si>
  <si>
    <t>2456.63万</t>
  </si>
  <si>
    <t>9993.06万</t>
  </si>
  <si>
    <t>1158.22万</t>
  </si>
  <si>
    <t>1658.97万</t>
  </si>
  <si>
    <t>429173亿</t>
  </si>
  <si>
    <t>-8154048亿</t>
  </si>
  <si>
    <t>462664520亿</t>
  </si>
  <si>
    <t>1274498930亿</t>
  </si>
  <si>
    <t>1306.04万</t>
  </si>
  <si>
    <t>8110.10万</t>
  </si>
  <si>
    <t>4327.86万</t>
  </si>
  <si>
    <t>3303.93万</t>
  </si>
  <si>
    <t>-2356.02万</t>
  </si>
  <si>
    <t>-1042.49万</t>
  </si>
  <si>
    <t>267.39万</t>
  </si>
  <si>
    <t>-868.99万</t>
  </si>
  <si>
    <t>4650.40万</t>
  </si>
  <si>
    <t>6.65亿</t>
  </si>
  <si>
    <t>509.97万</t>
  </si>
  <si>
    <t>13.16亿</t>
  </si>
  <si>
    <t>6.77亿</t>
  </si>
  <si>
    <t>6324.02万</t>
  </si>
  <si>
    <t>1265.53万</t>
  </si>
  <si>
    <t>1586.13万</t>
  </si>
  <si>
    <t>878849亿</t>
  </si>
  <si>
    <t>15.76万</t>
  </si>
  <si>
    <t>4492483亿</t>
  </si>
  <si>
    <t>218727070亿</t>
  </si>
  <si>
    <t>1654539000亿</t>
  </si>
  <si>
    <t>102.00万</t>
  </si>
  <si>
    <t>-2718.00万</t>
  </si>
  <si>
    <t>-1.34亿</t>
  </si>
  <si>
    <t>-9.46万</t>
  </si>
  <si>
    <t>2885.70万</t>
  </si>
  <si>
    <t>10派0.33元(含税)</t>
  </si>
  <si>
    <t>3866.39万</t>
  </si>
  <si>
    <t>691.77万</t>
  </si>
  <si>
    <t>116.29亿</t>
  </si>
  <si>
    <t>204.17亿</t>
  </si>
  <si>
    <t>139.12亿</t>
  </si>
  <si>
    <t>16.70亿</t>
  </si>
  <si>
    <t>20681281亿</t>
  </si>
  <si>
    <t>191.89万</t>
  </si>
  <si>
    <t>359942900亿</t>
  </si>
  <si>
    <t>6264219900亿</t>
  </si>
  <si>
    <t>23554320000亿</t>
  </si>
  <si>
    <t>22.93亿</t>
  </si>
  <si>
    <t>26.83亿</t>
  </si>
  <si>
    <t>97.16亿</t>
  </si>
  <si>
    <t>15.45亿</t>
  </si>
  <si>
    <t>3157.88万</t>
  </si>
  <si>
    <t>22.80亿</t>
  </si>
  <si>
    <t>10派4.9元(含税)</t>
  </si>
  <si>
    <t>6686.09万</t>
  </si>
  <si>
    <t>230.10万</t>
  </si>
  <si>
    <t>39.54亿</t>
  </si>
  <si>
    <t>35.13亿</t>
  </si>
  <si>
    <t>50.35亿</t>
  </si>
  <si>
    <t>3718.32万</t>
  </si>
  <si>
    <t>-656997亿</t>
  </si>
  <si>
    <t>113.50万</t>
  </si>
  <si>
    <t>50326747亿</t>
  </si>
  <si>
    <t>1290245570亿</t>
  </si>
  <si>
    <t>5298.41万</t>
  </si>
  <si>
    <t>5024600900亿</t>
  </si>
  <si>
    <t>1263.27万</t>
  </si>
  <si>
    <t>8.29亿</t>
  </si>
  <si>
    <t>173.46万</t>
  </si>
  <si>
    <t>33.66亿</t>
  </si>
  <si>
    <t>-3.05亿</t>
  </si>
  <si>
    <t>-153.07万</t>
  </si>
  <si>
    <t>-9117.30万</t>
  </si>
  <si>
    <t>8742.05万</t>
  </si>
  <si>
    <t>1618.95万</t>
  </si>
  <si>
    <t>883.68万</t>
  </si>
  <si>
    <t>64.41亿</t>
  </si>
  <si>
    <t>71.83亿</t>
  </si>
  <si>
    <t>5537.23万</t>
  </si>
  <si>
    <t>12.93亿</t>
  </si>
  <si>
    <t>2236.03万</t>
  </si>
  <si>
    <t>8538.83万</t>
  </si>
  <si>
    <t>356496亿</t>
  </si>
  <si>
    <t>94.91万</t>
  </si>
  <si>
    <t>51183118亿</t>
  </si>
  <si>
    <t>30.46亿</t>
  </si>
  <si>
    <t>1196263690亿</t>
  </si>
  <si>
    <t>6815611600亿</t>
  </si>
  <si>
    <t>8941.91万</t>
  </si>
  <si>
    <t>51.07亿</t>
  </si>
  <si>
    <t>-3.94亿</t>
  </si>
  <si>
    <t>-5930.00万</t>
  </si>
  <si>
    <t>5991.80万</t>
  </si>
  <si>
    <t>5317.95万</t>
  </si>
  <si>
    <t>4209.62万</t>
  </si>
  <si>
    <t>6393.26万</t>
  </si>
  <si>
    <t>1410.37万</t>
  </si>
  <si>
    <t>25.53亿</t>
  </si>
  <si>
    <t>-5.67亿</t>
  </si>
  <si>
    <t>265.59万</t>
  </si>
  <si>
    <t>3394.84万</t>
  </si>
  <si>
    <t>282197480亿</t>
  </si>
  <si>
    <t>271.01万</t>
  </si>
  <si>
    <t>-67637301亿</t>
  </si>
  <si>
    <t>170556860亿</t>
  </si>
  <si>
    <t>6277.97万</t>
  </si>
  <si>
    <t>1405630900亿</t>
  </si>
  <si>
    <t>219.28万</t>
  </si>
  <si>
    <t>16.24亿</t>
  </si>
  <si>
    <t>520.00万</t>
  </si>
  <si>
    <t>332.82万</t>
  </si>
  <si>
    <t>-266.45万</t>
  </si>
  <si>
    <t>-1.15亿</t>
  </si>
  <si>
    <t>-8709.73万</t>
  </si>
  <si>
    <t>6183.76万</t>
  </si>
  <si>
    <t>1514.57万</t>
  </si>
  <si>
    <t>20.93亿</t>
  </si>
  <si>
    <t>24.39亿</t>
  </si>
  <si>
    <t>17.33亿</t>
  </si>
  <si>
    <t>3733.55万</t>
  </si>
  <si>
    <t>2625.67万</t>
  </si>
  <si>
    <t>3545.74万</t>
  </si>
  <si>
    <t>1412294亿</t>
  </si>
  <si>
    <t>4.04万</t>
  </si>
  <si>
    <t>3555745亿</t>
  </si>
  <si>
    <t>1110395390亿</t>
  </si>
  <si>
    <t>5228.35万</t>
  </si>
  <si>
    <t>3106978300亿</t>
  </si>
  <si>
    <t>564.92万</t>
  </si>
  <si>
    <t>70.43万</t>
  </si>
  <si>
    <t>-6204.56万</t>
  </si>
  <si>
    <t>4077.19万</t>
  </si>
  <si>
    <t>481.00万</t>
  </si>
  <si>
    <t>7969.73万</t>
  </si>
  <si>
    <t>2385.58万</t>
  </si>
  <si>
    <t>31.00亿</t>
  </si>
  <si>
    <t>26.98亿</t>
  </si>
  <si>
    <t>2813.74万</t>
  </si>
  <si>
    <t>2248.03万</t>
  </si>
  <si>
    <t>8894981亿</t>
  </si>
  <si>
    <t>121.62万</t>
  </si>
  <si>
    <t>28459230亿</t>
  </si>
  <si>
    <t>1324232540亿</t>
  </si>
  <si>
    <t>3514115000亿</t>
  </si>
  <si>
    <t>9967.42万</t>
  </si>
  <si>
    <t>4.93亿</t>
  </si>
  <si>
    <t>-1355.91万</t>
  </si>
  <si>
    <t>-3969.02万</t>
  </si>
  <si>
    <t>4461.54万</t>
  </si>
  <si>
    <t>10派0.23元(含税)</t>
  </si>
  <si>
    <t>15.49亿</t>
  </si>
  <si>
    <t>518.94万</t>
  </si>
  <si>
    <t>4299.81万</t>
  </si>
  <si>
    <t>-1.45亿</t>
  </si>
  <si>
    <t>6649.76万</t>
  </si>
  <si>
    <t>4413.75万</t>
  </si>
  <si>
    <t>214.39万</t>
  </si>
  <si>
    <t>1330.33万</t>
  </si>
  <si>
    <t>-276986亿</t>
  </si>
  <si>
    <t>68.63万</t>
  </si>
  <si>
    <t>-25569560亿</t>
  </si>
  <si>
    <t>4492.98万</t>
  </si>
  <si>
    <t>47188817亿</t>
  </si>
  <si>
    <t>1898.59万</t>
  </si>
  <si>
    <t>280410230亿</t>
  </si>
  <si>
    <t>7244.29万</t>
  </si>
  <si>
    <t>1630.78万</t>
  </si>
  <si>
    <t>3.34万</t>
  </si>
  <si>
    <t>7474.95万</t>
  </si>
  <si>
    <t>-3579.06万</t>
  </si>
  <si>
    <t>875.05万</t>
  </si>
  <si>
    <t>1835.41万</t>
  </si>
  <si>
    <t>6484.12万</t>
  </si>
  <si>
    <t>-1722.92万</t>
  </si>
  <si>
    <t>2609.30万</t>
  </si>
  <si>
    <t>7810.96万</t>
  </si>
  <si>
    <t>34.39亿</t>
  </si>
  <si>
    <t>282.51万</t>
  </si>
  <si>
    <t>1797.21万</t>
  </si>
  <si>
    <t>-742181亿</t>
  </si>
  <si>
    <t>518.77万</t>
  </si>
  <si>
    <t>15212570亿</t>
  </si>
  <si>
    <t>533238680亿</t>
  </si>
  <si>
    <t>1457221000亿</t>
  </si>
  <si>
    <t>8497.55万</t>
  </si>
  <si>
    <t>9.75亿</t>
  </si>
  <si>
    <t>227.94万</t>
  </si>
  <si>
    <t>3915.00万</t>
  </si>
  <si>
    <t>-154.10万</t>
  </si>
  <si>
    <t>-3672.62万</t>
  </si>
  <si>
    <t>1889.95万</t>
  </si>
  <si>
    <t>2858.27万</t>
  </si>
  <si>
    <t>1121.60万</t>
  </si>
  <si>
    <t>66.15亿</t>
  </si>
  <si>
    <t>37.71亿</t>
  </si>
  <si>
    <t>849.45万</t>
  </si>
  <si>
    <t>2193.39万</t>
  </si>
  <si>
    <t>120.22万</t>
  </si>
  <si>
    <t>-27844158亿</t>
  </si>
  <si>
    <t>1119851370亿</t>
  </si>
  <si>
    <t>3561663500亿</t>
  </si>
  <si>
    <t>28.82亿</t>
  </si>
  <si>
    <t>33.08亿</t>
  </si>
  <si>
    <t>-2.06亿</t>
  </si>
  <si>
    <t>-656.57万</t>
  </si>
  <si>
    <t>-3092.86万</t>
  </si>
  <si>
    <t>76.75亿</t>
  </si>
  <si>
    <t>90.89亿</t>
  </si>
  <si>
    <t>83.90亿</t>
  </si>
  <si>
    <t>-25.81亿</t>
  </si>
  <si>
    <t>-13.51亿</t>
  </si>
  <si>
    <t>-9.65亿</t>
  </si>
  <si>
    <t>-3233.38万</t>
  </si>
  <si>
    <t>-7.29亿</t>
  </si>
  <si>
    <t>-4.45亿</t>
  </si>
  <si>
    <t>5334.92万</t>
  </si>
  <si>
    <t>01198000000</t>
  </si>
  <si>
    <t>03594000000</t>
  </si>
  <si>
    <t>07188000000</t>
  </si>
  <si>
    <t>011980000000</t>
  </si>
  <si>
    <t>023960000000</t>
  </si>
  <si>
    <t>177.15万</t>
  </si>
  <si>
    <t>89.96亿</t>
  </si>
  <si>
    <t>17.66亿</t>
  </si>
  <si>
    <t>71.66亿</t>
  </si>
  <si>
    <t>16.12亿</t>
  </si>
  <si>
    <t>13.33亿</t>
  </si>
  <si>
    <t>2619.99万</t>
  </si>
  <si>
    <t>5786.11万</t>
  </si>
  <si>
    <t>12892840亿</t>
  </si>
  <si>
    <t>53.05万</t>
  </si>
  <si>
    <t>374962500亿</t>
  </si>
  <si>
    <t>12.62亿</t>
  </si>
  <si>
    <t>2213303300亿</t>
  </si>
  <si>
    <t>7498455300亿</t>
  </si>
  <si>
    <t>12.66亿</t>
  </si>
  <si>
    <t>6565.01万</t>
  </si>
  <si>
    <t>1952.77万</t>
  </si>
  <si>
    <t>2468.24万</t>
  </si>
  <si>
    <t>10派6.25元(含税)</t>
  </si>
  <si>
    <t>1358.13万</t>
  </si>
  <si>
    <t>6796.34万</t>
  </si>
  <si>
    <t>1658.44万</t>
  </si>
  <si>
    <t>28.04亿</t>
  </si>
  <si>
    <t>47.63亿</t>
  </si>
  <si>
    <t>47.46亿</t>
  </si>
  <si>
    <t>8.18亿</t>
  </si>
  <si>
    <t>5853.26万</t>
  </si>
  <si>
    <t>7836.39万</t>
  </si>
  <si>
    <t>-504442亿</t>
  </si>
  <si>
    <t>35.68万</t>
  </si>
  <si>
    <t>65730335亿</t>
  </si>
  <si>
    <t>761832180亿</t>
  </si>
  <si>
    <t>3045.31万</t>
  </si>
  <si>
    <t>4589959200亿</t>
  </si>
  <si>
    <t>7212.66万</t>
  </si>
  <si>
    <t>550.78万</t>
  </si>
  <si>
    <t>-2.12亿</t>
  </si>
  <si>
    <t>-1709.57万</t>
  </si>
  <si>
    <t>8497.33万</t>
  </si>
  <si>
    <t>8733.24万</t>
  </si>
  <si>
    <t>5277.35万</t>
  </si>
  <si>
    <t>11.23亿</t>
  </si>
  <si>
    <t>13.36亿</t>
  </si>
  <si>
    <t>3101.31万</t>
  </si>
  <si>
    <t>6090.25万</t>
  </si>
  <si>
    <t>2426.03万</t>
  </si>
  <si>
    <t>1010150亿</t>
  </si>
  <si>
    <t>20.23万</t>
  </si>
  <si>
    <t>-44147510亿</t>
  </si>
  <si>
    <t>338661790亿</t>
  </si>
  <si>
    <t>1211.60万</t>
  </si>
  <si>
    <t>1253656990亿</t>
  </si>
  <si>
    <t>2.20万</t>
  </si>
  <si>
    <t>8134.00万</t>
  </si>
  <si>
    <t>-118.16万</t>
  </si>
  <si>
    <t>3145.37万</t>
  </si>
  <si>
    <t>-832.68万</t>
  </si>
  <si>
    <t>-2251.39万</t>
  </si>
  <si>
    <t>412.13万</t>
  </si>
  <si>
    <t>24.25亿</t>
  </si>
  <si>
    <t>7.45亿</t>
  </si>
  <si>
    <t>3341.88万</t>
  </si>
  <si>
    <t>2421.00万</t>
  </si>
  <si>
    <t>1328833亿</t>
  </si>
  <si>
    <t>96106207亿</t>
  </si>
  <si>
    <t>532980240亿</t>
  </si>
  <si>
    <t>2650933400亿</t>
  </si>
  <si>
    <t>-5655.98万</t>
  </si>
  <si>
    <t>1550.31万</t>
  </si>
  <si>
    <t>9772.12万</t>
  </si>
  <si>
    <t>323.01万</t>
  </si>
  <si>
    <t>3168.04万</t>
  </si>
  <si>
    <t>-182.48万</t>
  </si>
  <si>
    <t>5212.11万</t>
  </si>
  <si>
    <t>2700.73万</t>
  </si>
  <si>
    <t>489.47万</t>
  </si>
  <si>
    <t>1467.66万</t>
  </si>
  <si>
    <t>25963311亿</t>
  </si>
  <si>
    <t>29.54万</t>
  </si>
  <si>
    <t>-20642537亿</t>
  </si>
  <si>
    <t>3751.04万</t>
  </si>
  <si>
    <t>137012460亿</t>
  </si>
  <si>
    <t>3387.23万</t>
  </si>
  <si>
    <t>668566080亿</t>
  </si>
  <si>
    <t>3220.78万</t>
  </si>
  <si>
    <t>10000.00万</t>
  </si>
  <si>
    <t>490.57万</t>
  </si>
  <si>
    <t>4788.40万</t>
  </si>
  <si>
    <t>52.29万</t>
  </si>
  <si>
    <t>4411.43万</t>
  </si>
  <si>
    <t>-9227.15万</t>
  </si>
  <si>
    <t>2931.49万</t>
  </si>
  <si>
    <t>1351.49万</t>
  </si>
  <si>
    <t>6916.46万</t>
  </si>
  <si>
    <t>-223.02万</t>
  </si>
  <si>
    <t>1504.46万</t>
  </si>
  <si>
    <t>979.53万</t>
  </si>
  <si>
    <t>27.89亿</t>
  </si>
  <si>
    <t>2486.06万</t>
  </si>
  <si>
    <t>2117.11万</t>
  </si>
  <si>
    <t>-1014920亿</t>
  </si>
  <si>
    <t>33897425亿</t>
  </si>
  <si>
    <t>459955460亿</t>
  </si>
  <si>
    <t>2087696300亿</t>
  </si>
  <si>
    <t>3782.65万</t>
  </si>
  <si>
    <t>4493.91万</t>
  </si>
  <si>
    <t>32.15万</t>
  </si>
  <si>
    <t>828.61万</t>
  </si>
  <si>
    <t>-473.73万</t>
  </si>
  <si>
    <t>5040.37万</t>
  </si>
  <si>
    <t>1827.16万</t>
  </si>
  <si>
    <t>10派1.90元(含税)</t>
  </si>
  <si>
    <t>1721.67万</t>
  </si>
  <si>
    <t>7365.29万</t>
  </si>
  <si>
    <t>801.91万</t>
  </si>
  <si>
    <t>16.33亿</t>
  </si>
  <si>
    <t>13.74亿</t>
  </si>
  <si>
    <t>4628.74万</t>
  </si>
  <si>
    <t>1551.61万</t>
  </si>
  <si>
    <t>167213亿</t>
  </si>
  <si>
    <t>31.74万</t>
  </si>
  <si>
    <t>21927087亿</t>
  </si>
  <si>
    <t>659849140亿</t>
  </si>
  <si>
    <t>1751.06万</t>
  </si>
  <si>
    <t>1784446500亿</t>
  </si>
  <si>
    <t>109.96万</t>
  </si>
  <si>
    <t>8.40亿</t>
  </si>
  <si>
    <t>-5950.07万</t>
  </si>
  <si>
    <t>-644.23万</t>
  </si>
  <si>
    <t>1692.29万</t>
  </si>
  <si>
    <t>9009.69万</t>
  </si>
  <si>
    <t>1971.34万</t>
  </si>
  <si>
    <t>6286.68万</t>
  </si>
  <si>
    <t>245.87万</t>
  </si>
  <si>
    <t>15.43亿</t>
  </si>
  <si>
    <t>36.29亿</t>
  </si>
  <si>
    <t>8.53亿</t>
  </si>
  <si>
    <t>1374.26万</t>
  </si>
  <si>
    <t>3032.30万</t>
  </si>
  <si>
    <t>2502921亿</t>
  </si>
  <si>
    <t>79198980亿</t>
  </si>
  <si>
    <t>6.33亿</t>
  </si>
  <si>
    <t>672391300亿</t>
  </si>
  <si>
    <t>80.70万</t>
  </si>
  <si>
    <t>2117845700亿</t>
  </si>
  <si>
    <t>10.59亿</t>
  </si>
  <si>
    <t>4.13亿</t>
  </si>
  <si>
    <t>7036.80万</t>
  </si>
  <si>
    <t>3373.09万</t>
  </si>
  <si>
    <t>4988.82万</t>
  </si>
  <si>
    <t>9.40亿</t>
  </si>
  <si>
    <t>8178.94万</t>
  </si>
  <si>
    <t>1449.95万</t>
  </si>
  <si>
    <t>172.20万</t>
  </si>
  <si>
    <t>16.63亿</t>
  </si>
  <si>
    <t>3836.03万</t>
  </si>
  <si>
    <t>1350.42万</t>
  </si>
  <si>
    <t>1836180亿</t>
  </si>
  <si>
    <t>19.26万</t>
  </si>
  <si>
    <t>24505021亿</t>
  </si>
  <si>
    <t>220844480亿</t>
  </si>
  <si>
    <t>84.94万</t>
  </si>
  <si>
    <t>1511146400亿</t>
  </si>
  <si>
    <t>11.30万</t>
  </si>
  <si>
    <t>5077.26万</t>
  </si>
  <si>
    <t>3240.50万</t>
  </si>
  <si>
    <t>-6176.87万</t>
  </si>
  <si>
    <t>7342.84万</t>
  </si>
  <si>
    <t>1192.79万</t>
  </si>
  <si>
    <t>1101.30万</t>
  </si>
  <si>
    <t>8563.15万</t>
  </si>
  <si>
    <t>162.10万</t>
  </si>
  <si>
    <t>4809.36万</t>
  </si>
  <si>
    <t>1034.12万</t>
  </si>
  <si>
    <t>1838.80万</t>
  </si>
  <si>
    <t>1173074亿</t>
  </si>
  <si>
    <t>29468201亿</t>
  </si>
  <si>
    <t>192789930亿</t>
  </si>
  <si>
    <t>708074930亿</t>
  </si>
  <si>
    <t>27.73万</t>
  </si>
  <si>
    <t>479.36万</t>
  </si>
  <si>
    <t>5758.65万</t>
  </si>
  <si>
    <t>-2730.60万</t>
  </si>
  <si>
    <t>2483.57万</t>
  </si>
  <si>
    <t>2738.15万</t>
  </si>
  <si>
    <t>2293.61万</t>
  </si>
  <si>
    <t>673.43万</t>
  </si>
  <si>
    <t>3920.95万</t>
  </si>
  <si>
    <t>1554.31万</t>
  </si>
  <si>
    <t>36.40亿</t>
  </si>
  <si>
    <t>23.22亿</t>
  </si>
  <si>
    <t>925.76万</t>
  </si>
  <si>
    <t>3847.20万</t>
  </si>
  <si>
    <t>5908055亿</t>
  </si>
  <si>
    <t>181.52万</t>
  </si>
  <si>
    <t>-37385386亿</t>
  </si>
  <si>
    <t>9501.37万</t>
  </si>
  <si>
    <t>377629820亿</t>
  </si>
  <si>
    <t>1655235800亿</t>
  </si>
  <si>
    <t>9364.30万</t>
  </si>
  <si>
    <t>30.01亿</t>
  </si>
  <si>
    <t>-2793.04万</t>
  </si>
  <si>
    <t>189.36万</t>
  </si>
  <si>
    <t>1530.84万</t>
  </si>
  <si>
    <t>-5016.64万</t>
  </si>
  <si>
    <t>9986.55万</t>
  </si>
  <si>
    <t>0735000000</t>
  </si>
  <si>
    <t>01470000000</t>
  </si>
  <si>
    <t>02450000000</t>
  </si>
  <si>
    <t>04900000000</t>
  </si>
  <si>
    <t>23.47万</t>
  </si>
  <si>
    <t>7473.79万</t>
  </si>
  <si>
    <t>414.66万</t>
  </si>
  <si>
    <t>-6258.01万</t>
  </si>
  <si>
    <t>1333.46万</t>
  </si>
  <si>
    <t>346.74万</t>
  </si>
  <si>
    <t>206.09万</t>
  </si>
  <si>
    <t>724.57万</t>
  </si>
  <si>
    <t>-494174亿</t>
  </si>
  <si>
    <t>4.54万</t>
  </si>
  <si>
    <t>-9642796亿</t>
  </si>
  <si>
    <t>2009.05万</t>
  </si>
  <si>
    <t>78877393亿</t>
  </si>
  <si>
    <t>342.31万</t>
  </si>
  <si>
    <t>237794710亿</t>
  </si>
  <si>
    <t>500.88万</t>
  </si>
  <si>
    <t>1425.65万</t>
  </si>
  <si>
    <t>3696.38万</t>
  </si>
  <si>
    <t>-3915.88万</t>
  </si>
  <si>
    <t>-2642.28万</t>
  </si>
  <si>
    <t>-141.97万</t>
  </si>
  <si>
    <t>2672.96万</t>
  </si>
  <si>
    <t>-1310.45万</t>
  </si>
  <si>
    <t>91.95万</t>
  </si>
  <si>
    <t>1430.64万</t>
  </si>
  <si>
    <t>230.99万</t>
  </si>
  <si>
    <t>29.64亿</t>
  </si>
  <si>
    <t>863.04万</t>
  </si>
  <si>
    <t>2761.07万</t>
  </si>
  <si>
    <t>763489亿</t>
  </si>
  <si>
    <t>10.76万</t>
  </si>
  <si>
    <t>131801004亿</t>
  </si>
  <si>
    <t>12.50亿</t>
  </si>
  <si>
    <t>60120908亿</t>
  </si>
  <si>
    <t>53.83万</t>
  </si>
  <si>
    <t>1929052800亿</t>
  </si>
  <si>
    <t>6196.49万</t>
  </si>
  <si>
    <t>306.34万</t>
  </si>
  <si>
    <t>2365.86万</t>
  </si>
  <si>
    <t>-9388.73万</t>
  </si>
  <si>
    <t>3235.50万</t>
  </si>
  <si>
    <t>1269.07万</t>
  </si>
  <si>
    <t>7574.10万</t>
  </si>
  <si>
    <t>674.60万</t>
  </si>
  <si>
    <t>26.09亿</t>
  </si>
  <si>
    <t>25.61亿</t>
  </si>
  <si>
    <t>35.29亿</t>
  </si>
  <si>
    <t>5448.60万</t>
  </si>
  <si>
    <t>3555.80万</t>
  </si>
  <si>
    <t>116583亿</t>
  </si>
  <si>
    <t>244.78万</t>
  </si>
  <si>
    <t>54307746亿</t>
  </si>
  <si>
    <t>9.51亿</t>
  </si>
  <si>
    <t>1465751000亿</t>
  </si>
  <si>
    <t>2612.84万</t>
  </si>
  <si>
    <t>3903530600亿</t>
  </si>
  <si>
    <t>4968.72万</t>
  </si>
  <si>
    <t>5626.93万</t>
  </si>
  <si>
    <t>1324.44万</t>
  </si>
  <si>
    <t>2509.79万</t>
  </si>
  <si>
    <t>10转3股派2元(含税)</t>
  </si>
  <si>
    <t>4444.20万</t>
  </si>
  <si>
    <t>116.34万</t>
  </si>
  <si>
    <t>2154.07万</t>
  </si>
  <si>
    <t>8889.10万</t>
  </si>
  <si>
    <t>390.85万</t>
  </si>
  <si>
    <t>526.57万</t>
  </si>
  <si>
    <t>-251624亿</t>
  </si>
  <si>
    <t>4033770亿</t>
  </si>
  <si>
    <t>5540.97万</t>
  </si>
  <si>
    <t>147108390亿</t>
  </si>
  <si>
    <t>555393810亿</t>
  </si>
  <si>
    <t>439.25万</t>
  </si>
  <si>
    <t>4764.05万</t>
  </si>
  <si>
    <t>8526.73万</t>
  </si>
  <si>
    <t>-2836.98万</t>
  </si>
  <si>
    <t>1903.37万</t>
  </si>
  <si>
    <t>601.07万</t>
  </si>
  <si>
    <t>603.80万</t>
  </si>
  <si>
    <t>3676.35万</t>
  </si>
  <si>
    <t>293.62万</t>
  </si>
  <si>
    <t>19.95亿</t>
  </si>
  <si>
    <t>63.71亿</t>
  </si>
  <si>
    <t>9.17亿</t>
  </si>
  <si>
    <t>49.72亿</t>
  </si>
  <si>
    <t>8353.29万</t>
  </si>
  <si>
    <t>-2737508亿</t>
  </si>
  <si>
    <t>76.99万</t>
  </si>
  <si>
    <t>66799002亿</t>
  </si>
  <si>
    <t>25.13亿</t>
  </si>
  <si>
    <t>2365326700亿</t>
  </si>
  <si>
    <t>6289.97万</t>
  </si>
  <si>
    <t>6188827300亿</t>
  </si>
  <si>
    <t>5788.24万</t>
  </si>
  <si>
    <t>7812.06万</t>
  </si>
  <si>
    <t>14.74亿</t>
  </si>
  <si>
    <t>8991.79万</t>
  </si>
  <si>
    <t>-2.31亿</t>
  </si>
  <si>
    <t>4365.48万</t>
  </si>
  <si>
    <t>-2.05亿</t>
  </si>
  <si>
    <t>8.31亿</t>
  </si>
  <si>
    <t>7737.81万</t>
  </si>
  <si>
    <t>1468.94万</t>
  </si>
  <si>
    <t>9790.75万</t>
  </si>
  <si>
    <t>156.83万</t>
  </si>
  <si>
    <t>15.25亿</t>
  </si>
  <si>
    <t>14.68亿</t>
  </si>
  <si>
    <t>625.47万</t>
  </si>
  <si>
    <t>2122.94万</t>
  </si>
  <si>
    <t>1070783亿</t>
  </si>
  <si>
    <t>95.36万</t>
  </si>
  <si>
    <t>17841974亿</t>
  </si>
  <si>
    <t>453040380亿</t>
  </si>
  <si>
    <t>2364768900亿</t>
  </si>
  <si>
    <t>9650.00万</t>
  </si>
  <si>
    <t>122.60万</t>
  </si>
  <si>
    <t>-3579.86万</t>
  </si>
  <si>
    <t>612.97万</t>
  </si>
  <si>
    <t>2843.04万</t>
  </si>
  <si>
    <t>2004.02万</t>
  </si>
  <si>
    <t>10派4.199986元(含税)</t>
  </si>
  <si>
    <t>801.83万</t>
  </si>
  <si>
    <t>370.55万</t>
  </si>
  <si>
    <t>16.88亿</t>
  </si>
  <si>
    <t>-2104.22万</t>
  </si>
  <si>
    <t>9701.78万</t>
  </si>
  <si>
    <t>7832.76万</t>
  </si>
  <si>
    <t>748.41万</t>
  </si>
  <si>
    <t>958.18万</t>
  </si>
  <si>
    <t>3055542亿</t>
  </si>
  <si>
    <t>4.21万</t>
  </si>
  <si>
    <t>8247731亿</t>
  </si>
  <si>
    <t>385312160亿</t>
  </si>
  <si>
    <t>3222.26万</t>
  </si>
  <si>
    <t>1120060310亿</t>
  </si>
  <si>
    <t>3.19万</t>
  </si>
  <si>
    <t>2902.93万</t>
  </si>
  <si>
    <t>-3347.97万</t>
  </si>
  <si>
    <t>-3.51亿</t>
  </si>
  <si>
    <t>42.24万</t>
  </si>
  <si>
    <t>5067.62万</t>
  </si>
  <si>
    <t>-111.73万</t>
  </si>
  <si>
    <t>2285.67万</t>
  </si>
  <si>
    <t>223.79万</t>
  </si>
  <si>
    <t>6546.74万</t>
  </si>
  <si>
    <t>3251.78万</t>
  </si>
  <si>
    <t>9086.78万</t>
  </si>
  <si>
    <t>4347.76万</t>
  </si>
  <si>
    <t>932.19万</t>
  </si>
  <si>
    <t>2362.71万</t>
  </si>
  <si>
    <t>-111297亿</t>
  </si>
  <si>
    <t>34.09万</t>
  </si>
  <si>
    <t>-21906903亿</t>
  </si>
  <si>
    <t>438914430亿</t>
  </si>
  <si>
    <t>1159423760亿</t>
  </si>
  <si>
    <t>170.88万</t>
  </si>
  <si>
    <t>131.56万</t>
  </si>
  <si>
    <t>4295.52万</t>
  </si>
  <si>
    <t>-791.35万</t>
  </si>
  <si>
    <t>-3479.57万</t>
  </si>
  <si>
    <t>1398.67万</t>
  </si>
  <si>
    <t>6294.71万</t>
  </si>
  <si>
    <t>-3055.01万</t>
  </si>
  <si>
    <t>1379.69万</t>
  </si>
  <si>
    <t>8999.41万</t>
  </si>
  <si>
    <t>252.21万</t>
  </si>
  <si>
    <t>22.94亿</t>
  </si>
  <si>
    <t>6029.93万</t>
  </si>
  <si>
    <t>1984.98万</t>
  </si>
  <si>
    <t>2200.93万</t>
  </si>
  <si>
    <t>305604亿</t>
  </si>
  <si>
    <t>8.10万</t>
  </si>
  <si>
    <t>13445068亿</t>
  </si>
  <si>
    <t>920392180亿</t>
  </si>
  <si>
    <t>2474919400亿</t>
  </si>
  <si>
    <t>4164.82万</t>
  </si>
  <si>
    <t>3689.97万</t>
  </si>
  <si>
    <t>131.26万</t>
  </si>
  <si>
    <t>-3225.48万</t>
  </si>
  <si>
    <t>4230.12万</t>
  </si>
  <si>
    <t>2449.30万</t>
  </si>
  <si>
    <t>493.99万</t>
  </si>
  <si>
    <t>23.37亿</t>
  </si>
  <si>
    <t>8697.67万</t>
  </si>
  <si>
    <t>7843.56万</t>
  </si>
  <si>
    <t>3723.78万</t>
  </si>
  <si>
    <t>1521.92万</t>
  </si>
  <si>
    <t>1285.29万</t>
  </si>
  <si>
    <t>1137395亿</t>
  </si>
  <si>
    <t>13.16万</t>
  </si>
  <si>
    <t>8736941亿</t>
  </si>
  <si>
    <t>396875850亿</t>
  </si>
  <si>
    <t>1584114300亿</t>
  </si>
  <si>
    <t>2494.76万</t>
  </si>
  <si>
    <t>970.00万</t>
  </si>
  <si>
    <t>963.13万</t>
  </si>
  <si>
    <t>19.00万</t>
  </si>
  <si>
    <t>3979.76万</t>
  </si>
  <si>
    <t>-7175.07万</t>
  </si>
  <si>
    <t>185.96万</t>
  </si>
  <si>
    <t>1957.89万</t>
  </si>
  <si>
    <t>3081.48万</t>
  </si>
  <si>
    <t>SZ300103</t>
  </si>
  <si>
    <t>达刚控股</t>
  </si>
  <si>
    <t>1846.11万</t>
  </si>
  <si>
    <t>6.43亿</t>
  </si>
  <si>
    <t>4296.42万</t>
  </si>
  <si>
    <t>4842.41万</t>
  </si>
  <si>
    <t>3467.84万</t>
  </si>
  <si>
    <t>144.64万</t>
  </si>
  <si>
    <t>851.02万</t>
  </si>
  <si>
    <t>304540亿</t>
  </si>
  <si>
    <t>-4610851亿</t>
  </si>
  <si>
    <t>9697.37万</t>
  </si>
  <si>
    <t>232141970亿</t>
  </si>
  <si>
    <t>182.21万</t>
  </si>
  <si>
    <t>674929020亿</t>
  </si>
  <si>
    <t>236.05万</t>
  </si>
  <si>
    <t>5426.67万</t>
  </si>
  <si>
    <t>-1133.37万</t>
  </si>
  <si>
    <t>5243.46万</t>
  </si>
  <si>
    <t>-584.76万</t>
  </si>
  <si>
    <t>-3.38亿</t>
  </si>
  <si>
    <t>2690.92万</t>
  </si>
  <si>
    <t>6435.94万</t>
  </si>
  <si>
    <t>4969.47万</t>
  </si>
  <si>
    <t>1921.39万</t>
  </si>
  <si>
    <t>3390.38万</t>
  </si>
  <si>
    <t>-1650.66万</t>
  </si>
  <si>
    <t>255.89万</t>
  </si>
  <si>
    <t>17.10亿</t>
  </si>
  <si>
    <t>9.31亿</t>
  </si>
  <si>
    <t>3165.51万</t>
  </si>
  <si>
    <t>484.10万</t>
  </si>
  <si>
    <t>2506.12万</t>
  </si>
  <si>
    <t>1479884亿</t>
  </si>
  <si>
    <t>8.51万</t>
  </si>
  <si>
    <t>17144111亿</t>
  </si>
  <si>
    <t>208400750亿</t>
  </si>
  <si>
    <t>100.91万</t>
  </si>
  <si>
    <t>1270551270亿</t>
  </si>
  <si>
    <t>6000.00万</t>
  </si>
  <si>
    <t>6151.82万</t>
  </si>
  <si>
    <t>-1.12亿</t>
  </si>
  <si>
    <t>-694.14万</t>
  </si>
  <si>
    <t>3159.72万</t>
  </si>
  <si>
    <t>1325.14万</t>
  </si>
  <si>
    <t>4260.20万</t>
  </si>
  <si>
    <t>29.42亿</t>
  </si>
  <si>
    <t>-4447.36万</t>
  </si>
  <si>
    <t>3124.38万</t>
  </si>
  <si>
    <t>11.91亿</t>
  </si>
  <si>
    <t>9868.01万</t>
  </si>
  <si>
    <t>2795.76万</t>
  </si>
  <si>
    <t>437.02万</t>
  </si>
  <si>
    <t>2994.00万</t>
  </si>
  <si>
    <t>-573561亿</t>
  </si>
  <si>
    <t>-66259294亿</t>
  </si>
  <si>
    <t>356584410亿</t>
  </si>
  <si>
    <t>3664.40万</t>
  </si>
  <si>
    <t>1367120800亿</t>
  </si>
  <si>
    <t>8648.41万</t>
  </si>
  <si>
    <t>25.02亿</t>
  </si>
  <si>
    <t>1230.06万</t>
  </si>
  <si>
    <t>-1720.28万</t>
  </si>
  <si>
    <t>-8197.03万</t>
  </si>
  <si>
    <t>6146.45万</t>
  </si>
  <si>
    <t>-5976.53万</t>
  </si>
  <si>
    <t>25.64亿</t>
  </si>
  <si>
    <t>537.63万</t>
  </si>
  <si>
    <t>34.23亿</t>
  </si>
  <si>
    <t>16.04亿</t>
  </si>
  <si>
    <t>4070.76万</t>
  </si>
  <si>
    <t>3231.12万</t>
  </si>
  <si>
    <t>3629.29万</t>
  </si>
  <si>
    <t>7552797亿</t>
  </si>
  <si>
    <t>66.91万</t>
  </si>
  <si>
    <t>-731923亿</t>
  </si>
  <si>
    <t>298317430亿</t>
  </si>
  <si>
    <t>1386.80万</t>
  </si>
  <si>
    <t>2171571600亿</t>
  </si>
  <si>
    <t>6130.14万</t>
  </si>
  <si>
    <t>461.67万</t>
  </si>
  <si>
    <t>814.21万</t>
  </si>
  <si>
    <t>-4039.33万</t>
  </si>
  <si>
    <t>-6096.68万</t>
  </si>
  <si>
    <t>-6746.47万</t>
  </si>
  <si>
    <t>674.08万</t>
  </si>
  <si>
    <t>3144.76万</t>
  </si>
  <si>
    <t>544.97万</t>
  </si>
  <si>
    <t>13.46亿</t>
  </si>
  <si>
    <t>1974.22万</t>
  </si>
  <si>
    <t>1929.85万</t>
  </si>
  <si>
    <t>963424亿</t>
  </si>
  <si>
    <t>1.92万</t>
  </si>
  <si>
    <t>20264741亿</t>
  </si>
  <si>
    <t>668246670亿</t>
  </si>
  <si>
    <t>501.28万</t>
  </si>
  <si>
    <t>1238732270亿</t>
  </si>
  <si>
    <t>4786.83万</t>
  </si>
  <si>
    <t>16.00万</t>
  </si>
  <si>
    <t>-7532.75万</t>
  </si>
  <si>
    <t>4564.24万</t>
  </si>
  <si>
    <t>-9060.40万</t>
  </si>
  <si>
    <t>2201.02万</t>
  </si>
  <si>
    <t>3363.13万</t>
  </si>
  <si>
    <t>1127.05万</t>
  </si>
  <si>
    <t>6.20亿</t>
  </si>
  <si>
    <t>4748.03万</t>
  </si>
  <si>
    <t>6197.18万</t>
  </si>
  <si>
    <t>3387.88万</t>
  </si>
  <si>
    <t>979.19万</t>
  </si>
  <si>
    <t>828.34万</t>
  </si>
  <si>
    <t>-16428528亿</t>
  </si>
  <si>
    <t>120692154亿</t>
  </si>
  <si>
    <t>261.80万</t>
  </si>
  <si>
    <t>504048920亿</t>
  </si>
  <si>
    <t>3274.25万</t>
  </si>
  <si>
    <t>8706.07万</t>
  </si>
  <si>
    <t>-316.78万</t>
  </si>
  <si>
    <t>6.00万</t>
  </si>
  <si>
    <t>3447.05万</t>
  </si>
  <si>
    <t>6144.45万</t>
  </si>
  <si>
    <t>-478.51万</t>
  </si>
  <si>
    <t>5611.22万</t>
  </si>
  <si>
    <t>8-1</t>
  </si>
  <si>
    <t>156.25万</t>
  </si>
  <si>
    <t>9252.46万</t>
  </si>
  <si>
    <t>4464.95万</t>
  </si>
  <si>
    <t>8129.67万</t>
  </si>
  <si>
    <t>5253.58万</t>
  </si>
  <si>
    <t>1338.31万</t>
  </si>
  <si>
    <t>547.55万</t>
  </si>
  <si>
    <t>463001亿</t>
  </si>
  <si>
    <t>1.11万</t>
  </si>
  <si>
    <t>12212662亿</t>
  </si>
  <si>
    <t>5172.09万</t>
  </si>
  <si>
    <t>382141890亿</t>
  </si>
  <si>
    <t>5822.14万</t>
  </si>
  <si>
    <t>751646470亿</t>
  </si>
  <si>
    <t>1807.99万</t>
  </si>
  <si>
    <t>3800.00万</t>
  </si>
  <si>
    <t>864.52万</t>
  </si>
  <si>
    <t>36.16万</t>
  </si>
  <si>
    <t>-686.72万</t>
  </si>
  <si>
    <t>-571.60万</t>
  </si>
  <si>
    <t>-4836.22万</t>
  </si>
  <si>
    <t>8263.41万</t>
  </si>
  <si>
    <t>913.00万</t>
  </si>
  <si>
    <t>1535.79万</t>
  </si>
  <si>
    <t>1179.01万</t>
  </si>
  <si>
    <t>12.81亿</t>
  </si>
  <si>
    <t>671.55万</t>
  </si>
  <si>
    <t>9084.73万</t>
  </si>
  <si>
    <t>449.42万</t>
  </si>
  <si>
    <t>597.44万</t>
  </si>
  <si>
    <t>1636663亿</t>
  </si>
  <si>
    <t>1.58万</t>
  </si>
  <si>
    <t>-373457亿</t>
  </si>
  <si>
    <t>2433.14万</t>
  </si>
  <si>
    <t>39041412亿</t>
  </si>
  <si>
    <t>1278.53万</t>
  </si>
  <si>
    <t>747842850亿</t>
  </si>
  <si>
    <t>6461.78万</t>
  </si>
  <si>
    <t>5925.26万</t>
  </si>
  <si>
    <t>3644.40万</t>
  </si>
  <si>
    <t>-1321.24万</t>
  </si>
  <si>
    <t>1296.58万</t>
  </si>
  <si>
    <t>31.31万</t>
  </si>
  <si>
    <t>108.45万</t>
  </si>
  <si>
    <t>10派0.2元(含税)</t>
  </si>
  <si>
    <t>1245.37万</t>
  </si>
  <si>
    <t>-2098.11万</t>
  </si>
  <si>
    <t>2888.00万</t>
  </si>
  <si>
    <t>2945.92万</t>
  </si>
  <si>
    <t>-32628亿</t>
  </si>
  <si>
    <t>-948779亿</t>
  </si>
  <si>
    <t>233581030亿</t>
  </si>
  <si>
    <t>735.80万</t>
  </si>
  <si>
    <t>1033919490亿</t>
  </si>
  <si>
    <t>451.10万</t>
  </si>
  <si>
    <t>-2891.55万</t>
  </si>
  <si>
    <t>1979.18万</t>
  </si>
  <si>
    <t>-67.50万</t>
  </si>
  <si>
    <t>7151.45万</t>
  </si>
  <si>
    <t>10.27亿</t>
  </si>
  <si>
    <t>1402.60万</t>
  </si>
  <si>
    <t>18.75亿</t>
  </si>
  <si>
    <t>4127.54万</t>
  </si>
  <si>
    <t>3859.46万</t>
  </si>
  <si>
    <t>192982300亿</t>
  </si>
  <si>
    <t>11.73万</t>
  </si>
  <si>
    <t>55659833亿</t>
  </si>
  <si>
    <t>454477700亿</t>
  </si>
  <si>
    <t>461.00万</t>
  </si>
  <si>
    <t>2753126800亿</t>
  </si>
  <si>
    <t>300.54万</t>
  </si>
  <si>
    <t>147.12万</t>
  </si>
  <si>
    <t>18.62亿</t>
  </si>
  <si>
    <t>-4234.06万</t>
  </si>
  <si>
    <t>-2055.87万</t>
  </si>
  <si>
    <t>3813.91万</t>
  </si>
  <si>
    <t>6067.68万</t>
  </si>
  <si>
    <t>565.68万</t>
  </si>
  <si>
    <t>20.62亿</t>
  </si>
  <si>
    <t>778.10万</t>
  </si>
  <si>
    <t>4096.18万</t>
  </si>
  <si>
    <t>10586亿</t>
  </si>
  <si>
    <t>13.71万</t>
  </si>
  <si>
    <t>13261408亿</t>
  </si>
  <si>
    <t>738961350亿</t>
  </si>
  <si>
    <t>7437.80万</t>
  </si>
  <si>
    <t>2656309000亿</t>
  </si>
  <si>
    <t>4.88亿</t>
  </si>
  <si>
    <t>-915.37万</t>
  </si>
  <si>
    <t>9207.12万</t>
  </si>
  <si>
    <t>9539.80万</t>
  </si>
  <si>
    <t>3764.58万</t>
  </si>
  <si>
    <t>2458.72万</t>
  </si>
  <si>
    <t>2156.92万</t>
  </si>
  <si>
    <t>8193.30万</t>
  </si>
  <si>
    <t>1029.45万</t>
  </si>
  <si>
    <t>8003.29万</t>
  </si>
  <si>
    <t>6275.33万</t>
  </si>
  <si>
    <t>894.58万</t>
  </si>
  <si>
    <t>207791亿</t>
  </si>
  <si>
    <t>5.00万</t>
  </si>
  <si>
    <t>5700351亿</t>
  </si>
  <si>
    <t>446405820亿</t>
  </si>
  <si>
    <t>1076901260亿</t>
  </si>
  <si>
    <t>2112.37万</t>
  </si>
  <si>
    <t>983.88万</t>
  </si>
  <si>
    <t>2129.08万</t>
  </si>
  <si>
    <t>-4590.23万</t>
  </si>
  <si>
    <t>-1288.22万</t>
  </si>
  <si>
    <t>-16.50万</t>
  </si>
  <si>
    <t>7072.01万</t>
  </si>
  <si>
    <t>726.79万</t>
  </si>
  <si>
    <t>9.66亿</t>
  </si>
  <si>
    <t>7-0</t>
  </si>
  <si>
    <t>1800.16万</t>
  </si>
  <si>
    <t>-2343.35万</t>
  </si>
  <si>
    <t>2033.39万</t>
  </si>
  <si>
    <t>2173.00万</t>
  </si>
  <si>
    <t>9.04万</t>
  </si>
  <si>
    <t>-6653767亿</t>
  </si>
  <si>
    <t>343909660亿</t>
  </si>
  <si>
    <t>41.16万</t>
  </si>
  <si>
    <t>1747087700亿</t>
  </si>
  <si>
    <t>5134.35万</t>
  </si>
  <si>
    <t>13.04亿</t>
  </si>
  <si>
    <t>-8214.96万</t>
  </si>
  <si>
    <t>-2272.65万</t>
  </si>
  <si>
    <t>5082.52万</t>
  </si>
  <si>
    <t>821.91万</t>
  </si>
  <si>
    <t>6057.82万</t>
  </si>
  <si>
    <t>504.63万</t>
  </si>
  <si>
    <t>35.88亿</t>
  </si>
  <si>
    <t>27.06亿</t>
  </si>
  <si>
    <t>40.96亿</t>
  </si>
  <si>
    <t>9820.71万</t>
  </si>
  <si>
    <t>6061.72万</t>
  </si>
  <si>
    <t>12503754亿</t>
  </si>
  <si>
    <t>25.98万</t>
  </si>
  <si>
    <t>110682020亿</t>
  </si>
  <si>
    <t>1074082530亿</t>
  </si>
  <si>
    <t>793.31万</t>
  </si>
  <si>
    <t>4012737400亿</t>
  </si>
  <si>
    <t>7113.22万</t>
  </si>
  <si>
    <t>24.28亿</t>
  </si>
  <si>
    <t>-2994.06万</t>
  </si>
  <si>
    <t>8162.26万</t>
  </si>
  <si>
    <t>8997.26万</t>
  </si>
  <si>
    <t>2899.45万</t>
  </si>
  <si>
    <t>203.75万</t>
  </si>
  <si>
    <t>4963.94万</t>
  </si>
  <si>
    <t>-7019.73万</t>
  </si>
  <si>
    <t>7817.18万</t>
  </si>
  <si>
    <t>3357.47万</t>
  </si>
  <si>
    <t>1266.89万</t>
  </si>
  <si>
    <t>1851.55万</t>
  </si>
  <si>
    <t>-422779亿</t>
  </si>
  <si>
    <t>11.52万</t>
  </si>
  <si>
    <t>-24972580亿</t>
  </si>
  <si>
    <t>249110640亿</t>
  </si>
  <si>
    <t>3721.81万</t>
  </si>
  <si>
    <t>1145724390亿</t>
  </si>
  <si>
    <t>620.50万</t>
  </si>
  <si>
    <t>5934.10万</t>
  </si>
  <si>
    <t>4955.72万</t>
  </si>
  <si>
    <t>-2573.02万</t>
  </si>
  <si>
    <t>-5207.41万</t>
  </si>
  <si>
    <t>-1481.08万</t>
  </si>
  <si>
    <t>-1086.02万</t>
  </si>
  <si>
    <t>1319.68万</t>
  </si>
  <si>
    <t>470.78万</t>
  </si>
  <si>
    <t>-2.02亿</t>
  </si>
  <si>
    <t>267.40万</t>
  </si>
  <si>
    <t>1818.81万</t>
  </si>
  <si>
    <t>892724亿</t>
  </si>
  <si>
    <t>7.87万</t>
  </si>
  <si>
    <t>-12240025亿</t>
  </si>
  <si>
    <t>2035.39万</t>
  </si>
  <si>
    <t>516165540亿</t>
  </si>
  <si>
    <t>2254.53万</t>
  </si>
  <si>
    <t>891352530亿</t>
  </si>
  <si>
    <t>1108.33万</t>
  </si>
  <si>
    <t>5846.55万</t>
  </si>
  <si>
    <t>-4328.55万</t>
  </si>
  <si>
    <t>773.81万</t>
  </si>
  <si>
    <t>-2349.70万</t>
  </si>
  <si>
    <t>5934.88万</t>
  </si>
  <si>
    <t>-1290.39万</t>
  </si>
  <si>
    <t>2891.76万</t>
  </si>
  <si>
    <t>-8-1</t>
  </si>
  <si>
    <t>336.89万</t>
  </si>
  <si>
    <t>14.57亿</t>
  </si>
  <si>
    <t>6923.76万</t>
  </si>
  <si>
    <t>6588.53万</t>
  </si>
  <si>
    <t>2352.38万</t>
  </si>
  <si>
    <t>1702.16万</t>
  </si>
  <si>
    <t>11699582亿</t>
  </si>
  <si>
    <t>297035250亿</t>
  </si>
  <si>
    <t>4859.16万</t>
  </si>
  <si>
    <t>1411223600亿</t>
  </si>
  <si>
    <t>2111.40万</t>
  </si>
  <si>
    <t>6924.98万</t>
  </si>
  <si>
    <t>57.20万</t>
  </si>
  <si>
    <t>-2667.86万</t>
  </si>
  <si>
    <t>-1001.33万</t>
  </si>
  <si>
    <t>-808.44万</t>
  </si>
  <si>
    <t>6511.45万</t>
  </si>
  <si>
    <t>2189.53万</t>
  </si>
  <si>
    <t>1484.38万</t>
  </si>
  <si>
    <t>466.80万</t>
  </si>
  <si>
    <t>14.25亿</t>
  </si>
  <si>
    <t>-3182.57万</t>
  </si>
  <si>
    <t>814.86万</t>
  </si>
  <si>
    <t>2114.96万</t>
  </si>
  <si>
    <t>1965166亿</t>
  </si>
  <si>
    <t>2730204亿</t>
  </si>
  <si>
    <t>304325700亿</t>
  </si>
  <si>
    <t>3687.87万</t>
  </si>
  <si>
    <t>914332240亿</t>
  </si>
  <si>
    <t>737.68万</t>
  </si>
  <si>
    <t>714.63万</t>
  </si>
  <si>
    <t>6724.86万</t>
  </si>
  <si>
    <t>-6426.90万</t>
  </si>
  <si>
    <t>-2849.09万</t>
  </si>
  <si>
    <t>-2126.08万</t>
  </si>
  <si>
    <t>-578.01万</t>
  </si>
  <si>
    <t>2464.69万</t>
  </si>
  <si>
    <t>337.56万</t>
  </si>
  <si>
    <t>2328.28万</t>
  </si>
  <si>
    <t>1401.95万</t>
  </si>
  <si>
    <t>1805.58万</t>
  </si>
  <si>
    <t>-434665亿</t>
  </si>
  <si>
    <t>22.60万</t>
  </si>
  <si>
    <t>8129078亿</t>
  </si>
  <si>
    <t>144113700亿</t>
  </si>
  <si>
    <t>311.72万</t>
  </si>
  <si>
    <t>1970625100亿</t>
  </si>
  <si>
    <t>260.08万</t>
  </si>
  <si>
    <t>4531.39万</t>
  </si>
  <si>
    <t>15.76亿</t>
  </si>
  <si>
    <t>3873.81万</t>
  </si>
  <si>
    <t>-1892.52万</t>
  </si>
  <si>
    <t>3343.41万</t>
  </si>
  <si>
    <t>1563.91万</t>
  </si>
  <si>
    <t>2296.53万</t>
  </si>
  <si>
    <t>200.70万</t>
  </si>
  <si>
    <t>11.15亿</t>
  </si>
  <si>
    <t>16.44亿</t>
  </si>
  <si>
    <t>4107.07万</t>
  </si>
  <si>
    <t>1398.44万</t>
  </si>
  <si>
    <t>2025.37万</t>
  </si>
  <si>
    <t>3674084亿</t>
  </si>
  <si>
    <t>17057615亿</t>
  </si>
  <si>
    <t>438669200亿</t>
  </si>
  <si>
    <t>2018710400亿</t>
  </si>
  <si>
    <t>6267.50万</t>
  </si>
  <si>
    <t>2136.51万</t>
  </si>
  <si>
    <t>9.92亿</t>
  </si>
  <si>
    <t>222.07万</t>
  </si>
  <si>
    <t>-1862.50万</t>
  </si>
  <si>
    <t>-5801.61万</t>
  </si>
  <si>
    <t>3184.02万</t>
  </si>
  <si>
    <t>1106.64万</t>
  </si>
  <si>
    <t>7146.56万</t>
  </si>
  <si>
    <t>279.12万</t>
  </si>
  <si>
    <t>7782.70万</t>
  </si>
  <si>
    <t>3394.22万</t>
  </si>
  <si>
    <t>-603.58万</t>
  </si>
  <si>
    <t>3338.30万</t>
  </si>
  <si>
    <t>1845.80万</t>
  </si>
  <si>
    <t>401.43万</t>
  </si>
  <si>
    <t>529.13万</t>
  </si>
  <si>
    <t>-1021692亿</t>
  </si>
  <si>
    <t>-1366133亿</t>
  </si>
  <si>
    <t>8873.83万</t>
  </si>
  <si>
    <t>26722049亿</t>
  </si>
  <si>
    <t>1236.21万</t>
  </si>
  <si>
    <t>272130970亿</t>
  </si>
  <si>
    <t>326.80万</t>
  </si>
  <si>
    <t>800.00万</t>
  </si>
  <si>
    <t>2360.38万</t>
  </si>
  <si>
    <t>7295.53万</t>
  </si>
  <si>
    <t>-1170.32万</t>
  </si>
  <si>
    <t>3835.46万</t>
  </si>
  <si>
    <t>-534.16万</t>
  </si>
  <si>
    <t>524.07万</t>
  </si>
  <si>
    <t>2501.85万</t>
  </si>
  <si>
    <t>-466.41万</t>
  </si>
  <si>
    <t>1702.14万</t>
  </si>
  <si>
    <t>7471.39万</t>
  </si>
  <si>
    <t>4017.24万</t>
  </si>
  <si>
    <t>3264.58万</t>
  </si>
  <si>
    <t>5105.46万</t>
  </si>
  <si>
    <t>2976.50万</t>
  </si>
  <si>
    <t>162.05万</t>
  </si>
  <si>
    <t>1429.08万</t>
  </si>
  <si>
    <t>1411170亿</t>
  </si>
  <si>
    <t>257718600亿</t>
  </si>
  <si>
    <t>4681.25万</t>
  </si>
  <si>
    <t>1141991840亿</t>
  </si>
  <si>
    <t>993.46万</t>
  </si>
  <si>
    <t>7129.11万</t>
  </si>
  <si>
    <t>2484.91万</t>
  </si>
  <si>
    <t>7667.05万</t>
  </si>
  <si>
    <t>-323.13万</t>
  </si>
  <si>
    <t>-1127.67万</t>
  </si>
  <si>
    <t>-2508.59万</t>
  </si>
  <si>
    <t>1716.05万</t>
  </si>
  <si>
    <t>1619.81万</t>
  </si>
  <si>
    <t>695.14万</t>
  </si>
  <si>
    <t>6351.51万</t>
  </si>
  <si>
    <t>2500.82万</t>
  </si>
  <si>
    <t>6942.64万</t>
  </si>
  <si>
    <t>1733.42万</t>
  </si>
  <si>
    <t>7160.26万</t>
  </si>
  <si>
    <t>5133.14万</t>
  </si>
  <si>
    <t>606.48万</t>
  </si>
  <si>
    <t>762.88万</t>
  </si>
  <si>
    <t>676127亿</t>
  </si>
  <si>
    <t>-580235亿</t>
  </si>
  <si>
    <t>9939.77万</t>
  </si>
  <si>
    <t>119858386亿</t>
  </si>
  <si>
    <t>1256.92万</t>
  </si>
  <si>
    <t>374451180亿</t>
  </si>
  <si>
    <t>28.05万</t>
  </si>
  <si>
    <t>1911.56万</t>
  </si>
  <si>
    <t>3560.59万</t>
  </si>
  <si>
    <t>178.85万</t>
  </si>
  <si>
    <t>-3.76万</t>
  </si>
  <si>
    <t>-2050.80万</t>
  </si>
  <si>
    <t>9603.08万</t>
  </si>
  <si>
    <t>743.50万</t>
  </si>
  <si>
    <t>4765.29万</t>
  </si>
  <si>
    <t>9870.66万</t>
  </si>
  <si>
    <t>017334200</t>
  </si>
  <si>
    <t>052002600</t>
  </si>
  <si>
    <t>0104005200</t>
  </si>
  <si>
    <t>0173342000</t>
  </si>
  <si>
    <t>0346684000</t>
  </si>
  <si>
    <t>68.86万</t>
  </si>
  <si>
    <t>6181.35万</t>
  </si>
  <si>
    <t>4858.54万</t>
  </si>
  <si>
    <t>5749.48万</t>
  </si>
  <si>
    <t>4677.31万</t>
  </si>
  <si>
    <t>166.42万</t>
  </si>
  <si>
    <t>720.74万</t>
  </si>
  <si>
    <t>5194094亿</t>
  </si>
  <si>
    <t>100916268亿</t>
  </si>
  <si>
    <t>3.18万</t>
  </si>
  <si>
    <t>556878230亿</t>
  </si>
  <si>
    <t>5190.00万</t>
  </si>
  <si>
    <t>82.00万</t>
  </si>
  <si>
    <t>3669.31万</t>
  </si>
  <si>
    <t>1819.78万</t>
  </si>
  <si>
    <t>-1102.65万</t>
  </si>
  <si>
    <t>-1512.10万</t>
  </si>
  <si>
    <t>5181.83万</t>
  </si>
  <si>
    <t>7473.16万</t>
  </si>
  <si>
    <t>770.68万</t>
  </si>
  <si>
    <t>10派1.20004元(含税)</t>
  </si>
  <si>
    <t>370.37万</t>
  </si>
  <si>
    <t>3883.50万</t>
  </si>
  <si>
    <t>138.99万</t>
  </si>
  <si>
    <t>9664.90万</t>
  </si>
  <si>
    <t>4616.48万</t>
  </si>
  <si>
    <t>9427.68万</t>
  </si>
  <si>
    <t>6200.22万</t>
  </si>
  <si>
    <t>521.66万</t>
  </si>
  <si>
    <t>2261.51万</t>
  </si>
  <si>
    <t>472544亿</t>
  </si>
  <si>
    <t>2.86万</t>
  </si>
  <si>
    <t>2136081亿</t>
  </si>
  <si>
    <t>144319930亿</t>
  </si>
  <si>
    <t>1215.11万</t>
  </si>
  <si>
    <t>1441766700亿</t>
  </si>
  <si>
    <t>1575.03万</t>
  </si>
  <si>
    <t>5683.40万</t>
  </si>
  <si>
    <t>3401.57万</t>
  </si>
  <si>
    <t>5892.34万</t>
  </si>
  <si>
    <t>-71.75万</t>
  </si>
  <si>
    <t>-2462.20万</t>
  </si>
  <si>
    <t>2791.91万</t>
  </si>
  <si>
    <t>1487.20万</t>
  </si>
  <si>
    <t>149.03万</t>
  </si>
  <si>
    <t>6.56亿</t>
  </si>
  <si>
    <t>8000.66万</t>
  </si>
  <si>
    <t>12.41亿</t>
  </si>
  <si>
    <t>2626.93万</t>
  </si>
  <si>
    <t>7731.82万</t>
  </si>
  <si>
    <t>4409.03万</t>
  </si>
  <si>
    <t>910.91万</t>
  </si>
  <si>
    <t>745.59万</t>
  </si>
  <si>
    <t>5571056亿</t>
  </si>
  <si>
    <t>30667162亿</t>
  </si>
  <si>
    <t>610612860亿</t>
  </si>
  <si>
    <t>365.71万</t>
  </si>
  <si>
    <t>1212.78万</t>
  </si>
  <si>
    <t>-629.64万</t>
  </si>
  <si>
    <t>38.63万</t>
  </si>
  <si>
    <t>1966.90万</t>
  </si>
  <si>
    <t>1456.69万</t>
  </si>
  <si>
    <t>590.20万</t>
  </si>
  <si>
    <t>5909.51万</t>
  </si>
  <si>
    <t>建科智能</t>
  </si>
  <si>
    <t>286.50万</t>
  </si>
  <si>
    <t>10.00亿</t>
  </si>
  <si>
    <t>9739.83万</t>
  </si>
  <si>
    <t>7135.73万</t>
  </si>
  <si>
    <t>8300.50万</t>
  </si>
  <si>
    <t>5877.62万</t>
  </si>
  <si>
    <t>701.10万</t>
  </si>
  <si>
    <t>956.03万</t>
  </si>
  <si>
    <t>10.99万</t>
  </si>
  <si>
    <t>10157709亿</t>
  </si>
  <si>
    <t>257324310亿</t>
  </si>
  <si>
    <t>624.54万</t>
  </si>
  <si>
    <t>774684970亿</t>
  </si>
  <si>
    <t>5028.46万</t>
  </si>
  <si>
    <t>5736.80万</t>
  </si>
  <si>
    <t>617.62万</t>
  </si>
  <si>
    <t>-1386.70万</t>
  </si>
  <si>
    <t>-471.78万</t>
  </si>
  <si>
    <t>5754.04万</t>
  </si>
  <si>
    <t>1761.68万</t>
  </si>
  <si>
    <t>10转4股派5.88元(含税)</t>
  </si>
  <si>
    <t>2234.46万</t>
  </si>
  <si>
    <t>78.32万</t>
  </si>
  <si>
    <t>8012.10万</t>
  </si>
  <si>
    <t>2768.79万</t>
  </si>
  <si>
    <t>1921.86万</t>
  </si>
  <si>
    <t>145303亿</t>
  </si>
  <si>
    <t>5.95万</t>
  </si>
  <si>
    <t>97255801亿</t>
  </si>
  <si>
    <t>319998310亿</t>
  </si>
  <si>
    <t>50.00万</t>
  </si>
  <si>
    <t>2172481400亿</t>
  </si>
  <si>
    <t>3435.28万</t>
  </si>
  <si>
    <t>5.19万</t>
  </si>
  <si>
    <t>-1839.53万</t>
  </si>
  <si>
    <t>-1002.76万</t>
  </si>
  <si>
    <t>135.96万</t>
  </si>
  <si>
    <t>13.05亿</t>
  </si>
  <si>
    <t>2016.87万</t>
  </si>
  <si>
    <t>10转5股派24元(含税)</t>
  </si>
  <si>
    <t>302.76万</t>
  </si>
  <si>
    <t>1484.70万</t>
  </si>
  <si>
    <t>136.52万</t>
  </si>
  <si>
    <t>6782.96万</t>
  </si>
  <si>
    <t>6632.77万</t>
  </si>
  <si>
    <t>4945.67万</t>
  </si>
  <si>
    <t>314.52万</t>
  </si>
  <si>
    <t>759.64万</t>
  </si>
  <si>
    <t>147033亿</t>
  </si>
  <si>
    <t>1.17万</t>
  </si>
  <si>
    <t>16371067亿</t>
  </si>
  <si>
    <t>211549390亿</t>
  </si>
  <si>
    <t>627.78万</t>
  </si>
  <si>
    <t>714726300亿</t>
  </si>
  <si>
    <t>119.12万</t>
  </si>
  <si>
    <t>9311.93万</t>
  </si>
  <si>
    <t>7349.98万</t>
  </si>
  <si>
    <t>2940.50万</t>
  </si>
  <si>
    <t>-4178.00万</t>
  </si>
  <si>
    <t>5431.85万</t>
  </si>
  <si>
    <t>-1360.38万</t>
  </si>
  <si>
    <t>5363.01万</t>
  </si>
  <si>
    <t>733.11万</t>
  </si>
  <si>
    <t>7231.66万</t>
  </si>
  <si>
    <t>69.24万</t>
  </si>
  <si>
    <t>651.26万</t>
  </si>
  <si>
    <t>1029.14万</t>
  </si>
  <si>
    <t>-141674亿</t>
  </si>
  <si>
    <t>2.96万</t>
  </si>
  <si>
    <t>61551732亿</t>
  </si>
  <si>
    <t>311368640亿</t>
  </si>
  <si>
    <t>1350.17万</t>
  </si>
  <si>
    <t>1548904300亿</t>
  </si>
  <si>
    <t>6272.01万</t>
  </si>
  <si>
    <t>5060.00万</t>
  </si>
  <si>
    <t>-4240.35万</t>
  </si>
  <si>
    <t>-1807.28万</t>
  </si>
  <si>
    <t>-428.53万</t>
  </si>
  <si>
    <t>2573.97万</t>
  </si>
  <si>
    <t>375.71万</t>
  </si>
  <si>
    <t>3028.00万</t>
  </si>
  <si>
    <t>68.32万</t>
  </si>
  <si>
    <t>6680.80万</t>
  </si>
  <si>
    <t>175.07亿</t>
  </si>
  <si>
    <t>7404.21万</t>
  </si>
  <si>
    <t>4952.34万</t>
  </si>
  <si>
    <t>1086.31万</t>
  </si>
  <si>
    <t>776.28万</t>
  </si>
  <si>
    <t>-270.3亿</t>
  </si>
  <si>
    <t>124.36万</t>
  </si>
  <si>
    <t>-2496852亿</t>
  </si>
  <si>
    <t>2466.92万</t>
  </si>
  <si>
    <t>130883215亿</t>
  </si>
  <si>
    <t>2548.65万</t>
  </si>
  <si>
    <t>772356330亿</t>
  </si>
  <si>
    <t>4211.71万</t>
  </si>
  <si>
    <t>1709.05万</t>
  </si>
  <si>
    <t>1503.43万</t>
  </si>
  <si>
    <t>5714.38万</t>
  </si>
  <si>
    <t>1865.57万</t>
  </si>
  <si>
    <t>-2.33亿</t>
  </si>
  <si>
    <t>-2727.06万</t>
  </si>
  <si>
    <t>2036.06万</t>
  </si>
  <si>
    <t>33.65亿</t>
  </si>
  <si>
    <t>-3320.14万</t>
  </si>
  <si>
    <t>10派0.55元(含税)</t>
  </si>
  <si>
    <t>410.51万</t>
  </si>
  <si>
    <t>2879.98万</t>
  </si>
  <si>
    <t>619.84万</t>
  </si>
  <si>
    <t>1735.71万</t>
  </si>
  <si>
    <t>1647.61万</t>
  </si>
  <si>
    <t>-559077亿</t>
  </si>
  <si>
    <t>46608436亿</t>
  </si>
  <si>
    <t>450140440亿</t>
  </si>
  <si>
    <t>96.74万</t>
  </si>
  <si>
    <t>2025438100亿</t>
  </si>
  <si>
    <t>90.16万</t>
  </si>
  <si>
    <t>1948.31万</t>
  </si>
  <si>
    <t>-6861.47万</t>
  </si>
  <si>
    <t>1937.09万</t>
  </si>
  <si>
    <t>2300.01万</t>
  </si>
  <si>
    <t>192.99万</t>
  </si>
  <si>
    <t>9.22亿</t>
  </si>
  <si>
    <t>6469.24万</t>
  </si>
  <si>
    <t>29.62亿</t>
  </si>
  <si>
    <t>6364.62万</t>
  </si>
  <si>
    <t>3504.40万</t>
  </si>
  <si>
    <t>1251.90万</t>
  </si>
  <si>
    <t>1158.38万</t>
  </si>
  <si>
    <t>540970亿</t>
  </si>
  <si>
    <t>20.00万</t>
  </si>
  <si>
    <t>711610亿</t>
  </si>
  <si>
    <t>8648.49万</t>
  </si>
  <si>
    <t>123397169亿</t>
  </si>
  <si>
    <t>497.38万</t>
  </si>
  <si>
    <t>662777030亿</t>
  </si>
  <si>
    <t>668.12万</t>
  </si>
  <si>
    <t>550.00万</t>
  </si>
  <si>
    <t>646.20万</t>
  </si>
  <si>
    <t>4707.43万</t>
  </si>
  <si>
    <t>8338.62万</t>
  </si>
  <si>
    <t>-1154.12万</t>
  </si>
  <si>
    <t>-5256.62万</t>
  </si>
  <si>
    <t>1512.66万</t>
  </si>
  <si>
    <t>3862.66万</t>
  </si>
  <si>
    <t>-3586.51万</t>
  </si>
  <si>
    <t>10转4股派3元(含税)</t>
  </si>
  <si>
    <t>945.74万</t>
  </si>
  <si>
    <t>8256.08万</t>
  </si>
  <si>
    <t>283.31万</t>
  </si>
  <si>
    <t>7563.46万</t>
  </si>
  <si>
    <t>18.36亿</t>
  </si>
  <si>
    <t>4639.45万</t>
  </si>
  <si>
    <t>8067.73万</t>
  </si>
  <si>
    <t>5483.49万</t>
  </si>
  <si>
    <t>948.78万</t>
  </si>
  <si>
    <t>1267.38万</t>
  </si>
  <si>
    <t>20.20万</t>
  </si>
  <si>
    <t>1529390亿</t>
  </si>
  <si>
    <t>258027770亿</t>
  </si>
  <si>
    <t>76.00万</t>
  </si>
  <si>
    <t>806556040亿</t>
  </si>
  <si>
    <t>683.18万</t>
  </si>
  <si>
    <t>5891.00万</t>
  </si>
  <si>
    <t>-5084.17万</t>
  </si>
  <si>
    <t>-1486.01万</t>
  </si>
  <si>
    <t>1083.18万</t>
  </si>
  <si>
    <t>666.15万</t>
  </si>
  <si>
    <t>1319.74万</t>
  </si>
  <si>
    <t>175.04万</t>
  </si>
  <si>
    <t>16.87亿</t>
  </si>
  <si>
    <t>215.63万</t>
  </si>
  <si>
    <t>969.07万</t>
  </si>
  <si>
    <t>420396亿</t>
  </si>
  <si>
    <t>49928778亿</t>
  </si>
  <si>
    <t>84410175亿</t>
  </si>
  <si>
    <t>3770.03万</t>
  </si>
  <si>
    <t>690533110亿</t>
  </si>
  <si>
    <t>663.81万</t>
  </si>
  <si>
    <t>9987.58万</t>
  </si>
  <si>
    <t>5503.13万</t>
  </si>
  <si>
    <t>11.75万</t>
  </si>
  <si>
    <t>-658.11万</t>
  </si>
  <si>
    <t>-3313.55万</t>
  </si>
  <si>
    <t>-1007.00万</t>
  </si>
  <si>
    <t>6557.53万</t>
  </si>
  <si>
    <t>3866.23万</t>
  </si>
  <si>
    <t>7334.80万</t>
  </si>
  <si>
    <t>942.43万</t>
  </si>
  <si>
    <t>9298.03万</t>
  </si>
  <si>
    <t>7587.46万</t>
  </si>
  <si>
    <t>92.94亿</t>
  </si>
  <si>
    <t>-8292.65万</t>
  </si>
  <si>
    <t>6720.79万</t>
  </si>
  <si>
    <t>4252.76万</t>
  </si>
  <si>
    <t>627.10万</t>
  </si>
  <si>
    <t>1037.75万</t>
  </si>
  <si>
    <t>17130亿</t>
  </si>
  <si>
    <t>17.38万</t>
  </si>
  <si>
    <t>10931178亿</t>
  </si>
  <si>
    <t>186536550亿</t>
  </si>
  <si>
    <t>7914.45万</t>
  </si>
  <si>
    <t>841888990亿</t>
  </si>
  <si>
    <t>6279.23万</t>
  </si>
  <si>
    <t>3653.07万</t>
  </si>
  <si>
    <t>8113.62万</t>
  </si>
  <si>
    <t>-199.36万</t>
  </si>
  <si>
    <t>4542.41万</t>
  </si>
  <si>
    <t>-23.51万</t>
  </si>
  <si>
    <t>6625.84万</t>
  </si>
  <si>
    <t>5263.35万</t>
  </si>
  <si>
    <t>3080.33万</t>
  </si>
  <si>
    <t>764.34万</t>
  </si>
  <si>
    <t>4405.76万</t>
  </si>
  <si>
    <t>688.72万</t>
  </si>
  <si>
    <t>2514.43万</t>
  </si>
  <si>
    <t>-370379亿</t>
  </si>
  <si>
    <t>25.80万</t>
  </si>
  <si>
    <t>19403876亿</t>
  </si>
  <si>
    <t>381680340亿</t>
  </si>
  <si>
    <t>1056.32万</t>
  </si>
  <si>
    <t>1204082090亿</t>
  </si>
  <si>
    <t>6212.80万</t>
  </si>
  <si>
    <t>7.53亿</t>
  </si>
  <si>
    <t>5651.79万</t>
  </si>
  <si>
    <t>-784.67万</t>
  </si>
  <si>
    <t>-8242.34万</t>
  </si>
  <si>
    <t>6721.66万</t>
  </si>
  <si>
    <t>15.27亿</t>
  </si>
  <si>
    <t>8641.09万</t>
  </si>
  <si>
    <t>9210.57万</t>
  </si>
  <si>
    <t>380.04万</t>
  </si>
  <si>
    <t>10派1.67元(含税)</t>
  </si>
  <si>
    <t>5992.63万</t>
  </si>
  <si>
    <t>044057600</t>
  </si>
  <si>
    <t>0132172800</t>
  </si>
  <si>
    <t>0264345600</t>
  </si>
  <si>
    <t>0440576000</t>
  </si>
  <si>
    <t>0881152000</t>
  </si>
  <si>
    <t>844.16万</t>
  </si>
  <si>
    <t>8.44亿</t>
  </si>
  <si>
    <t>75.64亿</t>
  </si>
  <si>
    <t>671.14万</t>
  </si>
  <si>
    <t>837.39万</t>
  </si>
  <si>
    <t>260524亿</t>
  </si>
  <si>
    <t>5527922亿</t>
  </si>
  <si>
    <t>8640.98万</t>
  </si>
  <si>
    <t>341398270亿</t>
  </si>
  <si>
    <t>15.53万</t>
  </si>
  <si>
    <t>696653580亿</t>
  </si>
  <si>
    <t>3414.95万</t>
  </si>
  <si>
    <t>2187.12万</t>
  </si>
  <si>
    <t>237.25万</t>
  </si>
  <si>
    <t>-4514.21万</t>
  </si>
  <si>
    <t>-4135.89万</t>
  </si>
  <si>
    <t>16.86亿</t>
  </si>
  <si>
    <t>-3773.40万</t>
  </si>
  <si>
    <t>3586.91万</t>
  </si>
  <si>
    <t>422.93万</t>
  </si>
  <si>
    <t>2511.83万</t>
  </si>
  <si>
    <t>9960.13万</t>
  </si>
  <si>
    <t>768.66万</t>
  </si>
  <si>
    <t>806.45万</t>
  </si>
  <si>
    <t>10129792亿</t>
  </si>
  <si>
    <t>186861990亿</t>
  </si>
  <si>
    <t>623011630亿</t>
  </si>
  <si>
    <t>2185.20万</t>
  </si>
  <si>
    <t>4372.51万</t>
  </si>
  <si>
    <t>-374.95万</t>
  </si>
  <si>
    <t>-3023.04万</t>
  </si>
  <si>
    <t>1765.43万</t>
  </si>
  <si>
    <t>1831.05万</t>
  </si>
  <si>
    <t>847.44万</t>
  </si>
  <si>
    <t>1499.72万</t>
  </si>
  <si>
    <t>4213.66万</t>
  </si>
  <si>
    <t>6-0</t>
  </si>
  <si>
    <t>246.15万</t>
  </si>
  <si>
    <t>5133.80万</t>
  </si>
  <si>
    <t>2593.32万</t>
  </si>
  <si>
    <t>579.30万</t>
  </si>
  <si>
    <t>11.37万</t>
  </si>
  <si>
    <t>28369092亿</t>
  </si>
  <si>
    <t>158973880亿</t>
  </si>
  <si>
    <t>305.66万</t>
  </si>
  <si>
    <t>1194032790亿</t>
  </si>
  <si>
    <t>8791.72万</t>
  </si>
  <si>
    <t>-1902.82万</t>
  </si>
  <si>
    <t>-9.67万</t>
  </si>
  <si>
    <t>7.24亿</t>
  </si>
  <si>
    <t>9046.91万</t>
  </si>
  <si>
    <t>945.08万</t>
  </si>
  <si>
    <t>1289.92万</t>
  </si>
  <si>
    <t>8813.50万</t>
  </si>
  <si>
    <t>34.48万</t>
  </si>
  <si>
    <t>4698.06万</t>
  </si>
  <si>
    <t>7094.20万</t>
  </si>
  <si>
    <t>4333.73万</t>
  </si>
  <si>
    <t>2998.93万</t>
  </si>
  <si>
    <t>747.52万</t>
  </si>
  <si>
    <t>479.48万</t>
  </si>
  <si>
    <t>315284亿</t>
  </si>
  <si>
    <t>4227392亿</t>
  </si>
  <si>
    <t>69230448亿</t>
  </si>
  <si>
    <t>574.35万</t>
  </si>
  <si>
    <t>659343720亿</t>
  </si>
  <si>
    <t>445.00万</t>
  </si>
  <si>
    <t>4454.31万</t>
  </si>
  <si>
    <t>142.18万</t>
  </si>
  <si>
    <t>9169.56万</t>
  </si>
  <si>
    <t>1332.18万</t>
  </si>
  <si>
    <t>293.45万</t>
  </si>
  <si>
    <t>-134.61万</t>
  </si>
  <si>
    <t>3950.52万</t>
  </si>
  <si>
    <t>-1677.33万</t>
  </si>
  <si>
    <t>1158.25万</t>
  </si>
  <si>
    <t>266.14万</t>
  </si>
  <si>
    <t>1953.09万</t>
  </si>
  <si>
    <t>138.77万</t>
  </si>
  <si>
    <t>6715.63万</t>
  </si>
  <si>
    <t>9429.67万</t>
  </si>
  <si>
    <t>643.64万</t>
  </si>
  <si>
    <t>1102.33万</t>
  </si>
  <si>
    <t>1160875亿</t>
  </si>
  <si>
    <t>2.80万</t>
  </si>
  <si>
    <t>1524806亿</t>
  </si>
  <si>
    <t>293146270亿</t>
  </si>
  <si>
    <t>1776.16万</t>
  </si>
  <si>
    <t>965012440亿</t>
  </si>
  <si>
    <t>4.66万</t>
  </si>
  <si>
    <t>3108.26万</t>
  </si>
  <si>
    <t>296.26万</t>
  </si>
  <si>
    <t>3841.89万</t>
  </si>
  <si>
    <t>3355.25万</t>
  </si>
  <si>
    <t>5574.50万</t>
  </si>
  <si>
    <t>676.68万</t>
  </si>
  <si>
    <t>805.23万</t>
  </si>
  <si>
    <t>8212.34万</t>
  </si>
  <si>
    <t>488.69万</t>
  </si>
  <si>
    <t>6928.07万</t>
  </si>
  <si>
    <t>9730.71万</t>
  </si>
  <si>
    <t>6964.09万</t>
  </si>
  <si>
    <t>1225.79万</t>
  </si>
  <si>
    <t>940.09万</t>
  </si>
  <si>
    <t>705589亿</t>
  </si>
  <si>
    <t>13207413亿</t>
  </si>
  <si>
    <t>91619067亿</t>
  </si>
  <si>
    <t>254.59万</t>
  </si>
  <si>
    <t>1125768270亿</t>
  </si>
  <si>
    <t>6130.13万</t>
  </si>
  <si>
    <t>960.18万</t>
  </si>
  <si>
    <t>326.55万</t>
  </si>
  <si>
    <t>-1.39亿</t>
  </si>
  <si>
    <t>-63.99万</t>
  </si>
  <si>
    <t>8433.51万</t>
  </si>
  <si>
    <t>7596.56万</t>
  </si>
  <si>
    <t>2141.69万</t>
  </si>
  <si>
    <t>1726.88万</t>
  </si>
  <si>
    <t>5150.89万</t>
  </si>
  <si>
    <t>85.46万</t>
  </si>
  <si>
    <t>8489.68万</t>
  </si>
  <si>
    <t>755.81万</t>
  </si>
  <si>
    <t>6967.50万</t>
  </si>
  <si>
    <t>4989.79万</t>
  </si>
  <si>
    <t>998.66万</t>
  </si>
  <si>
    <t>635.29万</t>
  </si>
  <si>
    <t>305495亿</t>
  </si>
  <si>
    <t>1.35万</t>
  </si>
  <si>
    <t>12726273亿</t>
  </si>
  <si>
    <t>331859120亿</t>
  </si>
  <si>
    <t>1340688270亿</t>
  </si>
  <si>
    <t>2329.65万</t>
  </si>
  <si>
    <t>4986.03万</t>
  </si>
  <si>
    <t>-469.31万</t>
  </si>
  <si>
    <t>-3100.00万</t>
  </si>
  <si>
    <t>1860.23万</t>
  </si>
  <si>
    <t>8673.43万</t>
  </si>
  <si>
    <t>-3146.21万</t>
  </si>
  <si>
    <t>10派3.054430元(含税)</t>
  </si>
  <si>
    <t>514.25万</t>
  </si>
  <si>
    <t>4396.90万</t>
  </si>
  <si>
    <t>1775.28万</t>
  </si>
  <si>
    <t>39.60亿</t>
  </si>
  <si>
    <t>46.17亿</t>
  </si>
  <si>
    <t>16.36亿</t>
  </si>
  <si>
    <t>-2073505亿</t>
  </si>
  <si>
    <t>132106250亿</t>
  </si>
  <si>
    <t>26.03亿</t>
  </si>
  <si>
    <t>1805155000亿</t>
  </si>
  <si>
    <t>7017660000亿</t>
  </si>
  <si>
    <t>28.87亿</t>
  </si>
  <si>
    <t>-2.08亿</t>
  </si>
  <si>
    <t>-4.74亿</t>
  </si>
  <si>
    <t>3017.75万</t>
  </si>
  <si>
    <t>4434.49万</t>
  </si>
  <si>
    <t>0127000000</t>
  </si>
  <si>
    <t>0381000000</t>
  </si>
  <si>
    <t>0762000000</t>
  </si>
  <si>
    <t>01270000000</t>
  </si>
  <si>
    <t>02540000000</t>
  </si>
  <si>
    <t>214.94万</t>
  </si>
  <si>
    <t>2367.84万</t>
  </si>
  <si>
    <t>939.96万</t>
  </si>
  <si>
    <t>1247818亿</t>
  </si>
  <si>
    <t>10.43万</t>
  </si>
  <si>
    <t>9372066亿</t>
  </si>
  <si>
    <t>178248050亿</t>
  </si>
  <si>
    <t>867.30万</t>
  </si>
  <si>
    <t>1908055600亿</t>
  </si>
  <si>
    <t>43.09万</t>
  </si>
  <si>
    <t>-7793.70万</t>
  </si>
  <si>
    <t>-8448.26万</t>
  </si>
  <si>
    <t>-108.44万</t>
  </si>
  <si>
    <t>5257.71万</t>
  </si>
  <si>
    <t>4107.79万</t>
  </si>
  <si>
    <t>1946.94万</t>
  </si>
  <si>
    <t>8985.32万</t>
  </si>
  <si>
    <t>SZ301392</t>
  </si>
  <si>
    <t>汇成真空</t>
  </si>
  <si>
    <t>563.28万</t>
  </si>
  <si>
    <t>7170.39万</t>
  </si>
  <si>
    <t>9897.38万</t>
  </si>
  <si>
    <t>6539.43万</t>
  </si>
  <si>
    <t>4586.15万</t>
  </si>
  <si>
    <t>388.94万</t>
  </si>
  <si>
    <t>725.56万</t>
  </si>
  <si>
    <t>52836亿</t>
  </si>
  <si>
    <t>7431700亿</t>
  </si>
  <si>
    <t>180046540亿</t>
  </si>
  <si>
    <t>1139.31万</t>
  </si>
  <si>
    <t>624299870亿</t>
  </si>
  <si>
    <t>596.26万</t>
  </si>
  <si>
    <t>6105.65万</t>
  </si>
  <si>
    <t>267.07万</t>
  </si>
  <si>
    <t>6897.82万</t>
  </si>
  <si>
    <t>406.01万</t>
  </si>
  <si>
    <t>-696.71万</t>
  </si>
  <si>
    <t>860.63万</t>
  </si>
  <si>
    <t>7129.04万</t>
  </si>
  <si>
    <t>7144.83万</t>
  </si>
  <si>
    <t>5503.45万</t>
  </si>
  <si>
    <t>2232.02万</t>
  </si>
  <si>
    <t>2321.53万</t>
  </si>
  <si>
    <t>8107.55万</t>
  </si>
  <si>
    <t>3628.80万</t>
  </si>
  <si>
    <t>2584.22万</t>
  </si>
  <si>
    <t>36.53万</t>
  </si>
  <si>
    <t>8763.45万</t>
  </si>
  <si>
    <t>9966.88万</t>
  </si>
  <si>
    <t>8277.03万</t>
  </si>
  <si>
    <t>155.27万</t>
  </si>
  <si>
    <t>808.15万</t>
  </si>
  <si>
    <t>4203304亿</t>
  </si>
  <si>
    <t>1.41万</t>
  </si>
  <si>
    <t>21238152亿</t>
  </si>
  <si>
    <t>142985720亿</t>
  </si>
  <si>
    <t>757.59万</t>
  </si>
  <si>
    <t>2136762700亿</t>
  </si>
  <si>
    <t>649.67万</t>
  </si>
  <si>
    <t>1992.92万</t>
  </si>
  <si>
    <t>2596.18万</t>
  </si>
  <si>
    <t>8435.76万</t>
  </si>
  <si>
    <t>1714.55万</t>
  </si>
  <si>
    <t>226.94万</t>
  </si>
  <si>
    <t>3084.13万</t>
  </si>
  <si>
    <t>119.06万</t>
  </si>
  <si>
    <t>11.33亿</t>
  </si>
  <si>
    <t>563.60万</t>
  </si>
  <si>
    <t>552.89万</t>
  </si>
  <si>
    <t>325356亿</t>
  </si>
  <si>
    <t>16340605亿</t>
  </si>
  <si>
    <t>125080999亿</t>
  </si>
  <si>
    <t>1136003530亿</t>
  </si>
  <si>
    <t>3986.54万</t>
  </si>
  <si>
    <t>9738.80万</t>
  </si>
  <si>
    <t>-449.40万</t>
  </si>
  <si>
    <t>-8181.67万</t>
  </si>
  <si>
    <t>7263.07万</t>
  </si>
  <si>
    <t>4672.03万</t>
  </si>
  <si>
    <t>886.94万</t>
  </si>
  <si>
    <t>4323.96万</t>
  </si>
  <si>
    <t>1217.69万</t>
  </si>
  <si>
    <t>255.37亿</t>
  </si>
  <si>
    <t>65.41亿</t>
  </si>
  <si>
    <t>3046.28亿</t>
  </si>
  <si>
    <t>15.58亿</t>
  </si>
  <si>
    <t>7639908亿</t>
  </si>
  <si>
    <t>1063.43万</t>
  </si>
  <si>
    <t>-4113945亿</t>
  </si>
  <si>
    <t>20.84亿</t>
  </si>
  <si>
    <t>6542584800亿</t>
  </si>
  <si>
    <t>22103254000亿</t>
  </si>
  <si>
    <t>28.32亿</t>
  </si>
  <si>
    <t>54.80亿</t>
  </si>
  <si>
    <t>-8358.06万</t>
  </si>
  <si>
    <t>1867.44万</t>
  </si>
  <si>
    <t>83.71亿</t>
  </si>
  <si>
    <t>662.05亿</t>
  </si>
  <si>
    <t>6081.86万</t>
  </si>
  <si>
    <t>244.76万</t>
  </si>
  <si>
    <t>10.93亿</t>
  </si>
  <si>
    <t>576.84亿</t>
  </si>
  <si>
    <t>1.97万</t>
  </si>
  <si>
    <t>9035989亿</t>
  </si>
  <si>
    <t>272901610亿</t>
  </si>
  <si>
    <t>1411797400亿</t>
  </si>
  <si>
    <t>51.69万</t>
  </si>
  <si>
    <t>1750.00万</t>
  </si>
  <si>
    <t>54.94万</t>
  </si>
  <si>
    <t>-9304.84万</t>
  </si>
  <si>
    <t>-1.63万</t>
  </si>
  <si>
    <t>129.14亿</t>
  </si>
  <si>
    <t>3533.31万</t>
  </si>
  <si>
    <t>1557.81万</t>
  </si>
  <si>
    <t>128.49万</t>
  </si>
  <si>
    <t>16.56亿</t>
  </si>
  <si>
    <t>632.26万</t>
  </si>
  <si>
    <t>523424亿</t>
  </si>
  <si>
    <t>49969781亿</t>
  </si>
  <si>
    <t>436407660亿</t>
  </si>
  <si>
    <t>3187224800亿</t>
  </si>
  <si>
    <t>214.71万</t>
  </si>
  <si>
    <t>9.58亿</t>
  </si>
  <si>
    <t>7004.63万</t>
  </si>
  <si>
    <t>-370.92万</t>
  </si>
  <si>
    <t>-1881.55万</t>
  </si>
  <si>
    <t>6661.20万</t>
  </si>
  <si>
    <t>-29.11万</t>
  </si>
  <si>
    <t>10派2.51元(含税)</t>
  </si>
  <si>
    <t>836.31万</t>
  </si>
  <si>
    <t>7326.55万</t>
  </si>
  <si>
    <t>06322600</t>
  </si>
  <si>
    <t>018967800</t>
  </si>
  <si>
    <t>037935600</t>
  </si>
  <si>
    <t>063226000</t>
  </si>
  <si>
    <t>0126452000</t>
  </si>
  <si>
    <t>280.28万</t>
  </si>
  <si>
    <t>8.34亿</t>
  </si>
  <si>
    <t>-4.70亿</t>
  </si>
  <si>
    <t>9811.65万</t>
  </si>
  <si>
    <t>878.65万</t>
  </si>
  <si>
    <t>2403.07万</t>
  </si>
  <si>
    <t>231419亿</t>
  </si>
  <si>
    <t>-18492086亿</t>
  </si>
  <si>
    <t>336007760亿</t>
  </si>
  <si>
    <t>1095069120亿</t>
  </si>
  <si>
    <t>3002.77万</t>
  </si>
  <si>
    <t>888.58万</t>
  </si>
  <si>
    <t>55.69万</t>
  </si>
  <si>
    <t>1352.86万</t>
  </si>
  <si>
    <t>-1549.12万</t>
  </si>
  <si>
    <t>-984.21万</t>
  </si>
  <si>
    <t>2052.81万</t>
  </si>
  <si>
    <t>-7170.14万</t>
  </si>
  <si>
    <t>1843.23万</t>
  </si>
  <si>
    <t>2014.10万</t>
  </si>
  <si>
    <t>659.98亿</t>
  </si>
  <si>
    <t>190.95亿</t>
  </si>
  <si>
    <t>84.45亿</t>
  </si>
  <si>
    <t>30.53亿</t>
  </si>
  <si>
    <t>3776.91万</t>
  </si>
  <si>
    <t>82.40亿</t>
  </si>
  <si>
    <t>75.47亿</t>
  </si>
  <si>
    <t>4780.41万</t>
  </si>
  <si>
    <t>59939918亿</t>
  </si>
  <si>
    <t>1473.55万</t>
  </si>
  <si>
    <t>93776916亿</t>
  </si>
  <si>
    <t>46.83亿</t>
  </si>
  <si>
    <t>6720868400亿</t>
  </si>
  <si>
    <t>2498.20万</t>
  </si>
  <si>
    <t>45155409000亿</t>
  </si>
  <si>
    <t>52.95亿</t>
  </si>
  <si>
    <t>41.33亿</t>
  </si>
  <si>
    <t>44.10亿</t>
  </si>
  <si>
    <t>88.70亿</t>
  </si>
  <si>
    <t>451.46亿</t>
  </si>
  <si>
    <t>177.84亿</t>
  </si>
  <si>
    <t>-7.00亿</t>
  </si>
  <si>
    <t>329.33亿</t>
  </si>
  <si>
    <t>17.17亿</t>
  </si>
  <si>
    <t>9932.56万</t>
  </si>
  <si>
    <t>037769100</t>
  </si>
  <si>
    <t>0113307300</t>
  </si>
  <si>
    <t>0226614600</t>
  </si>
  <si>
    <t>0377691000</t>
  </si>
  <si>
    <t>0755382000</t>
  </si>
  <si>
    <t>94.04万</t>
  </si>
  <si>
    <t>5.80亿</t>
  </si>
  <si>
    <t>62.21亿</t>
  </si>
  <si>
    <t>282.59万</t>
  </si>
  <si>
    <t>899.13万</t>
  </si>
  <si>
    <t>11.59万</t>
  </si>
  <si>
    <t>9504580亿</t>
  </si>
  <si>
    <t>201233180亿</t>
  </si>
  <si>
    <t>728.89万</t>
  </si>
  <si>
    <t>1105609490亿</t>
  </si>
  <si>
    <t>4088.08万</t>
  </si>
  <si>
    <t>5456.62万</t>
  </si>
  <si>
    <t>-7650.97万</t>
  </si>
  <si>
    <t>-91.04万</t>
  </si>
  <si>
    <t>4124.19万</t>
  </si>
  <si>
    <t>4004.80万</t>
  </si>
  <si>
    <t>-5847.16万</t>
  </si>
  <si>
    <t>548.06万</t>
  </si>
  <si>
    <t>5573.36万</t>
  </si>
  <si>
    <t>XD科达制</t>
  </si>
  <si>
    <t>1820.34万</t>
  </si>
  <si>
    <t>99.17亿</t>
  </si>
  <si>
    <t>141.81亿</t>
  </si>
  <si>
    <t>25.62亿</t>
  </si>
  <si>
    <t>542.72亿</t>
  </si>
  <si>
    <t>-18.48亿</t>
  </si>
  <si>
    <t>125693268亿</t>
  </si>
  <si>
    <t>431.18万</t>
  </si>
  <si>
    <t>275731600亿</t>
  </si>
  <si>
    <t>1759786100亿</t>
  </si>
  <si>
    <t>4188.44万</t>
  </si>
  <si>
    <t>11687819900亿</t>
  </si>
  <si>
    <t>19.40亿</t>
  </si>
  <si>
    <t>65.16亿</t>
  </si>
  <si>
    <t>35.76亿</t>
  </si>
  <si>
    <t>-9986.40万</t>
  </si>
  <si>
    <t>-1.24亿</t>
  </si>
  <si>
    <t>96.96亿</t>
  </si>
  <si>
    <t>147.66亿</t>
  </si>
  <si>
    <t>7259.38万</t>
  </si>
  <si>
    <t>4171.96万</t>
  </si>
  <si>
    <t>32.33亿</t>
  </si>
  <si>
    <t>912.44亿</t>
  </si>
  <si>
    <t>15.53亿</t>
  </si>
  <si>
    <t>2302.87万</t>
  </si>
  <si>
    <t>4432.20万</t>
  </si>
  <si>
    <t>103.67万</t>
  </si>
  <si>
    <t>-80686868亿</t>
  </si>
  <si>
    <t>1643021600亿</t>
  </si>
  <si>
    <t>3575879000亿</t>
  </si>
  <si>
    <t>2594.82万</t>
  </si>
  <si>
    <t>7710.05万</t>
  </si>
  <si>
    <t>15.04亿</t>
  </si>
  <si>
    <t>28.54亿</t>
  </si>
  <si>
    <t>-2015.91万</t>
  </si>
  <si>
    <t>6076.02万</t>
  </si>
  <si>
    <t>38.18亿</t>
  </si>
  <si>
    <t>161.65亿</t>
  </si>
  <si>
    <t>7194.20万</t>
  </si>
  <si>
    <t>497.76万</t>
  </si>
  <si>
    <t>7571.12万</t>
  </si>
  <si>
    <t>83.09亿</t>
  </si>
  <si>
    <t>7767.86万</t>
  </si>
  <si>
    <t>6002.29万</t>
  </si>
  <si>
    <t>367.97万</t>
  </si>
  <si>
    <t>946.57万</t>
  </si>
  <si>
    <t>1.14万</t>
  </si>
  <si>
    <t>-1777848亿</t>
  </si>
  <si>
    <t>175892050亿</t>
  </si>
  <si>
    <t>151.45万</t>
  </si>
  <si>
    <t>472219860亿</t>
  </si>
  <si>
    <t>141.24万</t>
  </si>
  <si>
    <t>266.51万</t>
  </si>
  <si>
    <t>1527.72万</t>
  </si>
  <si>
    <t>4939.70万</t>
  </si>
  <si>
    <t>-8900.76万</t>
  </si>
  <si>
    <t>2627.70万</t>
  </si>
  <si>
    <t>20.59亿</t>
  </si>
  <si>
    <t>-8064.80万</t>
  </si>
  <si>
    <t>3547.63万</t>
  </si>
  <si>
    <t>1669.73万</t>
  </si>
  <si>
    <t>56.20亿</t>
  </si>
  <si>
    <t>41.62亿</t>
  </si>
  <si>
    <t>373.71亿</t>
  </si>
  <si>
    <t>42.60亿</t>
  </si>
  <si>
    <t>6535.70万</t>
  </si>
  <si>
    <t>6777.60万</t>
  </si>
  <si>
    <t>42.80万</t>
  </si>
  <si>
    <t>-34506000亿</t>
  </si>
  <si>
    <t>3028550000亿</t>
  </si>
  <si>
    <t>5700401000亿</t>
  </si>
  <si>
    <t>3561.40万</t>
  </si>
  <si>
    <t>44.82亿</t>
  </si>
  <si>
    <t>-2.43亿</t>
  </si>
  <si>
    <t>-1286.20万</t>
  </si>
  <si>
    <t>-3853.30万</t>
  </si>
  <si>
    <t>60.24亿</t>
  </si>
  <si>
    <t>106.48亿</t>
  </si>
  <si>
    <t>3578.80万</t>
  </si>
  <si>
    <t>17.06亿</t>
  </si>
  <si>
    <t>9226.83万</t>
  </si>
  <si>
    <t>233.02万</t>
  </si>
  <si>
    <t>-5670.02万</t>
  </si>
  <si>
    <t>485.21万</t>
  </si>
  <si>
    <t>1124.49万</t>
  </si>
  <si>
    <t>992849亿</t>
  </si>
  <si>
    <t>139.79万</t>
  </si>
  <si>
    <t>9909330亿</t>
  </si>
  <si>
    <t>8556.49万</t>
  </si>
  <si>
    <t>428992820亿</t>
  </si>
  <si>
    <t>1421835300亿</t>
  </si>
  <si>
    <t>3892.20万</t>
  </si>
  <si>
    <t>-6333.16万</t>
  </si>
  <si>
    <t>2551.39万</t>
  </si>
  <si>
    <t>5250.60万</t>
  </si>
  <si>
    <t>-4097.35万</t>
  </si>
  <si>
    <t>10派0.71元(含税)</t>
  </si>
  <si>
    <t>1125.70万</t>
  </si>
  <si>
    <t>7118.10万</t>
  </si>
  <si>
    <t>945.40万</t>
  </si>
  <si>
    <t>160.70亿</t>
  </si>
  <si>
    <t>33.07亿</t>
  </si>
  <si>
    <t>155.67亿</t>
  </si>
  <si>
    <t>25.68亿</t>
  </si>
  <si>
    <t>372848810亿</t>
  </si>
  <si>
    <t>201.62万</t>
  </si>
  <si>
    <t>-327461040亿</t>
  </si>
  <si>
    <t>1709684200亿</t>
  </si>
  <si>
    <t>8461781300亿</t>
  </si>
  <si>
    <t>9706.85万</t>
  </si>
  <si>
    <t>59.47万</t>
  </si>
  <si>
    <t>67.98亿</t>
  </si>
  <si>
    <t>5281.38万</t>
  </si>
  <si>
    <t>12.38亿</t>
  </si>
  <si>
    <t>-14.44亿</t>
  </si>
  <si>
    <t>116.05亿</t>
  </si>
  <si>
    <t>38.36亿</t>
  </si>
  <si>
    <t>-27.68亿</t>
  </si>
  <si>
    <t>7783.95万</t>
  </si>
  <si>
    <t>2328.10万</t>
  </si>
  <si>
    <t>241.75亿</t>
  </si>
  <si>
    <t>298.39亿</t>
  </si>
  <si>
    <t>73.65亿</t>
  </si>
  <si>
    <t>307.52亿</t>
  </si>
  <si>
    <t>16.21亿</t>
  </si>
  <si>
    <t>63.74亿</t>
  </si>
  <si>
    <t>51.14亿</t>
  </si>
  <si>
    <t>43722343亿</t>
  </si>
  <si>
    <t>963.15万</t>
  </si>
  <si>
    <t>666005250亿</t>
  </si>
  <si>
    <t>140.85亿</t>
  </si>
  <si>
    <t>11899014600亿</t>
  </si>
  <si>
    <t>40208690000亿</t>
  </si>
  <si>
    <t>5.23亿</t>
  </si>
  <si>
    <t>109.00亿</t>
  </si>
  <si>
    <t>467.66万</t>
  </si>
  <si>
    <t>200.83亿</t>
  </si>
  <si>
    <t>-22.78亿</t>
  </si>
  <si>
    <t>299.28亿</t>
  </si>
  <si>
    <t>63.97亿</t>
  </si>
  <si>
    <t>23.58亿</t>
  </si>
  <si>
    <t>10派2.8元(含税)</t>
  </si>
  <si>
    <t>645.76万</t>
  </si>
  <si>
    <t>210.08亿</t>
  </si>
  <si>
    <t>165.21亿</t>
  </si>
  <si>
    <t>43.11亿</t>
  </si>
  <si>
    <t>-2876.67万</t>
  </si>
  <si>
    <t>40.36亿</t>
  </si>
  <si>
    <t>36.04亿</t>
  </si>
  <si>
    <t>65516397亿</t>
  </si>
  <si>
    <t>446.14万</t>
  </si>
  <si>
    <t>204035760亿</t>
  </si>
  <si>
    <t>128.22亿</t>
  </si>
  <si>
    <t>4358004200亿</t>
  </si>
  <si>
    <t>31019485000亿</t>
  </si>
  <si>
    <t>6238.22万</t>
  </si>
  <si>
    <t>6126.31万</t>
  </si>
  <si>
    <t>42.71亿</t>
  </si>
  <si>
    <t>666.49万</t>
  </si>
  <si>
    <t>205.89亿</t>
  </si>
  <si>
    <t>-572.51万</t>
  </si>
  <si>
    <t>223.21亿</t>
  </si>
  <si>
    <t>123.18万</t>
  </si>
  <si>
    <t>10派4.4元(含税)</t>
  </si>
  <si>
    <t>3427.07万</t>
  </si>
  <si>
    <t>3260.81万</t>
  </si>
  <si>
    <t>36.20亿</t>
  </si>
  <si>
    <t>10.88亿</t>
  </si>
  <si>
    <t>-3.93亿</t>
  </si>
  <si>
    <t>10.77亿</t>
  </si>
  <si>
    <t>8138.60万</t>
  </si>
  <si>
    <t>7163.08万</t>
  </si>
  <si>
    <t>3985617亿</t>
  </si>
  <si>
    <t>104.44万</t>
  </si>
  <si>
    <t>6973765亿</t>
  </si>
  <si>
    <t>898298770亿</t>
  </si>
  <si>
    <t>5093.69万</t>
  </si>
  <si>
    <t>4213010200亿</t>
  </si>
  <si>
    <t>5527.68万</t>
  </si>
  <si>
    <t>7258.21万</t>
  </si>
  <si>
    <t>48.86万</t>
  </si>
  <si>
    <t>2217.68万</t>
  </si>
  <si>
    <t>2061.76万</t>
  </si>
  <si>
    <t>37.90亿</t>
  </si>
  <si>
    <t>9073.86万</t>
  </si>
  <si>
    <t>-4081.32万</t>
  </si>
  <si>
    <t>20.80亿</t>
  </si>
  <si>
    <t>636.19万</t>
  </si>
  <si>
    <t>50.57亿</t>
  </si>
  <si>
    <t>96.35亿</t>
  </si>
  <si>
    <t>13.86亿</t>
  </si>
  <si>
    <t>20.26亿</t>
  </si>
  <si>
    <t>12.02亿</t>
  </si>
  <si>
    <t>6444.56万</t>
  </si>
  <si>
    <t>34550417亿</t>
  </si>
  <si>
    <t>80.20万</t>
  </si>
  <si>
    <t>23508456亿</t>
  </si>
  <si>
    <t>50.28亿</t>
  </si>
  <si>
    <t>1725704600亿</t>
  </si>
  <si>
    <t>8389715000亿</t>
  </si>
  <si>
    <t>6639.37万</t>
  </si>
  <si>
    <t>4748.75万</t>
  </si>
  <si>
    <t>20.91亿</t>
  </si>
  <si>
    <t>45.42亿</t>
  </si>
  <si>
    <t>853.49万</t>
  </si>
  <si>
    <t>-1466.10万</t>
  </si>
  <si>
    <t>-1.63亿</t>
  </si>
  <si>
    <t>-5988.32万</t>
  </si>
  <si>
    <t>73.84亿</t>
  </si>
  <si>
    <t>10派5.4元(含税)</t>
  </si>
  <si>
    <t>4664.31万</t>
  </si>
  <si>
    <t>02844000000</t>
  </si>
  <si>
    <t>05688000000</t>
  </si>
  <si>
    <t>09480000000</t>
  </si>
  <si>
    <t>018960000000</t>
  </si>
  <si>
    <t>115.50万</t>
  </si>
  <si>
    <t>480.05亿</t>
  </si>
  <si>
    <t>-8745.49万</t>
  </si>
  <si>
    <t>492.91万</t>
  </si>
  <si>
    <t>1304.97万</t>
  </si>
  <si>
    <t>2079075亿</t>
  </si>
  <si>
    <t>6.46万</t>
  </si>
  <si>
    <t>19336431亿</t>
  </si>
  <si>
    <t>256848530亿</t>
  </si>
  <si>
    <t>70.51万</t>
  </si>
  <si>
    <t>1692893700亿</t>
  </si>
  <si>
    <t>6500.65万</t>
  </si>
  <si>
    <t>10.45亿</t>
  </si>
  <si>
    <t>2896.76万</t>
  </si>
  <si>
    <t>-216.09万</t>
  </si>
  <si>
    <t>8350.57万</t>
  </si>
  <si>
    <t>110.01亿</t>
  </si>
  <si>
    <t>9174.99万</t>
  </si>
  <si>
    <t>9932.58万</t>
  </si>
  <si>
    <t>10派0.52元(含税)</t>
  </si>
  <si>
    <t>1027.31万</t>
  </si>
  <si>
    <t>5306.92万</t>
  </si>
  <si>
    <t>432.46万</t>
  </si>
  <si>
    <t>65.98亿</t>
  </si>
  <si>
    <t>78.28亿</t>
  </si>
  <si>
    <t>46.56亿</t>
  </si>
  <si>
    <t>30.91亿</t>
  </si>
  <si>
    <t>40.59亿</t>
  </si>
  <si>
    <t>38.50亿</t>
  </si>
  <si>
    <t>4409.36万</t>
  </si>
  <si>
    <t>6969.19万</t>
  </si>
  <si>
    <t>41123380亿</t>
  </si>
  <si>
    <t>274.36万</t>
  </si>
  <si>
    <t>596299570亿</t>
  </si>
  <si>
    <t>1689563600亿</t>
  </si>
  <si>
    <t>6515.69万</t>
  </si>
  <si>
    <t>7774698600亿</t>
  </si>
  <si>
    <t>16.82亿</t>
  </si>
  <si>
    <t>37.30亿</t>
  </si>
  <si>
    <t>391.24万</t>
  </si>
  <si>
    <t>69.76亿</t>
  </si>
  <si>
    <t>-5.18亿</t>
  </si>
  <si>
    <t>-341.04万</t>
  </si>
  <si>
    <t>124.55亿</t>
  </si>
  <si>
    <t>115.28亿</t>
  </si>
  <si>
    <t>53.71亿</t>
  </si>
  <si>
    <t>10派3.194元(含税)</t>
  </si>
  <si>
    <t>2294.21万</t>
  </si>
  <si>
    <t>1116.58万</t>
  </si>
  <si>
    <t>308.51亿</t>
  </si>
  <si>
    <t>90.13亿</t>
  </si>
  <si>
    <t>35.82亿</t>
  </si>
  <si>
    <t>116.52亿</t>
  </si>
  <si>
    <t>33.72亿</t>
  </si>
  <si>
    <t>842.95万</t>
  </si>
  <si>
    <t>1012752亿</t>
  </si>
  <si>
    <t>1167.83万</t>
  </si>
  <si>
    <t>24.63亿</t>
  </si>
  <si>
    <t>5522113400亿</t>
  </si>
  <si>
    <t>15.98亿</t>
  </si>
  <si>
    <t>27395419000亿</t>
  </si>
  <si>
    <t>47.40亿</t>
  </si>
  <si>
    <t>62.57亿</t>
  </si>
  <si>
    <t>188.92亿</t>
  </si>
  <si>
    <t>126.44亿</t>
  </si>
  <si>
    <t>-6194.57万</t>
  </si>
  <si>
    <t>171.67亿</t>
  </si>
  <si>
    <t>22.00亿</t>
  </si>
  <si>
    <t>-27.08亿</t>
  </si>
  <si>
    <t>6945.77万</t>
  </si>
  <si>
    <t>1794.79万</t>
  </si>
  <si>
    <t>155.43亿</t>
  </si>
  <si>
    <t>146.53亿</t>
  </si>
  <si>
    <t>28.71亿</t>
  </si>
  <si>
    <t>29.55亿</t>
  </si>
  <si>
    <t>27.92亿</t>
  </si>
  <si>
    <t>3463.08万</t>
  </si>
  <si>
    <t>392633亿</t>
  </si>
  <si>
    <t>152.13万</t>
  </si>
  <si>
    <t>92006458亿</t>
  </si>
  <si>
    <t>75.28亿</t>
  </si>
  <si>
    <t>5544898800亿</t>
  </si>
  <si>
    <t>21804061000亿</t>
  </si>
  <si>
    <t>37.58亿</t>
  </si>
  <si>
    <t>126.58亿</t>
  </si>
  <si>
    <t>-1.90亿</t>
  </si>
  <si>
    <t>112.58亿</t>
  </si>
  <si>
    <t>0671000000</t>
  </si>
  <si>
    <t>02013000000</t>
  </si>
  <si>
    <t>04026000000</t>
  </si>
  <si>
    <t>06710000000</t>
  </si>
  <si>
    <t>013420000000</t>
  </si>
  <si>
    <t>1969.23万</t>
  </si>
  <si>
    <t>101.13亿</t>
  </si>
  <si>
    <t>83.15亿</t>
  </si>
  <si>
    <t>21.77亿</t>
  </si>
  <si>
    <t>1105.00亿</t>
  </si>
  <si>
    <t>6444.07万</t>
  </si>
  <si>
    <t>-2018548亿</t>
  </si>
  <si>
    <t>628.96万</t>
  </si>
  <si>
    <t>74026100亿</t>
  </si>
  <si>
    <t>10.76亿</t>
  </si>
  <si>
    <t>3198734300亿</t>
  </si>
  <si>
    <t>10595473800亿</t>
  </si>
  <si>
    <t>10.90亿</t>
  </si>
  <si>
    <t>33.60亿</t>
  </si>
  <si>
    <t>121.05万</t>
  </si>
  <si>
    <t>5100.82万</t>
  </si>
  <si>
    <t>-1280.38万</t>
  </si>
  <si>
    <t>95.57亿</t>
  </si>
  <si>
    <t>240.13亿</t>
  </si>
  <si>
    <t>8443.72万</t>
  </si>
  <si>
    <t>10派0.285元(含税)</t>
  </si>
  <si>
    <t>1021.38万</t>
  </si>
  <si>
    <t>272.93亿</t>
  </si>
  <si>
    <t>230.31亿</t>
  </si>
  <si>
    <t>96.65亿</t>
  </si>
  <si>
    <t>115.61亿</t>
  </si>
  <si>
    <t>73.56亿</t>
  </si>
  <si>
    <t>64891307亿</t>
  </si>
  <si>
    <t>231.86万</t>
  </si>
  <si>
    <t>926776680亿</t>
  </si>
  <si>
    <t>56.76亿</t>
  </si>
  <si>
    <t>8973292000亿</t>
  </si>
  <si>
    <t>9.45亿</t>
  </si>
  <si>
    <t>37448644000亿</t>
  </si>
  <si>
    <t>37.36亿</t>
  </si>
  <si>
    <t>6537.93万</t>
  </si>
  <si>
    <t>180.77亿</t>
  </si>
  <si>
    <t>61.55亿</t>
  </si>
  <si>
    <t>-8704.18万</t>
  </si>
  <si>
    <t>-3.41亿</t>
  </si>
  <si>
    <t>320.21亿</t>
  </si>
  <si>
    <t>363.96亿</t>
  </si>
  <si>
    <t>27.48亿</t>
  </si>
  <si>
    <t>32.74亿</t>
  </si>
  <si>
    <t>2394.72万</t>
  </si>
  <si>
    <t>10派8.4元(含税)</t>
  </si>
  <si>
    <t>7936.98万</t>
  </si>
  <si>
    <t>0182000000</t>
  </si>
  <si>
    <t>0546000000</t>
  </si>
  <si>
    <t>01092000000</t>
  </si>
  <si>
    <t>01820000000</t>
  </si>
  <si>
    <t>03640000000</t>
  </si>
  <si>
    <t>460.13万</t>
  </si>
  <si>
    <t>12.90亿</t>
  </si>
  <si>
    <t>9521.59万</t>
  </si>
  <si>
    <t>102.48亿</t>
  </si>
  <si>
    <t>6967.98万</t>
  </si>
  <si>
    <t>574.14万</t>
  </si>
  <si>
    <t>1173.08万</t>
  </si>
  <si>
    <t>-2013957亿</t>
  </si>
  <si>
    <t>67.29万</t>
  </si>
  <si>
    <t>-10049767亿</t>
  </si>
  <si>
    <t>531604460亿</t>
  </si>
  <si>
    <t>8953.55万</t>
  </si>
  <si>
    <t>1690548900亿</t>
  </si>
  <si>
    <t>4557.57万</t>
  </si>
  <si>
    <t>-3284.36万</t>
  </si>
  <si>
    <t>-163.88万</t>
  </si>
  <si>
    <t>1501.91万</t>
  </si>
  <si>
    <t>19.23亿</t>
  </si>
  <si>
    <t>2259.00万</t>
  </si>
  <si>
    <t>498.27万</t>
  </si>
  <si>
    <t>20.99亿</t>
  </si>
  <si>
    <t>26.56亿</t>
  </si>
  <si>
    <t>3593.11万</t>
  </si>
  <si>
    <t>2825.11万</t>
  </si>
  <si>
    <t>-1573161亿</t>
  </si>
  <si>
    <t>3.78万</t>
  </si>
  <si>
    <t>3964531亿</t>
  </si>
  <si>
    <t>766488480亿</t>
  </si>
  <si>
    <t>2828250800亿</t>
  </si>
  <si>
    <t>9601.34万</t>
  </si>
  <si>
    <t>18.58亿</t>
  </si>
  <si>
    <t>-7468.21万</t>
  </si>
  <si>
    <t>190.44万</t>
  </si>
  <si>
    <t>-1.01亿</t>
  </si>
  <si>
    <t>1309.70万</t>
  </si>
  <si>
    <t>1663.54万</t>
  </si>
  <si>
    <t>8252.50万</t>
  </si>
  <si>
    <t>3080.23万</t>
  </si>
  <si>
    <t>656.94万</t>
  </si>
  <si>
    <t>28.99亿</t>
  </si>
  <si>
    <t>37.82亿</t>
  </si>
  <si>
    <t>85.83亿</t>
  </si>
  <si>
    <t>8580.43万</t>
  </si>
  <si>
    <t>4467.16万</t>
  </si>
  <si>
    <t>-9510795亿</t>
  </si>
  <si>
    <t>1427.92万</t>
  </si>
  <si>
    <t>49270804亿</t>
  </si>
  <si>
    <t>2082664000亿</t>
  </si>
  <si>
    <t>5689.35万</t>
  </si>
  <si>
    <t>5028128800亿</t>
  </si>
  <si>
    <t>1196.78万</t>
  </si>
  <si>
    <t>2126.82万</t>
  </si>
  <si>
    <t>-3684.27万</t>
  </si>
  <si>
    <t>19.17亿</t>
  </si>
  <si>
    <t>10派1.50元(含税)</t>
  </si>
  <si>
    <t>3711.98万</t>
  </si>
  <si>
    <t>170.97万</t>
  </si>
  <si>
    <t>9488.57万</t>
  </si>
  <si>
    <t>7238.84万</t>
  </si>
  <si>
    <t>603.89万</t>
  </si>
  <si>
    <t>1420.72万</t>
  </si>
  <si>
    <t>284.00万</t>
  </si>
  <si>
    <t>4104383亿</t>
  </si>
  <si>
    <t>145971520亿</t>
  </si>
  <si>
    <t>170.00万</t>
  </si>
  <si>
    <t>1711696000亿</t>
  </si>
  <si>
    <t>2379.21万</t>
  </si>
  <si>
    <t>2503.01万</t>
  </si>
  <si>
    <t>427.89万</t>
  </si>
  <si>
    <t>-7084.36万</t>
  </si>
  <si>
    <t>-954.45万</t>
  </si>
  <si>
    <t>475.99万</t>
  </si>
  <si>
    <t>5750.80万</t>
  </si>
  <si>
    <t>6539.63万</t>
  </si>
  <si>
    <t>-4297.87万</t>
  </si>
  <si>
    <t>1875.65万</t>
  </si>
  <si>
    <t>7974.89万</t>
  </si>
  <si>
    <t>117.85万</t>
  </si>
  <si>
    <t>12.98亿</t>
  </si>
  <si>
    <t>8805.46万</t>
  </si>
  <si>
    <t>9182.67万</t>
  </si>
  <si>
    <t>6505.27万</t>
  </si>
  <si>
    <t>4954.22万</t>
  </si>
  <si>
    <t>373.52万</t>
  </si>
  <si>
    <t>735.94万</t>
  </si>
  <si>
    <t>168116亿</t>
  </si>
  <si>
    <t>2.06万</t>
  </si>
  <si>
    <t>18145008亿</t>
  </si>
  <si>
    <t>225921140亿</t>
  </si>
  <si>
    <t>5997.79万</t>
  </si>
  <si>
    <t>1284902280亿</t>
  </si>
  <si>
    <t>74.31万</t>
  </si>
  <si>
    <t>2483.00万</t>
  </si>
  <si>
    <t>9397.96万</t>
  </si>
  <si>
    <t>1329.05万</t>
  </si>
  <si>
    <t>9512.05万</t>
  </si>
  <si>
    <t>816.49万</t>
  </si>
  <si>
    <t>819.75万</t>
  </si>
  <si>
    <t>4667.56万</t>
  </si>
  <si>
    <t>64.12万</t>
  </si>
  <si>
    <t>2510.38万</t>
  </si>
  <si>
    <t>2818.90万</t>
  </si>
  <si>
    <t>-5804110亿</t>
  </si>
  <si>
    <t>372.87万</t>
  </si>
  <si>
    <t>1401622亿</t>
  </si>
  <si>
    <t>496138370亿</t>
  </si>
  <si>
    <t>2831516200亿</t>
  </si>
  <si>
    <t>8381.08万</t>
  </si>
  <si>
    <t>673.69万</t>
  </si>
  <si>
    <t>-6023.54万</t>
  </si>
  <si>
    <t>23.94亿</t>
  </si>
  <si>
    <t>1969.05万</t>
  </si>
  <si>
    <t>336.70万</t>
  </si>
  <si>
    <t>2820.91万</t>
  </si>
  <si>
    <t>123.89万</t>
  </si>
  <si>
    <t>49.55亿</t>
  </si>
  <si>
    <t>18.64亿</t>
  </si>
  <si>
    <t>3349.54万</t>
  </si>
  <si>
    <t>5460.81万</t>
  </si>
  <si>
    <t>14183888亿</t>
  </si>
  <si>
    <t>28389211亿</t>
  </si>
  <si>
    <t>1488170900亿</t>
  </si>
  <si>
    <t>3714.15万</t>
  </si>
  <si>
    <t>3696084500亿</t>
  </si>
  <si>
    <t>25.39亿</t>
  </si>
  <si>
    <t>874.37万</t>
  </si>
  <si>
    <t>2117.86万</t>
  </si>
  <si>
    <t>3176.05万</t>
  </si>
  <si>
    <t>664.88万</t>
  </si>
  <si>
    <t>5202.19万</t>
  </si>
  <si>
    <t>60.30万</t>
  </si>
  <si>
    <t>24.91亿</t>
  </si>
  <si>
    <t>336.42万</t>
  </si>
  <si>
    <t>926.28万</t>
  </si>
  <si>
    <t>413405亿</t>
  </si>
  <si>
    <t>11436769亿</t>
  </si>
  <si>
    <t>14.17亿</t>
  </si>
  <si>
    <t>183613080亿</t>
  </si>
  <si>
    <t>2253813800亿</t>
  </si>
  <si>
    <t>280.50万</t>
  </si>
  <si>
    <t>4607.82万</t>
  </si>
  <si>
    <t>2.50亿</t>
  </si>
  <si>
    <t>4390.00万</t>
  </si>
  <si>
    <t>-465.47万</t>
  </si>
  <si>
    <t>-938.36万</t>
  </si>
  <si>
    <t>-75.89万</t>
  </si>
  <si>
    <t>4843.55万</t>
  </si>
  <si>
    <t>4502.66万</t>
  </si>
  <si>
    <t>442.92万</t>
  </si>
  <si>
    <t>4071.14万</t>
  </si>
  <si>
    <t>94.80万</t>
  </si>
  <si>
    <t>30.90亿</t>
  </si>
  <si>
    <t>6.30亿</t>
  </si>
  <si>
    <t>9069.59万</t>
  </si>
  <si>
    <t>222.95万</t>
  </si>
  <si>
    <t>746.20万</t>
  </si>
  <si>
    <t>12544603亿</t>
  </si>
  <si>
    <t>513431890亿</t>
  </si>
  <si>
    <t>9169.92万</t>
  </si>
  <si>
    <t>3262247600亿</t>
  </si>
  <si>
    <t>2201.00万</t>
  </si>
  <si>
    <t>-7538.40万</t>
  </si>
  <si>
    <t>-858.24万</t>
  </si>
  <si>
    <t>-50.11万</t>
  </si>
  <si>
    <t>11.17亿</t>
  </si>
  <si>
    <t>1914.39万</t>
  </si>
  <si>
    <t>10转4.0股派2.0元(含税)</t>
  </si>
  <si>
    <t>500.60万</t>
  </si>
  <si>
    <t>3709.99万</t>
  </si>
  <si>
    <t>XD上海亚</t>
  </si>
  <si>
    <t>106.98万</t>
  </si>
  <si>
    <t>44.08亿</t>
  </si>
  <si>
    <t>9099.19万</t>
  </si>
  <si>
    <t>210.93万</t>
  </si>
  <si>
    <t>1105.55万</t>
  </si>
  <si>
    <t>63534亿</t>
  </si>
  <si>
    <t>4191703亿</t>
  </si>
  <si>
    <t>8796.41万</t>
  </si>
  <si>
    <t>124226435亿</t>
  </si>
  <si>
    <t>2089.06万</t>
  </si>
  <si>
    <t>395113210亿</t>
  </si>
  <si>
    <t>384.00万</t>
  </si>
  <si>
    <t>8450.30万</t>
  </si>
  <si>
    <t>-1122.11万</t>
  </si>
  <si>
    <t>-2709.58万</t>
  </si>
  <si>
    <t>-302.23万</t>
  </si>
  <si>
    <t>3527.15万</t>
  </si>
  <si>
    <t>1084.25万</t>
  </si>
  <si>
    <t>4151.47万</t>
  </si>
  <si>
    <t>882.83万</t>
  </si>
  <si>
    <t>91.79亿</t>
  </si>
  <si>
    <t>33.91亿</t>
  </si>
  <si>
    <t>23.69亿</t>
  </si>
  <si>
    <t>2432.44万</t>
  </si>
  <si>
    <t>4170.78万</t>
  </si>
  <si>
    <t>4620000亿</t>
  </si>
  <si>
    <t>67.87万</t>
  </si>
  <si>
    <t>32010000亿</t>
  </si>
  <si>
    <t>1052860980亿</t>
  </si>
  <si>
    <t>8430949000亿</t>
  </si>
  <si>
    <t>903.13万</t>
  </si>
  <si>
    <t>13.78亿</t>
  </si>
  <si>
    <t>504.71万</t>
  </si>
  <si>
    <t>76.99亿</t>
  </si>
  <si>
    <t>1524.57万</t>
  </si>
  <si>
    <t>-121.72万</t>
  </si>
  <si>
    <t>7633.43万</t>
  </si>
  <si>
    <t>4051.73万</t>
  </si>
  <si>
    <t>119.94万</t>
  </si>
  <si>
    <t>15.19亿</t>
  </si>
  <si>
    <t>5980.78万</t>
  </si>
  <si>
    <t>791.87万</t>
  </si>
  <si>
    <t>1174.06万</t>
  </si>
  <si>
    <t>12190000亿</t>
  </si>
  <si>
    <t>53299877亿</t>
  </si>
  <si>
    <t>411611020亿</t>
  </si>
  <si>
    <t>3849034900亿</t>
  </si>
  <si>
    <t>4303.67万</t>
  </si>
  <si>
    <t>28.19亿</t>
  </si>
  <si>
    <t>-1.78亿</t>
  </si>
  <si>
    <t>-2641.95万</t>
  </si>
  <si>
    <t>-53.98万</t>
  </si>
  <si>
    <t>21.56亿</t>
  </si>
  <si>
    <t>-2191.68万</t>
  </si>
  <si>
    <t>10派3.7元(含税)</t>
  </si>
  <si>
    <t>602.12万</t>
  </si>
  <si>
    <t>4232.62万</t>
  </si>
  <si>
    <t>357.71万</t>
  </si>
  <si>
    <t>9.44亿</t>
  </si>
  <si>
    <t>14.19亿</t>
  </si>
  <si>
    <t>1793.06万</t>
  </si>
  <si>
    <t>1166.77万</t>
  </si>
  <si>
    <t>-1904644亿</t>
  </si>
  <si>
    <t>23725327亿</t>
  </si>
  <si>
    <t>431175110亿</t>
  </si>
  <si>
    <t>961.55万</t>
  </si>
  <si>
    <t>1282256770亿</t>
  </si>
  <si>
    <t>2199.83万</t>
  </si>
  <si>
    <t>-7404.51万</t>
  </si>
  <si>
    <t>8482.50万</t>
  </si>
  <si>
    <t>9667.56万</t>
  </si>
  <si>
    <t>8583.68万</t>
  </si>
  <si>
    <t>4800.29万</t>
  </si>
  <si>
    <t>188.78万</t>
  </si>
  <si>
    <t>24.45亿</t>
  </si>
  <si>
    <t>1878.81万</t>
  </si>
  <si>
    <t>1660.69万</t>
  </si>
  <si>
    <t>1538.80万</t>
  </si>
  <si>
    <t>23.50万</t>
  </si>
  <si>
    <t>3334911亿</t>
  </si>
  <si>
    <t>228182680亿</t>
  </si>
  <si>
    <t>2695.37万</t>
  </si>
  <si>
    <t>1322576780亿</t>
  </si>
  <si>
    <t>4982.69万</t>
  </si>
  <si>
    <t>4613.70万</t>
  </si>
  <si>
    <t>362.55万</t>
  </si>
  <si>
    <t>1887.72万</t>
  </si>
  <si>
    <t>-6246.79万</t>
  </si>
  <si>
    <t>-2940.95万</t>
  </si>
  <si>
    <t>8184.78万</t>
  </si>
  <si>
    <t>-1994.71万</t>
  </si>
  <si>
    <t>1088.32万</t>
  </si>
  <si>
    <t>9350.58万</t>
  </si>
  <si>
    <t>37.87万</t>
  </si>
  <si>
    <t>23.26亿</t>
  </si>
  <si>
    <t>17.11亿</t>
  </si>
  <si>
    <t>183.22万</t>
  </si>
  <si>
    <t>1024.66万</t>
  </si>
  <si>
    <t>1710265亿</t>
  </si>
  <si>
    <t>23271193亿</t>
  </si>
  <si>
    <t>5.63亿</t>
  </si>
  <si>
    <t>256247830亿</t>
  </si>
  <si>
    <t>2892.42万</t>
  </si>
  <si>
    <t>3794381700亿</t>
  </si>
  <si>
    <t>4164.18万</t>
  </si>
  <si>
    <t>24.10亿</t>
  </si>
  <si>
    <t>-9.67亿</t>
  </si>
  <si>
    <t>664.54万</t>
  </si>
  <si>
    <t>10派13元(含税)</t>
  </si>
  <si>
    <t>164.20万</t>
  </si>
  <si>
    <t>1244.62万</t>
  </si>
  <si>
    <t>158.72万</t>
  </si>
  <si>
    <t>40.57亿</t>
  </si>
  <si>
    <t>44.45亿</t>
  </si>
  <si>
    <t>16.29亿</t>
  </si>
  <si>
    <t>63.12亿</t>
  </si>
  <si>
    <t>18.67亿</t>
  </si>
  <si>
    <t>14.34亿</t>
  </si>
  <si>
    <t>8066.31万</t>
  </si>
  <si>
    <t>8677.26万</t>
  </si>
  <si>
    <t>11797067亿</t>
  </si>
  <si>
    <t>23.15万</t>
  </si>
  <si>
    <t>164211860亿</t>
  </si>
  <si>
    <t>17.39亿</t>
  </si>
  <si>
    <t>1052711620亿</t>
  </si>
  <si>
    <t>4026600600亿</t>
  </si>
  <si>
    <t>508.42万</t>
  </si>
  <si>
    <t>9.34亿</t>
  </si>
  <si>
    <t>39.06亿</t>
  </si>
  <si>
    <t>1653.34万</t>
  </si>
  <si>
    <t>-6318.51万</t>
  </si>
  <si>
    <t>-2.10亿</t>
  </si>
  <si>
    <t>10派5.0元(含税)</t>
  </si>
  <si>
    <t>1043.30万</t>
  </si>
  <si>
    <t>7555.83万</t>
  </si>
  <si>
    <t>346.12万</t>
  </si>
  <si>
    <t>33.88亿</t>
  </si>
  <si>
    <t>389.72万</t>
  </si>
  <si>
    <t>1676.50万</t>
  </si>
  <si>
    <t>-85323亿</t>
  </si>
  <si>
    <t>5.51万</t>
  </si>
  <si>
    <t>-15629725亿</t>
  </si>
  <si>
    <t>371100190亿</t>
  </si>
  <si>
    <t>2963.21万</t>
  </si>
  <si>
    <t>828574150亿</t>
  </si>
  <si>
    <t>3788.00万</t>
  </si>
  <si>
    <t>135.26万</t>
  </si>
  <si>
    <t>-7434.81万</t>
  </si>
  <si>
    <t>-898.21万</t>
  </si>
  <si>
    <t>-220.04万</t>
  </si>
  <si>
    <t>4862.31万</t>
  </si>
  <si>
    <t>251.23万</t>
  </si>
  <si>
    <t>7315.62万</t>
  </si>
  <si>
    <t>16.48亿</t>
  </si>
  <si>
    <t>7012.34万</t>
  </si>
  <si>
    <t>5660.84万</t>
  </si>
  <si>
    <t>186.67万</t>
  </si>
  <si>
    <t>706.30万</t>
  </si>
  <si>
    <t>1022亿</t>
  </si>
  <si>
    <t>8.39万</t>
  </si>
  <si>
    <t>3685784亿</t>
  </si>
  <si>
    <t>7659.09万</t>
  </si>
  <si>
    <t>159993590亿</t>
  </si>
  <si>
    <t>4586.33万</t>
  </si>
  <si>
    <t>797096230亿</t>
  </si>
  <si>
    <t>1604.66万</t>
  </si>
  <si>
    <t>1044.11万</t>
  </si>
  <si>
    <t>7319.56万</t>
  </si>
  <si>
    <t>-4494.99万</t>
  </si>
  <si>
    <t>2910.07万</t>
  </si>
  <si>
    <t>1603.50万</t>
  </si>
  <si>
    <t>4149.43万</t>
  </si>
  <si>
    <t>8165.78万</t>
  </si>
  <si>
    <t>4657.59万</t>
  </si>
  <si>
    <t>961.42万</t>
  </si>
  <si>
    <t>6303.85万</t>
  </si>
  <si>
    <t>154.25万</t>
  </si>
  <si>
    <t>9502.73万</t>
  </si>
  <si>
    <t>2499.64万</t>
  </si>
  <si>
    <t>9897.25万</t>
  </si>
  <si>
    <t>5376.65万</t>
  </si>
  <si>
    <t>2078.03万</t>
  </si>
  <si>
    <t>1160.35万</t>
  </si>
  <si>
    <t>1692970亿</t>
  </si>
  <si>
    <t>170.73万</t>
  </si>
  <si>
    <t>-3958530亿</t>
  </si>
  <si>
    <t>162753400亿</t>
  </si>
  <si>
    <t>56.00万</t>
  </si>
  <si>
    <t>960726030亿</t>
  </si>
  <si>
    <t>9628.33万</t>
  </si>
  <si>
    <t>1785.93万</t>
  </si>
  <si>
    <t>9409.78万</t>
  </si>
  <si>
    <t>105.23万</t>
  </si>
  <si>
    <t>-643.56万</t>
  </si>
  <si>
    <t>2216.19万</t>
  </si>
  <si>
    <t>-1266.09万</t>
  </si>
  <si>
    <t>5.09亿</t>
  </si>
  <si>
    <t>1130.61万</t>
  </si>
  <si>
    <t>1665.76万</t>
  </si>
  <si>
    <t>982.17万</t>
  </si>
  <si>
    <t>6464.57万</t>
  </si>
  <si>
    <t>XD航天工</t>
  </si>
  <si>
    <t>110.14万</t>
  </si>
  <si>
    <t>21.80亿</t>
  </si>
  <si>
    <t>33.01亿</t>
  </si>
  <si>
    <t>55.44亿</t>
  </si>
  <si>
    <t>7.22亿</t>
  </si>
  <si>
    <t>2712.51万</t>
  </si>
  <si>
    <t>12191086亿</t>
  </si>
  <si>
    <t>18.96亿</t>
  </si>
  <si>
    <t>473285820亿</t>
  </si>
  <si>
    <t>536.71万</t>
  </si>
  <si>
    <t>4224690800亿</t>
  </si>
  <si>
    <t>6625.13万</t>
  </si>
  <si>
    <t>754.81万</t>
  </si>
  <si>
    <t>20.35亿</t>
  </si>
  <si>
    <t>-3.70亿</t>
  </si>
  <si>
    <t>-962.85万</t>
  </si>
  <si>
    <t>679.28万</t>
  </si>
  <si>
    <t>9815.27万</t>
  </si>
  <si>
    <t>10派1.05元(含税)</t>
  </si>
  <si>
    <t>576.88万</t>
  </si>
  <si>
    <t>6902.01万</t>
  </si>
  <si>
    <t>873.45万</t>
  </si>
  <si>
    <t>3485.72万</t>
  </si>
  <si>
    <t>4383.31万</t>
  </si>
  <si>
    <t>6153.86万</t>
  </si>
  <si>
    <t>3899.05万</t>
  </si>
  <si>
    <t>411.98万</t>
  </si>
  <si>
    <t>1069.36万</t>
  </si>
  <si>
    <t>-2395893亿</t>
  </si>
  <si>
    <t>-24082353亿</t>
  </si>
  <si>
    <t>9348.50万</t>
  </si>
  <si>
    <t>225755880亿</t>
  </si>
  <si>
    <t>248.20万</t>
  </si>
  <si>
    <t>680183510亿</t>
  </si>
  <si>
    <t>8009.00万</t>
  </si>
  <si>
    <t>5631.07万</t>
  </si>
  <si>
    <t>7460.00万</t>
  </si>
  <si>
    <t>-2827.96万</t>
  </si>
  <si>
    <t>-1373.17万</t>
  </si>
  <si>
    <t>2294.53万</t>
  </si>
  <si>
    <t>-5579.26万</t>
  </si>
  <si>
    <t>1755.69万</t>
  </si>
  <si>
    <t>3695.96万</t>
  </si>
  <si>
    <t>73.35万</t>
  </si>
  <si>
    <t>698.50万</t>
  </si>
  <si>
    <t>1913.97万</t>
  </si>
  <si>
    <t>144483亿</t>
  </si>
  <si>
    <t>20635490亿</t>
  </si>
  <si>
    <t>642166090亿</t>
  </si>
  <si>
    <t>2891754100亿</t>
  </si>
  <si>
    <t>6435.37万</t>
  </si>
  <si>
    <t>24.87万</t>
  </si>
  <si>
    <t>22.16亿</t>
  </si>
  <si>
    <t>-3294.32万</t>
  </si>
  <si>
    <t>-9682.84万</t>
  </si>
  <si>
    <t>22.37亿</t>
  </si>
  <si>
    <t>8.06亿</t>
  </si>
  <si>
    <t>5154.02万</t>
  </si>
  <si>
    <t>381.32万</t>
  </si>
  <si>
    <t>2809.44万</t>
  </si>
  <si>
    <t>81.76万</t>
  </si>
  <si>
    <t>20.73亿</t>
  </si>
  <si>
    <t>28.64亿</t>
  </si>
  <si>
    <t>3811.13万</t>
  </si>
  <si>
    <t>-507727亿</t>
  </si>
  <si>
    <t>6.42万</t>
  </si>
  <si>
    <t>86015828亿</t>
  </si>
  <si>
    <t>1543953800亿</t>
  </si>
  <si>
    <t>655.28万</t>
  </si>
  <si>
    <t>3748202800亿</t>
  </si>
  <si>
    <t>1456.74万</t>
  </si>
  <si>
    <t>170.56万</t>
  </si>
  <si>
    <t>24.86亿</t>
  </si>
  <si>
    <t>-7157.77万</t>
  </si>
  <si>
    <t>-2912.48万</t>
  </si>
  <si>
    <t>7479.15万</t>
  </si>
  <si>
    <t>31.97亿</t>
  </si>
  <si>
    <t>4793.71万</t>
  </si>
  <si>
    <t>470.70万</t>
  </si>
  <si>
    <t>3582.15万</t>
  </si>
  <si>
    <t>60.70万</t>
  </si>
  <si>
    <t>910.17万</t>
  </si>
  <si>
    <t>871.21万</t>
  </si>
  <si>
    <t>2.54万</t>
  </si>
  <si>
    <t>4502148亿</t>
  </si>
  <si>
    <t>304465890亿</t>
  </si>
  <si>
    <t>7448.87万</t>
  </si>
  <si>
    <t>1324615670亿</t>
  </si>
  <si>
    <t>1508.98万</t>
  </si>
  <si>
    <t>8857.57万</t>
  </si>
  <si>
    <t>10.31亿</t>
  </si>
  <si>
    <t>-5658.46万</t>
  </si>
  <si>
    <t>2237.74万</t>
  </si>
  <si>
    <t>6261.05万</t>
  </si>
  <si>
    <t>360.52万</t>
  </si>
  <si>
    <t>3478.91万</t>
  </si>
  <si>
    <t>478.46万</t>
  </si>
  <si>
    <t>45.76亿</t>
  </si>
  <si>
    <t>15.99亿</t>
  </si>
  <si>
    <t>5867.04万</t>
  </si>
  <si>
    <t>5067.00万</t>
  </si>
  <si>
    <t>2313391亿</t>
  </si>
  <si>
    <t>-2.68万</t>
  </si>
  <si>
    <t>51736778亿</t>
  </si>
  <si>
    <t>661984390亿</t>
  </si>
  <si>
    <t>806.66万</t>
  </si>
  <si>
    <t>4686556600亿</t>
  </si>
  <si>
    <t>29.83亿</t>
  </si>
  <si>
    <t>8961.87万</t>
  </si>
  <si>
    <t>31.46亿</t>
  </si>
  <si>
    <t>7106.30万</t>
  </si>
  <si>
    <t>293.58万</t>
  </si>
  <si>
    <t>2326.76万</t>
  </si>
  <si>
    <t>192.96万</t>
  </si>
  <si>
    <t>12.59亿</t>
  </si>
  <si>
    <t>20.02亿</t>
  </si>
  <si>
    <t>-533.08万</t>
  </si>
  <si>
    <t>9997.10万</t>
  </si>
  <si>
    <t>7796.98万</t>
  </si>
  <si>
    <t>4061.02万</t>
  </si>
  <si>
    <t>-2636444亿</t>
  </si>
  <si>
    <t>7.52万</t>
  </si>
  <si>
    <t>-37876840亿</t>
  </si>
  <si>
    <t>923434960亿</t>
  </si>
  <si>
    <t>1906.94万</t>
  </si>
  <si>
    <t>1991564100亿</t>
  </si>
  <si>
    <t>4028.52万</t>
  </si>
  <si>
    <t>2333.76万</t>
  </si>
  <si>
    <t>-1217.37万</t>
  </si>
  <si>
    <t>1043.13万</t>
  </si>
  <si>
    <t>8601.66万</t>
  </si>
  <si>
    <t>407.70万</t>
  </si>
  <si>
    <t>73.99亿</t>
  </si>
  <si>
    <t>2056.50万</t>
  </si>
  <si>
    <t>2035.05万</t>
  </si>
  <si>
    <t>1890984亿</t>
  </si>
  <si>
    <t>134.36万</t>
  </si>
  <si>
    <t>20053911亿</t>
  </si>
  <si>
    <t>560655950亿</t>
  </si>
  <si>
    <t>7292.67万</t>
  </si>
  <si>
    <t>2082917800亿</t>
  </si>
  <si>
    <t>3292.50万</t>
  </si>
  <si>
    <t>9192.47万</t>
  </si>
  <si>
    <t>13.75亿</t>
  </si>
  <si>
    <t>-3757.97万</t>
  </si>
  <si>
    <t>304.22万</t>
  </si>
  <si>
    <t>-1737.32万</t>
  </si>
  <si>
    <t>19.92亿</t>
  </si>
  <si>
    <t>5341.94万</t>
  </si>
  <si>
    <t>10派2.3元(含税)</t>
  </si>
  <si>
    <t>2201.08万</t>
  </si>
  <si>
    <t>27.21万</t>
  </si>
  <si>
    <t>90.81亿</t>
  </si>
  <si>
    <t>1318.93万</t>
  </si>
  <si>
    <t>1059.78万</t>
  </si>
  <si>
    <t>-1887300亿</t>
  </si>
  <si>
    <t>5.75万</t>
  </si>
  <si>
    <t>41108972亿</t>
  </si>
  <si>
    <t>250979890亿</t>
  </si>
  <si>
    <t>1754177600亿</t>
  </si>
  <si>
    <t>116.63万</t>
  </si>
  <si>
    <t>3707.36万</t>
  </si>
  <si>
    <t>-890.36万</t>
  </si>
  <si>
    <t>-48.68万</t>
  </si>
  <si>
    <t>16.26亿</t>
  </si>
  <si>
    <t>21.67亿</t>
  </si>
  <si>
    <t>7630.39万</t>
  </si>
  <si>
    <t>261.57万</t>
  </si>
  <si>
    <t>1587.84万</t>
  </si>
  <si>
    <t>234.41万</t>
  </si>
  <si>
    <t>16.43亿</t>
  </si>
  <si>
    <t>21.12亿</t>
  </si>
  <si>
    <t>61.03亿</t>
  </si>
  <si>
    <t>156.42万</t>
  </si>
  <si>
    <t>2653.17万</t>
  </si>
  <si>
    <t>2409265亿</t>
  </si>
  <si>
    <t>12.86万</t>
  </si>
  <si>
    <t>40624379亿</t>
  </si>
  <si>
    <t>968103940亿</t>
  </si>
  <si>
    <t>104.68万</t>
  </si>
  <si>
    <t>2806036100亿</t>
  </si>
  <si>
    <t>8786.59万</t>
  </si>
  <si>
    <t>9856.81万</t>
  </si>
  <si>
    <t>8036.11万</t>
  </si>
  <si>
    <t>-9999.66万</t>
  </si>
  <si>
    <t>-3404.62万</t>
  </si>
  <si>
    <t>24.33亿</t>
  </si>
  <si>
    <t>4742.58万</t>
  </si>
  <si>
    <t>10派3.8元(含税)</t>
  </si>
  <si>
    <t>1739.06万</t>
  </si>
  <si>
    <t>9655.35万</t>
  </si>
  <si>
    <t>75.58万</t>
  </si>
  <si>
    <t>38.98亿</t>
  </si>
  <si>
    <t>35.59亿</t>
  </si>
  <si>
    <t>5328.47万</t>
  </si>
  <si>
    <t>6395.49万</t>
  </si>
  <si>
    <t>2153815亿</t>
  </si>
  <si>
    <t>114.93万</t>
  </si>
  <si>
    <t>-38784206亿</t>
  </si>
  <si>
    <t>1179938260亿</t>
  </si>
  <si>
    <t>83.77万</t>
  </si>
  <si>
    <t>2951203000亿</t>
  </si>
  <si>
    <t>2080.17万</t>
  </si>
  <si>
    <t>6900.00万</t>
  </si>
  <si>
    <t>3244.62万</t>
  </si>
  <si>
    <t>-2.34亿</t>
  </si>
  <si>
    <t>6464.65万</t>
  </si>
  <si>
    <t>8159.69万</t>
  </si>
  <si>
    <t>471.88万</t>
  </si>
  <si>
    <t>4089.78万</t>
  </si>
  <si>
    <t>223.28万</t>
  </si>
  <si>
    <t>-3.60亿</t>
  </si>
  <si>
    <t>2139.85万</t>
  </si>
  <si>
    <t>3559.88万</t>
  </si>
  <si>
    <t>139342亿</t>
  </si>
  <si>
    <t>10216842亿</t>
  </si>
  <si>
    <t>9097.00万</t>
  </si>
  <si>
    <t>688894920亿</t>
  </si>
  <si>
    <t>5656.45万</t>
  </si>
  <si>
    <t>2259906900亿</t>
  </si>
  <si>
    <t>-5454.18万</t>
  </si>
  <si>
    <t>248.48万</t>
  </si>
  <si>
    <t>910.41万</t>
  </si>
  <si>
    <t>-8453.60万</t>
  </si>
  <si>
    <t>-1.89亿</t>
  </si>
  <si>
    <t>1007.36万</t>
  </si>
  <si>
    <t>8027.49万</t>
  </si>
  <si>
    <t>81.14万</t>
  </si>
  <si>
    <t>7264.25万</t>
  </si>
  <si>
    <t>438.90万</t>
  </si>
  <si>
    <t>1643.65万</t>
  </si>
  <si>
    <t>-10776399亿</t>
  </si>
  <si>
    <t>385985190亿</t>
  </si>
  <si>
    <t>660.88万</t>
  </si>
  <si>
    <t>750126520亿</t>
  </si>
  <si>
    <t>7.51亿</t>
  </si>
  <si>
    <t>-1488.48万</t>
  </si>
  <si>
    <t>-5684.46万</t>
  </si>
  <si>
    <t>2325.96万</t>
  </si>
  <si>
    <t>3680.11万</t>
  </si>
  <si>
    <t>-1600.94万</t>
  </si>
  <si>
    <t>5371.88万</t>
  </si>
  <si>
    <t>499.43万</t>
  </si>
  <si>
    <t>4142.71万</t>
  </si>
  <si>
    <t>63.17万</t>
  </si>
  <si>
    <t>9151.18万</t>
  </si>
  <si>
    <t>7735.84万</t>
  </si>
  <si>
    <t>5118.13万</t>
  </si>
  <si>
    <t>1666.91万</t>
  </si>
  <si>
    <t>475.50万</t>
  </si>
  <si>
    <t>391155亿</t>
  </si>
  <si>
    <t>15938788亿</t>
  </si>
  <si>
    <t>90845514亿</t>
  </si>
  <si>
    <t>129.51万</t>
  </si>
  <si>
    <t>607655530亿</t>
  </si>
  <si>
    <t>5838.00万</t>
  </si>
  <si>
    <t>321.61万</t>
  </si>
  <si>
    <t>7146.40万</t>
  </si>
  <si>
    <t>4538.51万</t>
  </si>
  <si>
    <t>8151.26万</t>
  </si>
  <si>
    <t>7529.51万</t>
  </si>
  <si>
    <t>3004.96万</t>
  </si>
  <si>
    <t>10转4股派5.1元(含税)</t>
  </si>
  <si>
    <t>405.32万</t>
  </si>
  <si>
    <t>2253.51万</t>
  </si>
  <si>
    <t>24.86万</t>
  </si>
  <si>
    <t>7642.40万</t>
  </si>
  <si>
    <t>29.11亿</t>
  </si>
  <si>
    <t>-6.07亿</t>
  </si>
  <si>
    <t>6601.71万</t>
  </si>
  <si>
    <t>4816.45万</t>
  </si>
  <si>
    <t>430.48万</t>
  </si>
  <si>
    <t>616.13万</t>
  </si>
  <si>
    <t>117990亿</t>
  </si>
  <si>
    <t>1.88万</t>
  </si>
  <si>
    <t>10632300亿</t>
  </si>
  <si>
    <t>196994240亿</t>
  </si>
  <si>
    <t>865.15万</t>
  </si>
  <si>
    <t>867899440亿</t>
  </si>
  <si>
    <t>7210.33万</t>
  </si>
  <si>
    <t>3842.41万</t>
  </si>
  <si>
    <t>7877.40万</t>
  </si>
  <si>
    <t>15.52万</t>
  </si>
  <si>
    <t>-1424.71万</t>
  </si>
  <si>
    <t>-7414.38万</t>
  </si>
  <si>
    <t>104.08万</t>
  </si>
  <si>
    <t>4.95亿</t>
  </si>
  <si>
    <t>9065.90万</t>
  </si>
  <si>
    <t>10派3.54元(含税)</t>
  </si>
  <si>
    <t>108.77万</t>
  </si>
  <si>
    <t>657.57万</t>
  </si>
  <si>
    <t>187.95万</t>
  </si>
  <si>
    <t>49.90亿</t>
  </si>
  <si>
    <t>26.01亿</t>
  </si>
  <si>
    <t>5135.19万</t>
  </si>
  <si>
    <t>41.59亿</t>
  </si>
  <si>
    <t>3915.80万</t>
  </si>
  <si>
    <t>887.06万</t>
  </si>
  <si>
    <t>3735.32万</t>
  </si>
  <si>
    <t>-15119亿</t>
  </si>
  <si>
    <t>11.97万</t>
  </si>
  <si>
    <t>-40719300亿</t>
  </si>
  <si>
    <t>2061482300亿</t>
  </si>
  <si>
    <t>1472.57万</t>
  </si>
  <si>
    <t>4068643900亿</t>
  </si>
  <si>
    <t>11.68亿</t>
  </si>
  <si>
    <t>34.73亿</t>
  </si>
  <si>
    <t>6675.25万</t>
  </si>
  <si>
    <t>5732.62万</t>
  </si>
  <si>
    <t>927.55万</t>
  </si>
  <si>
    <t>7456.17万</t>
  </si>
  <si>
    <t>164.19万</t>
  </si>
  <si>
    <t>43.88亿</t>
  </si>
  <si>
    <t>30.07亿</t>
  </si>
  <si>
    <t>5167.36万</t>
  </si>
  <si>
    <t>6537.69万</t>
  </si>
  <si>
    <t>7598.13万</t>
  </si>
  <si>
    <t>3731698亿</t>
  </si>
  <si>
    <t>882.62万</t>
  </si>
  <si>
    <t>57410886亿</t>
  </si>
  <si>
    <t>1182580450亿</t>
  </si>
  <si>
    <t>5927494800亿</t>
  </si>
  <si>
    <t>2818.72万</t>
  </si>
  <si>
    <t>1350.00万</t>
  </si>
  <si>
    <t>-2.44亿</t>
  </si>
  <si>
    <t>-3669.53万</t>
  </si>
  <si>
    <t>-674.62万</t>
  </si>
  <si>
    <t>41.73亿</t>
  </si>
  <si>
    <t>8326.01万</t>
  </si>
  <si>
    <t>305.18万</t>
  </si>
  <si>
    <t>10派4.5元(含税)</t>
  </si>
  <si>
    <t>850.98万</t>
  </si>
  <si>
    <t>7406.76万</t>
  </si>
  <si>
    <t>051673600</t>
  </si>
  <si>
    <t>0155020800</t>
  </si>
  <si>
    <t>0310041600</t>
  </si>
  <si>
    <t>0516736000</t>
  </si>
  <si>
    <t>01033472000</t>
  </si>
  <si>
    <t>51.89万</t>
  </si>
  <si>
    <t>48.32亿</t>
  </si>
  <si>
    <t>23.65亿</t>
  </si>
  <si>
    <t>3877.43万</t>
  </si>
  <si>
    <t>7.27亿</t>
  </si>
  <si>
    <t>1632.06万</t>
  </si>
  <si>
    <t>3798.63万</t>
  </si>
  <si>
    <t>12150641亿</t>
  </si>
  <si>
    <t>281.99万</t>
  </si>
  <si>
    <t>13724276亿</t>
  </si>
  <si>
    <t>888055400亿</t>
  </si>
  <si>
    <t>5916147900亿</t>
  </si>
  <si>
    <t>44.46亿</t>
  </si>
  <si>
    <t>1476.27万</t>
  </si>
  <si>
    <t>-1.88亿</t>
  </si>
  <si>
    <t>8276.41万</t>
  </si>
  <si>
    <t>36.91亿</t>
  </si>
  <si>
    <t>2395.58万</t>
  </si>
  <si>
    <t>-2.04亿</t>
  </si>
  <si>
    <t>301.51万</t>
  </si>
  <si>
    <t>266.92万</t>
  </si>
  <si>
    <t>1917.16万</t>
  </si>
  <si>
    <t>224.26万</t>
  </si>
  <si>
    <t>8585.48万</t>
  </si>
  <si>
    <t>2952.20万</t>
  </si>
  <si>
    <t>5678.05万</t>
  </si>
  <si>
    <t>1779.19万</t>
  </si>
  <si>
    <t>1639.45万</t>
  </si>
  <si>
    <t>959010亿</t>
  </si>
  <si>
    <t>11.31万</t>
  </si>
  <si>
    <t>-26892991亿</t>
  </si>
  <si>
    <t>361121160亿</t>
  </si>
  <si>
    <t>7879.36万</t>
  </si>
  <si>
    <t>1141606640亿</t>
  </si>
  <si>
    <t>78.66万</t>
  </si>
  <si>
    <t>-4058.89万</t>
  </si>
  <si>
    <t>-1115.00万</t>
  </si>
  <si>
    <t>1961.56万</t>
  </si>
  <si>
    <t>5105.15万</t>
  </si>
  <si>
    <t>-1.16亿</t>
  </si>
  <si>
    <t>255.13万</t>
  </si>
  <si>
    <t>1517.52万</t>
  </si>
  <si>
    <t>98.40万</t>
  </si>
  <si>
    <t>418.64万</t>
  </si>
  <si>
    <t>1006.00万</t>
  </si>
  <si>
    <t>801924亿</t>
  </si>
  <si>
    <t>25183204亿</t>
  </si>
  <si>
    <t>431513070亿</t>
  </si>
  <si>
    <t>9809.01万</t>
  </si>
  <si>
    <t>1303358290亿</t>
  </si>
  <si>
    <t>8506.49万</t>
  </si>
  <si>
    <t>2837.31万</t>
  </si>
  <si>
    <t>-4041.58万</t>
  </si>
  <si>
    <t>-4300.93万</t>
  </si>
  <si>
    <t>249.44万</t>
  </si>
  <si>
    <t>12.10亿</t>
  </si>
  <si>
    <t>9480.70万</t>
  </si>
  <si>
    <t>570.29万</t>
  </si>
  <si>
    <t>3449.36万</t>
  </si>
  <si>
    <t>208.93万</t>
  </si>
  <si>
    <t>4160.28万</t>
  </si>
  <si>
    <t>251.79万</t>
  </si>
  <si>
    <t>2476.35万</t>
  </si>
  <si>
    <t>11911407亿</t>
  </si>
  <si>
    <t>74377630亿</t>
  </si>
  <si>
    <t>267098030亿</t>
  </si>
  <si>
    <t>1000684480亿</t>
  </si>
  <si>
    <t>6632.16万</t>
  </si>
  <si>
    <t>6090.43万</t>
  </si>
  <si>
    <t>-2399.12万</t>
  </si>
  <si>
    <t>-50.40万</t>
  </si>
  <si>
    <t>820.35万</t>
  </si>
  <si>
    <t>10转4股派8元(含税)</t>
  </si>
  <si>
    <t>1240.22万</t>
  </si>
  <si>
    <t>7771.91万</t>
  </si>
  <si>
    <t>75.57万</t>
  </si>
  <si>
    <t>35.36亿</t>
  </si>
  <si>
    <t>1978.73万</t>
  </si>
  <si>
    <t>1179.40万</t>
  </si>
  <si>
    <t>27785876亿</t>
  </si>
  <si>
    <t>752273570亿</t>
  </si>
  <si>
    <t>9774.15万</t>
  </si>
  <si>
    <t>1939366800亿</t>
  </si>
  <si>
    <t>2604.59万</t>
  </si>
  <si>
    <t>6323.53万</t>
  </si>
  <si>
    <t>6300.00万</t>
  </si>
  <si>
    <t>-1780.90万</t>
  </si>
  <si>
    <t>-1686.05万</t>
  </si>
  <si>
    <t>3026.10万</t>
  </si>
  <si>
    <t>6030.38万</t>
  </si>
  <si>
    <t>388.31万</t>
  </si>
  <si>
    <t>2535.80万</t>
  </si>
  <si>
    <t>15.62万</t>
  </si>
  <si>
    <t>14.52亿</t>
  </si>
  <si>
    <t>100.27亿</t>
  </si>
  <si>
    <t>15.93亿</t>
  </si>
  <si>
    <t>6656.33万</t>
  </si>
  <si>
    <t>1879.81万</t>
  </si>
  <si>
    <t>1046.30万</t>
  </si>
  <si>
    <t>2401827亿</t>
  </si>
  <si>
    <t>5.87万</t>
  </si>
  <si>
    <t>4960683亿</t>
  </si>
  <si>
    <t>391844510亿</t>
  </si>
  <si>
    <t>2501.80万</t>
  </si>
  <si>
    <t>1614194600亿</t>
  </si>
  <si>
    <t>4982.86万</t>
  </si>
  <si>
    <t>4499.51万</t>
  </si>
  <si>
    <t>-4349.26万</t>
  </si>
  <si>
    <t>-4780.00万</t>
  </si>
  <si>
    <t>7423.52万</t>
  </si>
  <si>
    <t>84.04万</t>
  </si>
  <si>
    <t>729.78万</t>
  </si>
  <si>
    <t>63.33万</t>
  </si>
  <si>
    <t>34.69亿</t>
  </si>
  <si>
    <t>4934.33万</t>
  </si>
  <si>
    <t>1156.92万</t>
  </si>
  <si>
    <t>3845.09万</t>
  </si>
  <si>
    <t>263748亿</t>
  </si>
  <si>
    <t>14.32万</t>
  </si>
  <si>
    <t>4539517亿</t>
  </si>
  <si>
    <t>776868450亿</t>
  </si>
  <si>
    <t>3394.37万</t>
  </si>
  <si>
    <t>4498045700亿</t>
  </si>
  <si>
    <t>27.86亿</t>
  </si>
  <si>
    <t>-2.86亿</t>
  </si>
  <si>
    <t>4744.09万</t>
  </si>
  <si>
    <t>20.06亿</t>
  </si>
  <si>
    <t>8665.60万</t>
  </si>
  <si>
    <t>1035.28万</t>
  </si>
  <si>
    <t>10派1.12元(含税)</t>
  </si>
  <si>
    <t>396.84万</t>
  </si>
  <si>
    <t>3704.20万</t>
  </si>
  <si>
    <t>55.09万</t>
  </si>
  <si>
    <t>32.57亿</t>
  </si>
  <si>
    <t>8119.96万</t>
  </si>
  <si>
    <t>1928.54万</t>
  </si>
  <si>
    <t>1312.32万</t>
  </si>
  <si>
    <t>1108880亿</t>
  </si>
  <si>
    <t>24415086亿</t>
  </si>
  <si>
    <t>222269800亿</t>
  </si>
  <si>
    <t>2581.39万</t>
  </si>
  <si>
    <t>3210728400亿</t>
  </si>
  <si>
    <t>7239.36万</t>
  </si>
  <si>
    <t>-905.19万</t>
  </si>
  <si>
    <t>-1610.79万</t>
  </si>
  <si>
    <t>-4061.61万</t>
  </si>
  <si>
    <t>2992.95万</t>
  </si>
  <si>
    <t>10转4.5股派8元(含税)</t>
  </si>
  <si>
    <t>429.54万</t>
  </si>
  <si>
    <t>3186.88万</t>
  </si>
  <si>
    <t>344.78万</t>
  </si>
  <si>
    <t>50.11亿</t>
  </si>
  <si>
    <t>3763.87万</t>
  </si>
  <si>
    <t>1305.23万</t>
  </si>
  <si>
    <t>6540.97万</t>
  </si>
  <si>
    <t>-2985891亿</t>
  </si>
  <si>
    <t>16338967亿</t>
  </si>
  <si>
    <t>6.21亿</t>
  </si>
  <si>
    <t>1423728600亿</t>
  </si>
  <si>
    <t>6892157100亿</t>
  </si>
  <si>
    <t>15.26亿</t>
  </si>
  <si>
    <t>50.99亿</t>
  </si>
  <si>
    <t>7014.02万</t>
  </si>
  <si>
    <t>-510.28万</t>
  </si>
  <si>
    <t>10派2.865元(含税)</t>
  </si>
  <si>
    <t>2084.57万</t>
  </si>
  <si>
    <t>86.32万</t>
  </si>
  <si>
    <t>8304.70万</t>
  </si>
  <si>
    <t>10.20亿</t>
  </si>
  <si>
    <t>9607.29万</t>
  </si>
  <si>
    <t>5527.27万</t>
  </si>
  <si>
    <t>1277.86万</t>
  </si>
  <si>
    <t>805.09万</t>
  </si>
  <si>
    <t>-259200亿</t>
  </si>
  <si>
    <t>-18201223亿</t>
  </si>
  <si>
    <t>255991050亿</t>
  </si>
  <si>
    <t>1812073300亿</t>
  </si>
  <si>
    <t>5081.50万</t>
  </si>
  <si>
    <t>-4436.10万</t>
  </si>
  <si>
    <t>-140.42万</t>
  </si>
  <si>
    <t>6606.80万</t>
  </si>
  <si>
    <t>6.49亿</t>
  </si>
  <si>
    <t>4087.22万</t>
  </si>
  <si>
    <t>10派3.7345元(含税)</t>
  </si>
  <si>
    <t>469.15万</t>
  </si>
  <si>
    <t>4412.44万</t>
  </si>
  <si>
    <t>174.38万</t>
  </si>
  <si>
    <t>20.44亿</t>
  </si>
  <si>
    <t>16.76亿</t>
  </si>
  <si>
    <t>1710.84万</t>
  </si>
  <si>
    <t>872.91万</t>
  </si>
  <si>
    <t>789732亿</t>
  </si>
  <si>
    <t>1.78万</t>
  </si>
  <si>
    <t>36786678亿</t>
  </si>
  <si>
    <t>754953880亿</t>
  </si>
  <si>
    <t>2164.33万</t>
  </si>
  <si>
    <t>2223513900亿</t>
  </si>
  <si>
    <t>2486.45万</t>
  </si>
  <si>
    <t>-3433.70万</t>
  </si>
  <si>
    <t>-709.68万</t>
  </si>
  <si>
    <t>-9.75万</t>
  </si>
  <si>
    <t>-3189.49万</t>
  </si>
  <si>
    <t>10派8元(含税)</t>
  </si>
  <si>
    <t>902.38万</t>
  </si>
  <si>
    <t>4739.38万</t>
  </si>
  <si>
    <t>11-1</t>
  </si>
  <si>
    <t>47.20万</t>
  </si>
  <si>
    <t>9625.60万</t>
  </si>
  <si>
    <t>9507.10万</t>
  </si>
  <si>
    <t>6943.66万</t>
  </si>
  <si>
    <t>325.45万</t>
  </si>
  <si>
    <t>1031.91万</t>
  </si>
  <si>
    <t>7355208亿</t>
  </si>
  <si>
    <t>22333723亿</t>
  </si>
  <si>
    <t>211852350亿</t>
  </si>
  <si>
    <t>6755.14万</t>
  </si>
  <si>
    <t>2237721700亿</t>
  </si>
  <si>
    <t>260.56万</t>
  </si>
  <si>
    <t>2399.59万</t>
  </si>
  <si>
    <t>5486.66万</t>
  </si>
  <si>
    <t>-1630.08万</t>
  </si>
  <si>
    <t>-4066.91万</t>
  </si>
  <si>
    <t>6840.79万</t>
  </si>
  <si>
    <t>-130.63万</t>
  </si>
  <si>
    <t>10转4股派4.5元(含税)</t>
  </si>
  <si>
    <t>344.65万</t>
  </si>
  <si>
    <t>2502.60万</t>
  </si>
  <si>
    <t>210.15万</t>
  </si>
  <si>
    <t>1495.16万</t>
  </si>
  <si>
    <t>1315.66万</t>
  </si>
  <si>
    <t>3953216亿</t>
  </si>
  <si>
    <t>28795872亿</t>
  </si>
  <si>
    <t>609903820亿</t>
  </si>
  <si>
    <t>4320.56万</t>
  </si>
  <si>
    <t>1453913100亿</t>
  </si>
  <si>
    <t>6176.98万</t>
  </si>
  <si>
    <t>8790.45万</t>
  </si>
  <si>
    <t>-3320.77万</t>
  </si>
  <si>
    <t>8297.24万</t>
  </si>
  <si>
    <t>-1642.42万</t>
  </si>
  <si>
    <t>9.09亿</t>
  </si>
  <si>
    <t>6587.93万</t>
  </si>
  <si>
    <t>-1182.15万</t>
  </si>
  <si>
    <t>10转3股派2.5元(含税)</t>
  </si>
  <si>
    <t>977.73万</t>
  </si>
  <si>
    <t>7614.91万</t>
  </si>
  <si>
    <t>80.99万</t>
  </si>
  <si>
    <t>29.61亿</t>
  </si>
  <si>
    <t>-5086.54万</t>
  </si>
  <si>
    <t>2477.13万</t>
  </si>
  <si>
    <t>2083.14万</t>
  </si>
  <si>
    <t>-2298765亿</t>
  </si>
  <si>
    <t>84742615亿</t>
  </si>
  <si>
    <t>10.55亿</t>
  </si>
  <si>
    <t>455286830亿</t>
  </si>
  <si>
    <t>9755.60万</t>
  </si>
  <si>
    <t>2259428300亿</t>
  </si>
  <si>
    <t>7373.84万</t>
  </si>
  <si>
    <t>8433.72万</t>
  </si>
  <si>
    <t>3885.00万</t>
  </si>
  <si>
    <t>3604.07万</t>
  </si>
  <si>
    <t>-1.29亿</t>
  </si>
  <si>
    <t>-3685.57万</t>
  </si>
  <si>
    <t>-182.35万</t>
  </si>
  <si>
    <t>10转4.9股派5元(含税)</t>
  </si>
  <si>
    <t>468.09万</t>
  </si>
  <si>
    <t>2282.87万</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</si>
</sst>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宋体"/>
      <family val="2"/>
      <charset val="134"/>
      <scheme val="minor"/>
    </font>
    <font>
      <sz val="9"/>
      <name val="宋体"/>
      <family val="2"/>
      <charset val="134"/>
      <scheme val="minor"/>
    </font>
    <font>
      <sz val="11"/>
      <color indexed="8"/>
      <name val="Calibri"/>
      <family val="2"/>
    </font>
    <font>
      <b/>
      <sz val="11"/>
      <color theme="1"/>
      <name val="宋体"/>
      <family val="3"/>
      <charset val="134"/>
      <scheme val="minor"/>
    </font>
    <font>
      <sz val="9"/>
      <color theme="1"/>
      <name val="宋体"/>
      <family val="2"/>
      <charset val="134"/>
      <scheme val="minor"/>
    </font>
    <font>
      <sz val="9"/>
      <color rgb="FFFF0000"/>
      <name val="宋体"/>
      <family val="3"/>
      <charset val="134"/>
      <scheme val="minor"/>
    </font>
    <font>
      <b/>
      <sz val="9"/>
      <color theme="1"/>
      <name val="宋体"/>
      <family val="3"/>
      <charset val="134"/>
      <scheme val="minor"/>
    </font>
    <font>
      <sz val="9"/>
      <color theme="1"/>
      <name val="宋体"/>
      <family val="3"/>
      <charset val="134"/>
      <scheme val="minor"/>
    </font>
    <font>
      <b/>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3" fillId="0" borderId="0" xfId="0" applyFont="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4" fillId="0" borderId="0" xfId="0" applyFont="1" applyAlignment="1">
      <alignment vertical="center" wrapText="1"/>
    </xf>
    <xf numFmtId="0" fontId="7" fillId="0" borderId="0" xfId="0" applyFont="1" applyAlignment="1">
      <alignment vertical="center" wrapText="1"/>
    </xf>
    <xf numFmtId="0" fontId="0" fillId="4" borderId="0" xfId="0" applyFill="1">
      <alignment vertical="center"/>
    </xf>
    <xf numFmtId="0" fontId="0" fillId="5" borderId="0" xfId="0" applyFill="1">
      <alignment vertical="center"/>
    </xf>
    <xf numFmtId="0" fontId="10" fillId="0" borderId="0" xfId="0" applyFont="1">
      <alignment vertical="center"/>
    </xf>
    <xf numFmtId="0" fontId="9" fillId="0" borderId="0" xfId="0" applyFont="1">
      <alignment vertical="center"/>
    </xf>
    <xf numFmtId="0" fontId="10"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406400</xdr:colOff>
          <xdr:row>0</xdr:row>
          <xdr:rowOff>120650</xdr:rowOff>
        </xdr:from>
        <xdr:to>
          <xdr:col>147</xdr:col>
          <xdr:colOff>1524000</xdr:colOff>
          <xdr:row>0</xdr:row>
          <xdr:rowOff>431800</xdr:rowOff>
        </xdr:to>
        <xdr:sp macro="" textlink="">
          <xdr:nvSpPr>
            <xdr:cNvPr id="3073" name="Button 1" descr="更新基本面按钮&#10;"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76"/>
  <sheetViews>
    <sheetView tabSelected="1" zoomScale="85" zoomScaleNormal="85" workbookViewId="0">
      <pane xSplit="5" ySplit="1" topLeftCell="F2" activePane="bottomRight" state="frozen"/>
      <selection pane="topRight" activeCell="F1" sqref="F1"/>
      <selection pane="bottomLeft" activeCell="A2" sqref="A2"/>
      <selection pane="bottomRight" activeCell="C47" sqref="C47:C48"/>
    </sheetView>
  </sheetViews>
  <sheetFormatPr defaultRowHeight="14" x14ac:dyDescent="0.25"/>
  <cols>
    <col min="1" max="1" width="32.1796875" customWidth="1"/>
    <col min="2" max="2" width="34.6328125" customWidth="1"/>
    <col min="3" max="3" width="40.81640625" customWidth="1"/>
    <col min="148" max="148" width="27.7265625" customWidth="1"/>
  </cols>
  <sheetData>
    <row r="1" spans="1:146" s="3" customFormat="1" ht="29.5" customHeight="1" x14ac:dyDescent="0.25">
      <c r="A1" s="4" t="s">
        <v>85</v>
      </c>
      <c r="B1" s="5" t="s">
        <v>86</v>
      </c>
      <c r="C1" s="4" t="s">
        <v>87</v>
      </c>
      <c r="D1" t="s">
        <v>88</v>
      </c>
      <c r="E1" t="s">
        <v>1538</v>
      </c>
      <c r="F1" t="s">
        <v>3</v>
      </c>
      <c r="G1" t="s">
        <v>1737</v>
      </c>
      <c r="H1" t="s">
        <v>1738</v>
      </c>
      <c r="I1" t="s">
        <v>89</v>
      </c>
      <c r="J1" t="s">
        <v>90</v>
      </c>
      <c r="K1" t="s">
        <v>4</v>
      </c>
      <c r="L1" t="s">
        <v>91</v>
      </c>
      <c r="M1" t="s">
        <v>92</v>
      </c>
      <c r="N1" t="s">
        <v>93</v>
      </c>
      <c r="O1" t="s">
        <v>94</v>
      </c>
      <c r="P1" t="s">
        <v>1739</v>
      </c>
      <c r="Q1" t="s">
        <v>1571</v>
      </c>
      <c r="R1" t="s">
        <v>1539</v>
      </c>
      <c r="S1" t="s">
        <v>95</v>
      </c>
      <c r="T1" t="s">
        <v>1740</v>
      </c>
      <c r="U1" t="s">
        <v>1338</v>
      </c>
      <c r="V1" t="s">
        <v>96</v>
      </c>
      <c r="W1" t="s">
        <v>1572</v>
      </c>
      <c r="X1" t="s">
        <v>1573</v>
      </c>
      <c r="Y1" t="s">
        <v>1574</v>
      </c>
      <c r="Z1" t="s">
        <v>1575</v>
      </c>
      <c r="AA1" t="s">
        <v>1576</v>
      </c>
      <c r="AB1" t="s">
        <v>1741</v>
      </c>
      <c r="AC1" t="s">
        <v>1577</v>
      </c>
      <c r="AD1" t="s">
        <v>1578</v>
      </c>
      <c r="AE1" t="s">
        <v>97</v>
      </c>
      <c r="AF1" t="s">
        <v>98</v>
      </c>
      <c r="AG1" t="s">
        <v>1742</v>
      </c>
      <c r="AH1" t="s">
        <v>1540</v>
      </c>
      <c r="AI1" t="s">
        <v>1743</v>
      </c>
      <c r="AJ1" t="s">
        <v>99</v>
      </c>
      <c r="AK1" t="s">
        <v>1744</v>
      </c>
      <c r="AL1" t="s">
        <v>796</v>
      </c>
      <c r="AM1" t="s">
        <v>1745</v>
      </c>
      <c r="AN1" t="s">
        <v>1746</v>
      </c>
      <c r="AO1" t="s">
        <v>1747</v>
      </c>
      <c r="AP1" t="s">
        <v>1748</v>
      </c>
      <c r="AQ1" t="s">
        <v>1749</v>
      </c>
      <c r="AR1" t="s">
        <v>1750</v>
      </c>
      <c r="AS1" t="s">
        <v>1751</v>
      </c>
      <c r="AT1" t="s">
        <v>1752</v>
      </c>
      <c r="AU1" t="s">
        <v>1753</v>
      </c>
      <c r="AV1" t="s">
        <v>1754</v>
      </c>
      <c r="AW1" t="s">
        <v>1755</v>
      </c>
      <c r="AX1" t="s">
        <v>1541</v>
      </c>
      <c r="AY1" t="s">
        <v>797</v>
      </c>
      <c r="AZ1" t="s">
        <v>798</v>
      </c>
      <c r="BA1" t="s">
        <v>799</v>
      </c>
      <c r="BB1" t="s">
        <v>800</v>
      </c>
      <c r="BC1" t="s">
        <v>1339</v>
      </c>
      <c r="BD1" t="s">
        <v>801</v>
      </c>
      <c r="BE1" t="s">
        <v>802</v>
      </c>
      <c r="BF1" t="s">
        <v>803</v>
      </c>
      <c r="BG1" t="s">
        <v>804</v>
      </c>
      <c r="BH1" t="s">
        <v>1756</v>
      </c>
      <c r="BI1" t="s">
        <v>1757</v>
      </c>
      <c r="BJ1" t="s">
        <v>1758</v>
      </c>
      <c r="BK1" t="s">
        <v>1759</v>
      </c>
      <c r="BL1" t="s">
        <v>1760</v>
      </c>
      <c r="BM1" t="s">
        <v>1761</v>
      </c>
      <c r="BN1" t="s">
        <v>1542</v>
      </c>
      <c r="BO1" t="s">
        <v>1340</v>
      </c>
      <c r="BP1" t="s">
        <v>805</v>
      </c>
      <c r="BQ1" t="s">
        <v>1543</v>
      </c>
      <c r="BR1" t="s">
        <v>1341</v>
      </c>
      <c r="BS1" t="s">
        <v>806</v>
      </c>
      <c r="BT1" t="s">
        <v>1762</v>
      </c>
      <c r="BU1" t="s">
        <v>1579</v>
      </c>
      <c r="BV1" t="s">
        <v>1763</v>
      </c>
      <c r="BW1" t="s">
        <v>1256</v>
      </c>
      <c r="BX1" t="s">
        <v>807</v>
      </c>
      <c r="BY1" t="s">
        <v>1764</v>
      </c>
      <c r="BZ1" t="s">
        <v>1257</v>
      </c>
      <c r="CA1" t="s">
        <v>808</v>
      </c>
      <c r="CB1" t="s">
        <v>1765</v>
      </c>
      <c r="CC1" t="s">
        <v>1766</v>
      </c>
      <c r="CD1" t="s">
        <v>1767</v>
      </c>
      <c r="CE1" t="s">
        <v>1768</v>
      </c>
      <c r="CF1" s="1" t="s">
        <v>1544</v>
      </c>
      <c r="CG1" s="1" t="s">
        <v>1545</v>
      </c>
      <c r="CH1" s="1" t="s">
        <v>1225</v>
      </c>
      <c r="CI1" s="1" t="s">
        <v>1226</v>
      </c>
      <c r="CJ1" s="1" t="s">
        <v>1227</v>
      </c>
      <c r="CK1" s="1" t="s">
        <v>1228</v>
      </c>
      <c r="CL1" s="1" t="s">
        <v>1229</v>
      </c>
      <c r="CM1" s="1" t="s">
        <v>1230</v>
      </c>
      <c r="CN1" s="1" t="s">
        <v>1231</v>
      </c>
      <c r="CO1" s="1" t="s">
        <v>1232</v>
      </c>
      <c r="CP1" s="1" t="s">
        <v>1233</v>
      </c>
      <c r="CQ1" s="1" t="s">
        <v>1234</v>
      </c>
      <c r="CR1" s="1" t="s">
        <v>1580</v>
      </c>
      <c r="CS1" s="1" t="s">
        <v>1780</v>
      </c>
      <c r="CT1" s="1" t="s">
        <v>1769</v>
      </c>
      <c r="CU1" s="1" t="s">
        <v>1781</v>
      </c>
      <c r="CV1" s="1" t="s">
        <v>1782</v>
      </c>
      <c r="CW1" s="1" t="s">
        <v>1770</v>
      </c>
      <c r="CX1">
        <v>1</v>
      </c>
      <c r="CY1" t="s">
        <v>1581</v>
      </c>
      <c r="CZ1" t="s">
        <v>1783</v>
      </c>
      <c r="DA1">
        <v>3</v>
      </c>
      <c r="DB1" t="s">
        <v>1582</v>
      </c>
      <c r="DC1" t="s">
        <v>1784</v>
      </c>
      <c r="DD1">
        <v>6</v>
      </c>
      <c r="DE1" t="s">
        <v>1771</v>
      </c>
      <c r="DF1" t="s">
        <v>1583</v>
      </c>
      <c r="DG1">
        <v>10</v>
      </c>
      <c r="DH1" t="s">
        <v>1584</v>
      </c>
      <c r="DI1" t="s">
        <v>1772</v>
      </c>
      <c r="DJ1">
        <v>20</v>
      </c>
      <c r="DK1" t="s">
        <v>1785</v>
      </c>
      <c r="DL1" t="s">
        <v>1235</v>
      </c>
      <c r="DM1" t="s">
        <v>1236</v>
      </c>
      <c r="DN1" s="2" t="s">
        <v>1237</v>
      </c>
      <c r="DO1" t="s">
        <v>1786</v>
      </c>
      <c r="DP1" t="s">
        <v>1773</v>
      </c>
      <c r="DQ1" s="14" t="s">
        <v>1774</v>
      </c>
      <c r="DR1" s="1" t="s">
        <v>1787</v>
      </c>
      <c r="DS1" s="1" t="s">
        <v>1788</v>
      </c>
      <c r="DT1" t="s">
        <v>1789</v>
      </c>
      <c r="DU1" t="s">
        <v>1775</v>
      </c>
      <c r="DV1" t="s">
        <v>1585</v>
      </c>
      <c r="DW1" t="s">
        <v>1790</v>
      </c>
      <c r="DX1" t="s">
        <v>1791</v>
      </c>
      <c r="DY1" t="s">
        <v>1586</v>
      </c>
      <c r="DZ1" t="s">
        <v>1792</v>
      </c>
      <c r="EA1" t="s">
        <v>1587</v>
      </c>
      <c r="EB1" t="s">
        <v>1793</v>
      </c>
      <c r="EC1" t="s">
        <v>1776</v>
      </c>
      <c r="ED1" t="s">
        <v>1794</v>
      </c>
      <c r="EE1" t="s">
        <v>1795</v>
      </c>
      <c r="EF1" t="s">
        <v>1777</v>
      </c>
      <c r="EG1" t="s">
        <v>1778</v>
      </c>
      <c r="EH1" t="s">
        <v>1796</v>
      </c>
      <c r="EI1" t="s">
        <v>1797</v>
      </c>
      <c r="EJ1"/>
      <c r="EK1" s="15" t="s">
        <v>1798</v>
      </c>
      <c r="EL1" t="s">
        <v>1799</v>
      </c>
      <c r="EM1" t="s">
        <v>1800</v>
      </c>
      <c r="EN1" t="s">
        <v>1779</v>
      </c>
      <c r="EO1" t="s">
        <v>1801</v>
      </c>
      <c r="EP1" t="s">
        <v>1802</v>
      </c>
    </row>
    <row r="2" spans="1:146" ht="108" x14ac:dyDescent="0.25">
      <c r="A2" s="8"/>
      <c r="B2" s="8"/>
      <c r="C2" s="8" t="str">
        <f>""&amp;CHAR(10)&amp;Basic_Fundamental_Information_Constructure(F2)&amp;CHAR(10)&amp;Basic_Fundamental_Information_Concatenate("")</f>
        <v xml:space="preserve">
市值52.396565亿, 利润9196.01万; PE57.25; 平均PE134.25; 平均PEG11.19, PB1.74; ROIC3.0933%; ROE2.4833%; 股利率0%; 毛利16.1467%; 净利1.0067%; 上一年度营收增8.33%, 利润增76.59%; 当季营收增-13.46%, 利润增-1.7%; 过往5年营收增11.99%, 利润增126.35%
Income profile:
</v>
      </c>
      <c r="D2" t="s">
        <v>283</v>
      </c>
      <c r="E2" t="s">
        <v>79</v>
      </c>
      <c r="F2">
        <v>5.48</v>
      </c>
      <c r="G2">
        <v>0.92</v>
      </c>
      <c r="H2" t="s">
        <v>2270</v>
      </c>
      <c r="I2">
        <v>5239656500</v>
      </c>
      <c r="J2">
        <v>57.25</v>
      </c>
      <c r="K2">
        <v>1.74</v>
      </c>
      <c r="L2" t="s">
        <v>101</v>
      </c>
      <c r="M2" t="s">
        <v>2271</v>
      </c>
      <c r="N2" t="s">
        <v>2272</v>
      </c>
      <c r="O2" t="s">
        <v>2273</v>
      </c>
      <c r="P2">
        <v>-13.45</v>
      </c>
      <c r="Q2" t="s">
        <v>2274</v>
      </c>
      <c r="R2">
        <v>25305399</v>
      </c>
      <c r="S2" s="6">
        <v>-1.7000000000000001E-2</v>
      </c>
      <c r="T2" t="s">
        <v>2275</v>
      </c>
      <c r="U2">
        <v>941001380</v>
      </c>
      <c r="V2">
        <v>956141690</v>
      </c>
      <c r="W2">
        <v>3.08</v>
      </c>
      <c r="X2">
        <v>0.17</v>
      </c>
      <c r="Y2">
        <v>1.85</v>
      </c>
      <c r="Z2" t="s">
        <v>2276</v>
      </c>
      <c r="AA2" t="s">
        <v>2277</v>
      </c>
      <c r="AB2" t="s">
        <v>2278</v>
      </c>
      <c r="AC2" t="s">
        <v>2279</v>
      </c>
      <c r="AD2" t="s">
        <v>5</v>
      </c>
      <c r="AE2">
        <v>16482829</v>
      </c>
      <c r="AF2" t="s">
        <v>127</v>
      </c>
      <c r="AG2" t="s">
        <v>2280</v>
      </c>
      <c r="AH2" t="s">
        <v>2281</v>
      </c>
      <c r="AI2" t="s">
        <v>677</v>
      </c>
      <c r="AJ2" t="s">
        <v>2282</v>
      </c>
      <c r="AK2" t="s">
        <v>5</v>
      </c>
      <c r="AL2" t="s">
        <v>2283</v>
      </c>
      <c r="AM2" t="s">
        <v>5</v>
      </c>
      <c r="AN2" t="s">
        <v>185</v>
      </c>
      <c r="AO2" t="s">
        <v>2284</v>
      </c>
      <c r="AP2" t="s">
        <v>1277</v>
      </c>
      <c r="AQ2" t="s">
        <v>2285</v>
      </c>
      <c r="AR2" t="s">
        <v>5</v>
      </c>
      <c r="AS2" t="s">
        <v>2286</v>
      </c>
      <c r="AT2" t="s">
        <v>5</v>
      </c>
      <c r="AU2" t="s">
        <v>2287</v>
      </c>
      <c r="AV2" t="s">
        <v>2288</v>
      </c>
      <c r="AW2" t="s">
        <v>2289</v>
      </c>
      <c r="AX2" t="s">
        <v>1837</v>
      </c>
      <c r="AY2" t="s">
        <v>1342</v>
      </c>
      <c r="AZ2" t="s">
        <v>821</v>
      </c>
      <c r="BA2" t="s">
        <v>284</v>
      </c>
      <c r="BB2" t="s">
        <v>823</v>
      </c>
      <c r="BC2" t="s">
        <v>2290</v>
      </c>
      <c r="BD2" t="s">
        <v>1343</v>
      </c>
      <c r="BE2" t="s">
        <v>822</v>
      </c>
      <c r="BF2" t="s">
        <v>285</v>
      </c>
      <c r="BG2" t="s">
        <v>824</v>
      </c>
      <c r="BH2" t="s">
        <v>2274</v>
      </c>
      <c r="BI2" t="s">
        <v>2291</v>
      </c>
      <c r="BJ2" t="s">
        <v>1837</v>
      </c>
      <c r="BK2" t="s">
        <v>2275</v>
      </c>
      <c r="BL2" t="s">
        <v>2292</v>
      </c>
      <c r="BM2" t="s">
        <v>2290</v>
      </c>
      <c r="BN2">
        <v>2.59</v>
      </c>
      <c r="BO2">
        <v>2.92</v>
      </c>
      <c r="BP2">
        <v>3.77</v>
      </c>
      <c r="BQ2">
        <v>2.96</v>
      </c>
      <c r="BR2">
        <v>2.06</v>
      </c>
      <c r="BS2">
        <v>2.4300000000000002</v>
      </c>
      <c r="BT2" t="s">
        <v>1720</v>
      </c>
      <c r="BU2" t="s">
        <v>1536</v>
      </c>
      <c r="BV2">
        <v>15.9</v>
      </c>
      <c r="BW2">
        <v>15.54</v>
      </c>
      <c r="BX2">
        <v>17</v>
      </c>
      <c r="BY2">
        <v>1.29</v>
      </c>
      <c r="BZ2">
        <v>0.87</v>
      </c>
      <c r="CA2">
        <v>0.86</v>
      </c>
      <c r="CB2">
        <v>2.2400000000000002</v>
      </c>
      <c r="CC2">
        <v>-8.0500000000000007</v>
      </c>
      <c r="CD2" t="s">
        <v>2293</v>
      </c>
      <c r="CE2" t="s">
        <v>237</v>
      </c>
      <c r="CF2" s="10">
        <v>-0.13457556935817805</v>
      </c>
      <c r="CG2" s="11">
        <v>-1.7014108470520598E-2</v>
      </c>
      <c r="CH2" s="10">
        <v>8.3333350718021393E-2</v>
      </c>
      <c r="CI2" s="10">
        <v>0.11523520946502686</v>
      </c>
      <c r="CJ2" s="10">
        <v>0.11878317594528198</v>
      </c>
      <c r="CK2" s="10">
        <v>-5.6921683251857758E-2</v>
      </c>
      <c r="CL2" s="10">
        <v>0.33929663896560669</v>
      </c>
      <c r="CM2" s="11">
        <v>0.76594692468643188</v>
      </c>
      <c r="CN2" s="11">
        <v>0.16933996975421906</v>
      </c>
      <c r="CO2" s="11">
        <v>5.25347900390625</v>
      </c>
      <c r="CP2" s="11">
        <v>-0.71454626321792603</v>
      </c>
      <c r="CQ2" s="11">
        <v>0.84311509132385254</v>
      </c>
      <c r="CR2">
        <v>134.25200206174034</v>
      </c>
      <c r="CS2">
        <v>11.192765295253171</v>
      </c>
      <c r="CT2">
        <v>0</v>
      </c>
      <c r="CU2" s="10">
        <v>0.11994533836841584</v>
      </c>
      <c r="CV2" s="11">
        <v>1.2634669452905656</v>
      </c>
      <c r="CW2">
        <v>0.06</v>
      </c>
      <c r="CX2">
        <v>92.245747852056226</v>
      </c>
      <c r="CY2">
        <v>97160646.51971072</v>
      </c>
      <c r="CZ2">
        <v>0.11994533836841584</v>
      </c>
      <c r="DA2">
        <v>29.392818428585411</v>
      </c>
      <c r="DB2">
        <v>304926746.7077449</v>
      </c>
      <c r="DC2">
        <v>0.11394807144999504</v>
      </c>
      <c r="DD2">
        <v>13.983277607616483</v>
      </c>
      <c r="DE2">
        <v>640955343.33940244</v>
      </c>
      <c r="DF2">
        <v>0.10555189776420594</v>
      </c>
      <c r="DG2">
        <v>8.075421294337314</v>
      </c>
      <c r="DH2">
        <v>1109868596.736227</v>
      </c>
      <c r="DI2">
        <v>9.595627069473267E-2</v>
      </c>
      <c r="DJ2">
        <v>3.8218232327468251</v>
      </c>
      <c r="DK2">
        <v>2345125861.1870308</v>
      </c>
      <c r="DL2">
        <v>8.3961736857891087E-2</v>
      </c>
      <c r="DM2">
        <v>91960100</v>
      </c>
      <c r="DN2">
        <v>0.11994533836841584</v>
      </c>
      <c r="DO2">
        <v>8962656500</v>
      </c>
      <c r="DP2">
        <v>1465773600.000001</v>
      </c>
      <c r="DQ2">
        <v>325</v>
      </c>
      <c r="DR2">
        <v>-0.25452090772659386</v>
      </c>
      <c r="DS2">
        <v>-1.2804810537610862</v>
      </c>
      <c r="DT2" s="12">
        <v>-0.34</v>
      </c>
      <c r="DU2">
        <v>0.89833333333333343</v>
      </c>
      <c r="DV2">
        <v>0.55833333333333335</v>
      </c>
      <c r="DW2">
        <v>-2.0804999999999998</v>
      </c>
      <c r="DX2">
        <v>0.30885138888888847</v>
      </c>
      <c r="DY2">
        <v>-2.0095675368055557</v>
      </c>
      <c r="DZ2">
        <v>634</v>
      </c>
      <c r="EA2">
        <v>-2.0083804882077625</v>
      </c>
      <c r="EB2">
        <v>2</v>
      </c>
      <c r="EC2">
        <v>1.7899648325134739E-2</v>
      </c>
      <c r="ED2">
        <v>0.15060529365684286</v>
      </c>
      <c r="EE2" s="13">
        <v>2.8900000000000002E-2</v>
      </c>
      <c r="EF2">
        <v>4.1000000000000454E-4</v>
      </c>
      <c r="EG2">
        <v>19.118851388888888</v>
      </c>
      <c r="EH2">
        <v>-1</v>
      </c>
      <c r="EI2">
        <v>0</v>
      </c>
      <c r="EJ2">
        <v>1</v>
      </c>
      <c r="EK2" s="15">
        <v>45470</v>
      </c>
      <c r="EL2" s="16">
        <v>-0.73</v>
      </c>
      <c r="EM2" s="16">
        <v>-2.94</v>
      </c>
      <c r="EN2" s="16">
        <v>-0.19</v>
      </c>
      <c r="EO2" s="16">
        <v>3.6</v>
      </c>
      <c r="EP2" s="16">
        <v>-2.93</v>
      </c>
    </row>
    <row r="3" spans="1:146" ht="108" x14ac:dyDescent="0.25">
      <c r="A3" s="8"/>
      <c r="B3" s="8"/>
      <c r="C3" s="8" t="str">
        <f>""&amp;CHAR(10)&amp;Basic_Fundamental_Information_Constructure(F3)&amp;CHAR(10)&amp;Basic_Fundamental_Information_Concatenate("")</f>
        <v xml:space="preserve">
市值13.62亿, 利润3066.66万; PE38.49; 平均PE63.51; 平均PEG7.53, PB3.29; ROIC3.94%; ROE4.5%; 股利率0%; 毛利6.82%; 净利.7933%; 上一年度营收增-8.72%, 利润增123.38%; 当季营收增-19.35%, 利润增781.67%; 过往5年营收增8.43%, 利润增17.5%
Income profile:
</v>
      </c>
      <c r="D3" t="s">
        <v>481</v>
      </c>
      <c r="E3" t="s">
        <v>16</v>
      </c>
      <c r="F3">
        <v>6</v>
      </c>
      <c r="G3">
        <v>1.18</v>
      </c>
      <c r="H3" t="s">
        <v>2294</v>
      </c>
      <c r="I3">
        <v>1362000000</v>
      </c>
      <c r="J3">
        <v>38.49</v>
      </c>
      <c r="K3">
        <v>3.29</v>
      </c>
      <c r="L3" t="s">
        <v>101</v>
      </c>
      <c r="M3" t="s">
        <v>2295</v>
      </c>
      <c r="N3" t="s">
        <v>1651</v>
      </c>
      <c r="O3" t="s">
        <v>195</v>
      </c>
      <c r="P3">
        <v>-19.28</v>
      </c>
      <c r="Q3" t="s">
        <v>2220</v>
      </c>
      <c r="R3">
        <v>4115935</v>
      </c>
      <c r="S3" s="6">
        <v>7.8170000000000002</v>
      </c>
      <c r="T3" t="s">
        <v>2296</v>
      </c>
      <c r="U3">
        <v>227000000</v>
      </c>
      <c r="V3">
        <v>227000000</v>
      </c>
      <c r="W3">
        <v>4.6500000000000004</v>
      </c>
      <c r="X3">
        <v>0.28000000000000003</v>
      </c>
      <c r="Y3">
        <v>0.63</v>
      </c>
      <c r="Z3" t="s">
        <v>967</v>
      </c>
      <c r="AA3" t="s">
        <v>1668</v>
      </c>
      <c r="AB3" t="s">
        <v>2297</v>
      </c>
      <c r="AC3" t="s">
        <v>2298</v>
      </c>
      <c r="AD3" t="s">
        <v>5</v>
      </c>
      <c r="AE3">
        <v>906224</v>
      </c>
      <c r="AF3" t="s">
        <v>127</v>
      </c>
      <c r="AG3" t="s">
        <v>2299</v>
      </c>
      <c r="AH3" t="s">
        <v>2300</v>
      </c>
      <c r="AI3" t="s">
        <v>178</v>
      </c>
      <c r="AJ3" t="s">
        <v>2301</v>
      </c>
      <c r="AK3" t="s">
        <v>2302</v>
      </c>
      <c r="AL3" t="s">
        <v>2303</v>
      </c>
      <c r="AM3" t="s">
        <v>5</v>
      </c>
      <c r="AN3" t="s">
        <v>2304</v>
      </c>
      <c r="AO3" t="s">
        <v>256</v>
      </c>
      <c r="AP3" t="s">
        <v>468</v>
      </c>
      <c r="AQ3" t="s">
        <v>2181</v>
      </c>
      <c r="AR3" t="s">
        <v>5</v>
      </c>
      <c r="AS3" t="s">
        <v>1548</v>
      </c>
      <c r="AT3" t="s">
        <v>5</v>
      </c>
      <c r="AU3" t="s">
        <v>2305</v>
      </c>
      <c r="AV3" t="s">
        <v>2306</v>
      </c>
      <c r="AW3" t="s">
        <v>2307</v>
      </c>
      <c r="AX3" t="s">
        <v>1839</v>
      </c>
      <c r="AY3" t="s">
        <v>1345</v>
      </c>
      <c r="AZ3" t="s">
        <v>1347</v>
      </c>
      <c r="BA3" t="s">
        <v>182</v>
      </c>
      <c r="BB3" t="s">
        <v>825</v>
      </c>
      <c r="BC3" t="s">
        <v>1840</v>
      </c>
      <c r="BD3" t="s">
        <v>1346</v>
      </c>
      <c r="BE3" t="s">
        <v>1348</v>
      </c>
      <c r="BF3" t="s">
        <v>482</v>
      </c>
      <c r="BG3" t="s">
        <v>826</v>
      </c>
      <c r="BH3" t="s">
        <v>2220</v>
      </c>
      <c r="BI3" t="s">
        <v>905</v>
      </c>
      <c r="BJ3" t="s">
        <v>1839</v>
      </c>
      <c r="BK3" t="s">
        <v>2296</v>
      </c>
      <c r="BL3" t="s">
        <v>2308</v>
      </c>
      <c r="BM3" t="s">
        <v>1840</v>
      </c>
      <c r="BN3">
        <v>4.54</v>
      </c>
      <c r="BO3">
        <v>4.0599999999999996</v>
      </c>
      <c r="BP3">
        <v>3.22</v>
      </c>
      <c r="BQ3">
        <v>4.84</v>
      </c>
      <c r="BR3">
        <v>3.59</v>
      </c>
      <c r="BS3">
        <v>5.07</v>
      </c>
      <c r="BT3" t="s">
        <v>1720</v>
      </c>
      <c r="BU3" t="s">
        <v>1537</v>
      </c>
      <c r="BV3">
        <v>7.79</v>
      </c>
      <c r="BW3">
        <v>6.68</v>
      </c>
      <c r="BX3">
        <v>5.99</v>
      </c>
      <c r="BY3">
        <v>1.27</v>
      </c>
      <c r="BZ3">
        <v>0.61</v>
      </c>
      <c r="CA3">
        <v>0.5</v>
      </c>
      <c r="CB3">
        <v>-1.32</v>
      </c>
      <c r="CC3">
        <v>-14.53</v>
      </c>
      <c r="CD3" t="s">
        <v>2309</v>
      </c>
      <c r="CE3" t="s">
        <v>197</v>
      </c>
      <c r="CF3" s="10">
        <v>-0.19350473612990526</v>
      </c>
      <c r="CG3" s="11">
        <v>7.8167191122888378</v>
      </c>
      <c r="CH3" s="10">
        <v>-8.7187521159648895E-2</v>
      </c>
      <c r="CI3" s="10">
        <v>-7.2463735938072205E-2</v>
      </c>
      <c r="CJ3" s="10">
        <v>0.15888476371765137</v>
      </c>
      <c r="CK3" s="10">
        <v>0.16928519308567047</v>
      </c>
      <c r="CL3" s="10">
        <v>0.2529526948928833</v>
      </c>
      <c r="CM3" s="11">
        <v>1.2337584495544434</v>
      </c>
      <c r="CN3" s="11">
        <v>-0.34400010108947754</v>
      </c>
      <c r="CO3" s="11">
        <v>0.25342285633087158</v>
      </c>
      <c r="CP3" s="11">
        <v>-0.29287651181221008</v>
      </c>
      <c r="CQ3" s="11">
        <v>2.49064601957798E-2</v>
      </c>
      <c r="CR3">
        <v>63.511307997202145</v>
      </c>
      <c r="CS3">
        <v>7.5344743215261829</v>
      </c>
      <c r="CT3">
        <v>0</v>
      </c>
      <c r="CU3" s="10">
        <v>8.4294278919696805E-2</v>
      </c>
      <c r="CV3" s="11">
        <v>0.17504223063588142</v>
      </c>
      <c r="CW3">
        <v>0.06</v>
      </c>
      <c r="CX3">
        <v>82.819426190129548</v>
      </c>
      <c r="CY3">
        <v>31369451.824451674</v>
      </c>
      <c r="CZ3">
        <v>8.4294278919696805E-2</v>
      </c>
      <c r="DA3">
        <v>27.195779866498242</v>
      </c>
      <c r="DB3">
        <v>95529527.476445243</v>
      </c>
      <c r="DC3">
        <v>8.0079564973711964E-2</v>
      </c>
      <c r="DD3">
        <v>13.474502010107466</v>
      </c>
      <c r="DE3">
        <v>192808609.77653894</v>
      </c>
      <c r="DF3">
        <v>7.4178965449333195E-2</v>
      </c>
      <c r="DG3">
        <v>8.1505963971584983</v>
      </c>
      <c r="DH3">
        <v>318749680.80933654</v>
      </c>
      <c r="DI3">
        <v>6.7435423135757441E-2</v>
      </c>
      <c r="DJ3">
        <v>4.2777495672402743</v>
      </c>
      <c r="DK3">
        <v>607328680.45757544</v>
      </c>
      <c r="DL3">
        <v>5.9005995243787759E-2</v>
      </c>
      <c r="DM3">
        <v>30666600</v>
      </c>
      <c r="DN3">
        <v>8.4294278919696805E-2</v>
      </c>
      <c r="DO3">
        <v>2598000000</v>
      </c>
      <c r="DP3">
        <v>91888799.999999762</v>
      </c>
      <c r="DQ3">
        <v>326</v>
      </c>
      <c r="DR3">
        <v>-0.27779901504960208</v>
      </c>
      <c r="DS3">
        <v>7.6416768816529563</v>
      </c>
      <c r="DT3" s="12">
        <v>-9.000000000000008E-2</v>
      </c>
      <c r="DU3">
        <v>0.42</v>
      </c>
      <c r="DV3">
        <v>0.3299999999999999</v>
      </c>
      <c r="DW3">
        <v>-2.1452999999999998</v>
      </c>
      <c r="DX3">
        <v>0.29386071428571559</v>
      </c>
      <c r="DY3">
        <v>-2.0179969617857143</v>
      </c>
      <c r="DZ3">
        <v>992</v>
      </c>
      <c r="EA3">
        <v>-2.0145032267384679</v>
      </c>
      <c r="EB3">
        <v>2</v>
      </c>
      <c r="EC3">
        <v>6.1111894273127756E-2</v>
      </c>
      <c r="ED3">
        <v>0.49339207048458156</v>
      </c>
      <c r="EE3" s="13">
        <v>-3.03321</v>
      </c>
      <c r="EF3">
        <v>-3.0463100000000001</v>
      </c>
      <c r="EG3">
        <v>17.123860714285716</v>
      </c>
      <c r="EH3" t="s">
        <v>2118</v>
      </c>
      <c r="EI3">
        <v>0</v>
      </c>
      <c r="EJ3">
        <v>1</v>
      </c>
      <c r="EK3" s="15">
        <v>45470</v>
      </c>
      <c r="EL3" s="16">
        <v>0</v>
      </c>
      <c r="EM3" s="16">
        <v>-4.63</v>
      </c>
      <c r="EN3" s="16">
        <v>2.25</v>
      </c>
      <c r="EO3" s="16">
        <v>3.22</v>
      </c>
      <c r="EP3" s="16">
        <v>-1.31</v>
      </c>
    </row>
    <row r="4" spans="1:146" ht="96" x14ac:dyDescent="0.25">
      <c r="C4" s="8" t="str">
        <f>""&amp;CHAR(10)&amp;Basic_Fundamental_Information_Constructure(F4)&amp;CHAR(10)&amp;Basic_Fundamental_Information_Concatenate("")</f>
        <v xml:space="preserve">
市值17.524703亿, 利润1.14亿; PE17.05; 平均PE12.86; 平均PEG1.77, PB1.19; ROIC28.2%; ROE21.145%; 股利率4.6125%; 毛利42.2267%; 净利38.1167%; 上一年度营收增-22.33%, 利润增-48.42%; 当季营收增-26.29%, 利润增-35.27%; 过往5年营收增7.27%, 利润增24.58%
Income profile:
</v>
      </c>
      <c r="D4" t="s">
        <v>1810</v>
      </c>
      <c r="E4" t="s">
        <v>1811</v>
      </c>
      <c r="F4">
        <v>27.1</v>
      </c>
      <c r="G4">
        <v>1.54</v>
      </c>
      <c r="H4" t="s">
        <v>2310</v>
      </c>
      <c r="I4">
        <v>1752470300</v>
      </c>
      <c r="J4">
        <v>17.05</v>
      </c>
      <c r="K4">
        <v>1.19</v>
      </c>
      <c r="L4" t="s">
        <v>101</v>
      </c>
      <c r="M4" t="s">
        <v>165</v>
      </c>
      <c r="N4" t="s">
        <v>2130</v>
      </c>
      <c r="O4" t="s">
        <v>2311</v>
      </c>
      <c r="P4">
        <v>-26.46</v>
      </c>
      <c r="Q4" t="s">
        <v>2127</v>
      </c>
      <c r="R4">
        <v>20303317</v>
      </c>
      <c r="S4">
        <v>-0.35270000000000001</v>
      </c>
      <c r="T4" t="s">
        <v>207</v>
      </c>
      <c r="U4">
        <v>18166453</v>
      </c>
      <c r="V4">
        <v>64666800</v>
      </c>
      <c r="W4">
        <v>1.08</v>
      </c>
      <c r="X4">
        <v>0.05</v>
      </c>
      <c r="Y4">
        <v>24.37</v>
      </c>
      <c r="Z4" t="s">
        <v>2312</v>
      </c>
      <c r="AA4" t="s">
        <v>2313</v>
      </c>
      <c r="AB4" t="s">
        <v>2314</v>
      </c>
      <c r="AC4" t="s">
        <v>2315</v>
      </c>
      <c r="AD4" t="s">
        <v>5</v>
      </c>
      <c r="AE4">
        <v>-8091519</v>
      </c>
      <c r="AF4" t="s">
        <v>2316</v>
      </c>
      <c r="AG4">
        <v>80.069999999999993</v>
      </c>
      <c r="AH4" t="s">
        <v>2317</v>
      </c>
      <c r="AI4" t="s">
        <v>966</v>
      </c>
      <c r="AJ4" t="s">
        <v>2318</v>
      </c>
      <c r="AK4" t="s">
        <v>5</v>
      </c>
      <c r="AL4" t="s">
        <v>2319</v>
      </c>
      <c r="AM4" t="s">
        <v>5</v>
      </c>
      <c r="AN4" t="s">
        <v>2320</v>
      </c>
      <c r="AO4" t="s">
        <v>5</v>
      </c>
      <c r="AP4" t="s">
        <v>2321</v>
      </c>
      <c r="AQ4" t="s">
        <v>2322</v>
      </c>
      <c r="AR4" t="s">
        <v>5</v>
      </c>
      <c r="AS4" t="s">
        <v>256</v>
      </c>
      <c r="AT4" t="s">
        <v>5</v>
      </c>
      <c r="AU4" t="s">
        <v>2323</v>
      </c>
      <c r="AV4" t="s">
        <v>2324</v>
      </c>
      <c r="AW4" t="s">
        <v>2325</v>
      </c>
      <c r="AX4" t="s">
        <v>1843</v>
      </c>
      <c r="AY4" t="s">
        <v>133</v>
      </c>
      <c r="AZ4" t="s">
        <v>557</v>
      </c>
      <c r="BA4" t="s">
        <v>1845</v>
      </c>
      <c r="BB4" t="s">
        <v>155</v>
      </c>
      <c r="BC4" t="s">
        <v>280</v>
      </c>
      <c r="BD4" t="s">
        <v>173</v>
      </c>
      <c r="BE4" t="s">
        <v>310</v>
      </c>
      <c r="BF4" t="s">
        <v>692</v>
      </c>
      <c r="BG4" t="s">
        <v>1846</v>
      </c>
      <c r="BH4" t="s">
        <v>2127</v>
      </c>
      <c r="BI4" t="s">
        <v>169</v>
      </c>
      <c r="BJ4" t="s">
        <v>1843</v>
      </c>
      <c r="BK4" t="s">
        <v>207</v>
      </c>
      <c r="BL4" t="s">
        <v>2326</v>
      </c>
      <c r="BM4" t="s">
        <v>280</v>
      </c>
      <c r="BN4">
        <v>6.37</v>
      </c>
      <c r="BO4">
        <v>33.85</v>
      </c>
      <c r="BP4">
        <v>44.38</v>
      </c>
      <c r="BQ4">
        <v>6.8</v>
      </c>
      <c r="BR4">
        <v>35.49</v>
      </c>
      <c r="BS4" t="s">
        <v>5</v>
      </c>
      <c r="BT4" t="s">
        <v>1847</v>
      </c>
      <c r="BU4" t="s">
        <v>1536</v>
      </c>
      <c r="BV4">
        <v>39.33</v>
      </c>
      <c r="BW4">
        <v>41.38</v>
      </c>
      <c r="BX4">
        <v>45.97</v>
      </c>
      <c r="BY4">
        <v>29.53</v>
      </c>
      <c r="BZ4">
        <v>44.51</v>
      </c>
      <c r="CA4">
        <v>40.31</v>
      </c>
      <c r="CB4">
        <v>-2.2000000000000002</v>
      </c>
      <c r="CC4" s="10">
        <v>-13.83</v>
      </c>
      <c r="CD4" s="11" t="s">
        <v>2327</v>
      </c>
      <c r="CE4" s="10" t="s">
        <v>2328</v>
      </c>
      <c r="CF4" s="10">
        <v>-0.26285929203539815</v>
      </c>
      <c r="CG4" s="10">
        <v>-0.35268632733417288</v>
      </c>
      <c r="CH4" s="10">
        <v>-0.22334003448486328</v>
      </c>
      <c r="CI4" s="10">
        <v>-2.9296875E-2</v>
      </c>
      <c r="CJ4" s="11">
        <v>0.24878048896789551</v>
      </c>
      <c r="CK4" s="11">
        <v>0.22388060390949249</v>
      </c>
      <c r="CL4" s="11">
        <v>0.14334471523761749</v>
      </c>
      <c r="CM4" s="11">
        <v>-0.48416289687156677</v>
      </c>
      <c r="CN4" s="11">
        <v>7.2815537452697754E-2</v>
      </c>
      <c r="CO4">
        <v>0.85585588216781616</v>
      </c>
      <c r="CP4">
        <v>5.714285746216774E-2</v>
      </c>
      <c r="CQ4">
        <v>0.72730040550231934</v>
      </c>
      <c r="CR4" s="10">
        <v>12.857629815043865</v>
      </c>
      <c r="CS4" s="11">
        <v>1.7692254157573211</v>
      </c>
      <c r="CT4">
        <v>4.6125461254612548</v>
      </c>
      <c r="CU4">
        <v>7.267377972602844E-2</v>
      </c>
      <c r="CV4">
        <v>0.24579035714268685</v>
      </c>
      <c r="CW4">
        <v>0.06</v>
      </c>
      <c r="CX4">
        <v>3.826791852552029</v>
      </c>
      <c r="CY4">
        <v>115363029.14034642</v>
      </c>
      <c r="CZ4">
        <v>7.267377972602844E-2</v>
      </c>
      <c r="DA4">
        <v>1.2690790988135416</v>
      </c>
      <c r="DB4">
        <v>347866654.18469918</v>
      </c>
      <c r="DC4">
        <v>6.9040090739727014E-2</v>
      </c>
      <c r="DD4">
        <v>0.63705759344472079</v>
      </c>
      <c r="DE4">
        <v>692983341.76171708</v>
      </c>
      <c r="DF4">
        <v>6.3952926158905021E-2</v>
      </c>
      <c r="DG4">
        <v>0.39101043315352768</v>
      </c>
      <c r="DH4">
        <v>1129049924.4214785</v>
      </c>
      <c r="DI4">
        <v>5.8139023780822752E-2</v>
      </c>
      <c r="DJ4">
        <v>0.21177109744462305</v>
      </c>
      <c r="DK4">
        <v>2084657941.1784084</v>
      </c>
      <c r="DL4">
        <v>5.0871645808219908E-2</v>
      </c>
      <c r="DM4">
        <v>113999999.99999999</v>
      </c>
      <c r="DN4">
        <v>7.267377972602844E-2</v>
      </c>
      <c r="DO4">
        <v>441470300</v>
      </c>
      <c r="DP4">
        <v>1179316610</v>
      </c>
      <c r="DQ4" s="12">
        <v>447</v>
      </c>
      <c r="DR4">
        <v>-0.3355330717614266</v>
      </c>
      <c r="DS4">
        <v>-0.59847668447685975</v>
      </c>
      <c r="DT4">
        <v>-0.35666666666666669</v>
      </c>
      <c r="DU4">
        <v>7.999999999999996E-2</v>
      </c>
      <c r="DV4">
        <v>-0.27666666666666673</v>
      </c>
      <c r="DW4">
        <v>-2.1383000000000001</v>
      </c>
      <c r="DX4">
        <v>0.35265924533329551</v>
      </c>
      <c r="DY4">
        <v>-2.0169637736295947</v>
      </c>
      <c r="DZ4">
        <v>2379</v>
      </c>
      <c r="EA4">
        <v>-2.0090661576873625</v>
      </c>
      <c r="EB4" s="13">
        <v>2</v>
      </c>
      <c r="EC4" s="13">
        <v>1.2813375642524449E-2</v>
      </c>
      <c r="ED4">
        <v>0.10446318667384191</v>
      </c>
      <c r="EE4">
        <v>2.0874999999999999</v>
      </c>
      <c r="EF4">
        <v>2.0861000000000001</v>
      </c>
      <c r="EG4">
        <v>23.122659245333296</v>
      </c>
      <c r="EH4" s="15" t="s">
        <v>1871</v>
      </c>
      <c r="EI4" s="16">
        <v>0</v>
      </c>
      <c r="EJ4" s="16">
        <v>0</v>
      </c>
      <c r="EK4" s="16">
        <v>45470</v>
      </c>
      <c r="EL4" s="16">
        <v>-0.5</v>
      </c>
      <c r="EM4" s="16">
        <v>-4</v>
      </c>
      <c r="EN4" s="16">
        <v>1.35</v>
      </c>
      <c r="EO4" s="16">
        <v>2.74</v>
      </c>
      <c r="EP4" s="16">
        <v>-0.14000000000000001</v>
      </c>
    </row>
    <row r="5" spans="1:146" ht="108" x14ac:dyDescent="0.25">
      <c r="C5" s="8" t="str">
        <f>""&amp;CHAR(10)&amp;Basic_Fundamental_Information_Constructure(F5)&amp;CHAR(10)&amp;Basic_Fundamental_Information_Concatenate("")</f>
        <v xml:space="preserve">
市值19.224173亿, 利润8327.36万; PE21.99; 平均PE22.05; 平均PEG6.02, PB1.73; ROIC11.25%; ROE13.1867%; 股利率1.4837%; 毛利32.9133%; 净利20.7033%; 上一年度营收增7.2%, 利润增2.86%; 当季营收增45.03%, 利润增22.23%; 过往5年营收增3.66%, 利润增2.96%
Income profile:
</v>
      </c>
      <c r="D5" t="s">
        <v>1652</v>
      </c>
      <c r="E5" t="s">
        <v>1653</v>
      </c>
      <c r="F5">
        <v>13.48</v>
      </c>
      <c r="G5">
        <v>2.04</v>
      </c>
      <c r="H5" t="s">
        <v>2329</v>
      </c>
      <c r="I5">
        <v>1922417300</v>
      </c>
      <c r="J5">
        <v>21.99</v>
      </c>
      <c r="K5">
        <v>1.73</v>
      </c>
      <c r="L5" t="s">
        <v>101</v>
      </c>
      <c r="M5" t="s">
        <v>206</v>
      </c>
      <c r="N5" t="s">
        <v>2330</v>
      </c>
      <c r="O5" t="s">
        <v>353</v>
      </c>
      <c r="P5" s="6">
        <v>45.35</v>
      </c>
      <c r="Q5" t="s">
        <v>920</v>
      </c>
      <c r="R5">
        <v>22793919</v>
      </c>
      <c r="S5">
        <v>0.2223</v>
      </c>
      <c r="T5" t="s">
        <v>2331</v>
      </c>
      <c r="U5">
        <v>40942880</v>
      </c>
      <c r="V5">
        <v>142612560</v>
      </c>
      <c r="W5">
        <v>1.23</v>
      </c>
      <c r="X5">
        <v>0.08</v>
      </c>
      <c r="Y5">
        <v>22.3</v>
      </c>
      <c r="Z5" t="s">
        <v>2332</v>
      </c>
      <c r="AA5" t="s">
        <v>2333</v>
      </c>
      <c r="AB5" t="s">
        <v>2334</v>
      </c>
      <c r="AC5" t="s">
        <v>2335</v>
      </c>
      <c r="AD5" t="s">
        <v>5</v>
      </c>
      <c r="AE5">
        <v>-2585462</v>
      </c>
      <c r="AF5" t="s">
        <v>2336</v>
      </c>
      <c r="AG5" t="s">
        <v>2337</v>
      </c>
      <c r="AH5" t="s">
        <v>2338</v>
      </c>
      <c r="AI5" t="s">
        <v>162</v>
      </c>
      <c r="AJ5" t="s">
        <v>2339</v>
      </c>
      <c r="AK5" t="s">
        <v>5</v>
      </c>
      <c r="AL5" t="s">
        <v>2340</v>
      </c>
      <c r="AM5" t="s">
        <v>5</v>
      </c>
      <c r="AN5" t="s">
        <v>2341</v>
      </c>
      <c r="AO5" t="s">
        <v>2342</v>
      </c>
      <c r="AP5" t="s">
        <v>2343</v>
      </c>
      <c r="AQ5" t="s">
        <v>2344</v>
      </c>
      <c r="AR5" t="s">
        <v>5</v>
      </c>
      <c r="AS5" t="s">
        <v>605</v>
      </c>
      <c r="AT5" t="s">
        <v>5</v>
      </c>
      <c r="AU5" t="s">
        <v>2345</v>
      </c>
      <c r="AV5" t="s">
        <v>2346</v>
      </c>
      <c r="AW5" t="s">
        <v>2347</v>
      </c>
      <c r="AX5" t="s">
        <v>312</v>
      </c>
      <c r="AY5" t="s">
        <v>1463</v>
      </c>
      <c r="AZ5" t="s">
        <v>129</v>
      </c>
      <c r="BA5" t="s">
        <v>574</v>
      </c>
      <c r="BB5" t="s">
        <v>601</v>
      </c>
      <c r="BC5" t="s">
        <v>1850</v>
      </c>
      <c r="BD5" t="s">
        <v>1654</v>
      </c>
      <c r="BE5" t="s">
        <v>153</v>
      </c>
      <c r="BF5" t="s">
        <v>1655</v>
      </c>
      <c r="BG5" t="s">
        <v>1656</v>
      </c>
      <c r="BH5" t="s">
        <v>920</v>
      </c>
      <c r="BI5" t="s">
        <v>2348</v>
      </c>
      <c r="BJ5" t="s">
        <v>312</v>
      </c>
      <c r="BK5" t="s">
        <v>2331</v>
      </c>
      <c r="BL5" t="s">
        <v>2349</v>
      </c>
      <c r="BM5" t="s">
        <v>1850</v>
      </c>
      <c r="BN5">
        <v>4.82</v>
      </c>
      <c r="BO5">
        <v>9.39</v>
      </c>
      <c r="BP5">
        <v>19.54</v>
      </c>
      <c r="BQ5">
        <v>6.2</v>
      </c>
      <c r="BR5">
        <v>13.34</v>
      </c>
      <c r="BS5">
        <v>20.02</v>
      </c>
      <c r="BT5" t="s">
        <v>2350</v>
      </c>
      <c r="BU5" t="s">
        <v>1590</v>
      </c>
      <c r="BV5">
        <v>32.67</v>
      </c>
      <c r="BW5">
        <v>33.75</v>
      </c>
      <c r="BX5">
        <v>32.32</v>
      </c>
      <c r="BY5">
        <v>19.989999999999998</v>
      </c>
      <c r="BZ5">
        <v>20.81</v>
      </c>
      <c r="CA5">
        <v>21.31</v>
      </c>
      <c r="CB5">
        <v>-1.75</v>
      </c>
      <c r="CC5" s="10">
        <v>-10.130000000000001</v>
      </c>
      <c r="CD5" s="11" t="s">
        <v>2351</v>
      </c>
      <c r="CE5" s="10" t="s">
        <v>2352</v>
      </c>
      <c r="CF5" s="10">
        <v>0.45031601248409275</v>
      </c>
      <c r="CG5" s="10">
        <v>0.22233168346033602</v>
      </c>
      <c r="CH5" s="10">
        <v>7.1979433298110962E-2</v>
      </c>
      <c r="CI5" s="10">
        <v>-0.13747228682041168</v>
      </c>
      <c r="CJ5" s="11">
        <v>0.18684209883213043</v>
      </c>
      <c r="CK5" s="11">
        <v>-5.2356021478772163E-3</v>
      </c>
      <c r="CL5" s="11">
        <v>6.7039109766483307E-2</v>
      </c>
      <c r="CM5" s="11">
        <v>2.8570773079991341E-2</v>
      </c>
      <c r="CN5" s="11">
        <v>-0.15834915637969971</v>
      </c>
      <c r="CO5">
        <v>-6.6092275083065033E-2</v>
      </c>
      <c r="CP5">
        <v>0.21632802486419678</v>
      </c>
      <c r="CQ5">
        <v>0.1275569349527359</v>
      </c>
      <c r="CR5" s="10">
        <v>22.045686514244494</v>
      </c>
      <c r="CS5" s="11">
        <v>6.0183879744517172</v>
      </c>
      <c r="CT5">
        <v>1.4836795252225519</v>
      </c>
      <c r="CU5">
        <v>3.6630550585687163E-2</v>
      </c>
      <c r="CV5">
        <v>2.9602860286831855E-2</v>
      </c>
      <c r="CW5">
        <v>0.06</v>
      </c>
      <c r="CX5">
        <v>12.947533526742742</v>
      </c>
      <c r="CY5">
        <v>81437696.054011583</v>
      </c>
      <c r="CZ5">
        <v>3.6630550585687163E-2</v>
      </c>
      <c r="DA5">
        <v>4.4279206433368117</v>
      </c>
      <c r="DB5">
        <v>238129222.47978854</v>
      </c>
      <c r="DC5">
        <v>3.4799023056402804E-2</v>
      </c>
      <c r="DD5">
        <v>2.3134147221245756</v>
      </c>
      <c r="DE5">
        <v>455783949.98353451</v>
      </c>
      <c r="DF5">
        <v>3.2234884515404703E-2</v>
      </c>
      <c r="DG5">
        <v>1.4830317607999186</v>
      </c>
      <c r="DH5">
        <v>710987672.59796762</v>
      </c>
      <c r="DI5">
        <v>2.9304440468549731E-2</v>
      </c>
      <c r="DJ5">
        <v>0.87886586930318189</v>
      </c>
      <c r="DK5">
        <v>1199747693.9638195</v>
      </c>
      <c r="DL5">
        <v>2.5641385409981014E-2</v>
      </c>
      <c r="DM5">
        <v>83273600</v>
      </c>
      <c r="DN5">
        <v>3.6630550585687163E-2</v>
      </c>
      <c r="DO5">
        <v>1054417300</v>
      </c>
      <c r="DP5">
        <v>472673800</v>
      </c>
      <c r="DQ5" s="12">
        <v>459</v>
      </c>
      <c r="DR5">
        <v>0.4136854618984056</v>
      </c>
      <c r="DS5">
        <v>0.19272882317350418</v>
      </c>
      <c r="DT5">
        <v>-0.3066666666666667</v>
      </c>
      <c r="DU5">
        <v>-3.3333333333333347E-2</v>
      </c>
      <c r="DV5">
        <v>-0.34</v>
      </c>
      <c r="DW5">
        <v>-2.1013000000000002</v>
      </c>
      <c r="DX5">
        <v>0.2582972514022327</v>
      </c>
      <c r="DY5">
        <v>-2.0109705115670464</v>
      </c>
      <c r="DZ5">
        <v>2541</v>
      </c>
      <c r="EA5">
        <v>-2.0055153119795972</v>
      </c>
      <c r="EB5" s="13">
        <v>2</v>
      </c>
      <c r="EC5">
        <v>2.0660171867050138E-2</v>
      </c>
      <c r="ED5">
        <v>0.19077281832680096</v>
      </c>
      <c r="EE5">
        <v>2.1399999999999999E-2</v>
      </c>
      <c r="EF5">
        <v>1.7099999999999997E-2</v>
      </c>
      <c r="EG5">
        <v>15.108297251402233</v>
      </c>
      <c r="EH5" s="15" t="s">
        <v>1547</v>
      </c>
      <c r="EI5" s="16">
        <v>0</v>
      </c>
      <c r="EJ5" s="16">
        <v>0</v>
      </c>
      <c r="EK5" s="16">
        <v>45470</v>
      </c>
      <c r="EL5" s="16">
        <v>-1.08</v>
      </c>
      <c r="EM5" s="16">
        <v>-3.73</v>
      </c>
      <c r="EN5" s="16">
        <v>1.59</v>
      </c>
      <c r="EO5" s="16">
        <v>3.29</v>
      </c>
      <c r="EP5" s="16">
        <v>-0.43</v>
      </c>
    </row>
    <row r="6" spans="1:146" ht="108" x14ac:dyDescent="0.25">
      <c r="A6" s="8"/>
      <c r="B6" s="8"/>
      <c r="C6" s="8" t="str">
        <f>""&amp;CHAR(10)&amp;Basic_Fundamental_Information_Constructure(F6)&amp;CHAR(10)&amp;Basic_Fundamental_Information_Concatenate("")</f>
        <v xml:space="preserve">
市值44.434364亿, 利润1.02亿; PE42.11; 平均PE46.97; 平均PEG7.01, PB2.26; ROIC4.0633%; ROE5.2%; 股利率.9003%; 毛利24.8533%; 净利9.9633%; 上一年度营收增15.21%, 利润增18.24%; 当季营收增33.33%, 利润增11.86%; 过往5年营收增6.7%, 利润增1.26%
Income profile:
</v>
      </c>
      <c r="D6" t="s">
        <v>1349</v>
      </c>
      <c r="E6" t="s">
        <v>1350</v>
      </c>
      <c r="F6">
        <v>27.77</v>
      </c>
      <c r="G6">
        <v>2.85</v>
      </c>
      <c r="H6" t="s">
        <v>2353</v>
      </c>
      <c r="I6">
        <v>4443436400</v>
      </c>
      <c r="J6">
        <v>42.11</v>
      </c>
      <c r="K6">
        <v>2.2599999999999998</v>
      </c>
      <c r="L6" t="s">
        <v>101</v>
      </c>
      <c r="M6" t="s">
        <v>2354</v>
      </c>
      <c r="N6" t="s">
        <v>2355</v>
      </c>
      <c r="O6" t="s">
        <v>654</v>
      </c>
      <c r="P6">
        <v>33.549999999999997</v>
      </c>
      <c r="Q6" t="s">
        <v>1380</v>
      </c>
      <c r="R6">
        <v>30540242</v>
      </c>
      <c r="S6" s="6">
        <v>0.1186</v>
      </c>
      <c r="T6" t="s">
        <v>353</v>
      </c>
      <c r="U6">
        <v>59163189</v>
      </c>
      <c r="V6">
        <v>160008510</v>
      </c>
      <c r="W6">
        <v>1.63</v>
      </c>
      <c r="X6">
        <v>0.08</v>
      </c>
      <c r="Y6">
        <v>11.56</v>
      </c>
      <c r="Z6" t="s">
        <v>280</v>
      </c>
      <c r="AA6" t="s">
        <v>536</v>
      </c>
      <c r="AB6" t="s">
        <v>2356</v>
      </c>
      <c r="AC6" t="s">
        <v>2357</v>
      </c>
      <c r="AD6" t="s">
        <v>5</v>
      </c>
      <c r="AE6">
        <v>4265424</v>
      </c>
      <c r="AF6" t="s">
        <v>2358</v>
      </c>
      <c r="AG6" t="s">
        <v>2359</v>
      </c>
      <c r="AH6" t="s">
        <v>2360</v>
      </c>
      <c r="AI6" t="s">
        <v>718</v>
      </c>
      <c r="AJ6" t="s">
        <v>2361</v>
      </c>
      <c r="AK6" t="s">
        <v>2362</v>
      </c>
      <c r="AL6" t="s">
        <v>2363</v>
      </c>
      <c r="AM6" t="s">
        <v>5</v>
      </c>
      <c r="AN6" t="s">
        <v>224</v>
      </c>
      <c r="AO6" t="s">
        <v>5</v>
      </c>
      <c r="AP6" t="s">
        <v>757</v>
      </c>
      <c r="AQ6" t="s">
        <v>1602</v>
      </c>
      <c r="AR6" t="s">
        <v>5</v>
      </c>
      <c r="AS6" t="s">
        <v>1107</v>
      </c>
      <c r="AT6" t="s">
        <v>5</v>
      </c>
      <c r="AU6" t="s">
        <v>2238</v>
      </c>
      <c r="AV6" t="s">
        <v>2364</v>
      </c>
      <c r="AW6" t="s">
        <v>2365</v>
      </c>
      <c r="AX6" t="s">
        <v>1674</v>
      </c>
      <c r="AY6" t="s">
        <v>922</v>
      </c>
      <c r="AZ6" t="s">
        <v>1006</v>
      </c>
      <c r="BA6" t="s">
        <v>1261</v>
      </c>
      <c r="BB6" t="s">
        <v>931</v>
      </c>
      <c r="BC6" t="s">
        <v>2366</v>
      </c>
      <c r="BD6" t="s">
        <v>1351</v>
      </c>
      <c r="BE6" t="s">
        <v>441</v>
      </c>
      <c r="BF6" t="s">
        <v>1352</v>
      </c>
      <c r="BG6" t="s">
        <v>1353</v>
      </c>
      <c r="BH6" t="s">
        <v>1380</v>
      </c>
      <c r="BI6" t="s">
        <v>467</v>
      </c>
      <c r="BJ6" t="s">
        <v>1674</v>
      </c>
      <c r="BK6" t="s">
        <v>353</v>
      </c>
      <c r="BL6" t="s">
        <v>2367</v>
      </c>
      <c r="BM6" t="s">
        <v>2366</v>
      </c>
      <c r="BN6">
        <v>2.76</v>
      </c>
      <c r="BO6">
        <v>4.1100000000000003</v>
      </c>
      <c r="BP6">
        <v>5.32</v>
      </c>
      <c r="BQ6">
        <v>3.75</v>
      </c>
      <c r="BR6">
        <v>4.79</v>
      </c>
      <c r="BS6">
        <v>7.06</v>
      </c>
      <c r="BT6" t="s">
        <v>1882</v>
      </c>
      <c r="BU6" t="s">
        <v>1536</v>
      </c>
      <c r="BV6">
        <v>23.95</v>
      </c>
      <c r="BW6">
        <v>24.95</v>
      </c>
      <c r="BX6">
        <v>25.66</v>
      </c>
      <c r="BY6">
        <v>9.67</v>
      </c>
      <c r="BZ6">
        <v>9.39</v>
      </c>
      <c r="CA6">
        <v>10.83</v>
      </c>
      <c r="CB6">
        <v>0.33</v>
      </c>
      <c r="CC6">
        <v>19.7</v>
      </c>
      <c r="CD6" t="s">
        <v>2368</v>
      </c>
      <c r="CE6" t="s">
        <v>2369</v>
      </c>
      <c r="CF6" s="10">
        <v>0.33333333333333331</v>
      </c>
      <c r="CG6" s="11">
        <v>0.11855087644762191</v>
      </c>
      <c r="CH6" s="10">
        <v>0.152078777551651</v>
      </c>
      <c r="CI6" s="10">
        <v>0.15989847481250763</v>
      </c>
      <c r="CJ6" s="10">
        <v>0.14037626981735229</v>
      </c>
      <c r="CK6" s="10">
        <v>-0.10838709771633148</v>
      </c>
      <c r="CL6" s="10">
        <v>-8.9514069259166718E-3</v>
      </c>
      <c r="CM6" s="11">
        <v>0.18243047595024109</v>
      </c>
      <c r="CN6" s="11">
        <v>1.1289565823972225E-2</v>
      </c>
      <c r="CO6" s="11">
        <v>-0.15544554591178894</v>
      </c>
      <c r="CP6" s="11">
        <v>7.2164073586463928E-2</v>
      </c>
      <c r="CQ6" s="11">
        <v>-4.7517012804746628E-2</v>
      </c>
      <c r="CR6">
        <v>46.965284017992964</v>
      </c>
      <c r="CS6">
        <v>7.0094296612373164</v>
      </c>
      <c r="CT6">
        <v>0.90025207057976231</v>
      </c>
      <c r="CU6" s="10">
        <v>6.7003003507852557E-2</v>
      </c>
      <c r="CV6" s="11">
        <v>1.2584311328828335E-2</v>
      </c>
      <c r="CW6">
        <v>0.06</v>
      </c>
      <c r="CX6">
        <v>37.014639214551764</v>
      </c>
      <c r="CY6">
        <v>102673873.92245375</v>
      </c>
      <c r="CZ6">
        <v>6.7003003507852557E-2</v>
      </c>
      <c r="DA6">
        <v>12.334519642493797</v>
      </c>
      <c r="DB6">
        <v>308113855.27386671</v>
      </c>
      <c r="DC6">
        <v>6.365285333245993E-2</v>
      </c>
      <c r="DD6">
        <v>6.2311718490342987</v>
      </c>
      <c r="DE6">
        <v>609907171.88918293</v>
      </c>
      <c r="DF6">
        <v>5.8962643086910252E-2</v>
      </c>
      <c r="DG6">
        <v>3.8514810605520404</v>
      </c>
      <c r="DH6">
        <v>986746745.01846719</v>
      </c>
      <c r="DI6">
        <v>5.3602402806282048E-2</v>
      </c>
      <c r="DJ6">
        <v>2.1173152905825625</v>
      </c>
      <c r="DK6">
        <v>1794931731.1898031</v>
      </c>
      <c r="DL6">
        <v>4.6902102455496787E-2</v>
      </c>
      <c r="DM6">
        <v>102000000</v>
      </c>
      <c r="DN6">
        <v>6.7003003507852557E-2</v>
      </c>
      <c r="DO6">
        <v>3800436400</v>
      </c>
      <c r="DP6">
        <v>2295036800</v>
      </c>
      <c r="DQ6">
        <v>473</v>
      </c>
      <c r="DR6">
        <v>0.26633032982548077</v>
      </c>
      <c r="DS6">
        <v>0.10596656511879357</v>
      </c>
      <c r="DT6" s="12">
        <v>-0.12333333333333336</v>
      </c>
      <c r="DU6">
        <v>0.25333333333333335</v>
      </c>
      <c r="DV6">
        <v>0.13</v>
      </c>
      <c r="DW6">
        <v>3.0418452380952381</v>
      </c>
      <c r="DX6">
        <v>0.31274448713094838</v>
      </c>
      <c r="DY6">
        <v>3.0042993675269676</v>
      </c>
      <c r="DZ6">
        <v>1404</v>
      </c>
      <c r="EA6">
        <v>3.003118093161437</v>
      </c>
      <c r="EB6">
        <v>3</v>
      </c>
      <c r="EC6">
        <v>4.1384048885899874E-2</v>
      </c>
      <c r="ED6">
        <v>0.40278607681553935</v>
      </c>
      <c r="EE6" s="13">
        <v>3.6410000000000005E-2</v>
      </c>
      <c r="EF6">
        <v>2.6110000000000001E-2</v>
      </c>
      <c r="EG6">
        <v>21.102744487130948</v>
      </c>
      <c r="EH6">
        <v>-1</v>
      </c>
      <c r="EI6">
        <v>0</v>
      </c>
      <c r="EJ6">
        <v>1</v>
      </c>
      <c r="EK6" s="15">
        <v>45470</v>
      </c>
      <c r="EL6" s="16">
        <v>0.74</v>
      </c>
      <c r="EM6" s="16">
        <v>-0.91</v>
      </c>
      <c r="EN6" s="16">
        <v>-3.87</v>
      </c>
      <c r="EO6" s="16">
        <v>-0.44</v>
      </c>
      <c r="EP6" s="16">
        <v>1.03</v>
      </c>
    </row>
    <row r="7" spans="1:146" ht="96" x14ac:dyDescent="0.25">
      <c r="C7" s="8" t="str">
        <f>""&amp;CHAR(10)&amp;Basic_Fundamental_Information_Constructure(F7)&amp;CHAR(10)&amp;Basic_Fundamental_Information_Concatenate("")</f>
        <v xml:space="preserve">
市值23.9544亿, 利润1.65亿; PE15.98; 平均PE13.45; 平均PEG.85, PB1.06; ROIC14.69%; ROE16.1967%; 股利率2.2543%; 毛利30.43%; 净利18.5233%; 上一年度营收增6.67%, 利润增-28.57%; 当季营收增-38.72%, 利润增-27.89%; 过往5年营收增15.87%, 利润增21.35%
Income profile:
</v>
      </c>
      <c r="D7" t="s">
        <v>1639</v>
      </c>
      <c r="E7" t="s">
        <v>1640</v>
      </c>
      <c r="F7">
        <v>22.18</v>
      </c>
      <c r="G7">
        <v>-0.98</v>
      </c>
      <c r="H7" t="s">
        <v>2370</v>
      </c>
      <c r="I7">
        <v>2395440000</v>
      </c>
      <c r="J7">
        <v>15.98</v>
      </c>
      <c r="K7">
        <v>1.06</v>
      </c>
      <c r="L7" t="s">
        <v>101</v>
      </c>
      <c r="M7" t="s">
        <v>2371</v>
      </c>
      <c r="N7" t="s">
        <v>2121</v>
      </c>
      <c r="O7" t="s">
        <v>534</v>
      </c>
      <c r="P7" s="6">
        <v>-38.799999999999997</v>
      </c>
      <c r="Q7" t="s">
        <v>2080</v>
      </c>
      <c r="R7">
        <v>39158782</v>
      </c>
      <c r="S7">
        <v>-0.27889999999999998</v>
      </c>
      <c r="T7" t="s">
        <v>474</v>
      </c>
      <c r="U7">
        <v>27000000</v>
      </c>
      <c r="V7">
        <v>108000000</v>
      </c>
      <c r="W7">
        <v>1.49</v>
      </c>
      <c r="X7">
        <v>0.06</v>
      </c>
      <c r="Y7">
        <v>19.5</v>
      </c>
      <c r="Z7" t="s">
        <v>553</v>
      </c>
      <c r="AA7" t="s">
        <v>512</v>
      </c>
      <c r="AB7" t="s">
        <v>2372</v>
      </c>
      <c r="AC7" t="s">
        <v>2373</v>
      </c>
      <c r="AD7" t="s">
        <v>5</v>
      </c>
      <c r="AE7">
        <v>-9795184</v>
      </c>
      <c r="AF7" t="s">
        <v>127</v>
      </c>
      <c r="AG7">
        <v>5000</v>
      </c>
      <c r="AH7" t="s">
        <v>2374</v>
      </c>
      <c r="AI7" t="s">
        <v>2144</v>
      </c>
      <c r="AJ7" t="s">
        <v>2375</v>
      </c>
      <c r="AK7" t="s">
        <v>2376</v>
      </c>
      <c r="AL7" t="s">
        <v>2377</v>
      </c>
      <c r="AM7" t="s">
        <v>5</v>
      </c>
      <c r="AN7" t="s">
        <v>224</v>
      </c>
      <c r="AO7" t="s">
        <v>5</v>
      </c>
      <c r="AP7" t="s">
        <v>146</v>
      </c>
      <c r="AQ7" t="s">
        <v>141</v>
      </c>
      <c r="AR7" t="s">
        <v>5</v>
      </c>
      <c r="AS7" t="s">
        <v>1109</v>
      </c>
      <c r="AT7" t="s">
        <v>5</v>
      </c>
      <c r="AU7" t="s">
        <v>2378</v>
      </c>
      <c r="AV7" t="s">
        <v>2379</v>
      </c>
      <c r="AW7" t="s">
        <v>5</v>
      </c>
      <c r="AX7" t="s">
        <v>1853</v>
      </c>
      <c r="AY7" t="s">
        <v>1059</v>
      </c>
      <c r="AZ7" t="s">
        <v>1641</v>
      </c>
      <c r="BA7" t="s">
        <v>1642</v>
      </c>
      <c r="BB7" t="s">
        <v>554</v>
      </c>
      <c r="BC7" t="s">
        <v>343</v>
      </c>
      <c r="BD7" t="s">
        <v>795</v>
      </c>
      <c r="BE7" t="s">
        <v>361</v>
      </c>
      <c r="BF7" t="s">
        <v>145</v>
      </c>
      <c r="BG7" t="s">
        <v>1643</v>
      </c>
      <c r="BH7" t="s">
        <v>2080</v>
      </c>
      <c r="BI7" t="s">
        <v>1553</v>
      </c>
      <c r="BJ7" t="s">
        <v>1853</v>
      </c>
      <c r="BK7" t="s">
        <v>474</v>
      </c>
      <c r="BL7" t="s">
        <v>2380</v>
      </c>
      <c r="BM7" t="s">
        <v>343</v>
      </c>
      <c r="BN7">
        <v>5.19</v>
      </c>
      <c r="BO7">
        <v>14.35</v>
      </c>
      <c r="BP7">
        <v>24.53</v>
      </c>
      <c r="BQ7">
        <v>5.97</v>
      </c>
      <c r="BR7">
        <v>16.88</v>
      </c>
      <c r="BS7">
        <v>25.74</v>
      </c>
      <c r="BT7" t="s">
        <v>1730</v>
      </c>
      <c r="BU7" t="s">
        <v>1536</v>
      </c>
      <c r="BV7">
        <v>23.15</v>
      </c>
      <c r="BW7">
        <v>31.25</v>
      </c>
      <c r="BX7">
        <v>36.89</v>
      </c>
      <c r="BY7">
        <v>13.22</v>
      </c>
      <c r="BZ7">
        <v>19.71</v>
      </c>
      <c r="CA7">
        <v>22.64</v>
      </c>
      <c r="CB7">
        <v>-6.88</v>
      </c>
      <c r="CC7" s="10">
        <v>-14.66</v>
      </c>
      <c r="CD7" s="11" t="s">
        <v>2381</v>
      </c>
      <c r="CE7" s="10" t="s">
        <v>2382</v>
      </c>
      <c r="CF7" s="10">
        <v>-0.38719512195121958</v>
      </c>
      <c r="CG7" s="10">
        <v>-0.27887965055144598</v>
      </c>
      <c r="CH7" s="10">
        <v>6.6666670143604279E-2</v>
      </c>
      <c r="CI7" s="10">
        <v>0.15498518943786621</v>
      </c>
      <c r="CJ7" s="11">
        <v>0.21317365765571594</v>
      </c>
      <c r="CK7" s="11">
        <v>0.10013175010681152</v>
      </c>
      <c r="CL7" s="11">
        <v>0.2587064802646637</v>
      </c>
      <c r="CM7" s="11">
        <v>-0.28571429848670959</v>
      </c>
      <c r="CN7" s="11">
        <v>8.733624592423439E-3</v>
      </c>
      <c r="CO7">
        <v>0.18652850389480591</v>
      </c>
      <c r="CP7">
        <v>0.15568862855434418</v>
      </c>
      <c r="CQ7">
        <v>1.0022395849227905</v>
      </c>
      <c r="CR7" s="10">
        <v>13.452406602505077</v>
      </c>
      <c r="CS7" s="11">
        <v>0.84748778327331176</v>
      </c>
      <c r="CT7">
        <v>2.254283137962128</v>
      </c>
      <c r="CU7">
        <v>0.15873274952173233</v>
      </c>
      <c r="CV7">
        <v>0.2134952086955309</v>
      </c>
      <c r="CW7">
        <v>0.06</v>
      </c>
      <c r="CX7">
        <v>7.2930582638951815</v>
      </c>
      <c r="CY7">
        <v>180368777.04819417</v>
      </c>
      <c r="CZ7">
        <v>0.15873274952173233</v>
      </c>
      <c r="DA7">
        <v>2.2495909484608116</v>
      </c>
      <c r="DB7">
        <v>584746307.27867866</v>
      </c>
      <c r="DC7">
        <v>0.15079611204564572</v>
      </c>
      <c r="DD7">
        <v>1.0231460433193278</v>
      </c>
      <c r="DE7">
        <v>1285681558.9418705</v>
      </c>
      <c r="DF7">
        <v>0.13968481957912446</v>
      </c>
      <c r="DG7">
        <v>0.56041693184239505</v>
      </c>
      <c r="DH7">
        <v>2347252420.9349523</v>
      </c>
      <c r="DI7">
        <v>0.12698619961738586</v>
      </c>
      <c r="DJ7">
        <v>0.23437537303286632</v>
      </c>
      <c r="DK7">
        <v>5612535067.0504818</v>
      </c>
      <c r="DL7">
        <v>0.11111292466521262</v>
      </c>
      <c r="DM7">
        <v>165000000</v>
      </c>
      <c r="DN7">
        <v>0.15873274952173233</v>
      </c>
      <c r="DO7">
        <v>1315440000</v>
      </c>
      <c r="DP7">
        <v>1640171600</v>
      </c>
      <c r="DQ7" s="12">
        <v>497</v>
      </c>
      <c r="DR7">
        <v>-0.54592787147295185</v>
      </c>
      <c r="DS7">
        <v>-0.49237485924697688</v>
      </c>
      <c r="DT7">
        <v>-5.6666666666666719E-2</v>
      </c>
      <c r="DU7">
        <v>6.3333333333333353E-2</v>
      </c>
      <c r="DV7">
        <v>6.6666666666666333E-3</v>
      </c>
      <c r="DW7">
        <v>-9.4693042291950889</v>
      </c>
      <c r="DX7">
        <v>0.43384384228796308</v>
      </c>
      <c r="DY7">
        <v>-9.0534273966535608</v>
      </c>
      <c r="DZ7">
        <v>1701</v>
      </c>
      <c r="EA7">
        <v>-9.0356426605072393</v>
      </c>
      <c r="EB7" s="13">
        <v>9</v>
      </c>
      <c r="EC7">
        <v>2.0345370370370371E-2</v>
      </c>
      <c r="ED7">
        <v>0.17871296296296296</v>
      </c>
      <c r="EE7">
        <v>-5.0550100000000002</v>
      </c>
      <c r="EF7">
        <v>-5.0621099999999997</v>
      </c>
      <c r="EG7">
        <v>32.113843842287963</v>
      </c>
      <c r="EH7" s="15" t="s">
        <v>2193</v>
      </c>
      <c r="EI7" s="16">
        <v>0</v>
      </c>
      <c r="EJ7" s="16">
        <v>0</v>
      </c>
      <c r="EK7" s="16">
        <v>45470</v>
      </c>
      <c r="EL7" s="16">
        <v>-1.07</v>
      </c>
      <c r="EM7" s="16">
        <v>-4.8</v>
      </c>
      <c r="EN7" s="16">
        <v>1.36</v>
      </c>
      <c r="EO7" s="16">
        <v>3.64</v>
      </c>
      <c r="EP7" s="16">
        <v>-0.71</v>
      </c>
    </row>
    <row r="8" spans="1:146" ht="96" x14ac:dyDescent="0.25">
      <c r="C8" s="8" t="str">
        <f>""&amp;CHAR(10)&amp;Basic_Fundamental_Information_Constructure(F8)&amp;CHAR(10)&amp;Basic_Fundamental_Information_Concatenate("")</f>
        <v xml:space="preserve">
市值24.276亿, 利润9665.14万; PE25.34; 平均PE25.22; 平均PEG1.03, PB1.74; ROIC17.5567%; ROE18.915%; 股利率1.8908%; 毛利35.3167%; 净利13.6933%; 上一年度营收增6.37%, 利润增-20.12%; 当季营收增23.75%, 利润增-5.75%; 过往5年营收增24.46%, 利润增12.72%
Income profile:
</v>
      </c>
      <c r="D8" t="s">
        <v>1854</v>
      </c>
      <c r="E8" t="s">
        <v>1855</v>
      </c>
      <c r="F8">
        <v>11.9</v>
      </c>
      <c r="G8">
        <v>0.93</v>
      </c>
      <c r="H8" t="s">
        <v>2383</v>
      </c>
      <c r="I8">
        <v>2427600000</v>
      </c>
      <c r="J8">
        <v>25.34</v>
      </c>
      <c r="K8">
        <v>1.74</v>
      </c>
      <c r="L8" t="s">
        <v>101</v>
      </c>
      <c r="M8" t="s">
        <v>1262</v>
      </c>
      <c r="N8" t="s">
        <v>2083</v>
      </c>
      <c r="O8" t="s">
        <v>467</v>
      </c>
      <c r="P8" s="6">
        <v>24.03</v>
      </c>
      <c r="Q8" t="s">
        <v>1140</v>
      </c>
      <c r="R8">
        <v>13900290</v>
      </c>
      <c r="S8">
        <v>-5.7500000000000002E-2</v>
      </c>
      <c r="T8" t="s">
        <v>2384</v>
      </c>
      <c r="U8">
        <v>81781146</v>
      </c>
      <c r="V8">
        <v>204000000</v>
      </c>
      <c r="W8">
        <v>1.42</v>
      </c>
      <c r="X8">
        <v>0.1</v>
      </c>
      <c r="Y8">
        <v>7.79</v>
      </c>
      <c r="Z8" t="s">
        <v>433</v>
      </c>
      <c r="AA8" t="s">
        <v>227</v>
      </c>
      <c r="AB8" t="s">
        <v>2385</v>
      </c>
      <c r="AC8" t="s">
        <v>2386</v>
      </c>
      <c r="AD8" t="s">
        <v>5</v>
      </c>
      <c r="AE8">
        <v>638908</v>
      </c>
      <c r="AF8" t="s">
        <v>2387</v>
      </c>
      <c r="AG8" t="s">
        <v>2388</v>
      </c>
      <c r="AH8" t="s">
        <v>2389</v>
      </c>
      <c r="AI8" t="s">
        <v>1069</v>
      </c>
      <c r="AJ8" t="s">
        <v>2390</v>
      </c>
      <c r="AK8" t="s">
        <v>2391</v>
      </c>
      <c r="AL8" t="s">
        <v>2392</v>
      </c>
      <c r="AM8" t="s">
        <v>5</v>
      </c>
      <c r="AN8" t="s">
        <v>558</v>
      </c>
      <c r="AO8" t="s">
        <v>2393</v>
      </c>
      <c r="AP8" t="s">
        <v>630</v>
      </c>
      <c r="AQ8" t="s">
        <v>140</v>
      </c>
      <c r="AR8" t="s">
        <v>5</v>
      </c>
      <c r="AS8" t="s">
        <v>1567</v>
      </c>
      <c r="AT8" t="s">
        <v>1858</v>
      </c>
      <c r="AU8" t="s">
        <v>2394</v>
      </c>
      <c r="AV8" t="s">
        <v>392</v>
      </c>
      <c r="AW8" t="s">
        <v>2395</v>
      </c>
      <c r="AX8" t="s">
        <v>1593</v>
      </c>
      <c r="AY8" t="s">
        <v>1859</v>
      </c>
      <c r="AZ8" t="s">
        <v>118</v>
      </c>
      <c r="BA8" t="s">
        <v>443</v>
      </c>
      <c r="BB8" t="s">
        <v>5</v>
      </c>
      <c r="BC8" t="s">
        <v>256</v>
      </c>
      <c r="BD8" t="s">
        <v>178</v>
      </c>
      <c r="BE8" t="s">
        <v>1860</v>
      </c>
      <c r="BF8" t="s">
        <v>1861</v>
      </c>
      <c r="BG8" t="s">
        <v>5</v>
      </c>
      <c r="BH8" t="s">
        <v>1140</v>
      </c>
      <c r="BI8" t="s">
        <v>553</v>
      </c>
      <c r="BJ8" t="s">
        <v>1593</v>
      </c>
      <c r="BK8" t="s">
        <v>2384</v>
      </c>
      <c r="BL8" t="s">
        <v>2396</v>
      </c>
      <c r="BM8" t="s">
        <v>256</v>
      </c>
      <c r="BN8">
        <v>8.68</v>
      </c>
      <c r="BO8">
        <v>22.5</v>
      </c>
      <c r="BP8">
        <v>21.49</v>
      </c>
      <c r="BQ8">
        <v>13.59</v>
      </c>
      <c r="BR8">
        <v>24.24</v>
      </c>
      <c r="BS8" t="s">
        <v>5</v>
      </c>
      <c r="BT8" t="s">
        <v>2397</v>
      </c>
      <c r="BU8" t="s">
        <v>1536</v>
      </c>
      <c r="BV8">
        <v>33.130000000000003</v>
      </c>
      <c r="BW8">
        <v>35.14</v>
      </c>
      <c r="BX8">
        <v>37.68</v>
      </c>
      <c r="BY8">
        <v>11.1</v>
      </c>
      <c r="BZ8">
        <v>14.55</v>
      </c>
      <c r="CA8">
        <v>15.43</v>
      </c>
      <c r="CB8">
        <v>-3.17</v>
      </c>
      <c r="CC8" s="10">
        <v>-19.87</v>
      </c>
      <c r="CD8" s="11" t="s">
        <v>2398</v>
      </c>
      <c r="CE8" s="10" t="s">
        <v>2399</v>
      </c>
      <c r="CF8" s="10">
        <v>0.23749999999999999</v>
      </c>
      <c r="CG8" s="10">
        <v>-5.7543562275408501E-2</v>
      </c>
      <c r="CH8" s="10">
        <v>6.3657410442829132E-2</v>
      </c>
      <c r="CI8" s="10">
        <v>0.19172413647174835</v>
      </c>
      <c r="CJ8" s="11">
        <v>0.45582330226898193</v>
      </c>
      <c r="CK8" s="11">
        <v>0.2671755850315094</v>
      </c>
      <c r="CL8" s="11" t="s">
        <v>5</v>
      </c>
      <c r="CM8" s="11">
        <v>-0.20122809708118439</v>
      </c>
      <c r="CN8" s="11">
        <v>0.10000000149011612</v>
      </c>
      <c r="CO8">
        <v>0.239012211561203</v>
      </c>
      <c r="CP8">
        <v>0.37095224857330322</v>
      </c>
      <c r="CQ8" t="s">
        <v>5</v>
      </c>
      <c r="CR8" s="10">
        <v>25.224963112284129</v>
      </c>
      <c r="CS8" s="11">
        <v>1.0312946673967991</v>
      </c>
      <c r="CT8">
        <v>1.8907563025210083</v>
      </c>
      <c r="CU8">
        <v>0.2445951085537672</v>
      </c>
      <c r="CV8">
        <v>0.12718409113585949</v>
      </c>
      <c r="CW8">
        <v>0.06</v>
      </c>
      <c r="CX8">
        <v>14.500864852489723</v>
      </c>
      <c r="CY8">
        <v>113482886.48572978</v>
      </c>
      <c r="CZ8">
        <v>0.2445951085537672</v>
      </c>
      <c r="DA8">
        <v>4.1672314722115367</v>
      </c>
      <c r="DB8">
        <v>394890471.28132892</v>
      </c>
      <c r="DC8">
        <v>0.23236535312607884</v>
      </c>
      <c r="DD8">
        <v>1.7117878855898281</v>
      </c>
      <c r="DE8">
        <v>961334061.21926033</v>
      </c>
      <c r="DF8">
        <v>0.21524369552731515</v>
      </c>
      <c r="DG8">
        <v>0.8274585090386356</v>
      </c>
      <c r="DH8">
        <v>1988740199.0849113</v>
      </c>
      <c r="DI8">
        <v>0.19567608684301377</v>
      </c>
      <c r="DJ8">
        <v>0.2543792626106644</v>
      </c>
      <c r="DK8">
        <v>6469080785.5616884</v>
      </c>
      <c r="DL8">
        <v>0.17121657598763704</v>
      </c>
      <c r="DM8">
        <v>96651400</v>
      </c>
      <c r="DN8">
        <v>0.2445951085537672</v>
      </c>
      <c r="DO8">
        <v>1645600000</v>
      </c>
      <c r="DP8">
        <v>1058909600</v>
      </c>
      <c r="DQ8" s="12">
        <v>505</v>
      </c>
      <c r="DR8">
        <v>-7.0951085537672154E-3</v>
      </c>
      <c r="DS8">
        <v>-0.18472765341126798</v>
      </c>
      <c r="DT8">
        <v>-4.8000000000000043E-2</v>
      </c>
      <c r="DU8">
        <v>0.1</v>
      </c>
      <c r="DV8">
        <v>5.1999999999999963E-2</v>
      </c>
      <c r="DW8">
        <v>-8.1595369904378465</v>
      </c>
      <c r="DX8">
        <v>0.26465260270657126</v>
      </c>
      <c r="DY8">
        <v>-8.0119098515641589</v>
      </c>
      <c r="DZ8">
        <v>1590</v>
      </c>
      <c r="EA8">
        <v>-8.008204046478637</v>
      </c>
      <c r="EB8" s="13">
        <v>8</v>
      </c>
      <c r="EC8" s="13">
        <v>2.1773529411764705E-2</v>
      </c>
      <c r="ED8">
        <v>0.29166470588235294</v>
      </c>
      <c r="EE8">
        <v>-2.0205099999999998</v>
      </c>
      <c r="EF8">
        <v>-2.0344099999999998</v>
      </c>
      <c r="EG8">
        <v>19.074652602706571</v>
      </c>
      <c r="EH8" s="15" t="s">
        <v>2103</v>
      </c>
      <c r="EI8">
        <v>0</v>
      </c>
      <c r="EJ8">
        <v>0</v>
      </c>
      <c r="EK8">
        <v>45470</v>
      </c>
      <c r="EL8">
        <v>-0.8</v>
      </c>
      <c r="EM8">
        <v>-5.32</v>
      </c>
      <c r="EN8" s="16">
        <v>1.7</v>
      </c>
      <c r="EO8" s="16">
        <v>2.4300000000000002</v>
      </c>
      <c r="EP8" s="16">
        <v>-1.39</v>
      </c>
    </row>
    <row r="9" spans="1:146" ht="108" x14ac:dyDescent="0.25">
      <c r="A9" s="8"/>
      <c r="B9" s="8"/>
      <c r="C9" s="8" t="str">
        <f>""&amp;CHAR(10)&amp;Basic_Fundamental_Information_Constructure(F9)&amp;CHAR(10)&amp;Basic_Fundamental_Information_Concatenate("")</f>
        <v xml:space="preserve">
市值57.850836亿, 利润1.83亿; PE29.88; 平均PE69.83; 平均PEG4.78, PB4.22; ROIC13.0133%; ROE15.16%; 股利率1.1802%; 毛利27.1467%; 净利10.1967%; 上一年度营收增-34.66%, 利润增-37.54%; 当季营收增44.06%, 利润增21.52%; 过往5年营收增14.62%, 利润增-334.54%
Income profile:
</v>
      </c>
      <c r="D9" t="s">
        <v>485</v>
      </c>
      <c r="E9" t="s">
        <v>1862</v>
      </c>
      <c r="F9">
        <v>12.71</v>
      </c>
      <c r="G9">
        <v>1.76</v>
      </c>
      <c r="H9" t="s">
        <v>2400</v>
      </c>
      <c r="I9">
        <v>5785083600</v>
      </c>
      <c r="J9">
        <v>29.88</v>
      </c>
      <c r="K9">
        <v>4.22</v>
      </c>
      <c r="L9" t="s">
        <v>101</v>
      </c>
      <c r="M9" t="s">
        <v>571</v>
      </c>
      <c r="N9" t="s">
        <v>2170</v>
      </c>
      <c r="O9" t="s">
        <v>759</v>
      </c>
      <c r="P9">
        <v>43.82</v>
      </c>
      <c r="Q9" t="s">
        <v>2401</v>
      </c>
      <c r="R9">
        <v>58196362</v>
      </c>
      <c r="S9" s="6">
        <v>0.2152</v>
      </c>
      <c r="T9" t="s">
        <v>140</v>
      </c>
      <c r="U9">
        <v>455160000</v>
      </c>
      <c r="V9">
        <v>455160000</v>
      </c>
      <c r="W9">
        <v>2</v>
      </c>
      <c r="X9">
        <v>0.21</v>
      </c>
      <c r="Y9">
        <v>10.67</v>
      </c>
      <c r="Z9" t="s">
        <v>470</v>
      </c>
      <c r="AA9" t="s">
        <v>1058</v>
      </c>
      <c r="AB9" t="s">
        <v>2402</v>
      </c>
      <c r="AC9" t="s">
        <v>2403</v>
      </c>
      <c r="AD9" t="s">
        <v>5</v>
      </c>
      <c r="AE9">
        <v>-1000608</v>
      </c>
      <c r="AF9" t="s">
        <v>2404</v>
      </c>
      <c r="AG9" t="s">
        <v>2405</v>
      </c>
      <c r="AH9" t="s">
        <v>2406</v>
      </c>
      <c r="AI9" t="s">
        <v>463</v>
      </c>
      <c r="AJ9" t="s">
        <v>2407</v>
      </c>
      <c r="AK9" t="s">
        <v>2408</v>
      </c>
      <c r="AL9" t="s">
        <v>2409</v>
      </c>
      <c r="AM9" t="s">
        <v>5</v>
      </c>
      <c r="AN9" t="s">
        <v>2410</v>
      </c>
      <c r="AO9" t="s">
        <v>1620</v>
      </c>
      <c r="AP9" t="s">
        <v>757</v>
      </c>
      <c r="AQ9" t="s">
        <v>644</v>
      </c>
      <c r="AR9" t="s">
        <v>2411</v>
      </c>
      <c r="AS9" t="s">
        <v>1675</v>
      </c>
      <c r="AT9" t="s">
        <v>2412</v>
      </c>
      <c r="AU9" t="s">
        <v>2413</v>
      </c>
      <c r="AV9" t="s">
        <v>2414</v>
      </c>
      <c r="AW9" t="s">
        <v>345</v>
      </c>
      <c r="AX9" t="s">
        <v>1863</v>
      </c>
      <c r="AY9" t="s">
        <v>1303</v>
      </c>
      <c r="AZ9" t="s">
        <v>827</v>
      </c>
      <c r="BA9" t="s">
        <v>487</v>
      </c>
      <c r="BB9" t="s">
        <v>830</v>
      </c>
      <c r="BC9" t="s">
        <v>155</v>
      </c>
      <c r="BD9" t="s">
        <v>121</v>
      </c>
      <c r="BE9" t="s">
        <v>828</v>
      </c>
      <c r="BF9" t="s">
        <v>488</v>
      </c>
      <c r="BG9" t="s">
        <v>833</v>
      </c>
      <c r="BH9" t="s">
        <v>2401</v>
      </c>
      <c r="BI9" t="s">
        <v>279</v>
      </c>
      <c r="BJ9" t="s">
        <v>1863</v>
      </c>
      <c r="BK9" t="s">
        <v>140</v>
      </c>
      <c r="BL9" t="s">
        <v>2415</v>
      </c>
      <c r="BM9" t="s">
        <v>155</v>
      </c>
      <c r="BN9">
        <v>9.2899999999999991</v>
      </c>
      <c r="BO9">
        <v>20.92</v>
      </c>
      <c r="BP9">
        <v>8.83</v>
      </c>
      <c r="BQ9">
        <v>10.3</v>
      </c>
      <c r="BR9">
        <v>24.36</v>
      </c>
      <c r="BS9">
        <v>10.82</v>
      </c>
      <c r="BT9" t="s">
        <v>1726</v>
      </c>
      <c r="BU9" t="s">
        <v>1537</v>
      </c>
      <c r="BV9">
        <v>32.450000000000003</v>
      </c>
      <c r="BW9">
        <v>27.48</v>
      </c>
      <c r="BX9">
        <v>21.51</v>
      </c>
      <c r="BY9">
        <v>11.92</v>
      </c>
      <c r="BZ9">
        <v>12.68</v>
      </c>
      <c r="CA9">
        <v>5.99</v>
      </c>
      <c r="CB9">
        <v>-5.29</v>
      </c>
      <c r="CC9">
        <v>-8.9499999999999993</v>
      </c>
      <c r="CD9" t="s">
        <v>2416</v>
      </c>
      <c r="CE9" t="s">
        <v>325</v>
      </c>
      <c r="CF9" s="10">
        <v>0.44063324538258575</v>
      </c>
      <c r="CG9" s="11">
        <v>0.21515070272256728</v>
      </c>
      <c r="CH9" s="10">
        <v>-0.34662705659866333</v>
      </c>
      <c r="CI9" s="10">
        <v>0.36400458216667175</v>
      </c>
      <c r="CJ9" s="10">
        <v>0.61495327949523926</v>
      </c>
      <c r="CK9" s="10">
        <v>0.23699422180652618</v>
      </c>
      <c r="CL9" s="10">
        <v>-0.13844621181488037</v>
      </c>
      <c r="CM9" s="11">
        <v>-0.37542662024497986</v>
      </c>
      <c r="CN9" s="11">
        <v>1.7129629850387573</v>
      </c>
      <c r="CO9" s="11">
        <v>2.8105857372283936</v>
      </c>
      <c r="CP9" s="11">
        <v>1.2342321872711182</v>
      </c>
      <c r="CQ9" s="11">
        <v>-22.10919189453125</v>
      </c>
      <c r="CR9">
        <v>69.829618193822981</v>
      </c>
      <c r="CS9">
        <v>4.7770996200360756</v>
      </c>
      <c r="CT9">
        <v>1.1801730920535012</v>
      </c>
      <c r="CU9" s="10">
        <v>0.1461757630109787</v>
      </c>
      <c r="CV9" s="11">
        <v>-3.3453675210475922</v>
      </c>
      <c r="CW9">
        <v>0.06</v>
      </c>
      <c r="CX9">
        <v>28.098612586875117</v>
      </c>
      <c r="CY9">
        <v>197877513.80283877</v>
      </c>
      <c r="CZ9">
        <v>0.1461757630109787</v>
      </c>
      <c r="DA9">
        <v>8.7584944502126465</v>
      </c>
      <c r="DB9">
        <v>634821844.27998435</v>
      </c>
      <c r="DC9">
        <v>0.13886697486042976</v>
      </c>
      <c r="DD9">
        <v>4.042245143283556</v>
      </c>
      <c r="DE9">
        <v>1375493915.6123245</v>
      </c>
      <c r="DF9">
        <v>0.12863467144966126</v>
      </c>
      <c r="DG9">
        <v>2.25296029949912</v>
      </c>
      <c r="DH9">
        <v>2467901276.9271264</v>
      </c>
      <c r="DI9">
        <v>0.11694061040878297</v>
      </c>
      <c r="DJ9">
        <v>0.98187840932374293</v>
      </c>
      <c r="DK9">
        <v>5662700745.0234509</v>
      </c>
      <c r="DL9">
        <v>0.10232303410768509</v>
      </c>
      <c r="DM9">
        <v>183000000</v>
      </c>
      <c r="DN9">
        <v>0.1461757630109787</v>
      </c>
      <c r="DO9">
        <v>5560083600</v>
      </c>
      <c r="DP9">
        <v>859978400</v>
      </c>
      <c r="DQ9">
        <v>526</v>
      </c>
      <c r="DR9">
        <v>0.29445748237160707</v>
      </c>
      <c r="DS9">
        <v>3.5605182237701594</v>
      </c>
      <c r="DT9" s="12">
        <v>-7.3333333333333403E-2</v>
      </c>
      <c r="DU9">
        <v>-0.27666666666666667</v>
      </c>
      <c r="DV9">
        <v>-0.35000000000000009</v>
      </c>
      <c r="DW9">
        <v>-8.5910614525139657</v>
      </c>
      <c r="DX9">
        <v>0.36806068965517369</v>
      </c>
      <c r="DY9">
        <v>-8.0697811227123868</v>
      </c>
      <c r="DZ9">
        <v>2575</v>
      </c>
      <c r="EA9">
        <v>-8.0346174454160266</v>
      </c>
      <c r="EB9">
        <v>8</v>
      </c>
      <c r="EC9">
        <v>3.7610510589682747E-2</v>
      </c>
      <c r="ED9">
        <v>0.31856929431408737</v>
      </c>
      <c r="EE9" s="13">
        <v>-2.0122100000000001</v>
      </c>
      <c r="EF9">
        <v>-2.0504099999999998</v>
      </c>
      <c r="EG9">
        <v>25.118060689655174</v>
      </c>
      <c r="EH9" t="s">
        <v>2103</v>
      </c>
      <c r="EI9">
        <v>0</v>
      </c>
      <c r="EJ9">
        <v>0</v>
      </c>
      <c r="EK9" s="15">
        <v>45470</v>
      </c>
      <c r="EL9" s="16">
        <v>2.5299999999999998</v>
      </c>
      <c r="EM9" s="16">
        <v>-5.15</v>
      </c>
      <c r="EN9" s="16">
        <v>-0.67</v>
      </c>
      <c r="EO9" s="16">
        <v>3.82</v>
      </c>
      <c r="EP9" s="16">
        <v>-3.82</v>
      </c>
    </row>
    <row r="10" spans="1:146" ht="96" x14ac:dyDescent="0.25">
      <c r="A10" s="8"/>
      <c r="B10" s="8"/>
      <c r="C10" s="8" t="str">
        <f>""&amp;CHAR(10)&amp;Basic_Fundamental_Information_Constructure(F10)&amp;CHAR(10)&amp;Basic_Fundamental_Information_Concatenate("")</f>
        <v xml:space="preserve">
市值44.245653亿, 利润-4.15亿; PE; 平均PE129.48; 平均PEG88.15, PB2.12; ROIC5.445%; ROE-.7533%; 股利率0%; 毛利14.7567%; 净利-1.1467%; 上一年度营收增-16.89%, 利润增-309.6%; 当季营收增-13.22%, 利润增100.79%; 过往5年营收增1.47%, 利润增-38.83%
Income profile:
</v>
      </c>
      <c r="D10" t="s">
        <v>492</v>
      </c>
      <c r="E10" t="s">
        <v>63</v>
      </c>
      <c r="F10">
        <v>11</v>
      </c>
      <c r="G10">
        <v>-0.72</v>
      </c>
      <c r="H10" t="s">
        <v>2417</v>
      </c>
      <c r="I10">
        <v>4424565300</v>
      </c>
      <c r="K10">
        <v>2.12</v>
      </c>
      <c r="L10" t="s">
        <v>101</v>
      </c>
      <c r="M10" t="s">
        <v>2418</v>
      </c>
      <c r="N10" t="s">
        <v>2419</v>
      </c>
      <c r="O10" t="s">
        <v>1128</v>
      </c>
      <c r="P10">
        <v>-13.24</v>
      </c>
      <c r="Q10" t="s">
        <v>2420</v>
      </c>
      <c r="R10">
        <v>2348218</v>
      </c>
      <c r="S10" s="6">
        <v>1.008</v>
      </c>
      <c r="T10" t="s">
        <v>2421</v>
      </c>
      <c r="U10">
        <v>400732000</v>
      </c>
      <c r="V10">
        <v>402233210</v>
      </c>
      <c r="W10">
        <v>2.88</v>
      </c>
      <c r="X10">
        <v>0.1</v>
      </c>
      <c r="Y10">
        <v>0.32</v>
      </c>
      <c r="Z10" t="s">
        <v>1588</v>
      </c>
      <c r="AA10" t="s">
        <v>997</v>
      </c>
      <c r="AB10" t="s">
        <v>2422</v>
      </c>
      <c r="AC10" t="s">
        <v>2423</v>
      </c>
      <c r="AD10" t="s">
        <v>5</v>
      </c>
      <c r="AE10">
        <v>19596358</v>
      </c>
      <c r="AF10" t="s">
        <v>2424</v>
      </c>
      <c r="AG10" t="s">
        <v>2425</v>
      </c>
      <c r="AH10" t="s">
        <v>2426</v>
      </c>
      <c r="AI10" t="s">
        <v>1856</v>
      </c>
      <c r="AJ10" t="s">
        <v>2427</v>
      </c>
      <c r="AK10" t="s">
        <v>2428</v>
      </c>
      <c r="AL10" t="s">
        <v>2429</v>
      </c>
      <c r="AM10" t="s">
        <v>5</v>
      </c>
      <c r="AN10" t="s">
        <v>2430</v>
      </c>
      <c r="AO10" t="s">
        <v>2431</v>
      </c>
      <c r="AP10" t="s">
        <v>2432</v>
      </c>
      <c r="AQ10" t="s">
        <v>1905</v>
      </c>
      <c r="AR10" t="s">
        <v>2433</v>
      </c>
      <c r="AS10" t="s">
        <v>2434</v>
      </c>
      <c r="AT10" t="s">
        <v>2127</v>
      </c>
      <c r="AU10" t="s">
        <v>2195</v>
      </c>
      <c r="AV10" t="s">
        <v>2435</v>
      </c>
      <c r="AW10" t="s">
        <v>2436</v>
      </c>
      <c r="AX10" t="s">
        <v>1865</v>
      </c>
      <c r="AY10" t="s">
        <v>1354</v>
      </c>
      <c r="AZ10" t="s">
        <v>834</v>
      </c>
      <c r="BA10" t="s">
        <v>493</v>
      </c>
      <c r="BB10" t="s">
        <v>836</v>
      </c>
      <c r="BC10" t="s">
        <v>467</v>
      </c>
      <c r="BD10" t="s">
        <v>305</v>
      </c>
      <c r="BE10" t="s">
        <v>835</v>
      </c>
      <c r="BF10" t="s">
        <v>494</v>
      </c>
      <c r="BG10" t="s">
        <v>152</v>
      </c>
      <c r="BH10" t="s">
        <v>2420</v>
      </c>
      <c r="BI10" t="s">
        <v>930</v>
      </c>
      <c r="BJ10" t="s">
        <v>1865</v>
      </c>
      <c r="BK10" t="s">
        <v>2421</v>
      </c>
      <c r="BL10" t="s">
        <v>2437</v>
      </c>
      <c r="BM10" t="s">
        <v>467</v>
      </c>
      <c r="BN10" t="s">
        <v>5</v>
      </c>
      <c r="BO10">
        <v>6.01</v>
      </c>
      <c r="BP10">
        <v>4.88</v>
      </c>
      <c r="BQ10">
        <v>-18.66</v>
      </c>
      <c r="BR10">
        <v>8.85</v>
      </c>
      <c r="BS10">
        <v>7.55</v>
      </c>
      <c r="BT10" t="s">
        <v>1720</v>
      </c>
      <c r="BU10" t="s">
        <v>1537</v>
      </c>
      <c r="BV10">
        <v>7.06</v>
      </c>
      <c r="BW10">
        <v>17.489999999999998</v>
      </c>
      <c r="BX10">
        <v>19.72</v>
      </c>
      <c r="BY10">
        <v>-11.59</v>
      </c>
      <c r="BZ10">
        <v>4.45</v>
      </c>
      <c r="CA10">
        <v>3.7</v>
      </c>
      <c r="CB10">
        <v>-3</v>
      </c>
      <c r="CC10">
        <v>-14.4</v>
      </c>
      <c r="CD10" t="s">
        <v>2438</v>
      </c>
      <c r="CE10" t="s">
        <v>176</v>
      </c>
      <c r="CF10" s="10">
        <v>-0.1321762349799733</v>
      </c>
      <c r="CG10" s="11">
        <v>1.0078535719063546</v>
      </c>
      <c r="CH10" s="10">
        <v>-0.16892670094966888</v>
      </c>
      <c r="CI10" s="10">
        <v>0.15136279165744781</v>
      </c>
      <c r="CJ10" s="10">
        <v>5.2060149610042572E-2</v>
      </c>
      <c r="CK10" s="10">
        <v>0.13742870092391968</v>
      </c>
      <c r="CL10" s="10">
        <v>-9.8486989736557007E-2</v>
      </c>
      <c r="CM10" s="11">
        <v>-3.0959596633911133</v>
      </c>
      <c r="CN10" s="11">
        <v>0.31125828623771667</v>
      </c>
      <c r="CO10" s="11">
        <v>1.4734594821929932</v>
      </c>
      <c r="CP10" s="11">
        <v>-0.1519613116979599</v>
      </c>
      <c r="CQ10" s="11">
        <v>-0.47835215926170349</v>
      </c>
      <c r="CR10">
        <v>129.4770505595373</v>
      </c>
      <c r="CS10">
        <v>88.154045630206056</v>
      </c>
      <c r="CT10">
        <v>0</v>
      </c>
      <c r="CU10" s="10">
        <v>1.4687590301036835E-2</v>
      </c>
      <c r="CV10" s="11">
        <v>-0.38831107318401337</v>
      </c>
      <c r="CW10">
        <v>0.06</v>
      </c>
      <c r="CX10" t="e">
        <v>#VALUE!</v>
      </c>
      <c r="CY10" t="s">
        <v>1549</v>
      </c>
      <c r="CZ10">
        <v>1.4687590301036835E-2</v>
      </c>
      <c r="DA10" t="e">
        <v>#VALUE!</v>
      </c>
      <c r="DB10" t="s">
        <v>1549</v>
      </c>
      <c r="DC10">
        <v>1.3953210785984993E-2</v>
      </c>
      <c r="DD10" t="e">
        <v>#VALUE!</v>
      </c>
      <c r="DE10" t="s">
        <v>1549</v>
      </c>
      <c r="DF10">
        <v>1.2925079464912415E-2</v>
      </c>
      <c r="DG10" t="e">
        <v>#VALUE!</v>
      </c>
      <c r="DH10" t="s">
        <v>1549</v>
      </c>
      <c r="DI10">
        <v>1.1750072240829468E-2</v>
      </c>
      <c r="DJ10" t="e">
        <v>#VALUE!</v>
      </c>
      <c r="DK10" t="s">
        <v>1549</v>
      </c>
      <c r="DL10">
        <v>1.0281313210725784E-2</v>
      </c>
      <c r="DM10">
        <v>-415000000.00000006</v>
      </c>
      <c r="DN10">
        <v>1.4687590301036835E-2</v>
      </c>
      <c r="DO10">
        <v>6549565300</v>
      </c>
      <c r="DP10">
        <v>215944300</v>
      </c>
      <c r="DQ10">
        <v>529</v>
      </c>
      <c r="DR10">
        <v>-0.14686382528101014</v>
      </c>
      <c r="DS10">
        <v>1.396164645090368</v>
      </c>
      <c r="DT10" s="12">
        <v>-0.45666666666666672</v>
      </c>
      <c r="DU10">
        <v>-0.77</v>
      </c>
      <c r="DV10">
        <v>-1.2266666666666668</v>
      </c>
      <c r="DW10">
        <v>-8.2083333333333339</v>
      </c>
      <c r="DX10">
        <v>0.40340798479087425</v>
      </c>
      <c r="DY10">
        <v>-8.0319599968314321</v>
      </c>
      <c r="DZ10">
        <v>3793</v>
      </c>
      <c r="EA10">
        <v>-8.0082370481070448</v>
      </c>
      <c r="EB10">
        <v>8</v>
      </c>
      <c r="EC10">
        <v>0.10030574054290545</v>
      </c>
      <c r="ED10">
        <v>0.65384954166265885</v>
      </c>
      <c r="EE10" s="13">
        <v>-4.0689000000000002</v>
      </c>
      <c r="EF10">
        <v>-4.0488</v>
      </c>
      <c r="EG10">
        <v>25.153407984790874</v>
      </c>
      <c r="EH10" t="s">
        <v>2120</v>
      </c>
      <c r="EI10">
        <v>0</v>
      </c>
      <c r="EJ10">
        <v>0</v>
      </c>
      <c r="EK10" s="15">
        <v>45470</v>
      </c>
      <c r="EL10" s="16">
        <v>-0.7</v>
      </c>
      <c r="EM10" s="16">
        <v>-3.24</v>
      </c>
      <c r="EN10" s="16">
        <v>0.81</v>
      </c>
      <c r="EO10" s="16">
        <v>2.69</v>
      </c>
      <c r="EP10" s="16">
        <v>-2.0099999999999998</v>
      </c>
    </row>
    <row r="11" spans="1:146" ht="96" x14ac:dyDescent="0.25">
      <c r="A11" s="8"/>
      <c r="B11" s="8"/>
      <c r="C11" s="8" t="str">
        <f>""&amp;CHAR(10)&amp;Basic_Fundamental_Information_Constructure(F11)&amp;CHAR(10)&amp;Basic_Fundamental_Information_Concatenate("")</f>
        <v xml:space="preserve">
市值20.853625亿, 利润5.95亿; PE3.45; 平均PE-19.63; 平均PEG-12.21, PB3.32; ROIC0%; ROE-139.17%; 股利率0%; 毛利16.25%; 净利-6.08%; 上一年度营收增-17.75%, 利润增245.48%; 当季营收增23.41%, 利润增1566.48%; 过往5年营收增-1.61%, 利润增-210.66%
Income profile:
</v>
      </c>
      <c r="D11" t="s">
        <v>100</v>
      </c>
      <c r="E11" t="s">
        <v>2439</v>
      </c>
      <c r="F11">
        <v>1.73</v>
      </c>
      <c r="G11">
        <v>4.22</v>
      </c>
      <c r="H11" t="s">
        <v>2440</v>
      </c>
      <c r="I11">
        <v>2085362500</v>
      </c>
      <c r="J11">
        <v>3.45</v>
      </c>
      <c r="K11">
        <v>3.32</v>
      </c>
      <c r="L11" t="s">
        <v>101</v>
      </c>
      <c r="M11" t="s">
        <v>841</v>
      </c>
      <c r="N11" t="s">
        <v>1262</v>
      </c>
      <c r="O11" t="s">
        <v>1931</v>
      </c>
      <c r="P11">
        <v>23.04</v>
      </c>
      <c r="Q11" t="s">
        <v>906</v>
      </c>
      <c r="R11">
        <v>15000000</v>
      </c>
      <c r="S11" s="6">
        <v>10.3</v>
      </c>
      <c r="T11" t="s">
        <v>1591</v>
      </c>
      <c r="U11">
        <v>1205372390</v>
      </c>
      <c r="V11">
        <v>1205411820</v>
      </c>
      <c r="W11">
        <v>2.2200000000000002</v>
      </c>
      <c r="X11">
        <v>0.17</v>
      </c>
      <c r="Y11">
        <v>3.83</v>
      </c>
      <c r="Z11" t="s">
        <v>918</v>
      </c>
      <c r="AA11" t="s">
        <v>576</v>
      </c>
      <c r="AB11" t="s">
        <v>2441</v>
      </c>
      <c r="AC11" t="s">
        <v>2442</v>
      </c>
      <c r="AD11" t="s">
        <v>5</v>
      </c>
      <c r="AE11">
        <v>-1762644</v>
      </c>
      <c r="AF11" t="s">
        <v>2443</v>
      </c>
      <c r="AG11" t="s">
        <v>2444</v>
      </c>
      <c r="AH11" t="s">
        <v>2445</v>
      </c>
      <c r="AI11" t="s">
        <v>2446</v>
      </c>
      <c r="AJ11" t="s">
        <v>2447</v>
      </c>
      <c r="AK11" t="s">
        <v>177</v>
      </c>
      <c r="AL11" t="s">
        <v>2448</v>
      </c>
      <c r="AM11" t="s">
        <v>5</v>
      </c>
      <c r="AN11" t="s">
        <v>2449</v>
      </c>
      <c r="AO11" t="s">
        <v>686</v>
      </c>
      <c r="AP11" t="s">
        <v>895</v>
      </c>
      <c r="AQ11" t="s">
        <v>551</v>
      </c>
      <c r="AR11" t="s">
        <v>5</v>
      </c>
      <c r="AS11" t="s">
        <v>1592</v>
      </c>
      <c r="AT11" t="s">
        <v>5</v>
      </c>
      <c r="AU11" t="s">
        <v>1408</v>
      </c>
      <c r="AV11" t="s">
        <v>286</v>
      </c>
      <c r="AW11" t="s">
        <v>2450</v>
      </c>
      <c r="AX11" t="s">
        <v>786</v>
      </c>
      <c r="AY11" t="s">
        <v>1355</v>
      </c>
      <c r="AZ11" t="s">
        <v>837</v>
      </c>
      <c r="BA11" t="s">
        <v>104</v>
      </c>
      <c r="BB11" t="s">
        <v>840</v>
      </c>
      <c r="BC11" t="s">
        <v>1867</v>
      </c>
      <c r="BD11" t="s">
        <v>1356</v>
      </c>
      <c r="BE11" t="s">
        <v>838</v>
      </c>
      <c r="BF11" t="s">
        <v>105</v>
      </c>
      <c r="BG11" t="s">
        <v>842</v>
      </c>
      <c r="BH11" t="s">
        <v>906</v>
      </c>
      <c r="BI11" t="s">
        <v>392</v>
      </c>
      <c r="BJ11" t="s">
        <v>786</v>
      </c>
      <c r="BK11" t="s">
        <v>1591</v>
      </c>
      <c r="BL11" t="s">
        <v>2451</v>
      </c>
      <c r="BM11" t="s">
        <v>1867</v>
      </c>
      <c r="BN11" t="s">
        <v>5</v>
      </c>
      <c r="BO11" t="s">
        <v>5</v>
      </c>
      <c r="BP11" t="s">
        <v>5</v>
      </c>
      <c r="BQ11" t="s">
        <v>5</v>
      </c>
      <c r="BR11" t="s">
        <v>5</v>
      </c>
      <c r="BS11">
        <v>-139.16999999999999</v>
      </c>
      <c r="BT11" t="s">
        <v>1720</v>
      </c>
      <c r="BU11" t="s">
        <v>1589</v>
      </c>
      <c r="BV11">
        <v>17.07</v>
      </c>
      <c r="BW11">
        <v>15.82</v>
      </c>
      <c r="BX11">
        <v>15.86</v>
      </c>
      <c r="BY11">
        <v>82.66</v>
      </c>
      <c r="BZ11">
        <v>-46.96</v>
      </c>
      <c r="CA11">
        <v>-53.94</v>
      </c>
      <c r="CB11">
        <v>1.17</v>
      </c>
      <c r="CC11">
        <v>-26.69</v>
      </c>
      <c r="CD11" t="s">
        <v>409</v>
      </c>
      <c r="CE11" t="s">
        <v>2237</v>
      </c>
      <c r="CF11" s="10">
        <v>0.23414634146341468</v>
      </c>
      <c r="CG11" s="11">
        <v>15.664815020553272</v>
      </c>
      <c r="CH11" s="10">
        <v>-0.17754867672920227</v>
      </c>
      <c r="CI11" s="10">
        <v>-8.9676745235919952E-2</v>
      </c>
      <c r="CJ11" s="10">
        <v>0.82319390773773193</v>
      </c>
      <c r="CK11" s="10">
        <v>-0.25601130723953247</v>
      </c>
      <c r="CL11" s="10">
        <v>-0.38036805391311646</v>
      </c>
      <c r="CM11" s="11">
        <v>2.4547677040100098</v>
      </c>
      <c r="CN11" s="11">
        <v>0.20889748632907867</v>
      </c>
      <c r="CO11" s="11">
        <v>-5.5817780494689941</v>
      </c>
      <c r="CP11" s="11">
        <v>-8.6579809188842773</v>
      </c>
      <c r="CQ11" s="11">
        <v>1.0430978536605835</v>
      </c>
      <c r="CR11">
        <v>-19.633319310477177</v>
      </c>
      <c r="CS11">
        <v>-12.208124347413118</v>
      </c>
      <c r="CT11">
        <v>0</v>
      </c>
      <c r="CU11" s="10">
        <v>-1.6082175076007843E-2</v>
      </c>
      <c r="CV11" s="11">
        <v>-2.1065991848707197</v>
      </c>
      <c r="CW11">
        <v>0.06</v>
      </c>
      <c r="CX11">
        <v>4.1266596638655466</v>
      </c>
      <c r="CY11" t="s">
        <v>2452</v>
      </c>
      <c r="CZ11">
        <v>-1.6082175076007843E-2</v>
      </c>
      <c r="DA11">
        <v>1.3755532212885153</v>
      </c>
      <c r="DB11" t="s">
        <v>2453</v>
      </c>
      <c r="DC11">
        <v>-1.527806632220745E-2</v>
      </c>
      <c r="DD11">
        <v>0.68777661064425766</v>
      </c>
      <c r="DE11" t="s">
        <v>2454</v>
      </c>
      <c r="DF11">
        <v>-1.4152314066886901E-2</v>
      </c>
      <c r="DG11">
        <v>0.41266596638655462</v>
      </c>
      <c r="DH11" t="s">
        <v>2455</v>
      </c>
      <c r="DI11">
        <v>-1.2865740060806275E-2</v>
      </c>
      <c r="DJ11">
        <v>0.20633298319327731</v>
      </c>
      <c r="DK11" t="s">
        <v>2456</v>
      </c>
      <c r="DL11">
        <v>-1.1257522553205489E-2</v>
      </c>
      <c r="DM11">
        <v>595000000</v>
      </c>
      <c r="DN11">
        <v>-1.6082175076007843E-2</v>
      </c>
      <c r="DO11">
        <v>2455362500</v>
      </c>
      <c r="DP11">
        <v>360392270</v>
      </c>
      <c r="DQ11">
        <v>539</v>
      </c>
      <c r="DR11">
        <v>0.25022851653942252</v>
      </c>
      <c r="DS11">
        <v>17.771414205423991</v>
      </c>
      <c r="DT11" s="12">
        <v>-0.55666666666666664</v>
      </c>
      <c r="DU11">
        <v>-1.54</v>
      </c>
      <c r="DV11">
        <v>-2.0966666666666667</v>
      </c>
      <c r="DW11">
        <v>-3.1208988095238097</v>
      </c>
      <c r="DX11">
        <v>0.75549653579676657</v>
      </c>
      <c r="DY11">
        <v>-3.0175903579676673</v>
      </c>
      <c r="DZ11">
        <v>4452</v>
      </c>
      <c r="EA11">
        <v>-3.0022650597930971</v>
      </c>
      <c r="EB11">
        <v>3</v>
      </c>
      <c r="EC11">
        <v>0.20905718346116764</v>
      </c>
      <c r="ED11">
        <v>1.4368533402965968</v>
      </c>
      <c r="EE11" s="13">
        <v>1.03091</v>
      </c>
      <c r="EF11">
        <v>1.0483100000000001</v>
      </c>
      <c r="EG11">
        <v>61.145496535796767</v>
      </c>
      <c r="EH11" t="s">
        <v>1815</v>
      </c>
      <c r="EI11">
        <v>0</v>
      </c>
      <c r="EJ11">
        <v>0</v>
      </c>
      <c r="EK11" s="15">
        <v>45470</v>
      </c>
      <c r="EL11" s="16">
        <v>-1.68</v>
      </c>
      <c r="EM11" s="16">
        <v>-6.82</v>
      </c>
      <c r="EN11" s="16">
        <v>3.05</v>
      </c>
      <c r="EO11" s="16">
        <v>1.78</v>
      </c>
      <c r="EP11" s="16">
        <v>-1.74</v>
      </c>
    </row>
    <row r="12" spans="1:146" ht="108" x14ac:dyDescent="0.25">
      <c r="A12" s="8"/>
      <c r="B12" s="8"/>
      <c r="C12" s="8" t="str">
        <f>""&amp;CHAR(10)&amp;Basic_Fundamental_Information_Constructure(F12)&amp;CHAR(10)&amp;Basic_Fundamental_Information_Concatenate("")</f>
        <v xml:space="preserve">
市值53.005436亿, 利润-3059.52万; PE; 平均PE-58.21; 平均PEG-12.76, PB2.19; ROIC1.04%; ROE-5.51%; 股利率0%; 毛利14.06%; 净利-6.3233%; 上一年度营收增-18.89%, 利润增-180.93%; 当季营收增-22.82%, 利润增-356.07%; 过往5年营收增-4.56%, 利润增-238.56%
Income profile:
</v>
      </c>
      <c r="D12" t="s">
        <v>495</v>
      </c>
      <c r="E12" t="s">
        <v>23</v>
      </c>
      <c r="F12">
        <v>2.41</v>
      </c>
      <c r="G12">
        <v>0.84</v>
      </c>
      <c r="H12" t="s">
        <v>2457</v>
      </c>
      <c r="I12">
        <v>5300543600</v>
      </c>
      <c r="K12">
        <v>2.19</v>
      </c>
      <c r="L12" t="s">
        <v>101</v>
      </c>
      <c r="M12" t="s">
        <v>2133</v>
      </c>
      <c r="N12" t="s">
        <v>2458</v>
      </c>
      <c r="O12" t="s">
        <v>406</v>
      </c>
      <c r="P12">
        <v>-22.73</v>
      </c>
      <c r="Q12" t="s">
        <v>2459</v>
      </c>
      <c r="R12">
        <v>-14137350</v>
      </c>
      <c r="S12" s="6">
        <v>-3.5609999999999999</v>
      </c>
      <c r="T12" t="s">
        <v>2460</v>
      </c>
      <c r="U12">
        <v>1980103600</v>
      </c>
      <c r="V12">
        <v>2199395700</v>
      </c>
      <c r="W12">
        <v>1.78</v>
      </c>
      <c r="X12">
        <v>0.04</v>
      </c>
      <c r="Y12">
        <v>-9.3800000000000008</v>
      </c>
      <c r="Z12" t="s">
        <v>433</v>
      </c>
      <c r="AA12" t="s">
        <v>303</v>
      </c>
      <c r="AB12" t="s">
        <v>2461</v>
      </c>
      <c r="AC12" t="s">
        <v>2462</v>
      </c>
      <c r="AD12" t="s">
        <v>5</v>
      </c>
      <c r="AE12">
        <v>17507851</v>
      </c>
      <c r="AF12" t="s">
        <v>2463</v>
      </c>
      <c r="AG12" t="s">
        <v>2464</v>
      </c>
      <c r="AH12" t="s">
        <v>2465</v>
      </c>
      <c r="AI12" t="s">
        <v>508</v>
      </c>
      <c r="AJ12" t="s">
        <v>2466</v>
      </c>
      <c r="AK12" t="s">
        <v>2467</v>
      </c>
      <c r="AL12" t="s">
        <v>2468</v>
      </c>
      <c r="AM12" t="s">
        <v>5</v>
      </c>
      <c r="AN12" t="s">
        <v>879</v>
      </c>
      <c r="AO12" t="s">
        <v>1403</v>
      </c>
      <c r="AP12" t="s">
        <v>5</v>
      </c>
      <c r="AQ12" t="s">
        <v>819</v>
      </c>
      <c r="AR12" t="s">
        <v>5</v>
      </c>
      <c r="AS12" t="s">
        <v>2040</v>
      </c>
      <c r="AT12" t="s">
        <v>586</v>
      </c>
      <c r="AU12" t="s">
        <v>2469</v>
      </c>
      <c r="AV12" t="s">
        <v>2470</v>
      </c>
      <c r="AW12" t="s">
        <v>2471</v>
      </c>
      <c r="AX12" t="s">
        <v>1063</v>
      </c>
      <c r="AY12" t="s">
        <v>1357</v>
      </c>
      <c r="AZ12" t="s">
        <v>843</v>
      </c>
      <c r="BA12" t="s">
        <v>496</v>
      </c>
      <c r="BB12" t="s">
        <v>845</v>
      </c>
      <c r="BC12" t="s">
        <v>1869</v>
      </c>
      <c r="BD12" t="s">
        <v>1334</v>
      </c>
      <c r="BE12" t="s">
        <v>844</v>
      </c>
      <c r="BF12" t="s">
        <v>497</v>
      </c>
      <c r="BG12" t="s">
        <v>846</v>
      </c>
      <c r="BH12" t="s">
        <v>2459</v>
      </c>
      <c r="BI12" t="s">
        <v>173</v>
      </c>
      <c r="BJ12" t="s">
        <v>1063</v>
      </c>
      <c r="BK12" t="s">
        <v>2460</v>
      </c>
      <c r="BL12" t="s">
        <v>2472</v>
      </c>
      <c r="BM12" t="s">
        <v>1869</v>
      </c>
      <c r="BN12" t="s">
        <v>5</v>
      </c>
      <c r="BO12">
        <v>1.04</v>
      </c>
      <c r="BP12" t="s">
        <v>5</v>
      </c>
      <c r="BQ12">
        <v>-0.53</v>
      </c>
      <c r="BR12">
        <v>1.55</v>
      </c>
      <c r="BS12">
        <v>-17.55</v>
      </c>
      <c r="BT12" t="s">
        <v>1720</v>
      </c>
      <c r="BU12" t="s">
        <v>1537</v>
      </c>
      <c r="BV12">
        <v>14.76</v>
      </c>
      <c r="BW12">
        <v>13.39</v>
      </c>
      <c r="BX12">
        <v>14.03</v>
      </c>
      <c r="BY12">
        <v>-4.0999999999999996</v>
      </c>
      <c r="BZ12">
        <v>3.96</v>
      </c>
      <c r="CA12">
        <v>-18.829999999999998</v>
      </c>
      <c r="CB12">
        <v>6.17</v>
      </c>
      <c r="CC12">
        <v>-22.26</v>
      </c>
      <c r="CD12" t="s">
        <v>879</v>
      </c>
      <c r="CE12" t="s">
        <v>2473</v>
      </c>
      <c r="CF12" s="10">
        <v>-0.22815533980582525</v>
      </c>
      <c r="CG12" s="11">
        <v>-3.5606502445209203</v>
      </c>
      <c r="CH12" s="10">
        <v>-0.18888889253139496</v>
      </c>
      <c r="CI12" s="10">
        <v>-0.5518333911895752</v>
      </c>
      <c r="CJ12" s="10">
        <v>0.31644812226295471</v>
      </c>
      <c r="CK12" s="10">
        <v>0.19260832667350769</v>
      </c>
      <c r="CL12" s="10">
        <v>3.5663794260472059E-3</v>
      </c>
      <c r="CM12" s="11">
        <v>-1.809289813041687</v>
      </c>
      <c r="CN12" s="11">
        <v>1.0806076526641846</v>
      </c>
      <c r="CO12" s="11">
        <v>-1.9312499761581421</v>
      </c>
      <c r="CP12" s="11">
        <v>-8.6517314910888672</v>
      </c>
      <c r="CQ12" s="11">
        <v>-0.61647254228591919</v>
      </c>
      <c r="CR12">
        <v>-58.209469270107981</v>
      </c>
      <c r="CS12">
        <v>-12.759668623195795</v>
      </c>
      <c r="CT12">
        <v>0</v>
      </c>
      <c r="CU12" s="10">
        <v>-4.5619891071692106E-2</v>
      </c>
      <c r="CV12" s="11">
        <v>-2.3856272339820861</v>
      </c>
      <c r="CW12">
        <v>0.06</v>
      </c>
      <c r="CX12" t="e">
        <v>#VALUE!</v>
      </c>
      <c r="CY12" t="s">
        <v>1552</v>
      </c>
      <c r="CZ12">
        <v>-4.5619891071692106E-2</v>
      </c>
      <c r="DA12" t="e">
        <v>#VALUE!</v>
      </c>
      <c r="DB12" t="s">
        <v>1549</v>
      </c>
      <c r="DC12">
        <v>-4.3338896518107496E-2</v>
      </c>
      <c r="DD12" t="e">
        <v>#VALUE!</v>
      </c>
      <c r="DE12" t="s">
        <v>1549</v>
      </c>
      <c r="DF12">
        <v>-4.0145504143089053E-2</v>
      </c>
      <c r="DG12" t="e">
        <v>#VALUE!</v>
      </c>
      <c r="DH12" t="s">
        <v>1549</v>
      </c>
      <c r="DI12">
        <v>-3.6495912857353686E-2</v>
      </c>
      <c r="DJ12" t="e">
        <v>#VALUE!</v>
      </c>
      <c r="DK12" t="s">
        <v>1549</v>
      </c>
      <c r="DL12">
        <v>-3.1933923750184473E-2</v>
      </c>
      <c r="DM12">
        <v>-30595200</v>
      </c>
      <c r="DN12">
        <v>-4.5619891071692106E-2</v>
      </c>
      <c r="DO12">
        <v>4642543600</v>
      </c>
      <c r="DP12">
        <v>283195000</v>
      </c>
      <c r="DQ12">
        <v>549</v>
      </c>
      <c r="DR12">
        <v>-0.18253544873413313</v>
      </c>
      <c r="DS12">
        <v>-1.1750230105388342</v>
      </c>
      <c r="DT12" s="12">
        <v>-0.50666666666666671</v>
      </c>
      <c r="DU12">
        <v>-2.8816666666666664</v>
      </c>
      <c r="DV12">
        <v>-3.3883333333333332</v>
      </c>
      <c r="DW12">
        <v>7.2170242701371787</v>
      </c>
      <c r="DX12">
        <v>0.35415020886348586</v>
      </c>
      <c r="DY12">
        <v>7.035624579271464</v>
      </c>
      <c r="DZ12">
        <v>5006</v>
      </c>
      <c r="EA12">
        <v>7.0007250403609067</v>
      </c>
      <c r="EB12">
        <v>7</v>
      </c>
      <c r="EC12">
        <v>0.19278022595024624</v>
      </c>
      <c r="ED12">
        <v>1.1744134991261463</v>
      </c>
      <c r="EE12" s="13">
        <v>-1.109</v>
      </c>
      <c r="EF12">
        <v>-1.0750999999999999</v>
      </c>
      <c r="EG12">
        <v>19.164150208863486</v>
      </c>
      <c r="EH12" t="s">
        <v>1813</v>
      </c>
      <c r="EI12">
        <v>1</v>
      </c>
      <c r="EJ12">
        <v>0</v>
      </c>
      <c r="EK12" s="15">
        <v>45470</v>
      </c>
      <c r="EL12" s="16">
        <v>-1.32</v>
      </c>
      <c r="EM12" s="16">
        <v>2.2200000000000002</v>
      </c>
      <c r="EN12" s="16">
        <v>1.74</v>
      </c>
      <c r="EO12" s="16">
        <v>0.85</v>
      </c>
      <c r="EP12" s="16">
        <v>-3.39</v>
      </c>
    </row>
    <row r="13" spans="1:146" ht="108" x14ac:dyDescent="0.25">
      <c r="A13" s="8"/>
      <c r="B13" s="8"/>
      <c r="C13" s="8" t="str">
        <f>""&amp;CHAR(10)&amp;Basic_Fundamental_Information_Constructure(F13)&amp;CHAR(10)&amp;Basic_Fundamental_Information_Concatenate("")</f>
        <v xml:space="preserve">
市值74.146052亿, 利润3.33亿; PE19.36; 平均PE82.67; 平均PEG4.49, PB1.38; ROIC3.6467%; ROE3.9467%; 股利率1.368%; 毛利20.5433%; 净利4.4567%; 上一年度营收增-1.53%, 利润增64.04%; 当季营收增22.61%, 利润增266.9%; 过往5年营收增18.39%, 利润增60.62%
Income profile:
</v>
      </c>
      <c r="D13" t="s">
        <v>500</v>
      </c>
      <c r="E13" t="s">
        <v>78</v>
      </c>
      <c r="F13">
        <v>7.31</v>
      </c>
      <c r="G13">
        <v>-0.81</v>
      </c>
      <c r="H13" t="s">
        <v>2474</v>
      </c>
      <c r="I13">
        <v>7414605200</v>
      </c>
      <c r="J13">
        <v>19.36</v>
      </c>
      <c r="K13">
        <v>1.38</v>
      </c>
      <c r="L13" t="s">
        <v>101</v>
      </c>
      <c r="M13" t="s">
        <v>2475</v>
      </c>
      <c r="N13" t="s">
        <v>2476</v>
      </c>
      <c r="O13" t="s">
        <v>2477</v>
      </c>
      <c r="P13">
        <v>22.61</v>
      </c>
      <c r="Q13" t="s">
        <v>2478</v>
      </c>
      <c r="R13">
        <v>68419217</v>
      </c>
      <c r="S13" s="6">
        <v>2.669</v>
      </c>
      <c r="T13" t="s">
        <v>636</v>
      </c>
      <c r="U13">
        <v>960750470</v>
      </c>
      <c r="V13">
        <v>1014309870</v>
      </c>
      <c r="W13">
        <v>2.95</v>
      </c>
      <c r="X13">
        <v>0.09</v>
      </c>
      <c r="Y13">
        <v>5.81</v>
      </c>
      <c r="Z13" t="s">
        <v>2479</v>
      </c>
      <c r="AA13" t="s">
        <v>2480</v>
      </c>
      <c r="AB13" t="s">
        <v>2481</v>
      </c>
      <c r="AC13" t="s">
        <v>674</v>
      </c>
      <c r="AD13" t="s">
        <v>5</v>
      </c>
      <c r="AE13">
        <v>2412717</v>
      </c>
      <c r="AF13" t="s">
        <v>2482</v>
      </c>
      <c r="AG13" t="s">
        <v>2483</v>
      </c>
      <c r="AH13" t="s">
        <v>2484</v>
      </c>
      <c r="AI13" t="s">
        <v>2485</v>
      </c>
      <c r="AJ13" t="s">
        <v>2486</v>
      </c>
      <c r="AK13" t="s">
        <v>911</v>
      </c>
      <c r="AL13" t="s">
        <v>2487</v>
      </c>
      <c r="AM13" t="s">
        <v>5</v>
      </c>
      <c r="AN13" t="s">
        <v>2488</v>
      </c>
      <c r="AO13" t="s">
        <v>571</v>
      </c>
      <c r="AP13" t="s">
        <v>2489</v>
      </c>
      <c r="AQ13" t="s">
        <v>2490</v>
      </c>
      <c r="AR13" t="s">
        <v>5</v>
      </c>
      <c r="AS13" t="s">
        <v>2491</v>
      </c>
      <c r="AT13" t="s">
        <v>850</v>
      </c>
      <c r="AU13" t="s">
        <v>2492</v>
      </c>
      <c r="AV13" t="s">
        <v>2493</v>
      </c>
      <c r="AW13" t="s">
        <v>1068</v>
      </c>
      <c r="AX13" t="s">
        <v>1870</v>
      </c>
      <c r="AY13" t="s">
        <v>1358</v>
      </c>
      <c r="AZ13" t="s">
        <v>847</v>
      </c>
      <c r="BA13" t="s">
        <v>501</v>
      </c>
      <c r="BB13" t="s">
        <v>715</v>
      </c>
      <c r="BC13" t="s">
        <v>354</v>
      </c>
      <c r="BD13" t="s">
        <v>220</v>
      </c>
      <c r="BE13" t="s">
        <v>848</v>
      </c>
      <c r="BF13" t="s">
        <v>502</v>
      </c>
      <c r="BG13" t="s">
        <v>851</v>
      </c>
      <c r="BH13" t="s">
        <v>2478</v>
      </c>
      <c r="BI13" t="s">
        <v>944</v>
      </c>
      <c r="BJ13" t="s">
        <v>1870</v>
      </c>
      <c r="BK13" t="s">
        <v>636</v>
      </c>
      <c r="BL13" t="s">
        <v>2349</v>
      </c>
      <c r="BM13" t="s">
        <v>354</v>
      </c>
      <c r="BN13">
        <v>4.3600000000000003</v>
      </c>
      <c r="BO13">
        <v>3.96</v>
      </c>
      <c r="BP13">
        <v>2.62</v>
      </c>
      <c r="BQ13">
        <v>4.1900000000000004</v>
      </c>
      <c r="BR13">
        <v>4.37</v>
      </c>
      <c r="BS13">
        <v>3.28</v>
      </c>
      <c r="BT13" t="s">
        <v>1723</v>
      </c>
      <c r="BU13" t="s">
        <v>1537</v>
      </c>
      <c r="BV13">
        <v>26</v>
      </c>
      <c r="BW13">
        <v>20.16</v>
      </c>
      <c r="BX13">
        <v>15.47</v>
      </c>
      <c r="BY13">
        <v>7</v>
      </c>
      <c r="BZ13">
        <v>4.05</v>
      </c>
      <c r="CA13">
        <v>2.3199999999999998</v>
      </c>
      <c r="CB13">
        <v>-1.08</v>
      </c>
      <c r="CC13">
        <v>-6.28</v>
      </c>
      <c r="CD13" t="s">
        <v>2494</v>
      </c>
      <c r="CE13" t="s">
        <v>742</v>
      </c>
      <c r="CF13" s="10">
        <v>0.22613065326633167</v>
      </c>
      <c r="CG13" s="11">
        <v>2.6690038556620315</v>
      </c>
      <c r="CH13" s="10">
        <v>-1.5341701917350292E-2</v>
      </c>
      <c r="CI13" s="10">
        <v>5.1512360572814941E-2</v>
      </c>
      <c r="CJ13" s="10">
        <v>0.76995468139648438</v>
      </c>
      <c r="CK13" s="10">
        <v>7.5741685926914215E-2</v>
      </c>
      <c r="CL13" s="10">
        <v>3.7667512893676758E-2</v>
      </c>
      <c r="CM13" s="11">
        <v>0.64039409160614014</v>
      </c>
      <c r="CN13" s="11">
        <v>0.42957746982574463</v>
      </c>
      <c r="CO13" s="11">
        <v>0.49292171001434326</v>
      </c>
      <c r="CP13" s="11">
        <v>0.21867021918296814</v>
      </c>
      <c r="CQ13" s="11">
        <v>1.2493566274642944</v>
      </c>
      <c r="CR13">
        <v>82.665549783049443</v>
      </c>
      <c r="CS13">
        <v>4.494967088697253</v>
      </c>
      <c r="CT13">
        <v>1.3679890560875514</v>
      </c>
      <c r="CU13" s="10">
        <v>0.18390690777450799</v>
      </c>
      <c r="CV13" s="11">
        <v>0.60618402361869816</v>
      </c>
      <c r="CW13">
        <v>0.06</v>
      </c>
      <c r="CX13">
        <v>32.763567215318147</v>
      </c>
      <c r="CY13">
        <v>371925471.97067088</v>
      </c>
      <c r="CZ13">
        <v>0.18390690777450799</v>
      </c>
      <c r="DA13">
        <v>9.8970035699886676</v>
      </c>
      <c r="DB13">
        <v>1231241871.7268336</v>
      </c>
      <c r="DC13">
        <v>0.17471156238578259</v>
      </c>
      <c r="DD13">
        <v>4.3701521278316804</v>
      </c>
      <c r="DE13">
        <v>2788370940.7722793</v>
      </c>
      <c r="DF13">
        <v>0.16183807884156703</v>
      </c>
      <c r="DG13">
        <v>2.3099642552360837</v>
      </c>
      <c r="DH13">
        <v>5275235394.824152</v>
      </c>
      <c r="DI13">
        <v>0.1471255262196064</v>
      </c>
      <c r="DJ13">
        <v>0.88661500358857248</v>
      </c>
      <c r="DK13">
        <v>13743964573.889215</v>
      </c>
      <c r="DL13">
        <v>0.12873483544215558</v>
      </c>
      <c r="DM13">
        <v>333000000</v>
      </c>
      <c r="DN13">
        <v>0.18390690777450799</v>
      </c>
      <c r="DO13">
        <v>12185605200</v>
      </c>
      <c r="DP13">
        <v>2683254100</v>
      </c>
      <c r="DQ13">
        <v>589</v>
      </c>
      <c r="DR13">
        <v>4.2223745491823672E-2</v>
      </c>
      <c r="DS13">
        <v>2.0628198320433331</v>
      </c>
      <c r="DT13" s="12">
        <v>-0.17333333333333334</v>
      </c>
      <c r="DU13">
        <v>1.3733333333333333</v>
      </c>
      <c r="DV13">
        <v>1.2</v>
      </c>
      <c r="DW13">
        <v>-2.0628000000000002</v>
      </c>
      <c r="DX13">
        <v>0.43028208616780089</v>
      </c>
      <c r="DY13">
        <v>-2.008809715011338</v>
      </c>
      <c r="DZ13">
        <v>122</v>
      </c>
      <c r="EA13">
        <v>-2.0085993852204607</v>
      </c>
      <c r="EB13">
        <v>2</v>
      </c>
      <c r="EC13">
        <v>6.099161787708917E-2</v>
      </c>
      <c r="ED13">
        <v>0.43477837793296836</v>
      </c>
      <c r="EE13" s="13">
        <v>2.0537100000000001</v>
      </c>
      <c r="EF13">
        <v>2.1047099999999999</v>
      </c>
      <c r="EG13">
        <v>29.140282086167801</v>
      </c>
      <c r="EH13" t="s">
        <v>1816</v>
      </c>
      <c r="EI13">
        <v>0</v>
      </c>
      <c r="EJ13">
        <v>1</v>
      </c>
      <c r="EK13" s="15">
        <v>45470</v>
      </c>
      <c r="EL13" s="16">
        <v>-0.13</v>
      </c>
      <c r="EM13" s="16">
        <v>-2.77</v>
      </c>
      <c r="EN13" s="16">
        <v>0.27</v>
      </c>
      <c r="EO13" s="16">
        <v>3.38</v>
      </c>
      <c r="EP13" s="16">
        <v>-5.0999999999999996</v>
      </c>
    </row>
    <row r="14" spans="1:146" ht="96" x14ac:dyDescent="0.25">
      <c r="C14" s="8" t="str">
        <f>""&amp;CHAR(10)&amp;Basic_Fundamental_Information_Constructure(F14)&amp;CHAR(10)&amp;Basic_Fundamental_Information_Concatenate("")</f>
        <v xml:space="preserve">
市值80.731267亿, 利润3.63亿; PE20.62; 平均PE55.1; 平均PEG4.3, PB1.14; ROIC3.0267%; ROE3.5533%; 股利率.8373%; 毛利20.75%; 净利2.2867%; 上一年度营收增15.89%, 利润增26.04%; 当季营收增21.08%, 利润增145.61%; 过往5年营收增12.83%, 利润增106.95%
Income profile:
</v>
      </c>
      <c r="D14" t="s">
        <v>234</v>
      </c>
      <c r="E14" t="s">
        <v>7</v>
      </c>
      <c r="F14">
        <v>4.18</v>
      </c>
      <c r="G14">
        <v>0.24</v>
      </c>
      <c r="H14" t="s">
        <v>2495</v>
      </c>
      <c r="I14">
        <v>8073126700</v>
      </c>
      <c r="J14">
        <v>20.62</v>
      </c>
      <c r="K14">
        <v>1.1399999999999999</v>
      </c>
      <c r="L14" t="s">
        <v>101</v>
      </c>
      <c r="M14" t="s">
        <v>2496</v>
      </c>
      <c r="N14" t="s">
        <v>2497</v>
      </c>
      <c r="O14" t="s">
        <v>2498</v>
      </c>
      <c r="P14">
        <v>21.08</v>
      </c>
      <c r="Q14" t="s">
        <v>2499</v>
      </c>
      <c r="R14">
        <v>280000000</v>
      </c>
      <c r="S14" s="6">
        <v>0.24879999999999999</v>
      </c>
      <c r="T14" t="s">
        <v>790</v>
      </c>
      <c r="U14">
        <v>1931370000</v>
      </c>
      <c r="V14">
        <v>1931370000</v>
      </c>
      <c r="W14">
        <v>3.44</v>
      </c>
      <c r="X14">
        <v>0.13</v>
      </c>
      <c r="Y14">
        <v>4.47</v>
      </c>
      <c r="Z14" t="s">
        <v>2500</v>
      </c>
      <c r="AA14" t="s">
        <v>1694</v>
      </c>
      <c r="AB14" t="s">
        <v>2501</v>
      </c>
      <c r="AC14" t="s">
        <v>128</v>
      </c>
      <c r="AD14" t="s">
        <v>5</v>
      </c>
      <c r="AE14">
        <v>-5033462</v>
      </c>
      <c r="AF14" t="s">
        <v>2502</v>
      </c>
      <c r="AG14" t="s">
        <v>2503</v>
      </c>
      <c r="AH14" t="s">
        <v>2504</v>
      </c>
      <c r="AI14" t="s">
        <v>2505</v>
      </c>
      <c r="AJ14" t="s">
        <v>2506</v>
      </c>
      <c r="AK14" t="s">
        <v>2507</v>
      </c>
      <c r="AL14" t="s">
        <v>2508</v>
      </c>
      <c r="AM14" t="s">
        <v>5</v>
      </c>
      <c r="AN14" t="s">
        <v>2509</v>
      </c>
      <c r="AO14" t="s">
        <v>2510</v>
      </c>
      <c r="AP14" t="s">
        <v>2511</v>
      </c>
      <c r="AQ14" t="s">
        <v>2512</v>
      </c>
      <c r="AR14" t="s">
        <v>5</v>
      </c>
      <c r="AS14" t="s">
        <v>2513</v>
      </c>
      <c r="AT14" t="s">
        <v>1294</v>
      </c>
      <c r="AU14" t="s">
        <v>2514</v>
      </c>
      <c r="AV14" t="s">
        <v>2515</v>
      </c>
      <c r="AW14" t="s">
        <v>2190</v>
      </c>
      <c r="AX14" t="s">
        <v>2098</v>
      </c>
      <c r="AY14" t="s">
        <v>1359</v>
      </c>
      <c r="AZ14" t="s">
        <v>1360</v>
      </c>
      <c r="BA14" t="s">
        <v>235</v>
      </c>
      <c r="BB14" t="s">
        <v>856</v>
      </c>
      <c r="BC14" t="s">
        <v>163</v>
      </c>
      <c r="BD14" t="s">
        <v>194</v>
      </c>
      <c r="BE14" t="s">
        <v>1361</v>
      </c>
      <c r="BF14" t="s">
        <v>236</v>
      </c>
      <c r="BG14" t="s">
        <v>857</v>
      </c>
      <c r="BH14" t="s">
        <v>2499</v>
      </c>
      <c r="BI14" t="s">
        <v>2516</v>
      </c>
      <c r="BJ14" t="s">
        <v>2098</v>
      </c>
      <c r="BK14" t="s">
        <v>790</v>
      </c>
      <c r="BL14" t="s">
        <v>207</v>
      </c>
      <c r="BM14" t="s">
        <v>163</v>
      </c>
      <c r="BN14">
        <v>3.93</v>
      </c>
      <c r="BO14">
        <v>3.83</v>
      </c>
      <c r="BP14">
        <v>1.32</v>
      </c>
      <c r="BQ14">
        <v>4.63</v>
      </c>
      <c r="BR14">
        <v>4.32</v>
      </c>
      <c r="BS14">
        <v>1.71</v>
      </c>
      <c r="BT14" t="s">
        <v>2517</v>
      </c>
      <c r="BU14" t="s">
        <v>1536</v>
      </c>
      <c r="BV14">
        <v>20.65</v>
      </c>
      <c r="BW14">
        <v>20.09</v>
      </c>
      <c r="BX14">
        <v>21.51</v>
      </c>
      <c r="BY14">
        <v>3.03</v>
      </c>
      <c r="BZ14">
        <v>2.75</v>
      </c>
      <c r="CA14">
        <v>1.08</v>
      </c>
      <c r="CB14">
        <v>-2.11</v>
      </c>
      <c r="CC14">
        <v>-8.0299999999999994</v>
      </c>
      <c r="CD14" t="s">
        <v>2518</v>
      </c>
      <c r="CE14" t="s">
        <v>289</v>
      </c>
      <c r="CF14" s="10">
        <v>0.21078617546524878</v>
      </c>
      <c r="CG14" s="11">
        <v>1.4561403508771931</v>
      </c>
      <c r="CH14" s="10">
        <v>0.1589263379573822</v>
      </c>
      <c r="CI14" s="10">
        <v>0.13700735569000244</v>
      </c>
      <c r="CJ14" s="10">
        <v>0.11520570516586304</v>
      </c>
      <c r="CK14" s="10">
        <v>0.13287103176116943</v>
      </c>
      <c r="CL14" s="10">
        <v>9.7245484590530396E-2</v>
      </c>
      <c r="CM14" s="11">
        <v>0.2604166567325592</v>
      </c>
      <c r="CN14" s="11">
        <v>1.5043478012084961</v>
      </c>
      <c r="CO14" s="11">
        <v>1.388796329498291</v>
      </c>
      <c r="CP14" s="11">
        <v>-2.9941180720925331E-2</v>
      </c>
      <c r="CQ14" s="11">
        <v>2.2240593433380127</v>
      </c>
      <c r="CR14">
        <v>55.096543922817368</v>
      </c>
      <c r="CS14">
        <v>4.295987188566138</v>
      </c>
      <c r="CT14">
        <v>0.83732057416267947</v>
      </c>
      <c r="CU14" s="10">
        <v>0.12825118303298949</v>
      </c>
      <c r="CV14" s="11">
        <v>1.0695357900112867</v>
      </c>
      <c r="CW14">
        <v>0.06</v>
      </c>
      <c r="CX14">
        <v>47.382026344991473</v>
      </c>
      <c r="CY14">
        <v>386372810.79337287</v>
      </c>
      <c r="CZ14">
        <v>0.12825118303298949</v>
      </c>
      <c r="DA14">
        <v>14.992635481772872</v>
      </c>
      <c r="DB14">
        <v>1221074621.753906</v>
      </c>
      <c r="DC14">
        <v>0.12183862388134001</v>
      </c>
      <c r="DD14">
        <v>7.0646505834034485</v>
      </c>
      <c r="DE14">
        <v>2591370441.3078566</v>
      </c>
      <c r="DF14">
        <v>0.11286104106903075</v>
      </c>
      <c r="DG14">
        <v>4.0347538368843257</v>
      </c>
      <c r="DH14">
        <v>4537359016.2161999</v>
      </c>
      <c r="DI14">
        <v>0.1026009464263916</v>
      </c>
      <c r="DJ14">
        <v>1.8613490127946719</v>
      </c>
      <c r="DK14">
        <v>9835407854.2815895</v>
      </c>
      <c r="DL14">
        <v>8.9775828123092635E-2</v>
      </c>
      <c r="DM14">
        <v>363000000</v>
      </c>
      <c r="DN14">
        <v>0.12825118303298949</v>
      </c>
      <c r="DO14">
        <v>18307126700</v>
      </c>
      <c r="DP14">
        <v>3500397000</v>
      </c>
      <c r="DQ14">
        <v>714</v>
      </c>
      <c r="DR14">
        <v>8.2534992432259285E-2</v>
      </c>
      <c r="DS14">
        <v>0.38660456086590633</v>
      </c>
      <c r="DT14" s="12">
        <v>-0.27333333333333337</v>
      </c>
      <c r="DU14">
        <v>1.746666666666667</v>
      </c>
      <c r="DV14">
        <v>1.4733333333333336</v>
      </c>
      <c r="DW14">
        <v>-2.0802999999999998</v>
      </c>
      <c r="DX14">
        <v>0.34266666666666695</v>
      </c>
      <c r="DY14">
        <v>-2.0114561333333332</v>
      </c>
      <c r="DZ14">
        <v>103</v>
      </c>
      <c r="EA14">
        <v>-2.0112252171428571</v>
      </c>
      <c r="EB14">
        <v>2</v>
      </c>
      <c r="EC14">
        <v>2.8143752880079944E-2</v>
      </c>
      <c r="ED14">
        <v>0.19726929588841083</v>
      </c>
      <c r="EE14" s="13">
        <v>1.0345</v>
      </c>
      <c r="EF14">
        <v>1.0249999999999999</v>
      </c>
      <c r="EG14">
        <v>20.142666666666667</v>
      </c>
      <c r="EH14" t="s">
        <v>1814</v>
      </c>
      <c r="EI14">
        <v>0</v>
      </c>
      <c r="EJ14">
        <v>1</v>
      </c>
      <c r="EK14" s="15">
        <v>45470</v>
      </c>
      <c r="EL14" s="16">
        <v>-0.23</v>
      </c>
      <c r="EM14" s="16">
        <v>-3.73</v>
      </c>
      <c r="EN14" s="16">
        <v>3.15</v>
      </c>
      <c r="EO14" s="16">
        <v>-0.94</v>
      </c>
      <c r="EP14" s="16">
        <v>-0.95</v>
      </c>
    </row>
    <row r="15" spans="1:146" ht="96" x14ac:dyDescent="0.25">
      <c r="C15" s="8" t="str">
        <f>""&amp;CHAR(10)&amp;Basic_Fundamental_Information_Constructure(F15)&amp;CHAR(10)&amp;Basic_Fundamental_Information_Concatenate("")</f>
        <v xml:space="preserve">
市值14.887373亿, 利润4662.29万; PE22.93; 平均PE933.91; 平均PEG126, PB2.28; ROIC4.68%; ROE.9933%; 股利率.3209%; 毛利21.3233%; 净利.3%; 上一年度营收增11.93%, 利润增108.59%; 当季营收增79.53%, 利润增187.2%; 过往5年营收增7.41%, 利润增-87.24%
Income profile:
</v>
      </c>
      <c r="D15" t="s">
        <v>445</v>
      </c>
      <c r="E15" t="s">
        <v>17</v>
      </c>
      <c r="F15">
        <v>7.48</v>
      </c>
      <c r="G15">
        <v>0.94</v>
      </c>
      <c r="H15" t="s">
        <v>2519</v>
      </c>
      <c r="I15">
        <v>1488737300</v>
      </c>
      <c r="J15">
        <v>22.93</v>
      </c>
      <c r="K15">
        <v>2.2799999999999998</v>
      </c>
      <c r="L15" t="s">
        <v>101</v>
      </c>
      <c r="M15" t="s">
        <v>2222</v>
      </c>
      <c r="N15" t="s">
        <v>1177</v>
      </c>
      <c r="O15" t="s">
        <v>177</v>
      </c>
      <c r="P15">
        <v>79.28</v>
      </c>
      <c r="Q15" t="s">
        <v>2196</v>
      </c>
      <c r="R15">
        <v>8530313</v>
      </c>
      <c r="S15" s="6">
        <v>1.8720000000000001</v>
      </c>
      <c r="T15" t="s">
        <v>2520</v>
      </c>
      <c r="U15">
        <v>154217910</v>
      </c>
      <c r="V15">
        <v>199029050</v>
      </c>
      <c r="W15">
        <v>3.26</v>
      </c>
      <c r="X15">
        <v>0.11</v>
      </c>
      <c r="Y15">
        <v>3.74</v>
      </c>
      <c r="Z15" t="s">
        <v>177</v>
      </c>
      <c r="AA15" t="s">
        <v>139</v>
      </c>
      <c r="AB15" t="s">
        <v>2521</v>
      </c>
      <c r="AC15" t="s">
        <v>2522</v>
      </c>
      <c r="AD15" t="s">
        <v>5</v>
      </c>
      <c r="AE15">
        <v>-1048439</v>
      </c>
      <c r="AF15" t="s">
        <v>2523</v>
      </c>
      <c r="AG15" t="s">
        <v>2524</v>
      </c>
      <c r="AH15" t="s">
        <v>2525</v>
      </c>
      <c r="AI15" t="s">
        <v>855</v>
      </c>
      <c r="AJ15" t="s">
        <v>2526</v>
      </c>
      <c r="AK15" t="s">
        <v>5</v>
      </c>
      <c r="AL15" t="s">
        <v>2527</v>
      </c>
      <c r="AM15" t="s">
        <v>5</v>
      </c>
      <c r="AN15" t="s">
        <v>2528</v>
      </c>
      <c r="AO15" t="s">
        <v>2529</v>
      </c>
      <c r="AP15" t="s">
        <v>146</v>
      </c>
      <c r="AQ15" t="s">
        <v>879</v>
      </c>
      <c r="AR15" t="s">
        <v>5</v>
      </c>
      <c r="AS15" t="s">
        <v>2530</v>
      </c>
      <c r="AT15" t="s">
        <v>2531</v>
      </c>
      <c r="AU15" t="s">
        <v>2532</v>
      </c>
      <c r="AV15" t="s">
        <v>2533</v>
      </c>
      <c r="AW15" t="s">
        <v>2534</v>
      </c>
      <c r="AX15" t="s">
        <v>1874</v>
      </c>
      <c r="AY15" t="s">
        <v>1263</v>
      </c>
      <c r="AZ15" t="s">
        <v>745</v>
      </c>
      <c r="BA15" t="s">
        <v>446</v>
      </c>
      <c r="BB15" t="s">
        <v>726</v>
      </c>
      <c r="BC15" t="s">
        <v>1875</v>
      </c>
      <c r="BD15" t="s">
        <v>1363</v>
      </c>
      <c r="BE15" t="s">
        <v>858</v>
      </c>
      <c r="BF15" t="s">
        <v>447</v>
      </c>
      <c r="BG15" t="s">
        <v>861</v>
      </c>
      <c r="BH15" t="s">
        <v>2196</v>
      </c>
      <c r="BI15" t="s">
        <v>298</v>
      </c>
      <c r="BJ15" t="s">
        <v>1874</v>
      </c>
      <c r="BK15" t="s">
        <v>2520</v>
      </c>
      <c r="BL15" t="s">
        <v>2535</v>
      </c>
      <c r="BM15" t="s">
        <v>1875</v>
      </c>
      <c r="BN15">
        <v>5.01</v>
      </c>
      <c r="BO15">
        <v>4.3499999999999996</v>
      </c>
      <c r="BP15" t="s">
        <v>5</v>
      </c>
      <c r="BQ15">
        <v>7.77</v>
      </c>
      <c r="BR15">
        <v>3.85</v>
      </c>
      <c r="BS15">
        <v>-8.64</v>
      </c>
      <c r="BT15" t="s">
        <v>2536</v>
      </c>
      <c r="BU15" t="s">
        <v>1590</v>
      </c>
      <c r="BV15">
        <v>24.1</v>
      </c>
      <c r="BW15">
        <v>21.95</v>
      </c>
      <c r="BX15">
        <v>17.920000000000002</v>
      </c>
      <c r="BY15">
        <v>3.63</v>
      </c>
      <c r="BZ15">
        <v>2.06</v>
      </c>
      <c r="CA15">
        <v>-4.79</v>
      </c>
      <c r="CB15">
        <v>-1.97</v>
      </c>
      <c r="CC15">
        <v>-11.85</v>
      </c>
      <c r="CD15" t="s">
        <v>2537</v>
      </c>
      <c r="CE15" t="s">
        <v>2538</v>
      </c>
      <c r="CF15" s="10">
        <v>0.79527559055118091</v>
      </c>
      <c r="CG15" s="11">
        <v>1.8720061539090611</v>
      </c>
      <c r="CH15" s="10">
        <v>0.11933792382478714</v>
      </c>
      <c r="CI15" s="10">
        <v>7.9962372779846191E-2</v>
      </c>
      <c r="CJ15" s="10">
        <v>0.14301075041294098</v>
      </c>
      <c r="CK15" s="10">
        <v>0.30617976188659668</v>
      </c>
      <c r="CL15" s="10">
        <v>-0.27789047360420227</v>
      </c>
      <c r="CM15" s="11">
        <v>1.0858771800994873</v>
      </c>
      <c r="CN15" s="11">
        <v>1.4337339401245117</v>
      </c>
      <c r="CO15" s="11">
        <v>-3.8925559520721436</v>
      </c>
      <c r="CP15" s="11">
        <v>1.494351863861084</v>
      </c>
      <c r="CQ15" s="11">
        <v>-4.4833459854125977</v>
      </c>
      <c r="CR15">
        <v>933.91434993988184</v>
      </c>
      <c r="CS15">
        <v>126.00020304676188</v>
      </c>
      <c r="CT15">
        <v>0.32085561497326198</v>
      </c>
      <c r="CU15" s="10">
        <v>7.4120067059993744E-2</v>
      </c>
      <c r="CV15" s="11">
        <v>-0.87238779067993166</v>
      </c>
      <c r="CW15">
        <v>0.06</v>
      </c>
      <c r="CX15">
        <v>47.556079760252594</v>
      </c>
      <c r="CY15">
        <v>47243955.164652251</v>
      </c>
      <c r="CZ15">
        <v>7.4120067059993744E-2</v>
      </c>
      <c r="DA15">
        <v>15.75164943812837</v>
      </c>
      <c r="DB15">
        <v>142635049.67051628</v>
      </c>
      <c r="DC15">
        <v>7.0414063706994059E-2</v>
      </c>
      <c r="DD15">
        <v>7.8942578200167057</v>
      </c>
      <c r="DE15">
        <v>284603993.33591127</v>
      </c>
      <c r="DF15">
        <v>6.5225659012794493E-2</v>
      </c>
      <c r="DG15">
        <v>4.8365873009852036</v>
      </c>
      <c r="DH15">
        <v>464529462.65279734</v>
      </c>
      <c r="DI15">
        <v>5.9296053647994999E-2</v>
      </c>
      <c r="DJ15">
        <v>2.6094293086113289</v>
      </c>
      <c r="DK15">
        <v>861007153.01448643</v>
      </c>
      <c r="DL15">
        <v>5.1884046941995617E-2</v>
      </c>
      <c r="DM15">
        <v>46622900</v>
      </c>
      <c r="DN15">
        <v>7.4120067059993744E-2</v>
      </c>
      <c r="DO15">
        <v>2246737300</v>
      </c>
      <c r="DP15">
        <v>286323400</v>
      </c>
      <c r="DQ15">
        <v>719</v>
      </c>
      <c r="DR15">
        <v>0.72115552349118717</v>
      </c>
      <c r="DS15">
        <v>2.7443939445889929</v>
      </c>
      <c r="DT15" s="12">
        <v>-0.42333333333333334</v>
      </c>
      <c r="DU15">
        <v>-0.87333333333333341</v>
      </c>
      <c r="DV15">
        <v>-1.2966666666666669</v>
      </c>
      <c r="DW15">
        <v>-2.1185</v>
      </c>
      <c r="DX15">
        <v>0.3164898543890689</v>
      </c>
      <c r="DY15">
        <v>-2.0161740477451047</v>
      </c>
      <c r="DZ15">
        <v>3852</v>
      </c>
      <c r="EA15">
        <v>-2.0039817910104385</v>
      </c>
      <c r="EB15">
        <v>2</v>
      </c>
      <c r="EC15">
        <v>6.5572839743745948E-2</v>
      </c>
      <c r="ED15">
        <v>0.48042283274727987</v>
      </c>
      <c r="EE15" s="13">
        <v>2.0399099999999999</v>
      </c>
      <c r="EF15">
        <v>2.0620099999999999</v>
      </c>
      <c r="EG15">
        <v>18.136489854389069</v>
      </c>
      <c r="EH15" t="s">
        <v>1816</v>
      </c>
      <c r="EI15">
        <v>0</v>
      </c>
      <c r="EJ15">
        <v>0</v>
      </c>
      <c r="EK15" s="15">
        <v>45470</v>
      </c>
      <c r="EL15" s="16">
        <v>-1.17</v>
      </c>
      <c r="EM15" s="16">
        <v>-4.4800000000000004</v>
      </c>
      <c r="EN15" s="16">
        <v>1.38</v>
      </c>
      <c r="EO15" s="16">
        <v>4.63</v>
      </c>
      <c r="EP15" s="16">
        <v>-2.21</v>
      </c>
    </row>
    <row r="16" spans="1:146" ht="96" x14ac:dyDescent="0.25">
      <c r="C16" s="8" t="str">
        <f>""&amp;CHAR(10)&amp;Basic_Fundamental_Information_Constructure(F16)&amp;CHAR(10)&amp;Basic_Fundamental_Information_Concatenate("")</f>
        <v xml:space="preserve">
市值15.393378亿, 利润2456.63万; PE55.49; 平均PE65.36; 平均PEG27.27, PB1.41; ROIC2.835%; ROE.8033%; 股利率1.182%; 毛利32.67%; 净利2.74%; 上一年度营收增23.18%, 利润增187.96%; 当季营收增-3.4%, 利润增36.55%; 过往5年营收增2.4%, 利润增17.18%
Income profile:
</v>
      </c>
      <c r="D16" t="s">
        <v>290</v>
      </c>
      <c r="E16" t="s">
        <v>25</v>
      </c>
      <c r="F16">
        <v>4.2300000000000004</v>
      </c>
      <c r="G16">
        <v>1.93</v>
      </c>
      <c r="H16" t="s">
        <v>2539</v>
      </c>
      <c r="I16">
        <v>1539337800</v>
      </c>
      <c r="J16">
        <v>55.49</v>
      </c>
      <c r="K16">
        <v>1.41</v>
      </c>
      <c r="L16" t="s">
        <v>101</v>
      </c>
      <c r="M16" t="s">
        <v>2540</v>
      </c>
      <c r="N16" t="s">
        <v>2541</v>
      </c>
      <c r="O16" t="s">
        <v>220</v>
      </c>
      <c r="P16">
        <v>-3.01</v>
      </c>
      <c r="Q16" t="s">
        <v>1856</v>
      </c>
      <c r="R16">
        <v>-5513630</v>
      </c>
      <c r="S16" s="6">
        <v>0.36549999999999999</v>
      </c>
      <c r="T16" t="s">
        <v>2542</v>
      </c>
      <c r="U16">
        <v>339373880</v>
      </c>
      <c r="V16">
        <v>363909650</v>
      </c>
      <c r="W16">
        <v>1.48</v>
      </c>
      <c r="X16">
        <v>0.08</v>
      </c>
      <c r="Y16">
        <v>-2.0099999999999998</v>
      </c>
      <c r="Z16" t="s">
        <v>551</v>
      </c>
      <c r="AA16" t="s">
        <v>2543</v>
      </c>
      <c r="AB16" t="s">
        <v>2544</v>
      </c>
      <c r="AC16" t="s">
        <v>2545</v>
      </c>
      <c r="AD16" t="s">
        <v>5</v>
      </c>
      <c r="AE16">
        <v>402828</v>
      </c>
      <c r="AF16" t="s">
        <v>2546</v>
      </c>
      <c r="AG16">
        <v>1057.3499999999999</v>
      </c>
      <c r="AH16" t="s">
        <v>2547</v>
      </c>
      <c r="AI16" t="s">
        <v>266</v>
      </c>
      <c r="AJ16" t="s">
        <v>2548</v>
      </c>
      <c r="AK16" t="s">
        <v>214</v>
      </c>
      <c r="AL16" t="s">
        <v>2549</v>
      </c>
      <c r="AM16" t="s">
        <v>5</v>
      </c>
      <c r="AN16" t="s">
        <v>2550</v>
      </c>
      <c r="AO16" t="s">
        <v>2551</v>
      </c>
      <c r="AP16" t="s">
        <v>2552</v>
      </c>
      <c r="AQ16" t="s">
        <v>2432</v>
      </c>
      <c r="AR16" t="s">
        <v>5</v>
      </c>
      <c r="AS16" t="s">
        <v>1670</v>
      </c>
      <c r="AT16" t="s">
        <v>2553</v>
      </c>
      <c r="AU16" t="s">
        <v>2554</v>
      </c>
      <c r="AV16" t="s">
        <v>2555</v>
      </c>
      <c r="AW16" t="s">
        <v>2556</v>
      </c>
      <c r="AX16" t="s">
        <v>1558</v>
      </c>
      <c r="AY16" t="s">
        <v>1261</v>
      </c>
      <c r="AZ16" t="s">
        <v>862</v>
      </c>
      <c r="BA16" t="s">
        <v>1699</v>
      </c>
      <c r="BB16" t="s">
        <v>503</v>
      </c>
      <c r="BC16" t="s">
        <v>2099</v>
      </c>
      <c r="BD16" t="s">
        <v>1365</v>
      </c>
      <c r="BE16" t="s">
        <v>863</v>
      </c>
      <c r="BF16" t="s">
        <v>292</v>
      </c>
      <c r="BG16" t="s">
        <v>864</v>
      </c>
      <c r="BH16" t="s">
        <v>1856</v>
      </c>
      <c r="BI16" t="s">
        <v>146</v>
      </c>
      <c r="BJ16" t="s">
        <v>1558</v>
      </c>
      <c r="BK16" t="s">
        <v>2542</v>
      </c>
      <c r="BL16" t="s">
        <v>2557</v>
      </c>
      <c r="BM16" t="s">
        <v>2099</v>
      </c>
      <c r="BN16">
        <v>1.56</v>
      </c>
      <c r="BO16" t="s">
        <v>5</v>
      </c>
      <c r="BP16">
        <v>4.1100000000000003</v>
      </c>
      <c r="BQ16">
        <v>1.1100000000000001</v>
      </c>
      <c r="BR16">
        <v>-2.56</v>
      </c>
      <c r="BS16">
        <v>3.86</v>
      </c>
      <c r="BT16" t="s">
        <v>1725</v>
      </c>
      <c r="BU16" t="s">
        <v>1536</v>
      </c>
      <c r="BV16">
        <v>32.659999999999997</v>
      </c>
      <c r="BW16">
        <v>30.91</v>
      </c>
      <c r="BX16">
        <v>34.44</v>
      </c>
      <c r="BY16">
        <v>4.93</v>
      </c>
      <c r="BZ16">
        <v>-3.22</v>
      </c>
      <c r="CA16">
        <v>6.51</v>
      </c>
      <c r="CB16">
        <v>2.17</v>
      </c>
      <c r="CC16">
        <v>-2.76</v>
      </c>
      <c r="CD16" t="s">
        <v>2558</v>
      </c>
      <c r="CE16" t="s">
        <v>2559</v>
      </c>
      <c r="CF16" s="10">
        <v>-3.4013605442176874E-2</v>
      </c>
      <c r="CG16" s="11">
        <v>0.36551283674150453</v>
      </c>
      <c r="CH16" s="10">
        <v>0.23178808391094208</v>
      </c>
      <c r="CI16" s="10">
        <v>-0.22064515948295593</v>
      </c>
      <c r="CJ16" s="10">
        <v>6.749311089515686E-2</v>
      </c>
      <c r="CK16" s="10">
        <v>-6.5637066960334778E-2</v>
      </c>
      <c r="CL16" s="10">
        <v>0.10683760792016983</v>
      </c>
      <c r="CM16" s="11">
        <v>1.8796423673629761</v>
      </c>
      <c r="CN16" s="11">
        <v>-1.649776816368103</v>
      </c>
      <c r="CO16" s="11">
        <v>0.51424926519393921</v>
      </c>
      <c r="CP16" s="11">
        <v>-0.3481394350528717</v>
      </c>
      <c r="CQ16" s="11">
        <v>0.46303674578666687</v>
      </c>
      <c r="CR16">
        <v>65.361054379163789</v>
      </c>
      <c r="CS16">
        <v>27.270911939616163</v>
      </c>
      <c r="CT16">
        <v>1.1820330969267139</v>
      </c>
      <c r="CU16" s="10">
        <v>2.3967315256595612E-2</v>
      </c>
      <c r="CV16" s="11">
        <v>0.17180242538452148</v>
      </c>
      <c r="CW16">
        <v>0.06</v>
      </c>
      <c r="CX16">
        <v>40.804391442475485</v>
      </c>
      <c r="CY16">
        <v>23731215.336592551</v>
      </c>
      <c r="CZ16">
        <v>2.3967315256595612E-2</v>
      </c>
      <c r="DA16">
        <v>14.107091620837064</v>
      </c>
      <c r="DB16">
        <v>68641916.138809502</v>
      </c>
      <c r="DC16">
        <v>2.276894949376583E-2</v>
      </c>
      <c r="DD16">
        <v>7.4730022627207591</v>
      </c>
      <c r="DE16">
        <v>129578148.9095186</v>
      </c>
      <c r="DF16">
        <v>2.1091237425804137E-2</v>
      </c>
      <c r="DG16">
        <v>4.8612042849187613</v>
      </c>
      <c r="DH16">
        <v>199197100.80980119</v>
      </c>
      <c r="DI16">
        <v>1.9173852205276492E-2</v>
      </c>
      <c r="DJ16">
        <v>2.9652162293682811</v>
      </c>
      <c r="DK16">
        <v>326565661.69081628</v>
      </c>
      <c r="DL16">
        <v>1.6777120679616928E-2</v>
      </c>
      <c r="DM16">
        <v>24566300</v>
      </c>
      <c r="DN16">
        <v>2.3967315256595612E-2</v>
      </c>
      <c r="DO16">
        <v>968337800</v>
      </c>
      <c r="DP16">
        <v>745498930</v>
      </c>
      <c r="DQ16">
        <v>785</v>
      </c>
      <c r="DR16">
        <v>-5.798092069877249E-2</v>
      </c>
      <c r="DS16">
        <v>0.19371041135698305</v>
      </c>
      <c r="DT16" s="12">
        <v>-0.42333333333333334</v>
      </c>
      <c r="DU16">
        <v>-0.53833333333333333</v>
      </c>
      <c r="DV16">
        <v>-0.96166666666666667</v>
      </c>
      <c r="DW16">
        <v>-1.0276000000000001</v>
      </c>
      <c r="DX16">
        <v>0.26993082706766885</v>
      </c>
      <c r="DY16">
        <v>-1.0019300908270676</v>
      </c>
      <c r="DZ16">
        <v>3524</v>
      </c>
      <c r="EA16">
        <v>-1.0005990458026868</v>
      </c>
      <c r="EB16">
        <v>1</v>
      </c>
      <c r="EC16">
        <v>0.12778996105214577</v>
      </c>
      <c r="ED16">
        <v>1.8273766579149522</v>
      </c>
      <c r="EE16" s="13">
        <v>-1.0929</v>
      </c>
      <c r="EF16">
        <v>-1.0855999999999999</v>
      </c>
      <c r="EG16">
        <v>20.069930827067669</v>
      </c>
      <c r="EH16" t="s">
        <v>1813</v>
      </c>
      <c r="EI16">
        <v>0</v>
      </c>
      <c r="EJ16">
        <v>0</v>
      </c>
      <c r="EK16" s="15">
        <v>45470</v>
      </c>
      <c r="EL16" s="16">
        <v>2.2400000000000002</v>
      </c>
      <c r="EM16" s="16">
        <v>-2.2200000000000002</v>
      </c>
      <c r="EN16" s="16">
        <v>1.01</v>
      </c>
      <c r="EO16" s="16">
        <v>2.74</v>
      </c>
      <c r="EP16" s="16">
        <v>-0.73</v>
      </c>
    </row>
    <row r="17" spans="1:146" ht="108" x14ac:dyDescent="0.25">
      <c r="C17" s="8" t="str">
        <f>""&amp;CHAR(10)&amp;Basic_Fundamental_Information_Constructure(F17)&amp;CHAR(10)&amp;Basic_Fundamental_Information_Concatenate("")</f>
        <v xml:space="preserve">
市值21.896506亿, 利润6324.02万; PE54.58; 平均PE192.56; 平均PEG10.17, PB1.76; ROIC3.7833%; ROE4.27%; 股利率.8871%; 毛利33.19%; 净利8.74%; 上一年度营收增40.75%, 利润增22.73%; 当季营收增-14.78%, 利润增-80.14%; 过往5年营收增18.93%, 利润增-158.32%
Income profile:
</v>
      </c>
      <c r="D17" t="s">
        <v>513</v>
      </c>
      <c r="E17" t="s">
        <v>10</v>
      </c>
      <c r="F17">
        <v>3.72</v>
      </c>
      <c r="G17">
        <v>2.48</v>
      </c>
      <c r="H17" t="s">
        <v>2560</v>
      </c>
      <c r="I17">
        <v>2189650600</v>
      </c>
      <c r="J17">
        <v>54.58</v>
      </c>
      <c r="K17">
        <v>1.76</v>
      </c>
      <c r="L17" t="s">
        <v>101</v>
      </c>
      <c r="M17" t="s">
        <v>1485</v>
      </c>
      <c r="N17" t="s">
        <v>2561</v>
      </c>
      <c r="O17" t="s">
        <v>161</v>
      </c>
      <c r="P17">
        <v>-14.86</v>
      </c>
      <c r="Q17" t="s">
        <v>2562</v>
      </c>
      <c r="R17">
        <v>5731388</v>
      </c>
      <c r="S17" s="6">
        <v>-0.8014</v>
      </c>
      <c r="T17" t="s">
        <v>2563</v>
      </c>
      <c r="U17">
        <v>587996530</v>
      </c>
      <c r="V17">
        <v>588615750</v>
      </c>
      <c r="W17">
        <v>1.46</v>
      </c>
      <c r="X17">
        <v>0.09</v>
      </c>
      <c r="Y17">
        <v>2.92</v>
      </c>
      <c r="Z17" t="s">
        <v>468</v>
      </c>
      <c r="AA17" t="s">
        <v>347</v>
      </c>
      <c r="AB17" t="s">
        <v>2564</v>
      </c>
      <c r="AC17" t="s">
        <v>2565</v>
      </c>
      <c r="AD17" t="s">
        <v>5</v>
      </c>
      <c r="AE17">
        <v>-344545</v>
      </c>
      <c r="AF17" t="s">
        <v>2566</v>
      </c>
      <c r="AG17" t="s">
        <v>2567</v>
      </c>
      <c r="AH17" t="s">
        <v>2568</v>
      </c>
      <c r="AI17" t="s">
        <v>289</v>
      </c>
      <c r="AJ17" t="s">
        <v>2569</v>
      </c>
      <c r="AK17" t="s">
        <v>839</v>
      </c>
      <c r="AL17" t="s">
        <v>2570</v>
      </c>
      <c r="AM17" t="s">
        <v>5</v>
      </c>
      <c r="AN17">
        <v>0</v>
      </c>
      <c r="AO17" t="s">
        <v>2571</v>
      </c>
      <c r="AP17" t="s">
        <v>533</v>
      </c>
      <c r="AQ17" t="s">
        <v>249</v>
      </c>
      <c r="AR17" t="s">
        <v>5</v>
      </c>
      <c r="AS17" t="s">
        <v>1647</v>
      </c>
      <c r="AT17" t="s">
        <v>5</v>
      </c>
      <c r="AU17" t="s">
        <v>2572</v>
      </c>
      <c r="AV17" t="s">
        <v>2573</v>
      </c>
      <c r="AW17" t="s">
        <v>2574</v>
      </c>
      <c r="AX17" t="s">
        <v>1168</v>
      </c>
      <c r="AY17" t="s">
        <v>1859</v>
      </c>
      <c r="AZ17" t="s">
        <v>601</v>
      </c>
      <c r="BA17" t="s">
        <v>854</v>
      </c>
      <c r="BB17" t="s">
        <v>524</v>
      </c>
      <c r="BC17" t="s">
        <v>1876</v>
      </c>
      <c r="BD17" t="s">
        <v>1366</v>
      </c>
      <c r="BE17" t="s">
        <v>867</v>
      </c>
      <c r="BF17" t="s">
        <v>514</v>
      </c>
      <c r="BG17" t="s">
        <v>868</v>
      </c>
      <c r="BH17" t="s">
        <v>2562</v>
      </c>
      <c r="BI17" t="s">
        <v>354</v>
      </c>
      <c r="BJ17" t="s">
        <v>1168</v>
      </c>
      <c r="BK17" t="s">
        <v>2563</v>
      </c>
      <c r="BL17" t="s">
        <v>2575</v>
      </c>
      <c r="BM17" t="s">
        <v>1876</v>
      </c>
      <c r="BN17">
        <v>3.66</v>
      </c>
      <c r="BO17">
        <v>4.3499999999999996</v>
      </c>
      <c r="BP17">
        <v>3.34</v>
      </c>
      <c r="BQ17">
        <v>4.97</v>
      </c>
      <c r="BR17">
        <v>4.5</v>
      </c>
      <c r="BS17">
        <v>3.34</v>
      </c>
      <c r="BT17" t="s">
        <v>2576</v>
      </c>
      <c r="BU17" t="s">
        <v>1537</v>
      </c>
      <c r="BV17">
        <v>36.909999999999997</v>
      </c>
      <c r="BW17">
        <v>38.549999999999997</v>
      </c>
      <c r="BX17">
        <v>24.11</v>
      </c>
      <c r="BY17">
        <v>9.33</v>
      </c>
      <c r="BZ17">
        <v>11.27</v>
      </c>
      <c r="CA17">
        <v>5.62</v>
      </c>
      <c r="CB17">
        <v>-2.11</v>
      </c>
      <c r="CC17">
        <v>-10.08</v>
      </c>
      <c r="CD17" t="s">
        <v>2577</v>
      </c>
      <c r="CE17" t="s">
        <v>147</v>
      </c>
      <c r="CF17" s="10">
        <v>-0.14778325123152697</v>
      </c>
      <c r="CG17" s="11">
        <v>-0.8013865613196105</v>
      </c>
      <c r="CH17" s="10">
        <v>0.40748441219329834</v>
      </c>
      <c r="CI17" s="10">
        <v>-0.3365517258644104</v>
      </c>
      <c r="CJ17" s="10">
        <v>1.0251396894454956</v>
      </c>
      <c r="CK17" s="10">
        <v>-0.32068312168121338</v>
      </c>
      <c r="CL17" s="10">
        <v>0.17111110687255859</v>
      </c>
      <c r="CM17" s="11">
        <v>0.22734780609607697</v>
      </c>
      <c r="CN17" s="11">
        <v>0.38663312792778015</v>
      </c>
      <c r="CO17" s="11">
        <v>1.3643039464950562</v>
      </c>
      <c r="CP17" s="11">
        <v>-10.364327430725098</v>
      </c>
      <c r="CQ17" s="11">
        <v>0.47011822462081909</v>
      </c>
      <c r="CR17">
        <v>192.56249532807539</v>
      </c>
      <c r="CS17">
        <v>10.172341357144383</v>
      </c>
      <c r="CT17">
        <v>0.88709677419354838</v>
      </c>
      <c r="CU17" s="10">
        <v>0.18930007219314576</v>
      </c>
      <c r="CV17" s="11">
        <v>-1.583184865117073</v>
      </c>
      <c r="CW17">
        <v>0.06</v>
      </c>
      <c r="CX17">
        <v>21.163626053015289</v>
      </c>
      <c r="CY17">
        <v>70954315.495763183</v>
      </c>
      <c r="CZ17">
        <v>0.18930007219314576</v>
      </c>
      <c r="DA17">
        <v>6.3645020165804294</v>
      </c>
      <c r="DB17">
        <v>235941570.30479172</v>
      </c>
      <c r="DC17">
        <v>0.17983506858348847</v>
      </c>
      <c r="DD17">
        <v>2.7924873611696417</v>
      </c>
      <c r="DE17">
        <v>537746605.72538066</v>
      </c>
      <c r="DF17">
        <v>0.16658406352996827</v>
      </c>
      <c r="DG17">
        <v>1.4646537717324826</v>
      </c>
      <c r="DH17">
        <v>1025259777.4173996</v>
      </c>
      <c r="DI17">
        <v>0.15144005775451663</v>
      </c>
      <c r="DJ17">
        <v>0.5516387398076672</v>
      </c>
      <c r="DK17">
        <v>2722163060.0555015</v>
      </c>
      <c r="DL17">
        <v>0.13251005053520201</v>
      </c>
      <c r="DM17">
        <v>63240200.000000007</v>
      </c>
      <c r="DN17">
        <v>0.18930007219314576</v>
      </c>
      <c r="DO17">
        <v>1501650600</v>
      </c>
      <c r="DP17">
        <v>1048539000</v>
      </c>
      <c r="DQ17">
        <v>844</v>
      </c>
      <c r="DR17">
        <v>-0.33708332342467273</v>
      </c>
      <c r="DS17">
        <v>0.78179830379746251</v>
      </c>
      <c r="DT17" s="12">
        <v>-0.17333333333333334</v>
      </c>
      <c r="DU17">
        <v>-0.40666666666666668</v>
      </c>
      <c r="DV17">
        <v>-0.58000000000000007</v>
      </c>
      <c r="DW17">
        <v>-2.1008</v>
      </c>
      <c r="DX17">
        <v>0.33678212560386422</v>
      </c>
      <c r="DY17">
        <v>-2.0188276382608694</v>
      </c>
      <c r="DZ17">
        <v>3006</v>
      </c>
      <c r="EA17">
        <v>-2.0077521234639666</v>
      </c>
      <c r="EB17">
        <v>2</v>
      </c>
      <c r="EC17">
        <v>6.5686145843022375E-2</v>
      </c>
      <c r="ED17">
        <v>0.35167254698842149</v>
      </c>
      <c r="EE17" s="13">
        <v>-2.1246999999999998</v>
      </c>
      <c r="EF17">
        <v>-2.1143000000000001</v>
      </c>
      <c r="EG17">
        <v>15.186782125603864</v>
      </c>
      <c r="EH17" t="s">
        <v>1852</v>
      </c>
      <c r="EI17">
        <v>0</v>
      </c>
      <c r="EJ17">
        <v>0</v>
      </c>
      <c r="EK17" s="15">
        <v>45470</v>
      </c>
      <c r="EL17" s="16">
        <v>-0.54</v>
      </c>
      <c r="EM17" s="16">
        <v>-4.58</v>
      </c>
      <c r="EN17" s="16">
        <v>9.89</v>
      </c>
      <c r="EO17" s="16">
        <v>-1.29</v>
      </c>
      <c r="EP17" s="16">
        <v>-1.04</v>
      </c>
    </row>
    <row r="18" spans="1:146" ht="108" x14ac:dyDescent="0.25">
      <c r="C18" s="8" t="str">
        <f>""&amp;CHAR(10)&amp;Basic_Fundamental_Information_Constructure(F18)&amp;CHAR(10)&amp;Basic_Fundamental_Information_Concatenate("")</f>
        <v xml:space="preserve">
市值349.95392亿, 利润24.54亿; PE14.12; 平均PE21.1; 平均PEG.82, PB1.79; ROIC10.49%; ROE12.43%; 股利率1.4336%; 毛利33.7133%; 净利18.7767%; 上一年度营收增21.94%, 利润增9.31%; 当季营收增-6.54%, 利润增6.96%; 过往5年营收增25.63%, 利润增38.04%
Income profile:
</v>
      </c>
      <c r="D18" t="s">
        <v>294</v>
      </c>
      <c r="E18" t="s">
        <v>52</v>
      </c>
      <c r="F18">
        <v>34.18</v>
      </c>
      <c r="G18">
        <v>1.61</v>
      </c>
      <c r="H18" t="s">
        <v>2578</v>
      </c>
      <c r="I18">
        <v>34995392000</v>
      </c>
      <c r="J18">
        <v>14.12</v>
      </c>
      <c r="K18">
        <v>1.79</v>
      </c>
      <c r="L18" t="s">
        <v>101</v>
      </c>
      <c r="M18" t="s">
        <v>2579</v>
      </c>
      <c r="N18" t="s">
        <v>2580</v>
      </c>
      <c r="O18" t="s">
        <v>1411</v>
      </c>
      <c r="P18">
        <v>-6.52</v>
      </c>
      <c r="Q18" t="s">
        <v>2581</v>
      </c>
      <c r="R18">
        <v>375421080</v>
      </c>
      <c r="S18" s="6">
        <v>6.8400000000000002E-2</v>
      </c>
      <c r="T18" t="s">
        <v>2122</v>
      </c>
      <c r="U18">
        <v>693435370</v>
      </c>
      <c r="V18">
        <v>1023855830</v>
      </c>
      <c r="W18">
        <v>1.59</v>
      </c>
      <c r="X18">
        <v>7.0000000000000007E-2</v>
      </c>
      <c r="Y18">
        <v>17.989999999999998</v>
      </c>
      <c r="Z18" t="s">
        <v>2582</v>
      </c>
      <c r="AA18" t="s">
        <v>1180</v>
      </c>
      <c r="AB18" t="s">
        <v>674</v>
      </c>
      <c r="AC18" t="s">
        <v>121</v>
      </c>
      <c r="AD18" t="s">
        <v>5</v>
      </c>
      <c r="AE18">
        <v>-17936932</v>
      </c>
      <c r="AF18" t="s">
        <v>2583</v>
      </c>
      <c r="AG18" t="s">
        <v>2584</v>
      </c>
      <c r="AH18" t="s">
        <v>2585</v>
      </c>
      <c r="AI18" t="s">
        <v>853</v>
      </c>
      <c r="AJ18" t="s">
        <v>2586</v>
      </c>
      <c r="AK18" t="s">
        <v>1709</v>
      </c>
      <c r="AL18" t="s">
        <v>2587</v>
      </c>
      <c r="AM18" t="s">
        <v>5</v>
      </c>
      <c r="AN18" t="s">
        <v>1260</v>
      </c>
      <c r="AO18" t="s">
        <v>2588</v>
      </c>
      <c r="AP18" t="s">
        <v>2179</v>
      </c>
      <c r="AQ18" t="s">
        <v>2589</v>
      </c>
      <c r="AR18" t="s">
        <v>5</v>
      </c>
      <c r="AS18" t="s">
        <v>2590</v>
      </c>
      <c r="AT18" t="s">
        <v>2591</v>
      </c>
      <c r="AU18" t="s">
        <v>345</v>
      </c>
      <c r="AV18" t="s">
        <v>2592</v>
      </c>
      <c r="AW18" t="s">
        <v>1658</v>
      </c>
      <c r="AX18" t="s">
        <v>1877</v>
      </c>
      <c r="AY18" t="s">
        <v>1367</v>
      </c>
      <c r="AZ18" t="s">
        <v>869</v>
      </c>
      <c r="BA18" t="s">
        <v>295</v>
      </c>
      <c r="BB18" t="s">
        <v>872</v>
      </c>
      <c r="BC18" t="s">
        <v>1878</v>
      </c>
      <c r="BD18" t="s">
        <v>1368</v>
      </c>
      <c r="BE18" t="s">
        <v>870</v>
      </c>
      <c r="BF18" t="s">
        <v>296</v>
      </c>
      <c r="BG18" t="s">
        <v>668</v>
      </c>
      <c r="BH18" t="s">
        <v>2581</v>
      </c>
      <c r="BI18" t="s">
        <v>2593</v>
      </c>
      <c r="BJ18" t="s">
        <v>1877</v>
      </c>
      <c r="BK18" t="s">
        <v>2122</v>
      </c>
      <c r="BL18" t="s">
        <v>448</v>
      </c>
      <c r="BM18" t="s">
        <v>1878</v>
      </c>
      <c r="BN18">
        <v>6.96</v>
      </c>
      <c r="BO18">
        <v>12.95</v>
      </c>
      <c r="BP18">
        <v>11.56</v>
      </c>
      <c r="BQ18">
        <v>8.75</v>
      </c>
      <c r="BR18">
        <v>15.05</v>
      </c>
      <c r="BS18">
        <v>13.49</v>
      </c>
      <c r="BT18" t="s">
        <v>2594</v>
      </c>
      <c r="BU18" t="s">
        <v>1536</v>
      </c>
      <c r="BV18">
        <v>33.049999999999997</v>
      </c>
      <c r="BW18">
        <v>33.229999999999997</v>
      </c>
      <c r="BX18">
        <v>34.86</v>
      </c>
      <c r="BY18">
        <v>17.920000000000002</v>
      </c>
      <c r="BZ18">
        <v>20.05</v>
      </c>
      <c r="CA18">
        <v>18.36</v>
      </c>
      <c r="CB18">
        <v>-2.57</v>
      </c>
      <c r="CC18">
        <v>1.45</v>
      </c>
      <c r="CD18" t="s">
        <v>2595</v>
      </c>
      <c r="CE18" t="s">
        <v>772</v>
      </c>
      <c r="CF18" s="10">
        <v>-6.5350877192982562E-2</v>
      </c>
      <c r="CG18" s="11">
        <v>6.9575726495726492E-2</v>
      </c>
      <c r="CH18" s="10">
        <v>0.2193882018327713</v>
      </c>
      <c r="CI18" s="10">
        <v>0.30002292990684509</v>
      </c>
      <c r="CJ18" s="10">
        <v>5.798666924238205E-2</v>
      </c>
      <c r="CK18" s="10">
        <v>0.19783391058444977</v>
      </c>
      <c r="CL18" s="10">
        <v>0.50641721487045288</v>
      </c>
      <c r="CM18" s="11">
        <v>9.3095853924751282E-2</v>
      </c>
      <c r="CN18" s="11">
        <v>0.41551068425178528</v>
      </c>
      <c r="CO18" s="11">
        <v>-6.1538461595773697E-2</v>
      </c>
      <c r="CP18" s="11">
        <v>0.24173407256603241</v>
      </c>
      <c r="CQ18" s="11">
        <v>1.2130080461502075</v>
      </c>
      <c r="CR18">
        <v>21.100628278564969</v>
      </c>
      <c r="CS18">
        <v>0.8231828484117959</v>
      </c>
      <c r="CT18">
        <v>1.4335868929198363</v>
      </c>
      <c r="CU18" s="10">
        <v>0.25632978528738021</v>
      </c>
      <c r="CV18" s="11">
        <v>0.38036203905940058</v>
      </c>
      <c r="CW18">
        <v>0.06</v>
      </c>
      <c r="CX18">
        <v>9.010553204928339</v>
      </c>
      <c r="CY18">
        <v>2908521974.6181421</v>
      </c>
      <c r="CZ18">
        <v>0.25632978528738021</v>
      </c>
      <c r="DA18">
        <v>2.5648140166188571</v>
      </c>
      <c r="DB18">
        <v>10218047714.254416</v>
      </c>
      <c r="DC18">
        <v>0.24351329602301119</v>
      </c>
      <c r="DD18">
        <v>1.0387932683268846</v>
      </c>
      <c r="DE18">
        <v>25228688709.362267</v>
      </c>
      <c r="DF18">
        <v>0.22557021105289457</v>
      </c>
      <c r="DG18">
        <v>0.49328918854103065</v>
      </c>
      <c r="DH18">
        <v>53127845914.304138</v>
      </c>
      <c r="DI18">
        <v>0.20506382822990418</v>
      </c>
      <c r="DJ18">
        <v>0.14497648208863084</v>
      </c>
      <c r="DK18">
        <v>180769954012.11493</v>
      </c>
      <c r="DL18">
        <v>0.17943084970116613</v>
      </c>
      <c r="DM18">
        <v>2454000000</v>
      </c>
      <c r="DN18">
        <v>0.25632978528738021</v>
      </c>
      <c r="DO18">
        <v>26207392000</v>
      </c>
      <c r="DP18">
        <v>13838320000</v>
      </c>
      <c r="DQ18">
        <v>860</v>
      </c>
      <c r="DR18">
        <v>-0.32168066248036276</v>
      </c>
      <c r="DS18">
        <v>-0.31078631256367406</v>
      </c>
      <c r="DT18" s="12">
        <v>9.3333333333333268E-2</v>
      </c>
      <c r="DU18">
        <v>0.46666666666666662</v>
      </c>
      <c r="DV18">
        <v>0.55999999999999983</v>
      </c>
      <c r="DW18">
        <v>-4.56420233463035</v>
      </c>
      <c r="DX18">
        <v>0.35491172161172158</v>
      </c>
      <c r="DY18">
        <v>-4.1381797651116718</v>
      </c>
      <c r="DZ18">
        <v>633</v>
      </c>
      <c r="EA18">
        <v>-4.1210627805097761</v>
      </c>
      <c r="EB18">
        <v>4</v>
      </c>
      <c r="EC18">
        <v>6.5303041737819673E-2</v>
      </c>
      <c r="ED18">
        <v>0.26663910289010123</v>
      </c>
      <c r="EE18" s="13">
        <v>-2.0108999999999999</v>
      </c>
      <c r="EF18">
        <v>-2.0338099999999999</v>
      </c>
      <c r="EG18">
        <v>11.244911721611722</v>
      </c>
      <c r="EH18" t="s">
        <v>2103</v>
      </c>
      <c r="EI18">
        <v>0</v>
      </c>
      <c r="EJ18">
        <v>1</v>
      </c>
      <c r="EK18" s="15">
        <v>45470</v>
      </c>
      <c r="EL18" s="16">
        <v>1.91</v>
      </c>
      <c r="EM18" s="16">
        <v>0.54</v>
      </c>
      <c r="EN18" s="16">
        <v>-1.21</v>
      </c>
      <c r="EO18" s="16">
        <v>0.14000000000000001</v>
      </c>
      <c r="EP18" s="16">
        <v>-4.47</v>
      </c>
    </row>
    <row r="19" spans="1:146" ht="108" x14ac:dyDescent="0.25">
      <c r="C19" s="8" t="str">
        <f>""&amp;CHAR(10)&amp;Basic_Fundamental_Information_Constructure(F19)&amp;CHAR(10)&amp;Basic_Fundamental_Information_Concatenate("")</f>
        <v xml:space="preserve">
市值46.010084亿, 利润3.65亿; PE13.88; 平均PE15.36; 平均PEG1.44, PB1.31; ROIC10.49%; ROE10.7567%; 股利率6.0764%; 毛利25.85%; 净利6.82%; 上一年度营收增-1.56%, 利润增33.21%; 当季营收增-16.12%, 利润增-38.49%; 过往5年营收增10.7%, 利润增319.54%
Income profile:
</v>
      </c>
      <c r="D19" t="s">
        <v>764</v>
      </c>
      <c r="E19" t="s">
        <v>30</v>
      </c>
      <c r="F19">
        <v>5.76</v>
      </c>
      <c r="G19">
        <v>0.88</v>
      </c>
      <c r="H19" t="s">
        <v>2596</v>
      </c>
      <c r="I19">
        <v>4601008400</v>
      </c>
      <c r="J19">
        <v>13.88</v>
      </c>
      <c r="K19">
        <v>1.31</v>
      </c>
      <c r="L19" t="s">
        <v>101</v>
      </c>
      <c r="M19" t="s">
        <v>2597</v>
      </c>
      <c r="N19" t="s">
        <v>2598</v>
      </c>
      <c r="O19" t="s">
        <v>2023</v>
      </c>
      <c r="P19">
        <v>-16.04</v>
      </c>
      <c r="Q19" t="s">
        <v>2599</v>
      </c>
      <c r="R19">
        <v>53770075</v>
      </c>
      <c r="S19" s="6">
        <v>-0.38490000000000002</v>
      </c>
      <c r="T19" t="s">
        <v>122</v>
      </c>
      <c r="U19">
        <v>526770480</v>
      </c>
      <c r="V19">
        <v>798786190</v>
      </c>
      <c r="W19">
        <v>1.97</v>
      </c>
      <c r="X19">
        <v>0.11</v>
      </c>
      <c r="Y19">
        <v>7.03</v>
      </c>
      <c r="Z19" t="s">
        <v>906</v>
      </c>
      <c r="AA19" t="s">
        <v>1564</v>
      </c>
      <c r="AB19" t="s">
        <v>353</v>
      </c>
      <c r="AC19" t="s">
        <v>2600</v>
      </c>
      <c r="AD19" t="s">
        <v>5</v>
      </c>
      <c r="AE19">
        <v>-9301948</v>
      </c>
      <c r="AF19" t="s">
        <v>2601</v>
      </c>
      <c r="AG19" t="s">
        <v>2602</v>
      </c>
      <c r="AH19" t="s">
        <v>2603</v>
      </c>
      <c r="AI19" t="s">
        <v>1838</v>
      </c>
      <c r="AJ19" t="s">
        <v>2604</v>
      </c>
      <c r="AK19" t="s">
        <v>2605</v>
      </c>
      <c r="AL19" t="s">
        <v>2606</v>
      </c>
      <c r="AM19" t="s">
        <v>5</v>
      </c>
      <c r="AN19" t="s">
        <v>2607</v>
      </c>
      <c r="AO19" t="s">
        <v>5</v>
      </c>
      <c r="AP19" t="s">
        <v>2608</v>
      </c>
      <c r="AQ19" t="s">
        <v>1662</v>
      </c>
      <c r="AR19" t="s">
        <v>2609</v>
      </c>
      <c r="AS19" t="s">
        <v>2610</v>
      </c>
      <c r="AT19" t="s">
        <v>5</v>
      </c>
      <c r="AU19" t="s">
        <v>2611</v>
      </c>
      <c r="AV19" t="s">
        <v>2612</v>
      </c>
      <c r="AW19" t="s">
        <v>2613</v>
      </c>
      <c r="AX19" t="s">
        <v>1880</v>
      </c>
      <c r="AY19" t="s">
        <v>1371</v>
      </c>
      <c r="AZ19" t="s">
        <v>875</v>
      </c>
      <c r="BA19" t="s">
        <v>765</v>
      </c>
      <c r="BB19" t="s">
        <v>876</v>
      </c>
      <c r="BC19" t="s">
        <v>320</v>
      </c>
      <c r="BD19" t="s">
        <v>510</v>
      </c>
      <c r="BE19" t="s">
        <v>684</v>
      </c>
      <c r="BF19" t="s">
        <v>409</v>
      </c>
      <c r="BG19" t="s">
        <v>877</v>
      </c>
      <c r="BH19" t="s">
        <v>2599</v>
      </c>
      <c r="BI19" t="s">
        <v>1625</v>
      </c>
      <c r="BJ19" t="s">
        <v>1880</v>
      </c>
      <c r="BK19" t="s">
        <v>122</v>
      </c>
      <c r="BL19" t="s">
        <v>2614</v>
      </c>
      <c r="BM19" t="s">
        <v>320</v>
      </c>
      <c r="BN19">
        <v>10.3</v>
      </c>
      <c r="BO19">
        <v>8.17</v>
      </c>
      <c r="BP19">
        <v>13</v>
      </c>
      <c r="BQ19">
        <v>10.57</v>
      </c>
      <c r="BR19">
        <v>8.59</v>
      </c>
      <c r="BS19">
        <v>13.11</v>
      </c>
      <c r="BT19" t="s">
        <v>1732</v>
      </c>
      <c r="BU19" t="s">
        <v>1595</v>
      </c>
      <c r="BV19">
        <v>28.22</v>
      </c>
      <c r="BW19">
        <v>23.89</v>
      </c>
      <c r="BX19">
        <v>25.44</v>
      </c>
      <c r="BY19">
        <v>7.26</v>
      </c>
      <c r="BZ19">
        <v>5.36</v>
      </c>
      <c r="CA19">
        <v>7.84</v>
      </c>
      <c r="CB19">
        <v>-0.17</v>
      </c>
      <c r="CC19">
        <v>-13.64</v>
      </c>
      <c r="CD19" t="s">
        <v>2615</v>
      </c>
      <c r="CE19" t="s">
        <v>553</v>
      </c>
      <c r="CF19" s="10">
        <v>-0.16118421052631568</v>
      </c>
      <c r="CG19" s="11">
        <v>-0.38492601849680569</v>
      </c>
      <c r="CH19" s="10">
        <v>-1.5640273690223694E-2</v>
      </c>
      <c r="CI19" s="10">
        <v>-1.0638310573995113E-2</v>
      </c>
      <c r="CJ19" s="10">
        <v>0.20794390141963959</v>
      </c>
      <c r="CK19" s="10">
        <v>0.16844114661216736</v>
      </c>
      <c r="CL19" s="10">
        <v>0.18467013537883759</v>
      </c>
      <c r="CM19" s="11">
        <v>0.33211678266525269</v>
      </c>
      <c r="CN19" s="11">
        <v>-0.32512316107749939</v>
      </c>
      <c r="CO19" s="11">
        <v>-0.1628866046667099</v>
      </c>
      <c r="CP19" s="11">
        <v>0.9246031641960144</v>
      </c>
      <c r="CQ19" s="11">
        <v>15.208080291748047</v>
      </c>
      <c r="CR19">
        <v>15.357616860035655</v>
      </c>
      <c r="CS19">
        <v>1.4358908827114394</v>
      </c>
      <c r="CT19">
        <v>6.0763888888888893</v>
      </c>
      <c r="CU19" s="10">
        <v>0.10695531982928515</v>
      </c>
      <c r="CV19" s="11">
        <v>3.1953580945730211</v>
      </c>
      <c r="CW19">
        <v>0.06</v>
      </c>
      <c r="CX19">
        <v>13.227765095996766</v>
      </c>
      <c r="CY19">
        <v>381168577.11102742</v>
      </c>
      <c r="CZ19">
        <v>0.10695531982928515</v>
      </c>
      <c r="DA19">
        <v>4.2612086163798883</v>
      </c>
      <c r="DB19">
        <v>1183234348.2594945</v>
      </c>
      <c r="DC19">
        <v>0.10160755383782089</v>
      </c>
      <c r="DD19">
        <v>2.0576246538449139</v>
      </c>
      <c r="DE19">
        <v>2450402404.8207302</v>
      </c>
      <c r="DF19">
        <v>9.4120681449770927E-2</v>
      </c>
      <c r="DG19">
        <v>1.2088449508369488</v>
      </c>
      <c r="DH19">
        <v>4170930603.2251239</v>
      </c>
      <c r="DI19">
        <v>8.5564255863428126E-2</v>
      </c>
      <c r="DJ19">
        <v>0.59478535290848045</v>
      </c>
      <c r="DK19">
        <v>8477021795.0807762</v>
      </c>
      <c r="DL19">
        <v>7.4868723880499602E-2</v>
      </c>
      <c r="DM19">
        <v>365000000</v>
      </c>
      <c r="DN19">
        <v>0.10695531982928515</v>
      </c>
      <c r="DO19">
        <v>5042008400</v>
      </c>
      <c r="DP19">
        <v>1658600900.0000005</v>
      </c>
      <c r="DQ19">
        <v>873</v>
      </c>
      <c r="DR19">
        <v>-0.26813953035560084</v>
      </c>
      <c r="DS19">
        <v>-3.5802841130698266</v>
      </c>
      <c r="DT19" s="12">
        <v>-9.000000000000008E-2</v>
      </c>
      <c r="DU19">
        <v>0.40833333333333327</v>
      </c>
      <c r="DV19">
        <v>0.31833333333333319</v>
      </c>
      <c r="DW19">
        <v>-2.1364000000000001</v>
      </c>
      <c r="DX19">
        <v>0.26118437499999902</v>
      </c>
      <c r="DY19">
        <v>-2.0138015487500001</v>
      </c>
      <c r="DZ19">
        <v>1009</v>
      </c>
      <c r="EA19">
        <v>-2.0110763505721625</v>
      </c>
      <c r="EB19">
        <v>2</v>
      </c>
      <c r="EC19">
        <v>2.0267626309363209E-2</v>
      </c>
      <c r="ED19">
        <v>0.20030391361673391</v>
      </c>
      <c r="EE19" s="13">
        <v>-2.0516000000000001</v>
      </c>
      <c r="EF19">
        <v>-2.0345</v>
      </c>
      <c r="EG19">
        <v>16.101184374999999</v>
      </c>
      <c r="EH19" t="s">
        <v>1852</v>
      </c>
      <c r="EI19">
        <v>0</v>
      </c>
      <c r="EJ19">
        <v>1</v>
      </c>
      <c r="EK19" s="15">
        <v>45470</v>
      </c>
      <c r="EL19" s="16">
        <v>0.17</v>
      </c>
      <c r="EM19" s="16">
        <v>-2.74</v>
      </c>
      <c r="EN19" s="16">
        <v>0.88</v>
      </c>
      <c r="EO19" s="16">
        <v>2.1</v>
      </c>
      <c r="EP19" s="16">
        <v>-1.71</v>
      </c>
    </row>
    <row r="20" spans="1:146" ht="108" x14ac:dyDescent="0.25">
      <c r="C20" s="8" t="str">
        <f>""&amp;CHAR(10)&amp;Basic_Fundamental_Information_Constructure(F20)&amp;CHAR(10)&amp;Basic_Fundamental_Information_Concatenate("")</f>
        <v xml:space="preserve">
市值39.093257亿, 利润5537.23万; PE51.6; 平均PE25.52; 平均PEG.83, PB.965; ROIC5.3933%; ROE5.0167%; 股利率2.2676%; 毛利21.8733%; 净利4.82%; 上一年度营收增38.83%, 利润增4.12%; 当季营收增21.93%, 利润增48.45%; 过往5年营收增30.79%, 利润增30.47%
Income profile:
</v>
      </c>
      <c r="D20" t="s">
        <v>242</v>
      </c>
      <c r="E20" t="s">
        <v>41</v>
      </c>
      <c r="F20">
        <v>4.41</v>
      </c>
      <c r="G20">
        <v>0</v>
      </c>
      <c r="H20" t="s">
        <v>2616</v>
      </c>
      <c r="I20">
        <v>3909325700</v>
      </c>
      <c r="J20">
        <v>51.6</v>
      </c>
      <c r="K20">
        <v>0.96499999999999997</v>
      </c>
      <c r="L20" t="s">
        <v>101</v>
      </c>
      <c r="M20" t="s">
        <v>2617</v>
      </c>
      <c r="N20" t="s">
        <v>1865</v>
      </c>
      <c r="O20" t="s">
        <v>2248</v>
      </c>
      <c r="P20">
        <v>21.88</v>
      </c>
      <c r="Q20" t="s">
        <v>2618</v>
      </c>
      <c r="R20">
        <v>62491008</v>
      </c>
      <c r="S20" s="6">
        <v>0.48449999999999999</v>
      </c>
      <c r="T20" t="s">
        <v>2619</v>
      </c>
      <c r="U20">
        <v>885250800</v>
      </c>
      <c r="V20">
        <v>886468410</v>
      </c>
      <c r="W20">
        <v>2.31</v>
      </c>
      <c r="X20">
        <v>0.14000000000000001</v>
      </c>
      <c r="Y20">
        <v>6.75</v>
      </c>
      <c r="Z20" t="s">
        <v>2620</v>
      </c>
      <c r="AA20" t="s">
        <v>972</v>
      </c>
      <c r="AB20" t="s">
        <v>2621</v>
      </c>
      <c r="AC20" t="s">
        <v>2622</v>
      </c>
      <c r="AD20" t="s">
        <v>5</v>
      </c>
      <c r="AE20">
        <v>10606423</v>
      </c>
      <c r="AF20" t="s">
        <v>2623</v>
      </c>
      <c r="AG20" t="s">
        <v>2624</v>
      </c>
      <c r="AH20" t="s">
        <v>2625</v>
      </c>
      <c r="AI20" t="s">
        <v>2626</v>
      </c>
      <c r="AJ20" t="s">
        <v>2627</v>
      </c>
      <c r="AK20" t="s">
        <v>297</v>
      </c>
      <c r="AL20" t="s">
        <v>2628</v>
      </c>
      <c r="AM20" t="s">
        <v>5</v>
      </c>
      <c r="AN20" t="s">
        <v>2629</v>
      </c>
      <c r="AO20" t="s">
        <v>1714</v>
      </c>
      <c r="AP20" t="s">
        <v>443</v>
      </c>
      <c r="AQ20" t="s">
        <v>191</v>
      </c>
      <c r="AR20" t="s">
        <v>5</v>
      </c>
      <c r="AS20" t="s">
        <v>2630</v>
      </c>
      <c r="AT20" t="s">
        <v>314</v>
      </c>
      <c r="AU20" t="s">
        <v>2631</v>
      </c>
      <c r="AV20" t="s">
        <v>2632</v>
      </c>
      <c r="AW20" t="s">
        <v>2633</v>
      </c>
      <c r="AX20" t="s">
        <v>1883</v>
      </c>
      <c r="AY20" t="s">
        <v>1370</v>
      </c>
      <c r="AZ20" t="s">
        <v>880</v>
      </c>
      <c r="BA20" t="s">
        <v>243</v>
      </c>
      <c r="BB20" t="s">
        <v>881</v>
      </c>
      <c r="BC20" t="s">
        <v>2634</v>
      </c>
      <c r="BD20" t="s">
        <v>369</v>
      </c>
      <c r="BE20" t="s">
        <v>269</v>
      </c>
      <c r="BF20" t="s">
        <v>244</v>
      </c>
      <c r="BG20" t="s">
        <v>882</v>
      </c>
      <c r="BH20" t="s">
        <v>2618</v>
      </c>
      <c r="BI20" t="s">
        <v>1884</v>
      </c>
      <c r="BJ20" t="s">
        <v>1883</v>
      </c>
      <c r="BK20" t="s">
        <v>2619</v>
      </c>
      <c r="BL20" t="s">
        <v>2635</v>
      </c>
      <c r="BM20" t="s">
        <v>2634</v>
      </c>
      <c r="BN20">
        <v>6.28</v>
      </c>
      <c r="BO20">
        <v>2.2999999999999998</v>
      </c>
      <c r="BP20">
        <v>7.6</v>
      </c>
      <c r="BQ20">
        <v>5.33</v>
      </c>
      <c r="BR20">
        <v>1.25</v>
      </c>
      <c r="BS20">
        <v>8.4700000000000006</v>
      </c>
      <c r="BT20" t="s">
        <v>1723</v>
      </c>
      <c r="BU20" t="s">
        <v>1536</v>
      </c>
      <c r="BV20">
        <v>20.43</v>
      </c>
      <c r="BW20">
        <v>19.86</v>
      </c>
      <c r="BX20">
        <v>25.33</v>
      </c>
      <c r="BY20">
        <v>2.8</v>
      </c>
      <c r="BZ20">
        <v>1.9</v>
      </c>
      <c r="CA20">
        <v>9.76</v>
      </c>
      <c r="CB20">
        <v>-2.2200000000000002</v>
      </c>
      <c r="CC20">
        <v>-12.33</v>
      </c>
      <c r="CD20" t="s">
        <v>2636</v>
      </c>
      <c r="CE20" t="s">
        <v>625</v>
      </c>
      <c r="CF20" s="10">
        <v>0.21934369602763384</v>
      </c>
      <c r="CG20" s="11">
        <v>0.48448097452976752</v>
      </c>
      <c r="CH20" s="10">
        <v>0.38828757405281067</v>
      </c>
      <c r="CI20" s="10">
        <v>0.34494411945343018</v>
      </c>
      <c r="CJ20" s="10">
        <v>6.4177036285400391E-2</v>
      </c>
      <c r="CK20" s="10">
        <v>0.56222999095916748</v>
      </c>
      <c r="CL20" s="10">
        <v>0.18001016974449158</v>
      </c>
      <c r="CM20" s="11">
        <v>4.1233934462070465E-2</v>
      </c>
      <c r="CN20" s="11">
        <v>-0.84762322902679443</v>
      </c>
      <c r="CO20" s="11">
        <v>0.36328125</v>
      </c>
      <c r="CP20" s="11">
        <v>0.82857143878936768</v>
      </c>
      <c r="CQ20" s="11">
        <v>1.1381456851959229</v>
      </c>
      <c r="CR20">
        <v>25.522536990395626</v>
      </c>
      <c r="CS20">
        <v>0.8288427688921044</v>
      </c>
      <c r="CT20">
        <v>2.2675736961451247</v>
      </c>
      <c r="CU20" s="10">
        <v>0.30792977809906008</v>
      </c>
      <c r="CV20" s="11">
        <v>0.30472181588411329</v>
      </c>
      <c r="CW20">
        <v>0.06</v>
      </c>
      <c r="CX20">
        <v>87.807439803009473</v>
      </c>
      <c r="CY20">
        <v>68323660.426259026</v>
      </c>
      <c r="CZ20">
        <v>0.30792977809906008</v>
      </c>
      <c r="DA20">
        <v>23.974019228211148</v>
      </c>
      <c r="DB20">
        <v>250242800.04499051</v>
      </c>
      <c r="DC20">
        <v>0.29253328919410704</v>
      </c>
      <c r="DD20">
        <v>9.1219128394415314</v>
      </c>
      <c r="DE20">
        <v>657682857.26870584</v>
      </c>
      <c r="DF20">
        <v>0.27097820472717288</v>
      </c>
      <c r="DG20">
        <v>3.9994133997026369</v>
      </c>
      <c r="DH20">
        <v>1500051407.6504469</v>
      </c>
      <c r="DI20">
        <v>0.24634382247924808</v>
      </c>
      <c r="DJ20">
        <v>0.9585077856192219</v>
      </c>
      <c r="DK20">
        <v>6259026572.3551464</v>
      </c>
      <c r="DL20">
        <v>0.21555084466934205</v>
      </c>
      <c r="DM20">
        <v>55372299.999999993</v>
      </c>
      <c r="DN20">
        <v>0.30792977809906008</v>
      </c>
      <c r="DO20">
        <v>5999325700</v>
      </c>
      <c r="DP20">
        <v>1708611600</v>
      </c>
      <c r="DQ20">
        <v>981</v>
      </c>
      <c r="DR20">
        <v>-8.8586082071426236E-2</v>
      </c>
      <c r="DS20">
        <v>0.17975915864565423</v>
      </c>
      <c r="DT20" s="12">
        <v>9.3333333333333268E-2</v>
      </c>
      <c r="DU20">
        <v>0.48666666666666658</v>
      </c>
      <c r="DV20">
        <v>0.57999999999999985</v>
      </c>
      <c r="DW20">
        <v>-2.1233</v>
      </c>
      <c r="DX20">
        <v>0.30765034642032407</v>
      </c>
      <c r="DY20">
        <v>-2.0182052877136258</v>
      </c>
      <c r="DZ20">
        <v>605</v>
      </c>
      <c r="EA20">
        <v>-2.0160498671526192</v>
      </c>
      <c r="EB20">
        <v>2</v>
      </c>
      <c r="EC20">
        <v>7.2120562085229864E-2</v>
      </c>
      <c r="ED20">
        <v>0.48845508211623695</v>
      </c>
      <c r="EE20" s="13">
        <v>-1.04261</v>
      </c>
      <c r="EF20">
        <v>-1.04261</v>
      </c>
      <c r="EG20">
        <v>16.147650346420324</v>
      </c>
      <c r="EH20" t="s">
        <v>1563</v>
      </c>
      <c r="EI20">
        <v>0</v>
      </c>
      <c r="EJ20">
        <v>1</v>
      </c>
      <c r="EK20" s="15">
        <v>45470</v>
      </c>
      <c r="EL20" s="16">
        <v>0.23</v>
      </c>
      <c r="EM20" s="16">
        <v>-3.5</v>
      </c>
      <c r="EN20" s="16">
        <v>1.69</v>
      </c>
      <c r="EO20" s="16">
        <v>4.04</v>
      </c>
      <c r="EP20" s="16">
        <v>0</v>
      </c>
    </row>
    <row r="21" spans="1:146" ht="96" x14ac:dyDescent="0.25">
      <c r="C21" s="8" t="str">
        <f>""&amp;CHAR(10)&amp;Basic_Fundamental_Information_Constructure(F21)&amp;CHAR(10)&amp;Basic_Fundamental_Information_Concatenate("")</f>
        <v xml:space="preserve">
市值12.9251441亿, 利润-5.67亿; PE; 平均PE-5.42; 平均PEG-.31, PB2.01; ROIC0%; ROE-29.0033%; 股利率0%; 毛利5.6267%; 净利-23.3367%; 上一年度营收增-52.39%, 利润增-33.41%; 当季营收增-52.45%, 利润增349.05%; 过往5年营收增-17.42%, 利润增-297.61%
Income profile:
</v>
      </c>
      <c r="D21" t="s">
        <v>299</v>
      </c>
      <c r="E21" t="s">
        <v>2259</v>
      </c>
      <c r="F21">
        <v>1.62</v>
      </c>
      <c r="G21">
        <v>5.19</v>
      </c>
      <c r="H21" t="s">
        <v>2637</v>
      </c>
      <c r="I21">
        <v>1292514410</v>
      </c>
      <c r="K21">
        <v>2.0099999999999998</v>
      </c>
      <c r="L21" t="s">
        <v>101</v>
      </c>
      <c r="M21" t="s">
        <v>2638</v>
      </c>
      <c r="N21" t="s">
        <v>1609</v>
      </c>
      <c r="O21" t="s">
        <v>450</v>
      </c>
      <c r="P21">
        <v>-52.55</v>
      </c>
      <c r="Q21" t="s">
        <v>1925</v>
      </c>
      <c r="R21">
        <v>216912790</v>
      </c>
      <c r="S21" s="6">
        <v>3.49</v>
      </c>
      <c r="T21" t="s">
        <v>2639</v>
      </c>
      <c r="U21">
        <v>541582500</v>
      </c>
      <c r="V21">
        <v>797848400</v>
      </c>
      <c r="W21">
        <v>4.66</v>
      </c>
      <c r="X21">
        <v>7.0000000000000007E-2</v>
      </c>
      <c r="Y21">
        <v>111.63</v>
      </c>
      <c r="Z21" t="s">
        <v>595</v>
      </c>
      <c r="AA21" t="s">
        <v>107</v>
      </c>
      <c r="AB21" t="s">
        <v>2640</v>
      </c>
      <c r="AC21" t="s">
        <v>2641</v>
      </c>
      <c r="AD21" t="s">
        <v>5</v>
      </c>
      <c r="AE21">
        <v>18816230</v>
      </c>
      <c r="AF21" t="s">
        <v>2642</v>
      </c>
      <c r="AG21" t="s">
        <v>2643</v>
      </c>
      <c r="AH21" t="s">
        <v>2644</v>
      </c>
      <c r="AI21" t="s">
        <v>361</v>
      </c>
      <c r="AJ21" t="s">
        <v>2645</v>
      </c>
      <c r="AK21" t="s">
        <v>2646</v>
      </c>
      <c r="AL21" t="s">
        <v>2647</v>
      </c>
      <c r="AM21" t="s">
        <v>5</v>
      </c>
      <c r="AN21" t="s">
        <v>2648</v>
      </c>
      <c r="AO21" t="s">
        <v>2649</v>
      </c>
      <c r="AP21" t="s">
        <v>2650</v>
      </c>
      <c r="AQ21" t="s">
        <v>606</v>
      </c>
      <c r="AR21" t="s">
        <v>5</v>
      </c>
      <c r="AS21" t="s">
        <v>2180</v>
      </c>
      <c r="AT21" t="s">
        <v>2651</v>
      </c>
      <c r="AU21" t="s">
        <v>2652</v>
      </c>
      <c r="AV21" t="s">
        <v>220</v>
      </c>
      <c r="AW21" t="s">
        <v>2653</v>
      </c>
      <c r="AX21" t="s">
        <v>1872</v>
      </c>
      <c r="AY21" t="s">
        <v>1372</v>
      </c>
      <c r="AZ21" t="s">
        <v>883</v>
      </c>
      <c r="BA21" t="s">
        <v>300</v>
      </c>
      <c r="BB21" t="s">
        <v>887</v>
      </c>
      <c r="BC21" t="s">
        <v>1885</v>
      </c>
      <c r="BD21" t="s">
        <v>1373</v>
      </c>
      <c r="BE21" t="s">
        <v>884</v>
      </c>
      <c r="BF21" t="s">
        <v>301</v>
      </c>
      <c r="BG21" t="s">
        <v>888</v>
      </c>
      <c r="BH21" t="s">
        <v>1925</v>
      </c>
      <c r="BI21" t="s">
        <v>491</v>
      </c>
      <c r="BJ21" t="s">
        <v>1872</v>
      </c>
      <c r="BK21" t="s">
        <v>2639</v>
      </c>
      <c r="BL21" t="s">
        <v>2654</v>
      </c>
      <c r="BM21" t="s">
        <v>1885</v>
      </c>
      <c r="BN21" t="s">
        <v>5</v>
      </c>
      <c r="BO21" t="s">
        <v>5</v>
      </c>
      <c r="BP21" t="s">
        <v>5</v>
      </c>
      <c r="BQ21">
        <v>-28.57</v>
      </c>
      <c r="BR21">
        <v>-35.39</v>
      </c>
      <c r="BS21">
        <v>-23.05</v>
      </c>
      <c r="BT21" t="s">
        <v>1720</v>
      </c>
      <c r="BU21" t="s">
        <v>1536</v>
      </c>
      <c r="BV21">
        <v>7.72</v>
      </c>
      <c r="BW21">
        <v>3.27</v>
      </c>
      <c r="BX21">
        <v>5.89</v>
      </c>
      <c r="BY21">
        <v>-43.91</v>
      </c>
      <c r="BZ21">
        <v>-16.23</v>
      </c>
      <c r="CA21">
        <v>-9.8699999999999992</v>
      </c>
      <c r="CB21">
        <v>14.89</v>
      </c>
      <c r="CC21">
        <v>-35.46</v>
      </c>
      <c r="CD21" t="s">
        <v>2655</v>
      </c>
      <c r="CE21" t="s">
        <v>584</v>
      </c>
      <c r="CF21" s="10">
        <v>-0.52450980392156865</v>
      </c>
      <c r="CG21" s="11">
        <v>3.4904651464511529</v>
      </c>
      <c r="CH21" s="10">
        <v>-0.52386122941970825</v>
      </c>
      <c r="CI21" s="10">
        <v>-0.25923940539360046</v>
      </c>
      <c r="CJ21" s="10">
        <v>0.24053165316581726</v>
      </c>
      <c r="CK21" s="10">
        <v>-0.31419464945793152</v>
      </c>
      <c r="CL21" s="10">
        <v>-1.415084395557642E-2</v>
      </c>
      <c r="CM21" s="11">
        <v>-0.33411765098571777</v>
      </c>
      <c r="CN21" s="11">
        <v>-0.15489129722118378</v>
      </c>
      <c r="CO21" s="11">
        <v>-12.436171531677246</v>
      </c>
      <c r="CP21" s="11">
        <v>1.1641764640808105</v>
      </c>
      <c r="CQ21" s="11">
        <v>-3.119459867477417</v>
      </c>
      <c r="CR21">
        <v>-5.4180413946323212</v>
      </c>
      <c r="CS21">
        <v>-0.31105473325913191</v>
      </c>
      <c r="CT21">
        <v>0</v>
      </c>
      <c r="CU21" s="10">
        <v>-0.17418289501219988</v>
      </c>
      <c r="CV21" s="11">
        <v>-2.9760927766561509</v>
      </c>
      <c r="CW21">
        <v>0.06</v>
      </c>
      <c r="CX21" t="e">
        <v>#VALUE!</v>
      </c>
      <c r="CY21" t="s">
        <v>1549</v>
      </c>
      <c r="CZ21">
        <v>-0.17418289501219988</v>
      </c>
      <c r="DA21" t="e">
        <v>#VALUE!</v>
      </c>
      <c r="DB21" t="s">
        <v>1549</v>
      </c>
      <c r="DC21">
        <v>-0.16547375026158989</v>
      </c>
      <c r="DD21" t="e">
        <v>#VALUE!</v>
      </c>
      <c r="DE21" t="s">
        <v>1549</v>
      </c>
      <c r="DF21">
        <v>-0.15328094761073591</v>
      </c>
      <c r="DG21" t="e">
        <v>#VALUE!</v>
      </c>
      <c r="DH21" t="s">
        <v>1549</v>
      </c>
      <c r="DI21">
        <v>-0.13934631600975991</v>
      </c>
      <c r="DJ21" t="e">
        <v>#VALUE!</v>
      </c>
      <c r="DK21" t="s">
        <v>1549</v>
      </c>
      <c r="DL21">
        <v>-0.12192802650853991</v>
      </c>
      <c r="DM21">
        <v>-567000000</v>
      </c>
      <c r="DN21">
        <v>-0.17418289501219988</v>
      </c>
      <c r="DO21">
        <v>3203514410</v>
      </c>
      <c r="DP21">
        <v>-899369100</v>
      </c>
      <c r="DQ21">
        <v>988</v>
      </c>
      <c r="DR21">
        <v>-0.35032690890936879</v>
      </c>
      <c r="DS21">
        <v>6.4665579231073043</v>
      </c>
      <c r="DT21" s="12">
        <v>-0.73999999999999988</v>
      </c>
      <c r="DU21">
        <v>-1.6166666666666669</v>
      </c>
      <c r="DV21">
        <v>-2.3566666666666669</v>
      </c>
      <c r="DW21">
        <v>7.2957298907646475</v>
      </c>
      <c r="DX21">
        <v>0.47134193548387143</v>
      </c>
      <c r="DY21">
        <v>7.0536282307716949</v>
      </c>
      <c r="DZ21">
        <v>4607</v>
      </c>
      <c r="EA21">
        <v>7.0052788649859421</v>
      </c>
      <c r="EB21">
        <v>7</v>
      </c>
      <c r="EC21">
        <v>7.7505450910223039E-2</v>
      </c>
      <c r="ED21">
        <v>0.42739949093085855</v>
      </c>
      <c r="EE21" s="13">
        <v>-4.0803099999999999</v>
      </c>
      <c r="EF21">
        <v>-4.1267100000000001</v>
      </c>
      <c r="EG21">
        <v>29.181341935483871</v>
      </c>
      <c r="EH21" t="s">
        <v>2119</v>
      </c>
      <c r="EI21">
        <v>1</v>
      </c>
      <c r="EJ21">
        <v>0</v>
      </c>
      <c r="EK21" s="15">
        <v>45470</v>
      </c>
      <c r="EL21" s="16">
        <v>-3.98</v>
      </c>
      <c r="EM21" s="16">
        <v>-4.7300000000000004</v>
      </c>
      <c r="EN21" s="16">
        <v>-4.97</v>
      </c>
      <c r="EO21" s="16">
        <v>-1.31</v>
      </c>
      <c r="EP21" s="16">
        <v>-4.6399999999999997</v>
      </c>
    </row>
    <row r="22" spans="1:146" ht="108" x14ac:dyDescent="0.25">
      <c r="C22" s="8" t="str">
        <f>""&amp;CHAR(10)&amp;Basic_Fundamental_Information_Constructure(F22)&amp;CHAR(10)&amp;Basic_Fundamental_Information_Concatenate("")</f>
        <v xml:space="preserve">
市值30.599441亿, 利润3733.55万; PE81.52; 平均PE47.77; 平均PEG9.85, PB1.32; ROIC2.195%; ROE1.44%; 股利率.6944%; 毛利23.2233%; 净利2.5433%; 上一年度营收增9.27%, 利润增-8.43%; 当季营收增7.11%, 利润增4.19%; 过往5年营收增4.85%, 利润增-17.94%
Income profile:
</v>
      </c>
      <c r="D22" t="s">
        <v>250</v>
      </c>
      <c r="E22" t="s">
        <v>38</v>
      </c>
      <c r="F22">
        <v>2.16</v>
      </c>
      <c r="G22">
        <v>1.89</v>
      </c>
      <c r="H22" t="s">
        <v>2656</v>
      </c>
      <c r="I22">
        <v>3059944100</v>
      </c>
      <c r="J22">
        <v>81.52</v>
      </c>
      <c r="K22">
        <v>1.32</v>
      </c>
      <c r="L22" t="s">
        <v>101</v>
      </c>
      <c r="M22" t="s">
        <v>2657</v>
      </c>
      <c r="N22" t="s">
        <v>2658</v>
      </c>
      <c r="O22" t="s">
        <v>405</v>
      </c>
      <c r="P22">
        <v>7.4</v>
      </c>
      <c r="Q22" t="s">
        <v>2659</v>
      </c>
      <c r="R22">
        <v>5011477</v>
      </c>
      <c r="S22" s="6">
        <v>4.19E-2</v>
      </c>
      <c r="T22" t="s">
        <v>2660</v>
      </c>
      <c r="U22">
        <v>1411543900</v>
      </c>
      <c r="V22">
        <v>1416640800</v>
      </c>
      <c r="W22">
        <v>1.79</v>
      </c>
      <c r="X22">
        <v>0.05</v>
      </c>
      <c r="Y22">
        <v>1.06</v>
      </c>
      <c r="Z22" t="s">
        <v>591</v>
      </c>
      <c r="AA22" t="s">
        <v>274</v>
      </c>
      <c r="AB22" t="s">
        <v>2661</v>
      </c>
      <c r="AC22" t="s">
        <v>2662</v>
      </c>
      <c r="AD22" t="s">
        <v>5</v>
      </c>
      <c r="AE22">
        <v>294687</v>
      </c>
      <c r="AF22" t="s">
        <v>2663</v>
      </c>
      <c r="AG22" t="s">
        <v>2664</v>
      </c>
      <c r="AH22" t="s">
        <v>2665</v>
      </c>
      <c r="AI22" t="s">
        <v>1107</v>
      </c>
      <c r="AJ22" t="s">
        <v>2666</v>
      </c>
      <c r="AK22" t="s">
        <v>2667</v>
      </c>
      <c r="AL22" t="s">
        <v>2668</v>
      </c>
      <c r="AM22" t="s">
        <v>5</v>
      </c>
      <c r="AN22" t="s">
        <v>2669</v>
      </c>
      <c r="AO22" t="s">
        <v>303</v>
      </c>
      <c r="AP22" t="s">
        <v>545</v>
      </c>
      <c r="AQ22" t="s">
        <v>1095</v>
      </c>
      <c r="AR22" t="s">
        <v>5</v>
      </c>
      <c r="AS22" t="s">
        <v>1868</v>
      </c>
      <c r="AT22" t="s">
        <v>227</v>
      </c>
      <c r="AU22" t="s">
        <v>753</v>
      </c>
      <c r="AV22" t="s">
        <v>2670</v>
      </c>
      <c r="AW22" t="s">
        <v>2671</v>
      </c>
      <c r="AX22" t="s">
        <v>1368</v>
      </c>
      <c r="AY22" t="s">
        <v>1374</v>
      </c>
      <c r="AZ22" t="s">
        <v>889</v>
      </c>
      <c r="BA22" t="s">
        <v>251</v>
      </c>
      <c r="BB22" t="s">
        <v>891</v>
      </c>
      <c r="BC22" t="s">
        <v>2672</v>
      </c>
      <c r="BD22" t="s">
        <v>1375</v>
      </c>
      <c r="BE22" t="s">
        <v>890</v>
      </c>
      <c r="BF22" t="s">
        <v>252</v>
      </c>
      <c r="BG22" t="s">
        <v>425</v>
      </c>
      <c r="BH22" t="s">
        <v>2659</v>
      </c>
      <c r="BI22" t="s">
        <v>184</v>
      </c>
      <c r="BJ22" t="s">
        <v>1368</v>
      </c>
      <c r="BK22" t="s">
        <v>2660</v>
      </c>
      <c r="BL22" t="s">
        <v>2673</v>
      </c>
      <c r="BM22" t="s">
        <v>2672</v>
      </c>
      <c r="BN22" t="s">
        <v>5</v>
      </c>
      <c r="BO22">
        <v>1.72</v>
      </c>
      <c r="BP22">
        <v>2.67</v>
      </c>
      <c r="BQ22">
        <v>-0.2</v>
      </c>
      <c r="BR22">
        <v>1.74</v>
      </c>
      <c r="BS22">
        <v>2.78</v>
      </c>
      <c r="BT22" t="s">
        <v>1722</v>
      </c>
      <c r="BU22" t="s">
        <v>1536</v>
      </c>
      <c r="BV22">
        <v>23.9</v>
      </c>
      <c r="BW22">
        <v>22.27</v>
      </c>
      <c r="BX22">
        <v>23.5</v>
      </c>
      <c r="BY22">
        <v>1.72</v>
      </c>
      <c r="BZ22">
        <v>2.2599999999999998</v>
      </c>
      <c r="CA22">
        <v>3.65</v>
      </c>
      <c r="CB22">
        <v>0.47</v>
      </c>
      <c r="CC22">
        <v>-20.440000000000001</v>
      </c>
      <c r="CD22" t="s">
        <v>2674</v>
      </c>
      <c r="CE22" t="s">
        <v>995</v>
      </c>
      <c r="CF22" s="10">
        <v>7.1090047393364789E-2</v>
      </c>
      <c r="CG22" s="11">
        <v>4.1887110187110187E-2</v>
      </c>
      <c r="CH22" s="10">
        <v>9.2685960233211517E-2</v>
      </c>
      <c r="CI22" s="10">
        <v>-0.1059751957654953</v>
      </c>
      <c r="CJ22" s="10">
        <v>0.18109187483787537</v>
      </c>
      <c r="CK22" s="10">
        <v>0.12593702971935272</v>
      </c>
      <c r="CL22" s="10">
        <v>-5.1209103316068649E-2</v>
      </c>
      <c r="CM22" s="11">
        <v>-8.4283538162708282E-2</v>
      </c>
      <c r="CN22" s="11">
        <v>-0.32227447628974915</v>
      </c>
      <c r="CO22" s="11">
        <v>3.5504292696714401E-2</v>
      </c>
      <c r="CP22" s="11">
        <v>-0.28227299451828003</v>
      </c>
      <c r="CQ22" s="11">
        <v>-0.2434944361448288</v>
      </c>
      <c r="CR22">
        <v>47.772985184379515</v>
      </c>
      <c r="CS22">
        <v>9.8488586468982149</v>
      </c>
      <c r="CT22">
        <v>0.69444444444444442</v>
      </c>
      <c r="CU22" s="10">
        <v>4.850611314177513E-2</v>
      </c>
      <c r="CV22" s="11">
        <v>-0.17936423048377037</v>
      </c>
      <c r="CW22">
        <v>0.06</v>
      </c>
      <c r="CX22">
        <v>73.487559473779058</v>
      </c>
      <c r="CY22">
        <v>36930660.365287498</v>
      </c>
      <c r="CZ22">
        <v>4.850611314177513E-2</v>
      </c>
      <c r="DA22">
        <v>24.877895568493372</v>
      </c>
      <c r="DB22">
        <v>109090581.73863694</v>
      </c>
      <c r="DC22">
        <v>4.6080807484686369E-2</v>
      </c>
      <c r="DD22">
        <v>12.828915211097433</v>
      </c>
      <c r="DE22">
        <v>211548993.45287973</v>
      </c>
      <c r="DF22">
        <v>4.2685379564762115E-2</v>
      </c>
      <c r="DG22">
        <v>8.1094923984999205</v>
      </c>
      <c r="DH22">
        <v>334662635.66657031</v>
      </c>
      <c r="DI22">
        <v>3.8804890513420107E-2</v>
      </c>
      <c r="DJ22">
        <v>4.6712910117656294</v>
      </c>
      <c r="DK22">
        <v>580983735.15252221</v>
      </c>
      <c r="DL22">
        <v>3.3954279199242592E-2</v>
      </c>
      <c r="DM22">
        <v>37335500</v>
      </c>
      <c r="DN22">
        <v>4.850611314177513E-2</v>
      </c>
      <c r="DO22">
        <v>2713944100</v>
      </c>
      <c r="DP22">
        <v>1350978300.0000002</v>
      </c>
      <c r="DQ22">
        <v>1017</v>
      </c>
      <c r="DR22">
        <v>2.2583934251589659E-2</v>
      </c>
      <c r="DS22">
        <v>0.22125134067088056</v>
      </c>
      <c r="DT22" s="12">
        <v>-0.3066666666666667</v>
      </c>
      <c r="DU22">
        <v>-0.58666666666666656</v>
      </c>
      <c r="DV22">
        <v>-0.89333333333333331</v>
      </c>
      <c r="DW22">
        <v>-3.0502142857142855</v>
      </c>
      <c r="DX22">
        <v>0.40029336752136713</v>
      </c>
      <c r="DY22">
        <v>-3.0085511598119656</v>
      </c>
      <c r="DZ22">
        <v>3446</v>
      </c>
      <c r="EA22">
        <v>-3.002784565543466</v>
      </c>
      <c r="EB22">
        <v>3</v>
      </c>
      <c r="EC22">
        <v>5.6257944850945985E-2</v>
      </c>
      <c r="ED22">
        <v>0.33035897314266255</v>
      </c>
      <c r="EE22" s="13">
        <v>-1.0239</v>
      </c>
      <c r="EF22">
        <v>-1.0056</v>
      </c>
      <c r="EG22">
        <v>23.170293367521367</v>
      </c>
      <c r="EH22" t="s">
        <v>1813</v>
      </c>
      <c r="EI22">
        <v>0</v>
      </c>
      <c r="EJ22">
        <v>0</v>
      </c>
      <c r="EK22" s="15">
        <v>45470</v>
      </c>
      <c r="EL22" s="16">
        <v>-0.89</v>
      </c>
      <c r="EM22" s="16">
        <v>-3.15</v>
      </c>
      <c r="EN22" s="16">
        <v>0.47</v>
      </c>
      <c r="EO22" s="16">
        <v>1.4</v>
      </c>
      <c r="EP22" s="16">
        <v>-1.83</v>
      </c>
    </row>
    <row r="23" spans="1:146" ht="108" x14ac:dyDescent="0.25">
      <c r="C23" s="8" t="str">
        <f>""&amp;CHAR(10)&amp;Basic_Fundamental_Information_Constructure(F23)&amp;CHAR(10)&amp;Basic_Fundamental_Information_Concatenate("")</f>
        <v xml:space="preserve">
市值41.895655亿, 利润1.72亿; PE26.79; 平均PE31.54; 平均PEG4.05, PB1.37; ROIC4.2333%; ROE4.43%; 股利率.9787%; 毛利23.6833%; 净利4.8367%; 上一年度营收增12.18%, 利润增49.57%; 当季营收增-20.31%, 利润增-34.49%; 过往5年营收增7.79%, 利润增15.1%
Income profile:
</v>
      </c>
      <c r="D23" t="s">
        <v>306</v>
      </c>
      <c r="E23" t="s">
        <v>56</v>
      </c>
      <c r="F23">
        <v>2.35</v>
      </c>
      <c r="G23">
        <v>1.73</v>
      </c>
      <c r="H23" t="s">
        <v>2675</v>
      </c>
      <c r="I23">
        <v>4189565500</v>
      </c>
      <c r="J23">
        <v>26.79</v>
      </c>
      <c r="K23">
        <v>1.37</v>
      </c>
      <c r="L23" t="s">
        <v>101</v>
      </c>
      <c r="M23" t="s">
        <v>2124</v>
      </c>
      <c r="N23" t="s">
        <v>2676</v>
      </c>
      <c r="O23" t="s">
        <v>318</v>
      </c>
      <c r="P23">
        <v>-20.440000000000001</v>
      </c>
      <c r="Q23" t="s">
        <v>2677</v>
      </c>
      <c r="R23">
        <v>29227518</v>
      </c>
      <c r="S23" s="6">
        <v>-0.34489999999999998</v>
      </c>
      <c r="T23" t="s">
        <v>344</v>
      </c>
      <c r="U23">
        <v>1760906900</v>
      </c>
      <c r="V23">
        <v>1782793800</v>
      </c>
      <c r="W23">
        <v>1.61</v>
      </c>
      <c r="X23">
        <v>0.09</v>
      </c>
      <c r="Y23">
        <v>7.52</v>
      </c>
      <c r="Z23" t="s">
        <v>442</v>
      </c>
      <c r="AA23" t="s">
        <v>483</v>
      </c>
      <c r="AB23" t="s">
        <v>2678</v>
      </c>
      <c r="AC23" t="s">
        <v>2679</v>
      </c>
      <c r="AD23" t="s">
        <v>5</v>
      </c>
      <c r="AE23">
        <v>357701</v>
      </c>
      <c r="AF23" t="s">
        <v>2680</v>
      </c>
      <c r="AG23" t="s">
        <v>2681</v>
      </c>
      <c r="AH23" t="s">
        <v>2682</v>
      </c>
      <c r="AI23" t="s">
        <v>527</v>
      </c>
      <c r="AJ23" t="s">
        <v>2683</v>
      </c>
      <c r="AK23" t="s">
        <v>261</v>
      </c>
      <c r="AL23" t="s">
        <v>2684</v>
      </c>
      <c r="AM23" t="s">
        <v>5</v>
      </c>
      <c r="AN23" t="s">
        <v>2685</v>
      </c>
      <c r="AO23" t="s">
        <v>2686</v>
      </c>
      <c r="AP23" t="s">
        <v>572</v>
      </c>
      <c r="AQ23" t="s">
        <v>351</v>
      </c>
      <c r="AR23" t="s">
        <v>5</v>
      </c>
      <c r="AS23" t="s">
        <v>2106</v>
      </c>
      <c r="AT23" t="s">
        <v>5</v>
      </c>
      <c r="AU23" t="s">
        <v>2687</v>
      </c>
      <c r="AV23" t="s">
        <v>2688</v>
      </c>
      <c r="AW23" t="s">
        <v>220</v>
      </c>
      <c r="AX23" t="s">
        <v>1888</v>
      </c>
      <c r="AY23" t="s">
        <v>1292</v>
      </c>
      <c r="AZ23" t="s">
        <v>893</v>
      </c>
      <c r="BA23" t="s">
        <v>307</v>
      </c>
      <c r="BB23" t="s">
        <v>896</v>
      </c>
      <c r="BC23" t="s">
        <v>194</v>
      </c>
      <c r="BD23" t="s">
        <v>1376</v>
      </c>
      <c r="BE23" t="s">
        <v>208</v>
      </c>
      <c r="BF23" t="s">
        <v>308</v>
      </c>
      <c r="BG23" t="s">
        <v>199</v>
      </c>
      <c r="BH23" t="s">
        <v>2677</v>
      </c>
      <c r="BI23" t="s">
        <v>607</v>
      </c>
      <c r="BJ23" t="s">
        <v>1888</v>
      </c>
      <c r="BK23" t="s">
        <v>344</v>
      </c>
      <c r="BL23" t="s">
        <v>2689</v>
      </c>
      <c r="BM23" t="s">
        <v>194</v>
      </c>
      <c r="BN23">
        <v>6.29</v>
      </c>
      <c r="BO23">
        <v>3.97</v>
      </c>
      <c r="BP23">
        <v>2.44</v>
      </c>
      <c r="BQ23">
        <v>6.98</v>
      </c>
      <c r="BR23">
        <v>4.09</v>
      </c>
      <c r="BS23">
        <v>2.2200000000000002</v>
      </c>
      <c r="BT23" t="s">
        <v>2690</v>
      </c>
      <c r="BU23" t="s">
        <v>1536</v>
      </c>
      <c r="BV23">
        <v>23.68</v>
      </c>
      <c r="BW23">
        <v>22.97</v>
      </c>
      <c r="BX23">
        <v>24.4</v>
      </c>
      <c r="BY23">
        <v>6.43</v>
      </c>
      <c r="BZ23">
        <v>4.99</v>
      </c>
      <c r="CA23">
        <v>3.09</v>
      </c>
      <c r="CB23">
        <v>-0.42</v>
      </c>
      <c r="CC23">
        <v>-25.63</v>
      </c>
      <c r="CD23" t="s">
        <v>356</v>
      </c>
      <c r="CE23" t="s">
        <v>2691</v>
      </c>
      <c r="CF23" s="10">
        <v>-0.20306513409961685</v>
      </c>
      <c r="CG23" s="11">
        <v>-0.34490068451700534</v>
      </c>
      <c r="CH23" s="10">
        <v>0.12182949483394623</v>
      </c>
      <c r="CI23" s="10">
        <v>5.2055906504392624E-2</v>
      </c>
      <c r="CJ23" s="10">
        <v>9.3779966235160828E-2</v>
      </c>
      <c r="CK23" s="10">
        <v>-4.0403984487056732E-2</v>
      </c>
      <c r="CL23" s="10">
        <v>0.16221977770328522</v>
      </c>
      <c r="CM23" s="11">
        <v>0.49565216898918152</v>
      </c>
      <c r="CN23" s="11">
        <v>0.88362473249435425</v>
      </c>
      <c r="CO23" s="11">
        <v>-0.42403301596641541</v>
      </c>
      <c r="CP23" s="11">
        <v>-0.44210526347160339</v>
      </c>
      <c r="CQ23" s="11">
        <v>0.24183006584644318</v>
      </c>
      <c r="CR23">
        <v>31.53793884342625</v>
      </c>
      <c r="CS23">
        <v>4.0487117245258553</v>
      </c>
      <c r="CT23">
        <v>0.97872340425531912</v>
      </c>
      <c r="CU23" s="10">
        <v>7.7896232157945638E-2</v>
      </c>
      <c r="CV23" s="11">
        <v>0.15099373757839202</v>
      </c>
      <c r="CW23">
        <v>0.06</v>
      </c>
      <c r="CX23">
        <v>15.949131095426624</v>
      </c>
      <c r="CY23">
        <v>174903916.91619498</v>
      </c>
      <c r="CZ23">
        <v>7.7896232157945638E-2</v>
      </c>
      <c r="DA23">
        <v>5.2657950602197063</v>
      </c>
      <c r="DB23">
        <v>529752006.6957581</v>
      </c>
      <c r="DC23">
        <v>7.4001420550048352E-2</v>
      </c>
      <c r="DD23">
        <v>2.6278854655280517</v>
      </c>
      <c r="DE23">
        <v>1061524764.5275362</v>
      </c>
      <c r="DF23">
        <v>6.8548684298992163E-2</v>
      </c>
      <c r="DG23">
        <v>1.6024487319199876</v>
      </c>
      <c r="DH23">
        <v>1740814195.445528</v>
      </c>
      <c r="DI23">
        <v>6.2316985726356515E-2</v>
      </c>
      <c r="DJ23">
        <v>0.85583257481149144</v>
      </c>
      <c r="DK23">
        <v>3259475722.356606</v>
      </c>
      <c r="DL23">
        <v>5.4527362510561943E-2</v>
      </c>
      <c r="DM23">
        <v>172000000</v>
      </c>
      <c r="DN23">
        <v>7.7896232157945638E-2</v>
      </c>
      <c r="DO23">
        <v>2789565500</v>
      </c>
      <c r="DP23">
        <v>1619115000</v>
      </c>
      <c r="DQ23">
        <v>1019</v>
      </c>
      <c r="DR23">
        <v>-0.28096136625756252</v>
      </c>
      <c r="DS23">
        <v>-0.49589442209539736</v>
      </c>
      <c r="DT23" s="12">
        <v>-0.34</v>
      </c>
      <c r="DU23">
        <v>9.6666666666666637E-2</v>
      </c>
      <c r="DV23">
        <v>-0.2433333333333334</v>
      </c>
      <c r="DW23">
        <v>-3.1089107142857144</v>
      </c>
      <c r="DX23">
        <v>0.29231762808801137</v>
      </c>
      <c r="DY23">
        <v>-3.0100543788162279</v>
      </c>
      <c r="DZ23">
        <v>2319</v>
      </c>
      <c r="EA23">
        <v>-3.0054915403671414</v>
      </c>
      <c r="EB23">
        <v>3</v>
      </c>
      <c r="EC23">
        <v>8.0211183144119083E-2</v>
      </c>
      <c r="ED23">
        <v>0.86886099783384929</v>
      </c>
      <c r="EE23" s="13">
        <v>-3.0237099999999999</v>
      </c>
      <c r="EF23">
        <v>-3.05661</v>
      </c>
      <c r="EG23">
        <v>20.092317628088011</v>
      </c>
      <c r="EH23" t="s">
        <v>2118</v>
      </c>
      <c r="EI23">
        <v>0</v>
      </c>
      <c r="EJ23">
        <v>0</v>
      </c>
      <c r="EK23" s="15">
        <v>45470</v>
      </c>
      <c r="EL23" s="16">
        <v>-0.4</v>
      </c>
      <c r="EM23" s="16">
        <v>-5.26</v>
      </c>
      <c r="EN23" s="16">
        <v>0.85</v>
      </c>
      <c r="EO23" s="16">
        <v>2.97</v>
      </c>
      <c r="EP23" s="16">
        <v>-3.29</v>
      </c>
    </row>
    <row r="24" spans="1:146" ht="96" x14ac:dyDescent="0.25">
      <c r="C24" s="8" t="str">
        <f>""&amp;CHAR(10)&amp;Basic_Fundamental_Information_Constructure(F24)&amp;CHAR(10)&amp;Basic_Fundamental_Information_Concatenate("")</f>
        <v xml:space="preserve">
市值12.87亿, 利润-1.45亿; PE; 平均PE-7.11; 平均PEG-.82, PB3.02; ROIC0%; ROE-15.58%; 股利率0%; 毛利3.5933%; 净利-43.88%; 上一年度营收增-12.91%, 利润增3.33%; 当季营收增-33.69%, 利润增-35.1%; 过往5年营收增8.63%, 利润增-114.93%
Income profile:
</v>
      </c>
      <c r="D24" t="s">
        <v>515</v>
      </c>
      <c r="E24" t="s">
        <v>1238</v>
      </c>
      <c r="F24">
        <v>4.95</v>
      </c>
      <c r="G24">
        <v>1.85</v>
      </c>
      <c r="H24" t="s">
        <v>2692</v>
      </c>
      <c r="I24">
        <v>1287000000</v>
      </c>
      <c r="K24">
        <v>3.02</v>
      </c>
      <c r="L24" t="s">
        <v>101</v>
      </c>
      <c r="M24" t="s">
        <v>1697</v>
      </c>
      <c r="N24" t="s">
        <v>380</v>
      </c>
      <c r="O24" t="s">
        <v>2693</v>
      </c>
      <c r="P24">
        <v>-33.69</v>
      </c>
      <c r="Q24" t="s">
        <v>372</v>
      </c>
      <c r="R24">
        <v>-23276488</v>
      </c>
      <c r="S24" s="6">
        <v>-0.35099999999999998</v>
      </c>
      <c r="T24" t="s">
        <v>2694</v>
      </c>
      <c r="U24">
        <v>260000000</v>
      </c>
      <c r="V24">
        <v>260000000</v>
      </c>
      <c r="W24">
        <v>2.33</v>
      </c>
      <c r="X24">
        <v>0.04</v>
      </c>
      <c r="Y24">
        <v>-54.13</v>
      </c>
      <c r="Z24" t="s">
        <v>2695</v>
      </c>
      <c r="AA24" t="s">
        <v>2696</v>
      </c>
      <c r="AB24" t="s">
        <v>2697</v>
      </c>
      <c r="AC24" t="s">
        <v>2698</v>
      </c>
      <c r="AD24" t="s">
        <v>5</v>
      </c>
      <c r="AE24">
        <v>3367504</v>
      </c>
      <c r="AF24" t="s">
        <v>2699</v>
      </c>
      <c r="AG24" t="s">
        <v>2700</v>
      </c>
      <c r="AH24" t="s">
        <v>2701</v>
      </c>
      <c r="AI24" t="s">
        <v>2702</v>
      </c>
      <c r="AJ24" t="s">
        <v>2703</v>
      </c>
      <c r="AK24" t="s">
        <v>2704</v>
      </c>
      <c r="AL24" t="s">
        <v>2705</v>
      </c>
      <c r="AM24" t="s">
        <v>5</v>
      </c>
      <c r="AN24" t="s">
        <v>141</v>
      </c>
      <c r="AO24" t="s">
        <v>2706</v>
      </c>
      <c r="AP24" t="s">
        <v>2707</v>
      </c>
      <c r="AQ24" t="s">
        <v>534</v>
      </c>
      <c r="AR24" t="s">
        <v>2708</v>
      </c>
      <c r="AS24" t="s">
        <v>751</v>
      </c>
      <c r="AT24" t="s">
        <v>2709</v>
      </c>
      <c r="AU24" t="s">
        <v>2710</v>
      </c>
      <c r="AV24" t="s">
        <v>2711</v>
      </c>
      <c r="AW24" t="s">
        <v>2712</v>
      </c>
      <c r="AX24" t="s">
        <v>556</v>
      </c>
      <c r="AY24" t="s">
        <v>702</v>
      </c>
      <c r="AZ24" t="s">
        <v>162</v>
      </c>
      <c r="BA24" t="s">
        <v>516</v>
      </c>
      <c r="BB24" t="s">
        <v>472</v>
      </c>
      <c r="BC24" t="s">
        <v>1890</v>
      </c>
      <c r="BD24" t="s">
        <v>1080</v>
      </c>
      <c r="BE24" t="s">
        <v>897</v>
      </c>
      <c r="BF24" t="s">
        <v>517</v>
      </c>
      <c r="BG24" t="s">
        <v>898</v>
      </c>
      <c r="BH24" t="s">
        <v>372</v>
      </c>
      <c r="BI24" t="s">
        <v>2713</v>
      </c>
      <c r="BJ24" t="s">
        <v>556</v>
      </c>
      <c r="BK24" t="s">
        <v>2694</v>
      </c>
      <c r="BL24" t="s">
        <v>2714</v>
      </c>
      <c r="BM24" t="s">
        <v>1890</v>
      </c>
      <c r="BN24" t="s">
        <v>5</v>
      </c>
      <c r="BO24" t="s">
        <v>5</v>
      </c>
      <c r="BP24" t="s">
        <v>5</v>
      </c>
      <c r="BQ24">
        <v>-10.75</v>
      </c>
      <c r="BR24">
        <v>-22.35</v>
      </c>
      <c r="BS24">
        <v>-13.64</v>
      </c>
      <c r="BT24" t="s">
        <v>1720</v>
      </c>
      <c r="BU24" t="s">
        <v>1537</v>
      </c>
      <c r="BV24">
        <v>5.32</v>
      </c>
      <c r="BW24">
        <v>3.56</v>
      </c>
      <c r="BX24">
        <v>1.9</v>
      </c>
      <c r="BY24">
        <v>-45.81</v>
      </c>
      <c r="BZ24">
        <v>-41.11</v>
      </c>
      <c r="CA24">
        <v>-44.72</v>
      </c>
      <c r="CB24">
        <v>-4.07</v>
      </c>
      <c r="CC24">
        <v>-26.45</v>
      </c>
      <c r="CD24" t="s">
        <v>2715</v>
      </c>
      <c r="CE24" t="s">
        <v>336</v>
      </c>
      <c r="CF24" s="10">
        <v>-0.3368706933246145</v>
      </c>
      <c r="CG24" s="11">
        <v>-0.35099064379077383</v>
      </c>
      <c r="CH24" s="10">
        <v>-0.12912088632583618</v>
      </c>
      <c r="CI24" s="10">
        <v>0.43307086825370789</v>
      </c>
      <c r="CJ24" s="10">
        <v>-0.15333333611488342</v>
      </c>
      <c r="CK24" s="10">
        <v>0.37614679336547852</v>
      </c>
      <c r="CL24" s="10">
        <v>-9.5435686409473419E-2</v>
      </c>
      <c r="CM24" s="11">
        <v>3.3333335071802139E-2</v>
      </c>
      <c r="CN24" s="11">
        <v>-0.31578946113586426</v>
      </c>
      <c r="CO24" s="11">
        <v>-4.4685349464416504</v>
      </c>
      <c r="CP24" s="11">
        <v>1.0614334344863892</v>
      </c>
      <c r="CQ24" s="11">
        <v>-2.057142972946167</v>
      </c>
      <c r="CR24">
        <v>-7.1096258828683148</v>
      </c>
      <c r="CS24">
        <v>-0.82415585795565816</v>
      </c>
      <c r="CT24">
        <v>0</v>
      </c>
      <c r="CU24" s="10">
        <v>8.626555055379867E-2</v>
      </c>
      <c r="CV24" s="11">
        <v>-1.1493401221930981</v>
      </c>
      <c r="CW24">
        <v>0.06</v>
      </c>
      <c r="CX24" t="e">
        <v>#VALUE!</v>
      </c>
      <c r="CY24" t="s">
        <v>1552</v>
      </c>
      <c r="CZ24">
        <v>8.626555055379867E-2</v>
      </c>
      <c r="DA24" t="e">
        <v>#VALUE!</v>
      </c>
      <c r="DB24" t="s">
        <v>1549</v>
      </c>
      <c r="DC24">
        <v>8.1952273026108732E-2</v>
      </c>
      <c r="DD24" t="e">
        <v>#VALUE!</v>
      </c>
      <c r="DE24" t="s">
        <v>1549</v>
      </c>
      <c r="DF24">
        <v>7.5913684487342828E-2</v>
      </c>
      <c r="DG24" t="e">
        <v>#VALUE!</v>
      </c>
      <c r="DH24" t="s">
        <v>1549</v>
      </c>
      <c r="DI24">
        <v>6.9012440443038933E-2</v>
      </c>
      <c r="DJ24" t="e">
        <v>#VALUE!</v>
      </c>
      <c r="DK24" t="s">
        <v>1549</v>
      </c>
      <c r="DL24">
        <v>6.0385885387659065E-2</v>
      </c>
      <c r="DM24">
        <v>-145000000</v>
      </c>
      <c r="DN24">
        <v>8.626555055379867E-2</v>
      </c>
      <c r="DO24">
        <v>1507000000</v>
      </c>
      <c r="DP24">
        <v>-145589770</v>
      </c>
      <c r="DQ24">
        <v>1022</v>
      </c>
      <c r="DR24">
        <v>-0.4231362438784132</v>
      </c>
      <c r="DS24">
        <v>0.79834947840232429</v>
      </c>
      <c r="DT24" s="12">
        <v>-0.3066666666666667</v>
      </c>
      <c r="DU24">
        <v>-2.9483333333333337</v>
      </c>
      <c r="DV24">
        <v>-3.2550000000000003</v>
      </c>
      <c r="DW24">
        <v>-8.1538752362948959</v>
      </c>
      <c r="DX24">
        <v>0.32283492063491948</v>
      </c>
      <c r="DY24">
        <v>-8.012746242986168</v>
      </c>
      <c r="DZ24">
        <v>4977</v>
      </c>
      <c r="EA24">
        <v>-8.0003317515297763</v>
      </c>
      <c r="EB24">
        <v>8</v>
      </c>
      <c r="EC24">
        <v>0.10035769230769231</v>
      </c>
      <c r="ED24">
        <v>1.2115384615384615</v>
      </c>
      <c r="EE24" s="13">
        <v>-5.0341100000000001</v>
      </c>
      <c r="EF24">
        <v>-5.0606099999999996</v>
      </c>
      <c r="EG24">
        <v>24.082834920634919</v>
      </c>
      <c r="EH24" t="s">
        <v>2193</v>
      </c>
      <c r="EI24">
        <v>0</v>
      </c>
      <c r="EJ24">
        <v>0</v>
      </c>
      <c r="EK24" s="15">
        <v>45470</v>
      </c>
      <c r="EL24" s="16">
        <v>-1.65</v>
      </c>
      <c r="EM24" s="16">
        <v>-5.79</v>
      </c>
      <c r="EN24" s="16">
        <v>-1.59</v>
      </c>
      <c r="EO24" s="16">
        <v>6.65</v>
      </c>
      <c r="EP24" s="16">
        <v>-2.65</v>
      </c>
    </row>
    <row r="25" spans="1:146" ht="108" x14ac:dyDescent="0.25">
      <c r="C25" s="8" t="str">
        <f>""&amp;CHAR(10)&amp;Basic_Fundamental_Information_Constructure(F25)&amp;CHAR(10)&amp;Basic_Fundamental_Information_Concatenate("")</f>
        <v xml:space="preserve">
市值27.096888亿, 利润1.17亿; PE23.45; 平均PE-6.85; 平均PEG-.35, PB4.76; ROIC6.34%; ROE-15.35%; 股利率0%; 毛利19.44%; 净利-28.8667%; 上一年度营收增64.11%, 利润增519.06%; 当季营收增.89%, 利润增267.36%; 过往5年营收增19.63%, 利润增-403.77%
Income profile:
</v>
      </c>
      <c r="D25" t="s">
        <v>315</v>
      </c>
      <c r="E25" t="s">
        <v>1891</v>
      </c>
      <c r="F25">
        <v>3.38</v>
      </c>
      <c r="G25">
        <v>7.3</v>
      </c>
      <c r="H25" t="s">
        <v>2716</v>
      </c>
      <c r="I25">
        <v>2709688800</v>
      </c>
      <c r="J25">
        <v>23.45</v>
      </c>
      <c r="K25">
        <v>4.76</v>
      </c>
      <c r="L25" t="s">
        <v>101</v>
      </c>
      <c r="M25" t="s">
        <v>2717</v>
      </c>
      <c r="N25" t="s">
        <v>1400</v>
      </c>
      <c r="O25" t="s">
        <v>387</v>
      </c>
      <c r="P25">
        <v>0.92</v>
      </c>
      <c r="Q25" t="s">
        <v>455</v>
      </c>
      <c r="R25">
        <v>105000000</v>
      </c>
      <c r="S25" s="6">
        <v>-4.9399999999999999E-2</v>
      </c>
      <c r="T25" t="s">
        <v>273</v>
      </c>
      <c r="U25">
        <v>734299180</v>
      </c>
      <c r="V25">
        <v>801683070</v>
      </c>
      <c r="W25">
        <v>6.82</v>
      </c>
      <c r="X25">
        <v>0.09</v>
      </c>
      <c r="Y25">
        <v>8</v>
      </c>
      <c r="Z25" t="s">
        <v>713</v>
      </c>
      <c r="AA25" t="s">
        <v>752</v>
      </c>
      <c r="AB25" t="s">
        <v>2718</v>
      </c>
      <c r="AC25" t="s">
        <v>2719</v>
      </c>
      <c r="AD25" t="s">
        <v>5</v>
      </c>
      <c r="AE25">
        <v>25765465</v>
      </c>
      <c r="AF25" t="s">
        <v>2720</v>
      </c>
      <c r="AG25" t="s">
        <v>2721</v>
      </c>
      <c r="AH25" t="s">
        <v>2722</v>
      </c>
      <c r="AI25" t="s">
        <v>282</v>
      </c>
      <c r="AJ25" t="s">
        <v>2723</v>
      </c>
      <c r="AK25" t="s">
        <v>472</v>
      </c>
      <c r="AL25" t="s">
        <v>2724</v>
      </c>
      <c r="AM25" t="s">
        <v>5</v>
      </c>
      <c r="AN25" t="s">
        <v>2725</v>
      </c>
      <c r="AO25" t="s">
        <v>2726</v>
      </c>
      <c r="AP25" t="s">
        <v>635</v>
      </c>
      <c r="AQ25" t="s">
        <v>189</v>
      </c>
      <c r="AR25" t="s">
        <v>2727</v>
      </c>
      <c r="AS25" t="s">
        <v>1152</v>
      </c>
      <c r="AT25" t="s">
        <v>1931</v>
      </c>
      <c r="AU25" t="s">
        <v>2728</v>
      </c>
      <c r="AV25" t="s">
        <v>2729</v>
      </c>
      <c r="AW25" t="s">
        <v>2730</v>
      </c>
      <c r="AX25" t="s">
        <v>1704</v>
      </c>
      <c r="AY25" t="s">
        <v>1008</v>
      </c>
      <c r="AZ25" t="s">
        <v>209</v>
      </c>
      <c r="BA25" t="s">
        <v>316</v>
      </c>
      <c r="BB25" t="s">
        <v>900</v>
      </c>
      <c r="BC25" t="s">
        <v>2731</v>
      </c>
      <c r="BD25" t="s">
        <v>1378</v>
      </c>
      <c r="BE25" t="s">
        <v>899</v>
      </c>
      <c r="BF25" t="s">
        <v>317</v>
      </c>
      <c r="BG25" t="s">
        <v>902</v>
      </c>
      <c r="BH25" t="s">
        <v>455</v>
      </c>
      <c r="BI25" t="s">
        <v>873</v>
      </c>
      <c r="BJ25" t="s">
        <v>1704</v>
      </c>
      <c r="BK25" t="s">
        <v>273</v>
      </c>
      <c r="BL25" t="s">
        <v>2732</v>
      </c>
      <c r="BM25" t="s">
        <v>2731</v>
      </c>
      <c r="BN25">
        <v>7.6</v>
      </c>
      <c r="BO25">
        <v>5.08</v>
      </c>
      <c r="BP25" t="s">
        <v>5</v>
      </c>
      <c r="BQ25">
        <v>20.12</v>
      </c>
      <c r="BR25">
        <v>4.2699999999999996</v>
      </c>
      <c r="BS25">
        <v>-70.44</v>
      </c>
      <c r="BT25" t="s">
        <v>1720</v>
      </c>
      <c r="BU25" t="s">
        <v>1536</v>
      </c>
      <c r="BV25">
        <v>28.47</v>
      </c>
      <c r="BW25">
        <v>23.74</v>
      </c>
      <c r="BX25">
        <v>6.11</v>
      </c>
      <c r="BY25">
        <v>6.36</v>
      </c>
      <c r="BZ25">
        <v>1.57</v>
      </c>
      <c r="CA25">
        <v>-94.53</v>
      </c>
      <c r="CB25">
        <v>23.81</v>
      </c>
      <c r="CC25">
        <v>-4.25</v>
      </c>
      <c r="CD25" t="s">
        <v>474</v>
      </c>
      <c r="CE25" t="s">
        <v>2177</v>
      </c>
      <c r="CF25" s="10">
        <v>8.9285714285714281E-3</v>
      </c>
      <c r="CG25" s="11">
        <v>2.6735507842156268</v>
      </c>
      <c r="CH25" s="10">
        <v>0.64107143878936768</v>
      </c>
      <c r="CI25" s="10">
        <v>1.4669603109359741</v>
      </c>
      <c r="CJ25" s="10">
        <v>-0.49834254384040833</v>
      </c>
      <c r="CK25" s="10">
        <v>-0.13562560081481934</v>
      </c>
      <c r="CL25" s="10">
        <v>-0.49248668551445007</v>
      </c>
      <c r="CM25" s="11">
        <v>5.1906399726867676</v>
      </c>
      <c r="CN25" s="11">
        <v>1.0440547466278076</v>
      </c>
      <c r="CO25" s="11">
        <v>-12.513811111450195</v>
      </c>
      <c r="CP25" s="11">
        <v>1.0187140703201294</v>
      </c>
      <c r="CQ25" s="11">
        <v>-14.928001403808594</v>
      </c>
      <c r="CR25">
        <v>-6.8546472910556515</v>
      </c>
      <c r="CS25">
        <v>-0.34916506055167756</v>
      </c>
      <c r="CT25">
        <v>0</v>
      </c>
      <c r="CU25" s="10">
        <v>0.19631538391113282</v>
      </c>
      <c r="CV25" s="11">
        <v>-4.0376807451248169</v>
      </c>
      <c r="CW25">
        <v>0.06</v>
      </c>
      <c r="CX25">
        <v>42.195017117922355</v>
      </c>
      <c r="CY25">
        <v>132046131.99773824</v>
      </c>
      <c r="CZ25">
        <v>0.19631538391113282</v>
      </c>
      <c r="DA25">
        <v>12.615900324769028</v>
      </c>
      <c r="DB25">
        <v>441640204.5489375</v>
      </c>
      <c r="DC25">
        <v>0.18649961471557616</v>
      </c>
      <c r="DD25">
        <v>5.4895858267436326</v>
      </c>
      <c r="DE25">
        <v>1014956132.5476297</v>
      </c>
      <c r="DF25">
        <v>0.17275753784179687</v>
      </c>
      <c r="DG25">
        <v>2.8502316033651605</v>
      </c>
      <c r="DH25">
        <v>1954819669.1881874</v>
      </c>
      <c r="DI25">
        <v>0.15705230712890628</v>
      </c>
      <c r="DJ25">
        <v>1.047147923245227</v>
      </c>
      <c r="DK25">
        <v>5320823043.5416622</v>
      </c>
      <c r="DL25">
        <v>0.13742076873779296</v>
      </c>
      <c r="DM25">
        <v>117000000</v>
      </c>
      <c r="DN25">
        <v>0.19631538391113282</v>
      </c>
      <c r="DO25">
        <v>5571688800</v>
      </c>
      <c r="DP25">
        <v>-1329779000</v>
      </c>
      <c r="DQ25">
        <v>1028</v>
      </c>
      <c r="DR25">
        <v>-0.18738681248256139</v>
      </c>
      <c r="DS25">
        <v>6.7112315293404432</v>
      </c>
      <c r="DT25" s="12">
        <v>-3.9999999999999959E-2</v>
      </c>
      <c r="DU25">
        <v>0.13333333333333319</v>
      </c>
      <c r="DV25">
        <v>9.333333333333324E-2</v>
      </c>
      <c r="DW25">
        <v>5.1784964300713989</v>
      </c>
      <c r="DX25">
        <v>1.2186852589641428</v>
      </c>
      <c r="DY25">
        <v>5.0586691453421926</v>
      </c>
      <c r="DZ25">
        <v>3508</v>
      </c>
      <c r="EA25">
        <v>5.0183929492834034</v>
      </c>
      <c r="EB25">
        <v>5</v>
      </c>
      <c r="EC25">
        <v>0.20581699448885704</v>
      </c>
      <c r="ED25">
        <v>0.6261826135357953</v>
      </c>
      <c r="EE25" s="13">
        <v>2.04291</v>
      </c>
      <c r="EF25">
        <v>2.0714100000000002</v>
      </c>
      <c r="EG25">
        <v>89.328685258964143</v>
      </c>
      <c r="EH25" t="s">
        <v>1816</v>
      </c>
      <c r="EI25">
        <v>1</v>
      </c>
      <c r="EJ25">
        <v>0</v>
      </c>
      <c r="EK25" s="15">
        <v>45470</v>
      </c>
      <c r="EL25" s="16">
        <v>0</v>
      </c>
      <c r="EM25" s="16">
        <v>-3.9</v>
      </c>
      <c r="EN25" s="16">
        <v>0.74</v>
      </c>
      <c r="EO25" s="16">
        <v>2.93</v>
      </c>
      <c r="EP25" s="16">
        <v>-2.85</v>
      </c>
    </row>
    <row r="26" spans="1:146" ht="96" x14ac:dyDescent="0.25">
      <c r="C26" s="8" t="str">
        <f>""&amp;CHAR(10)&amp;Basic_Fundamental_Information_Constructure(F26)&amp;CHAR(10)&amp;Basic_Fundamental_Information_Concatenate("")</f>
        <v xml:space="preserve">
市值30.319328亿, 利润11.98亿; PE1.83; 平均PE-4.08; 平均PEG-2.27, PB23.42; ROIC0%; ROE-32.27%; 股利率0%; 毛利15.04%; 净利-33.49%; 上一年度营收增5.01%, 利润增146.42%; 当季营收增-28.13%, 利润增103.34%; 过往5年营收增-1.8%, 利润增-554.71%
Income profile:
</v>
      </c>
      <c r="D26" s="6" t="s">
        <v>2140</v>
      </c>
      <c r="E26" t="s">
        <v>2141</v>
      </c>
      <c r="F26">
        <v>3.53</v>
      </c>
      <c r="G26">
        <v>3.82</v>
      </c>
      <c r="H26" t="s">
        <v>2733</v>
      </c>
      <c r="I26">
        <v>3031932800</v>
      </c>
      <c r="J26">
        <v>1.83</v>
      </c>
      <c r="K26">
        <v>23.42</v>
      </c>
      <c r="L26" t="s">
        <v>101</v>
      </c>
      <c r="M26" t="s">
        <v>2734</v>
      </c>
      <c r="N26" t="s">
        <v>210</v>
      </c>
      <c r="O26" t="s">
        <v>2217</v>
      </c>
      <c r="P26" s="6">
        <v>-28.12</v>
      </c>
      <c r="Q26" t="s">
        <v>2735</v>
      </c>
      <c r="R26">
        <v>14852954</v>
      </c>
      <c r="S26">
        <v>1.0329999999999999</v>
      </c>
      <c r="T26" t="s">
        <v>2054</v>
      </c>
      <c r="U26">
        <v>858447450</v>
      </c>
      <c r="V26">
        <v>858904480</v>
      </c>
      <c r="W26">
        <v>18.41</v>
      </c>
      <c r="X26">
        <v>0.09</v>
      </c>
      <c r="Y26">
        <v>2.2200000000000002</v>
      </c>
      <c r="Z26" t="s">
        <v>460</v>
      </c>
      <c r="AA26" t="s">
        <v>655</v>
      </c>
      <c r="AB26" t="s">
        <v>2736</v>
      </c>
      <c r="AC26" t="s">
        <v>2737</v>
      </c>
      <c r="AD26" t="s">
        <v>5</v>
      </c>
      <c r="AE26">
        <v>41115440</v>
      </c>
      <c r="AF26" t="s">
        <v>127</v>
      </c>
      <c r="AG26" t="s">
        <v>2738</v>
      </c>
      <c r="AH26" t="s">
        <v>2739</v>
      </c>
      <c r="AI26" t="s">
        <v>163</v>
      </c>
      <c r="AJ26" t="s">
        <v>2740</v>
      </c>
      <c r="AK26" t="s">
        <v>197</v>
      </c>
      <c r="AL26" t="s">
        <v>2741</v>
      </c>
      <c r="AM26" t="s">
        <v>5</v>
      </c>
      <c r="AN26" t="s">
        <v>2152</v>
      </c>
      <c r="AO26" t="s">
        <v>1693</v>
      </c>
      <c r="AP26" t="s">
        <v>511</v>
      </c>
      <c r="AQ26" t="s">
        <v>1971</v>
      </c>
      <c r="AR26" t="s">
        <v>5</v>
      </c>
      <c r="AS26" t="s">
        <v>2742</v>
      </c>
      <c r="AT26" t="s">
        <v>2743</v>
      </c>
      <c r="AU26" t="s">
        <v>2744</v>
      </c>
      <c r="AV26" t="s">
        <v>2745</v>
      </c>
      <c r="AW26" t="s">
        <v>2746</v>
      </c>
      <c r="AX26" t="s">
        <v>2142</v>
      </c>
      <c r="AY26" t="s">
        <v>2747</v>
      </c>
      <c r="AZ26" t="s">
        <v>2748</v>
      </c>
      <c r="BA26" t="s">
        <v>2749</v>
      </c>
      <c r="BB26" t="s">
        <v>1076</v>
      </c>
      <c r="BC26" t="s">
        <v>2750</v>
      </c>
      <c r="BD26" t="s">
        <v>2751</v>
      </c>
      <c r="BE26" t="s">
        <v>2752</v>
      </c>
      <c r="BF26" t="s">
        <v>2753</v>
      </c>
      <c r="BG26" t="s">
        <v>2754</v>
      </c>
      <c r="BH26" t="s">
        <v>2735</v>
      </c>
      <c r="BI26" t="s">
        <v>2150</v>
      </c>
      <c r="BJ26" t="s">
        <v>2142</v>
      </c>
      <c r="BK26" t="s">
        <v>2054</v>
      </c>
      <c r="BL26" t="s">
        <v>2755</v>
      </c>
      <c r="BM26" t="s">
        <v>2750</v>
      </c>
      <c r="BN26" t="s">
        <v>5</v>
      </c>
      <c r="BO26" t="s">
        <v>5</v>
      </c>
      <c r="BP26" t="s">
        <v>5</v>
      </c>
      <c r="BQ26" t="s">
        <v>5</v>
      </c>
      <c r="BR26" t="s">
        <v>5</v>
      </c>
      <c r="BS26">
        <v>-32.270000000000003</v>
      </c>
      <c r="BT26" t="s">
        <v>1720</v>
      </c>
      <c r="BU26" t="s">
        <v>1536</v>
      </c>
      <c r="BV26">
        <v>14.01</v>
      </c>
      <c r="BW26">
        <v>15.29</v>
      </c>
      <c r="BX26">
        <v>15.82</v>
      </c>
      <c r="BY26">
        <v>2.91</v>
      </c>
      <c r="BZ26">
        <v>-83.65</v>
      </c>
      <c r="CA26">
        <v>-19.73</v>
      </c>
      <c r="CB26">
        <v>7.95</v>
      </c>
      <c r="CC26" s="10">
        <v>-9.9499999999999993</v>
      </c>
      <c r="CD26" s="11" t="s">
        <v>2756</v>
      </c>
      <c r="CE26" s="10" t="s">
        <v>348</v>
      </c>
      <c r="CF26" s="10">
        <v>-0.28132118451025045</v>
      </c>
      <c r="CG26" s="10">
        <v>1.0333774247191012</v>
      </c>
      <c r="CH26" s="10">
        <v>5.0125312060117722E-2</v>
      </c>
      <c r="CI26" s="10">
        <v>-0.53211724758148193</v>
      </c>
      <c r="CJ26" s="11">
        <v>-0.15557272732257843</v>
      </c>
      <c r="CK26" s="11">
        <v>8.3313502371311188E-2</v>
      </c>
      <c r="CL26" s="11">
        <v>0.464478999376297</v>
      </c>
      <c r="CM26" s="11">
        <v>1.4641611576080322</v>
      </c>
      <c r="CN26" s="11">
        <v>-0.91043657064437866</v>
      </c>
      <c r="CO26">
        <v>-0.40000006556510925</v>
      </c>
      <c r="CP26">
        <v>-28.844928741455078</v>
      </c>
      <c r="CQ26">
        <v>0.9556463360786438</v>
      </c>
      <c r="CR26" s="10">
        <v>-4.0785281137478995</v>
      </c>
      <c r="CS26" s="11">
        <v>-2.2715996050107523</v>
      </c>
      <c r="CT26">
        <v>0</v>
      </c>
      <c r="CU26">
        <v>-1.7954432219266892E-2</v>
      </c>
      <c r="CV26">
        <v>-5.5471115767955776</v>
      </c>
      <c r="CW26">
        <v>0.06</v>
      </c>
      <c r="CX26">
        <v>7.7553696160267114</v>
      </c>
      <c r="CY26" t="s">
        <v>2757</v>
      </c>
      <c r="CZ26">
        <v>-1.7954432219266892E-2</v>
      </c>
      <c r="DA26">
        <v>2.5851232053422373</v>
      </c>
      <c r="DB26" t="s">
        <v>2758</v>
      </c>
      <c r="DC26">
        <v>-1.7056710608303546E-2</v>
      </c>
      <c r="DD26">
        <v>1.2925616026711186</v>
      </c>
      <c r="DE26" t="s">
        <v>2759</v>
      </c>
      <c r="DF26">
        <v>-1.5799900352954865E-2</v>
      </c>
      <c r="DG26">
        <v>0.77553696160267116</v>
      </c>
      <c r="DH26" t="s">
        <v>2760</v>
      </c>
      <c r="DI26">
        <v>-1.4363545775413515E-2</v>
      </c>
      <c r="DJ26">
        <v>0.38776848080133558</v>
      </c>
      <c r="DK26" t="s">
        <v>2761</v>
      </c>
      <c r="DL26">
        <v>-1.2568102553486823E-2</v>
      </c>
      <c r="DM26">
        <v>1198000000</v>
      </c>
      <c r="DN26">
        <v>-1.7954432219266892E-2</v>
      </c>
      <c r="DO26">
        <v>9290932800</v>
      </c>
      <c r="DP26">
        <v>679663500</v>
      </c>
      <c r="DQ26" s="12">
        <v>1057</v>
      </c>
      <c r="DR26">
        <v>-0.26336675229098355</v>
      </c>
      <c r="DS26">
        <v>6.5804890015146791</v>
      </c>
      <c r="DT26">
        <v>-0.62333333333333341</v>
      </c>
      <c r="DU26">
        <v>-2.2400000000000002</v>
      </c>
      <c r="DV26">
        <v>-2.8633333333333337</v>
      </c>
      <c r="DW26">
        <v>7.4441340782122909</v>
      </c>
      <c r="DX26">
        <v>0.36887591836734601</v>
      </c>
      <c r="DY26">
        <v>7.048355505643598</v>
      </c>
      <c r="DZ26">
        <v>4859</v>
      </c>
      <c r="EA26">
        <v>7.0023751921558794</v>
      </c>
      <c r="EB26" s="13">
        <v>7</v>
      </c>
      <c r="EC26" s="13">
        <v>6.2113076881378008E-2</v>
      </c>
      <c r="ED26">
        <v>0.57049417183154061</v>
      </c>
      <c r="EE26">
        <v>3.11191</v>
      </c>
      <c r="EF26">
        <v>3.06671</v>
      </c>
      <c r="EG26">
        <v>26.108875918367346</v>
      </c>
      <c r="EH26" s="15" t="s">
        <v>1848</v>
      </c>
      <c r="EI26">
        <v>1</v>
      </c>
      <c r="EJ26">
        <v>0</v>
      </c>
      <c r="EK26">
        <v>45470</v>
      </c>
      <c r="EL26">
        <v>0</v>
      </c>
      <c r="EM26">
        <v>-5</v>
      </c>
      <c r="EN26" s="16">
        <v>-4.68</v>
      </c>
      <c r="EO26" s="16">
        <v>-4.91</v>
      </c>
      <c r="EP26" s="16">
        <v>4.5199999999999996</v>
      </c>
    </row>
    <row r="27" spans="1:146" ht="96" x14ac:dyDescent="0.25">
      <c r="C27" s="8" t="str">
        <f>""&amp;CHAR(10)&amp;Basic_Fundamental_Information_Constructure(F27)&amp;CHAR(10)&amp;Basic_Fundamental_Information_Concatenate("")</f>
        <v xml:space="preserve">
市值298.8亿, 利润16.12亿; PE17.56; 平均PE27.69; 平均PEG1.97, PB3.32; ROIC16.0767%; ROE16.4133%; 股利率1.6734%; 毛利30.4167%; 净利19.35%; 上一年度营收增7.89%, 利润增34.33%; 当季营收增7.36%, 利润增28.57%; 过往5年营收增14.08%, 利润增17.27%
Income profile:
</v>
      </c>
      <c r="D27" t="s">
        <v>519</v>
      </c>
      <c r="E27" t="s">
        <v>66</v>
      </c>
      <c r="F27">
        <v>37.35</v>
      </c>
      <c r="G27">
        <v>0.54</v>
      </c>
      <c r="H27" t="s">
        <v>2762</v>
      </c>
      <c r="I27">
        <v>29880000000</v>
      </c>
      <c r="J27">
        <v>17.559999999999999</v>
      </c>
      <c r="K27">
        <v>3.32</v>
      </c>
      <c r="L27" t="s">
        <v>101</v>
      </c>
      <c r="M27" t="s">
        <v>1680</v>
      </c>
      <c r="N27" t="s">
        <v>2763</v>
      </c>
      <c r="O27" t="s">
        <v>2764</v>
      </c>
      <c r="P27">
        <v>7.32</v>
      </c>
      <c r="Q27" t="s">
        <v>2765</v>
      </c>
      <c r="R27">
        <v>399864260</v>
      </c>
      <c r="S27" s="6">
        <v>0.28699999999999998</v>
      </c>
      <c r="T27" t="s">
        <v>2766</v>
      </c>
      <c r="U27">
        <v>794765000</v>
      </c>
      <c r="V27">
        <v>800000000</v>
      </c>
      <c r="W27">
        <v>1.17</v>
      </c>
      <c r="X27">
        <v>0.17</v>
      </c>
      <c r="Y27">
        <v>22.7</v>
      </c>
      <c r="Z27" t="s">
        <v>2767</v>
      </c>
      <c r="AA27" t="s">
        <v>1153</v>
      </c>
      <c r="AB27" t="s">
        <v>2768</v>
      </c>
      <c r="AC27" t="s">
        <v>2769</v>
      </c>
      <c r="AD27" t="s">
        <v>5</v>
      </c>
      <c r="AE27">
        <v>-4673138</v>
      </c>
      <c r="AF27" t="s">
        <v>2770</v>
      </c>
      <c r="AG27" t="s">
        <v>2771</v>
      </c>
      <c r="AH27" t="s">
        <v>2772</v>
      </c>
      <c r="AI27" t="s">
        <v>2773</v>
      </c>
      <c r="AJ27" t="s">
        <v>2774</v>
      </c>
      <c r="AK27" t="s">
        <v>562</v>
      </c>
      <c r="AL27" t="s">
        <v>2775</v>
      </c>
      <c r="AM27" t="s">
        <v>5</v>
      </c>
      <c r="AN27" t="s">
        <v>642</v>
      </c>
      <c r="AO27" t="s">
        <v>5</v>
      </c>
      <c r="AP27" t="s">
        <v>5</v>
      </c>
      <c r="AQ27" t="s">
        <v>998</v>
      </c>
      <c r="AR27" t="s">
        <v>5</v>
      </c>
      <c r="AS27" t="s">
        <v>2776</v>
      </c>
      <c r="AT27" t="s">
        <v>2777</v>
      </c>
      <c r="AU27" t="s">
        <v>533</v>
      </c>
      <c r="AV27" t="s">
        <v>2778</v>
      </c>
      <c r="AW27" t="s">
        <v>2779</v>
      </c>
      <c r="AX27" t="s">
        <v>1896</v>
      </c>
      <c r="AY27" t="s">
        <v>1379</v>
      </c>
      <c r="AZ27" t="s">
        <v>903</v>
      </c>
      <c r="BA27" t="s">
        <v>520</v>
      </c>
      <c r="BB27" t="s">
        <v>904</v>
      </c>
      <c r="BC27" t="s">
        <v>1170</v>
      </c>
      <c r="BD27" t="s">
        <v>1380</v>
      </c>
      <c r="BE27" t="s">
        <v>410</v>
      </c>
      <c r="BF27" t="s">
        <v>521</v>
      </c>
      <c r="BG27" t="s">
        <v>905</v>
      </c>
      <c r="BH27" t="s">
        <v>2765</v>
      </c>
      <c r="BI27" t="s">
        <v>1897</v>
      </c>
      <c r="BJ27" t="s">
        <v>1896</v>
      </c>
      <c r="BK27" t="s">
        <v>2766</v>
      </c>
      <c r="BL27" t="s">
        <v>440</v>
      </c>
      <c r="BM27" t="s">
        <v>1170</v>
      </c>
      <c r="BN27">
        <v>14.79</v>
      </c>
      <c r="BO27">
        <v>16.96</v>
      </c>
      <c r="BP27">
        <v>16.48</v>
      </c>
      <c r="BQ27">
        <v>14.96</v>
      </c>
      <c r="BR27">
        <v>17.350000000000001</v>
      </c>
      <c r="BS27">
        <v>16.93</v>
      </c>
      <c r="BT27" t="s">
        <v>2780</v>
      </c>
      <c r="BU27" t="s">
        <v>1537</v>
      </c>
      <c r="BV27">
        <v>34.65</v>
      </c>
      <c r="BW27">
        <v>28.07</v>
      </c>
      <c r="BX27">
        <v>28.53</v>
      </c>
      <c r="BY27">
        <v>22.49</v>
      </c>
      <c r="BZ27">
        <v>18.059999999999999</v>
      </c>
      <c r="CA27">
        <v>17.5</v>
      </c>
      <c r="CB27">
        <v>-2.15</v>
      </c>
      <c r="CC27">
        <v>-3.51</v>
      </c>
      <c r="CD27" t="s">
        <v>2781</v>
      </c>
      <c r="CE27" t="s">
        <v>2782</v>
      </c>
      <c r="CF27" s="10">
        <v>7.3556231003039513E-2</v>
      </c>
      <c r="CG27" s="11">
        <v>0.28573717041800645</v>
      </c>
      <c r="CH27" s="10">
        <v>7.8891940414905548E-2</v>
      </c>
      <c r="CI27" s="10">
        <v>0.10552594065666199</v>
      </c>
      <c r="CJ27" s="10">
        <v>0.13486963510513306</v>
      </c>
      <c r="CK27" s="10">
        <v>0.20674729347229004</v>
      </c>
      <c r="CL27" s="10">
        <v>0.17803432047367096</v>
      </c>
      <c r="CM27" s="11">
        <v>0.34333333373069763</v>
      </c>
      <c r="CN27" s="11">
        <v>0.13960114121437073</v>
      </c>
      <c r="CO27" s="11">
        <v>4.5680239796638489E-2</v>
      </c>
      <c r="CP27" s="11">
        <v>0.16685979068279266</v>
      </c>
      <c r="CQ27" s="11">
        <v>0.16779431700706482</v>
      </c>
      <c r="CR27">
        <v>27.692307692307693</v>
      </c>
      <c r="CS27">
        <v>1.9665901051139105</v>
      </c>
      <c r="CT27">
        <v>1.6733601070950468</v>
      </c>
      <c r="CU27" s="10">
        <v>0.14081382602453232</v>
      </c>
      <c r="CV27" s="11">
        <v>0.17265376448631287</v>
      </c>
      <c r="CW27">
        <v>0.06</v>
      </c>
      <c r="CX27">
        <v>12.784036818836174</v>
      </c>
      <c r="CY27">
        <v>1734898007.1241002</v>
      </c>
      <c r="CZ27">
        <v>0.14081382602453232</v>
      </c>
      <c r="DA27">
        <v>4.0027640159056359</v>
      </c>
      <c r="DB27">
        <v>5540921201.416852</v>
      </c>
      <c r="DC27">
        <v>0.13377313472330571</v>
      </c>
      <c r="DD27">
        <v>1.8589109402402644</v>
      </c>
      <c r="DE27">
        <v>11931179444.849232</v>
      </c>
      <c r="DF27">
        <v>0.12391616690158845</v>
      </c>
      <c r="DG27">
        <v>1.043717932570446</v>
      </c>
      <c r="DH27">
        <v>21249994187.00993</v>
      </c>
      <c r="DI27">
        <v>0.11265106081962586</v>
      </c>
      <c r="DJ27">
        <v>0.46279107749229814</v>
      </c>
      <c r="DK27">
        <v>47924433029.651718</v>
      </c>
      <c r="DL27">
        <v>9.8569678217172621E-2</v>
      </c>
      <c r="DM27">
        <v>1612000000</v>
      </c>
      <c r="DN27">
        <v>0.14081382602453232</v>
      </c>
      <c r="DO27">
        <v>22179000000</v>
      </c>
      <c r="DP27">
        <v>6232455300</v>
      </c>
      <c r="DQ27">
        <v>1088</v>
      </c>
      <c r="DR27">
        <v>-6.7257595021492811E-2</v>
      </c>
      <c r="DS27">
        <v>0.11308340593169358</v>
      </c>
      <c r="DT27" s="12">
        <v>-0.22333333333333338</v>
      </c>
      <c r="DU27">
        <v>0.60333333333333328</v>
      </c>
      <c r="DV27">
        <v>0.37999999999999989</v>
      </c>
      <c r="DW27">
        <v>-1.0350999999999999</v>
      </c>
      <c r="DX27">
        <v>0.34983255693505699</v>
      </c>
      <c r="DY27">
        <v>-1.0070141227484204</v>
      </c>
      <c r="DZ27">
        <v>906</v>
      </c>
      <c r="EA27">
        <v>-1.0057705229030058</v>
      </c>
      <c r="EB27">
        <v>1</v>
      </c>
      <c r="EC27">
        <v>1.6976625000000002E-2</v>
      </c>
      <c r="ED27">
        <v>8.4954249999999995E-2</v>
      </c>
      <c r="EE27" s="13">
        <v>5.0762099999999997</v>
      </c>
      <c r="EF27">
        <v>5.0744100000000003</v>
      </c>
      <c r="EG27">
        <v>15.199832556935057</v>
      </c>
      <c r="EH27" t="s">
        <v>1953</v>
      </c>
      <c r="EI27">
        <v>0</v>
      </c>
      <c r="EJ27">
        <v>1</v>
      </c>
      <c r="EK27" s="15">
        <v>45470</v>
      </c>
      <c r="EL27" s="16">
        <v>0.8</v>
      </c>
      <c r="EM27" s="16">
        <v>-0.28999999999999998</v>
      </c>
      <c r="EN27" s="16">
        <v>0.84</v>
      </c>
      <c r="EO27" s="16">
        <v>-0.81</v>
      </c>
      <c r="EP27" s="16">
        <v>0.18</v>
      </c>
    </row>
    <row r="28" spans="1:146" ht="108" x14ac:dyDescent="0.25">
      <c r="A28" s="8"/>
      <c r="B28" s="8"/>
      <c r="C28" s="8" t="str">
        <f>""&amp;CHAR(10)&amp;Basic_Fundamental_Information_Constructure(F28)&amp;CHAR(10)&amp;Basic_Fundamental_Information_Concatenate("")</f>
        <v xml:space="preserve">
市值62.780887亿, 利润4.33亿; PE15.98; 平均PE-124.73; 平均PEG-18.83, PB1.39; ROIC8.8533%; ROE9.9833%; 股利率0%; 毛利27.98%; 净利12.1033%; 上一年度营收增21.91%, 利润增-3.13%; 当季营收增3.09%, 利润增-47.46%; 过往5年营收增6.62%, 利润增16.24%
Income profile:
</v>
      </c>
      <c r="D28" t="s">
        <v>452</v>
      </c>
      <c r="E28" t="s">
        <v>453</v>
      </c>
      <c r="F28">
        <v>5.15</v>
      </c>
      <c r="G28">
        <v>0.98</v>
      </c>
      <c r="H28" t="s">
        <v>2783</v>
      </c>
      <c r="I28">
        <v>6278088700</v>
      </c>
      <c r="J28">
        <v>15.98</v>
      </c>
      <c r="K28">
        <v>1.39</v>
      </c>
      <c r="L28" t="s">
        <v>101</v>
      </c>
      <c r="M28" t="s">
        <v>2784</v>
      </c>
      <c r="N28" t="s">
        <v>2785</v>
      </c>
      <c r="O28" t="s">
        <v>2227</v>
      </c>
      <c r="P28">
        <v>3.09</v>
      </c>
      <c r="Q28" t="s">
        <v>2786</v>
      </c>
      <c r="R28">
        <v>44642460</v>
      </c>
      <c r="S28" s="6">
        <v>-0.47460000000000002</v>
      </c>
      <c r="T28" t="s">
        <v>625</v>
      </c>
      <c r="U28">
        <v>994171810</v>
      </c>
      <c r="V28">
        <v>1219046340</v>
      </c>
      <c r="W28">
        <v>1.54</v>
      </c>
      <c r="X28">
        <v>0.13</v>
      </c>
      <c r="Y28">
        <v>5.73</v>
      </c>
      <c r="Z28" t="s">
        <v>2787</v>
      </c>
      <c r="AA28" t="s">
        <v>401</v>
      </c>
      <c r="AB28" t="s">
        <v>2788</v>
      </c>
      <c r="AC28" t="s">
        <v>2789</v>
      </c>
      <c r="AD28" t="s">
        <v>5</v>
      </c>
      <c r="AE28">
        <v>2582632</v>
      </c>
      <c r="AF28" t="s">
        <v>2790</v>
      </c>
      <c r="AG28" t="s">
        <v>2791</v>
      </c>
      <c r="AH28" t="s">
        <v>2792</v>
      </c>
      <c r="AI28" t="s">
        <v>1835</v>
      </c>
      <c r="AJ28" t="s">
        <v>2793</v>
      </c>
      <c r="AK28" t="s">
        <v>2794</v>
      </c>
      <c r="AL28" t="s">
        <v>2795</v>
      </c>
      <c r="AM28" t="s">
        <v>5</v>
      </c>
      <c r="AN28" t="s">
        <v>106</v>
      </c>
      <c r="AO28" t="s">
        <v>1638</v>
      </c>
      <c r="AP28" t="s">
        <v>324</v>
      </c>
      <c r="AQ28" t="s">
        <v>1662</v>
      </c>
      <c r="AR28" t="s">
        <v>5</v>
      </c>
      <c r="AS28" t="s">
        <v>1594</v>
      </c>
      <c r="AT28" t="s">
        <v>2796</v>
      </c>
      <c r="AU28" t="s">
        <v>2797</v>
      </c>
      <c r="AV28" t="s">
        <v>2798</v>
      </c>
      <c r="AW28" t="s">
        <v>2799</v>
      </c>
      <c r="AX28" t="s">
        <v>1898</v>
      </c>
      <c r="AY28" t="s">
        <v>1381</v>
      </c>
      <c r="AZ28" t="s">
        <v>907</v>
      </c>
      <c r="BA28" t="s">
        <v>454</v>
      </c>
      <c r="BB28" t="s">
        <v>909</v>
      </c>
      <c r="BC28" t="s">
        <v>1651</v>
      </c>
      <c r="BD28" t="s">
        <v>1044</v>
      </c>
      <c r="BE28" t="s">
        <v>312</v>
      </c>
      <c r="BF28" t="s">
        <v>455</v>
      </c>
      <c r="BG28" t="s">
        <v>910</v>
      </c>
      <c r="BH28" t="s">
        <v>2786</v>
      </c>
      <c r="BI28" t="s">
        <v>1478</v>
      </c>
      <c r="BJ28" t="s">
        <v>1898</v>
      </c>
      <c r="BK28" t="s">
        <v>625</v>
      </c>
      <c r="BL28" t="s">
        <v>2800</v>
      </c>
      <c r="BM28" t="s">
        <v>1651</v>
      </c>
      <c r="BN28">
        <v>6.09</v>
      </c>
      <c r="BO28">
        <v>10.3</v>
      </c>
      <c r="BP28">
        <v>10.17</v>
      </c>
      <c r="BQ28">
        <v>6.51</v>
      </c>
      <c r="BR28">
        <v>11.72</v>
      </c>
      <c r="BS28">
        <v>11.72</v>
      </c>
      <c r="BT28" t="s">
        <v>1720</v>
      </c>
      <c r="BU28" t="s">
        <v>1590</v>
      </c>
      <c r="BV28">
        <v>29.21</v>
      </c>
      <c r="BW28">
        <v>27.22</v>
      </c>
      <c r="BX28">
        <v>27.51</v>
      </c>
      <c r="BY28">
        <v>9.91</v>
      </c>
      <c r="BZ28">
        <v>12.43</v>
      </c>
      <c r="CA28">
        <v>13.97</v>
      </c>
      <c r="CB28">
        <v>-1.9</v>
      </c>
      <c r="CC28">
        <v>-15.02</v>
      </c>
      <c r="CD28" t="s">
        <v>2801</v>
      </c>
      <c r="CE28" t="s">
        <v>2047</v>
      </c>
      <c r="CF28" s="10">
        <v>3.0871003307607496E-2</v>
      </c>
      <c r="CG28" s="11">
        <v>-0.47462956010888124</v>
      </c>
      <c r="CH28" s="10">
        <v>0.21911121904850006</v>
      </c>
      <c r="CI28" s="10">
        <v>0.10439716279506683</v>
      </c>
      <c r="CJ28" s="10">
        <v>0.20884771645069122</v>
      </c>
      <c r="CK28" s="10">
        <v>-0.70763987302780151</v>
      </c>
      <c r="CL28" s="10">
        <v>0.50641888380050659</v>
      </c>
      <c r="CM28" s="11">
        <v>-3.1319908797740936E-2</v>
      </c>
      <c r="CN28" s="11">
        <v>-4.282655194401741E-2</v>
      </c>
      <c r="CO28" s="11">
        <v>0.20051413774490356</v>
      </c>
      <c r="CP28" s="11">
        <v>-0.78835690021514893</v>
      </c>
      <c r="CQ28" s="11">
        <v>1.4742001295089722</v>
      </c>
      <c r="CR28">
        <v>-124.73023907284768</v>
      </c>
      <c r="CS28">
        <v>-18.833738201953139</v>
      </c>
      <c r="CT28">
        <v>0</v>
      </c>
      <c r="CU28" s="10">
        <v>6.6227021813392642E-2</v>
      </c>
      <c r="CV28" s="11">
        <v>0.16244218125939369</v>
      </c>
      <c r="CW28">
        <v>0.06</v>
      </c>
      <c r="CX28">
        <v>9.9165454617990214</v>
      </c>
      <c r="CY28">
        <v>435543679.66528213</v>
      </c>
      <c r="CZ28">
        <v>6.6227021813392642E-2</v>
      </c>
      <c r="DA28">
        <v>3.3067090986146868</v>
      </c>
      <c r="DB28">
        <v>1306159257.193032</v>
      </c>
      <c r="DC28">
        <v>6.2915670722723013E-2</v>
      </c>
      <c r="DD28">
        <v>1.6719377012208656</v>
      </c>
      <c r="DE28">
        <v>2583283274.7572823</v>
      </c>
      <c r="DF28">
        <v>5.8279779195785524E-2</v>
      </c>
      <c r="DG28">
        <v>1.0344108968041192</v>
      </c>
      <c r="DH28">
        <v>4175409127.4019923</v>
      </c>
      <c r="DI28">
        <v>5.2981617450714114E-2</v>
      </c>
      <c r="DJ28">
        <v>0.56980737644055823</v>
      </c>
      <c r="DK28">
        <v>7579910121.5225554</v>
      </c>
      <c r="DL28">
        <v>4.6358915269374849E-2</v>
      </c>
      <c r="DM28">
        <v>433000000</v>
      </c>
      <c r="DN28">
        <v>6.6227021813392642E-2</v>
      </c>
      <c r="DO28">
        <v>4319088700</v>
      </c>
      <c r="DP28">
        <v>2354959200</v>
      </c>
      <c r="DQ28">
        <v>1103</v>
      </c>
      <c r="DR28">
        <v>-3.5356018505785146E-2</v>
      </c>
      <c r="DS28">
        <v>-0.63707174136827494</v>
      </c>
      <c r="DT28" s="12">
        <v>-0.27333333333333337</v>
      </c>
      <c r="DU28">
        <v>-0.12</v>
      </c>
      <c r="DV28">
        <v>-0.39333333333333337</v>
      </c>
      <c r="DW28">
        <v>-2.1501999999999999</v>
      </c>
      <c r="DX28">
        <v>0.32330384615384444</v>
      </c>
      <c r="DY28">
        <v>-2.0140142376923076</v>
      </c>
      <c r="DZ28">
        <v>2667</v>
      </c>
      <c r="EA28">
        <v>-2.0066999574720756</v>
      </c>
      <c r="EB28">
        <v>2</v>
      </c>
      <c r="EC28">
        <v>7.1639934540962569E-2</v>
      </c>
      <c r="ED28">
        <v>0.76781330560411676</v>
      </c>
      <c r="EE28" s="13">
        <v>2.6210000000000001E-2</v>
      </c>
      <c r="EF28">
        <v>4.3210000000000005E-2</v>
      </c>
      <c r="EG28">
        <v>23.093303846153844</v>
      </c>
      <c r="EH28">
        <v>-1</v>
      </c>
      <c r="EI28">
        <v>0</v>
      </c>
      <c r="EJ28">
        <v>0</v>
      </c>
      <c r="EK28" s="15">
        <v>45470</v>
      </c>
      <c r="EL28" s="16">
        <v>-1.1299999999999999</v>
      </c>
      <c r="EM28" s="16">
        <v>-3.42</v>
      </c>
      <c r="EN28" s="16">
        <v>1.38</v>
      </c>
      <c r="EO28" s="16">
        <v>2.52</v>
      </c>
      <c r="EP28" s="16">
        <v>-1.7</v>
      </c>
    </row>
    <row r="29" spans="1:146" ht="96" x14ac:dyDescent="0.25">
      <c r="C29" s="8" t="str">
        <f>""&amp;CHAR(10)&amp;Basic_Fundamental_Information_Constructure(F29)&amp;CHAR(10)&amp;Basic_Fundamental_Information_Concatenate("")</f>
        <v xml:space="preserve">
市值27.647734亿, 利润3101.31万; PE240.1; 平均PE-65.56; 平均PEG-10.42, PB2.46; ROIC1.91%; ROE-2.0267%; 股利率0%; 毛利22.7867%; 净利-4.1633%; 上一年度营收增35.22%, 利润增127.94%; 当季营收增5.43%, 利润增-86.6%; 过往5年营收增6.29%, 利润增-354.13%
Income profile:
</v>
      </c>
      <c r="D29" t="s">
        <v>766</v>
      </c>
      <c r="E29" t="s">
        <v>8</v>
      </c>
      <c r="F29">
        <v>2.65</v>
      </c>
      <c r="G29">
        <v>9.9600000000000009</v>
      </c>
      <c r="H29" t="s">
        <v>2802</v>
      </c>
      <c r="I29">
        <v>2764773400</v>
      </c>
      <c r="J29">
        <v>240.1</v>
      </c>
      <c r="K29">
        <v>2.46</v>
      </c>
      <c r="L29" t="s">
        <v>101</v>
      </c>
      <c r="M29" t="s">
        <v>624</v>
      </c>
      <c r="N29" t="s">
        <v>2803</v>
      </c>
      <c r="O29" t="s">
        <v>450</v>
      </c>
      <c r="P29">
        <v>5.39</v>
      </c>
      <c r="Q29" t="s">
        <v>2804</v>
      </c>
      <c r="R29">
        <v>-42011572</v>
      </c>
      <c r="S29" s="6">
        <v>-0.86599999999999999</v>
      </c>
      <c r="T29" t="s">
        <v>2805</v>
      </c>
      <c r="U29">
        <v>1041324210</v>
      </c>
      <c r="V29">
        <v>1043310730</v>
      </c>
      <c r="W29">
        <v>1.65</v>
      </c>
      <c r="X29">
        <v>0.1</v>
      </c>
      <c r="Y29">
        <v>-21.67</v>
      </c>
      <c r="Z29" t="s">
        <v>451</v>
      </c>
      <c r="AA29" t="s">
        <v>305</v>
      </c>
      <c r="AB29" t="s">
        <v>2806</v>
      </c>
      <c r="AC29" t="s">
        <v>2807</v>
      </c>
      <c r="AD29" t="s">
        <v>5</v>
      </c>
      <c r="AE29">
        <v>-1176103</v>
      </c>
      <c r="AF29" t="s">
        <v>2808</v>
      </c>
      <c r="AG29" t="s">
        <v>2809</v>
      </c>
      <c r="AH29" t="s">
        <v>2810</v>
      </c>
      <c r="AI29" t="s">
        <v>289</v>
      </c>
      <c r="AJ29" t="s">
        <v>2811</v>
      </c>
      <c r="AK29" t="s">
        <v>2812</v>
      </c>
      <c r="AL29" t="s">
        <v>2813</v>
      </c>
      <c r="AM29" t="s">
        <v>5</v>
      </c>
      <c r="AN29" t="s">
        <v>2814</v>
      </c>
      <c r="AO29" t="s">
        <v>5</v>
      </c>
      <c r="AP29" t="s">
        <v>2815</v>
      </c>
      <c r="AQ29" t="s">
        <v>1018</v>
      </c>
      <c r="AR29" t="s">
        <v>5</v>
      </c>
      <c r="AS29" t="s">
        <v>793</v>
      </c>
      <c r="AT29" t="s">
        <v>5</v>
      </c>
      <c r="AU29" t="s">
        <v>2816</v>
      </c>
      <c r="AV29" t="s">
        <v>2817</v>
      </c>
      <c r="AW29" t="s">
        <v>2818</v>
      </c>
      <c r="AX29" t="s">
        <v>672</v>
      </c>
      <c r="AY29" t="s">
        <v>770</v>
      </c>
      <c r="AZ29" t="s">
        <v>578</v>
      </c>
      <c r="BA29" t="s">
        <v>1980</v>
      </c>
      <c r="BB29" t="s">
        <v>720</v>
      </c>
      <c r="BC29" t="s">
        <v>1687</v>
      </c>
      <c r="BD29" t="s">
        <v>2101</v>
      </c>
      <c r="BE29" t="s">
        <v>2102</v>
      </c>
      <c r="BF29" t="s">
        <v>1632</v>
      </c>
      <c r="BG29" t="s">
        <v>917</v>
      </c>
      <c r="BH29" t="s">
        <v>2804</v>
      </c>
      <c r="BI29" t="s">
        <v>367</v>
      </c>
      <c r="BJ29" t="s">
        <v>672</v>
      </c>
      <c r="BK29" t="s">
        <v>2805</v>
      </c>
      <c r="BL29" t="s">
        <v>2819</v>
      </c>
      <c r="BM29" t="s">
        <v>1687</v>
      </c>
      <c r="BN29">
        <v>1.91</v>
      </c>
      <c r="BO29" t="s">
        <v>5</v>
      </c>
      <c r="BP29" t="s">
        <v>5</v>
      </c>
      <c r="BQ29">
        <v>2.38</v>
      </c>
      <c r="BR29">
        <v>-9.43</v>
      </c>
      <c r="BS29">
        <v>0.97</v>
      </c>
      <c r="BT29" t="s">
        <v>1720</v>
      </c>
      <c r="BU29" t="s">
        <v>1595</v>
      </c>
      <c r="BV29">
        <v>22.88</v>
      </c>
      <c r="BW29">
        <v>20.059999999999999</v>
      </c>
      <c r="BX29">
        <v>25.42</v>
      </c>
      <c r="BY29">
        <v>2.3199999999999998</v>
      </c>
      <c r="BZ29">
        <v>-11.27</v>
      </c>
      <c r="CA29">
        <v>-3.54</v>
      </c>
      <c r="CB29">
        <v>23.83</v>
      </c>
      <c r="CC29">
        <v>-1.85</v>
      </c>
      <c r="CD29" t="s">
        <v>692</v>
      </c>
      <c r="CE29" t="s">
        <v>2194</v>
      </c>
      <c r="CF29" s="10">
        <v>5.434782608695652E-2</v>
      </c>
      <c r="CG29" s="11">
        <v>-0.86602818703112294</v>
      </c>
      <c r="CH29" s="10">
        <v>0.35222673416137695</v>
      </c>
      <c r="CI29" s="10">
        <v>0.20194646716117859</v>
      </c>
      <c r="CJ29" s="10">
        <v>-3.1802121549844742E-2</v>
      </c>
      <c r="CK29" s="10">
        <v>0.235807865858078</v>
      </c>
      <c r="CL29" s="10">
        <v>-0.44372472167015076</v>
      </c>
      <c r="CM29" s="11">
        <v>1.2793973684310913</v>
      </c>
      <c r="CN29" s="11">
        <v>-2.9493627548217773</v>
      </c>
      <c r="CO29" s="11">
        <v>-0.96760076284408569</v>
      </c>
      <c r="CP29" s="11">
        <v>0.89796924591064453</v>
      </c>
      <c r="CQ29" s="11">
        <v>-15.966858863830566</v>
      </c>
      <c r="CR29">
        <v>-65.561788454014064</v>
      </c>
      <c r="CS29">
        <v>-10.424695147714216</v>
      </c>
      <c r="CT29">
        <v>0</v>
      </c>
      <c r="CU29" s="10">
        <v>6.2890844792127615E-2</v>
      </c>
      <c r="CV29" s="11">
        <v>-3.5412911534309388</v>
      </c>
      <c r="CW29">
        <v>0.06</v>
      </c>
      <c r="CX29">
        <v>76.525755410791774</v>
      </c>
      <c r="CY29">
        <v>31097679.300587486</v>
      </c>
      <c r="CZ29">
        <v>6.2890844792127615E-2</v>
      </c>
      <c r="DA29">
        <v>25.590399973869644</v>
      </c>
      <c r="DB29">
        <v>92994771.571760759</v>
      </c>
      <c r="DC29">
        <v>5.9746302552521231E-2</v>
      </c>
      <c r="DD29">
        <v>12.987284474091227</v>
      </c>
      <c r="DE29">
        <v>183238721.28523022</v>
      </c>
      <c r="DF29">
        <v>5.53439434170723E-2</v>
      </c>
      <c r="DG29">
        <v>8.0680643667784828</v>
      </c>
      <c r="DH29">
        <v>294962123.72810125</v>
      </c>
      <c r="DI29">
        <v>5.0312675833702095E-2</v>
      </c>
      <c r="DJ29">
        <v>4.4828041644462955</v>
      </c>
      <c r="DK29">
        <v>530867134.20905</v>
      </c>
      <c r="DL29">
        <v>4.4023591354489328E-2</v>
      </c>
      <c r="DM29">
        <v>31013100</v>
      </c>
      <c r="DN29">
        <v>6.2890844792127615E-2</v>
      </c>
      <c r="DO29">
        <v>2379773400</v>
      </c>
      <c r="DP29">
        <v>635656990</v>
      </c>
      <c r="DQ29">
        <v>1177</v>
      </c>
      <c r="DR29">
        <v>-8.5430187051710946E-3</v>
      </c>
      <c r="DS29">
        <v>2.6752629663998158</v>
      </c>
      <c r="DT29" s="12">
        <v>-0.10666666666666669</v>
      </c>
      <c r="DU29">
        <v>-2.7650000000000001</v>
      </c>
      <c r="DV29">
        <v>-2.871666666666667</v>
      </c>
      <c r="DW29">
        <v>5.0776332354175411</v>
      </c>
      <c r="DX29">
        <v>1.2238492871690403</v>
      </c>
      <c r="DY29">
        <v>5.0166018120546676</v>
      </c>
      <c r="DZ29">
        <v>4864</v>
      </c>
      <c r="EA29">
        <v>5.0007992261771914</v>
      </c>
      <c r="EB29">
        <v>5</v>
      </c>
      <c r="EC29">
        <v>0.10064115797984748</v>
      </c>
      <c r="ED29">
        <v>0.47061722445814391</v>
      </c>
      <c r="EE29" s="13">
        <v>-1.0140100000000001</v>
      </c>
      <c r="EF29">
        <v>-1.03661</v>
      </c>
      <c r="EG29">
        <v>101.21384928716904</v>
      </c>
      <c r="EH29" t="s">
        <v>1563</v>
      </c>
      <c r="EI29">
        <v>1</v>
      </c>
      <c r="EJ29">
        <v>0</v>
      </c>
      <c r="EK29" s="15">
        <v>45470</v>
      </c>
      <c r="EL29" s="16">
        <v>-1.35</v>
      </c>
      <c r="EM29" s="16">
        <v>-5</v>
      </c>
      <c r="EN29" s="16">
        <v>2.39</v>
      </c>
      <c r="EO29" s="16">
        <v>3.27</v>
      </c>
      <c r="EP29" s="16">
        <v>-2.2599999999999998</v>
      </c>
    </row>
    <row r="30" spans="1:146" ht="96" x14ac:dyDescent="0.25">
      <c r="C30" s="8" t="str">
        <f>""&amp;CHAR(10)&amp;Basic_Fundamental_Information_Constructure(F30)&amp;CHAR(10)&amp;Basic_Fundamental_Information_Concatenate("")</f>
        <v xml:space="preserve">
市值136.84093亿, 利润7.45亿; PE18.99; 平均PE24.03; 平均PEG1.64, PB4.88; ROIC22.17%; ROE24.8233%; 股利率4.5132%; 毛利51.87%; 净利31.1267%; 上一年度营收增14.55%, 利润增2.05%; 当季营收增-18.67%, 利润增-19.28%; 过往5年营收增14.64%, 利润增12.72%
Income profile:
</v>
      </c>
      <c r="D30" t="s">
        <v>525</v>
      </c>
      <c r="E30" t="s">
        <v>44</v>
      </c>
      <c r="F30">
        <v>15.51</v>
      </c>
      <c r="G30">
        <v>-0.19</v>
      </c>
      <c r="H30" t="s">
        <v>2820</v>
      </c>
      <c r="I30">
        <v>13684093000</v>
      </c>
      <c r="J30">
        <v>18.989999999999998</v>
      </c>
      <c r="K30">
        <v>4.88</v>
      </c>
      <c r="L30" t="s">
        <v>101</v>
      </c>
      <c r="M30" t="s">
        <v>2188</v>
      </c>
      <c r="N30" t="s">
        <v>2249</v>
      </c>
      <c r="O30" t="s">
        <v>1618</v>
      </c>
      <c r="P30">
        <v>-18.57</v>
      </c>
      <c r="Q30" t="s">
        <v>2821</v>
      </c>
      <c r="R30">
        <v>100900473</v>
      </c>
      <c r="S30" s="6">
        <v>-0.193</v>
      </c>
      <c r="T30" t="s">
        <v>2822</v>
      </c>
      <c r="U30">
        <v>432425620</v>
      </c>
      <c r="V30">
        <v>882275500</v>
      </c>
      <c r="W30">
        <v>1.2</v>
      </c>
      <c r="X30">
        <v>0.1</v>
      </c>
      <c r="Y30">
        <v>30.45</v>
      </c>
      <c r="Z30" t="s">
        <v>337</v>
      </c>
      <c r="AA30" t="s">
        <v>558</v>
      </c>
      <c r="AB30" t="s">
        <v>2823</v>
      </c>
      <c r="AC30" t="s">
        <v>2824</v>
      </c>
      <c r="AD30" t="s">
        <v>5</v>
      </c>
      <c r="AE30">
        <v>-23047211</v>
      </c>
      <c r="AF30" t="s">
        <v>2825</v>
      </c>
      <c r="AG30" t="s">
        <v>5</v>
      </c>
      <c r="AH30" t="s">
        <v>2826</v>
      </c>
      <c r="AI30" t="s">
        <v>1667</v>
      </c>
      <c r="AJ30" t="s">
        <v>2827</v>
      </c>
      <c r="AK30" t="s">
        <v>5</v>
      </c>
      <c r="AL30" t="s">
        <v>2828</v>
      </c>
      <c r="AM30" t="s">
        <v>5</v>
      </c>
      <c r="AN30">
        <v>0</v>
      </c>
      <c r="AO30" t="s">
        <v>5</v>
      </c>
      <c r="AP30" t="s">
        <v>441</v>
      </c>
      <c r="AQ30" t="s">
        <v>239</v>
      </c>
      <c r="AR30" t="s">
        <v>5</v>
      </c>
      <c r="AS30" t="s">
        <v>1068</v>
      </c>
      <c r="AT30" t="s">
        <v>5</v>
      </c>
      <c r="AU30" t="s">
        <v>2829</v>
      </c>
      <c r="AV30" t="s">
        <v>308</v>
      </c>
      <c r="AW30" t="s">
        <v>5</v>
      </c>
      <c r="AX30" t="s">
        <v>1900</v>
      </c>
      <c r="AY30" t="s">
        <v>1024</v>
      </c>
      <c r="AZ30" t="s">
        <v>238</v>
      </c>
      <c r="BA30" t="s">
        <v>526</v>
      </c>
      <c r="BB30" t="s">
        <v>124</v>
      </c>
      <c r="BC30" t="s">
        <v>1701</v>
      </c>
      <c r="BD30" t="s">
        <v>1068</v>
      </c>
      <c r="BE30" t="s">
        <v>561</v>
      </c>
      <c r="BF30" t="s">
        <v>527</v>
      </c>
      <c r="BG30" t="s">
        <v>489</v>
      </c>
      <c r="BH30" t="s">
        <v>2821</v>
      </c>
      <c r="BI30" t="s">
        <v>750</v>
      </c>
      <c r="BJ30" t="s">
        <v>1900</v>
      </c>
      <c r="BK30" t="s">
        <v>2822</v>
      </c>
      <c r="BL30" t="s">
        <v>347</v>
      </c>
      <c r="BM30" t="s">
        <v>1701</v>
      </c>
      <c r="BN30">
        <v>19.78</v>
      </c>
      <c r="BO30">
        <v>25.05</v>
      </c>
      <c r="BP30">
        <v>21.68</v>
      </c>
      <c r="BQ30">
        <v>23.4</v>
      </c>
      <c r="BR30">
        <v>29.37</v>
      </c>
      <c r="BS30">
        <v>21.7</v>
      </c>
      <c r="BT30" t="s">
        <v>1729</v>
      </c>
      <c r="BU30" t="s">
        <v>1537</v>
      </c>
      <c r="BV30">
        <v>51.49</v>
      </c>
      <c r="BW30">
        <v>52.97</v>
      </c>
      <c r="BX30">
        <v>51.15</v>
      </c>
      <c r="BY30">
        <v>30.71</v>
      </c>
      <c r="BZ30">
        <v>34.479999999999997</v>
      </c>
      <c r="CA30">
        <v>28.19</v>
      </c>
      <c r="CB30">
        <v>-6</v>
      </c>
      <c r="CC30">
        <v>-9.51</v>
      </c>
      <c r="CD30" t="s">
        <v>2830</v>
      </c>
      <c r="CE30" t="s">
        <v>2831</v>
      </c>
      <c r="CF30" s="10">
        <v>-0.18673218673218672</v>
      </c>
      <c r="CG30" s="11">
        <v>-0.19279621599999999</v>
      </c>
      <c r="CH30" s="10">
        <v>0.14548882842063904</v>
      </c>
      <c r="CI30" s="10">
        <v>0.16767795383930206</v>
      </c>
      <c r="CJ30" s="10">
        <v>0.21189835667610168</v>
      </c>
      <c r="CK30" s="10">
        <v>-3.3310700673609972E-3</v>
      </c>
      <c r="CL30" s="10">
        <v>0.21048381924629211</v>
      </c>
      <c r="CM30" s="11">
        <v>2.054794505238533E-2</v>
      </c>
      <c r="CN30" s="11">
        <v>0.4285714328289032</v>
      </c>
      <c r="CO30" s="11">
        <v>0.1666666716337204</v>
      </c>
      <c r="CP30" s="11">
        <v>-0.19633027911186218</v>
      </c>
      <c r="CQ30" s="11">
        <v>0.2165178507566452</v>
      </c>
      <c r="CR30">
        <v>24.02825812115891</v>
      </c>
      <c r="CS30">
        <v>1.640786063217972</v>
      </c>
      <c r="CT30">
        <v>4.513217279174726</v>
      </c>
      <c r="CU30" s="10">
        <v>0.14644357762299479</v>
      </c>
      <c r="CV30" s="11">
        <v>0.12719472423195838</v>
      </c>
      <c r="CW30">
        <v>0.06</v>
      </c>
      <c r="CX30">
        <v>14.32580718157662</v>
      </c>
      <c r="CY30">
        <v>805755155.97087848</v>
      </c>
      <c r="CZ30">
        <v>0.14644357762299479</v>
      </c>
      <c r="DA30">
        <v>4.4644347796434403</v>
      </c>
      <c r="DB30">
        <v>2585566498.2795219</v>
      </c>
      <c r="DC30">
        <v>0.13912139874184504</v>
      </c>
      <c r="DD30">
        <v>2.0597968233243584</v>
      </c>
      <c r="DE30">
        <v>5603995922.9426851</v>
      </c>
      <c r="DF30">
        <v>0.12887034830823541</v>
      </c>
      <c r="DG30">
        <v>1.1476123922664976</v>
      </c>
      <c r="DH30">
        <v>10058355136.095003</v>
      </c>
      <c r="DI30">
        <v>0.11715486209839583</v>
      </c>
      <c r="DJ30">
        <v>0.49971520882078185</v>
      </c>
      <c r="DK30">
        <v>23099342978.251881</v>
      </c>
      <c r="DL30">
        <v>0.10251050433609635</v>
      </c>
      <c r="DM30">
        <v>745000000</v>
      </c>
      <c r="DN30">
        <v>0.14644357762299479</v>
      </c>
      <c r="DO30">
        <v>11543093000</v>
      </c>
      <c r="DP30">
        <v>2139933400</v>
      </c>
      <c r="DQ30">
        <v>1178</v>
      </c>
      <c r="DR30">
        <v>-0.33317576435518148</v>
      </c>
      <c r="DS30">
        <v>-0.3199909402319584</v>
      </c>
      <c r="DT30" s="12">
        <v>-5.6666666666666719E-2</v>
      </c>
      <c r="DU30">
        <v>4.6666666666666669E-2</v>
      </c>
      <c r="DV30">
        <v>-1.0000000000000051E-2</v>
      </c>
      <c r="DW30">
        <v>-9.6309148264984223</v>
      </c>
      <c r="DX30">
        <v>0.51864623029598589</v>
      </c>
      <c r="DY30">
        <v>-9.1000922588618209</v>
      </c>
      <c r="DZ30">
        <v>1736</v>
      </c>
      <c r="EA30">
        <v>-9.0660883133854764</v>
      </c>
      <c r="EB30">
        <v>9</v>
      </c>
      <c r="EC30">
        <v>1.7571722211486094E-2</v>
      </c>
      <c r="ED30">
        <v>0.11076041440570436</v>
      </c>
      <c r="EE30" s="13">
        <v>-1.0099100000000001</v>
      </c>
      <c r="EF30">
        <v>-1.0313099999999999</v>
      </c>
      <c r="EG30">
        <v>36.158646230295986</v>
      </c>
      <c r="EH30" t="s">
        <v>1563</v>
      </c>
      <c r="EI30">
        <v>0</v>
      </c>
      <c r="EJ30">
        <v>0</v>
      </c>
      <c r="EK30" s="15">
        <v>45470</v>
      </c>
      <c r="EL30" s="16">
        <v>2.17</v>
      </c>
      <c r="EM30" s="16">
        <v>-0.49</v>
      </c>
      <c r="EN30" s="16">
        <v>-0.3</v>
      </c>
      <c r="EO30" s="16">
        <v>3.12</v>
      </c>
      <c r="EP30" s="16">
        <v>-2.14</v>
      </c>
    </row>
    <row r="31" spans="1:146" ht="96" x14ac:dyDescent="0.25">
      <c r="C31" s="8" t="str">
        <f>""&amp;CHAR(10)&amp;Basic_Fundamental_Information_Constructure(F31)&amp;CHAR(10)&amp;Basic_Fundamental_Information_Concatenate("")</f>
        <v xml:space="preserve">
市值14.552亿, 利润-182.48万; PE457.9; 平均PE205.5; 平均PEG505.41, PB1.62; ROIC1.92%; ROE.2467%; 股利率0%; 毛利30.99%; 净利2.8533%; 上一年度营收增2.43%, 利润增-113.5%; 当季营收增-54.2%, 利润增224.33%; 过往5年营收增-.41%, 利润增-26.77%
Income profile:
</v>
      </c>
      <c r="D31" t="s">
        <v>328</v>
      </c>
      <c r="E31" t="s">
        <v>14</v>
      </c>
      <c r="F31">
        <v>4.28</v>
      </c>
      <c r="G31">
        <v>1.66</v>
      </c>
      <c r="H31" t="s">
        <v>2832</v>
      </c>
      <c r="I31">
        <v>1455200000</v>
      </c>
      <c r="J31">
        <v>457.9</v>
      </c>
      <c r="K31">
        <v>1.62</v>
      </c>
      <c r="L31" t="s">
        <v>101</v>
      </c>
      <c r="M31" t="s">
        <v>516</v>
      </c>
      <c r="N31" t="s">
        <v>1700</v>
      </c>
      <c r="O31" t="s">
        <v>2833</v>
      </c>
      <c r="P31">
        <v>-54.2</v>
      </c>
      <c r="Q31" t="s">
        <v>212</v>
      </c>
      <c r="R31">
        <v>2772813</v>
      </c>
      <c r="S31" s="6">
        <v>2.2429999999999999</v>
      </c>
      <c r="T31" t="s">
        <v>2834</v>
      </c>
      <c r="U31">
        <v>335640260</v>
      </c>
      <c r="V31">
        <v>340000000</v>
      </c>
      <c r="W31">
        <v>1.26</v>
      </c>
      <c r="X31">
        <v>0.03</v>
      </c>
      <c r="Y31">
        <v>7.64</v>
      </c>
      <c r="Z31" t="s">
        <v>2835</v>
      </c>
      <c r="AA31" t="s">
        <v>2836</v>
      </c>
      <c r="AB31" t="s">
        <v>2837</v>
      </c>
      <c r="AC31" t="s">
        <v>2838</v>
      </c>
      <c r="AD31" t="s">
        <v>5</v>
      </c>
      <c r="AE31">
        <v>557560</v>
      </c>
      <c r="AF31" t="s">
        <v>2839</v>
      </c>
      <c r="AG31" t="s">
        <v>2840</v>
      </c>
      <c r="AH31" t="s">
        <v>2841</v>
      </c>
      <c r="AI31" t="s">
        <v>2842</v>
      </c>
      <c r="AJ31" t="s">
        <v>2843</v>
      </c>
      <c r="AK31" t="s">
        <v>2844</v>
      </c>
      <c r="AL31" t="s">
        <v>2845</v>
      </c>
      <c r="AM31" t="s">
        <v>5</v>
      </c>
      <c r="AN31" t="s">
        <v>2846</v>
      </c>
      <c r="AO31" t="s">
        <v>2847</v>
      </c>
      <c r="AP31" t="s">
        <v>2848</v>
      </c>
      <c r="AQ31" t="s">
        <v>2849</v>
      </c>
      <c r="AR31" t="s">
        <v>2850</v>
      </c>
      <c r="AS31" t="s">
        <v>345</v>
      </c>
      <c r="AT31" t="s">
        <v>5</v>
      </c>
      <c r="AU31" t="s">
        <v>2851</v>
      </c>
      <c r="AV31" t="s">
        <v>2852</v>
      </c>
      <c r="AW31" t="s">
        <v>2853</v>
      </c>
      <c r="AX31" t="s">
        <v>1902</v>
      </c>
      <c r="AY31" t="s">
        <v>210</v>
      </c>
      <c r="AZ31" t="s">
        <v>472</v>
      </c>
      <c r="BA31" t="s">
        <v>330</v>
      </c>
      <c r="BB31" t="s">
        <v>920</v>
      </c>
      <c r="BC31" t="s">
        <v>2854</v>
      </c>
      <c r="BD31" t="s">
        <v>1672</v>
      </c>
      <c r="BE31" t="s">
        <v>1673</v>
      </c>
      <c r="BF31" t="s">
        <v>331</v>
      </c>
      <c r="BG31" t="s">
        <v>921</v>
      </c>
      <c r="BH31" t="s">
        <v>212</v>
      </c>
      <c r="BI31" t="s">
        <v>2855</v>
      </c>
      <c r="BJ31" t="s">
        <v>1902</v>
      </c>
      <c r="BK31" t="s">
        <v>2834</v>
      </c>
      <c r="BL31" t="s">
        <v>2856</v>
      </c>
      <c r="BM31" t="s">
        <v>2854</v>
      </c>
      <c r="BN31" t="s">
        <v>5</v>
      </c>
      <c r="BO31">
        <v>1.73</v>
      </c>
      <c r="BP31">
        <v>2.11</v>
      </c>
      <c r="BQ31">
        <v>-2.66</v>
      </c>
      <c r="BR31">
        <v>1.51</v>
      </c>
      <c r="BS31">
        <v>1.89</v>
      </c>
      <c r="BT31" t="s">
        <v>1720</v>
      </c>
      <c r="BU31" t="s">
        <v>1536</v>
      </c>
      <c r="BV31">
        <v>24.86</v>
      </c>
      <c r="BW31">
        <v>34.71</v>
      </c>
      <c r="BX31">
        <v>33.4</v>
      </c>
      <c r="BY31">
        <v>-0.38</v>
      </c>
      <c r="BZ31">
        <v>4.2699999999999996</v>
      </c>
      <c r="CA31">
        <v>4.67</v>
      </c>
      <c r="CB31">
        <v>-2.5099999999999998</v>
      </c>
      <c r="CC31">
        <v>-20.89</v>
      </c>
      <c r="CD31" t="s">
        <v>2857</v>
      </c>
      <c r="CE31" t="s">
        <v>362</v>
      </c>
      <c r="CF31" s="10">
        <v>-0.54195643436093033</v>
      </c>
      <c r="CG31" s="11">
        <v>2.2433023944040893</v>
      </c>
      <c r="CH31" s="10">
        <v>2.4316109716892242E-2</v>
      </c>
      <c r="CI31" s="10">
        <v>-7.5842693448066711E-2</v>
      </c>
      <c r="CJ31" s="10">
        <v>0.4771784245967865</v>
      </c>
      <c r="CK31" s="10">
        <v>-0.38363170623779297</v>
      </c>
      <c r="CL31" s="10">
        <v>-6.2350120395421982E-2</v>
      </c>
      <c r="CM31" s="11">
        <v>-1.1350213289260864</v>
      </c>
      <c r="CN31" s="11">
        <v>-0.18792849779129028</v>
      </c>
      <c r="CO31" s="11">
        <v>2.0099890232086182</v>
      </c>
      <c r="CP31" s="11">
        <v>-2.0585691928863525</v>
      </c>
      <c r="CQ31" s="11">
        <v>3.313886746764183E-2</v>
      </c>
      <c r="CR31">
        <v>205.49899029839153</v>
      </c>
      <c r="CS31">
        <v>505.40859361020011</v>
      </c>
      <c r="CT31">
        <v>0</v>
      </c>
      <c r="CU31" s="10">
        <v>-4.0659971535205843E-3</v>
      </c>
      <c r="CV31" s="11">
        <v>-0.26767822578549383</v>
      </c>
      <c r="CW31">
        <v>0.06</v>
      </c>
      <c r="CX31" t="e">
        <v>#VALUE!</v>
      </c>
      <c r="CY31" t="s">
        <v>1549</v>
      </c>
      <c r="CZ31">
        <v>-4.0659971535205843E-3</v>
      </c>
      <c r="DA31" t="e">
        <v>#VALUE!</v>
      </c>
      <c r="DB31" t="s">
        <v>1549</v>
      </c>
      <c r="DC31">
        <v>-3.862697295844555E-3</v>
      </c>
      <c r="DD31" t="e">
        <v>#VALUE!</v>
      </c>
      <c r="DE31" t="s">
        <v>1549</v>
      </c>
      <c r="DF31">
        <v>-3.5780774950981142E-3</v>
      </c>
      <c r="DG31" t="e">
        <v>#VALUE!</v>
      </c>
      <c r="DH31" t="s">
        <v>1549</v>
      </c>
      <c r="DI31">
        <v>-3.2527977228164677E-3</v>
      </c>
      <c r="DJ31" t="e">
        <v>#VALUE!</v>
      </c>
      <c r="DK31" t="s">
        <v>1549</v>
      </c>
      <c r="DL31">
        <v>-2.8461980074644087E-3</v>
      </c>
      <c r="DM31">
        <v>-1824800</v>
      </c>
      <c r="DN31">
        <v>-4.0659971535205843E-3</v>
      </c>
      <c r="DO31">
        <v>757200000</v>
      </c>
      <c r="DP31">
        <v>459566080</v>
      </c>
      <c r="DQ31">
        <v>1179</v>
      </c>
      <c r="DR31">
        <v>-0.5378904372074097</v>
      </c>
      <c r="DS31">
        <v>2.5109806201895832</v>
      </c>
      <c r="DT31" s="12">
        <v>-0.42333333333333334</v>
      </c>
      <c r="DU31">
        <v>-1.46</v>
      </c>
      <c r="DV31">
        <v>-1.8833333333333333</v>
      </c>
      <c r="DW31">
        <v>-8.1201531833413121</v>
      </c>
      <c r="DX31">
        <v>0.38940158730158858</v>
      </c>
      <c r="DY31">
        <v>-8.0143464808102909</v>
      </c>
      <c r="DZ31">
        <v>4315</v>
      </c>
      <c r="EA31">
        <v>-8.0022319867405436</v>
      </c>
      <c r="EB31">
        <v>8</v>
      </c>
      <c r="EC31">
        <v>4.4248823529411764E-2</v>
      </c>
      <c r="ED31">
        <v>0.37058823529411766</v>
      </c>
      <c r="EE31" s="13">
        <v>-1.0278</v>
      </c>
      <c r="EF31">
        <v>-1.0165999999999999</v>
      </c>
      <c r="EG31">
        <v>27.119401587301589</v>
      </c>
      <c r="EH31" t="s">
        <v>1813</v>
      </c>
      <c r="EI31">
        <v>0</v>
      </c>
      <c r="EJ31">
        <v>0</v>
      </c>
      <c r="EK31" s="15">
        <v>45470</v>
      </c>
      <c r="EL31" s="16">
        <v>0.22</v>
      </c>
      <c r="EM31" s="16">
        <v>-5.78</v>
      </c>
      <c r="EN31" s="16">
        <v>0.94</v>
      </c>
      <c r="EO31" s="16">
        <v>4.21</v>
      </c>
      <c r="EP31" s="16">
        <v>-1.1200000000000001</v>
      </c>
    </row>
    <row r="32" spans="1:146" ht="96" x14ac:dyDescent="0.25">
      <c r="C32" s="8" t="str">
        <f>""&amp;CHAR(10)&amp;Basic_Fundamental_Information_Constructure(F32)&amp;CHAR(10)&amp;Basic_Fundamental_Information_Concatenate("")</f>
        <v xml:space="preserve">
市值23.797622亿, 利润1.26亿; PE16.78; 平均PE24.94; 平均PEG4.92, PB.952; ROIC4.6533%; ROE5.12%; 股利率1.6493%; 毛利14.6867%; 净利4.0867%; 上一年度营收增-1.66%, 利润增21.15%; 当季营收增3.65%, 利润增352.04%; 过往5年营收增5.07%, 利润增37.62%
Income profile:
</v>
      </c>
      <c r="D32" t="s">
        <v>109</v>
      </c>
      <c r="E32" t="s">
        <v>1599</v>
      </c>
      <c r="F32">
        <v>11.52</v>
      </c>
      <c r="G32">
        <v>5.98</v>
      </c>
      <c r="H32" t="s">
        <v>2858</v>
      </c>
      <c r="I32">
        <v>2379762200</v>
      </c>
      <c r="J32">
        <v>16.78</v>
      </c>
      <c r="K32">
        <v>0.95199999999999996</v>
      </c>
      <c r="L32" t="s">
        <v>101</v>
      </c>
      <c r="M32" t="s">
        <v>832</v>
      </c>
      <c r="N32" t="s">
        <v>1144</v>
      </c>
      <c r="O32" t="s">
        <v>653</v>
      </c>
      <c r="P32">
        <v>3.64</v>
      </c>
      <c r="Q32" t="s">
        <v>2859</v>
      </c>
      <c r="R32">
        <v>82595050</v>
      </c>
      <c r="S32" s="6">
        <v>0.88700000000000001</v>
      </c>
      <c r="T32" t="s">
        <v>362</v>
      </c>
      <c r="U32">
        <v>175490750</v>
      </c>
      <c r="V32">
        <v>206576580</v>
      </c>
      <c r="W32">
        <v>1.28</v>
      </c>
      <c r="X32">
        <v>0.19</v>
      </c>
      <c r="Y32">
        <v>5.52</v>
      </c>
      <c r="Z32" t="s">
        <v>1567</v>
      </c>
      <c r="AA32" t="s">
        <v>133</v>
      </c>
      <c r="AB32" t="s">
        <v>2860</v>
      </c>
      <c r="AC32" t="s">
        <v>2861</v>
      </c>
      <c r="AD32" t="s">
        <v>5</v>
      </c>
      <c r="AE32">
        <v>1768012</v>
      </c>
      <c r="AF32" t="s">
        <v>2862</v>
      </c>
      <c r="AG32" t="s">
        <v>2183</v>
      </c>
      <c r="AH32" t="s">
        <v>2863</v>
      </c>
      <c r="AI32" t="s">
        <v>661</v>
      </c>
      <c r="AJ32" t="s">
        <v>2864</v>
      </c>
      <c r="AK32" t="s">
        <v>5</v>
      </c>
      <c r="AL32" t="s">
        <v>2865</v>
      </c>
      <c r="AM32" t="s">
        <v>5</v>
      </c>
      <c r="AN32" t="s">
        <v>2866</v>
      </c>
      <c r="AO32" t="s">
        <v>1683</v>
      </c>
      <c r="AP32" t="s">
        <v>193</v>
      </c>
      <c r="AQ32" t="s">
        <v>2867</v>
      </c>
      <c r="AR32" t="s">
        <v>2868</v>
      </c>
      <c r="AS32" t="s">
        <v>569</v>
      </c>
      <c r="AT32" t="s">
        <v>5</v>
      </c>
      <c r="AU32" t="s">
        <v>2869</v>
      </c>
      <c r="AV32" t="s">
        <v>2870</v>
      </c>
      <c r="AW32" t="s">
        <v>2871</v>
      </c>
      <c r="AX32" t="s">
        <v>1904</v>
      </c>
      <c r="AY32" t="s">
        <v>1382</v>
      </c>
      <c r="AZ32" t="s">
        <v>813</v>
      </c>
      <c r="BA32" t="s">
        <v>110</v>
      </c>
      <c r="BB32" t="s">
        <v>429</v>
      </c>
      <c r="BC32" t="s">
        <v>650</v>
      </c>
      <c r="BD32" t="s">
        <v>533</v>
      </c>
      <c r="BE32" t="s">
        <v>925</v>
      </c>
      <c r="BF32" t="s">
        <v>111</v>
      </c>
      <c r="BG32" t="s">
        <v>261</v>
      </c>
      <c r="BH32" t="s">
        <v>2859</v>
      </c>
      <c r="BI32" t="s">
        <v>554</v>
      </c>
      <c r="BJ32" t="s">
        <v>1904</v>
      </c>
      <c r="BK32" t="s">
        <v>362</v>
      </c>
      <c r="BL32" t="s">
        <v>2872</v>
      </c>
      <c r="BM32" t="s">
        <v>650</v>
      </c>
      <c r="BN32">
        <v>3.53</v>
      </c>
      <c r="BO32">
        <v>4.84</v>
      </c>
      <c r="BP32">
        <v>5.59</v>
      </c>
      <c r="BQ32">
        <v>3.72</v>
      </c>
      <c r="BR32">
        <v>5.07</v>
      </c>
      <c r="BS32">
        <v>6.57</v>
      </c>
      <c r="BT32" t="s">
        <v>2873</v>
      </c>
      <c r="BU32" t="s">
        <v>1589</v>
      </c>
      <c r="BV32">
        <v>15.44</v>
      </c>
      <c r="BW32">
        <v>14.13</v>
      </c>
      <c r="BX32">
        <v>14.49</v>
      </c>
      <c r="BY32">
        <v>4.5</v>
      </c>
      <c r="BZ32">
        <v>3.68</v>
      </c>
      <c r="CA32">
        <v>4.08</v>
      </c>
      <c r="CB32">
        <v>3.69</v>
      </c>
      <c r="CC32">
        <v>-11.25</v>
      </c>
      <c r="CD32" t="s">
        <v>2874</v>
      </c>
      <c r="CE32" t="s">
        <v>2875</v>
      </c>
      <c r="CF32" s="10">
        <v>3.6484245439469321E-2</v>
      </c>
      <c r="CG32" s="11">
        <v>3.520405985244861</v>
      </c>
      <c r="CH32" s="10">
        <v>-1.6572659835219383E-2</v>
      </c>
      <c r="CI32" s="10">
        <v>-9.9682576954364777E-2</v>
      </c>
      <c r="CJ32" s="10">
        <v>0.33079850673675537</v>
      </c>
      <c r="CK32" s="10">
        <v>-1.9469784572720528E-2</v>
      </c>
      <c r="CL32" s="10">
        <v>5.8307845145463943E-2</v>
      </c>
      <c r="CM32" s="11">
        <v>0.21153846383094788</v>
      </c>
      <c r="CN32" s="11">
        <v>-0.1875</v>
      </c>
      <c r="CO32" s="11">
        <v>2.8029026985168457</v>
      </c>
      <c r="CP32" s="11">
        <v>-0.42872685194015503</v>
      </c>
      <c r="CQ32" s="11">
        <v>-0.51706230640411377</v>
      </c>
      <c r="CR32">
        <v>24.937389545404294</v>
      </c>
      <c r="CS32">
        <v>4.9209208693937949</v>
      </c>
      <c r="CT32">
        <v>1.6493055555555556</v>
      </c>
      <c r="CU32" s="10">
        <v>5.0676266103982924E-2</v>
      </c>
      <c r="CV32" s="11">
        <v>0.37623040080070497</v>
      </c>
      <c r="CW32">
        <v>0.06</v>
      </c>
      <c r="CX32">
        <v>4.249779367356922</v>
      </c>
      <c r="CY32">
        <v>124891707.10292627</v>
      </c>
      <c r="CZ32">
        <v>5.0676266103982924E-2</v>
      </c>
      <c r="DA32">
        <v>1.4360216037386246</v>
      </c>
      <c r="DB32">
        <v>369605999.39317203</v>
      </c>
      <c r="DC32">
        <v>4.8142452798783777E-2</v>
      </c>
      <c r="DD32">
        <v>0.73874580085712183</v>
      </c>
      <c r="DE32">
        <v>718463914.62961805</v>
      </c>
      <c r="DF32">
        <v>4.4595114171504975E-2</v>
      </c>
      <c r="DG32">
        <v>0.46576973816613521</v>
      </c>
      <c r="DH32">
        <v>1139537751.185292</v>
      </c>
      <c r="DI32">
        <v>4.0541012883186345E-2</v>
      </c>
      <c r="DJ32">
        <v>0.26687165963876042</v>
      </c>
      <c r="DK32">
        <v>1988829389.8214743</v>
      </c>
      <c r="DL32">
        <v>3.5473386272788045E-2</v>
      </c>
      <c r="DM32">
        <v>126000000</v>
      </c>
      <c r="DN32">
        <v>5.0676266103982924E-2</v>
      </c>
      <c r="DO32">
        <v>530762200</v>
      </c>
      <c r="DP32">
        <v>1605696300</v>
      </c>
      <c r="DQ32">
        <v>1205</v>
      </c>
      <c r="DR32">
        <v>-1.4192020664513604E-2</v>
      </c>
      <c r="DS32">
        <v>3.1441755844441559</v>
      </c>
      <c r="DT32" s="12">
        <v>-0.3066666666666667</v>
      </c>
      <c r="DU32">
        <v>0.64166666666666672</v>
      </c>
      <c r="DV32">
        <v>0.33500000000000002</v>
      </c>
      <c r="DW32">
        <v>6.2469879518072293</v>
      </c>
      <c r="DX32">
        <v>1.5437545559647652</v>
      </c>
      <c r="DY32">
        <v>6.0577345590033485</v>
      </c>
      <c r="DZ32">
        <v>1444</v>
      </c>
      <c r="EA32">
        <v>6.0414197442869426</v>
      </c>
      <c r="EB32">
        <v>6</v>
      </c>
      <c r="EC32">
        <v>8.3342942360649014E-2</v>
      </c>
      <c r="ED32">
        <v>0.35654041711795209</v>
      </c>
      <c r="EE32" s="13">
        <v>1.0979099999999999</v>
      </c>
      <c r="EF32">
        <v>1.1103099999999999</v>
      </c>
      <c r="EG32">
        <v>131.23375455596477</v>
      </c>
      <c r="EH32" t="s">
        <v>1815</v>
      </c>
      <c r="EI32">
        <v>0</v>
      </c>
      <c r="EJ32">
        <v>1</v>
      </c>
      <c r="EK32" s="15">
        <v>45470</v>
      </c>
      <c r="EL32" s="16">
        <v>0.71</v>
      </c>
      <c r="EM32" s="16">
        <v>-4.0599999999999996</v>
      </c>
      <c r="EN32" s="16">
        <v>1.1000000000000001</v>
      </c>
      <c r="EO32" s="16">
        <v>2.73</v>
      </c>
      <c r="EP32" s="16">
        <v>-1.24</v>
      </c>
    </row>
    <row r="33" spans="1:146" ht="108" x14ac:dyDescent="0.25">
      <c r="C33" s="8" t="str">
        <f>""&amp;CHAR(10)&amp;Basic_Fundamental_Information_Constructure(F33)&amp;CHAR(10)&amp;Basic_Fundamental_Information_Concatenate("")</f>
        <v xml:space="preserve">
市值24.150728亿, 利润1.20亿; PE19.76; 平均PE32.04; 平均PEG3.43, PB1.53; ROIC6.2333%; ROE6.72%; 股利率1.949%; 毛利36.89%; 净利8.4%; 上一年度营收增11.71%, 利润增33.19%; 当季营收增-11.58%, 利润增13.29%; 过往5年营收增9.33%, 利润增19.38%
Income profile:
</v>
      </c>
      <c r="D33" t="s">
        <v>339</v>
      </c>
      <c r="E33" t="s">
        <v>42</v>
      </c>
      <c r="F33">
        <v>6.67</v>
      </c>
      <c r="G33">
        <v>1.37</v>
      </c>
      <c r="H33" t="s">
        <v>2876</v>
      </c>
      <c r="I33">
        <v>2415072800</v>
      </c>
      <c r="J33">
        <v>19.760000000000002</v>
      </c>
      <c r="K33">
        <v>1.53</v>
      </c>
      <c r="L33" t="s">
        <v>101</v>
      </c>
      <c r="M33" t="s">
        <v>1140</v>
      </c>
      <c r="N33" t="s">
        <v>2877</v>
      </c>
      <c r="O33" t="s">
        <v>409</v>
      </c>
      <c r="P33">
        <v>-11.55</v>
      </c>
      <c r="Q33" t="s">
        <v>2878</v>
      </c>
      <c r="R33">
        <v>22334099</v>
      </c>
      <c r="S33" s="6">
        <v>0.13289999999999999</v>
      </c>
      <c r="T33" t="s">
        <v>484</v>
      </c>
      <c r="U33">
        <v>346029880</v>
      </c>
      <c r="V33">
        <v>362079880</v>
      </c>
      <c r="W33">
        <v>1.52</v>
      </c>
      <c r="X33">
        <v>0.1</v>
      </c>
      <c r="Y33">
        <v>9.68</v>
      </c>
      <c r="Z33" t="s">
        <v>280</v>
      </c>
      <c r="AA33" t="s">
        <v>356</v>
      </c>
      <c r="AB33" t="s">
        <v>2879</v>
      </c>
      <c r="AC33" t="s">
        <v>2880</v>
      </c>
      <c r="AD33" t="s">
        <v>5</v>
      </c>
      <c r="AE33">
        <v>-1505765</v>
      </c>
      <c r="AF33" t="s">
        <v>2881</v>
      </c>
      <c r="AG33" t="s">
        <v>2882</v>
      </c>
      <c r="AH33" t="s">
        <v>2883</v>
      </c>
      <c r="AI33" t="s">
        <v>1068</v>
      </c>
      <c r="AJ33" t="s">
        <v>2884</v>
      </c>
      <c r="AK33" t="s">
        <v>2885</v>
      </c>
      <c r="AL33" t="s">
        <v>2886</v>
      </c>
      <c r="AM33" t="s">
        <v>5</v>
      </c>
      <c r="AN33" t="s">
        <v>177</v>
      </c>
      <c r="AO33" t="s">
        <v>367</v>
      </c>
      <c r="AP33" t="s">
        <v>303</v>
      </c>
      <c r="AQ33" t="s">
        <v>1623</v>
      </c>
      <c r="AR33" t="s">
        <v>2887</v>
      </c>
      <c r="AS33" t="s">
        <v>2888</v>
      </c>
      <c r="AT33" t="s">
        <v>5</v>
      </c>
      <c r="AU33" t="s">
        <v>2889</v>
      </c>
      <c r="AV33" t="s">
        <v>2890</v>
      </c>
      <c r="AW33" t="s">
        <v>2891</v>
      </c>
      <c r="AX33" t="s">
        <v>1634</v>
      </c>
      <c r="AY33" t="s">
        <v>1140</v>
      </c>
      <c r="AZ33" t="s">
        <v>705</v>
      </c>
      <c r="BA33" t="s">
        <v>341</v>
      </c>
      <c r="BB33" t="s">
        <v>542</v>
      </c>
      <c r="BC33" t="s">
        <v>2892</v>
      </c>
      <c r="BD33" t="s">
        <v>1383</v>
      </c>
      <c r="BE33" t="s">
        <v>926</v>
      </c>
      <c r="BF33" t="s">
        <v>342</v>
      </c>
      <c r="BG33" t="s">
        <v>927</v>
      </c>
      <c r="BH33" t="s">
        <v>2878</v>
      </c>
      <c r="BI33" t="s">
        <v>201</v>
      </c>
      <c r="BJ33" t="s">
        <v>1634</v>
      </c>
      <c r="BK33" t="s">
        <v>484</v>
      </c>
      <c r="BL33" t="s">
        <v>2893</v>
      </c>
      <c r="BM33" t="s">
        <v>2892</v>
      </c>
      <c r="BN33">
        <v>4.79</v>
      </c>
      <c r="BO33">
        <v>6.02</v>
      </c>
      <c r="BP33">
        <v>7.89</v>
      </c>
      <c r="BQ33">
        <v>5.53</v>
      </c>
      <c r="BR33">
        <v>6.3</v>
      </c>
      <c r="BS33">
        <v>8.33</v>
      </c>
      <c r="BT33" t="s">
        <v>1733</v>
      </c>
      <c r="BU33" t="s">
        <v>1536</v>
      </c>
      <c r="BV33">
        <v>41.52</v>
      </c>
      <c r="BW33">
        <v>35.17</v>
      </c>
      <c r="BX33">
        <v>33.979999999999997</v>
      </c>
      <c r="BY33">
        <v>9.09</v>
      </c>
      <c r="BZ33">
        <v>6.84</v>
      </c>
      <c r="CA33">
        <v>9.27</v>
      </c>
      <c r="CB33">
        <v>-5.26</v>
      </c>
      <c r="CC33">
        <v>-6.06</v>
      </c>
      <c r="CD33" t="s">
        <v>2894</v>
      </c>
      <c r="CE33" t="s">
        <v>177</v>
      </c>
      <c r="CF33" s="10">
        <v>-0.11578947368421053</v>
      </c>
      <c r="CG33" s="11">
        <v>0.13293997991214099</v>
      </c>
      <c r="CH33" s="10">
        <v>0.1170731708407402</v>
      </c>
      <c r="CI33" s="10">
        <v>0.33841133117675781</v>
      </c>
      <c r="CJ33" s="10">
        <v>0.13737623393535614</v>
      </c>
      <c r="CK33" s="10">
        <v>-0.19441674649715424</v>
      </c>
      <c r="CL33" s="10">
        <v>6.8157613277435303E-2</v>
      </c>
      <c r="CM33" s="11">
        <v>0.33189937472343445</v>
      </c>
      <c r="CN33" s="11">
        <v>5.0123259425163269E-2</v>
      </c>
      <c r="CO33" s="11">
        <v>0.52156519889831543</v>
      </c>
      <c r="CP33" s="11">
        <v>0.3155536949634552</v>
      </c>
      <c r="CQ33" s="11">
        <v>-0.25026938319206238</v>
      </c>
      <c r="CR33">
        <v>32.036389057283053</v>
      </c>
      <c r="CS33">
        <v>3.4329488871907836</v>
      </c>
      <c r="CT33">
        <v>1.9490254872563719</v>
      </c>
      <c r="CU33" s="10">
        <v>9.3320320546627047E-2</v>
      </c>
      <c r="CV33" s="11">
        <v>0.1937744289636612</v>
      </c>
      <c r="CW33">
        <v>0.06</v>
      </c>
      <c r="CX33">
        <v>13.743587111921649</v>
      </c>
      <c r="CY33">
        <v>123772111.75999551</v>
      </c>
      <c r="CZ33">
        <v>9.3320320546627047E-2</v>
      </c>
      <c r="DA33">
        <v>4.4786709083609768</v>
      </c>
      <c r="DB33">
        <v>379816430.99169528</v>
      </c>
      <c r="DC33">
        <v>8.8654304519295693E-2</v>
      </c>
      <c r="DD33">
        <v>2.1964642506535177</v>
      </c>
      <c r="DE33">
        <v>774459588.62926054</v>
      </c>
      <c r="DF33">
        <v>8.21218820810318E-2</v>
      </c>
      <c r="DG33">
        <v>1.3134196648327938</v>
      </c>
      <c r="DH33">
        <v>1295147960.3562636</v>
      </c>
      <c r="DI33">
        <v>7.4656256437301644E-2</v>
      </c>
      <c r="DJ33">
        <v>0.67217612954353101</v>
      </c>
      <c r="DK33">
        <v>2530695044.4003181</v>
      </c>
      <c r="DL33">
        <v>6.5324224382638935E-2</v>
      </c>
      <c r="DM33">
        <v>120000000</v>
      </c>
      <c r="DN33">
        <v>9.3320320546627047E-2</v>
      </c>
      <c r="DO33">
        <v>1701072800.0000002</v>
      </c>
      <c r="DP33">
        <v>944446500</v>
      </c>
      <c r="DQ33">
        <v>1213</v>
      </c>
      <c r="DR33">
        <v>-0.20910979423083759</v>
      </c>
      <c r="DS33">
        <v>-6.0834449051520217E-2</v>
      </c>
      <c r="DT33" s="12">
        <v>-0.40666666666666668</v>
      </c>
      <c r="DU33">
        <v>0.31666666666666665</v>
      </c>
      <c r="DV33">
        <v>-9.0000000000000024E-2</v>
      </c>
      <c r="DW33">
        <v>-8.8679867986798673</v>
      </c>
      <c r="DX33">
        <v>0.41573157894736867</v>
      </c>
      <c r="DY33">
        <v>-8.2393313705054716</v>
      </c>
      <c r="DZ33">
        <v>1916</v>
      </c>
      <c r="EA33">
        <v>-8.1495938155370791</v>
      </c>
      <c r="EB33">
        <v>8</v>
      </c>
      <c r="EC33">
        <v>0.17362688034474602</v>
      </c>
      <c r="ED33">
        <v>0.62969530369928306</v>
      </c>
      <c r="EE33" s="13">
        <v>-1.0483</v>
      </c>
      <c r="EF33">
        <v>-1.149</v>
      </c>
      <c r="EG33">
        <v>14.275731578947369</v>
      </c>
      <c r="EH33" t="s">
        <v>1813</v>
      </c>
      <c r="EI33">
        <v>0</v>
      </c>
      <c r="EJ33">
        <v>0</v>
      </c>
      <c r="EK33" s="15">
        <v>45470</v>
      </c>
      <c r="EL33" s="16">
        <v>-1.18</v>
      </c>
      <c r="EM33" s="16">
        <v>-4.6399999999999997</v>
      </c>
      <c r="EN33" s="16">
        <v>1.73</v>
      </c>
      <c r="EO33" s="16">
        <v>5.71</v>
      </c>
      <c r="EP33" s="16">
        <v>10.07</v>
      </c>
    </row>
    <row r="34" spans="1:146" ht="132" x14ac:dyDescent="0.25">
      <c r="A34" s="8" t="s">
        <v>1255</v>
      </c>
      <c r="B34" s="8"/>
      <c r="C34" s="8" t="s">
        <v>1254</v>
      </c>
      <c r="D34" t="s">
        <v>529</v>
      </c>
      <c r="E34" t="s">
        <v>530</v>
      </c>
      <c r="F34">
        <v>11.65</v>
      </c>
      <c r="G34">
        <v>1.3</v>
      </c>
      <c r="H34" t="s">
        <v>2895</v>
      </c>
      <c r="I34">
        <v>3442061400</v>
      </c>
      <c r="J34">
        <v>19.64</v>
      </c>
      <c r="K34">
        <v>1.43</v>
      </c>
      <c r="L34" t="s">
        <v>101</v>
      </c>
      <c r="M34" t="s">
        <v>2896</v>
      </c>
      <c r="N34" t="s">
        <v>2210</v>
      </c>
      <c r="O34" t="s">
        <v>2024</v>
      </c>
      <c r="P34">
        <v>1.46</v>
      </c>
      <c r="Q34" t="s">
        <v>2897</v>
      </c>
      <c r="R34">
        <v>83802540</v>
      </c>
      <c r="S34" s="6">
        <v>2.46E-2</v>
      </c>
      <c r="T34" t="s">
        <v>161</v>
      </c>
      <c r="U34">
        <v>282053920</v>
      </c>
      <c r="V34">
        <v>295455910</v>
      </c>
      <c r="W34">
        <v>1.7</v>
      </c>
      <c r="X34">
        <v>0.24</v>
      </c>
      <c r="Y34">
        <v>8.9700000000000006</v>
      </c>
      <c r="Z34" t="s">
        <v>2898</v>
      </c>
      <c r="AA34" t="s">
        <v>1519</v>
      </c>
      <c r="AB34" t="s">
        <v>2899</v>
      </c>
      <c r="AC34" t="s">
        <v>2900</v>
      </c>
      <c r="AD34" t="s">
        <v>5</v>
      </c>
      <c r="AE34">
        <v>6452057</v>
      </c>
      <c r="AF34" t="s">
        <v>2901</v>
      </c>
      <c r="AG34">
        <v>495.3</v>
      </c>
      <c r="AH34" t="s">
        <v>2902</v>
      </c>
      <c r="AI34" t="s">
        <v>2903</v>
      </c>
      <c r="AJ34" t="s">
        <v>2904</v>
      </c>
      <c r="AK34" t="s">
        <v>2905</v>
      </c>
      <c r="AL34" t="s">
        <v>2906</v>
      </c>
      <c r="AM34" t="s">
        <v>5</v>
      </c>
      <c r="AN34" t="s">
        <v>248</v>
      </c>
      <c r="AO34" t="s">
        <v>480</v>
      </c>
      <c r="AP34" t="s">
        <v>5</v>
      </c>
      <c r="AQ34" t="s">
        <v>1485</v>
      </c>
      <c r="AR34" t="s">
        <v>5</v>
      </c>
      <c r="AS34" t="s">
        <v>2907</v>
      </c>
      <c r="AT34" t="s">
        <v>2908</v>
      </c>
      <c r="AU34" t="s">
        <v>2909</v>
      </c>
      <c r="AV34" t="s">
        <v>2910</v>
      </c>
      <c r="AW34" t="s">
        <v>2911</v>
      </c>
      <c r="AX34" t="s">
        <v>1908</v>
      </c>
      <c r="AY34" t="s">
        <v>1385</v>
      </c>
      <c r="AZ34" t="s">
        <v>928</v>
      </c>
      <c r="BA34" t="s">
        <v>531</v>
      </c>
      <c r="BB34" t="s">
        <v>788</v>
      </c>
      <c r="BC34" t="s">
        <v>758</v>
      </c>
      <c r="BD34" t="s">
        <v>255</v>
      </c>
      <c r="BE34" t="s">
        <v>458</v>
      </c>
      <c r="BF34" t="s">
        <v>171</v>
      </c>
      <c r="BG34" t="s">
        <v>139</v>
      </c>
      <c r="BH34" t="s">
        <v>2897</v>
      </c>
      <c r="BI34" t="s">
        <v>2912</v>
      </c>
      <c r="BJ34" t="s">
        <v>1908</v>
      </c>
      <c r="BK34" t="s">
        <v>161</v>
      </c>
      <c r="BL34" t="s">
        <v>2913</v>
      </c>
      <c r="BM34" t="s">
        <v>758</v>
      </c>
      <c r="BN34">
        <v>8.57</v>
      </c>
      <c r="BO34">
        <v>11.22</v>
      </c>
      <c r="BP34">
        <v>12.46</v>
      </c>
      <c r="BQ34">
        <v>9.64</v>
      </c>
      <c r="BR34">
        <v>12.23</v>
      </c>
      <c r="BS34">
        <v>13.61</v>
      </c>
      <c r="BT34" t="s">
        <v>1731</v>
      </c>
      <c r="BU34" t="s">
        <v>1537</v>
      </c>
      <c r="BV34">
        <v>19.46</v>
      </c>
      <c r="BW34">
        <v>22.28</v>
      </c>
      <c r="BX34">
        <v>23.48</v>
      </c>
      <c r="BY34">
        <v>4.99</v>
      </c>
      <c r="BZ34">
        <v>10.11</v>
      </c>
      <c r="CA34">
        <v>10.7</v>
      </c>
      <c r="CB34">
        <v>-3.32</v>
      </c>
      <c r="CC34">
        <v>-9.48</v>
      </c>
      <c r="CD34" t="s">
        <v>2914</v>
      </c>
      <c r="CE34" t="s">
        <v>310</v>
      </c>
      <c r="CF34" s="10">
        <v>1.489361702127647E-2</v>
      </c>
      <c r="CG34" s="11">
        <v>2.461370299818803E-2</v>
      </c>
      <c r="CH34" s="10">
        <v>0.22601349651813507</v>
      </c>
      <c r="CI34" s="10">
        <v>6.5898478031158447E-2</v>
      </c>
      <c r="CJ34" s="10">
        <v>0.30192217230796814</v>
      </c>
      <c r="CK34" s="10">
        <v>0.40328943729400635</v>
      </c>
      <c r="CL34" s="10">
        <v>0.34991118311882019</v>
      </c>
      <c r="CM34" s="11">
        <v>-0.40753424167633057</v>
      </c>
      <c r="CN34" s="11">
        <v>3.4364261664450169E-3</v>
      </c>
      <c r="CO34" s="11">
        <v>0.11923076957464218</v>
      </c>
      <c r="CP34" s="11">
        <v>0.27450981736183167</v>
      </c>
      <c r="CQ34" s="11">
        <v>0.24390244483947754</v>
      </c>
      <c r="CR34">
        <v>14.922231502890174</v>
      </c>
      <c r="CS34">
        <v>0.55389184694659699</v>
      </c>
      <c r="CT34">
        <v>1.7167381974248928</v>
      </c>
      <c r="CU34" s="10">
        <v>0.26940695345401766</v>
      </c>
      <c r="CV34" s="11">
        <v>4.6709043253213164E-2</v>
      </c>
      <c r="CW34">
        <v>0.06</v>
      </c>
      <c r="CX34">
        <v>12.294144221745061</v>
      </c>
      <c r="CY34">
        <v>207176795.23353305</v>
      </c>
      <c r="CZ34">
        <v>0.26940695345401766</v>
      </c>
      <c r="DA34">
        <v>3.4625306865871215</v>
      </c>
      <c r="DB34">
        <v>735606881.3676095</v>
      </c>
      <c r="DC34">
        <v>0.25593660578131677</v>
      </c>
      <c r="DD34">
        <v>1.3804399172037627</v>
      </c>
      <c r="DE34">
        <v>1845108481.9101443</v>
      </c>
      <c r="DF34">
        <v>0.23707811903953555</v>
      </c>
      <c r="DG34">
        <v>0.64255286809058676</v>
      </c>
      <c r="DH34">
        <v>3963971723.5546083</v>
      </c>
      <c r="DI34">
        <v>0.21552556276321413</v>
      </c>
      <c r="DJ34">
        <v>0.17949021492320172</v>
      </c>
      <c r="DK34">
        <v>14190530670.932722</v>
      </c>
      <c r="DL34">
        <v>0.18858486741781236</v>
      </c>
      <c r="DM34">
        <v>173000000</v>
      </c>
      <c r="DN34">
        <v>0.26940695345401766</v>
      </c>
      <c r="DO34">
        <v>2547061400</v>
      </c>
      <c r="DP34">
        <v>1058845700</v>
      </c>
      <c r="DQ34">
        <v>1236</v>
      </c>
      <c r="DR34">
        <v>-0.25451333643274121</v>
      </c>
      <c r="DS34">
        <v>-2.2095340255025134E-2</v>
      </c>
      <c r="DT34" s="12">
        <v>7.6666666666666591E-2</v>
      </c>
      <c r="DU34">
        <v>4.9999999999999968E-2</v>
      </c>
      <c r="DV34">
        <v>0.12666666666666657</v>
      </c>
      <c r="DW34">
        <v>-8.3502109704641345</v>
      </c>
      <c r="DX34">
        <v>0.33062612612612768</v>
      </c>
      <c r="DY34">
        <v>-8.0457467023986009</v>
      </c>
      <c r="DZ34">
        <v>1427</v>
      </c>
      <c r="EA34">
        <v>-8.032971644801183</v>
      </c>
      <c r="EB34">
        <v>8</v>
      </c>
      <c r="EC34">
        <v>4.9075004118211751E-2</v>
      </c>
      <c r="ED34">
        <v>0.37569057257984795</v>
      </c>
      <c r="EE34" s="13">
        <v>0.10580000000000001</v>
      </c>
      <c r="EF34">
        <v>8.8500000000000009E-2</v>
      </c>
      <c r="EG34">
        <v>20.130626126126128</v>
      </c>
      <c r="EH34" t="s">
        <v>1547</v>
      </c>
      <c r="EI34">
        <v>0</v>
      </c>
      <c r="EJ34">
        <v>1</v>
      </c>
      <c r="EK34" s="15">
        <v>45470</v>
      </c>
      <c r="EL34" s="16">
        <v>0.25</v>
      </c>
      <c r="EM34" s="16">
        <v>-5.03</v>
      </c>
      <c r="EN34" s="16">
        <v>0.52</v>
      </c>
      <c r="EO34" s="16">
        <v>5.01</v>
      </c>
      <c r="EP34" s="16">
        <v>-1.73</v>
      </c>
    </row>
    <row r="35" spans="1:146" ht="96" x14ac:dyDescent="0.25">
      <c r="C35" s="8" t="str">
        <f>""&amp;CHAR(10)&amp;Basic_Fundamental_Information_Constructure(F35)&amp;CHAR(10)&amp;Basic_Fundamental_Information_Concatenate("")</f>
        <v xml:space="preserve">
市值20.87465亿, 利润1.45亿; PE12.89; 平均PE20.03; 平均PEG.94, PB1.61; ROIC12.12%; ROE12.2267%; 股利率6.4516%; 毛利31.3933%; 净利9.3333%; 上一年度营收增12.98%, 利润增91.88%; 当季营收增30.6%, 利润增144.38%; 过往5年营收增21.28%, 利润增159.64%
Income profile:
</v>
      </c>
      <c r="D35" t="s">
        <v>769</v>
      </c>
      <c r="E35" t="s">
        <v>37</v>
      </c>
      <c r="F35">
        <v>6.2</v>
      </c>
      <c r="G35">
        <v>0.81</v>
      </c>
      <c r="H35" t="s">
        <v>2915</v>
      </c>
      <c r="I35">
        <v>2087465000</v>
      </c>
      <c r="J35">
        <v>12.89</v>
      </c>
      <c r="K35">
        <v>1.61</v>
      </c>
      <c r="L35" t="s">
        <v>101</v>
      </c>
      <c r="M35" t="s">
        <v>1551</v>
      </c>
      <c r="N35" t="s">
        <v>1296</v>
      </c>
      <c r="O35" t="s">
        <v>940</v>
      </c>
      <c r="P35">
        <v>30.64</v>
      </c>
      <c r="Q35" t="s">
        <v>2916</v>
      </c>
      <c r="R35">
        <v>29148874</v>
      </c>
      <c r="S35" s="6">
        <v>1.444</v>
      </c>
      <c r="T35" t="s">
        <v>325</v>
      </c>
      <c r="U35">
        <v>281783190</v>
      </c>
      <c r="V35">
        <v>336687900</v>
      </c>
      <c r="W35">
        <v>1.59</v>
      </c>
      <c r="X35">
        <v>0.17</v>
      </c>
      <c r="Y35">
        <v>8.32</v>
      </c>
      <c r="Z35" t="s">
        <v>1283</v>
      </c>
      <c r="AA35" t="s">
        <v>591</v>
      </c>
      <c r="AB35" t="s">
        <v>2917</v>
      </c>
      <c r="AC35" t="s">
        <v>2918</v>
      </c>
      <c r="AD35" t="s">
        <v>5</v>
      </c>
      <c r="AE35">
        <v>-681061</v>
      </c>
      <c r="AF35" t="s">
        <v>2919</v>
      </c>
      <c r="AG35" t="s">
        <v>2920</v>
      </c>
      <c r="AH35" t="s">
        <v>2921</v>
      </c>
      <c r="AI35" t="s">
        <v>658</v>
      </c>
      <c r="AJ35" t="s">
        <v>2922</v>
      </c>
      <c r="AK35" t="s">
        <v>2923</v>
      </c>
      <c r="AL35" t="s">
        <v>2924</v>
      </c>
      <c r="AM35" t="s">
        <v>5</v>
      </c>
      <c r="AN35" t="s">
        <v>344</v>
      </c>
      <c r="AO35" t="s">
        <v>2925</v>
      </c>
      <c r="AP35" t="s">
        <v>2926</v>
      </c>
      <c r="AQ35" t="s">
        <v>171</v>
      </c>
      <c r="AR35" t="s">
        <v>2927</v>
      </c>
      <c r="AS35" t="s">
        <v>2123</v>
      </c>
      <c r="AT35" t="s">
        <v>5</v>
      </c>
      <c r="AU35" t="s">
        <v>2928</v>
      </c>
      <c r="AV35" t="s">
        <v>2929</v>
      </c>
      <c r="AW35" t="s">
        <v>5</v>
      </c>
      <c r="AX35" t="s">
        <v>1910</v>
      </c>
      <c r="AY35" t="s">
        <v>1386</v>
      </c>
      <c r="AZ35" t="s">
        <v>542</v>
      </c>
      <c r="BA35" t="s">
        <v>770</v>
      </c>
      <c r="BB35" t="s">
        <v>911</v>
      </c>
      <c r="BC35" t="s">
        <v>1911</v>
      </c>
      <c r="BD35" t="s">
        <v>174</v>
      </c>
      <c r="BE35" t="s">
        <v>929</v>
      </c>
      <c r="BF35" t="s">
        <v>771</v>
      </c>
      <c r="BG35" t="s">
        <v>932</v>
      </c>
      <c r="BH35" t="s">
        <v>2916</v>
      </c>
      <c r="BI35" t="s">
        <v>1620</v>
      </c>
      <c r="BJ35" t="s">
        <v>1910</v>
      </c>
      <c r="BK35" t="s">
        <v>325</v>
      </c>
      <c r="BL35" t="s">
        <v>2930</v>
      </c>
      <c r="BM35" t="s">
        <v>1911</v>
      </c>
      <c r="BN35">
        <v>7.81</v>
      </c>
      <c r="BO35">
        <v>5.78</v>
      </c>
      <c r="BP35">
        <v>22.77</v>
      </c>
      <c r="BQ35">
        <v>7.9</v>
      </c>
      <c r="BR35">
        <v>5.89</v>
      </c>
      <c r="BS35">
        <v>22.89</v>
      </c>
      <c r="BT35" t="s">
        <v>1728</v>
      </c>
      <c r="BU35" t="s">
        <v>1595</v>
      </c>
      <c r="BV35">
        <v>27.84</v>
      </c>
      <c r="BW35">
        <v>25.09</v>
      </c>
      <c r="BX35">
        <v>41.25</v>
      </c>
      <c r="BY35">
        <v>8.7200000000000006</v>
      </c>
      <c r="BZ35">
        <v>5.14</v>
      </c>
      <c r="CA35">
        <v>14.14</v>
      </c>
      <c r="CB35">
        <v>-2.36</v>
      </c>
      <c r="CC35">
        <v>-10.92</v>
      </c>
      <c r="CD35" t="s">
        <v>2931</v>
      </c>
      <c r="CE35" t="s">
        <v>2932</v>
      </c>
      <c r="CF35" s="10">
        <v>0.30597014925373117</v>
      </c>
      <c r="CG35" s="11">
        <v>1.4437557323585879</v>
      </c>
      <c r="CH35" s="10">
        <v>0.12975548207759857</v>
      </c>
      <c r="CI35" s="10">
        <v>-0.25806450843811035</v>
      </c>
      <c r="CJ35" s="10">
        <v>1.1128860712051392</v>
      </c>
      <c r="CK35" s="10">
        <v>0.14233577251434326</v>
      </c>
      <c r="CL35" s="10">
        <v>-6.2713794410228729E-2</v>
      </c>
      <c r="CM35" s="11">
        <v>0.91882699728012085</v>
      </c>
      <c r="CN35" s="11">
        <v>-0.73107826709747314</v>
      </c>
      <c r="CO35" s="11">
        <v>7.9955692291259766</v>
      </c>
      <c r="CP35" s="11">
        <v>0.51020824909210205</v>
      </c>
      <c r="CQ35" s="11">
        <v>-0.71174240112304688</v>
      </c>
      <c r="CR35">
        <v>20.031805122214454</v>
      </c>
      <c r="CS35">
        <v>0.94116817861330171</v>
      </c>
      <c r="CT35">
        <v>6.4516129032258061</v>
      </c>
      <c r="CU35" s="10">
        <v>0.21283980458974838</v>
      </c>
      <c r="CV35" s="11">
        <v>1.5963567614555358</v>
      </c>
      <c r="CW35">
        <v>0.06</v>
      </c>
      <c r="CX35">
        <v>10.183184685561667</v>
      </c>
      <c r="CY35">
        <v>165907331.75991842</v>
      </c>
      <c r="CZ35">
        <v>0.21283980458974838</v>
      </c>
      <c r="DA35">
        <v>3.0035082246601372</v>
      </c>
      <c r="DB35">
        <v>562497211.13754296</v>
      </c>
      <c r="DC35">
        <v>0.20219781436026096</v>
      </c>
      <c r="DD35">
        <v>1.2815214024764596</v>
      </c>
      <c r="DE35">
        <v>1318327572.7859206</v>
      </c>
      <c r="DF35">
        <v>0.18729902803897858</v>
      </c>
      <c r="DG35">
        <v>0.64950460964673196</v>
      </c>
      <c r="DH35">
        <v>2601159368.0896378</v>
      </c>
      <c r="DI35">
        <v>0.17027184367179871</v>
      </c>
      <c r="DJ35">
        <v>0.22480718357239132</v>
      </c>
      <c r="DK35">
        <v>7515173550.7418365</v>
      </c>
      <c r="DL35">
        <v>0.14898786321282387</v>
      </c>
      <c r="DM35">
        <v>145000000</v>
      </c>
      <c r="DN35">
        <v>0.21283980458974838</v>
      </c>
      <c r="DO35">
        <v>1689465000</v>
      </c>
      <c r="DP35">
        <v>811146400</v>
      </c>
      <c r="DQ35">
        <v>1251</v>
      </c>
      <c r="DR35">
        <v>9.3130344663982789E-2</v>
      </c>
      <c r="DS35">
        <v>-0.15260102909694795</v>
      </c>
      <c r="DT35" s="12">
        <v>-0.32333333333333331</v>
      </c>
      <c r="DU35">
        <v>0.79333333333333333</v>
      </c>
      <c r="DV35">
        <v>0.47000000000000003</v>
      </c>
      <c r="DW35">
        <v>-2.1092</v>
      </c>
      <c r="DX35">
        <v>0.30860920905932004</v>
      </c>
      <c r="DY35">
        <v>-2.0140441256292778</v>
      </c>
      <c r="DZ35">
        <v>752</v>
      </c>
      <c r="EA35">
        <v>-2.0119773580219946</v>
      </c>
      <c r="EB35">
        <v>2</v>
      </c>
      <c r="EC35">
        <v>3.2709818202554947E-2</v>
      </c>
      <c r="ED35">
        <v>0.25433494937002488</v>
      </c>
      <c r="EE35" s="13">
        <v>-1.00661</v>
      </c>
      <c r="EF35">
        <v>-1.0239100000000001</v>
      </c>
      <c r="EG35">
        <v>18.12860920905932</v>
      </c>
      <c r="EH35" t="s">
        <v>1563</v>
      </c>
      <c r="EI35">
        <v>0</v>
      </c>
      <c r="EJ35">
        <v>1</v>
      </c>
      <c r="EK35" s="15">
        <v>45470</v>
      </c>
      <c r="EL35" s="16">
        <v>0.96</v>
      </c>
      <c r="EM35" s="16">
        <v>-4.0999999999999996</v>
      </c>
      <c r="EN35" s="16">
        <v>1.32</v>
      </c>
      <c r="EO35" s="16">
        <v>3.41</v>
      </c>
      <c r="EP35" s="16">
        <v>-1.73</v>
      </c>
    </row>
    <row r="36" spans="1:146" ht="108" x14ac:dyDescent="0.25">
      <c r="C36" s="8" t="str">
        <f>""&amp;CHAR(10)&amp;Basic_Fundamental_Information_Constructure(F36)&amp;CHAR(10)&amp;Basic_Fundamental_Information_Concatenate("")</f>
        <v xml:space="preserve">
市值34.2408亿, 利润4809.36万; PE60.97; 平均PE246.5; 平均PEG21.72, PB4.7; ROIC4.12%; ROE4.52%; 股利率.5783%; 毛利21.67%; 净利4.9533%; 上一年度营收增30.27%, 利润增75.64%; 当季营收增41.67%, 利润增35.19%; 过往5年营收增11.35%, 利润增-19.7%
Income profile:
</v>
      </c>
      <c r="D36" t="s">
        <v>537</v>
      </c>
      <c r="E36" t="s">
        <v>12</v>
      </c>
      <c r="F36">
        <v>25.94</v>
      </c>
      <c r="G36">
        <v>0.27</v>
      </c>
      <c r="H36" t="s">
        <v>2933</v>
      </c>
      <c r="I36">
        <v>3424080000</v>
      </c>
      <c r="J36">
        <v>60.97</v>
      </c>
      <c r="K36">
        <v>4.7</v>
      </c>
      <c r="L36" t="s">
        <v>101</v>
      </c>
      <c r="M36" t="s">
        <v>293</v>
      </c>
      <c r="N36" t="s">
        <v>2147</v>
      </c>
      <c r="O36" t="s">
        <v>131</v>
      </c>
      <c r="P36">
        <v>41.62</v>
      </c>
      <c r="Q36" t="s">
        <v>1997</v>
      </c>
      <c r="R36">
        <v>31006236</v>
      </c>
      <c r="S36" s="6">
        <v>0.35189999999999999</v>
      </c>
      <c r="T36" t="s">
        <v>2934</v>
      </c>
      <c r="U36">
        <v>118434525</v>
      </c>
      <c r="V36">
        <v>132000000</v>
      </c>
      <c r="W36">
        <v>1.45</v>
      </c>
      <c r="X36">
        <v>0.27</v>
      </c>
      <c r="Y36">
        <v>11.38</v>
      </c>
      <c r="Z36" t="s">
        <v>276</v>
      </c>
      <c r="AA36" t="s">
        <v>467</v>
      </c>
      <c r="AB36" t="s">
        <v>2935</v>
      </c>
      <c r="AC36" t="s">
        <v>2936</v>
      </c>
      <c r="AD36" t="s">
        <v>5</v>
      </c>
      <c r="AE36">
        <v>-363928</v>
      </c>
      <c r="AF36" t="s">
        <v>2937</v>
      </c>
      <c r="AG36" t="s">
        <v>5</v>
      </c>
      <c r="AH36" t="s">
        <v>2938</v>
      </c>
      <c r="AI36" t="s">
        <v>114</v>
      </c>
      <c r="AJ36" t="s">
        <v>2939</v>
      </c>
      <c r="AK36" t="s">
        <v>5</v>
      </c>
      <c r="AL36" t="s">
        <v>2940</v>
      </c>
      <c r="AM36" t="s">
        <v>5</v>
      </c>
      <c r="AN36" t="s">
        <v>2941</v>
      </c>
      <c r="AO36" t="s">
        <v>5</v>
      </c>
      <c r="AP36" t="s">
        <v>2942</v>
      </c>
      <c r="AQ36" t="s">
        <v>839</v>
      </c>
      <c r="AR36" t="s">
        <v>5</v>
      </c>
      <c r="AS36" t="s">
        <v>504</v>
      </c>
      <c r="AT36" t="s">
        <v>5</v>
      </c>
      <c r="AU36" t="s">
        <v>2943</v>
      </c>
      <c r="AV36" t="s">
        <v>2944</v>
      </c>
      <c r="AW36" t="s">
        <v>2945</v>
      </c>
      <c r="AX36" t="s">
        <v>133</v>
      </c>
      <c r="AY36" t="s">
        <v>397</v>
      </c>
      <c r="AZ36" t="s">
        <v>539</v>
      </c>
      <c r="BA36" t="s">
        <v>539</v>
      </c>
      <c r="BB36" t="s">
        <v>318</v>
      </c>
      <c r="BC36" t="s">
        <v>2946</v>
      </c>
      <c r="BD36" t="s">
        <v>1387</v>
      </c>
      <c r="BE36" t="s">
        <v>933</v>
      </c>
      <c r="BF36" t="s">
        <v>540</v>
      </c>
      <c r="BG36" t="s">
        <v>934</v>
      </c>
      <c r="BH36" t="s">
        <v>1997</v>
      </c>
      <c r="BI36" t="s">
        <v>916</v>
      </c>
      <c r="BJ36" t="s">
        <v>133</v>
      </c>
      <c r="BK36" t="s">
        <v>2934</v>
      </c>
      <c r="BL36" t="s">
        <v>2947</v>
      </c>
      <c r="BM36" t="s">
        <v>2946</v>
      </c>
      <c r="BN36">
        <v>6.23</v>
      </c>
      <c r="BO36">
        <v>4.12</v>
      </c>
      <c r="BP36">
        <v>2.0099999999999998</v>
      </c>
      <c r="BQ36">
        <v>7.3</v>
      </c>
      <c r="BR36">
        <v>4.26</v>
      </c>
      <c r="BS36">
        <v>2</v>
      </c>
      <c r="BT36" t="s">
        <v>1726</v>
      </c>
      <c r="BU36" t="s">
        <v>1537</v>
      </c>
      <c r="BV36">
        <v>25.27</v>
      </c>
      <c r="BW36">
        <v>21.06</v>
      </c>
      <c r="BX36">
        <v>18.68</v>
      </c>
      <c r="BY36">
        <v>7.21</v>
      </c>
      <c r="BZ36">
        <v>5.34</v>
      </c>
      <c r="CA36">
        <v>2.31</v>
      </c>
      <c r="CB36">
        <v>-7.98</v>
      </c>
      <c r="CC36">
        <v>-29.03</v>
      </c>
      <c r="CD36" t="s">
        <v>2948</v>
      </c>
      <c r="CE36" t="s">
        <v>2949</v>
      </c>
      <c r="CF36" s="10">
        <v>0.41666666666666669</v>
      </c>
      <c r="CG36" s="11">
        <v>0.35185301773187244</v>
      </c>
      <c r="CH36" s="10">
        <v>0.302734375</v>
      </c>
      <c r="CI36" s="10">
        <v>-5.1851850003004074E-2</v>
      </c>
      <c r="CJ36" s="10">
        <v>0.36708861589431763</v>
      </c>
      <c r="CK36" s="10">
        <v>0</v>
      </c>
      <c r="CL36" s="10">
        <v>-5.0480768084526062E-2</v>
      </c>
      <c r="CM36" s="11">
        <v>0.75642681121826172</v>
      </c>
      <c r="CN36" s="11">
        <v>1.1905726194381714</v>
      </c>
      <c r="CO36" s="11">
        <v>1.5169395208358765</v>
      </c>
      <c r="CP36" s="11">
        <v>-4.1091938018798828</v>
      </c>
      <c r="CQ36" s="11">
        <v>-0.33951607346534729</v>
      </c>
      <c r="CR36">
        <v>246.49540531493301</v>
      </c>
      <c r="CS36">
        <v>21.718025285237474</v>
      </c>
      <c r="CT36">
        <v>0.57825751734772546</v>
      </c>
      <c r="CU36" s="10">
        <v>0.11349807456135749</v>
      </c>
      <c r="CV36" s="11">
        <v>-0.1969541847705841</v>
      </c>
      <c r="CW36">
        <v>0.06</v>
      </c>
      <c r="CX36">
        <v>58.848541434795294</v>
      </c>
      <c r="CY36">
        <v>50520878.300683104</v>
      </c>
      <c r="CZ36">
        <v>0.11349807456135749</v>
      </c>
      <c r="DA36">
        <v>18.853285421663298</v>
      </c>
      <c r="DB36">
        <v>157695591.6969142</v>
      </c>
      <c r="DC36">
        <v>0.10782317083328961</v>
      </c>
      <c r="DD36">
        <v>9.0358480844731606</v>
      </c>
      <c r="DE36">
        <v>329031649.51487195</v>
      </c>
      <c r="DF36">
        <v>9.9878305613994592E-2</v>
      </c>
      <c r="DG36">
        <v>5.2630583699237317</v>
      </c>
      <c r="DH36">
        <v>564895882.01984608</v>
      </c>
      <c r="DI36">
        <v>9.0798459649086005E-2</v>
      </c>
      <c r="DJ36">
        <v>2.5397788979348261</v>
      </c>
      <c r="DK36">
        <v>1170605835.9715898</v>
      </c>
      <c r="DL36">
        <v>7.9448652192950234E-2</v>
      </c>
      <c r="DM36">
        <v>48093600</v>
      </c>
      <c r="DN36">
        <v>0.11349807456135749</v>
      </c>
      <c r="DO36">
        <v>2973080000</v>
      </c>
      <c r="DP36">
        <v>404074930</v>
      </c>
      <c r="DQ36">
        <v>1255</v>
      </c>
      <c r="DR36">
        <v>0.30316859210530922</v>
      </c>
      <c r="DS36">
        <v>0.54880720250245651</v>
      </c>
      <c r="DT36" s="12">
        <v>-0.14000000000000001</v>
      </c>
      <c r="DU36">
        <v>0.59</v>
      </c>
      <c r="DV36">
        <v>0.44999999999999996</v>
      </c>
      <c r="DW36">
        <v>-9.2748880468480888</v>
      </c>
      <c r="DX36">
        <v>0.48175174383758929</v>
      </c>
      <c r="DY36">
        <v>-9.0472125014062676</v>
      </c>
      <c r="DZ36">
        <v>779</v>
      </c>
      <c r="EA36">
        <v>-9.0400151357320055</v>
      </c>
      <c r="EB36">
        <v>9</v>
      </c>
      <c r="EC36">
        <v>5.1017424242424232E-2</v>
      </c>
      <c r="ED36">
        <v>0.29704166666666665</v>
      </c>
      <c r="EE36" s="13">
        <v>1.0739099999999999</v>
      </c>
      <c r="EF36">
        <v>1.0879099999999999</v>
      </c>
      <c r="EG36">
        <v>31.171751743837589</v>
      </c>
      <c r="EH36" t="s">
        <v>1815</v>
      </c>
      <c r="EI36">
        <v>0</v>
      </c>
      <c r="EJ36">
        <v>1</v>
      </c>
      <c r="EK36" s="15">
        <v>45470</v>
      </c>
      <c r="EL36" s="16">
        <v>2.5499999999999998</v>
      </c>
      <c r="EM36" s="16">
        <v>-5.21</v>
      </c>
      <c r="EN36" s="16">
        <v>-1.35</v>
      </c>
      <c r="EO36" s="16">
        <v>7.0000000000000007E-2</v>
      </c>
      <c r="EP36" s="16">
        <v>-1.4</v>
      </c>
    </row>
    <row r="37" spans="1:146" ht="96" x14ac:dyDescent="0.25">
      <c r="C37" s="8" t="str">
        <f>""&amp;CHAR(10)&amp;Basic_Fundamental_Information_Constructure(F37)&amp;CHAR(10)&amp;Basic_Fundamental_Information_Concatenate("")</f>
        <v xml:space="preserve">
市值38.112563亿, 利润2.45亿; PE14.29; 平均PE-19.97; 平均PEG-4.54, PB8.2; ROIC0%; ROE-90.51%; 股利率0%; 毛利8.1467%; 净利-7.5167%; 上一年度营收增-10.59%, 利润增194.96%; 当季营收增-11.94%, 利润增43.59%; 过往5年营收增-4.4%, 利润增-116.84%
Income profile:
</v>
      </c>
      <c r="D37" t="s">
        <v>541</v>
      </c>
      <c r="E37" t="s">
        <v>28</v>
      </c>
      <c r="F37">
        <v>7.69</v>
      </c>
      <c r="G37">
        <v>0.92</v>
      </c>
      <c r="H37" t="s">
        <v>2950</v>
      </c>
      <c r="I37">
        <v>3811256300</v>
      </c>
      <c r="J37">
        <v>14.29</v>
      </c>
      <c r="K37">
        <v>8.1999999999999993</v>
      </c>
      <c r="L37" t="s">
        <v>101</v>
      </c>
      <c r="M37" t="s">
        <v>2951</v>
      </c>
      <c r="N37" t="s">
        <v>2197</v>
      </c>
      <c r="O37" t="s">
        <v>1565</v>
      </c>
      <c r="P37">
        <v>-11.97</v>
      </c>
      <c r="Q37" t="s">
        <v>2952</v>
      </c>
      <c r="R37">
        <v>-28298189</v>
      </c>
      <c r="S37" s="6">
        <v>0.43590000000000001</v>
      </c>
      <c r="T37" t="s">
        <v>346</v>
      </c>
      <c r="U37">
        <v>493862000</v>
      </c>
      <c r="V37">
        <v>495612000</v>
      </c>
      <c r="W37">
        <v>8.84</v>
      </c>
      <c r="X37">
        <v>0.13</v>
      </c>
      <c r="Y37">
        <v>-5.52</v>
      </c>
      <c r="Z37" t="s">
        <v>535</v>
      </c>
      <c r="AA37" t="s">
        <v>2100</v>
      </c>
      <c r="AB37" t="s">
        <v>2953</v>
      </c>
      <c r="AC37" t="s">
        <v>2954</v>
      </c>
      <c r="AD37" t="s">
        <v>5</v>
      </c>
      <c r="AE37">
        <v>26238399</v>
      </c>
      <c r="AF37" t="s">
        <v>2955</v>
      </c>
      <c r="AG37" t="s">
        <v>2956</v>
      </c>
      <c r="AH37" t="s">
        <v>2957</v>
      </c>
      <c r="AI37" t="s">
        <v>2958</v>
      </c>
      <c r="AJ37" t="s">
        <v>2959</v>
      </c>
      <c r="AK37" t="s">
        <v>386</v>
      </c>
      <c r="AL37" t="s">
        <v>2960</v>
      </c>
      <c r="AM37" t="s">
        <v>5</v>
      </c>
      <c r="AN37" t="s">
        <v>2961</v>
      </c>
      <c r="AO37" t="s">
        <v>2197</v>
      </c>
      <c r="AP37" t="s">
        <v>255</v>
      </c>
      <c r="AQ37" t="s">
        <v>1997</v>
      </c>
      <c r="AR37" t="s">
        <v>5</v>
      </c>
      <c r="AS37" t="s">
        <v>2962</v>
      </c>
      <c r="AT37" t="s">
        <v>451</v>
      </c>
      <c r="AU37" t="s">
        <v>2963</v>
      </c>
      <c r="AV37" t="s">
        <v>2964</v>
      </c>
      <c r="AW37" t="s">
        <v>2965</v>
      </c>
      <c r="AX37" t="s">
        <v>1913</v>
      </c>
      <c r="AY37" t="s">
        <v>1388</v>
      </c>
      <c r="AZ37" t="s">
        <v>935</v>
      </c>
      <c r="BA37" t="s">
        <v>543</v>
      </c>
      <c r="BB37" t="s">
        <v>883</v>
      </c>
      <c r="BC37" t="s">
        <v>1665</v>
      </c>
      <c r="BD37" t="s">
        <v>1914</v>
      </c>
      <c r="BE37" t="s">
        <v>936</v>
      </c>
      <c r="BF37" t="s">
        <v>544</v>
      </c>
      <c r="BG37" t="s">
        <v>937</v>
      </c>
      <c r="BH37" t="s">
        <v>2952</v>
      </c>
      <c r="BI37" t="s">
        <v>554</v>
      </c>
      <c r="BJ37" t="s">
        <v>1913</v>
      </c>
      <c r="BK37" t="s">
        <v>346</v>
      </c>
      <c r="BL37" t="s">
        <v>2966</v>
      </c>
      <c r="BM37" t="s">
        <v>1665</v>
      </c>
      <c r="BN37" t="s">
        <v>5</v>
      </c>
      <c r="BO37" t="s">
        <v>5</v>
      </c>
      <c r="BP37" t="s">
        <v>5</v>
      </c>
      <c r="BQ37">
        <v>-100.17</v>
      </c>
      <c r="BR37">
        <v>-69.41</v>
      </c>
      <c r="BS37">
        <v>-101.95</v>
      </c>
      <c r="BT37" t="s">
        <v>1720</v>
      </c>
      <c r="BU37" t="s">
        <v>1537</v>
      </c>
      <c r="BV37">
        <v>8.9700000000000006</v>
      </c>
      <c r="BW37">
        <v>9.76</v>
      </c>
      <c r="BX37">
        <v>5.71</v>
      </c>
      <c r="BY37">
        <v>10.029999999999999</v>
      </c>
      <c r="BZ37">
        <v>-10.41</v>
      </c>
      <c r="CA37">
        <v>-22.17</v>
      </c>
      <c r="CB37">
        <v>-4.1100000000000003</v>
      </c>
      <c r="CC37">
        <v>-16.23</v>
      </c>
      <c r="CD37" t="s">
        <v>2967</v>
      </c>
      <c r="CE37" t="s">
        <v>995</v>
      </c>
      <c r="CF37" s="10">
        <v>-0.11940298507462696</v>
      </c>
      <c r="CG37" s="11">
        <v>0.43591349987242456</v>
      </c>
      <c r="CH37" s="10">
        <v>-0.10589144378900528</v>
      </c>
      <c r="CI37" s="10">
        <v>-2.8795788064599037E-2</v>
      </c>
      <c r="CJ37" s="10">
        <v>-0.17520050704479218</v>
      </c>
      <c r="CK37" s="10">
        <v>0.16660661995410919</v>
      </c>
      <c r="CL37" s="10">
        <v>-7.6744124293327332E-2</v>
      </c>
      <c r="CM37" s="11">
        <v>1.9496123790740967</v>
      </c>
      <c r="CN37" s="11">
        <v>0.55972695350646973</v>
      </c>
      <c r="CO37" s="11">
        <v>-0.80307692289352417</v>
      </c>
      <c r="CP37" s="11">
        <v>-0.23574145138263702</v>
      </c>
      <c r="CQ37" s="11">
        <v>-7.3125710487365723</v>
      </c>
      <c r="CR37">
        <v>-19.965770601511121</v>
      </c>
      <c r="CS37">
        <v>-4.5371545345706616</v>
      </c>
      <c r="CT37">
        <v>0</v>
      </c>
      <c r="CU37" s="10">
        <v>-4.4005048647522929E-2</v>
      </c>
      <c r="CV37" s="11">
        <v>-1.1684100180864334</v>
      </c>
      <c r="CW37">
        <v>0.06</v>
      </c>
      <c r="CX37" t="e">
        <v>#VALUE!</v>
      </c>
      <c r="CY37" t="s">
        <v>1556</v>
      </c>
      <c r="CZ37">
        <v>-4.4005048647522929E-2</v>
      </c>
      <c r="DA37">
        <v>9.5268793197278914</v>
      </c>
      <c r="DB37" t="s">
        <v>2968</v>
      </c>
      <c r="DC37">
        <v>-4.1804796215146781E-2</v>
      </c>
      <c r="DD37">
        <v>4.7634396598639457</v>
      </c>
      <c r="DE37" t="s">
        <v>2969</v>
      </c>
      <c r="DF37">
        <v>-3.8724442809820181E-2</v>
      </c>
      <c r="DG37">
        <v>2.8580637959183672</v>
      </c>
      <c r="DH37" t="s">
        <v>2970</v>
      </c>
      <c r="DI37">
        <v>-3.5204038918018342E-2</v>
      </c>
      <c r="DJ37">
        <v>1.4290318979591836</v>
      </c>
      <c r="DK37" t="s">
        <v>2971</v>
      </c>
      <c r="DL37">
        <v>-3.0803534053266048E-2</v>
      </c>
      <c r="DM37">
        <v>245000000.00000003</v>
      </c>
      <c r="DN37">
        <v>-4.4005048647522929E-2</v>
      </c>
      <c r="DO37">
        <v>7002256300</v>
      </c>
      <c r="DP37">
        <v>-1345764200</v>
      </c>
      <c r="DQ37">
        <v>1260</v>
      </c>
      <c r="DR37">
        <v>-7.5397936427104031E-2</v>
      </c>
      <c r="DS37">
        <v>1.604323517958858</v>
      </c>
      <c r="DT37" s="12">
        <v>-0.45666666666666672</v>
      </c>
      <c r="DU37">
        <v>-2.6983333333333328</v>
      </c>
      <c r="DV37">
        <v>-3.1549999999999994</v>
      </c>
      <c r="DW37">
        <v>-8.2532347504621075</v>
      </c>
      <c r="DX37">
        <v>0.39338782905982966</v>
      </c>
      <c r="DY37">
        <v>-8.0540372136436158</v>
      </c>
      <c r="DZ37">
        <v>4951</v>
      </c>
      <c r="EA37">
        <v>-8.0016813927532944</v>
      </c>
      <c r="EB37">
        <v>8</v>
      </c>
      <c r="EC37">
        <v>0.20149935836904675</v>
      </c>
      <c r="ED37">
        <v>0.94428706326723322</v>
      </c>
      <c r="EE37" s="13">
        <v>-1.0553999999999999</v>
      </c>
      <c r="EF37">
        <v>-1.0262</v>
      </c>
      <c r="EG37">
        <v>18.21338782905983</v>
      </c>
      <c r="EH37" t="s">
        <v>1813</v>
      </c>
      <c r="EI37">
        <v>0</v>
      </c>
      <c r="EJ37">
        <v>0</v>
      </c>
      <c r="EK37" s="15">
        <v>45470</v>
      </c>
      <c r="EL37" s="16">
        <v>-1</v>
      </c>
      <c r="EM37" s="16">
        <v>-4.55</v>
      </c>
      <c r="EN37" s="16">
        <v>10.050000000000001</v>
      </c>
      <c r="EO37" s="16">
        <v>-1.32</v>
      </c>
      <c r="EP37" s="16">
        <v>-2.92</v>
      </c>
    </row>
    <row r="38" spans="1:146" ht="96" x14ac:dyDescent="0.25">
      <c r="C38" s="8" t="str">
        <f>""&amp;CHAR(10)&amp;Basic_Fundamental_Information_Constructure(F38)&amp;CHAR(10)&amp;Basic_Fundamental_Information_Concatenate("")</f>
        <v xml:space="preserve">
市值10.27亿, 利润-6258.01万; PE; 平均PE-25.29; 平均PEG-11.83, PB3.86; ROIC3.13%; ROE-7.8367%; 股利率0%; 毛利13.74%; 净利-43.6633%; 上一年度营收增66.94%, 利润增22.81%; 当季营收增-84.49%, 利润增26.82%; 过往5年营收增-2.14%, 利润增-340.09%
Income profile:
</v>
      </c>
      <c r="D38" t="s">
        <v>546</v>
      </c>
      <c r="E38" t="s">
        <v>1915</v>
      </c>
      <c r="F38">
        <v>10.27</v>
      </c>
      <c r="G38">
        <v>0.79</v>
      </c>
      <c r="H38" t="s">
        <v>2972</v>
      </c>
      <c r="I38">
        <v>1027000000</v>
      </c>
      <c r="K38">
        <v>3.86</v>
      </c>
      <c r="L38" t="s">
        <v>101</v>
      </c>
      <c r="M38" t="s">
        <v>2973</v>
      </c>
      <c r="N38" t="s">
        <v>506</v>
      </c>
      <c r="O38" t="s">
        <v>2974</v>
      </c>
      <c r="P38">
        <v>-84.49</v>
      </c>
      <c r="Q38" t="s">
        <v>237</v>
      </c>
      <c r="R38">
        <v>-9589802</v>
      </c>
      <c r="S38" s="6">
        <v>0.26819999999999999</v>
      </c>
      <c r="T38" t="s">
        <v>2975</v>
      </c>
      <c r="U38">
        <v>100000000</v>
      </c>
      <c r="V38">
        <v>100000000</v>
      </c>
      <c r="W38">
        <v>1.18</v>
      </c>
      <c r="X38">
        <v>0.01</v>
      </c>
      <c r="Y38">
        <v>-238.63</v>
      </c>
      <c r="Z38" t="s">
        <v>2976</v>
      </c>
      <c r="AA38" t="s">
        <v>2977</v>
      </c>
      <c r="AB38" t="s">
        <v>2978</v>
      </c>
      <c r="AC38" t="s">
        <v>2979</v>
      </c>
      <c r="AD38" t="s">
        <v>5</v>
      </c>
      <c r="AE38">
        <v>200612</v>
      </c>
      <c r="AF38" t="s">
        <v>2980</v>
      </c>
      <c r="AG38" t="s">
        <v>2981</v>
      </c>
      <c r="AH38" t="s">
        <v>2982</v>
      </c>
      <c r="AI38" t="s">
        <v>2983</v>
      </c>
      <c r="AJ38" t="s">
        <v>2984</v>
      </c>
      <c r="AK38" t="s">
        <v>2985</v>
      </c>
      <c r="AL38" t="s">
        <v>2986</v>
      </c>
      <c r="AM38" t="s">
        <v>5</v>
      </c>
      <c r="AN38" t="s">
        <v>2987</v>
      </c>
      <c r="AO38" t="s">
        <v>5</v>
      </c>
      <c r="AP38" t="s">
        <v>5</v>
      </c>
      <c r="AQ38" t="s">
        <v>2988</v>
      </c>
      <c r="AR38" t="s">
        <v>5</v>
      </c>
      <c r="AS38" t="s">
        <v>2989</v>
      </c>
      <c r="AT38" t="s">
        <v>5</v>
      </c>
      <c r="AU38" t="s">
        <v>2990</v>
      </c>
      <c r="AV38" t="s">
        <v>2991</v>
      </c>
      <c r="AW38" t="s">
        <v>2992</v>
      </c>
      <c r="AX38" t="s">
        <v>1916</v>
      </c>
      <c r="AY38" t="s">
        <v>388</v>
      </c>
      <c r="AZ38" t="s">
        <v>572</v>
      </c>
      <c r="BA38" t="s">
        <v>237</v>
      </c>
      <c r="BB38" t="s">
        <v>939</v>
      </c>
      <c r="BC38" t="s">
        <v>1917</v>
      </c>
      <c r="BD38" t="s">
        <v>1390</v>
      </c>
      <c r="BE38" t="s">
        <v>938</v>
      </c>
      <c r="BF38" t="s">
        <v>547</v>
      </c>
      <c r="BG38" t="s">
        <v>941</v>
      </c>
      <c r="BH38" t="s">
        <v>237</v>
      </c>
      <c r="BI38" t="s">
        <v>2993</v>
      </c>
      <c r="BJ38" t="s">
        <v>1916</v>
      </c>
      <c r="BK38" t="s">
        <v>2975</v>
      </c>
      <c r="BL38" t="s">
        <v>2994</v>
      </c>
      <c r="BM38" t="s">
        <v>1917</v>
      </c>
      <c r="BN38" t="s">
        <v>5</v>
      </c>
      <c r="BO38" t="s">
        <v>5</v>
      </c>
      <c r="BP38">
        <v>3.13</v>
      </c>
      <c r="BQ38">
        <v>-5.32</v>
      </c>
      <c r="BR38">
        <v>-21.41</v>
      </c>
      <c r="BS38">
        <v>3.22</v>
      </c>
      <c r="BT38" t="s">
        <v>1720</v>
      </c>
      <c r="BU38" t="s">
        <v>1537</v>
      </c>
      <c r="BV38">
        <v>5.46</v>
      </c>
      <c r="BW38">
        <v>10.44</v>
      </c>
      <c r="BX38">
        <v>25.32</v>
      </c>
      <c r="BY38">
        <v>-43.63</v>
      </c>
      <c r="BZ38">
        <v>-93.99</v>
      </c>
      <c r="CA38">
        <v>6.63</v>
      </c>
      <c r="CB38">
        <v>1.99</v>
      </c>
      <c r="CC38">
        <v>-6.47</v>
      </c>
      <c r="CD38" t="s">
        <v>2995</v>
      </c>
      <c r="CE38" t="s">
        <v>2996</v>
      </c>
      <c r="CF38" s="10">
        <v>-0.84486861008021075</v>
      </c>
      <c r="CG38" s="11">
        <v>0.26820542561715444</v>
      </c>
      <c r="CH38" s="10">
        <v>0.6694452166557312</v>
      </c>
      <c r="CI38" s="10">
        <v>-0.56871902942657471</v>
      </c>
      <c r="CJ38" s="10">
        <v>0.3333333432674408</v>
      </c>
      <c r="CK38" s="10">
        <v>4.1666667908430099E-2</v>
      </c>
      <c r="CL38" s="10">
        <v>-0.58260869979858398</v>
      </c>
      <c r="CM38" s="11">
        <v>0.22807799279689789</v>
      </c>
      <c r="CN38" s="11">
        <v>-7.1061310768127441</v>
      </c>
      <c r="CO38" s="11">
        <v>1.2590700387954712</v>
      </c>
      <c r="CP38" s="11">
        <v>0.25108763575553894</v>
      </c>
      <c r="CQ38" s="11">
        <v>-11.636724472045898</v>
      </c>
      <c r="CR38">
        <v>-25.293604067664702</v>
      </c>
      <c r="CS38">
        <v>-11.832434560326227</v>
      </c>
      <c r="CT38">
        <v>0</v>
      </c>
      <c r="CU38" s="10">
        <v>-2.1376500278711318E-2</v>
      </c>
      <c r="CV38" s="11">
        <v>-3.4009239763021468</v>
      </c>
      <c r="CW38">
        <v>0.06</v>
      </c>
      <c r="CX38" t="e">
        <v>#VALUE!</v>
      </c>
      <c r="CY38" t="s">
        <v>1552</v>
      </c>
      <c r="CZ38">
        <v>-2.1376500278711318E-2</v>
      </c>
      <c r="DA38" t="e">
        <v>#VALUE!</v>
      </c>
      <c r="DB38" t="s">
        <v>1549</v>
      </c>
      <c r="DC38">
        <v>-2.0307675264775751E-2</v>
      </c>
      <c r="DD38" t="e">
        <v>#VALUE!</v>
      </c>
      <c r="DE38" t="s">
        <v>1549</v>
      </c>
      <c r="DF38">
        <v>-1.881132024526596E-2</v>
      </c>
      <c r="DG38" t="e">
        <v>#VALUE!</v>
      </c>
      <c r="DH38" t="s">
        <v>1549</v>
      </c>
      <c r="DI38">
        <v>-1.7101200222969053E-2</v>
      </c>
      <c r="DJ38" t="e">
        <v>#VALUE!</v>
      </c>
      <c r="DK38" t="s">
        <v>1549</v>
      </c>
      <c r="DL38">
        <v>-1.4963550195097921E-2</v>
      </c>
      <c r="DM38">
        <v>-62580100</v>
      </c>
      <c r="DN38">
        <v>-2.1376500278711318E-2</v>
      </c>
      <c r="DO38">
        <v>834737900</v>
      </c>
      <c r="DP38">
        <v>200830910</v>
      </c>
      <c r="DQ38">
        <v>1287</v>
      </c>
      <c r="DR38">
        <v>-0.82349210980149945</v>
      </c>
      <c r="DS38">
        <v>3.6691294019193013</v>
      </c>
      <c r="DT38" s="12">
        <v>-0.22333333333333336</v>
      </c>
      <c r="DU38">
        <v>-1.8550000000000002</v>
      </c>
      <c r="DV38">
        <v>-2.0783333333333336</v>
      </c>
      <c r="DW38">
        <v>-2.0647000000000002</v>
      </c>
      <c r="DX38">
        <v>0.40427193423922264</v>
      </c>
      <c r="DY38">
        <v>-2.0041583941452776</v>
      </c>
      <c r="DZ38">
        <v>4441</v>
      </c>
      <c r="EA38">
        <v>-2.0005444159849688</v>
      </c>
      <c r="EB38">
        <v>2</v>
      </c>
      <c r="EC38">
        <v>9.195E-3</v>
      </c>
      <c r="ED38">
        <v>0.14306400000000002</v>
      </c>
      <c r="EE38" s="13">
        <v>3.0968100000000001</v>
      </c>
      <c r="EF38">
        <v>3.1086100000000001</v>
      </c>
      <c r="EG38">
        <v>34.064271934239223</v>
      </c>
      <c r="EH38" t="s">
        <v>1848</v>
      </c>
      <c r="EI38">
        <v>0</v>
      </c>
      <c r="EJ38">
        <v>0</v>
      </c>
      <c r="EK38" s="15">
        <v>45470</v>
      </c>
      <c r="EL38" s="16">
        <v>0.39</v>
      </c>
      <c r="EM38" s="16">
        <v>-0.39</v>
      </c>
      <c r="EN38" s="16">
        <v>-0.3</v>
      </c>
      <c r="EO38" s="16">
        <v>0.69</v>
      </c>
      <c r="EP38" s="16">
        <v>-1.18</v>
      </c>
    </row>
    <row r="39" spans="1:146" ht="136.5" customHeight="1" x14ac:dyDescent="0.25">
      <c r="A39" s="8" t="s">
        <v>1330</v>
      </c>
      <c r="B39" s="8" t="s">
        <v>1331</v>
      </c>
      <c r="C39" s="8" t="str">
        <f>"公司是专注于板式家具机械专用设备的研发、设计、生产和销售。自设立以来，深耕数控技术研发、整机和机械构造创新设计、整机总装与软件系统集成领域，致力于为客户提供数控化、信息化的全方面家具生产线整体解决方案。"&amp;CHAR(10)&amp;Basic_Fundamental_Information_Constructure(F39)&amp;CHAR(10)&amp;Basic_Fundamental_Information_Concatenate("封边机 4.63亿 44.09% 65.89% 42.55%
数控钻(含多排钻) 1.83亿 17.40% 12.52% 20.49%
加工中心 1.77亿 16.84% 11.21% 18.96%
裁板锯 1.07亿 10.19% 6.95% 19.42%")</f>
        <v>公司是专注于板式家具机械专用设备的研发、设计、生产和销售。自设立以来，深耕数控技术研发、整机和机械构造创新设计、整机总装与软件系统集成领域，致力于为客户提供数控化、信息化的全方面家具生产线整体解决方案。
市值72.79791亿, 利润5.90亿; PE11.96; 平均PE17.53; 平均PEG.92, PB2.69; ROIC17.4467%; ROE21.2267%; 股利率3.4965%; 毛利32.2133%; 净利22.34%; 上一年度营收增26.14%, 利润增29.67%; 当季营收增17.15%, 利润增15.05%; 过往5年营收增18.97%, 利润增18.66%
Income profile:
封边机 4.63亿 44.09% 65.89% 42.55%
数控钻(含多排钻) 1.83亿 17.40% 12.52% 20.49%
加工中心 1.77亿 16.84% 11.21% 18.96%
裁板锯 1.07亿 10.19% 6.95% 19.42%</v>
      </c>
      <c r="D39" t="s">
        <v>548</v>
      </c>
      <c r="E39" t="s">
        <v>67</v>
      </c>
      <c r="F39">
        <v>17.16</v>
      </c>
      <c r="G39">
        <v>-0.52</v>
      </c>
      <c r="H39" t="s">
        <v>2997</v>
      </c>
      <c r="I39">
        <v>7279791000</v>
      </c>
      <c r="J39">
        <v>11.96</v>
      </c>
      <c r="K39">
        <v>2.69</v>
      </c>
      <c r="L39" t="s">
        <v>101</v>
      </c>
      <c r="M39" t="s">
        <v>1165</v>
      </c>
      <c r="N39" t="s">
        <v>2998</v>
      </c>
      <c r="O39" t="s">
        <v>1714</v>
      </c>
      <c r="P39">
        <v>17.28</v>
      </c>
      <c r="Q39" t="s">
        <v>2589</v>
      </c>
      <c r="R39">
        <v>141511070</v>
      </c>
      <c r="S39" s="6">
        <v>0.15359999999999999</v>
      </c>
      <c r="T39" t="s">
        <v>1546</v>
      </c>
      <c r="U39">
        <v>247271750</v>
      </c>
      <c r="V39">
        <v>424230240</v>
      </c>
      <c r="W39">
        <v>1.43</v>
      </c>
      <c r="X39">
        <v>0.17</v>
      </c>
      <c r="Y39">
        <v>20.72</v>
      </c>
      <c r="Z39" t="s">
        <v>744</v>
      </c>
      <c r="AA39" t="s">
        <v>119</v>
      </c>
      <c r="AB39" t="s">
        <v>2999</v>
      </c>
      <c r="AC39" t="s">
        <v>3000</v>
      </c>
      <c r="AD39" t="s">
        <v>5</v>
      </c>
      <c r="AE39">
        <v>-3170301</v>
      </c>
      <c r="AF39" t="s">
        <v>3001</v>
      </c>
      <c r="AG39" t="s">
        <v>3002</v>
      </c>
      <c r="AH39" t="s">
        <v>3003</v>
      </c>
      <c r="AI39" t="s">
        <v>3004</v>
      </c>
      <c r="AJ39" t="s">
        <v>3005</v>
      </c>
      <c r="AK39" t="s">
        <v>3006</v>
      </c>
      <c r="AL39" t="s">
        <v>3007</v>
      </c>
      <c r="AM39" t="s">
        <v>5</v>
      </c>
      <c r="AN39" t="s">
        <v>630</v>
      </c>
      <c r="AO39" t="s">
        <v>3008</v>
      </c>
      <c r="AP39" t="s">
        <v>5</v>
      </c>
      <c r="AQ39" t="s">
        <v>584</v>
      </c>
      <c r="AR39" t="s">
        <v>3009</v>
      </c>
      <c r="AS39" t="s">
        <v>2217</v>
      </c>
      <c r="AT39" t="s">
        <v>3010</v>
      </c>
      <c r="AU39" t="s">
        <v>237</v>
      </c>
      <c r="AV39" t="s">
        <v>3011</v>
      </c>
      <c r="AW39" t="s">
        <v>3012</v>
      </c>
      <c r="AX39" t="s">
        <v>1918</v>
      </c>
      <c r="AY39" t="s">
        <v>1391</v>
      </c>
      <c r="AZ39" t="s">
        <v>942</v>
      </c>
      <c r="BA39" t="s">
        <v>550</v>
      </c>
      <c r="BB39" t="s">
        <v>944</v>
      </c>
      <c r="BC39" t="s">
        <v>253</v>
      </c>
      <c r="BD39" t="s">
        <v>334</v>
      </c>
      <c r="BE39" t="s">
        <v>894</v>
      </c>
      <c r="BF39" t="s">
        <v>504</v>
      </c>
      <c r="BG39" t="s">
        <v>511</v>
      </c>
      <c r="BH39" t="s">
        <v>2589</v>
      </c>
      <c r="BI39" t="s">
        <v>1568</v>
      </c>
      <c r="BJ39" t="s">
        <v>1918</v>
      </c>
      <c r="BK39" t="s">
        <v>1546</v>
      </c>
      <c r="BL39" t="s">
        <v>214</v>
      </c>
      <c r="BM39" t="s">
        <v>253</v>
      </c>
      <c r="BN39">
        <v>13.87</v>
      </c>
      <c r="BO39">
        <v>16.309999999999999</v>
      </c>
      <c r="BP39">
        <v>22.16</v>
      </c>
      <c r="BQ39">
        <v>17.79</v>
      </c>
      <c r="BR39">
        <v>19.2</v>
      </c>
      <c r="BS39">
        <v>26.69</v>
      </c>
      <c r="BT39" t="s">
        <v>1909</v>
      </c>
      <c r="BU39" t="s">
        <v>1537</v>
      </c>
      <c r="BV39">
        <v>33.28</v>
      </c>
      <c r="BW39">
        <v>30.25</v>
      </c>
      <c r="BX39">
        <v>33.11</v>
      </c>
      <c r="BY39">
        <v>22.05</v>
      </c>
      <c r="BZ39">
        <v>22.74</v>
      </c>
      <c r="CA39">
        <v>22.23</v>
      </c>
      <c r="CB39">
        <v>-5.92</v>
      </c>
      <c r="CC39">
        <v>-18.13</v>
      </c>
      <c r="CD39" t="s">
        <v>3013</v>
      </c>
      <c r="CE39" t="s">
        <v>3014</v>
      </c>
      <c r="CF39" s="10">
        <v>0.17147707979626486</v>
      </c>
      <c r="CG39" s="11">
        <v>0.15049650406504064</v>
      </c>
      <c r="CH39" s="10">
        <v>0.26140102744102478</v>
      </c>
      <c r="CI39" s="10">
        <v>-0.10291016101837158</v>
      </c>
      <c r="CJ39" s="10">
        <v>0.40378931164741516</v>
      </c>
      <c r="CK39" s="10">
        <v>0.28832942247390747</v>
      </c>
      <c r="CL39" s="10">
        <v>9.79900062084198E-2</v>
      </c>
      <c r="CM39" s="11">
        <v>0.29670330882072449</v>
      </c>
      <c r="CN39" s="11">
        <v>-0.125</v>
      </c>
      <c r="CO39" s="11">
        <v>0.47727271914482117</v>
      </c>
      <c r="CP39" s="11">
        <v>0.15789473056793213</v>
      </c>
      <c r="CQ39" s="11">
        <v>0.12592592835426331</v>
      </c>
      <c r="CR39">
        <v>17.534623042954635</v>
      </c>
      <c r="CS39">
        <v>0.92423731351659411</v>
      </c>
      <c r="CT39">
        <v>3.4965034965034967</v>
      </c>
      <c r="CU39" s="10">
        <v>0.18971992135047913</v>
      </c>
      <c r="CV39" s="11">
        <v>0.18655933737754821</v>
      </c>
      <c r="CW39">
        <v>0.06</v>
      </c>
      <c r="CX39">
        <v>8.2826479672207629</v>
      </c>
      <c r="CY39">
        <v>662202597.73281395</v>
      </c>
      <c r="CZ39">
        <v>0.18971992135047913</v>
      </c>
      <c r="DA39">
        <v>2.4899623252871268</v>
      </c>
      <c r="DB39">
        <v>2202760637.9014301</v>
      </c>
      <c r="DC39">
        <v>0.18023392528295518</v>
      </c>
      <c r="DD39">
        <v>1.0919531883647733</v>
      </c>
      <c r="DE39">
        <v>5022917702.3729458</v>
      </c>
      <c r="DF39">
        <v>0.16695353078842165</v>
      </c>
      <c r="DG39">
        <v>0.57238083568297704</v>
      </c>
      <c r="DH39">
        <v>9582415514.4108391</v>
      </c>
      <c r="DI39">
        <v>0.15177593708038331</v>
      </c>
      <c r="DJ39">
        <v>0.21525960764917615</v>
      </c>
      <c r="DK39">
        <v>25479889422.352535</v>
      </c>
      <c r="DL39">
        <v>0.13280394494533537</v>
      </c>
      <c r="DM39">
        <v>590000000</v>
      </c>
      <c r="DN39">
        <v>0.18971992135047913</v>
      </c>
      <c r="DO39">
        <v>5484791000</v>
      </c>
      <c r="DP39">
        <v>1298052800</v>
      </c>
      <c r="DQ39">
        <v>1304</v>
      </c>
      <c r="DR39">
        <v>-1.8242841554214267E-2</v>
      </c>
      <c r="DS39">
        <v>-3.6062833312507564E-2</v>
      </c>
      <c r="DT39" s="12">
        <v>-2.3333333333333355E-2</v>
      </c>
      <c r="DU39">
        <v>0.6366666666666666</v>
      </c>
      <c r="DV39">
        <v>0.61333333333333329</v>
      </c>
      <c r="DW39">
        <v>-8.3265306122448983</v>
      </c>
      <c r="DX39">
        <v>0.38755390079349294</v>
      </c>
      <c r="DY39">
        <v>-8.0547114778101196</v>
      </c>
      <c r="DZ39">
        <v>556</v>
      </c>
      <c r="EA39">
        <v>-8.04875852640847</v>
      </c>
      <c r="EB39">
        <v>8</v>
      </c>
      <c r="EC39">
        <v>2.9914652005948467E-2</v>
      </c>
      <c r="ED39">
        <v>0.17853748473941886</v>
      </c>
      <c r="EE39" s="13">
        <v>1.04</v>
      </c>
      <c r="EF39">
        <v>1.0085999999999999</v>
      </c>
      <c r="EG39">
        <v>22.167553900793493</v>
      </c>
      <c r="EH39" t="s">
        <v>1814</v>
      </c>
      <c r="EI39">
        <v>0</v>
      </c>
      <c r="EJ39">
        <v>1</v>
      </c>
      <c r="EK39" s="15">
        <v>45470</v>
      </c>
      <c r="EL39" s="16">
        <v>0</v>
      </c>
      <c r="EM39" s="16">
        <v>-3.37</v>
      </c>
      <c r="EN39" s="16">
        <v>2.4700000000000002</v>
      </c>
      <c r="EO39" s="16">
        <v>1.32</v>
      </c>
      <c r="EP39" s="16">
        <v>-3.14</v>
      </c>
    </row>
    <row r="40" spans="1:146" ht="240" x14ac:dyDescent="0.25">
      <c r="A40" s="8" t="s">
        <v>1332</v>
      </c>
      <c r="B40" s="8"/>
      <c r="C40" s="8" t="str">
        <f>"英维克是国内领先的精密温控节能解决方案和产品提供商，致力于为云计算数据中心、服务器机房、通信网络、电力电网、储能系统、电源转换等领域提供设备散热解决方案，为客车、重卡、冷藏车、地铁等车辆提供相关车用的空调、冷机等产品及服务，并为人居健康空气环境推出系列的空气环境机"&amp;CHAR(10)&amp;Basic_Fundamental_Information_Constructure(F40)&amp;CHAR(10)&amp;Basic_Fundamental_Information_Concatenate("机房温控节能产品 5.30亿 53.98%（毛利26.11%，增速75.67%）
机柜温控节能产品 2.92亿 29.72%（毛利35.89%，增速61.68%）
轨道交通列车空调及服务 1.09亿 11.10%（毛利42.03%，增速-6.12%）
客车空调 2579.66万 2.63%
其他 2526.50万 2.57%")</f>
        <v>英维克是国内领先的精密温控节能解决方案和产品提供商，致力于为云计算数据中心、服务器机房、通信网络、电力电网、储能系统、电源转换等领域提供设备散热解决方案，为客车、重卡、冷藏车、地铁等车辆提供相关车用的空调、冷机等产品及服务，并为人居健康空气环境推出系列的空气环境机
市值149.68939亿, 利润3.44亿; PE39.3; 平均PE70.22; 平均PEG2.6, PB5.84; ROIC9.6533%; ROE12.25%; 股利率.9881%; 毛利30.5033%; 净利9.4267%; 上一年度营收增20.73%, 利润增22.86%; 当季营收增41.56%, 利润增146.93%; 过往5年营收增27.02%, 利润增26.8%
Income profile:
机房温控节能产品 5.30亿 53.98%（毛利26.11%，增速75.67%）
机柜温控节能产品 2.92亿 29.72%（毛利35.89%，增速61.68%）
轨道交通列车空调及服务 1.09亿 11.10%（毛利42.03%，增速-6.12%）
客车空调 2579.66万 2.63%
其他 2526.50万 2.57%</v>
      </c>
      <c r="D40" t="s">
        <v>552</v>
      </c>
      <c r="E40" t="s">
        <v>46</v>
      </c>
      <c r="F40">
        <v>20.239999999999998</v>
      </c>
      <c r="G40">
        <v>0.75</v>
      </c>
      <c r="H40" t="s">
        <v>3015</v>
      </c>
      <c r="I40">
        <v>14968939000</v>
      </c>
      <c r="J40">
        <v>39.299999999999997</v>
      </c>
      <c r="K40">
        <v>5.84</v>
      </c>
      <c r="L40" t="s">
        <v>101</v>
      </c>
      <c r="M40" t="s">
        <v>3016</v>
      </c>
      <c r="N40" t="s">
        <v>3017</v>
      </c>
      <c r="O40" t="s">
        <v>1832</v>
      </c>
      <c r="P40">
        <v>41.36</v>
      </c>
      <c r="Q40" t="s">
        <v>3018</v>
      </c>
      <c r="R40">
        <v>61975220</v>
      </c>
      <c r="S40" s="6">
        <v>1.4690000000000001</v>
      </c>
      <c r="T40" t="s">
        <v>727</v>
      </c>
      <c r="U40">
        <v>642371380</v>
      </c>
      <c r="V40">
        <v>739572070</v>
      </c>
      <c r="W40">
        <v>1.89</v>
      </c>
      <c r="X40">
        <v>0.15</v>
      </c>
      <c r="Y40">
        <v>8.26</v>
      </c>
      <c r="Z40" t="s">
        <v>351</v>
      </c>
      <c r="AA40" t="s">
        <v>837</v>
      </c>
      <c r="AB40" t="s">
        <v>3019</v>
      </c>
      <c r="AC40" t="s">
        <v>3020</v>
      </c>
      <c r="AD40" t="s">
        <v>5</v>
      </c>
      <c r="AE40">
        <v>6010409</v>
      </c>
      <c r="AF40" t="s">
        <v>3021</v>
      </c>
      <c r="AG40" t="s">
        <v>3022</v>
      </c>
      <c r="AH40" t="s">
        <v>3023</v>
      </c>
      <c r="AI40" t="s">
        <v>3024</v>
      </c>
      <c r="AJ40" t="s">
        <v>3025</v>
      </c>
      <c r="AK40" t="s">
        <v>3026</v>
      </c>
      <c r="AL40" t="s">
        <v>3027</v>
      </c>
      <c r="AM40" t="s">
        <v>5</v>
      </c>
      <c r="AN40" t="s">
        <v>314</v>
      </c>
      <c r="AO40" t="s">
        <v>589</v>
      </c>
      <c r="AP40" t="s">
        <v>1681</v>
      </c>
      <c r="AQ40" t="s">
        <v>2073</v>
      </c>
      <c r="AR40" t="s">
        <v>5</v>
      </c>
      <c r="AS40" t="s">
        <v>1291</v>
      </c>
      <c r="AT40" t="s">
        <v>3028</v>
      </c>
      <c r="AU40" t="s">
        <v>3029</v>
      </c>
      <c r="AV40" t="s">
        <v>2078</v>
      </c>
      <c r="AW40" t="s">
        <v>3030</v>
      </c>
      <c r="AX40" t="s">
        <v>1921</v>
      </c>
      <c r="AY40" t="s">
        <v>1393</v>
      </c>
      <c r="AZ40" t="s">
        <v>945</v>
      </c>
      <c r="BA40" t="s">
        <v>350</v>
      </c>
      <c r="BB40" t="s">
        <v>827</v>
      </c>
      <c r="BC40" t="s">
        <v>120</v>
      </c>
      <c r="BD40" t="s">
        <v>392</v>
      </c>
      <c r="BE40" t="s">
        <v>536</v>
      </c>
      <c r="BF40" t="s">
        <v>553</v>
      </c>
      <c r="BG40" t="s">
        <v>121</v>
      </c>
      <c r="BH40" t="s">
        <v>3018</v>
      </c>
      <c r="BI40" t="s">
        <v>854</v>
      </c>
      <c r="BJ40" t="s">
        <v>1921</v>
      </c>
      <c r="BK40" t="s">
        <v>727</v>
      </c>
      <c r="BL40" t="s">
        <v>3031</v>
      </c>
      <c r="BM40" t="s">
        <v>120</v>
      </c>
      <c r="BN40">
        <v>7.69</v>
      </c>
      <c r="BO40">
        <v>11.36</v>
      </c>
      <c r="BP40">
        <v>9.91</v>
      </c>
      <c r="BQ40">
        <v>9.3800000000000008</v>
      </c>
      <c r="BR40">
        <v>14.14</v>
      </c>
      <c r="BS40">
        <v>13.23</v>
      </c>
      <c r="BT40" t="s">
        <v>3032</v>
      </c>
      <c r="BU40" t="s">
        <v>1537</v>
      </c>
      <c r="BV40">
        <v>32.35</v>
      </c>
      <c r="BW40">
        <v>29.81</v>
      </c>
      <c r="BX40">
        <v>29.35</v>
      </c>
      <c r="BY40">
        <v>9.8800000000000008</v>
      </c>
      <c r="BZ40">
        <v>9.48</v>
      </c>
      <c r="CA40">
        <v>8.92</v>
      </c>
      <c r="CB40">
        <v>-5.38</v>
      </c>
      <c r="CC40">
        <v>-16.23</v>
      </c>
      <c r="CD40" t="s">
        <v>3033</v>
      </c>
      <c r="CE40" t="s">
        <v>157</v>
      </c>
      <c r="CF40" s="10">
        <v>0.41555977229601532</v>
      </c>
      <c r="CG40" s="11">
        <v>1.469338868989039</v>
      </c>
      <c r="CH40" s="10">
        <v>0.20732119679450989</v>
      </c>
      <c r="CI40" s="10">
        <v>0.31193900108337402</v>
      </c>
      <c r="CJ40" s="10">
        <v>0.30827945470809937</v>
      </c>
      <c r="CK40" s="10">
        <v>0.27279525995254517</v>
      </c>
      <c r="CL40" s="10">
        <v>0.25046730041503906</v>
      </c>
      <c r="CM40" s="11">
        <v>0.22857142984867096</v>
      </c>
      <c r="CN40" s="11">
        <v>0.36585366725921631</v>
      </c>
      <c r="CO40" s="11">
        <v>0.12637363374233246</v>
      </c>
      <c r="CP40" s="11">
        <v>0.13750000298023224</v>
      </c>
      <c r="CQ40" s="11">
        <v>0.48148149251937866</v>
      </c>
      <c r="CR40">
        <v>70.221762314308052</v>
      </c>
      <c r="CS40">
        <v>2.5992614477868741</v>
      </c>
      <c r="CT40">
        <v>0.98814229249011865</v>
      </c>
      <c r="CU40" s="10">
        <v>0.27016044259071348</v>
      </c>
      <c r="CV40" s="11">
        <v>0.26795604526996614</v>
      </c>
      <c r="CW40">
        <v>0.06</v>
      </c>
      <c r="CX40">
        <v>36.430929854806365</v>
      </c>
      <c r="CY40">
        <v>412203011.55774099</v>
      </c>
      <c r="CZ40">
        <v>0.27016044259071348</v>
      </c>
      <c r="DA40">
        <v>10.254169529775865</v>
      </c>
      <c r="DB40">
        <v>1464471496.8281043</v>
      </c>
      <c r="DC40">
        <v>0.25665242046117781</v>
      </c>
      <c r="DD40">
        <v>4.0844081934424024</v>
      </c>
      <c r="DE40">
        <v>3676649905.8810992</v>
      </c>
      <c r="DF40">
        <v>0.23774118947982786</v>
      </c>
      <c r="DG40">
        <v>1.8989696712959867</v>
      </c>
      <c r="DH40">
        <v>7907940409.4702654</v>
      </c>
      <c r="DI40">
        <v>0.21612835407257081</v>
      </c>
      <c r="DJ40">
        <v>0.52889548633045957</v>
      </c>
      <c r="DK40">
        <v>28393017879.939434</v>
      </c>
      <c r="DL40">
        <v>0.18911230981349941</v>
      </c>
      <c r="DM40">
        <v>344000000</v>
      </c>
      <c r="DN40">
        <v>0.27016044259071348</v>
      </c>
      <c r="DO40">
        <v>15016939000</v>
      </c>
      <c r="DP40">
        <v>1780530600</v>
      </c>
      <c r="DQ40">
        <v>1307</v>
      </c>
      <c r="DR40">
        <v>0.14539932970530184</v>
      </c>
      <c r="DS40">
        <v>1.2013828237190729</v>
      </c>
      <c r="DT40" s="12">
        <v>0.22666666666666657</v>
      </c>
      <c r="DU40">
        <v>0.6366666666666666</v>
      </c>
      <c r="DV40">
        <v>0.86333333333333317</v>
      </c>
      <c r="DW40">
        <v>-8.3314849044978434</v>
      </c>
      <c r="DX40">
        <v>0.31063924050632796</v>
      </c>
      <c r="DY40">
        <v>-8.0466197852078896</v>
      </c>
      <c r="DZ40">
        <v>299</v>
      </c>
      <c r="EA40">
        <v>-8.0438919347622608</v>
      </c>
      <c r="EB40">
        <v>8</v>
      </c>
      <c r="EC40">
        <v>6.009150670062486E-2</v>
      </c>
      <c r="ED40">
        <v>0.42727411271764226</v>
      </c>
      <c r="EE40" s="13">
        <v>2.0087000000000002</v>
      </c>
      <c r="EF40">
        <v>2.0017</v>
      </c>
      <c r="EG40">
        <v>17.140639240506328</v>
      </c>
      <c r="EH40" t="s">
        <v>1871</v>
      </c>
      <c r="EI40">
        <v>0</v>
      </c>
      <c r="EJ40">
        <v>1</v>
      </c>
      <c r="EK40" s="15">
        <v>45470</v>
      </c>
      <c r="EL40" s="16">
        <v>-0.72</v>
      </c>
      <c r="EM40" s="16">
        <v>-3.2</v>
      </c>
      <c r="EN40" s="16">
        <v>-3.4</v>
      </c>
      <c r="EO40" s="16">
        <v>3.47</v>
      </c>
      <c r="EP40" s="16">
        <v>-0.7</v>
      </c>
    </row>
    <row r="41" spans="1:146" ht="132" x14ac:dyDescent="0.25">
      <c r="A41" s="8"/>
      <c r="B41" s="8"/>
      <c r="C41" s="8" t="str">
        <f>"公司主要从事拖拉机液压提升器的研发、生产和销售，主要产品为中、大马力拖拉机液压提升器系列产品。"&amp;CHAR(10)&amp;Basic_Fundamental_Information_Constructure(F41)&amp;CHAR(10)&amp;Basic_Fundamental_Information_Concatenate("提升器总成 1.45亿 72.75% 76.46% 14.58%
其他配件 5426.18万 27.25% 23.54% 11.98%")</f>
        <v>公司主要从事拖拉机液压提升器的研发、生产和销售，主要产品为中、大马力拖拉机液压提升器系列产品。
市值13.26725亿, 利润2154.07万; PE63.68; 平均PE61.71; 平均PEG5.99, PB2.23; ROIC3.5867%; ROE3.6767%; 股利率1.2804%; 毛利17.05%; 净利5.8767%; 上一年度营收增-8.54%, 利润增-4.73%; 当季营收增-13.11%, 利润增-11.75%; 过往5年营收增10.3%, 利润增19.3%
Income profile:
提升器总成 1.45亿 72.75% 76.46% 14.58%
其他配件 5426.18万 27.25% 23.54% 11.98%</v>
      </c>
      <c r="D41" t="s">
        <v>213</v>
      </c>
      <c r="E41" t="s">
        <v>36</v>
      </c>
      <c r="F41">
        <v>7.81</v>
      </c>
      <c r="G41">
        <v>-0.13</v>
      </c>
      <c r="H41" t="s">
        <v>3034</v>
      </c>
      <c r="I41">
        <v>1326725000</v>
      </c>
      <c r="J41">
        <v>63.68</v>
      </c>
      <c r="K41">
        <v>2.23</v>
      </c>
      <c r="L41" t="s">
        <v>101</v>
      </c>
      <c r="M41" t="s">
        <v>146</v>
      </c>
      <c r="N41" t="s">
        <v>195</v>
      </c>
      <c r="O41" t="s">
        <v>208</v>
      </c>
      <c r="P41">
        <v>-13.49</v>
      </c>
      <c r="Q41" t="s">
        <v>556</v>
      </c>
      <c r="R41">
        <v>5304573</v>
      </c>
      <c r="S41" s="6">
        <v>-0.11749999999999999</v>
      </c>
      <c r="T41" t="s">
        <v>3035</v>
      </c>
      <c r="U41">
        <v>161484210</v>
      </c>
      <c r="V41">
        <v>169875160</v>
      </c>
      <c r="W41">
        <v>1.27</v>
      </c>
      <c r="X41">
        <v>0.14000000000000001</v>
      </c>
      <c r="Y41">
        <v>5.01</v>
      </c>
      <c r="Z41" t="s">
        <v>441</v>
      </c>
      <c r="AA41" t="s">
        <v>3036</v>
      </c>
      <c r="AB41" t="s">
        <v>3037</v>
      </c>
      <c r="AC41" t="s">
        <v>3038</v>
      </c>
      <c r="AD41" t="s">
        <v>5</v>
      </c>
      <c r="AE41">
        <v>-51550</v>
      </c>
      <c r="AF41" t="s">
        <v>3039</v>
      </c>
      <c r="AG41">
        <v>1660.07</v>
      </c>
      <c r="AH41" t="s">
        <v>3040</v>
      </c>
      <c r="AI41" t="s">
        <v>3041</v>
      </c>
      <c r="AJ41" t="s">
        <v>3042</v>
      </c>
      <c r="AK41" t="s">
        <v>5</v>
      </c>
      <c r="AL41" t="s">
        <v>3043</v>
      </c>
      <c r="AM41" t="s">
        <v>5</v>
      </c>
      <c r="AN41" t="s">
        <v>3044</v>
      </c>
      <c r="AO41" t="s">
        <v>5</v>
      </c>
      <c r="AP41" t="s">
        <v>3045</v>
      </c>
      <c r="AQ41" t="s">
        <v>3046</v>
      </c>
      <c r="AR41" t="s">
        <v>5</v>
      </c>
      <c r="AS41" t="s">
        <v>187</v>
      </c>
      <c r="AT41" t="s">
        <v>5</v>
      </c>
      <c r="AU41" t="s">
        <v>3047</v>
      </c>
      <c r="AV41" t="s">
        <v>3048</v>
      </c>
      <c r="AW41">
        <v>0</v>
      </c>
      <c r="AX41" t="s">
        <v>998</v>
      </c>
      <c r="AY41" t="s">
        <v>557</v>
      </c>
      <c r="AZ41" t="s">
        <v>510</v>
      </c>
      <c r="BA41" t="s">
        <v>216</v>
      </c>
      <c r="BB41" t="s">
        <v>106</v>
      </c>
      <c r="BC41" t="s">
        <v>1922</v>
      </c>
      <c r="BD41" t="s">
        <v>1394</v>
      </c>
      <c r="BE41" t="s">
        <v>948</v>
      </c>
      <c r="BF41" t="s">
        <v>217</v>
      </c>
      <c r="BG41" t="s">
        <v>949</v>
      </c>
      <c r="BH41" t="s">
        <v>556</v>
      </c>
      <c r="BI41" t="s">
        <v>261</v>
      </c>
      <c r="BJ41" t="s">
        <v>998</v>
      </c>
      <c r="BK41" t="s">
        <v>3035</v>
      </c>
      <c r="BL41" t="s">
        <v>3049</v>
      </c>
      <c r="BM41" t="s">
        <v>1922</v>
      </c>
      <c r="BN41">
        <v>2.61</v>
      </c>
      <c r="BO41">
        <v>3.82</v>
      </c>
      <c r="BP41">
        <v>4.33</v>
      </c>
      <c r="BQ41">
        <v>2.66</v>
      </c>
      <c r="BR41">
        <v>3.94</v>
      </c>
      <c r="BS41">
        <v>4.43</v>
      </c>
      <c r="BT41" t="s">
        <v>1981</v>
      </c>
      <c r="BU41" t="s">
        <v>1605</v>
      </c>
      <c r="BV41">
        <v>18.04</v>
      </c>
      <c r="BW41">
        <v>15.96</v>
      </c>
      <c r="BX41">
        <v>17.149999999999999</v>
      </c>
      <c r="BY41">
        <v>5.91</v>
      </c>
      <c r="BZ41">
        <v>5.69</v>
      </c>
      <c r="CA41">
        <v>6.03</v>
      </c>
      <c r="CB41">
        <v>-2.62</v>
      </c>
      <c r="CC41">
        <v>-16.37</v>
      </c>
      <c r="CD41" t="s">
        <v>3050</v>
      </c>
      <c r="CE41" t="s">
        <v>3051</v>
      </c>
      <c r="CF41" s="10">
        <v>-0.13114754098360656</v>
      </c>
      <c r="CG41" s="11">
        <v>-0.11747833031094562</v>
      </c>
      <c r="CH41" s="10">
        <v>-8.5427135229110718E-2</v>
      </c>
      <c r="CI41" s="10">
        <v>-2.9268292710185051E-2</v>
      </c>
      <c r="CJ41" s="10">
        <v>9.8522165790200233E-3</v>
      </c>
      <c r="CK41" s="10">
        <v>0.43971630930900574</v>
      </c>
      <c r="CL41" s="10">
        <v>0.17991632223129272</v>
      </c>
      <c r="CM41" s="11">
        <v>-4.7343794256448746E-2</v>
      </c>
      <c r="CN41" s="11">
        <v>-8.623155951499939E-2</v>
      </c>
      <c r="CO41" s="11">
        <v>5.6580089032649994E-2</v>
      </c>
      <c r="CP41" s="11">
        <v>1.7380807399749756</v>
      </c>
      <c r="CQ41" s="11">
        <v>-0.69588559865951538</v>
      </c>
      <c r="CR41">
        <v>61.710148702515895</v>
      </c>
      <c r="CS41">
        <v>5.9937273653502583</v>
      </c>
      <c r="CT41">
        <v>1.2804097311139566</v>
      </c>
      <c r="CU41" s="10">
        <v>0.10295788403600455</v>
      </c>
      <c r="CV41" s="11">
        <v>0.1930399753153324</v>
      </c>
      <c r="CW41">
        <v>0.06</v>
      </c>
      <c r="CX41">
        <v>39.160262289606564</v>
      </c>
      <c r="CY41">
        <v>22413664.993070155</v>
      </c>
      <c r="CZ41">
        <v>0.10295788403600455</v>
      </c>
      <c r="DA41">
        <v>12.657763175415075</v>
      </c>
      <c r="DB41">
        <v>69342820.515459478</v>
      </c>
      <c r="DC41">
        <v>9.7809989834204317E-2</v>
      </c>
      <c r="DD41">
        <v>6.1400468351610344</v>
      </c>
      <c r="DE41">
        <v>142950863.98587382</v>
      </c>
      <c r="DF41">
        <v>9.0602937951684004E-2</v>
      </c>
      <c r="DG41">
        <v>3.6261156881130541</v>
      </c>
      <c r="DH41">
        <v>242056535.28300625</v>
      </c>
      <c r="DI41">
        <v>8.2366307228803642E-2</v>
      </c>
      <c r="DJ41">
        <v>1.8051352408488475</v>
      </c>
      <c r="DK41">
        <v>486237806.52980787</v>
      </c>
      <c r="DL41">
        <v>7.2070518825203184E-2</v>
      </c>
      <c r="DM41">
        <v>21540700</v>
      </c>
      <c r="DN41">
        <v>0.10295788403600455</v>
      </c>
      <c r="DO41">
        <v>877725000</v>
      </c>
      <c r="DP41">
        <v>406393810</v>
      </c>
      <c r="DQ41">
        <v>1357</v>
      </c>
      <c r="DR41">
        <v>-0.23410542501961112</v>
      </c>
      <c r="DS41">
        <v>-0.31051830562627802</v>
      </c>
      <c r="DT41" s="12">
        <v>-0.22333333333333338</v>
      </c>
      <c r="DU41">
        <v>3.3333333333333326E-2</v>
      </c>
      <c r="DV41">
        <v>-0.19000000000000006</v>
      </c>
      <c r="DW41">
        <v>-8.1600488698839335</v>
      </c>
      <c r="DX41">
        <v>0.39423898703877525</v>
      </c>
      <c r="DY41">
        <v>-8.0262862642664388</v>
      </c>
      <c r="DZ41">
        <v>2181</v>
      </c>
      <c r="EA41">
        <v>-8.0150670191852047</v>
      </c>
      <c r="EB41">
        <v>8</v>
      </c>
      <c r="EC41">
        <v>3.5543748715232998E-2</v>
      </c>
      <c r="ED41">
        <v>0.21641480720312492</v>
      </c>
      <c r="EE41" s="13">
        <v>-2.0845099999999999</v>
      </c>
      <c r="EF41">
        <v>-2.0950099999999998</v>
      </c>
      <c r="EG41">
        <v>23.164238987038775</v>
      </c>
      <c r="EH41" t="s">
        <v>2103</v>
      </c>
      <c r="EI41">
        <v>0</v>
      </c>
      <c r="EJ41">
        <v>0</v>
      </c>
      <c r="EK41" s="15">
        <v>45470</v>
      </c>
      <c r="EL41" s="16">
        <v>-0.09</v>
      </c>
      <c r="EM41" s="16">
        <v>-5.61</v>
      </c>
      <c r="EN41" s="16">
        <v>1.1100000000000001</v>
      </c>
      <c r="EO41" s="16">
        <v>4.68</v>
      </c>
      <c r="EP41" s="16">
        <v>-1.05</v>
      </c>
    </row>
    <row r="42" spans="1:146" ht="108" x14ac:dyDescent="0.25">
      <c r="A42" s="8"/>
      <c r="B42" s="8"/>
      <c r="C42" s="8" t="str">
        <f>""&amp;CHAR(10)&amp;Basic_Fundamental_Information_Constructure(F42)&amp;CHAR(10)&amp;Basic_Fundamental_Information_Concatenate("")</f>
        <v xml:space="preserve">
市值89.543579亿, 利润6.59亿; PE13.56; 平均PE18.56; 平均PEG.78, PB1.49; ROIC11.1967%; ROE12.9333%; 股利率2.9094%; 毛利37.5233%; 净利13.86%; 上一年度营收增8.04%, 利润增15.61%; 当季营收增10.35%, 利润增1.68%; 过往5年营收增23.83%, 利润增14.09%
Income profile:
</v>
      </c>
      <c r="D42" t="s">
        <v>564</v>
      </c>
      <c r="E42" t="s">
        <v>565</v>
      </c>
      <c r="F42">
        <v>12.03</v>
      </c>
      <c r="G42">
        <v>0.25</v>
      </c>
      <c r="H42" t="s">
        <v>3052</v>
      </c>
      <c r="I42">
        <v>8954357900</v>
      </c>
      <c r="J42">
        <v>13.56</v>
      </c>
      <c r="K42">
        <v>1.49</v>
      </c>
      <c r="L42" t="s">
        <v>101</v>
      </c>
      <c r="M42" t="s">
        <v>3053</v>
      </c>
      <c r="N42" t="s">
        <v>3054</v>
      </c>
      <c r="O42" t="s">
        <v>3055</v>
      </c>
      <c r="P42">
        <v>10.27</v>
      </c>
      <c r="Q42" t="s">
        <v>3056</v>
      </c>
      <c r="R42">
        <v>78680724</v>
      </c>
      <c r="S42" s="6">
        <v>1.6799999999999999E-2</v>
      </c>
      <c r="T42" t="s">
        <v>1147</v>
      </c>
      <c r="U42">
        <v>619166630</v>
      </c>
      <c r="V42">
        <v>744335650</v>
      </c>
      <c r="W42">
        <v>1.26</v>
      </c>
      <c r="X42">
        <v>0.11</v>
      </c>
      <c r="Y42">
        <v>9.0500000000000007</v>
      </c>
      <c r="Z42" t="s">
        <v>2165</v>
      </c>
      <c r="AA42" t="s">
        <v>215</v>
      </c>
      <c r="AB42" t="s">
        <v>220</v>
      </c>
      <c r="AC42" t="s">
        <v>3057</v>
      </c>
      <c r="AD42" t="s">
        <v>5</v>
      </c>
      <c r="AE42">
        <v>-4179168</v>
      </c>
      <c r="AF42" t="s">
        <v>3058</v>
      </c>
      <c r="AG42" t="s">
        <v>3059</v>
      </c>
      <c r="AH42" t="s">
        <v>3060</v>
      </c>
      <c r="AI42" t="s">
        <v>3061</v>
      </c>
      <c r="AJ42" t="s">
        <v>3062</v>
      </c>
      <c r="AK42" t="s">
        <v>3063</v>
      </c>
      <c r="AL42" t="s">
        <v>3064</v>
      </c>
      <c r="AM42" t="s">
        <v>5</v>
      </c>
      <c r="AN42" t="s">
        <v>575</v>
      </c>
      <c r="AO42" t="s">
        <v>246</v>
      </c>
      <c r="AP42" t="s">
        <v>3065</v>
      </c>
      <c r="AQ42" t="s">
        <v>644</v>
      </c>
      <c r="AR42" t="s">
        <v>3066</v>
      </c>
      <c r="AS42" t="s">
        <v>3067</v>
      </c>
      <c r="AT42" t="s">
        <v>3068</v>
      </c>
      <c r="AU42" t="s">
        <v>3069</v>
      </c>
      <c r="AV42" t="s">
        <v>3070</v>
      </c>
      <c r="AW42" t="s">
        <v>3071</v>
      </c>
      <c r="AX42" t="s">
        <v>1923</v>
      </c>
      <c r="AY42" t="s">
        <v>1395</v>
      </c>
      <c r="AZ42" t="s">
        <v>951</v>
      </c>
      <c r="BA42" t="s">
        <v>567</v>
      </c>
      <c r="BB42" t="s">
        <v>953</v>
      </c>
      <c r="BC42" t="s">
        <v>1924</v>
      </c>
      <c r="BD42" t="s">
        <v>1182</v>
      </c>
      <c r="BE42" t="s">
        <v>952</v>
      </c>
      <c r="BF42" t="s">
        <v>126</v>
      </c>
      <c r="BG42" t="s">
        <v>727</v>
      </c>
      <c r="BH42" t="s">
        <v>3056</v>
      </c>
      <c r="BI42" t="s">
        <v>3072</v>
      </c>
      <c r="BJ42" t="s">
        <v>1923</v>
      </c>
      <c r="BK42" t="s">
        <v>1147</v>
      </c>
      <c r="BL42" t="s">
        <v>3073</v>
      </c>
      <c r="BM42" t="s">
        <v>1924</v>
      </c>
      <c r="BN42">
        <v>7.53</v>
      </c>
      <c r="BO42">
        <v>11.3</v>
      </c>
      <c r="BP42">
        <v>14.76</v>
      </c>
      <c r="BQ42">
        <v>8.41</v>
      </c>
      <c r="BR42">
        <v>14.42</v>
      </c>
      <c r="BS42">
        <v>15.97</v>
      </c>
      <c r="BT42" t="s">
        <v>1732</v>
      </c>
      <c r="BU42" t="s">
        <v>1595</v>
      </c>
      <c r="BV42">
        <v>38.29</v>
      </c>
      <c r="BW42">
        <v>37.14</v>
      </c>
      <c r="BX42">
        <v>37.14</v>
      </c>
      <c r="BY42">
        <v>14.2</v>
      </c>
      <c r="BZ42">
        <v>13.03</v>
      </c>
      <c r="CA42">
        <v>14.35</v>
      </c>
      <c r="CB42">
        <v>-4.83</v>
      </c>
      <c r="CC42">
        <v>-17.66</v>
      </c>
      <c r="CD42" t="s">
        <v>3074</v>
      </c>
      <c r="CE42" t="s">
        <v>3075</v>
      </c>
      <c r="CF42" s="10">
        <v>0.10348977135980746</v>
      </c>
      <c r="CG42" s="11">
        <v>1.6834530700547055E-2</v>
      </c>
      <c r="CH42" s="10">
        <v>8.0399908125400543E-2</v>
      </c>
      <c r="CI42" s="10">
        <v>0.19130204617977142</v>
      </c>
      <c r="CJ42" s="10">
        <v>0.52990102767944336</v>
      </c>
      <c r="CK42" s="10">
        <v>0.11184494197368622</v>
      </c>
      <c r="CL42" s="10">
        <v>0.2779967188835144</v>
      </c>
      <c r="CM42" s="11">
        <v>0.15614035725593567</v>
      </c>
      <c r="CN42" s="11">
        <v>7.5471699237823486E-2</v>
      </c>
      <c r="CO42" s="11">
        <v>0.23255814611911774</v>
      </c>
      <c r="CP42" s="11">
        <v>0.18784530460834503</v>
      </c>
      <c r="CQ42" s="11">
        <v>5.2325580269098282E-2</v>
      </c>
      <c r="CR42">
        <v>18.558254715025907</v>
      </c>
      <c r="CS42">
        <v>0.77881313355696635</v>
      </c>
      <c r="CT42">
        <v>2.9093931837073983</v>
      </c>
      <c r="CU42" s="10">
        <v>0.2382889285683632</v>
      </c>
      <c r="CV42" s="11">
        <v>0.14086821749806405</v>
      </c>
      <c r="CW42">
        <v>0.06</v>
      </c>
      <c r="CX42">
        <v>5.9471405187444129</v>
      </c>
      <c r="CY42">
        <v>769841890.49674642</v>
      </c>
      <c r="CZ42">
        <v>0.2382889285683632</v>
      </c>
      <c r="DA42">
        <v>1.7178963089301054</v>
      </c>
      <c r="DB42">
        <v>2665095603.3844509</v>
      </c>
      <c r="DC42">
        <v>0.22637448213994504</v>
      </c>
      <c r="DD42">
        <v>0.71102664530222415</v>
      </c>
      <c r="DE42">
        <v>6439080631.1540604</v>
      </c>
      <c r="DF42">
        <v>0.20969425714015963</v>
      </c>
      <c r="DG42">
        <v>0.3469811033922679</v>
      </c>
      <c r="DH42">
        <v>13194833537.733294</v>
      </c>
      <c r="DI42">
        <v>0.19063114285469057</v>
      </c>
      <c r="DJ42">
        <v>0.10925304139510535</v>
      </c>
      <c r="DK42">
        <v>41905999517.6035</v>
      </c>
      <c r="DL42">
        <v>0.16680224999785423</v>
      </c>
      <c r="DM42">
        <v>659000000</v>
      </c>
      <c r="DN42">
        <v>0.2382889285683632</v>
      </c>
      <c r="DO42">
        <v>4578357900</v>
      </c>
      <c r="DP42">
        <v>4714827300</v>
      </c>
      <c r="DQ42">
        <v>1420</v>
      </c>
      <c r="DR42">
        <v>-0.13479915720855573</v>
      </c>
      <c r="DS42">
        <v>-0.124033686797517</v>
      </c>
      <c r="DT42" s="12">
        <v>-5.6666666666666719E-2</v>
      </c>
      <c r="DU42">
        <v>0.41666666666666669</v>
      </c>
      <c r="DV42">
        <v>0.36</v>
      </c>
      <c r="DW42">
        <v>-8.2734994337485848</v>
      </c>
      <c r="DX42">
        <v>0.3900334438103934</v>
      </c>
      <c r="DY42">
        <v>-8.0410340619254939</v>
      </c>
      <c r="DZ42">
        <v>934</v>
      </c>
      <c r="EA42">
        <v>-8.0335339026616168</v>
      </c>
      <c r="EB42">
        <v>8</v>
      </c>
      <c r="EC42">
        <v>1.9734913946416511E-2</v>
      </c>
      <c r="ED42">
        <v>0.13153676033117587</v>
      </c>
      <c r="EE42" s="13">
        <v>-1.0559099999999999</v>
      </c>
      <c r="EF42">
        <v>-1.08891</v>
      </c>
      <c r="EG42">
        <v>24.150033443810393</v>
      </c>
      <c r="EH42" t="s">
        <v>1563</v>
      </c>
      <c r="EI42">
        <v>0</v>
      </c>
      <c r="EJ42">
        <v>1</v>
      </c>
      <c r="EK42" s="15">
        <v>45470</v>
      </c>
      <c r="EL42" s="16">
        <v>-1.1100000000000001</v>
      </c>
      <c r="EM42" s="16">
        <v>-4.4000000000000004</v>
      </c>
      <c r="EN42" s="16">
        <v>-0.55000000000000004</v>
      </c>
      <c r="EO42" s="16">
        <v>2.2000000000000002</v>
      </c>
      <c r="EP42" s="16">
        <v>-3.3</v>
      </c>
    </row>
    <row r="43" spans="1:146" ht="96" x14ac:dyDescent="0.25">
      <c r="A43" s="8"/>
      <c r="B43" s="8"/>
      <c r="C43" s="8" t="str">
        <f>""&amp;CHAR(10)&amp;Basic_Fundamental_Information_Constructure(F43)&amp;CHAR(10)&amp;Basic_Fundamental_Information_Concatenate("")</f>
        <v xml:space="preserve">
市值16.567596亿, 利润1.30亿; PE12.7; 平均PE19.08; 平均PEG.99, PB1.2; ROIC7.9567%; ROE8.81%; 股利率5.4759%; 毛利19.2333%; 净利7.7633%; 上一年度营收增-12.55%, 利润增0%; 当季营收增17.46%, 利润增2.42%; 过往5年营收增19.31%, 利润增17.4%
Income profile:
</v>
      </c>
      <c r="D43" t="s">
        <v>954</v>
      </c>
      <c r="E43" t="s">
        <v>955</v>
      </c>
      <c r="F43">
        <v>7.67</v>
      </c>
      <c r="G43">
        <v>0.92</v>
      </c>
      <c r="H43" t="s">
        <v>3076</v>
      </c>
      <c r="I43">
        <v>1656759600</v>
      </c>
      <c r="J43">
        <v>12.7</v>
      </c>
      <c r="K43">
        <v>1.2</v>
      </c>
      <c r="L43" t="s">
        <v>101</v>
      </c>
      <c r="M43" t="s">
        <v>3077</v>
      </c>
      <c r="N43" t="s">
        <v>3078</v>
      </c>
      <c r="O43" t="s">
        <v>618</v>
      </c>
      <c r="P43">
        <v>17.489999999999998</v>
      </c>
      <c r="Q43" t="s">
        <v>1973</v>
      </c>
      <c r="R43">
        <v>20525747</v>
      </c>
      <c r="S43" s="6">
        <v>2.4199999999999999E-2</v>
      </c>
      <c r="T43" t="s">
        <v>303</v>
      </c>
      <c r="U43">
        <v>216005160</v>
      </c>
      <c r="V43">
        <v>216005160</v>
      </c>
      <c r="W43">
        <v>2.11</v>
      </c>
      <c r="X43">
        <v>0.12</v>
      </c>
      <c r="Y43">
        <v>5.66</v>
      </c>
      <c r="Z43" t="s">
        <v>192</v>
      </c>
      <c r="AA43" t="s">
        <v>2166</v>
      </c>
      <c r="AB43" t="s">
        <v>3079</v>
      </c>
      <c r="AC43" t="s">
        <v>3080</v>
      </c>
      <c r="AD43" t="s">
        <v>5</v>
      </c>
      <c r="AE43">
        <v>2356057</v>
      </c>
      <c r="AF43" t="s">
        <v>3081</v>
      </c>
      <c r="AG43" t="s">
        <v>3082</v>
      </c>
      <c r="AH43" t="s">
        <v>3083</v>
      </c>
      <c r="AI43" t="s">
        <v>966</v>
      </c>
      <c r="AJ43" t="s">
        <v>3084</v>
      </c>
      <c r="AK43" t="s">
        <v>246</v>
      </c>
      <c r="AL43" t="s">
        <v>3085</v>
      </c>
      <c r="AM43" t="s">
        <v>5</v>
      </c>
      <c r="AN43" t="s">
        <v>244</v>
      </c>
      <c r="AO43" t="s">
        <v>3086</v>
      </c>
      <c r="AP43" t="s">
        <v>1975</v>
      </c>
      <c r="AQ43" t="s">
        <v>744</v>
      </c>
      <c r="AR43" t="s">
        <v>5</v>
      </c>
      <c r="AS43" t="s">
        <v>2131</v>
      </c>
      <c r="AT43" t="s">
        <v>3087</v>
      </c>
      <c r="AU43" t="s">
        <v>3088</v>
      </c>
      <c r="AV43" t="s">
        <v>3089</v>
      </c>
      <c r="AW43" t="s">
        <v>3090</v>
      </c>
      <c r="AX43" t="s">
        <v>1689</v>
      </c>
      <c r="AY43" t="s">
        <v>1396</v>
      </c>
      <c r="AZ43" t="s">
        <v>957</v>
      </c>
      <c r="BA43" t="s">
        <v>676</v>
      </c>
      <c r="BB43" t="s">
        <v>956</v>
      </c>
      <c r="BC43" t="s">
        <v>303</v>
      </c>
      <c r="BD43" t="s">
        <v>1397</v>
      </c>
      <c r="BE43" t="s">
        <v>958</v>
      </c>
      <c r="BF43" t="s">
        <v>959</v>
      </c>
      <c r="BG43" t="s">
        <v>960</v>
      </c>
      <c r="BH43" t="s">
        <v>1973</v>
      </c>
      <c r="BI43" t="s">
        <v>336</v>
      </c>
      <c r="BJ43" t="s">
        <v>1689</v>
      </c>
      <c r="BK43" t="s">
        <v>303</v>
      </c>
      <c r="BL43" t="s">
        <v>3091</v>
      </c>
      <c r="BM43" t="s">
        <v>303</v>
      </c>
      <c r="BN43">
        <v>7.32</v>
      </c>
      <c r="BO43">
        <v>9.66</v>
      </c>
      <c r="BP43">
        <v>6.89</v>
      </c>
      <c r="BQ43">
        <v>8.91</v>
      </c>
      <c r="BR43">
        <v>10.84</v>
      </c>
      <c r="BS43">
        <v>6.68</v>
      </c>
      <c r="BT43" t="s">
        <v>3092</v>
      </c>
      <c r="BU43" t="s">
        <v>1589</v>
      </c>
      <c r="BV43">
        <v>20.14</v>
      </c>
      <c r="BW43">
        <v>21.64</v>
      </c>
      <c r="BX43">
        <v>15.92</v>
      </c>
      <c r="BY43">
        <v>9.41</v>
      </c>
      <c r="BZ43">
        <v>7.79</v>
      </c>
      <c r="CA43">
        <v>6.09</v>
      </c>
      <c r="CB43">
        <v>-4.01</v>
      </c>
      <c r="CC43">
        <v>-16.809999999999999</v>
      </c>
      <c r="CD43" t="s">
        <v>3093</v>
      </c>
      <c r="CE43" t="s">
        <v>2155</v>
      </c>
      <c r="CF43" s="10">
        <v>0.17460317460317459</v>
      </c>
      <c r="CG43" s="11">
        <v>2.4228650412670531E-2</v>
      </c>
      <c r="CH43" s="10">
        <v>-0.12554657459259033</v>
      </c>
      <c r="CI43" s="10">
        <v>0.28801286220550537</v>
      </c>
      <c r="CJ43" s="10">
        <v>0.86077851057052612</v>
      </c>
      <c r="CK43" s="10">
        <v>0.14579759538173676</v>
      </c>
      <c r="CL43" s="10">
        <v>-0.20355191826820374</v>
      </c>
      <c r="CM43" s="11">
        <v>0</v>
      </c>
      <c r="CN43" s="11">
        <v>0.7874329686164856</v>
      </c>
      <c r="CO43" s="11">
        <v>0.21438494324684143</v>
      </c>
      <c r="CP43" s="11">
        <v>8.1829093396663666E-3</v>
      </c>
      <c r="CQ43" s="11">
        <v>-0.13975252211093903</v>
      </c>
      <c r="CR43">
        <v>19.076850446649608</v>
      </c>
      <c r="CS43">
        <v>0.98793571426904969</v>
      </c>
      <c r="CT43">
        <v>5.4758617992177312</v>
      </c>
      <c r="CU43" s="10">
        <v>0.19309809505939485</v>
      </c>
      <c r="CV43" s="11">
        <v>0.17404965981841086</v>
      </c>
      <c r="CW43">
        <v>0.06</v>
      </c>
      <c r="CX43">
        <v>11.712140167637502</v>
      </c>
      <c r="CY43">
        <v>146323351.28086916</v>
      </c>
      <c r="CZ43">
        <v>0.19309809505939485</v>
      </c>
      <c r="DA43">
        <v>3.5111326545106132</v>
      </c>
      <c r="DB43">
        <v>488093093.77656263</v>
      </c>
      <c r="DC43">
        <v>0.18344319030642509</v>
      </c>
      <c r="DD43">
        <v>1.5336388284604829</v>
      </c>
      <c r="DE43">
        <v>1117446668.7964129</v>
      </c>
      <c r="DF43">
        <v>0.16992632365226748</v>
      </c>
      <c r="DG43">
        <v>0.79999382957618148</v>
      </c>
      <c r="DH43">
        <v>2142216022.9759657</v>
      </c>
      <c r="DI43">
        <v>0.15447847604751588</v>
      </c>
      <c r="DJ43">
        <v>0.29728934935866885</v>
      </c>
      <c r="DK43">
        <v>5764618220.2525225</v>
      </c>
      <c r="DL43">
        <v>0.13516866654157639</v>
      </c>
      <c r="DM43">
        <v>130000000</v>
      </c>
      <c r="DN43">
        <v>0.19309809505939485</v>
      </c>
      <c r="DO43">
        <v>1713759600</v>
      </c>
      <c r="DP43">
        <v>1112768900</v>
      </c>
      <c r="DQ43">
        <v>1490</v>
      </c>
      <c r="DR43">
        <v>-1.8494920456220254E-2</v>
      </c>
      <c r="DS43">
        <v>-0.14982100940574034</v>
      </c>
      <c r="DT43" s="12">
        <v>-0.12333333333333336</v>
      </c>
      <c r="DU43">
        <v>0.43333333333333335</v>
      </c>
      <c r="DV43">
        <v>0.31</v>
      </c>
      <c r="DW43">
        <v>-8.2385484830458058</v>
      </c>
      <c r="DX43">
        <v>0.37815032287854833</v>
      </c>
      <c r="DY43">
        <v>-8.0329555499549663</v>
      </c>
      <c r="DZ43">
        <v>1025</v>
      </c>
      <c r="EA43">
        <v>-8.0263450922829822</v>
      </c>
      <c r="EB43">
        <v>8</v>
      </c>
      <c r="EC43">
        <v>3.7120872482861056E-2</v>
      </c>
      <c r="ED43">
        <v>0.268699136631736</v>
      </c>
      <c r="EE43" s="13">
        <v>-3.0928</v>
      </c>
      <c r="EF43">
        <v>-3.0716999999999999</v>
      </c>
      <c r="EG43">
        <v>24.138150322878548</v>
      </c>
      <c r="EH43" t="s">
        <v>1946</v>
      </c>
      <c r="EI43">
        <v>0</v>
      </c>
      <c r="EJ43">
        <v>1</v>
      </c>
      <c r="EK43" s="15">
        <v>45470</v>
      </c>
      <c r="EL43" s="16">
        <v>-0.25</v>
      </c>
      <c r="EM43" s="16">
        <v>-7.09</v>
      </c>
      <c r="EN43" s="16">
        <v>2.81</v>
      </c>
      <c r="EO43" s="16">
        <v>5.08</v>
      </c>
      <c r="EP43" s="16">
        <v>-2.11</v>
      </c>
    </row>
    <row r="44" spans="1:146" ht="96" x14ac:dyDescent="0.25">
      <c r="A44" s="8"/>
      <c r="B44" s="8"/>
      <c r="C44" s="8" t="str">
        <f>""&amp;CHAR(10)&amp;Basic_Fundamental_Information_Constructure(F44)&amp;CHAR(10)&amp;Basic_Fundamental_Information_Concatenate("")</f>
        <v xml:space="preserve">
市值20.351729亿, 利润-2104.22万; PE; 平均PE-7.89; 平均PEG-1.51, PB1.2; ROIC.18%; ROE-11.1133%; 股利率0%; 毛利20.63%; 净利-26.5933%; 上一年度营收增48.54%, 利润增-186.36%; 当季营收增121.01%, 利润增1106.6%; 过往5年营收增-5.22%, 利润增43.99%
Income profile:
</v>
      </c>
      <c r="D44" t="s">
        <v>577</v>
      </c>
      <c r="E44" t="s">
        <v>77</v>
      </c>
      <c r="F44">
        <v>4.24</v>
      </c>
      <c r="G44">
        <v>1.68</v>
      </c>
      <c r="H44" t="s">
        <v>3094</v>
      </c>
      <c r="I44">
        <v>2035172900</v>
      </c>
      <c r="K44">
        <v>1.2</v>
      </c>
      <c r="L44" t="s">
        <v>101</v>
      </c>
      <c r="M44" t="s">
        <v>332</v>
      </c>
      <c r="N44" t="s">
        <v>3095</v>
      </c>
      <c r="O44" t="s">
        <v>197</v>
      </c>
      <c r="P44">
        <v>120.76</v>
      </c>
      <c r="Q44" t="s">
        <v>1901</v>
      </c>
      <c r="R44">
        <v>11246777</v>
      </c>
      <c r="S44" s="6">
        <v>11.07</v>
      </c>
      <c r="T44" t="s">
        <v>3096</v>
      </c>
      <c r="U44">
        <v>479993600</v>
      </c>
      <c r="V44">
        <v>479993600</v>
      </c>
      <c r="W44">
        <v>1.1599999999999999</v>
      </c>
      <c r="X44">
        <v>0.06</v>
      </c>
      <c r="Y44">
        <v>9.7899999999999991</v>
      </c>
      <c r="Z44" t="s">
        <v>3097</v>
      </c>
      <c r="AA44" t="s">
        <v>3098</v>
      </c>
      <c r="AB44" t="s">
        <v>3099</v>
      </c>
      <c r="AC44" t="s">
        <v>3100</v>
      </c>
      <c r="AD44" t="s">
        <v>5</v>
      </c>
      <c r="AE44">
        <v>-1669230</v>
      </c>
      <c r="AF44" t="s">
        <v>3101</v>
      </c>
      <c r="AG44" t="s">
        <v>3102</v>
      </c>
      <c r="AH44" t="s">
        <v>3103</v>
      </c>
      <c r="AI44" t="s">
        <v>387</v>
      </c>
      <c r="AJ44" t="s">
        <v>3104</v>
      </c>
      <c r="AK44" t="s">
        <v>3105</v>
      </c>
      <c r="AL44" t="s">
        <v>3106</v>
      </c>
      <c r="AM44" t="s">
        <v>5</v>
      </c>
      <c r="AN44" t="s">
        <v>3107</v>
      </c>
      <c r="AO44" t="s">
        <v>5</v>
      </c>
      <c r="AP44" t="s">
        <v>3108</v>
      </c>
      <c r="AQ44" t="s">
        <v>114</v>
      </c>
      <c r="AR44" t="s">
        <v>5</v>
      </c>
      <c r="AS44" t="s">
        <v>772</v>
      </c>
      <c r="AT44" t="s">
        <v>5</v>
      </c>
      <c r="AU44" t="s">
        <v>3109</v>
      </c>
      <c r="AV44" t="s">
        <v>3110</v>
      </c>
      <c r="AW44" t="s">
        <v>3111</v>
      </c>
      <c r="AX44" t="s">
        <v>322</v>
      </c>
      <c r="AY44" t="s">
        <v>1384</v>
      </c>
      <c r="AZ44" t="s">
        <v>486</v>
      </c>
      <c r="BA44" t="s">
        <v>578</v>
      </c>
      <c r="BB44" t="s">
        <v>694</v>
      </c>
      <c r="BC44" t="s">
        <v>1927</v>
      </c>
      <c r="BD44" t="s">
        <v>1398</v>
      </c>
      <c r="BE44" t="s">
        <v>187</v>
      </c>
      <c r="BF44" t="s">
        <v>579</v>
      </c>
      <c r="BG44" t="s">
        <v>961</v>
      </c>
      <c r="BH44" t="s">
        <v>1901</v>
      </c>
      <c r="BI44" t="s">
        <v>3112</v>
      </c>
      <c r="BJ44" t="s">
        <v>322</v>
      </c>
      <c r="BK44" t="s">
        <v>3096</v>
      </c>
      <c r="BL44" t="s">
        <v>3113</v>
      </c>
      <c r="BM44" t="s">
        <v>1927</v>
      </c>
      <c r="BN44">
        <v>-0.51</v>
      </c>
      <c r="BO44">
        <v>0.87</v>
      </c>
      <c r="BP44" t="s">
        <v>5</v>
      </c>
      <c r="BQ44">
        <v>0.45</v>
      </c>
      <c r="BR44">
        <v>1.45</v>
      </c>
      <c r="BS44">
        <v>-35.24</v>
      </c>
      <c r="BT44" t="s">
        <v>1720</v>
      </c>
      <c r="BU44" t="s">
        <v>1537</v>
      </c>
      <c r="BV44">
        <v>25.75</v>
      </c>
      <c r="BW44">
        <v>18.309999999999999</v>
      </c>
      <c r="BX44">
        <v>17.829999999999998</v>
      </c>
      <c r="BY44">
        <v>-5.44</v>
      </c>
      <c r="BZ44">
        <v>7.33</v>
      </c>
      <c r="CA44">
        <v>-81.67</v>
      </c>
      <c r="CB44">
        <v>-2.2999999999999998</v>
      </c>
      <c r="CC44">
        <v>-9.01</v>
      </c>
      <c r="CD44" t="s">
        <v>3114</v>
      </c>
      <c r="CE44" t="s">
        <v>479</v>
      </c>
      <c r="CF44" s="10">
        <v>1.2101104660570448</v>
      </c>
      <c r="CG44" s="11">
        <v>11.066031504519824</v>
      </c>
      <c r="CH44" s="10">
        <v>0.48543688654899597</v>
      </c>
      <c r="CI44" s="10">
        <v>-0.63301664590835571</v>
      </c>
      <c r="CJ44" s="10">
        <v>5.3817272186279297E-2</v>
      </c>
      <c r="CK44" s="10">
        <v>-5.8892816305160522E-2</v>
      </c>
      <c r="CL44" s="10">
        <v>-0.10819327831268311</v>
      </c>
      <c r="CM44" s="11">
        <v>-1.8635885715484619</v>
      </c>
      <c r="CN44" s="11">
        <v>1.035467267036438</v>
      </c>
      <c r="CO44" s="11">
        <v>-5.6107382774353027</v>
      </c>
      <c r="CP44" s="11">
        <v>7.6216378211975098</v>
      </c>
      <c r="CQ44" s="11">
        <v>1.0167624950408936</v>
      </c>
      <c r="CR44">
        <v>-7.8862593186062897</v>
      </c>
      <c r="CS44">
        <v>-1.5116546282255239</v>
      </c>
      <c r="CT44">
        <v>0</v>
      </c>
      <c r="CU44" s="10">
        <v>-5.2169716358184813E-2</v>
      </c>
      <c r="CV44" s="11">
        <v>0.43990814685821533</v>
      </c>
      <c r="CW44">
        <v>0.06</v>
      </c>
      <c r="CX44" t="e">
        <v>#VALUE!</v>
      </c>
      <c r="CY44" t="s">
        <v>1549</v>
      </c>
      <c r="CZ44">
        <v>-5.2169716358184813E-2</v>
      </c>
      <c r="DA44" t="e">
        <v>#VALUE!</v>
      </c>
      <c r="DB44" t="s">
        <v>1549</v>
      </c>
      <c r="DC44">
        <v>-4.9561230540275572E-2</v>
      </c>
      <c r="DD44" t="e">
        <v>#VALUE!</v>
      </c>
      <c r="DE44" t="s">
        <v>1549</v>
      </c>
      <c r="DF44">
        <v>-4.5909350395202636E-2</v>
      </c>
      <c r="DG44" t="e">
        <v>#VALUE!</v>
      </c>
      <c r="DH44" t="s">
        <v>1549</v>
      </c>
      <c r="DI44">
        <v>-4.1735773086547856E-2</v>
      </c>
      <c r="DJ44" t="e">
        <v>#VALUE!</v>
      </c>
      <c r="DK44" t="s">
        <v>1549</v>
      </c>
      <c r="DL44">
        <v>-3.6518801450729367E-2</v>
      </c>
      <c r="DM44">
        <v>-21042199.999999996</v>
      </c>
      <c r="DN44">
        <v>-5.2169716358184813E-2</v>
      </c>
      <c r="DO44">
        <v>654172900</v>
      </c>
      <c r="DP44">
        <v>847060310</v>
      </c>
      <c r="DQ44">
        <v>1502</v>
      </c>
      <c r="DR44">
        <v>1.2622801824152297</v>
      </c>
      <c r="DS44">
        <v>10.626123357661609</v>
      </c>
      <c r="DT44" s="12">
        <v>-0.57333333333333336</v>
      </c>
      <c r="DU44">
        <v>-0.37666666666666687</v>
      </c>
      <c r="DV44">
        <v>-0.95000000000000018</v>
      </c>
      <c r="DW44">
        <v>-2.0901000000000001</v>
      </c>
      <c r="DX44">
        <v>0.27076572438162444</v>
      </c>
      <c r="DY44">
        <v>-2.0072769917667843</v>
      </c>
      <c r="DZ44">
        <v>3514</v>
      </c>
      <c r="EA44">
        <v>-2.0022728138668859</v>
      </c>
      <c r="EB44">
        <v>2</v>
      </c>
      <c r="EC44">
        <v>4.761875991679889E-2</v>
      </c>
      <c r="ED44">
        <v>0.58959119454926068</v>
      </c>
      <c r="EE44" s="13">
        <v>-1.1092</v>
      </c>
      <c r="EF44">
        <v>-1.1023000000000001</v>
      </c>
      <c r="EG44">
        <v>19.080765724381624</v>
      </c>
      <c r="EH44" t="s">
        <v>1813</v>
      </c>
      <c r="EI44">
        <v>0</v>
      </c>
      <c r="EJ44">
        <v>0</v>
      </c>
      <c r="EK44" s="15">
        <v>45470</v>
      </c>
      <c r="EL44" s="16">
        <v>-0.46</v>
      </c>
      <c r="EM44" s="16">
        <v>-4.41</v>
      </c>
      <c r="EN44" s="16">
        <v>0.73</v>
      </c>
      <c r="EO44" s="16">
        <v>4.0999999999999996</v>
      </c>
      <c r="EP44" s="16">
        <v>-0.69</v>
      </c>
    </row>
    <row r="45" spans="1:146" ht="108" x14ac:dyDescent="0.25">
      <c r="A45" s="8"/>
      <c r="B45" s="8"/>
      <c r="C45" s="8" t="str">
        <f>""&amp;CHAR(10)&amp;Basic_Fundamental_Information_Constructure(F45)&amp;CHAR(10)&amp;Basic_Fundamental_Information_Concatenate("")</f>
        <v xml:space="preserve">
市值20.713656亿, 利润3251.78万; PE49.44; 平均PE-17.43; 平均PEG-6.29, PB1.96; ROIC2.325%; ROE-7.1133%; 股利率0%; 毛利39.64%; 净利-12.0067%; 上一年度营收增18.66%, 利润增132.49%; 当季营收增4%, 利润增30.69%; 过往5年营收增2.77%, 利润增-316.91%
Income profile:
</v>
      </c>
      <c r="D45" t="s">
        <v>349</v>
      </c>
      <c r="E45" t="s">
        <v>51</v>
      </c>
      <c r="F45">
        <v>5.26</v>
      </c>
      <c r="G45">
        <v>1.35</v>
      </c>
      <c r="H45" t="s">
        <v>3115</v>
      </c>
      <c r="I45">
        <v>2071365600</v>
      </c>
      <c r="J45">
        <v>49.44</v>
      </c>
      <c r="K45">
        <v>1.96</v>
      </c>
      <c r="L45" t="s">
        <v>101</v>
      </c>
      <c r="M45" t="s">
        <v>112</v>
      </c>
      <c r="N45" t="s">
        <v>2239</v>
      </c>
      <c r="O45" t="s">
        <v>3116</v>
      </c>
      <c r="P45">
        <v>4</v>
      </c>
      <c r="Q45" t="s">
        <v>1856</v>
      </c>
      <c r="R45">
        <v>-21174829</v>
      </c>
      <c r="S45" s="6">
        <v>0.30690000000000001</v>
      </c>
      <c r="T45" t="s">
        <v>3117</v>
      </c>
      <c r="U45">
        <v>329752180</v>
      </c>
      <c r="V45">
        <v>393795740</v>
      </c>
      <c r="W45">
        <v>1.84</v>
      </c>
      <c r="X45">
        <v>0.03</v>
      </c>
      <c r="Y45">
        <v>-32.46</v>
      </c>
      <c r="Z45" t="s">
        <v>3118</v>
      </c>
      <c r="AA45" t="s">
        <v>3119</v>
      </c>
      <c r="AB45" t="s">
        <v>3120</v>
      </c>
      <c r="AC45" t="s">
        <v>3121</v>
      </c>
      <c r="AD45" t="s">
        <v>5</v>
      </c>
      <c r="AE45">
        <v>7193214</v>
      </c>
      <c r="AF45" t="s">
        <v>3122</v>
      </c>
      <c r="AG45" t="s">
        <v>3123</v>
      </c>
      <c r="AH45" t="s">
        <v>3124</v>
      </c>
      <c r="AI45" t="s">
        <v>392</v>
      </c>
      <c r="AJ45" t="s">
        <v>3125</v>
      </c>
      <c r="AK45" t="s">
        <v>5</v>
      </c>
      <c r="AL45" t="s">
        <v>3126</v>
      </c>
      <c r="AM45" t="s">
        <v>5</v>
      </c>
      <c r="AN45" t="s">
        <v>3127</v>
      </c>
      <c r="AO45" t="s">
        <v>443</v>
      </c>
      <c r="AP45" t="s">
        <v>5</v>
      </c>
      <c r="AQ45" t="s">
        <v>420</v>
      </c>
      <c r="AR45" t="s">
        <v>3128</v>
      </c>
      <c r="AS45" t="s">
        <v>930</v>
      </c>
      <c r="AT45" t="s">
        <v>1932</v>
      </c>
      <c r="AU45" t="s">
        <v>3129</v>
      </c>
      <c r="AV45" t="s">
        <v>3130</v>
      </c>
      <c r="AW45" t="s">
        <v>3131</v>
      </c>
      <c r="AX45" t="s">
        <v>1662</v>
      </c>
      <c r="AY45" t="s">
        <v>144</v>
      </c>
      <c r="AZ45" t="s">
        <v>962</v>
      </c>
      <c r="BA45" t="s">
        <v>351</v>
      </c>
      <c r="BB45" t="s">
        <v>503</v>
      </c>
      <c r="BC45" t="s">
        <v>3132</v>
      </c>
      <c r="BD45" t="s">
        <v>1401</v>
      </c>
      <c r="BE45" t="s">
        <v>963</v>
      </c>
      <c r="BF45" t="s">
        <v>352</v>
      </c>
      <c r="BG45" t="s">
        <v>964</v>
      </c>
      <c r="BH45" t="s">
        <v>1856</v>
      </c>
      <c r="BI45" t="s">
        <v>3133</v>
      </c>
      <c r="BJ45" t="s">
        <v>1662</v>
      </c>
      <c r="BK45" t="s">
        <v>3117</v>
      </c>
      <c r="BL45" t="s">
        <v>3134</v>
      </c>
      <c r="BM45" t="s">
        <v>3132</v>
      </c>
      <c r="BN45">
        <v>0.48</v>
      </c>
      <c r="BO45">
        <v>4.17</v>
      </c>
      <c r="BP45" t="s">
        <v>5</v>
      </c>
      <c r="BQ45">
        <v>0.18</v>
      </c>
      <c r="BR45">
        <v>1.35</v>
      </c>
      <c r="BS45">
        <v>-22.87</v>
      </c>
      <c r="BT45" t="s">
        <v>1720</v>
      </c>
      <c r="BU45" t="s">
        <v>1536</v>
      </c>
      <c r="BV45">
        <v>39.880000000000003</v>
      </c>
      <c r="BW45">
        <v>38.92</v>
      </c>
      <c r="BX45">
        <v>40.119999999999997</v>
      </c>
      <c r="BY45">
        <v>4.5</v>
      </c>
      <c r="BZ45">
        <v>2.38</v>
      </c>
      <c r="CA45">
        <v>-42.9</v>
      </c>
      <c r="CB45">
        <v>-1.68</v>
      </c>
      <c r="CC45">
        <v>-8.52</v>
      </c>
      <c r="CD45" t="s">
        <v>3135</v>
      </c>
      <c r="CE45" t="s">
        <v>3136</v>
      </c>
      <c r="CF45" s="10">
        <v>4.0038381434569663E-2</v>
      </c>
      <c r="CG45" s="11">
        <v>0.3068818432672889</v>
      </c>
      <c r="CH45" s="10">
        <v>0.1866028755903244</v>
      </c>
      <c r="CI45" s="10">
        <v>2.9556650668382645E-2</v>
      </c>
      <c r="CJ45" s="10">
        <v>0.2083333283662796</v>
      </c>
      <c r="CK45" s="10">
        <v>-0.27167630195617676</v>
      </c>
      <c r="CL45" s="10">
        <v>-1.4245014637708664E-2</v>
      </c>
      <c r="CM45" s="11">
        <v>1.3249086141586304</v>
      </c>
      <c r="CN45" s="11">
        <v>1.0533843040466309</v>
      </c>
      <c r="CO45" s="11">
        <v>0.56187289953231812</v>
      </c>
      <c r="CP45" s="11">
        <v>-18.309701919555664</v>
      </c>
      <c r="CQ45" s="11">
        <v>-0.47604864835739136</v>
      </c>
      <c r="CR45">
        <v>-17.430536090030373</v>
      </c>
      <c r="CS45">
        <v>-6.2893637242152263</v>
      </c>
      <c r="CT45">
        <v>0</v>
      </c>
      <c r="CU45" s="10">
        <v>2.7714307606220245E-2</v>
      </c>
      <c r="CV45" s="11">
        <v>-3.1691169500350953</v>
      </c>
      <c r="CW45">
        <v>0.06</v>
      </c>
      <c r="CX45">
        <v>62.687304077046122</v>
      </c>
      <c r="CY45">
        <v>31527366.331959955</v>
      </c>
      <c r="CZ45">
        <v>2.7714307606220245E-2</v>
      </c>
      <c r="DA45">
        <v>21.60294250877498</v>
      </c>
      <c r="DB45">
        <v>91485944.528029576</v>
      </c>
      <c r="DC45">
        <v>2.632859222590923E-2</v>
      </c>
      <c r="DD45">
        <v>11.397234745664894</v>
      </c>
      <c r="DE45">
        <v>173407466.29367617</v>
      </c>
      <c r="DF45">
        <v>2.4388590693473815E-2</v>
      </c>
      <c r="DG45">
        <v>7.3821804692843003</v>
      </c>
      <c r="DH45">
        <v>267721116.8466067</v>
      </c>
      <c r="DI45">
        <v>2.2171446084976197E-2</v>
      </c>
      <c r="DJ45">
        <v>4.4653137915195922</v>
      </c>
      <c r="DK45">
        <v>442603967.44198853</v>
      </c>
      <c r="DL45">
        <v>1.9400015324354172E-2</v>
      </c>
      <c r="DM45">
        <v>32517800.000000004</v>
      </c>
      <c r="DN45">
        <v>2.7714307606220245E-2</v>
      </c>
      <c r="DO45">
        <v>1976365600</v>
      </c>
      <c r="DP45">
        <v>410423760</v>
      </c>
      <c r="DQ45">
        <v>1577</v>
      </c>
      <c r="DR45">
        <v>1.2324073828349418E-2</v>
      </c>
      <c r="DS45">
        <v>3.4759987933023844</v>
      </c>
      <c r="DT45" s="12">
        <v>-0.25666666666666665</v>
      </c>
      <c r="DU45">
        <v>-1.2983333333333333</v>
      </c>
      <c r="DV45">
        <v>-1.5549999999999999</v>
      </c>
      <c r="DW45">
        <v>-2.0851999999999999</v>
      </c>
      <c r="DX45">
        <v>0.34330894595574307</v>
      </c>
      <c r="DY45">
        <v>-2.0130619221954293</v>
      </c>
      <c r="DZ45">
        <v>4060</v>
      </c>
      <c r="EA45">
        <v>-2.002683956615499</v>
      </c>
      <c r="EB45">
        <v>2</v>
      </c>
      <c r="EC45">
        <v>3.5035676109650145E-2</v>
      </c>
      <c r="ED45">
        <v>0.22852989725079301</v>
      </c>
      <c r="EE45" s="13">
        <v>-2.1210100000000001</v>
      </c>
      <c r="EF45">
        <v>-2.1322100000000002</v>
      </c>
      <c r="EG45">
        <v>19.153308945955743</v>
      </c>
      <c r="EH45" t="s">
        <v>2103</v>
      </c>
      <c r="EI45">
        <v>0</v>
      </c>
      <c r="EJ45">
        <v>0</v>
      </c>
      <c r="EK45" s="15">
        <v>45470</v>
      </c>
      <c r="EL45" s="16">
        <v>-0.19</v>
      </c>
      <c r="EM45" s="16">
        <v>-1.51</v>
      </c>
      <c r="EN45" s="16">
        <v>0.38</v>
      </c>
      <c r="EO45" s="16">
        <v>2.1</v>
      </c>
      <c r="EP45" s="16">
        <v>-1.1200000000000001</v>
      </c>
    </row>
    <row r="46" spans="1:146" ht="108" x14ac:dyDescent="0.25">
      <c r="A46" s="8"/>
      <c r="B46" s="8"/>
      <c r="C46" s="8" t="str">
        <f>""&amp;CHAR(10)&amp;Basic_Fundamental_Information_Constructure(F46)&amp;CHAR(10)&amp;Basic_Fundamental_Information_Concatenate("")</f>
        <v xml:space="preserve">
市值22.306788亿, 利润6029.93万; PE64.21; 平均PE30.41; 平均PEG3.66, PB1.06; ROIC4.4667%; ROE6.1033%; 股利率1.8832%; 毛利32.0933%; 净利6.7333%; 上一年度营收增-6.85%, 利润增-33%; 当季营收增-17.97%, 利润增-60.42%; 过往5年营收增8.32%, 利润增41.24%
Income profile:
</v>
      </c>
      <c r="D46" t="s">
        <v>1607</v>
      </c>
      <c r="E46" t="s">
        <v>1608</v>
      </c>
      <c r="F46">
        <v>5.31</v>
      </c>
      <c r="G46">
        <v>1.53</v>
      </c>
      <c r="H46" t="s">
        <v>3137</v>
      </c>
      <c r="I46">
        <v>2230678800</v>
      </c>
      <c r="J46">
        <v>64.209999999999994</v>
      </c>
      <c r="K46">
        <v>1.06</v>
      </c>
      <c r="L46" t="s">
        <v>101</v>
      </c>
      <c r="M46" t="s">
        <v>2277</v>
      </c>
      <c r="N46" t="s">
        <v>3138</v>
      </c>
      <c r="O46" t="s">
        <v>206</v>
      </c>
      <c r="P46">
        <v>-18.100000000000001</v>
      </c>
      <c r="Q46" t="s">
        <v>1887</v>
      </c>
      <c r="R46">
        <v>16741980</v>
      </c>
      <c r="S46" s="6">
        <v>-0.60419999999999996</v>
      </c>
      <c r="T46" t="s">
        <v>3139</v>
      </c>
      <c r="U46">
        <v>336491520</v>
      </c>
      <c r="V46">
        <v>420090160</v>
      </c>
      <c r="W46">
        <v>1.58</v>
      </c>
      <c r="X46">
        <v>7.0000000000000007E-2</v>
      </c>
      <c r="Y46">
        <v>6.09</v>
      </c>
      <c r="Z46" t="s">
        <v>795</v>
      </c>
      <c r="AA46" t="s">
        <v>468</v>
      </c>
      <c r="AB46" t="s">
        <v>3140</v>
      </c>
      <c r="AC46" t="s">
        <v>3141</v>
      </c>
      <c r="AD46" t="s">
        <v>5</v>
      </c>
      <c r="AE46">
        <v>7386519</v>
      </c>
      <c r="AF46" t="s">
        <v>3142</v>
      </c>
      <c r="AG46" t="s">
        <v>3143</v>
      </c>
      <c r="AH46" t="s">
        <v>3144</v>
      </c>
      <c r="AI46" t="s">
        <v>644</v>
      </c>
      <c r="AJ46" t="s">
        <v>3145</v>
      </c>
      <c r="AK46" t="s">
        <v>266</v>
      </c>
      <c r="AL46" t="s">
        <v>3146</v>
      </c>
      <c r="AM46" t="s">
        <v>5</v>
      </c>
      <c r="AN46" t="s">
        <v>3147</v>
      </c>
      <c r="AO46" t="s">
        <v>338</v>
      </c>
      <c r="AP46" t="s">
        <v>367</v>
      </c>
      <c r="AQ46" t="s">
        <v>364</v>
      </c>
      <c r="AR46" t="s">
        <v>5</v>
      </c>
      <c r="AS46" t="s">
        <v>915</v>
      </c>
      <c r="AT46" t="s">
        <v>1181</v>
      </c>
      <c r="AU46" t="s">
        <v>3148</v>
      </c>
      <c r="AV46" t="s">
        <v>3149</v>
      </c>
      <c r="AW46" t="s">
        <v>3150</v>
      </c>
      <c r="AX46" t="s">
        <v>1686</v>
      </c>
      <c r="AY46" t="s">
        <v>1550</v>
      </c>
      <c r="AZ46" t="s">
        <v>1566</v>
      </c>
      <c r="BA46" t="s">
        <v>709</v>
      </c>
      <c r="BB46" t="s">
        <v>1610</v>
      </c>
      <c r="BC46" t="s">
        <v>1928</v>
      </c>
      <c r="BD46" t="s">
        <v>146</v>
      </c>
      <c r="BE46" t="s">
        <v>139</v>
      </c>
      <c r="BF46" t="s">
        <v>1611</v>
      </c>
      <c r="BG46" t="s">
        <v>1612</v>
      </c>
      <c r="BH46" t="s">
        <v>1887</v>
      </c>
      <c r="BI46" t="s">
        <v>265</v>
      </c>
      <c r="BJ46" t="s">
        <v>1686</v>
      </c>
      <c r="BK46" t="s">
        <v>3139</v>
      </c>
      <c r="BL46" t="s">
        <v>3151</v>
      </c>
      <c r="BM46" t="s">
        <v>1928</v>
      </c>
      <c r="BN46">
        <v>2.79</v>
      </c>
      <c r="BO46">
        <v>3.33</v>
      </c>
      <c r="BP46">
        <v>7.28</v>
      </c>
      <c r="BQ46">
        <v>3.68</v>
      </c>
      <c r="BR46">
        <v>4.21</v>
      </c>
      <c r="BS46">
        <v>10.42</v>
      </c>
      <c r="BT46" t="s">
        <v>1723</v>
      </c>
      <c r="BU46" t="s">
        <v>1536</v>
      </c>
      <c r="BV46">
        <v>28.53</v>
      </c>
      <c r="BW46">
        <v>29.72</v>
      </c>
      <c r="BX46">
        <v>38.03</v>
      </c>
      <c r="BY46">
        <v>3.42</v>
      </c>
      <c r="BZ46">
        <v>5.75</v>
      </c>
      <c r="CA46">
        <v>11.03</v>
      </c>
      <c r="CB46">
        <v>-3.63</v>
      </c>
      <c r="CC46">
        <v>-10.91</v>
      </c>
      <c r="CD46" t="s">
        <v>3152</v>
      </c>
      <c r="CE46" t="s">
        <v>146</v>
      </c>
      <c r="CF46" s="10">
        <v>-0.17966101694915254</v>
      </c>
      <c r="CG46" s="11">
        <v>-0.60421973844713628</v>
      </c>
      <c r="CH46" s="10">
        <v>-6.8464688956737518E-2</v>
      </c>
      <c r="CI46" s="10">
        <v>7.6654604636132717E-3</v>
      </c>
      <c r="CJ46" s="10">
        <v>9.1254748404026031E-2</v>
      </c>
      <c r="CK46" s="10">
        <v>0.22439484298229218</v>
      </c>
      <c r="CL46" s="10">
        <v>0.16108107566833496</v>
      </c>
      <c r="CM46" s="11">
        <v>-0.33001223206520081</v>
      </c>
      <c r="CN46" s="11">
        <v>-0.3877510130405426</v>
      </c>
      <c r="CO46" s="11">
        <v>-0.1036585345864296</v>
      </c>
      <c r="CP46" s="11">
        <v>1.0970176458358765</v>
      </c>
      <c r="CQ46" s="11">
        <v>1.7866166830062866</v>
      </c>
      <c r="CR46">
        <v>30.412465225475707</v>
      </c>
      <c r="CS46">
        <v>3.655946918878648</v>
      </c>
      <c r="CT46">
        <v>1.8832391713747647</v>
      </c>
      <c r="CU46" s="10">
        <v>8.3186287712305781E-2</v>
      </c>
      <c r="CV46" s="11">
        <v>0.41244250982999803</v>
      </c>
      <c r="CW46">
        <v>0.06</v>
      </c>
      <c r="CX46">
        <v>22.195991828962626</v>
      </c>
      <c r="CY46">
        <v>61618278.225142114</v>
      </c>
      <c r="CZ46">
        <v>8.3186287712305781E-2</v>
      </c>
      <c r="DA46">
        <v>7.2954468755149575</v>
      </c>
      <c r="DB46">
        <v>187470188.37053224</v>
      </c>
      <c r="DC46">
        <v>7.9026973326690494E-2</v>
      </c>
      <c r="DD46">
        <v>3.6191465498621507</v>
      </c>
      <c r="DE46">
        <v>377900917.01373446</v>
      </c>
      <c r="DF46">
        <v>7.3203933186829093E-2</v>
      </c>
      <c r="DG46">
        <v>2.1922577001915839</v>
      </c>
      <c r="DH46">
        <v>623867714.03766859</v>
      </c>
      <c r="DI46">
        <v>6.6549030169844633E-2</v>
      </c>
      <c r="DJ46">
        <v>1.1540930374318767</v>
      </c>
      <c r="DK46">
        <v>1185068062.6610494</v>
      </c>
      <c r="DL46">
        <v>5.8230401398614046E-2</v>
      </c>
      <c r="DM46">
        <v>60299300</v>
      </c>
      <c r="DN46">
        <v>8.3186287712305781E-2</v>
      </c>
      <c r="DO46">
        <v>1367678800</v>
      </c>
      <c r="DP46">
        <v>1655919400</v>
      </c>
      <c r="DQ46">
        <v>1586</v>
      </c>
      <c r="DR46">
        <v>-0.26284730466145834</v>
      </c>
      <c r="DS46">
        <v>-1.0166622482771344</v>
      </c>
      <c r="DT46" s="12">
        <v>-0.22333333333333338</v>
      </c>
      <c r="DU46">
        <v>-0.32333333333333342</v>
      </c>
      <c r="DV46">
        <v>-0.54666666666666686</v>
      </c>
      <c r="DW46">
        <v>-8.3327222731439043</v>
      </c>
      <c r="DX46">
        <v>0.27661904761904721</v>
      </c>
      <c r="DY46">
        <v>-8.0554378682728824</v>
      </c>
      <c r="DZ46">
        <v>2954</v>
      </c>
      <c r="EA46">
        <v>-8.0233902238740384</v>
      </c>
      <c r="EB46">
        <v>8</v>
      </c>
      <c r="EC46">
        <v>5.8304150708981137E-2</v>
      </c>
      <c r="ED46">
        <v>0.34992488279182737</v>
      </c>
      <c r="EE46" s="13">
        <v>-2.0611000000000002</v>
      </c>
      <c r="EF46">
        <v>-2.0375999999999999</v>
      </c>
      <c r="EG46">
        <v>11.166619047619047</v>
      </c>
      <c r="EH46" t="s">
        <v>1852</v>
      </c>
      <c r="EI46">
        <v>0</v>
      </c>
      <c r="EJ46">
        <v>0</v>
      </c>
      <c r="EK46" s="15">
        <v>45470</v>
      </c>
      <c r="EL46" s="16">
        <v>-1.65</v>
      </c>
      <c r="EM46" s="16">
        <v>-3.9</v>
      </c>
      <c r="EN46" s="16">
        <v>4.26</v>
      </c>
      <c r="EO46" s="16">
        <v>2.6</v>
      </c>
      <c r="EP46" s="16">
        <v>-2.35</v>
      </c>
    </row>
    <row r="47" spans="1:146" ht="96" x14ac:dyDescent="0.25">
      <c r="A47" s="8"/>
      <c r="B47" s="8"/>
      <c r="C47" s="8" t="str">
        <f>""&amp;CHAR(10)&amp;Basic_Fundamental_Information_Constructure(F47)&amp;CHAR(10)&amp;Basic_Fundamental_Information_Concatenate("")</f>
        <v xml:space="preserve">
市值32.071039亿, 利润1.32亿; PE26; 平均PE27.01; 平均PEG2.77, PB1.37; ROIC5.5833%; ROE6.2433%; 股利率0%; 毛利47.2867%; 净利18.2967%; 上一年度营收增-12.34%, 利润增20%; 当季营收增-17.17%, 利润增-45.48%; 过往5年营收增9.75%, 利润增17.8%
Income profile:
</v>
      </c>
      <c r="D47" t="s">
        <v>357</v>
      </c>
      <c r="E47" t="s">
        <v>2163</v>
      </c>
      <c r="F47">
        <v>4.3499999999999996</v>
      </c>
      <c r="G47">
        <v>1.64</v>
      </c>
      <c r="H47" t="s">
        <v>3153</v>
      </c>
      <c r="I47">
        <v>3207103900</v>
      </c>
      <c r="J47">
        <v>26</v>
      </c>
      <c r="K47">
        <v>1.37</v>
      </c>
      <c r="L47" t="s">
        <v>101</v>
      </c>
      <c r="M47" t="s">
        <v>257</v>
      </c>
      <c r="N47" t="s">
        <v>3154</v>
      </c>
      <c r="O47" t="s">
        <v>3155</v>
      </c>
      <c r="P47">
        <v>-17.170000000000002</v>
      </c>
      <c r="Q47" t="s">
        <v>957</v>
      </c>
      <c r="R47">
        <v>10674021</v>
      </c>
      <c r="S47" s="6">
        <v>-0.45479999999999998</v>
      </c>
      <c r="T47" t="s">
        <v>227</v>
      </c>
      <c r="U47">
        <v>581412240</v>
      </c>
      <c r="V47">
        <v>737265260</v>
      </c>
      <c r="W47">
        <v>1.1299999999999999</v>
      </c>
      <c r="X47">
        <v>0.03</v>
      </c>
      <c r="Y47">
        <v>7.87</v>
      </c>
      <c r="Z47" t="s">
        <v>3156</v>
      </c>
      <c r="AA47" t="s">
        <v>3157</v>
      </c>
      <c r="AB47" t="s">
        <v>3158</v>
      </c>
      <c r="AC47" t="s">
        <v>3159</v>
      </c>
      <c r="AD47" t="s">
        <v>5</v>
      </c>
      <c r="AE47">
        <v>-974157</v>
      </c>
      <c r="AF47" t="s">
        <v>3160</v>
      </c>
      <c r="AG47" t="s">
        <v>3161</v>
      </c>
      <c r="AH47" t="s">
        <v>3162</v>
      </c>
      <c r="AI47" t="s">
        <v>559</v>
      </c>
      <c r="AJ47" t="s">
        <v>3163</v>
      </c>
      <c r="AK47" t="s">
        <v>392</v>
      </c>
      <c r="AL47" t="s">
        <v>3164</v>
      </c>
      <c r="AM47" t="s">
        <v>5</v>
      </c>
      <c r="AN47" t="s">
        <v>3165</v>
      </c>
      <c r="AO47" t="s">
        <v>3166</v>
      </c>
      <c r="AP47" t="s">
        <v>3167</v>
      </c>
      <c r="AQ47" t="s">
        <v>512</v>
      </c>
      <c r="AR47" t="s">
        <v>3168</v>
      </c>
      <c r="AS47" t="s">
        <v>163</v>
      </c>
      <c r="AT47" t="s">
        <v>5</v>
      </c>
      <c r="AU47" t="s">
        <v>3169</v>
      </c>
      <c r="AV47" t="s">
        <v>3170</v>
      </c>
      <c r="AW47" t="s">
        <v>3171</v>
      </c>
      <c r="AX47" t="s">
        <v>1636</v>
      </c>
      <c r="AY47" t="s">
        <v>700</v>
      </c>
      <c r="AZ47" t="s">
        <v>188</v>
      </c>
      <c r="BA47" t="s">
        <v>359</v>
      </c>
      <c r="BB47" t="s">
        <v>313</v>
      </c>
      <c r="BC47" t="s">
        <v>178</v>
      </c>
      <c r="BD47" t="s">
        <v>308</v>
      </c>
      <c r="BE47" t="s">
        <v>630</v>
      </c>
      <c r="BF47" t="s">
        <v>360</v>
      </c>
      <c r="BG47" t="s">
        <v>965</v>
      </c>
      <c r="BH47" t="s">
        <v>957</v>
      </c>
      <c r="BI47" t="s">
        <v>692</v>
      </c>
      <c r="BJ47" t="s">
        <v>1636</v>
      </c>
      <c r="BK47" t="s">
        <v>227</v>
      </c>
      <c r="BL47" t="s">
        <v>3172</v>
      </c>
      <c r="BM47" t="s">
        <v>178</v>
      </c>
      <c r="BN47">
        <v>2.61</v>
      </c>
      <c r="BO47">
        <v>4.47</v>
      </c>
      <c r="BP47">
        <v>9.67</v>
      </c>
      <c r="BQ47">
        <v>3.04</v>
      </c>
      <c r="BR47">
        <v>5.43</v>
      </c>
      <c r="BS47">
        <v>10.26</v>
      </c>
      <c r="BT47" t="s">
        <v>1720</v>
      </c>
      <c r="BU47" t="s">
        <v>1536</v>
      </c>
      <c r="BV47">
        <v>44.88</v>
      </c>
      <c r="BW47">
        <v>46.66</v>
      </c>
      <c r="BX47">
        <v>50.32</v>
      </c>
      <c r="BY47">
        <v>17.559999999999999</v>
      </c>
      <c r="BZ47">
        <v>13.27</v>
      </c>
      <c r="CA47">
        <v>24.06</v>
      </c>
      <c r="CB47">
        <v>-4.1900000000000004</v>
      </c>
      <c r="CC47">
        <v>-13.86</v>
      </c>
      <c r="CD47" t="s">
        <v>3173</v>
      </c>
      <c r="CE47" t="s">
        <v>246</v>
      </c>
      <c r="CF47" s="10">
        <v>-0.17165047619047619</v>
      </c>
      <c r="CG47" s="11">
        <v>-0.45482018908110261</v>
      </c>
      <c r="CH47" s="10">
        <v>-0.12335958331823349</v>
      </c>
      <c r="CI47" s="10">
        <v>1.0610079392790794E-2</v>
      </c>
      <c r="CJ47" s="10">
        <v>0.40409684181213379</v>
      </c>
      <c r="CK47" s="10">
        <v>0.13771186769008636</v>
      </c>
      <c r="CL47" s="10">
        <v>5.8295965194702148E-2</v>
      </c>
      <c r="CM47" s="11">
        <v>0.20000000298023224</v>
      </c>
      <c r="CN47" s="11">
        <v>-0.42105263471603394</v>
      </c>
      <c r="CO47" s="11">
        <v>0.59663867950439453</v>
      </c>
      <c r="CP47" s="11">
        <v>0.85683923959732056</v>
      </c>
      <c r="CQ47" s="11">
        <v>-0.34237766265869141</v>
      </c>
      <c r="CR47">
        <v>27.005651888467828</v>
      </c>
      <c r="CS47">
        <v>2.7706335654260199</v>
      </c>
      <c r="CT47">
        <v>0</v>
      </c>
      <c r="CU47" s="10">
        <v>9.7471034154295921E-2</v>
      </c>
      <c r="CV47" s="11">
        <v>0.1780095249414444</v>
      </c>
      <c r="CW47">
        <v>0.06</v>
      </c>
      <c r="CX47">
        <v>8.6203016059298925</v>
      </c>
      <c r="CY47">
        <v>136666204.25317648</v>
      </c>
      <c r="CZ47">
        <v>9.7471034154295921E-2</v>
      </c>
      <c r="DA47">
        <v>2.7992839051817531</v>
      </c>
      <c r="DB47">
        <v>420859026.77438772</v>
      </c>
      <c r="DC47">
        <v>9.2597482446581114E-2</v>
      </c>
      <c r="DD47">
        <v>1.3663900844834267</v>
      </c>
      <c r="DE47">
        <v>862201733.88142693</v>
      </c>
      <c r="DF47">
        <v>8.5774510055780406E-2</v>
      </c>
      <c r="DG47">
        <v>0.81270616211256252</v>
      </c>
      <c r="DH47">
        <v>1449606210.6107528</v>
      </c>
      <c r="DI47">
        <v>7.7976827323436748E-2</v>
      </c>
      <c r="DJ47">
        <v>0.41103666790939997</v>
      </c>
      <c r="DK47">
        <v>2866177136.9255934</v>
      </c>
      <c r="DL47">
        <v>6.8229723908007134E-2</v>
      </c>
      <c r="DM47">
        <v>132000000</v>
      </c>
      <c r="DN47">
        <v>9.7471034154295921E-2</v>
      </c>
      <c r="DO47">
        <v>1178103900</v>
      </c>
      <c r="DP47">
        <v>1296114300</v>
      </c>
      <c r="DQ47">
        <v>1590</v>
      </c>
      <c r="DR47">
        <v>-0.26912151034477211</v>
      </c>
      <c r="DS47">
        <v>-0.63282971402254695</v>
      </c>
      <c r="DT47" s="12">
        <v>-0.3066666666666667</v>
      </c>
      <c r="DU47">
        <v>6.3333333333333353E-2</v>
      </c>
      <c r="DV47">
        <v>-0.24333333333333335</v>
      </c>
      <c r="DW47">
        <v>-8.3023088023088025</v>
      </c>
      <c r="DX47">
        <v>0.3062822641509429</v>
      </c>
      <c r="DY47">
        <v>-8.0351531520052273</v>
      </c>
      <c r="DZ47">
        <v>2312</v>
      </c>
      <c r="EA47">
        <v>-8.0192482425265421</v>
      </c>
      <c r="EB47">
        <v>8</v>
      </c>
      <c r="EC47">
        <v>4.1796083000031764E-2</v>
      </c>
      <c r="ED47">
        <v>0.35943643947091714</v>
      </c>
      <c r="EE47" s="13">
        <v>-3.1121099999999999</v>
      </c>
      <c r="EF47">
        <v>-3.1427100000000001</v>
      </c>
      <c r="EG47">
        <v>19.116282264150943</v>
      </c>
      <c r="EH47" t="s">
        <v>2118</v>
      </c>
      <c r="EI47">
        <v>0</v>
      </c>
      <c r="EJ47">
        <v>0</v>
      </c>
      <c r="EK47" s="15">
        <v>45470</v>
      </c>
      <c r="EL47" s="16">
        <v>0.43</v>
      </c>
      <c r="EM47" s="16">
        <v>-3.68</v>
      </c>
      <c r="EN47" s="16">
        <v>2.02</v>
      </c>
      <c r="EO47" s="16">
        <v>0.88</v>
      </c>
      <c r="EP47" s="16">
        <v>-3.06</v>
      </c>
    </row>
    <row r="48" spans="1:146" ht="96" x14ac:dyDescent="0.25">
      <c r="C48" s="8" t="str">
        <f>""&amp;CHAR(10)&amp;Basic_Fundamental_Information_Constructure(F48)&amp;CHAR(10)&amp;Basic_Fundamental_Information_Concatenate("")</f>
        <v xml:space="preserve">
市值13.466282亿, 利润-1.09亿; PE; 平均PE-28.17; 平均PEG-.48, PB2.15; ROIC3.5%; ROE-13.1533%; 股利率0%; 毛利11%; 净利-47.2233%; 上一年度营收增-35.37%, 利润增67.75%; 当季营收增26.72%, 利润增71.91%; 过往5年营收增58.42%, 利润增-231.67%
Income profile:
</v>
      </c>
      <c r="D48" t="s">
        <v>3174</v>
      </c>
      <c r="E48" t="s">
        <v>3175</v>
      </c>
      <c r="F48">
        <v>4.24</v>
      </c>
      <c r="G48">
        <v>-3.85</v>
      </c>
      <c r="H48" t="s">
        <v>3176</v>
      </c>
      <c r="I48">
        <v>1346628200</v>
      </c>
      <c r="K48">
        <v>2.15</v>
      </c>
      <c r="L48" t="s">
        <v>101</v>
      </c>
      <c r="M48" t="s">
        <v>1661</v>
      </c>
      <c r="N48" t="s">
        <v>3177</v>
      </c>
      <c r="O48" t="s">
        <v>3178</v>
      </c>
      <c r="P48" s="6">
        <v>26.72</v>
      </c>
      <c r="Q48" t="s">
        <v>702</v>
      </c>
      <c r="R48">
        <v>-4636838</v>
      </c>
      <c r="S48">
        <v>0.71909999999999996</v>
      </c>
      <c r="T48" t="s">
        <v>865</v>
      </c>
      <c r="U48">
        <v>245446450</v>
      </c>
      <c r="V48">
        <v>317601000</v>
      </c>
      <c r="W48">
        <v>1.62</v>
      </c>
      <c r="X48">
        <v>0.04</v>
      </c>
      <c r="Y48">
        <v>-10.98</v>
      </c>
      <c r="Z48" t="s">
        <v>3179</v>
      </c>
      <c r="AA48" t="s">
        <v>3180</v>
      </c>
      <c r="AB48" t="s">
        <v>3181</v>
      </c>
      <c r="AC48" t="s">
        <v>3182</v>
      </c>
      <c r="AD48" t="s">
        <v>5</v>
      </c>
      <c r="AE48">
        <v>1085364</v>
      </c>
      <c r="AF48" t="s">
        <v>3183</v>
      </c>
      <c r="AG48">
        <v>3601.41</v>
      </c>
      <c r="AH48" t="s">
        <v>3184</v>
      </c>
      <c r="AI48" t="s">
        <v>3185</v>
      </c>
      <c r="AJ48" t="s">
        <v>3186</v>
      </c>
      <c r="AK48" t="s">
        <v>3187</v>
      </c>
      <c r="AL48" t="s">
        <v>3188</v>
      </c>
      <c r="AM48" t="s">
        <v>5</v>
      </c>
      <c r="AN48" t="s">
        <v>164</v>
      </c>
      <c r="AO48" t="s">
        <v>240</v>
      </c>
      <c r="AP48" t="s">
        <v>5</v>
      </c>
      <c r="AQ48" t="s">
        <v>153</v>
      </c>
      <c r="AR48" t="s">
        <v>3189</v>
      </c>
      <c r="AS48" t="s">
        <v>106</v>
      </c>
      <c r="AT48" t="s">
        <v>3190</v>
      </c>
      <c r="AU48" t="s">
        <v>3191</v>
      </c>
      <c r="AV48" t="s">
        <v>3192</v>
      </c>
      <c r="AW48" t="s">
        <v>3193</v>
      </c>
      <c r="AX48" t="s">
        <v>443</v>
      </c>
      <c r="AY48" t="s">
        <v>1690</v>
      </c>
      <c r="AZ48" t="s">
        <v>1561</v>
      </c>
      <c r="BA48" t="s">
        <v>2371</v>
      </c>
      <c r="BB48" t="s">
        <v>404</v>
      </c>
      <c r="BC48" t="s">
        <v>3194</v>
      </c>
      <c r="BD48" t="s">
        <v>3195</v>
      </c>
      <c r="BE48" t="s">
        <v>3196</v>
      </c>
      <c r="BF48" t="s">
        <v>3197</v>
      </c>
      <c r="BG48" t="s">
        <v>3198</v>
      </c>
      <c r="BH48" t="s">
        <v>702</v>
      </c>
      <c r="BI48" t="s">
        <v>3199</v>
      </c>
      <c r="BJ48" t="s">
        <v>443</v>
      </c>
      <c r="BK48" t="s">
        <v>865</v>
      </c>
      <c r="BL48" t="s">
        <v>3200</v>
      </c>
      <c r="BM48" t="s">
        <v>3194</v>
      </c>
      <c r="BN48" t="s">
        <v>5</v>
      </c>
      <c r="BO48" t="s">
        <v>5</v>
      </c>
      <c r="BP48">
        <v>3.5</v>
      </c>
      <c r="BQ48">
        <v>-4.6399999999999997</v>
      </c>
      <c r="BR48">
        <v>-37.33</v>
      </c>
      <c r="BS48">
        <v>2.5099999999999998</v>
      </c>
      <c r="BT48" t="s">
        <v>1720</v>
      </c>
      <c r="BU48" t="s">
        <v>1537</v>
      </c>
      <c r="BV48">
        <v>6.21</v>
      </c>
      <c r="BW48">
        <v>11.59</v>
      </c>
      <c r="BX48">
        <v>15.2</v>
      </c>
      <c r="BY48">
        <v>-52.54</v>
      </c>
      <c r="BZ48">
        <v>-93.57</v>
      </c>
      <c r="CA48">
        <v>4.4400000000000004</v>
      </c>
      <c r="CB48">
        <v>-5.15</v>
      </c>
      <c r="CC48" s="10">
        <v>2.17</v>
      </c>
      <c r="CD48" s="11" t="s">
        <v>145</v>
      </c>
      <c r="CE48" s="10" t="s">
        <v>2177</v>
      </c>
      <c r="CF48" s="10">
        <v>0.26723848064228789</v>
      </c>
      <c r="CG48" s="10">
        <v>0.71909187840015509</v>
      </c>
      <c r="CH48" s="10">
        <v>-0.35368958115577698</v>
      </c>
      <c r="CI48" s="10">
        <v>-0.6101190447807312</v>
      </c>
      <c r="CJ48" s="11">
        <v>-0.21188431978225708</v>
      </c>
      <c r="CK48" s="11">
        <v>9.2228859663009644E-2</v>
      </c>
      <c r="CL48" s="11">
        <v>4.0042738914489746</v>
      </c>
      <c r="CM48" s="11">
        <v>0.67751479148864746</v>
      </c>
      <c r="CN48" s="11">
        <v>-13.560759544372559</v>
      </c>
      <c r="CO48">
        <v>-0.58189171552658081</v>
      </c>
      <c r="CP48">
        <v>0.29509586095809937</v>
      </c>
      <c r="CQ48">
        <v>1.5863932371139526</v>
      </c>
      <c r="CR48" s="10">
        <v>-28.169898627305781</v>
      </c>
      <c r="CS48" s="11">
        <v>-0.48222754140462359</v>
      </c>
      <c r="CT48">
        <v>0</v>
      </c>
      <c r="CU48">
        <v>0.58416196107864382</v>
      </c>
      <c r="CV48">
        <v>-2.3167294740676878</v>
      </c>
      <c r="CW48">
        <v>0.06</v>
      </c>
      <c r="CX48" t="e">
        <v>#VALUE!</v>
      </c>
      <c r="CY48" t="s">
        <v>1552</v>
      </c>
      <c r="CZ48">
        <v>0.58416196107864382</v>
      </c>
      <c r="DA48" t="e">
        <v>#VALUE!</v>
      </c>
      <c r="DB48" t="s">
        <v>1549</v>
      </c>
      <c r="DC48">
        <v>0.55495386302471161</v>
      </c>
      <c r="DD48" t="e">
        <v>#VALUE!</v>
      </c>
      <c r="DE48" t="s">
        <v>1549</v>
      </c>
      <c r="DF48">
        <v>0.51406252574920652</v>
      </c>
      <c r="DG48" t="e">
        <v>#VALUE!</v>
      </c>
      <c r="DH48" t="s">
        <v>1549</v>
      </c>
      <c r="DI48">
        <v>0.4673295688629151</v>
      </c>
      <c r="DJ48" t="e">
        <v>#VALUE!</v>
      </c>
      <c r="DK48" t="s">
        <v>1549</v>
      </c>
      <c r="DL48">
        <v>0.40891337275505063</v>
      </c>
      <c r="DM48">
        <v>-109000000.00000001</v>
      </c>
      <c r="DN48">
        <v>0.58416196107864382</v>
      </c>
      <c r="DO48">
        <v>1128628200</v>
      </c>
      <c r="DP48">
        <v>435929020</v>
      </c>
      <c r="DQ48" s="12">
        <v>1594</v>
      </c>
      <c r="DR48">
        <v>-0.31692348043635593</v>
      </c>
      <c r="DS48">
        <v>3.0358213524678428</v>
      </c>
      <c r="DT48">
        <v>-0.60000000000000009</v>
      </c>
      <c r="DU48">
        <v>-0.63500000000000001</v>
      </c>
      <c r="DV48">
        <v>-1.2350000000000001</v>
      </c>
      <c r="DW48">
        <v>-4.4213592233009704</v>
      </c>
      <c r="DX48">
        <v>0.45266932270916349</v>
      </c>
      <c r="DY48">
        <v>-4.140173287432793</v>
      </c>
      <c r="DZ48">
        <v>3805</v>
      </c>
      <c r="EA48">
        <v>-4.0357976790801944</v>
      </c>
      <c r="EB48" s="13">
        <v>4</v>
      </c>
      <c r="EC48" s="13">
        <v>0.52581698420345024</v>
      </c>
      <c r="ED48">
        <v>1.5805995573061795</v>
      </c>
      <c r="EE48">
        <v>4.3799999999999999E-2</v>
      </c>
      <c r="EF48">
        <v>6.7599999999999993E-2</v>
      </c>
      <c r="EG48">
        <v>12.332669322709163</v>
      </c>
      <c r="EH48" s="15" t="s">
        <v>1547</v>
      </c>
      <c r="EI48">
        <v>0</v>
      </c>
      <c r="EJ48">
        <v>0</v>
      </c>
      <c r="EK48">
        <v>45470</v>
      </c>
      <c r="EL48">
        <v>-1.9</v>
      </c>
      <c r="EM48">
        <v>8.98</v>
      </c>
      <c r="EN48" s="16">
        <v>6.24</v>
      </c>
      <c r="EO48" s="16">
        <v>-3.14</v>
      </c>
      <c r="EP48" s="16">
        <v>2.38</v>
      </c>
    </row>
    <row r="49" spans="1:146" ht="108" x14ac:dyDescent="0.25">
      <c r="A49" s="8"/>
      <c r="B49" s="8"/>
      <c r="C49" s="8" t="str">
        <f>""&amp;CHAR(10)&amp;Basic_Fundamental_Information_Constructure(F49)&amp;CHAR(10)&amp;Basic_Fundamental_Information_Concatenate("")</f>
        <v xml:space="preserve">
市值81.047814亿, 利润3165.51万; PE324; 平均PE86.95; 平均PEG9.67, PB5.14; ROIC6.3633%; ROE8.04%; 股利率.3285%; 毛利28.0767%; 净利7.47%; 上一年度营收增-24.19%, 利润增-75.27%; 当季营收增-18.25%, 利润增-21.01%; 过往5年营收增8.99%, 利润增17.5%
Income profile:
</v>
      </c>
      <c r="D49" t="s">
        <v>580</v>
      </c>
      <c r="E49" t="s">
        <v>31</v>
      </c>
      <c r="F49">
        <v>15.22</v>
      </c>
      <c r="G49">
        <v>1.26</v>
      </c>
      <c r="H49" t="s">
        <v>3201</v>
      </c>
      <c r="I49">
        <v>8104781400</v>
      </c>
      <c r="J49">
        <v>324</v>
      </c>
      <c r="K49">
        <v>5.14</v>
      </c>
      <c r="L49" t="s">
        <v>101</v>
      </c>
      <c r="M49" t="s">
        <v>487</v>
      </c>
      <c r="N49" t="s">
        <v>3202</v>
      </c>
      <c r="O49" t="s">
        <v>417</v>
      </c>
      <c r="P49">
        <v>-18.11</v>
      </c>
      <c r="Q49" t="s">
        <v>3203</v>
      </c>
      <c r="R49">
        <v>24959890</v>
      </c>
      <c r="S49" s="6">
        <v>-0.21010000000000001</v>
      </c>
      <c r="T49" t="s">
        <v>3204</v>
      </c>
      <c r="U49">
        <v>368696920</v>
      </c>
      <c r="V49">
        <v>532508630</v>
      </c>
      <c r="W49">
        <v>1.5</v>
      </c>
      <c r="X49">
        <v>0.09</v>
      </c>
      <c r="Y49">
        <v>9.14</v>
      </c>
      <c r="Z49" t="s">
        <v>335</v>
      </c>
      <c r="AA49" t="s">
        <v>145</v>
      </c>
      <c r="AB49" t="s">
        <v>3205</v>
      </c>
      <c r="AC49" t="s">
        <v>3206</v>
      </c>
      <c r="AD49" t="s">
        <v>5</v>
      </c>
      <c r="AE49">
        <v>4421415</v>
      </c>
      <c r="AF49" t="s">
        <v>3207</v>
      </c>
      <c r="AG49" t="s">
        <v>3208</v>
      </c>
      <c r="AH49" t="s">
        <v>3209</v>
      </c>
      <c r="AI49" t="s">
        <v>560</v>
      </c>
      <c r="AJ49" t="s">
        <v>3210</v>
      </c>
      <c r="AK49" t="s">
        <v>3211</v>
      </c>
      <c r="AL49" t="s">
        <v>3212</v>
      </c>
      <c r="AM49" t="s">
        <v>5</v>
      </c>
      <c r="AN49" t="s">
        <v>396</v>
      </c>
      <c r="AO49" t="s">
        <v>3213</v>
      </c>
      <c r="AP49" t="s">
        <v>5</v>
      </c>
      <c r="AQ49" t="s">
        <v>178</v>
      </c>
      <c r="AR49" t="s">
        <v>5</v>
      </c>
      <c r="AS49" t="s">
        <v>506</v>
      </c>
      <c r="AT49" t="s">
        <v>425</v>
      </c>
      <c r="AU49" t="s">
        <v>3214</v>
      </c>
      <c r="AV49" t="s">
        <v>3215</v>
      </c>
      <c r="AW49" t="s">
        <v>3216</v>
      </c>
      <c r="AX49" t="s">
        <v>1003</v>
      </c>
      <c r="AY49" t="s">
        <v>1402</v>
      </c>
      <c r="AZ49" t="s">
        <v>966</v>
      </c>
      <c r="BA49" t="s">
        <v>581</v>
      </c>
      <c r="BB49" t="s">
        <v>437</v>
      </c>
      <c r="BC49" t="s">
        <v>533</v>
      </c>
      <c r="BD49" t="s">
        <v>197</v>
      </c>
      <c r="BE49" t="s">
        <v>468</v>
      </c>
      <c r="BF49" t="s">
        <v>582</v>
      </c>
      <c r="BG49" t="s">
        <v>968</v>
      </c>
      <c r="BH49" t="s">
        <v>3203</v>
      </c>
      <c r="BI49" t="s">
        <v>201</v>
      </c>
      <c r="BJ49" t="s">
        <v>1003</v>
      </c>
      <c r="BK49" t="s">
        <v>3204</v>
      </c>
      <c r="BL49" t="s">
        <v>3217</v>
      </c>
      <c r="BM49" t="s">
        <v>533</v>
      </c>
      <c r="BN49">
        <v>2.25</v>
      </c>
      <c r="BO49">
        <v>7.79</v>
      </c>
      <c r="BP49">
        <v>9.0500000000000007</v>
      </c>
      <c r="BQ49">
        <v>3.83</v>
      </c>
      <c r="BR49">
        <v>10.27</v>
      </c>
      <c r="BS49">
        <v>10.02</v>
      </c>
      <c r="BT49" t="s">
        <v>1725</v>
      </c>
      <c r="BU49" t="s">
        <v>1537</v>
      </c>
      <c r="BV49">
        <v>26.67</v>
      </c>
      <c r="BW49">
        <v>28.22</v>
      </c>
      <c r="BX49">
        <v>29.34</v>
      </c>
      <c r="BY49">
        <v>1.89</v>
      </c>
      <c r="BZ49">
        <v>10.23</v>
      </c>
      <c r="CA49">
        <v>10.29</v>
      </c>
      <c r="CB49">
        <v>-3.79</v>
      </c>
      <c r="CC49">
        <v>5.55</v>
      </c>
      <c r="CD49" t="s">
        <v>3218</v>
      </c>
      <c r="CE49" t="s">
        <v>819</v>
      </c>
      <c r="CF49" s="10">
        <v>-0.18245614035087721</v>
      </c>
      <c r="CG49" s="11">
        <v>-0.21006006861367454</v>
      </c>
      <c r="CH49" s="10">
        <v>-0.24185667932033539</v>
      </c>
      <c r="CI49" s="10">
        <v>8.9618392288684845E-2</v>
      </c>
      <c r="CJ49" s="10">
        <v>8.0501465126872063E-3</v>
      </c>
      <c r="CK49" s="10">
        <v>0.56363636255264282</v>
      </c>
      <c r="CL49" s="10">
        <v>3.025936521589756E-2</v>
      </c>
      <c r="CM49" s="11">
        <v>-0.75269448757171631</v>
      </c>
      <c r="CN49" s="11">
        <v>0.1428571492433548</v>
      </c>
      <c r="CO49" s="11">
        <v>-0.3372780978679657</v>
      </c>
      <c r="CP49" s="11">
        <v>1.7349774837493896</v>
      </c>
      <c r="CQ49" s="11">
        <v>8.7025970220565796E-2</v>
      </c>
      <c r="CR49">
        <v>86.946822618512726</v>
      </c>
      <c r="CS49">
        <v>9.6670397702517867</v>
      </c>
      <c r="CT49">
        <v>0.32851511169513797</v>
      </c>
      <c r="CU49" s="10">
        <v>8.9941517449915409E-2</v>
      </c>
      <c r="CV49" s="11">
        <v>0.17497760355472564</v>
      </c>
      <c r="CW49">
        <v>0.06</v>
      </c>
      <c r="CX49">
        <v>223.03988035888545</v>
      </c>
      <c r="CY49">
        <v>32549252.574555486</v>
      </c>
      <c r="CZ49">
        <v>8.9941517449915409E-2</v>
      </c>
      <c r="DA49">
        <v>72.890961848258684</v>
      </c>
      <c r="DB49">
        <v>99597826.889883891</v>
      </c>
      <c r="DC49">
        <v>8.5444441577419636E-2</v>
      </c>
      <c r="DD49">
        <v>35.884909408912414</v>
      </c>
      <c r="DE49">
        <v>202307363.16689581</v>
      </c>
      <c r="DF49">
        <v>7.9148535355925559E-2</v>
      </c>
      <c r="DG49">
        <v>21.551117958254054</v>
      </c>
      <c r="DH49">
        <v>336863331.82634324</v>
      </c>
      <c r="DI49">
        <v>7.195321395993233E-2</v>
      </c>
      <c r="DJ49">
        <v>11.134780964903969</v>
      </c>
      <c r="DK49">
        <v>651991397.30564165</v>
      </c>
      <c r="DL49">
        <v>6.2959062214940784E-2</v>
      </c>
      <c r="DM49">
        <v>31655100.000000004</v>
      </c>
      <c r="DN49">
        <v>8.9941517449915409E-2</v>
      </c>
      <c r="DO49">
        <v>7259781400</v>
      </c>
      <c r="DP49">
        <v>1003551270</v>
      </c>
      <c r="DQ49">
        <v>1641</v>
      </c>
      <c r="DR49">
        <v>-0.27239765780079261</v>
      </c>
      <c r="DS49">
        <v>-0.38503767216840018</v>
      </c>
      <c r="DT49" s="12">
        <v>-0.49</v>
      </c>
      <c r="DU49">
        <v>-0.45333333333333337</v>
      </c>
      <c r="DV49">
        <v>-0.94333333333333336</v>
      </c>
      <c r="DW49">
        <v>-6.4057815845824413</v>
      </c>
      <c r="DX49">
        <v>0.29726598984771568</v>
      </c>
      <c r="DY49">
        <v>-6.0272952999489124</v>
      </c>
      <c r="DZ49">
        <v>3503</v>
      </c>
      <c r="EA49">
        <v>-6.0085838643870648</v>
      </c>
      <c r="EB49">
        <v>6</v>
      </c>
      <c r="EC49">
        <v>2.4884854917750349E-2</v>
      </c>
      <c r="ED49">
        <v>0.36994705606930728</v>
      </c>
      <c r="EE49" s="13">
        <v>5.2899999999999996E-2</v>
      </c>
      <c r="EF49">
        <v>2.1000000000000005E-2</v>
      </c>
      <c r="EG49">
        <v>23.067265989847716</v>
      </c>
      <c r="EH49" t="s">
        <v>1547</v>
      </c>
      <c r="EI49">
        <v>0</v>
      </c>
      <c r="EJ49">
        <v>0</v>
      </c>
      <c r="EK49" s="15">
        <v>45470</v>
      </c>
      <c r="EL49" s="16">
        <v>-1.23</v>
      </c>
      <c r="EM49" s="16">
        <v>-6.73</v>
      </c>
      <c r="EN49" s="16">
        <v>1.66</v>
      </c>
      <c r="EO49" s="16">
        <v>4.2699999999999996</v>
      </c>
      <c r="EP49" s="16">
        <v>-3.19</v>
      </c>
    </row>
    <row r="50" spans="1:146" ht="96" x14ac:dyDescent="0.25">
      <c r="A50" s="8"/>
      <c r="B50" s="8"/>
      <c r="C50" s="8" t="str">
        <f>""&amp;CHAR(10)&amp;Basic_Fundamental_Information_Constructure(F50)&amp;CHAR(10)&amp;Basic_Fundamental_Information_Concatenate("")</f>
        <v xml:space="preserve">
市值29.979318亿, 利润-1.33亿; PE; 平均PE-13.53; 平均PEG-1.15, PB; ROIC8.62%; ROE-40.0667%; 股利率0%; 毛利24.6967%; 净利-10.0867%; 上一年度营收增-44.45%, 利润增-273.7%; 当季营收增-49.17%, 利润增-9.48%; 过往5年营收增11.73%, 利润增-470.85%
Income profile:
</v>
      </c>
      <c r="D50" t="s">
        <v>1614</v>
      </c>
      <c r="E50" t="s">
        <v>1933</v>
      </c>
      <c r="F50">
        <v>2</v>
      </c>
      <c r="G50">
        <v>3.09</v>
      </c>
      <c r="H50" t="s">
        <v>3219</v>
      </c>
      <c r="I50">
        <v>2997931800</v>
      </c>
      <c r="L50" t="s">
        <v>101</v>
      </c>
      <c r="M50" t="s">
        <v>3220</v>
      </c>
      <c r="N50" t="s">
        <v>3221</v>
      </c>
      <c r="O50" t="s">
        <v>3222</v>
      </c>
      <c r="P50">
        <v>-49.17</v>
      </c>
      <c r="Q50" t="s">
        <v>3223</v>
      </c>
      <c r="R50">
        <v>-65433846</v>
      </c>
      <c r="S50" s="6">
        <v>-9.4799999999999995E-2</v>
      </c>
      <c r="T50" t="s">
        <v>1560</v>
      </c>
      <c r="U50">
        <v>1471965900</v>
      </c>
      <c r="V50">
        <v>1498965900</v>
      </c>
      <c r="W50" t="s">
        <v>5</v>
      </c>
      <c r="X50">
        <v>0.01</v>
      </c>
      <c r="Y50">
        <v>-220.83</v>
      </c>
      <c r="Z50" t="s">
        <v>3224</v>
      </c>
      <c r="AA50" t="s">
        <v>3225</v>
      </c>
      <c r="AB50" t="s">
        <v>3226</v>
      </c>
      <c r="AC50" t="s">
        <v>3227</v>
      </c>
      <c r="AD50" t="s">
        <v>5</v>
      </c>
      <c r="AE50">
        <v>29947240</v>
      </c>
      <c r="AF50" t="s">
        <v>3228</v>
      </c>
      <c r="AG50">
        <v>5453.49</v>
      </c>
      <c r="AH50" t="s">
        <v>3229</v>
      </c>
      <c r="AI50" t="s">
        <v>539</v>
      </c>
      <c r="AJ50" t="s">
        <v>3230</v>
      </c>
      <c r="AK50" t="s">
        <v>3231</v>
      </c>
      <c r="AL50" t="s">
        <v>3232</v>
      </c>
      <c r="AM50" t="s">
        <v>5</v>
      </c>
      <c r="AN50" t="s">
        <v>3233</v>
      </c>
      <c r="AO50" t="s">
        <v>2907</v>
      </c>
      <c r="AP50" t="s">
        <v>5</v>
      </c>
      <c r="AQ50" t="s">
        <v>702</v>
      </c>
      <c r="AR50" t="s">
        <v>5</v>
      </c>
      <c r="AS50" t="s">
        <v>3234</v>
      </c>
      <c r="AT50" t="s">
        <v>177</v>
      </c>
      <c r="AU50" t="s">
        <v>3235</v>
      </c>
      <c r="AV50" t="s">
        <v>3236</v>
      </c>
      <c r="AW50" t="s">
        <v>3237</v>
      </c>
      <c r="AX50" t="s">
        <v>1934</v>
      </c>
      <c r="AY50" t="s">
        <v>1615</v>
      </c>
      <c r="AZ50" t="s">
        <v>1616</v>
      </c>
      <c r="BA50" t="s">
        <v>638</v>
      </c>
      <c r="BB50" t="s">
        <v>1702</v>
      </c>
      <c r="BC50" t="s">
        <v>1935</v>
      </c>
      <c r="BD50" t="s">
        <v>1665</v>
      </c>
      <c r="BE50" t="s">
        <v>1936</v>
      </c>
      <c r="BF50" t="s">
        <v>1937</v>
      </c>
      <c r="BG50" t="s">
        <v>1938</v>
      </c>
      <c r="BH50" t="s">
        <v>3223</v>
      </c>
      <c r="BI50" t="s">
        <v>3238</v>
      </c>
      <c r="BJ50" t="s">
        <v>1934</v>
      </c>
      <c r="BK50" t="s">
        <v>1560</v>
      </c>
      <c r="BL50" t="s">
        <v>3239</v>
      </c>
      <c r="BM50" t="s">
        <v>1935</v>
      </c>
      <c r="BN50" t="s">
        <v>5</v>
      </c>
      <c r="BO50">
        <v>8.6199999999999992</v>
      </c>
      <c r="BP50" t="s">
        <v>5</v>
      </c>
      <c r="BQ50">
        <v>-87.21</v>
      </c>
      <c r="BR50">
        <v>47.41</v>
      </c>
      <c r="BS50">
        <v>-80.400000000000006</v>
      </c>
      <c r="BT50" t="s">
        <v>1720</v>
      </c>
      <c r="BU50" t="s">
        <v>1605</v>
      </c>
      <c r="BV50">
        <v>24.73</v>
      </c>
      <c r="BW50">
        <v>28.79</v>
      </c>
      <c r="BX50">
        <v>20.57</v>
      </c>
      <c r="BY50">
        <v>-12.53</v>
      </c>
      <c r="BZ50">
        <v>3.06</v>
      </c>
      <c r="CA50">
        <v>-20.79</v>
      </c>
      <c r="CB50">
        <v>-1.48</v>
      </c>
      <c r="CC50">
        <v>-36.31</v>
      </c>
      <c r="CD50" t="s">
        <v>576</v>
      </c>
      <c r="CE50" t="s">
        <v>3240</v>
      </c>
      <c r="CF50" s="10">
        <v>-0.49167730966655548</v>
      </c>
      <c r="CG50" s="11">
        <v>-9.4846775637368166E-2</v>
      </c>
      <c r="CH50" s="10">
        <v>-0.44449624419212341</v>
      </c>
      <c r="CI50" s="10">
        <v>0.57300066947937012</v>
      </c>
      <c r="CJ50" s="10">
        <v>0.47192230820655823</v>
      </c>
      <c r="CK50" s="10">
        <v>-0.15356490015983582</v>
      </c>
      <c r="CL50" s="10">
        <v>0.13958333432674408</v>
      </c>
      <c r="CM50" s="11">
        <v>-2.7370407581329346</v>
      </c>
      <c r="CN50" s="11">
        <v>1.2967714071273804</v>
      </c>
      <c r="CO50" s="11">
        <v>0.47983869910240173</v>
      </c>
      <c r="CP50" s="11">
        <v>8.8235296308994293E-2</v>
      </c>
      <c r="CQ50" s="11">
        <v>-22.670284271240234</v>
      </c>
      <c r="CR50">
        <v>-13.531325980503706</v>
      </c>
      <c r="CS50">
        <v>-1.1536735850752402</v>
      </c>
      <c r="CT50">
        <v>0</v>
      </c>
      <c r="CU50" s="10">
        <v>0.11728903353214264</v>
      </c>
      <c r="CV50" s="11">
        <v>-4.7084959253668783</v>
      </c>
      <c r="CW50">
        <v>0.06</v>
      </c>
      <c r="CX50" t="e">
        <v>#VALUE!</v>
      </c>
      <c r="CY50" t="s">
        <v>1552</v>
      </c>
      <c r="CZ50">
        <v>0.11728903353214264</v>
      </c>
      <c r="DA50" t="e">
        <v>#VALUE!</v>
      </c>
      <c r="DB50" t="s">
        <v>1549</v>
      </c>
      <c r="DC50">
        <v>0.1114245818555355</v>
      </c>
      <c r="DD50" t="e">
        <v>#VALUE!</v>
      </c>
      <c r="DE50" t="s">
        <v>1549</v>
      </c>
      <c r="DF50">
        <v>0.10321434950828552</v>
      </c>
      <c r="DG50" t="e">
        <v>#VALUE!</v>
      </c>
      <c r="DH50" t="s">
        <v>1549</v>
      </c>
      <c r="DI50">
        <v>9.3831226825714112E-2</v>
      </c>
      <c r="DJ50" t="e">
        <v>#VALUE!</v>
      </c>
      <c r="DK50" t="s">
        <v>1549</v>
      </c>
      <c r="DL50">
        <v>8.2102323472499836E-2</v>
      </c>
      <c r="DM50">
        <v>-133000000</v>
      </c>
      <c r="DN50">
        <v>0.11728903353214264</v>
      </c>
      <c r="DO50">
        <v>5984405400</v>
      </c>
      <c r="DP50">
        <v>-1134879200</v>
      </c>
      <c r="DQ50">
        <v>1648</v>
      </c>
      <c r="DR50">
        <v>-0.60896634319869813</v>
      </c>
      <c r="DS50">
        <v>4.6136491497295102</v>
      </c>
      <c r="DT50" s="12">
        <v>-0.44</v>
      </c>
      <c r="DU50">
        <v>-2.665</v>
      </c>
      <c r="DV50">
        <v>-3.105</v>
      </c>
      <c r="DW50">
        <v>-3.2296964285714287</v>
      </c>
      <c r="DX50">
        <v>0.32346333853354081</v>
      </c>
      <c r="DY50">
        <v>-3.0191712307778027</v>
      </c>
      <c r="DZ50">
        <v>4940</v>
      </c>
      <c r="EA50">
        <v>-3.0006377904564046</v>
      </c>
      <c r="EB50">
        <v>3</v>
      </c>
      <c r="EC50">
        <v>0.14276508891896741</v>
      </c>
      <c r="ED50">
        <v>1.7105125606926748</v>
      </c>
      <c r="EE50" s="13">
        <v>-2.0123000000000002</v>
      </c>
      <c r="EF50">
        <v>-2.0215100000000001</v>
      </c>
      <c r="EG50">
        <v>24.083463338533541</v>
      </c>
      <c r="EH50" t="s">
        <v>2103</v>
      </c>
      <c r="EI50">
        <v>0</v>
      </c>
      <c r="EJ50">
        <v>0</v>
      </c>
      <c r="EK50" s="15">
        <v>45470</v>
      </c>
      <c r="EL50" s="16">
        <v>1.38</v>
      </c>
      <c r="EM50" s="16">
        <v>-5.45</v>
      </c>
      <c r="EN50" s="16">
        <v>-1.92</v>
      </c>
      <c r="EO50" s="16">
        <v>1.47</v>
      </c>
      <c r="EP50" s="16">
        <v>-3.38</v>
      </c>
    </row>
    <row r="51" spans="1:146" ht="108" x14ac:dyDescent="0.25">
      <c r="A51" s="8"/>
      <c r="B51" s="8"/>
      <c r="C51" s="8" t="str">
        <f>""&amp;CHAR(10)&amp;Basic_Fundamental_Information_Constructure(F51)&amp;CHAR(10)&amp;Basic_Fundamental_Information_Concatenate("")</f>
        <v xml:space="preserve">
市值17.612914亿, 利润4070.76万; PE47.92; 平均PE-15.58; 平均PEG-3.05, PB.663; ROIC1.325%; ROE-.3533%; 股利率0%; 毛利33.9367%; 净利-.09%; 上一年度营收增22.26%, 利润增160.34%; 当季营收增-1.16%, 利润增-58.66%; 过往5年营收增5.1%, 利润增-163.89%
Income profile:
</v>
      </c>
      <c r="D51" t="s">
        <v>457</v>
      </c>
      <c r="E51" t="s">
        <v>35</v>
      </c>
      <c r="F51">
        <v>4.16</v>
      </c>
      <c r="G51">
        <v>2.21</v>
      </c>
      <c r="H51" t="s">
        <v>3241</v>
      </c>
      <c r="I51">
        <v>1761291400</v>
      </c>
      <c r="J51">
        <v>47.92</v>
      </c>
      <c r="K51">
        <v>0.66300000000000003</v>
      </c>
      <c r="L51" t="s">
        <v>101</v>
      </c>
      <c r="M51" t="s">
        <v>3242</v>
      </c>
      <c r="N51" t="s">
        <v>2167</v>
      </c>
      <c r="O51" t="s">
        <v>113</v>
      </c>
      <c r="P51">
        <v>-1.1299999999999999</v>
      </c>
      <c r="Q51" t="s">
        <v>3243</v>
      </c>
      <c r="R51">
        <v>2786556</v>
      </c>
      <c r="S51" s="6">
        <v>-0.58660000000000001</v>
      </c>
      <c r="T51" t="s">
        <v>3244</v>
      </c>
      <c r="U51">
        <v>313605580</v>
      </c>
      <c r="V51">
        <v>423387360</v>
      </c>
      <c r="W51">
        <v>2.19</v>
      </c>
      <c r="X51">
        <v>0.05</v>
      </c>
      <c r="Y51">
        <v>0.4</v>
      </c>
      <c r="Z51" t="s">
        <v>940</v>
      </c>
      <c r="AA51" t="s">
        <v>472</v>
      </c>
      <c r="AB51" t="s">
        <v>3245</v>
      </c>
      <c r="AC51" t="s">
        <v>3246</v>
      </c>
      <c r="AD51" t="s">
        <v>5</v>
      </c>
      <c r="AE51">
        <v>18002495</v>
      </c>
      <c r="AF51" t="s">
        <v>3247</v>
      </c>
      <c r="AG51" t="s">
        <v>3248</v>
      </c>
      <c r="AH51" t="s">
        <v>3249</v>
      </c>
      <c r="AI51" t="s">
        <v>185</v>
      </c>
      <c r="AJ51" t="s">
        <v>3250</v>
      </c>
      <c r="AK51" t="s">
        <v>3251</v>
      </c>
      <c r="AL51" t="s">
        <v>3252</v>
      </c>
      <c r="AM51" t="s">
        <v>5</v>
      </c>
      <c r="AN51" t="s">
        <v>197</v>
      </c>
      <c r="AO51" t="s">
        <v>528</v>
      </c>
      <c r="AP51" t="s">
        <v>3253</v>
      </c>
      <c r="AQ51" t="s">
        <v>1929</v>
      </c>
      <c r="AR51" t="s">
        <v>3254</v>
      </c>
      <c r="AS51" t="s">
        <v>477</v>
      </c>
      <c r="AT51" t="s">
        <v>2055</v>
      </c>
      <c r="AU51" t="s">
        <v>3255</v>
      </c>
      <c r="AV51" t="s">
        <v>3256</v>
      </c>
      <c r="AW51" t="s">
        <v>3257</v>
      </c>
      <c r="AX51" t="s">
        <v>971</v>
      </c>
      <c r="AY51" t="s">
        <v>1404</v>
      </c>
      <c r="AZ51" t="s">
        <v>969</v>
      </c>
      <c r="BA51" t="s">
        <v>763</v>
      </c>
      <c r="BB51" t="s">
        <v>971</v>
      </c>
      <c r="BC51" t="s">
        <v>3258</v>
      </c>
      <c r="BD51" t="s">
        <v>1405</v>
      </c>
      <c r="BE51" t="s">
        <v>970</v>
      </c>
      <c r="BF51" t="s">
        <v>973</v>
      </c>
      <c r="BG51" t="s">
        <v>974</v>
      </c>
      <c r="BH51" t="s">
        <v>3243</v>
      </c>
      <c r="BI51" t="s">
        <v>1602</v>
      </c>
      <c r="BJ51" t="s">
        <v>971</v>
      </c>
      <c r="BK51" t="s">
        <v>3244</v>
      </c>
      <c r="BL51" t="s">
        <v>3259</v>
      </c>
      <c r="BM51" t="s">
        <v>3258</v>
      </c>
      <c r="BN51">
        <v>0.54</v>
      </c>
      <c r="BO51" t="s">
        <v>5</v>
      </c>
      <c r="BP51">
        <v>2.11</v>
      </c>
      <c r="BQ51">
        <v>0.23</v>
      </c>
      <c r="BR51">
        <v>-2.5499999999999998</v>
      </c>
      <c r="BS51">
        <v>1.26</v>
      </c>
      <c r="BT51" t="s">
        <v>1720</v>
      </c>
      <c r="BU51" t="s">
        <v>1590</v>
      </c>
      <c r="BV51">
        <v>33.049999999999997</v>
      </c>
      <c r="BW51">
        <v>32.020000000000003</v>
      </c>
      <c r="BX51">
        <v>36.74</v>
      </c>
      <c r="BY51">
        <v>2.4300000000000002</v>
      </c>
      <c r="BZ51">
        <v>-5.38</v>
      </c>
      <c r="CA51">
        <v>2.68</v>
      </c>
      <c r="CB51">
        <v>-0.72</v>
      </c>
      <c r="CC51">
        <v>-12.97</v>
      </c>
      <c r="CD51" t="s">
        <v>3260</v>
      </c>
      <c r="CE51" t="s">
        <v>573</v>
      </c>
      <c r="CF51" s="10">
        <v>-1.1560693641618497E-2</v>
      </c>
      <c r="CG51" s="11">
        <v>-0.58661345834322332</v>
      </c>
      <c r="CH51" s="10">
        <v>0.22256097197532654</v>
      </c>
      <c r="CI51" s="10">
        <v>-0.10565784573554993</v>
      </c>
      <c r="CJ51" s="10">
        <v>0.199509397149086</v>
      </c>
      <c r="CK51" s="10">
        <v>-0.11696742475032806</v>
      </c>
      <c r="CL51" s="10">
        <v>5.5640194565057755E-2</v>
      </c>
      <c r="CM51" s="11">
        <v>1.6033910512924194</v>
      </c>
      <c r="CN51" s="11">
        <v>-2.9556179046630859</v>
      </c>
      <c r="CO51" s="11">
        <v>1.3575457334518433</v>
      </c>
      <c r="CP51" s="11">
        <v>0.85663402080535889</v>
      </c>
      <c r="CQ51" s="11">
        <v>-9.0562610626220703</v>
      </c>
      <c r="CR51">
        <v>-15.5818922541348</v>
      </c>
      <c r="CS51">
        <v>-3.0542513953751067</v>
      </c>
      <c r="CT51">
        <v>0</v>
      </c>
      <c r="CU51" s="10">
        <v>5.1017058640718461E-2</v>
      </c>
      <c r="CV51" s="11">
        <v>-1.638861632347107</v>
      </c>
      <c r="CW51">
        <v>0.06</v>
      </c>
      <c r="CX51">
        <v>58.055971991189637</v>
      </c>
      <c r="CY51">
        <v>40362624.543700852</v>
      </c>
      <c r="CZ51">
        <v>5.1017058640718461E-2</v>
      </c>
      <c r="DA51">
        <v>19.611692486906751</v>
      </c>
      <c r="DB51">
        <v>119484404.6001863</v>
      </c>
      <c r="DC51">
        <v>4.8466205708682535E-2</v>
      </c>
      <c r="DD51">
        <v>10.085218819760261</v>
      </c>
      <c r="DE51">
        <v>232349088.49064547</v>
      </c>
      <c r="DF51">
        <v>4.4895011603832247E-2</v>
      </c>
      <c r="DG51">
        <v>6.3560034179664804</v>
      </c>
      <c r="DH51">
        <v>368673716.15569478</v>
      </c>
      <c r="DI51">
        <v>4.0813646912574775E-2</v>
      </c>
      <c r="DJ51">
        <v>3.6387362864244466</v>
      </c>
      <c r="DK51">
        <v>643984948.49501789</v>
      </c>
      <c r="DL51">
        <v>3.5711941048502921E-2</v>
      </c>
      <c r="DM51">
        <v>40707600</v>
      </c>
      <c r="DN51">
        <v>5.1017058640718461E-2</v>
      </c>
      <c r="DO51">
        <v>2343291400</v>
      </c>
      <c r="DP51">
        <v>300571600</v>
      </c>
      <c r="DQ51">
        <v>1682</v>
      </c>
      <c r="DR51">
        <v>-6.257775228233696E-2</v>
      </c>
      <c r="DS51">
        <v>1.0522481740038838</v>
      </c>
      <c r="DT51" s="12">
        <v>-0.14000000000000001</v>
      </c>
      <c r="DU51">
        <v>-1.3566666666666667</v>
      </c>
      <c r="DV51">
        <v>-1.4966666666666666</v>
      </c>
      <c r="DW51">
        <v>-2.1297000000000001</v>
      </c>
      <c r="DX51">
        <v>0.35802814070351802</v>
      </c>
      <c r="DY51">
        <v>-2.0204962498492463</v>
      </c>
      <c r="DZ51">
        <v>4014</v>
      </c>
      <c r="EA51">
        <v>-2.0043960645469223</v>
      </c>
      <c r="EB51">
        <v>2</v>
      </c>
      <c r="EC51">
        <v>7.4276190011907786E-2</v>
      </c>
      <c r="ED51">
        <v>0.47001875540167282</v>
      </c>
      <c r="EE51" s="13">
        <v>-4.0541099999999997</v>
      </c>
      <c r="EF51">
        <v>-4.0636099999999997</v>
      </c>
      <c r="EG51">
        <v>20.158028140703518</v>
      </c>
      <c r="EH51" t="s">
        <v>2119</v>
      </c>
      <c r="EI51">
        <v>0</v>
      </c>
      <c r="EJ51">
        <v>0</v>
      </c>
      <c r="EK51" s="15">
        <v>45470</v>
      </c>
      <c r="EL51" s="16">
        <v>-1.19</v>
      </c>
      <c r="EM51" s="16">
        <v>-4.8099999999999996</v>
      </c>
      <c r="EN51" s="16">
        <v>1.77</v>
      </c>
      <c r="EO51" s="16">
        <v>4.47</v>
      </c>
      <c r="EP51" s="16">
        <v>-0.95</v>
      </c>
    </row>
    <row r="52" spans="1:146" ht="96" x14ac:dyDescent="0.25">
      <c r="A52" s="8"/>
      <c r="B52" s="8"/>
      <c r="C52" s="8" t="str">
        <f>""&amp;CHAR(10)&amp;Basic_Fundamental_Information_Constructure(F52)&amp;CHAR(10)&amp;Basic_Fundamental_Information_Concatenate("")</f>
        <v xml:space="preserve">
市值36.848622亿, 利润2.06亿; PE17.85; 平均PE47.99; 平均PEG148.47, PB2.74; ROIC7.78%; ROE8.53%; 股利率.9887%; 毛利31.18%; 净利10.0233%; 上一年度营收增32.03%, 利润增183.24%; 当季营收增-8.98%, 利润增2.69%; 过往5年营收增.32%, 利润增263.34%
Income profile:
</v>
      </c>
      <c r="D52" t="s">
        <v>587</v>
      </c>
      <c r="E52" t="s">
        <v>1941</v>
      </c>
      <c r="F52">
        <v>3.54</v>
      </c>
      <c r="G52">
        <v>1.72</v>
      </c>
      <c r="H52" t="s">
        <v>3261</v>
      </c>
      <c r="I52">
        <v>3684862200</v>
      </c>
      <c r="J52">
        <v>17.850000000000001</v>
      </c>
      <c r="K52">
        <v>2.74</v>
      </c>
      <c r="L52" t="s">
        <v>101</v>
      </c>
      <c r="M52" t="s">
        <v>2128</v>
      </c>
      <c r="N52" t="s">
        <v>3262</v>
      </c>
      <c r="O52" t="s">
        <v>137</v>
      </c>
      <c r="P52">
        <v>-8.9499999999999993</v>
      </c>
      <c r="Q52" t="s">
        <v>2161</v>
      </c>
      <c r="R52">
        <v>22602103</v>
      </c>
      <c r="S52" s="6">
        <v>2.69E-2</v>
      </c>
      <c r="T52" t="s">
        <v>173</v>
      </c>
      <c r="U52">
        <v>1036805930</v>
      </c>
      <c r="V52">
        <v>1040921520</v>
      </c>
      <c r="W52">
        <v>1.51</v>
      </c>
      <c r="X52">
        <v>0.11</v>
      </c>
      <c r="Y52">
        <v>9.58</v>
      </c>
      <c r="Z52" t="s">
        <v>329</v>
      </c>
      <c r="AA52" t="s">
        <v>141</v>
      </c>
      <c r="AB52" t="s">
        <v>3263</v>
      </c>
      <c r="AC52" t="s">
        <v>3264</v>
      </c>
      <c r="AD52" t="s">
        <v>5</v>
      </c>
      <c r="AE52">
        <v>587337</v>
      </c>
      <c r="AF52" t="s">
        <v>3265</v>
      </c>
      <c r="AG52" t="s">
        <v>3266</v>
      </c>
      <c r="AH52" t="s">
        <v>3267</v>
      </c>
      <c r="AI52" t="s">
        <v>472</v>
      </c>
      <c r="AJ52" t="s">
        <v>3268</v>
      </c>
      <c r="AK52" t="s">
        <v>3269</v>
      </c>
      <c r="AL52" t="s">
        <v>3270</v>
      </c>
      <c r="AM52" t="s">
        <v>5</v>
      </c>
      <c r="AN52" t="s">
        <v>420</v>
      </c>
      <c r="AO52" t="s">
        <v>165</v>
      </c>
      <c r="AP52" t="s">
        <v>3271</v>
      </c>
      <c r="AQ52" t="s">
        <v>2908</v>
      </c>
      <c r="AR52" t="s">
        <v>3272</v>
      </c>
      <c r="AS52" t="s">
        <v>1172</v>
      </c>
      <c r="AT52" t="s">
        <v>5</v>
      </c>
      <c r="AU52" t="s">
        <v>3273</v>
      </c>
      <c r="AV52" t="s">
        <v>3274</v>
      </c>
      <c r="AW52" t="s">
        <v>3275</v>
      </c>
      <c r="AX52" t="s">
        <v>1942</v>
      </c>
      <c r="AY52" t="s">
        <v>1407</v>
      </c>
      <c r="AZ52" t="s">
        <v>976</v>
      </c>
      <c r="BA52" t="s">
        <v>1906</v>
      </c>
      <c r="BB52" t="s">
        <v>2169</v>
      </c>
      <c r="BC52" t="s">
        <v>1943</v>
      </c>
      <c r="BD52" t="s">
        <v>114</v>
      </c>
      <c r="BE52" t="s">
        <v>2171</v>
      </c>
      <c r="BF52" t="s">
        <v>2172</v>
      </c>
      <c r="BG52" t="s">
        <v>2173</v>
      </c>
      <c r="BH52" t="s">
        <v>2161</v>
      </c>
      <c r="BI52" t="s">
        <v>346</v>
      </c>
      <c r="BJ52" t="s">
        <v>1942</v>
      </c>
      <c r="BK52" t="s">
        <v>173</v>
      </c>
      <c r="BL52" t="s">
        <v>3276</v>
      </c>
      <c r="BM52" t="s">
        <v>1943</v>
      </c>
      <c r="BN52">
        <v>8.82</v>
      </c>
      <c r="BO52">
        <v>5.23</v>
      </c>
      <c r="BP52">
        <v>9.2899999999999991</v>
      </c>
      <c r="BQ52">
        <v>9.34</v>
      </c>
      <c r="BR52">
        <v>5.51</v>
      </c>
      <c r="BS52">
        <v>10.74</v>
      </c>
      <c r="BT52" t="s">
        <v>2517</v>
      </c>
      <c r="BU52" t="s">
        <v>1537</v>
      </c>
      <c r="BV52">
        <v>32.58</v>
      </c>
      <c r="BW52">
        <v>32.22</v>
      </c>
      <c r="BX52">
        <v>28.74</v>
      </c>
      <c r="BY52">
        <v>15.09</v>
      </c>
      <c r="BZ52">
        <v>7.1</v>
      </c>
      <c r="CA52">
        <v>7.88</v>
      </c>
      <c r="CB52">
        <v>-1.39</v>
      </c>
      <c r="CC52">
        <v>-5.73</v>
      </c>
      <c r="CD52" t="s">
        <v>3277</v>
      </c>
      <c r="CE52" t="s">
        <v>136</v>
      </c>
      <c r="CF52" s="10">
        <v>-8.9795918367347044E-2</v>
      </c>
      <c r="CG52" s="11">
        <v>2.689221361005352E-2</v>
      </c>
      <c r="CH52" s="10">
        <v>0.3203125</v>
      </c>
      <c r="CI52" s="10">
        <v>-0.38535413146018982</v>
      </c>
      <c r="CJ52" s="10">
        <v>-0.18172888457775116</v>
      </c>
      <c r="CK52" s="10">
        <v>0.32638430595397949</v>
      </c>
      <c r="CL52" s="10">
        <v>-6.3453324139118195E-2</v>
      </c>
      <c r="CM52" s="11">
        <v>1.8323900699615479</v>
      </c>
      <c r="CN52" s="11">
        <v>-0.44480842351913452</v>
      </c>
      <c r="CO52" s="11">
        <v>3.5128529071807861</v>
      </c>
      <c r="CP52" s="11">
        <v>9.4025239944458008</v>
      </c>
      <c r="CQ52" s="11">
        <v>-1.1358044147491455</v>
      </c>
      <c r="CR52">
        <v>47.98597480935117</v>
      </c>
      <c r="CS52">
        <v>148.46717746799933</v>
      </c>
      <c r="CT52">
        <v>0.98870056497175129</v>
      </c>
      <c r="CU52" s="10">
        <v>3.2320931553840638E-3</v>
      </c>
      <c r="CV52" s="11">
        <v>2.6334308266639708</v>
      </c>
      <c r="CW52">
        <v>0.06</v>
      </c>
      <c r="CX52">
        <v>16.391748168183558</v>
      </c>
      <c r="CY52">
        <v>194967746.40566894</v>
      </c>
      <c r="CZ52">
        <v>3.2320931553840638E-3</v>
      </c>
      <c r="DA52">
        <v>5.7690905025222232</v>
      </c>
      <c r="DB52">
        <v>553962916.44285727</v>
      </c>
      <c r="DC52">
        <v>3.0704884976148605E-3</v>
      </c>
      <c r="DD52">
        <v>3.1252077241516973</v>
      </c>
      <c r="DE52">
        <v>1022607929.4833053</v>
      </c>
      <c r="DF52">
        <v>2.844241976737976E-3</v>
      </c>
      <c r="DG52">
        <v>2.0806257472184728</v>
      </c>
      <c r="DH52">
        <v>1536010118.2408485</v>
      </c>
      <c r="DI52">
        <v>2.5856745243072513E-3</v>
      </c>
      <c r="DJ52">
        <v>1.3264172942623009</v>
      </c>
      <c r="DK52">
        <v>2409394248.5704756</v>
      </c>
      <c r="DL52">
        <v>2.2624652087688446E-3</v>
      </c>
      <c r="DM52">
        <v>206000000</v>
      </c>
      <c r="DN52">
        <v>3.2320931553840638E-3</v>
      </c>
      <c r="DO52">
        <v>3195862200</v>
      </c>
      <c r="DP52">
        <v>557732270</v>
      </c>
      <c r="DQ52">
        <v>1688</v>
      </c>
      <c r="DR52">
        <v>-9.3028011522731102E-2</v>
      </c>
      <c r="DS52">
        <v>-2.6065386130539174</v>
      </c>
      <c r="DT52" s="12">
        <v>-0.44</v>
      </c>
      <c r="DU52">
        <v>0.35183333333333328</v>
      </c>
      <c r="DV52">
        <v>-8.8166666666666726E-2</v>
      </c>
      <c r="DW52">
        <v>-1.0572999999999999</v>
      </c>
      <c r="DX52">
        <v>0.30099438943894313</v>
      </c>
      <c r="DY52">
        <v>-1.0063599785148516</v>
      </c>
      <c r="DZ52">
        <v>1908</v>
      </c>
      <c r="EA52">
        <v>-1.0039852546388561</v>
      </c>
      <c r="EB52">
        <v>1</v>
      </c>
      <c r="EC52">
        <v>3.2309160060404941E-2</v>
      </c>
      <c r="ED52">
        <v>0.29108822728537692</v>
      </c>
      <c r="EE52" s="13">
        <v>1.00081</v>
      </c>
      <c r="EF52">
        <v>1.00901</v>
      </c>
      <c r="EG52">
        <v>19.110994389438943</v>
      </c>
      <c r="EH52" t="s">
        <v>1815</v>
      </c>
      <c r="EI52">
        <v>0</v>
      </c>
      <c r="EJ52">
        <v>0</v>
      </c>
      <c r="EK52" s="15">
        <v>45470</v>
      </c>
      <c r="EL52" s="16">
        <v>-0.27</v>
      </c>
      <c r="EM52" s="16">
        <v>-3.21</v>
      </c>
      <c r="EN52" s="16">
        <v>-0.28000000000000003</v>
      </c>
      <c r="EO52" s="16">
        <v>1.66</v>
      </c>
      <c r="EP52" s="16">
        <v>-0.82</v>
      </c>
    </row>
    <row r="53" spans="1:146" ht="96" x14ac:dyDescent="0.25">
      <c r="A53" s="8"/>
      <c r="B53" s="8"/>
      <c r="C53" s="8" t="str">
        <f>""&amp;CHAR(10)&amp;Basic_Fundamental_Information_Constructure(F53)&amp;CHAR(10)&amp;Basic_Fundamental_Information_Concatenate("")</f>
        <v xml:space="preserve">
市值38.543908亿, 利润-1.15亿; PE; 平均PE-27.67; 平均PEG-5.5, PB8.78; ROIC0%; ROE-21.6567%; 股利率0%; 毛利20.0967%; 净利-88.4333%; 上一年度营收增-2.94%, 利润增53.06%; 当季营收增-22.73%, 利润增-234.97%; 过往5年营收增-5.04%, 利润增-64.13%
Income profile:
</v>
      </c>
      <c r="D53" t="s">
        <v>590</v>
      </c>
      <c r="E53" t="s">
        <v>76</v>
      </c>
      <c r="F53">
        <v>7.96</v>
      </c>
      <c r="G53">
        <v>2.1800000000000002</v>
      </c>
      <c r="H53" t="s">
        <v>3278</v>
      </c>
      <c r="I53">
        <v>3854390800</v>
      </c>
      <c r="K53">
        <v>8.7799999999999994</v>
      </c>
      <c r="L53" t="s">
        <v>101</v>
      </c>
      <c r="M53" t="s">
        <v>3279</v>
      </c>
      <c r="N53" t="s">
        <v>1926</v>
      </c>
      <c r="O53" t="s">
        <v>3280</v>
      </c>
      <c r="P53">
        <v>-22.73</v>
      </c>
      <c r="Q53" t="s">
        <v>467</v>
      </c>
      <c r="R53">
        <v>-16028546</v>
      </c>
      <c r="S53" s="6">
        <v>-2.35</v>
      </c>
      <c r="T53" t="s">
        <v>2653</v>
      </c>
      <c r="U53">
        <v>483668260</v>
      </c>
      <c r="V53">
        <v>484219950</v>
      </c>
      <c r="W53">
        <v>2.4500000000000002</v>
      </c>
      <c r="X53">
        <v>0.04</v>
      </c>
      <c r="Y53">
        <v>-33.840000000000003</v>
      </c>
      <c r="Z53" t="s">
        <v>3281</v>
      </c>
      <c r="AA53" t="s">
        <v>3282</v>
      </c>
      <c r="AB53" t="s">
        <v>3283</v>
      </c>
      <c r="AC53" t="s">
        <v>3284</v>
      </c>
      <c r="AD53" t="s">
        <v>5</v>
      </c>
      <c r="AE53">
        <v>3968367</v>
      </c>
      <c r="AF53" t="s">
        <v>127</v>
      </c>
      <c r="AG53">
        <v>43.44</v>
      </c>
      <c r="AH53" t="s">
        <v>3285</v>
      </c>
      <c r="AI53" t="s">
        <v>161</v>
      </c>
      <c r="AJ53" t="s">
        <v>3286</v>
      </c>
      <c r="AK53" t="s">
        <v>3287</v>
      </c>
      <c r="AL53" t="s">
        <v>3288</v>
      </c>
      <c r="AM53" t="s">
        <v>5</v>
      </c>
      <c r="AN53" t="s">
        <v>3289</v>
      </c>
      <c r="AO53" t="s">
        <v>269</v>
      </c>
      <c r="AP53" t="s">
        <v>5</v>
      </c>
      <c r="AQ53" t="s">
        <v>3290</v>
      </c>
      <c r="AR53" t="s">
        <v>5</v>
      </c>
      <c r="AS53" t="s">
        <v>1924</v>
      </c>
      <c r="AT53" t="s">
        <v>5</v>
      </c>
      <c r="AU53" t="s">
        <v>3291</v>
      </c>
      <c r="AV53" t="s">
        <v>3292</v>
      </c>
      <c r="AW53" t="s">
        <v>3293</v>
      </c>
      <c r="AX53" t="s">
        <v>171</v>
      </c>
      <c r="AY53" t="s">
        <v>184</v>
      </c>
      <c r="AZ53" t="s">
        <v>129</v>
      </c>
      <c r="BA53" t="s">
        <v>417</v>
      </c>
      <c r="BB53" t="s">
        <v>791</v>
      </c>
      <c r="BC53" t="s">
        <v>1944</v>
      </c>
      <c r="BD53" t="s">
        <v>1204</v>
      </c>
      <c r="BE53" t="s">
        <v>508</v>
      </c>
      <c r="BF53" t="s">
        <v>592</v>
      </c>
      <c r="BG53" t="s">
        <v>978</v>
      </c>
      <c r="BH53" t="s">
        <v>467</v>
      </c>
      <c r="BI53" t="s">
        <v>3294</v>
      </c>
      <c r="BJ53" t="s">
        <v>171</v>
      </c>
      <c r="BK53" t="s">
        <v>2653</v>
      </c>
      <c r="BL53" t="s">
        <v>3295</v>
      </c>
      <c r="BM53" t="s">
        <v>1944</v>
      </c>
      <c r="BN53" t="s">
        <v>5</v>
      </c>
      <c r="BO53" t="s">
        <v>5</v>
      </c>
      <c r="BP53" t="s">
        <v>5</v>
      </c>
      <c r="BQ53">
        <v>-9.2799999999999994</v>
      </c>
      <c r="BR53">
        <v>-35.44</v>
      </c>
      <c r="BS53">
        <v>-20.25</v>
      </c>
      <c r="BT53" t="s">
        <v>1720</v>
      </c>
      <c r="BU53" t="s">
        <v>1537</v>
      </c>
      <c r="BV53">
        <v>18.82</v>
      </c>
      <c r="BW53">
        <v>20.059999999999999</v>
      </c>
      <c r="BX53">
        <v>21.41</v>
      </c>
      <c r="BY53">
        <v>-57.86</v>
      </c>
      <c r="BZ53">
        <v>-120.2</v>
      </c>
      <c r="CA53">
        <v>-87.24</v>
      </c>
      <c r="CB53">
        <v>-6.02</v>
      </c>
      <c r="CC53">
        <v>-25.05</v>
      </c>
      <c r="CD53" t="s">
        <v>3296</v>
      </c>
      <c r="CE53" t="s">
        <v>989</v>
      </c>
      <c r="CF53" s="10">
        <v>-0.22726525563720104</v>
      </c>
      <c r="CG53" s="11">
        <v>-2.3496783766274478</v>
      </c>
      <c r="CH53" s="10">
        <v>-2.9411764815449715E-2</v>
      </c>
      <c r="CI53" s="10">
        <v>-3.3175356686115265E-2</v>
      </c>
      <c r="CJ53" s="10">
        <v>-0.44473683834075928</v>
      </c>
      <c r="CK53" s="10">
        <v>0.6309012770652771</v>
      </c>
      <c r="CL53" s="10">
        <v>-0.37533512711524963</v>
      </c>
      <c r="CM53" s="11">
        <v>0.53061223030090332</v>
      </c>
      <c r="CN53" s="11">
        <v>-0.33879780769348145</v>
      </c>
      <c r="CO53" s="11">
        <v>-2.4758064746856689</v>
      </c>
      <c r="CP53" s="11">
        <v>1.3875000476837158</v>
      </c>
      <c r="CQ53" s="11">
        <v>-2.3100631237030029</v>
      </c>
      <c r="CR53">
        <v>-27.673853552380237</v>
      </c>
      <c r="CS53">
        <v>-5.4961261309468901</v>
      </c>
      <c r="CT53">
        <v>0</v>
      </c>
      <c r="CU53" s="10">
        <v>-5.0351561978459358E-2</v>
      </c>
      <c r="CV53" s="11">
        <v>-0.64131102561950681</v>
      </c>
      <c r="CW53">
        <v>0.06</v>
      </c>
      <c r="CX53" t="e">
        <v>#VALUE!</v>
      </c>
      <c r="CY53" t="s">
        <v>1552</v>
      </c>
      <c r="CZ53">
        <v>-5.0351561978459358E-2</v>
      </c>
      <c r="DA53" t="e">
        <v>#VALUE!</v>
      </c>
      <c r="DB53" t="s">
        <v>1549</v>
      </c>
      <c r="DC53">
        <v>-4.7833983879536385E-2</v>
      </c>
      <c r="DD53" t="e">
        <v>#VALUE!</v>
      </c>
      <c r="DE53" t="s">
        <v>1549</v>
      </c>
      <c r="DF53">
        <v>-4.4309374541044236E-2</v>
      </c>
      <c r="DG53" t="e">
        <v>#VALUE!</v>
      </c>
      <c r="DH53" t="s">
        <v>1549</v>
      </c>
      <c r="DI53">
        <v>-4.0281249582767492E-2</v>
      </c>
      <c r="DJ53" t="e">
        <v>#VALUE!</v>
      </c>
      <c r="DK53" t="s">
        <v>1549</v>
      </c>
      <c r="DL53">
        <v>-3.5246093384921545E-2</v>
      </c>
      <c r="DM53">
        <v>-114999999.99999999</v>
      </c>
      <c r="DN53">
        <v>-5.0351561978459358E-2</v>
      </c>
      <c r="DO53">
        <v>4035390800</v>
      </c>
      <c r="DP53">
        <v>-65951080</v>
      </c>
      <c r="DQ53">
        <v>1696</v>
      </c>
      <c r="DR53">
        <v>-0.17691369365874168</v>
      </c>
      <c r="DS53">
        <v>-1.7083673510079409</v>
      </c>
      <c r="DT53" s="12">
        <v>-0.44</v>
      </c>
      <c r="DU53">
        <v>-2.7816666666666667</v>
      </c>
      <c r="DV53">
        <v>-3.2216666666666667</v>
      </c>
      <c r="DW53">
        <v>-9.2403193612774448</v>
      </c>
      <c r="DX53">
        <v>0.37067139784946335</v>
      </c>
      <c r="DY53">
        <v>-9.0289996732556386</v>
      </c>
      <c r="DZ53">
        <v>4969</v>
      </c>
      <c r="EA53">
        <v>-9.0008001866788732</v>
      </c>
      <c r="EB53">
        <v>9</v>
      </c>
      <c r="EC53">
        <v>0.11588163602098592</v>
      </c>
      <c r="ED53">
        <v>0.96030739749570426</v>
      </c>
      <c r="EE53" s="13">
        <v>8.0846099999999996</v>
      </c>
      <c r="EF53">
        <v>8.1266099999999994</v>
      </c>
      <c r="EG53">
        <v>25.120671397849463</v>
      </c>
      <c r="EH53" t="s">
        <v>3297</v>
      </c>
      <c r="EI53">
        <v>0</v>
      </c>
      <c r="EJ53">
        <v>0</v>
      </c>
      <c r="EK53" s="15">
        <v>45470</v>
      </c>
      <c r="EL53" s="16">
        <v>2.2000000000000002</v>
      </c>
      <c r="EM53" s="16">
        <v>-6.25</v>
      </c>
      <c r="EN53" s="16">
        <v>-3.91</v>
      </c>
      <c r="EO53" s="16">
        <v>5.26</v>
      </c>
      <c r="EP53" s="16">
        <v>-4.2</v>
      </c>
    </row>
    <row r="54" spans="1:146" ht="108" x14ac:dyDescent="0.25">
      <c r="A54" s="8"/>
      <c r="B54" s="8"/>
      <c r="C54" s="8" t="str">
        <f>""&amp;CHAR(10)&amp;Basic_Fundamental_Information_Constructure(F54)&amp;CHAR(10)&amp;Basic_Fundamental_Information_Concatenate("")</f>
        <v xml:space="preserve">
市值29.795083亿, 利润4464.95万; PE62.18; 平均PE169.82; 平均PEG12.92, PB3.53; ROIC4.46%; ROE4.61%; 股利率.2349%; 毛利40.71%; 净利9.84%; 上一年度营收增14.63%, 利润增19.55%; 当季营收增11.97%, 利润增35.8%; 过往5年营收增13.14%, 利润增40.34%
Income profile:
</v>
      </c>
      <c r="D54" t="s">
        <v>363</v>
      </c>
      <c r="E54" t="s">
        <v>19</v>
      </c>
      <c r="F54">
        <v>9.7899999999999991</v>
      </c>
      <c r="G54">
        <v>0</v>
      </c>
      <c r="H54" t="s">
        <v>3298</v>
      </c>
      <c r="I54">
        <v>2979508300</v>
      </c>
      <c r="J54">
        <v>62.18</v>
      </c>
      <c r="K54">
        <v>3.53</v>
      </c>
      <c r="L54" t="s">
        <v>101</v>
      </c>
      <c r="M54" t="s">
        <v>2686</v>
      </c>
      <c r="N54" t="s">
        <v>2216</v>
      </c>
      <c r="O54" t="s">
        <v>3299</v>
      </c>
      <c r="P54">
        <v>11.97</v>
      </c>
      <c r="Q54" t="s">
        <v>1098</v>
      </c>
      <c r="R54">
        <v>12398444</v>
      </c>
      <c r="S54" s="6">
        <v>0.35799999999999998</v>
      </c>
      <c r="T54" t="s">
        <v>3300</v>
      </c>
      <c r="U54">
        <v>251408470</v>
      </c>
      <c r="V54">
        <v>304342010</v>
      </c>
      <c r="W54">
        <v>1.54</v>
      </c>
      <c r="X54">
        <v>7.0000000000000007E-2</v>
      </c>
      <c r="Y54">
        <v>13.84</v>
      </c>
      <c r="Z54" t="s">
        <v>3301</v>
      </c>
      <c r="AA54" t="s">
        <v>3302</v>
      </c>
      <c r="AB54" t="s">
        <v>3303</v>
      </c>
      <c r="AC54" t="s">
        <v>3304</v>
      </c>
      <c r="AD54" t="s">
        <v>5</v>
      </c>
      <c r="AE54">
        <v>1342593</v>
      </c>
      <c r="AF54" t="s">
        <v>3305</v>
      </c>
      <c r="AG54" t="s">
        <v>3306</v>
      </c>
      <c r="AH54" t="s">
        <v>3307</v>
      </c>
      <c r="AI54" t="s">
        <v>3308</v>
      </c>
      <c r="AJ54" t="s">
        <v>3309</v>
      </c>
      <c r="AK54" t="s">
        <v>3310</v>
      </c>
      <c r="AL54" t="s">
        <v>3311</v>
      </c>
      <c r="AM54" t="s">
        <v>5</v>
      </c>
      <c r="AN54" t="s">
        <v>3312</v>
      </c>
      <c r="AO54" t="s">
        <v>3313</v>
      </c>
      <c r="AP54" t="s">
        <v>3314</v>
      </c>
      <c r="AQ54" t="s">
        <v>297</v>
      </c>
      <c r="AR54" t="s">
        <v>3315</v>
      </c>
      <c r="AS54" t="s">
        <v>1638</v>
      </c>
      <c r="AT54" t="s">
        <v>650</v>
      </c>
      <c r="AU54" t="s">
        <v>3316</v>
      </c>
      <c r="AV54" t="s">
        <v>3317</v>
      </c>
      <c r="AW54" t="s">
        <v>3318</v>
      </c>
      <c r="AX54" t="s">
        <v>768</v>
      </c>
      <c r="AY54" t="s">
        <v>322</v>
      </c>
      <c r="AZ54" t="s">
        <v>201</v>
      </c>
      <c r="BA54" t="s">
        <v>364</v>
      </c>
      <c r="BB54" t="s">
        <v>404</v>
      </c>
      <c r="BC54" t="s">
        <v>1945</v>
      </c>
      <c r="BD54" t="s">
        <v>1409</v>
      </c>
      <c r="BE54" t="s">
        <v>979</v>
      </c>
      <c r="BF54" t="s">
        <v>365</v>
      </c>
      <c r="BG54" t="s">
        <v>980</v>
      </c>
      <c r="BH54" t="s">
        <v>1098</v>
      </c>
      <c r="BI54" t="s">
        <v>3319</v>
      </c>
      <c r="BJ54" t="s">
        <v>768</v>
      </c>
      <c r="BK54" t="s">
        <v>3300</v>
      </c>
      <c r="BL54" t="s">
        <v>3320</v>
      </c>
      <c r="BM54" t="s">
        <v>1945</v>
      </c>
      <c r="BN54">
        <v>4.26</v>
      </c>
      <c r="BO54">
        <v>4.78</v>
      </c>
      <c r="BP54">
        <v>4.34</v>
      </c>
      <c r="BQ54">
        <v>4.46</v>
      </c>
      <c r="BR54">
        <v>5.04</v>
      </c>
      <c r="BS54">
        <v>4.33</v>
      </c>
      <c r="BT54" t="s">
        <v>2690</v>
      </c>
      <c r="BU54" t="s">
        <v>1536</v>
      </c>
      <c r="BV54">
        <v>41.73</v>
      </c>
      <c r="BW54">
        <v>39.69</v>
      </c>
      <c r="BX54">
        <v>40.71</v>
      </c>
      <c r="BY54">
        <v>10.42</v>
      </c>
      <c r="BZ54">
        <v>9.84</v>
      </c>
      <c r="CA54">
        <v>9.26</v>
      </c>
      <c r="CB54">
        <v>-1.81</v>
      </c>
      <c r="CC54">
        <v>-10.16</v>
      </c>
      <c r="CD54" t="s">
        <v>3321</v>
      </c>
      <c r="CE54" t="s">
        <v>303</v>
      </c>
      <c r="CF54" s="10">
        <v>0.11969029734697885</v>
      </c>
      <c r="CG54" s="11">
        <v>0.35798948521358159</v>
      </c>
      <c r="CH54" s="10">
        <v>0.14627659320831299</v>
      </c>
      <c r="CI54" s="10">
        <v>0.21682848036289215</v>
      </c>
      <c r="CJ54" s="10">
        <v>8.4210529923439026E-2</v>
      </c>
      <c r="CK54" s="10">
        <v>5.1660515367984772E-2</v>
      </c>
      <c r="CL54" s="10">
        <v>0.15811966359615326</v>
      </c>
      <c r="CM54" s="11">
        <v>0.19545428454875946</v>
      </c>
      <c r="CN54" s="11">
        <v>0.27804297208786011</v>
      </c>
      <c r="CO54" s="11">
        <v>7.8949995338916779E-2</v>
      </c>
      <c r="CP54" s="11">
        <v>1.8634825944900513E-2</v>
      </c>
      <c r="CQ54" s="11">
        <v>1.4459127187728882</v>
      </c>
      <c r="CR54">
        <v>169.82448384026264</v>
      </c>
      <c r="CS54">
        <v>12.922353816120806</v>
      </c>
      <c r="CT54">
        <v>0.23493360572012262</v>
      </c>
      <c r="CU54" s="10">
        <v>0.13141915649175645</v>
      </c>
      <c r="CV54" s="11">
        <v>0.40339895933866499</v>
      </c>
      <c r="CW54">
        <v>0.06</v>
      </c>
      <c r="CX54">
        <v>55.258670169792438</v>
      </c>
      <c r="CY54">
        <v>47657829.837527052</v>
      </c>
      <c r="CZ54">
        <v>0.13141915649175645</v>
      </c>
      <c r="DA54">
        <v>17.438553515314485</v>
      </c>
      <c r="DB54">
        <v>151016441.68406862</v>
      </c>
      <c r="DC54">
        <v>0.12484819866716862</v>
      </c>
      <c r="DD54">
        <v>8.1871776095921085</v>
      </c>
      <c r="DE54">
        <v>321662534.46298492</v>
      </c>
      <c r="DF54">
        <v>0.11564885771274568</v>
      </c>
      <c r="DG54">
        <v>4.6559131086401928</v>
      </c>
      <c r="DH54">
        <v>565626599.67018652</v>
      </c>
      <c r="DI54">
        <v>0.10513532519340517</v>
      </c>
      <c r="DJ54">
        <v>2.1267871099453091</v>
      </c>
      <c r="DK54">
        <v>1238256658.4521577</v>
      </c>
      <c r="DL54">
        <v>9.1993409544229507E-2</v>
      </c>
      <c r="DM54">
        <v>44649500</v>
      </c>
      <c r="DN54">
        <v>0.13141915649175645</v>
      </c>
      <c r="DO54">
        <v>2633508300</v>
      </c>
      <c r="DP54">
        <v>398646470</v>
      </c>
      <c r="DQ54">
        <v>1759</v>
      </c>
      <c r="DR54">
        <v>-1.1728859144777601E-2</v>
      </c>
      <c r="DS54">
        <v>-4.5409474125083393E-2</v>
      </c>
      <c r="DT54" s="12">
        <v>-0.19000000000000003</v>
      </c>
      <c r="DU54">
        <v>0.73666666666666669</v>
      </c>
      <c r="DV54">
        <v>0.54666666666666663</v>
      </c>
      <c r="DW54">
        <v>-2.1015999999999999</v>
      </c>
      <c r="DX54">
        <v>0.22813769230769287</v>
      </c>
      <c r="DY54">
        <v>-2.0120027895384616</v>
      </c>
      <c r="DZ54">
        <v>640</v>
      </c>
      <c r="EA54">
        <v>-2.0104995047430378</v>
      </c>
      <c r="EB54">
        <v>2</v>
      </c>
      <c r="EC54">
        <v>5.0462635769540985E-2</v>
      </c>
      <c r="ED54">
        <v>0.4271510199988493</v>
      </c>
      <c r="EE54" s="13">
        <v>-4.0861099999999997</v>
      </c>
      <c r="EF54">
        <v>-4.09701</v>
      </c>
      <c r="EG54">
        <v>11.118137692307693</v>
      </c>
      <c r="EH54" t="s">
        <v>2119</v>
      </c>
      <c r="EI54">
        <v>0</v>
      </c>
      <c r="EJ54">
        <v>1</v>
      </c>
      <c r="EK54" s="15">
        <v>45470</v>
      </c>
      <c r="EL54" s="16">
        <v>0.1</v>
      </c>
      <c r="EM54" s="16">
        <v>-3.66</v>
      </c>
      <c r="EN54" s="16">
        <v>-1.4</v>
      </c>
      <c r="EO54" s="16">
        <v>2.34</v>
      </c>
      <c r="EP54" s="16">
        <v>-1.0900000000000001</v>
      </c>
    </row>
    <row r="55" spans="1:146" ht="108" x14ac:dyDescent="0.25">
      <c r="A55" s="8"/>
      <c r="B55" s="8"/>
      <c r="C55" s="8" t="str">
        <f>""&amp;CHAR(10)&amp;Basic_Fundamental_Information_Constructure(F55)&amp;CHAR(10)&amp;Basic_Fundamental_Information_Concatenate("")</f>
        <v xml:space="preserve">
市值17.846145亿, 利润671.55万; PE176; 平均PE84.35; 平均PEG12.02, PB1.39; ROIC1.785%; ROE1.3%; 股利率.4695%; 毛利15.36%; 净利2.9067%; 上一年度营收增-3.81%, 利润增525.25%; 当季营收增2.83%, 利润增315.75%; 过往5年营收增7.01%, 利润增100.99%
Income profile:
</v>
      </c>
      <c r="D55" t="s">
        <v>596</v>
      </c>
      <c r="E55" t="s">
        <v>21</v>
      </c>
      <c r="F55">
        <v>4.26</v>
      </c>
      <c r="G55">
        <v>2.16</v>
      </c>
      <c r="H55" t="s">
        <v>3322</v>
      </c>
      <c r="I55">
        <v>1784614500</v>
      </c>
      <c r="J55">
        <v>176</v>
      </c>
      <c r="K55">
        <v>1.39</v>
      </c>
      <c r="L55" t="s">
        <v>101</v>
      </c>
      <c r="M55" t="s">
        <v>137</v>
      </c>
      <c r="N55" t="s">
        <v>3323</v>
      </c>
      <c r="O55" t="s">
        <v>286</v>
      </c>
      <c r="P55">
        <v>2.96</v>
      </c>
      <c r="Q55" t="s">
        <v>1008</v>
      </c>
      <c r="R55">
        <v>4508763</v>
      </c>
      <c r="S55" s="6">
        <v>3.1579999999999999</v>
      </c>
      <c r="T55" t="s">
        <v>3324</v>
      </c>
      <c r="U55">
        <v>397325910</v>
      </c>
      <c r="V55">
        <v>418923580</v>
      </c>
      <c r="W55">
        <v>1.1499999999999999</v>
      </c>
      <c r="X55">
        <v>7.0000000000000007E-2</v>
      </c>
      <c r="Y55">
        <v>4.1399999999999997</v>
      </c>
      <c r="Z55" t="s">
        <v>425</v>
      </c>
      <c r="AA55" t="s">
        <v>3325</v>
      </c>
      <c r="AB55" t="s">
        <v>3326</v>
      </c>
      <c r="AC55" t="s">
        <v>3327</v>
      </c>
      <c r="AD55" t="s">
        <v>5</v>
      </c>
      <c r="AE55">
        <v>-289120</v>
      </c>
      <c r="AF55" t="s">
        <v>3328</v>
      </c>
      <c r="AG55" t="s">
        <v>3329</v>
      </c>
      <c r="AH55" t="s">
        <v>3330</v>
      </c>
      <c r="AI55" t="s">
        <v>3331</v>
      </c>
      <c r="AJ55" t="s">
        <v>3332</v>
      </c>
      <c r="AK55" t="s">
        <v>3333</v>
      </c>
      <c r="AL55" t="s">
        <v>3334</v>
      </c>
      <c r="AM55" t="s">
        <v>5</v>
      </c>
      <c r="AN55" t="s">
        <v>3335</v>
      </c>
      <c r="AO55" t="s">
        <v>5</v>
      </c>
      <c r="AP55" t="s">
        <v>3336</v>
      </c>
      <c r="AQ55" t="s">
        <v>3337</v>
      </c>
      <c r="AR55" t="s">
        <v>5</v>
      </c>
      <c r="AS55" t="s">
        <v>558</v>
      </c>
      <c r="AT55" t="s">
        <v>5</v>
      </c>
      <c r="AU55" t="s">
        <v>3338</v>
      </c>
      <c r="AV55" t="s">
        <v>3339</v>
      </c>
      <c r="AW55" t="s">
        <v>3340</v>
      </c>
      <c r="AX55" t="s">
        <v>359</v>
      </c>
      <c r="AY55" t="s">
        <v>1670</v>
      </c>
      <c r="AZ55" t="s">
        <v>750</v>
      </c>
      <c r="BA55" t="s">
        <v>479</v>
      </c>
      <c r="BB55" t="s">
        <v>791</v>
      </c>
      <c r="BC55" t="s">
        <v>1947</v>
      </c>
      <c r="BD55" t="s">
        <v>1948</v>
      </c>
      <c r="BE55" t="s">
        <v>981</v>
      </c>
      <c r="BF55" t="s">
        <v>597</v>
      </c>
      <c r="BG55" t="s">
        <v>982</v>
      </c>
      <c r="BH55" t="s">
        <v>1008</v>
      </c>
      <c r="BI55" t="s">
        <v>208</v>
      </c>
      <c r="BJ55" t="s">
        <v>359</v>
      </c>
      <c r="BK55" t="s">
        <v>3324</v>
      </c>
      <c r="BL55" t="s">
        <v>3341</v>
      </c>
      <c r="BM55" t="s">
        <v>1947</v>
      </c>
      <c r="BN55">
        <v>0.78</v>
      </c>
      <c r="BO55" t="s">
        <v>5</v>
      </c>
      <c r="BP55">
        <v>2.79</v>
      </c>
      <c r="BQ55">
        <v>0.9</v>
      </c>
      <c r="BR55">
        <v>-0.12</v>
      </c>
      <c r="BS55">
        <v>3.12</v>
      </c>
      <c r="BT55" t="s">
        <v>3342</v>
      </c>
      <c r="BU55" t="s">
        <v>1537</v>
      </c>
      <c r="BV55">
        <v>16.39</v>
      </c>
      <c r="BW55">
        <v>12.5</v>
      </c>
      <c r="BX55">
        <v>17.190000000000001</v>
      </c>
      <c r="BY55">
        <v>1.48</v>
      </c>
      <c r="BZ55">
        <v>-0.33</v>
      </c>
      <c r="CA55">
        <v>7.57</v>
      </c>
      <c r="CB55">
        <v>-5.12</v>
      </c>
      <c r="CC55">
        <v>-4.91</v>
      </c>
      <c r="CD55" t="s">
        <v>153</v>
      </c>
      <c r="CE55" t="s">
        <v>2266</v>
      </c>
      <c r="CF55" s="10">
        <v>2.830188679245297E-2</v>
      </c>
      <c r="CG55" s="11">
        <v>3.1574578146611341</v>
      </c>
      <c r="CH55" s="10">
        <v>-3.8135591894388199E-2</v>
      </c>
      <c r="CI55" s="10">
        <v>-0.10775047540664673</v>
      </c>
      <c r="CJ55" s="10">
        <v>0.29975429177284241</v>
      </c>
      <c r="CK55" s="10">
        <v>0.43816253542900085</v>
      </c>
      <c r="CL55" s="10">
        <v>-0.24128685891628265</v>
      </c>
      <c r="CM55" s="11">
        <v>5.252469539642334</v>
      </c>
      <c r="CN55" s="11">
        <v>-1.0389659404754639</v>
      </c>
      <c r="CO55" s="11">
        <v>0.10033638775348663</v>
      </c>
      <c r="CP55" s="11">
        <v>0.49784871935844421</v>
      </c>
      <c r="CQ55" s="11">
        <v>0.23792406916618347</v>
      </c>
      <c r="CR55">
        <v>84.345703032690039</v>
      </c>
      <c r="CS55">
        <v>12.023830321202256</v>
      </c>
      <c r="CT55">
        <v>0.46948356807511743</v>
      </c>
      <c r="CU55" s="10">
        <v>7.0148780196905139E-2</v>
      </c>
      <c r="CV55" s="11">
        <v>1.009922555088997</v>
      </c>
      <c r="CW55">
        <v>0.06</v>
      </c>
      <c r="CX55">
        <v>107.1734993568203</v>
      </c>
      <c r="CY55">
        <v>6779796.3522757711</v>
      </c>
      <c r="CZ55">
        <v>7.0148780196905139E-2</v>
      </c>
      <c r="DA55">
        <v>35.618342920368306</v>
      </c>
      <c r="DB55">
        <v>20400008.546845853</v>
      </c>
      <c r="DC55">
        <v>6.6641341187059874E-2</v>
      </c>
      <c r="DD55">
        <v>17.930510774708765</v>
      </c>
      <c r="DE55">
        <v>40523915.304459698</v>
      </c>
      <c r="DF55">
        <v>6.1730926573276522E-2</v>
      </c>
      <c r="DG55">
        <v>11.039848188299004</v>
      </c>
      <c r="DH55">
        <v>65817435.856602594</v>
      </c>
      <c r="DI55">
        <v>5.6119024157524115E-2</v>
      </c>
      <c r="DJ55">
        <v>6.0192369273980537</v>
      </c>
      <c r="DK55">
        <v>120715384.48547082</v>
      </c>
      <c r="DL55">
        <v>4.9104146137833593E-2</v>
      </c>
      <c r="DM55">
        <v>6715500</v>
      </c>
      <c r="DN55">
        <v>7.0148780196905139E-2</v>
      </c>
      <c r="DO55">
        <v>726614500</v>
      </c>
      <c r="DP55">
        <v>585842850</v>
      </c>
      <c r="DQ55">
        <v>1765</v>
      </c>
      <c r="DR55">
        <v>-4.1846893404452169E-2</v>
      </c>
      <c r="DS55">
        <v>2.1475352595721371</v>
      </c>
      <c r="DT55" s="12">
        <v>-0.28999999999999998</v>
      </c>
      <c r="DU55">
        <v>0.24</v>
      </c>
      <c r="DV55">
        <v>-4.9999999999999989E-2</v>
      </c>
      <c r="DW55">
        <v>-4.958984375</v>
      </c>
      <c r="DX55">
        <v>0.27080527086383632</v>
      </c>
      <c r="DY55">
        <v>-4.1446198984260612</v>
      </c>
      <c r="DZ55">
        <v>1829</v>
      </c>
      <c r="EA55">
        <v>-4.0928567293025262</v>
      </c>
      <c r="EB55">
        <v>4</v>
      </c>
      <c r="EC55">
        <v>0.24586823210094785</v>
      </c>
      <c r="ED55">
        <v>1.6303689565528874</v>
      </c>
      <c r="EE55" s="13">
        <v>-2.0333000000000001</v>
      </c>
      <c r="EF55">
        <v>-1.0133000000000001</v>
      </c>
      <c r="EG55">
        <v>12.150805270863836</v>
      </c>
      <c r="EH55" t="s">
        <v>1813</v>
      </c>
      <c r="EI55">
        <v>0</v>
      </c>
      <c r="EJ55">
        <v>0</v>
      </c>
      <c r="EK55" s="15">
        <v>45470</v>
      </c>
      <c r="EL55" s="16">
        <v>-1.44</v>
      </c>
      <c r="EM55" s="16">
        <v>-5.1100000000000003</v>
      </c>
      <c r="EN55" s="16">
        <v>3.08</v>
      </c>
      <c r="EO55" s="16">
        <v>5.22</v>
      </c>
      <c r="EP55" s="16">
        <v>13</v>
      </c>
    </row>
    <row r="56" spans="1:146" ht="96" x14ac:dyDescent="0.25">
      <c r="A56" s="8"/>
      <c r="B56" s="8"/>
      <c r="C56" s="8" t="str">
        <f>""&amp;CHAR(10)&amp;Basic_Fundamental_Information_Constructure(F56)&amp;CHAR(10)&amp;Basic_Fundamental_Information_Concatenate("")</f>
        <v xml:space="preserve">
市值43.996954亿, 利润-2098.11万; PE; 平均PE-88.88; 平均PEG-36.04, PB5.03; ROIC0%; ROE-8.0567%; 股利率0%; 毛利24.35%; 净利-3.9567%; 上一年度营收增14.17%, 利润增61.5%; 当季营收增-3.78%, 利润增5.88%; 过往5年营收增-2.47%, 利润增-230.95%
Income profile:
</v>
      </c>
      <c r="D56" t="s">
        <v>598</v>
      </c>
      <c r="E56" t="s">
        <v>18</v>
      </c>
      <c r="F56">
        <v>13</v>
      </c>
      <c r="G56">
        <v>-1.52</v>
      </c>
      <c r="H56" t="s">
        <v>3343</v>
      </c>
      <c r="I56">
        <v>4399695400</v>
      </c>
      <c r="K56">
        <v>5.03</v>
      </c>
      <c r="L56" t="s">
        <v>101</v>
      </c>
      <c r="M56" t="s">
        <v>2202</v>
      </c>
      <c r="N56" t="s">
        <v>1418</v>
      </c>
      <c r="O56" t="s">
        <v>120</v>
      </c>
      <c r="P56">
        <v>-3.78</v>
      </c>
      <c r="Q56" t="s">
        <v>722</v>
      </c>
      <c r="R56">
        <v>-635339</v>
      </c>
      <c r="S56" s="6">
        <v>5.8799999999999998E-2</v>
      </c>
      <c r="T56" t="s">
        <v>3344</v>
      </c>
      <c r="U56">
        <v>280335920</v>
      </c>
      <c r="V56">
        <v>338438110</v>
      </c>
      <c r="W56">
        <v>2.33</v>
      </c>
      <c r="X56">
        <v>0.14000000000000001</v>
      </c>
      <c r="Y56">
        <v>-0.23</v>
      </c>
      <c r="Z56" t="s">
        <v>130</v>
      </c>
      <c r="AA56" t="s">
        <v>392</v>
      </c>
      <c r="AB56" t="s">
        <v>3345</v>
      </c>
      <c r="AC56" t="s">
        <v>3346</v>
      </c>
      <c r="AD56" t="s">
        <v>5</v>
      </c>
      <c r="AE56">
        <v>3510446</v>
      </c>
      <c r="AF56" t="s">
        <v>3347</v>
      </c>
      <c r="AG56">
        <v>0.79</v>
      </c>
      <c r="AH56" t="s">
        <v>3348</v>
      </c>
      <c r="AI56" t="s">
        <v>114</v>
      </c>
      <c r="AJ56" t="s">
        <v>3349</v>
      </c>
      <c r="AK56" t="s">
        <v>3350</v>
      </c>
      <c r="AL56" t="s">
        <v>3351</v>
      </c>
      <c r="AM56" t="s">
        <v>5</v>
      </c>
      <c r="AN56" t="s">
        <v>1621</v>
      </c>
      <c r="AO56" t="s">
        <v>218</v>
      </c>
      <c r="AP56" t="s">
        <v>5</v>
      </c>
      <c r="AQ56" t="s">
        <v>558</v>
      </c>
      <c r="AR56" t="s">
        <v>5</v>
      </c>
      <c r="AS56" t="s">
        <v>860</v>
      </c>
      <c r="AT56" t="s">
        <v>3352</v>
      </c>
      <c r="AU56" t="s">
        <v>3353</v>
      </c>
      <c r="AV56" t="s">
        <v>5</v>
      </c>
      <c r="AW56" t="s">
        <v>3354</v>
      </c>
      <c r="AX56" t="s">
        <v>1682</v>
      </c>
      <c r="AY56" t="s">
        <v>395</v>
      </c>
      <c r="AZ56" t="s">
        <v>975</v>
      </c>
      <c r="BA56" t="s">
        <v>599</v>
      </c>
      <c r="BB56" t="s">
        <v>984</v>
      </c>
      <c r="BC56" t="s">
        <v>1949</v>
      </c>
      <c r="BD56" t="s">
        <v>1410</v>
      </c>
      <c r="BE56" t="s">
        <v>983</v>
      </c>
      <c r="BF56" t="s">
        <v>600</v>
      </c>
      <c r="BG56" t="s">
        <v>985</v>
      </c>
      <c r="BH56" t="s">
        <v>722</v>
      </c>
      <c r="BI56" t="s">
        <v>255</v>
      </c>
      <c r="BJ56" t="s">
        <v>1682</v>
      </c>
      <c r="BK56" t="s">
        <v>3344</v>
      </c>
      <c r="BL56" t="s">
        <v>3355</v>
      </c>
      <c r="BM56" t="s">
        <v>1949</v>
      </c>
      <c r="BN56" t="s">
        <v>5</v>
      </c>
      <c r="BO56" t="s">
        <v>5</v>
      </c>
      <c r="BP56" t="s">
        <v>5</v>
      </c>
      <c r="BQ56">
        <v>-0.85</v>
      </c>
      <c r="BR56">
        <v>-11.13</v>
      </c>
      <c r="BS56">
        <v>-12.19</v>
      </c>
      <c r="BT56" t="s">
        <v>1720</v>
      </c>
      <c r="BU56" t="s">
        <v>1537</v>
      </c>
      <c r="BV56">
        <v>27.17</v>
      </c>
      <c r="BW56">
        <v>23.55</v>
      </c>
      <c r="BX56">
        <v>22.33</v>
      </c>
      <c r="BY56">
        <v>-1.46</v>
      </c>
      <c r="BZ56">
        <v>-4.3099999999999996</v>
      </c>
      <c r="CA56">
        <v>-6.1</v>
      </c>
      <c r="CB56">
        <v>-8.9600000000000009</v>
      </c>
      <c r="CC56">
        <v>5.69</v>
      </c>
      <c r="CD56" t="s">
        <v>3356</v>
      </c>
      <c r="CE56" t="s">
        <v>3357</v>
      </c>
      <c r="CF56" s="10">
        <v>-3.7800687285223365E-2</v>
      </c>
      <c r="CG56" s="11">
        <v>5.8757037037037038E-2</v>
      </c>
      <c r="CH56" s="10">
        <v>0.14172598719596863</v>
      </c>
      <c r="CI56" s="10">
        <v>0.14092139899730682</v>
      </c>
      <c r="CJ56" s="10">
        <v>-4.2387489229440689E-2</v>
      </c>
      <c r="CK56" s="10">
        <v>-0.19160838425159454</v>
      </c>
      <c r="CL56" s="10">
        <v>-0.1719745546579361</v>
      </c>
      <c r="CM56" s="11">
        <v>0.61500519514083862</v>
      </c>
      <c r="CN56" s="11">
        <v>0.21113131940364838</v>
      </c>
      <c r="CO56" s="11">
        <v>0.62455105781555176</v>
      </c>
      <c r="CP56" s="11">
        <v>-12.951000213623047</v>
      </c>
      <c r="CQ56" s="11">
        <v>-4.7335594892501831E-2</v>
      </c>
      <c r="CR56">
        <v>-88.881717852388221</v>
      </c>
      <c r="CS56">
        <v>-36.036135846992174</v>
      </c>
      <c r="CT56">
        <v>0</v>
      </c>
      <c r="CU56" s="10">
        <v>-2.4664608389139177E-2</v>
      </c>
      <c r="CV56" s="11">
        <v>-2.309529647231102</v>
      </c>
      <c r="CW56">
        <v>0.06</v>
      </c>
      <c r="CX56" t="e">
        <v>#VALUE!</v>
      </c>
      <c r="CY56" t="s">
        <v>1552</v>
      </c>
      <c r="CZ56">
        <v>-2.4664608389139177E-2</v>
      </c>
      <c r="DA56" t="e">
        <v>#VALUE!</v>
      </c>
      <c r="DB56" t="s">
        <v>1549</v>
      </c>
      <c r="DC56">
        <v>-2.3431377969682216E-2</v>
      </c>
      <c r="DD56" t="e">
        <v>#VALUE!</v>
      </c>
      <c r="DE56" t="s">
        <v>1549</v>
      </c>
      <c r="DF56">
        <v>-2.1704855382442476E-2</v>
      </c>
      <c r="DG56" t="e">
        <v>#VALUE!</v>
      </c>
      <c r="DH56" t="s">
        <v>1549</v>
      </c>
      <c r="DI56">
        <v>-1.9731686711311341E-2</v>
      </c>
      <c r="DJ56" t="e">
        <v>#VALUE!</v>
      </c>
      <c r="DK56" t="s">
        <v>1549</v>
      </c>
      <c r="DL56">
        <v>-1.7265225872397424E-2</v>
      </c>
      <c r="DM56">
        <v>-20981100</v>
      </c>
      <c r="DN56">
        <v>-2.4664608389139177E-2</v>
      </c>
      <c r="DO56">
        <v>4706695400</v>
      </c>
      <c r="DP56">
        <v>228919489.99999988</v>
      </c>
      <c r="DQ56">
        <v>1777</v>
      </c>
      <c r="DR56">
        <v>-1.3136078896084188E-2</v>
      </c>
      <c r="DS56">
        <v>2.3682866842681389</v>
      </c>
      <c r="DT56" s="12">
        <v>-0.65666666666666662</v>
      </c>
      <c r="DU56">
        <v>-1.1683333333333334</v>
      </c>
      <c r="DV56">
        <v>-1.8250000000000002</v>
      </c>
      <c r="DW56">
        <v>-5.6350446428571432</v>
      </c>
      <c r="DX56">
        <v>0.27963436806231723</v>
      </c>
      <c r="DY56">
        <v>-5.0442209323967173</v>
      </c>
      <c r="DZ56">
        <v>4273</v>
      </c>
      <c r="EA56">
        <v>-5.0072432329581318</v>
      </c>
      <c r="EB56">
        <v>5</v>
      </c>
      <c r="EC56">
        <v>0.2113074677080545</v>
      </c>
      <c r="ED56">
        <v>3.0345282332418178</v>
      </c>
      <c r="EE56" s="13">
        <v>2.1063000000000001</v>
      </c>
      <c r="EF56">
        <v>2.0446</v>
      </c>
      <c r="EG56">
        <v>21.069634368062317</v>
      </c>
      <c r="EH56" t="s">
        <v>1871</v>
      </c>
      <c r="EI56">
        <v>0</v>
      </c>
      <c r="EJ56">
        <v>0</v>
      </c>
      <c r="EK56" s="15">
        <v>45470</v>
      </c>
      <c r="EL56" s="16">
        <v>-4.8099999999999996</v>
      </c>
      <c r="EM56" s="16">
        <v>-3.3</v>
      </c>
      <c r="EN56" s="16">
        <v>3.27</v>
      </c>
      <c r="EO56" s="16">
        <v>1.62</v>
      </c>
      <c r="EP56" s="16">
        <v>-6.17</v>
      </c>
    </row>
    <row r="57" spans="1:146" ht="108" x14ac:dyDescent="0.25">
      <c r="A57" s="8"/>
      <c r="B57" s="8"/>
      <c r="C57" s="8" t="str">
        <f>""&amp;CHAR(10)&amp;Basic_Fundamental_Information_Constructure(F57)&amp;CHAR(10)&amp;Basic_Fundamental_Information_Concatenate("")</f>
        <v xml:space="preserve">
市值44.35324亿, 利润1.14亿; PE14.64; 平均PE-27.45; 平均PEG-3.43, PB1.4; ROIC2.87%; ROE3.6367%; 股利率0%; 毛利27.0633%; 净利4.2933%; 上一年度营收增6.89%, 利润增24.91%; 当季营收增11.7%, 利润增495.01%; 过往5年营收增8%, 利润增-109.7%
Income profile:
</v>
      </c>
      <c r="D57" t="s">
        <v>115</v>
      </c>
      <c r="E57" t="s">
        <v>55</v>
      </c>
      <c r="F57">
        <v>5.63</v>
      </c>
      <c r="G57">
        <v>-0.71</v>
      </c>
      <c r="H57" t="s">
        <v>3358</v>
      </c>
      <c r="I57">
        <v>4435324000</v>
      </c>
      <c r="J57">
        <v>14.64</v>
      </c>
      <c r="K57">
        <v>1.4</v>
      </c>
      <c r="L57" t="s">
        <v>101</v>
      </c>
      <c r="M57" t="s">
        <v>3359</v>
      </c>
      <c r="N57" t="s">
        <v>493</v>
      </c>
      <c r="O57" t="s">
        <v>977</v>
      </c>
      <c r="P57">
        <v>11.72</v>
      </c>
      <c r="Q57" t="s">
        <v>825</v>
      </c>
      <c r="R57">
        <v>226931050</v>
      </c>
      <c r="S57" s="6">
        <v>4.95</v>
      </c>
      <c r="T57" t="s">
        <v>207</v>
      </c>
      <c r="U57">
        <v>777376730</v>
      </c>
      <c r="V57">
        <v>787801780</v>
      </c>
      <c r="W57">
        <v>1.6</v>
      </c>
      <c r="X57">
        <v>0.12</v>
      </c>
      <c r="Y57">
        <v>42.16</v>
      </c>
      <c r="Z57" t="s">
        <v>621</v>
      </c>
      <c r="AA57" t="s">
        <v>1098</v>
      </c>
      <c r="AB57" t="s">
        <v>3360</v>
      </c>
      <c r="AC57" t="s">
        <v>3361</v>
      </c>
      <c r="AD57" t="s">
        <v>5</v>
      </c>
      <c r="AE57">
        <v>-2320807</v>
      </c>
      <c r="AF57" t="s">
        <v>3362</v>
      </c>
      <c r="AG57" t="s">
        <v>3363</v>
      </c>
      <c r="AH57" t="s">
        <v>3364</v>
      </c>
      <c r="AI57" t="s">
        <v>556</v>
      </c>
      <c r="AJ57" t="s">
        <v>3365</v>
      </c>
      <c r="AK57" t="s">
        <v>3366</v>
      </c>
      <c r="AL57" t="s">
        <v>3367</v>
      </c>
      <c r="AM57" t="s">
        <v>5</v>
      </c>
      <c r="AN57" t="s">
        <v>3368</v>
      </c>
      <c r="AO57" t="s">
        <v>574</v>
      </c>
      <c r="AP57" t="s">
        <v>1712</v>
      </c>
      <c r="AQ57" t="s">
        <v>1600</v>
      </c>
      <c r="AR57" t="s">
        <v>3369</v>
      </c>
      <c r="AS57" t="s">
        <v>3370</v>
      </c>
      <c r="AT57" t="s">
        <v>5</v>
      </c>
      <c r="AU57" t="s">
        <v>208</v>
      </c>
      <c r="AV57" t="s">
        <v>3371</v>
      </c>
      <c r="AW57" t="s">
        <v>3372</v>
      </c>
      <c r="AX57" t="s">
        <v>1950</v>
      </c>
      <c r="AY57" t="s">
        <v>1411</v>
      </c>
      <c r="AZ57" t="s">
        <v>570</v>
      </c>
      <c r="BA57" t="s">
        <v>116</v>
      </c>
      <c r="BB57" t="s">
        <v>870</v>
      </c>
      <c r="BC57" t="s">
        <v>1951</v>
      </c>
      <c r="BD57" t="s">
        <v>1412</v>
      </c>
      <c r="BE57" t="s">
        <v>986</v>
      </c>
      <c r="BF57" t="s">
        <v>117</v>
      </c>
      <c r="BG57" t="s">
        <v>152</v>
      </c>
      <c r="BH57" t="s">
        <v>825</v>
      </c>
      <c r="BI57" t="s">
        <v>1182</v>
      </c>
      <c r="BJ57" t="s">
        <v>1950</v>
      </c>
      <c r="BK57" t="s">
        <v>207</v>
      </c>
      <c r="BL57" t="s">
        <v>3373</v>
      </c>
      <c r="BM57" t="s">
        <v>1951</v>
      </c>
      <c r="BN57">
        <v>3.44</v>
      </c>
      <c r="BO57">
        <v>2.64</v>
      </c>
      <c r="BP57">
        <v>2.5299999999999998</v>
      </c>
      <c r="BQ57">
        <v>4.1399999999999997</v>
      </c>
      <c r="BR57">
        <v>3.38</v>
      </c>
      <c r="BS57">
        <v>3.39</v>
      </c>
      <c r="BT57" t="s">
        <v>1720</v>
      </c>
      <c r="BU57" t="s">
        <v>1589</v>
      </c>
      <c r="BV57">
        <v>28.1</v>
      </c>
      <c r="BW57">
        <v>27.86</v>
      </c>
      <c r="BX57">
        <v>25.23</v>
      </c>
      <c r="BY57">
        <v>5.39</v>
      </c>
      <c r="BZ57">
        <v>4.05</v>
      </c>
      <c r="CA57">
        <v>3.44</v>
      </c>
      <c r="CB57">
        <v>-5.38</v>
      </c>
      <c r="CC57">
        <v>-12.44</v>
      </c>
      <c r="CD57" t="s">
        <v>3374</v>
      </c>
      <c r="CE57" t="s">
        <v>2908</v>
      </c>
      <c r="CF57" s="10">
        <v>0.1169811320754717</v>
      </c>
      <c r="CG57" s="11">
        <v>4.9500892784570167</v>
      </c>
      <c r="CH57" s="10">
        <v>6.8911060690879822E-2</v>
      </c>
      <c r="CI57" s="10">
        <v>-0.10793048888444901</v>
      </c>
      <c r="CJ57" s="10">
        <v>0.72830498218536377</v>
      </c>
      <c r="CK57" s="10">
        <v>-0.18934911489486694</v>
      </c>
      <c r="CL57" s="10">
        <v>-0.1000000387430191</v>
      </c>
      <c r="CM57" s="11">
        <v>0.24911521375179291</v>
      </c>
      <c r="CN57" s="11">
        <v>3.5079322755336761E-2</v>
      </c>
      <c r="CO57" s="11">
        <v>1.1673084497451782</v>
      </c>
      <c r="CP57" s="11">
        <v>0.39702516794204712</v>
      </c>
      <c r="CQ57" s="11">
        <v>-7.3333334922790527</v>
      </c>
      <c r="CR57">
        <v>-27.447336627048166</v>
      </c>
      <c r="CS57">
        <v>-3.4314626779107487</v>
      </c>
      <c r="CT57">
        <v>0</v>
      </c>
      <c r="CU57" s="10">
        <v>7.9987280070781708E-2</v>
      </c>
      <c r="CV57" s="11">
        <v>-1.0969610676169395</v>
      </c>
      <c r="CW57">
        <v>0.06</v>
      </c>
      <c r="CX57">
        <v>27.140211137576099</v>
      </c>
      <c r="CY57">
        <v>116149575.40383877</v>
      </c>
      <c r="CZ57">
        <v>7.9987280070781708E-2</v>
      </c>
      <c r="DA57">
        <v>8.9447713253987899</v>
      </c>
      <c r="DB57">
        <v>352420859.66456592</v>
      </c>
      <c r="DC57">
        <v>7.5987916067242617E-2</v>
      </c>
      <c r="DD57">
        <v>4.4533781702138313</v>
      </c>
      <c r="DE57">
        <v>707850058.87982774</v>
      </c>
      <c r="DF57">
        <v>7.0388806462287901E-2</v>
      </c>
      <c r="DG57">
        <v>2.708487662227582</v>
      </c>
      <c r="DH57">
        <v>1163868694.6823258</v>
      </c>
      <c r="DI57">
        <v>6.3989824056625372E-2</v>
      </c>
      <c r="DJ57">
        <v>1.4383720514205511</v>
      </c>
      <c r="DK57">
        <v>2191591526.6058822</v>
      </c>
      <c r="DL57">
        <v>5.599109604954719E-2</v>
      </c>
      <c r="DM57">
        <v>113999999.99999999</v>
      </c>
      <c r="DN57">
        <v>7.9987280070781708E-2</v>
      </c>
      <c r="DO57">
        <v>3152324000</v>
      </c>
      <c r="DP57">
        <v>891126800</v>
      </c>
      <c r="DQ57">
        <v>1790</v>
      </c>
      <c r="DR57">
        <v>3.6993852004689992E-2</v>
      </c>
      <c r="DS57">
        <v>6.0470503460739558</v>
      </c>
      <c r="DT57" s="12">
        <v>-0.28999999999999998</v>
      </c>
      <c r="DU57">
        <v>0.11666666666666665</v>
      </c>
      <c r="DV57">
        <v>-0.17333333333333334</v>
      </c>
      <c r="DW57">
        <v>-8.4324758842443721</v>
      </c>
      <c r="DX57">
        <v>0.44691719128329338</v>
      </c>
      <c r="DY57">
        <v>-8.0635381422109411</v>
      </c>
      <c r="DZ57">
        <v>2130</v>
      </c>
      <c r="EA57">
        <v>-8.0370535545574562</v>
      </c>
      <c r="EB57">
        <v>8</v>
      </c>
      <c r="EC57">
        <v>7.7020389570584616E-2</v>
      </c>
      <c r="ED57">
        <v>0.52424354765992021</v>
      </c>
      <c r="EE57" s="13">
        <v>6.0270000000000001</v>
      </c>
      <c r="EF57">
        <v>6.0078100000000001</v>
      </c>
      <c r="EG57">
        <v>30.146917191283293</v>
      </c>
      <c r="EH57" t="s">
        <v>2264</v>
      </c>
      <c r="EI57">
        <v>0</v>
      </c>
      <c r="EJ57">
        <v>0</v>
      </c>
      <c r="EK57" s="15">
        <v>45470</v>
      </c>
      <c r="EL57" s="16">
        <v>0.17</v>
      </c>
      <c r="EM57" s="16">
        <v>-5</v>
      </c>
      <c r="EN57" s="16">
        <v>2.46</v>
      </c>
      <c r="EO57" s="16">
        <v>3.42</v>
      </c>
      <c r="EP57" s="16">
        <v>-3.48</v>
      </c>
    </row>
    <row r="58" spans="1:146" ht="108" x14ac:dyDescent="0.25">
      <c r="A58" s="8"/>
      <c r="B58" s="8"/>
      <c r="C58" s="8" t="str">
        <f>""&amp;CHAR(10)&amp;Basic_Fundamental_Information_Constructure(F58)&amp;CHAR(10)&amp;Basic_Fundamental_Information_Concatenate("")</f>
        <v xml:space="preserve">
市值35.195455亿, 利润1.29亿; PE31.48; 平均PE27.77; 平均PEG1.39, PB1.59; ROIC5.85%; ROE8.8233%; 股利率1.7857%; 毛利32.7567%; 净利9.05%; 上一年度营收增-4.62%, 利润增-42.92%; 当季营收增16.22%, 利润增-45.88%; 过往5年营收增20.04%, 利润增14.47%
Income profile:
</v>
      </c>
      <c r="D58" t="s">
        <v>602</v>
      </c>
      <c r="E58" t="s">
        <v>58</v>
      </c>
      <c r="F58">
        <v>5.6</v>
      </c>
      <c r="G58">
        <v>0.9</v>
      </c>
      <c r="H58" t="s">
        <v>3375</v>
      </c>
      <c r="I58">
        <v>3519545500</v>
      </c>
      <c r="J58">
        <v>31.48</v>
      </c>
      <c r="K58">
        <v>1.59</v>
      </c>
      <c r="L58" t="s">
        <v>101</v>
      </c>
      <c r="M58" t="s">
        <v>3376</v>
      </c>
      <c r="N58" t="s">
        <v>2232</v>
      </c>
      <c r="O58" t="s">
        <v>727</v>
      </c>
      <c r="P58">
        <v>16.399999999999999</v>
      </c>
      <c r="Q58" t="s">
        <v>1174</v>
      </c>
      <c r="R58">
        <v>20375357</v>
      </c>
      <c r="S58" s="6">
        <v>-0.45879999999999999</v>
      </c>
      <c r="T58" t="s">
        <v>266</v>
      </c>
      <c r="U58">
        <v>628327930</v>
      </c>
      <c r="V58">
        <v>628490270</v>
      </c>
      <c r="W58">
        <v>1.98</v>
      </c>
      <c r="X58">
        <v>0.08</v>
      </c>
      <c r="Y58">
        <v>2.21</v>
      </c>
      <c r="Z58" t="s">
        <v>254</v>
      </c>
      <c r="AA58" t="s">
        <v>757</v>
      </c>
      <c r="AB58" t="s">
        <v>3377</v>
      </c>
      <c r="AC58" t="s">
        <v>3378</v>
      </c>
      <c r="AD58" t="s">
        <v>5</v>
      </c>
      <c r="AE58">
        <v>14428225</v>
      </c>
      <c r="AF58" t="s">
        <v>3379</v>
      </c>
      <c r="AG58" t="s">
        <v>3380</v>
      </c>
      <c r="AH58" t="s">
        <v>3381</v>
      </c>
      <c r="AI58" t="s">
        <v>997</v>
      </c>
      <c r="AJ58" t="s">
        <v>3382</v>
      </c>
      <c r="AK58" t="s">
        <v>3383</v>
      </c>
      <c r="AL58" t="s">
        <v>3384</v>
      </c>
      <c r="AM58" t="s">
        <v>5</v>
      </c>
      <c r="AN58" t="s">
        <v>3385</v>
      </c>
      <c r="AO58" t="s">
        <v>336</v>
      </c>
      <c r="AP58" t="s">
        <v>5</v>
      </c>
      <c r="AQ58" t="s">
        <v>265</v>
      </c>
      <c r="AR58" t="s">
        <v>5</v>
      </c>
      <c r="AS58" t="s">
        <v>2146</v>
      </c>
      <c r="AT58" t="s">
        <v>2038</v>
      </c>
      <c r="AU58" t="s">
        <v>3386</v>
      </c>
      <c r="AV58" t="s">
        <v>3387</v>
      </c>
      <c r="AW58" t="s">
        <v>3388</v>
      </c>
      <c r="AX58" t="s">
        <v>1954</v>
      </c>
      <c r="AY58" t="s">
        <v>341</v>
      </c>
      <c r="AZ58" t="s">
        <v>375</v>
      </c>
      <c r="BA58" t="s">
        <v>603</v>
      </c>
      <c r="BB58" t="s">
        <v>905</v>
      </c>
      <c r="BC58" t="s">
        <v>405</v>
      </c>
      <c r="BD58" t="s">
        <v>425</v>
      </c>
      <c r="BE58" t="s">
        <v>1414</v>
      </c>
      <c r="BF58" t="s">
        <v>604</v>
      </c>
      <c r="BG58" t="s">
        <v>512</v>
      </c>
      <c r="BH58" t="s">
        <v>1174</v>
      </c>
      <c r="BI58" t="s">
        <v>736</v>
      </c>
      <c r="BJ58" t="s">
        <v>1954</v>
      </c>
      <c r="BK58" t="s">
        <v>266</v>
      </c>
      <c r="BL58" t="s">
        <v>3389</v>
      </c>
      <c r="BM58" t="s">
        <v>405</v>
      </c>
      <c r="BN58">
        <v>3.07</v>
      </c>
      <c r="BO58">
        <v>8.6199999999999992</v>
      </c>
      <c r="BP58">
        <v>5.86</v>
      </c>
      <c r="BQ58">
        <v>4.24</v>
      </c>
      <c r="BR58">
        <v>13.01</v>
      </c>
      <c r="BS58">
        <v>9.2200000000000006</v>
      </c>
      <c r="BT58" t="s">
        <v>1723</v>
      </c>
      <c r="BU58" t="s">
        <v>1537</v>
      </c>
      <c r="BV58">
        <v>27.35</v>
      </c>
      <c r="BW58">
        <v>33.659999999999997</v>
      </c>
      <c r="BX58">
        <v>37.26</v>
      </c>
      <c r="BY58">
        <v>5.75</v>
      </c>
      <c r="BZ58">
        <v>12.22</v>
      </c>
      <c r="CA58">
        <v>9.18</v>
      </c>
      <c r="CB58">
        <v>-5.25</v>
      </c>
      <c r="CC58">
        <v>-21.68</v>
      </c>
      <c r="CD58" t="s">
        <v>3390</v>
      </c>
      <c r="CE58" t="s">
        <v>305</v>
      </c>
      <c r="CF58" s="10">
        <v>0.16216216216216217</v>
      </c>
      <c r="CG58" s="11">
        <v>-0.45876148202455519</v>
      </c>
      <c r="CH58" s="10">
        <v>-4.621598869562149E-2</v>
      </c>
      <c r="CI58" s="10">
        <v>0.72582244873046875</v>
      </c>
      <c r="CJ58" s="10">
        <v>0.13590033352375031</v>
      </c>
      <c r="CK58" s="10">
        <v>0.11489898711442947</v>
      </c>
      <c r="CL58" s="10">
        <v>7.171853631734848E-2</v>
      </c>
      <c r="CM58" s="11">
        <v>-0.42920354008674622</v>
      </c>
      <c r="CN58" s="11">
        <v>1.1121494770050049</v>
      </c>
      <c r="CO58" s="11">
        <v>0.67282378673553467</v>
      </c>
      <c r="CP58" s="11">
        <v>-0.34327635169029236</v>
      </c>
      <c r="CQ58" s="11">
        <v>-0.28906422853469849</v>
      </c>
      <c r="CR58">
        <v>27.772660623842413</v>
      </c>
      <c r="CS58">
        <v>1.3856893876824836</v>
      </c>
      <c r="CT58">
        <v>1.7857142857142858</v>
      </c>
      <c r="CU58" s="10">
        <v>0.20042486339807511</v>
      </c>
      <c r="CV58" s="11">
        <v>0.14468582868576049</v>
      </c>
      <c r="CW58">
        <v>0.06</v>
      </c>
      <c r="CX58">
        <v>22.640551425916723</v>
      </c>
      <c r="CY58">
        <v>146089440.9229733</v>
      </c>
      <c r="CZ58">
        <v>0.20042486339807511</v>
      </c>
      <c r="DA58">
        <v>6.7463916716073973</v>
      </c>
      <c r="DB58">
        <v>490268822.35729182</v>
      </c>
      <c r="DC58">
        <v>0.19040362022817134</v>
      </c>
      <c r="DD58">
        <v>2.9213059581900844</v>
      </c>
      <c r="DE58">
        <v>1132214683.2060046</v>
      </c>
      <c r="DF58">
        <v>0.17637387979030611</v>
      </c>
      <c r="DG58">
        <v>1.507734395844694</v>
      </c>
      <c r="DH58">
        <v>2193718939.5662613</v>
      </c>
      <c r="DI58">
        <v>0.16033989071846011</v>
      </c>
      <c r="DJ58">
        <v>0.54585014184323466</v>
      </c>
      <c r="DK58">
        <v>6059438747.8420954</v>
      </c>
      <c r="DL58">
        <v>0.14029740437865257</v>
      </c>
      <c r="DM58">
        <v>129000000</v>
      </c>
      <c r="DN58">
        <v>0.20042486339807511</v>
      </c>
      <c r="DO58">
        <v>3307545500</v>
      </c>
      <c r="DP58">
        <v>1724309000</v>
      </c>
      <c r="DQ58">
        <v>1855</v>
      </c>
      <c r="DR58">
        <v>-3.8262701235912938E-2</v>
      </c>
      <c r="DS58">
        <v>-0.60344731071031565</v>
      </c>
      <c r="DT58" s="12">
        <v>-0.14000000000000001</v>
      </c>
      <c r="DU58">
        <v>-3.6666666666666591E-2</v>
      </c>
      <c r="DV58">
        <v>-0.17666666666666661</v>
      </c>
      <c r="DW58">
        <v>-8.242158671586715</v>
      </c>
      <c r="DX58">
        <v>0.45282913907284777</v>
      </c>
      <c r="DY58">
        <v>-8.0394304880134886</v>
      </c>
      <c r="DZ58">
        <v>2144</v>
      </c>
      <c r="EA58">
        <v>-8.0228866589917818</v>
      </c>
      <c r="EB58">
        <v>8</v>
      </c>
      <c r="EC58">
        <v>3.9121051150083831E-2</v>
      </c>
      <c r="ED58">
        <v>0.24025829389530565</v>
      </c>
      <c r="EE58" s="13">
        <v>-2.0299</v>
      </c>
      <c r="EF58">
        <v>-2.0114999999999998</v>
      </c>
      <c r="EG58">
        <v>29.162829139072848</v>
      </c>
      <c r="EH58" t="s">
        <v>1852</v>
      </c>
      <c r="EI58">
        <v>0</v>
      </c>
      <c r="EJ58">
        <v>0</v>
      </c>
      <c r="EK58" s="15">
        <v>45470</v>
      </c>
      <c r="EL58" s="16">
        <v>-3.11</v>
      </c>
      <c r="EM58" s="16">
        <v>-4.9800000000000004</v>
      </c>
      <c r="EN58" s="16">
        <v>-2.87</v>
      </c>
      <c r="EO58" s="16">
        <v>4</v>
      </c>
      <c r="EP58" s="16">
        <v>-1.84</v>
      </c>
    </row>
    <row r="59" spans="1:146" ht="96" x14ac:dyDescent="0.25">
      <c r="C59" s="8" t="str">
        <f>""&amp;CHAR(10)&amp;Basic_Fundamental_Information_Constructure(F59)&amp;CHAR(10)&amp;Basic_Fundamental_Information_Concatenate("")</f>
        <v xml:space="preserve">
市值49.514137亿, 利润1029.45万; PE426.2; 平均PE-17.68; 平均PEG-32.45, PB5.27; ROIC1.615%; ROE.3067%; 股利率0%; 毛利25.39%; 净利.0467%; 上一年度营收增13.82%, 利润增-23.78%; 当季营收增15.86%, 利润增18.21%; 过往5年营收增.54%, 利润增-1%
Income profile:
</v>
      </c>
      <c r="D59" t="s">
        <v>1819</v>
      </c>
      <c r="E59" t="s">
        <v>1820</v>
      </c>
      <c r="F59">
        <v>12.18</v>
      </c>
      <c r="G59">
        <v>0.66</v>
      </c>
      <c r="H59" t="s">
        <v>3391</v>
      </c>
      <c r="I59">
        <v>4951413700</v>
      </c>
      <c r="J59">
        <v>426.2</v>
      </c>
      <c r="K59">
        <v>5.27</v>
      </c>
      <c r="L59" t="s">
        <v>101</v>
      </c>
      <c r="M59" t="s">
        <v>527</v>
      </c>
      <c r="N59" t="s">
        <v>2189</v>
      </c>
      <c r="O59" t="s">
        <v>3392</v>
      </c>
      <c r="P59" s="6">
        <v>15.86</v>
      </c>
      <c r="Q59" t="s">
        <v>633</v>
      </c>
      <c r="R59">
        <v>8591541</v>
      </c>
      <c r="S59">
        <v>0.18210000000000001</v>
      </c>
      <c r="T59" t="s">
        <v>3393</v>
      </c>
      <c r="U59">
        <v>306400280</v>
      </c>
      <c r="V59">
        <v>406520010</v>
      </c>
      <c r="W59">
        <v>1.5</v>
      </c>
      <c r="X59">
        <v>0.06</v>
      </c>
      <c r="Y59">
        <v>9.48</v>
      </c>
      <c r="Z59" t="s">
        <v>3394</v>
      </c>
      <c r="AA59" t="s">
        <v>3395</v>
      </c>
      <c r="AB59" t="s">
        <v>2261</v>
      </c>
      <c r="AC59" t="s">
        <v>3396</v>
      </c>
      <c r="AD59" t="s">
        <v>5</v>
      </c>
      <c r="AE59">
        <v>-520427</v>
      </c>
      <c r="AF59" t="s">
        <v>3397</v>
      </c>
      <c r="AG59" t="s">
        <v>3398</v>
      </c>
      <c r="AH59" t="s">
        <v>3399</v>
      </c>
      <c r="AI59" t="s">
        <v>249</v>
      </c>
      <c r="AJ59" t="s">
        <v>3400</v>
      </c>
      <c r="AK59" t="s">
        <v>5</v>
      </c>
      <c r="AL59" t="s">
        <v>3401</v>
      </c>
      <c r="AM59" t="s">
        <v>5</v>
      </c>
      <c r="AN59" t="s">
        <v>3402</v>
      </c>
      <c r="AO59" t="s">
        <v>3403</v>
      </c>
      <c r="AP59" t="s">
        <v>3404</v>
      </c>
      <c r="AQ59" t="s">
        <v>266</v>
      </c>
      <c r="AR59" t="s">
        <v>5</v>
      </c>
      <c r="AS59" t="s">
        <v>415</v>
      </c>
      <c r="AT59" t="s">
        <v>5</v>
      </c>
      <c r="AU59" t="s">
        <v>3405</v>
      </c>
      <c r="AV59" t="s">
        <v>3406</v>
      </c>
      <c r="AW59" t="s">
        <v>3407</v>
      </c>
      <c r="AX59" t="s">
        <v>380</v>
      </c>
      <c r="AY59" t="s">
        <v>348</v>
      </c>
      <c r="AZ59" t="s">
        <v>815</v>
      </c>
      <c r="BA59" t="s">
        <v>607</v>
      </c>
      <c r="BB59" t="s">
        <v>990</v>
      </c>
      <c r="BC59" t="s">
        <v>1955</v>
      </c>
      <c r="BD59" t="s">
        <v>1821</v>
      </c>
      <c r="BE59" t="s">
        <v>1822</v>
      </c>
      <c r="BF59" t="s">
        <v>1823</v>
      </c>
      <c r="BG59" t="s">
        <v>1824</v>
      </c>
      <c r="BH59" t="s">
        <v>633</v>
      </c>
      <c r="BI59" t="s">
        <v>3408</v>
      </c>
      <c r="BJ59" t="s">
        <v>380</v>
      </c>
      <c r="BK59" t="s">
        <v>3393</v>
      </c>
      <c r="BL59" t="s">
        <v>3409</v>
      </c>
      <c r="BM59" t="s">
        <v>1955</v>
      </c>
      <c r="BN59">
        <v>1.95</v>
      </c>
      <c r="BO59">
        <v>1.28</v>
      </c>
      <c r="BP59" t="s">
        <v>5</v>
      </c>
      <c r="BQ59">
        <v>2.37</v>
      </c>
      <c r="BR59">
        <v>1.5</v>
      </c>
      <c r="BS59">
        <v>-2.95</v>
      </c>
      <c r="BT59" t="s">
        <v>1720</v>
      </c>
      <c r="BU59" t="s">
        <v>1537</v>
      </c>
      <c r="BV59">
        <v>25.91</v>
      </c>
      <c r="BW59">
        <v>25.03</v>
      </c>
      <c r="BX59">
        <v>25.23</v>
      </c>
      <c r="BY59">
        <v>2.1800000000000002</v>
      </c>
      <c r="BZ59">
        <v>3.27</v>
      </c>
      <c r="CA59">
        <v>-5.31</v>
      </c>
      <c r="CB59">
        <v>-10.9</v>
      </c>
      <c r="CC59" s="10">
        <v>-18.149999999999999</v>
      </c>
      <c r="CD59" s="11" t="s">
        <v>140</v>
      </c>
      <c r="CE59" s="10" t="s">
        <v>3410</v>
      </c>
      <c r="CF59" s="10">
        <v>0.15855322602767813</v>
      </c>
      <c r="CG59" s="10">
        <v>0.18212152065933765</v>
      </c>
      <c r="CH59" s="10">
        <v>0.13817329704761505</v>
      </c>
      <c r="CI59" s="10">
        <v>-0.12857143580913544</v>
      </c>
      <c r="CJ59" s="11">
        <v>-0.33242505788803101</v>
      </c>
      <c r="CK59" s="11">
        <v>0.40613025426864624</v>
      </c>
      <c r="CL59" s="11">
        <v>-5.6057866662740707E-2</v>
      </c>
      <c r="CM59" s="11">
        <v>-0.23777191340923309</v>
      </c>
      <c r="CN59" s="11">
        <v>1.493752121925354</v>
      </c>
      <c r="CO59">
        <v>-1.9150987863540649</v>
      </c>
      <c r="CP59">
        <v>-0.42039528489112854</v>
      </c>
      <c r="CQ59">
        <v>1.0293354988098145</v>
      </c>
      <c r="CR59" s="10">
        <v>-17.682670966118369</v>
      </c>
      <c r="CS59" s="11">
        <v>-32.446231145800333</v>
      </c>
      <c r="CT59">
        <v>0</v>
      </c>
      <c r="CU59">
        <v>5.4498381912708284E-3</v>
      </c>
      <c r="CV59">
        <v>-1.0035672783851623E-2</v>
      </c>
      <c r="CW59">
        <v>0.06</v>
      </c>
      <c r="CX59">
        <v>463.7525326198143</v>
      </c>
      <c r="CY59">
        <v>9764720.1502453182</v>
      </c>
      <c r="CZ59">
        <v>5.4498381912708284E-3</v>
      </c>
      <c r="DA59">
        <v>162.90625831393024</v>
      </c>
      <c r="DB59">
        <v>27797665.644455921</v>
      </c>
      <c r="DC59">
        <v>5.177346281707287E-3</v>
      </c>
      <c r="DD59">
        <v>88.039494358584506</v>
      </c>
      <c r="DE59">
        <v>51436162.065581493</v>
      </c>
      <c r="DF59">
        <v>4.7958576083183295E-3</v>
      </c>
      <c r="DG59">
        <v>58.470416623656718</v>
      </c>
      <c r="DH59">
        <v>77447946.525625333</v>
      </c>
      <c r="DI59">
        <v>4.3598705530166629E-3</v>
      </c>
      <c r="DJ59">
        <v>37.106710897948538</v>
      </c>
      <c r="DK59">
        <v>122037593.48151645</v>
      </c>
      <c r="DL59">
        <v>3.8148867338895797E-3</v>
      </c>
      <c r="DM59">
        <v>10294500</v>
      </c>
      <c r="DN59">
        <v>5.4498381912708284E-3</v>
      </c>
      <c r="DO59">
        <v>4528413700</v>
      </c>
      <c r="DP59">
        <v>654901260</v>
      </c>
      <c r="DQ59" s="12">
        <v>1883</v>
      </c>
      <c r="DR59">
        <v>0.15310338783640731</v>
      </c>
      <c r="DS59">
        <v>0.19215719344318927</v>
      </c>
      <c r="DT59">
        <v>-0.45666666666666672</v>
      </c>
      <c r="DU59">
        <v>-2.6666666666666616E-2</v>
      </c>
      <c r="DV59">
        <v>-0.48333333333333334</v>
      </c>
      <c r="DW59">
        <v>-9.6005509641873275</v>
      </c>
      <c r="DX59">
        <v>0.31944099378881952</v>
      </c>
      <c r="DY59">
        <v>-9.1137689714764818</v>
      </c>
      <c r="DZ59">
        <v>2857</v>
      </c>
      <c r="EA59">
        <v>-9.0501607617879678</v>
      </c>
      <c r="EB59" s="13">
        <v>9</v>
      </c>
      <c r="EC59" s="13">
        <v>0.45016234256217791</v>
      </c>
      <c r="ED59">
        <v>2.3762667918855951</v>
      </c>
      <c r="EE59">
        <v>7.0530999999999997</v>
      </c>
      <c r="EF59">
        <v>7.0042999999999997</v>
      </c>
      <c r="EG59">
        <v>13.18944099378882</v>
      </c>
      <c r="EH59" s="15" t="s">
        <v>3411</v>
      </c>
      <c r="EI59" s="16">
        <v>0</v>
      </c>
      <c r="EJ59" s="16">
        <v>0</v>
      </c>
      <c r="EK59" s="16">
        <v>45470</v>
      </c>
      <c r="EL59" s="16">
        <v>-4.07</v>
      </c>
      <c r="EM59" s="16">
        <v>-4.5599999999999996</v>
      </c>
      <c r="EN59" s="16">
        <v>0.08</v>
      </c>
      <c r="EO59" s="16">
        <v>2.93</v>
      </c>
      <c r="EP59" s="16">
        <v>-4.88</v>
      </c>
    </row>
    <row r="60" spans="1:146" ht="180" x14ac:dyDescent="0.25">
      <c r="A60" s="8"/>
      <c r="B60" s="8" t="s">
        <v>1644</v>
      </c>
      <c r="C60" s="8" t="str">
        <f>"公司的主营业务是固体制剂设备的研发、生产和销售。公司的主要产品是粉体工艺设备系列、固体制剂设备系列、中药提取设备系列、流体工艺设备系列、智能仓储物流系统。"&amp;CHAR(10)&amp;Basic_Fundamental_Information_Constructure(F60)&amp;CHAR(10)&amp;Basic_Fundamental_Information_Concatenate("口服固体制剂设备及智能工厂业务 3.26亿 66.04% 75.63% 38.24%
生物及无菌制剂用水设备及配液系统工程业务 1.36亿 27.44% 21.81% 26.54%
其他业务 3217.77万 6.52% 2.56% 13.11%")</f>
        <v>公司的主营业务是固体制剂设备的研发、生产和销售。公司的主要产品是粉体工艺设备系列、固体制剂设备系列、中药提取设备系列、流体工艺设备系列、智能仓储物流系统。
市值14.833148亿, 利润-2343.35万; PE; 平均PE69.58; 平均PEG5.05, PB1.47; ROIC4.79%; ROE1.3%; 股利率0%; 毛利28.1833%; 净利-.6533%; 上一年度营收增-5.08%, 利润增68.84%; 当季营收增9.5%, 利润增-172.85%; 过往5年营收增13.78%, 利润增-7.95%
Income profile:
口服固体制剂设备及智能工厂业务 3.26亿 66.04% 75.63% 38.24%
生物及无菌制剂用水设备及配液系统工程业务 1.36亿 27.44% 21.81% 26.54%
其他业务 3217.77万 6.52% 2.56% 13.11%</v>
      </c>
      <c r="D60" t="s">
        <v>609</v>
      </c>
      <c r="E60" t="s">
        <v>610</v>
      </c>
      <c r="F60">
        <v>2.98</v>
      </c>
      <c r="G60">
        <v>6.43</v>
      </c>
      <c r="H60" t="s">
        <v>3412</v>
      </c>
      <c r="I60">
        <v>1483314800</v>
      </c>
      <c r="K60">
        <v>1.47</v>
      </c>
      <c r="L60" t="s">
        <v>101</v>
      </c>
      <c r="M60" t="s">
        <v>2178</v>
      </c>
      <c r="N60" t="s">
        <v>924</v>
      </c>
      <c r="O60" t="s">
        <v>614</v>
      </c>
      <c r="P60">
        <v>9.5399999999999991</v>
      </c>
      <c r="Q60" t="s">
        <v>316</v>
      </c>
      <c r="R60">
        <v>-5987478</v>
      </c>
      <c r="S60" s="6">
        <v>-1.728</v>
      </c>
      <c r="T60" t="s">
        <v>3413</v>
      </c>
      <c r="U60">
        <v>472910650</v>
      </c>
      <c r="V60">
        <v>497756640</v>
      </c>
      <c r="W60">
        <v>2.4500000000000002</v>
      </c>
      <c r="X60">
        <v>0.09</v>
      </c>
      <c r="Y60">
        <v>-4.12</v>
      </c>
      <c r="Z60" t="s">
        <v>343</v>
      </c>
      <c r="AA60" t="s">
        <v>139</v>
      </c>
      <c r="AB60" t="s">
        <v>3414</v>
      </c>
      <c r="AC60" t="s">
        <v>3415</v>
      </c>
      <c r="AD60" t="s">
        <v>5</v>
      </c>
      <c r="AE60">
        <v>3351179</v>
      </c>
      <c r="AF60" t="s">
        <v>127</v>
      </c>
      <c r="AG60" t="s">
        <v>3416</v>
      </c>
      <c r="AH60" t="s">
        <v>3417</v>
      </c>
      <c r="AI60" t="s">
        <v>343</v>
      </c>
      <c r="AJ60" t="s">
        <v>3418</v>
      </c>
      <c r="AK60" t="s">
        <v>3419</v>
      </c>
      <c r="AL60" t="s">
        <v>3420</v>
      </c>
      <c r="AM60" t="s">
        <v>5</v>
      </c>
      <c r="AN60" t="s">
        <v>353</v>
      </c>
      <c r="AO60" t="s">
        <v>281</v>
      </c>
      <c r="AP60" t="s">
        <v>3421</v>
      </c>
      <c r="AQ60" t="s">
        <v>559</v>
      </c>
      <c r="AR60" t="s">
        <v>5</v>
      </c>
      <c r="AS60" t="s">
        <v>3422</v>
      </c>
      <c r="AT60" t="s">
        <v>140</v>
      </c>
      <c r="AU60" t="s">
        <v>3423</v>
      </c>
      <c r="AV60" t="s">
        <v>3424</v>
      </c>
      <c r="AW60" t="s">
        <v>3425</v>
      </c>
      <c r="AX60" t="s">
        <v>1148</v>
      </c>
      <c r="AY60" t="s">
        <v>1415</v>
      </c>
      <c r="AZ60" t="s">
        <v>410</v>
      </c>
      <c r="BA60" t="s">
        <v>611</v>
      </c>
      <c r="BB60" t="s">
        <v>623</v>
      </c>
      <c r="BC60" t="s">
        <v>1956</v>
      </c>
      <c r="BD60" t="s">
        <v>1416</v>
      </c>
      <c r="BE60" t="s">
        <v>992</v>
      </c>
      <c r="BF60" t="s">
        <v>612</v>
      </c>
      <c r="BG60" t="s">
        <v>993</v>
      </c>
      <c r="BH60" t="s">
        <v>316</v>
      </c>
      <c r="BI60" t="s">
        <v>388</v>
      </c>
      <c r="BJ60" t="s">
        <v>1148</v>
      </c>
      <c r="BK60" t="s">
        <v>3413</v>
      </c>
      <c r="BL60" t="s">
        <v>3426</v>
      </c>
      <c r="BM60" t="s">
        <v>1956</v>
      </c>
      <c r="BN60">
        <v>2.2599999999999998</v>
      </c>
      <c r="BO60" t="s">
        <v>5</v>
      </c>
      <c r="BP60">
        <v>7.32</v>
      </c>
      <c r="BQ60">
        <v>2.1800000000000002</v>
      </c>
      <c r="BR60">
        <v>-6.94</v>
      </c>
      <c r="BS60">
        <v>8.66</v>
      </c>
      <c r="BT60" t="s">
        <v>1720</v>
      </c>
      <c r="BU60" t="s">
        <v>1537</v>
      </c>
      <c r="BV60">
        <v>28.8</v>
      </c>
      <c r="BW60">
        <v>26.21</v>
      </c>
      <c r="BX60">
        <v>29.54</v>
      </c>
      <c r="BY60">
        <v>-2.67</v>
      </c>
      <c r="BZ60">
        <v>-7.56</v>
      </c>
      <c r="CA60">
        <v>8.27</v>
      </c>
      <c r="CB60">
        <v>3.47</v>
      </c>
      <c r="CC60">
        <v>-12.61</v>
      </c>
      <c r="CD60" t="s">
        <v>3427</v>
      </c>
      <c r="CE60" t="s">
        <v>1618</v>
      </c>
      <c r="CF60" s="10">
        <v>9.5000000000000001E-2</v>
      </c>
      <c r="CG60" s="11">
        <v>-1.7284834105924007</v>
      </c>
      <c r="CH60" s="10">
        <v>-5.0770681351423264E-2</v>
      </c>
      <c r="CI60" s="10">
        <v>4.0566097944974899E-2</v>
      </c>
      <c r="CJ60" s="10">
        <v>5.2631579339504242E-2</v>
      </c>
      <c r="CK60" s="10">
        <v>0.43243244290351868</v>
      </c>
      <c r="CL60" s="10">
        <v>0.21416234970092773</v>
      </c>
      <c r="CM60" s="11">
        <v>0.68839013576507568</v>
      </c>
      <c r="CN60" s="11">
        <v>-2.0204076766967773</v>
      </c>
      <c r="CO60" s="11">
        <v>8.5293471813201904E-2</v>
      </c>
      <c r="CP60" s="11">
        <v>0.32332772016525269</v>
      </c>
      <c r="CQ60" s="11">
        <v>0.52573257684707642</v>
      </c>
      <c r="CR60">
        <v>69.576747629474951</v>
      </c>
      <c r="CS60">
        <v>5.048951193340093</v>
      </c>
      <c r="CT60">
        <v>0</v>
      </c>
      <c r="CU60" s="10">
        <v>0.13780435770750046</v>
      </c>
      <c r="CV60" s="11">
        <v>-7.9532754421234128E-2</v>
      </c>
      <c r="CW60">
        <v>0.06</v>
      </c>
      <c r="CX60" t="e">
        <v>#VALUE!</v>
      </c>
      <c r="CY60" t="s">
        <v>1552</v>
      </c>
      <c r="CZ60">
        <v>0.13780435770750046</v>
      </c>
      <c r="DA60" t="e">
        <v>#VALUE!</v>
      </c>
      <c r="DB60" t="s">
        <v>1549</v>
      </c>
      <c r="DC60">
        <v>0.13091413982212544</v>
      </c>
      <c r="DD60" t="e">
        <v>#VALUE!</v>
      </c>
      <c r="DE60" t="s">
        <v>1549</v>
      </c>
      <c r="DF60">
        <v>0.12126783478260041</v>
      </c>
      <c r="DG60" t="e">
        <v>#VALUE!</v>
      </c>
      <c r="DH60" t="s">
        <v>1549</v>
      </c>
      <c r="DI60">
        <v>0.11024348616600038</v>
      </c>
      <c r="DJ60" t="e">
        <v>#VALUE!</v>
      </c>
      <c r="DK60" t="s">
        <v>1549</v>
      </c>
      <c r="DL60">
        <v>9.6463050395250313E-2</v>
      </c>
      <c r="DM60">
        <v>-23433500</v>
      </c>
      <c r="DN60">
        <v>0.13780435770750046</v>
      </c>
      <c r="DO60">
        <v>1985314800</v>
      </c>
      <c r="DP60">
        <v>443087700</v>
      </c>
      <c r="DQ60">
        <v>1884</v>
      </c>
      <c r="DR60">
        <v>-4.2804357707500462E-2</v>
      </c>
      <c r="DS60">
        <v>-1.6489506561711667</v>
      </c>
      <c r="DT60" s="12">
        <v>-0.22333333333333338</v>
      </c>
      <c r="DU60">
        <v>-1.4816666666666667</v>
      </c>
      <c r="DV60">
        <v>-1.7050000000000001</v>
      </c>
      <c r="DW60">
        <v>6.2157960199004973</v>
      </c>
      <c r="DX60">
        <v>0.60301570996978704</v>
      </c>
      <c r="DY60">
        <v>6.0394940617907444</v>
      </c>
      <c r="DZ60">
        <v>4185</v>
      </c>
      <c r="EA60">
        <v>6.0071491207742538</v>
      </c>
      <c r="EB60">
        <v>6</v>
      </c>
      <c r="EC60">
        <v>0.1217024447931021</v>
      </c>
      <c r="ED60">
        <v>0.66498359519623884</v>
      </c>
      <c r="EE60" s="13">
        <v>-2.0432999999999999</v>
      </c>
      <c r="EF60">
        <v>-2.0329000000000002</v>
      </c>
      <c r="EG60">
        <v>42.183015709969787</v>
      </c>
      <c r="EH60" t="s">
        <v>1852</v>
      </c>
      <c r="EI60">
        <v>0</v>
      </c>
      <c r="EJ60">
        <v>0</v>
      </c>
      <c r="EK60" s="15">
        <v>45470</v>
      </c>
      <c r="EL60" s="16">
        <v>-0.7</v>
      </c>
      <c r="EM60" s="16">
        <v>-4.6100000000000003</v>
      </c>
      <c r="EN60" s="16">
        <v>2.23</v>
      </c>
      <c r="EO60" s="16">
        <v>4.7300000000000004</v>
      </c>
      <c r="EP60" s="16">
        <v>-1.04</v>
      </c>
    </row>
    <row r="61" spans="1:146" ht="96" x14ac:dyDescent="0.25">
      <c r="A61" s="8"/>
      <c r="B61" s="8"/>
      <c r="C61" s="8" t="str">
        <f>""&amp;CHAR(10)&amp;Basic_Fundamental_Information_Constructure(F61)&amp;CHAR(10)&amp;Basic_Fundamental_Information_Concatenate("")</f>
        <v xml:space="preserve">
市值89.776495亿, 利润4.77亿; PE17.85; 平均PE25.9; 平均PEG1.64, PB3.37; ROIC15.9067%; ROE20.4767%; 股利率2.0877%; 毛利32.96%; 净利12.78%; 上一年度营收增11.3%, 利润增17.78%; 当季营收增11.7%, 利润增28.83%; 过往5年营收增15.79%, 利润增26.72%
Income profile:
</v>
      </c>
      <c r="D61" t="s">
        <v>615</v>
      </c>
      <c r="E61" t="s">
        <v>72</v>
      </c>
      <c r="F61">
        <v>19.16</v>
      </c>
      <c r="G61">
        <v>-0.47</v>
      </c>
      <c r="H61" t="s">
        <v>3428</v>
      </c>
      <c r="I61">
        <v>8977649500</v>
      </c>
      <c r="J61">
        <v>17.850000000000001</v>
      </c>
      <c r="K61">
        <v>3.37</v>
      </c>
      <c r="L61" t="s">
        <v>101</v>
      </c>
      <c r="M61" t="s">
        <v>3429</v>
      </c>
      <c r="N61" t="s">
        <v>3430</v>
      </c>
      <c r="O61" t="s">
        <v>2260</v>
      </c>
      <c r="P61">
        <v>11.72</v>
      </c>
      <c r="Q61" t="s">
        <v>3431</v>
      </c>
      <c r="R61">
        <v>115913380</v>
      </c>
      <c r="S61" s="6">
        <v>0.2883</v>
      </c>
      <c r="T61" t="s">
        <v>1692</v>
      </c>
      <c r="U61">
        <v>424050520</v>
      </c>
      <c r="V61">
        <v>468562080</v>
      </c>
      <c r="W61">
        <v>2.34</v>
      </c>
      <c r="X61">
        <v>0.15</v>
      </c>
      <c r="Y61">
        <v>12.37</v>
      </c>
      <c r="Z61" t="s">
        <v>1613</v>
      </c>
      <c r="AA61" t="s">
        <v>1617</v>
      </c>
      <c r="AB61" t="s">
        <v>3432</v>
      </c>
      <c r="AC61" t="s">
        <v>3433</v>
      </c>
      <c r="AD61" t="s">
        <v>5</v>
      </c>
      <c r="AE61">
        <v>6205967</v>
      </c>
      <c r="AF61" t="s">
        <v>3434</v>
      </c>
      <c r="AG61" t="s">
        <v>3435</v>
      </c>
      <c r="AH61" t="s">
        <v>3436</v>
      </c>
      <c r="AI61" t="s">
        <v>125</v>
      </c>
      <c r="AJ61" t="s">
        <v>3437</v>
      </c>
      <c r="AK61" t="s">
        <v>3438</v>
      </c>
      <c r="AL61" t="s">
        <v>3439</v>
      </c>
      <c r="AM61" t="s">
        <v>5</v>
      </c>
      <c r="AN61" t="s">
        <v>3440</v>
      </c>
      <c r="AO61" t="s">
        <v>508</v>
      </c>
      <c r="AP61" t="s">
        <v>532</v>
      </c>
      <c r="AQ61" t="s">
        <v>1830</v>
      </c>
      <c r="AR61" t="s">
        <v>5</v>
      </c>
      <c r="AS61" t="s">
        <v>3441</v>
      </c>
      <c r="AT61" t="s">
        <v>850</v>
      </c>
      <c r="AU61" t="s">
        <v>2207</v>
      </c>
      <c r="AV61" t="s">
        <v>3442</v>
      </c>
      <c r="AW61" t="s">
        <v>3443</v>
      </c>
      <c r="AX61" t="s">
        <v>1957</v>
      </c>
      <c r="AY61" t="s">
        <v>1417</v>
      </c>
      <c r="AZ61" t="s">
        <v>994</v>
      </c>
      <c r="BA61" t="s">
        <v>616</v>
      </c>
      <c r="BB61" t="s">
        <v>996</v>
      </c>
      <c r="BC61" t="s">
        <v>810</v>
      </c>
      <c r="BD61" t="s">
        <v>1017</v>
      </c>
      <c r="BE61" t="s">
        <v>719</v>
      </c>
      <c r="BF61" t="s">
        <v>361</v>
      </c>
      <c r="BG61" t="s">
        <v>218</v>
      </c>
      <c r="BH61" t="s">
        <v>3431</v>
      </c>
      <c r="BI61" t="s">
        <v>1958</v>
      </c>
      <c r="BJ61" t="s">
        <v>1957</v>
      </c>
      <c r="BK61" t="s">
        <v>1692</v>
      </c>
      <c r="BL61" t="s">
        <v>3444</v>
      </c>
      <c r="BM61" t="s">
        <v>810</v>
      </c>
      <c r="BN61">
        <v>10.54</v>
      </c>
      <c r="BO61">
        <v>14.69</v>
      </c>
      <c r="BP61">
        <v>22.49</v>
      </c>
      <c r="BQ61">
        <v>15.37</v>
      </c>
      <c r="BR61">
        <v>17.940000000000001</v>
      </c>
      <c r="BS61">
        <v>28.12</v>
      </c>
      <c r="BT61" t="s">
        <v>1728</v>
      </c>
      <c r="BU61" t="s">
        <v>1537</v>
      </c>
      <c r="BV61">
        <v>33.25</v>
      </c>
      <c r="BW61">
        <v>31.12</v>
      </c>
      <c r="BX61">
        <v>34.51</v>
      </c>
      <c r="BY61">
        <v>12</v>
      </c>
      <c r="BZ61">
        <v>11.46</v>
      </c>
      <c r="CA61">
        <v>14.88</v>
      </c>
      <c r="CB61">
        <v>-7.8</v>
      </c>
      <c r="CC61">
        <v>-17.84</v>
      </c>
      <c r="CD61" t="s">
        <v>3445</v>
      </c>
      <c r="CE61" t="s">
        <v>287</v>
      </c>
      <c r="CF61" s="10">
        <v>0.11695906432748536</v>
      </c>
      <c r="CG61" s="11">
        <v>0.28831866590495331</v>
      </c>
      <c r="CH61" s="10">
        <v>0.11304347962141037</v>
      </c>
      <c r="CI61" s="10">
        <v>4.1607718914747238E-2</v>
      </c>
      <c r="CJ61" s="10">
        <v>0.29985275864601135</v>
      </c>
      <c r="CK61" s="10">
        <v>0.28571435809135437</v>
      </c>
      <c r="CL61" s="10">
        <v>4.9131546169519424E-2</v>
      </c>
      <c r="CM61" s="11">
        <v>0.17777778208255768</v>
      </c>
      <c r="CN61" s="11">
        <v>-0.21511627733707428</v>
      </c>
      <c r="CO61" s="11">
        <v>0.64331209659576416</v>
      </c>
      <c r="CP61" s="11">
        <v>0.62694299221038818</v>
      </c>
      <c r="CQ61" s="11">
        <v>0.10285714268684387</v>
      </c>
      <c r="CR61">
        <v>25.897065865384615</v>
      </c>
      <c r="CS61">
        <v>1.6404047894580693</v>
      </c>
      <c r="CT61">
        <v>2.0876826722338206</v>
      </c>
      <c r="CU61" s="10">
        <v>0.15786997228860855</v>
      </c>
      <c r="CV61" s="11">
        <v>0.26715474724769595</v>
      </c>
      <c r="CW61">
        <v>0.06</v>
      </c>
      <c r="CX61">
        <v>18.922964362669298</v>
      </c>
      <c r="CY61">
        <v>521041487.52987373</v>
      </c>
      <c r="CZ61">
        <v>0.15786997228860855</v>
      </c>
      <c r="DA61">
        <v>5.8411085332255954</v>
      </c>
      <c r="DB61">
        <v>1687975740.2068462</v>
      </c>
      <c r="DC61">
        <v>0.14997647367417813</v>
      </c>
      <c r="DD61">
        <v>2.6592997919820056</v>
      </c>
      <c r="DE61">
        <v>3707611127.4582901</v>
      </c>
      <c r="DF61">
        <v>0.13892557561397553</v>
      </c>
      <c r="DG61">
        <v>1.4583561830806751</v>
      </c>
      <c r="DH61">
        <v>6760796583.4328499</v>
      </c>
      <c r="DI61">
        <v>0.12629597783088684</v>
      </c>
      <c r="DJ61">
        <v>0.61165933131876593</v>
      </c>
      <c r="DK61">
        <v>16119511295.188023</v>
      </c>
      <c r="DL61">
        <v>0.11050898060202598</v>
      </c>
      <c r="DM61">
        <v>476999999.99999994</v>
      </c>
      <c r="DN61">
        <v>0.15786997228860855</v>
      </c>
      <c r="DO61">
        <v>9859649500</v>
      </c>
      <c r="DP61">
        <v>1584737400</v>
      </c>
      <c r="DQ61">
        <v>1887</v>
      </c>
      <c r="DR61">
        <v>-4.0910907961123191E-2</v>
      </c>
      <c r="DS61">
        <v>2.1163918657257363E-2</v>
      </c>
      <c r="DT61" s="12">
        <v>-0.19000000000000003</v>
      </c>
      <c r="DU61">
        <v>0.73666666666666669</v>
      </c>
      <c r="DV61">
        <v>0.54666666666666663</v>
      </c>
      <c r="DW61">
        <v>-9.4372197309417043</v>
      </c>
      <c r="DX61">
        <v>0.38055588235294291</v>
      </c>
      <c r="DY61">
        <v>-9.0745703969928773</v>
      </c>
      <c r="DZ61">
        <v>641</v>
      </c>
      <c r="EA61">
        <v>-9.0652162630452384</v>
      </c>
      <c r="EB61">
        <v>9</v>
      </c>
      <c r="EC61">
        <v>6.187974067385052E-2</v>
      </c>
      <c r="ED61">
        <v>0.36281211659296031</v>
      </c>
      <c r="EE61" s="13">
        <v>3.0809099999999998</v>
      </c>
      <c r="EF61">
        <v>3.1064099999999999</v>
      </c>
      <c r="EG61">
        <v>21.170555882352943</v>
      </c>
      <c r="EH61" t="s">
        <v>1848</v>
      </c>
      <c r="EI61">
        <v>0</v>
      </c>
      <c r="EJ61">
        <v>1</v>
      </c>
      <c r="EK61" s="15">
        <v>45470</v>
      </c>
      <c r="EL61" s="16">
        <v>-0.47</v>
      </c>
      <c r="EM61" s="16">
        <v>-3.15</v>
      </c>
      <c r="EN61" s="16">
        <v>1.36</v>
      </c>
      <c r="EO61" s="16">
        <v>1.1499999999999999</v>
      </c>
      <c r="EP61" s="16">
        <v>-2.5499999999999998</v>
      </c>
    </row>
    <row r="62" spans="1:146" ht="96" x14ac:dyDescent="0.25">
      <c r="A62" s="8"/>
      <c r="B62" s="8"/>
      <c r="C62" s="8" t="str">
        <f>""&amp;CHAR(10)&amp;Basic_Fundamental_Information_Constructure(F62)&amp;CHAR(10)&amp;Basic_Fundamental_Information_Concatenate("")</f>
        <v xml:space="preserve">
市值32.090769亿, 利润-7019.73万; PE; 平均PE-23.44; 平均PEG-.9, PB2.67; ROIC1.87%; ROE-4.1833%; 股利率0%; 毛利22.5433%; 净利-8.1833%; 上一年度营收增31.09%, 利润增48.38%; 当季营收增-68.18%, 利润增-91.99%; 过往5年营收增26.11%, 利润增-398.67%
Income profile:
</v>
      </c>
      <c r="D62" t="s">
        <v>626</v>
      </c>
      <c r="E62" t="s">
        <v>75</v>
      </c>
      <c r="F62">
        <v>7.94</v>
      </c>
      <c r="G62">
        <v>1.28</v>
      </c>
      <c r="H62" t="s">
        <v>3446</v>
      </c>
      <c r="I62">
        <v>3209076900</v>
      </c>
      <c r="K62">
        <v>2.67</v>
      </c>
      <c r="L62" t="s">
        <v>101</v>
      </c>
      <c r="M62" t="s">
        <v>2017</v>
      </c>
      <c r="N62" t="s">
        <v>912</v>
      </c>
      <c r="O62" t="s">
        <v>3447</v>
      </c>
      <c r="P62">
        <v>-68.239999999999995</v>
      </c>
      <c r="Q62" t="s">
        <v>2047</v>
      </c>
      <c r="R62">
        <v>-20850020</v>
      </c>
      <c r="S62" s="6">
        <v>-0.91990000000000005</v>
      </c>
      <c r="T62" t="s">
        <v>3448</v>
      </c>
      <c r="U62">
        <v>366551990</v>
      </c>
      <c r="V62">
        <v>404165860</v>
      </c>
      <c r="W62">
        <v>1.87</v>
      </c>
      <c r="X62">
        <v>0.02</v>
      </c>
      <c r="Y62">
        <v>-47.39</v>
      </c>
      <c r="Z62" t="s">
        <v>3449</v>
      </c>
      <c r="AA62" t="s">
        <v>3450</v>
      </c>
      <c r="AB62" t="s">
        <v>3451</v>
      </c>
      <c r="AC62" t="s">
        <v>3452</v>
      </c>
      <c r="AD62" t="s">
        <v>5</v>
      </c>
      <c r="AE62">
        <v>2576158</v>
      </c>
      <c r="AF62" t="s">
        <v>3453</v>
      </c>
      <c r="AG62" t="s">
        <v>3454</v>
      </c>
      <c r="AH62" t="s">
        <v>3455</v>
      </c>
      <c r="AI62" t="s">
        <v>269</v>
      </c>
      <c r="AJ62" t="s">
        <v>3456</v>
      </c>
      <c r="AK62" t="s">
        <v>3457</v>
      </c>
      <c r="AL62" t="s">
        <v>3458</v>
      </c>
      <c r="AM62" t="s">
        <v>5</v>
      </c>
      <c r="AN62" t="s">
        <v>256</v>
      </c>
      <c r="AO62" t="s">
        <v>303</v>
      </c>
      <c r="AP62" t="s">
        <v>3459</v>
      </c>
      <c r="AQ62" t="s">
        <v>686</v>
      </c>
      <c r="AR62" t="s">
        <v>3460</v>
      </c>
      <c r="AS62" t="s">
        <v>1894</v>
      </c>
      <c r="AT62" t="s">
        <v>3461</v>
      </c>
      <c r="AU62" t="s">
        <v>3462</v>
      </c>
      <c r="AV62" t="s">
        <v>3463</v>
      </c>
      <c r="AW62" t="s">
        <v>3464</v>
      </c>
      <c r="AX62" t="s">
        <v>1959</v>
      </c>
      <c r="AY62" t="s">
        <v>1418</v>
      </c>
      <c r="AZ62" t="s">
        <v>119</v>
      </c>
      <c r="BA62" t="s">
        <v>627</v>
      </c>
      <c r="BB62" t="s">
        <v>618</v>
      </c>
      <c r="BC62" t="s">
        <v>1899</v>
      </c>
      <c r="BD62" t="s">
        <v>1419</v>
      </c>
      <c r="BE62" t="s">
        <v>950</v>
      </c>
      <c r="BF62" t="s">
        <v>628</v>
      </c>
      <c r="BG62" t="s">
        <v>999</v>
      </c>
      <c r="BH62" t="s">
        <v>2047</v>
      </c>
      <c r="BI62" t="s">
        <v>141</v>
      </c>
      <c r="BJ62" t="s">
        <v>1959</v>
      </c>
      <c r="BK62" t="s">
        <v>3448</v>
      </c>
      <c r="BL62" t="s">
        <v>3465</v>
      </c>
      <c r="BM62" t="s">
        <v>1899</v>
      </c>
      <c r="BN62" t="s">
        <v>5</v>
      </c>
      <c r="BO62" t="s">
        <v>5</v>
      </c>
      <c r="BP62">
        <v>1.87</v>
      </c>
      <c r="BQ62">
        <v>-1.02</v>
      </c>
      <c r="BR62">
        <v>-12.56</v>
      </c>
      <c r="BS62">
        <v>1.03</v>
      </c>
      <c r="BT62" t="s">
        <v>1720</v>
      </c>
      <c r="BU62" t="s">
        <v>1537</v>
      </c>
      <c r="BV62">
        <v>21.5</v>
      </c>
      <c r="BW62">
        <v>20.55</v>
      </c>
      <c r="BX62">
        <v>25.58</v>
      </c>
      <c r="BY62">
        <v>-6.03</v>
      </c>
      <c r="BZ62">
        <v>-19.91</v>
      </c>
      <c r="CA62">
        <v>1.39</v>
      </c>
      <c r="CB62">
        <v>0.76</v>
      </c>
      <c r="CC62">
        <v>-14.16</v>
      </c>
      <c r="CD62" t="s">
        <v>3466</v>
      </c>
      <c r="CE62" t="s">
        <v>273</v>
      </c>
      <c r="CF62" s="10">
        <v>-0.68179871794871794</v>
      </c>
      <c r="CG62" s="11">
        <v>-0.91985598791919121</v>
      </c>
      <c r="CH62" s="10">
        <v>0.31092438101768494</v>
      </c>
      <c r="CI62" s="10">
        <v>-0.18400000035762787</v>
      </c>
      <c r="CJ62" s="10">
        <v>0.83054393529891968</v>
      </c>
      <c r="CK62" s="10">
        <v>-0.11970534175634384</v>
      </c>
      <c r="CL62" s="10">
        <v>0.4675675630569458</v>
      </c>
      <c r="CM62" s="11">
        <v>0.48384341597557068</v>
      </c>
      <c r="CN62" s="11">
        <v>-13.459574699401855</v>
      </c>
      <c r="CO62" s="11">
        <v>1.0649720430374146</v>
      </c>
      <c r="CP62" s="11">
        <v>-9.0662202835083008</v>
      </c>
      <c r="CQ62" s="11">
        <v>1.0434813499450684</v>
      </c>
      <c r="CR62">
        <v>-23.439476859579791</v>
      </c>
      <c r="CS62">
        <v>-0.8978368386596095</v>
      </c>
      <c r="CT62">
        <v>0</v>
      </c>
      <c r="CU62" s="10">
        <v>0.26106610745191572</v>
      </c>
      <c r="CV62" s="11">
        <v>-3.9866996347904204</v>
      </c>
      <c r="CW62">
        <v>0.06</v>
      </c>
      <c r="CX62" t="e">
        <v>#VALUE!</v>
      </c>
      <c r="CY62" t="s">
        <v>1552</v>
      </c>
      <c r="CZ62">
        <v>0.26106610745191572</v>
      </c>
      <c r="DA62" t="e">
        <v>#VALUE!</v>
      </c>
      <c r="DB62" t="s">
        <v>1549</v>
      </c>
      <c r="DC62">
        <v>0.24801280207931992</v>
      </c>
      <c r="DD62" t="e">
        <v>#VALUE!</v>
      </c>
      <c r="DE62" t="s">
        <v>1549</v>
      </c>
      <c r="DF62">
        <v>0.22973817455768583</v>
      </c>
      <c r="DG62" t="e">
        <v>#VALUE!</v>
      </c>
      <c r="DH62" t="s">
        <v>1549</v>
      </c>
      <c r="DI62">
        <v>0.20885288596153259</v>
      </c>
      <c r="DJ62" t="e">
        <v>#VALUE!</v>
      </c>
      <c r="DK62" t="s">
        <v>1549</v>
      </c>
      <c r="DL62">
        <v>0.18274627521634099</v>
      </c>
      <c r="DM62">
        <v>-70197300</v>
      </c>
      <c r="DN62">
        <v>0.26106610745191572</v>
      </c>
      <c r="DO62">
        <v>3059076900</v>
      </c>
      <c r="DP62">
        <v>134724390</v>
      </c>
      <c r="DQ62">
        <v>1942</v>
      </c>
      <c r="DR62">
        <v>-0.94286482540063365</v>
      </c>
      <c r="DS62">
        <v>3.066843646871229</v>
      </c>
      <c r="DT62" s="12">
        <v>-5.6666666666666643E-2</v>
      </c>
      <c r="DU62">
        <v>-1.8283333333333334</v>
      </c>
      <c r="DV62">
        <v>-1.885</v>
      </c>
      <c r="DW62">
        <v>-2.1415999999999999</v>
      </c>
      <c r="DX62">
        <v>0.29279316239316372</v>
      </c>
      <c r="DY62">
        <v>-2.0159715117948718</v>
      </c>
      <c r="DZ62">
        <v>4318</v>
      </c>
      <c r="EA62">
        <v>-2.0024754280511816</v>
      </c>
      <c r="EB62">
        <v>2</v>
      </c>
      <c r="EC62">
        <v>3.2651941457895531E-2</v>
      </c>
      <c r="ED62">
        <v>0.28948511385894887</v>
      </c>
      <c r="EE62" s="13">
        <v>-5.0095000000000001</v>
      </c>
      <c r="EF62">
        <v>-5.0165100000000002</v>
      </c>
      <c r="EG62">
        <v>18.112793162393164</v>
      </c>
      <c r="EH62" t="s">
        <v>2193</v>
      </c>
      <c r="EI62">
        <v>0</v>
      </c>
      <c r="EJ62">
        <v>0</v>
      </c>
      <c r="EK62" s="15">
        <v>45470</v>
      </c>
      <c r="EL62" s="16">
        <v>-1.23</v>
      </c>
      <c r="EM62" s="16">
        <v>-3.99</v>
      </c>
      <c r="EN62" s="16">
        <v>-0.52</v>
      </c>
      <c r="EO62" s="16">
        <v>5.22</v>
      </c>
      <c r="EP62" s="16">
        <v>-2.6</v>
      </c>
    </row>
    <row r="63" spans="1:146" ht="96" x14ac:dyDescent="0.25">
      <c r="A63" s="8"/>
      <c r="B63" s="8"/>
      <c r="C63" s="8" t="str">
        <f>""&amp;CHAR(10)&amp;Basic_Fundamental_Information_Constructure(F63)&amp;CHAR(10)&amp;Basic_Fundamental_Information_Concatenate("")</f>
        <v xml:space="preserve">
市值11.9462242亿, 利润-2.02亿; PE; 平均PE-9.04; 平均PEG-1.14, PB1.98; ROIC0%; ROE-17.06%; 股利率0%; 毛利27.1667%; 净利-51.25%; 上一年度营收增-58.73%, 利润增-166.59%; 当季营收增112.3%, 利润增6.97%; 过往5年营收增-7.92%, 利润增-156.94%
Income profile:
</v>
      </c>
      <c r="D63" t="s">
        <v>632</v>
      </c>
      <c r="E63" t="s">
        <v>33</v>
      </c>
      <c r="F63">
        <v>4.34</v>
      </c>
      <c r="G63">
        <v>2.84</v>
      </c>
      <c r="H63" t="s">
        <v>3467</v>
      </c>
      <c r="I63">
        <v>1194622420</v>
      </c>
      <c r="K63">
        <v>1.98</v>
      </c>
      <c r="L63" t="s">
        <v>101</v>
      </c>
      <c r="M63" t="s">
        <v>924</v>
      </c>
      <c r="N63" t="s">
        <v>535</v>
      </c>
      <c r="O63" t="s">
        <v>362</v>
      </c>
      <c r="P63">
        <v>112.16</v>
      </c>
      <c r="Q63" t="s">
        <v>404</v>
      </c>
      <c r="R63">
        <v>-12005070</v>
      </c>
      <c r="S63" s="6">
        <v>6.9699999999999998E-2</v>
      </c>
      <c r="T63" t="s">
        <v>3468</v>
      </c>
      <c r="U63">
        <v>251319340</v>
      </c>
      <c r="V63">
        <v>275258620</v>
      </c>
      <c r="W63">
        <v>2.69</v>
      </c>
      <c r="X63">
        <v>0.08</v>
      </c>
      <c r="Y63">
        <v>-10.66</v>
      </c>
      <c r="Z63" t="s">
        <v>146</v>
      </c>
      <c r="AA63" t="s">
        <v>178</v>
      </c>
      <c r="AB63" t="s">
        <v>3469</v>
      </c>
      <c r="AC63" t="s">
        <v>3470</v>
      </c>
      <c r="AD63" t="s">
        <v>5</v>
      </c>
      <c r="AE63">
        <v>2427588</v>
      </c>
      <c r="AF63" t="s">
        <v>3471</v>
      </c>
      <c r="AG63" t="s">
        <v>3472</v>
      </c>
      <c r="AH63" t="s">
        <v>3473</v>
      </c>
      <c r="AI63" t="s">
        <v>3474</v>
      </c>
      <c r="AJ63" t="s">
        <v>3475</v>
      </c>
      <c r="AK63" t="s">
        <v>3476</v>
      </c>
      <c r="AL63" t="s">
        <v>3477</v>
      </c>
      <c r="AM63" t="s">
        <v>5</v>
      </c>
      <c r="AN63" t="s">
        <v>642</v>
      </c>
      <c r="AO63" t="s">
        <v>533</v>
      </c>
      <c r="AP63" t="s">
        <v>3478</v>
      </c>
      <c r="AQ63" t="s">
        <v>439</v>
      </c>
      <c r="AR63" t="s">
        <v>5</v>
      </c>
      <c r="AS63" t="s">
        <v>1592</v>
      </c>
      <c r="AT63" t="s">
        <v>3479</v>
      </c>
      <c r="AU63" t="s">
        <v>3480</v>
      </c>
      <c r="AV63" t="s">
        <v>3481</v>
      </c>
      <c r="AW63" t="s">
        <v>3482</v>
      </c>
      <c r="AX63" t="s">
        <v>168</v>
      </c>
      <c r="AY63" t="s">
        <v>1420</v>
      </c>
      <c r="AZ63" t="s">
        <v>710</v>
      </c>
      <c r="BA63" t="s">
        <v>633</v>
      </c>
      <c r="BB63" t="s">
        <v>789</v>
      </c>
      <c r="BC63" t="s">
        <v>1960</v>
      </c>
      <c r="BD63" t="s">
        <v>1421</v>
      </c>
      <c r="BE63" t="s">
        <v>1000</v>
      </c>
      <c r="BF63" t="s">
        <v>634</v>
      </c>
      <c r="BG63" t="s">
        <v>1001</v>
      </c>
      <c r="BH63" t="s">
        <v>404</v>
      </c>
      <c r="BI63" t="s">
        <v>3483</v>
      </c>
      <c r="BJ63" t="s">
        <v>168</v>
      </c>
      <c r="BK63" t="s">
        <v>3468</v>
      </c>
      <c r="BL63" t="s">
        <v>3484</v>
      </c>
      <c r="BM63" t="s">
        <v>1960</v>
      </c>
      <c r="BN63" t="s">
        <v>5</v>
      </c>
      <c r="BO63" t="s">
        <v>5</v>
      </c>
      <c r="BP63" t="s">
        <v>5</v>
      </c>
      <c r="BQ63">
        <v>-11.69</v>
      </c>
      <c r="BR63">
        <v>-8.9700000000000006</v>
      </c>
      <c r="BS63">
        <v>-30.52</v>
      </c>
      <c r="BT63" t="s">
        <v>1720</v>
      </c>
      <c r="BU63" t="s">
        <v>1537</v>
      </c>
      <c r="BV63">
        <v>17.010000000000002</v>
      </c>
      <c r="BW63">
        <v>32.67</v>
      </c>
      <c r="BX63">
        <v>31.82</v>
      </c>
      <c r="BY63">
        <v>-92.86</v>
      </c>
      <c r="BZ63">
        <v>-17.32</v>
      </c>
      <c r="CA63">
        <v>-43.57</v>
      </c>
      <c r="CB63">
        <v>-2.0299999999999998</v>
      </c>
      <c r="CC63">
        <v>-18.27</v>
      </c>
      <c r="CD63" t="s">
        <v>3485</v>
      </c>
      <c r="CE63" t="s">
        <v>180</v>
      </c>
      <c r="CF63" s="10">
        <v>1.1230420834119645</v>
      </c>
      <c r="CG63" s="11">
        <v>6.9655685490433258E-2</v>
      </c>
      <c r="CH63" s="10">
        <v>-0.58730161190032959</v>
      </c>
      <c r="CI63" s="10">
        <v>-0.17105263471603394</v>
      </c>
      <c r="CJ63" s="10">
        <v>0.54401803016662598</v>
      </c>
      <c r="CK63" s="10">
        <v>-8.8477365672588348E-2</v>
      </c>
      <c r="CL63" s="10">
        <v>-9.3283578753471375E-2</v>
      </c>
      <c r="CM63" s="11">
        <v>-1.6659171581268311</v>
      </c>
      <c r="CN63" s="11">
        <v>0.72546631097793579</v>
      </c>
      <c r="CO63" s="11">
        <v>0.25606468319892883</v>
      </c>
      <c r="CP63" s="11">
        <v>-7.0395026206970215</v>
      </c>
      <c r="CQ63" s="11">
        <v>-0.12287783622741699</v>
      </c>
      <c r="CR63">
        <v>-9.0352502773828771</v>
      </c>
      <c r="CS63">
        <v>-1.1405345922456673</v>
      </c>
      <c r="CT63">
        <v>0</v>
      </c>
      <c r="CU63" s="10">
        <v>-7.9219432175159449E-2</v>
      </c>
      <c r="CV63" s="11">
        <v>-1.5693533241748809</v>
      </c>
      <c r="CW63">
        <v>0.06</v>
      </c>
      <c r="CX63" t="e">
        <v>#VALUE!</v>
      </c>
      <c r="CY63" t="s">
        <v>1552</v>
      </c>
      <c r="CZ63">
        <v>-7.9219432175159449E-2</v>
      </c>
      <c r="DA63" t="e">
        <v>#VALUE!</v>
      </c>
      <c r="DB63" t="s">
        <v>1549</v>
      </c>
      <c r="DC63">
        <v>-7.5258460566401467E-2</v>
      </c>
      <c r="DD63" t="e">
        <v>#VALUE!</v>
      </c>
      <c r="DE63" t="s">
        <v>1549</v>
      </c>
      <c r="DF63">
        <v>-6.9713100314140311E-2</v>
      </c>
      <c r="DG63" t="e">
        <v>#VALUE!</v>
      </c>
      <c r="DH63" t="s">
        <v>1549</v>
      </c>
      <c r="DI63">
        <v>-6.3375545740127562E-2</v>
      </c>
      <c r="DJ63" t="e">
        <v>#VALUE!</v>
      </c>
      <c r="DK63" t="s">
        <v>1549</v>
      </c>
      <c r="DL63">
        <v>-5.5453602522611611E-2</v>
      </c>
      <c r="DM63">
        <v>-202000000</v>
      </c>
      <c r="DN63">
        <v>-7.9219432175159449E-2</v>
      </c>
      <c r="DO63">
        <v>1663622420</v>
      </c>
      <c r="DP63">
        <v>128352530</v>
      </c>
      <c r="DQ63">
        <v>1943</v>
      </c>
      <c r="DR63">
        <v>1.2022615155871239</v>
      </c>
      <c r="DS63">
        <v>1.6390090096653143</v>
      </c>
      <c r="DT63" s="12">
        <v>-0.62333333333333341</v>
      </c>
      <c r="DU63">
        <v>-2.0383333333333336</v>
      </c>
      <c r="DV63">
        <v>-2.6616666666666671</v>
      </c>
      <c r="DW63">
        <v>-3.0256726190476191</v>
      </c>
      <c r="DX63">
        <v>0.35245842696629254</v>
      </c>
      <c r="DY63">
        <v>-3.004170733306581</v>
      </c>
      <c r="DZ63">
        <v>4777</v>
      </c>
      <c r="EA63">
        <v>-3.0002717914268282</v>
      </c>
      <c r="EB63">
        <v>3</v>
      </c>
      <c r="EC63">
        <v>0.1050561105043686</v>
      </c>
      <c r="ED63">
        <v>0.6466645803862564</v>
      </c>
      <c r="EE63" s="13">
        <v>-8.0106999999999999</v>
      </c>
      <c r="EF63">
        <v>-8.0140100000000007</v>
      </c>
      <c r="EG63">
        <v>19.162458426966293</v>
      </c>
      <c r="EH63" t="s">
        <v>3486</v>
      </c>
      <c r="EI63">
        <v>0</v>
      </c>
      <c r="EJ63">
        <v>0</v>
      </c>
      <c r="EK63" s="15">
        <v>45470</v>
      </c>
      <c r="EL63" s="16">
        <v>-2</v>
      </c>
      <c r="EM63" s="16">
        <v>-5.68</v>
      </c>
      <c r="EN63" s="16">
        <v>0.48</v>
      </c>
      <c r="EO63" s="16">
        <v>6.71</v>
      </c>
      <c r="EP63" s="16">
        <v>-2.4700000000000002</v>
      </c>
    </row>
    <row r="64" spans="1:146" ht="108" x14ac:dyDescent="0.25">
      <c r="C64" s="8" t="str">
        <f>""&amp;CHAR(10)&amp;Basic_Fundamental_Information_Constructure(F64)&amp;CHAR(10)&amp;Basic_Fundamental_Information_Concatenate("")</f>
        <v xml:space="preserve">
市值52.703971亿, 利润6923.76万; PE84.56; 平均PE77.1; 平均PEG3.34, PB3.7; ROIC6.47%; ROE6.6967%; 股利率.3347%; 毛利53.44%; 净利14.7%; 上一年度营收增7.65%, 利润增6.33%; 当季营收增2.1%, 利润增-31.57%; 过往5年营收增23.11%, 利润增19.73%
Income profile:
</v>
      </c>
      <c r="D64" t="s">
        <v>1825</v>
      </c>
      <c r="E64" t="s">
        <v>1826</v>
      </c>
      <c r="F64">
        <v>14.94</v>
      </c>
      <c r="G64">
        <v>-1.1299999999999999</v>
      </c>
      <c r="H64" t="s">
        <v>3487</v>
      </c>
      <c r="I64">
        <v>5270397100</v>
      </c>
      <c r="J64">
        <v>84.56</v>
      </c>
      <c r="K64">
        <v>3.7</v>
      </c>
      <c r="L64" t="s">
        <v>101</v>
      </c>
      <c r="M64" t="s">
        <v>653</v>
      </c>
      <c r="N64" t="s">
        <v>3488</v>
      </c>
      <c r="O64" t="s">
        <v>551</v>
      </c>
      <c r="P64" s="6">
        <v>1.75</v>
      </c>
      <c r="Q64" t="s">
        <v>1660</v>
      </c>
      <c r="R64">
        <v>14983071</v>
      </c>
      <c r="S64">
        <v>-0.31569999999999998</v>
      </c>
      <c r="T64" t="s">
        <v>3489</v>
      </c>
      <c r="U64">
        <v>247682950</v>
      </c>
      <c r="V64">
        <v>352770890</v>
      </c>
      <c r="W64">
        <v>1.42</v>
      </c>
      <c r="X64">
        <v>7.0000000000000007E-2</v>
      </c>
      <c r="Y64">
        <v>10.5</v>
      </c>
      <c r="Z64" t="s">
        <v>114</v>
      </c>
      <c r="AA64" t="s">
        <v>3490</v>
      </c>
      <c r="AB64" t="s">
        <v>3491</v>
      </c>
      <c r="AC64" t="s">
        <v>3492</v>
      </c>
      <c r="AD64" t="s">
        <v>5</v>
      </c>
      <c r="AE64">
        <v>-504268</v>
      </c>
      <c r="AF64" t="s">
        <v>127</v>
      </c>
      <c r="AG64">
        <v>2457.7600000000002</v>
      </c>
      <c r="AH64" t="s">
        <v>3493</v>
      </c>
      <c r="AI64" t="s">
        <v>1087</v>
      </c>
      <c r="AJ64" t="s">
        <v>3494</v>
      </c>
      <c r="AK64" t="s">
        <v>3495</v>
      </c>
      <c r="AL64" t="s">
        <v>3496</v>
      </c>
      <c r="AM64" t="s">
        <v>5</v>
      </c>
      <c r="AN64" t="s">
        <v>153</v>
      </c>
      <c r="AO64" t="s">
        <v>3497</v>
      </c>
      <c r="AP64" t="s">
        <v>5</v>
      </c>
      <c r="AQ64" t="s">
        <v>3498</v>
      </c>
      <c r="AR64" t="s">
        <v>1961</v>
      </c>
      <c r="AS64" t="s">
        <v>282</v>
      </c>
      <c r="AT64" t="s">
        <v>3499</v>
      </c>
      <c r="AU64" t="s">
        <v>3500</v>
      </c>
      <c r="AV64" t="s">
        <v>3501</v>
      </c>
      <c r="AW64" t="s">
        <v>3502</v>
      </c>
      <c r="AX64" t="s">
        <v>1600</v>
      </c>
      <c r="AY64" t="s">
        <v>1182</v>
      </c>
      <c r="AZ64" t="s">
        <v>440</v>
      </c>
      <c r="BA64" t="s">
        <v>366</v>
      </c>
      <c r="BB64" t="s">
        <v>702</v>
      </c>
      <c r="BC64" t="s">
        <v>3503</v>
      </c>
      <c r="BD64" t="s">
        <v>674</v>
      </c>
      <c r="BE64" t="s">
        <v>1827</v>
      </c>
      <c r="BF64" t="s">
        <v>1828</v>
      </c>
      <c r="BG64" t="s">
        <v>1829</v>
      </c>
      <c r="BH64" t="s">
        <v>1660</v>
      </c>
      <c r="BI64" t="s">
        <v>356</v>
      </c>
      <c r="BJ64" t="s">
        <v>1600</v>
      </c>
      <c r="BK64" t="s">
        <v>3489</v>
      </c>
      <c r="BL64" t="s">
        <v>3504</v>
      </c>
      <c r="BM64" t="s">
        <v>3503</v>
      </c>
      <c r="BN64">
        <v>4.22</v>
      </c>
      <c r="BO64">
        <v>4.54</v>
      </c>
      <c r="BP64">
        <v>10.65</v>
      </c>
      <c r="BQ64">
        <v>3.2</v>
      </c>
      <c r="BR64">
        <v>4.76</v>
      </c>
      <c r="BS64">
        <v>12.13</v>
      </c>
      <c r="BT64" t="s">
        <v>1725</v>
      </c>
      <c r="BU64" t="s">
        <v>1536</v>
      </c>
      <c r="BV64">
        <v>53.62</v>
      </c>
      <c r="BW64">
        <v>53.29</v>
      </c>
      <c r="BX64">
        <v>53.41</v>
      </c>
      <c r="BY64">
        <v>10.5</v>
      </c>
      <c r="BZ64">
        <v>10.99</v>
      </c>
      <c r="CA64">
        <v>22.61</v>
      </c>
      <c r="CB64">
        <v>-5.62</v>
      </c>
      <c r="CC64" s="10">
        <v>-12.48</v>
      </c>
      <c r="CD64" s="11" t="s">
        <v>3505</v>
      </c>
      <c r="CE64" s="10" t="s">
        <v>792</v>
      </c>
      <c r="CF64" s="10">
        <v>2.097902097902098E-2</v>
      </c>
      <c r="CG64" s="10">
        <v>-0.31569464679634451</v>
      </c>
      <c r="CH64" s="10">
        <v>7.6547227799892426E-2</v>
      </c>
      <c r="CI64" s="10">
        <v>0.15849056839942932</v>
      </c>
      <c r="CJ64" s="11">
        <v>0.70418006181716919</v>
      </c>
      <c r="CK64" s="11">
        <v>4.7138046473264694E-2</v>
      </c>
      <c r="CL64" s="11">
        <v>0.16929133236408234</v>
      </c>
      <c r="CM64" s="11">
        <v>6.3320763409137726E-2</v>
      </c>
      <c r="CN64" s="11">
        <v>-0.44818219542503357</v>
      </c>
      <c r="CO64">
        <v>0.98814862966537476</v>
      </c>
      <c r="CP64">
        <v>5.7572338730096817E-2</v>
      </c>
      <c r="CQ64">
        <v>0.3257119357585907</v>
      </c>
      <c r="CR64" s="10">
        <v>77.098239454647853</v>
      </c>
      <c r="CS64" s="11">
        <v>3.3357168604730094</v>
      </c>
      <c r="CT64">
        <v>0.33467202141900937</v>
      </c>
      <c r="CU64">
        <v>0.2311294473707676</v>
      </c>
      <c r="CV64">
        <v>0.19731429442763329</v>
      </c>
      <c r="CW64">
        <v>0.06</v>
      </c>
      <c r="CX64">
        <v>55.193291728900242</v>
      </c>
      <c r="CY64">
        <v>80415517.193658739</v>
      </c>
      <c r="CZ64">
        <v>0.2311294473707676</v>
      </c>
      <c r="DA64">
        <v>16.036769860708297</v>
      </c>
      <c r="DB64">
        <v>276763783.38972867</v>
      </c>
      <c r="DC64">
        <v>0.21957297500222922</v>
      </c>
      <c r="DD64">
        <v>6.6946948451611554</v>
      </c>
      <c r="DE64">
        <v>662972279.19328094</v>
      </c>
      <c r="DF64">
        <v>0.20339391368627549</v>
      </c>
      <c r="DG64">
        <v>3.3022395089311729</v>
      </c>
      <c r="DH64">
        <v>1344056688.8004329</v>
      </c>
      <c r="DI64">
        <v>0.18490355789661408</v>
      </c>
      <c r="DJ64">
        <v>1.0681646435478642</v>
      </c>
      <c r="DK64">
        <v>4155161965.7228589</v>
      </c>
      <c r="DL64">
        <v>0.1617906131595373</v>
      </c>
      <c r="DM64">
        <v>69237600</v>
      </c>
      <c r="DN64">
        <v>0.2311294473707676</v>
      </c>
      <c r="DO64">
        <v>4438397100</v>
      </c>
      <c r="DP64">
        <v>1235223600</v>
      </c>
      <c r="DQ64" s="12">
        <v>1951</v>
      </c>
      <c r="DR64">
        <v>-0.21015042639174661</v>
      </c>
      <c r="DS64">
        <v>-0.51300894122397778</v>
      </c>
      <c r="DT64">
        <v>7.6666666666666661E-2</v>
      </c>
      <c r="DU64">
        <v>-3.3333333333332989E-3</v>
      </c>
      <c r="DV64">
        <v>7.3333333333333361E-2</v>
      </c>
      <c r="DW64">
        <v>-8.4503205128205128</v>
      </c>
      <c r="DX64">
        <v>0.36771623036649087</v>
      </c>
      <c r="DY64">
        <v>-8.0349972127131153</v>
      </c>
      <c r="DZ64">
        <v>1542</v>
      </c>
      <c r="EA64">
        <v>-8.0244364099726795</v>
      </c>
      <c r="EB64" s="13">
        <v>8</v>
      </c>
      <c r="EC64" s="13">
        <v>4.2077734928752206E-2</v>
      </c>
      <c r="ED64">
        <v>0.54142789389453305</v>
      </c>
      <c r="EE64">
        <v>1.1184099999999999</v>
      </c>
      <c r="EF64">
        <v>2.2410000000000003E-2</v>
      </c>
      <c r="EG64">
        <v>29.077716230366491</v>
      </c>
      <c r="EH64" s="15">
        <v>-1</v>
      </c>
      <c r="EI64" s="16">
        <v>0</v>
      </c>
      <c r="EJ64" s="16">
        <v>0</v>
      </c>
      <c r="EK64" s="16">
        <v>45470</v>
      </c>
      <c r="EL64" s="16">
        <v>-4.4400000000000004</v>
      </c>
      <c r="EM64" s="16">
        <v>-8.85</v>
      </c>
      <c r="EN64" s="16">
        <v>-1.49</v>
      </c>
      <c r="EO64" s="16">
        <v>2.97</v>
      </c>
      <c r="EP64" s="16">
        <v>-5.4</v>
      </c>
    </row>
    <row r="65" spans="1:146" ht="96" x14ac:dyDescent="0.25">
      <c r="A65" s="8"/>
      <c r="B65" s="8"/>
      <c r="C65" s="8" t="str">
        <f>""&amp;CHAR(10)&amp;Basic_Fundamental_Information_Constructure(F65)&amp;CHAR(10)&amp;Basic_Fundamental_Information_Concatenate("")</f>
        <v xml:space="preserve">
市值31.410077亿, 利润-3182.57万; PE; 平均PE36.82; 平均PEG3.31, PB2.23; ROIC15.595%; ROE10.1633%; 股利率0%; 毛利23.67%; 净利5.8933%; 上一年度营收增-69.91%, 利润增-111.09%; 当季营收增18.54%, 利润增197.29%; 过往5年营收增11.13%, 利润增51.49%
Income profile:
</v>
      </c>
      <c r="D65" t="s">
        <v>637</v>
      </c>
      <c r="E65" t="s">
        <v>57</v>
      </c>
      <c r="F65">
        <v>10.29</v>
      </c>
      <c r="G65">
        <v>1.58</v>
      </c>
      <c r="H65" t="s">
        <v>3506</v>
      </c>
      <c r="I65">
        <v>3141007700</v>
      </c>
      <c r="K65">
        <v>2.23</v>
      </c>
      <c r="L65" t="s">
        <v>101</v>
      </c>
      <c r="M65" t="s">
        <v>2908</v>
      </c>
      <c r="N65" t="s">
        <v>3507</v>
      </c>
      <c r="O65" t="s">
        <v>274</v>
      </c>
      <c r="P65">
        <v>18.53</v>
      </c>
      <c r="Q65" t="s">
        <v>811</v>
      </c>
      <c r="R65">
        <v>5623478</v>
      </c>
      <c r="S65" s="6">
        <v>1.9730000000000001</v>
      </c>
      <c r="T65" t="s">
        <v>3508</v>
      </c>
      <c r="U65">
        <v>269256810</v>
      </c>
      <c r="V65">
        <v>305248560</v>
      </c>
      <c r="W65">
        <v>1.24</v>
      </c>
      <c r="X65">
        <v>0.1</v>
      </c>
      <c r="Y65">
        <v>3.28</v>
      </c>
      <c r="Z65" t="s">
        <v>433</v>
      </c>
      <c r="AA65" t="s">
        <v>172</v>
      </c>
      <c r="AB65" t="s">
        <v>3509</v>
      </c>
      <c r="AC65" t="s">
        <v>3510</v>
      </c>
      <c r="AD65" t="s">
        <v>5</v>
      </c>
      <c r="AE65">
        <v>465882</v>
      </c>
      <c r="AF65" t="s">
        <v>3511</v>
      </c>
      <c r="AG65">
        <v>2079.09</v>
      </c>
      <c r="AH65" t="s">
        <v>3512</v>
      </c>
      <c r="AI65" t="s">
        <v>107</v>
      </c>
      <c r="AJ65" t="s">
        <v>3513</v>
      </c>
      <c r="AK65" t="s">
        <v>3514</v>
      </c>
      <c r="AL65" t="s">
        <v>3515</v>
      </c>
      <c r="AM65" t="s">
        <v>5</v>
      </c>
      <c r="AN65" t="s">
        <v>3516</v>
      </c>
      <c r="AO65" t="s">
        <v>3517</v>
      </c>
      <c r="AP65" t="s">
        <v>3518</v>
      </c>
      <c r="AQ65" t="s">
        <v>298</v>
      </c>
      <c r="AR65" t="s">
        <v>5</v>
      </c>
      <c r="AS65" t="s">
        <v>946</v>
      </c>
      <c r="AT65" t="s">
        <v>5</v>
      </c>
      <c r="AU65" t="s">
        <v>3519</v>
      </c>
      <c r="AV65" t="s">
        <v>3520</v>
      </c>
      <c r="AW65" t="s">
        <v>3521</v>
      </c>
      <c r="AX65" t="s">
        <v>1886</v>
      </c>
      <c r="AY65" t="s">
        <v>1422</v>
      </c>
      <c r="AZ65" t="s">
        <v>1003</v>
      </c>
      <c r="BA65" t="s">
        <v>640</v>
      </c>
      <c r="BB65" t="s">
        <v>818</v>
      </c>
      <c r="BC65" t="s">
        <v>1929</v>
      </c>
      <c r="BD65" t="s">
        <v>1423</v>
      </c>
      <c r="BE65" t="s">
        <v>1004</v>
      </c>
      <c r="BF65" t="s">
        <v>641</v>
      </c>
      <c r="BG65" t="s">
        <v>1005</v>
      </c>
      <c r="BH65" t="s">
        <v>811</v>
      </c>
      <c r="BI65" t="s">
        <v>305</v>
      </c>
      <c r="BJ65" t="s">
        <v>1886</v>
      </c>
      <c r="BK65" t="s">
        <v>3508</v>
      </c>
      <c r="BL65" t="s">
        <v>3522</v>
      </c>
      <c r="BM65" t="s">
        <v>1929</v>
      </c>
      <c r="BN65" t="s">
        <v>5</v>
      </c>
      <c r="BO65">
        <v>22.68</v>
      </c>
      <c r="BP65">
        <v>8.51</v>
      </c>
      <c r="BQ65">
        <v>-0.34</v>
      </c>
      <c r="BR65">
        <v>24.08</v>
      </c>
      <c r="BS65">
        <v>6.75</v>
      </c>
      <c r="BT65" t="s">
        <v>1720</v>
      </c>
      <c r="BU65" t="s">
        <v>1537</v>
      </c>
      <c r="BV65">
        <v>24.9</v>
      </c>
      <c r="BW65">
        <v>19.72</v>
      </c>
      <c r="BX65">
        <v>26.39</v>
      </c>
      <c r="BY65">
        <v>-5.36</v>
      </c>
      <c r="BZ65">
        <v>17.18</v>
      </c>
      <c r="CA65">
        <v>5.86</v>
      </c>
      <c r="CB65">
        <v>-5.07</v>
      </c>
      <c r="CC65">
        <v>-14.25</v>
      </c>
      <c r="CD65" t="s">
        <v>3523</v>
      </c>
      <c r="CE65" t="s">
        <v>322</v>
      </c>
      <c r="CF65" s="10">
        <v>0.18543046357615894</v>
      </c>
      <c r="CG65" s="11">
        <v>1.9729032369682185</v>
      </c>
      <c r="CH65" s="10">
        <v>-0.69905465841293335</v>
      </c>
      <c r="CI65" s="10">
        <v>0.13400828838348389</v>
      </c>
      <c r="CJ65" s="10">
        <v>0.36726388335227966</v>
      </c>
      <c r="CK65" s="10">
        <v>0.503059983253479</v>
      </c>
      <c r="CL65" s="10">
        <v>0.25114855170249939</v>
      </c>
      <c r="CM65" s="11">
        <v>-1.1108909845352173</v>
      </c>
      <c r="CN65" s="11">
        <v>3.4462966918945313</v>
      </c>
      <c r="CO65" s="11">
        <v>-0.20293866097927094</v>
      </c>
      <c r="CP65" s="11">
        <v>0.50825810432434082</v>
      </c>
      <c r="CQ65" s="11">
        <v>-6.6015630960464478E-2</v>
      </c>
      <c r="CR65">
        <v>36.816903070353405</v>
      </c>
      <c r="CS65">
        <v>3.3083374856586105</v>
      </c>
      <c r="CT65">
        <v>0</v>
      </c>
      <c r="CU65" s="10">
        <v>0.11128520965576172</v>
      </c>
      <c r="CV65" s="11">
        <v>0.51494190394878392</v>
      </c>
      <c r="CW65">
        <v>0.06</v>
      </c>
      <c r="CX65" t="e">
        <v>#VALUE!</v>
      </c>
      <c r="CY65" t="s">
        <v>1549</v>
      </c>
      <c r="CZ65">
        <v>0.11128520965576172</v>
      </c>
      <c r="DA65" t="e">
        <v>#VALUE!</v>
      </c>
      <c r="DB65" t="s">
        <v>1549</v>
      </c>
      <c r="DC65">
        <v>0.10572094917297363</v>
      </c>
      <c r="DD65" t="e">
        <v>#VALUE!</v>
      </c>
      <c r="DE65" t="s">
        <v>1549</v>
      </c>
      <c r="DF65">
        <v>9.7930984497070314E-2</v>
      </c>
      <c r="DG65" t="e">
        <v>#VALUE!</v>
      </c>
      <c r="DH65" t="s">
        <v>1549</v>
      </c>
      <c r="DI65">
        <v>8.9028167724609378E-2</v>
      </c>
      <c r="DJ65" t="e">
        <v>#VALUE!</v>
      </c>
      <c r="DK65" t="s">
        <v>1549</v>
      </c>
      <c r="DL65">
        <v>7.78996467590332E-2</v>
      </c>
      <c r="DM65">
        <v>-31825700</v>
      </c>
      <c r="DN65">
        <v>0.11128520965576172</v>
      </c>
      <c r="DO65">
        <v>2129007700</v>
      </c>
      <c r="DP65">
        <v>601332240</v>
      </c>
      <c r="DQ65">
        <v>1970</v>
      </c>
      <c r="DR65">
        <v>7.4145253920397225E-2</v>
      </c>
      <c r="DS65">
        <v>1.4579613330194345</v>
      </c>
      <c r="DT65" s="12">
        <v>-0.42333333333333339</v>
      </c>
      <c r="DU65">
        <v>-0.27166666666666678</v>
      </c>
      <c r="DV65">
        <v>-0.69500000000000017</v>
      </c>
      <c r="DW65">
        <v>-8.3557894736842098</v>
      </c>
      <c r="DX65">
        <v>0.30976343042071219</v>
      </c>
      <c r="DY65">
        <v>-8.0283789889286314</v>
      </c>
      <c r="DZ65">
        <v>3195</v>
      </c>
      <c r="EA65">
        <v>-8.0106351788255044</v>
      </c>
      <c r="EB65">
        <v>8</v>
      </c>
      <c r="EC65">
        <v>8.0743706047294708E-2</v>
      </c>
      <c r="ED65">
        <v>1.0122897877061239</v>
      </c>
      <c r="EE65" s="13">
        <v>-1.02061</v>
      </c>
      <c r="EF65">
        <v>-1.0498099999999999</v>
      </c>
      <c r="EG65">
        <v>23.079763430420712</v>
      </c>
      <c r="EH65" t="s">
        <v>1563</v>
      </c>
      <c r="EI65">
        <v>0</v>
      </c>
      <c r="EJ65">
        <v>0</v>
      </c>
      <c r="EK65" s="15">
        <v>45470</v>
      </c>
      <c r="EL65" s="16">
        <v>-0.71</v>
      </c>
      <c r="EM65" s="16">
        <v>-5.22</v>
      </c>
      <c r="EN65" s="16">
        <v>-1.04</v>
      </c>
      <c r="EO65" s="16">
        <v>5.18</v>
      </c>
      <c r="EP65" s="16">
        <v>-2.92</v>
      </c>
    </row>
    <row r="66" spans="1:146" ht="108" x14ac:dyDescent="0.25">
      <c r="A66" s="8"/>
      <c r="B66" s="8"/>
      <c r="C66" s="8" t="str">
        <f>""&amp;CHAR(10)&amp;Basic_Fundamental_Information_Constructure(F66)&amp;CHAR(10)&amp;Basic_Fundamental_Information_Concatenate("")</f>
        <v xml:space="preserve">
市值13.66404亿, 利润2328.28万; PE78.82; 平均PE31.69; 平均PEG2.82, PB2.21; ROIC5.36%; ROE6.2333%; 股利率2.603%; 毛利27.1133%; 净利5.9567%; 上一年度营收增21.76%, 利润增-31.81%; 当季营收增-.4%, 利润增-38.03%; 过往5年营收增11.26%, 利润增-7.39%
Income profile:
</v>
      </c>
      <c r="D66" t="s">
        <v>462</v>
      </c>
      <c r="E66" t="s">
        <v>39</v>
      </c>
      <c r="F66">
        <v>4.6100000000000003</v>
      </c>
      <c r="G66">
        <v>1.77</v>
      </c>
      <c r="H66" t="s">
        <v>3524</v>
      </c>
      <c r="I66">
        <v>1366404000</v>
      </c>
      <c r="J66">
        <v>78.819999999999993</v>
      </c>
      <c r="K66">
        <v>2.21</v>
      </c>
      <c r="L66" t="s">
        <v>101</v>
      </c>
      <c r="M66" t="s">
        <v>1973</v>
      </c>
      <c r="N66" t="s">
        <v>1705</v>
      </c>
      <c r="O66" t="s">
        <v>1018</v>
      </c>
      <c r="P66">
        <v>-0.63</v>
      </c>
      <c r="Q66" t="s">
        <v>2132</v>
      </c>
      <c r="R66">
        <v>9691958</v>
      </c>
      <c r="S66" s="6">
        <v>-0.38030000000000003</v>
      </c>
      <c r="T66" t="s">
        <v>3525</v>
      </c>
      <c r="U66">
        <v>247103520</v>
      </c>
      <c r="V66">
        <v>296400000</v>
      </c>
      <c r="W66">
        <v>3.29</v>
      </c>
      <c r="X66">
        <v>0.11</v>
      </c>
      <c r="Y66">
        <v>4.42</v>
      </c>
      <c r="Z66" t="s">
        <v>613</v>
      </c>
      <c r="AA66" t="s">
        <v>450</v>
      </c>
      <c r="AB66" t="s">
        <v>3526</v>
      </c>
      <c r="AC66" t="s">
        <v>3527</v>
      </c>
      <c r="AD66" t="s">
        <v>5</v>
      </c>
      <c r="AE66">
        <v>444826</v>
      </c>
      <c r="AF66" t="s">
        <v>3528</v>
      </c>
      <c r="AG66" t="s">
        <v>3529</v>
      </c>
      <c r="AH66" t="s">
        <v>3530</v>
      </c>
      <c r="AI66" t="s">
        <v>524</v>
      </c>
      <c r="AJ66" t="s">
        <v>3531</v>
      </c>
      <c r="AK66" t="s">
        <v>3532</v>
      </c>
      <c r="AL66" t="s">
        <v>3533</v>
      </c>
      <c r="AM66" t="s">
        <v>5</v>
      </c>
      <c r="AN66" t="s">
        <v>3534</v>
      </c>
      <c r="AO66" t="s">
        <v>305</v>
      </c>
      <c r="AP66" t="s">
        <v>194</v>
      </c>
      <c r="AQ66" t="s">
        <v>210</v>
      </c>
      <c r="AR66" t="s">
        <v>3535</v>
      </c>
      <c r="AS66" t="s">
        <v>3536</v>
      </c>
      <c r="AT66" t="s">
        <v>5</v>
      </c>
      <c r="AU66" t="s">
        <v>3537</v>
      </c>
      <c r="AV66" t="s">
        <v>3538</v>
      </c>
      <c r="AW66" t="s">
        <v>3539</v>
      </c>
      <c r="AX66" t="s">
        <v>1592</v>
      </c>
      <c r="AY66" t="s">
        <v>1312</v>
      </c>
      <c r="AZ66" t="s">
        <v>1006</v>
      </c>
      <c r="BA66" t="s">
        <v>351</v>
      </c>
      <c r="BB66" t="s">
        <v>947</v>
      </c>
      <c r="BC66" t="s">
        <v>1962</v>
      </c>
      <c r="BD66" t="s">
        <v>1424</v>
      </c>
      <c r="BE66" t="s">
        <v>1007</v>
      </c>
      <c r="BF66" t="s">
        <v>464</v>
      </c>
      <c r="BG66" t="s">
        <v>1009</v>
      </c>
      <c r="BH66" t="s">
        <v>2132</v>
      </c>
      <c r="BI66" t="s">
        <v>595</v>
      </c>
      <c r="BJ66" t="s">
        <v>1592</v>
      </c>
      <c r="BK66" t="s">
        <v>3525</v>
      </c>
      <c r="BL66" t="s">
        <v>3540</v>
      </c>
      <c r="BM66" t="s">
        <v>1962</v>
      </c>
      <c r="BN66">
        <v>3.12</v>
      </c>
      <c r="BO66">
        <v>4.87</v>
      </c>
      <c r="BP66">
        <v>8.09</v>
      </c>
      <c r="BQ66">
        <v>3.61</v>
      </c>
      <c r="BR66">
        <v>5.49</v>
      </c>
      <c r="BS66">
        <v>9.6</v>
      </c>
      <c r="BT66" t="s">
        <v>1735</v>
      </c>
      <c r="BU66" t="s">
        <v>1590</v>
      </c>
      <c r="BV66">
        <v>24.86</v>
      </c>
      <c r="BW66">
        <v>28.36</v>
      </c>
      <c r="BX66">
        <v>28.12</v>
      </c>
      <c r="BY66">
        <v>2.8</v>
      </c>
      <c r="BZ66">
        <v>5.47</v>
      </c>
      <c r="CA66">
        <v>9.6</v>
      </c>
      <c r="CB66">
        <v>-1.5</v>
      </c>
      <c r="CC66">
        <v>-12.52</v>
      </c>
      <c r="CD66" t="s">
        <v>3541</v>
      </c>
      <c r="CE66" t="s">
        <v>249</v>
      </c>
      <c r="CF66" s="10">
        <v>-4.0485829959515367E-3</v>
      </c>
      <c r="CG66" s="11">
        <v>-0.3802739288066449</v>
      </c>
      <c r="CH66" s="10">
        <v>0.21756225824356079</v>
      </c>
      <c r="CI66" s="10">
        <v>7.4647888541221619E-2</v>
      </c>
      <c r="CJ66" s="10">
        <v>2.7496382594108582E-2</v>
      </c>
      <c r="CK66" s="10">
        <v>-1.4450866729021072E-3</v>
      </c>
      <c r="CL66" s="10">
        <v>0.24460431933403015</v>
      </c>
      <c r="CM66" s="11">
        <v>-0.31814175844192505</v>
      </c>
      <c r="CN66" s="11">
        <v>-0.41413074731826782</v>
      </c>
      <c r="CO66" s="11">
        <v>4.0068766102194786E-3</v>
      </c>
      <c r="CP66" s="11">
        <v>0.38628998398780823</v>
      </c>
      <c r="CQ66" s="11">
        <v>-2.7770683169364929E-2</v>
      </c>
      <c r="CR66">
        <v>31.689996791737368</v>
      </c>
      <c r="CS66">
        <v>2.815058130102098</v>
      </c>
      <c r="CT66">
        <v>2.6030368763557479</v>
      </c>
      <c r="CU66" s="10">
        <v>0.11257315240800381</v>
      </c>
      <c r="CV66" s="11">
        <v>-7.3949265666306024E-2</v>
      </c>
      <c r="CW66">
        <v>0.06</v>
      </c>
      <c r="CX66">
        <v>84.84495311211171</v>
      </c>
      <c r="CY66">
        <v>24437564.332910445</v>
      </c>
      <c r="CZ66">
        <v>0.11257315240800381</v>
      </c>
      <c r="DA66">
        <v>27.202931082812615</v>
      </c>
      <c r="DB66">
        <v>76219874.751291797</v>
      </c>
      <c r="DC66">
        <v>0.10694449478760361</v>
      </c>
      <c r="DD66">
        <v>13.051422867396298</v>
      </c>
      <c r="DE66">
        <v>158864211.28684455</v>
      </c>
      <c r="DF66">
        <v>9.9064374119043355E-2</v>
      </c>
      <c r="DG66">
        <v>7.6112708688823698</v>
      </c>
      <c r="DH66">
        <v>272412325.84125024</v>
      </c>
      <c r="DI66">
        <v>9.0058521926403054E-2</v>
      </c>
      <c r="DJ66">
        <v>3.6831198291906149</v>
      </c>
      <c r="DK66">
        <v>562947744.3463037</v>
      </c>
      <c r="DL66">
        <v>7.8801206685602657E-2</v>
      </c>
      <c r="DM66">
        <v>23282800.000000004</v>
      </c>
      <c r="DN66">
        <v>0.11257315240800381</v>
      </c>
      <c r="DO66">
        <v>2073404000</v>
      </c>
      <c r="DP66">
        <v>394625100</v>
      </c>
      <c r="DQ66">
        <v>1980</v>
      </c>
      <c r="DR66">
        <v>-0.11662173540395535</v>
      </c>
      <c r="DS66">
        <v>-0.3063246631403389</v>
      </c>
      <c r="DT66" s="12">
        <v>-0.17333333333333334</v>
      </c>
      <c r="DU66">
        <v>-0.42</v>
      </c>
      <c r="DV66">
        <v>-0.59333333333333327</v>
      </c>
      <c r="DW66">
        <v>-2.1252</v>
      </c>
      <c r="DX66">
        <v>0.33886249999999951</v>
      </c>
      <c r="DY66">
        <v>-2.0211415850000001</v>
      </c>
      <c r="DZ66">
        <v>3026</v>
      </c>
      <c r="EA66">
        <v>-2.0086221258590999</v>
      </c>
      <c r="EB66">
        <v>2</v>
      </c>
      <c r="EC66">
        <v>7.7480769230769242E-2</v>
      </c>
      <c r="ED66">
        <v>0.45883940620782726</v>
      </c>
      <c r="EE66" s="13">
        <v>-2.0324</v>
      </c>
      <c r="EF66">
        <v>-2.0303</v>
      </c>
      <c r="EG66">
        <v>17.168862499999999</v>
      </c>
      <c r="EH66" t="s">
        <v>1852</v>
      </c>
      <c r="EI66">
        <v>0</v>
      </c>
      <c r="EJ66">
        <v>0</v>
      </c>
      <c r="EK66" s="15">
        <v>45470</v>
      </c>
      <c r="EL66" s="16">
        <v>-0.22</v>
      </c>
      <c r="EM66" s="16">
        <v>-5.22</v>
      </c>
      <c r="EN66" s="16">
        <v>2.06</v>
      </c>
      <c r="EO66" s="16">
        <v>5.62</v>
      </c>
      <c r="EP66" s="16">
        <v>-0.21</v>
      </c>
    </row>
    <row r="67" spans="1:146" ht="108" x14ac:dyDescent="0.25">
      <c r="A67" s="8"/>
      <c r="B67" s="8"/>
      <c r="C67" s="8" t="str">
        <f>""&amp;CHAR(10)&amp;Basic_Fundamental_Information_Constructure(F67)&amp;CHAR(10)&amp;Basic_Fundamental_Information_Concatenate("")</f>
        <v xml:space="preserve">
市值23.177954亿, 利润4107.07万; PE77.3; 平均PE22.94; 平均PEG2.11, PB1.41; ROIC5.5667%; ROE6.2133%; 股利率1.773%; 毛利34.3967%; 净利8.5867%; 上一年度营收增9.94%, 利润增-55.77%; 当季营收增.86%, 利润增-34.81%; 过往5年营收增10.86%, 利润增2.82%
Income profile:
</v>
      </c>
      <c r="D67" t="s">
        <v>469</v>
      </c>
      <c r="E67" t="s">
        <v>68</v>
      </c>
      <c r="F67">
        <v>5.64</v>
      </c>
      <c r="G67">
        <v>2.17</v>
      </c>
      <c r="H67" t="s">
        <v>3542</v>
      </c>
      <c r="I67">
        <v>2317795400</v>
      </c>
      <c r="J67">
        <v>77.3</v>
      </c>
      <c r="K67">
        <v>1.41</v>
      </c>
      <c r="L67" t="s">
        <v>101</v>
      </c>
      <c r="M67" t="s">
        <v>3543</v>
      </c>
      <c r="N67" t="s">
        <v>3544</v>
      </c>
      <c r="O67" t="s">
        <v>276</v>
      </c>
      <c r="P67">
        <v>0.61</v>
      </c>
      <c r="Q67" t="s">
        <v>160</v>
      </c>
      <c r="R67">
        <v>20755523</v>
      </c>
      <c r="S67" s="6">
        <v>-0.34810000000000002</v>
      </c>
      <c r="T67" t="s">
        <v>3545</v>
      </c>
      <c r="U67">
        <v>327808430</v>
      </c>
      <c r="V67">
        <v>410956630</v>
      </c>
      <c r="W67">
        <v>1.62</v>
      </c>
      <c r="X67">
        <v>0.09</v>
      </c>
      <c r="Y67">
        <v>7.96</v>
      </c>
      <c r="Z67" t="s">
        <v>499</v>
      </c>
      <c r="AA67" t="s">
        <v>165</v>
      </c>
      <c r="AB67" t="s">
        <v>3546</v>
      </c>
      <c r="AC67" t="s">
        <v>3547</v>
      </c>
      <c r="AD67" t="s">
        <v>5</v>
      </c>
      <c r="AE67">
        <v>-162653</v>
      </c>
      <c r="AF67" t="s">
        <v>3548</v>
      </c>
      <c r="AG67">
        <v>5713.5</v>
      </c>
      <c r="AH67" t="s">
        <v>3549</v>
      </c>
      <c r="AI67" t="s">
        <v>311</v>
      </c>
      <c r="AJ67" t="s">
        <v>3550</v>
      </c>
      <c r="AK67" t="s">
        <v>5</v>
      </c>
      <c r="AL67" t="s">
        <v>3551</v>
      </c>
      <c r="AM67" t="s">
        <v>5</v>
      </c>
      <c r="AN67" t="s">
        <v>3552</v>
      </c>
      <c r="AO67" t="s">
        <v>613</v>
      </c>
      <c r="AP67" t="s">
        <v>3553</v>
      </c>
      <c r="AQ67" t="s">
        <v>772</v>
      </c>
      <c r="AR67" t="s">
        <v>5</v>
      </c>
      <c r="AS67" t="s">
        <v>3554</v>
      </c>
      <c r="AT67" t="s">
        <v>3555</v>
      </c>
      <c r="AU67" t="s">
        <v>3556</v>
      </c>
      <c r="AV67" t="s">
        <v>420</v>
      </c>
      <c r="AW67" t="s">
        <v>3557</v>
      </c>
      <c r="AX67" t="s">
        <v>1616</v>
      </c>
      <c r="AY67" t="s">
        <v>1263</v>
      </c>
      <c r="AZ67" t="s">
        <v>885</v>
      </c>
      <c r="BA67" t="s">
        <v>471</v>
      </c>
      <c r="BB67" t="s">
        <v>906</v>
      </c>
      <c r="BC67" t="s">
        <v>1963</v>
      </c>
      <c r="BD67" t="s">
        <v>202</v>
      </c>
      <c r="BE67" t="s">
        <v>1010</v>
      </c>
      <c r="BF67" t="s">
        <v>286</v>
      </c>
      <c r="BG67" t="s">
        <v>211</v>
      </c>
      <c r="BH67" t="s">
        <v>160</v>
      </c>
      <c r="BI67" t="s">
        <v>417</v>
      </c>
      <c r="BJ67" t="s">
        <v>1616</v>
      </c>
      <c r="BK67" t="s">
        <v>3545</v>
      </c>
      <c r="BL67" t="s">
        <v>3558</v>
      </c>
      <c r="BM67" t="s">
        <v>1963</v>
      </c>
      <c r="BN67">
        <v>2.92</v>
      </c>
      <c r="BO67">
        <v>5.27</v>
      </c>
      <c r="BP67">
        <v>8.51</v>
      </c>
      <c r="BQ67">
        <v>3.72</v>
      </c>
      <c r="BR67">
        <v>5.93</v>
      </c>
      <c r="BS67">
        <v>8.99</v>
      </c>
      <c r="BT67" t="s">
        <v>1723</v>
      </c>
      <c r="BU67" t="s">
        <v>1590</v>
      </c>
      <c r="BV67">
        <v>32.49</v>
      </c>
      <c r="BW67">
        <v>36.57</v>
      </c>
      <c r="BX67">
        <v>34.130000000000003</v>
      </c>
      <c r="BY67">
        <v>3.54</v>
      </c>
      <c r="BZ67">
        <v>9.81</v>
      </c>
      <c r="CA67">
        <v>12.41</v>
      </c>
      <c r="CB67">
        <v>-4.7300000000000004</v>
      </c>
      <c r="CC67">
        <v>-10.76</v>
      </c>
      <c r="CD67" t="s">
        <v>3559</v>
      </c>
      <c r="CE67" t="s">
        <v>3560</v>
      </c>
      <c r="CF67" s="10">
        <v>8.5836909871244635E-3</v>
      </c>
      <c r="CG67" s="11">
        <v>-0.34813465367679852</v>
      </c>
      <c r="CH67" s="10">
        <v>9.9352054297924042E-2</v>
      </c>
      <c r="CI67" s="10">
        <v>-0.12888053059577942</v>
      </c>
      <c r="CJ67" s="10">
        <v>0.60574018955230713</v>
      </c>
      <c r="CK67" s="10">
        <v>-0.22843822836875916</v>
      </c>
      <c r="CL67" s="10">
        <v>0.19498607516288757</v>
      </c>
      <c r="CM67" s="11">
        <v>-0.55771565437316895</v>
      </c>
      <c r="CN67" s="11">
        <v>-0.30180150270462036</v>
      </c>
      <c r="CO67" s="11">
        <v>2.0092675685882568</v>
      </c>
      <c r="CP67" s="11">
        <v>-0.59452474117279053</v>
      </c>
      <c r="CQ67" s="11">
        <v>-0.41397848725318909</v>
      </c>
      <c r="CR67">
        <v>22.943626914385561</v>
      </c>
      <c r="CS67">
        <v>2.1136087324129282</v>
      </c>
      <c r="CT67">
        <v>1.773049645390071</v>
      </c>
      <c r="CU67" s="10">
        <v>0.10855191200971603</v>
      </c>
      <c r="CV67" s="11">
        <v>2.8249436616897584E-2</v>
      </c>
      <c r="CW67">
        <v>0.06</v>
      </c>
      <c r="CX67">
        <v>41.646489018795194</v>
      </c>
      <c r="CY67">
        <v>42951889.634507023</v>
      </c>
      <c r="CZ67">
        <v>0.10855191200971603</v>
      </c>
      <c r="DA67">
        <v>13.397999192992296</v>
      </c>
      <c r="DB67">
        <v>133512129.25401676</v>
      </c>
      <c r="DC67">
        <v>0.10312431640923023</v>
      </c>
      <c r="DD67">
        <v>6.4577441193226743</v>
      </c>
      <c r="DE67">
        <v>277000043.19583029</v>
      </c>
      <c r="DF67">
        <v>9.552568256855011E-2</v>
      </c>
      <c r="DG67">
        <v>3.785967583394986</v>
      </c>
      <c r="DH67">
        <v>472480379.34755254</v>
      </c>
      <c r="DI67">
        <v>8.6841529607772833E-2</v>
      </c>
      <c r="DJ67">
        <v>1.8540550242634439</v>
      </c>
      <c r="DK67">
        <v>964801678.80164742</v>
      </c>
      <c r="DL67">
        <v>7.5986338406801218E-2</v>
      </c>
      <c r="DM67">
        <v>41070700</v>
      </c>
      <c r="DN67">
        <v>0.10855191200971603</v>
      </c>
      <c r="DO67">
        <v>1788795399.9999998</v>
      </c>
      <c r="DP67">
        <v>1026710400</v>
      </c>
      <c r="DQ67">
        <v>1983</v>
      </c>
      <c r="DR67">
        <v>-9.9968221022591564E-2</v>
      </c>
      <c r="DS67">
        <v>-0.37638409029369613</v>
      </c>
      <c r="DT67" s="12">
        <v>-0.19000000000000003</v>
      </c>
      <c r="DU67">
        <v>-0.38500000000000001</v>
      </c>
      <c r="DV67">
        <v>-0.57500000000000007</v>
      </c>
      <c r="DW67">
        <v>-8.4395910780669148</v>
      </c>
      <c r="DX67">
        <v>0.37484932610934618</v>
      </c>
      <c r="DY67">
        <v>-8.0680703822023414</v>
      </c>
      <c r="DZ67">
        <v>2997</v>
      </c>
      <c r="EA67">
        <v>-8.0281473028558796</v>
      </c>
      <c r="EB67">
        <v>8</v>
      </c>
      <c r="EC67">
        <v>2.6928389012728673E-2</v>
      </c>
      <c r="ED67">
        <v>0.17390058897455918</v>
      </c>
      <c r="EE67" s="13">
        <v>-1.1067</v>
      </c>
      <c r="EF67">
        <v>-1.0866</v>
      </c>
      <c r="EG67">
        <v>22.154849326109346</v>
      </c>
      <c r="EH67" t="s">
        <v>1813</v>
      </c>
      <c r="EI67">
        <v>0</v>
      </c>
      <c r="EJ67">
        <v>0</v>
      </c>
      <c r="EK67" s="15">
        <v>45470</v>
      </c>
      <c r="EL67" s="16">
        <v>0</v>
      </c>
      <c r="EM67" s="16">
        <v>-5.49</v>
      </c>
      <c r="EN67" s="16">
        <v>1.27</v>
      </c>
      <c r="EO67" s="16">
        <v>6.99</v>
      </c>
      <c r="EP67" s="16">
        <v>-2.0099999999999998</v>
      </c>
    </row>
    <row r="68" spans="1:146" ht="96" x14ac:dyDescent="0.25">
      <c r="A68" s="8"/>
      <c r="B68" s="8"/>
      <c r="C68" s="8" t="str">
        <f>""&amp;CHAR(10)&amp;Basic_Fundamental_Information_Constructure(F68)&amp;CHAR(10)&amp;Basic_Fundamental_Information_Concatenate("")</f>
        <v xml:space="preserve">
市值16.0848亿, 利润-603.58万; PE; 平均PE746.51; 平均PEG1124.82, PB3.25; ROIC1.05%; ROE-.1833%; 股利率0%; 毛利42.1933%; 净利-1.5533%; 上一年度营收增22.31%, 利润增-13%; 当季营收增35.67%, 利润增79.06%; 过往5年营收增-.66%, 利润增-91.94%
Income profile:
</v>
      </c>
      <c r="D68" t="s">
        <v>473</v>
      </c>
      <c r="E68" t="s">
        <v>29</v>
      </c>
      <c r="F68">
        <v>11.17</v>
      </c>
      <c r="G68">
        <v>-0.36</v>
      </c>
      <c r="H68" t="s">
        <v>3561</v>
      </c>
      <c r="I68">
        <v>1608480000</v>
      </c>
      <c r="K68">
        <v>3.25</v>
      </c>
      <c r="L68" t="s">
        <v>101</v>
      </c>
      <c r="M68" t="s">
        <v>3562</v>
      </c>
      <c r="N68" t="s">
        <v>196</v>
      </c>
      <c r="O68" t="s">
        <v>3563</v>
      </c>
      <c r="P68">
        <v>35.67</v>
      </c>
      <c r="Q68" t="s">
        <v>406</v>
      </c>
      <c r="R68">
        <v>-976852</v>
      </c>
      <c r="S68" s="7">
        <v>0.79059999999999997</v>
      </c>
      <c r="T68" t="s">
        <v>3564</v>
      </c>
      <c r="U68">
        <v>143999060</v>
      </c>
      <c r="V68">
        <v>144000000</v>
      </c>
      <c r="W68">
        <v>1.1599999999999999</v>
      </c>
      <c r="X68">
        <v>0.06</v>
      </c>
      <c r="Y68">
        <v>-2.88</v>
      </c>
      <c r="Z68" t="s">
        <v>3565</v>
      </c>
      <c r="AA68" t="s">
        <v>3566</v>
      </c>
      <c r="AB68" t="s">
        <v>3567</v>
      </c>
      <c r="AC68" t="s">
        <v>3568</v>
      </c>
      <c r="AD68" t="s">
        <v>5</v>
      </c>
      <c r="AE68">
        <v>-888996</v>
      </c>
      <c r="AF68" t="s">
        <v>3569</v>
      </c>
      <c r="AG68">
        <v>2310.98</v>
      </c>
      <c r="AH68" t="s">
        <v>3570</v>
      </c>
      <c r="AI68" t="s">
        <v>3571</v>
      </c>
      <c r="AJ68" t="s">
        <v>3572</v>
      </c>
      <c r="AK68" t="s">
        <v>3573</v>
      </c>
      <c r="AL68" t="s">
        <v>3574</v>
      </c>
      <c r="AM68" t="s">
        <v>5</v>
      </c>
      <c r="AN68" t="s">
        <v>3575</v>
      </c>
      <c r="AO68" t="s">
        <v>5</v>
      </c>
      <c r="AP68" t="s">
        <v>3576</v>
      </c>
      <c r="AQ68" t="s">
        <v>3577</v>
      </c>
      <c r="AR68" t="s">
        <v>5</v>
      </c>
      <c r="AS68" t="s">
        <v>3578</v>
      </c>
      <c r="AT68" t="s">
        <v>5</v>
      </c>
      <c r="AU68" t="s">
        <v>3579</v>
      </c>
      <c r="AV68" t="s">
        <v>3580</v>
      </c>
      <c r="AW68" t="s">
        <v>5</v>
      </c>
      <c r="AX68" t="s">
        <v>303</v>
      </c>
      <c r="AY68" t="s">
        <v>305</v>
      </c>
      <c r="AZ68" t="s">
        <v>249</v>
      </c>
      <c r="BA68" t="s">
        <v>474</v>
      </c>
      <c r="BB68" t="s">
        <v>433</v>
      </c>
      <c r="BC68" t="s">
        <v>3581</v>
      </c>
      <c r="BD68" t="s">
        <v>3582</v>
      </c>
      <c r="BE68" t="s">
        <v>1011</v>
      </c>
      <c r="BF68" t="s">
        <v>475</v>
      </c>
      <c r="BG68" t="s">
        <v>1012</v>
      </c>
      <c r="BH68" t="s">
        <v>406</v>
      </c>
      <c r="BI68" t="s">
        <v>3583</v>
      </c>
      <c r="BJ68" t="s">
        <v>303</v>
      </c>
      <c r="BK68" t="s">
        <v>3564</v>
      </c>
      <c r="BL68" t="s">
        <v>3584</v>
      </c>
      <c r="BM68" t="s">
        <v>3581</v>
      </c>
      <c r="BN68" t="s">
        <v>5</v>
      </c>
      <c r="BO68" t="s">
        <v>5</v>
      </c>
      <c r="BP68">
        <v>1.05</v>
      </c>
      <c r="BQ68">
        <v>-0.44</v>
      </c>
      <c r="BR68">
        <v>-1.1000000000000001</v>
      </c>
      <c r="BS68">
        <v>0.99</v>
      </c>
      <c r="BT68" t="s">
        <v>1720</v>
      </c>
      <c r="BU68" t="s">
        <v>1590</v>
      </c>
      <c r="BV68">
        <v>40.53</v>
      </c>
      <c r="BW68">
        <v>40.340000000000003</v>
      </c>
      <c r="BX68">
        <v>45.71</v>
      </c>
      <c r="BY68">
        <v>-3.79</v>
      </c>
      <c r="BZ68">
        <v>-4.13</v>
      </c>
      <c r="CA68">
        <v>3.26</v>
      </c>
      <c r="CB68">
        <v>8.4499999999999993</v>
      </c>
      <c r="CC68">
        <v>4.88</v>
      </c>
      <c r="CD68" t="s">
        <v>3585</v>
      </c>
      <c r="CE68" t="s">
        <v>3586</v>
      </c>
      <c r="CF68" s="10">
        <v>0.35668405380018786</v>
      </c>
      <c r="CG68" s="11">
        <v>0.7905593790870693</v>
      </c>
      <c r="CH68" s="10">
        <v>0.22307692468166351</v>
      </c>
      <c r="CI68" s="10">
        <v>-0.13907285034656525</v>
      </c>
      <c r="CJ68" s="10">
        <v>0.11029411852359772</v>
      </c>
      <c r="CK68" s="10">
        <v>-0.17575757205486298</v>
      </c>
      <c r="CL68" s="10">
        <v>-5.1724139600992203E-2</v>
      </c>
      <c r="CM68" s="11">
        <v>-0.12996105849742889</v>
      </c>
      <c r="CN68" s="11">
        <v>-2.0192532539367676</v>
      </c>
      <c r="CO68" s="11">
        <v>1.4314612150192261</v>
      </c>
      <c r="CP68" s="11">
        <v>-3.105898380279541</v>
      </c>
      <c r="CQ68" s="11">
        <v>-0.7733076810836792</v>
      </c>
      <c r="CR68">
        <v>746.50990099009903</v>
      </c>
      <c r="CS68">
        <v>1124.8202843605707</v>
      </c>
      <c r="CT68">
        <v>0</v>
      </c>
      <c r="CU68" s="10">
        <v>-6.6367037594318393E-3</v>
      </c>
      <c r="CV68" s="11">
        <v>-0.9193918317556381</v>
      </c>
      <c r="CW68">
        <v>0.06</v>
      </c>
      <c r="CX68" t="e">
        <v>#VALUE!</v>
      </c>
      <c r="CY68" t="s">
        <v>1552</v>
      </c>
      <c r="CZ68">
        <v>-6.6367037594318393E-3</v>
      </c>
      <c r="DA68" t="e">
        <v>#VALUE!</v>
      </c>
      <c r="DB68" t="s">
        <v>1549</v>
      </c>
      <c r="DC68">
        <v>-6.3048685714602471E-3</v>
      </c>
      <c r="DD68" t="e">
        <v>#VALUE!</v>
      </c>
      <c r="DE68" t="s">
        <v>1549</v>
      </c>
      <c r="DF68">
        <v>-5.8402993083000185E-3</v>
      </c>
      <c r="DG68" t="e">
        <v>#VALUE!</v>
      </c>
      <c r="DH68" t="s">
        <v>1549</v>
      </c>
      <c r="DI68">
        <v>-5.3093630075454722E-3</v>
      </c>
      <c r="DJ68" t="e">
        <v>#VALUE!</v>
      </c>
      <c r="DK68" t="s">
        <v>1549</v>
      </c>
      <c r="DL68">
        <v>-4.6456926316022868E-3</v>
      </c>
      <c r="DM68">
        <v>-6035800</v>
      </c>
      <c r="DN68">
        <v>-6.6367037594318393E-3</v>
      </c>
      <c r="DO68">
        <v>1181307000</v>
      </c>
      <c r="DP68">
        <v>199175670</v>
      </c>
      <c r="DQ68">
        <v>1992</v>
      </c>
      <c r="DR68">
        <v>0.36332075755961968</v>
      </c>
      <c r="DS68">
        <v>1.7099512108427075</v>
      </c>
      <c r="DT68" s="12">
        <v>-0.38999999999999996</v>
      </c>
      <c r="DU68">
        <v>-1.9550000000000001</v>
      </c>
      <c r="DV68">
        <v>-2.3450000000000002</v>
      </c>
      <c r="DW68">
        <v>5.5775147928994082</v>
      </c>
      <c r="DX68">
        <v>0.41782104921193636</v>
      </c>
      <c r="DY68">
        <v>5.1315700260537582</v>
      </c>
      <c r="DZ68">
        <v>4679</v>
      </c>
      <c r="EA68">
        <v>5.0110971978922052</v>
      </c>
      <c r="EB68">
        <v>5</v>
      </c>
      <c r="EC68">
        <v>0.11820416666666667</v>
      </c>
      <c r="ED68">
        <v>0.51884652777777773</v>
      </c>
      <c r="EE68" s="13">
        <v>-4.0751999999999997</v>
      </c>
      <c r="EF68">
        <v>-4.0575000000000001</v>
      </c>
      <c r="EG68">
        <v>19.227821049211936</v>
      </c>
      <c r="EH68" t="s">
        <v>2120</v>
      </c>
      <c r="EI68">
        <v>1</v>
      </c>
      <c r="EJ68">
        <v>0</v>
      </c>
      <c r="EK68" s="15">
        <v>45470</v>
      </c>
      <c r="EL68" s="16">
        <v>1.61</v>
      </c>
      <c r="EM68" s="16">
        <v>-2.58</v>
      </c>
      <c r="EN68" s="16">
        <v>0.41</v>
      </c>
      <c r="EO68" s="16">
        <v>3.45</v>
      </c>
      <c r="EP68" s="16">
        <v>-1.77</v>
      </c>
    </row>
    <row r="69" spans="1:146" ht="108" x14ac:dyDescent="0.25">
      <c r="A69" s="8"/>
      <c r="B69" s="8"/>
      <c r="C69" s="8" t="str">
        <f>""&amp;CHAR(10)&amp;Basic_Fundamental_Information_Constructure(F69)&amp;CHAR(10)&amp;Basic_Fundamental_Information_Concatenate("")</f>
        <v xml:space="preserve">
市值33.615935亿, 利润3264.58万; PE164.7; 平均PE-119.32; 平均PEG-3.45, PB3.31; ROIC.89%; ROE-5.1667%; 股利率0%; 毛利18.2667%; 净利-6.4033%; 上一年度营收增179.5%, 利润增230.14%; 当季营收增134.1%, 利润增-75.56%; 过往5年营收增34.63%, 利润增-96.01%
Income profile:
</v>
      </c>
      <c r="D69" t="s">
        <v>643</v>
      </c>
      <c r="E69" t="s">
        <v>1427</v>
      </c>
      <c r="F69">
        <v>20.399999999999999</v>
      </c>
      <c r="G69">
        <v>-0.87</v>
      </c>
      <c r="H69" t="s">
        <v>2201</v>
      </c>
      <c r="I69">
        <v>3361593500</v>
      </c>
      <c r="J69">
        <v>164.7</v>
      </c>
      <c r="K69">
        <v>3.31</v>
      </c>
      <c r="L69" t="s">
        <v>101</v>
      </c>
      <c r="M69" t="s">
        <v>2251</v>
      </c>
      <c r="N69" t="s">
        <v>1942</v>
      </c>
      <c r="O69" t="s">
        <v>3587</v>
      </c>
      <c r="P69">
        <v>134.1</v>
      </c>
      <c r="Q69" t="s">
        <v>957</v>
      </c>
      <c r="R69">
        <v>3959371</v>
      </c>
      <c r="S69" s="6">
        <v>-0.75560000000000005</v>
      </c>
      <c r="T69" t="s">
        <v>3588</v>
      </c>
      <c r="U69">
        <v>144287140</v>
      </c>
      <c r="V69">
        <v>164783990</v>
      </c>
      <c r="W69">
        <v>1.65</v>
      </c>
      <c r="X69">
        <v>0.02</v>
      </c>
      <c r="Y69">
        <v>9.8000000000000007</v>
      </c>
      <c r="Z69" t="s">
        <v>3589</v>
      </c>
      <c r="AA69" t="s">
        <v>3590</v>
      </c>
      <c r="AB69" t="s">
        <v>3591</v>
      </c>
      <c r="AC69" t="s">
        <v>3592</v>
      </c>
      <c r="AD69" t="s">
        <v>5</v>
      </c>
      <c r="AE69">
        <v>-1353260</v>
      </c>
      <c r="AF69" t="s">
        <v>127</v>
      </c>
      <c r="AG69">
        <v>0</v>
      </c>
      <c r="AH69" t="s">
        <v>3593</v>
      </c>
      <c r="AI69" t="s">
        <v>161</v>
      </c>
      <c r="AJ69" t="s">
        <v>3594</v>
      </c>
      <c r="AK69" t="s">
        <v>3595</v>
      </c>
      <c r="AL69" t="s">
        <v>3596</v>
      </c>
      <c r="AM69" t="s">
        <v>5</v>
      </c>
      <c r="AN69" t="s">
        <v>3597</v>
      </c>
      <c r="AO69" t="s">
        <v>3598</v>
      </c>
      <c r="AP69" t="s">
        <v>3599</v>
      </c>
      <c r="AQ69" t="s">
        <v>146</v>
      </c>
      <c r="AR69" t="s">
        <v>5</v>
      </c>
      <c r="AS69" t="s">
        <v>144</v>
      </c>
      <c r="AT69" t="s">
        <v>2187</v>
      </c>
      <c r="AU69" t="s">
        <v>3600</v>
      </c>
      <c r="AV69" t="s">
        <v>3601</v>
      </c>
      <c r="AW69" t="s">
        <v>3602</v>
      </c>
      <c r="AX69" t="s">
        <v>106</v>
      </c>
      <c r="AY69" t="s">
        <v>1267</v>
      </c>
      <c r="AZ69" t="s">
        <v>794</v>
      </c>
      <c r="BA69" t="s">
        <v>545</v>
      </c>
      <c r="BB69" t="s">
        <v>575</v>
      </c>
      <c r="BC69" t="s">
        <v>3603</v>
      </c>
      <c r="BD69" t="s">
        <v>1428</v>
      </c>
      <c r="BE69" t="s">
        <v>1013</v>
      </c>
      <c r="BF69" t="s">
        <v>645</v>
      </c>
      <c r="BG69" t="s">
        <v>1014</v>
      </c>
      <c r="BH69" t="s">
        <v>957</v>
      </c>
      <c r="BI69" t="s">
        <v>3604</v>
      </c>
      <c r="BJ69" t="s">
        <v>106</v>
      </c>
      <c r="BK69" t="s">
        <v>3588</v>
      </c>
      <c r="BL69" t="s">
        <v>3605</v>
      </c>
      <c r="BM69" t="s">
        <v>3603</v>
      </c>
      <c r="BN69">
        <v>0.89</v>
      </c>
      <c r="BO69" t="s">
        <v>5</v>
      </c>
      <c r="BP69" t="s">
        <v>5</v>
      </c>
      <c r="BQ69">
        <v>1.42</v>
      </c>
      <c r="BR69">
        <v>-2.67</v>
      </c>
      <c r="BS69">
        <v>-14.25</v>
      </c>
      <c r="BT69" t="s">
        <v>1720</v>
      </c>
      <c r="BU69" t="s">
        <v>1537</v>
      </c>
      <c r="BV69">
        <v>22.6</v>
      </c>
      <c r="BW69">
        <v>18.079999999999998</v>
      </c>
      <c r="BX69">
        <v>14.12</v>
      </c>
      <c r="BY69">
        <v>4.9000000000000004</v>
      </c>
      <c r="BZ69">
        <v>-10.59</v>
      </c>
      <c r="CA69">
        <v>-13.52</v>
      </c>
      <c r="CB69">
        <v>0.2</v>
      </c>
      <c r="CC69">
        <v>-20.16</v>
      </c>
      <c r="CD69" t="s">
        <v>3606</v>
      </c>
      <c r="CE69" t="s">
        <v>3607</v>
      </c>
      <c r="CF69" s="10">
        <v>1.3409807406544099</v>
      </c>
      <c r="CG69" s="11">
        <v>-0.7555657144973793</v>
      </c>
      <c r="CH69" s="10">
        <v>1.7949790954589844</v>
      </c>
      <c r="CI69" s="10">
        <v>-0.55159473419189453</v>
      </c>
      <c r="CJ69" s="10">
        <v>2.6974951848387718E-2</v>
      </c>
      <c r="CK69" s="10">
        <v>0.19310344755649567</v>
      </c>
      <c r="CL69" s="10">
        <v>0.26822158694267273</v>
      </c>
      <c r="CM69" s="11">
        <v>2.3013606071472168</v>
      </c>
      <c r="CN69" s="11">
        <v>0.67180389165878296</v>
      </c>
      <c r="CO69" s="11">
        <v>-9.1080818176269531</v>
      </c>
      <c r="CP69" s="11">
        <v>0.27108108997344971</v>
      </c>
      <c r="CQ69" s="11">
        <v>1.063389778137207</v>
      </c>
      <c r="CR69">
        <v>-119.3238503219211</v>
      </c>
      <c r="CS69">
        <v>-3.4453117996442848</v>
      </c>
      <c r="CT69">
        <v>0</v>
      </c>
      <c r="CU69" s="10">
        <v>0.34633686952292919</v>
      </c>
      <c r="CV69" s="11">
        <v>-0.96008929014205935</v>
      </c>
      <c r="CW69">
        <v>0.06</v>
      </c>
      <c r="CX69">
        <v>73.764358813760509</v>
      </c>
      <c r="CY69">
        <v>41464381.297237396</v>
      </c>
      <c r="CZ69">
        <v>0.34633686952292919</v>
      </c>
      <c r="DA69">
        <v>19.532052325788914</v>
      </c>
      <c r="DB69">
        <v>156593554.48078656</v>
      </c>
      <c r="DC69">
        <v>0.32902002604678271</v>
      </c>
      <c r="DD69">
        <v>7.091757019984315</v>
      </c>
      <c r="DE69">
        <v>431288535.60281241</v>
      </c>
      <c r="DF69">
        <v>0.30477644518017771</v>
      </c>
      <c r="DG69">
        <v>2.9257830365345208</v>
      </c>
      <c r="DH69">
        <v>1045393134.6949049</v>
      </c>
      <c r="DI69">
        <v>0.27706949561834338</v>
      </c>
      <c r="DJ69">
        <v>0.59936178869044043</v>
      </c>
      <c r="DK69">
        <v>5103083909.7747498</v>
      </c>
      <c r="DL69">
        <v>0.24243580866605041</v>
      </c>
      <c r="DM69">
        <v>32645800</v>
      </c>
      <c r="DN69">
        <v>0.34633686952292919</v>
      </c>
      <c r="DO69">
        <v>3058593500</v>
      </c>
      <c r="DP69">
        <v>532991840</v>
      </c>
      <c r="DQ69">
        <v>2009</v>
      </c>
      <c r="DR69">
        <v>0.99464387113148067</v>
      </c>
      <c r="DS69">
        <v>0.20452357564468004</v>
      </c>
      <c r="DT69" s="12">
        <v>-4.0000000000000036E-2</v>
      </c>
      <c r="DU69">
        <v>-0.62333333333333341</v>
      </c>
      <c r="DV69">
        <v>-0.66333333333333344</v>
      </c>
      <c r="DW69">
        <v>-3.047047619047619</v>
      </c>
      <c r="DX69">
        <v>0.33944484067568181</v>
      </c>
      <c r="DY69">
        <v>-3.005149119170837</v>
      </c>
      <c r="DZ69">
        <v>3145</v>
      </c>
      <c r="EA69">
        <v>-3.0019800428905468</v>
      </c>
      <c r="EB69">
        <v>3</v>
      </c>
      <c r="EC69">
        <v>4.2184923426116822E-2</v>
      </c>
      <c r="ED69">
        <v>0.38544460538915221</v>
      </c>
      <c r="EE69" s="13">
        <v>3.0863</v>
      </c>
      <c r="EF69">
        <v>3.0516000000000001</v>
      </c>
      <c r="EG69">
        <v>23.109444840675682</v>
      </c>
      <c r="EH69" t="s">
        <v>1834</v>
      </c>
      <c r="EI69">
        <v>0</v>
      </c>
      <c r="EJ69">
        <v>0</v>
      </c>
      <c r="EK69" s="15">
        <v>45470</v>
      </c>
      <c r="EL69" s="16">
        <v>-1.4</v>
      </c>
      <c r="EM69" s="16">
        <v>-3.08</v>
      </c>
      <c r="EN69" s="16">
        <v>-0.76</v>
      </c>
      <c r="EO69" s="16">
        <v>0.38</v>
      </c>
      <c r="EP69" s="16">
        <v>-3.47</v>
      </c>
    </row>
    <row r="70" spans="1:146" ht="108" x14ac:dyDescent="0.25">
      <c r="A70" s="8"/>
      <c r="B70" s="8"/>
      <c r="C70" s="8" t="str">
        <f>""&amp;CHAR(10)&amp;Basic_Fundamental_Information_Constructure(F70)&amp;CHAR(10)&amp;Basic_Fundamental_Information_Concatenate("")</f>
        <v xml:space="preserve">
市值22.26778亿, 利润1733.42万; PE218.2; 平均PE75.54; 平均PEG64.12, PB4.05; ROIC4.6933%; ROE5.0867%; 股利率.5988%; 毛利29.4667%; 净利7.3333%; 上一年度营收增-13.85%, 利润增-39.15%; 当季营收增-27.7%, 利润增-95.91%; 过往5年营收增-1.18%, 利润增-8.91%
Income profile:
</v>
      </c>
      <c r="D70" t="s">
        <v>646</v>
      </c>
      <c r="E70" t="s">
        <v>49</v>
      </c>
      <c r="F70">
        <v>16.7</v>
      </c>
      <c r="G70">
        <v>5.56</v>
      </c>
      <c r="H70" t="s">
        <v>3608</v>
      </c>
      <c r="I70">
        <v>2226778000</v>
      </c>
      <c r="J70">
        <v>218.2</v>
      </c>
      <c r="K70">
        <v>4.05</v>
      </c>
      <c r="L70" t="s">
        <v>101</v>
      </c>
      <c r="M70" t="s">
        <v>512</v>
      </c>
      <c r="N70" t="s">
        <v>1833</v>
      </c>
      <c r="O70" t="s">
        <v>3609</v>
      </c>
      <c r="P70">
        <v>-27.7</v>
      </c>
      <c r="Q70" t="s">
        <v>113</v>
      </c>
      <c r="R70">
        <v>304454</v>
      </c>
      <c r="S70" s="6">
        <v>-0.95909999999999995</v>
      </c>
      <c r="T70" t="s">
        <v>3610</v>
      </c>
      <c r="U70">
        <v>101054675</v>
      </c>
      <c r="V70">
        <v>133340000</v>
      </c>
      <c r="W70">
        <v>1.21</v>
      </c>
      <c r="X70">
        <v>0.1</v>
      </c>
      <c r="Y70">
        <v>0.44</v>
      </c>
      <c r="Z70" t="s">
        <v>3611</v>
      </c>
      <c r="AA70" t="s">
        <v>3612</v>
      </c>
      <c r="AB70" t="s">
        <v>3613</v>
      </c>
      <c r="AC70" t="s">
        <v>3614</v>
      </c>
      <c r="AD70" t="s">
        <v>5</v>
      </c>
      <c r="AE70">
        <v>743746</v>
      </c>
      <c r="AF70" t="s">
        <v>3615</v>
      </c>
      <c r="AG70">
        <v>2016.06</v>
      </c>
      <c r="AH70" t="s">
        <v>3616</v>
      </c>
      <c r="AI70" t="s">
        <v>3617</v>
      </c>
      <c r="AJ70" t="s">
        <v>3618</v>
      </c>
      <c r="AK70" t="s">
        <v>3619</v>
      </c>
      <c r="AL70" t="s">
        <v>3620</v>
      </c>
      <c r="AM70" t="s">
        <v>5</v>
      </c>
      <c r="AN70" t="s">
        <v>3621</v>
      </c>
      <c r="AO70" t="s">
        <v>2185</v>
      </c>
      <c r="AP70" t="s">
        <v>3622</v>
      </c>
      <c r="AQ70" t="s">
        <v>3623</v>
      </c>
      <c r="AR70" t="s">
        <v>5</v>
      </c>
      <c r="AS70" t="s">
        <v>207</v>
      </c>
      <c r="AT70" t="s">
        <v>5</v>
      </c>
      <c r="AU70" t="s">
        <v>3624</v>
      </c>
      <c r="AV70" t="s">
        <v>3625</v>
      </c>
      <c r="AW70" t="s">
        <v>3626</v>
      </c>
      <c r="AX70" t="s">
        <v>442</v>
      </c>
      <c r="AY70" t="s">
        <v>855</v>
      </c>
      <c r="AZ70" t="s">
        <v>440</v>
      </c>
      <c r="BA70" t="s">
        <v>648</v>
      </c>
      <c r="BB70" t="s">
        <v>289</v>
      </c>
      <c r="BC70" t="s">
        <v>1964</v>
      </c>
      <c r="BD70" t="s">
        <v>1429</v>
      </c>
      <c r="BE70" t="s">
        <v>1015</v>
      </c>
      <c r="BF70" t="s">
        <v>649</v>
      </c>
      <c r="BG70" t="s">
        <v>1016</v>
      </c>
      <c r="BH70" t="s">
        <v>113</v>
      </c>
      <c r="BI70" t="s">
        <v>3627</v>
      </c>
      <c r="BJ70" t="s">
        <v>442</v>
      </c>
      <c r="BK70" t="s">
        <v>3610</v>
      </c>
      <c r="BL70" t="s">
        <v>3628</v>
      </c>
      <c r="BM70" t="s">
        <v>1964</v>
      </c>
      <c r="BN70">
        <v>2.94</v>
      </c>
      <c r="BO70">
        <v>4.78</v>
      </c>
      <c r="BP70">
        <v>6.36</v>
      </c>
      <c r="BQ70">
        <v>2.85</v>
      </c>
      <c r="BR70">
        <v>5.21</v>
      </c>
      <c r="BS70">
        <v>7.2</v>
      </c>
      <c r="BT70" t="s">
        <v>1723</v>
      </c>
      <c r="BU70" t="s">
        <v>1537</v>
      </c>
      <c r="BV70">
        <v>28.59</v>
      </c>
      <c r="BW70">
        <v>29.13</v>
      </c>
      <c r="BX70">
        <v>30.68</v>
      </c>
      <c r="BY70">
        <v>5.07</v>
      </c>
      <c r="BZ70">
        <v>7.19</v>
      </c>
      <c r="CA70">
        <v>9.74</v>
      </c>
      <c r="CB70">
        <v>23.52</v>
      </c>
      <c r="CC70">
        <v>14.38</v>
      </c>
      <c r="CD70" t="s">
        <v>3629</v>
      </c>
      <c r="CE70" t="s">
        <v>3630</v>
      </c>
      <c r="CF70" s="10">
        <v>-0.27704028290923327</v>
      </c>
      <c r="CG70" s="11">
        <v>-0.95905124411566911</v>
      </c>
      <c r="CH70" s="10">
        <v>-0.13853904604911804</v>
      </c>
      <c r="CI70" s="10">
        <v>1.794871874153614E-2</v>
      </c>
      <c r="CJ70" s="10">
        <v>0.25401929020881653</v>
      </c>
      <c r="CK70" s="10">
        <v>-0.1214689239859581</v>
      </c>
      <c r="CL70" s="10">
        <v>-7.0866145193576813E-2</v>
      </c>
      <c r="CM70" s="11">
        <v>-0.39148995280265808</v>
      </c>
      <c r="CN70" s="11">
        <v>-0.25866734981536865</v>
      </c>
      <c r="CO70" s="11">
        <v>0.69727516174316406</v>
      </c>
      <c r="CP70" s="11">
        <v>7.9324744641780853E-2</v>
      </c>
      <c r="CQ70" s="11">
        <v>-0.57204210758209229</v>
      </c>
      <c r="CR70">
        <v>75.53713205051011</v>
      </c>
      <c r="CS70">
        <v>64.116554991461328</v>
      </c>
      <c r="CT70">
        <v>0.5988023952095809</v>
      </c>
      <c r="CU70" s="10">
        <v>-1.1781221255660057E-2</v>
      </c>
      <c r="CV70" s="11">
        <v>-8.9119900763034818E-2</v>
      </c>
      <c r="CW70">
        <v>0.06</v>
      </c>
      <c r="CX70">
        <v>104.6358066712049</v>
      </c>
      <c r="CY70" t="s">
        <v>3631</v>
      </c>
      <c r="CZ70">
        <v>-1.1781221255660057E-2</v>
      </c>
      <c r="DA70">
        <v>34.878602223734966</v>
      </c>
      <c r="DB70" t="s">
        <v>3632</v>
      </c>
      <c r="DC70">
        <v>-1.1192160192877054E-2</v>
      </c>
      <c r="DD70">
        <v>17.439301111867483</v>
      </c>
      <c r="DE70" t="s">
        <v>3633</v>
      </c>
      <c r="DF70">
        <v>-1.036747470498085E-2</v>
      </c>
      <c r="DG70">
        <v>10.463580667120491</v>
      </c>
      <c r="DH70" t="s">
        <v>3634</v>
      </c>
      <c r="DI70">
        <v>-9.4249770045280457E-3</v>
      </c>
      <c r="DJ70">
        <v>5.2317903335602454</v>
      </c>
      <c r="DK70" t="s">
        <v>3635</v>
      </c>
      <c r="DL70">
        <v>-8.2468548789620399E-3</v>
      </c>
      <c r="DM70">
        <v>17334200</v>
      </c>
      <c r="DN70">
        <v>-1.1781221255660057E-2</v>
      </c>
      <c r="DO70">
        <v>1813778000</v>
      </c>
      <c r="DP70">
        <v>260451180</v>
      </c>
      <c r="DQ70">
        <v>2017</v>
      </c>
      <c r="DR70">
        <v>-0.26525906165357321</v>
      </c>
      <c r="DS70">
        <v>-0.86993134335263433</v>
      </c>
      <c r="DT70" s="12">
        <v>-0.3066666666666667</v>
      </c>
      <c r="DU70">
        <v>-0.59</v>
      </c>
      <c r="DV70">
        <v>-0.89666666666666672</v>
      </c>
      <c r="DW70">
        <v>5.6113945578231297</v>
      </c>
      <c r="DX70">
        <v>1.5827731884190173</v>
      </c>
      <c r="DY70">
        <v>5.2951649000623036</v>
      </c>
      <c r="DZ70">
        <v>3453</v>
      </c>
      <c r="EA70">
        <v>5.0957119842276395</v>
      </c>
      <c r="EB70">
        <v>5</v>
      </c>
      <c r="EC70">
        <v>0.35737888105594723</v>
      </c>
      <c r="ED70">
        <v>0.74026248687565621</v>
      </c>
      <c r="EE70" s="13">
        <v>2.0226999999999999</v>
      </c>
      <c r="EF70">
        <v>2.0095999999999998</v>
      </c>
      <c r="EG70">
        <v>110.48277318841902</v>
      </c>
      <c r="EH70" t="s">
        <v>1871</v>
      </c>
      <c r="EI70">
        <v>1</v>
      </c>
      <c r="EJ70">
        <v>0</v>
      </c>
      <c r="EK70" s="15">
        <v>45470</v>
      </c>
      <c r="EL70" s="16">
        <v>-0.44</v>
      </c>
      <c r="EM70" s="16">
        <v>-6</v>
      </c>
      <c r="EN70" s="16">
        <v>1.87</v>
      </c>
      <c r="EO70" s="16">
        <v>5.28</v>
      </c>
      <c r="EP70" s="16">
        <v>-1.31</v>
      </c>
    </row>
    <row r="71" spans="1:146" ht="108" x14ac:dyDescent="0.25">
      <c r="A71" s="8"/>
      <c r="B71" s="8"/>
      <c r="C71" s="8" t="str">
        <f>""&amp;CHAR(10)&amp;Basic_Fundamental_Information_Constructure(F71)&amp;CHAR(10)&amp;Basic_Fundamental_Information_Concatenate("")</f>
        <v xml:space="preserve">
市值25.282965亿, 利润4858.54万; PE53.19; 平均PE50.91; 平均PEG7.57, PB2.83; ROIC5.15%; ROE6.3%; 股利率.9147%; 毛利26.3067%; 净利12.7167%; 上一年度营收增-7.16%, 利润增-6.24%; 当季营收增-17.29%, 利润增-13.7%; 过往5年营收增6.73%, 利润增6.61%
Income profile:
</v>
      </c>
      <c r="D71" t="s">
        <v>773</v>
      </c>
      <c r="E71" t="s">
        <v>40</v>
      </c>
      <c r="F71">
        <v>13.12</v>
      </c>
      <c r="G71">
        <v>1.1599999999999999</v>
      </c>
      <c r="H71" t="s">
        <v>3636</v>
      </c>
      <c r="I71">
        <v>2528296500</v>
      </c>
      <c r="J71">
        <v>53.19</v>
      </c>
      <c r="K71">
        <v>2.83</v>
      </c>
      <c r="L71" t="s">
        <v>101</v>
      </c>
      <c r="M71" t="s">
        <v>187</v>
      </c>
      <c r="N71" t="s">
        <v>1844</v>
      </c>
      <c r="O71" t="s">
        <v>3637</v>
      </c>
      <c r="P71">
        <v>-17.29</v>
      </c>
      <c r="Q71" t="s">
        <v>768</v>
      </c>
      <c r="R71">
        <v>6650839</v>
      </c>
      <c r="S71" s="6">
        <v>-0.13700000000000001</v>
      </c>
      <c r="T71" t="s">
        <v>3638</v>
      </c>
      <c r="U71">
        <v>179429820</v>
      </c>
      <c r="V71">
        <v>192705530</v>
      </c>
      <c r="W71">
        <v>1.1200000000000001</v>
      </c>
      <c r="X71">
        <v>0.06</v>
      </c>
      <c r="Y71">
        <v>10.76</v>
      </c>
      <c r="Z71" t="s">
        <v>3639</v>
      </c>
      <c r="AA71" t="s">
        <v>3640</v>
      </c>
      <c r="AB71" t="s">
        <v>3641</v>
      </c>
      <c r="AC71" t="s">
        <v>3642</v>
      </c>
      <c r="AD71" t="s">
        <v>5</v>
      </c>
      <c r="AE71">
        <v>-2263852</v>
      </c>
      <c r="AF71" t="s">
        <v>127</v>
      </c>
      <c r="AG71" t="s">
        <v>5</v>
      </c>
      <c r="AH71" t="s">
        <v>3643</v>
      </c>
      <c r="AI71" t="s">
        <v>791</v>
      </c>
      <c r="AJ71" t="s">
        <v>3644</v>
      </c>
      <c r="AK71" t="s">
        <v>3645</v>
      </c>
      <c r="AL71" t="s">
        <v>3646</v>
      </c>
      <c r="AM71" t="s">
        <v>5</v>
      </c>
      <c r="AN71" t="s">
        <v>108</v>
      </c>
      <c r="AO71" t="s">
        <v>3647</v>
      </c>
      <c r="AP71" t="s">
        <v>3648</v>
      </c>
      <c r="AQ71" t="s">
        <v>3649</v>
      </c>
      <c r="AR71" t="s">
        <v>5</v>
      </c>
      <c r="AS71" t="s">
        <v>353</v>
      </c>
      <c r="AT71" t="s">
        <v>5</v>
      </c>
      <c r="AU71" t="s">
        <v>3650</v>
      </c>
      <c r="AV71" t="s">
        <v>3651</v>
      </c>
      <c r="AW71" t="s">
        <v>3652</v>
      </c>
      <c r="AX71" t="s">
        <v>810</v>
      </c>
      <c r="AY71" t="s">
        <v>810</v>
      </c>
      <c r="AZ71" t="s">
        <v>210</v>
      </c>
      <c r="BA71" t="s">
        <v>490</v>
      </c>
      <c r="BB71" t="s">
        <v>130</v>
      </c>
      <c r="BC71" t="s">
        <v>3653</v>
      </c>
      <c r="BD71" t="s">
        <v>1430</v>
      </c>
      <c r="BE71" t="s">
        <v>1019</v>
      </c>
      <c r="BF71" t="s">
        <v>774</v>
      </c>
      <c r="BG71" t="s">
        <v>1020</v>
      </c>
      <c r="BH71" t="s">
        <v>768</v>
      </c>
      <c r="BI71" t="s">
        <v>3654</v>
      </c>
      <c r="BJ71" t="s">
        <v>810</v>
      </c>
      <c r="BK71" t="s">
        <v>3638</v>
      </c>
      <c r="BL71" t="s">
        <v>3655</v>
      </c>
      <c r="BM71" t="s">
        <v>3653</v>
      </c>
      <c r="BN71">
        <v>3.36</v>
      </c>
      <c r="BO71">
        <v>5.22</v>
      </c>
      <c r="BP71">
        <v>6.87</v>
      </c>
      <c r="BQ71">
        <v>4.3499999999999996</v>
      </c>
      <c r="BR71">
        <v>6.09</v>
      </c>
      <c r="BS71">
        <v>8.4600000000000009</v>
      </c>
      <c r="BT71" t="s">
        <v>3656</v>
      </c>
      <c r="BU71" t="s">
        <v>1595</v>
      </c>
      <c r="BV71">
        <v>26.87</v>
      </c>
      <c r="BW71">
        <v>25.45</v>
      </c>
      <c r="BX71">
        <v>26.6</v>
      </c>
      <c r="BY71">
        <v>12.93</v>
      </c>
      <c r="BZ71">
        <v>12.76</v>
      </c>
      <c r="CA71">
        <v>12.46</v>
      </c>
      <c r="CB71">
        <v>-1.28</v>
      </c>
      <c r="CC71">
        <v>-8.44</v>
      </c>
      <c r="CD71" t="s">
        <v>3657</v>
      </c>
      <c r="CE71" t="s">
        <v>3658</v>
      </c>
      <c r="CF71" s="10">
        <v>-0.17285994144378014</v>
      </c>
      <c r="CG71" s="11">
        <v>-0.13701679036694855</v>
      </c>
      <c r="CH71" s="10">
        <v>-7.1604937314987183E-2</v>
      </c>
      <c r="CI71" s="10">
        <v>0</v>
      </c>
      <c r="CJ71" s="10">
        <v>0.13764044642448425</v>
      </c>
      <c r="CK71" s="10">
        <v>2.2988505661487579E-2</v>
      </c>
      <c r="CL71" s="10">
        <v>0.24731183052062988</v>
      </c>
      <c r="CM71" s="11">
        <v>-6.2389157712459564E-2</v>
      </c>
      <c r="CN71" s="11">
        <v>2.7378492057323456E-2</v>
      </c>
      <c r="CO71" s="11">
        <v>-6.9930315017700195E-2</v>
      </c>
      <c r="CP71" s="11">
        <v>-1.2989731505513191E-2</v>
      </c>
      <c r="CQ71" s="11">
        <v>0.44821897149085999</v>
      </c>
      <c r="CR71">
        <v>50.913362787663011</v>
      </c>
      <c r="CS71">
        <v>7.5688279290480338</v>
      </c>
      <c r="CT71">
        <v>0.91466463414634147</v>
      </c>
      <c r="CU71" s="10">
        <v>6.7267169058322904E-2</v>
      </c>
      <c r="CV71" s="11">
        <v>6.6057651862502093E-2</v>
      </c>
      <c r="CW71">
        <v>0.06</v>
      </c>
      <c r="CX71">
        <v>36.474887096363283</v>
      </c>
      <c r="CY71">
        <v>48918492.750534184</v>
      </c>
      <c r="CZ71">
        <v>6.7267169058322904E-2</v>
      </c>
      <c r="DA71">
        <v>12.151923635610295</v>
      </c>
      <c r="DB71">
        <v>146832431.92635393</v>
      </c>
      <c r="DC71">
        <v>6.3903810605406758E-2</v>
      </c>
      <c r="DD71">
        <v>6.1371151297003026</v>
      </c>
      <c r="DE71">
        <v>290738638.9681651</v>
      </c>
      <c r="DF71">
        <v>5.9195108771324154E-2</v>
      </c>
      <c r="DG71">
        <v>3.792109984544183</v>
      </c>
      <c r="DH71">
        <v>470528678.56481093</v>
      </c>
      <c r="DI71">
        <v>5.3813735246658327E-2</v>
      </c>
      <c r="DJ71">
        <v>2.083241150992388</v>
      </c>
      <c r="DK71">
        <v>856500218.0136559</v>
      </c>
      <c r="DL71">
        <v>4.7087018340826028E-2</v>
      </c>
      <c r="DM71">
        <v>48585400</v>
      </c>
      <c r="DN71">
        <v>6.7267169058322904E-2</v>
      </c>
      <c r="DO71">
        <v>1784296500</v>
      </c>
      <c r="DP71">
        <v>454878230</v>
      </c>
      <c r="DQ71">
        <v>2135</v>
      </c>
      <c r="DR71">
        <v>-0.24012711050210306</v>
      </c>
      <c r="DS71">
        <v>-0.20307444222945065</v>
      </c>
      <c r="DT71" s="12">
        <v>-0.34</v>
      </c>
      <c r="DU71">
        <v>9.9999999999999992E-2</v>
      </c>
      <c r="DV71">
        <v>-0.24000000000000005</v>
      </c>
      <c r="DW71">
        <v>-2.0844</v>
      </c>
      <c r="DX71">
        <v>0.31537015578730387</v>
      </c>
      <c r="DY71">
        <v>-2.0080492411484485</v>
      </c>
      <c r="DZ71">
        <v>2298</v>
      </c>
      <c r="EA71">
        <v>-2.0044294454225904</v>
      </c>
      <c r="EB71">
        <v>2</v>
      </c>
      <c r="EC71">
        <v>1.9219479586288987E-2</v>
      </c>
      <c r="ED71">
        <v>0.20152509375314762</v>
      </c>
      <c r="EE71" s="13">
        <v>2.0220099999999999</v>
      </c>
      <c r="EF71">
        <v>2.0182099999999998</v>
      </c>
      <c r="EG71">
        <v>22.095370155787304</v>
      </c>
      <c r="EH71" t="s">
        <v>1816</v>
      </c>
      <c r="EI71">
        <v>0</v>
      </c>
      <c r="EJ71">
        <v>0</v>
      </c>
      <c r="EK71" s="15">
        <v>45470</v>
      </c>
      <c r="EL71" s="16">
        <v>0.15</v>
      </c>
      <c r="EM71" s="16">
        <v>-0.37</v>
      </c>
      <c r="EN71" s="16">
        <v>-1.2</v>
      </c>
      <c r="EO71" s="16">
        <v>1.22</v>
      </c>
      <c r="EP71" s="16">
        <v>0.38</v>
      </c>
    </row>
    <row r="72" spans="1:146" ht="96" x14ac:dyDescent="0.25">
      <c r="A72" s="8"/>
      <c r="B72" s="8"/>
      <c r="C72" s="8" t="str">
        <f>""&amp;CHAR(10)&amp;Basic_Fundamental_Information_Constructure(F72)&amp;CHAR(10)&amp;Basic_Fundamental_Information_Concatenate("")</f>
        <v xml:space="preserve">
市值22.047985亿, 利润4616.48万; PE78.82; 平均PE54.2; 平均PEG3.59, PB1.58; ROIC3.72%; ROE2.6267%; 股利率.7148%; 毛利40.0133%; 净利1.4133%; 上一年度营收增81.77%, 利润增287.49%; 当季营收增-38.83%, 利润增-65.16%; 过往5年营收增15.08%, 利润增56.42%
Income profile:
</v>
      </c>
      <c r="D72" t="s">
        <v>652</v>
      </c>
      <c r="E72" t="s">
        <v>1021</v>
      </c>
      <c r="F72">
        <v>13.99</v>
      </c>
      <c r="G72">
        <v>0.28999999999999998</v>
      </c>
      <c r="H72" t="s">
        <v>3659</v>
      </c>
      <c r="I72">
        <v>2204798500</v>
      </c>
      <c r="J72">
        <v>78.819999999999993</v>
      </c>
      <c r="K72">
        <v>1.58</v>
      </c>
      <c r="L72" t="s">
        <v>101</v>
      </c>
      <c r="M72" t="s">
        <v>622</v>
      </c>
      <c r="N72" t="s">
        <v>1696</v>
      </c>
      <c r="O72" t="s">
        <v>3660</v>
      </c>
      <c r="P72">
        <v>-38.770000000000003</v>
      </c>
      <c r="Q72" t="s">
        <v>624</v>
      </c>
      <c r="R72">
        <v>9727465</v>
      </c>
      <c r="S72" s="6">
        <v>-0.65159999999999996</v>
      </c>
      <c r="T72" t="s">
        <v>3661</v>
      </c>
      <c r="U72">
        <v>118363284</v>
      </c>
      <c r="V72">
        <v>157598180</v>
      </c>
      <c r="W72">
        <v>1.51</v>
      </c>
      <c r="X72">
        <v>0.05</v>
      </c>
      <c r="Y72">
        <v>10.69</v>
      </c>
      <c r="Z72" t="s">
        <v>3662</v>
      </c>
      <c r="AA72" t="s">
        <v>3663</v>
      </c>
      <c r="AB72" t="s">
        <v>3664</v>
      </c>
      <c r="AC72" t="s">
        <v>3665</v>
      </c>
      <c r="AD72" t="s">
        <v>5</v>
      </c>
      <c r="AE72">
        <v>-3272640</v>
      </c>
      <c r="AF72" t="s">
        <v>3666</v>
      </c>
      <c r="AG72" t="s">
        <v>3667</v>
      </c>
      <c r="AH72" t="s">
        <v>3668</v>
      </c>
      <c r="AI72" t="s">
        <v>104</v>
      </c>
      <c r="AJ72" t="s">
        <v>3669</v>
      </c>
      <c r="AK72" t="s">
        <v>3670</v>
      </c>
      <c r="AL72" t="s">
        <v>3671</v>
      </c>
      <c r="AM72" t="s">
        <v>5</v>
      </c>
      <c r="AN72" t="s">
        <v>239</v>
      </c>
      <c r="AO72" t="s">
        <v>5</v>
      </c>
      <c r="AP72" t="s">
        <v>3672</v>
      </c>
      <c r="AQ72" t="s">
        <v>3673</v>
      </c>
      <c r="AR72" t="s">
        <v>5</v>
      </c>
      <c r="AS72" t="s">
        <v>183</v>
      </c>
      <c r="AT72" t="s">
        <v>5</v>
      </c>
      <c r="AU72" t="s">
        <v>3674</v>
      </c>
      <c r="AV72" t="s">
        <v>3675</v>
      </c>
      <c r="AW72" t="s">
        <v>3676</v>
      </c>
      <c r="AX72" t="s">
        <v>510</v>
      </c>
      <c r="AY72" t="s">
        <v>962</v>
      </c>
      <c r="AZ72" t="s">
        <v>203</v>
      </c>
      <c r="BA72" t="s">
        <v>653</v>
      </c>
      <c r="BB72" t="s">
        <v>334</v>
      </c>
      <c r="BC72" t="s">
        <v>3677</v>
      </c>
      <c r="BD72" t="s">
        <v>1967</v>
      </c>
      <c r="BE72" t="s">
        <v>1022</v>
      </c>
      <c r="BF72" t="s">
        <v>178</v>
      </c>
      <c r="BG72" t="s">
        <v>1023</v>
      </c>
      <c r="BH72" t="s">
        <v>624</v>
      </c>
      <c r="BI72" t="s">
        <v>165</v>
      </c>
      <c r="BJ72" t="s">
        <v>510</v>
      </c>
      <c r="BK72" t="s">
        <v>3661</v>
      </c>
      <c r="BL72" t="s">
        <v>3678</v>
      </c>
      <c r="BM72" t="s">
        <v>3677</v>
      </c>
      <c r="BN72">
        <v>6.87</v>
      </c>
      <c r="BO72" t="s">
        <v>5</v>
      </c>
      <c r="BP72">
        <v>0.56999999999999995</v>
      </c>
      <c r="BQ72">
        <v>8.09</v>
      </c>
      <c r="BR72">
        <v>-2.2599999999999998</v>
      </c>
      <c r="BS72">
        <v>2.0499999999999998</v>
      </c>
      <c r="BT72" t="s">
        <v>1723</v>
      </c>
      <c r="BU72" t="s">
        <v>1537</v>
      </c>
      <c r="BV72">
        <v>35.4</v>
      </c>
      <c r="BW72">
        <v>36.950000000000003</v>
      </c>
      <c r="BX72">
        <v>47.69</v>
      </c>
      <c r="BY72">
        <v>6.22</v>
      </c>
      <c r="BZ72">
        <v>-5.97</v>
      </c>
      <c r="CA72">
        <v>3.99</v>
      </c>
      <c r="CB72">
        <v>-6.23</v>
      </c>
      <c r="CC72">
        <v>3.25</v>
      </c>
      <c r="CD72" t="s">
        <v>3679</v>
      </c>
      <c r="CE72" t="s">
        <v>261</v>
      </c>
      <c r="CF72" s="10">
        <v>-0.38829746835443035</v>
      </c>
      <c r="CG72" s="11">
        <v>-0.65158386194397389</v>
      </c>
      <c r="CH72" s="10">
        <v>0.8177340030670166</v>
      </c>
      <c r="CI72" s="10">
        <v>-0.1944444477558136</v>
      </c>
      <c r="CJ72" s="10">
        <v>0.31592687964439392</v>
      </c>
      <c r="CK72" s="10">
        <v>-0.3871999979019165</v>
      </c>
      <c r="CL72" s="10">
        <v>0.20192307233810425</v>
      </c>
      <c r="CM72" s="11">
        <v>2.8749411106109619</v>
      </c>
      <c r="CN72" s="11">
        <v>-1.7107474803924561</v>
      </c>
      <c r="CO72" s="11">
        <v>2.7183218002319336</v>
      </c>
      <c r="CP72" s="11">
        <v>-1.1832782030105591</v>
      </c>
      <c r="CQ72" s="11">
        <v>0.12194753438234329</v>
      </c>
      <c r="CR72">
        <v>54.201162461015031</v>
      </c>
      <c r="CS72">
        <v>3.5945299182384001</v>
      </c>
      <c r="CT72">
        <v>0.71479628305932807</v>
      </c>
      <c r="CU72" s="10">
        <v>0.15078790187835694</v>
      </c>
      <c r="CV72" s="11">
        <v>0.56423695236444471</v>
      </c>
      <c r="CW72">
        <v>0.06</v>
      </c>
      <c r="CX72">
        <v>29.625598955024053</v>
      </c>
      <c r="CY72">
        <v>50118767.2949377</v>
      </c>
      <c r="CZ72">
        <v>0.15078790187835694</v>
      </c>
      <c r="DA72">
        <v>9.1989584252456993</v>
      </c>
      <c r="DB72">
        <v>161409415.21434715</v>
      </c>
      <c r="DC72">
        <v>0.14324850678443909</v>
      </c>
      <c r="DD72">
        <v>4.2227941944622813</v>
      </c>
      <c r="DE72">
        <v>351615170.34080088</v>
      </c>
      <c r="DF72">
        <v>0.13269335365295412</v>
      </c>
      <c r="DG72">
        <v>2.3386628953282367</v>
      </c>
      <c r="DH72">
        <v>634892058.60582364</v>
      </c>
      <c r="DI72">
        <v>0.12063032150268556</v>
      </c>
      <c r="DJ72">
        <v>1.0040409061458462</v>
      </c>
      <c r="DK72">
        <v>1478822716.1975007</v>
      </c>
      <c r="DL72">
        <v>0.10555153131484986</v>
      </c>
      <c r="DM72">
        <v>46164799.999999993</v>
      </c>
      <c r="DN72">
        <v>0.15078790187835694</v>
      </c>
      <c r="DO72">
        <v>1484798500</v>
      </c>
      <c r="DP72">
        <v>790766700</v>
      </c>
      <c r="DQ72">
        <v>2215</v>
      </c>
      <c r="DR72">
        <v>-0.53908537023278735</v>
      </c>
      <c r="DS72">
        <v>-1.2158208143084186</v>
      </c>
      <c r="DT72" s="12">
        <v>-0.14000000000000001</v>
      </c>
      <c r="DU72">
        <v>-1.1783333333333335</v>
      </c>
      <c r="DV72">
        <v>-1.3183333333333334</v>
      </c>
      <c r="DW72">
        <v>-5.5216693418940608</v>
      </c>
      <c r="DX72">
        <v>0.22190163934426224</v>
      </c>
      <c r="DY72">
        <v>-5.0635923479725289</v>
      </c>
      <c r="DZ72">
        <v>557</v>
      </c>
      <c r="EA72">
        <v>-5.0566606575966579</v>
      </c>
      <c r="EB72">
        <v>5</v>
      </c>
      <c r="EC72">
        <v>9.4366571999752791E-2</v>
      </c>
      <c r="ED72">
        <v>0.77412061484466377</v>
      </c>
      <c r="EE72" s="13">
        <v>2.0766100000000001</v>
      </c>
      <c r="EF72">
        <v>2.0979100000000002</v>
      </c>
      <c r="EG72">
        <v>10.121901639344262</v>
      </c>
      <c r="EH72" t="s">
        <v>1816</v>
      </c>
      <c r="EI72">
        <v>0</v>
      </c>
      <c r="EJ72">
        <v>1</v>
      </c>
      <c r="EK72" s="15">
        <v>45470</v>
      </c>
      <c r="EL72" s="16">
        <v>-0.35</v>
      </c>
      <c r="EM72" s="16">
        <v>-3.2</v>
      </c>
      <c r="EN72" s="16">
        <v>1.01</v>
      </c>
      <c r="EO72" s="16">
        <v>0.79</v>
      </c>
      <c r="EP72" s="16">
        <v>-2.13</v>
      </c>
    </row>
    <row r="73" spans="1:146" ht="108" x14ac:dyDescent="0.25">
      <c r="A73" s="8"/>
      <c r="B73" s="8"/>
      <c r="C73" s="8" t="str">
        <f>""&amp;CHAR(10)&amp;Basic_Fundamental_Information_Constructure(F73)&amp;CHAR(10)&amp;Basic_Fundamental_Information_Concatenate("")</f>
        <v xml:space="preserve">
市值18.193461亿, 利润2626.93万; PE228.4; 平均PE36.33; 平均PEG.55, PB3.1; ROIC8.26%; ROE10.0067%; 股利率.5999%; 毛利54.73%; 净利16.86%; 上一年度营收增231.82%, 利润增-67.03%; 当季营收增-74.44%, 利润增-59.68%; 过往5年营收增65.96%, 利润增.34%
Income profile:
</v>
      </c>
      <c r="D73" t="s">
        <v>656</v>
      </c>
      <c r="E73" t="s">
        <v>657</v>
      </c>
      <c r="F73">
        <v>16.670000000000002</v>
      </c>
      <c r="G73">
        <v>3.54</v>
      </c>
      <c r="H73" t="s">
        <v>3680</v>
      </c>
      <c r="I73">
        <v>1819346100</v>
      </c>
      <c r="J73">
        <v>228.4</v>
      </c>
      <c r="K73">
        <v>3.1</v>
      </c>
      <c r="L73" t="s">
        <v>101</v>
      </c>
      <c r="M73" t="s">
        <v>233</v>
      </c>
      <c r="N73" t="s">
        <v>3681</v>
      </c>
      <c r="O73" t="s">
        <v>3682</v>
      </c>
      <c r="P73">
        <v>1.34</v>
      </c>
      <c r="Q73" t="s">
        <v>3683</v>
      </c>
      <c r="R73">
        <v>5873081</v>
      </c>
      <c r="S73" s="6">
        <v>-0.66579999999999995</v>
      </c>
      <c r="T73" t="s">
        <v>3684</v>
      </c>
      <c r="U73">
        <v>57683743</v>
      </c>
      <c r="V73">
        <v>109138939</v>
      </c>
      <c r="W73">
        <v>1.44</v>
      </c>
      <c r="X73">
        <v>0.08</v>
      </c>
      <c r="Y73">
        <v>6.93</v>
      </c>
      <c r="Z73" t="s">
        <v>3685</v>
      </c>
      <c r="AA73" t="s">
        <v>3686</v>
      </c>
      <c r="AB73" t="s">
        <v>3687</v>
      </c>
      <c r="AC73" t="s">
        <v>3688</v>
      </c>
      <c r="AD73" t="s">
        <v>5</v>
      </c>
      <c r="AE73">
        <v>659826</v>
      </c>
      <c r="AF73" t="s">
        <v>127</v>
      </c>
      <c r="AG73" t="s">
        <v>3208</v>
      </c>
      <c r="AH73" t="s">
        <v>3689</v>
      </c>
      <c r="AI73" t="s">
        <v>289</v>
      </c>
      <c r="AJ73" t="s">
        <v>3690</v>
      </c>
      <c r="AK73" t="s">
        <v>5</v>
      </c>
      <c r="AL73" t="s">
        <v>3691</v>
      </c>
      <c r="AM73" t="s">
        <v>5</v>
      </c>
      <c r="AN73" t="s">
        <v>3692</v>
      </c>
      <c r="AO73" t="s">
        <v>5</v>
      </c>
      <c r="AP73" t="s">
        <v>5</v>
      </c>
      <c r="AQ73" t="s">
        <v>3693</v>
      </c>
      <c r="AR73" t="s">
        <v>5</v>
      </c>
      <c r="AS73" t="s">
        <v>214</v>
      </c>
      <c r="AT73" t="s">
        <v>5</v>
      </c>
      <c r="AU73" t="s">
        <v>3694</v>
      </c>
      <c r="AV73" t="s">
        <v>3695</v>
      </c>
      <c r="AW73">
        <v>0</v>
      </c>
      <c r="AX73" t="s">
        <v>247</v>
      </c>
      <c r="AY73" t="s">
        <v>479</v>
      </c>
      <c r="AZ73" t="s">
        <v>388</v>
      </c>
      <c r="BA73" t="s">
        <v>658</v>
      </c>
      <c r="BB73" t="s">
        <v>406</v>
      </c>
      <c r="BC73" t="s">
        <v>1968</v>
      </c>
      <c r="BD73" t="s">
        <v>1431</v>
      </c>
      <c r="BE73" t="s">
        <v>1025</v>
      </c>
      <c r="BF73" t="s">
        <v>659</v>
      </c>
      <c r="BG73" t="s">
        <v>1026</v>
      </c>
      <c r="BH73" t="s">
        <v>511</v>
      </c>
      <c r="BI73" t="s">
        <v>946</v>
      </c>
      <c r="BJ73" t="s">
        <v>247</v>
      </c>
      <c r="BK73" t="s">
        <v>3696</v>
      </c>
      <c r="BL73" t="s">
        <v>3697</v>
      </c>
      <c r="BM73" t="s">
        <v>1968</v>
      </c>
      <c r="BN73">
        <v>1.69</v>
      </c>
      <c r="BO73">
        <v>10.93</v>
      </c>
      <c r="BP73">
        <v>12.16</v>
      </c>
      <c r="BQ73">
        <v>3.25</v>
      </c>
      <c r="BR73">
        <v>13.25</v>
      </c>
      <c r="BS73">
        <v>13.52</v>
      </c>
      <c r="BT73" t="s">
        <v>1723</v>
      </c>
      <c r="BU73" t="s">
        <v>1537</v>
      </c>
      <c r="BV73">
        <v>49.72</v>
      </c>
      <c r="BW73">
        <v>52.59</v>
      </c>
      <c r="BX73">
        <v>61.88</v>
      </c>
      <c r="BY73">
        <v>6.84</v>
      </c>
      <c r="BZ73">
        <v>21.31</v>
      </c>
      <c r="CA73">
        <v>22.43</v>
      </c>
      <c r="CB73">
        <v>-1.65</v>
      </c>
      <c r="CC73">
        <v>-18.88</v>
      </c>
      <c r="CD73" t="s">
        <v>3698</v>
      </c>
      <c r="CE73" t="s">
        <v>3699</v>
      </c>
      <c r="CF73" s="10">
        <v>-0.74438785942492014</v>
      </c>
      <c r="CG73" s="11">
        <v>-0.59682011958618508</v>
      </c>
      <c r="CH73" s="10">
        <v>2.3181817531585693</v>
      </c>
      <c r="CI73" s="10">
        <v>0.32155478000640869</v>
      </c>
      <c r="CJ73" s="10">
        <v>0.41499999165534973</v>
      </c>
      <c r="CK73" s="10">
        <v>0.10497237741947174</v>
      </c>
      <c r="CL73" s="10">
        <v>0.13836477696895599</v>
      </c>
      <c r="CM73" s="11">
        <v>-0.67034065723419189</v>
      </c>
      <c r="CN73" s="11">
        <v>0.25431016087532043</v>
      </c>
      <c r="CO73" s="11">
        <v>0.31299188733100891</v>
      </c>
      <c r="CP73" s="11">
        <v>0.4062964916229248</v>
      </c>
      <c r="CQ73" s="11">
        <v>-0.28639042377471924</v>
      </c>
      <c r="CR73">
        <v>36.327345153947526</v>
      </c>
      <c r="CS73">
        <v>0.55073580349276585</v>
      </c>
      <c r="CT73">
        <v>0.59988002399520091</v>
      </c>
      <c r="CU73" s="10">
        <v>0.65961473584175112</v>
      </c>
      <c r="CV73" s="11">
        <v>3.3734917640686037E-3</v>
      </c>
      <c r="CW73">
        <v>0.06</v>
      </c>
      <c r="CX73">
        <v>36.138492367669514</v>
      </c>
      <c r="CY73">
        <v>41129167.339856327</v>
      </c>
      <c r="CZ73">
        <v>0.65961473584175112</v>
      </c>
      <c r="DA73">
        <v>7.5409959625936676</v>
      </c>
      <c r="DB73">
        <v>197102094.65339413</v>
      </c>
      <c r="DC73">
        <v>0.62663399904966355</v>
      </c>
      <c r="DD73">
        <v>1.8657507501960835</v>
      </c>
      <c r="DE73">
        <v>796647730.05922174</v>
      </c>
      <c r="DF73">
        <v>0.58046096754074095</v>
      </c>
      <c r="DG73">
        <v>0.4599146155049863</v>
      </c>
      <c r="DH73">
        <v>3231787053.2729034</v>
      </c>
      <c r="DI73">
        <v>0.52769178867340094</v>
      </c>
      <c r="DJ73">
        <v>2.5189175272898347E-2</v>
      </c>
      <c r="DK73">
        <v>59007334853.046829</v>
      </c>
      <c r="DL73">
        <v>0.46173031508922574</v>
      </c>
      <c r="DM73">
        <v>26269300</v>
      </c>
      <c r="DN73">
        <v>0.65961473584175112</v>
      </c>
      <c r="DO73">
        <v>1486346100</v>
      </c>
      <c r="DP73">
        <v>487612860</v>
      </c>
      <c r="DQ73">
        <v>2270</v>
      </c>
      <c r="DR73">
        <v>-1.4040025952666713</v>
      </c>
      <c r="DS73">
        <v>-0.60019361135025373</v>
      </c>
      <c r="DT73" s="12">
        <v>0.14333333333333331</v>
      </c>
      <c r="DU73">
        <v>-0.25333333333333335</v>
      </c>
      <c r="DV73">
        <v>-0.11000000000000004</v>
      </c>
      <c r="DW73">
        <v>-3.0325714285714285</v>
      </c>
      <c r="DX73">
        <v>0.42987291670544353</v>
      </c>
      <c r="DY73">
        <v>-3.0032530035726919</v>
      </c>
      <c r="DZ73">
        <v>4061</v>
      </c>
      <c r="EA73">
        <v>-3.0006677887960378</v>
      </c>
      <c r="EB73">
        <v>3</v>
      </c>
      <c r="EC73">
        <v>5.4077857582984203E-2</v>
      </c>
      <c r="ED73">
        <v>0.54146668953781929</v>
      </c>
      <c r="EE73" s="13">
        <v>-3.0319099999999999</v>
      </c>
      <c r="EF73">
        <v>-3.0865999999999998</v>
      </c>
      <c r="EG73">
        <v>33.099872916705444</v>
      </c>
      <c r="EH73" t="s">
        <v>1946</v>
      </c>
      <c r="EI73">
        <v>0</v>
      </c>
      <c r="EJ73">
        <v>0</v>
      </c>
      <c r="EK73" s="15">
        <v>45470</v>
      </c>
      <c r="EL73" s="16">
        <v>-0.04</v>
      </c>
      <c r="EM73" s="16">
        <v>-8.74</v>
      </c>
      <c r="EN73" s="16">
        <v>-5.24</v>
      </c>
      <c r="EO73" s="16">
        <v>2.31</v>
      </c>
      <c r="EP73" s="16">
        <v>11.85</v>
      </c>
    </row>
    <row r="74" spans="1:146" ht="108" x14ac:dyDescent="0.25">
      <c r="A74" s="8"/>
      <c r="B74" s="8"/>
      <c r="C74" s="8" t="str">
        <f>""&amp;CHAR(10)&amp;Basic_Fundamental_Information_Constructure(F74)&amp;CHAR(10)&amp;Basic_Fundamental_Information_Concatenate("")</f>
        <v xml:space="preserve">
市值15.010621亿, 利润7135.73万; PE27.18; 平均PE19.98; 平均PEG2.03, PB1.52; ROIC5.5067%; ROE5.8167%; 股利率5.1309%; 毛利41.97%; 净利14.1367%; 上一年度营收增52.17%, 利润增101.34%; 当季营收增-42.71%, 利润增-38.16%; 过往5年营收增9.84%, 利润增10.77%
Income profile:
</v>
      </c>
      <c r="D74" t="s">
        <v>660</v>
      </c>
      <c r="E74" t="s">
        <v>3700</v>
      </c>
      <c r="F74">
        <v>11.46</v>
      </c>
      <c r="G74">
        <v>1.51</v>
      </c>
      <c r="H74" t="s">
        <v>3701</v>
      </c>
      <c r="I74">
        <v>1501062100</v>
      </c>
      <c r="J74">
        <v>27.18</v>
      </c>
      <c r="K74">
        <v>1.52</v>
      </c>
      <c r="L74" t="s">
        <v>101</v>
      </c>
      <c r="M74" t="s">
        <v>293</v>
      </c>
      <c r="N74" t="s">
        <v>3702</v>
      </c>
      <c r="O74" t="s">
        <v>3703</v>
      </c>
      <c r="P74">
        <v>2.2000000000000002</v>
      </c>
      <c r="Q74" t="s">
        <v>2559</v>
      </c>
      <c r="R74">
        <v>10894409</v>
      </c>
      <c r="S74" s="6">
        <v>-0.17499999999999999</v>
      </c>
      <c r="T74" t="s">
        <v>3704</v>
      </c>
      <c r="U74">
        <v>76081722</v>
      </c>
      <c r="V74">
        <v>130982727</v>
      </c>
      <c r="W74">
        <v>1.25</v>
      </c>
      <c r="X74">
        <v>0.08</v>
      </c>
      <c r="Y74">
        <v>10.93</v>
      </c>
      <c r="Z74" t="s">
        <v>3705</v>
      </c>
      <c r="AA74" t="s">
        <v>3706</v>
      </c>
      <c r="AB74" t="s">
        <v>3707</v>
      </c>
      <c r="AC74" t="s">
        <v>3708</v>
      </c>
      <c r="AD74" t="s">
        <v>5</v>
      </c>
      <c r="AE74">
        <v>-1124001</v>
      </c>
      <c r="AF74" t="s">
        <v>127</v>
      </c>
      <c r="AG74" t="s">
        <v>3709</v>
      </c>
      <c r="AH74" t="s">
        <v>3710</v>
      </c>
      <c r="AI74" t="s">
        <v>239</v>
      </c>
      <c r="AJ74" t="s">
        <v>3711</v>
      </c>
      <c r="AK74" t="s">
        <v>3712</v>
      </c>
      <c r="AL74" t="s">
        <v>3713</v>
      </c>
      <c r="AM74" t="s">
        <v>5</v>
      </c>
      <c r="AN74" t="s">
        <v>508</v>
      </c>
      <c r="AO74" t="s">
        <v>5</v>
      </c>
      <c r="AP74" t="s">
        <v>3714</v>
      </c>
      <c r="AQ74" t="s">
        <v>3715</v>
      </c>
      <c r="AR74" t="s">
        <v>5</v>
      </c>
      <c r="AS74" t="s">
        <v>343</v>
      </c>
      <c r="AT74" t="s">
        <v>5</v>
      </c>
      <c r="AU74" t="s">
        <v>3716</v>
      </c>
      <c r="AV74" t="s">
        <v>3717</v>
      </c>
      <c r="AW74" t="s">
        <v>3718</v>
      </c>
      <c r="AX74" t="s">
        <v>1596</v>
      </c>
      <c r="AY74" t="s">
        <v>1168</v>
      </c>
      <c r="AZ74" t="s">
        <v>651</v>
      </c>
      <c r="BA74" t="s">
        <v>159</v>
      </c>
      <c r="BB74" t="s">
        <v>228</v>
      </c>
      <c r="BC74" t="s">
        <v>1969</v>
      </c>
      <c r="BD74" t="s">
        <v>1432</v>
      </c>
      <c r="BE74" t="s">
        <v>1027</v>
      </c>
      <c r="BF74" t="s">
        <v>662</v>
      </c>
      <c r="BG74" t="s">
        <v>1028</v>
      </c>
      <c r="BH74" t="s">
        <v>528</v>
      </c>
      <c r="BI74" t="s">
        <v>287</v>
      </c>
      <c r="BJ74" t="s">
        <v>1596</v>
      </c>
      <c r="BK74" t="s">
        <v>3719</v>
      </c>
      <c r="BL74" t="s">
        <v>3720</v>
      </c>
      <c r="BM74" t="s">
        <v>1969</v>
      </c>
      <c r="BN74">
        <v>4.07</v>
      </c>
      <c r="BO74">
        <v>3.24</v>
      </c>
      <c r="BP74">
        <v>9.2100000000000009</v>
      </c>
      <c r="BQ74">
        <v>4.2</v>
      </c>
      <c r="BR74">
        <v>3.65</v>
      </c>
      <c r="BS74">
        <v>9.6</v>
      </c>
      <c r="BT74" t="s">
        <v>3721</v>
      </c>
      <c r="BU74" t="s">
        <v>1537</v>
      </c>
      <c r="BV74">
        <v>44.12</v>
      </c>
      <c r="BW74">
        <v>36.08</v>
      </c>
      <c r="BX74">
        <v>45.71</v>
      </c>
      <c r="BY74">
        <v>13.95</v>
      </c>
      <c r="BZ74">
        <v>8.6300000000000008</v>
      </c>
      <c r="CA74">
        <v>19.829999999999998</v>
      </c>
      <c r="CB74">
        <v>-5.68</v>
      </c>
      <c r="CC74">
        <v>-12</v>
      </c>
      <c r="CD74" t="s">
        <v>3722</v>
      </c>
      <c r="CE74" t="s">
        <v>480</v>
      </c>
      <c r="CF74" s="10">
        <v>-0.42706882352941178</v>
      </c>
      <c r="CG74" s="11">
        <v>-0.38158978929203941</v>
      </c>
      <c r="CH74" s="10">
        <v>0.52173912525177002</v>
      </c>
      <c r="CI74" s="10">
        <v>-9.1476090252399445E-2</v>
      </c>
      <c r="CJ74" s="10">
        <v>3.2188840210437775E-2</v>
      </c>
      <c r="CK74" s="10">
        <v>-1.8947368487715721E-2</v>
      </c>
      <c r="CL74" s="10">
        <v>4.8565123230218887E-2</v>
      </c>
      <c r="CM74" s="11">
        <v>1.0133768320083618</v>
      </c>
      <c r="CN74" s="11">
        <v>-0.60862016677856445</v>
      </c>
      <c r="CO74" s="11">
        <v>8.9670605957508087E-3</v>
      </c>
      <c r="CP74" s="11">
        <v>6.6442139446735382E-2</v>
      </c>
      <c r="CQ74" s="11">
        <v>5.8263000100851059E-2</v>
      </c>
      <c r="CR74">
        <v>19.979100232325628</v>
      </c>
      <c r="CS74">
        <v>2.0301090553243335</v>
      </c>
      <c r="CT74">
        <v>5.1308900523560208</v>
      </c>
      <c r="CU74" s="10">
        <v>9.8413925990462309E-2</v>
      </c>
      <c r="CV74" s="11">
        <v>0.10768577307462693</v>
      </c>
      <c r="CW74">
        <v>0.06</v>
      </c>
      <c r="CX74">
        <v>10.522421317760935</v>
      </c>
      <c r="CY74">
        <v>73943256.642527565</v>
      </c>
      <c r="CZ74">
        <v>9.8413925990462309E-2</v>
      </c>
      <c r="DA74">
        <v>3.4142400154653685</v>
      </c>
      <c r="DB74">
        <v>227887347.2502338</v>
      </c>
      <c r="DC74">
        <v>9.3493229690939192E-2</v>
      </c>
      <c r="DD74">
        <v>1.664777222826781</v>
      </c>
      <c r="DE74">
        <v>467367098.330944</v>
      </c>
      <c r="DF74">
        <v>8.6604254871606834E-2</v>
      </c>
      <c r="DG74">
        <v>0.98897630987742791</v>
      </c>
      <c r="DH74">
        <v>786734820.87395167</v>
      </c>
      <c r="DI74">
        <v>7.8731140792369855E-2</v>
      </c>
      <c r="DJ74">
        <v>0.49883668932146313</v>
      </c>
      <c r="DK74">
        <v>1559753155.0021913</v>
      </c>
      <c r="DL74">
        <v>6.8889748193323608E-2</v>
      </c>
      <c r="DM74">
        <v>71357300</v>
      </c>
      <c r="DN74">
        <v>9.8413925990462309E-2</v>
      </c>
      <c r="DO74">
        <v>778062100</v>
      </c>
      <c r="DP74">
        <v>543684970</v>
      </c>
      <c r="DQ74">
        <v>2280</v>
      </c>
      <c r="DR74">
        <v>-0.52548274951987406</v>
      </c>
      <c r="DS74">
        <v>-0.48927556236666636</v>
      </c>
      <c r="DT74" s="12">
        <v>-0.27333333333333337</v>
      </c>
      <c r="DU74">
        <v>-0.18666666666666668</v>
      </c>
      <c r="DV74">
        <v>-0.46000000000000008</v>
      </c>
      <c r="DW74">
        <v>-8.4733333333333327</v>
      </c>
      <c r="DX74">
        <v>0.30675074626865617</v>
      </c>
      <c r="DY74">
        <v>-8.0789286865671635</v>
      </c>
      <c r="DZ74">
        <v>1906</v>
      </c>
      <c r="EA74">
        <v>-8.0494887498554188</v>
      </c>
      <c r="EB74">
        <v>8</v>
      </c>
      <c r="EC74">
        <v>0.17059195904510371</v>
      </c>
      <c r="ED74">
        <v>1.023035655686112</v>
      </c>
      <c r="EE74" s="13">
        <v>-1.1020099999999999</v>
      </c>
      <c r="EF74">
        <v>-2.01301</v>
      </c>
      <c r="EG74">
        <v>14.166750746268656</v>
      </c>
      <c r="EH74" t="s">
        <v>2103</v>
      </c>
      <c r="EI74">
        <v>0</v>
      </c>
      <c r="EJ74">
        <v>0</v>
      </c>
      <c r="EK74" s="15">
        <v>45470</v>
      </c>
      <c r="EL74" s="16">
        <v>-4.6500000000000004</v>
      </c>
      <c r="EM74" s="16">
        <v>-3.66</v>
      </c>
      <c r="EN74" s="16">
        <v>1.1000000000000001</v>
      </c>
      <c r="EO74" s="16">
        <v>1.34</v>
      </c>
      <c r="EP74" s="16">
        <v>-6.1</v>
      </c>
    </row>
    <row r="75" spans="1:146" ht="108" x14ac:dyDescent="0.25">
      <c r="A75" s="8"/>
      <c r="B75" s="8"/>
      <c r="C75" s="8" t="str">
        <f>""&amp;CHAR(10)&amp;Basic_Fundamental_Information_Constructure(F75)&amp;CHAR(10)&amp;Basic_Fundamental_Information_Concatenate("")</f>
        <v xml:space="preserve">
市值52.948923亿, 利润8012.10万; PE14.42; 平均PE32.78; 平均PEG1.07, PB2.18; ROIC11.6467%; ROE13.07%; 股利率5.7334%; 毛利48.4767%; 净利26.7233%; 上一年度营收增30.5%, 利润增-77.49%; 当季营收增-3.67%, 利润增398.57%; 过往5年营收增30.68%, 利润增31.4%
Income profile:
</v>
      </c>
      <c r="D75" t="s">
        <v>663</v>
      </c>
      <c r="E75" t="s">
        <v>664</v>
      </c>
      <c r="F75">
        <v>41.86</v>
      </c>
      <c r="G75">
        <v>-0.4</v>
      </c>
      <c r="H75" t="s">
        <v>3723</v>
      </c>
      <c r="I75">
        <v>5294892300</v>
      </c>
      <c r="J75">
        <v>14.42</v>
      </c>
      <c r="K75">
        <v>2.1800000000000002</v>
      </c>
      <c r="L75" t="s">
        <v>101</v>
      </c>
      <c r="M75" t="s">
        <v>522</v>
      </c>
      <c r="N75" t="s">
        <v>2068</v>
      </c>
      <c r="O75" t="s">
        <v>336</v>
      </c>
      <c r="P75">
        <v>-4.55</v>
      </c>
      <c r="Q75" t="s">
        <v>2107</v>
      </c>
      <c r="R75">
        <v>100555651</v>
      </c>
      <c r="S75" s="6">
        <v>9.0299999999999998E-3</v>
      </c>
      <c r="T75" t="s">
        <v>3724</v>
      </c>
      <c r="U75">
        <v>81268595</v>
      </c>
      <c r="V75">
        <v>126490500</v>
      </c>
      <c r="W75">
        <v>1.1000000000000001</v>
      </c>
      <c r="X75">
        <v>0.12</v>
      </c>
      <c r="Y75">
        <v>32.21</v>
      </c>
      <c r="Z75" t="s">
        <v>388</v>
      </c>
      <c r="AA75" t="s">
        <v>187</v>
      </c>
      <c r="AB75" t="s">
        <v>3725</v>
      </c>
      <c r="AC75" t="s">
        <v>3726</v>
      </c>
      <c r="AD75" t="s">
        <v>5</v>
      </c>
      <c r="AE75">
        <v>-14607804</v>
      </c>
      <c r="AF75" t="s">
        <v>3727</v>
      </c>
      <c r="AG75" t="s">
        <v>3728</v>
      </c>
      <c r="AH75" t="s">
        <v>3729</v>
      </c>
      <c r="AI75" t="s">
        <v>2144</v>
      </c>
      <c r="AJ75" t="s">
        <v>3730</v>
      </c>
      <c r="AK75" t="s">
        <v>3731</v>
      </c>
      <c r="AL75" t="s">
        <v>3732</v>
      </c>
      <c r="AM75" t="s">
        <v>5</v>
      </c>
      <c r="AN75" t="s">
        <v>433</v>
      </c>
      <c r="AO75" t="s">
        <v>5</v>
      </c>
      <c r="AP75" t="s">
        <v>3733</v>
      </c>
      <c r="AQ75" t="s">
        <v>512</v>
      </c>
      <c r="AR75" t="s">
        <v>5</v>
      </c>
      <c r="AS75" t="s">
        <v>137</v>
      </c>
      <c r="AT75" t="s">
        <v>3734</v>
      </c>
      <c r="AU75" t="s">
        <v>3735</v>
      </c>
      <c r="AV75" t="s">
        <v>3736</v>
      </c>
      <c r="AW75" t="s">
        <v>3737</v>
      </c>
      <c r="AX75" t="s">
        <v>969</v>
      </c>
      <c r="AY75" t="s">
        <v>793</v>
      </c>
      <c r="AZ75" t="s">
        <v>396</v>
      </c>
      <c r="BA75" t="s">
        <v>665</v>
      </c>
      <c r="BB75" t="s">
        <v>723</v>
      </c>
      <c r="BC75" t="s">
        <v>210</v>
      </c>
      <c r="BD75" t="s">
        <v>249</v>
      </c>
      <c r="BE75" t="s">
        <v>1030</v>
      </c>
      <c r="BF75" t="s">
        <v>314</v>
      </c>
      <c r="BG75" t="s">
        <v>169</v>
      </c>
      <c r="BH75" t="s">
        <v>3738</v>
      </c>
      <c r="BI75" t="s">
        <v>1283</v>
      </c>
      <c r="BJ75" t="s">
        <v>969</v>
      </c>
      <c r="BK75" t="s">
        <v>586</v>
      </c>
      <c r="BL75" t="s">
        <v>3739</v>
      </c>
      <c r="BM75" t="s">
        <v>210</v>
      </c>
      <c r="BN75">
        <v>12.54</v>
      </c>
      <c r="BO75">
        <v>16.78</v>
      </c>
      <c r="BP75">
        <v>5.62</v>
      </c>
      <c r="BQ75">
        <v>13.87</v>
      </c>
      <c r="BR75">
        <v>17.809999999999999</v>
      </c>
      <c r="BS75">
        <v>7.53</v>
      </c>
      <c r="BT75" t="s">
        <v>3740</v>
      </c>
      <c r="BU75" t="s">
        <v>1537</v>
      </c>
      <c r="BV75">
        <v>49.96</v>
      </c>
      <c r="BW75">
        <v>50.18</v>
      </c>
      <c r="BX75">
        <v>45.29</v>
      </c>
      <c r="BY75">
        <v>28.31</v>
      </c>
      <c r="BZ75">
        <v>29.46</v>
      </c>
      <c r="CA75">
        <v>22.4</v>
      </c>
      <c r="CB75">
        <v>-9.7799999999999994</v>
      </c>
      <c r="CC75">
        <v>-26.44</v>
      </c>
      <c r="CD75" t="s">
        <v>3741</v>
      </c>
      <c r="CE75" t="s">
        <v>3742</v>
      </c>
      <c r="CF75" s="10">
        <v>-3.669724770642202E-2</v>
      </c>
      <c r="CG75" s="11">
        <v>3.9857279348693768</v>
      </c>
      <c r="CH75" s="10">
        <v>0.30498766899108887</v>
      </c>
      <c r="CI75" s="10">
        <v>0.97896450757980347</v>
      </c>
      <c r="CJ75" s="10">
        <v>0.54500001668930054</v>
      </c>
      <c r="CK75" s="10">
        <v>-0.52662724256515503</v>
      </c>
      <c r="CL75" s="10">
        <v>0.23177842795848846</v>
      </c>
      <c r="CM75" s="11">
        <v>-0.77494102716445923</v>
      </c>
      <c r="CN75" s="11">
        <v>1.6176470518112183</v>
      </c>
      <c r="CO75" s="11">
        <v>0.54323440790176392</v>
      </c>
      <c r="CP75" s="11">
        <v>-0.55037450790405273</v>
      </c>
      <c r="CQ75" s="11">
        <v>0.73451328277587891</v>
      </c>
      <c r="CR75">
        <v>32.777335533252803</v>
      </c>
      <c r="CS75">
        <v>1.0682896599191796</v>
      </c>
      <c r="CT75">
        <v>5.7333970377448642</v>
      </c>
      <c r="CU75" s="10">
        <v>0.30682067573070526</v>
      </c>
      <c r="CV75" s="11">
        <v>0.3140158414840698</v>
      </c>
      <c r="CW75">
        <v>0.06</v>
      </c>
      <c r="CX75">
        <v>31.301695679241039</v>
      </c>
      <c r="CY75">
        <v>98777150.339830026</v>
      </c>
      <c r="CZ75">
        <v>0.30682067573070526</v>
      </c>
      <c r="DA75">
        <v>8.5538916537179492</v>
      </c>
      <c r="DB75">
        <v>361460306.62617862</v>
      </c>
      <c r="DC75">
        <v>0.29147964194416998</v>
      </c>
      <c r="DD75">
        <v>3.2590763895611796</v>
      </c>
      <c r="DE75">
        <v>948702003.39683044</v>
      </c>
      <c r="DF75">
        <v>0.27000219464302061</v>
      </c>
      <c r="DG75">
        <v>1.4313991322544781</v>
      </c>
      <c r="DH75">
        <v>2160049024.9915247</v>
      </c>
      <c r="DI75">
        <v>0.24545654058456423</v>
      </c>
      <c r="DJ75">
        <v>0.34459099685721112</v>
      </c>
      <c r="DK75">
        <v>8972643882.7454147</v>
      </c>
      <c r="DL75">
        <v>0.21477447301149366</v>
      </c>
      <c r="DM75">
        <v>80121000</v>
      </c>
      <c r="DN75">
        <v>0.30682067573070526</v>
      </c>
      <c r="DO75">
        <v>3091892300</v>
      </c>
      <c r="DP75">
        <v>1949481400</v>
      </c>
      <c r="DQ75">
        <v>2290</v>
      </c>
      <c r="DR75">
        <v>-0.34351792343712728</v>
      </c>
      <c r="DS75">
        <v>3.6717120933853069</v>
      </c>
      <c r="DT75" s="12">
        <v>0.14333333333333331</v>
      </c>
      <c r="DU75">
        <v>0.40333333333333332</v>
      </c>
      <c r="DV75">
        <v>0.54666666666666663</v>
      </c>
      <c r="DW75">
        <v>-9.3698940998487146</v>
      </c>
      <c r="DX75">
        <v>0.54391998383512097</v>
      </c>
      <c r="DY75">
        <v>-9.0754287988618554</v>
      </c>
      <c r="DZ75">
        <v>286</v>
      </c>
      <c r="EA75">
        <v>-9.0712071478883747</v>
      </c>
      <c r="EB75">
        <v>9</v>
      </c>
      <c r="EC75">
        <v>2.3935394357679034E-2</v>
      </c>
      <c r="ED75">
        <v>0.11737640376154732</v>
      </c>
      <c r="EE75" s="13">
        <v>-1.0456099999999999</v>
      </c>
      <c r="EF75">
        <v>-1.0421100000000001</v>
      </c>
      <c r="EG75">
        <v>34.203919983835121</v>
      </c>
      <c r="EH75" t="s">
        <v>1563</v>
      </c>
      <c r="EI75">
        <v>0</v>
      </c>
      <c r="EJ75">
        <v>1</v>
      </c>
      <c r="EK75" s="15">
        <v>45470</v>
      </c>
      <c r="EL75" s="16">
        <v>1.65</v>
      </c>
      <c r="EM75" s="16">
        <v>-1.86</v>
      </c>
      <c r="EN75" s="16">
        <v>-1.56</v>
      </c>
      <c r="EO75" s="16">
        <v>0.72</v>
      </c>
      <c r="EP75" s="16">
        <v>0.35</v>
      </c>
    </row>
    <row r="76" spans="1:146" ht="96" x14ac:dyDescent="0.25">
      <c r="A76" s="8"/>
      <c r="B76" s="8"/>
      <c r="C76" s="8" t="str">
        <f>""&amp;CHAR(10)&amp;Basic_Fundamental_Information_Constructure(F76)&amp;CHAR(10)&amp;Basic_Fundamental_Information_Concatenate("")</f>
        <v xml:space="preserve">
市值22.942822亿, 利润1.07亿; PE; 平均PE76.72; 平均PEG6.88, PB4.34; ROIC.78%; ROE-3.0667%; 股利率0%; 毛利20.86%; 净利-4.9433%; 上一年度营收增9.6%, 利润增324.77%; 当季营收增-66.75%, 利润增-69.61%; 过往5年营收增11.16%, 利润增-52.11%
Income profile:
</v>
      </c>
      <c r="D76" t="s">
        <v>666</v>
      </c>
      <c r="E76" t="s">
        <v>667</v>
      </c>
      <c r="F76">
        <v>35.83</v>
      </c>
      <c r="G76">
        <v>-2.98</v>
      </c>
      <c r="H76" t="s">
        <v>3743</v>
      </c>
      <c r="I76">
        <v>2294282200</v>
      </c>
      <c r="K76">
        <v>4.34</v>
      </c>
      <c r="L76" t="s">
        <v>101</v>
      </c>
      <c r="M76" t="s">
        <v>129</v>
      </c>
      <c r="N76" t="s">
        <v>1670</v>
      </c>
      <c r="O76" t="s">
        <v>3744</v>
      </c>
      <c r="P76">
        <v>3.06</v>
      </c>
      <c r="Q76" t="s">
        <v>1564</v>
      </c>
      <c r="R76">
        <v>16299324</v>
      </c>
      <c r="S76" s="6">
        <v>3.0150000000000001</v>
      </c>
      <c r="T76" t="s">
        <v>425</v>
      </c>
      <c r="U76">
        <v>42780429</v>
      </c>
      <c r="V76">
        <v>64032436</v>
      </c>
      <c r="W76">
        <v>1.77</v>
      </c>
      <c r="X76">
        <v>7.0000000000000007E-2</v>
      </c>
      <c r="Y76">
        <v>23.94</v>
      </c>
      <c r="Z76" t="s">
        <v>3745</v>
      </c>
      <c r="AA76" t="s">
        <v>3746</v>
      </c>
      <c r="AB76" t="s">
        <v>3747</v>
      </c>
      <c r="AC76" t="s">
        <v>3748</v>
      </c>
      <c r="AD76" t="s">
        <v>5</v>
      </c>
      <c r="AE76">
        <v>644535</v>
      </c>
      <c r="AF76" t="s">
        <v>3749</v>
      </c>
      <c r="AG76" t="s">
        <v>3750</v>
      </c>
      <c r="AH76" t="s">
        <v>3751</v>
      </c>
      <c r="AI76" t="s">
        <v>139</v>
      </c>
      <c r="AJ76" t="s">
        <v>3752</v>
      </c>
      <c r="AK76" t="s">
        <v>3753</v>
      </c>
      <c r="AL76" t="s">
        <v>3754</v>
      </c>
      <c r="AM76" t="s">
        <v>5</v>
      </c>
      <c r="AN76" t="s">
        <v>3755</v>
      </c>
      <c r="AO76" t="s">
        <v>3756</v>
      </c>
      <c r="AP76" t="s">
        <v>3757</v>
      </c>
      <c r="AQ76" t="s">
        <v>533</v>
      </c>
      <c r="AR76" t="s">
        <v>5</v>
      </c>
      <c r="AS76" t="s">
        <v>556</v>
      </c>
      <c r="AT76" t="s">
        <v>3758</v>
      </c>
      <c r="AU76" t="s">
        <v>273</v>
      </c>
      <c r="AV76" t="s">
        <v>3759</v>
      </c>
      <c r="AW76" t="s">
        <v>3760</v>
      </c>
      <c r="AX76" t="s">
        <v>189</v>
      </c>
      <c r="AY76" t="s">
        <v>498</v>
      </c>
      <c r="AZ76" t="s">
        <v>212</v>
      </c>
      <c r="BA76" t="s">
        <v>415</v>
      </c>
      <c r="BB76" t="s">
        <v>727</v>
      </c>
      <c r="BC76" t="s">
        <v>1970</v>
      </c>
      <c r="BD76" t="s">
        <v>1433</v>
      </c>
      <c r="BE76" t="s">
        <v>1031</v>
      </c>
      <c r="BF76" t="s">
        <v>669</v>
      </c>
      <c r="BG76" t="s">
        <v>1032</v>
      </c>
      <c r="BH76" t="s">
        <v>1684</v>
      </c>
      <c r="BI76" t="s">
        <v>171</v>
      </c>
      <c r="BJ76" t="s">
        <v>189</v>
      </c>
      <c r="BK76" t="s">
        <v>3761</v>
      </c>
      <c r="BL76" t="s">
        <v>3762</v>
      </c>
      <c r="BM76" t="s">
        <v>1970</v>
      </c>
      <c r="BN76">
        <v>0.78</v>
      </c>
      <c r="BO76" t="s">
        <v>5</v>
      </c>
      <c r="BP76" t="s">
        <v>5</v>
      </c>
      <c r="BQ76">
        <v>0.78</v>
      </c>
      <c r="BR76">
        <v>-8.31</v>
      </c>
      <c r="BS76">
        <v>-1.67</v>
      </c>
      <c r="BT76" t="s">
        <v>1720</v>
      </c>
      <c r="BU76" t="s">
        <v>1537</v>
      </c>
      <c r="BV76">
        <v>16.45</v>
      </c>
      <c r="BW76">
        <v>18.34</v>
      </c>
      <c r="BX76">
        <v>27.79</v>
      </c>
      <c r="BY76">
        <v>-2.5099999999999998</v>
      </c>
      <c r="BZ76">
        <v>-9.81</v>
      </c>
      <c r="CA76">
        <v>-2.5099999999999998</v>
      </c>
      <c r="CB76">
        <v>-9.9499999999999993</v>
      </c>
      <c r="CC76">
        <v>-1.4</v>
      </c>
      <c r="CD76" t="s">
        <v>3763</v>
      </c>
      <c r="CE76" t="s">
        <v>3764</v>
      </c>
      <c r="CF76" s="10">
        <v>-0.66750196078431367</v>
      </c>
      <c r="CG76" s="11">
        <v>-0.69607880649113096</v>
      </c>
      <c r="CH76" s="10">
        <v>9.6000000834465027E-2</v>
      </c>
      <c r="CI76" s="10">
        <v>0.19617225229740143</v>
      </c>
      <c r="CJ76" s="10">
        <v>0.24035608768463135</v>
      </c>
      <c r="CK76" s="10">
        <v>-0.20142179727554321</v>
      </c>
      <c r="CL76" s="10">
        <v>0.22674418985843658</v>
      </c>
      <c r="CM76" s="11">
        <v>3.2476961612701416</v>
      </c>
      <c r="CN76" s="11">
        <v>-3.6911880970001221</v>
      </c>
      <c r="CO76" s="11">
        <v>-1.6667892932891846</v>
      </c>
      <c r="CP76" s="11">
        <v>-0.76322013139724731</v>
      </c>
      <c r="CQ76" s="11">
        <v>0.26801109313964844</v>
      </c>
      <c r="CR76">
        <v>76.719829279806234</v>
      </c>
      <c r="CS76">
        <v>6.8763761241556844</v>
      </c>
      <c r="CT76">
        <v>0</v>
      </c>
      <c r="CU76" s="10">
        <v>0.11157014667987823</v>
      </c>
      <c r="CV76" s="11">
        <v>-0.52109805345535276</v>
      </c>
      <c r="CW76">
        <v>0.06</v>
      </c>
      <c r="CX76">
        <v>19.119196750584443</v>
      </c>
      <c r="CY76">
        <v>112205665.74976128</v>
      </c>
      <c r="CZ76">
        <v>0.11157014667987823</v>
      </c>
      <c r="DA76">
        <v>6.1351660857880459</v>
      </c>
      <c r="DB76">
        <v>349669783.99647421</v>
      </c>
      <c r="DC76">
        <v>0.10599163934588432</v>
      </c>
      <c r="DD76">
        <v>2.9469135045940278</v>
      </c>
      <c r="DE76">
        <v>727975964.22686255</v>
      </c>
      <c r="DF76">
        <v>9.818172907829284E-2</v>
      </c>
      <c r="DG76">
        <v>1.7208410386286614</v>
      </c>
      <c r="DH76">
        <v>1246647512.3754463</v>
      </c>
      <c r="DI76">
        <v>8.9256117343902597E-2</v>
      </c>
      <c r="DJ76">
        <v>0.83521529381696702</v>
      </c>
      <c r="DK76">
        <v>2568537975.6349711</v>
      </c>
      <c r="DL76">
        <v>7.8099102675914758E-2</v>
      </c>
      <c r="DM76">
        <v>107000000</v>
      </c>
      <c r="DN76">
        <v>0.11157014667987823</v>
      </c>
      <c r="DO76">
        <v>2145282200</v>
      </c>
      <c r="DP76">
        <v>350726300</v>
      </c>
      <c r="DQ76">
        <v>2293</v>
      </c>
      <c r="DR76">
        <v>-0.77907210746419187</v>
      </c>
      <c r="DS76">
        <v>-0.1749807530357782</v>
      </c>
      <c r="DT76" s="12">
        <v>-0.17333333333333334</v>
      </c>
      <c r="DU76">
        <v>-1.4533333333333334</v>
      </c>
      <c r="DV76">
        <v>-1.6266666666666667</v>
      </c>
      <c r="DW76">
        <v>-5.1407035175879399</v>
      </c>
      <c r="DX76">
        <v>0.32137506464629095</v>
      </c>
      <c r="DY76">
        <v>-5.0142638281914378</v>
      </c>
      <c r="DZ76">
        <v>2083</v>
      </c>
      <c r="EA76">
        <v>-5.0084494340382548</v>
      </c>
      <c r="EB76">
        <v>5</v>
      </c>
      <c r="EC76">
        <v>0.11449041232790207</v>
      </c>
      <c r="ED76">
        <v>1.1293744938893158</v>
      </c>
      <c r="EE76" s="13">
        <v>3.1699999999999999E-2</v>
      </c>
      <c r="EF76">
        <v>6.5500000000000003E-2</v>
      </c>
      <c r="EG76">
        <v>22.101375064646291</v>
      </c>
      <c r="EH76" t="s">
        <v>1547</v>
      </c>
      <c r="EI76">
        <v>0</v>
      </c>
      <c r="EJ76">
        <v>0</v>
      </c>
      <c r="EK76" s="15">
        <v>45470</v>
      </c>
      <c r="EL76" s="16">
        <v>-4.45</v>
      </c>
      <c r="EM76" s="16">
        <v>-0.25</v>
      </c>
      <c r="EN76" s="16">
        <v>8.15</v>
      </c>
      <c r="EO76" s="16">
        <v>2.12</v>
      </c>
      <c r="EP76" s="16">
        <v>3.38</v>
      </c>
    </row>
    <row r="77" spans="1:146" ht="96" x14ac:dyDescent="0.25">
      <c r="A77" s="8"/>
      <c r="B77" s="8"/>
      <c r="C77" s="8" t="str">
        <f>""&amp;CHAR(10)&amp;Basic_Fundamental_Information_Constructure(F77)&amp;CHAR(10)&amp;Basic_Fundamental_Information_Concatenate("")</f>
        <v xml:space="preserve">
市值20.580239亿, 利润1.07亿; PE17.91; 平均PE16.61; 平均PEG.54, PB1.51; ROIC13.0367%; ROE13.99%; 股利率1.4577%; 毛利42.25%; 净利24.6133%; 上一年度营收增59.86%, 利润增-42.78%; 当季营收增21.4%, 利润增139.15%; 过往5年营收增31.01%, 利润增12.23%
Income profile:
</v>
      </c>
      <c r="D77" t="s">
        <v>373</v>
      </c>
      <c r="E77" t="s">
        <v>374</v>
      </c>
      <c r="F77">
        <v>20.58</v>
      </c>
      <c r="G77">
        <v>2.44</v>
      </c>
      <c r="H77" t="s">
        <v>3765</v>
      </c>
      <c r="I77">
        <v>2058023900</v>
      </c>
      <c r="J77">
        <v>17.91</v>
      </c>
      <c r="K77">
        <v>1.51</v>
      </c>
      <c r="L77" t="s">
        <v>101</v>
      </c>
      <c r="M77" t="s">
        <v>436</v>
      </c>
      <c r="N77" t="s">
        <v>1650</v>
      </c>
      <c r="O77" t="s">
        <v>2117</v>
      </c>
      <c r="P77">
        <v>36.42</v>
      </c>
      <c r="Q77" t="s">
        <v>2017</v>
      </c>
      <c r="R77">
        <v>61557242</v>
      </c>
      <c r="S77" s="6">
        <v>0.14779999999999999</v>
      </c>
      <c r="T77" t="s">
        <v>425</v>
      </c>
      <c r="U77">
        <v>70582410</v>
      </c>
      <c r="V77">
        <v>100001160</v>
      </c>
      <c r="W77">
        <v>1.5</v>
      </c>
      <c r="X77">
        <v>0.13</v>
      </c>
      <c r="Y77">
        <v>22.09</v>
      </c>
      <c r="Z77" t="s">
        <v>534</v>
      </c>
      <c r="AA77" t="s">
        <v>1907</v>
      </c>
      <c r="AB77" t="s">
        <v>3766</v>
      </c>
      <c r="AC77" t="s">
        <v>3767</v>
      </c>
      <c r="AD77" t="s">
        <v>5</v>
      </c>
      <c r="AE77">
        <v>-3363846</v>
      </c>
      <c r="AF77" t="s">
        <v>3768</v>
      </c>
      <c r="AG77" t="s">
        <v>3769</v>
      </c>
      <c r="AH77" t="s">
        <v>3770</v>
      </c>
      <c r="AI77" t="s">
        <v>1831</v>
      </c>
      <c r="AJ77" t="s">
        <v>3771</v>
      </c>
      <c r="AK77" t="s">
        <v>3772</v>
      </c>
      <c r="AL77" t="s">
        <v>3773</v>
      </c>
      <c r="AM77" t="s">
        <v>5</v>
      </c>
      <c r="AN77" t="s">
        <v>3774</v>
      </c>
      <c r="AO77" t="s">
        <v>5</v>
      </c>
      <c r="AP77" t="s">
        <v>3775</v>
      </c>
      <c r="AQ77" t="s">
        <v>420</v>
      </c>
      <c r="AR77" t="s">
        <v>5</v>
      </c>
      <c r="AS77" t="s">
        <v>415</v>
      </c>
      <c r="AT77" t="s">
        <v>2250</v>
      </c>
      <c r="AU77" t="s">
        <v>3776</v>
      </c>
      <c r="AV77" t="s">
        <v>3777</v>
      </c>
      <c r="AW77" t="s">
        <v>3778</v>
      </c>
      <c r="AX77" t="s">
        <v>532</v>
      </c>
      <c r="AY77" t="s">
        <v>811</v>
      </c>
      <c r="AZ77" t="s">
        <v>743</v>
      </c>
      <c r="BA77" t="s">
        <v>376</v>
      </c>
      <c r="BB77" t="s">
        <v>736</v>
      </c>
      <c r="BC77" t="s">
        <v>281</v>
      </c>
      <c r="BD77" t="s">
        <v>165</v>
      </c>
      <c r="BE77" t="s">
        <v>256</v>
      </c>
      <c r="BF77" t="s">
        <v>377</v>
      </c>
      <c r="BG77" t="s">
        <v>1034</v>
      </c>
      <c r="BH77" t="s">
        <v>1564</v>
      </c>
      <c r="BI77" t="s">
        <v>795</v>
      </c>
      <c r="BJ77" t="s">
        <v>532</v>
      </c>
      <c r="BK77" t="s">
        <v>425</v>
      </c>
      <c r="BL77" t="s">
        <v>3779</v>
      </c>
      <c r="BM77" t="s">
        <v>281</v>
      </c>
      <c r="BN77">
        <v>8.68</v>
      </c>
      <c r="BO77">
        <v>15.5</v>
      </c>
      <c r="BP77">
        <v>14.93</v>
      </c>
      <c r="BQ77">
        <v>9.99</v>
      </c>
      <c r="BR77">
        <v>16.239999999999998</v>
      </c>
      <c r="BS77">
        <v>15.74</v>
      </c>
      <c r="BT77" t="s">
        <v>1724</v>
      </c>
      <c r="BU77" t="s">
        <v>1536</v>
      </c>
      <c r="BV77">
        <v>41.53</v>
      </c>
      <c r="BW77">
        <v>41.55</v>
      </c>
      <c r="BX77">
        <v>43.67</v>
      </c>
      <c r="BY77">
        <v>19.5</v>
      </c>
      <c r="BZ77">
        <v>26.85</v>
      </c>
      <c r="CA77">
        <v>27.49</v>
      </c>
      <c r="CB77">
        <v>-0.87</v>
      </c>
      <c r="CC77">
        <v>-12.91</v>
      </c>
      <c r="CD77" t="s">
        <v>3780</v>
      </c>
      <c r="CE77" t="s">
        <v>3781</v>
      </c>
      <c r="CF77" s="10">
        <v>0.21397379912663755</v>
      </c>
      <c r="CG77" s="11">
        <v>1.3915291165009696</v>
      </c>
      <c r="CH77" s="10">
        <v>0.59856122732162476</v>
      </c>
      <c r="CI77" s="10">
        <v>0.21291448175907135</v>
      </c>
      <c r="CJ77" s="10">
        <v>0.23758099973201752</v>
      </c>
      <c r="CK77" s="10">
        <v>0.25474253296852112</v>
      </c>
      <c r="CL77" s="10">
        <v>0.24662162363529205</v>
      </c>
      <c r="CM77" s="11">
        <v>-0.42780748009681702</v>
      </c>
      <c r="CN77" s="11">
        <v>0.18354430794715881</v>
      </c>
      <c r="CO77" s="11">
        <v>0.30578511953353882</v>
      </c>
      <c r="CP77" s="11">
        <v>0.25787994265556335</v>
      </c>
      <c r="CQ77" s="11">
        <v>0.29222303628921509</v>
      </c>
      <c r="CR77">
        <v>16.605135590895522</v>
      </c>
      <c r="CS77">
        <v>0.53550413185501355</v>
      </c>
      <c r="CT77">
        <v>1.457725947521866</v>
      </c>
      <c r="CU77" s="10">
        <v>0.31008417308330538</v>
      </c>
      <c r="CV77" s="11">
        <v>0.12232498526573181</v>
      </c>
      <c r="CW77">
        <v>0.06</v>
      </c>
      <c r="CX77">
        <v>10.526150602946283</v>
      </c>
      <c r="CY77">
        <v>132244345.77350345</v>
      </c>
      <c r="CZ77">
        <v>0.31008417308330538</v>
      </c>
      <c r="DA77">
        <v>2.8689896187463897</v>
      </c>
      <c r="DB77">
        <v>485196562.19887173</v>
      </c>
      <c r="DC77">
        <v>0.29457996442914008</v>
      </c>
      <c r="DD77">
        <v>1.0887696472672628</v>
      </c>
      <c r="DE77">
        <v>1278529304.6090002</v>
      </c>
      <c r="DF77">
        <v>0.27287407231330874</v>
      </c>
      <c r="DG77">
        <v>0.47574800653496319</v>
      </c>
      <c r="DH77">
        <v>2925968960.2035122</v>
      </c>
      <c r="DI77">
        <v>0.2480673384666443</v>
      </c>
      <c r="DJ77">
        <v>0.11303064294698487</v>
      </c>
      <c r="DK77">
        <v>12315455912.720106</v>
      </c>
      <c r="DL77">
        <v>0.21705892115831377</v>
      </c>
      <c r="DM77">
        <v>107000000</v>
      </c>
      <c r="DN77">
        <v>0.31008417308330538</v>
      </c>
      <c r="DO77">
        <v>1392023900</v>
      </c>
      <c r="DP77">
        <v>1126904300</v>
      </c>
      <c r="DQ77">
        <v>2294</v>
      </c>
      <c r="DR77">
        <v>-9.6110373956667827E-2</v>
      </c>
      <c r="DS77">
        <v>1.2692041312352378</v>
      </c>
      <c r="DT77" s="12">
        <v>0.22666666666666657</v>
      </c>
      <c r="DU77">
        <v>0.33333333333333326</v>
      </c>
      <c r="DV77">
        <v>0.55999999999999983</v>
      </c>
      <c r="DW77">
        <v>-2.1291000000000002</v>
      </c>
      <c r="DX77">
        <v>0.34407859973579957</v>
      </c>
      <c r="DY77">
        <v>-2.0160185472258916</v>
      </c>
      <c r="DZ77">
        <v>3752</v>
      </c>
      <c r="EA77">
        <v>-2.0042569837833191</v>
      </c>
      <c r="EB77">
        <v>2</v>
      </c>
      <c r="EC77">
        <v>3.7570564181455497E-2</v>
      </c>
      <c r="ED77">
        <v>0.30279648756074429</v>
      </c>
      <c r="EE77" s="13">
        <v>3.0573999999999999</v>
      </c>
      <c r="EF77">
        <v>3.0629</v>
      </c>
      <c r="EG77">
        <v>22.1240785997358</v>
      </c>
      <c r="EH77" t="s">
        <v>1834</v>
      </c>
      <c r="EI77">
        <v>0</v>
      </c>
      <c r="EJ77">
        <v>0</v>
      </c>
      <c r="EK77" s="15">
        <v>45470</v>
      </c>
      <c r="EL77" s="16">
        <v>13.62</v>
      </c>
      <c r="EM77" s="16">
        <v>3.95</v>
      </c>
      <c r="EN77" s="16">
        <v>-5.64</v>
      </c>
      <c r="EO77" s="16">
        <v>-3.2</v>
      </c>
      <c r="EP77" s="16">
        <v>0.55000000000000004</v>
      </c>
    </row>
    <row r="78" spans="1:146" ht="96" x14ac:dyDescent="0.25">
      <c r="A78" s="8"/>
      <c r="B78" s="8"/>
      <c r="C78" s="8" t="str">
        <f>""&amp;CHAR(10)&amp;Basic_Fundamental_Information_Constructure(F78)&amp;CHAR(10)&amp;Basic_Fundamental_Information_Concatenate("")</f>
        <v xml:space="preserve">
市值15.107872亿, 利润16.15亿; PE; 平均PE4.86; 平均PEG.01, PB1.75; ROIC2.685%; ROE1.6167%; 股利率.3483%; 毛利23.5967%; 净利.8167%; 上一年度营收增3422.54%, 利润增7831.99%; 当季营收增-98.01%, 利润增-100.3%; 过往5年营收增689.36%, 利润增1552.47%
Income profile:
</v>
      </c>
      <c r="D78" t="s">
        <v>378</v>
      </c>
      <c r="E78" t="s">
        <v>379</v>
      </c>
      <c r="F78">
        <v>15.79</v>
      </c>
      <c r="G78">
        <v>3</v>
      </c>
      <c r="H78" t="s">
        <v>3782</v>
      </c>
      <c r="I78">
        <v>1510787200</v>
      </c>
      <c r="K78">
        <v>1.75</v>
      </c>
      <c r="L78" t="s">
        <v>101</v>
      </c>
      <c r="M78" t="s">
        <v>423</v>
      </c>
      <c r="N78" t="s">
        <v>487</v>
      </c>
      <c r="O78" t="s">
        <v>3783</v>
      </c>
      <c r="P78">
        <v>-29.14</v>
      </c>
      <c r="Q78" t="s">
        <v>3784</v>
      </c>
      <c r="R78">
        <v>-932655</v>
      </c>
      <c r="S78" s="6">
        <v>-1.292</v>
      </c>
      <c r="T78" t="s">
        <v>2243</v>
      </c>
      <c r="U78">
        <v>67321430</v>
      </c>
      <c r="V78">
        <v>95680000</v>
      </c>
      <c r="W78">
        <v>1.29</v>
      </c>
      <c r="X78">
        <v>0.06</v>
      </c>
      <c r="Y78">
        <v>-1.4</v>
      </c>
      <c r="Z78" t="s">
        <v>3785</v>
      </c>
      <c r="AA78" t="s">
        <v>3786</v>
      </c>
      <c r="AB78" t="s">
        <v>3787</v>
      </c>
      <c r="AC78" t="s">
        <v>3788</v>
      </c>
      <c r="AD78" t="s">
        <v>5</v>
      </c>
      <c r="AE78">
        <v>-1055292</v>
      </c>
      <c r="AF78" t="s">
        <v>3789</v>
      </c>
      <c r="AG78" t="s">
        <v>3790</v>
      </c>
      <c r="AH78" t="s">
        <v>3791</v>
      </c>
      <c r="AI78" t="s">
        <v>3792</v>
      </c>
      <c r="AJ78" t="s">
        <v>3793</v>
      </c>
      <c r="AK78" t="s">
        <v>3794</v>
      </c>
      <c r="AL78" t="s">
        <v>3795</v>
      </c>
      <c r="AM78" t="s">
        <v>5</v>
      </c>
      <c r="AN78" t="s">
        <v>3796</v>
      </c>
      <c r="AO78" t="s">
        <v>3797</v>
      </c>
      <c r="AP78" t="s">
        <v>3798</v>
      </c>
      <c r="AQ78" t="s">
        <v>3799</v>
      </c>
      <c r="AR78" t="s">
        <v>5</v>
      </c>
      <c r="AS78" t="s">
        <v>449</v>
      </c>
      <c r="AT78" t="s">
        <v>5</v>
      </c>
      <c r="AU78" t="s">
        <v>3800</v>
      </c>
      <c r="AV78" t="s">
        <v>3801</v>
      </c>
      <c r="AW78" t="s">
        <v>3802</v>
      </c>
      <c r="AX78" t="s">
        <v>1843</v>
      </c>
      <c r="AY78" t="s">
        <v>437</v>
      </c>
      <c r="AZ78" t="s">
        <v>399</v>
      </c>
      <c r="BA78" t="s">
        <v>381</v>
      </c>
      <c r="BB78" t="s">
        <v>125</v>
      </c>
      <c r="BC78" t="s">
        <v>3803</v>
      </c>
      <c r="BD78" t="s">
        <v>1434</v>
      </c>
      <c r="BE78" t="s">
        <v>1035</v>
      </c>
      <c r="BF78" t="s">
        <v>382</v>
      </c>
      <c r="BG78" t="s">
        <v>1036</v>
      </c>
      <c r="BH78" t="s">
        <v>154</v>
      </c>
      <c r="BI78" t="s">
        <v>3804</v>
      </c>
      <c r="BJ78" t="s">
        <v>1843</v>
      </c>
      <c r="BK78" t="s">
        <v>3805</v>
      </c>
      <c r="BL78" t="s">
        <v>2166</v>
      </c>
      <c r="BM78" t="s">
        <v>3803</v>
      </c>
      <c r="BN78" t="s">
        <v>5</v>
      </c>
      <c r="BO78">
        <v>2.04</v>
      </c>
      <c r="BP78">
        <v>3.33</v>
      </c>
      <c r="BQ78">
        <v>-0.91</v>
      </c>
      <c r="BR78">
        <v>2.2599999999999998</v>
      </c>
      <c r="BS78">
        <v>3.5</v>
      </c>
      <c r="BT78" t="s">
        <v>3806</v>
      </c>
      <c r="BU78" t="s">
        <v>1536</v>
      </c>
      <c r="BV78">
        <v>17.760000000000002</v>
      </c>
      <c r="BW78">
        <v>28.03</v>
      </c>
      <c r="BX78">
        <v>25</v>
      </c>
      <c r="BY78">
        <v>-6.1</v>
      </c>
      <c r="BZ78">
        <v>4.09</v>
      </c>
      <c r="CA78">
        <v>4.46</v>
      </c>
      <c r="CB78">
        <v>-1.56</v>
      </c>
      <c r="CC78">
        <v>-10.64</v>
      </c>
      <c r="CD78" t="s">
        <v>3807</v>
      </c>
      <c r="CE78" t="s">
        <v>3808</v>
      </c>
      <c r="CF78" s="10">
        <v>-0.98014621099554233</v>
      </c>
      <c r="CG78" s="11">
        <v>-1.0030478921568629</v>
      </c>
      <c r="CH78" s="10">
        <v>34.225353240966797</v>
      </c>
      <c r="CI78" s="10">
        <v>-0.2838616669178009</v>
      </c>
      <c r="CJ78" s="10">
        <v>0.14332784712314606</v>
      </c>
      <c r="CK78" s="10">
        <v>0.14962121844291687</v>
      </c>
      <c r="CL78" s="10">
        <v>0.23364485800266266</v>
      </c>
      <c r="CM78" s="11">
        <v>78.319862365722656</v>
      </c>
      <c r="CN78" s="11">
        <v>-0.34318527579307556</v>
      </c>
      <c r="CO78" s="11">
        <v>-0.52265459299087524</v>
      </c>
      <c r="CP78" s="11">
        <v>-0.15948145091533661</v>
      </c>
      <c r="CQ78" s="11">
        <v>0.32874560356140137</v>
      </c>
      <c r="CR78">
        <v>4.8559913271971515</v>
      </c>
      <c r="CS78">
        <v>7.0441848699904957E-3</v>
      </c>
      <c r="CT78">
        <v>0.34832172260924643</v>
      </c>
      <c r="CU78" s="10">
        <v>6.893617099523544</v>
      </c>
      <c r="CV78" s="11">
        <v>15.524657329916954</v>
      </c>
      <c r="CW78">
        <v>0.06</v>
      </c>
      <c r="CX78">
        <v>7.8558156496819465E-2</v>
      </c>
      <c r="CY78">
        <v>12026595863.896717</v>
      </c>
      <c r="CZ78">
        <v>6.893617099523544</v>
      </c>
      <c r="DA78">
        <v>1.3960905988826149E-3</v>
      </c>
      <c r="DB78">
        <v>676737742347.22058</v>
      </c>
      <c r="DC78">
        <v>6.5489362445473667</v>
      </c>
      <c r="DD78">
        <v>5.6654499886611614E-6</v>
      </c>
      <c r="DE78">
        <v>166762958262962.03</v>
      </c>
      <c r="DF78">
        <v>6.066383047580719</v>
      </c>
      <c r="DG78">
        <v>6.3683329930030593E-9</v>
      </c>
      <c r="DH78">
        <v>1.4835706629003942E+17</v>
      </c>
      <c r="DI78">
        <v>5.5148936796188357</v>
      </c>
      <c r="DJ78">
        <v>7.5743048040401233E-16</v>
      </c>
      <c r="DK78">
        <v>1.2473583047463998E+24</v>
      </c>
      <c r="DL78">
        <v>4.8255319696664802</v>
      </c>
      <c r="DM78">
        <v>1614999999.9999998</v>
      </c>
      <c r="DN78">
        <v>6.893617099523544</v>
      </c>
      <c r="DO78">
        <v>944787200</v>
      </c>
      <c r="DP78">
        <v>532356330</v>
      </c>
      <c r="DQ78">
        <v>2322</v>
      </c>
      <c r="DR78">
        <v>-7.8737633105190863</v>
      </c>
      <c r="DS78">
        <v>-16.527705222073816</v>
      </c>
      <c r="DT78" s="12">
        <v>-0.19000000000000003</v>
      </c>
      <c r="DU78">
        <v>-0.89833333333333343</v>
      </c>
      <c r="DV78">
        <v>-1.0883333333333334</v>
      </c>
      <c r="DW78">
        <v>-2.1063999999999998</v>
      </c>
      <c r="DX78">
        <v>0.33253918429989199</v>
      </c>
      <c r="DY78">
        <v>-2.0151661692095084</v>
      </c>
      <c r="DZ78">
        <v>1030</v>
      </c>
      <c r="EA78">
        <v>-2.0121091918541674</v>
      </c>
      <c r="EB78">
        <v>2</v>
      </c>
      <c r="EC78">
        <v>4.2904473244147159E-2</v>
      </c>
      <c r="ED78">
        <v>0.30100125418060203</v>
      </c>
      <c r="EE78" s="13">
        <v>3.0283099999999998</v>
      </c>
      <c r="EF78">
        <v>3.0458099999999999</v>
      </c>
      <c r="EG78">
        <v>19.142539184299892</v>
      </c>
      <c r="EH78" t="s">
        <v>1848</v>
      </c>
      <c r="EI78">
        <v>0</v>
      </c>
      <c r="EJ78">
        <v>1</v>
      </c>
      <c r="EK78" s="15">
        <v>45470</v>
      </c>
      <c r="EL78" s="16">
        <v>0.74</v>
      </c>
      <c r="EM78" s="16">
        <v>-4.2</v>
      </c>
      <c r="EN78" s="16">
        <v>-3.38</v>
      </c>
      <c r="EO78" s="16">
        <v>-0.45</v>
      </c>
      <c r="EP78" s="16">
        <v>-1.75</v>
      </c>
    </row>
    <row r="79" spans="1:146" ht="144" x14ac:dyDescent="0.25">
      <c r="A79" s="8" t="s">
        <v>1648</v>
      </c>
      <c r="B79" s="8"/>
      <c r="C79" s="8" t="str">
        <f>"公司的主营业务是从事割草机、打草机/割灌机、其他动力机械及配件的研发设计、生产制造和销售；"&amp;CHAR(10)&amp;Basic_Fundamental_Information_Constructure(F79)&amp;CHAR(10)&amp;Basic_Fundamental_Information_Concatenate("割草机 9.66亿 87.61% 85.45% 16.10%
其他动力机械 6226.83万 5.65% 2.00% 5.84%
配件 5908.34万 5.36% 9.94% 30.63%
打草机/割灌机 1404.03万 1.27% 1.92% 24.84%")</f>
        <v>公司的主营业务是从事割草机、打草机/割灌机、其他动力机械及配件的研发设计、生产制造和销售；
市值24.876795亿, 利润1.54亿; PE; 平均PE33.81; 平均PEG4.08, PB2.94; ROIC4.475%; ROE1.5567%; 股利率0%; 毛利14.3167%; 净利-4.87%; 上一年度营收增-38.18%, 利润增1268.76%; 当季营收增393.02%, 利润增134.82%; 过往5年营收增8.29%, 利润增237.18%
Income profile:
割草机 9.66亿 87.61% 85.45% 16.10%
其他动力机械 6226.83万 5.65% 2.00% 5.84%
配件 5908.34万 5.36% 9.94% 30.63%
打草机/割灌机 1404.03万 1.27% 1.92% 24.84%</v>
      </c>
      <c r="D79" t="s">
        <v>670</v>
      </c>
      <c r="E79" t="s">
        <v>671</v>
      </c>
      <c r="F79">
        <v>14.95</v>
      </c>
      <c r="G79">
        <v>9.2799999999999994</v>
      </c>
      <c r="H79" t="s">
        <v>3809</v>
      </c>
      <c r="I79">
        <v>2487679500</v>
      </c>
      <c r="K79">
        <v>2.94</v>
      </c>
      <c r="L79" t="s">
        <v>101</v>
      </c>
      <c r="M79" t="s">
        <v>2164</v>
      </c>
      <c r="N79" t="s">
        <v>2216</v>
      </c>
      <c r="O79" t="s">
        <v>538</v>
      </c>
      <c r="P79">
        <v>48.81</v>
      </c>
      <c r="Q79" t="s">
        <v>2111</v>
      </c>
      <c r="R79">
        <v>45486574</v>
      </c>
      <c r="S79" s="6">
        <v>1.786</v>
      </c>
      <c r="T79" t="s">
        <v>420</v>
      </c>
      <c r="U79">
        <v>165129310</v>
      </c>
      <c r="V79">
        <v>166399960</v>
      </c>
      <c r="W79">
        <v>4.08</v>
      </c>
      <c r="X79">
        <v>0.2</v>
      </c>
      <c r="Y79">
        <v>7.15</v>
      </c>
      <c r="Z79" t="s">
        <v>623</v>
      </c>
      <c r="AA79" t="s">
        <v>794</v>
      </c>
      <c r="AB79" t="s">
        <v>3810</v>
      </c>
      <c r="AC79" t="s">
        <v>3811</v>
      </c>
      <c r="AD79" t="s">
        <v>5</v>
      </c>
      <c r="AE79">
        <v>3900915</v>
      </c>
      <c r="AF79" t="s">
        <v>3812</v>
      </c>
      <c r="AG79">
        <v>123</v>
      </c>
      <c r="AH79" t="s">
        <v>3813</v>
      </c>
      <c r="AI79" t="s">
        <v>1097</v>
      </c>
      <c r="AJ79" t="s">
        <v>3814</v>
      </c>
      <c r="AK79" t="s">
        <v>3815</v>
      </c>
      <c r="AL79" t="s">
        <v>3816</v>
      </c>
      <c r="AM79" t="s">
        <v>5</v>
      </c>
      <c r="AN79" t="s">
        <v>1018</v>
      </c>
      <c r="AO79" t="s">
        <v>1645</v>
      </c>
      <c r="AP79" t="s">
        <v>658</v>
      </c>
      <c r="AQ79" t="s">
        <v>269</v>
      </c>
      <c r="AR79" t="s">
        <v>3817</v>
      </c>
      <c r="AS79" t="s">
        <v>2033</v>
      </c>
      <c r="AT79" t="s">
        <v>624</v>
      </c>
      <c r="AU79" t="s">
        <v>3818</v>
      </c>
      <c r="AV79" t="s">
        <v>3819</v>
      </c>
      <c r="AW79" t="s">
        <v>499</v>
      </c>
      <c r="AX79" t="s">
        <v>1910</v>
      </c>
      <c r="AY79" t="s">
        <v>1073</v>
      </c>
      <c r="AZ79" t="s">
        <v>850</v>
      </c>
      <c r="BA79" t="s">
        <v>672</v>
      </c>
      <c r="BB79" t="s">
        <v>459</v>
      </c>
      <c r="BC79" t="s">
        <v>1972</v>
      </c>
      <c r="BD79" t="s">
        <v>1435</v>
      </c>
      <c r="BE79" t="s">
        <v>1037</v>
      </c>
      <c r="BF79" t="s">
        <v>673</v>
      </c>
      <c r="BG79" t="s">
        <v>1038</v>
      </c>
      <c r="BH79" t="s">
        <v>1649</v>
      </c>
      <c r="BI79" t="s">
        <v>266</v>
      </c>
      <c r="BJ79" t="s">
        <v>1910</v>
      </c>
      <c r="BK79" t="s">
        <v>898</v>
      </c>
      <c r="BL79" t="s">
        <v>3820</v>
      </c>
      <c r="BM79" t="s">
        <v>1972</v>
      </c>
      <c r="BN79" t="s">
        <v>5</v>
      </c>
      <c r="BO79">
        <v>4.2</v>
      </c>
      <c r="BP79">
        <v>4.75</v>
      </c>
      <c r="BQ79">
        <v>-2.4300000000000002</v>
      </c>
      <c r="BR79">
        <v>1.18</v>
      </c>
      <c r="BS79">
        <v>5.92</v>
      </c>
      <c r="BT79" t="s">
        <v>1720</v>
      </c>
      <c r="BU79" t="s">
        <v>1605</v>
      </c>
      <c r="BV79">
        <v>11.46</v>
      </c>
      <c r="BW79">
        <v>16.170000000000002</v>
      </c>
      <c r="BX79">
        <v>15.32</v>
      </c>
      <c r="BY79">
        <v>-18.829999999999998</v>
      </c>
      <c r="BZ79">
        <v>0.76</v>
      </c>
      <c r="CA79">
        <v>3.46</v>
      </c>
      <c r="CB79">
        <v>11.73</v>
      </c>
      <c r="CC79">
        <v>9.93</v>
      </c>
      <c r="CD79" t="s">
        <v>3821</v>
      </c>
      <c r="CE79" t="s">
        <v>692</v>
      </c>
      <c r="CF79" s="10">
        <v>3.9302325581395348</v>
      </c>
      <c r="CG79" s="11">
        <v>1.3481910494607892</v>
      </c>
      <c r="CH79" s="10">
        <v>-0.38179346919059753</v>
      </c>
      <c r="CI79" s="10">
        <v>-8.4007501602172852E-2</v>
      </c>
      <c r="CJ79" s="10">
        <v>0.60539466142654419</v>
      </c>
      <c r="CK79" s="10">
        <v>1.315789483487606E-2</v>
      </c>
      <c r="CL79" s="10">
        <v>0.26181355118751526</v>
      </c>
      <c r="CM79" s="11">
        <v>12.68755054473877</v>
      </c>
      <c r="CN79" s="11">
        <v>-0.79736107587814331</v>
      </c>
      <c r="CO79" s="11">
        <v>-0.27611809968948364</v>
      </c>
      <c r="CP79" s="11">
        <v>-5.8673903346061707E-2</v>
      </c>
      <c r="CQ79" s="11">
        <v>0.30337375402450562</v>
      </c>
      <c r="CR79">
        <v>33.809586370408084</v>
      </c>
      <c r="CS79">
        <v>4.077717031768799</v>
      </c>
      <c r="CT79">
        <v>0</v>
      </c>
      <c r="CU79" s="10">
        <v>8.2913027331233027E-2</v>
      </c>
      <c r="CV79" s="11">
        <v>2.3717542439699173</v>
      </c>
      <c r="CW79">
        <v>0.06</v>
      </c>
      <c r="CX79">
        <v>24.958416122896921</v>
      </c>
      <c r="CY79">
        <v>157328873.78208479</v>
      </c>
      <c r="CZ79">
        <v>8.2913027331233027E-2</v>
      </c>
      <c r="DA79">
        <v>8.205310393388352</v>
      </c>
      <c r="DB79">
        <v>478553438.16902125</v>
      </c>
      <c r="DC79">
        <v>7.8767375964671371E-2</v>
      </c>
      <c r="DD79">
        <v>4.0717693336291259</v>
      </c>
      <c r="DE79">
        <v>964366882.8607713</v>
      </c>
      <c r="DF79">
        <v>7.2963464051485058E-2</v>
      </c>
      <c r="DG79">
        <v>2.4672808199723226</v>
      </c>
      <c r="DH79">
        <v>1591500841.0125153</v>
      </c>
      <c r="DI79">
        <v>6.633042186498643E-2</v>
      </c>
      <c r="DJ79">
        <v>1.2998506483020358</v>
      </c>
      <c r="DK79">
        <v>3020869747.7124228</v>
      </c>
      <c r="DL79">
        <v>5.8039119131863118E-2</v>
      </c>
      <c r="DM79">
        <v>154000000</v>
      </c>
      <c r="DN79">
        <v>8.2913027331233027E-2</v>
      </c>
      <c r="DO79">
        <v>3926679500</v>
      </c>
      <c r="DP79">
        <v>641438100</v>
      </c>
      <c r="DQ79">
        <v>2335</v>
      </c>
      <c r="DR79">
        <v>3.8473195308083019</v>
      </c>
      <c r="DS79">
        <v>-1.0235631945091281</v>
      </c>
      <c r="DT79" s="12">
        <v>-0.24</v>
      </c>
      <c r="DU79">
        <v>0.40666666666666668</v>
      </c>
      <c r="DV79">
        <v>0.16666666666666669</v>
      </c>
      <c r="DW79">
        <v>5.8465473145780047</v>
      </c>
      <c r="DX79">
        <v>0.5790485714285728</v>
      </c>
      <c r="DY79">
        <v>5.1854349799050059</v>
      </c>
      <c r="DZ79">
        <v>4212</v>
      </c>
      <c r="EA79">
        <v>5.0325872039050283</v>
      </c>
      <c r="EB79">
        <v>5</v>
      </c>
      <c r="EC79">
        <v>0.13822178803408369</v>
      </c>
      <c r="ED79">
        <v>0.6310097670696555</v>
      </c>
      <c r="EE79" s="13">
        <v>1.1443000000000001</v>
      </c>
      <c r="EF79">
        <v>1.1294999999999999</v>
      </c>
      <c r="EG79">
        <v>36.219048571428573</v>
      </c>
      <c r="EH79" t="s">
        <v>1814</v>
      </c>
      <c r="EI79">
        <v>1</v>
      </c>
      <c r="EJ79">
        <v>0</v>
      </c>
      <c r="EK79" s="15">
        <v>45470</v>
      </c>
      <c r="EL79" s="16">
        <v>2.0099999999999998</v>
      </c>
      <c r="EM79" s="16">
        <v>-3.6</v>
      </c>
      <c r="EN79" s="16">
        <v>1.06</v>
      </c>
      <c r="EO79" s="16">
        <v>3.41</v>
      </c>
      <c r="EP79" s="16">
        <v>-1.48</v>
      </c>
    </row>
    <row r="80" spans="1:146" ht="108" x14ac:dyDescent="0.25">
      <c r="A80" s="8"/>
      <c r="B80" s="8"/>
      <c r="C80" s="8" t="str">
        <f>""&amp;CHAR(10)&amp;Basic_Fundamental_Information_Constructure(F80)&amp;CHAR(10)&amp;Basic_Fundamental_Information_Concatenate("")</f>
        <v xml:space="preserve">
市值31.918765亿, 利润-1.59亿; PE68; 平均PE233.26; 平均PEG1.13, PB3.47; ROIC1.9667%; ROE2.23%; 股利率1.7212%; 毛利46.48%; 净利8.5167%; 上一年度营收增1017.74%, 利润增-1151.13%; 当季营收增-89.7%, 利润增107.15%; 过往5年营收增206.42%, 利润增-249.88%
Income profile:
</v>
      </c>
      <c r="D80" t="s">
        <v>1039</v>
      </c>
      <c r="E80" t="s">
        <v>1040</v>
      </c>
      <c r="F80">
        <v>17.43</v>
      </c>
      <c r="G80">
        <v>-3.6</v>
      </c>
      <c r="H80" t="s">
        <v>3822</v>
      </c>
      <c r="I80">
        <v>3191876500</v>
      </c>
      <c r="J80">
        <v>68</v>
      </c>
      <c r="K80">
        <v>3.47</v>
      </c>
      <c r="L80" t="s">
        <v>101</v>
      </c>
      <c r="M80" t="s">
        <v>172</v>
      </c>
      <c r="N80" t="s">
        <v>3823</v>
      </c>
      <c r="O80" t="s">
        <v>3824</v>
      </c>
      <c r="P80">
        <v>62.25</v>
      </c>
      <c r="Q80" t="s">
        <v>3825</v>
      </c>
      <c r="R80">
        <v>2565439</v>
      </c>
      <c r="S80" s="6">
        <v>1.446</v>
      </c>
      <c r="T80" t="s">
        <v>2062</v>
      </c>
      <c r="U80">
        <v>122897656</v>
      </c>
      <c r="V80">
        <v>183125450</v>
      </c>
      <c r="W80">
        <v>1.1000000000000001</v>
      </c>
      <c r="X80">
        <v>0.06</v>
      </c>
      <c r="Y80">
        <v>3.52</v>
      </c>
      <c r="Z80" t="s">
        <v>3826</v>
      </c>
      <c r="AA80" t="s">
        <v>3827</v>
      </c>
      <c r="AB80" t="s">
        <v>3828</v>
      </c>
      <c r="AC80" t="s">
        <v>3829</v>
      </c>
      <c r="AD80" t="s">
        <v>5</v>
      </c>
      <c r="AE80">
        <v>-284091</v>
      </c>
      <c r="AF80" t="s">
        <v>3830</v>
      </c>
      <c r="AG80" t="s">
        <v>3831</v>
      </c>
      <c r="AH80" t="s">
        <v>3832</v>
      </c>
      <c r="AI80" t="s">
        <v>3833</v>
      </c>
      <c r="AJ80" t="s">
        <v>3834</v>
      </c>
      <c r="AK80" t="s">
        <v>3835</v>
      </c>
      <c r="AL80" t="s">
        <v>3836</v>
      </c>
      <c r="AM80" t="s">
        <v>5</v>
      </c>
      <c r="AN80" t="s">
        <v>3837</v>
      </c>
      <c r="AO80" t="s">
        <v>3838</v>
      </c>
      <c r="AP80" t="s">
        <v>3839</v>
      </c>
      <c r="AQ80" t="s">
        <v>3840</v>
      </c>
      <c r="AR80" t="s">
        <v>5</v>
      </c>
      <c r="AS80" t="s">
        <v>3841</v>
      </c>
      <c r="AT80" t="s">
        <v>5</v>
      </c>
      <c r="AU80" t="s">
        <v>3842</v>
      </c>
      <c r="AV80" t="s">
        <v>3843</v>
      </c>
      <c r="AW80" t="s">
        <v>5</v>
      </c>
      <c r="AX80" t="s">
        <v>246</v>
      </c>
      <c r="AY80" t="s">
        <v>702</v>
      </c>
      <c r="AZ80" t="s">
        <v>181</v>
      </c>
      <c r="BA80" t="s">
        <v>293</v>
      </c>
      <c r="BB80" t="s">
        <v>404</v>
      </c>
      <c r="BC80" t="s">
        <v>3844</v>
      </c>
      <c r="BD80" t="s">
        <v>1436</v>
      </c>
      <c r="BE80" t="s">
        <v>1041</v>
      </c>
      <c r="BF80" t="s">
        <v>1042</v>
      </c>
      <c r="BG80" t="s">
        <v>1043</v>
      </c>
      <c r="BH80" t="s">
        <v>791</v>
      </c>
      <c r="BI80" t="s">
        <v>1485</v>
      </c>
      <c r="BJ80" t="s">
        <v>246</v>
      </c>
      <c r="BK80" t="s">
        <v>3845</v>
      </c>
      <c r="BL80" t="s">
        <v>3846</v>
      </c>
      <c r="BM80" t="s">
        <v>3844</v>
      </c>
      <c r="BN80">
        <v>1.26</v>
      </c>
      <c r="BO80">
        <v>1.48</v>
      </c>
      <c r="BP80">
        <v>3.16</v>
      </c>
      <c r="BQ80">
        <v>1.57</v>
      </c>
      <c r="BR80">
        <v>1.87</v>
      </c>
      <c r="BS80">
        <v>3.25</v>
      </c>
      <c r="BT80" t="s">
        <v>3847</v>
      </c>
      <c r="BU80" t="s">
        <v>1537</v>
      </c>
      <c r="BV80">
        <v>46.6</v>
      </c>
      <c r="BW80">
        <v>46.62</v>
      </c>
      <c r="BX80">
        <v>46.22</v>
      </c>
      <c r="BY80">
        <v>9.69</v>
      </c>
      <c r="BZ80">
        <v>5.22</v>
      </c>
      <c r="CA80">
        <v>10.64</v>
      </c>
      <c r="CB80">
        <v>-12.28</v>
      </c>
      <c r="CC80">
        <v>-26.37</v>
      </c>
      <c r="CD80" t="s">
        <v>3848</v>
      </c>
      <c r="CE80" t="s">
        <v>3849</v>
      </c>
      <c r="CF80" s="10">
        <v>-0.89698662420382169</v>
      </c>
      <c r="CG80" s="11">
        <v>1.0715302341273272</v>
      </c>
      <c r="CH80" s="10">
        <v>10.177358627319336</v>
      </c>
      <c r="CI80" s="10">
        <v>4.3307088315486908E-2</v>
      </c>
      <c r="CJ80" s="10">
        <v>-7.9710148274898529E-2</v>
      </c>
      <c r="CK80" s="10">
        <v>-3.6101082805544138E-3</v>
      </c>
      <c r="CL80" s="10">
        <v>0.18376068770885468</v>
      </c>
      <c r="CM80" s="11">
        <v>-11.511283874511719</v>
      </c>
      <c r="CN80" s="11">
        <v>-0.42798259854316711</v>
      </c>
      <c r="CO80" s="11">
        <v>-0.57430845499038696</v>
      </c>
      <c r="CP80" s="11">
        <v>-0.16692414879798889</v>
      </c>
      <c r="CQ80" s="11">
        <v>0.18656285107135773</v>
      </c>
      <c r="CR80">
        <v>233.25780661945791</v>
      </c>
      <c r="CS80">
        <v>1.1300039128656976</v>
      </c>
      <c r="CT80">
        <v>1.7211703958691911</v>
      </c>
      <c r="CU80" s="10">
        <v>2.0642212293576447</v>
      </c>
      <c r="CV80" s="11">
        <v>-2.4987872451543809</v>
      </c>
      <c r="CW80">
        <v>0.06</v>
      </c>
      <c r="CX80" t="e">
        <v>#VALUE!</v>
      </c>
      <c r="CY80" t="s">
        <v>1549</v>
      </c>
      <c r="CZ80">
        <v>2.0642212293576447</v>
      </c>
      <c r="DA80" t="e">
        <v>#VALUE!</v>
      </c>
      <c r="DB80" t="s">
        <v>1549</v>
      </c>
      <c r="DC80">
        <v>1.9610101678897625</v>
      </c>
      <c r="DD80" t="e">
        <v>#VALUE!</v>
      </c>
      <c r="DE80" t="s">
        <v>1549</v>
      </c>
      <c r="DF80">
        <v>1.8165146818347273</v>
      </c>
      <c r="DG80" t="e">
        <v>#VALUE!</v>
      </c>
      <c r="DH80" t="s">
        <v>1549</v>
      </c>
      <c r="DI80">
        <v>1.6513769834861158</v>
      </c>
      <c r="DJ80" t="e">
        <v>#VALUE!</v>
      </c>
      <c r="DK80" t="s">
        <v>1549</v>
      </c>
      <c r="DL80">
        <v>1.4449548605503513</v>
      </c>
      <c r="DM80">
        <v>-159000000</v>
      </c>
      <c r="DN80">
        <v>2.0642212293576447</v>
      </c>
      <c r="DO80">
        <v>2404876500</v>
      </c>
      <c r="DP80">
        <v>579390830</v>
      </c>
      <c r="DQ80">
        <v>2358</v>
      </c>
      <c r="DR80">
        <v>-2.9612078535614663</v>
      </c>
      <c r="DS80">
        <v>3.5703174792817078</v>
      </c>
      <c r="DT80" s="12">
        <v>-4.0000000000000036E-2</v>
      </c>
      <c r="DU80">
        <v>-1.49</v>
      </c>
      <c r="DV80">
        <v>-1.53</v>
      </c>
      <c r="DW80">
        <v>-9.4656806977626093</v>
      </c>
      <c r="DX80">
        <v>0.36455073109756597</v>
      </c>
      <c r="DY80">
        <v>-9.0533440643867316</v>
      </c>
      <c r="DZ80">
        <v>4183</v>
      </c>
      <c r="EA80">
        <v>-9.0096770934807235</v>
      </c>
      <c r="EB80">
        <v>9</v>
      </c>
      <c r="EC80">
        <v>5.1644378211766852E-2</v>
      </c>
      <c r="ED80">
        <v>0.45084285117115069</v>
      </c>
      <c r="EE80" s="13">
        <v>2.00631</v>
      </c>
      <c r="EF80">
        <v>2.05661</v>
      </c>
      <c r="EG80">
        <v>25.114550731097566</v>
      </c>
      <c r="EH80" t="s">
        <v>1816</v>
      </c>
      <c r="EI80">
        <v>0</v>
      </c>
      <c r="EJ80">
        <v>0</v>
      </c>
      <c r="EK80" s="15">
        <v>45470</v>
      </c>
      <c r="EL80" s="16">
        <v>0.46</v>
      </c>
      <c r="EM80" s="16">
        <v>-1.37</v>
      </c>
      <c r="EN80" s="16">
        <v>-0.12</v>
      </c>
      <c r="EO80" s="16">
        <v>1.74</v>
      </c>
      <c r="EP80" s="16">
        <v>-5.03</v>
      </c>
    </row>
    <row r="81" spans="1:146" ht="96" x14ac:dyDescent="0.25">
      <c r="A81" s="8"/>
      <c r="B81" s="8"/>
      <c r="C81" s="8" t="str">
        <f>""&amp;CHAR(10)&amp;Basic_Fundamental_Information_Constructure(F81)&amp;CHAR(10)&amp;Basic_Fundamental_Information_Concatenate("")</f>
        <v xml:space="preserve">
市值13.0399278亿, 利润4639.45万; PE88.72; 平均PE40.31; 平均PEG.63, PB1.85; ROIC2.925%; ROE-1.23%; 股利率1.8416%; 毛利27.07%; 净利-2.1433%; 上一年度营收增329.98%, 利润增158.14%; 当季营收增-80.9%, 利润增-83.22%; 过往5年营收增63.84%, 利润增-27.35%
Income profile:
</v>
      </c>
      <c r="D81" t="s">
        <v>1045</v>
      </c>
      <c r="E81" t="s">
        <v>1046</v>
      </c>
      <c r="F81">
        <v>5.43</v>
      </c>
      <c r="G81">
        <v>2.0699999999999998</v>
      </c>
      <c r="H81" t="s">
        <v>3850</v>
      </c>
      <c r="I81">
        <v>1303992780</v>
      </c>
      <c r="J81">
        <v>88.72</v>
      </c>
      <c r="K81">
        <v>1.85</v>
      </c>
      <c r="L81" t="s">
        <v>101</v>
      </c>
      <c r="M81" t="s">
        <v>988</v>
      </c>
      <c r="N81" t="s">
        <v>1841</v>
      </c>
      <c r="O81" t="s">
        <v>3851</v>
      </c>
      <c r="P81">
        <v>18.96</v>
      </c>
      <c r="Q81" t="s">
        <v>3852</v>
      </c>
      <c r="R81">
        <v>1117584</v>
      </c>
      <c r="S81" s="6">
        <v>1.407</v>
      </c>
      <c r="T81" t="s">
        <v>3853</v>
      </c>
      <c r="U81">
        <v>196359910</v>
      </c>
      <c r="V81">
        <v>240146000</v>
      </c>
      <c r="W81">
        <v>1.58</v>
      </c>
      <c r="X81">
        <v>7.0000000000000007E-2</v>
      </c>
      <c r="Y81">
        <v>1.1100000000000001</v>
      </c>
      <c r="Z81" t="s">
        <v>3854</v>
      </c>
      <c r="AA81" t="s">
        <v>3855</v>
      </c>
      <c r="AB81" t="s">
        <v>3856</v>
      </c>
      <c r="AC81" t="s">
        <v>3857</v>
      </c>
      <c r="AD81" t="s">
        <v>5</v>
      </c>
      <c r="AE81">
        <v>-192669</v>
      </c>
      <c r="AF81" t="s">
        <v>127</v>
      </c>
      <c r="AG81" t="s">
        <v>3858</v>
      </c>
      <c r="AH81" t="s">
        <v>3859</v>
      </c>
      <c r="AI81" t="s">
        <v>409</v>
      </c>
      <c r="AJ81" t="s">
        <v>3860</v>
      </c>
      <c r="AK81" t="s">
        <v>3861</v>
      </c>
      <c r="AL81" t="s">
        <v>3862</v>
      </c>
      <c r="AM81" t="s">
        <v>5</v>
      </c>
      <c r="AN81" t="s">
        <v>3863</v>
      </c>
      <c r="AO81" t="s">
        <v>5</v>
      </c>
      <c r="AP81" t="s">
        <v>3864</v>
      </c>
      <c r="AQ81" t="s">
        <v>169</v>
      </c>
      <c r="AR81" t="s">
        <v>5</v>
      </c>
      <c r="AS81" t="s">
        <v>523</v>
      </c>
      <c r="AT81" t="s">
        <v>5</v>
      </c>
      <c r="AU81" t="s">
        <v>3865</v>
      </c>
      <c r="AV81" t="s">
        <v>3866</v>
      </c>
      <c r="AW81" t="s">
        <v>5</v>
      </c>
      <c r="AX81" t="s">
        <v>380</v>
      </c>
      <c r="AY81" t="s">
        <v>359</v>
      </c>
      <c r="AZ81" t="s">
        <v>456</v>
      </c>
      <c r="BA81" t="s">
        <v>549</v>
      </c>
      <c r="BB81" t="s">
        <v>1048</v>
      </c>
      <c r="BC81" t="s">
        <v>1974</v>
      </c>
      <c r="BD81" t="s">
        <v>1437</v>
      </c>
      <c r="BE81" t="s">
        <v>1047</v>
      </c>
      <c r="BF81" t="s">
        <v>1049</v>
      </c>
      <c r="BG81" t="s">
        <v>1050</v>
      </c>
      <c r="BH81" t="s">
        <v>619</v>
      </c>
      <c r="BI81" t="s">
        <v>2136</v>
      </c>
      <c r="BJ81" t="s">
        <v>380</v>
      </c>
      <c r="BK81" t="s">
        <v>3867</v>
      </c>
      <c r="BL81" t="s">
        <v>3868</v>
      </c>
      <c r="BM81" t="s">
        <v>1974</v>
      </c>
      <c r="BN81">
        <v>0.28000000000000003</v>
      </c>
      <c r="BO81" t="s">
        <v>5</v>
      </c>
      <c r="BP81">
        <v>5.57</v>
      </c>
      <c r="BQ81">
        <v>0.77</v>
      </c>
      <c r="BR81">
        <v>-10.74</v>
      </c>
      <c r="BS81">
        <v>6.28</v>
      </c>
      <c r="BT81" t="s">
        <v>1723</v>
      </c>
      <c r="BU81" t="s">
        <v>1595</v>
      </c>
      <c r="BV81">
        <v>29.23</v>
      </c>
      <c r="BW81">
        <v>26.92</v>
      </c>
      <c r="BX81">
        <v>25.06</v>
      </c>
      <c r="BY81">
        <v>2.23</v>
      </c>
      <c r="BZ81">
        <v>-18.690000000000001</v>
      </c>
      <c r="CA81">
        <v>10.029999999999999</v>
      </c>
      <c r="CB81">
        <v>-0.91</v>
      </c>
      <c r="CC81">
        <v>-11.56</v>
      </c>
      <c r="CD81" t="s">
        <v>3869</v>
      </c>
      <c r="CE81" t="s">
        <v>256</v>
      </c>
      <c r="CF81" s="10">
        <v>-0.80900353535353531</v>
      </c>
      <c r="CG81" s="11">
        <v>-0.83223238009457334</v>
      </c>
      <c r="CH81" s="10">
        <v>3.2997655868530273</v>
      </c>
      <c r="CI81" s="10">
        <v>-9.5338985323905945E-2</v>
      </c>
      <c r="CJ81" s="10">
        <v>4.4247787445783615E-2</v>
      </c>
      <c r="CK81" s="10">
        <v>-8.7719298899173737E-3</v>
      </c>
      <c r="CL81" s="10">
        <v>-4.8016700893640518E-2</v>
      </c>
      <c r="CM81" s="11">
        <v>1.5814378261566162</v>
      </c>
      <c r="CN81" s="11">
        <v>-2.6842572689056396</v>
      </c>
      <c r="CO81" s="11">
        <v>-0.14084675908088684</v>
      </c>
      <c r="CP81" s="11">
        <v>-0.11267770826816559</v>
      </c>
      <c r="CQ81" s="11">
        <v>-1.1171646416187286E-2</v>
      </c>
      <c r="CR81">
        <v>40.306673872177065</v>
      </c>
      <c r="CS81">
        <v>0.63139280233852213</v>
      </c>
      <c r="CT81">
        <v>1.8416206261510131</v>
      </c>
      <c r="CU81" s="10">
        <v>0.63837715163826947</v>
      </c>
      <c r="CV81" s="11">
        <v>-0.27350311130285265</v>
      </c>
      <c r="CW81">
        <v>0.06</v>
      </c>
      <c r="CX81">
        <v>14.879452952901048</v>
      </c>
      <c r="CY81">
        <v>71709140.341209143</v>
      </c>
      <c r="CZ81">
        <v>0.63837715163826947</v>
      </c>
      <c r="DA81">
        <v>3.1533659988950138</v>
      </c>
      <c r="DB81">
        <v>338366298.2266854</v>
      </c>
      <c r="DC81">
        <v>0.60645829405635598</v>
      </c>
      <c r="DD81">
        <v>0.80054874731584902</v>
      </c>
      <c r="DE81">
        <v>1332826743.6274283</v>
      </c>
      <c r="DF81">
        <v>0.56177189344167711</v>
      </c>
      <c r="DG81">
        <v>0.20437325182729121</v>
      </c>
      <c r="DH81">
        <v>5220804437.2738113</v>
      </c>
      <c r="DI81">
        <v>0.51070172131061564</v>
      </c>
      <c r="DJ81">
        <v>1.222506516303104E-2</v>
      </c>
      <c r="DK81">
        <v>87279107781.496155</v>
      </c>
      <c r="DL81">
        <v>0.44686400614678862</v>
      </c>
      <c r="DM81">
        <v>46394500</v>
      </c>
      <c r="DN81">
        <v>0.63837715163826947</v>
      </c>
      <c r="DO81">
        <v>1066992780</v>
      </c>
      <c r="DP81">
        <v>404556040.00000006</v>
      </c>
      <c r="DQ81">
        <v>2385</v>
      </c>
      <c r="DR81">
        <v>-1.4473806869918047</v>
      </c>
      <c r="DS81">
        <v>-0.55872926879172069</v>
      </c>
      <c r="DT81" s="12">
        <v>-0.14000000000000004</v>
      </c>
      <c r="DU81">
        <v>-0.82333333333333325</v>
      </c>
      <c r="DV81">
        <v>-0.96333333333333326</v>
      </c>
      <c r="DW81">
        <v>-2.1156000000000001</v>
      </c>
      <c r="DX81">
        <v>0.37906942148760381</v>
      </c>
      <c r="DY81">
        <v>-2.0126084251239669</v>
      </c>
      <c r="DZ81">
        <v>3053</v>
      </c>
      <c r="EA81">
        <v>-2.0050754462778864</v>
      </c>
      <c r="EB81">
        <v>2</v>
      </c>
      <c r="EC81">
        <v>5.4955735261049528E-2</v>
      </c>
      <c r="ED81">
        <v>0.50386015174102416</v>
      </c>
      <c r="EE81" s="13">
        <v>-1.0416000000000001</v>
      </c>
      <c r="EF81">
        <v>-1.09751</v>
      </c>
      <c r="EG81">
        <v>27.109069421487604</v>
      </c>
      <c r="EH81" t="s">
        <v>1563</v>
      </c>
      <c r="EI81">
        <v>0</v>
      </c>
      <c r="EJ81">
        <v>0</v>
      </c>
      <c r="EK81" s="15">
        <v>45470</v>
      </c>
      <c r="EL81" s="16">
        <v>-5.24</v>
      </c>
      <c r="EM81" s="16">
        <v>16.73</v>
      </c>
      <c r="EN81" s="16">
        <v>16.239999999999998</v>
      </c>
      <c r="EO81" s="16">
        <v>-9.31</v>
      </c>
      <c r="EP81" s="16">
        <v>-13.91</v>
      </c>
    </row>
    <row r="82" spans="1:146" ht="168" x14ac:dyDescent="0.25">
      <c r="A82" s="8" t="s">
        <v>1570</v>
      </c>
      <c r="B82" s="8"/>
      <c r="C82" s="8" t="s">
        <v>1569</v>
      </c>
      <c r="D82" t="s">
        <v>1051</v>
      </c>
      <c r="E82" t="s">
        <v>1052</v>
      </c>
      <c r="F82">
        <v>14.68</v>
      </c>
      <c r="G82">
        <v>1.87</v>
      </c>
      <c r="H82" t="s">
        <v>3870</v>
      </c>
      <c r="I82">
        <v>2209046400</v>
      </c>
      <c r="J82">
        <v>32.08</v>
      </c>
      <c r="K82">
        <v>3.08</v>
      </c>
      <c r="L82" t="s">
        <v>101</v>
      </c>
      <c r="M82" t="s">
        <v>253</v>
      </c>
      <c r="N82" t="s">
        <v>812</v>
      </c>
      <c r="O82" t="s">
        <v>658</v>
      </c>
      <c r="P82">
        <v>98.15</v>
      </c>
      <c r="Q82" t="s">
        <v>3871</v>
      </c>
      <c r="R82">
        <v>50629801</v>
      </c>
      <c r="S82" s="6">
        <v>1.4770000000000001</v>
      </c>
      <c r="T82" t="s">
        <v>269</v>
      </c>
      <c r="U82">
        <v>89730000</v>
      </c>
      <c r="V82">
        <v>150480000</v>
      </c>
      <c r="W82">
        <v>1.48</v>
      </c>
      <c r="X82">
        <v>0.17</v>
      </c>
      <c r="Y82">
        <v>27.94</v>
      </c>
      <c r="Z82" t="s">
        <v>256</v>
      </c>
      <c r="AA82" t="s">
        <v>208</v>
      </c>
      <c r="AB82" t="s">
        <v>3872</v>
      </c>
      <c r="AC82" t="s">
        <v>3873</v>
      </c>
      <c r="AD82" t="s">
        <v>5</v>
      </c>
      <c r="AE82">
        <v>-2673656</v>
      </c>
      <c r="AF82" t="s">
        <v>3874</v>
      </c>
      <c r="AG82" t="s">
        <v>5</v>
      </c>
      <c r="AH82" t="s">
        <v>3875</v>
      </c>
      <c r="AI82" t="s">
        <v>241</v>
      </c>
      <c r="AJ82" t="s">
        <v>3876</v>
      </c>
      <c r="AK82" t="s">
        <v>3877</v>
      </c>
      <c r="AL82" t="s">
        <v>3878</v>
      </c>
      <c r="AM82" t="s">
        <v>5</v>
      </c>
      <c r="AN82" t="s">
        <v>572</v>
      </c>
      <c r="AO82" t="s">
        <v>3879</v>
      </c>
      <c r="AP82" t="s">
        <v>3880</v>
      </c>
      <c r="AQ82" t="s">
        <v>3881</v>
      </c>
      <c r="AR82" t="s">
        <v>3882</v>
      </c>
      <c r="AS82" t="s">
        <v>483</v>
      </c>
      <c r="AT82" t="s">
        <v>5</v>
      </c>
      <c r="AU82" t="s">
        <v>3883</v>
      </c>
      <c r="AV82" t="s">
        <v>3884</v>
      </c>
      <c r="AW82" t="s">
        <v>3885</v>
      </c>
      <c r="AX82" t="s">
        <v>713</v>
      </c>
      <c r="AY82" t="s">
        <v>265</v>
      </c>
      <c r="AZ82" t="s">
        <v>816</v>
      </c>
      <c r="BA82" t="s">
        <v>654</v>
      </c>
      <c r="BB82" t="s">
        <v>338</v>
      </c>
      <c r="BC82" t="s">
        <v>3886</v>
      </c>
      <c r="BD82" t="s">
        <v>1438</v>
      </c>
      <c r="BE82" t="s">
        <v>1053</v>
      </c>
      <c r="BF82" t="s">
        <v>1054</v>
      </c>
      <c r="BG82" t="s">
        <v>1055</v>
      </c>
      <c r="BH82" t="s">
        <v>507</v>
      </c>
      <c r="BI82" t="s">
        <v>176</v>
      </c>
      <c r="BJ82" t="s">
        <v>713</v>
      </c>
      <c r="BK82" t="s">
        <v>3887</v>
      </c>
      <c r="BL82" t="s">
        <v>3888</v>
      </c>
      <c r="BM82" t="s">
        <v>3886</v>
      </c>
      <c r="BN82">
        <v>5.14</v>
      </c>
      <c r="BO82">
        <v>10.54</v>
      </c>
      <c r="BP82">
        <v>8.84</v>
      </c>
      <c r="BQ82">
        <v>5.86</v>
      </c>
      <c r="BR82">
        <v>10.88</v>
      </c>
      <c r="BS82">
        <v>8.14</v>
      </c>
      <c r="BT82" t="s">
        <v>1726</v>
      </c>
      <c r="BU82" t="s">
        <v>1536</v>
      </c>
      <c r="BV82">
        <v>36.25</v>
      </c>
      <c r="BW82">
        <v>40.72</v>
      </c>
      <c r="BX82">
        <v>31.34</v>
      </c>
      <c r="BY82">
        <v>12.47</v>
      </c>
      <c r="BZ82">
        <v>20.27</v>
      </c>
      <c r="CA82">
        <v>14.57</v>
      </c>
      <c r="CB82">
        <v>-3.67</v>
      </c>
      <c r="CC82">
        <v>-11.46</v>
      </c>
      <c r="CD82" t="s">
        <v>3889</v>
      </c>
      <c r="CE82" t="s">
        <v>3890</v>
      </c>
      <c r="CF82" s="10">
        <v>-0.31178707224334601</v>
      </c>
      <c r="CG82" s="11">
        <v>-0.30973167639199434</v>
      </c>
      <c r="CH82" s="10">
        <v>4.2067904472351074</v>
      </c>
      <c r="CI82" s="10">
        <v>9.8305083811283112E-2</v>
      </c>
      <c r="CJ82" s="10">
        <v>0.17529881000518799</v>
      </c>
      <c r="CK82" s="10">
        <v>-4.9242425709962845E-2</v>
      </c>
      <c r="CL82" s="10">
        <v>0.11864406615495682</v>
      </c>
      <c r="CM82" s="11">
        <v>2.9039089679718018</v>
      </c>
      <c r="CN82" s="11">
        <v>0.52846914529800415</v>
      </c>
      <c r="CO82" s="11">
        <v>-0.30267795920372009</v>
      </c>
      <c r="CP82" s="11">
        <v>-7.2978567332029343E-3</v>
      </c>
      <c r="CQ82" s="11">
        <v>0.21393048763275146</v>
      </c>
      <c r="CR82">
        <v>24.588914962246399</v>
      </c>
      <c r="CS82">
        <v>0.27021997318392199</v>
      </c>
      <c r="CT82">
        <v>1.0217983651226159</v>
      </c>
      <c r="CU82" s="10">
        <v>0.90995919629931454</v>
      </c>
      <c r="CV82" s="11">
        <v>0.66726655699312687</v>
      </c>
      <c r="CW82">
        <v>0.06</v>
      </c>
      <c r="CX82">
        <v>4.2210268238298978</v>
      </c>
      <c r="CY82">
        <v>461273164.3892684</v>
      </c>
      <c r="CZ82">
        <v>0.90995919629931454</v>
      </c>
      <c r="DA82">
        <v>0.73880396626538303</v>
      </c>
      <c r="DB82">
        <v>2635403285.4509726</v>
      </c>
      <c r="DC82">
        <v>0.86446123648434881</v>
      </c>
      <c r="DD82">
        <v>0.1358022387818395</v>
      </c>
      <c r="DE82">
        <v>14337365992.381371</v>
      </c>
      <c r="DF82">
        <v>0.80076409274339677</v>
      </c>
      <c r="DG82">
        <v>2.2353671541837056E-2</v>
      </c>
      <c r="DH82">
        <v>87101861381.29097</v>
      </c>
      <c r="DI82">
        <v>0.7279673570394517</v>
      </c>
      <c r="DJ82">
        <v>4.5042012281062136E-4</v>
      </c>
      <c r="DK82">
        <v>4322734046273.1357</v>
      </c>
      <c r="DL82">
        <v>0.63697143740952011</v>
      </c>
      <c r="DM82">
        <v>256000000</v>
      </c>
      <c r="DN82">
        <v>0.90995919629931454</v>
      </c>
      <c r="DO82">
        <v>1947046400</v>
      </c>
      <c r="DP82">
        <v>365533110</v>
      </c>
      <c r="DQ82">
        <v>2402</v>
      </c>
      <c r="DR82">
        <v>-1.2217462685426606</v>
      </c>
      <c r="DS82">
        <v>-0.97699823338512126</v>
      </c>
      <c r="DT82" s="12">
        <v>-6.6666666666666714E-3</v>
      </c>
      <c r="DU82">
        <v>0.19666666666666666</v>
      </c>
      <c r="DV82">
        <v>0.18999999999999997</v>
      </c>
      <c r="DW82">
        <v>-8.320244328097731</v>
      </c>
      <c r="DX82">
        <v>0.32135802524371226</v>
      </c>
      <c r="DY82">
        <v>-8.0324593326914862</v>
      </c>
      <c r="DZ82">
        <v>4811</v>
      </c>
      <c r="EA82">
        <v>-8.0018992838502463</v>
      </c>
      <c r="EB82">
        <v>8</v>
      </c>
      <c r="EC82">
        <v>6.2628256246677297E-2</v>
      </c>
      <c r="ED82">
        <v>0.61789141414141413</v>
      </c>
      <c r="EE82" s="13">
        <v>-2.1164999999999998</v>
      </c>
      <c r="EF82">
        <v>-2.1246999999999998</v>
      </c>
      <c r="EG82">
        <v>22.101358025243712</v>
      </c>
      <c r="EH82" t="s">
        <v>1852</v>
      </c>
      <c r="EI82">
        <v>0</v>
      </c>
      <c r="EJ82">
        <v>0</v>
      </c>
      <c r="EK82" s="15">
        <v>45470</v>
      </c>
      <c r="EL82" s="16">
        <v>0.56000000000000005</v>
      </c>
      <c r="EM82" s="16">
        <v>-5.49</v>
      </c>
      <c r="EN82" s="16">
        <v>-0.38</v>
      </c>
      <c r="EO82" s="16">
        <v>5.31</v>
      </c>
      <c r="EP82" s="16">
        <v>0.82</v>
      </c>
    </row>
    <row r="83" spans="1:146" ht="108" x14ac:dyDescent="0.25">
      <c r="A83" s="8"/>
      <c r="B83" s="8"/>
      <c r="C83" s="8" t="str">
        <f>""&amp;CHAR(10)&amp;Basic_Fundamental_Information_Constructure(F83)&amp;CHAR(10)&amp;Basic_Fundamental_Information_Concatenate("")</f>
        <v xml:space="preserve">
市值14.9352亿, 利润-8292.65万; PE23.23; 平均PE33.04; 平均PEG.08, PB1.51; ROIC7.2533%; ROE7.47%; 股利率1.4061%; 毛利42.7467%; 净利17.5233%; 上一年度营收增2139.52%, 利润增-233.98%; 当季营收增-90.04%, 利润增-73.74%; 过往5年营收增437.55%, 利润增-39.8%
Income profile:
</v>
      </c>
      <c r="D83" t="s">
        <v>1269</v>
      </c>
      <c r="E83" t="s">
        <v>1270</v>
      </c>
      <c r="F83">
        <v>17.78</v>
      </c>
      <c r="G83">
        <v>0.11</v>
      </c>
      <c r="H83" t="s">
        <v>2159</v>
      </c>
      <c r="I83">
        <v>1493520000</v>
      </c>
      <c r="J83">
        <v>23.23</v>
      </c>
      <c r="K83">
        <v>1.51</v>
      </c>
      <c r="L83" t="s">
        <v>101</v>
      </c>
      <c r="M83" t="s">
        <v>162</v>
      </c>
      <c r="N83" t="s">
        <v>914</v>
      </c>
      <c r="O83" t="s">
        <v>3891</v>
      </c>
      <c r="P83">
        <v>-9.3699999999999992</v>
      </c>
      <c r="Q83" t="s">
        <v>3892</v>
      </c>
      <c r="R83">
        <v>13823043</v>
      </c>
      <c r="S83" s="6">
        <v>-0.12479999999999999</v>
      </c>
      <c r="T83" t="s">
        <v>3893</v>
      </c>
      <c r="U83">
        <v>63998532</v>
      </c>
      <c r="V83">
        <v>84000000</v>
      </c>
      <c r="W83">
        <v>1.28</v>
      </c>
      <c r="X83">
        <v>0.06</v>
      </c>
      <c r="Y83">
        <v>17.690000000000001</v>
      </c>
      <c r="Z83" t="s">
        <v>3894</v>
      </c>
      <c r="AA83" t="s">
        <v>3895</v>
      </c>
      <c r="AB83" t="s">
        <v>3896</v>
      </c>
      <c r="AC83" t="s">
        <v>3897</v>
      </c>
      <c r="AD83" t="s">
        <v>5</v>
      </c>
      <c r="AE83">
        <v>-332378</v>
      </c>
      <c r="AF83" t="s">
        <v>3898</v>
      </c>
      <c r="AG83" t="s">
        <v>3899</v>
      </c>
      <c r="AH83" t="s">
        <v>3900</v>
      </c>
      <c r="AI83" t="s">
        <v>855</v>
      </c>
      <c r="AJ83" t="s">
        <v>3901</v>
      </c>
      <c r="AK83" t="s">
        <v>3902</v>
      </c>
      <c r="AL83" t="s">
        <v>3903</v>
      </c>
      <c r="AM83" t="s">
        <v>5</v>
      </c>
      <c r="AN83" t="s">
        <v>3904</v>
      </c>
      <c r="AO83" t="s">
        <v>2149</v>
      </c>
      <c r="AP83" t="s">
        <v>3905</v>
      </c>
      <c r="AQ83" t="s">
        <v>3906</v>
      </c>
      <c r="AR83" t="s">
        <v>5</v>
      </c>
      <c r="AS83" t="s">
        <v>816</v>
      </c>
      <c r="AT83" t="s">
        <v>5</v>
      </c>
      <c r="AU83" t="s">
        <v>3907</v>
      </c>
      <c r="AV83" t="s">
        <v>3908</v>
      </c>
      <c r="AW83" t="s">
        <v>3909</v>
      </c>
      <c r="AX83" t="s">
        <v>1058</v>
      </c>
      <c r="AY83" t="s">
        <v>874</v>
      </c>
      <c r="AZ83" t="s">
        <v>556</v>
      </c>
      <c r="BA83" t="s">
        <v>736</v>
      </c>
      <c r="BB83" t="s">
        <v>246</v>
      </c>
      <c r="BC83" t="s">
        <v>1029</v>
      </c>
      <c r="BD83" t="s">
        <v>1439</v>
      </c>
      <c r="BE83" t="s">
        <v>1271</v>
      </c>
      <c r="BF83" t="s">
        <v>1272</v>
      </c>
      <c r="BG83" t="s">
        <v>1273</v>
      </c>
      <c r="BH83" t="s">
        <v>125</v>
      </c>
      <c r="BI83" t="s">
        <v>1636</v>
      </c>
      <c r="BJ83" t="s">
        <v>1058</v>
      </c>
      <c r="BK83" t="s">
        <v>3910</v>
      </c>
      <c r="BL83" t="s">
        <v>3911</v>
      </c>
      <c r="BM83" t="s">
        <v>1029</v>
      </c>
      <c r="BN83">
        <v>3.75</v>
      </c>
      <c r="BO83">
        <v>6.52</v>
      </c>
      <c r="BP83">
        <v>11.49</v>
      </c>
      <c r="BQ83">
        <v>4.26</v>
      </c>
      <c r="BR83">
        <v>6.79</v>
      </c>
      <c r="BS83">
        <v>11.36</v>
      </c>
      <c r="BT83" t="s">
        <v>1882</v>
      </c>
      <c r="BU83" t="s">
        <v>1537</v>
      </c>
      <c r="BV83">
        <v>41.4</v>
      </c>
      <c r="BW83">
        <v>38.15</v>
      </c>
      <c r="BX83">
        <v>48.69</v>
      </c>
      <c r="BY83">
        <v>15.35</v>
      </c>
      <c r="BZ83">
        <v>15.59</v>
      </c>
      <c r="CA83">
        <v>21.63</v>
      </c>
      <c r="CB83">
        <v>-4.7699999999999996</v>
      </c>
      <c r="CC83">
        <v>-1.17</v>
      </c>
      <c r="CD83" t="s">
        <v>3912</v>
      </c>
      <c r="CE83" t="s">
        <v>172</v>
      </c>
      <c r="CF83" s="10">
        <v>-0.90042703412073488</v>
      </c>
      <c r="CG83" s="11">
        <v>-0.73737176893043399</v>
      </c>
      <c r="CH83" s="10">
        <v>21.395181655883789</v>
      </c>
      <c r="CI83" s="10">
        <v>5.8673471212387085E-2</v>
      </c>
      <c r="CJ83" s="10">
        <v>7.6923079788684845E-2</v>
      </c>
      <c r="CK83" s="10">
        <v>0.22972972691059113</v>
      </c>
      <c r="CL83" s="10">
        <v>0.1169811338186264</v>
      </c>
      <c r="CM83" s="11">
        <v>-2.3397605419158936</v>
      </c>
      <c r="CN83" s="11">
        <v>-0.27837097644805908</v>
      </c>
      <c r="CO83" s="11">
        <v>2.3631921038031578E-2</v>
      </c>
      <c r="CP83" s="11">
        <v>0.15322190523147583</v>
      </c>
      <c r="CQ83" s="11">
        <v>0.45136258006095886</v>
      </c>
      <c r="CR83">
        <v>33.035205745637853</v>
      </c>
      <c r="CS83">
        <v>7.5500450813939357E-2</v>
      </c>
      <c r="CT83">
        <v>1.4060742407199098</v>
      </c>
      <c r="CU83" s="10">
        <v>4.3754978135228155</v>
      </c>
      <c r="CV83" s="11">
        <v>-0.39798302240669725</v>
      </c>
      <c r="CW83">
        <v>0.06</v>
      </c>
      <c r="CX83" t="e">
        <v>#VALUE!</v>
      </c>
      <c r="CY83" t="s">
        <v>1549</v>
      </c>
      <c r="CZ83">
        <v>4.3754978135228155</v>
      </c>
      <c r="DA83" t="e">
        <v>#VALUE!</v>
      </c>
      <c r="DB83" t="s">
        <v>1549</v>
      </c>
      <c r="DC83">
        <v>4.1567229228466749</v>
      </c>
      <c r="DD83" t="e">
        <v>#VALUE!</v>
      </c>
      <c r="DE83" t="s">
        <v>1549</v>
      </c>
      <c r="DF83">
        <v>3.8504380759000778</v>
      </c>
      <c r="DG83" t="e">
        <v>#VALUE!</v>
      </c>
      <c r="DH83" t="s">
        <v>1549</v>
      </c>
      <c r="DI83">
        <v>3.5003982508182525</v>
      </c>
      <c r="DJ83" t="e">
        <v>#VALUE!</v>
      </c>
      <c r="DK83" t="s">
        <v>1549</v>
      </c>
      <c r="DL83">
        <v>3.0628484694659708</v>
      </c>
      <c r="DM83">
        <v>-82926500</v>
      </c>
      <c r="DN83">
        <v>4.3754978135228155</v>
      </c>
      <c r="DO83">
        <v>787520000</v>
      </c>
      <c r="DP83">
        <v>590888990</v>
      </c>
      <c r="DQ83">
        <v>2422</v>
      </c>
      <c r="DR83">
        <v>-5.2759248476435507</v>
      </c>
      <c r="DS83">
        <v>-0.33938874652373674</v>
      </c>
      <c r="DT83" s="12">
        <v>-2.3333333333333355E-2</v>
      </c>
      <c r="DU83">
        <v>-0.68333333333333324</v>
      </c>
      <c r="DV83">
        <v>-0.70666666666666655</v>
      </c>
      <c r="DW83">
        <v>-4.2452830188679247</v>
      </c>
      <c r="DX83">
        <v>0.3581725925925926</v>
      </c>
      <c r="DY83">
        <v>-4.0559668623340324</v>
      </c>
      <c r="DZ83">
        <v>2953</v>
      </c>
      <c r="EA83">
        <v>-4.0236243683081225</v>
      </c>
      <c r="EB83">
        <v>4</v>
      </c>
      <c r="EC83">
        <v>0.36670595238095238</v>
      </c>
      <c r="ED83">
        <v>1.6071428571428572</v>
      </c>
      <c r="EE83" s="13">
        <v>-3.0264000000000002</v>
      </c>
      <c r="EF83">
        <v>-3.0152000000000001</v>
      </c>
      <c r="EG83">
        <v>13.228172592592593</v>
      </c>
      <c r="EH83" t="s">
        <v>1946</v>
      </c>
      <c r="EI83">
        <v>0</v>
      </c>
      <c r="EJ83">
        <v>0</v>
      </c>
      <c r="EK83" s="15">
        <v>45470</v>
      </c>
      <c r="EL83" s="16">
        <v>-0.77</v>
      </c>
      <c r="EM83" s="16">
        <v>-5.51</v>
      </c>
      <c r="EN83" s="16">
        <v>2.5499999999999998</v>
      </c>
      <c r="EO83" s="16">
        <v>3.2</v>
      </c>
      <c r="EP83" s="16">
        <v>-1.1200000000000001</v>
      </c>
    </row>
    <row r="84" spans="1:146" ht="96" x14ac:dyDescent="0.25">
      <c r="A84" s="8"/>
      <c r="B84" s="8"/>
      <c r="C84" s="8" t="str">
        <f>""&amp;CHAR(10)&amp;Basic_Fundamental_Information_Constructure(F84)&amp;CHAR(10)&amp;Basic_Fundamental_Information_Concatenate("")</f>
        <v xml:space="preserve">
市值27.849025亿, 利润4405.76万; PE29.48; 平均PE46.47; 平均PEG24.11, PB2.38; ROIC7.7033%; ROE8.5733%; 股利率.8413%; 毛利18.2633%; 净利5.6967%; 上一年度营收增-66.2%, 利润增-47.14%; 当季营收增373.32%, 利润增407.34%; 过往5年营收增-1.93%, 利润增4.8%
Income profile:
</v>
      </c>
      <c r="D84" t="s">
        <v>1274</v>
      </c>
      <c r="E84" t="s">
        <v>1275</v>
      </c>
      <c r="F84">
        <v>19.850000000000001</v>
      </c>
      <c r="G84">
        <v>0.2</v>
      </c>
      <c r="H84" t="s">
        <v>3913</v>
      </c>
      <c r="I84">
        <v>2784902500</v>
      </c>
      <c r="J84">
        <v>29.48</v>
      </c>
      <c r="K84">
        <v>2.38</v>
      </c>
      <c r="L84" t="s">
        <v>101</v>
      </c>
      <c r="M84" t="s">
        <v>640</v>
      </c>
      <c r="N84" t="s">
        <v>2168</v>
      </c>
      <c r="O84" t="s">
        <v>1622</v>
      </c>
      <c r="P84">
        <v>26.36</v>
      </c>
      <c r="Q84" t="s">
        <v>1678</v>
      </c>
      <c r="R84">
        <v>19280827</v>
      </c>
      <c r="S84" s="6">
        <v>0.1386</v>
      </c>
      <c r="T84" t="s">
        <v>3914</v>
      </c>
      <c r="U84">
        <v>107401097</v>
      </c>
      <c r="V84">
        <v>140297360</v>
      </c>
      <c r="W84">
        <v>1.72</v>
      </c>
      <c r="X84">
        <v>0.2</v>
      </c>
      <c r="Y84">
        <v>3.59</v>
      </c>
      <c r="Z84" t="s">
        <v>1712</v>
      </c>
      <c r="AA84" t="s">
        <v>1553</v>
      </c>
      <c r="AB84" t="s">
        <v>3915</v>
      </c>
      <c r="AC84" t="s">
        <v>3916</v>
      </c>
      <c r="AD84" t="s">
        <v>5</v>
      </c>
      <c r="AE84">
        <v>3763369</v>
      </c>
      <c r="AF84" t="s">
        <v>3917</v>
      </c>
      <c r="AG84" t="s">
        <v>3918</v>
      </c>
      <c r="AH84" t="s">
        <v>3919</v>
      </c>
      <c r="AI84" t="s">
        <v>591</v>
      </c>
      <c r="AJ84" t="s">
        <v>3920</v>
      </c>
      <c r="AK84" t="s">
        <v>3921</v>
      </c>
      <c r="AL84" t="s">
        <v>3922</v>
      </c>
      <c r="AM84" t="s">
        <v>5</v>
      </c>
      <c r="AN84" t="s">
        <v>164</v>
      </c>
      <c r="AO84" t="s">
        <v>203</v>
      </c>
      <c r="AP84" t="s">
        <v>3923</v>
      </c>
      <c r="AQ84" t="s">
        <v>417</v>
      </c>
      <c r="AR84" t="s">
        <v>5</v>
      </c>
      <c r="AS84" t="s">
        <v>3924</v>
      </c>
      <c r="AT84" t="s">
        <v>3925</v>
      </c>
      <c r="AU84" t="s">
        <v>3926</v>
      </c>
      <c r="AV84" t="s">
        <v>3927</v>
      </c>
      <c r="AW84" t="s">
        <v>3928</v>
      </c>
      <c r="AX84" t="s">
        <v>1976</v>
      </c>
      <c r="AY84" t="s">
        <v>1440</v>
      </c>
      <c r="AZ84" t="s">
        <v>1063</v>
      </c>
      <c r="BA84" t="s">
        <v>1277</v>
      </c>
      <c r="BB84" t="s">
        <v>521</v>
      </c>
      <c r="BC84" t="s">
        <v>1977</v>
      </c>
      <c r="BD84" t="s">
        <v>1441</v>
      </c>
      <c r="BE84" t="s">
        <v>1276</v>
      </c>
      <c r="BF84" t="s">
        <v>1278</v>
      </c>
      <c r="BG84" t="s">
        <v>1279</v>
      </c>
      <c r="BH84" t="s">
        <v>3929</v>
      </c>
      <c r="BI84" t="s">
        <v>3930</v>
      </c>
      <c r="BJ84" t="s">
        <v>1976</v>
      </c>
      <c r="BK84" t="s">
        <v>3931</v>
      </c>
      <c r="BL84" t="s">
        <v>3932</v>
      </c>
      <c r="BM84" t="s">
        <v>1977</v>
      </c>
      <c r="BN84">
        <v>5.05</v>
      </c>
      <c r="BO84">
        <v>8.1999999999999993</v>
      </c>
      <c r="BP84">
        <v>9.86</v>
      </c>
      <c r="BQ84">
        <v>6.06</v>
      </c>
      <c r="BR84">
        <v>9.2200000000000006</v>
      </c>
      <c r="BS84">
        <v>10.44</v>
      </c>
      <c r="BT84" t="s">
        <v>3933</v>
      </c>
      <c r="BU84" t="s">
        <v>1537</v>
      </c>
      <c r="BV84">
        <v>20.23</v>
      </c>
      <c r="BW84">
        <v>17.489999999999998</v>
      </c>
      <c r="BX84">
        <v>17.07</v>
      </c>
      <c r="BY84">
        <v>5.69</v>
      </c>
      <c r="BZ84">
        <v>5.83</v>
      </c>
      <c r="CA84">
        <v>5.57</v>
      </c>
      <c r="CB84">
        <v>-6.85</v>
      </c>
      <c r="CC84">
        <v>12.57</v>
      </c>
      <c r="CD84" t="s">
        <v>3934</v>
      </c>
      <c r="CE84" t="s">
        <v>946</v>
      </c>
      <c r="CF84" s="10">
        <v>3.7331991681604983</v>
      </c>
      <c r="CG84" s="11">
        <v>4.0733678033891172</v>
      </c>
      <c r="CH84" s="10">
        <v>-0.66200137138366699</v>
      </c>
      <c r="CI84" s="10">
        <v>6.5622672438621521E-2</v>
      </c>
      <c r="CJ84" s="10">
        <v>0.35454538464546204</v>
      </c>
      <c r="CK84" s="10">
        <v>0.13272310793399811</v>
      </c>
      <c r="CL84" s="10">
        <v>1.2746234424412251E-2</v>
      </c>
      <c r="CM84" s="11">
        <v>-0.47135236859321594</v>
      </c>
      <c r="CN84" s="11">
        <v>0.13832975924015045</v>
      </c>
      <c r="CO84" s="11">
        <v>0.17376205325126648</v>
      </c>
      <c r="CP84" s="11">
        <v>0.17115229368209839</v>
      </c>
      <c r="CQ84" s="11">
        <v>0.22834895551204681</v>
      </c>
      <c r="CR84">
        <v>46.466399945940246</v>
      </c>
      <c r="CS84">
        <v>24.109840539940802</v>
      </c>
      <c r="CT84">
        <v>0.84130982367758178</v>
      </c>
      <c r="CU84" s="10">
        <v>-1.9272794388234614E-2</v>
      </c>
      <c r="CV84" s="11">
        <v>4.8048138618469238E-2</v>
      </c>
      <c r="CW84">
        <v>0.06</v>
      </c>
      <c r="CX84">
        <v>54.630812845002907</v>
      </c>
      <c r="CY84" t="s">
        <v>3935</v>
      </c>
      <c r="CZ84">
        <v>-1.9272794388234614E-2</v>
      </c>
      <c r="DA84">
        <v>18.210270948334301</v>
      </c>
      <c r="DB84" t="s">
        <v>3936</v>
      </c>
      <c r="DC84">
        <v>-1.8309154668822884E-2</v>
      </c>
      <c r="DD84">
        <v>9.1051354741671506</v>
      </c>
      <c r="DE84" t="s">
        <v>3937</v>
      </c>
      <c r="DF84">
        <v>-1.6960059061646462E-2</v>
      </c>
      <c r="DG84">
        <v>5.4630812845002907</v>
      </c>
      <c r="DH84" t="s">
        <v>3938</v>
      </c>
      <c r="DI84">
        <v>-1.5418235510587693E-2</v>
      </c>
      <c r="DJ84">
        <v>2.7315406422501454</v>
      </c>
      <c r="DK84" t="s">
        <v>3939</v>
      </c>
      <c r="DL84">
        <v>-1.3490956071764228E-2</v>
      </c>
      <c r="DM84">
        <v>44057600</v>
      </c>
      <c r="DN84">
        <v>-1.9272794388234614E-2</v>
      </c>
      <c r="DO84">
        <v>2406902500</v>
      </c>
      <c r="DP84">
        <v>451082090</v>
      </c>
      <c r="DQ84">
        <v>2438</v>
      </c>
      <c r="DR84">
        <v>3.7524719625487331</v>
      </c>
      <c r="DS84">
        <v>4.025319664770648</v>
      </c>
      <c r="DT84" s="12">
        <v>-0.64</v>
      </c>
      <c r="DU84">
        <v>0.18333333333333326</v>
      </c>
      <c r="DV84">
        <v>-0.45666666666666678</v>
      </c>
      <c r="DW84">
        <v>-7.3527291452111223</v>
      </c>
      <c r="DX84">
        <v>0.33145782747603769</v>
      </c>
      <c r="DY84">
        <v>-7.0675327558296015</v>
      </c>
      <c r="DZ84">
        <v>3454</v>
      </c>
      <c r="EA84">
        <v>-7.0218853705780466</v>
      </c>
      <c r="EB84">
        <v>7</v>
      </c>
      <c r="EC84">
        <v>0.42713775939903642</v>
      </c>
      <c r="ED84">
        <v>2.230975693341628</v>
      </c>
      <c r="EE84" s="13">
        <v>1.0543</v>
      </c>
      <c r="EF84">
        <v>1.0519000000000001</v>
      </c>
      <c r="EG84">
        <v>14.191457827476038</v>
      </c>
      <c r="EH84" t="s">
        <v>1814</v>
      </c>
      <c r="EI84">
        <v>0</v>
      </c>
      <c r="EJ84">
        <v>0</v>
      </c>
      <c r="EK84" s="15">
        <v>45470</v>
      </c>
      <c r="EL84" s="16">
        <v>-0.74</v>
      </c>
      <c r="EM84" s="16">
        <v>-4.55</v>
      </c>
      <c r="EN84" s="16">
        <v>0.43</v>
      </c>
      <c r="EO84" s="16">
        <v>6.47</v>
      </c>
      <c r="EP84" s="16">
        <v>-0.24</v>
      </c>
    </row>
    <row r="85" spans="1:146" ht="96" x14ac:dyDescent="0.25">
      <c r="A85" s="8"/>
      <c r="B85" s="8"/>
      <c r="C85" s="8" t="str">
        <f>""&amp;CHAR(10)&amp;Basic_Fundamental_Information_Constructure(F85)&amp;CHAR(10)&amp;Basic_Fundamental_Information_Concatenate("")</f>
        <v xml:space="preserve">
市值24.519647亿, 利润6.56亿; PE; 平均PE16.54; 平均PEG.04, PB2.9; ROIC5.05%; ROE.6667%; 股利率0%; 毛利23.16%; 净利-3.8%; 上一年度营收增2363.84%, 利润增1686.12%; 当季营收增-90.75%, 利润增-93.78%; 过往5年营收增469.56%, 利润增306.13%
Income profile:
</v>
      </c>
      <c r="D85" t="s">
        <v>1239</v>
      </c>
      <c r="E85" t="s">
        <v>1240</v>
      </c>
      <c r="F85">
        <v>10.49</v>
      </c>
      <c r="G85">
        <v>3.86</v>
      </c>
      <c r="H85" t="s">
        <v>3940</v>
      </c>
      <c r="I85">
        <v>2451964700</v>
      </c>
      <c r="K85">
        <v>2.9</v>
      </c>
      <c r="L85" t="s">
        <v>101</v>
      </c>
      <c r="M85" t="s">
        <v>1660</v>
      </c>
      <c r="N85" t="s">
        <v>3941</v>
      </c>
      <c r="O85" t="s">
        <v>141</v>
      </c>
      <c r="P85">
        <v>86.98</v>
      </c>
      <c r="Q85" t="s">
        <v>3942</v>
      </c>
      <c r="R85">
        <v>7587978</v>
      </c>
      <c r="S85" s="6">
        <v>0.91010000000000002</v>
      </c>
      <c r="T85" t="s">
        <v>3681</v>
      </c>
      <c r="U85">
        <v>189241640</v>
      </c>
      <c r="V85">
        <v>233743060</v>
      </c>
      <c r="W85">
        <v>1.71</v>
      </c>
      <c r="X85">
        <v>0.11</v>
      </c>
      <c r="Y85">
        <v>4.63</v>
      </c>
      <c r="Z85" t="s">
        <v>141</v>
      </c>
      <c r="AA85" t="s">
        <v>533</v>
      </c>
      <c r="AB85" t="s">
        <v>3943</v>
      </c>
      <c r="AC85" t="s">
        <v>3944</v>
      </c>
      <c r="AD85" t="s">
        <v>5</v>
      </c>
      <c r="AE85">
        <v>1982726</v>
      </c>
      <c r="AF85" t="s">
        <v>3945</v>
      </c>
      <c r="AG85" t="s">
        <v>5</v>
      </c>
      <c r="AH85" t="s">
        <v>3946</v>
      </c>
      <c r="AI85" t="s">
        <v>3947</v>
      </c>
      <c r="AJ85" t="s">
        <v>3948</v>
      </c>
      <c r="AK85" t="s">
        <v>3949</v>
      </c>
      <c r="AL85" t="s">
        <v>3950</v>
      </c>
      <c r="AM85" t="s">
        <v>5</v>
      </c>
      <c r="AN85" t="s">
        <v>367</v>
      </c>
      <c r="AO85" t="s">
        <v>141</v>
      </c>
      <c r="AP85" t="s">
        <v>3951</v>
      </c>
      <c r="AQ85" t="s">
        <v>199</v>
      </c>
      <c r="AR85" t="s">
        <v>5</v>
      </c>
      <c r="AS85" t="s">
        <v>523</v>
      </c>
      <c r="AT85" t="s">
        <v>207</v>
      </c>
      <c r="AU85" t="s">
        <v>3952</v>
      </c>
      <c r="AV85" t="s">
        <v>3953</v>
      </c>
      <c r="AW85" t="s">
        <v>3954</v>
      </c>
      <c r="AX85" t="s">
        <v>332</v>
      </c>
      <c r="AY85" t="s">
        <v>625</v>
      </c>
      <c r="AZ85" t="s">
        <v>849</v>
      </c>
      <c r="BA85" t="s">
        <v>385</v>
      </c>
      <c r="BB85" t="s">
        <v>491</v>
      </c>
      <c r="BC85" t="s">
        <v>3955</v>
      </c>
      <c r="BD85" t="s">
        <v>1442</v>
      </c>
      <c r="BE85" t="s">
        <v>1241</v>
      </c>
      <c r="BF85" t="s">
        <v>1242</v>
      </c>
      <c r="BG85" t="s">
        <v>1243</v>
      </c>
      <c r="BH85" t="s">
        <v>291</v>
      </c>
      <c r="BI85" t="s">
        <v>3956</v>
      </c>
      <c r="BJ85" t="s">
        <v>332</v>
      </c>
      <c r="BK85" t="s">
        <v>3957</v>
      </c>
      <c r="BL85" t="s">
        <v>261</v>
      </c>
      <c r="BM85" t="s">
        <v>3955</v>
      </c>
      <c r="BN85" t="s">
        <v>5</v>
      </c>
      <c r="BO85" t="s">
        <v>5</v>
      </c>
      <c r="BP85">
        <v>5.05</v>
      </c>
      <c r="BQ85">
        <v>0.33</v>
      </c>
      <c r="BR85">
        <v>-4.58</v>
      </c>
      <c r="BS85">
        <v>6.25</v>
      </c>
      <c r="BT85" t="s">
        <v>1720</v>
      </c>
      <c r="BU85" t="s">
        <v>1537</v>
      </c>
      <c r="BV85">
        <v>14.11</v>
      </c>
      <c r="BW85">
        <v>21.32</v>
      </c>
      <c r="BX85">
        <v>34.049999999999997</v>
      </c>
      <c r="BY85">
        <v>-8.33</v>
      </c>
      <c r="BZ85">
        <v>-13.94</v>
      </c>
      <c r="CA85">
        <v>10.87</v>
      </c>
      <c r="CB85">
        <v>-1.78</v>
      </c>
      <c r="CC85">
        <v>-4.9800000000000004</v>
      </c>
      <c r="CD85" t="s">
        <v>3958</v>
      </c>
      <c r="CE85" t="s">
        <v>918</v>
      </c>
      <c r="CF85" s="10">
        <v>-0.90747330960854089</v>
      </c>
      <c r="CG85" s="11">
        <v>-0.93780345901639339</v>
      </c>
      <c r="CH85" s="10">
        <v>23.638437271118164</v>
      </c>
      <c r="CI85" s="10">
        <v>-0.29099306464195251</v>
      </c>
      <c r="CJ85" s="10">
        <v>-8.6497887969017029E-2</v>
      </c>
      <c r="CK85" s="10">
        <v>-0.1505376398563385</v>
      </c>
      <c r="CL85" s="10">
        <v>0.36764705181121826</v>
      </c>
      <c r="CM85" s="11">
        <v>16.861156463623047</v>
      </c>
      <c r="CN85" s="11">
        <v>-1.862263560295105</v>
      </c>
      <c r="CO85" s="11">
        <v>-0.43464314937591553</v>
      </c>
      <c r="CP85" s="11">
        <v>-7.5209558010101318E-2</v>
      </c>
      <c r="CQ85" s="11">
        <v>0.81764841079711914</v>
      </c>
      <c r="CR85">
        <v>16.536399655194469</v>
      </c>
      <c r="CS85">
        <v>3.5216714375839446E-2</v>
      </c>
      <c r="CT85">
        <v>0</v>
      </c>
      <c r="CU85" s="10">
        <v>4.695611146092415</v>
      </c>
      <c r="CV85" s="11">
        <v>3.061337721347809</v>
      </c>
      <c r="CW85">
        <v>0.06</v>
      </c>
      <c r="CX85">
        <v>0.64370878164684975</v>
      </c>
      <c r="CY85">
        <v>3524831048.9024754</v>
      </c>
      <c r="CZ85">
        <v>4.695611146092415</v>
      </c>
      <c r="DA85">
        <v>2.0536637415934075E-2</v>
      </c>
      <c r="DB85">
        <v>110483749313.29037</v>
      </c>
      <c r="DC85">
        <v>4.4608305887877941</v>
      </c>
      <c r="DD85">
        <v>2.1307235610350199E-4</v>
      </c>
      <c r="DE85">
        <v>10648799034717.709</v>
      </c>
      <c r="DF85">
        <v>4.1321378085613256</v>
      </c>
      <c r="DG85">
        <v>8.1212094578870508E-7</v>
      </c>
      <c r="DH85">
        <v>2793875360272177.5</v>
      </c>
      <c r="DI85">
        <v>3.7564889168739324</v>
      </c>
      <c r="DJ85">
        <v>1.9000319128314541E-12</v>
      </c>
      <c r="DK85">
        <v>1.1941718897861864E+21</v>
      </c>
      <c r="DL85">
        <v>3.2869278022646902</v>
      </c>
      <c r="DM85">
        <v>656000000</v>
      </c>
      <c r="DN85">
        <v>4.695611146092415</v>
      </c>
      <c r="DO85">
        <v>2268964700</v>
      </c>
      <c r="DP85">
        <v>294653580.00000006</v>
      </c>
      <c r="DQ85">
        <v>2463</v>
      </c>
      <c r="DR85">
        <v>-5.603084455700956</v>
      </c>
      <c r="DS85">
        <v>-3.9991411803642025</v>
      </c>
      <c r="DT85" s="12">
        <v>-0.3066666666666667</v>
      </c>
      <c r="DU85">
        <v>-0.79</v>
      </c>
      <c r="DV85">
        <v>-1.0966666666666667</v>
      </c>
      <c r="DW85">
        <v>-1.0498000000000001</v>
      </c>
      <c r="DX85">
        <v>0.44760946502057591</v>
      </c>
      <c r="DY85">
        <v>-1.0073509513580248</v>
      </c>
      <c r="DZ85">
        <v>2536</v>
      </c>
      <c r="EA85">
        <v>-1.0037028079834747</v>
      </c>
      <c r="EB85">
        <v>1</v>
      </c>
      <c r="EC85">
        <v>0.15345525124895687</v>
      </c>
      <c r="ED85">
        <v>1.0396030581613847</v>
      </c>
      <c r="EE85" s="13">
        <v>1.0223</v>
      </c>
      <c r="EF85">
        <v>1.0196000000000001</v>
      </c>
      <c r="EG85">
        <v>30.147609465020576</v>
      </c>
      <c r="EH85" t="s">
        <v>1814</v>
      </c>
      <c r="EI85">
        <v>0</v>
      </c>
      <c r="EJ85">
        <v>0</v>
      </c>
      <c r="EK85" s="15">
        <v>45470</v>
      </c>
      <c r="EL85" s="16">
        <v>-2.17</v>
      </c>
      <c r="EM85" s="16">
        <v>-4.18</v>
      </c>
      <c r="EN85" s="16">
        <v>-1.1399999999999999</v>
      </c>
      <c r="EO85" s="16">
        <v>3.86</v>
      </c>
      <c r="EP85" s="16">
        <v>-0.27</v>
      </c>
    </row>
    <row r="86" spans="1:146" ht="108" x14ac:dyDescent="0.25">
      <c r="A86" s="8"/>
      <c r="B86" s="8"/>
      <c r="C86" s="8" t="str">
        <f>""&amp;CHAR(10)&amp;Basic_Fundamental_Information_Constructure(F86)&amp;CHAR(10)&amp;Basic_Fundamental_Information_Concatenate("")</f>
        <v xml:space="preserve">
市值17.454159亿, 利润2511.83万; PE78.88; 平均PE28.06; 平均PEG1.31, PB2.9; ROIC12.2533%; ROE13.31%; 股利率.3747%; 毛利27.59%; 净利11.0533%; 上一年度营收增43.79%, 利润增-66.16%; 当季营收增-27.23%, 利润增53.15%; 过往5年营收增21.45%, 利润增-5.5%
Income profile:
</v>
      </c>
      <c r="D86" t="s">
        <v>1280</v>
      </c>
      <c r="E86" t="s">
        <v>1281</v>
      </c>
      <c r="F86">
        <v>21.35</v>
      </c>
      <c r="G86">
        <v>6.48</v>
      </c>
      <c r="H86" t="s">
        <v>3959</v>
      </c>
      <c r="I86">
        <v>1745415900</v>
      </c>
      <c r="J86">
        <v>78.88</v>
      </c>
      <c r="K86">
        <v>2.9</v>
      </c>
      <c r="L86" t="s">
        <v>101</v>
      </c>
      <c r="M86" t="s">
        <v>1926</v>
      </c>
      <c r="N86" t="s">
        <v>1671</v>
      </c>
      <c r="O86" t="s">
        <v>224</v>
      </c>
      <c r="P86">
        <v>32.39</v>
      </c>
      <c r="Q86" t="s">
        <v>1481</v>
      </c>
      <c r="R86">
        <v>12978829</v>
      </c>
      <c r="S86" s="6">
        <v>0.41639999999999999</v>
      </c>
      <c r="T86" t="s">
        <v>3960</v>
      </c>
      <c r="U86">
        <v>23264948</v>
      </c>
      <c r="V86">
        <v>81752500</v>
      </c>
      <c r="W86">
        <v>1.79</v>
      </c>
      <c r="X86">
        <v>0.13</v>
      </c>
      <c r="Y86">
        <v>9.9700000000000006</v>
      </c>
      <c r="Z86" t="s">
        <v>508</v>
      </c>
      <c r="AA86" t="s">
        <v>3961</v>
      </c>
      <c r="AB86" t="s">
        <v>3962</v>
      </c>
      <c r="AC86" t="s">
        <v>3963</v>
      </c>
      <c r="AD86" t="s">
        <v>5</v>
      </c>
      <c r="AE86">
        <v>-863766</v>
      </c>
      <c r="AF86" t="s">
        <v>127</v>
      </c>
      <c r="AG86">
        <v>0.16</v>
      </c>
      <c r="AH86" t="s">
        <v>3964</v>
      </c>
      <c r="AI86" t="s">
        <v>642</v>
      </c>
      <c r="AJ86" t="s">
        <v>3965</v>
      </c>
      <c r="AK86" t="s">
        <v>5</v>
      </c>
      <c r="AL86" t="s">
        <v>3966</v>
      </c>
      <c r="AM86" t="s">
        <v>5</v>
      </c>
      <c r="AN86" t="s">
        <v>367</v>
      </c>
      <c r="AO86" t="s">
        <v>3967</v>
      </c>
      <c r="AP86" t="s">
        <v>261</v>
      </c>
      <c r="AQ86" t="s">
        <v>484</v>
      </c>
      <c r="AR86" t="s">
        <v>5</v>
      </c>
      <c r="AS86" t="s">
        <v>166</v>
      </c>
      <c r="AT86" t="s">
        <v>3968</v>
      </c>
      <c r="AU86" t="s">
        <v>3969</v>
      </c>
      <c r="AV86" t="s">
        <v>3970</v>
      </c>
      <c r="AW86" t="s">
        <v>3971</v>
      </c>
      <c r="AX86" t="s">
        <v>644</v>
      </c>
      <c r="AY86" t="s">
        <v>1400</v>
      </c>
      <c r="AZ86" t="s">
        <v>733</v>
      </c>
      <c r="BA86" t="s">
        <v>810</v>
      </c>
      <c r="BB86" t="s">
        <v>1283</v>
      </c>
      <c r="BC86" t="s">
        <v>1978</v>
      </c>
      <c r="BD86" t="s">
        <v>1443</v>
      </c>
      <c r="BE86" t="s">
        <v>1282</v>
      </c>
      <c r="BF86" t="s">
        <v>1284</v>
      </c>
      <c r="BG86" t="s">
        <v>1285</v>
      </c>
      <c r="BH86" t="s">
        <v>3385</v>
      </c>
      <c r="BI86" t="s">
        <v>792</v>
      </c>
      <c r="BJ86" t="s">
        <v>644</v>
      </c>
      <c r="BK86" t="s">
        <v>3972</v>
      </c>
      <c r="BL86" t="s">
        <v>3973</v>
      </c>
      <c r="BM86" t="s">
        <v>1978</v>
      </c>
      <c r="BN86">
        <v>3.27</v>
      </c>
      <c r="BO86">
        <v>12.89</v>
      </c>
      <c r="BP86">
        <v>20.6</v>
      </c>
      <c r="BQ86">
        <v>2.94</v>
      </c>
      <c r="BR86">
        <v>13.49</v>
      </c>
      <c r="BS86">
        <v>23.5</v>
      </c>
      <c r="BT86" t="s">
        <v>1734</v>
      </c>
      <c r="BU86" t="s">
        <v>1589</v>
      </c>
      <c r="BV86">
        <v>25.7</v>
      </c>
      <c r="BW86">
        <v>28.07</v>
      </c>
      <c r="BX86">
        <v>29</v>
      </c>
      <c r="BY86">
        <v>4.76</v>
      </c>
      <c r="BZ86">
        <v>13.64</v>
      </c>
      <c r="CA86">
        <v>14.76</v>
      </c>
      <c r="CB86">
        <v>6.96</v>
      </c>
      <c r="CC86">
        <v>3.49</v>
      </c>
      <c r="CD86" t="s">
        <v>3974</v>
      </c>
      <c r="CE86" t="s">
        <v>3975</v>
      </c>
      <c r="CF86" s="10">
        <v>-0.27225130890052357</v>
      </c>
      <c r="CG86" s="11">
        <v>0.53153367790050032</v>
      </c>
      <c r="CH86" s="10">
        <v>0.43794324994087219</v>
      </c>
      <c r="CI86" s="10">
        <v>-2.253032848238945E-2</v>
      </c>
      <c r="CJ86" s="10">
        <v>0.40389293432235718</v>
      </c>
      <c r="CK86" s="10">
        <v>1.4814814552664757E-2</v>
      </c>
      <c r="CL86" s="10">
        <v>0.23853211104869843</v>
      </c>
      <c r="CM86" s="11">
        <v>-0.66164213418960571</v>
      </c>
      <c r="CN86" s="11">
        <v>-0.12932327389717102</v>
      </c>
      <c r="CO86" s="11">
        <v>0.31767147779464722</v>
      </c>
      <c r="CP86" s="11">
        <v>-6.4292408525943756E-2</v>
      </c>
      <c r="CQ86" s="11">
        <v>0.26269122958183289</v>
      </c>
      <c r="CR86">
        <v>28.058168648087314</v>
      </c>
      <c r="CS86">
        <v>1.3078868173880092</v>
      </c>
      <c r="CT86">
        <v>0.37470725995316156</v>
      </c>
      <c r="CU86" s="10">
        <v>0.21453055627644063</v>
      </c>
      <c r="CV86" s="11">
        <v>-5.497902184724808E-2</v>
      </c>
      <c r="CW86">
        <v>0.06</v>
      </c>
      <c r="CX86">
        <v>54.461728957451797</v>
      </c>
      <c r="CY86">
        <v>28780134.784640111</v>
      </c>
      <c r="CZ86">
        <v>0.21453055627644063</v>
      </c>
      <c r="DA86">
        <v>16.041062332076361</v>
      </c>
      <c r="DB86">
        <v>97712724.229350537</v>
      </c>
      <c r="DC86">
        <v>0.20380402846261858</v>
      </c>
      <c r="DD86">
        <v>6.8305483497976365</v>
      </c>
      <c r="DE86">
        <v>229471459.64444226</v>
      </c>
      <c r="DF86">
        <v>0.18878688952326775</v>
      </c>
      <c r="DG86">
        <v>3.4532704567049413</v>
      </c>
      <c r="DH86">
        <v>453893177.39555353</v>
      </c>
      <c r="DI86">
        <v>0.17162444502115251</v>
      </c>
      <c r="DJ86">
        <v>1.1878786628249218</v>
      </c>
      <c r="DK86">
        <v>1319508422.0744331</v>
      </c>
      <c r="DL86">
        <v>0.15017138939350844</v>
      </c>
      <c r="DM86">
        <v>25118300</v>
      </c>
      <c r="DN86">
        <v>0.21453055627644063</v>
      </c>
      <c r="DO86">
        <v>1567415900</v>
      </c>
      <c r="DP86">
        <v>209011630.00000006</v>
      </c>
      <c r="DQ86">
        <v>2500</v>
      </c>
      <c r="DR86">
        <v>-0.4867818651769642</v>
      </c>
      <c r="DS86">
        <v>0.58651269974774844</v>
      </c>
      <c r="DT86" s="12">
        <v>-4.0000000000000036E-2</v>
      </c>
      <c r="DU86">
        <v>-0.10000000000000002</v>
      </c>
      <c r="DV86">
        <v>-0.14000000000000007</v>
      </c>
      <c r="DW86">
        <v>5.5014367816091951</v>
      </c>
      <c r="DX86">
        <v>0.74591860757631367</v>
      </c>
      <c r="DY86">
        <v>5.1784706810978918</v>
      </c>
      <c r="DZ86">
        <v>3633</v>
      </c>
      <c r="EA86">
        <v>5.0515853612488426</v>
      </c>
      <c r="EB86">
        <v>5</v>
      </c>
      <c r="EC86">
        <v>0.18344637778661202</v>
      </c>
      <c r="ED86">
        <v>0.51541665392495639</v>
      </c>
      <c r="EE86" s="13">
        <v>6.0664999999999996</v>
      </c>
      <c r="EF86">
        <v>6.0256999999999996</v>
      </c>
      <c r="EG86">
        <v>39.355918607576314</v>
      </c>
      <c r="EH86" t="s">
        <v>3976</v>
      </c>
      <c r="EI86">
        <v>1</v>
      </c>
      <c r="EJ86">
        <v>0</v>
      </c>
      <c r="EK86" s="15">
        <v>45470</v>
      </c>
      <c r="EL86" s="16">
        <v>-1.47</v>
      </c>
      <c r="EM86" s="16">
        <v>-6.52</v>
      </c>
      <c r="EN86" s="16">
        <v>0.16</v>
      </c>
      <c r="EO86" s="16">
        <v>15.9</v>
      </c>
      <c r="EP86" s="16">
        <v>-4.08</v>
      </c>
    </row>
    <row r="87" spans="1:146" ht="108" x14ac:dyDescent="0.25">
      <c r="A87" s="8"/>
      <c r="B87" s="8"/>
      <c r="C87" s="8" t="str">
        <f>""&amp;CHAR(10)&amp;Basic_Fundamental_Information_Constructure(F87)&amp;CHAR(10)&amp;Basic_Fundamental_Information_Concatenate("")</f>
        <v xml:space="preserve">
市值19.928964亿, 利润5133.80万; PE18.38; 平均PE34.29; 平均PEG2.83, PB2.34; ROIC6.8933%; ROE9.3433%; 股利率2.6774%; 毛利30.2233%; 净利10.89%; 上一年度营收增18.58%, 利润增2.13%; 当季营收增16.46%, 利润增201.6%; 过往5年营收增12.13%, 利润增3.18%
Income profile:
</v>
      </c>
      <c r="D87" t="s">
        <v>1286</v>
      </c>
      <c r="E87" t="s">
        <v>1287</v>
      </c>
      <c r="F87">
        <v>7.47</v>
      </c>
      <c r="G87">
        <v>0.54</v>
      </c>
      <c r="H87" t="s">
        <v>3977</v>
      </c>
      <c r="I87">
        <v>1992896400</v>
      </c>
      <c r="J87">
        <v>18.38</v>
      </c>
      <c r="K87">
        <v>2.34</v>
      </c>
      <c r="L87" t="s">
        <v>101</v>
      </c>
      <c r="M87" t="s">
        <v>2903</v>
      </c>
      <c r="N87" t="s">
        <v>2898</v>
      </c>
      <c r="O87" t="s">
        <v>367</v>
      </c>
      <c r="P87">
        <v>43.47</v>
      </c>
      <c r="Q87" t="s">
        <v>712</v>
      </c>
      <c r="R87">
        <v>28503294</v>
      </c>
      <c r="S87" s="6">
        <v>1.706</v>
      </c>
      <c r="T87" t="s">
        <v>3978</v>
      </c>
      <c r="U87">
        <v>66696667</v>
      </c>
      <c r="V87">
        <v>266786670</v>
      </c>
      <c r="W87">
        <v>1.65</v>
      </c>
      <c r="X87">
        <v>0.13</v>
      </c>
      <c r="Y87">
        <v>15.46</v>
      </c>
      <c r="Z87" t="s">
        <v>141</v>
      </c>
      <c r="AA87" t="s">
        <v>347</v>
      </c>
      <c r="AB87" t="s">
        <v>3979</v>
      </c>
      <c r="AC87" t="s">
        <v>3980</v>
      </c>
      <c r="AD87" t="s">
        <v>5</v>
      </c>
      <c r="AE87">
        <v>-7593478</v>
      </c>
      <c r="AF87" t="s">
        <v>127</v>
      </c>
      <c r="AG87" t="s">
        <v>3981</v>
      </c>
      <c r="AH87" t="s">
        <v>3982</v>
      </c>
      <c r="AI87" t="s">
        <v>665</v>
      </c>
      <c r="AJ87" t="s">
        <v>3983</v>
      </c>
      <c r="AK87" t="s">
        <v>3984</v>
      </c>
      <c r="AL87" t="s">
        <v>3985</v>
      </c>
      <c r="AM87" t="s">
        <v>5</v>
      </c>
      <c r="AN87">
        <v>7988.17</v>
      </c>
      <c r="AO87" t="s">
        <v>5</v>
      </c>
      <c r="AP87" t="s">
        <v>3986</v>
      </c>
      <c r="AQ87" t="s">
        <v>371</v>
      </c>
      <c r="AR87" t="s">
        <v>5</v>
      </c>
      <c r="AS87" t="s">
        <v>1267</v>
      </c>
      <c r="AT87" t="s">
        <v>5</v>
      </c>
      <c r="AU87" t="s">
        <v>3987</v>
      </c>
      <c r="AV87" t="s">
        <v>310</v>
      </c>
      <c r="AW87" t="s">
        <v>3988</v>
      </c>
      <c r="AX87" t="s">
        <v>677</v>
      </c>
      <c r="AY87" t="s">
        <v>1362</v>
      </c>
      <c r="AZ87" t="s">
        <v>744</v>
      </c>
      <c r="BA87" t="s">
        <v>196</v>
      </c>
      <c r="BB87" t="s">
        <v>549</v>
      </c>
      <c r="BC87" t="s">
        <v>1979</v>
      </c>
      <c r="BD87" t="s">
        <v>1444</v>
      </c>
      <c r="BE87" t="s">
        <v>1288</v>
      </c>
      <c r="BF87" t="s">
        <v>1289</v>
      </c>
      <c r="BG87" t="s">
        <v>1290</v>
      </c>
      <c r="BH87" t="s">
        <v>3989</v>
      </c>
      <c r="BI87" t="s">
        <v>165</v>
      </c>
      <c r="BJ87" t="s">
        <v>677</v>
      </c>
      <c r="BK87" t="s">
        <v>3990</v>
      </c>
      <c r="BL87" t="s">
        <v>3991</v>
      </c>
      <c r="BM87" t="s">
        <v>1979</v>
      </c>
      <c r="BN87">
        <v>5.9</v>
      </c>
      <c r="BO87">
        <v>4.41</v>
      </c>
      <c r="BP87">
        <v>10.37</v>
      </c>
      <c r="BQ87">
        <v>8.27</v>
      </c>
      <c r="BR87">
        <v>6.79</v>
      </c>
      <c r="BS87">
        <v>12.97</v>
      </c>
      <c r="BT87" t="s">
        <v>1731</v>
      </c>
      <c r="BU87" t="s">
        <v>1595</v>
      </c>
      <c r="BV87">
        <v>32.99</v>
      </c>
      <c r="BW87">
        <v>28.32</v>
      </c>
      <c r="BX87">
        <v>29.36</v>
      </c>
      <c r="BY87">
        <v>12.5</v>
      </c>
      <c r="BZ87">
        <v>7.41</v>
      </c>
      <c r="CA87">
        <v>12.76</v>
      </c>
      <c r="CB87">
        <v>-2.61</v>
      </c>
      <c r="CC87">
        <v>-11.91</v>
      </c>
      <c r="CD87" t="s">
        <v>3992</v>
      </c>
      <c r="CE87" t="s">
        <v>3993</v>
      </c>
      <c r="CF87" s="10">
        <v>0.16455696202531644</v>
      </c>
      <c r="CG87" s="11">
        <v>2.015966267405934</v>
      </c>
      <c r="CH87" s="10">
        <v>0.18584071099758148</v>
      </c>
      <c r="CI87" s="10">
        <v>0.1770833283662796</v>
      </c>
      <c r="CJ87" s="10">
        <v>6.4695008099079132E-2</v>
      </c>
      <c r="CK87" s="10">
        <v>7.12871253490448E-2</v>
      </c>
      <c r="CL87" s="10">
        <v>0.10745614022016525</v>
      </c>
      <c r="CM87" s="11">
        <v>2.128184400498867E-2</v>
      </c>
      <c r="CN87" s="11">
        <v>-0.3158397376537323</v>
      </c>
      <c r="CO87" s="11">
        <v>4.1004475206136703E-2</v>
      </c>
      <c r="CP87" s="11">
        <v>0.30256137251853943</v>
      </c>
      <c r="CQ87" s="11">
        <v>0.10984189808368683</v>
      </c>
      <c r="CR87">
        <v>34.294325310544977</v>
      </c>
      <c r="CS87">
        <v>2.8278740757365175</v>
      </c>
      <c r="CT87">
        <v>2.677376171352075</v>
      </c>
      <c r="CU87" s="10">
        <v>0.12127246260643006</v>
      </c>
      <c r="CV87" s="11">
        <v>3.1769970431923866E-2</v>
      </c>
      <c r="CW87">
        <v>0.06</v>
      </c>
      <c r="CX87">
        <v>32.64668744348279</v>
      </c>
      <c r="CY87">
        <v>54305552.533291422</v>
      </c>
      <c r="CZ87">
        <v>0.12127246260643006</v>
      </c>
      <c r="DA87">
        <v>10.390809352405777</v>
      </c>
      <c r="DB87">
        <v>170621588.73981482</v>
      </c>
      <c r="DC87">
        <v>0.11520883947610855</v>
      </c>
      <c r="DD87">
        <v>4.9357629911202148</v>
      </c>
      <c r="DE87">
        <v>359193989.49859738</v>
      </c>
      <c r="DF87">
        <v>0.10671976709365845</v>
      </c>
      <c r="DG87">
        <v>2.8453930356166222</v>
      </c>
      <c r="DH87">
        <v>623076101.54665244</v>
      </c>
      <c r="DI87">
        <v>9.7017970085144054E-2</v>
      </c>
      <c r="DJ87">
        <v>1.3411902320890192</v>
      </c>
      <c r="DK87">
        <v>1321882875.0628173</v>
      </c>
      <c r="DL87">
        <v>8.4890723824501038E-2</v>
      </c>
      <c r="DM87">
        <v>51338000</v>
      </c>
      <c r="DN87">
        <v>0.12127246260643006</v>
      </c>
      <c r="DO87">
        <v>1772896400</v>
      </c>
      <c r="DP87">
        <v>661032790</v>
      </c>
      <c r="DQ87">
        <v>2502</v>
      </c>
      <c r="DR87">
        <v>4.3284499418886388E-2</v>
      </c>
      <c r="DS87">
        <v>1.9841962969740101</v>
      </c>
      <c r="DT87" s="12">
        <v>-0.12333333333333336</v>
      </c>
      <c r="DU87">
        <v>0.40666666666666668</v>
      </c>
      <c r="DV87">
        <v>0.28333333333333333</v>
      </c>
      <c r="DW87">
        <v>-8.2191435768261965</v>
      </c>
      <c r="DX87">
        <v>0.37635729278947094</v>
      </c>
      <c r="DY87">
        <v>-8.0320732606364835</v>
      </c>
      <c r="DZ87">
        <v>2227</v>
      </c>
      <c r="EA87">
        <v>-8.0180953445039105</v>
      </c>
      <c r="EB87">
        <v>8</v>
      </c>
      <c r="EC87">
        <v>4.8350241786817912E-2</v>
      </c>
      <c r="ED87">
        <v>0.33035758495729939</v>
      </c>
      <c r="EE87" s="13">
        <v>1.0303</v>
      </c>
      <c r="EF87">
        <v>1.0123</v>
      </c>
      <c r="EG87">
        <v>23.146357292789471</v>
      </c>
      <c r="EH87" t="s">
        <v>1814</v>
      </c>
      <c r="EI87">
        <v>0</v>
      </c>
      <c r="EJ87">
        <v>0</v>
      </c>
      <c r="EK87" s="15">
        <v>45470</v>
      </c>
      <c r="EL87" s="16">
        <v>-1.61</v>
      </c>
      <c r="EM87" s="16">
        <v>-1.42</v>
      </c>
      <c r="EN87" s="16">
        <v>-0.24</v>
      </c>
      <c r="EO87" s="16">
        <v>2.08</v>
      </c>
      <c r="EP87" s="16">
        <v>-1.8</v>
      </c>
    </row>
    <row r="88" spans="1:146" ht="96" x14ac:dyDescent="0.25">
      <c r="C88" s="8" t="str">
        <f>""&amp;CHAR(10)&amp;Basic_Fundamental_Information_Constructure(F88)&amp;CHAR(10)&amp;Basic_Fundamental_Information_Concatenate("")</f>
        <v xml:space="preserve">
市值12.08亿, 利润7094.20万; PE; 平均PE20.4; 平均PEG.63, PB1.41; ROIC6.9567%; ROE8.1967%; 股利率0%; 毛利36.8233%; 净利9.3967%; 上一年度营收增147.83%, 利润增79.58%; 当季营收增-59.85%, 利润增-62.48%; 过往5年营收增32.58%, 利润增10.58%
Income profile:
</v>
      </c>
      <c r="D88" t="s">
        <v>1803</v>
      </c>
      <c r="E88" t="s">
        <v>1804</v>
      </c>
      <c r="F88">
        <v>24.16</v>
      </c>
      <c r="G88">
        <v>2.37</v>
      </c>
      <c r="H88" t="s">
        <v>3994</v>
      </c>
      <c r="I88">
        <v>1208000000</v>
      </c>
      <c r="K88">
        <v>1.41</v>
      </c>
      <c r="L88" t="s">
        <v>101</v>
      </c>
      <c r="M88" t="s">
        <v>169</v>
      </c>
      <c r="N88" t="s">
        <v>2128</v>
      </c>
      <c r="O88" t="s">
        <v>3995</v>
      </c>
      <c r="P88" s="6">
        <v>5.24</v>
      </c>
      <c r="Q88" t="s">
        <v>1924</v>
      </c>
      <c r="R88">
        <v>4345438</v>
      </c>
      <c r="S88">
        <v>2.2469999999999999</v>
      </c>
      <c r="T88" t="s">
        <v>3996</v>
      </c>
      <c r="U88">
        <v>16437497</v>
      </c>
      <c r="V88">
        <v>50000000</v>
      </c>
      <c r="W88">
        <v>1.1299999999999999</v>
      </c>
      <c r="X88">
        <v>0.05</v>
      </c>
      <c r="Y88">
        <v>9.2100000000000009</v>
      </c>
      <c r="Z88" t="s">
        <v>3997</v>
      </c>
      <c r="AA88" t="s">
        <v>3998</v>
      </c>
      <c r="AB88" t="s">
        <v>3999</v>
      </c>
      <c r="AC88" t="s">
        <v>4000</v>
      </c>
      <c r="AD88" t="s">
        <v>5</v>
      </c>
      <c r="AE88">
        <v>-2330756</v>
      </c>
      <c r="AF88" t="s">
        <v>4001</v>
      </c>
      <c r="AG88" t="s">
        <v>2708</v>
      </c>
      <c r="AH88" t="s">
        <v>4002</v>
      </c>
      <c r="AI88" t="s">
        <v>791</v>
      </c>
      <c r="AJ88" t="s">
        <v>4003</v>
      </c>
      <c r="AK88" t="s">
        <v>4004</v>
      </c>
      <c r="AL88" t="s">
        <v>4005</v>
      </c>
      <c r="AM88" t="s">
        <v>5</v>
      </c>
      <c r="AN88" t="s">
        <v>425</v>
      </c>
      <c r="AO88" t="s">
        <v>5</v>
      </c>
      <c r="AP88" t="s">
        <v>4006</v>
      </c>
      <c r="AQ88" t="s">
        <v>4007</v>
      </c>
      <c r="AR88" t="s">
        <v>4008</v>
      </c>
      <c r="AS88" t="s">
        <v>4009</v>
      </c>
      <c r="AT88" t="s">
        <v>5</v>
      </c>
      <c r="AU88" t="s">
        <v>4010</v>
      </c>
      <c r="AV88" t="s">
        <v>4011</v>
      </c>
      <c r="AW88" t="s">
        <v>4012</v>
      </c>
      <c r="AX88" t="s">
        <v>239</v>
      </c>
      <c r="AY88" t="s">
        <v>713</v>
      </c>
      <c r="AZ88" t="s">
        <v>257</v>
      </c>
      <c r="BA88" t="s">
        <v>246</v>
      </c>
      <c r="BB88" t="s">
        <v>128</v>
      </c>
      <c r="BC88" t="s">
        <v>4013</v>
      </c>
      <c r="BD88" t="s">
        <v>1808</v>
      </c>
      <c r="BE88" t="s">
        <v>1805</v>
      </c>
      <c r="BF88" t="s">
        <v>1806</v>
      </c>
      <c r="BG88" t="s">
        <v>1807</v>
      </c>
      <c r="BH88" t="s">
        <v>218</v>
      </c>
      <c r="BI88" t="s">
        <v>273</v>
      </c>
      <c r="BJ88" t="s">
        <v>239</v>
      </c>
      <c r="BK88" t="s">
        <v>4014</v>
      </c>
      <c r="BL88" t="s">
        <v>4015</v>
      </c>
      <c r="BM88" t="s">
        <v>4013</v>
      </c>
      <c r="BN88">
        <v>-0.87</v>
      </c>
      <c r="BO88">
        <v>5.58</v>
      </c>
      <c r="BP88">
        <v>16.16</v>
      </c>
      <c r="BQ88">
        <v>0.14000000000000001</v>
      </c>
      <c r="BR88">
        <v>8.3699999999999992</v>
      </c>
      <c r="BS88">
        <v>16.079999999999998</v>
      </c>
      <c r="BT88" t="s">
        <v>1720</v>
      </c>
      <c r="BU88" t="s">
        <v>1590</v>
      </c>
      <c r="BV88">
        <v>27.76</v>
      </c>
      <c r="BW88">
        <v>39.9</v>
      </c>
      <c r="BX88">
        <v>42.81</v>
      </c>
      <c r="BY88">
        <v>-9.6300000000000008</v>
      </c>
      <c r="BZ88">
        <v>17.11</v>
      </c>
      <c r="CA88">
        <v>20.71</v>
      </c>
      <c r="CB88">
        <v>-3.32</v>
      </c>
      <c r="CC88" s="10">
        <v>-13.06</v>
      </c>
      <c r="CD88" s="11" t="s">
        <v>4016</v>
      </c>
      <c r="CE88" s="10" t="s">
        <v>4017</v>
      </c>
      <c r="CF88" s="10">
        <v>-0.59845641025641028</v>
      </c>
      <c r="CG88" s="10">
        <v>-0.6248272825383121</v>
      </c>
      <c r="CH88" s="10">
        <v>1.47826087474823</v>
      </c>
      <c r="CI88" s="10">
        <v>-0.29012346267700195</v>
      </c>
      <c r="CJ88" s="11">
        <v>5.1948051899671555E-2</v>
      </c>
      <c r="CK88" s="11">
        <v>0.1622641533613205</v>
      </c>
      <c r="CL88" s="11">
        <v>0.22685185074806213</v>
      </c>
      <c r="CM88" s="11">
        <v>0.79576361179351807</v>
      </c>
      <c r="CN88" s="11">
        <v>-0.41030237078666687</v>
      </c>
      <c r="CO88">
        <v>0.10444102436304092</v>
      </c>
      <c r="CP88">
        <v>2.9814383015036583E-2</v>
      </c>
      <c r="CQ88">
        <v>9.4187809154391289E-3</v>
      </c>
      <c r="CR88" s="10">
        <v>20.396832074806394</v>
      </c>
      <c r="CS88" s="11">
        <v>0.62597635941368113</v>
      </c>
      <c r="CT88">
        <v>0</v>
      </c>
      <c r="CU88">
        <v>0.32584029361605643</v>
      </c>
      <c r="CV88">
        <v>0.10582708586007357</v>
      </c>
      <c r="CW88">
        <v>0.06</v>
      </c>
      <c r="CX88">
        <v>5.2291271764079506</v>
      </c>
      <c r="CY88">
        <v>88733737.839349315</v>
      </c>
      <c r="CZ88">
        <v>0.32584029361605643</v>
      </c>
      <c r="DA88">
        <v>1.4073936729086787</v>
      </c>
      <c r="DB88">
        <v>329687427.85452861</v>
      </c>
      <c r="DC88">
        <v>0.30954827893525361</v>
      </c>
      <c r="DD88">
        <v>0.52394856916902199</v>
      </c>
      <c r="DE88">
        <v>885583103.57808614</v>
      </c>
      <c r="DF88">
        <v>0.28673945838212966</v>
      </c>
      <c r="DG88">
        <v>0.22332402372723517</v>
      </c>
      <c r="DH88">
        <v>2077698548.7540879</v>
      </c>
      <c r="DI88">
        <v>0.26067223489284513</v>
      </c>
      <c r="DJ88">
        <v>4.9767401897155658E-2</v>
      </c>
      <c r="DK88">
        <v>9323371972.6590519</v>
      </c>
      <c r="DL88">
        <v>0.22808820553123949</v>
      </c>
      <c r="DM88">
        <v>70942000</v>
      </c>
      <c r="DN88">
        <v>0.32584029361605643</v>
      </c>
      <c r="DO88">
        <v>464000000</v>
      </c>
      <c r="DP88">
        <v>567648120</v>
      </c>
      <c r="DQ88" s="12">
        <v>2546</v>
      </c>
      <c r="DR88">
        <v>-0.92429670387246676</v>
      </c>
      <c r="DS88">
        <v>-0.73065436839838571</v>
      </c>
      <c r="DT88">
        <v>-4.0000000000000036E-2</v>
      </c>
      <c r="DU88">
        <v>-0.25666666666666665</v>
      </c>
      <c r="DV88">
        <v>-0.29666666666666669</v>
      </c>
      <c r="DW88">
        <v>-8.2542113323124049</v>
      </c>
      <c r="DX88">
        <v>0.27626612188890343</v>
      </c>
      <c r="DY88">
        <v>-8.0346403923944223</v>
      </c>
      <c r="DZ88">
        <v>2054</v>
      </c>
      <c r="EA88">
        <v>-8.0207164460190512</v>
      </c>
      <c r="EB88" s="13">
        <v>8</v>
      </c>
      <c r="EC88" s="13">
        <v>5.3227999999999998E-2</v>
      </c>
      <c r="ED88">
        <v>0.39061800000000002</v>
      </c>
      <c r="EE88">
        <v>-4.0102000000000002</v>
      </c>
      <c r="EF88">
        <v>-4.0049099999999997</v>
      </c>
      <c r="EG88">
        <v>14.136266121888903</v>
      </c>
      <c r="EH88" s="15" t="s">
        <v>2119</v>
      </c>
      <c r="EI88" s="16">
        <v>0</v>
      </c>
      <c r="EJ88" s="16">
        <v>0</v>
      </c>
      <c r="EK88" s="16">
        <v>45470</v>
      </c>
      <c r="EL88" s="16">
        <v>0.45</v>
      </c>
      <c r="EM88" s="16">
        <v>-4.87</v>
      </c>
      <c r="EN88" s="16">
        <v>-0.19</v>
      </c>
      <c r="EO88" s="16">
        <v>3.8</v>
      </c>
      <c r="EP88" s="16">
        <v>-1.51</v>
      </c>
    </row>
    <row r="89" spans="1:146" ht="108" x14ac:dyDescent="0.25">
      <c r="A89" s="8"/>
      <c r="B89" s="8"/>
      <c r="C89" s="8" t="str">
        <f>""&amp;CHAR(10)&amp;Basic_Fundamental_Information_Constructure(F89)&amp;CHAR(10)&amp;Basic_Fundamental_Information_Concatenate("")</f>
        <v xml:space="preserve">
市值27.057281亿, 利润6715.63万; PE45.8; 平均PE51.76; 平均PEG4.06, PB3.21; ROIC6.6167%; ROE8.58%; 股利率1.9115%; 毛利33.38%; 净利10.1433%; 上一年度营收增-5.47%, 利润增74.8%; 当季营收增347.06%, 利润增-37.82%; 过往5年营收增12.74%, 利润增32.41%
Income profile:
</v>
      </c>
      <c r="D89" t="s">
        <v>1445</v>
      </c>
      <c r="E89" t="s">
        <v>1446</v>
      </c>
      <c r="F89">
        <v>36.619999999999997</v>
      </c>
      <c r="G89">
        <v>1.36</v>
      </c>
      <c r="H89" t="s">
        <v>4018</v>
      </c>
      <c r="I89">
        <v>2705728100</v>
      </c>
      <c r="J89">
        <v>45.8</v>
      </c>
      <c r="K89">
        <v>3.21</v>
      </c>
      <c r="L89" t="s">
        <v>101</v>
      </c>
      <c r="M89" t="s">
        <v>946</v>
      </c>
      <c r="N89" t="s">
        <v>2225</v>
      </c>
      <c r="O89" t="s">
        <v>572</v>
      </c>
      <c r="P89">
        <v>73.5</v>
      </c>
      <c r="Q89" t="s">
        <v>908</v>
      </c>
      <c r="R89">
        <v>4207512</v>
      </c>
      <c r="S89" s="6">
        <v>3.7719999999999998</v>
      </c>
      <c r="T89" t="s">
        <v>4019</v>
      </c>
      <c r="U89">
        <v>27256749</v>
      </c>
      <c r="V89">
        <v>73886622</v>
      </c>
      <c r="W89">
        <v>1.42</v>
      </c>
      <c r="X89">
        <v>0.12</v>
      </c>
      <c r="Y89">
        <v>5.55</v>
      </c>
      <c r="Z89" t="s">
        <v>480</v>
      </c>
      <c r="AA89" t="s">
        <v>4020</v>
      </c>
      <c r="AB89" t="s">
        <v>4021</v>
      </c>
      <c r="AC89" t="s">
        <v>4022</v>
      </c>
      <c r="AD89" t="s">
        <v>5</v>
      </c>
      <c r="AE89">
        <v>472484</v>
      </c>
      <c r="AF89" t="s">
        <v>4023</v>
      </c>
      <c r="AG89" t="s">
        <v>4024</v>
      </c>
      <c r="AH89" t="s">
        <v>4025</v>
      </c>
      <c r="AI89" t="s">
        <v>736</v>
      </c>
      <c r="AJ89" t="s">
        <v>4026</v>
      </c>
      <c r="AK89" t="s">
        <v>4027</v>
      </c>
      <c r="AL89" t="s">
        <v>4028</v>
      </c>
      <c r="AM89" t="s">
        <v>5</v>
      </c>
      <c r="AN89">
        <v>0</v>
      </c>
      <c r="AO89" t="s">
        <v>2250</v>
      </c>
      <c r="AP89" t="s">
        <v>5</v>
      </c>
      <c r="AQ89" t="s">
        <v>361</v>
      </c>
      <c r="AR89" t="s">
        <v>4029</v>
      </c>
      <c r="AS89" t="s">
        <v>319</v>
      </c>
      <c r="AT89" t="s">
        <v>5</v>
      </c>
      <c r="AU89" t="s">
        <v>4030</v>
      </c>
      <c r="AV89" t="s">
        <v>219</v>
      </c>
      <c r="AW89" t="s">
        <v>4031</v>
      </c>
      <c r="AX89" t="s">
        <v>721</v>
      </c>
      <c r="AY89" t="s">
        <v>415</v>
      </c>
      <c r="AZ89" t="s">
        <v>398</v>
      </c>
      <c r="BA89" t="s">
        <v>192</v>
      </c>
      <c r="BB89" t="s">
        <v>522</v>
      </c>
      <c r="BC89" t="s">
        <v>4032</v>
      </c>
      <c r="BD89" t="s">
        <v>1447</v>
      </c>
      <c r="BE89" t="s">
        <v>1448</v>
      </c>
      <c r="BF89" t="s">
        <v>1449</v>
      </c>
      <c r="BG89" t="s">
        <v>1450</v>
      </c>
      <c r="BH89" t="s">
        <v>1892</v>
      </c>
      <c r="BI89" t="s">
        <v>4033</v>
      </c>
      <c r="BJ89" t="s">
        <v>721</v>
      </c>
      <c r="BK89" t="s">
        <v>4034</v>
      </c>
      <c r="BL89" t="s">
        <v>4035</v>
      </c>
      <c r="BM89" t="s">
        <v>4032</v>
      </c>
      <c r="BN89">
        <v>5.36</v>
      </c>
      <c r="BO89">
        <v>4.47</v>
      </c>
      <c r="BP89">
        <v>10.02</v>
      </c>
      <c r="BQ89">
        <v>4.8</v>
      </c>
      <c r="BR89">
        <v>4.71</v>
      </c>
      <c r="BS89">
        <v>16.23</v>
      </c>
      <c r="BT89" t="s">
        <v>1729</v>
      </c>
      <c r="BU89" t="s">
        <v>1537</v>
      </c>
      <c r="BV89">
        <v>31.25</v>
      </c>
      <c r="BW89">
        <v>31.42</v>
      </c>
      <c r="BX89">
        <v>37.47</v>
      </c>
      <c r="BY89">
        <v>8.94</v>
      </c>
      <c r="BZ89">
        <v>8.43</v>
      </c>
      <c r="CA89">
        <v>13.06</v>
      </c>
      <c r="CB89">
        <v>-7.99</v>
      </c>
      <c r="CC89">
        <v>-7.55</v>
      </c>
      <c r="CD89" t="s">
        <v>4036</v>
      </c>
      <c r="CE89" t="s">
        <v>4037</v>
      </c>
      <c r="CF89" s="10">
        <v>3.4706057670814396</v>
      </c>
      <c r="CG89" s="11">
        <v>-0.37821244901578288</v>
      </c>
      <c r="CH89" s="10">
        <v>-5.4704595357179642E-2</v>
      </c>
      <c r="CI89" s="10">
        <v>8.2938387989997864E-2</v>
      </c>
      <c r="CJ89" s="10">
        <v>4.7619049437344074E-3</v>
      </c>
      <c r="CK89" s="10">
        <v>0.21037463843822479</v>
      </c>
      <c r="CL89" s="10">
        <v>0.3935742974281311</v>
      </c>
      <c r="CM89" s="11">
        <v>0.74800175428390503</v>
      </c>
      <c r="CN89" s="11">
        <v>-0.30363202095031738</v>
      </c>
      <c r="CO89" s="11">
        <v>-0.14179892838001251</v>
      </c>
      <c r="CP89" s="11">
        <v>4.4202204793691635E-2</v>
      </c>
      <c r="CQ89" s="11">
        <v>1.273853063583374</v>
      </c>
      <c r="CR89">
        <v>51.755940289143169</v>
      </c>
      <c r="CS89">
        <v>4.0628288215087247</v>
      </c>
      <c r="CT89">
        <v>1.9115237575095578</v>
      </c>
      <c r="CU89" s="10">
        <v>0.12738892668858171</v>
      </c>
      <c r="CV89" s="11">
        <v>0.32412521466612815</v>
      </c>
      <c r="CW89">
        <v>0.06</v>
      </c>
      <c r="CX89">
        <v>29.915385339490129</v>
      </c>
      <c r="CY89">
        <v>71425725.450355098</v>
      </c>
      <c r="CZ89">
        <v>0.12738892668858171</v>
      </c>
      <c r="DA89">
        <v>9.4726891500800097</v>
      </c>
      <c r="DB89">
        <v>225567213.92910403</v>
      </c>
      <c r="DC89">
        <v>0.12101948035415261</v>
      </c>
      <c r="DD89">
        <v>4.4680505377987298</v>
      </c>
      <c r="DE89">
        <v>478223798.48297322</v>
      </c>
      <c r="DF89">
        <v>0.1121022554859519</v>
      </c>
      <c r="DG89">
        <v>2.5547489751821697</v>
      </c>
      <c r="DH89">
        <v>836374970.98815274</v>
      </c>
      <c r="DI89">
        <v>0.10191114135086538</v>
      </c>
      <c r="DJ89">
        <v>1.1817385517148959</v>
      </c>
      <c r="DK89">
        <v>1808122530.0632343</v>
      </c>
      <c r="DL89">
        <v>8.9172248682007182E-2</v>
      </c>
      <c r="DM89">
        <v>67156300</v>
      </c>
      <c r="DN89">
        <v>0.12738892668858171</v>
      </c>
      <c r="DO89">
        <v>2136728100</v>
      </c>
      <c r="DP89">
        <v>664012440</v>
      </c>
      <c r="DQ89">
        <v>2567</v>
      </c>
      <c r="DR89">
        <v>3.3432168403928579</v>
      </c>
      <c r="DS89">
        <v>-0.70233766368191097</v>
      </c>
      <c r="DT89" s="12">
        <v>-0.22333333333333338</v>
      </c>
      <c r="DU89">
        <v>0.1633333333333333</v>
      </c>
      <c r="DV89">
        <v>-6.0000000000000081E-2</v>
      </c>
      <c r="DW89">
        <v>-5.9449311639549434</v>
      </c>
      <c r="DX89">
        <v>0.29805122535111722</v>
      </c>
      <c r="DY89">
        <v>-5.09265165849824</v>
      </c>
      <c r="DZ89">
        <v>112</v>
      </c>
      <c r="EA89">
        <v>-5.0906209372160864</v>
      </c>
      <c r="EB89">
        <v>5</v>
      </c>
      <c r="EC89">
        <v>0.10898183977066918</v>
      </c>
      <c r="ED89">
        <v>1.1114786111077051</v>
      </c>
      <c r="EE89" s="13">
        <v>3.1009999999999999E-2</v>
      </c>
      <c r="EF89">
        <v>4.7610000000000006E-2</v>
      </c>
      <c r="EG89">
        <v>20.098051225351117</v>
      </c>
      <c r="EH89">
        <v>-1</v>
      </c>
      <c r="EI89">
        <v>0</v>
      </c>
      <c r="EJ89">
        <v>1</v>
      </c>
      <c r="EK89" s="15">
        <v>45470</v>
      </c>
      <c r="EL89" s="16">
        <v>2.76</v>
      </c>
      <c r="EM89" s="16">
        <v>-1.1299999999999999</v>
      </c>
      <c r="EN89" s="16">
        <v>2.63</v>
      </c>
      <c r="EO89" s="16">
        <v>3.25</v>
      </c>
      <c r="EP89" s="16">
        <v>-1.66</v>
      </c>
    </row>
    <row r="90" spans="1:146" ht="108" x14ac:dyDescent="0.25">
      <c r="A90" s="8"/>
      <c r="B90" s="8"/>
      <c r="C90" s="8" t="str">
        <f>""&amp;CHAR(10)&amp;Basic_Fundamental_Information_Constructure(F90)&amp;CHAR(10)&amp;Basic_Fundamental_Information_Concatenate("")</f>
        <v xml:space="preserve">
市值28.788亿, 利润6928.07万; PE40.47; 平均PE40.33; 平均PEG.77, PB2.64; ROIC8.5433%; ROE12.82%; 股利率2.0842%; 毛利39.42%; 净利16.27%; 上一年度营收增226.42%, 利润增-17.85%; 当季营收增-73.58%, 利润增-35.6%; 过往5年营收增52.07%, 利润增17.54%
Income profile:
</v>
      </c>
      <c r="D90" t="s">
        <v>1451</v>
      </c>
      <c r="E90" t="s">
        <v>1452</v>
      </c>
      <c r="F90">
        <v>23.99</v>
      </c>
      <c r="G90">
        <v>4.3</v>
      </c>
      <c r="H90" t="s">
        <v>4038</v>
      </c>
      <c r="I90">
        <v>2878800000</v>
      </c>
      <c r="J90">
        <v>40.47</v>
      </c>
      <c r="K90">
        <v>2.64</v>
      </c>
      <c r="L90" t="s">
        <v>101</v>
      </c>
      <c r="M90" t="s">
        <v>790</v>
      </c>
      <c r="N90" t="s">
        <v>987</v>
      </c>
      <c r="O90" t="s">
        <v>260</v>
      </c>
      <c r="P90">
        <v>9.74</v>
      </c>
      <c r="Q90" t="s">
        <v>2043</v>
      </c>
      <c r="R90">
        <v>13791811</v>
      </c>
      <c r="S90" s="6">
        <v>-0.25969999999999999</v>
      </c>
      <c r="T90" t="s">
        <v>4039</v>
      </c>
      <c r="U90">
        <v>30000000</v>
      </c>
      <c r="V90">
        <v>120000000</v>
      </c>
      <c r="W90">
        <v>1.36</v>
      </c>
      <c r="X90">
        <v>0.08</v>
      </c>
      <c r="Y90">
        <v>12.11</v>
      </c>
      <c r="Z90" t="s">
        <v>4040</v>
      </c>
      <c r="AA90" t="s">
        <v>4041</v>
      </c>
      <c r="AB90" t="s">
        <v>4042</v>
      </c>
      <c r="AC90" t="s">
        <v>4043</v>
      </c>
      <c r="AD90" t="s">
        <v>5</v>
      </c>
      <c r="AE90">
        <v>-1337905</v>
      </c>
      <c r="AF90" t="s">
        <v>4044</v>
      </c>
      <c r="AG90">
        <v>0.52</v>
      </c>
      <c r="AH90" t="s">
        <v>4045</v>
      </c>
      <c r="AI90" t="s">
        <v>894</v>
      </c>
      <c r="AJ90" t="s">
        <v>4046</v>
      </c>
      <c r="AK90" t="s">
        <v>4047</v>
      </c>
      <c r="AL90" t="s">
        <v>4048</v>
      </c>
      <c r="AM90" t="s">
        <v>5</v>
      </c>
      <c r="AN90" t="s">
        <v>4049</v>
      </c>
      <c r="AO90" t="s">
        <v>5</v>
      </c>
      <c r="AP90" t="s">
        <v>4050</v>
      </c>
      <c r="AQ90" t="s">
        <v>194</v>
      </c>
      <c r="AR90" t="s">
        <v>5</v>
      </c>
      <c r="AS90" t="s">
        <v>279</v>
      </c>
      <c r="AT90" t="s">
        <v>5</v>
      </c>
      <c r="AU90" t="s">
        <v>4051</v>
      </c>
      <c r="AV90" t="s">
        <v>4052</v>
      </c>
      <c r="AW90" t="s">
        <v>4053</v>
      </c>
      <c r="AX90" t="s">
        <v>527</v>
      </c>
      <c r="AY90" t="s">
        <v>594</v>
      </c>
      <c r="AZ90" t="s">
        <v>607</v>
      </c>
      <c r="BA90" t="s">
        <v>721</v>
      </c>
      <c r="BB90" t="s">
        <v>442</v>
      </c>
      <c r="BC90" t="s">
        <v>4054</v>
      </c>
      <c r="BD90" t="s">
        <v>1453</v>
      </c>
      <c r="BE90" t="s">
        <v>1454</v>
      </c>
      <c r="BF90" t="s">
        <v>1455</v>
      </c>
      <c r="BG90" t="s">
        <v>1456</v>
      </c>
      <c r="BH90" t="s">
        <v>1267</v>
      </c>
      <c r="BI90" t="s">
        <v>1926</v>
      </c>
      <c r="BJ90" t="s">
        <v>527</v>
      </c>
      <c r="BK90" t="s">
        <v>4055</v>
      </c>
      <c r="BL90" t="s">
        <v>4056</v>
      </c>
      <c r="BM90" t="s">
        <v>4054</v>
      </c>
      <c r="BN90">
        <v>4.33</v>
      </c>
      <c r="BO90">
        <v>7.31</v>
      </c>
      <c r="BP90">
        <v>13.99</v>
      </c>
      <c r="BQ90">
        <v>4.4800000000000004</v>
      </c>
      <c r="BR90">
        <v>7.59</v>
      </c>
      <c r="BS90">
        <v>26.39</v>
      </c>
      <c r="BT90" t="s">
        <v>1730</v>
      </c>
      <c r="BU90" t="s">
        <v>1590</v>
      </c>
      <c r="BV90">
        <v>38.94</v>
      </c>
      <c r="BW90">
        <v>38.380000000000003</v>
      </c>
      <c r="BX90">
        <v>40.94</v>
      </c>
      <c r="BY90">
        <v>14.6</v>
      </c>
      <c r="BZ90">
        <v>15.88</v>
      </c>
      <c r="CA90">
        <v>18.329999999999998</v>
      </c>
      <c r="CB90">
        <v>0.42</v>
      </c>
      <c r="CC90">
        <v>1.22</v>
      </c>
      <c r="CD90" t="s">
        <v>4057</v>
      </c>
      <c r="CE90" t="s">
        <v>4058</v>
      </c>
      <c r="CF90" s="10">
        <v>-0.73576309794988604</v>
      </c>
      <c r="CG90" s="11">
        <v>-0.356031405105314</v>
      </c>
      <c r="CH90" s="10">
        <v>2.2642204761505127</v>
      </c>
      <c r="CI90" s="10">
        <v>-2.5044722482562065E-2</v>
      </c>
      <c r="CJ90" s="10">
        <v>7.0881225168704987E-2</v>
      </c>
      <c r="CK90" s="10">
        <v>0.14223194122314453</v>
      </c>
      <c r="CL90" s="10">
        <v>0.15113350749015808</v>
      </c>
      <c r="CM90" s="11">
        <v>-0.17850692570209503</v>
      </c>
      <c r="CN90" s="11">
        <v>-0.14428560435771942</v>
      </c>
      <c r="CO90" s="11">
        <v>0.25418612360954285</v>
      </c>
      <c r="CP90" s="11">
        <v>0.29330790042877197</v>
      </c>
      <c r="CQ90" s="11">
        <v>0.65229105949401855</v>
      </c>
      <c r="CR90">
        <v>40.330182236255467</v>
      </c>
      <c r="CS90">
        <v>0.77456085899608673</v>
      </c>
      <c r="CT90">
        <v>2.0842017507294708</v>
      </c>
      <c r="CU90" s="10">
        <v>0.52068448550999169</v>
      </c>
      <c r="CV90" s="11">
        <v>0.1753985106945038</v>
      </c>
      <c r="CW90">
        <v>0.06</v>
      </c>
      <c r="CX90">
        <v>21.569434030939956</v>
      </c>
      <c r="CY90">
        <v>99390646.825728387</v>
      </c>
      <c r="CZ90">
        <v>0.52068448550999169</v>
      </c>
      <c r="DA90">
        <v>4.9894801245950493</v>
      </c>
      <c r="DB90">
        <v>429664002.35415161</v>
      </c>
      <c r="DC90">
        <v>0.49465026123449207</v>
      </c>
      <c r="DD90">
        <v>1.4625666793333891</v>
      </c>
      <c r="DE90">
        <v>1465779324.9994621</v>
      </c>
      <c r="DF90">
        <v>0.45820234724879266</v>
      </c>
      <c r="DG90">
        <v>0.45372829456661334</v>
      </c>
      <c r="DH90">
        <v>4724854115.7162981</v>
      </c>
      <c r="DI90">
        <v>0.41654758840799339</v>
      </c>
      <c r="DJ90">
        <v>4.4538359576357843E-2</v>
      </c>
      <c r="DK90">
        <v>48133788949.379868</v>
      </c>
      <c r="DL90">
        <v>0.36447913985699415</v>
      </c>
      <c r="DM90">
        <v>69280700</v>
      </c>
      <c r="DN90">
        <v>0.52068448550999169</v>
      </c>
      <c r="DO90">
        <v>2143800000</v>
      </c>
      <c r="DP90">
        <v>746768270</v>
      </c>
      <c r="DQ90">
        <v>2576</v>
      </c>
      <c r="DR90">
        <v>-1.2564475834598778</v>
      </c>
      <c r="DS90">
        <v>-0.5314299157998178</v>
      </c>
      <c r="DT90" s="12">
        <v>-4.0000000000000036E-2</v>
      </c>
      <c r="DU90">
        <v>6.3333333333333353E-2</v>
      </c>
      <c r="DV90">
        <v>2.3333333333333317E-2</v>
      </c>
      <c r="DW90">
        <v>1.2199999999999999E-2</v>
      </c>
      <c r="DX90">
        <v>0.72525856696609681</v>
      </c>
      <c r="DY90">
        <v>4.0901545169863846E-3</v>
      </c>
      <c r="DZ90">
        <v>2416</v>
      </c>
      <c r="EA90">
        <v>2.1563358647282427E-3</v>
      </c>
      <c r="EB90">
        <v>0</v>
      </c>
      <c r="EC90">
        <v>0.14390666666666665</v>
      </c>
      <c r="ED90">
        <v>0.42924083333333335</v>
      </c>
      <c r="EE90" s="13">
        <v>2.0562999999999998</v>
      </c>
      <c r="EF90">
        <v>2.0569999999999999</v>
      </c>
      <c r="EG90">
        <v>39.335258566966097</v>
      </c>
      <c r="EH90" t="s">
        <v>1871</v>
      </c>
      <c r="EI90">
        <v>0</v>
      </c>
      <c r="EJ90">
        <v>0</v>
      </c>
      <c r="EK90" s="15">
        <v>45470</v>
      </c>
      <c r="EL90" s="16">
        <v>-1.67</v>
      </c>
      <c r="EM90" s="16">
        <v>-5.5</v>
      </c>
      <c r="EN90" s="16">
        <v>0.75</v>
      </c>
      <c r="EO90" s="16">
        <v>5.1100000000000003</v>
      </c>
      <c r="EP90" s="16">
        <v>7.0000000000000007E-2</v>
      </c>
    </row>
    <row r="91" spans="1:146" ht="108" x14ac:dyDescent="0.25">
      <c r="A91" s="8"/>
      <c r="B91" s="8"/>
      <c r="C91" s="8" t="str">
        <f>""&amp;CHAR(10)&amp;Basic_Fundamental_Information_Constructure(F91)&amp;CHAR(10)&amp;Basic_Fundamental_Information_Concatenate("")</f>
        <v xml:space="preserve">
市值18.104609亿, 利润755.81万; PE20.94; 平均PE34.65; 平均PEG19.79, PB1.38; ROIC7.1033%; ROE6.7733%; 股利率2.5369%; 毛利35.4867%; 净利14.9533%; 上一年度营收增-31.91%, 利润增-90.12%; 当季营收增356.38%, 利润增141.79%; 过往5年营收增1.75%, 利润增-4.28%
Income profile:
</v>
      </c>
      <c r="D91" t="s">
        <v>1457</v>
      </c>
      <c r="E91" t="s">
        <v>1458</v>
      </c>
      <c r="F91">
        <v>12.04</v>
      </c>
      <c r="G91">
        <v>1.18</v>
      </c>
      <c r="H91" t="s">
        <v>4059</v>
      </c>
      <c r="I91">
        <v>1810460900</v>
      </c>
      <c r="J91">
        <v>20.94</v>
      </c>
      <c r="K91">
        <v>1.38</v>
      </c>
      <c r="L91" t="s">
        <v>101</v>
      </c>
      <c r="M91" t="s">
        <v>190</v>
      </c>
      <c r="N91" t="s">
        <v>971</v>
      </c>
      <c r="O91" t="s">
        <v>4060</v>
      </c>
      <c r="P91">
        <v>-4.55</v>
      </c>
      <c r="Q91" t="s">
        <v>1845</v>
      </c>
      <c r="R91">
        <v>13148106</v>
      </c>
      <c r="S91" s="6">
        <v>-1.9300000000000001E-2</v>
      </c>
      <c r="T91" t="s">
        <v>4061</v>
      </c>
      <c r="U91">
        <v>80138221</v>
      </c>
      <c r="V91">
        <v>150370510</v>
      </c>
      <c r="W91">
        <v>1.2</v>
      </c>
      <c r="X91">
        <v>0.05</v>
      </c>
      <c r="Y91">
        <v>15.49</v>
      </c>
      <c r="Z91" t="s">
        <v>4062</v>
      </c>
      <c r="AA91" t="s">
        <v>4063</v>
      </c>
      <c r="AB91" t="s">
        <v>4064</v>
      </c>
      <c r="AC91" t="s">
        <v>4065</v>
      </c>
      <c r="AD91" t="s">
        <v>5</v>
      </c>
      <c r="AE91">
        <v>-891964</v>
      </c>
      <c r="AF91" t="s">
        <v>4066</v>
      </c>
      <c r="AG91" t="s">
        <v>4067</v>
      </c>
      <c r="AH91" t="s">
        <v>4068</v>
      </c>
      <c r="AI91" t="s">
        <v>205</v>
      </c>
      <c r="AJ91" t="s">
        <v>4069</v>
      </c>
      <c r="AK91" t="s">
        <v>425</v>
      </c>
      <c r="AL91" t="s">
        <v>4070</v>
      </c>
      <c r="AM91" t="s">
        <v>5</v>
      </c>
      <c r="AN91" t="s">
        <v>4071</v>
      </c>
      <c r="AO91" t="s">
        <v>5</v>
      </c>
      <c r="AP91" t="s">
        <v>4072</v>
      </c>
      <c r="AQ91" t="s">
        <v>227</v>
      </c>
      <c r="AR91" t="s">
        <v>5</v>
      </c>
      <c r="AS91" t="s">
        <v>757</v>
      </c>
      <c r="AT91" t="s">
        <v>5</v>
      </c>
      <c r="AU91" t="s">
        <v>4073</v>
      </c>
      <c r="AV91" t="s">
        <v>484</v>
      </c>
      <c r="AW91" t="s">
        <v>4074</v>
      </c>
      <c r="AX91" t="s">
        <v>1181</v>
      </c>
      <c r="AY91" t="s">
        <v>562</v>
      </c>
      <c r="AZ91" t="s">
        <v>415</v>
      </c>
      <c r="BA91" t="s">
        <v>995</v>
      </c>
      <c r="BB91" t="s">
        <v>490</v>
      </c>
      <c r="BC91" t="s">
        <v>1984</v>
      </c>
      <c r="BD91" t="s">
        <v>1459</v>
      </c>
      <c r="BE91" t="s">
        <v>1460</v>
      </c>
      <c r="BF91" t="s">
        <v>1461</v>
      </c>
      <c r="BG91" t="s">
        <v>1462</v>
      </c>
      <c r="BH91" t="s">
        <v>168</v>
      </c>
      <c r="BI91" t="s">
        <v>4075</v>
      </c>
      <c r="BJ91" t="s">
        <v>1181</v>
      </c>
      <c r="BK91" t="s">
        <v>4076</v>
      </c>
      <c r="BL91" t="s">
        <v>4077</v>
      </c>
      <c r="BM91" t="s">
        <v>1984</v>
      </c>
      <c r="BN91">
        <v>3.75</v>
      </c>
      <c r="BO91">
        <v>7.75</v>
      </c>
      <c r="BP91">
        <v>9.81</v>
      </c>
      <c r="BQ91">
        <v>3.93</v>
      </c>
      <c r="BR91">
        <v>6.44</v>
      </c>
      <c r="BS91">
        <v>9.9499999999999993</v>
      </c>
      <c r="BT91" t="s">
        <v>4078</v>
      </c>
      <c r="BU91" t="s">
        <v>1536</v>
      </c>
      <c r="BV91">
        <v>35.61</v>
      </c>
      <c r="BW91">
        <v>35.57</v>
      </c>
      <c r="BX91">
        <v>35.28</v>
      </c>
      <c r="BY91">
        <v>15.3</v>
      </c>
      <c r="BZ91">
        <v>15.54</v>
      </c>
      <c r="CA91">
        <v>14.02</v>
      </c>
      <c r="CB91">
        <v>-2.67</v>
      </c>
      <c r="CC91">
        <v>-13.44</v>
      </c>
      <c r="CD91" t="s">
        <v>4079</v>
      </c>
      <c r="CE91" t="s">
        <v>4080</v>
      </c>
      <c r="CF91" s="10">
        <v>3.5637797476656115</v>
      </c>
      <c r="CG91" s="11">
        <v>1.4179030007532873</v>
      </c>
      <c r="CH91" s="10">
        <v>-0.31910568475723267</v>
      </c>
      <c r="CI91" s="10">
        <v>0.10561797767877579</v>
      </c>
      <c r="CJ91" s="10">
        <v>5.4502367973327637E-2</v>
      </c>
      <c r="CK91" s="10">
        <v>-9.8290599882602692E-2</v>
      </c>
      <c r="CL91" s="10">
        <v>0.34482759237289429</v>
      </c>
      <c r="CM91" s="11">
        <v>-0.90119785070419312</v>
      </c>
      <c r="CN91" s="11">
        <v>0.22581212222576141</v>
      </c>
      <c r="CO91" s="11">
        <v>3.6247249692678452E-2</v>
      </c>
      <c r="CP91" s="11">
        <v>-5.579395592212677E-2</v>
      </c>
      <c r="CQ91" s="11">
        <v>0.48102885484695435</v>
      </c>
      <c r="CR91">
        <v>34.646676009744532</v>
      </c>
      <c r="CS91">
        <v>19.786420170344957</v>
      </c>
      <c r="CT91">
        <v>2.5369019933554817</v>
      </c>
      <c r="CU91" s="10">
        <v>1.7510330677032469E-2</v>
      </c>
      <c r="CV91" s="11">
        <v>-4.2780715972185135E-2</v>
      </c>
      <c r="CW91">
        <v>0.06</v>
      </c>
      <c r="CX91">
        <v>110.74373105773591</v>
      </c>
      <c r="CY91">
        <v>7255136.6323491307</v>
      </c>
      <c r="CZ91">
        <v>1.7510330677032469E-2</v>
      </c>
      <c r="DA91">
        <v>38.499942670549657</v>
      </c>
      <c r="DB91">
        <v>20869145.361470979</v>
      </c>
      <c r="DC91">
        <v>1.6634814143180843E-2</v>
      </c>
      <c r="DD91">
        <v>20.53801981250097</v>
      </c>
      <c r="DE91">
        <v>39120660.479203247</v>
      </c>
      <c r="DF91">
        <v>1.5409090995788573E-2</v>
      </c>
      <c r="DG91">
        <v>13.458202251288872</v>
      </c>
      <c r="DH91">
        <v>59700462.587642692</v>
      </c>
      <c r="DI91">
        <v>1.4008264541625976E-2</v>
      </c>
      <c r="DJ91">
        <v>8.3262920876567676</v>
      </c>
      <c r="DK91">
        <v>96496842.95739311</v>
      </c>
      <c r="DL91">
        <v>1.2257231473922728E-2</v>
      </c>
      <c r="DM91">
        <v>7558099.9999999991</v>
      </c>
      <c r="DN91">
        <v>1.7510330677032469E-2</v>
      </c>
      <c r="DO91">
        <v>803460900</v>
      </c>
      <c r="DP91">
        <v>1085688270</v>
      </c>
      <c r="DQ91">
        <v>2588</v>
      </c>
      <c r="DR91">
        <v>3.5462694169885789</v>
      </c>
      <c r="DS91">
        <v>1.4606837167254725</v>
      </c>
      <c r="DT91" s="12">
        <v>-0.50666666666666671</v>
      </c>
      <c r="DU91">
        <v>-8.3333333333333329E-2</v>
      </c>
      <c r="DV91">
        <v>-0.59000000000000008</v>
      </c>
      <c r="DW91">
        <v>-8.1986607142857135</v>
      </c>
      <c r="DX91">
        <v>0.30695740180581638</v>
      </c>
      <c r="DY91">
        <v>-8.0232348409837453</v>
      </c>
      <c r="DZ91">
        <v>850</v>
      </c>
      <c r="EA91">
        <v>-8.0193699457124765</v>
      </c>
      <c r="EB91">
        <v>8</v>
      </c>
      <c r="EC91">
        <v>3.4198859869531598E-2</v>
      </c>
      <c r="ED91">
        <v>0.29240440828457653</v>
      </c>
      <c r="EE91" s="13">
        <v>2.0108999999999999</v>
      </c>
      <c r="EF91">
        <v>2.0098099999999999</v>
      </c>
      <c r="EG91">
        <v>19.116957401805816</v>
      </c>
      <c r="EH91" t="s">
        <v>1816</v>
      </c>
      <c r="EI91">
        <v>0</v>
      </c>
      <c r="EJ91">
        <v>1</v>
      </c>
      <c r="EK91" s="15">
        <v>45470</v>
      </c>
      <c r="EL91" s="16">
        <v>-1.59</v>
      </c>
      <c r="EM91" s="16">
        <v>-4.16</v>
      </c>
      <c r="EN91" s="16">
        <v>0.52</v>
      </c>
      <c r="EO91" s="16">
        <v>5.6</v>
      </c>
      <c r="EP91" s="16">
        <v>-2.0699999999999998</v>
      </c>
    </row>
    <row r="92" spans="1:146" ht="96" x14ac:dyDescent="0.25">
      <c r="C92" s="8" t="str">
        <f>""&amp;CHAR(10)&amp;Basic_Fundamental_Information_Constructure(F92)&amp;CHAR(10)&amp;Basic_Fundamental_Information_Concatenate("")</f>
        <v xml:space="preserve">
市值74.85671亿, 利润1.27亿; PE; 平均PE35.99; 平均PEG6.56, PB1.62; ROIC11.645%; ROE6.62%; 股利率0%; 毛利25.3133%; 净利.14%; 上一年度营收增-83.06%, 利润增-52.26%; 当季营收增640.27%, 利润增314.22%; 过往5年营收增-5.48%, 利润增73.23%
Income profile:
</v>
      </c>
      <c r="D92" s="6" t="s">
        <v>1817</v>
      </c>
      <c r="E92" t="s">
        <v>1818</v>
      </c>
      <c r="F92">
        <v>15.3</v>
      </c>
      <c r="G92">
        <v>3.94</v>
      </c>
      <c r="H92" t="s">
        <v>4081</v>
      </c>
      <c r="I92">
        <v>7485671000</v>
      </c>
      <c r="K92">
        <v>1.62</v>
      </c>
      <c r="L92" t="s">
        <v>101</v>
      </c>
      <c r="M92" t="s">
        <v>4082</v>
      </c>
      <c r="N92" t="s">
        <v>4083</v>
      </c>
      <c r="O92" t="s">
        <v>4084</v>
      </c>
      <c r="P92" s="6">
        <v>5.45</v>
      </c>
      <c r="Q92" t="s">
        <v>375</v>
      </c>
      <c r="R92">
        <v>125000000</v>
      </c>
      <c r="S92">
        <v>0.48459999999999998</v>
      </c>
      <c r="T92" t="s">
        <v>298</v>
      </c>
      <c r="U92">
        <v>212270870</v>
      </c>
      <c r="V92">
        <v>489259540</v>
      </c>
      <c r="W92">
        <v>1.92</v>
      </c>
      <c r="X92">
        <v>0.19</v>
      </c>
      <c r="Y92">
        <v>7.94</v>
      </c>
      <c r="Z92" t="s">
        <v>2148</v>
      </c>
      <c r="AA92" t="s">
        <v>1952</v>
      </c>
      <c r="AB92" t="s">
        <v>536</v>
      </c>
      <c r="AC92" t="s">
        <v>362</v>
      </c>
      <c r="AD92" t="s">
        <v>5</v>
      </c>
      <c r="AE92">
        <v>-2078376</v>
      </c>
      <c r="AF92" t="s">
        <v>4085</v>
      </c>
      <c r="AG92" t="s">
        <v>1857</v>
      </c>
      <c r="AH92" t="s">
        <v>4086</v>
      </c>
      <c r="AI92" t="s">
        <v>4087</v>
      </c>
      <c r="AJ92" t="s">
        <v>4088</v>
      </c>
      <c r="AK92" t="s">
        <v>5</v>
      </c>
      <c r="AL92" t="s">
        <v>4089</v>
      </c>
      <c r="AM92" t="s">
        <v>5</v>
      </c>
      <c r="AN92" t="s">
        <v>167</v>
      </c>
      <c r="AO92" t="s">
        <v>2175</v>
      </c>
      <c r="AP92" t="s">
        <v>511</v>
      </c>
      <c r="AQ92" t="s">
        <v>1244</v>
      </c>
      <c r="AR92" t="s">
        <v>5</v>
      </c>
      <c r="AS92" t="s">
        <v>4090</v>
      </c>
      <c r="AT92" t="s">
        <v>2330</v>
      </c>
      <c r="AU92" t="s">
        <v>4091</v>
      </c>
      <c r="AV92" t="s">
        <v>247</v>
      </c>
      <c r="AW92" t="s">
        <v>533</v>
      </c>
      <c r="AX92" t="s">
        <v>1985</v>
      </c>
      <c r="AY92" t="s">
        <v>1986</v>
      </c>
      <c r="AZ92" t="s">
        <v>1987</v>
      </c>
      <c r="BA92" t="s">
        <v>1988</v>
      </c>
      <c r="BB92" t="s">
        <v>1706</v>
      </c>
      <c r="BC92" t="s">
        <v>593</v>
      </c>
      <c r="BD92" t="s">
        <v>120</v>
      </c>
      <c r="BE92" t="s">
        <v>852</v>
      </c>
      <c r="BF92" t="s">
        <v>420</v>
      </c>
      <c r="BG92" t="s">
        <v>1413</v>
      </c>
      <c r="BH92" t="s">
        <v>4083</v>
      </c>
      <c r="BI92" t="s">
        <v>280</v>
      </c>
      <c r="BJ92" t="s">
        <v>1985</v>
      </c>
      <c r="BK92" t="s">
        <v>4092</v>
      </c>
      <c r="BL92" t="s">
        <v>4093</v>
      </c>
      <c r="BM92" t="s">
        <v>593</v>
      </c>
      <c r="BN92" t="s">
        <v>5</v>
      </c>
      <c r="BO92">
        <v>9.66</v>
      </c>
      <c r="BP92">
        <v>13.63</v>
      </c>
      <c r="BQ92">
        <v>-5.54</v>
      </c>
      <c r="BR92">
        <v>18.78</v>
      </c>
      <c r="BS92" t="s">
        <v>5</v>
      </c>
      <c r="BT92" t="s">
        <v>1720</v>
      </c>
      <c r="BU92" t="s">
        <v>1605</v>
      </c>
      <c r="BV92">
        <v>22.72</v>
      </c>
      <c r="BW92">
        <v>25.72</v>
      </c>
      <c r="BX92">
        <v>27.5</v>
      </c>
      <c r="BY92">
        <v>-10.27</v>
      </c>
      <c r="BZ92">
        <v>5.0999999999999996</v>
      </c>
      <c r="CA92">
        <v>5.59</v>
      </c>
      <c r="CB92">
        <v>12.33</v>
      </c>
      <c r="CC92" s="10">
        <v>-2.2999999999999998</v>
      </c>
      <c r="CD92" s="11" t="s">
        <v>4094</v>
      </c>
      <c r="CE92" s="10" t="s">
        <v>303</v>
      </c>
      <c r="CF92" s="10">
        <v>6.4027149321266972</v>
      </c>
      <c r="CG92" s="10">
        <v>3.1421588932151439</v>
      </c>
      <c r="CH92" s="10">
        <v>-0.83055078983306885</v>
      </c>
      <c r="CI92" s="10">
        <v>4.1366815567016602E-2</v>
      </c>
      <c r="CJ92" s="11">
        <v>0.16616177558898926</v>
      </c>
      <c r="CK92" s="11">
        <v>0.15194635093212128</v>
      </c>
      <c r="CL92" s="11">
        <v>0.19697941839694977</v>
      </c>
      <c r="CM92" s="11">
        <v>-0.5225563645362854</v>
      </c>
      <c r="CN92" s="11">
        <v>-5.000000074505806E-2</v>
      </c>
      <c r="CO92">
        <v>-0.50442475080490112</v>
      </c>
      <c r="CP92">
        <v>2.6688311100006104</v>
      </c>
      <c r="CQ92">
        <v>2.0694444179534912</v>
      </c>
      <c r="CR92" s="10">
        <v>35.988802884615382</v>
      </c>
      <c r="CS92" s="11">
        <v>6.5649893671041069</v>
      </c>
      <c r="CT92">
        <v>0</v>
      </c>
      <c r="CU92">
        <v>-5.4819285869598389E-2</v>
      </c>
      <c r="CV92">
        <v>0.7322588823735714</v>
      </c>
      <c r="CW92">
        <v>0.06</v>
      </c>
      <c r="CX92">
        <v>53.769062992125981</v>
      </c>
      <c r="CY92" t="s">
        <v>4095</v>
      </c>
      <c r="CZ92">
        <v>-5.4819285869598389E-2</v>
      </c>
      <c r="DA92">
        <v>17.923020997375328</v>
      </c>
      <c r="DB92" t="s">
        <v>4096</v>
      </c>
      <c r="DC92">
        <v>-5.2078321576118469E-2</v>
      </c>
      <c r="DD92">
        <v>8.9615104986876641</v>
      </c>
      <c r="DE92" t="s">
        <v>4097</v>
      </c>
      <c r="DF92">
        <v>-4.8240971565246579E-2</v>
      </c>
      <c r="DG92">
        <v>5.3769062992125987</v>
      </c>
      <c r="DH92" t="s">
        <v>4098</v>
      </c>
      <c r="DI92">
        <v>-4.3855428695678711E-2</v>
      </c>
      <c r="DJ92">
        <v>2.6884531496062993</v>
      </c>
      <c r="DK92" t="s">
        <v>4099</v>
      </c>
      <c r="DL92">
        <v>-3.8373500108718872E-2</v>
      </c>
      <c r="DM92">
        <v>127000000</v>
      </c>
      <c r="DN92">
        <v>-5.4819285869598389E-2</v>
      </c>
      <c r="DO92">
        <v>6828671000</v>
      </c>
      <c r="DP92">
        <v>4130660000</v>
      </c>
      <c r="DQ92" s="12">
        <v>2671</v>
      </c>
      <c r="DR92">
        <v>6.4575342179962956</v>
      </c>
      <c r="DS92">
        <v>2.4099000108415725</v>
      </c>
      <c r="DT92">
        <v>-0.42333333333333339</v>
      </c>
      <c r="DU92">
        <v>1.0269999999999999</v>
      </c>
      <c r="DV92">
        <v>0.60366666666666657</v>
      </c>
      <c r="DW92">
        <v>5.1865369018653693</v>
      </c>
      <c r="DX92">
        <v>1.001114615384612</v>
      </c>
      <c r="DY92">
        <v>5.0636304635348433</v>
      </c>
      <c r="DZ92">
        <v>4447</v>
      </c>
      <c r="EA92">
        <v>5.0082557724703722</v>
      </c>
      <c r="EB92" s="13">
        <v>5</v>
      </c>
      <c r="EC92" s="13">
        <v>9.0636761012365744E-2</v>
      </c>
      <c r="ED92">
        <v>0.26570764465829322</v>
      </c>
      <c r="EE92">
        <v>6.1418100000000004</v>
      </c>
      <c r="EF92">
        <v>5.0052099999999999</v>
      </c>
      <c r="EG92">
        <v>66.341114615384612</v>
      </c>
      <c r="EH92" s="15" t="s">
        <v>1953</v>
      </c>
      <c r="EI92" s="16">
        <v>1</v>
      </c>
      <c r="EJ92" s="16">
        <v>0</v>
      </c>
      <c r="EK92" s="16">
        <v>45470</v>
      </c>
      <c r="EL92" s="16">
        <v>-1.34</v>
      </c>
      <c r="EM92" s="16">
        <v>-0.49</v>
      </c>
      <c r="EN92" s="16">
        <v>-2.29</v>
      </c>
      <c r="EO92" s="16">
        <v>0.25</v>
      </c>
      <c r="EP92" s="16">
        <v>-1.34</v>
      </c>
    </row>
    <row r="93" spans="1:146" ht="96" x14ac:dyDescent="0.25">
      <c r="A93" s="8"/>
      <c r="B93" s="8"/>
      <c r="C93" s="8" t="str">
        <f>""&amp;CHAR(10)&amp;Basic_Fundamental_Information_Constructure(F93)&amp;CHAR(10)&amp;Basic_Fundamental_Information_Concatenate("")</f>
        <v xml:space="preserve">
市值30.72832亿, 利润1.91亿; PE59.32; 平均PE30.72; 平均PEG2.51, PB2.16; ROIC13.68%; ROE15.6533%; 股利率.554%; 毛利38.7%; 净利12.7167%; 上一年度营收增-4.75%, 利润增50.39%; 当季营收增15.79%, 利润增-73.78%; 过往5年营收增12.23%, 利润增40.12%
Income profile:
</v>
      </c>
      <c r="D93" t="s">
        <v>1626</v>
      </c>
      <c r="E93" t="s">
        <v>1627</v>
      </c>
      <c r="F93">
        <v>28.88</v>
      </c>
      <c r="G93">
        <v>-2.04</v>
      </c>
      <c r="H93" t="s">
        <v>4100</v>
      </c>
      <c r="I93">
        <v>3072832000</v>
      </c>
      <c r="J93">
        <v>59.32</v>
      </c>
      <c r="K93">
        <v>2.16</v>
      </c>
      <c r="L93" t="s">
        <v>101</v>
      </c>
      <c r="M93" t="s">
        <v>812</v>
      </c>
      <c r="N93" t="s">
        <v>782</v>
      </c>
      <c r="O93" t="s">
        <v>420</v>
      </c>
      <c r="P93">
        <v>45.13</v>
      </c>
      <c r="Q93" t="s">
        <v>1619</v>
      </c>
      <c r="R93">
        <v>10770360</v>
      </c>
      <c r="S93" s="6">
        <v>-6.7000000000000004E-2</v>
      </c>
      <c r="T93" t="s">
        <v>792</v>
      </c>
      <c r="U93">
        <v>34300000</v>
      </c>
      <c r="V93">
        <v>106400000</v>
      </c>
      <c r="W93">
        <v>1.54</v>
      </c>
      <c r="X93">
        <v>7.0000000000000007E-2</v>
      </c>
      <c r="Y93">
        <v>7.2</v>
      </c>
      <c r="Z93" t="s">
        <v>146</v>
      </c>
      <c r="AA93" t="s">
        <v>353</v>
      </c>
      <c r="AB93" t="s">
        <v>4101</v>
      </c>
      <c r="AC93" t="s">
        <v>4102</v>
      </c>
      <c r="AD93" t="s">
        <v>5</v>
      </c>
      <c r="AE93">
        <v>-7558176</v>
      </c>
      <c r="AF93" t="s">
        <v>4103</v>
      </c>
      <c r="AG93" t="s">
        <v>4104</v>
      </c>
      <c r="AH93" t="s">
        <v>4105</v>
      </c>
      <c r="AI93" t="s">
        <v>1067</v>
      </c>
      <c r="AJ93" t="s">
        <v>4106</v>
      </c>
      <c r="AK93" t="s">
        <v>4107</v>
      </c>
      <c r="AL93" t="s">
        <v>4108</v>
      </c>
      <c r="AM93" t="s">
        <v>5</v>
      </c>
      <c r="AN93" t="s">
        <v>4109</v>
      </c>
      <c r="AO93" t="s">
        <v>5</v>
      </c>
      <c r="AP93" t="s">
        <v>451</v>
      </c>
      <c r="AQ93" t="s">
        <v>1712</v>
      </c>
      <c r="AR93" t="s">
        <v>5</v>
      </c>
      <c r="AS93" t="s">
        <v>1592</v>
      </c>
      <c r="AT93" t="s">
        <v>5</v>
      </c>
      <c r="AU93" t="s">
        <v>4110</v>
      </c>
      <c r="AV93" t="s">
        <v>4111</v>
      </c>
      <c r="AW93" t="s">
        <v>4112</v>
      </c>
      <c r="AX93" t="s">
        <v>1989</v>
      </c>
      <c r="AY93" t="s">
        <v>1403</v>
      </c>
      <c r="AZ93" t="s">
        <v>1591</v>
      </c>
      <c r="BA93" t="s">
        <v>264</v>
      </c>
      <c r="BB93" t="s">
        <v>1623</v>
      </c>
      <c r="BC93" t="s">
        <v>298</v>
      </c>
      <c r="BD93" t="s">
        <v>197</v>
      </c>
      <c r="BE93" t="s">
        <v>1628</v>
      </c>
      <c r="BF93" t="s">
        <v>1629</v>
      </c>
      <c r="BG93" t="s">
        <v>1630</v>
      </c>
      <c r="BH93" t="s">
        <v>2079</v>
      </c>
      <c r="BI93" t="s">
        <v>202</v>
      </c>
      <c r="BJ93" t="s">
        <v>1989</v>
      </c>
      <c r="BK93" t="s">
        <v>4113</v>
      </c>
      <c r="BL93" t="s">
        <v>4114</v>
      </c>
      <c r="BM93" t="s">
        <v>298</v>
      </c>
      <c r="BN93">
        <v>1.42</v>
      </c>
      <c r="BO93">
        <v>13.08</v>
      </c>
      <c r="BP93">
        <v>26.54</v>
      </c>
      <c r="BQ93">
        <v>2.97</v>
      </c>
      <c r="BR93">
        <v>16.16</v>
      </c>
      <c r="BS93">
        <v>27.83</v>
      </c>
      <c r="BT93" t="s">
        <v>1721</v>
      </c>
      <c r="BU93" t="s">
        <v>1537</v>
      </c>
      <c r="BV93">
        <v>30.95</v>
      </c>
      <c r="BW93">
        <v>45.23</v>
      </c>
      <c r="BX93">
        <v>39.92</v>
      </c>
      <c r="BY93">
        <v>7.43</v>
      </c>
      <c r="BZ93">
        <v>16.53</v>
      </c>
      <c r="CA93">
        <v>14.19</v>
      </c>
      <c r="CB93">
        <v>-10.119999999999999</v>
      </c>
      <c r="CC93">
        <v>-6.75</v>
      </c>
      <c r="CD93" t="s">
        <v>4115</v>
      </c>
      <c r="CE93" t="s">
        <v>4116</v>
      </c>
      <c r="CF93" s="10">
        <v>0.15789473684210525</v>
      </c>
      <c r="CG93" s="11">
        <v>-0.73780646040815134</v>
      </c>
      <c r="CH93" s="10">
        <v>-4.7496791929006577E-2</v>
      </c>
      <c r="CI93" s="10">
        <v>-2.2584693506360054E-2</v>
      </c>
      <c r="CJ93" s="10">
        <v>0.33949580788612366</v>
      </c>
      <c r="CK93" s="10">
        <v>0.1553398072719574</v>
      </c>
      <c r="CL93" s="10">
        <v>0.18663594126701355</v>
      </c>
      <c r="CM93" s="11">
        <v>0.5039370059967041</v>
      </c>
      <c r="CN93" s="11">
        <v>0.1339285671710968</v>
      </c>
      <c r="CO93" s="11">
        <v>0.33038115501403809</v>
      </c>
      <c r="CP93" s="11">
        <v>0.7290569543838501</v>
      </c>
      <c r="CQ93" s="11">
        <v>0.30874744057655334</v>
      </c>
      <c r="CR93">
        <v>30.724300237385609</v>
      </c>
      <c r="CS93">
        <v>2.5126594047928048</v>
      </c>
      <c r="CT93">
        <v>0.554016620498615</v>
      </c>
      <c r="CU93" s="10">
        <v>0.12227801419794559</v>
      </c>
      <c r="CV93" s="11">
        <v>0.40121022462844846</v>
      </c>
      <c r="CW93">
        <v>0.06</v>
      </c>
      <c r="CX93">
        <v>11.60523781211319</v>
      </c>
      <c r="CY93">
        <v>202221793.12434676</v>
      </c>
      <c r="CZ93">
        <v>0.12227801419794559</v>
      </c>
      <c r="DA93">
        <v>3.6906019506205743</v>
      </c>
      <c r="DB93">
        <v>635894098.4154036</v>
      </c>
      <c r="DC93">
        <v>0.11616411348804831</v>
      </c>
      <c r="DD93">
        <v>1.7510543837266435</v>
      </c>
      <c r="DE93">
        <v>1340239356.2474089</v>
      </c>
      <c r="DF93">
        <v>0.10760465249419213</v>
      </c>
      <c r="DG93">
        <v>1.0081023415516885</v>
      </c>
      <c r="DH93">
        <v>2327969992.0027122</v>
      </c>
      <c r="DI93">
        <v>9.7822411358356481E-2</v>
      </c>
      <c r="DJ93">
        <v>0.47371520509262094</v>
      </c>
      <c r="DK93">
        <v>4954098949.6867571</v>
      </c>
      <c r="DL93">
        <v>8.5594609938561911E-2</v>
      </c>
      <c r="DM93">
        <v>191000000</v>
      </c>
      <c r="DN93">
        <v>0.12227801419794559</v>
      </c>
      <c r="DO93">
        <v>2346832000</v>
      </c>
      <c r="DP93">
        <v>1145055600</v>
      </c>
      <c r="DQ93">
        <v>2740</v>
      </c>
      <c r="DR93">
        <v>3.561672264415966E-2</v>
      </c>
      <c r="DS93">
        <v>-1.1390166850365997</v>
      </c>
      <c r="DT93" s="12">
        <v>-9.000000000000008E-2</v>
      </c>
      <c r="DU93">
        <v>0.19333333333333327</v>
      </c>
      <c r="DV93">
        <v>0.10333333333333319</v>
      </c>
      <c r="DW93">
        <v>-5.6669960474308301</v>
      </c>
      <c r="DX93">
        <v>0.33668009597877357</v>
      </c>
      <c r="DY93">
        <v>-5.1445247675747749</v>
      </c>
      <c r="DZ93">
        <v>2960</v>
      </c>
      <c r="EA93">
        <v>-5.0608078767682514</v>
      </c>
      <c r="EB93">
        <v>5</v>
      </c>
      <c r="EC93">
        <v>0.18298308270676691</v>
      </c>
      <c r="ED93">
        <v>0.84448496240601501</v>
      </c>
      <c r="EE93" s="13">
        <v>1.11391</v>
      </c>
      <c r="EF93">
        <v>1.14161</v>
      </c>
      <c r="EG93">
        <v>12.216680095978774</v>
      </c>
      <c r="EH93" t="s">
        <v>1815</v>
      </c>
      <c r="EI93">
        <v>0</v>
      </c>
      <c r="EJ93">
        <v>0</v>
      </c>
      <c r="EK93" s="15">
        <v>45470</v>
      </c>
      <c r="EL93" s="16">
        <v>2.36</v>
      </c>
      <c r="EM93" s="16">
        <v>-8.31</v>
      </c>
      <c r="EN93" s="16">
        <v>-5.27</v>
      </c>
      <c r="EO93" s="16">
        <v>2.4500000000000002</v>
      </c>
      <c r="EP93" s="16">
        <v>-2.77</v>
      </c>
    </row>
    <row r="94" spans="1:146" ht="96" x14ac:dyDescent="0.25">
      <c r="C94" s="8" t="str">
        <f>""&amp;CHAR(10)&amp;Basic_Fundamental_Information_Constructure(F94)&amp;CHAR(10)&amp;Basic_Fundamental_Information_Concatenate("")</f>
        <v xml:space="preserve">
市值51.65亿, 利润9897.38万; PE61; 平均PE90.54; 平均PEG13.06, PB7.33; ROIC15.52%; ROE0%; 股利率0%; 毛利31.6633%; 净利13.66%; 上一年度营收增-31.87%, 利润增38.83%; 当季营收增-42.64%, 利润增54.68%; 过往5年营收增6.93%, 利润增42.23%
Income profile:
</v>
      </c>
      <c r="D94" t="s">
        <v>4117</v>
      </c>
      <c r="E94" t="s">
        <v>4118</v>
      </c>
      <c r="F94">
        <v>51.65</v>
      </c>
      <c r="G94">
        <v>-7.27</v>
      </c>
      <c r="H94" t="s">
        <v>4119</v>
      </c>
      <c r="I94">
        <v>5165000000</v>
      </c>
      <c r="J94">
        <v>61</v>
      </c>
      <c r="K94">
        <v>7.33</v>
      </c>
      <c r="L94" t="s">
        <v>101</v>
      </c>
      <c r="M94" t="s">
        <v>1982</v>
      </c>
      <c r="N94" t="s">
        <v>743</v>
      </c>
      <c r="O94" t="s">
        <v>4120</v>
      </c>
      <c r="P94" s="6">
        <v>1.22</v>
      </c>
      <c r="Q94" t="s">
        <v>312</v>
      </c>
      <c r="R94">
        <v>56131550</v>
      </c>
      <c r="S94">
        <v>0.55149999999999999</v>
      </c>
      <c r="T94" t="s">
        <v>4121</v>
      </c>
      <c r="U94">
        <v>21336391</v>
      </c>
      <c r="V94">
        <v>100000000</v>
      </c>
      <c r="W94">
        <v>1.85</v>
      </c>
      <c r="X94">
        <v>0.08</v>
      </c>
      <c r="Y94">
        <v>14.11</v>
      </c>
      <c r="Z94" t="s">
        <v>4122</v>
      </c>
      <c r="AA94" t="s">
        <v>4123</v>
      </c>
      <c r="AB94" t="s">
        <v>4124</v>
      </c>
      <c r="AC94" t="s">
        <v>4125</v>
      </c>
      <c r="AD94" t="s">
        <v>5</v>
      </c>
      <c r="AE94">
        <v>1124170</v>
      </c>
      <c r="AF94" t="s">
        <v>4126</v>
      </c>
      <c r="AG94">
        <v>0.38</v>
      </c>
      <c r="AH94" t="s">
        <v>4127</v>
      </c>
      <c r="AI94" t="s">
        <v>508</v>
      </c>
      <c r="AJ94" t="s">
        <v>4128</v>
      </c>
      <c r="AK94" t="s">
        <v>4129</v>
      </c>
      <c r="AL94" t="s">
        <v>4130</v>
      </c>
      <c r="AM94" t="s">
        <v>218</v>
      </c>
      <c r="AN94" t="s">
        <v>4131</v>
      </c>
      <c r="AO94" t="s">
        <v>4132</v>
      </c>
      <c r="AP94" t="s">
        <v>4133</v>
      </c>
      <c r="AQ94" t="s">
        <v>261</v>
      </c>
      <c r="AR94" t="s">
        <v>5</v>
      </c>
      <c r="AS94" t="s">
        <v>233</v>
      </c>
      <c r="AT94" t="s">
        <v>4134</v>
      </c>
      <c r="AU94" t="s">
        <v>4135</v>
      </c>
      <c r="AV94" t="s">
        <v>4136</v>
      </c>
      <c r="AW94" t="s">
        <v>4137</v>
      </c>
      <c r="AX94" t="s">
        <v>535</v>
      </c>
      <c r="AY94" t="s">
        <v>2139</v>
      </c>
      <c r="AZ94" t="s">
        <v>874</v>
      </c>
      <c r="BA94" t="s">
        <v>265</v>
      </c>
      <c r="BB94" t="s">
        <v>878</v>
      </c>
      <c r="BC94" t="s">
        <v>4138</v>
      </c>
      <c r="BD94" t="s">
        <v>4139</v>
      </c>
      <c r="BE94" t="s">
        <v>4140</v>
      </c>
      <c r="BF94" t="s">
        <v>4141</v>
      </c>
      <c r="BG94" t="s">
        <v>4142</v>
      </c>
      <c r="BH94" t="s">
        <v>607</v>
      </c>
      <c r="BI94" t="s">
        <v>347</v>
      </c>
      <c r="BJ94" t="s">
        <v>535</v>
      </c>
      <c r="BK94" t="s">
        <v>4143</v>
      </c>
      <c r="BL94" t="s">
        <v>4144</v>
      </c>
      <c r="BM94" t="s">
        <v>4138</v>
      </c>
      <c r="BN94" t="s">
        <v>5</v>
      </c>
      <c r="BO94">
        <v>14.46</v>
      </c>
      <c r="BP94">
        <v>16.579999999999998</v>
      </c>
      <c r="BQ94" t="s">
        <v>5</v>
      </c>
      <c r="BR94" t="s">
        <v>5</v>
      </c>
      <c r="BS94" t="s">
        <v>5</v>
      </c>
      <c r="BT94" t="s">
        <v>1720</v>
      </c>
      <c r="BU94" t="s">
        <v>1537</v>
      </c>
      <c r="BV94">
        <v>32.65</v>
      </c>
      <c r="BW94">
        <v>30.99</v>
      </c>
      <c r="BX94">
        <v>31.35</v>
      </c>
      <c r="BY94">
        <v>15.53</v>
      </c>
      <c r="BZ94">
        <v>12.34</v>
      </c>
      <c r="CA94">
        <v>13.11</v>
      </c>
      <c r="CB94">
        <v>-15.05</v>
      </c>
      <c r="CC94" s="10">
        <v>-20.54</v>
      </c>
      <c r="CD94" s="11" t="s">
        <v>4145</v>
      </c>
      <c r="CE94" s="10" t="s">
        <v>732</v>
      </c>
      <c r="CF94" s="10">
        <v>-0.42636879999999999</v>
      </c>
      <c r="CG94" s="10">
        <v>0.54683504188712517</v>
      </c>
      <c r="CH94" s="10">
        <v>-0.31873905658721924</v>
      </c>
      <c r="CI94" s="10">
        <v>6.9288387894630432E-2</v>
      </c>
      <c r="CJ94" s="11">
        <v>0.36224490404129028</v>
      </c>
      <c r="CK94" s="11">
        <v>0.32881355285644531</v>
      </c>
      <c r="CL94" s="11">
        <v>-9.5092020928859711E-2</v>
      </c>
      <c r="CM94" s="11">
        <v>0.38831877708435059</v>
      </c>
      <c r="CN94" s="11">
        <v>-2.2100454661995173E-3</v>
      </c>
      <c r="CO94">
        <v>0.29824572801589966</v>
      </c>
      <c r="CP94">
        <v>1.4656813144683838</v>
      </c>
      <c r="CQ94">
        <v>-3.8556467741727829E-2</v>
      </c>
      <c r="CR94" s="10">
        <v>90.539247551364738</v>
      </c>
      <c r="CS94" s="11">
        <v>13.064232006385897</v>
      </c>
      <c r="CT94">
        <v>0</v>
      </c>
      <c r="CU94">
        <v>6.9303153455257421E-2</v>
      </c>
      <c r="CV94">
        <v>0.42229586127214136</v>
      </c>
      <c r="CW94">
        <v>0.06</v>
      </c>
      <c r="CX94">
        <v>51.09049333761071</v>
      </c>
      <c r="CY94">
        <v>99842449.480613157</v>
      </c>
      <c r="CZ94">
        <v>6.9303153455257421E-2</v>
      </c>
      <c r="DA94">
        <v>16.991776653631185</v>
      </c>
      <c r="DB94">
        <v>300204040.10606527</v>
      </c>
      <c r="DC94">
        <v>6.5837995782494552E-2</v>
      </c>
      <c r="DD94">
        <v>8.561875559516464</v>
      </c>
      <c r="DE94">
        <v>595780674.98660088</v>
      </c>
      <c r="DF94">
        <v>6.098677504062653E-2</v>
      </c>
      <c r="DG94">
        <v>5.277082056490336</v>
      </c>
      <c r="DH94">
        <v>966632685.52480233</v>
      </c>
      <c r="DI94">
        <v>5.5442522764205943E-2</v>
      </c>
      <c r="DJ94">
        <v>2.8836201116319495</v>
      </c>
      <c r="DK94">
        <v>1768957006.3073084</v>
      </c>
      <c r="DL94">
        <v>4.8512207418680189E-2</v>
      </c>
      <c r="DM94">
        <v>98973799.999999985</v>
      </c>
      <c r="DN94">
        <v>6.9303153455257421E-2</v>
      </c>
      <c r="DO94">
        <v>5101000000</v>
      </c>
      <c r="DP94">
        <v>301299870</v>
      </c>
      <c r="DQ94" s="12">
        <v>2778</v>
      </c>
      <c r="DR94">
        <v>-0.49567195345525739</v>
      </c>
      <c r="DS94">
        <v>0.12453918061498381</v>
      </c>
      <c r="DT94">
        <v>-0.35666666666666669</v>
      </c>
      <c r="DU94">
        <v>0.75333333333333341</v>
      </c>
      <c r="DV94">
        <v>0.39666666666666672</v>
      </c>
      <c r="DW94">
        <v>-9.732716650438169</v>
      </c>
      <c r="DX94">
        <v>0.39189716981131939</v>
      </c>
      <c r="DY94">
        <v>-9.089316085962043</v>
      </c>
      <c r="DZ94">
        <v>367</v>
      </c>
      <c r="EA94">
        <v>-9.0829014081639858</v>
      </c>
      <c r="EB94" s="13">
        <v>9</v>
      </c>
      <c r="EC94" s="13">
        <v>0.25842199999999999</v>
      </c>
      <c r="ED94">
        <v>2.12</v>
      </c>
      <c r="EE94">
        <v>1.02871</v>
      </c>
      <c r="EF94">
        <v>1.0518099999999999</v>
      </c>
      <c r="EG94">
        <v>27.121897169811319</v>
      </c>
      <c r="EH94" s="15" t="s">
        <v>1815</v>
      </c>
      <c r="EI94">
        <v>0</v>
      </c>
      <c r="EJ94">
        <v>1</v>
      </c>
      <c r="EK94">
        <v>45470</v>
      </c>
      <c r="EL94">
        <v>-1.32</v>
      </c>
      <c r="EM94">
        <v>-7.44</v>
      </c>
      <c r="EN94" s="16">
        <v>-0.75</v>
      </c>
      <c r="EO94" s="16">
        <v>4.8</v>
      </c>
      <c r="EP94" s="16">
        <v>-2.31</v>
      </c>
    </row>
    <row r="95" spans="1:146" ht="96" x14ac:dyDescent="0.25">
      <c r="C95" s="8" t="str">
        <f>""&amp;CHAR(10)&amp;Basic_Fundamental_Information_Constructure(F95)&amp;CHAR(10)&amp;Basic_Fundamental_Information_Concatenate("")</f>
        <v xml:space="preserve">
市值29.3436亿, 利润8763.45万; PE22.74; 平均PE27.12; 平均PEG.71, PB1.25; ROIC15.7933%; ROE13.645%; 股利率2.2492%; 毛利35.19%; 净利22.5433%; 上一年度营收增51.13%, 利润增-27.57%; 当季营收增-37.69%, 利润增65.69%; 过往5年营收增38.18%, 利润增13.32%
Income profile:
</v>
      </c>
      <c r="D95" t="s">
        <v>1991</v>
      </c>
      <c r="E95" t="s">
        <v>1992</v>
      </c>
      <c r="F95">
        <v>22.23</v>
      </c>
      <c r="G95">
        <v>0.32</v>
      </c>
      <c r="H95" t="s">
        <v>4146</v>
      </c>
      <c r="I95">
        <v>2934360000</v>
      </c>
      <c r="J95">
        <v>22.74</v>
      </c>
      <c r="K95">
        <v>1.25</v>
      </c>
      <c r="L95" t="s">
        <v>101</v>
      </c>
      <c r="M95" t="s">
        <v>371</v>
      </c>
      <c r="N95" t="s">
        <v>1635</v>
      </c>
      <c r="O95" t="s">
        <v>508</v>
      </c>
      <c r="P95" s="6">
        <v>-2.31</v>
      </c>
      <c r="Q95" t="s">
        <v>2145</v>
      </c>
      <c r="R95">
        <v>28408458</v>
      </c>
      <c r="S95">
        <v>-6.59E-2</v>
      </c>
      <c r="T95" t="s">
        <v>4147</v>
      </c>
      <c r="U95">
        <v>33000000</v>
      </c>
      <c r="V95">
        <v>132000000</v>
      </c>
      <c r="W95">
        <v>1.08</v>
      </c>
      <c r="X95">
        <v>0.05</v>
      </c>
      <c r="Y95">
        <v>22.95</v>
      </c>
      <c r="Z95" t="s">
        <v>4148</v>
      </c>
      <c r="AA95" t="s">
        <v>4149</v>
      </c>
      <c r="AB95" t="s">
        <v>4150</v>
      </c>
      <c r="AC95" t="s">
        <v>4151</v>
      </c>
      <c r="AD95" t="s">
        <v>5</v>
      </c>
      <c r="AE95">
        <v>-823861</v>
      </c>
      <c r="AF95" t="s">
        <v>4152</v>
      </c>
      <c r="AG95" t="s">
        <v>4153</v>
      </c>
      <c r="AH95" t="s">
        <v>4154</v>
      </c>
      <c r="AI95" t="s">
        <v>1959</v>
      </c>
      <c r="AJ95" t="s">
        <v>4155</v>
      </c>
      <c r="AK95" t="s">
        <v>4156</v>
      </c>
      <c r="AL95" t="s">
        <v>4157</v>
      </c>
      <c r="AM95" t="s">
        <v>5</v>
      </c>
      <c r="AN95" t="s">
        <v>4158</v>
      </c>
      <c r="AO95" t="s">
        <v>5</v>
      </c>
      <c r="AP95" t="s">
        <v>4159</v>
      </c>
      <c r="AQ95" t="s">
        <v>4160</v>
      </c>
      <c r="AR95" t="s">
        <v>5</v>
      </c>
      <c r="AS95" t="s">
        <v>308</v>
      </c>
      <c r="AT95" t="s">
        <v>5</v>
      </c>
      <c r="AU95" t="s">
        <v>4161</v>
      </c>
      <c r="AV95" t="s">
        <v>440</v>
      </c>
      <c r="AW95" t="s">
        <v>5</v>
      </c>
      <c r="AX95" t="s">
        <v>1889</v>
      </c>
      <c r="AY95" t="s">
        <v>588</v>
      </c>
      <c r="AZ95" t="s">
        <v>1833</v>
      </c>
      <c r="BA95" t="s">
        <v>1926</v>
      </c>
      <c r="BB95" t="s">
        <v>323</v>
      </c>
      <c r="BC95" t="s">
        <v>256</v>
      </c>
      <c r="BD95" t="s">
        <v>420</v>
      </c>
      <c r="BE95" t="s">
        <v>356</v>
      </c>
      <c r="BF95" t="s">
        <v>1993</v>
      </c>
      <c r="BG95" t="s">
        <v>1994</v>
      </c>
      <c r="BH95" t="s">
        <v>1558</v>
      </c>
      <c r="BI95" t="s">
        <v>573</v>
      </c>
      <c r="BJ95" t="s">
        <v>1889</v>
      </c>
      <c r="BK95" t="s">
        <v>114</v>
      </c>
      <c r="BL95" t="s">
        <v>4162</v>
      </c>
      <c r="BM95" t="s">
        <v>256</v>
      </c>
      <c r="BN95">
        <v>7.07</v>
      </c>
      <c r="BO95">
        <v>16.829999999999998</v>
      </c>
      <c r="BP95">
        <v>23.48</v>
      </c>
      <c r="BQ95">
        <v>9.6999999999999993</v>
      </c>
      <c r="BR95">
        <v>17.59</v>
      </c>
      <c r="BS95" t="s">
        <v>5</v>
      </c>
      <c r="BT95" t="s">
        <v>1730</v>
      </c>
      <c r="BU95" t="s">
        <v>1537</v>
      </c>
      <c r="BV95">
        <v>35.61</v>
      </c>
      <c r="BW95">
        <v>31.58</v>
      </c>
      <c r="BX95">
        <v>38.380000000000003</v>
      </c>
      <c r="BY95">
        <v>21.7</v>
      </c>
      <c r="BZ95">
        <v>21.04</v>
      </c>
      <c r="CA95">
        <v>24.89</v>
      </c>
      <c r="CB95">
        <v>-3.89</v>
      </c>
      <c r="CC95" s="10">
        <v>-8.14</v>
      </c>
      <c r="CD95" s="11" t="s">
        <v>4163</v>
      </c>
      <c r="CE95" s="10" t="s">
        <v>4164</v>
      </c>
      <c r="CF95" s="10">
        <v>-0.37688442211055279</v>
      </c>
      <c r="CG95" s="10">
        <v>0.65690461053920857</v>
      </c>
      <c r="CH95" s="10">
        <v>0.51130431890487671</v>
      </c>
      <c r="CI95" s="10">
        <v>-7.108239084482193E-2</v>
      </c>
      <c r="CJ95" s="11">
        <v>0.12545454502105713</v>
      </c>
      <c r="CK95" s="11">
        <v>0.25284737348556519</v>
      </c>
      <c r="CL95" s="11">
        <v>1.0904761552810669</v>
      </c>
      <c r="CM95" s="11">
        <v>-0.27574795484542847</v>
      </c>
      <c r="CN95" s="11">
        <v>-0.2142857164144516</v>
      </c>
      <c r="CO95">
        <v>7.6923079788684845E-2</v>
      </c>
      <c r="CP95">
        <v>0.74229609966278076</v>
      </c>
      <c r="CQ95">
        <v>0.33689945936203003</v>
      </c>
      <c r="CR95" s="10">
        <v>27.123847601288301</v>
      </c>
      <c r="CS95" s="11">
        <v>0.71042031364679947</v>
      </c>
      <c r="CT95">
        <v>2.2492127755285649</v>
      </c>
      <c r="CU95">
        <v>0.38180000036954881</v>
      </c>
      <c r="CV95">
        <v>0.13321699351072311</v>
      </c>
      <c r="CW95">
        <v>0.06</v>
      </c>
      <c r="CX95">
        <v>6.6733770745444687</v>
      </c>
      <c r="CY95">
        <v>114239011.44564642</v>
      </c>
      <c r="CZ95">
        <v>0.38180000036954881</v>
      </c>
      <c r="DA95">
        <v>1.7182282150203927</v>
      </c>
      <c r="DB95">
        <v>443689606.15103853</v>
      </c>
      <c r="DC95">
        <v>0.36271000035107137</v>
      </c>
      <c r="DD95">
        <v>0.59735200784042075</v>
      </c>
      <c r="DE95">
        <v>1276232422.4139216</v>
      </c>
      <c r="DF95">
        <v>0.33598400032520298</v>
      </c>
      <c r="DG95">
        <v>0.23278355879407078</v>
      </c>
      <c r="DH95">
        <v>3274973558.9119191</v>
      </c>
      <c r="DI95">
        <v>0.30544000029563906</v>
      </c>
      <c r="DJ95">
        <v>4.1145157287509608E-2</v>
      </c>
      <c r="DK95">
        <v>18528547470.91777</v>
      </c>
      <c r="DL95">
        <v>0.26726000025868413</v>
      </c>
      <c r="DM95">
        <v>87634500</v>
      </c>
      <c r="DN95">
        <v>0.38180000036954881</v>
      </c>
      <c r="DO95">
        <v>762360000</v>
      </c>
      <c r="DP95">
        <v>1946762700</v>
      </c>
      <c r="DQ95" s="12">
        <v>2797</v>
      </c>
      <c r="DR95">
        <v>-0.75868442248010159</v>
      </c>
      <c r="DS95">
        <v>0.52368761702848543</v>
      </c>
      <c r="DT95">
        <v>4.33333333333333E-2</v>
      </c>
      <c r="DU95">
        <v>1.666666666666668E-2</v>
      </c>
      <c r="DV95">
        <v>5.9999999999999984E-2</v>
      </c>
      <c r="DW95">
        <v>-8.4778869778869783</v>
      </c>
      <c r="DX95">
        <v>0.26358314986722192</v>
      </c>
      <c r="DY95">
        <v>-8.0351644291134523</v>
      </c>
      <c r="DZ95">
        <v>164</v>
      </c>
      <c r="EA95">
        <v>-8.0340358642651921</v>
      </c>
      <c r="EB95" s="13">
        <v>8</v>
      </c>
      <c r="EC95" s="13">
        <v>1.7192424242424242E-2</v>
      </c>
      <c r="ED95">
        <v>0.23364621212121212</v>
      </c>
      <c r="EE95">
        <v>6.0602099999999997</v>
      </c>
      <c r="EF95">
        <v>6.0844100000000001</v>
      </c>
      <c r="EG95">
        <v>19.073583149867222</v>
      </c>
      <c r="EH95" s="15" t="s">
        <v>2264</v>
      </c>
      <c r="EI95">
        <v>0</v>
      </c>
      <c r="EJ95">
        <v>1</v>
      </c>
      <c r="EK95">
        <v>45470</v>
      </c>
      <c r="EL95">
        <v>-1.1299999999999999</v>
      </c>
      <c r="EM95">
        <v>-3.89</v>
      </c>
      <c r="EN95" s="16">
        <v>-1.87</v>
      </c>
      <c r="EO95" s="16">
        <v>3.59</v>
      </c>
      <c r="EP95" s="16">
        <v>-2.42</v>
      </c>
    </row>
    <row r="96" spans="1:146" ht="108" x14ac:dyDescent="0.25">
      <c r="C96" s="8" t="str">
        <f>""&amp;CHAR(10)&amp;Basic_Fundamental_Information_Constructure(F96)&amp;CHAR(10)&amp;Basic_Fundamental_Information_Concatenate("")</f>
        <v xml:space="preserve">
市值24.79295亿, 利润2.05亿; PE32.94; 平均PE31.12; 平均PEG.65, PB2.19; ROIC16.3967%; ROE15.355%; 股利率1.586%; 毛利17.2067%; 净利9.63%; 上一年度营收增202.85%, 利润增193.08%; 当季营收增-59.5%, 利润增-64.57%; 过往5年营收增47.56%, 利润增64.16%
Income profile:
</v>
      </c>
      <c r="D96" t="s">
        <v>1995</v>
      </c>
      <c r="E96" t="s">
        <v>1996</v>
      </c>
      <c r="F96">
        <v>25.22</v>
      </c>
      <c r="G96">
        <v>1.61</v>
      </c>
      <c r="H96" t="s">
        <v>4165</v>
      </c>
      <c r="I96">
        <v>2479295000</v>
      </c>
      <c r="J96">
        <v>32.94</v>
      </c>
      <c r="K96">
        <v>2.19</v>
      </c>
      <c r="L96" t="s">
        <v>101</v>
      </c>
      <c r="M96" t="s">
        <v>536</v>
      </c>
      <c r="N96" t="s">
        <v>4166</v>
      </c>
      <c r="O96" t="s">
        <v>1907</v>
      </c>
      <c r="P96" s="6">
        <v>2.97</v>
      </c>
      <c r="Q96" t="s">
        <v>809</v>
      </c>
      <c r="R96">
        <v>16553657</v>
      </c>
      <c r="S96">
        <v>0.18990000000000001</v>
      </c>
      <c r="T96" t="s">
        <v>392</v>
      </c>
      <c r="U96">
        <v>22881785</v>
      </c>
      <c r="V96">
        <v>98306700</v>
      </c>
      <c r="W96">
        <v>1.1499999999999999</v>
      </c>
      <c r="X96">
        <v>0.14000000000000001</v>
      </c>
      <c r="Y96">
        <v>9.34</v>
      </c>
      <c r="Z96" t="s">
        <v>406</v>
      </c>
      <c r="AA96" t="s">
        <v>551</v>
      </c>
      <c r="AB96" t="s">
        <v>4167</v>
      </c>
      <c r="AC96" t="s">
        <v>4168</v>
      </c>
      <c r="AD96" t="s">
        <v>5</v>
      </c>
      <c r="AE96">
        <v>-5309401</v>
      </c>
      <c r="AF96" t="s">
        <v>4169</v>
      </c>
      <c r="AG96">
        <v>6150</v>
      </c>
      <c r="AH96" t="s">
        <v>4170</v>
      </c>
      <c r="AI96" t="s">
        <v>2125</v>
      </c>
      <c r="AJ96" t="s">
        <v>4171</v>
      </c>
      <c r="AK96" t="s">
        <v>5</v>
      </c>
      <c r="AL96" t="s">
        <v>4172</v>
      </c>
      <c r="AM96" t="s">
        <v>5</v>
      </c>
      <c r="AN96" t="s">
        <v>4173</v>
      </c>
      <c r="AO96" t="s">
        <v>5</v>
      </c>
      <c r="AP96" t="s">
        <v>5</v>
      </c>
      <c r="AQ96" t="s">
        <v>4174</v>
      </c>
      <c r="AR96" t="s">
        <v>5</v>
      </c>
      <c r="AS96" t="s">
        <v>553</v>
      </c>
      <c r="AT96" t="s">
        <v>5</v>
      </c>
      <c r="AU96" t="s">
        <v>4175</v>
      </c>
      <c r="AV96" t="s">
        <v>4176</v>
      </c>
      <c r="AW96" t="s">
        <v>5</v>
      </c>
      <c r="AX96" t="s">
        <v>1997</v>
      </c>
      <c r="AY96" t="s">
        <v>1999</v>
      </c>
      <c r="AZ96" t="s">
        <v>333</v>
      </c>
      <c r="BA96" t="s">
        <v>748</v>
      </c>
      <c r="BB96" t="s">
        <v>402</v>
      </c>
      <c r="BC96" t="s">
        <v>1998</v>
      </c>
      <c r="BD96" t="s">
        <v>2000</v>
      </c>
      <c r="BE96" t="s">
        <v>2001</v>
      </c>
      <c r="BF96" t="s">
        <v>2002</v>
      </c>
      <c r="BG96" t="s">
        <v>2003</v>
      </c>
      <c r="BH96" t="s">
        <v>1710</v>
      </c>
      <c r="BI96" t="s">
        <v>1596</v>
      </c>
      <c r="BJ96" t="s">
        <v>1997</v>
      </c>
      <c r="BK96" t="s">
        <v>4177</v>
      </c>
      <c r="BL96" t="s">
        <v>4178</v>
      </c>
      <c r="BM96" t="s">
        <v>1998</v>
      </c>
      <c r="BN96">
        <v>6.57</v>
      </c>
      <c r="BO96">
        <v>19.309999999999999</v>
      </c>
      <c r="BP96">
        <v>23.31</v>
      </c>
      <c r="BQ96">
        <v>11.15</v>
      </c>
      <c r="BR96">
        <v>19.559999999999999</v>
      </c>
      <c r="BS96" t="s">
        <v>5</v>
      </c>
      <c r="BT96" t="s">
        <v>1728</v>
      </c>
      <c r="BU96" t="s">
        <v>1605</v>
      </c>
      <c r="BV96">
        <v>18.350000000000001</v>
      </c>
      <c r="BW96">
        <v>17.82</v>
      </c>
      <c r="BX96">
        <v>15.45</v>
      </c>
      <c r="BY96">
        <v>9.2100000000000009</v>
      </c>
      <c r="BZ96">
        <v>10.49</v>
      </c>
      <c r="CA96">
        <v>9.19</v>
      </c>
      <c r="CB96">
        <v>-1.83</v>
      </c>
      <c r="CC96" s="10">
        <v>-14.51</v>
      </c>
      <c r="CD96" s="11" t="s">
        <v>4179</v>
      </c>
      <c r="CE96" s="10" t="s">
        <v>4180</v>
      </c>
      <c r="CF96" s="10">
        <v>-0.59496567505720821</v>
      </c>
      <c r="CG96" s="10">
        <v>-0.64568598660539422</v>
      </c>
      <c r="CH96" s="10">
        <v>2.0284857749938965</v>
      </c>
      <c r="CI96" s="10">
        <v>-0.1371280699968338</v>
      </c>
      <c r="CJ96" s="11">
        <v>0.20031055808067322</v>
      </c>
      <c r="CK96" s="11">
        <v>0.27021697163581848</v>
      </c>
      <c r="CL96" s="11">
        <v>1.6032064333558083E-2</v>
      </c>
      <c r="CM96" s="11">
        <v>1.9307738542556763</v>
      </c>
      <c r="CN96" s="11">
        <v>-1.5245662070810795E-2</v>
      </c>
      <c r="CO96">
        <v>0.15059204399585724</v>
      </c>
      <c r="CP96">
        <v>0.37611371278762817</v>
      </c>
      <c r="CQ96">
        <v>0.76599639654159546</v>
      </c>
      <c r="CR96" s="10">
        <v>31.122491996964698</v>
      </c>
      <c r="CS96" s="11">
        <v>0.65440652644724473</v>
      </c>
      <c r="CT96">
        <v>1.5860428231562254</v>
      </c>
      <c r="CU96">
        <v>0.47558345980942252</v>
      </c>
      <c r="CV96">
        <v>0.64164606910198929</v>
      </c>
      <c r="CW96">
        <v>0.06</v>
      </c>
      <c r="CX96">
        <v>5.3554432059402295</v>
      </c>
      <c r="CY96">
        <v>285372272.88767123</v>
      </c>
      <c r="CZ96">
        <v>0.47558345980942252</v>
      </c>
      <c r="DA96">
        <v>1.2820999209065738</v>
      </c>
      <c r="DB96">
        <v>1192024876.5941281</v>
      </c>
      <c r="DC96">
        <v>0.45180428681895135</v>
      </c>
      <c r="DD96">
        <v>0.39722797927783471</v>
      </c>
      <c r="DE96">
        <v>3847400182.5814457</v>
      </c>
      <c r="DF96">
        <v>0.41851344463229184</v>
      </c>
      <c r="DG96">
        <v>0.1327735995343878</v>
      </c>
      <c r="DH96">
        <v>11510533760.924196</v>
      </c>
      <c r="DI96">
        <v>0.38046676784753802</v>
      </c>
      <c r="DJ96">
        <v>1.5785166602868266E-2</v>
      </c>
      <c r="DK96">
        <v>96818426973.22554</v>
      </c>
      <c r="DL96">
        <v>0.33290842186659575</v>
      </c>
      <c r="DM96">
        <v>204999999.99999997</v>
      </c>
      <c r="DN96">
        <v>0.47558345980942252</v>
      </c>
      <c r="DO96">
        <v>1528295000</v>
      </c>
      <c r="DP96">
        <v>976003530</v>
      </c>
      <c r="DQ96" s="12">
        <v>2825</v>
      </c>
      <c r="DR96">
        <v>-1.0705491348666307</v>
      </c>
      <c r="DS96">
        <v>-1.2873320557073835</v>
      </c>
      <c r="DT96">
        <v>0.10999999999999995</v>
      </c>
      <c r="DU96">
        <v>0.31</v>
      </c>
      <c r="DV96">
        <v>0.41999999999999993</v>
      </c>
      <c r="DW96">
        <v>-2.1451000000000002</v>
      </c>
      <c r="DX96">
        <v>0.35512215654168922</v>
      </c>
      <c r="DY96">
        <v>-2.0297632249141988</v>
      </c>
      <c r="DZ96">
        <v>98</v>
      </c>
      <c r="EA96">
        <v>-2.0291924233405019</v>
      </c>
      <c r="EB96" s="13">
        <v>2</v>
      </c>
      <c r="EC96" s="13">
        <v>9.0221724460286021E-2</v>
      </c>
      <c r="ED96">
        <v>0.43984387635837641</v>
      </c>
      <c r="EE96">
        <v>8.1218000000000004</v>
      </c>
      <c r="EF96">
        <v>8.0914000000000001</v>
      </c>
      <c r="EG96">
        <v>15.205122156541689</v>
      </c>
      <c r="EH96" s="15" t="s">
        <v>2115</v>
      </c>
      <c r="EI96">
        <v>0</v>
      </c>
      <c r="EJ96">
        <v>1</v>
      </c>
      <c r="EK96">
        <v>45470</v>
      </c>
      <c r="EL96">
        <v>3</v>
      </c>
      <c r="EM96">
        <v>-4.3600000000000003</v>
      </c>
      <c r="EN96" s="16">
        <v>5.29</v>
      </c>
      <c r="EO96" s="16">
        <v>-1.02</v>
      </c>
      <c r="EP96" s="16">
        <v>-3.04</v>
      </c>
    </row>
    <row r="97" spans="1:146" ht="108" x14ac:dyDescent="0.25">
      <c r="A97" s="8"/>
      <c r="B97" s="8"/>
      <c r="C97" s="8" t="str">
        <f>""&amp;CHAR(10)&amp;Basic_Fundamental_Information_Constructure(F97)&amp;CHAR(10)&amp;Basic_Fundamental_Information_Concatenate("")</f>
        <v xml:space="preserve">
市值61.533882亿, 利润15.58亿; PE35.23; 平均PE6.94; 平均PEG.01, PB1.17; ROIC3.2533%; ROE3.3%; 股利率0%; 毛利20.7733%; 净利2.3033%; 上一年度营收增3688.91%, 利润增621.3%; 当季营收增-97.39%, 利润增-89.94%; 过往5年营收增1240.25%, 利润增621.3%
Income profile:
</v>
      </c>
      <c r="D97" t="s">
        <v>258</v>
      </c>
      <c r="E97" t="s">
        <v>6</v>
      </c>
      <c r="F97">
        <v>1.82</v>
      </c>
      <c r="G97">
        <v>0</v>
      </c>
      <c r="H97" t="s">
        <v>4181</v>
      </c>
      <c r="I97">
        <v>6153388200</v>
      </c>
      <c r="J97">
        <v>35.229999999999997</v>
      </c>
      <c r="K97">
        <v>1.17</v>
      </c>
      <c r="L97" t="s">
        <v>101</v>
      </c>
      <c r="M97" t="s">
        <v>4182</v>
      </c>
      <c r="N97" t="s">
        <v>4183</v>
      </c>
      <c r="O97" t="s">
        <v>1303</v>
      </c>
      <c r="P97">
        <v>-11.19</v>
      </c>
      <c r="Q97" t="s">
        <v>4184</v>
      </c>
      <c r="R97">
        <v>25765559</v>
      </c>
      <c r="S97" s="6">
        <v>-0.28610000000000002</v>
      </c>
      <c r="T97" t="s">
        <v>4185</v>
      </c>
      <c r="U97">
        <v>3333141500</v>
      </c>
      <c r="V97">
        <v>3380982500</v>
      </c>
      <c r="W97">
        <v>4.99</v>
      </c>
      <c r="X97" t="s">
        <v>5</v>
      </c>
      <c r="Y97">
        <v>2.06</v>
      </c>
      <c r="Z97" t="s">
        <v>5</v>
      </c>
      <c r="AA97" t="s">
        <v>5</v>
      </c>
      <c r="AB97" t="s">
        <v>5</v>
      </c>
      <c r="AC97" t="s">
        <v>5</v>
      </c>
      <c r="AD97" t="s">
        <v>5</v>
      </c>
      <c r="AE97">
        <v>110062737</v>
      </c>
      <c r="AF97" t="s">
        <v>4186</v>
      </c>
      <c r="AG97" t="s">
        <v>4187</v>
      </c>
      <c r="AH97" t="s">
        <v>4188</v>
      </c>
      <c r="AI97" t="s">
        <v>4189</v>
      </c>
      <c r="AJ97" t="s">
        <v>4190</v>
      </c>
      <c r="AK97" t="s">
        <v>5</v>
      </c>
      <c r="AL97" t="s">
        <v>4191</v>
      </c>
      <c r="AM97" t="s">
        <v>5</v>
      </c>
      <c r="AN97" t="s">
        <v>2479</v>
      </c>
      <c r="AO97" t="s">
        <v>5</v>
      </c>
      <c r="AP97" t="s">
        <v>4192</v>
      </c>
      <c r="AQ97" t="s">
        <v>4193</v>
      </c>
      <c r="AR97" t="s">
        <v>5</v>
      </c>
      <c r="AS97" t="s">
        <v>5</v>
      </c>
      <c r="AT97" t="s">
        <v>5</v>
      </c>
      <c r="AU97" t="s">
        <v>467</v>
      </c>
      <c r="AV97" t="s">
        <v>4194</v>
      </c>
      <c r="AW97" t="s">
        <v>4195</v>
      </c>
      <c r="AX97" t="s">
        <v>2004</v>
      </c>
      <c r="AY97" t="s">
        <v>5</v>
      </c>
      <c r="AZ97" t="s">
        <v>1057</v>
      </c>
      <c r="BA97" t="s">
        <v>259</v>
      </c>
      <c r="BB97" t="s">
        <v>820</v>
      </c>
      <c r="BC97" t="s">
        <v>128</v>
      </c>
      <c r="BD97" t="s">
        <v>5</v>
      </c>
      <c r="BE97" t="s">
        <v>5</v>
      </c>
      <c r="BF97" t="s">
        <v>5</v>
      </c>
      <c r="BG97" t="s">
        <v>5</v>
      </c>
      <c r="BH97" t="s">
        <v>4196</v>
      </c>
      <c r="BI97" t="s">
        <v>4197</v>
      </c>
      <c r="BJ97" t="s">
        <v>2004</v>
      </c>
      <c r="BK97" t="s">
        <v>647</v>
      </c>
      <c r="BL97" t="s">
        <v>269</v>
      </c>
      <c r="BM97" t="s">
        <v>128</v>
      </c>
      <c r="BN97">
        <v>2.27</v>
      </c>
      <c r="BO97">
        <v>3.57</v>
      </c>
      <c r="BP97">
        <v>3.92</v>
      </c>
      <c r="BQ97">
        <v>2.02</v>
      </c>
      <c r="BR97">
        <v>4.4000000000000004</v>
      </c>
      <c r="BS97">
        <v>3.48</v>
      </c>
      <c r="BT97" t="s">
        <v>1720</v>
      </c>
      <c r="BU97" t="s">
        <v>1536</v>
      </c>
      <c r="BV97">
        <v>20.81</v>
      </c>
      <c r="BW97">
        <v>20.92</v>
      </c>
      <c r="BX97">
        <v>20.59</v>
      </c>
      <c r="BY97">
        <v>1.96</v>
      </c>
      <c r="BZ97">
        <v>2.86</v>
      </c>
      <c r="CA97">
        <v>2.09</v>
      </c>
      <c r="CB97">
        <v>-0.55000000000000004</v>
      </c>
      <c r="CC97">
        <v>-11.65</v>
      </c>
      <c r="CD97" t="s">
        <v>4198</v>
      </c>
      <c r="CE97" t="s">
        <v>651</v>
      </c>
      <c r="CF97" s="10">
        <v>-0.9738992523223321</v>
      </c>
      <c r="CG97" s="11">
        <v>-0.89935328515625002</v>
      </c>
      <c r="CH97" s="10">
        <v>36.889057159423828</v>
      </c>
      <c r="CI97" s="10" t="s">
        <v>5</v>
      </c>
      <c r="CJ97" s="10" t="s">
        <v>5</v>
      </c>
      <c r="CK97" s="10">
        <v>0.22350101172924042</v>
      </c>
      <c r="CL97" s="10">
        <v>9.4897300004959106E-2</v>
      </c>
      <c r="CM97" s="11">
        <v>6.2129631042480469</v>
      </c>
      <c r="CN97" s="11" t="s">
        <v>5</v>
      </c>
      <c r="CO97" s="11" t="s">
        <v>5</v>
      </c>
      <c r="CP97" s="11" t="s">
        <v>5</v>
      </c>
      <c r="CQ97" s="11" t="s">
        <v>5</v>
      </c>
      <c r="CR97">
        <v>6.9373034949267192</v>
      </c>
      <c r="CS97">
        <v>5.5934785706893758E-3</v>
      </c>
      <c r="CT97">
        <v>0</v>
      </c>
      <c r="CU97" s="10">
        <v>12.402485157052675</v>
      </c>
      <c r="CV97" s="11">
        <v>6.2129631042480469</v>
      </c>
      <c r="CW97">
        <v>0.06</v>
      </c>
      <c r="CX97">
        <v>1.2766754337125346</v>
      </c>
      <c r="CY97">
        <v>19699124410.083084</v>
      </c>
      <c r="CZ97">
        <v>12.402485157052675</v>
      </c>
      <c r="DA97">
        <v>8.4468754728523818E-3</v>
      </c>
      <c r="DB97">
        <v>2977359886602.8306</v>
      </c>
      <c r="DC97">
        <v>11.782360899200041</v>
      </c>
      <c r="DD97">
        <v>7.2935976995494916E-6</v>
      </c>
      <c r="DE97">
        <v>3448145789773052.5</v>
      </c>
      <c r="DF97">
        <v>10.914186938206354</v>
      </c>
      <c r="DG97">
        <v>1.0805985957348991E-9</v>
      </c>
      <c r="DH97">
        <v>2.3273571055213404E+19</v>
      </c>
      <c r="DI97">
        <v>9.9219881256421409</v>
      </c>
      <c r="DJ97">
        <v>8.8034077616984653E-19</v>
      </c>
      <c r="DK97">
        <v>2.8567787475912468E+28</v>
      </c>
      <c r="DL97">
        <v>8.6817396099368729</v>
      </c>
      <c r="DM97">
        <v>1558000000</v>
      </c>
      <c r="DN97">
        <v>12.402485157052675</v>
      </c>
      <c r="DO97">
        <v>25149388200</v>
      </c>
      <c r="DP97">
        <v>22103254000</v>
      </c>
      <c r="DQ97">
        <v>2974</v>
      </c>
      <c r="DR97">
        <v>-13.376384409375007</v>
      </c>
      <c r="DS97">
        <v>-7.1123163894042971</v>
      </c>
      <c r="DT97" s="12">
        <v>-0.21000000000000008</v>
      </c>
      <c r="DU97">
        <v>-0.42000000000000015</v>
      </c>
      <c r="DV97">
        <v>-0.63000000000000023</v>
      </c>
      <c r="DW97">
        <v>-2.1164999999999998</v>
      </c>
      <c r="DX97">
        <v>0.38051201716738348</v>
      </c>
      <c r="DY97">
        <v>-2.0152046499999998</v>
      </c>
      <c r="DZ97">
        <v>630</v>
      </c>
      <c r="EA97">
        <v>-2.0133301041095888</v>
      </c>
      <c r="EB97">
        <v>2</v>
      </c>
      <c r="EC97">
        <v>1.7988439750871235E-2</v>
      </c>
      <c r="ED97">
        <v>0.13782975806588765</v>
      </c>
      <c r="EE97" s="13">
        <v>1.02121</v>
      </c>
      <c r="EF97">
        <v>1.0463100000000001</v>
      </c>
      <c r="EG97">
        <v>25.130512017167383</v>
      </c>
      <c r="EH97" t="s">
        <v>1815</v>
      </c>
      <c r="EI97">
        <v>0</v>
      </c>
      <c r="EJ97">
        <v>1</v>
      </c>
      <c r="EK97" s="15">
        <v>45470</v>
      </c>
      <c r="EL97" s="16">
        <v>0</v>
      </c>
      <c r="EM97" s="16">
        <v>-3.24</v>
      </c>
      <c r="EN97" s="16">
        <v>1.03</v>
      </c>
      <c r="EO97" s="16">
        <v>1.79</v>
      </c>
      <c r="EP97" s="16">
        <v>-2.5099999999999998</v>
      </c>
    </row>
    <row r="98" spans="1:146" ht="108" x14ac:dyDescent="0.25">
      <c r="A98" s="8"/>
      <c r="B98" s="8"/>
      <c r="C98" s="8" t="str">
        <f>""&amp;CHAR(10)&amp;Basic_Fundamental_Information_Constructure(F98)&amp;CHAR(10)&amp;Basic_Fundamental_Information_Concatenate("")</f>
        <v xml:space="preserve">
市值15.609954亿, 利润37.23亿; PE43.87; 平均PE.83; 平均PEG0, PB1.49; ROIC4.0733%; ROE4.0933%; 股利率3.5047%; 毛利15.7933%; 净利3.8467%; 上一年度营收增4327.01%, 利润增7421.44%; 当季营收增-98.19%, 利润增-99.05%; 过往5年营收增1437.38%, 利润增7421.44%
Income profile:
</v>
      </c>
      <c r="D98" t="s">
        <v>123</v>
      </c>
      <c r="E98" t="s">
        <v>24</v>
      </c>
      <c r="F98">
        <v>4.28</v>
      </c>
      <c r="G98">
        <v>1.42</v>
      </c>
      <c r="H98" t="s">
        <v>4199</v>
      </c>
      <c r="I98">
        <v>1560995400</v>
      </c>
      <c r="J98">
        <v>43.87</v>
      </c>
      <c r="K98">
        <v>1.49</v>
      </c>
      <c r="L98" t="s">
        <v>101</v>
      </c>
      <c r="M98" t="s">
        <v>538</v>
      </c>
      <c r="N98" t="s">
        <v>4200</v>
      </c>
      <c r="O98" t="s">
        <v>404</v>
      </c>
      <c r="P98">
        <v>-9.36</v>
      </c>
      <c r="Q98" t="s">
        <v>4201</v>
      </c>
      <c r="R98">
        <v>8630016</v>
      </c>
      <c r="S98" s="6">
        <v>2.9899999999999999E-2</v>
      </c>
      <c r="T98" t="s">
        <v>2214</v>
      </c>
      <c r="U98">
        <v>364718540</v>
      </c>
      <c r="V98">
        <v>364718540</v>
      </c>
      <c r="W98">
        <v>1.63</v>
      </c>
      <c r="X98" t="s">
        <v>5</v>
      </c>
      <c r="Y98">
        <v>4.67</v>
      </c>
      <c r="Z98" t="s">
        <v>5</v>
      </c>
      <c r="AA98" t="s">
        <v>5</v>
      </c>
      <c r="AB98" t="s">
        <v>5</v>
      </c>
      <c r="AC98" t="s">
        <v>5</v>
      </c>
      <c r="AD98" t="s">
        <v>5</v>
      </c>
      <c r="AE98">
        <v>3041500</v>
      </c>
      <c r="AF98" t="s">
        <v>127</v>
      </c>
      <c r="AG98" t="s">
        <v>4202</v>
      </c>
      <c r="AH98" t="s">
        <v>4203</v>
      </c>
      <c r="AI98" t="s">
        <v>423</v>
      </c>
      <c r="AJ98" t="s">
        <v>4204</v>
      </c>
      <c r="AK98" t="s">
        <v>5</v>
      </c>
      <c r="AL98" t="s">
        <v>4205</v>
      </c>
      <c r="AM98" t="s">
        <v>5</v>
      </c>
      <c r="AN98" t="s">
        <v>4206</v>
      </c>
      <c r="AO98" t="s">
        <v>5</v>
      </c>
      <c r="AP98" t="s">
        <v>4207</v>
      </c>
      <c r="AQ98" t="s">
        <v>591</v>
      </c>
      <c r="AR98" t="s">
        <v>4208</v>
      </c>
      <c r="AS98" t="s">
        <v>5</v>
      </c>
      <c r="AT98" t="s">
        <v>5</v>
      </c>
      <c r="AU98" t="s">
        <v>4209</v>
      </c>
      <c r="AV98" t="s">
        <v>4210</v>
      </c>
      <c r="AW98" t="s">
        <v>197</v>
      </c>
      <c r="AX98" t="s">
        <v>1308</v>
      </c>
      <c r="AY98" t="s">
        <v>5</v>
      </c>
      <c r="AZ98" t="s">
        <v>1059</v>
      </c>
      <c r="BA98" t="s">
        <v>124</v>
      </c>
      <c r="BB98" t="s">
        <v>1060</v>
      </c>
      <c r="BC98" t="s">
        <v>2005</v>
      </c>
      <c r="BD98" t="s">
        <v>5</v>
      </c>
      <c r="BE98" t="s">
        <v>5</v>
      </c>
      <c r="BF98" t="s">
        <v>5</v>
      </c>
      <c r="BG98" t="s">
        <v>5</v>
      </c>
      <c r="BH98" t="s">
        <v>1180</v>
      </c>
      <c r="BI98" t="s">
        <v>4211</v>
      </c>
      <c r="BJ98" t="s">
        <v>1308</v>
      </c>
      <c r="BK98" t="s">
        <v>4212</v>
      </c>
      <c r="BL98" t="s">
        <v>1836</v>
      </c>
      <c r="BM98" t="s">
        <v>2005</v>
      </c>
      <c r="BN98">
        <v>3.11</v>
      </c>
      <c r="BO98">
        <v>4.87</v>
      </c>
      <c r="BP98">
        <v>4.24</v>
      </c>
      <c r="BQ98">
        <v>2.79</v>
      </c>
      <c r="BR98">
        <v>4.82</v>
      </c>
      <c r="BS98">
        <v>4.67</v>
      </c>
      <c r="BT98" t="s">
        <v>1726</v>
      </c>
      <c r="BU98" t="s">
        <v>1589</v>
      </c>
      <c r="BV98">
        <v>16.309999999999999</v>
      </c>
      <c r="BW98">
        <v>16.34</v>
      </c>
      <c r="BX98">
        <v>14.73</v>
      </c>
      <c r="BY98">
        <v>3.26</v>
      </c>
      <c r="BZ98">
        <v>4.24</v>
      </c>
      <c r="CA98">
        <v>4.04</v>
      </c>
      <c r="CB98">
        <v>-0.7</v>
      </c>
      <c r="CC98">
        <v>-9.6999999999999993</v>
      </c>
      <c r="CD98" t="s">
        <v>4213</v>
      </c>
      <c r="CE98" t="s">
        <v>121</v>
      </c>
      <c r="CF98" s="10">
        <v>-0.98188013009137365</v>
      </c>
      <c r="CG98" s="11">
        <v>-0.99047459602649002</v>
      </c>
      <c r="CH98" s="10">
        <v>43.270145416259766</v>
      </c>
      <c r="CI98" s="10" t="s">
        <v>5</v>
      </c>
      <c r="CJ98" s="10" t="s">
        <v>5</v>
      </c>
      <c r="CK98" s="10">
        <v>-0.18306452035903931</v>
      </c>
      <c r="CL98" s="10">
        <v>3.4195106476545334E-2</v>
      </c>
      <c r="CM98" s="11">
        <v>74.214401245117187</v>
      </c>
      <c r="CN98" s="11" t="s">
        <v>5</v>
      </c>
      <c r="CO98" s="11" t="s">
        <v>5</v>
      </c>
      <c r="CP98" s="11" t="s">
        <v>5</v>
      </c>
      <c r="CQ98" s="11" t="s">
        <v>5</v>
      </c>
      <c r="CR98">
        <v>0.82756581612954927</v>
      </c>
      <c r="CS98">
        <v>5.7574767691284852E-4</v>
      </c>
      <c r="CT98">
        <v>3.5046728971962615</v>
      </c>
      <c r="CU98" s="10">
        <v>14.373758667459091</v>
      </c>
      <c r="CV98" s="11">
        <v>74.214401245117187</v>
      </c>
      <c r="CW98">
        <v>0.06</v>
      </c>
      <c r="CX98">
        <v>2.0445608170536689E-2</v>
      </c>
      <c r="CY98">
        <v>53996701432.971878</v>
      </c>
      <c r="CZ98">
        <v>14.373758667459091</v>
      </c>
      <c r="DA98">
        <v>1.0413242646560941E-4</v>
      </c>
      <c r="DB98">
        <v>10601840727917.77</v>
      </c>
      <c r="DC98">
        <v>13.655070734086136</v>
      </c>
      <c r="DD98">
        <v>6.0008434819692275E-8</v>
      </c>
      <c r="DE98">
        <v>1.8397337029655612E+16</v>
      </c>
      <c r="DF98">
        <v>12.648907627364</v>
      </c>
      <c r="DG98">
        <v>5.2226461807278113E-12</v>
      </c>
      <c r="DH98">
        <v>2.1138621338620926E+20</v>
      </c>
      <c r="DI98">
        <v>11.499006933967273</v>
      </c>
      <c r="DJ98">
        <v>1.1430357199127678E-21</v>
      </c>
      <c r="DK98">
        <v>9.6584505695434687E+29</v>
      </c>
      <c r="DL98">
        <v>10.061631067221363</v>
      </c>
      <c r="DM98">
        <v>3722999999.9999995</v>
      </c>
      <c r="DN98">
        <v>14.373758667459091</v>
      </c>
      <c r="DO98">
        <v>1103995400</v>
      </c>
      <c r="DP98">
        <v>1411797400</v>
      </c>
      <c r="DQ98">
        <v>3028</v>
      </c>
      <c r="DR98">
        <v>-15.355638797550466</v>
      </c>
      <c r="DS98">
        <v>-75.204875841143675</v>
      </c>
      <c r="DT98" s="12">
        <v>-0.21000000000000008</v>
      </c>
      <c r="DU98">
        <v>-0.42000000000000015</v>
      </c>
      <c r="DV98">
        <v>-0.63000000000000023</v>
      </c>
      <c r="DW98">
        <v>-2.097</v>
      </c>
      <c r="DX98">
        <v>0.32424166666666593</v>
      </c>
      <c r="DY98">
        <v>-2.0139914416666667</v>
      </c>
      <c r="DZ98">
        <v>4485</v>
      </c>
      <c r="EA98">
        <v>-2.0017112820042402</v>
      </c>
      <c r="EB98">
        <v>2</v>
      </c>
      <c r="EC98">
        <v>4.2712662756327111E-2</v>
      </c>
      <c r="ED98">
        <v>0.2961187550268215</v>
      </c>
      <c r="EE98" s="13">
        <v>2.0167999999999999</v>
      </c>
      <c r="EF98">
        <v>2.0316000000000001</v>
      </c>
      <c r="EG98">
        <v>18.144241666666666</v>
      </c>
      <c r="EH98" t="s">
        <v>1871</v>
      </c>
      <c r="EI98">
        <v>0</v>
      </c>
      <c r="EJ98">
        <v>0</v>
      </c>
      <c r="EK98" s="15">
        <v>45470</v>
      </c>
      <c r="EL98" s="16">
        <v>1.56</v>
      </c>
      <c r="EM98" s="16">
        <v>-5.38</v>
      </c>
      <c r="EN98" s="16">
        <v>0</v>
      </c>
      <c r="EO98" s="16">
        <v>9.76</v>
      </c>
      <c r="EP98" s="16">
        <v>1.48</v>
      </c>
    </row>
    <row r="99" spans="1:146" ht="96" x14ac:dyDescent="0.25">
      <c r="A99" s="8"/>
      <c r="B99" s="8"/>
      <c r="C99" s="8" t="str">
        <f>""&amp;CHAR(10)&amp;Basic_Fundamental_Information_Constructure(F99)&amp;CHAR(10)&amp;Basic_Fundamental_Information_Concatenate("")</f>
        <v xml:space="preserve">
市值27.098亿, 利润632.26万; PE15.67; 平均PE43.25; 平均PEG2.27, PB1.76; ROIC6.91%; ROE7.7667%; 股利率1.5747%; 毛利18.3833%; 净利6.45%; 上一年度营收增-73.6%, 利润增-94.69%; 当季营收增1143.02%, 利润增17942.26%; 过往5年营收增-19.05%, 利润增-94.69%
Income profile:
</v>
      </c>
      <c r="D99" t="s">
        <v>383</v>
      </c>
      <c r="E99" t="s">
        <v>45</v>
      </c>
      <c r="F99">
        <v>15.94</v>
      </c>
      <c r="G99">
        <v>0.56999999999999995</v>
      </c>
      <c r="H99" t="s">
        <v>4214</v>
      </c>
      <c r="I99">
        <v>2709800000</v>
      </c>
      <c r="J99">
        <v>15.67</v>
      </c>
      <c r="K99">
        <v>1.76</v>
      </c>
      <c r="L99" t="s">
        <v>101</v>
      </c>
      <c r="M99" t="s">
        <v>4215</v>
      </c>
      <c r="N99" t="s">
        <v>2916</v>
      </c>
      <c r="O99" t="s">
        <v>1645</v>
      </c>
      <c r="P99">
        <v>115.25</v>
      </c>
      <c r="Q99" t="s">
        <v>1546</v>
      </c>
      <c r="R99">
        <v>51938833</v>
      </c>
      <c r="S99" s="6">
        <v>1.512</v>
      </c>
      <c r="T99" t="s">
        <v>4216</v>
      </c>
      <c r="U99">
        <v>170000000</v>
      </c>
      <c r="V99">
        <v>170000000</v>
      </c>
      <c r="W99">
        <v>2.25</v>
      </c>
      <c r="X99" t="s">
        <v>5</v>
      </c>
      <c r="Y99">
        <v>7.4</v>
      </c>
      <c r="Z99" t="s">
        <v>5</v>
      </c>
      <c r="AA99" t="s">
        <v>5</v>
      </c>
      <c r="AB99" t="s">
        <v>5</v>
      </c>
      <c r="AC99" t="s">
        <v>5</v>
      </c>
      <c r="AD99" t="s">
        <v>5</v>
      </c>
      <c r="AE99">
        <v>4537297</v>
      </c>
      <c r="AF99" t="s">
        <v>4217</v>
      </c>
      <c r="AG99">
        <v>5000.01</v>
      </c>
      <c r="AH99" t="s">
        <v>4218</v>
      </c>
      <c r="AI99" t="s">
        <v>3279</v>
      </c>
      <c r="AJ99" t="s">
        <v>4219</v>
      </c>
      <c r="AK99" t="s">
        <v>5</v>
      </c>
      <c r="AL99" t="s">
        <v>4220</v>
      </c>
      <c r="AM99" t="s">
        <v>5</v>
      </c>
      <c r="AN99" t="s">
        <v>4221</v>
      </c>
      <c r="AO99" t="s">
        <v>5</v>
      </c>
      <c r="AP99" t="s">
        <v>318</v>
      </c>
      <c r="AQ99" t="s">
        <v>4222</v>
      </c>
      <c r="AR99" t="s">
        <v>5</v>
      </c>
      <c r="AS99" t="s">
        <v>5</v>
      </c>
      <c r="AT99" t="s">
        <v>5</v>
      </c>
      <c r="AU99" t="s">
        <v>4223</v>
      </c>
      <c r="AV99" t="s">
        <v>4224</v>
      </c>
      <c r="AW99" t="s">
        <v>4225</v>
      </c>
      <c r="AX99" t="s">
        <v>1594</v>
      </c>
      <c r="AY99" t="s">
        <v>5</v>
      </c>
      <c r="AZ99" t="s">
        <v>1061</v>
      </c>
      <c r="BA99" t="s">
        <v>384</v>
      </c>
      <c r="BB99" t="s">
        <v>1062</v>
      </c>
      <c r="BC99" t="s">
        <v>630</v>
      </c>
      <c r="BD99" t="s">
        <v>5</v>
      </c>
      <c r="BE99" t="s">
        <v>5</v>
      </c>
      <c r="BF99" t="s">
        <v>5</v>
      </c>
      <c r="BG99" t="s">
        <v>5</v>
      </c>
      <c r="BH99" t="s">
        <v>2505</v>
      </c>
      <c r="BI99" t="s">
        <v>4226</v>
      </c>
      <c r="BJ99" t="s">
        <v>1594</v>
      </c>
      <c r="BK99" t="s">
        <v>220</v>
      </c>
      <c r="BL99" t="s">
        <v>4227</v>
      </c>
      <c r="BM99" t="s">
        <v>630</v>
      </c>
      <c r="BN99">
        <v>5.84</v>
      </c>
      <c r="BO99">
        <v>8.83</v>
      </c>
      <c r="BP99">
        <v>6.06</v>
      </c>
      <c r="BQ99">
        <v>7.02</v>
      </c>
      <c r="BR99">
        <v>8.8699999999999992</v>
      </c>
      <c r="BS99">
        <v>7.41</v>
      </c>
      <c r="BT99" t="s">
        <v>4228</v>
      </c>
      <c r="BU99" t="s">
        <v>1536</v>
      </c>
      <c r="BV99">
        <v>22.98</v>
      </c>
      <c r="BW99">
        <v>18.2</v>
      </c>
      <c r="BX99">
        <v>13.97</v>
      </c>
      <c r="BY99">
        <v>6.98</v>
      </c>
      <c r="BZ99">
        <v>6.61</v>
      </c>
      <c r="CA99">
        <v>5.76</v>
      </c>
      <c r="CB99">
        <v>-2.98</v>
      </c>
      <c r="CC99">
        <v>-16.98</v>
      </c>
      <c r="CD99" t="s">
        <v>4229</v>
      </c>
      <c r="CE99" t="s">
        <v>4230</v>
      </c>
      <c r="CF99" s="10">
        <v>11.430192758061608</v>
      </c>
      <c r="CG99" s="11">
        <v>179.42264857437306</v>
      </c>
      <c r="CH99" s="10">
        <v>-0.73601788282394409</v>
      </c>
      <c r="CI99" s="10" t="s">
        <v>5</v>
      </c>
      <c r="CJ99" s="10" t="s">
        <v>5</v>
      </c>
      <c r="CK99" s="10">
        <v>-2.1156558766961098E-2</v>
      </c>
      <c r="CL99" s="10">
        <v>0.18561872839927673</v>
      </c>
      <c r="CM99" s="11">
        <v>-0.946868896484375</v>
      </c>
      <c r="CN99" s="11" t="s">
        <v>5</v>
      </c>
      <c r="CO99" s="11" t="s">
        <v>5</v>
      </c>
      <c r="CP99" s="11" t="s">
        <v>5</v>
      </c>
      <c r="CQ99" s="11" t="s">
        <v>5</v>
      </c>
      <c r="CR99">
        <v>43.245192806405228</v>
      </c>
      <c r="CS99">
        <v>2.2698675811454718</v>
      </c>
      <c r="CT99">
        <v>1.5746549560853198</v>
      </c>
      <c r="CU99" s="10">
        <v>-0.19051857106387615</v>
      </c>
      <c r="CV99" s="11">
        <v>-0.946868896484375</v>
      </c>
      <c r="CW99">
        <v>0.06</v>
      </c>
      <c r="CX99">
        <v>427.48236484990355</v>
      </c>
      <c r="CY99" t="s">
        <v>4231</v>
      </c>
      <c r="CZ99">
        <v>-0.19051857106387615</v>
      </c>
      <c r="DA99">
        <v>142.49412161663452</v>
      </c>
      <c r="DB99" t="s">
        <v>4232</v>
      </c>
      <c r="DC99">
        <v>-0.18099264251068234</v>
      </c>
      <c r="DD99">
        <v>71.247060808317258</v>
      </c>
      <c r="DE99" t="s">
        <v>4233</v>
      </c>
      <c r="DF99">
        <v>-0.16765634253621101</v>
      </c>
      <c r="DG99">
        <v>42.74823648499035</v>
      </c>
      <c r="DH99" t="s">
        <v>4234</v>
      </c>
      <c r="DI99">
        <v>-0.15241485685110093</v>
      </c>
      <c r="DJ99">
        <v>21.374118242495175</v>
      </c>
      <c r="DK99" t="s">
        <v>4235</v>
      </c>
      <c r="DL99">
        <v>-0.1333629997447133</v>
      </c>
      <c r="DM99">
        <v>6322600</v>
      </c>
      <c r="DN99">
        <v>-0.19051857106387615</v>
      </c>
      <c r="DO99">
        <v>2702800000</v>
      </c>
      <c r="DP99">
        <v>3187224800</v>
      </c>
      <c r="DQ99">
        <v>3050</v>
      </c>
      <c r="DR99">
        <v>11.620711329125484</v>
      </c>
      <c r="DS99">
        <v>180.36951747085743</v>
      </c>
      <c r="DT99" s="12">
        <v>-1.1599999999999999</v>
      </c>
      <c r="DU99">
        <v>-2.3199999999999998</v>
      </c>
      <c r="DV99">
        <v>-3.4799999999999995</v>
      </c>
      <c r="DW99">
        <v>-8.1755005889281502</v>
      </c>
      <c r="DX99">
        <v>0.29414785326529752</v>
      </c>
      <c r="DY99">
        <v>-8.0200330154729436</v>
      </c>
      <c r="DZ99">
        <v>3071</v>
      </c>
      <c r="EA99">
        <v>-8.0079936044127855</v>
      </c>
      <c r="EB99">
        <v>8</v>
      </c>
      <c r="EC99">
        <v>4.9194705882352939E-2</v>
      </c>
      <c r="ED99">
        <v>0.4309735294117647</v>
      </c>
      <c r="EE99" s="13">
        <v>-3.0184000000000002</v>
      </c>
      <c r="EF99">
        <v>-3.01091</v>
      </c>
      <c r="EG99">
        <v>18.114147853265298</v>
      </c>
      <c r="EH99" t="s">
        <v>2118</v>
      </c>
      <c r="EI99">
        <v>0</v>
      </c>
      <c r="EJ99">
        <v>0</v>
      </c>
      <c r="EK99" s="15">
        <v>45470</v>
      </c>
      <c r="EL99" s="16">
        <v>0</v>
      </c>
      <c r="EM99" s="16">
        <v>-3.68</v>
      </c>
      <c r="EN99" s="16">
        <v>1.1499999999999999</v>
      </c>
      <c r="EO99" s="16">
        <v>3.02</v>
      </c>
      <c r="EP99" s="16">
        <v>-2.93</v>
      </c>
    </row>
    <row r="100" spans="1:146" ht="96" x14ac:dyDescent="0.25">
      <c r="A100" s="8"/>
      <c r="B100" s="8"/>
      <c r="C100" s="8" t="str">
        <f>""&amp;CHAR(10)&amp;Basic_Fundamental_Information_Constructure(F100)&amp;CHAR(10)&amp;Basic_Fundamental_Information_Concatenate("")</f>
        <v xml:space="preserve">
市值11.8335353亿, 利润-4.70亿; PE; 平均PE-10.53; 平均PEG-.44, PB1.51; ROIC0%; ROE-8.8267%; 股利率0%; 毛利14.3767%; 净利-19.9467%; 上一年度营收增29.78%, 利润增-312.28%; 当季营收增-60.2%, 利润增76.2%; 过往5年营收增23.94%, 利润增-199.19%
Income profile:
</v>
      </c>
      <c r="D100" t="s">
        <v>132</v>
      </c>
      <c r="E100" t="s">
        <v>84</v>
      </c>
      <c r="F100">
        <v>3.42</v>
      </c>
      <c r="G100">
        <v>1.79</v>
      </c>
      <c r="H100" t="s">
        <v>4236</v>
      </c>
      <c r="I100">
        <v>1183353530</v>
      </c>
      <c r="K100">
        <v>1.51</v>
      </c>
      <c r="L100" t="s">
        <v>101</v>
      </c>
      <c r="M100" t="s">
        <v>697</v>
      </c>
      <c r="N100" t="s">
        <v>4237</v>
      </c>
      <c r="O100" t="s">
        <v>630</v>
      </c>
      <c r="P100">
        <v>-21.83</v>
      </c>
      <c r="Q100" t="s">
        <v>1094</v>
      </c>
      <c r="R100">
        <v>-17062168</v>
      </c>
      <c r="S100" s="6">
        <v>-2.415</v>
      </c>
      <c r="T100" t="s">
        <v>4238</v>
      </c>
      <c r="U100">
        <v>346009800</v>
      </c>
      <c r="V100">
        <v>346009800</v>
      </c>
      <c r="W100">
        <v>1.55</v>
      </c>
      <c r="X100">
        <v>0.09</v>
      </c>
      <c r="Y100">
        <v>-15.65</v>
      </c>
      <c r="Z100" t="s">
        <v>244</v>
      </c>
      <c r="AA100" t="s">
        <v>4239</v>
      </c>
      <c r="AB100" t="s">
        <v>4240</v>
      </c>
      <c r="AC100" t="s">
        <v>4241</v>
      </c>
      <c r="AD100" t="s">
        <v>5</v>
      </c>
      <c r="AE100">
        <v>3310232</v>
      </c>
      <c r="AF100" t="s">
        <v>4242</v>
      </c>
      <c r="AG100">
        <v>5345.3</v>
      </c>
      <c r="AH100" t="s">
        <v>4243</v>
      </c>
      <c r="AI100" t="s">
        <v>165</v>
      </c>
      <c r="AJ100" t="s">
        <v>4244</v>
      </c>
      <c r="AK100" t="s">
        <v>5</v>
      </c>
      <c r="AL100" t="s">
        <v>4245</v>
      </c>
      <c r="AM100" t="s">
        <v>5</v>
      </c>
      <c r="AN100">
        <v>0</v>
      </c>
      <c r="AO100" t="s">
        <v>4246</v>
      </c>
      <c r="AP100" t="s">
        <v>4247</v>
      </c>
      <c r="AQ100" t="s">
        <v>345</v>
      </c>
      <c r="AR100" t="s">
        <v>4248</v>
      </c>
      <c r="AS100" t="s">
        <v>908</v>
      </c>
      <c r="AT100" t="s">
        <v>4249</v>
      </c>
      <c r="AU100" t="s">
        <v>4250</v>
      </c>
      <c r="AV100" t="s">
        <v>4251</v>
      </c>
      <c r="AW100" t="s">
        <v>4252</v>
      </c>
      <c r="AX100" t="s">
        <v>505</v>
      </c>
      <c r="AY100" t="s">
        <v>1897</v>
      </c>
      <c r="AZ100" t="s">
        <v>1664</v>
      </c>
      <c r="BA100" t="s">
        <v>134</v>
      </c>
      <c r="BB100" t="s">
        <v>817</v>
      </c>
      <c r="BC100" t="s">
        <v>1080</v>
      </c>
      <c r="BD100" t="s">
        <v>1464</v>
      </c>
      <c r="BE100" t="s">
        <v>326</v>
      </c>
      <c r="BF100" t="s">
        <v>135</v>
      </c>
      <c r="BG100" t="s">
        <v>1064</v>
      </c>
      <c r="BH100" t="s">
        <v>748</v>
      </c>
      <c r="BI100" t="s">
        <v>423</v>
      </c>
      <c r="BJ100" t="s">
        <v>505</v>
      </c>
      <c r="BK100" t="s">
        <v>301</v>
      </c>
      <c r="BL100" t="s">
        <v>4253</v>
      </c>
      <c r="BM100" t="s">
        <v>1080</v>
      </c>
      <c r="BN100" t="s">
        <v>5</v>
      </c>
      <c r="BO100" t="s">
        <v>5</v>
      </c>
      <c r="BP100" t="s">
        <v>5</v>
      </c>
      <c r="BQ100">
        <v>-7.47</v>
      </c>
      <c r="BR100">
        <v>-10.83</v>
      </c>
      <c r="BS100">
        <v>-8.18</v>
      </c>
      <c r="BT100" t="s">
        <v>1720</v>
      </c>
      <c r="BU100" t="s">
        <v>1589</v>
      </c>
      <c r="BV100">
        <v>19.309999999999999</v>
      </c>
      <c r="BW100">
        <v>11.12</v>
      </c>
      <c r="BX100">
        <v>12.7</v>
      </c>
      <c r="BY100">
        <v>-41.89</v>
      </c>
      <c r="BZ100">
        <v>-12.17</v>
      </c>
      <c r="CA100">
        <v>-5.78</v>
      </c>
      <c r="CB100">
        <v>-0.57999999999999996</v>
      </c>
      <c r="CC100">
        <v>-19.149999999999999</v>
      </c>
      <c r="CD100" t="s">
        <v>4254</v>
      </c>
      <c r="CE100" t="s">
        <v>371</v>
      </c>
      <c r="CF100" s="10">
        <v>-0.60200668896321075</v>
      </c>
      <c r="CG100" s="11">
        <v>0.76203856549523441</v>
      </c>
      <c r="CH100" s="10">
        <v>0.2978115975856781</v>
      </c>
      <c r="CI100" s="10">
        <v>-0.36109420657157898</v>
      </c>
      <c r="CJ100" s="10">
        <v>0.47006240487098694</v>
      </c>
      <c r="CK100" s="10">
        <v>1.0645757913589478</v>
      </c>
      <c r="CL100" s="10">
        <v>-0.27443104982376099</v>
      </c>
      <c r="CM100" s="11">
        <v>-3.1228070259094238</v>
      </c>
      <c r="CN100" s="11">
        <v>-0.20406715571880341</v>
      </c>
      <c r="CO100" s="11">
        <v>-1.671483039855957</v>
      </c>
      <c r="CP100" s="11">
        <v>1.8545454740524292</v>
      </c>
      <c r="CQ100" s="11">
        <v>-6.8156542778015137</v>
      </c>
      <c r="CR100">
        <v>-10.52950209355555</v>
      </c>
      <c r="CS100">
        <v>-0.43985655587986139</v>
      </c>
      <c r="CT100">
        <v>0</v>
      </c>
      <c r="CU100" s="10">
        <v>0.23938490748405455</v>
      </c>
      <c r="CV100" s="11">
        <v>-1.9918932050466538</v>
      </c>
      <c r="CW100">
        <v>0.06</v>
      </c>
      <c r="CX100" t="e">
        <v>#VALUE!</v>
      </c>
      <c r="CY100" t="s">
        <v>1552</v>
      </c>
      <c r="CZ100">
        <v>0.23938490748405455</v>
      </c>
      <c r="DA100" t="e">
        <v>#VALUE!</v>
      </c>
      <c r="DB100" t="s">
        <v>1549</v>
      </c>
      <c r="DC100">
        <v>0.22741566210985181</v>
      </c>
      <c r="DD100" t="e">
        <v>#VALUE!</v>
      </c>
      <c r="DE100" t="s">
        <v>1549</v>
      </c>
      <c r="DF100">
        <v>0.21065871858596802</v>
      </c>
      <c r="DG100" t="e">
        <v>#VALUE!</v>
      </c>
      <c r="DH100" t="s">
        <v>1549</v>
      </c>
      <c r="DI100">
        <v>0.19150792598724364</v>
      </c>
      <c r="DJ100" t="e">
        <v>#VALUE!</v>
      </c>
      <c r="DK100" t="s">
        <v>1549</v>
      </c>
      <c r="DL100">
        <v>0.16756943523883819</v>
      </c>
      <c r="DM100">
        <v>-470000000</v>
      </c>
      <c r="DN100">
        <v>0.23938490748405455</v>
      </c>
      <c r="DO100">
        <v>811353530</v>
      </c>
      <c r="DP100">
        <v>663069120</v>
      </c>
      <c r="DQ100">
        <v>3080</v>
      </c>
      <c r="DR100">
        <v>-0.84139159644726536</v>
      </c>
      <c r="DS100">
        <v>2.7539317705418882</v>
      </c>
      <c r="DT100" s="12">
        <v>-0.15666666666666665</v>
      </c>
      <c r="DU100">
        <v>-2.6050000000000004</v>
      </c>
      <c r="DV100">
        <v>-2.7616666666666672</v>
      </c>
      <c r="DW100">
        <v>-3.035625</v>
      </c>
      <c r="DX100">
        <v>0.27779122807017675</v>
      </c>
      <c r="DY100">
        <v>-3.0038400625000001</v>
      </c>
      <c r="DZ100">
        <v>36</v>
      </c>
      <c r="EA100">
        <v>-3.0038130092221138</v>
      </c>
      <c r="EB100">
        <v>3</v>
      </c>
      <c r="EC100">
        <v>5.327103451983152E-2</v>
      </c>
      <c r="ED100">
        <v>0.49420565544675327</v>
      </c>
      <c r="EE100" s="13">
        <v>5.0438000000000001</v>
      </c>
      <c r="EF100">
        <v>5.0298999999999996</v>
      </c>
      <c r="EG100">
        <v>17.107791228070177</v>
      </c>
      <c r="EH100" t="s">
        <v>2263</v>
      </c>
      <c r="EI100">
        <v>0</v>
      </c>
      <c r="EJ100">
        <v>1</v>
      </c>
      <c r="EK100" s="15">
        <v>45470</v>
      </c>
      <c r="EL100" s="16">
        <v>-2.08</v>
      </c>
      <c r="EM100" s="16">
        <v>-2.2400000000000002</v>
      </c>
      <c r="EN100" s="16">
        <v>5.0999999999999996</v>
      </c>
      <c r="EO100" s="16">
        <v>1.91</v>
      </c>
      <c r="EP100" s="16">
        <v>-1.39</v>
      </c>
    </row>
    <row r="101" spans="1:146" ht="96" x14ac:dyDescent="0.25">
      <c r="A101" s="8"/>
      <c r="B101" s="8"/>
      <c r="C101" s="8" t="str">
        <f>""&amp;CHAR(10)&amp;Basic_Fundamental_Information_Constructure(F101)&amp;CHAR(10)&amp;Basic_Fundamental_Information_Concatenate("")</f>
        <v xml:space="preserve">
市值179.65085亿, 利润3776.91万; PE32.06; 平均PE48.34; 平均PEG4.47, PB1.16; ROIC1.9667%; ROE2.4533%; 股利率1.4663%; 毛利12.1567%; 净利1.99%; 上一年度营收增-89.89%, 利润增-89.85%; 当季营收增391.85%, 利润增220.47%; 过往5年营收增-10.83%, 利润增-20.57%
Income profile:
</v>
      </c>
      <c r="D101" t="s">
        <v>262</v>
      </c>
      <c r="E101" t="s">
        <v>27</v>
      </c>
      <c r="F101">
        <v>3.41</v>
      </c>
      <c r="G101">
        <v>0.59</v>
      </c>
      <c r="H101" t="s">
        <v>4255</v>
      </c>
      <c r="I101">
        <v>17965085000</v>
      </c>
      <c r="J101">
        <v>32.06</v>
      </c>
      <c r="K101">
        <v>1.1599999999999999</v>
      </c>
      <c r="L101" t="s">
        <v>101</v>
      </c>
      <c r="M101" t="s">
        <v>4256</v>
      </c>
      <c r="N101" t="s">
        <v>4257</v>
      </c>
      <c r="O101" t="s">
        <v>4258</v>
      </c>
      <c r="P101">
        <v>40.29</v>
      </c>
      <c r="Q101" t="s">
        <v>4259</v>
      </c>
      <c r="R101">
        <v>169855820</v>
      </c>
      <c r="S101" s="6">
        <v>0.31130000000000002</v>
      </c>
      <c r="T101" t="s">
        <v>4260</v>
      </c>
      <c r="U101">
        <v>3321997700</v>
      </c>
      <c r="V101">
        <v>5268353500</v>
      </c>
      <c r="W101">
        <v>4.4400000000000004</v>
      </c>
      <c r="X101">
        <v>0.1</v>
      </c>
      <c r="Y101">
        <v>2.4300000000000002</v>
      </c>
      <c r="Z101" t="s">
        <v>4261</v>
      </c>
      <c r="AA101" t="s">
        <v>4262</v>
      </c>
      <c r="AB101" t="s">
        <v>4263</v>
      </c>
      <c r="AC101" t="s">
        <v>916</v>
      </c>
      <c r="AD101" t="s">
        <v>5</v>
      </c>
      <c r="AE101">
        <v>185303740</v>
      </c>
      <c r="AF101" t="s">
        <v>4264</v>
      </c>
      <c r="AG101" t="s">
        <v>4265</v>
      </c>
      <c r="AH101" t="s">
        <v>4266</v>
      </c>
      <c r="AI101" t="s">
        <v>4267</v>
      </c>
      <c r="AJ101" t="s">
        <v>4268</v>
      </c>
      <c r="AK101" t="s">
        <v>4269</v>
      </c>
      <c r="AL101" t="s">
        <v>4270</v>
      </c>
      <c r="AM101" t="s">
        <v>5</v>
      </c>
      <c r="AN101" t="s">
        <v>4271</v>
      </c>
      <c r="AO101" t="s">
        <v>4272</v>
      </c>
      <c r="AP101" t="s">
        <v>4273</v>
      </c>
      <c r="AQ101" t="s">
        <v>4274</v>
      </c>
      <c r="AR101" t="s">
        <v>5</v>
      </c>
      <c r="AS101" t="s">
        <v>4275</v>
      </c>
      <c r="AT101" t="s">
        <v>4276</v>
      </c>
      <c r="AU101" t="s">
        <v>1907</v>
      </c>
      <c r="AV101" t="s">
        <v>572</v>
      </c>
      <c r="AW101" t="s">
        <v>4277</v>
      </c>
      <c r="AX101" t="s">
        <v>2006</v>
      </c>
      <c r="AY101" t="s">
        <v>1465</v>
      </c>
      <c r="AZ101" t="s">
        <v>1065</v>
      </c>
      <c r="BA101" t="s">
        <v>263</v>
      </c>
      <c r="BB101" t="s">
        <v>1066</v>
      </c>
      <c r="BC101" t="s">
        <v>186</v>
      </c>
      <c r="BD101" t="s">
        <v>444</v>
      </c>
      <c r="BE101" t="s">
        <v>415</v>
      </c>
      <c r="BF101" t="s">
        <v>264</v>
      </c>
      <c r="BG101" t="s">
        <v>710</v>
      </c>
      <c r="BH101" t="s">
        <v>4278</v>
      </c>
      <c r="BI101" t="s">
        <v>4279</v>
      </c>
      <c r="BJ101" t="s">
        <v>2006</v>
      </c>
      <c r="BK101" t="s">
        <v>334</v>
      </c>
      <c r="BL101" t="s">
        <v>1691</v>
      </c>
      <c r="BM101" t="s">
        <v>186</v>
      </c>
      <c r="BN101">
        <v>1.47</v>
      </c>
      <c r="BO101">
        <v>2.2599999999999998</v>
      </c>
      <c r="BP101">
        <v>2.17</v>
      </c>
      <c r="BQ101">
        <v>2.0699999999999998</v>
      </c>
      <c r="BR101">
        <v>2.39</v>
      </c>
      <c r="BS101">
        <v>2.9</v>
      </c>
      <c r="BT101" t="s">
        <v>1725</v>
      </c>
      <c r="BU101" t="s">
        <v>1536</v>
      </c>
      <c r="BV101">
        <v>13.52</v>
      </c>
      <c r="BW101">
        <v>13.4</v>
      </c>
      <c r="BX101">
        <v>9.5500000000000007</v>
      </c>
      <c r="BY101">
        <v>1.96</v>
      </c>
      <c r="BZ101">
        <v>1.98</v>
      </c>
      <c r="CA101">
        <v>2.0299999999999998</v>
      </c>
      <c r="CB101">
        <v>-0.28999999999999998</v>
      </c>
      <c r="CC101">
        <v>-3.94</v>
      </c>
      <c r="CD101" t="s">
        <v>4280</v>
      </c>
      <c r="CE101" t="s">
        <v>1959</v>
      </c>
      <c r="CF101" s="10">
        <v>3.9184624344787413</v>
      </c>
      <c r="CG101" s="11">
        <v>2.2046512056737591</v>
      </c>
      <c r="CH101" s="10">
        <v>-0.8988804817199707</v>
      </c>
      <c r="CI101" s="10">
        <v>0.1622142493724823</v>
      </c>
      <c r="CJ101" s="10">
        <v>0.1466783732175827</v>
      </c>
      <c r="CK101" s="10">
        <v>-7.8915275633335114E-2</v>
      </c>
      <c r="CL101" s="10">
        <v>0.12763616442680359</v>
      </c>
      <c r="CM101" s="11">
        <v>-0.89847022294998169</v>
      </c>
      <c r="CN101" s="11">
        <v>-0.15454545617103577</v>
      </c>
      <c r="CO101" s="11">
        <v>4.2654030025005341E-2</v>
      </c>
      <c r="CP101" s="11">
        <v>-0.18058252334594727</v>
      </c>
      <c r="CQ101" s="11">
        <v>0.16252821683883667</v>
      </c>
      <c r="CR101">
        <v>48.341556980047848</v>
      </c>
      <c r="CS101">
        <v>4.4655927323627393</v>
      </c>
      <c r="CT101">
        <v>1.466275659824047</v>
      </c>
      <c r="CU101" s="10">
        <v>-0.10825339406728744</v>
      </c>
      <c r="CV101" s="11">
        <v>-0.20568319112062455</v>
      </c>
      <c r="CW101">
        <v>0.06</v>
      </c>
      <c r="CX101">
        <v>1717.4908854063242</v>
      </c>
      <c r="CY101" t="s">
        <v>4281</v>
      </c>
      <c r="CZ101">
        <v>-0.10825339406728744</v>
      </c>
      <c r="DA101">
        <v>572.4969618021081</v>
      </c>
      <c r="DB101" t="s">
        <v>4282</v>
      </c>
      <c r="DC101">
        <v>-0.10284072436392307</v>
      </c>
      <c r="DD101">
        <v>286.24848090105405</v>
      </c>
      <c r="DE101" t="s">
        <v>4283</v>
      </c>
      <c r="DF101">
        <v>-9.5262986779212952E-2</v>
      </c>
      <c r="DG101">
        <v>171.74908854063241</v>
      </c>
      <c r="DH101" t="s">
        <v>4284</v>
      </c>
      <c r="DI101">
        <v>-8.6602715253829954E-2</v>
      </c>
      <c r="DJ101">
        <v>85.874544270316207</v>
      </c>
      <c r="DK101" t="s">
        <v>4285</v>
      </c>
      <c r="DL101">
        <v>-7.5777375847101203E-2</v>
      </c>
      <c r="DM101">
        <v>37769100</v>
      </c>
      <c r="DN101">
        <v>-0.10825339406728744</v>
      </c>
      <c r="DO101">
        <v>64868085000</v>
      </c>
      <c r="DP101">
        <v>9409000</v>
      </c>
      <c r="DQ101">
        <v>3093</v>
      </c>
      <c r="DR101">
        <v>4.0267158285460285</v>
      </c>
      <c r="DS101">
        <v>2.4103343967943838</v>
      </c>
      <c r="DT101" s="12">
        <v>-0.62333333333333341</v>
      </c>
      <c r="DU101">
        <v>-5.9999999999999977E-2</v>
      </c>
      <c r="DV101">
        <v>-0.68333333333333335</v>
      </c>
      <c r="DW101">
        <v>-1.0394000000000001</v>
      </c>
      <c r="DX101">
        <v>0.38911148459383682</v>
      </c>
      <c r="DY101">
        <v>-1.0054809924929973</v>
      </c>
      <c r="DZ101">
        <v>3872</v>
      </c>
      <c r="EA101">
        <v>-1.0013278803730588</v>
      </c>
      <c r="EB101">
        <v>1</v>
      </c>
      <c r="EC101">
        <v>1.8853252728770004E-2</v>
      </c>
      <c r="ED101">
        <v>0.13552621326568159</v>
      </c>
      <c r="EE101" s="13">
        <v>-5.14</v>
      </c>
      <c r="EF101">
        <v>-5.1220999999999997</v>
      </c>
      <c r="EG101">
        <v>25.139111484593837</v>
      </c>
      <c r="EH101" t="s">
        <v>2265</v>
      </c>
      <c r="EI101">
        <v>0</v>
      </c>
      <c r="EJ101">
        <v>0</v>
      </c>
      <c r="EK101" s="15">
        <v>45470</v>
      </c>
      <c r="EL101" s="16">
        <v>-0.6</v>
      </c>
      <c r="EM101" s="16">
        <v>-4.79</v>
      </c>
      <c r="EN101" s="16">
        <v>1.57</v>
      </c>
      <c r="EO101" s="16">
        <v>4.0199999999999996</v>
      </c>
      <c r="EP101" s="16">
        <v>-1.79</v>
      </c>
    </row>
    <row r="102" spans="1:146" ht="108" x14ac:dyDescent="0.25">
      <c r="A102" s="8"/>
      <c r="B102" s="8"/>
      <c r="C102" s="8" t="str">
        <f>""&amp;CHAR(10)&amp;Basic_Fundamental_Information_Constructure(F102)&amp;CHAR(10)&amp;Basic_Fundamental_Information_Concatenate("")</f>
        <v xml:space="preserve">
市值17.16065亿, 利润3.69亿; PE42.59; 平均PE17.15; 平均PEG.12, PB2.48; ROIC4.6067%; ROE5.5567%; 股利率.8532%; 毛利16.06%; 净利5.4367%; 上一年度营收增689.47%, 利润增794.72%; 当季营收增-87.18%, 利润增117.03%; 过往5年营收增144.06%, 利润增156.6%
Income profile:
</v>
      </c>
      <c r="D102" t="s">
        <v>675</v>
      </c>
      <c r="E102" t="s">
        <v>48</v>
      </c>
      <c r="F102">
        <v>11.72</v>
      </c>
      <c r="G102">
        <v>0.17</v>
      </c>
      <c r="H102" t="s">
        <v>4286</v>
      </c>
      <c r="I102">
        <v>1716065000</v>
      </c>
      <c r="J102">
        <v>42.59</v>
      </c>
      <c r="K102">
        <v>2.48</v>
      </c>
      <c r="L102" t="s">
        <v>101</v>
      </c>
      <c r="M102" t="s">
        <v>4287</v>
      </c>
      <c r="N102" t="s">
        <v>351</v>
      </c>
      <c r="O102" t="s">
        <v>558</v>
      </c>
      <c r="P102">
        <v>25.87</v>
      </c>
      <c r="Q102" t="s">
        <v>4288</v>
      </c>
      <c r="R102">
        <v>9954899</v>
      </c>
      <c r="S102" s="6">
        <v>2.4899999999999999E-2</v>
      </c>
      <c r="T102" t="s">
        <v>376</v>
      </c>
      <c r="U102">
        <v>146421930</v>
      </c>
      <c r="V102">
        <v>146421930</v>
      </c>
      <c r="W102">
        <v>1.76</v>
      </c>
      <c r="X102">
        <v>0.13</v>
      </c>
      <c r="Y102">
        <v>6.15</v>
      </c>
      <c r="Z102" t="s">
        <v>420</v>
      </c>
      <c r="AA102" t="s">
        <v>224</v>
      </c>
      <c r="AB102" t="s">
        <v>4289</v>
      </c>
      <c r="AC102" t="s">
        <v>4290</v>
      </c>
      <c r="AD102" t="s">
        <v>5</v>
      </c>
      <c r="AE102">
        <v>-1721939</v>
      </c>
      <c r="AF102" t="s">
        <v>127</v>
      </c>
      <c r="AG102" t="s">
        <v>4291</v>
      </c>
      <c r="AH102" t="s">
        <v>4292</v>
      </c>
      <c r="AI102" t="s">
        <v>790</v>
      </c>
      <c r="AJ102" t="s">
        <v>4293</v>
      </c>
      <c r="AK102" t="s">
        <v>4294</v>
      </c>
      <c r="AL102" t="s">
        <v>4295</v>
      </c>
      <c r="AM102" t="s">
        <v>5</v>
      </c>
      <c r="AN102">
        <v>0</v>
      </c>
      <c r="AO102" t="s">
        <v>5</v>
      </c>
      <c r="AP102" t="s">
        <v>4296</v>
      </c>
      <c r="AQ102" t="s">
        <v>4297</v>
      </c>
      <c r="AR102" t="s">
        <v>5</v>
      </c>
      <c r="AS102" t="s">
        <v>2072</v>
      </c>
      <c r="AT102" t="s">
        <v>5</v>
      </c>
      <c r="AU102" t="s">
        <v>4298</v>
      </c>
      <c r="AV102" t="s">
        <v>214</v>
      </c>
      <c r="AW102" t="s">
        <v>4299</v>
      </c>
      <c r="AX102" t="s">
        <v>922</v>
      </c>
      <c r="AY102" t="s">
        <v>1384</v>
      </c>
      <c r="AZ102" t="s">
        <v>622</v>
      </c>
      <c r="BA102" t="s">
        <v>677</v>
      </c>
      <c r="BB102" t="s">
        <v>195</v>
      </c>
      <c r="BC102" t="s">
        <v>4300</v>
      </c>
      <c r="BD102" t="s">
        <v>1466</v>
      </c>
      <c r="BE102" t="s">
        <v>1071</v>
      </c>
      <c r="BF102" t="s">
        <v>678</v>
      </c>
      <c r="BG102" t="s">
        <v>1072</v>
      </c>
      <c r="BH102" t="s">
        <v>1498</v>
      </c>
      <c r="BI102" t="s">
        <v>1516</v>
      </c>
      <c r="BJ102" t="s">
        <v>922</v>
      </c>
      <c r="BK102" t="s">
        <v>4301</v>
      </c>
      <c r="BL102" t="s">
        <v>4302</v>
      </c>
      <c r="BM102" t="s">
        <v>4300</v>
      </c>
      <c r="BN102">
        <v>1.78</v>
      </c>
      <c r="BO102">
        <v>5.35</v>
      </c>
      <c r="BP102">
        <v>6.69</v>
      </c>
      <c r="BQ102">
        <v>2.5299999999999998</v>
      </c>
      <c r="BR102">
        <v>6.35</v>
      </c>
      <c r="BS102">
        <v>7.79</v>
      </c>
      <c r="BT102" t="s">
        <v>1723</v>
      </c>
      <c r="BU102" t="s">
        <v>1537</v>
      </c>
      <c r="BV102">
        <v>16.93</v>
      </c>
      <c r="BW102">
        <v>15.64</v>
      </c>
      <c r="BX102">
        <v>15.61</v>
      </c>
      <c r="BY102">
        <v>5.3</v>
      </c>
      <c r="BZ102">
        <v>5.23</v>
      </c>
      <c r="CA102">
        <v>5.78</v>
      </c>
      <c r="CB102">
        <v>-3.22</v>
      </c>
      <c r="CC102">
        <v>-10.53</v>
      </c>
      <c r="CD102" t="s">
        <v>4303</v>
      </c>
      <c r="CE102" t="s">
        <v>4304</v>
      </c>
      <c r="CF102" s="10">
        <v>-0.87183544303797467</v>
      </c>
      <c r="CG102" s="11">
        <v>1.1702518658630856</v>
      </c>
      <c r="CH102" s="10">
        <v>6.8946700096130371</v>
      </c>
      <c r="CI102" s="10">
        <v>-6.4133018255233765E-2</v>
      </c>
      <c r="CJ102" s="10">
        <v>0.20114122331142426</v>
      </c>
      <c r="CK102" s="10">
        <v>3.3923305571079254E-2</v>
      </c>
      <c r="CL102" s="10">
        <v>0.1375838965177536</v>
      </c>
      <c r="CM102" s="11">
        <v>7.947211742401123</v>
      </c>
      <c r="CN102" s="11">
        <v>-0.15229952335357666</v>
      </c>
      <c r="CO102" s="11">
        <v>6.7822761833667755E-2</v>
      </c>
      <c r="CP102" s="11">
        <v>-6.1729159206151962E-2</v>
      </c>
      <c r="CQ102" s="11">
        <v>2.8855647891759872E-2</v>
      </c>
      <c r="CR102">
        <v>17.154625867216296</v>
      </c>
      <c r="CS102">
        <v>0.11907666452196564</v>
      </c>
      <c r="CT102">
        <v>0.85324232081911255</v>
      </c>
      <c r="CU102" s="10">
        <v>1.440637083351612</v>
      </c>
      <c r="CV102" s="11">
        <v>1.5659722939133645</v>
      </c>
      <c r="CW102">
        <v>0.06</v>
      </c>
      <c r="CX102">
        <v>1.8879837683627216</v>
      </c>
      <c r="CY102">
        <v>849618003.54409885</v>
      </c>
      <c r="CZ102">
        <v>1.440637083351612</v>
      </c>
      <c r="DA102">
        <v>0.23644591074371765</v>
      </c>
      <c r="DB102">
        <v>6784067421.4012384</v>
      </c>
      <c r="DC102">
        <v>1.3686052291840314</v>
      </c>
      <c r="DD102">
        <v>2.4399690192091514E-2</v>
      </c>
      <c r="DE102">
        <v>65741203571.50737</v>
      </c>
      <c r="DF102">
        <v>1.2677606333494185</v>
      </c>
      <c r="DG102">
        <v>1.8520287259898916E-3</v>
      </c>
      <c r="DH102">
        <v>866112375844.84155</v>
      </c>
      <c r="DI102">
        <v>1.1525096666812897</v>
      </c>
      <c r="DJ102">
        <v>5.7711657950176679E-6</v>
      </c>
      <c r="DK102">
        <v>277944709435451.12</v>
      </c>
      <c r="DL102">
        <v>1.0084459583461283</v>
      </c>
      <c r="DM102">
        <v>369000000</v>
      </c>
      <c r="DN102">
        <v>1.440637083351612</v>
      </c>
      <c r="DO102">
        <v>1604065000</v>
      </c>
      <c r="DP102">
        <v>597609490</v>
      </c>
      <c r="DQ102">
        <v>3183</v>
      </c>
      <c r="DR102">
        <v>-2.3124725263895867</v>
      </c>
      <c r="DS102">
        <v>-0.39572042805027885</v>
      </c>
      <c r="DT102" s="12">
        <v>-6.6666666666666714E-3</v>
      </c>
      <c r="DU102">
        <v>0.59</v>
      </c>
      <c r="DV102">
        <v>0.58333333333333326</v>
      </c>
      <c r="DW102">
        <v>-8.3057929724596384</v>
      </c>
      <c r="DX102">
        <v>0.29833565389639177</v>
      </c>
      <c r="DY102">
        <v>-8.0300703519037402</v>
      </c>
      <c r="DZ102">
        <v>3923</v>
      </c>
      <c r="EA102">
        <v>-8.0069850308629622</v>
      </c>
      <c r="EB102">
        <v>8</v>
      </c>
      <c r="EC102">
        <v>3.7430185492022941E-2</v>
      </c>
      <c r="ED102">
        <v>0.38063697152468895</v>
      </c>
      <c r="EE102" s="13">
        <v>4.361000000000001E-2</v>
      </c>
      <c r="EF102">
        <v>6.191E-2</v>
      </c>
      <c r="EG102">
        <v>20.098335653896392</v>
      </c>
      <c r="EH102">
        <v>-1</v>
      </c>
      <c r="EI102">
        <v>0</v>
      </c>
      <c r="EJ102">
        <v>0</v>
      </c>
      <c r="EK102" s="15">
        <v>45470</v>
      </c>
      <c r="EL102" s="16">
        <v>0</v>
      </c>
      <c r="EM102" s="16">
        <v>-4.13</v>
      </c>
      <c r="EN102" s="16">
        <v>1.91</v>
      </c>
      <c r="EO102" s="16">
        <v>2.35</v>
      </c>
      <c r="EP102" s="16">
        <v>-1.83</v>
      </c>
    </row>
    <row r="103" spans="1:146" ht="180" x14ac:dyDescent="0.25">
      <c r="A103" s="8" t="s">
        <v>2105</v>
      </c>
      <c r="B103" s="8" t="s">
        <v>2104</v>
      </c>
      <c r="C103" s="8" t="str">
        <f>"公司主要从事建筑陶瓷机械、海外建材、锂电材料及装备的生产和销售以及液压泵、智慧能源等培育业务，主要产品有建材机械、清洁煤气化装备、末端烟气治理装备、高端零部件等装备、建筑陶瓷、锂电材料。"&amp;CHAR(10)&amp;Basic_Fundamental_Information_Constructure(F103)&amp;CHAR(10)&amp;Basic_Fundamental_Information_Concatenate("建材机械装备 20.98亿 44.19% 38.24% 27.48%
海外建材 19.07亿 40.18% 55.21% 43.63%
锂电材料 4.09亿 8.62% 1.01% 3.72%
其他 3.29亿 6.93% 5.45% 25.00%")</f>
        <v>公司主要从事建筑陶瓷机械、海外建材、锂电材料及装备的生产和销售以及液压泵、智慧能源等培育业务，主要产品有建材机械、清洁煤气化装备、末端烟气治理装备、高端零部件等装备、建筑陶瓷、锂电材料。
市值148.82566亿, 利润-18.48亿; PE7.44; 平均PE27.9; 平均PEG.31, PB1.29; ROIC22.8067%; ROE26.6367%; 股利率4.2526%; 毛利28.22%; 净利29.4867%; 上一年度营收增386.44%, 利润增-143.47%; 当季营收增-82.65%, 利润增175.64%; 过往5年营收增90.8%, 利润增140.69%
Income profile:
建材机械装备 20.98亿 44.19% 38.24% 27.48%
海外建材 19.07亿 40.18% 55.21% 43.63%
锂电材料 4.09亿 8.62% 1.01% 3.72%
其他 3.29亿 6.93% 5.45% 25.00%</v>
      </c>
      <c r="D103" t="s">
        <v>679</v>
      </c>
      <c r="E103" t="s">
        <v>4305</v>
      </c>
      <c r="F103">
        <v>7.76</v>
      </c>
      <c r="G103">
        <v>-1.02</v>
      </c>
      <c r="H103" t="s">
        <v>4306</v>
      </c>
      <c r="I103">
        <v>14882566000</v>
      </c>
      <c r="J103">
        <v>7.44</v>
      </c>
      <c r="K103">
        <v>1.29</v>
      </c>
      <c r="L103" t="s">
        <v>101</v>
      </c>
      <c r="M103" t="s">
        <v>4307</v>
      </c>
      <c r="N103" t="s">
        <v>4308</v>
      </c>
      <c r="O103" t="s">
        <v>4309</v>
      </c>
      <c r="P103">
        <v>2.83</v>
      </c>
      <c r="Q103" t="s">
        <v>4310</v>
      </c>
      <c r="R103">
        <v>311468950</v>
      </c>
      <c r="S103" s="6">
        <v>-0.22600000000000001</v>
      </c>
      <c r="T103" t="s">
        <v>4311</v>
      </c>
      <c r="U103">
        <v>1917856400</v>
      </c>
      <c r="V103">
        <v>1917856400</v>
      </c>
      <c r="W103">
        <v>1.72</v>
      </c>
      <c r="X103">
        <v>0.11</v>
      </c>
      <c r="Y103">
        <v>15.92</v>
      </c>
      <c r="Z103" t="s">
        <v>2588</v>
      </c>
      <c r="AA103" t="s">
        <v>896</v>
      </c>
      <c r="AB103" t="s">
        <v>165</v>
      </c>
      <c r="AC103" t="s">
        <v>658</v>
      </c>
      <c r="AD103" t="s">
        <v>5</v>
      </c>
      <c r="AE103">
        <v>-12413611</v>
      </c>
      <c r="AF103" t="s">
        <v>4312</v>
      </c>
      <c r="AG103" t="s">
        <v>4313</v>
      </c>
      <c r="AH103" t="s">
        <v>4314</v>
      </c>
      <c r="AI103" t="s">
        <v>1345</v>
      </c>
      <c r="AJ103" t="s">
        <v>4315</v>
      </c>
      <c r="AK103" t="s">
        <v>4316</v>
      </c>
      <c r="AL103" t="s">
        <v>4317</v>
      </c>
      <c r="AM103" t="s">
        <v>5</v>
      </c>
      <c r="AN103" t="s">
        <v>4318</v>
      </c>
      <c r="AO103" t="s">
        <v>155</v>
      </c>
      <c r="AP103" t="s">
        <v>1980</v>
      </c>
      <c r="AQ103" t="s">
        <v>1864</v>
      </c>
      <c r="AR103" t="s">
        <v>5</v>
      </c>
      <c r="AS103" t="s">
        <v>4319</v>
      </c>
      <c r="AT103" t="s">
        <v>4320</v>
      </c>
      <c r="AU103" t="s">
        <v>650</v>
      </c>
      <c r="AV103" t="s">
        <v>4321</v>
      </c>
      <c r="AW103" t="s">
        <v>4322</v>
      </c>
      <c r="AX103" t="s">
        <v>2007</v>
      </c>
      <c r="AY103" t="s">
        <v>1467</v>
      </c>
      <c r="AZ103" t="s">
        <v>1468</v>
      </c>
      <c r="BA103" t="s">
        <v>680</v>
      </c>
      <c r="BB103" t="s">
        <v>1075</v>
      </c>
      <c r="BC103" t="s">
        <v>2008</v>
      </c>
      <c r="BD103" t="s">
        <v>914</v>
      </c>
      <c r="BE103" t="s">
        <v>559</v>
      </c>
      <c r="BF103" t="s">
        <v>630</v>
      </c>
      <c r="BG103" t="s">
        <v>1077</v>
      </c>
      <c r="BH103" t="s">
        <v>4323</v>
      </c>
      <c r="BI103" t="s">
        <v>4324</v>
      </c>
      <c r="BJ103" t="s">
        <v>2007</v>
      </c>
      <c r="BK103" t="s">
        <v>198</v>
      </c>
      <c r="BL103" t="s">
        <v>169</v>
      </c>
      <c r="BM103" t="s">
        <v>2008</v>
      </c>
      <c r="BN103">
        <v>14.28</v>
      </c>
      <c r="BO103">
        <v>38.57</v>
      </c>
      <c r="BP103">
        <v>15.57</v>
      </c>
      <c r="BQ103">
        <v>17.38</v>
      </c>
      <c r="BR103">
        <v>46.73</v>
      </c>
      <c r="BS103">
        <v>15.8</v>
      </c>
      <c r="BT103" t="s">
        <v>2081</v>
      </c>
      <c r="BU103" t="s">
        <v>1537</v>
      </c>
      <c r="BV103">
        <v>29.24</v>
      </c>
      <c r="BW103">
        <v>29.45</v>
      </c>
      <c r="BX103">
        <v>25.97</v>
      </c>
      <c r="BY103">
        <v>26.9</v>
      </c>
      <c r="BZ103">
        <v>46.63</v>
      </c>
      <c r="CA103">
        <v>14.93</v>
      </c>
      <c r="CB103">
        <v>-4.2</v>
      </c>
      <c r="CC103">
        <v>-17.45</v>
      </c>
      <c r="CD103" t="s">
        <v>4325</v>
      </c>
      <c r="CE103" t="s">
        <v>920</v>
      </c>
      <c r="CF103" s="10">
        <v>-0.82649329540837058</v>
      </c>
      <c r="CG103" s="11">
        <v>1.7563623893805311</v>
      </c>
      <c r="CH103" s="10">
        <v>3.8643898963928223</v>
      </c>
      <c r="CI103" s="10">
        <v>0.13881799578666687</v>
      </c>
      <c r="CJ103" s="10">
        <v>0.34242263436317444</v>
      </c>
      <c r="CK103" s="10">
        <v>0.1364060640335083</v>
      </c>
      <c r="CL103" s="10">
        <v>5.7815857231616974E-2</v>
      </c>
      <c r="CM103" s="11">
        <v>-1.4347213506698608</v>
      </c>
      <c r="CN103" s="11">
        <v>3.2256462574005127</v>
      </c>
      <c r="CO103" s="11">
        <v>2.8396947383880615</v>
      </c>
      <c r="CP103" s="11">
        <v>1.2016806602478027</v>
      </c>
      <c r="CQ103" s="11">
        <v>1.2020373344421387</v>
      </c>
      <c r="CR103">
        <v>27.896093720712276</v>
      </c>
      <c r="CS103">
        <v>0.30723568707814264</v>
      </c>
      <c r="CT103">
        <v>4.2525773195876289</v>
      </c>
      <c r="CU103" s="10">
        <v>0.90797048956155779</v>
      </c>
      <c r="CV103" s="11">
        <v>1.4068675279617309</v>
      </c>
      <c r="CW103">
        <v>0.06</v>
      </c>
      <c r="CX103" t="e">
        <v>#VALUE!</v>
      </c>
      <c r="CY103" t="s">
        <v>1549</v>
      </c>
      <c r="CZ103">
        <v>0.90797048956155779</v>
      </c>
      <c r="DA103" t="e">
        <v>#VALUE!</v>
      </c>
      <c r="DB103" t="s">
        <v>1549</v>
      </c>
      <c r="DC103">
        <v>0.86257196508347989</v>
      </c>
      <c r="DD103" t="e">
        <v>#VALUE!</v>
      </c>
      <c r="DE103" t="s">
        <v>1549</v>
      </c>
      <c r="DF103">
        <v>0.79901403081417088</v>
      </c>
      <c r="DG103" t="e">
        <v>#VALUE!</v>
      </c>
      <c r="DH103" t="s">
        <v>1549</v>
      </c>
      <c r="DI103">
        <v>0.72637639164924628</v>
      </c>
      <c r="DJ103" t="e">
        <v>#VALUE!</v>
      </c>
      <c r="DK103" t="s">
        <v>1549</v>
      </c>
      <c r="DL103">
        <v>0.63557934269309047</v>
      </c>
      <c r="DM103">
        <v>-1848000000</v>
      </c>
      <c r="DN103">
        <v>0.90797048956155779</v>
      </c>
      <c r="DO103">
        <v>10618566000</v>
      </c>
      <c r="DP103">
        <v>5171819900</v>
      </c>
      <c r="DQ103">
        <v>3220</v>
      </c>
      <c r="DR103">
        <v>-1.7344637849699285</v>
      </c>
      <c r="DS103">
        <v>0.34949486141880026</v>
      </c>
      <c r="DT103" s="12">
        <v>-6.6666666666666714E-3</v>
      </c>
      <c r="DU103">
        <v>0.71583333333333321</v>
      </c>
      <c r="DV103">
        <v>0.7091666666666665</v>
      </c>
      <c r="DW103">
        <v>-8.240687679083095</v>
      </c>
      <c r="DX103">
        <v>0.50408585131894235</v>
      </c>
      <c r="DY103">
        <v>-8.041900319515161</v>
      </c>
      <c r="DZ103">
        <v>773</v>
      </c>
      <c r="EA103">
        <v>-8.0355619737254891</v>
      </c>
      <c r="EB103">
        <v>8</v>
      </c>
      <c r="EC103">
        <v>3.7851530489978288E-2</v>
      </c>
      <c r="ED103">
        <v>0.21743025181655937</v>
      </c>
      <c r="EE103" s="13">
        <v>1.0859099999999999</v>
      </c>
      <c r="EF103">
        <v>1.10141</v>
      </c>
      <c r="EG103">
        <v>33.174085851318942</v>
      </c>
      <c r="EH103" t="s">
        <v>1815</v>
      </c>
      <c r="EI103">
        <v>0</v>
      </c>
      <c r="EJ103">
        <v>1</v>
      </c>
      <c r="EK103" s="15">
        <v>45470</v>
      </c>
      <c r="EL103" s="16">
        <v>0.76</v>
      </c>
      <c r="EM103" s="16">
        <v>-3.32</v>
      </c>
      <c r="EN103" s="16">
        <v>-2.85</v>
      </c>
      <c r="EO103" s="16">
        <v>3.47</v>
      </c>
      <c r="EP103" s="16">
        <v>-1.55</v>
      </c>
    </row>
    <row r="104" spans="1:146" ht="108" x14ac:dyDescent="0.25">
      <c r="A104" s="8"/>
      <c r="B104" s="8"/>
      <c r="C104" s="8" t="str">
        <f>""&amp;CHAR(10)&amp;Basic_Fundamental_Information_Constructure(F104)&amp;CHAR(10)&amp;Basic_Fundamental_Information_Concatenate("")</f>
        <v xml:space="preserve">
市值61.334927亿, 利润15.53亿; PE843.2; 平均PE22.86; 平均PEG.05, PB2.8; ROIC2.6267%; ROE2.44%; 股利率.4219%; 毛利16.38%; 净利2.07%; 上一年度营收增2101.3%, 利润增1951.34%; 当季营收增-97.78%, 利润增-122.07%; 过往5年营收增430.1%, 利润增432.62%
Income profile:
</v>
      </c>
      <c r="D104" t="s">
        <v>681</v>
      </c>
      <c r="E104" t="s">
        <v>83</v>
      </c>
      <c r="F104">
        <v>14.22</v>
      </c>
      <c r="G104">
        <v>4.6399999999999997</v>
      </c>
      <c r="H104" t="s">
        <v>4326</v>
      </c>
      <c r="I104">
        <v>6133492700</v>
      </c>
      <c r="J104">
        <v>843.2</v>
      </c>
      <c r="K104">
        <v>2.8</v>
      </c>
      <c r="L104" t="s">
        <v>101</v>
      </c>
      <c r="M104" t="s">
        <v>4327</v>
      </c>
      <c r="N104" t="s">
        <v>1713</v>
      </c>
      <c r="O104" t="s">
        <v>563</v>
      </c>
      <c r="P104">
        <v>-30.4</v>
      </c>
      <c r="Q104" t="s">
        <v>4328</v>
      </c>
      <c r="R104">
        <v>-76818378</v>
      </c>
      <c r="S104" s="6">
        <v>-5.3220000000000001</v>
      </c>
      <c r="T104" t="s">
        <v>4329</v>
      </c>
      <c r="U104">
        <v>424598450</v>
      </c>
      <c r="V104">
        <v>431328600</v>
      </c>
      <c r="W104">
        <v>2.19</v>
      </c>
      <c r="X104">
        <v>0.06</v>
      </c>
      <c r="Y104">
        <v>-22.57</v>
      </c>
      <c r="Z104" t="s">
        <v>228</v>
      </c>
      <c r="AA104" t="s">
        <v>727</v>
      </c>
      <c r="AB104" t="s">
        <v>4330</v>
      </c>
      <c r="AC104" t="s">
        <v>4331</v>
      </c>
      <c r="AD104" t="s">
        <v>5</v>
      </c>
      <c r="AE104">
        <v>-1809133</v>
      </c>
      <c r="AF104" t="s">
        <v>127</v>
      </c>
      <c r="AG104" t="s">
        <v>4332</v>
      </c>
      <c r="AH104" t="s">
        <v>4333</v>
      </c>
      <c r="AI104" t="s">
        <v>402</v>
      </c>
      <c r="AJ104" t="s">
        <v>4334</v>
      </c>
      <c r="AK104" t="s">
        <v>199</v>
      </c>
      <c r="AL104" t="s">
        <v>4335</v>
      </c>
      <c r="AM104" t="s">
        <v>5</v>
      </c>
      <c r="AN104" t="s">
        <v>4336</v>
      </c>
      <c r="AO104" t="s">
        <v>4337</v>
      </c>
      <c r="AP104" t="s">
        <v>1659</v>
      </c>
      <c r="AQ104" t="s">
        <v>4338</v>
      </c>
      <c r="AR104" t="s">
        <v>5</v>
      </c>
      <c r="AS104" t="s">
        <v>4339</v>
      </c>
      <c r="AT104" t="s">
        <v>5</v>
      </c>
      <c r="AU104" t="s">
        <v>2157</v>
      </c>
      <c r="AV104" t="s">
        <v>4340</v>
      </c>
      <c r="AW104" t="s">
        <v>4341</v>
      </c>
      <c r="AX104" t="s">
        <v>2009</v>
      </c>
      <c r="AY104" t="s">
        <v>1469</v>
      </c>
      <c r="AZ104" t="s">
        <v>1078</v>
      </c>
      <c r="BA104" t="s">
        <v>682</v>
      </c>
      <c r="BB104" t="s">
        <v>149</v>
      </c>
      <c r="BC104" t="s">
        <v>2010</v>
      </c>
      <c r="BD104" t="s">
        <v>1470</v>
      </c>
      <c r="BE104" t="s">
        <v>1079</v>
      </c>
      <c r="BF104" t="s">
        <v>683</v>
      </c>
      <c r="BG104" t="s">
        <v>135</v>
      </c>
      <c r="BH104" t="s">
        <v>4342</v>
      </c>
      <c r="BI104" t="s">
        <v>4343</v>
      </c>
      <c r="BJ104" t="s">
        <v>2009</v>
      </c>
      <c r="BK104" t="s">
        <v>4344</v>
      </c>
      <c r="BL104" t="s">
        <v>490</v>
      </c>
      <c r="BM104" t="s">
        <v>2010</v>
      </c>
      <c r="BN104">
        <v>1.07</v>
      </c>
      <c r="BO104">
        <v>3.64</v>
      </c>
      <c r="BP104">
        <v>3.17</v>
      </c>
      <c r="BQ104">
        <v>0.82</v>
      </c>
      <c r="BR104">
        <v>3.42</v>
      </c>
      <c r="BS104">
        <v>3.08</v>
      </c>
      <c r="BT104" t="s">
        <v>1930</v>
      </c>
      <c r="BU104" t="s">
        <v>1537</v>
      </c>
      <c r="BV104">
        <v>16.690000000000001</v>
      </c>
      <c r="BW104">
        <v>15.98</v>
      </c>
      <c r="BX104">
        <v>16.47</v>
      </c>
      <c r="BY104">
        <v>2.19</v>
      </c>
      <c r="BZ104">
        <v>2.11</v>
      </c>
      <c r="CA104">
        <v>1.91</v>
      </c>
      <c r="CB104">
        <v>10.49</v>
      </c>
      <c r="CC104">
        <v>19.899999999999999</v>
      </c>
      <c r="CD104" t="s">
        <v>261</v>
      </c>
      <c r="CE104" t="s">
        <v>2168</v>
      </c>
      <c r="CF104" s="10">
        <v>-0.97779152489947418</v>
      </c>
      <c r="CG104" s="11">
        <v>-1.2207424655172414</v>
      </c>
      <c r="CH104" s="10">
        <v>21.013029098510742</v>
      </c>
      <c r="CI104" s="10">
        <v>1.6180405393242836E-2</v>
      </c>
      <c r="CJ104" s="10">
        <v>0.10243245214223862</v>
      </c>
      <c r="CK104" s="10">
        <v>0.23333333432674408</v>
      </c>
      <c r="CL104" s="10">
        <v>0.13981762528419495</v>
      </c>
      <c r="CM104" s="11">
        <v>19.513374328613281</v>
      </c>
      <c r="CN104" s="11">
        <v>0.13933244347572327</v>
      </c>
      <c r="CO104" s="11">
        <v>0.49481245875358582</v>
      </c>
      <c r="CP104" s="11">
        <v>0.27185487747192383</v>
      </c>
      <c r="CQ104" s="11">
        <v>1.2118242979049683</v>
      </c>
      <c r="CR104">
        <v>22.86400519993494</v>
      </c>
      <c r="CS104">
        <v>5.3160254296818095E-2</v>
      </c>
      <c r="CT104">
        <v>0.42194092827004215</v>
      </c>
      <c r="CU104" s="10">
        <v>4.3009585831314325</v>
      </c>
      <c r="CV104" s="11">
        <v>4.3262396812438961</v>
      </c>
      <c r="CW104">
        <v>0.06</v>
      </c>
      <c r="CX104">
        <v>0.89301204645677923</v>
      </c>
      <c r="CY104">
        <v>7766404414.7199192</v>
      </c>
      <c r="CZ104">
        <v>4.3009585831314325</v>
      </c>
      <c r="DA104">
        <v>3.229701839787464E-2</v>
      </c>
      <c r="DB104">
        <v>214740958888.52707</v>
      </c>
      <c r="DC104">
        <v>4.0859106539748611</v>
      </c>
      <c r="DD104">
        <v>4.1098524652471616E-4</v>
      </c>
      <c r="DE104">
        <v>16875283866383.043</v>
      </c>
      <c r="DF104">
        <v>3.7848435531556608</v>
      </c>
      <c r="DG104">
        <v>2.0414666348004442E-6</v>
      </c>
      <c r="DH104">
        <v>3397308866954836.5</v>
      </c>
      <c r="DI104">
        <v>3.4407668665051463</v>
      </c>
      <c r="DJ104">
        <v>9.0862806414332696E-12</v>
      </c>
      <c r="DK104">
        <v>7.632928118436363E+20</v>
      </c>
      <c r="DL104">
        <v>3.0106710081920025</v>
      </c>
      <c r="DM104">
        <v>1553000000</v>
      </c>
      <c r="DN104">
        <v>4.3009585831314325</v>
      </c>
      <c r="DO104">
        <v>6935492700</v>
      </c>
      <c r="DP104">
        <v>721879000</v>
      </c>
      <c r="DQ104">
        <v>3222</v>
      </c>
      <c r="DR104">
        <v>-5.2787501080309065</v>
      </c>
      <c r="DS104">
        <v>-5.5469821467611373</v>
      </c>
      <c r="DT104" s="12">
        <v>-2.3333333333333355E-2</v>
      </c>
      <c r="DU104">
        <v>-0.1483333333333334</v>
      </c>
      <c r="DV104">
        <v>-0.17166666666666675</v>
      </c>
      <c r="DW104">
        <v>9.5271356783919607</v>
      </c>
      <c r="DX104">
        <v>0.6120920447415108</v>
      </c>
      <c r="DY104">
        <v>9.0538163592632408</v>
      </c>
      <c r="DZ104">
        <v>4517</v>
      </c>
      <c r="EA104">
        <v>9.0062452252530534</v>
      </c>
      <c r="EB104">
        <v>9</v>
      </c>
      <c r="EC104">
        <v>0.28284699878468528</v>
      </c>
      <c r="ED104">
        <v>2.7705095372762205</v>
      </c>
      <c r="EE104" s="13">
        <v>1.1099999999999999E-2</v>
      </c>
      <c r="EF104">
        <v>1.3810000000000001E-2</v>
      </c>
      <c r="EG104">
        <v>51.102092044741511</v>
      </c>
      <c r="EH104">
        <v>-1</v>
      </c>
      <c r="EI104">
        <v>1</v>
      </c>
      <c r="EJ104">
        <v>0</v>
      </c>
      <c r="EK104" s="15">
        <v>45470</v>
      </c>
      <c r="EL104" s="16">
        <v>-0.27</v>
      </c>
      <c r="EM104" s="16">
        <v>-3.03</v>
      </c>
      <c r="EN104" s="16">
        <v>0.56999999999999995</v>
      </c>
      <c r="EO104" s="16">
        <v>2.2599999999999998</v>
      </c>
      <c r="EP104" s="16">
        <v>-2.4900000000000002</v>
      </c>
    </row>
    <row r="105" spans="1:146" ht="108" x14ac:dyDescent="0.25">
      <c r="A105" s="8"/>
      <c r="B105" s="8"/>
      <c r="C105" s="8" t="str">
        <f>""&amp;CHAR(10)&amp;Basic_Fundamental_Information_Constructure(F105)&amp;CHAR(10)&amp;Basic_Fundamental_Information_Concatenate("")</f>
        <v xml:space="preserve">
市值22.687176亿, 利润8.30亿; PE; 平均PE16.89; 平均PEG.05, PB6.37; ROIC5.085%; ROE-4.73%; 股利率0%; 毛利27.6733%; 净利-4.57%; 上一年度营收增1771.4%, 利润增3058.66%; 当季营收增-96.32%, 利润增-99.18%; 过往5年营收增363.48%, 利润增367.43%
Income profile:
</v>
      </c>
      <c r="D105" t="s">
        <v>685</v>
      </c>
      <c r="E105" t="s">
        <v>11</v>
      </c>
      <c r="F105">
        <v>14.32</v>
      </c>
      <c r="G105">
        <v>-0.21</v>
      </c>
      <c r="H105" t="s">
        <v>4345</v>
      </c>
      <c r="I105">
        <v>2268717600</v>
      </c>
      <c r="K105">
        <v>6.37</v>
      </c>
      <c r="L105" t="s">
        <v>101</v>
      </c>
      <c r="M105" t="s">
        <v>346</v>
      </c>
      <c r="N105" t="s">
        <v>210</v>
      </c>
      <c r="O105" t="s">
        <v>4346</v>
      </c>
      <c r="P105">
        <v>-6.95</v>
      </c>
      <c r="Q105" t="s">
        <v>4347</v>
      </c>
      <c r="R105">
        <v>1426903</v>
      </c>
      <c r="S105" s="6">
        <v>-0.4546</v>
      </c>
      <c r="T105" t="s">
        <v>620</v>
      </c>
      <c r="U105">
        <v>158430000</v>
      </c>
      <c r="V105">
        <v>158430000</v>
      </c>
      <c r="W105">
        <v>1.57</v>
      </c>
      <c r="X105">
        <v>0.13</v>
      </c>
      <c r="Y105">
        <v>1.88</v>
      </c>
      <c r="Z105" t="s">
        <v>4348</v>
      </c>
      <c r="AA105" t="s">
        <v>4349</v>
      </c>
      <c r="AB105" t="s">
        <v>4350</v>
      </c>
      <c r="AC105" t="s">
        <v>4351</v>
      </c>
      <c r="AD105" t="s">
        <v>5</v>
      </c>
      <c r="AE105">
        <v>-65375</v>
      </c>
      <c r="AF105" t="s">
        <v>127</v>
      </c>
      <c r="AG105" t="s">
        <v>4352</v>
      </c>
      <c r="AH105" t="s">
        <v>4353</v>
      </c>
      <c r="AI105" t="s">
        <v>508</v>
      </c>
      <c r="AJ105" t="s">
        <v>4354</v>
      </c>
      <c r="AK105" t="s">
        <v>4355</v>
      </c>
      <c r="AL105" t="s">
        <v>4356</v>
      </c>
      <c r="AM105" t="s">
        <v>5</v>
      </c>
      <c r="AN105" t="s">
        <v>4357</v>
      </c>
      <c r="AO105" t="s">
        <v>2412</v>
      </c>
      <c r="AP105" t="s">
        <v>4358</v>
      </c>
      <c r="AQ105" t="s">
        <v>273</v>
      </c>
      <c r="AR105" t="s">
        <v>5</v>
      </c>
      <c r="AS105" t="s">
        <v>164</v>
      </c>
      <c r="AT105" t="s">
        <v>5</v>
      </c>
      <c r="AU105" t="s">
        <v>4359</v>
      </c>
      <c r="AV105" t="s">
        <v>4360</v>
      </c>
      <c r="AW105" t="s">
        <v>4361</v>
      </c>
      <c r="AX105" t="s">
        <v>555</v>
      </c>
      <c r="AY105" t="s">
        <v>555</v>
      </c>
      <c r="AZ105" t="s">
        <v>439</v>
      </c>
      <c r="BA105" t="s">
        <v>686</v>
      </c>
      <c r="BB105" t="s">
        <v>257</v>
      </c>
      <c r="BC105" t="s">
        <v>4362</v>
      </c>
      <c r="BD105" t="s">
        <v>1472</v>
      </c>
      <c r="BE105" t="s">
        <v>1081</v>
      </c>
      <c r="BF105" t="s">
        <v>687</v>
      </c>
      <c r="BG105" t="s">
        <v>1082</v>
      </c>
      <c r="BH105" t="s">
        <v>1618</v>
      </c>
      <c r="BI105" t="s">
        <v>4363</v>
      </c>
      <c r="BJ105" t="s">
        <v>555</v>
      </c>
      <c r="BK105" t="s">
        <v>4364</v>
      </c>
      <c r="BL105" t="s">
        <v>161</v>
      </c>
      <c r="BM105" t="s">
        <v>4362</v>
      </c>
      <c r="BN105" t="s">
        <v>5</v>
      </c>
      <c r="BO105">
        <v>7.25</v>
      </c>
      <c r="BP105">
        <v>2.92</v>
      </c>
      <c r="BQ105">
        <v>-22.96</v>
      </c>
      <c r="BR105">
        <v>6.47</v>
      </c>
      <c r="BS105">
        <v>2.2999999999999998</v>
      </c>
      <c r="BT105" t="s">
        <v>1720</v>
      </c>
      <c r="BU105" t="s">
        <v>1537</v>
      </c>
      <c r="BV105">
        <v>30.1</v>
      </c>
      <c r="BW105">
        <v>29.39</v>
      </c>
      <c r="BX105">
        <v>23.53</v>
      </c>
      <c r="BY105">
        <v>-24.39</v>
      </c>
      <c r="BZ105">
        <v>7.67</v>
      </c>
      <c r="CA105">
        <v>3.01</v>
      </c>
      <c r="CB105">
        <v>-5.04</v>
      </c>
      <c r="CC105">
        <v>-19.73</v>
      </c>
      <c r="CD105" t="s">
        <v>4365</v>
      </c>
      <c r="CE105" t="s">
        <v>1620</v>
      </c>
      <c r="CF105" s="10">
        <v>-0.96322914035939777</v>
      </c>
      <c r="CG105" s="11">
        <v>-0.99175200578034683</v>
      </c>
      <c r="CH105" s="10">
        <v>17.713964462280273</v>
      </c>
      <c r="CI105" s="10">
        <v>0</v>
      </c>
      <c r="CJ105" s="10">
        <v>0.33734938502311707</v>
      </c>
      <c r="CK105" s="10">
        <v>0.28185328841209412</v>
      </c>
      <c r="CL105" s="10">
        <v>-0.15909090638160706</v>
      </c>
      <c r="CM105" s="11">
        <v>30.586559295654297</v>
      </c>
      <c r="CN105" s="11">
        <v>1.9840559959411621</v>
      </c>
      <c r="CO105" s="11">
        <v>6.1233837157487869E-2</v>
      </c>
      <c r="CP105" s="11">
        <v>1.1144435405731201</v>
      </c>
      <c r="CQ105" s="11">
        <v>-15.375015258789063</v>
      </c>
      <c r="CR105">
        <v>16.890401474290982</v>
      </c>
      <c r="CS105">
        <v>4.6468390638279101E-2</v>
      </c>
      <c r="CT105">
        <v>0</v>
      </c>
      <c r="CU105" s="10">
        <v>3.6348152458667755</v>
      </c>
      <c r="CV105" s="11">
        <v>3.6742554821074007</v>
      </c>
      <c r="CW105">
        <v>0.06</v>
      </c>
      <c r="CX105">
        <v>0.59455214466978601</v>
      </c>
      <c r="CY105">
        <v>3629147786.8579473</v>
      </c>
      <c r="CZ105">
        <v>3.6348152458667755</v>
      </c>
      <c r="DA105">
        <v>2.7082275789113878E-2</v>
      </c>
      <c r="DB105">
        <v>79672683965.035416</v>
      </c>
      <c r="DC105">
        <v>3.4530744835734364</v>
      </c>
      <c r="DD105">
        <v>5.0332293017701024E-4</v>
      </c>
      <c r="DE105">
        <v>4286944763754.6875</v>
      </c>
      <c r="DF105">
        <v>3.1986374163627627</v>
      </c>
      <c r="DG105">
        <v>4.0848312773736475E-6</v>
      </c>
      <c r="DH105">
        <v>528226860177027.87</v>
      </c>
      <c r="DI105">
        <v>2.9078521966934208</v>
      </c>
      <c r="DJ105">
        <v>5.9693685039372858E-11</v>
      </c>
      <c r="DK105">
        <v>3.6146496879474086E+19</v>
      </c>
      <c r="DL105">
        <v>2.5443706721067425</v>
      </c>
      <c r="DM105">
        <v>830000000.00000012</v>
      </c>
      <c r="DN105">
        <v>3.6348152458667755</v>
      </c>
      <c r="DO105">
        <v>2157717600</v>
      </c>
      <c r="DP105">
        <v>270219860</v>
      </c>
      <c r="DQ105">
        <v>3239</v>
      </c>
      <c r="DR105">
        <v>-4.5980443862261735</v>
      </c>
      <c r="DS105">
        <v>-4.6660074878877476</v>
      </c>
      <c r="DT105" s="12">
        <v>1.0000000000000011E-2</v>
      </c>
      <c r="DU105">
        <v>-0.17333333333333342</v>
      </c>
      <c r="DV105">
        <v>-0.16333333333333341</v>
      </c>
      <c r="DW105">
        <v>-8.2554485554992389</v>
      </c>
      <c r="DX105">
        <v>0.29237425373134218</v>
      </c>
      <c r="DY105">
        <v>-8.033814811900962</v>
      </c>
      <c r="DZ105">
        <v>560</v>
      </c>
      <c r="EA105">
        <v>-8.0301090790898986</v>
      </c>
      <c r="EB105">
        <v>8</v>
      </c>
      <c r="EC105">
        <v>0.22392413053083382</v>
      </c>
      <c r="ED105">
        <v>1.6915988133560564</v>
      </c>
      <c r="EE105" s="13">
        <v>-2.0320100000000001</v>
      </c>
      <c r="EF105">
        <v>-2.03111</v>
      </c>
      <c r="EG105">
        <v>16.132374253731342</v>
      </c>
      <c r="EH105" t="s">
        <v>2103</v>
      </c>
      <c r="EI105">
        <v>0</v>
      </c>
      <c r="EJ105">
        <v>1</v>
      </c>
      <c r="EK105" s="15">
        <v>45470</v>
      </c>
      <c r="EL105" s="16">
        <v>-1.94</v>
      </c>
      <c r="EM105" s="16">
        <v>0.38</v>
      </c>
      <c r="EN105" s="16">
        <v>0.68</v>
      </c>
      <c r="EO105" s="16">
        <v>0.17</v>
      </c>
      <c r="EP105" s="16">
        <v>0.09</v>
      </c>
    </row>
    <row r="106" spans="1:146" ht="96" x14ac:dyDescent="0.25">
      <c r="A106" s="8"/>
      <c r="B106" s="8"/>
      <c r="C106" s="8" t="str">
        <f>""&amp;CHAR(10)&amp;Basic_Fundamental_Information_Constructure(F106)&amp;CHAR(10)&amp;Basic_Fundamental_Information_Concatenate("")</f>
        <v xml:space="preserve">
市值26.103518亿, 利润42.60亿; PE51.46; 平均PE3.62; 平均PEG.03, PB.81; ROIC2.66%; ROE-7.1267%; 股利率0%; 毛利15.9533%; 净利-5.3633%; 上一年度营收增631.47%, 利润增1418.89%; 当季营收增-92.09%, 利润增-101.98%; 过往5年营收增117.44%, 利润增249.92%
Income profile:
</v>
      </c>
      <c r="D106" t="s">
        <v>142</v>
      </c>
      <c r="E106" t="s">
        <v>69</v>
      </c>
      <c r="F106">
        <v>1.46</v>
      </c>
      <c r="G106">
        <v>9.77</v>
      </c>
      <c r="H106" t="s">
        <v>4366</v>
      </c>
      <c r="I106">
        <v>2610351800</v>
      </c>
      <c r="J106">
        <v>51.46</v>
      </c>
      <c r="K106">
        <v>0.81</v>
      </c>
      <c r="L106" t="s">
        <v>101</v>
      </c>
      <c r="M106" t="s">
        <v>4367</v>
      </c>
      <c r="N106" t="s">
        <v>4368</v>
      </c>
      <c r="O106" t="s">
        <v>1384</v>
      </c>
      <c r="P106">
        <v>-29.85</v>
      </c>
      <c r="Q106" t="s">
        <v>4369</v>
      </c>
      <c r="R106">
        <v>-33772000</v>
      </c>
      <c r="S106" s="6">
        <v>0.30669999999999997</v>
      </c>
      <c r="T106" t="s">
        <v>4370</v>
      </c>
      <c r="U106">
        <v>1787912200</v>
      </c>
      <c r="V106">
        <v>1787912200</v>
      </c>
      <c r="W106">
        <v>2.29</v>
      </c>
      <c r="X106">
        <v>0.09</v>
      </c>
      <c r="Y106">
        <v>-4.3</v>
      </c>
      <c r="Z106" t="s">
        <v>375</v>
      </c>
      <c r="AA106" t="s">
        <v>1983</v>
      </c>
      <c r="AB106" t="s">
        <v>4371</v>
      </c>
      <c r="AC106" t="s">
        <v>4372</v>
      </c>
      <c r="AD106" t="s">
        <v>5</v>
      </c>
      <c r="AE106">
        <v>11263000</v>
      </c>
      <c r="AF106" t="s">
        <v>127</v>
      </c>
      <c r="AG106" t="s">
        <v>4373</v>
      </c>
      <c r="AH106" t="s">
        <v>4374</v>
      </c>
      <c r="AI106" t="s">
        <v>1033</v>
      </c>
      <c r="AJ106" t="s">
        <v>4375</v>
      </c>
      <c r="AK106" t="s">
        <v>181</v>
      </c>
      <c r="AL106" t="s">
        <v>4376</v>
      </c>
      <c r="AM106" t="s">
        <v>5</v>
      </c>
      <c r="AN106" t="s">
        <v>4377</v>
      </c>
      <c r="AO106" t="s">
        <v>2051</v>
      </c>
      <c r="AP106" t="s">
        <v>5</v>
      </c>
      <c r="AQ106" t="s">
        <v>2252</v>
      </c>
      <c r="AR106" t="s">
        <v>5</v>
      </c>
      <c r="AS106" t="s">
        <v>4378</v>
      </c>
      <c r="AT106" t="s">
        <v>1070</v>
      </c>
      <c r="AU106" t="s">
        <v>4379</v>
      </c>
      <c r="AV106" t="s">
        <v>4380</v>
      </c>
      <c r="AW106" t="s">
        <v>4381</v>
      </c>
      <c r="AX106" t="s">
        <v>2011</v>
      </c>
      <c r="AY106" t="s">
        <v>1473</v>
      </c>
      <c r="AZ106" t="s">
        <v>1084</v>
      </c>
      <c r="BA106" t="s">
        <v>143</v>
      </c>
      <c r="BB106" t="s">
        <v>1086</v>
      </c>
      <c r="BC106" t="s">
        <v>1669</v>
      </c>
      <c r="BD106" t="s">
        <v>1474</v>
      </c>
      <c r="BE106" t="s">
        <v>1085</v>
      </c>
      <c r="BF106" t="s">
        <v>144</v>
      </c>
      <c r="BG106" t="s">
        <v>767</v>
      </c>
      <c r="BH106" t="s">
        <v>4382</v>
      </c>
      <c r="BI106" t="s">
        <v>4383</v>
      </c>
      <c r="BJ106" t="s">
        <v>2011</v>
      </c>
      <c r="BK106" t="s">
        <v>4384</v>
      </c>
      <c r="BL106" t="s">
        <v>4385</v>
      </c>
      <c r="BM106" t="s">
        <v>1669</v>
      </c>
      <c r="BN106">
        <v>2.66</v>
      </c>
      <c r="BO106" t="s">
        <v>5</v>
      </c>
      <c r="BP106" t="s">
        <v>5</v>
      </c>
      <c r="BQ106">
        <v>1.54</v>
      </c>
      <c r="BR106">
        <v>-10.050000000000001</v>
      </c>
      <c r="BS106">
        <v>-12.87</v>
      </c>
      <c r="BT106" t="s">
        <v>1720</v>
      </c>
      <c r="BU106" t="s">
        <v>1589</v>
      </c>
      <c r="BV106">
        <v>20.21</v>
      </c>
      <c r="BW106">
        <v>15.73</v>
      </c>
      <c r="BX106">
        <v>11.92</v>
      </c>
      <c r="BY106">
        <v>1.21</v>
      </c>
      <c r="BZ106">
        <v>-7.28</v>
      </c>
      <c r="CA106">
        <v>-10.02</v>
      </c>
      <c r="CB106">
        <v>8.9600000000000009</v>
      </c>
      <c r="CC106">
        <v>-20.22</v>
      </c>
      <c r="CD106" t="s">
        <v>4386</v>
      </c>
      <c r="CE106" t="s">
        <v>625</v>
      </c>
      <c r="CF106" s="10">
        <v>-0.92092411720510892</v>
      </c>
      <c r="CG106" s="11">
        <v>-1.0197960140679954</v>
      </c>
      <c r="CH106" s="10">
        <v>6.3147382736206055</v>
      </c>
      <c r="CI106" s="10">
        <v>-6.5996333956718445E-2</v>
      </c>
      <c r="CJ106" s="10">
        <v>0.12783510982990265</v>
      </c>
      <c r="CK106" s="10">
        <v>-0.43440234661102295</v>
      </c>
      <c r="CL106" s="10">
        <v>-7.0057488977909088E-2</v>
      </c>
      <c r="CM106" s="11">
        <v>14.188854217529297</v>
      </c>
      <c r="CN106" s="11">
        <v>0.30537635087966919</v>
      </c>
      <c r="CO106" s="11">
        <v>0.17112299799919128</v>
      </c>
      <c r="CP106" s="11">
        <v>-1.9211822748184204</v>
      </c>
      <c r="CQ106" s="11">
        <v>-0.24814814329147339</v>
      </c>
      <c r="CR106">
        <v>3.6171156581986144</v>
      </c>
      <c r="CS106">
        <v>3.0799075754427037E-2</v>
      </c>
      <c r="CT106">
        <v>0</v>
      </c>
      <c r="CU106" s="10">
        <v>1.1744234427809714</v>
      </c>
      <c r="CV106" s="11">
        <v>2.4992046296596526</v>
      </c>
      <c r="CW106">
        <v>0.06</v>
      </c>
      <c r="CX106">
        <v>0.46555462440525563</v>
      </c>
      <c r="CY106">
        <v>8738720628.5348473</v>
      </c>
      <c r="CZ106">
        <v>1.1744234427809714</v>
      </c>
      <c r="DA106">
        <v>6.855209192453432E-2</v>
      </c>
      <c r="DB106">
        <v>59346865803.579742</v>
      </c>
      <c r="DC106">
        <v>1.1157022706419228</v>
      </c>
      <c r="DD106">
        <v>9.360090601741089E-3</v>
      </c>
      <c r="DE106">
        <v>434648762827.49213</v>
      </c>
      <c r="DF106">
        <v>1.0334926296472549</v>
      </c>
      <c r="DG106">
        <v>1.0319843438391632E-3</v>
      </c>
      <c r="DH106">
        <v>3942261163444.6084</v>
      </c>
      <c r="DI106">
        <v>0.93953875422477717</v>
      </c>
      <c r="DJ106">
        <v>7.8731093094427982E-6</v>
      </c>
      <c r="DK106">
        <v>516740164539634.56</v>
      </c>
      <c r="DL106">
        <v>0.82209640994667998</v>
      </c>
      <c r="DM106">
        <v>4260000000</v>
      </c>
      <c r="DN106">
        <v>1.1744234427809714</v>
      </c>
      <c r="DO106">
        <v>4068351800.0000005</v>
      </c>
      <c r="DP106">
        <v>1218401000</v>
      </c>
      <c r="DQ106">
        <v>3258</v>
      </c>
      <c r="DR106">
        <v>-2.0953475599860805</v>
      </c>
      <c r="DS106">
        <v>-3.5190006437276482</v>
      </c>
      <c r="DT106" s="12">
        <v>-0.25666666666666665</v>
      </c>
      <c r="DU106">
        <v>-1.8983333333333334</v>
      </c>
      <c r="DV106">
        <v>-2.1550000000000002</v>
      </c>
      <c r="DW106">
        <v>7.307059629883482</v>
      </c>
      <c r="DX106">
        <v>0.43309077136258733</v>
      </c>
      <c r="DY106">
        <v>7.0654315733861814</v>
      </c>
      <c r="DZ106">
        <v>3982</v>
      </c>
      <c r="EA106">
        <v>7.0144436036750708</v>
      </c>
      <c r="EB106">
        <v>7</v>
      </c>
      <c r="EC106">
        <v>5.1606728786793891E-2</v>
      </c>
      <c r="ED106">
        <v>0.24218191474950504</v>
      </c>
      <c r="EE106" s="13">
        <v>-3.0207000000000002</v>
      </c>
      <c r="EF106">
        <v>-3.0463</v>
      </c>
      <c r="EG106">
        <v>22.213090771362587</v>
      </c>
      <c r="EH106" t="s">
        <v>1946</v>
      </c>
      <c r="EI106">
        <v>1</v>
      </c>
      <c r="EJ106">
        <v>0</v>
      </c>
      <c r="EK106" s="15">
        <v>45470</v>
      </c>
      <c r="EL106" s="16">
        <v>-4.58</v>
      </c>
      <c r="EM106" s="16">
        <v>-4.8</v>
      </c>
      <c r="EN106" s="16">
        <v>5.04</v>
      </c>
      <c r="EO106" s="16">
        <v>-1.26</v>
      </c>
      <c r="EP106" s="16">
        <v>2.56</v>
      </c>
    </row>
    <row r="107" spans="1:146" ht="108" x14ac:dyDescent="0.25">
      <c r="A107" s="8"/>
      <c r="B107" s="8"/>
      <c r="C107" s="8" t="str">
        <f>""&amp;CHAR(10)&amp;Basic_Fundamental_Information_Constructure(F107)&amp;CHAR(10)&amp;Basic_Fundamental_Information_Concatenate("")</f>
        <v xml:space="preserve">
市值29.029186亿, 利润-5670.02万; PE60.11; 平均PE144.53; 平均PEG5.22, PB3.16; ROIC4.7%; ROE4.9767%; 股利率.547%; 毛利21.7567%; 净利6.4033%; 上一年度营收增109.66%, 利润增-228.8%; 当季营收增-60.94%, 利润增128.73%; 过往5年营收增27.7%, 利润增-28.57%
Income profile:
</v>
      </c>
      <c r="D107" t="s">
        <v>389</v>
      </c>
      <c r="E107" t="s">
        <v>22</v>
      </c>
      <c r="F107">
        <v>12.98</v>
      </c>
      <c r="G107">
        <v>0.15</v>
      </c>
      <c r="H107" t="s">
        <v>4387</v>
      </c>
      <c r="I107">
        <v>2902918600</v>
      </c>
      <c r="J107">
        <v>60.11</v>
      </c>
      <c r="K107">
        <v>3.16</v>
      </c>
      <c r="L107" t="s">
        <v>101</v>
      </c>
      <c r="M107" t="s">
        <v>351</v>
      </c>
      <c r="N107" t="s">
        <v>4222</v>
      </c>
      <c r="O107" t="s">
        <v>326</v>
      </c>
      <c r="P107">
        <v>-35.08</v>
      </c>
      <c r="Q107" t="s">
        <v>2242</v>
      </c>
      <c r="R107">
        <v>11773706</v>
      </c>
      <c r="S107" s="6">
        <v>-0.26350000000000001</v>
      </c>
      <c r="T107" t="s">
        <v>4388</v>
      </c>
      <c r="U107">
        <v>223645500</v>
      </c>
      <c r="V107">
        <v>223645500</v>
      </c>
      <c r="W107">
        <v>1.73</v>
      </c>
      <c r="X107">
        <v>0.09</v>
      </c>
      <c r="Y107">
        <v>9.36</v>
      </c>
      <c r="Z107" t="s">
        <v>266</v>
      </c>
      <c r="AA107" t="s">
        <v>692</v>
      </c>
      <c r="AB107" t="s">
        <v>4389</v>
      </c>
      <c r="AC107" t="s">
        <v>4390</v>
      </c>
      <c r="AD107" t="s">
        <v>5</v>
      </c>
      <c r="AE107">
        <v>-1187962</v>
      </c>
      <c r="AF107" t="s">
        <v>4391</v>
      </c>
      <c r="AG107" t="s">
        <v>4392</v>
      </c>
      <c r="AH107" t="s">
        <v>4393</v>
      </c>
      <c r="AI107" t="s">
        <v>4394</v>
      </c>
      <c r="AJ107" t="s">
        <v>4395</v>
      </c>
      <c r="AK107" t="s">
        <v>218</v>
      </c>
      <c r="AL107" t="s">
        <v>4396</v>
      </c>
      <c r="AM107" t="s">
        <v>5</v>
      </c>
      <c r="AN107">
        <v>0</v>
      </c>
      <c r="AO107" t="s">
        <v>5</v>
      </c>
      <c r="AP107" t="s">
        <v>4397</v>
      </c>
      <c r="AQ107" t="s">
        <v>314</v>
      </c>
      <c r="AR107" t="s">
        <v>5</v>
      </c>
      <c r="AS107" t="s">
        <v>1155</v>
      </c>
      <c r="AT107" t="s">
        <v>5</v>
      </c>
      <c r="AU107" t="s">
        <v>4398</v>
      </c>
      <c r="AV107" t="s">
        <v>4399</v>
      </c>
      <c r="AW107">
        <v>-3042.66</v>
      </c>
      <c r="AX107" t="s">
        <v>1125</v>
      </c>
      <c r="AY107" t="s">
        <v>104</v>
      </c>
      <c r="AZ107" t="s">
        <v>103</v>
      </c>
      <c r="BA107" t="s">
        <v>390</v>
      </c>
      <c r="BB107" t="s">
        <v>1070</v>
      </c>
      <c r="BC107" t="s">
        <v>2012</v>
      </c>
      <c r="BD107" t="s">
        <v>1475</v>
      </c>
      <c r="BE107" t="s">
        <v>1088</v>
      </c>
      <c r="BF107" t="s">
        <v>391</v>
      </c>
      <c r="BG107" t="s">
        <v>1089</v>
      </c>
      <c r="BH107" t="s">
        <v>831</v>
      </c>
      <c r="BI107" t="s">
        <v>829</v>
      </c>
      <c r="BJ107" t="s">
        <v>1125</v>
      </c>
      <c r="BK107" t="s">
        <v>4400</v>
      </c>
      <c r="BL107" t="s">
        <v>4401</v>
      </c>
      <c r="BM107" t="s">
        <v>2012</v>
      </c>
      <c r="BN107">
        <v>4</v>
      </c>
      <c r="BO107">
        <v>4.75</v>
      </c>
      <c r="BP107">
        <v>5.35</v>
      </c>
      <c r="BQ107">
        <v>4.1500000000000004</v>
      </c>
      <c r="BR107">
        <v>5.15</v>
      </c>
      <c r="BS107">
        <v>5.63</v>
      </c>
      <c r="BT107" t="s">
        <v>4402</v>
      </c>
      <c r="BU107" t="s">
        <v>1536</v>
      </c>
      <c r="BV107">
        <v>19.149999999999999</v>
      </c>
      <c r="BW107">
        <v>21.85</v>
      </c>
      <c r="BX107">
        <v>24.27</v>
      </c>
      <c r="BY107">
        <v>5.83</v>
      </c>
      <c r="BZ107">
        <v>6.52</v>
      </c>
      <c r="CA107">
        <v>6.86</v>
      </c>
      <c r="CB107">
        <v>-3.13</v>
      </c>
      <c r="CC107">
        <v>-10.72</v>
      </c>
      <c r="CD107" t="s">
        <v>4403</v>
      </c>
      <c r="CE107" t="s">
        <v>4404</v>
      </c>
      <c r="CF107" s="10">
        <v>-0.60941828254847641</v>
      </c>
      <c r="CG107" s="11">
        <v>1.2873492867341085</v>
      </c>
      <c r="CH107" s="10">
        <v>1.0965985059738159</v>
      </c>
      <c r="CI107" s="10">
        <v>3.9603959769010544E-2</v>
      </c>
      <c r="CJ107" s="10">
        <v>1.5804598107933998E-2</v>
      </c>
      <c r="CK107" s="10">
        <v>5.4545454680919647E-2</v>
      </c>
      <c r="CL107" s="10">
        <v>0.1785714328289032</v>
      </c>
      <c r="CM107" s="11">
        <v>-2.2880203723907471</v>
      </c>
      <c r="CN107" s="11">
        <v>-4.8821646720170975E-2</v>
      </c>
      <c r="CO107" s="11">
        <v>0.21611139178276062</v>
      </c>
      <c r="CP107" s="11">
        <v>0.36648869514465332</v>
      </c>
      <c r="CQ107" s="11">
        <v>0.32579737901687622</v>
      </c>
      <c r="CR107">
        <v>144.52723300338468</v>
      </c>
      <c r="CS107">
        <v>5.2171227297534655</v>
      </c>
      <c r="CT107">
        <v>0.54699537750385208</v>
      </c>
      <c r="CU107" s="10">
        <v>0.27702479027211668</v>
      </c>
      <c r="CV107" s="11">
        <v>-0.28568891063332558</v>
      </c>
      <c r="CW107">
        <v>0.06</v>
      </c>
      <c r="CX107" t="e">
        <v>#VALUE!</v>
      </c>
      <c r="CY107" t="s">
        <v>1549</v>
      </c>
      <c r="CZ107">
        <v>0.27702479027211668</v>
      </c>
      <c r="DA107" t="e">
        <v>#VALUE!</v>
      </c>
      <c r="DB107" t="s">
        <v>1549</v>
      </c>
      <c r="DC107">
        <v>0.26317355075851084</v>
      </c>
      <c r="DD107" t="e">
        <v>#VALUE!</v>
      </c>
      <c r="DE107" t="s">
        <v>1549</v>
      </c>
      <c r="DF107">
        <v>0.24378181543946267</v>
      </c>
      <c r="DG107" t="e">
        <v>#VALUE!</v>
      </c>
      <c r="DH107" t="s">
        <v>1549</v>
      </c>
      <c r="DI107">
        <v>0.22161983221769335</v>
      </c>
      <c r="DJ107" t="e">
        <v>#VALUE!</v>
      </c>
      <c r="DK107" t="s">
        <v>1549</v>
      </c>
      <c r="DL107">
        <v>0.19391735319048167</v>
      </c>
      <c r="DM107">
        <v>-56700200.000000007</v>
      </c>
      <c r="DN107">
        <v>0.27702479027211668</v>
      </c>
      <c r="DO107">
        <v>2636918600</v>
      </c>
      <c r="DP107">
        <v>739835300</v>
      </c>
      <c r="DQ107">
        <v>3270</v>
      </c>
      <c r="DR107">
        <v>-0.88644307282059309</v>
      </c>
      <c r="DS107">
        <v>1.5730381973674341</v>
      </c>
      <c r="DT107" s="12">
        <v>-6.6666666666666714E-3</v>
      </c>
      <c r="DU107">
        <v>-0.62</v>
      </c>
      <c r="DV107">
        <v>-0.62666666666666671</v>
      </c>
      <c r="DW107">
        <v>-8.2919776119402986</v>
      </c>
      <c r="DX107">
        <v>0.41814613450218574</v>
      </c>
      <c r="DY107">
        <v>-8.0461751306895373</v>
      </c>
      <c r="DZ107">
        <v>960</v>
      </c>
      <c r="EA107">
        <v>-8.0375003507556908</v>
      </c>
      <c r="EB107">
        <v>8</v>
      </c>
      <c r="EC107">
        <v>5.0334122528734093E-2</v>
      </c>
      <c r="ED107">
        <v>0.31827602165033503</v>
      </c>
      <c r="EE107" s="13">
        <v>-5.0432100000000002</v>
      </c>
      <c r="EF107">
        <v>-5.0670099999999998</v>
      </c>
      <c r="EG107">
        <v>26.158146134502186</v>
      </c>
      <c r="EH107" t="s">
        <v>2193</v>
      </c>
      <c r="EI107">
        <v>0</v>
      </c>
      <c r="EJ107">
        <v>1</v>
      </c>
      <c r="EK107" s="15">
        <v>45470</v>
      </c>
      <c r="EL107" s="16">
        <v>-1.81</v>
      </c>
      <c r="EM107" s="16">
        <v>-1.37</v>
      </c>
      <c r="EN107" s="16">
        <v>0.48</v>
      </c>
      <c r="EO107" s="16">
        <v>0.48</v>
      </c>
      <c r="EP107" s="16">
        <v>-2.38</v>
      </c>
    </row>
    <row r="108" spans="1:146" ht="96" x14ac:dyDescent="0.25">
      <c r="A108" s="8"/>
      <c r="B108" s="8"/>
      <c r="C108" s="8" t="str">
        <f>""&amp;CHAR(10)&amp;Basic_Fundamental_Information_Constructure(F108)&amp;CHAR(10)&amp;Basic_Fundamental_Information_Concatenate("")</f>
        <v xml:space="preserve">
市值27.058768亿, 利润5.30亿; PE; 平均PE-10.6; 平均PEG-1.27, PB4.34; ROIC0%; ROE-29.3933%; 股利率0%; 毛利18.35%; 净利-13.7633%; 上一年度营收增49.25%, 利润增132.76%; 当季营收增-40.51%, 利润增-85.43%; 过往5年营收增8.37%, 利润增-132.04%
Income profile:
</v>
      </c>
      <c r="D108" t="s">
        <v>688</v>
      </c>
      <c r="E108" t="s">
        <v>689</v>
      </c>
      <c r="F108">
        <v>5.45</v>
      </c>
      <c r="G108">
        <v>1.1100000000000001</v>
      </c>
      <c r="H108" t="s">
        <v>4405</v>
      </c>
      <c r="I108">
        <v>2705876800</v>
      </c>
      <c r="K108">
        <v>4.34</v>
      </c>
      <c r="L108" t="s">
        <v>101</v>
      </c>
      <c r="M108" t="s">
        <v>4406</v>
      </c>
      <c r="N108" t="s">
        <v>4407</v>
      </c>
      <c r="O108" t="s">
        <v>1879</v>
      </c>
      <c r="P108">
        <v>-11.89</v>
      </c>
      <c r="Q108" t="s">
        <v>4408</v>
      </c>
      <c r="R108">
        <v>37579075</v>
      </c>
      <c r="S108" s="6">
        <v>1.111</v>
      </c>
      <c r="T108" t="s">
        <v>1182</v>
      </c>
      <c r="U108">
        <v>496491160</v>
      </c>
      <c r="V108">
        <v>496491160</v>
      </c>
      <c r="W108">
        <v>5.21</v>
      </c>
      <c r="X108">
        <v>0.12</v>
      </c>
      <c r="Y108">
        <v>2.73</v>
      </c>
      <c r="Z108" t="s">
        <v>4409</v>
      </c>
      <c r="AA108" t="s">
        <v>2176</v>
      </c>
      <c r="AB108" t="s">
        <v>539</v>
      </c>
      <c r="AC108" t="s">
        <v>173</v>
      </c>
      <c r="AD108" t="s">
        <v>5</v>
      </c>
      <c r="AE108">
        <v>76573103</v>
      </c>
      <c r="AF108" t="s">
        <v>4410</v>
      </c>
      <c r="AG108" t="s">
        <v>4411</v>
      </c>
      <c r="AH108" t="s">
        <v>4412</v>
      </c>
      <c r="AI108" t="s">
        <v>2069</v>
      </c>
      <c r="AJ108" t="s">
        <v>4413</v>
      </c>
      <c r="AK108" t="s">
        <v>816</v>
      </c>
      <c r="AL108" t="s">
        <v>4414</v>
      </c>
      <c r="AM108" t="s">
        <v>5</v>
      </c>
      <c r="AN108" t="s">
        <v>256</v>
      </c>
      <c r="AO108" t="s">
        <v>2182</v>
      </c>
      <c r="AP108" t="s">
        <v>4415</v>
      </c>
      <c r="AQ108" t="s">
        <v>2262</v>
      </c>
      <c r="AR108" t="s">
        <v>4416</v>
      </c>
      <c r="AS108" t="s">
        <v>4417</v>
      </c>
      <c r="AT108" t="s">
        <v>5</v>
      </c>
      <c r="AU108" t="s">
        <v>4418</v>
      </c>
      <c r="AV108" t="s">
        <v>4419</v>
      </c>
      <c r="AW108" t="s">
        <v>4420</v>
      </c>
      <c r="AX108" t="s">
        <v>2013</v>
      </c>
      <c r="AY108" t="s">
        <v>1476</v>
      </c>
      <c r="AZ108" t="s">
        <v>1090</v>
      </c>
      <c r="BA108" t="s">
        <v>690</v>
      </c>
      <c r="BB108" t="s">
        <v>1092</v>
      </c>
      <c r="BC108" t="s">
        <v>2014</v>
      </c>
      <c r="BD108" t="s">
        <v>1389</v>
      </c>
      <c r="BE108" t="s">
        <v>1091</v>
      </c>
      <c r="BF108" t="s">
        <v>691</v>
      </c>
      <c r="BG108" t="s">
        <v>792</v>
      </c>
      <c r="BH108" t="s">
        <v>4421</v>
      </c>
      <c r="BI108" t="s">
        <v>4422</v>
      </c>
      <c r="BJ108" t="s">
        <v>2013</v>
      </c>
      <c r="BK108" t="s">
        <v>4423</v>
      </c>
      <c r="BL108" t="s">
        <v>1377</v>
      </c>
      <c r="BM108" t="s">
        <v>2014</v>
      </c>
      <c r="BN108" t="s">
        <v>5</v>
      </c>
      <c r="BO108" t="s">
        <v>5</v>
      </c>
      <c r="BP108" t="s">
        <v>5</v>
      </c>
      <c r="BQ108">
        <v>-43.44</v>
      </c>
      <c r="BR108">
        <v>-39.99</v>
      </c>
      <c r="BS108">
        <v>-4.75</v>
      </c>
      <c r="BT108" t="s">
        <v>1720</v>
      </c>
      <c r="BU108" t="s">
        <v>1537</v>
      </c>
      <c r="BV108">
        <v>16.59</v>
      </c>
      <c r="BW108">
        <v>18.64</v>
      </c>
      <c r="BX108">
        <v>19.82</v>
      </c>
      <c r="BY108">
        <v>-23.28</v>
      </c>
      <c r="BZ108">
        <v>-15.51</v>
      </c>
      <c r="CA108">
        <v>-2.5</v>
      </c>
      <c r="CB108">
        <v>-6.68</v>
      </c>
      <c r="CC108">
        <v>-7.63</v>
      </c>
      <c r="CD108" t="s">
        <v>4424</v>
      </c>
      <c r="CE108" t="s">
        <v>895</v>
      </c>
      <c r="CF108" s="10">
        <v>-0.4051094890510949</v>
      </c>
      <c r="CG108" s="11">
        <v>-0.85434467054263563</v>
      </c>
      <c r="CH108" s="10">
        <v>0.49252152442932129</v>
      </c>
      <c r="CI108" s="10">
        <v>5.8346077799797058E-2</v>
      </c>
      <c r="CJ108" s="10">
        <v>3.9730072021484375E-3</v>
      </c>
      <c r="CK108" s="10">
        <v>-7.1860767900943756E-2</v>
      </c>
      <c r="CL108" s="10">
        <v>-6.4401939511299133E-2</v>
      </c>
      <c r="CM108" s="11">
        <v>1.3275648355484009</v>
      </c>
      <c r="CN108" s="11">
        <v>-5.5772356986999512</v>
      </c>
      <c r="CO108" s="11">
        <v>-6.9565214216709137E-2</v>
      </c>
      <c r="CP108" s="11">
        <v>-0.45569619536399841</v>
      </c>
      <c r="CQ108" s="11">
        <v>-1.8272250890731812</v>
      </c>
      <c r="CR108">
        <v>-10.604350620509472</v>
      </c>
      <c r="CS108">
        <v>-1.2667117123669271</v>
      </c>
      <c r="CT108">
        <v>0</v>
      </c>
      <c r="CU108" s="10">
        <v>8.3715580403804779E-2</v>
      </c>
      <c r="CV108" s="11">
        <v>-1.3204314723610877</v>
      </c>
      <c r="CW108">
        <v>0.06</v>
      </c>
      <c r="CX108">
        <v>28.547853476898659</v>
      </c>
      <c r="CY108">
        <v>541857790.20190227</v>
      </c>
      <c r="CZ108">
        <v>8.3715580403804779E-2</v>
      </c>
      <c r="DA108">
        <v>9.3789855188372826</v>
      </c>
      <c r="DB108">
        <v>1649312366.3461723</v>
      </c>
      <c r="DC108">
        <v>7.952980138361454E-2</v>
      </c>
      <c r="DD108">
        <v>4.6499764430617674</v>
      </c>
      <c r="DE108">
        <v>3326657024.9148507</v>
      </c>
      <c r="DF108">
        <v>7.36697107553482E-2</v>
      </c>
      <c r="DG108">
        <v>2.8147867867651186</v>
      </c>
      <c r="DH108">
        <v>5495576742.3427258</v>
      </c>
      <c r="DI108">
        <v>6.6972464323043823E-2</v>
      </c>
      <c r="DJ108">
        <v>1.4796641792998517</v>
      </c>
      <c r="DK108">
        <v>10454315929.523664</v>
      </c>
      <c r="DL108">
        <v>5.8600906282663338E-2</v>
      </c>
      <c r="DM108">
        <v>530000000</v>
      </c>
      <c r="DN108">
        <v>8.3715580403804779E-2</v>
      </c>
      <c r="DO108">
        <v>15468876800</v>
      </c>
      <c r="DP108">
        <v>1663781300</v>
      </c>
      <c r="DQ108">
        <v>3287</v>
      </c>
      <c r="DR108">
        <v>-0.48882506945489967</v>
      </c>
      <c r="DS108">
        <v>0.46608680181845208</v>
      </c>
      <c r="DT108" s="12">
        <v>-0.27333333333333337</v>
      </c>
      <c r="DU108">
        <v>-2.39</v>
      </c>
      <c r="DV108">
        <v>-2.6633333333333336</v>
      </c>
      <c r="DW108">
        <v>-9.8754914809960681</v>
      </c>
      <c r="DX108">
        <v>0.39934084429065664</v>
      </c>
      <c r="DY108">
        <v>-9.2358056146607588</v>
      </c>
      <c r="DZ108">
        <v>1788</v>
      </c>
      <c r="EA108">
        <v>-9.1532967224859174</v>
      </c>
      <c r="EB108">
        <v>9</v>
      </c>
      <c r="EC108">
        <v>0.15677922644181622</v>
      </c>
      <c r="ED108">
        <v>0.58208488545898784</v>
      </c>
      <c r="EE108" s="13">
        <v>-2.0525000000000002</v>
      </c>
      <c r="EF108">
        <v>-2.0430999999999999</v>
      </c>
      <c r="EG108">
        <v>13.269340844290657</v>
      </c>
      <c r="EH108" t="s">
        <v>1852</v>
      </c>
      <c r="EI108">
        <v>0</v>
      </c>
      <c r="EJ108">
        <v>0</v>
      </c>
      <c r="EK108" s="15">
        <v>45470</v>
      </c>
      <c r="EL108" s="16">
        <v>0.63</v>
      </c>
      <c r="EM108" s="16">
        <v>-0.94</v>
      </c>
      <c r="EN108" s="16">
        <v>0.32</v>
      </c>
      <c r="EO108" s="16">
        <v>0.32</v>
      </c>
      <c r="EP108" s="16">
        <v>-0.94</v>
      </c>
    </row>
    <row r="109" spans="1:146" ht="120" x14ac:dyDescent="0.25">
      <c r="A109" s="8" t="s">
        <v>1337</v>
      </c>
      <c r="B109" s="8"/>
      <c r="C109" s="8" t="s">
        <v>1336</v>
      </c>
      <c r="D109" t="s">
        <v>393</v>
      </c>
      <c r="E109" t="s">
        <v>71</v>
      </c>
      <c r="F109">
        <v>6.42</v>
      </c>
      <c r="G109">
        <v>-1.08</v>
      </c>
      <c r="H109" t="s">
        <v>4425</v>
      </c>
      <c r="I109">
        <v>26569741000</v>
      </c>
      <c r="J109">
        <v>10.95</v>
      </c>
      <c r="K109">
        <v>1.1200000000000001</v>
      </c>
      <c r="L109" t="s">
        <v>101</v>
      </c>
      <c r="M109" t="s">
        <v>4426</v>
      </c>
      <c r="N109" t="s">
        <v>4427</v>
      </c>
      <c r="O109" t="s">
        <v>4428</v>
      </c>
      <c r="P109">
        <v>10.74</v>
      </c>
      <c r="Q109" t="s">
        <v>4429</v>
      </c>
      <c r="R109">
        <v>692191070</v>
      </c>
      <c r="S109" s="6">
        <v>0.10780000000000001</v>
      </c>
      <c r="T109" t="s">
        <v>4430</v>
      </c>
      <c r="U109">
        <v>4138588900</v>
      </c>
      <c r="V109">
        <v>4138588900</v>
      </c>
      <c r="W109">
        <v>1.76</v>
      </c>
      <c r="X109">
        <v>0.14000000000000001</v>
      </c>
      <c r="Y109">
        <v>12.43</v>
      </c>
      <c r="Z109" t="s">
        <v>4431</v>
      </c>
      <c r="AA109" t="s">
        <v>4432</v>
      </c>
      <c r="AB109" t="s">
        <v>164</v>
      </c>
      <c r="AC109" t="s">
        <v>812</v>
      </c>
      <c r="AD109" t="s">
        <v>5</v>
      </c>
      <c r="AE109">
        <v>-59428300</v>
      </c>
      <c r="AF109" t="s">
        <v>4433</v>
      </c>
      <c r="AG109" t="s">
        <v>4434</v>
      </c>
      <c r="AH109" t="s">
        <v>4435</v>
      </c>
      <c r="AI109" t="s">
        <v>4436</v>
      </c>
      <c r="AJ109" t="s">
        <v>4437</v>
      </c>
      <c r="AK109" t="s">
        <v>1940</v>
      </c>
      <c r="AL109" t="s">
        <v>4438</v>
      </c>
      <c r="AM109" t="s">
        <v>5</v>
      </c>
      <c r="AN109" t="s">
        <v>2258</v>
      </c>
      <c r="AO109" t="s">
        <v>4439</v>
      </c>
      <c r="AP109" t="s">
        <v>2080</v>
      </c>
      <c r="AQ109" t="s">
        <v>4440</v>
      </c>
      <c r="AR109" t="s">
        <v>4441</v>
      </c>
      <c r="AS109" t="s">
        <v>4442</v>
      </c>
      <c r="AT109" t="s">
        <v>916</v>
      </c>
      <c r="AU109" t="s">
        <v>4443</v>
      </c>
      <c r="AV109" t="s">
        <v>2421</v>
      </c>
      <c r="AW109" t="s">
        <v>1554</v>
      </c>
      <c r="AX109" t="s">
        <v>2015</v>
      </c>
      <c r="AY109" t="s">
        <v>1477</v>
      </c>
      <c r="AZ109" t="s">
        <v>1093</v>
      </c>
      <c r="BA109" t="s">
        <v>394</v>
      </c>
      <c r="BB109" t="s">
        <v>1096</v>
      </c>
      <c r="BC109" t="s">
        <v>2016</v>
      </c>
      <c r="BD109" t="s">
        <v>1294</v>
      </c>
      <c r="BE109" t="s">
        <v>1094</v>
      </c>
      <c r="BF109" t="s">
        <v>395</v>
      </c>
      <c r="BG109" t="s">
        <v>859</v>
      </c>
      <c r="BH109" t="s">
        <v>4444</v>
      </c>
      <c r="BI109" t="s">
        <v>4445</v>
      </c>
      <c r="BJ109" t="s">
        <v>2015</v>
      </c>
      <c r="BK109" t="s">
        <v>4446</v>
      </c>
      <c r="BL109" t="s">
        <v>489</v>
      </c>
      <c r="BM109" t="s">
        <v>2016</v>
      </c>
      <c r="BN109">
        <v>9.02</v>
      </c>
      <c r="BO109">
        <v>9.69</v>
      </c>
      <c r="BP109">
        <v>7.9</v>
      </c>
      <c r="BQ109">
        <v>9.1199999999999992</v>
      </c>
      <c r="BR109">
        <v>9.91</v>
      </c>
      <c r="BS109">
        <v>8.76</v>
      </c>
      <c r="BT109" t="s">
        <v>4447</v>
      </c>
      <c r="BU109" t="s">
        <v>1536</v>
      </c>
      <c r="BV109">
        <v>30.93</v>
      </c>
      <c r="BW109">
        <v>30.28</v>
      </c>
      <c r="BX109">
        <v>29.91</v>
      </c>
      <c r="BY109">
        <v>10.62</v>
      </c>
      <c r="BZ109">
        <v>9.24</v>
      </c>
      <c r="CA109">
        <v>8.35</v>
      </c>
      <c r="CB109">
        <v>-6.82</v>
      </c>
      <c r="CC109">
        <v>-7.76</v>
      </c>
      <c r="CD109" t="s">
        <v>152</v>
      </c>
      <c r="CE109" t="s">
        <v>1261</v>
      </c>
      <c r="CF109" s="10">
        <v>0.1513209316867283</v>
      </c>
      <c r="CG109" s="11">
        <v>0.54506935267857126</v>
      </c>
      <c r="CH109" s="10">
        <v>0.12168075144290924</v>
      </c>
      <c r="CI109" s="10">
        <v>0.16312423348426819</v>
      </c>
      <c r="CJ109" s="10">
        <v>0.14689567685127258</v>
      </c>
      <c r="CK109" s="10">
        <v>6.0255825519561768E-2</v>
      </c>
      <c r="CL109" s="10">
        <v>8.0550827085971832E-2</v>
      </c>
      <c r="CM109" s="11">
        <v>-0.1695697009563446</v>
      </c>
      <c r="CN109" s="11">
        <v>0.20493827760219574</v>
      </c>
      <c r="CO109" s="11">
        <v>0.18768328428268433</v>
      </c>
      <c r="CP109" s="11">
        <v>0.23215891420841217</v>
      </c>
      <c r="CQ109" s="11">
        <v>0.15072771906852722</v>
      </c>
      <c r="CR109">
        <v>18.481155344307904</v>
      </c>
      <c r="CS109">
        <v>1.6140540810551547</v>
      </c>
      <c r="CT109">
        <v>4.361370716510903</v>
      </c>
      <c r="CU109" s="10">
        <v>0.11450146287679672</v>
      </c>
      <c r="CV109" s="11">
        <v>0.12118769884109497</v>
      </c>
      <c r="CW109">
        <v>0.06</v>
      </c>
      <c r="CX109">
        <v>12.266135932367167</v>
      </c>
      <c r="CY109">
        <v>1704346105.0219691</v>
      </c>
      <c r="CZ109">
        <v>0.11450146287679672</v>
      </c>
      <c r="DA109">
        <v>3.9263783162212018</v>
      </c>
      <c r="DB109">
        <v>5324433693.419528</v>
      </c>
      <c r="DC109">
        <v>0.10877638973295688</v>
      </c>
      <c r="DD109">
        <v>1.8796390449110778</v>
      </c>
      <c r="DE109">
        <v>11122210435.34931</v>
      </c>
      <c r="DF109">
        <v>0.10076128733158111</v>
      </c>
      <c r="DG109">
        <v>1.0933720242368459</v>
      </c>
      <c r="DH109">
        <v>19120427939.055634</v>
      </c>
      <c r="DI109">
        <v>9.1601170301437385E-2</v>
      </c>
      <c r="DJ109">
        <v>0.52604093143855468</v>
      </c>
      <c r="DK109">
        <v>39741662198.851044</v>
      </c>
      <c r="DL109">
        <v>8.0151024013757691E-2</v>
      </c>
      <c r="DM109">
        <v>1621000000</v>
      </c>
      <c r="DN109">
        <v>0.11450146287679672</v>
      </c>
      <c r="DO109">
        <v>20905741000</v>
      </c>
      <c r="DP109">
        <v>20125690000</v>
      </c>
      <c r="DQ109">
        <v>3290</v>
      </c>
      <c r="DR109">
        <v>3.6819468809931588E-2</v>
      </c>
      <c r="DS109">
        <v>0.42388165383747628</v>
      </c>
      <c r="DT109" s="12">
        <v>-0.28999999999999998</v>
      </c>
      <c r="DU109">
        <v>0.55333333333333323</v>
      </c>
      <c r="DV109">
        <v>0.26333333333333325</v>
      </c>
      <c r="DW109">
        <v>-9.8788659793814428</v>
      </c>
      <c r="DX109">
        <v>0.37806451612903375</v>
      </c>
      <c r="DY109">
        <v>-9.1564948453608253</v>
      </c>
      <c r="DZ109">
        <v>4120</v>
      </c>
      <c r="EA109">
        <v>-9.0303189622127622</v>
      </c>
      <c r="EB109">
        <v>9</v>
      </c>
      <c r="EC109">
        <v>3.3344698720861113E-2</v>
      </c>
      <c r="ED109">
        <v>0.18726189499034321</v>
      </c>
      <c r="EE109" s="13">
        <v>1.0798099999999999</v>
      </c>
      <c r="EF109">
        <v>1.0946100000000001</v>
      </c>
      <c r="EG109">
        <v>20.178064516129034</v>
      </c>
      <c r="EH109" t="s">
        <v>1815</v>
      </c>
      <c r="EI109">
        <v>0</v>
      </c>
      <c r="EJ109">
        <v>0</v>
      </c>
      <c r="EK109" s="15">
        <v>45470</v>
      </c>
      <c r="EL109" s="16">
        <v>0.37</v>
      </c>
      <c r="EM109" s="16">
        <v>-3.68</v>
      </c>
      <c r="EN109" s="16">
        <v>0.76</v>
      </c>
      <c r="EO109" s="16">
        <v>2.27</v>
      </c>
      <c r="EP109" s="16">
        <v>-1.48</v>
      </c>
    </row>
    <row r="110" spans="1:146" ht="108" x14ac:dyDescent="0.25">
      <c r="A110" s="8"/>
      <c r="B110" s="8"/>
      <c r="C110" s="8" t="str">
        <f>""&amp;CHAR(10)&amp;Basic_Fundamental_Information_Constructure(F110)&amp;CHAR(10)&amp;Basic_Fundamental_Information_Concatenate("")</f>
        <v xml:space="preserve">
市值112.092228亿, 利润-2876.67万; PE11.42; 平均PE12.71; 平均PEG.73, PB.819; ROIC7.4033%; ROE6.89%; 股利率4.0146%; 毛利15.9467%; 净利6.0833%; 上一年度营收增-97.81%, 利润增-102.93%; 当季营收增3294.49%, 利润增17134.87%; 过往5年营收增-17.37%, 利润增-24.22%
Income profile:
</v>
      </c>
      <c r="D110" t="s">
        <v>775</v>
      </c>
      <c r="E110" t="s">
        <v>74</v>
      </c>
      <c r="F110">
        <v>10.96</v>
      </c>
      <c r="G110">
        <v>-0.45</v>
      </c>
      <c r="H110" t="s">
        <v>4448</v>
      </c>
      <c r="I110">
        <v>11209222800</v>
      </c>
      <c r="J110">
        <v>11.42</v>
      </c>
      <c r="K110">
        <v>0.81899999999999995</v>
      </c>
      <c r="L110" t="s">
        <v>101</v>
      </c>
      <c r="M110" t="s">
        <v>4449</v>
      </c>
      <c r="N110" t="s">
        <v>4450</v>
      </c>
      <c r="O110" t="s">
        <v>4451</v>
      </c>
      <c r="P110">
        <v>-5.01</v>
      </c>
      <c r="Q110" t="s">
        <v>1017</v>
      </c>
      <c r="R110">
        <v>212299140</v>
      </c>
      <c r="S110" s="6">
        <v>-8.0799999999999997E-2</v>
      </c>
      <c r="T110" t="s">
        <v>4452</v>
      </c>
      <c r="U110">
        <v>806504300</v>
      </c>
      <c r="V110">
        <v>1022739310</v>
      </c>
      <c r="W110">
        <v>2.27</v>
      </c>
      <c r="X110">
        <v>0.12</v>
      </c>
      <c r="Y110">
        <v>7.5</v>
      </c>
      <c r="Z110" t="s">
        <v>4453</v>
      </c>
      <c r="AA110" t="s">
        <v>4454</v>
      </c>
      <c r="AB110" t="s">
        <v>199</v>
      </c>
      <c r="AC110" t="s">
        <v>354</v>
      </c>
      <c r="AD110" t="s">
        <v>5</v>
      </c>
      <c r="AE110">
        <v>-60711392</v>
      </c>
      <c r="AF110" t="s">
        <v>4455</v>
      </c>
      <c r="AG110" t="s">
        <v>4456</v>
      </c>
      <c r="AH110" t="s">
        <v>4457</v>
      </c>
      <c r="AI110" t="s">
        <v>4458</v>
      </c>
      <c r="AJ110" t="s">
        <v>4459</v>
      </c>
      <c r="AK110" t="s">
        <v>1591</v>
      </c>
      <c r="AL110" t="s">
        <v>4460</v>
      </c>
      <c r="AM110" t="s">
        <v>5</v>
      </c>
      <c r="AN110" t="s">
        <v>4461</v>
      </c>
      <c r="AO110" t="s">
        <v>4462</v>
      </c>
      <c r="AP110" t="s">
        <v>187</v>
      </c>
      <c r="AQ110" t="s">
        <v>4463</v>
      </c>
      <c r="AR110" t="s">
        <v>4464</v>
      </c>
      <c r="AS110" t="s">
        <v>4465</v>
      </c>
      <c r="AT110" t="s">
        <v>5</v>
      </c>
      <c r="AU110" t="s">
        <v>2113</v>
      </c>
      <c r="AV110" t="s">
        <v>1080</v>
      </c>
      <c r="AW110" t="s">
        <v>4466</v>
      </c>
      <c r="AX110" t="s">
        <v>2018</v>
      </c>
      <c r="AY110" t="s">
        <v>1480</v>
      </c>
      <c r="AZ110" t="s">
        <v>1100</v>
      </c>
      <c r="BA110" t="s">
        <v>1101</v>
      </c>
      <c r="BB110" t="s">
        <v>1102</v>
      </c>
      <c r="BC110" t="s">
        <v>1604</v>
      </c>
      <c r="BD110" t="s">
        <v>1481</v>
      </c>
      <c r="BE110" t="s">
        <v>972</v>
      </c>
      <c r="BF110" t="s">
        <v>972</v>
      </c>
      <c r="BG110" t="s">
        <v>245</v>
      </c>
      <c r="BH110" t="s">
        <v>4467</v>
      </c>
      <c r="BI110" t="s">
        <v>298</v>
      </c>
      <c r="BJ110" t="s">
        <v>2018</v>
      </c>
      <c r="BK110" t="s">
        <v>3702</v>
      </c>
      <c r="BL110" t="s">
        <v>4468</v>
      </c>
      <c r="BM110" t="s">
        <v>1604</v>
      </c>
      <c r="BN110">
        <v>6.71</v>
      </c>
      <c r="BO110">
        <v>8.76</v>
      </c>
      <c r="BP110">
        <v>6.74</v>
      </c>
      <c r="BQ110">
        <v>6.18</v>
      </c>
      <c r="BR110">
        <v>7.78</v>
      </c>
      <c r="BS110">
        <v>6.71</v>
      </c>
      <c r="BT110" t="s">
        <v>4469</v>
      </c>
      <c r="BU110" t="s">
        <v>1595</v>
      </c>
      <c r="BV110">
        <v>16.11</v>
      </c>
      <c r="BW110">
        <v>15.44</v>
      </c>
      <c r="BX110">
        <v>16.29</v>
      </c>
      <c r="BY110">
        <v>7</v>
      </c>
      <c r="BZ110">
        <v>6.51</v>
      </c>
      <c r="CA110">
        <v>4.74</v>
      </c>
      <c r="CB110">
        <v>-4.78</v>
      </c>
      <c r="CC110">
        <v>-13.02</v>
      </c>
      <c r="CD110" t="s">
        <v>4470</v>
      </c>
      <c r="CE110" t="s">
        <v>248</v>
      </c>
      <c r="CF110" s="10">
        <v>32.944881889763778</v>
      </c>
      <c r="CG110" s="11">
        <v>171.34870920603993</v>
      </c>
      <c r="CH110" s="10">
        <v>-0.978107750415802</v>
      </c>
      <c r="CI110" s="10">
        <v>-4.6405341476202011E-2</v>
      </c>
      <c r="CJ110" s="10">
        <v>5.6552950292825699E-2</v>
      </c>
      <c r="CK110" s="10">
        <v>4.9623202532529831E-2</v>
      </c>
      <c r="CL110" s="10">
        <v>4.9637332558631897E-2</v>
      </c>
      <c r="CM110" s="11">
        <v>-1.0293238162994385</v>
      </c>
      <c r="CN110" s="11">
        <v>0.20961774885654449</v>
      </c>
      <c r="CO110" s="11">
        <v>-0.28230088949203491</v>
      </c>
      <c r="CP110" s="11">
        <v>0</v>
      </c>
      <c r="CQ110" s="11">
        <v>-0.10883280634880066</v>
      </c>
      <c r="CR110">
        <v>12.710710903637532</v>
      </c>
      <c r="CS110">
        <v>0.73159414419052315</v>
      </c>
      <c r="CT110">
        <v>4.0145985401459852</v>
      </c>
      <c r="CU110" s="10">
        <v>-0.17373992130160332</v>
      </c>
      <c r="CV110" s="11">
        <v>-0.2421679526567459</v>
      </c>
      <c r="CW110">
        <v>0.06</v>
      </c>
      <c r="CX110" t="e">
        <v>#VALUE!</v>
      </c>
      <c r="CY110" t="s">
        <v>1549</v>
      </c>
      <c r="CZ110">
        <v>-0.17373992130160332</v>
      </c>
      <c r="DA110" t="e">
        <v>#VALUE!</v>
      </c>
      <c r="DB110" t="s">
        <v>1549</v>
      </c>
      <c r="DC110">
        <v>-0.16505292523652315</v>
      </c>
      <c r="DD110" t="e">
        <v>#VALUE!</v>
      </c>
      <c r="DE110" t="s">
        <v>1549</v>
      </c>
      <c r="DF110">
        <v>-0.15289113074541091</v>
      </c>
      <c r="DG110" t="e">
        <v>#VALUE!</v>
      </c>
      <c r="DH110" t="s">
        <v>1549</v>
      </c>
      <c r="DI110">
        <v>-0.13899193704128265</v>
      </c>
      <c r="DJ110" t="e">
        <v>#VALUE!</v>
      </c>
      <c r="DK110" t="s">
        <v>1549</v>
      </c>
      <c r="DL110">
        <v>-0.12161794491112231</v>
      </c>
      <c r="DM110">
        <v>-28766700</v>
      </c>
      <c r="DN110">
        <v>-0.17373992130160332</v>
      </c>
      <c r="DO110">
        <v>15696222800</v>
      </c>
      <c r="DP110">
        <v>10430485000</v>
      </c>
      <c r="DQ110">
        <v>3505</v>
      </c>
      <c r="DR110">
        <v>33.118621811065381</v>
      </c>
      <c r="DS110">
        <v>171.59087715869669</v>
      </c>
      <c r="DT110" s="12">
        <v>-0.77333333333333332</v>
      </c>
      <c r="DU110">
        <v>-0.95333333333333348</v>
      </c>
      <c r="DV110">
        <v>-1.7266666666666668</v>
      </c>
      <c r="DW110">
        <v>-8.367127496159755</v>
      </c>
      <c r="DX110">
        <v>0.43399226190476226</v>
      </c>
      <c r="DY110">
        <v>-8.0748911683490601</v>
      </c>
      <c r="DZ110">
        <v>2628</v>
      </c>
      <c r="EA110">
        <v>-8.0363757103409714</v>
      </c>
      <c r="EB110">
        <v>8</v>
      </c>
      <c r="EC110">
        <v>3.3508734498530229E-2</v>
      </c>
      <c r="ED110">
        <v>0.16426473330725891</v>
      </c>
      <c r="EE110" s="13">
        <v>-1.0101</v>
      </c>
      <c r="EF110">
        <v>-1.00051</v>
      </c>
      <c r="EG110">
        <v>23.203992261904762</v>
      </c>
      <c r="EH110" t="s">
        <v>1563</v>
      </c>
      <c r="EI110">
        <v>0</v>
      </c>
      <c r="EJ110">
        <v>0</v>
      </c>
      <c r="EK110" s="15">
        <v>45470</v>
      </c>
      <c r="EL110" s="16">
        <v>0.15</v>
      </c>
      <c r="EM110" s="16">
        <v>-3.45</v>
      </c>
      <c r="EN110" s="16">
        <v>0.78</v>
      </c>
      <c r="EO110" s="16">
        <v>1.54</v>
      </c>
      <c r="EP110" s="16">
        <v>-1.06</v>
      </c>
    </row>
    <row r="111" spans="1:146" ht="108" x14ac:dyDescent="0.25">
      <c r="A111" s="8"/>
      <c r="B111" s="8"/>
      <c r="C111" s="8" t="str">
        <f>""&amp;CHAR(10)&amp;Basic_Fundamental_Information_Constructure(F111)&amp;CHAR(10)&amp;Basic_Fundamental_Information_Concatenate("")</f>
        <v xml:space="preserve">
市值47.211621亿, 利润-3.93亿; PE65.81; 平均PE534.56; 平均PEG38.24, PB1.42; ROIC2.6067%; ROE2.51%; 股利率.7553%; 毛利23.97%; 净利2.6567%; 上一年度营收增-74.14%, 利润增-637.18%; 当季营收增364.96%, 利润增139.6%; 过往5年营收增-13.98%, 利润增-137.24%
Income profile:
</v>
      </c>
      <c r="D111" t="s">
        <v>148</v>
      </c>
      <c r="E111" t="s">
        <v>62</v>
      </c>
      <c r="F111">
        <v>6.62</v>
      </c>
      <c r="G111">
        <v>-1.49</v>
      </c>
      <c r="H111" t="s">
        <v>4471</v>
      </c>
      <c r="I111">
        <v>4721162100</v>
      </c>
      <c r="J111">
        <v>65.81</v>
      </c>
      <c r="K111">
        <v>1.42</v>
      </c>
      <c r="L111" t="s">
        <v>101</v>
      </c>
      <c r="M111" t="s">
        <v>1695</v>
      </c>
      <c r="N111" t="s">
        <v>4472</v>
      </c>
      <c r="O111" t="s">
        <v>4473</v>
      </c>
      <c r="P111">
        <v>27.89</v>
      </c>
      <c r="Q111" t="s">
        <v>1965</v>
      </c>
      <c r="R111">
        <v>16161295</v>
      </c>
      <c r="S111" s="6">
        <v>-0.54039999999999999</v>
      </c>
      <c r="T111" t="s">
        <v>4474</v>
      </c>
      <c r="U111">
        <v>469222730</v>
      </c>
      <c r="V111">
        <v>713166480</v>
      </c>
      <c r="W111">
        <v>1.78</v>
      </c>
      <c r="X111">
        <v>0.18</v>
      </c>
      <c r="Y111">
        <v>1.66</v>
      </c>
      <c r="Z111" t="s">
        <v>4475</v>
      </c>
      <c r="AA111" t="s">
        <v>871</v>
      </c>
      <c r="AB111" t="s">
        <v>4476</v>
      </c>
      <c r="AC111" t="s">
        <v>4477</v>
      </c>
      <c r="AD111" t="s">
        <v>5</v>
      </c>
      <c r="AE111">
        <v>7275709</v>
      </c>
      <c r="AF111" t="s">
        <v>4478</v>
      </c>
      <c r="AG111" t="s">
        <v>4479</v>
      </c>
      <c r="AH111" t="s">
        <v>4480</v>
      </c>
      <c r="AI111" t="s">
        <v>661</v>
      </c>
      <c r="AJ111" t="s">
        <v>4481</v>
      </c>
      <c r="AK111" t="s">
        <v>4482</v>
      </c>
      <c r="AL111" t="s">
        <v>4483</v>
      </c>
      <c r="AM111" t="s">
        <v>5</v>
      </c>
      <c r="AN111" t="s">
        <v>4484</v>
      </c>
      <c r="AO111" t="s">
        <v>2063</v>
      </c>
      <c r="AP111" t="s">
        <v>4485</v>
      </c>
      <c r="AQ111" t="s">
        <v>1181</v>
      </c>
      <c r="AR111" t="s">
        <v>4486</v>
      </c>
      <c r="AS111" t="s">
        <v>1295</v>
      </c>
      <c r="AT111" t="s">
        <v>346</v>
      </c>
      <c r="AU111" t="s">
        <v>2653</v>
      </c>
      <c r="AV111" t="s">
        <v>4487</v>
      </c>
      <c r="AW111" t="s">
        <v>4488</v>
      </c>
      <c r="AX111" t="s">
        <v>2019</v>
      </c>
      <c r="AY111" t="s">
        <v>1482</v>
      </c>
      <c r="AZ111" t="s">
        <v>1103</v>
      </c>
      <c r="BA111" t="s">
        <v>150</v>
      </c>
      <c r="BB111" t="s">
        <v>1105</v>
      </c>
      <c r="BC111" t="s">
        <v>2020</v>
      </c>
      <c r="BD111" t="s">
        <v>1483</v>
      </c>
      <c r="BE111" t="s">
        <v>1104</v>
      </c>
      <c r="BF111" t="s">
        <v>151</v>
      </c>
      <c r="BG111" t="s">
        <v>326</v>
      </c>
      <c r="BH111" t="s">
        <v>4489</v>
      </c>
      <c r="BI111" t="s">
        <v>404</v>
      </c>
      <c r="BJ111" t="s">
        <v>2019</v>
      </c>
      <c r="BK111" t="s">
        <v>4490</v>
      </c>
      <c r="BL111" t="s">
        <v>4491</v>
      </c>
      <c r="BM111" t="s">
        <v>2020</v>
      </c>
      <c r="BN111">
        <v>2.76</v>
      </c>
      <c r="BO111">
        <v>2.2400000000000002</v>
      </c>
      <c r="BP111">
        <v>2.82</v>
      </c>
      <c r="BQ111">
        <v>2.87</v>
      </c>
      <c r="BR111">
        <v>2.2999999999999998</v>
      </c>
      <c r="BS111">
        <v>2.36</v>
      </c>
      <c r="BT111" t="s">
        <v>1725</v>
      </c>
      <c r="BU111" t="s">
        <v>1589</v>
      </c>
      <c r="BV111">
        <v>24.7</v>
      </c>
      <c r="BW111">
        <v>23.83</v>
      </c>
      <c r="BX111">
        <v>23.38</v>
      </c>
      <c r="BY111">
        <v>2.88</v>
      </c>
      <c r="BZ111">
        <v>2.4300000000000002</v>
      </c>
      <c r="CA111">
        <v>2.66</v>
      </c>
      <c r="CB111">
        <v>-10.78</v>
      </c>
      <c r="CC111">
        <v>-33.06</v>
      </c>
      <c r="CD111" t="s">
        <v>140</v>
      </c>
      <c r="CE111" t="s">
        <v>4492</v>
      </c>
      <c r="CF111" s="10">
        <v>3.6495726495726495</v>
      </c>
      <c r="CG111" s="11">
        <v>1.395982059725775</v>
      </c>
      <c r="CH111" s="10">
        <v>-0.7413637638092041</v>
      </c>
      <c r="CI111" s="10">
        <v>6.5279997885227203E-2</v>
      </c>
      <c r="CJ111" s="10">
        <v>1.9575856626033783E-2</v>
      </c>
      <c r="CK111" s="10">
        <v>-4.517132043838501E-2</v>
      </c>
      <c r="CL111" s="10">
        <v>2.811601385474205E-3</v>
      </c>
      <c r="CM111" s="11">
        <v>-6.3718099594116211</v>
      </c>
      <c r="CN111" s="11">
        <v>0.18617276847362518</v>
      </c>
      <c r="CO111" s="11">
        <v>-0.26978930830955505</v>
      </c>
      <c r="CP111" s="11">
        <v>-1.4295750297605991E-2</v>
      </c>
      <c r="CQ111" s="11">
        <v>-0.39227092266082764</v>
      </c>
      <c r="CR111">
        <v>534.5579207192111</v>
      </c>
      <c r="CS111">
        <v>38.244575870585749</v>
      </c>
      <c r="CT111">
        <v>0.75528700906344415</v>
      </c>
      <c r="CU111" s="10">
        <v>-0.13977352567017079</v>
      </c>
      <c r="CV111" s="11">
        <v>-1.3723986344411969</v>
      </c>
      <c r="CW111">
        <v>0.06</v>
      </c>
      <c r="CX111" t="e">
        <v>#VALUE!</v>
      </c>
      <c r="CY111" t="s">
        <v>1549</v>
      </c>
      <c r="CZ111">
        <v>-0.13977352567017079</v>
      </c>
      <c r="DA111" t="e">
        <v>#VALUE!</v>
      </c>
      <c r="DB111" t="s">
        <v>1549</v>
      </c>
      <c r="DC111">
        <v>-0.13278484938666224</v>
      </c>
      <c r="DD111" t="e">
        <v>#VALUE!</v>
      </c>
      <c r="DE111" t="s">
        <v>1549</v>
      </c>
      <c r="DF111">
        <v>-0.12300070258975029</v>
      </c>
      <c r="DG111" t="e">
        <v>#VALUE!</v>
      </c>
      <c r="DH111" t="s">
        <v>1549</v>
      </c>
      <c r="DI111">
        <v>-0.11181882053613663</v>
      </c>
      <c r="DJ111" t="e">
        <v>#VALUE!</v>
      </c>
      <c r="DK111" t="s">
        <v>1549</v>
      </c>
      <c r="DL111">
        <v>-9.784146796911955E-2</v>
      </c>
      <c r="DM111">
        <v>-393000000</v>
      </c>
      <c r="DN111">
        <v>-0.13977352567017079</v>
      </c>
      <c r="DO111">
        <v>3416162099.9999995</v>
      </c>
      <c r="DP111">
        <v>1959010200</v>
      </c>
      <c r="DQ111">
        <v>3511</v>
      </c>
      <c r="DR111">
        <v>3.7893461752428204</v>
      </c>
      <c r="DS111">
        <v>2.768380694166972</v>
      </c>
      <c r="DT111" s="12">
        <v>-0.77333333333333332</v>
      </c>
      <c r="DU111">
        <v>-1.2733333333333332</v>
      </c>
      <c r="DV111">
        <v>-2.0466666666666664</v>
      </c>
      <c r="DW111">
        <v>-9.326073805202661</v>
      </c>
      <c r="DX111">
        <v>0.29798076923076788</v>
      </c>
      <c r="DY111">
        <v>-9.028688224207734</v>
      </c>
      <c r="DZ111">
        <v>3640</v>
      </c>
      <c r="EA111">
        <v>-9.0082527768268825</v>
      </c>
      <c r="EB111">
        <v>9</v>
      </c>
      <c r="EC111">
        <v>0.25660207697927701</v>
      </c>
      <c r="ED111">
        <v>2.9165700552835854</v>
      </c>
      <c r="EE111" s="13">
        <v>-2.0066999999999999</v>
      </c>
      <c r="EF111">
        <v>-2.0222099999999998</v>
      </c>
      <c r="EG111">
        <v>21.087980769230768</v>
      </c>
      <c r="EH111" t="s">
        <v>2103</v>
      </c>
      <c r="EI111">
        <v>0</v>
      </c>
      <c r="EJ111">
        <v>0</v>
      </c>
      <c r="EK111" s="15">
        <v>45470</v>
      </c>
      <c r="EL111" s="16">
        <v>0</v>
      </c>
      <c r="EM111" s="16">
        <v>-4.68</v>
      </c>
      <c r="EN111" s="16">
        <v>1.84</v>
      </c>
      <c r="EO111" s="16">
        <v>4.22</v>
      </c>
      <c r="EP111" s="16">
        <v>-2.89</v>
      </c>
    </row>
    <row r="112" spans="1:146" ht="108" x14ac:dyDescent="0.25">
      <c r="A112" s="8"/>
      <c r="B112" s="8"/>
      <c r="C112" s="8" t="str">
        <f>""&amp;CHAR(10)&amp;Basic_Fundamental_Information_Constructure(F112)&amp;CHAR(10)&amp;Basic_Fundamental_Information_Concatenate("")</f>
        <v xml:space="preserve">
市值93.906201亿, 利润9.48亿; PE12.72; 平均PE16.67; 平均PEG1.94, PB1.01; ROIC5.44%; ROE6.48%; 股利率4.9451%; 毛利12.5033%; 净利8.3733%; 上一年度营收增-71.32%, 利润增84.8%; 当季营收增458.87%, 利润增-103.66%; 过往5年营收增-8.6%, 利润增68.09%
Income profile:
</v>
      </c>
      <c r="D112" t="s">
        <v>776</v>
      </c>
      <c r="E112" t="s">
        <v>73</v>
      </c>
      <c r="F112">
        <v>10.92</v>
      </c>
      <c r="G112">
        <v>-2.59</v>
      </c>
      <c r="H112" t="s">
        <v>4493</v>
      </c>
      <c r="I112">
        <v>9390620100</v>
      </c>
      <c r="J112">
        <v>12.72</v>
      </c>
      <c r="K112">
        <v>1.01</v>
      </c>
      <c r="L112" t="s">
        <v>101</v>
      </c>
      <c r="M112" t="s">
        <v>4494</v>
      </c>
      <c r="N112" t="s">
        <v>4495</v>
      </c>
      <c r="O112" t="s">
        <v>4496</v>
      </c>
      <c r="P112">
        <v>3.17</v>
      </c>
      <c r="Q112" t="s">
        <v>4497</v>
      </c>
      <c r="R112">
        <v>-7240272</v>
      </c>
      <c r="S112" s="6">
        <v>-1.444</v>
      </c>
      <c r="T112" t="s">
        <v>2050</v>
      </c>
      <c r="U112">
        <v>859946900</v>
      </c>
      <c r="V112">
        <v>859946900</v>
      </c>
      <c r="W112">
        <v>1.49</v>
      </c>
      <c r="X112">
        <v>0.1</v>
      </c>
      <c r="Y112">
        <v>-0.73</v>
      </c>
      <c r="Z112" t="s">
        <v>496</v>
      </c>
      <c r="AA112" t="s">
        <v>4498</v>
      </c>
      <c r="AB112" t="s">
        <v>4499</v>
      </c>
      <c r="AC112" t="s">
        <v>178</v>
      </c>
      <c r="AD112" t="s">
        <v>5</v>
      </c>
      <c r="AE112">
        <v>-30282253</v>
      </c>
      <c r="AF112" t="s">
        <v>4500</v>
      </c>
      <c r="AG112" t="s">
        <v>4501</v>
      </c>
      <c r="AH112" t="s">
        <v>4502</v>
      </c>
      <c r="AI112" t="s">
        <v>4503</v>
      </c>
      <c r="AJ112" t="s">
        <v>4504</v>
      </c>
      <c r="AK112" t="s">
        <v>433</v>
      </c>
      <c r="AL112" t="s">
        <v>4505</v>
      </c>
      <c r="AM112" t="s">
        <v>5</v>
      </c>
      <c r="AN112" t="s">
        <v>4506</v>
      </c>
      <c r="AO112" t="s">
        <v>4507</v>
      </c>
      <c r="AP112" t="s">
        <v>1600</v>
      </c>
      <c r="AQ112" t="s">
        <v>4508</v>
      </c>
      <c r="AR112" t="s">
        <v>5</v>
      </c>
      <c r="AS112" t="s">
        <v>4509</v>
      </c>
      <c r="AT112" t="s">
        <v>4510</v>
      </c>
      <c r="AU112" t="s">
        <v>4511</v>
      </c>
      <c r="AV112" t="s">
        <v>4512</v>
      </c>
      <c r="AW112" t="s">
        <v>4513</v>
      </c>
      <c r="AX112" t="s">
        <v>2021</v>
      </c>
      <c r="AY112" t="s">
        <v>1484</v>
      </c>
      <c r="AZ112" t="s">
        <v>1106</v>
      </c>
      <c r="BA112" t="s">
        <v>777</v>
      </c>
      <c r="BB112" t="s">
        <v>1108</v>
      </c>
      <c r="BC112" t="s">
        <v>1631</v>
      </c>
      <c r="BD112" t="s">
        <v>200</v>
      </c>
      <c r="BE112" t="s">
        <v>1107</v>
      </c>
      <c r="BF112" t="s">
        <v>380</v>
      </c>
      <c r="BG112" t="s">
        <v>480</v>
      </c>
      <c r="BH112" t="s">
        <v>4514</v>
      </c>
      <c r="BI112" t="s">
        <v>451</v>
      </c>
      <c r="BJ112" t="s">
        <v>2021</v>
      </c>
      <c r="BK112" t="s">
        <v>1636</v>
      </c>
      <c r="BL112" t="s">
        <v>467</v>
      </c>
      <c r="BM112" t="s">
        <v>1631</v>
      </c>
      <c r="BN112">
        <v>4.6500000000000004</v>
      </c>
      <c r="BO112">
        <v>4.82</v>
      </c>
      <c r="BP112">
        <v>6.85</v>
      </c>
      <c r="BQ112">
        <v>5.61</v>
      </c>
      <c r="BR112">
        <v>5.99</v>
      </c>
      <c r="BS112">
        <v>7.84</v>
      </c>
      <c r="BT112" t="s">
        <v>4515</v>
      </c>
      <c r="BU112" t="s">
        <v>1595</v>
      </c>
      <c r="BV112">
        <v>14.39</v>
      </c>
      <c r="BW112">
        <v>11.66</v>
      </c>
      <c r="BX112">
        <v>11.46</v>
      </c>
      <c r="BY112">
        <v>9.77</v>
      </c>
      <c r="BZ112">
        <v>7.1</v>
      </c>
      <c r="CA112">
        <v>8.25</v>
      </c>
      <c r="CB112">
        <v>-5.04</v>
      </c>
      <c r="CC112">
        <v>-12.99</v>
      </c>
      <c r="CD112" t="s">
        <v>4516</v>
      </c>
      <c r="CE112" t="s">
        <v>176</v>
      </c>
      <c r="CF112" s="10">
        <v>4.588709677419355</v>
      </c>
      <c r="CG112" s="11">
        <v>-1.0365670303030303</v>
      </c>
      <c r="CH112" s="10">
        <v>-0.71319365501403809</v>
      </c>
      <c r="CI112" s="10">
        <v>-9.0511143207550049E-2</v>
      </c>
      <c r="CJ112" s="10">
        <v>0.14675916731357574</v>
      </c>
      <c r="CK112" s="10">
        <v>0.10633785277605057</v>
      </c>
      <c r="CL112" s="10">
        <v>0.12062965333461761</v>
      </c>
      <c r="CM112" s="11">
        <v>0.847953200340271</v>
      </c>
      <c r="CN112" s="11">
        <v>-0.20465116202831268</v>
      </c>
      <c r="CO112" s="11">
        <v>-9.537167102098465E-2</v>
      </c>
      <c r="CP112" s="11">
        <v>0.66978925466537476</v>
      </c>
      <c r="CQ112" s="11">
        <v>2.1865670680999756</v>
      </c>
      <c r="CR112">
        <v>16.669739822485205</v>
      </c>
      <c r="CS112">
        <v>1.938440453260492</v>
      </c>
      <c r="CT112">
        <v>4.9450549450549453</v>
      </c>
      <c r="CU112" s="10">
        <v>-8.5995624959468844E-2</v>
      </c>
      <c r="CV112" s="11">
        <v>0.6808573380112648</v>
      </c>
      <c r="CW112">
        <v>0.06</v>
      </c>
      <c r="CX112" t="e">
        <v>#VALUE!</v>
      </c>
      <c r="CY112" t="s">
        <v>1556</v>
      </c>
      <c r="CZ112">
        <v>-8.5995624959468844E-2</v>
      </c>
      <c r="DA112">
        <v>1.6922011603375526</v>
      </c>
      <c r="DB112" t="s">
        <v>4517</v>
      </c>
      <c r="DC112">
        <v>-8.1695843711495394E-2</v>
      </c>
      <c r="DD112">
        <v>0.84610058016877632</v>
      </c>
      <c r="DE112" t="s">
        <v>4518</v>
      </c>
      <c r="DF112">
        <v>-7.5676149964332584E-2</v>
      </c>
      <c r="DG112">
        <v>0.50766034810126581</v>
      </c>
      <c r="DH112" t="s">
        <v>4519</v>
      </c>
      <c r="DI112">
        <v>-6.8796499967575073E-2</v>
      </c>
      <c r="DJ112">
        <v>0.25383017405063291</v>
      </c>
      <c r="DK112" t="s">
        <v>4520</v>
      </c>
      <c r="DL112">
        <v>-6.0196937471628187E-2</v>
      </c>
      <c r="DM112">
        <v>948000000</v>
      </c>
      <c r="DN112">
        <v>-8.5995624959468844E-2</v>
      </c>
      <c r="DO112">
        <v>4812620100</v>
      </c>
      <c r="DP112">
        <v>3847715000</v>
      </c>
      <c r="DQ112">
        <v>3555</v>
      </c>
      <c r="DR112">
        <v>4.6747053023788236</v>
      </c>
      <c r="DS112">
        <v>-1.7174243683142951</v>
      </c>
      <c r="DT112" s="12">
        <v>-0.77333333333333332</v>
      </c>
      <c r="DU112">
        <v>5.9999999999999977E-2</v>
      </c>
      <c r="DV112">
        <v>-0.71333333333333337</v>
      </c>
      <c r="DW112">
        <v>-8.3879907621247121</v>
      </c>
      <c r="DX112">
        <v>0.32735019011406907</v>
      </c>
      <c r="DY112">
        <v>-8.0688102354253193</v>
      </c>
      <c r="DZ112">
        <v>2041</v>
      </c>
      <c r="EA112">
        <v>-8.0413265386536796</v>
      </c>
      <c r="EB112">
        <v>8</v>
      </c>
      <c r="EC112">
        <v>5.4239511765203183E-2</v>
      </c>
      <c r="ED112">
        <v>0.30583283688795204</v>
      </c>
      <c r="EE112" s="13">
        <v>-1.0542</v>
      </c>
      <c r="EF112">
        <v>-1.04</v>
      </c>
      <c r="EG112">
        <v>15.177350190114069</v>
      </c>
      <c r="EH112" t="s">
        <v>1813</v>
      </c>
      <c r="EI112">
        <v>0</v>
      </c>
      <c r="EJ112">
        <v>0</v>
      </c>
      <c r="EK112" s="15">
        <v>45470</v>
      </c>
      <c r="EL112" s="16">
        <v>-0.27</v>
      </c>
      <c r="EM112" s="16">
        <v>-1.03</v>
      </c>
      <c r="EN112" s="16">
        <v>-1.62</v>
      </c>
      <c r="EO112" s="16">
        <v>0.53</v>
      </c>
      <c r="EP112" s="16">
        <v>-1.42</v>
      </c>
    </row>
    <row r="113" spans="1:146" ht="108" x14ac:dyDescent="0.25">
      <c r="A113" s="8"/>
      <c r="B113" s="8"/>
      <c r="C113" s="8" t="str">
        <f>""&amp;CHAR(10)&amp;Basic_Fundamental_Information_Constructure(F113)&amp;CHAR(10)&amp;Basic_Fundamental_Information_Concatenate("")</f>
        <v xml:space="preserve">
市值24.414995亿, 利润-8745.49万; PE27.57; 平均PE67.3; 平均PEG.06, PB1.85; ROIC6.85%; ROE7.72%; 股利率.4031%; 毛利25.6133%; 净利10.2533%; 上一年度营收增5417.82%, 利润增-204.73%; 当季营收增-98.16%, 利润增-80.22%; 过往5年营收增1098.27%, 利润增-15.9%
Income profile:
</v>
      </c>
      <c r="D113" t="s">
        <v>400</v>
      </c>
      <c r="E113" t="s">
        <v>32</v>
      </c>
      <c r="F113">
        <v>12.9</v>
      </c>
      <c r="G113">
        <v>1.02</v>
      </c>
      <c r="H113" t="s">
        <v>4521</v>
      </c>
      <c r="I113">
        <v>2441499500</v>
      </c>
      <c r="J113">
        <v>27.57</v>
      </c>
      <c r="K113">
        <v>1.85</v>
      </c>
      <c r="L113" t="s">
        <v>101</v>
      </c>
      <c r="M113" t="s">
        <v>859</v>
      </c>
      <c r="N113" t="s">
        <v>2158</v>
      </c>
      <c r="O113" t="s">
        <v>164</v>
      </c>
      <c r="P113">
        <v>-4.57</v>
      </c>
      <c r="Q113" t="s">
        <v>4522</v>
      </c>
      <c r="R113">
        <v>19643389</v>
      </c>
      <c r="S113" s="6">
        <v>-0.14000000000000001</v>
      </c>
      <c r="T113" t="s">
        <v>4523</v>
      </c>
      <c r="U113">
        <v>175677210</v>
      </c>
      <c r="V113">
        <v>189263530</v>
      </c>
      <c r="W113">
        <v>1.8</v>
      </c>
      <c r="X113">
        <v>0.09</v>
      </c>
      <c r="Y113">
        <v>9.7200000000000006</v>
      </c>
      <c r="Z113" t="s">
        <v>180</v>
      </c>
      <c r="AA113" t="s">
        <v>551</v>
      </c>
      <c r="AB113" t="s">
        <v>4524</v>
      </c>
      <c r="AC113" t="s">
        <v>4525</v>
      </c>
      <c r="AD113" t="s">
        <v>5</v>
      </c>
      <c r="AE113">
        <v>-1728335</v>
      </c>
      <c r="AF113" t="s">
        <v>4526</v>
      </c>
      <c r="AG113" t="s">
        <v>4527</v>
      </c>
      <c r="AH113" t="s">
        <v>4528</v>
      </c>
      <c r="AI113" t="s">
        <v>555</v>
      </c>
      <c r="AJ113" t="s">
        <v>4529</v>
      </c>
      <c r="AK113" t="s">
        <v>4530</v>
      </c>
      <c r="AL113" t="s">
        <v>4531</v>
      </c>
      <c r="AM113" t="s">
        <v>5</v>
      </c>
      <c r="AN113" t="s">
        <v>4532</v>
      </c>
      <c r="AO113" t="s">
        <v>5</v>
      </c>
      <c r="AP113" t="s">
        <v>1932</v>
      </c>
      <c r="AQ113" t="s">
        <v>467</v>
      </c>
      <c r="AR113" t="s">
        <v>5</v>
      </c>
      <c r="AS113" t="s">
        <v>4533</v>
      </c>
      <c r="AT113" t="s">
        <v>5</v>
      </c>
      <c r="AU113" t="s">
        <v>4534</v>
      </c>
      <c r="AV113" t="s">
        <v>4535</v>
      </c>
      <c r="AW113" t="s">
        <v>5</v>
      </c>
      <c r="AX113" t="s">
        <v>1895</v>
      </c>
      <c r="AY113" t="s">
        <v>1646</v>
      </c>
      <c r="AZ113" t="s">
        <v>759</v>
      </c>
      <c r="BA113" t="s">
        <v>402</v>
      </c>
      <c r="BB113" t="s">
        <v>359</v>
      </c>
      <c r="BC113" t="s">
        <v>4536</v>
      </c>
      <c r="BD113" t="s">
        <v>2022</v>
      </c>
      <c r="BE113" t="s">
        <v>1110</v>
      </c>
      <c r="BF113" t="s">
        <v>403</v>
      </c>
      <c r="BG113" t="s">
        <v>1111</v>
      </c>
      <c r="BH113" t="s">
        <v>2132</v>
      </c>
      <c r="BI113" t="s">
        <v>4537</v>
      </c>
      <c r="BJ113" t="s">
        <v>1895</v>
      </c>
      <c r="BK113" t="s">
        <v>4538</v>
      </c>
      <c r="BL113" t="s">
        <v>4539</v>
      </c>
      <c r="BM113" t="s">
        <v>4536</v>
      </c>
      <c r="BN113">
        <v>5.4</v>
      </c>
      <c r="BO113">
        <v>6.86</v>
      </c>
      <c r="BP113">
        <v>8.2899999999999991</v>
      </c>
      <c r="BQ113">
        <v>5.74</v>
      </c>
      <c r="BR113">
        <v>7.39</v>
      </c>
      <c r="BS113">
        <v>10.029999999999999</v>
      </c>
      <c r="BT113" t="s">
        <v>4540</v>
      </c>
      <c r="BU113" t="s">
        <v>1536</v>
      </c>
      <c r="BV113">
        <v>26.16</v>
      </c>
      <c r="BW113">
        <v>23.2</v>
      </c>
      <c r="BX113">
        <v>27.48</v>
      </c>
      <c r="BY113">
        <v>9.84</v>
      </c>
      <c r="BZ113">
        <v>9.5399999999999991</v>
      </c>
      <c r="CA113">
        <v>11.38</v>
      </c>
      <c r="CB113">
        <v>-1</v>
      </c>
      <c r="CC113">
        <v>-5.34</v>
      </c>
      <c r="CD113" t="s">
        <v>4541</v>
      </c>
      <c r="CE113" t="s">
        <v>4542</v>
      </c>
      <c r="CF113" s="10">
        <v>-0.98163803290609941</v>
      </c>
      <c r="CG113" s="11">
        <v>-0.80223276329010185</v>
      </c>
      <c r="CH113" s="10">
        <v>54.178165435791016</v>
      </c>
      <c r="CI113" s="10">
        <v>1.6355140134692192E-2</v>
      </c>
      <c r="CJ113" s="10">
        <v>0.56776559352874756</v>
      </c>
      <c r="CK113" s="10">
        <v>9.4188377261161804E-2</v>
      </c>
      <c r="CL113" s="10">
        <v>5.7203389704227448E-2</v>
      </c>
      <c r="CM113" s="11">
        <v>-2.0472924709320068</v>
      </c>
      <c r="CN113" s="11">
        <v>-0.11600320786237717</v>
      </c>
      <c r="CO113" s="11">
        <v>0.97345983982086182</v>
      </c>
      <c r="CP113" s="11">
        <v>5.3872507065534592E-2</v>
      </c>
      <c r="CQ113" s="11">
        <v>0.34082168340682983</v>
      </c>
      <c r="CR113">
        <v>67.297006387451489</v>
      </c>
      <c r="CS113">
        <v>6.1275267762404578E-2</v>
      </c>
      <c r="CT113">
        <v>0.40310077519379844</v>
      </c>
      <c r="CU113" s="10">
        <v>10.982735587283969</v>
      </c>
      <c r="CV113" s="11">
        <v>-0.15902832970023156</v>
      </c>
      <c r="CW113">
        <v>0.06</v>
      </c>
      <c r="CX113" t="e">
        <v>#VALUE!</v>
      </c>
      <c r="CY113" t="s">
        <v>1549</v>
      </c>
      <c r="CZ113">
        <v>10.982735587283969</v>
      </c>
      <c r="DA113" t="e">
        <v>#VALUE!</v>
      </c>
      <c r="DB113" t="s">
        <v>1549</v>
      </c>
      <c r="DC113">
        <v>10.43359880791977</v>
      </c>
      <c r="DD113" t="e">
        <v>#VALUE!</v>
      </c>
      <c r="DE113" t="s">
        <v>1549</v>
      </c>
      <c r="DF113">
        <v>9.6648073168098936</v>
      </c>
      <c r="DG113" t="e">
        <v>#VALUE!</v>
      </c>
      <c r="DH113" t="s">
        <v>1549</v>
      </c>
      <c r="DI113">
        <v>8.7861884698271755</v>
      </c>
      <c r="DJ113" t="e">
        <v>#VALUE!</v>
      </c>
      <c r="DK113" t="s">
        <v>1549</v>
      </c>
      <c r="DL113">
        <v>7.6879149110987779</v>
      </c>
      <c r="DM113">
        <v>-87454900</v>
      </c>
      <c r="DN113">
        <v>10.982735587283969</v>
      </c>
      <c r="DO113">
        <v>2080499500</v>
      </c>
      <c r="DP113">
        <v>647893700.00000012</v>
      </c>
      <c r="DQ113">
        <v>3601</v>
      </c>
      <c r="DR113">
        <v>-11.964373620190068</v>
      </c>
      <c r="DS113">
        <v>-0.64320443358987034</v>
      </c>
      <c r="DT113" s="12">
        <v>-6.6666666666666714E-3</v>
      </c>
      <c r="DU113">
        <v>-0.82333333333333325</v>
      </c>
      <c r="DV113">
        <v>-0.83</v>
      </c>
      <c r="DW113">
        <v>-1.0533999999999999</v>
      </c>
      <c r="DX113">
        <v>0.31357932661506183</v>
      </c>
      <c r="DY113">
        <v>-1.0103371360412443</v>
      </c>
      <c r="DZ113">
        <v>2942</v>
      </c>
      <c r="EA113">
        <v>-1.0043856968566376</v>
      </c>
      <c r="EB113">
        <v>1</v>
      </c>
      <c r="EC113">
        <v>5.4279342671036519E-2</v>
      </c>
      <c r="ED113">
        <v>0.28039844760371951</v>
      </c>
      <c r="EE113" s="13">
        <v>2.10961</v>
      </c>
      <c r="EF113">
        <v>2.1391100000000001</v>
      </c>
      <c r="EG113">
        <v>12.193579326615062</v>
      </c>
      <c r="EH113" t="s">
        <v>1816</v>
      </c>
      <c r="EI113">
        <v>0</v>
      </c>
      <c r="EJ113">
        <v>0</v>
      </c>
      <c r="EK113" s="15">
        <v>45470</v>
      </c>
      <c r="EL113" s="16">
        <v>0.88</v>
      </c>
      <c r="EM113" s="16">
        <v>-1.46</v>
      </c>
      <c r="EN113" s="16">
        <v>-1.19</v>
      </c>
      <c r="EO113" s="16">
        <v>1.8</v>
      </c>
      <c r="EP113" s="16">
        <v>-2.95</v>
      </c>
    </row>
    <row r="114" spans="1:146" ht="168" x14ac:dyDescent="0.25">
      <c r="C114" s="8" t="str">
        <f>"公司的主营业务为农业机械、动力机械及相关零部件产品研发、制造和销售。其中，农业机械业务包括用于农业生产的全系列轮式和履带式拖拉机产品及铸锻件、齿轮、变速箱、覆盖件等关键零部件的研发、制造和销售。"&amp;CHAR(10)&amp;Basic_Fundamental_Information_Constructure(F114)&amp;CHAR(10)&amp;Basic_Fundamental_Information_Concatenate("农业机械 84.62亿 91.89% 80.75% 14.28%
动力机械 22.77亿 24.73% 19.25% 12.64%")</f>
        <v>公司的主营业务为农业机械、动力机械及相关零部件产品研发、制造和销售。其中，农业机械业务包括用于农业生产的全系列轮式和履带式拖拉机产品及铸锻件、齿轮、变速箱、覆盖件等关键零部件的研发、制造和销售。
市值175.62576亿, 利润30.91亿; PE15.81; 平均PE32.41; 平均PEG.81, PB2.41; ROIC9.78%; ROE12.49%; 股利率2.0435%; 毛利15.9533%; 净利6.1467%; 上一年度营收增108.57%, 利润增353.89%; 当季营收增-13.31%, 利润增68.84%; 过往5年营收增40.17%, 利润增185.2%
Income profile:
农业机械 84.62亿 91.89% 80.75% 14.28%
动力机械 22.77亿 24.73% 19.25% 12.64%</v>
      </c>
      <c r="D114" t="s">
        <v>221</v>
      </c>
      <c r="E114" t="s">
        <v>82</v>
      </c>
      <c r="F114">
        <v>15.63</v>
      </c>
      <c r="G114">
        <v>1.63</v>
      </c>
      <c r="H114" t="s">
        <v>4543</v>
      </c>
      <c r="I114">
        <v>17562576000</v>
      </c>
      <c r="J114">
        <v>15.81</v>
      </c>
      <c r="K114">
        <v>2.41</v>
      </c>
      <c r="L114" t="s">
        <v>101</v>
      </c>
      <c r="M114" t="s">
        <v>4544</v>
      </c>
      <c r="N114" t="s">
        <v>4545</v>
      </c>
      <c r="O114" t="s">
        <v>4546</v>
      </c>
      <c r="P114">
        <v>11.11</v>
      </c>
      <c r="Q114" t="s">
        <v>1465</v>
      </c>
      <c r="R114">
        <v>599396150</v>
      </c>
      <c r="S114" s="6">
        <v>0.23400000000000001</v>
      </c>
      <c r="T114" t="s">
        <v>4547</v>
      </c>
      <c r="U114">
        <v>731705280</v>
      </c>
      <c r="V114">
        <v>1123645280</v>
      </c>
      <c r="W114">
        <v>1.96</v>
      </c>
      <c r="X114">
        <v>0.32</v>
      </c>
      <c r="Y114">
        <v>13.04</v>
      </c>
      <c r="Z114" t="s">
        <v>4548</v>
      </c>
      <c r="AA114" t="s">
        <v>4549</v>
      </c>
      <c r="AB114" t="s">
        <v>4550</v>
      </c>
      <c r="AC114" t="s">
        <v>4551</v>
      </c>
      <c r="AD114" t="s">
        <v>5</v>
      </c>
      <c r="AE114">
        <v>-12861708</v>
      </c>
      <c r="AF114" t="s">
        <v>4552</v>
      </c>
      <c r="AG114" t="s">
        <v>4553</v>
      </c>
      <c r="AH114" t="s">
        <v>4554</v>
      </c>
      <c r="AI114" t="s">
        <v>2143</v>
      </c>
      <c r="AJ114" t="s">
        <v>4555</v>
      </c>
      <c r="AK114" t="s">
        <v>4556</v>
      </c>
      <c r="AL114" t="s">
        <v>4557</v>
      </c>
      <c r="AM114" t="s">
        <v>5</v>
      </c>
      <c r="AN114" t="s">
        <v>658</v>
      </c>
      <c r="AO114" t="s">
        <v>5</v>
      </c>
      <c r="AP114" t="s">
        <v>4558</v>
      </c>
      <c r="AQ114" t="s">
        <v>4559</v>
      </c>
      <c r="AR114" t="s">
        <v>4560</v>
      </c>
      <c r="AS114" t="s">
        <v>4561</v>
      </c>
      <c r="AT114" t="s">
        <v>388</v>
      </c>
      <c r="AU114" t="s">
        <v>595</v>
      </c>
      <c r="AV114" t="s">
        <v>4562</v>
      </c>
      <c r="AW114" t="s">
        <v>4563</v>
      </c>
      <c r="AX114" t="s">
        <v>4564</v>
      </c>
      <c r="AY114" t="s">
        <v>2025</v>
      </c>
      <c r="AZ114" t="s">
        <v>2026</v>
      </c>
      <c r="BA114" t="s">
        <v>1113</v>
      </c>
      <c r="BB114" t="s">
        <v>1114</v>
      </c>
      <c r="BC114" t="s">
        <v>1172</v>
      </c>
      <c r="BD114" t="s">
        <v>561</v>
      </c>
      <c r="BE114" t="s">
        <v>120</v>
      </c>
      <c r="BF114" t="s">
        <v>222</v>
      </c>
      <c r="BG114" t="s">
        <v>1115</v>
      </c>
      <c r="BH114" t="s">
        <v>4565</v>
      </c>
      <c r="BI114" t="s">
        <v>4566</v>
      </c>
      <c r="BJ114" t="s">
        <v>4564</v>
      </c>
      <c r="BK114" t="s">
        <v>1507</v>
      </c>
      <c r="BL114" t="s">
        <v>288</v>
      </c>
      <c r="BM114" t="s">
        <v>1172</v>
      </c>
      <c r="BN114">
        <v>14.29</v>
      </c>
      <c r="BO114">
        <v>8.94</v>
      </c>
      <c r="BP114">
        <v>6.11</v>
      </c>
      <c r="BQ114">
        <v>16.989999999999998</v>
      </c>
      <c r="BR114">
        <v>11.99</v>
      </c>
      <c r="BS114">
        <v>8.49</v>
      </c>
      <c r="BT114" t="s">
        <v>4567</v>
      </c>
      <c r="BU114" t="s">
        <v>1605</v>
      </c>
      <c r="BV114">
        <v>15.89</v>
      </c>
      <c r="BW114">
        <v>15.72</v>
      </c>
      <c r="BX114">
        <v>16.25</v>
      </c>
      <c r="BY114">
        <v>8.58</v>
      </c>
      <c r="BZ114">
        <v>5.15</v>
      </c>
      <c r="CA114">
        <v>4.71</v>
      </c>
      <c r="CB114">
        <v>-1.1399999999999999</v>
      </c>
      <c r="CC114">
        <v>-7.13</v>
      </c>
      <c r="CD114" t="s">
        <v>4568</v>
      </c>
      <c r="CE114" t="s">
        <v>553</v>
      </c>
      <c r="CF114" s="10">
        <v>-0.13312232358964812</v>
      </c>
      <c r="CG114" s="11">
        <v>0.68843985915492956</v>
      </c>
      <c r="CH114" s="10">
        <v>1.0857486724853516</v>
      </c>
      <c r="CI114" s="10">
        <v>0.35248127579689026</v>
      </c>
      <c r="CJ114" s="10">
        <v>0.23098516464233398</v>
      </c>
      <c r="CK114" s="10">
        <v>0.3039916455745697</v>
      </c>
      <c r="CL114" s="10">
        <v>3.5372629761695862E-2</v>
      </c>
      <c r="CM114" s="11">
        <v>3.5389134883880615</v>
      </c>
      <c r="CN114" s="11">
        <v>0.5547945499420166</v>
      </c>
      <c r="CO114" s="11">
        <v>0.56428569555282593</v>
      </c>
      <c r="CP114" s="11">
        <v>3.5546674728393555</v>
      </c>
      <c r="CQ114" s="11">
        <v>1.0472887754440308</v>
      </c>
      <c r="CR114">
        <v>32.408504766789875</v>
      </c>
      <c r="CS114">
        <v>0.80675190027841681</v>
      </c>
      <c r="CT114">
        <v>2.0435060780550223</v>
      </c>
      <c r="CU114" s="10">
        <v>0.40171587765216826</v>
      </c>
      <c r="CV114" s="11">
        <v>1.851989996433258</v>
      </c>
      <c r="CW114">
        <v>0.06</v>
      </c>
      <c r="CX114">
        <v>3.9957798750551565</v>
      </c>
      <c r="CY114">
        <v>4087456394.172502</v>
      </c>
      <c r="CZ114">
        <v>0.40171587765216826</v>
      </c>
      <c r="DA114">
        <v>1.0128747704690315</v>
      </c>
      <c r="DB114">
        <v>16124970703.374201</v>
      </c>
      <c r="DC114">
        <v>0.38163008376955981</v>
      </c>
      <c r="DD114">
        <v>0.34363186828579972</v>
      </c>
      <c r="DE114">
        <v>47529282081.649498</v>
      </c>
      <c r="DF114">
        <v>0.35350997233390807</v>
      </c>
      <c r="DG114">
        <v>0.12965248286440614</v>
      </c>
      <c r="DH114">
        <v>125971949315.31718</v>
      </c>
      <c r="DI114">
        <v>0.32137270212173463</v>
      </c>
      <c r="DJ114">
        <v>2.107738389136201E-2</v>
      </c>
      <c r="DK114">
        <v>774886299181.24988</v>
      </c>
      <c r="DL114">
        <v>0.28120111435651779</v>
      </c>
      <c r="DM114">
        <v>3091000000</v>
      </c>
      <c r="DN114">
        <v>0.40171587765216826</v>
      </c>
      <c r="DO114">
        <v>16332576000</v>
      </c>
      <c r="DP114">
        <v>798698599.99999905</v>
      </c>
      <c r="DQ114">
        <v>3640</v>
      </c>
      <c r="DR114">
        <v>-0.53483820124181636</v>
      </c>
      <c r="DS114">
        <v>-1.1635501372783286</v>
      </c>
      <c r="DT114" s="12">
        <v>0.29333333333333339</v>
      </c>
      <c r="DU114">
        <v>1.7016666666666669</v>
      </c>
      <c r="DV114">
        <v>1.9950000000000003</v>
      </c>
      <c r="DW114">
        <v>-2.0712999999999999</v>
      </c>
      <c r="DX114">
        <v>0.37338812500000129</v>
      </c>
      <c r="DY114">
        <v>-2.0102235733125</v>
      </c>
      <c r="DZ114">
        <v>636</v>
      </c>
      <c r="EA114">
        <v>-2.0089511285714532</v>
      </c>
      <c r="EB114">
        <v>2</v>
      </c>
      <c r="EC114">
        <v>2.0417564518225895E-2</v>
      </c>
      <c r="ED114">
        <v>0.14239369207335612</v>
      </c>
      <c r="EE114" s="13">
        <v>-4.0156999999999998</v>
      </c>
      <c r="EF114">
        <v>-4.0102000000000002</v>
      </c>
      <c r="EG114">
        <v>23.143388125000001</v>
      </c>
      <c r="EH114" t="s">
        <v>2120</v>
      </c>
      <c r="EI114">
        <v>0</v>
      </c>
      <c r="EJ114">
        <v>1</v>
      </c>
      <c r="EK114" s="15">
        <v>45470</v>
      </c>
      <c r="EL114" s="16">
        <v>-0.48</v>
      </c>
      <c r="EM114" s="16">
        <v>-3.1</v>
      </c>
      <c r="EN114" s="16">
        <v>0.94</v>
      </c>
      <c r="EO114" s="16">
        <v>1.68</v>
      </c>
      <c r="EP114" s="16">
        <v>-0.55000000000000004</v>
      </c>
    </row>
    <row r="115" spans="1:146" ht="96" x14ac:dyDescent="0.25">
      <c r="C115" s="8" t="str">
        <f>""&amp;CHAR(10)&amp;Basic_Fundamental_Information_Constructure(F115)&amp;CHAR(10)&amp;Basic_Fundamental_Information_Concatenate("")</f>
        <v xml:space="preserve">
市值159.10056亿, 利润11.87亿; PE; 平均PE51.68; 平均PEG5.78, PB1.79; ROIC1.66%; ROE.9467%; 股利率0%; 毛利8.54%; 净利-4.9833%; 上一年度营收增-51.22%, 利润增1041.35%; 当季营收增62.82%, 利润增-128.62%; 过往5年营收增8.94%, 利润增206.65%
Income profile:
</v>
      </c>
      <c r="D115" t="s">
        <v>407</v>
      </c>
      <c r="E115" t="s">
        <v>15</v>
      </c>
      <c r="F115">
        <v>2.3199999999999998</v>
      </c>
      <c r="G115">
        <v>0</v>
      </c>
      <c r="H115" t="s">
        <v>4569</v>
      </c>
      <c r="I115">
        <v>15910056000</v>
      </c>
      <c r="K115">
        <v>1.79</v>
      </c>
      <c r="L115" t="s">
        <v>101</v>
      </c>
      <c r="M115" t="s">
        <v>4570</v>
      </c>
      <c r="N115" t="s">
        <v>4571</v>
      </c>
      <c r="O115" t="s">
        <v>4572</v>
      </c>
      <c r="P115">
        <v>-20.329999999999998</v>
      </c>
      <c r="Q115" t="s">
        <v>4573</v>
      </c>
      <c r="R115">
        <v>-129062103</v>
      </c>
      <c r="S115" s="6">
        <v>-4.4619999999999997</v>
      </c>
      <c r="T115" t="s">
        <v>2541</v>
      </c>
      <c r="U115">
        <v>6857782900</v>
      </c>
      <c r="V115">
        <v>6857782900</v>
      </c>
      <c r="W115">
        <v>4.6100000000000003</v>
      </c>
      <c r="X115">
        <v>0.09</v>
      </c>
      <c r="Y115">
        <v>-3.73</v>
      </c>
      <c r="Z115" t="s">
        <v>270</v>
      </c>
      <c r="AA115" t="s">
        <v>4574</v>
      </c>
      <c r="AB115" t="s">
        <v>4575</v>
      </c>
      <c r="AC115" t="s">
        <v>275</v>
      </c>
      <c r="AD115" t="s">
        <v>5</v>
      </c>
      <c r="AE115">
        <v>113390010</v>
      </c>
      <c r="AF115" t="s">
        <v>4576</v>
      </c>
      <c r="AG115" t="s">
        <v>4577</v>
      </c>
      <c r="AH115" t="s">
        <v>2211</v>
      </c>
      <c r="AI115" t="s">
        <v>4578</v>
      </c>
      <c r="AJ115" t="s">
        <v>4579</v>
      </c>
      <c r="AK115" t="s">
        <v>4580</v>
      </c>
      <c r="AL115" t="s">
        <v>4581</v>
      </c>
      <c r="AM115" t="s">
        <v>5</v>
      </c>
      <c r="AN115" t="s">
        <v>860</v>
      </c>
      <c r="AO115" t="s">
        <v>4582</v>
      </c>
      <c r="AP115" t="s">
        <v>2896</v>
      </c>
      <c r="AQ115" t="s">
        <v>4583</v>
      </c>
      <c r="AR115" t="s">
        <v>5</v>
      </c>
      <c r="AS115" t="s">
        <v>4584</v>
      </c>
      <c r="AT115" t="s">
        <v>4585</v>
      </c>
      <c r="AU115" t="s">
        <v>4586</v>
      </c>
      <c r="AV115" t="s">
        <v>2694</v>
      </c>
      <c r="AW115" t="s">
        <v>957</v>
      </c>
      <c r="AX115" t="s">
        <v>2027</v>
      </c>
      <c r="AY115" t="s">
        <v>1486</v>
      </c>
      <c r="AZ115" t="s">
        <v>1116</v>
      </c>
      <c r="BA115" t="s">
        <v>408</v>
      </c>
      <c r="BB115" t="s">
        <v>1118</v>
      </c>
      <c r="BC115" t="s">
        <v>650</v>
      </c>
      <c r="BD115" t="s">
        <v>248</v>
      </c>
      <c r="BE115" t="s">
        <v>303</v>
      </c>
      <c r="BF115" t="s">
        <v>266</v>
      </c>
      <c r="BG115" t="s">
        <v>266</v>
      </c>
      <c r="BH115" t="s">
        <v>4587</v>
      </c>
      <c r="BI115" t="s">
        <v>4588</v>
      </c>
      <c r="BJ115" t="s">
        <v>2027</v>
      </c>
      <c r="BK115" t="s">
        <v>4589</v>
      </c>
      <c r="BL115" t="s">
        <v>1463</v>
      </c>
      <c r="BM115" t="s">
        <v>650</v>
      </c>
      <c r="BN115">
        <v>0.94</v>
      </c>
      <c r="BO115">
        <v>1.7</v>
      </c>
      <c r="BP115">
        <v>2.34</v>
      </c>
      <c r="BQ115">
        <v>0.44</v>
      </c>
      <c r="BR115">
        <v>0.9</v>
      </c>
      <c r="BS115">
        <v>1.5</v>
      </c>
      <c r="BT115" t="s">
        <v>1720</v>
      </c>
      <c r="BU115" t="s">
        <v>1536</v>
      </c>
      <c r="BV115">
        <v>6.32</v>
      </c>
      <c r="BW115">
        <v>10.44</v>
      </c>
      <c r="BX115">
        <v>8.86</v>
      </c>
      <c r="BY115">
        <v>-15.96</v>
      </c>
      <c r="BZ115">
        <v>0.43</v>
      </c>
      <c r="CA115">
        <v>0.57999999999999996</v>
      </c>
      <c r="CB115">
        <v>0.43</v>
      </c>
      <c r="CC115">
        <v>-9.02</v>
      </c>
      <c r="CD115" t="s">
        <v>4590</v>
      </c>
      <c r="CE115" t="s">
        <v>1555</v>
      </c>
      <c r="CF115" s="10">
        <v>0.62818181818181817</v>
      </c>
      <c r="CG115" s="11">
        <v>-1.2861687427937916</v>
      </c>
      <c r="CH115" s="10">
        <v>-0.51218289136886597</v>
      </c>
      <c r="CI115" s="10">
        <v>3.2774109393358231E-2</v>
      </c>
      <c r="CJ115" s="10">
        <v>0.16203586757183075</v>
      </c>
      <c r="CK115" s="10">
        <v>0.51181167364120483</v>
      </c>
      <c r="CL115" s="10">
        <v>0.25249740481376648</v>
      </c>
      <c r="CM115" s="11">
        <v>10.413461685180664</v>
      </c>
      <c r="CN115" s="11">
        <v>-0.380952388048172</v>
      </c>
      <c r="CO115" s="11">
        <v>0.29230770468711853</v>
      </c>
      <c r="CP115" s="11">
        <v>7.7519379556179047E-3</v>
      </c>
      <c r="CQ115" s="11">
        <v>0</v>
      </c>
      <c r="CR115">
        <v>51.683993502977806</v>
      </c>
      <c r="CS115">
        <v>5.7820330575269914</v>
      </c>
      <c r="CT115">
        <v>0</v>
      </c>
      <c r="CU115" s="10">
        <v>8.9387232810258871E-2</v>
      </c>
      <c r="CV115" s="11">
        <v>2.0665137879550457</v>
      </c>
      <c r="CW115">
        <v>0.06</v>
      </c>
      <c r="CX115">
        <v>30.943358985473644</v>
      </c>
      <c r="CY115">
        <v>1219908155.9865825</v>
      </c>
      <c r="CZ115">
        <v>8.9387232810258871E-2</v>
      </c>
      <c r="DA115">
        <v>10.117249698921315</v>
      </c>
      <c r="DB115">
        <v>3731059045.0312438</v>
      </c>
      <c r="DC115">
        <v>8.4917871169745918E-2</v>
      </c>
      <c r="DD115">
        <v>4.9839444815843779</v>
      </c>
      <c r="DE115">
        <v>7573931880.5573912</v>
      </c>
      <c r="DF115">
        <v>7.8660764873027811E-2</v>
      </c>
      <c r="DG115">
        <v>2.995286876549403</v>
      </c>
      <c r="DH115">
        <v>12602484354.849541</v>
      </c>
      <c r="DI115">
        <v>7.15097862482071E-2</v>
      </c>
      <c r="DJ115">
        <v>1.5499734151910991</v>
      </c>
      <c r="DK115">
        <v>24354002223.545216</v>
      </c>
      <c r="DL115">
        <v>6.2571062967181207E-2</v>
      </c>
      <c r="DM115">
        <v>1187000000</v>
      </c>
      <c r="DN115">
        <v>8.9387232810258871E-2</v>
      </c>
      <c r="DO115">
        <v>37748056000</v>
      </c>
      <c r="DP115">
        <v>8503419000</v>
      </c>
      <c r="DQ115">
        <v>3658</v>
      </c>
      <c r="DR115">
        <v>0.53879458537155933</v>
      </c>
      <c r="DS115">
        <v>-3.3526825307488375</v>
      </c>
      <c r="DT115" s="12">
        <v>-0.25666666666666677</v>
      </c>
      <c r="DU115">
        <v>-0.6150000000000001</v>
      </c>
      <c r="DV115">
        <v>-0.87166666666666681</v>
      </c>
      <c r="DW115">
        <v>-2.0901999999999998</v>
      </c>
      <c r="DX115">
        <v>0.33591952941176345</v>
      </c>
      <c r="DY115">
        <v>-2.0131619415529411</v>
      </c>
      <c r="DZ115">
        <v>2992</v>
      </c>
      <c r="EA115">
        <v>-2.0054553800800643</v>
      </c>
      <c r="EB115">
        <v>2</v>
      </c>
      <c r="EC115">
        <v>1.012830254512723E-2</v>
      </c>
      <c r="ED115">
        <v>6.9410187948644453E-2</v>
      </c>
      <c r="EE115" s="13">
        <v>3.0599999999999999E-2</v>
      </c>
      <c r="EF115">
        <v>7.8000000000000014E-3</v>
      </c>
      <c r="EG115">
        <v>19.145919529411763</v>
      </c>
      <c r="EH115" t="s">
        <v>1547</v>
      </c>
      <c r="EI115">
        <v>0</v>
      </c>
      <c r="EJ115">
        <v>0</v>
      </c>
      <c r="EK115" s="15">
        <v>45470</v>
      </c>
      <c r="EL115" s="16">
        <v>0.1</v>
      </c>
      <c r="EM115" s="16">
        <v>-2.2599999999999998</v>
      </c>
      <c r="EN115" s="16">
        <v>-0.53</v>
      </c>
      <c r="EO115" s="16">
        <v>1.32</v>
      </c>
      <c r="EP115" s="16">
        <v>-2.2799999999999998</v>
      </c>
    </row>
    <row r="116" spans="1:146" ht="108" x14ac:dyDescent="0.25">
      <c r="A116" s="8"/>
      <c r="B116" s="8"/>
      <c r="C116" s="8" t="s">
        <v>1333</v>
      </c>
      <c r="D116" t="s">
        <v>267</v>
      </c>
      <c r="E116" t="s">
        <v>1119</v>
      </c>
      <c r="F116">
        <v>2.57</v>
      </c>
      <c r="G116">
        <v>0.39</v>
      </c>
      <c r="H116" t="s">
        <v>4591</v>
      </c>
      <c r="I116">
        <v>18538839000</v>
      </c>
      <c r="J116">
        <v>40.47</v>
      </c>
      <c r="K116">
        <v>1.32</v>
      </c>
      <c r="L116" t="s">
        <v>101</v>
      </c>
      <c r="M116" t="s">
        <v>4592</v>
      </c>
      <c r="N116" t="s">
        <v>4593</v>
      </c>
      <c r="O116" t="s">
        <v>4594</v>
      </c>
      <c r="P116">
        <v>11.58</v>
      </c>
      <c r="Q116" t="s">
        <v>4595</v>
      </c>
      <c r="R116">
        <v>108813169</v>
      </c>
      <c r="S116" s="6">
        <v>0.33760000000000001</v>
      </c>
      <c r="T116" t="s">
        <v>1866</v>
      </c>
      <c r="U116">
        <v>7213555900</v>
      </c>
      <c r="V116">
        <v>7213555900</v>
      </c>
      <c r="W116">
        <v>2.1</v>
      </c>
      <c r="X116">
        <v>0.09</v>
      </c>
      <c r="Y116">
        <v>3.97</v>
      </c>
      <c r="Z116" t="s">
        <v>4596</v>
      </c>
      <c r="AA116" t="s">
        <v>2109</v>
      </c>
      <c r="AB116" t="s">
        <v>4597</v>
      </c>
      <c r="AC116" t="s">
        <v>139</v>
      </c>
      <c r="AD116" t="s">
        <v>5</v>
      </c>
      <c r="AE116">
        <v>-28039395</v>
      </c>
      <c r="AF116" t="s">
        <v>4598</v>
      </c>
      <c r="AG116" t="s">
        <v>4599</v>
      </c>
      <c r="AH116" t="s">
        <v>4600</v>
      </c>
      <c r="AI116" t="s">
        <v>4601</v>
      </c>
      <c r="AJ116" t="s">
        <v>4602</v>
      </c>
      <c r="AK116" t="s">
        <v>886</v>
      </c>
      <c r="AL116" t="s">
        <v>4603</v>
      </c>
      <c r="AM116" t="s">
        <v>5</v>
      </c>
      <c r="AN116" t="s">
        <v>839</v>
      </c>
      <c r="AO116" t="s">
        <v>441</v>
      </c>
      <c r="AP116" t="s">
        <v>2205</v>
      </c>
      <c r="AQ116" t="s">
        <v>4604</v>
      </c>
      <c r="AR116" t="s">
        <v>5</v>
      </c>
      <c r="AS116" t="s">
        <v>4605</v>
      </c>
      <c r="AT116" t="s">
        <v>240</v>
      </c>
      <c r="AU116" t="s">
        <v>1421</v>
      </c>
      <c r="AV116" t="s">
        <v>4606</v>
      </c>
      <c r="AW116" t="s">
        <v>2151</v>
      </c>
      <c r="AX116" t="s">
        <v>2028</v>
      </c>
      <c r="AY116" t="s">
        <v>1488</v>
      </c>
      <c r="AZ116" t="s">
        <v>1120</v>
      </c>
      <c r="BA116" t="s">
        <v>268</v>
      </c>
      <c r="BB116" t="s">
        <v>1121</v>
      </c>
      <c r="BC116" t="s">
        <v>421</v>
      </c>
      <c r="BD116" t="s">
        <v>1399</v>
      </c>
      <c r="BE116" t="s">
        <v>212</v>
      </c>
      <c r="BF116" t="s">
        <v>118</v>
      </c>
      <c r="BG116" t="s">
        <v>569</v>
      </c>
      <c r="BH116" t="s">
        <v>4607</v>
      </c>
      <c r="BI116" t="s">
        <v>677</v>
      </c>
      <c r="BJ116" t="s">
        <v>2028</v>
      </c>
      <c r="BK116" t="s">
        <v>1098</v>
      </c>
      <c r="BL116" t="s">
        <v>147</v>
      </c>
      <c r="BM116" t="s">
        <v>421</v>
      </c>
      <c r="BN116">
        <v>1.45</v>
      </c>
      <c r="BO116">
        <v>1.92</v>
      </c>
      <c r="BP116">
        <v>1.83</v>
      </c>
      <c r="BQ116">
        <v>2.56</v>
      </c>
      <c r="BR116">
        <v>3.07</v>
      </c>
      <c r="BS116">
        <v>3.07</v>
      </c>
      <c r="BT116" t="s">
        <v>1720</v>
      </c>
      <c r="BU116" t="s">
        <v>1536</v>
      </c>
      <c r="BV116">
        <v>16.8</v>
      </c>
      <c r="BW116">
        <v>14.35</v>
      </c>
      <c r="BX116">
        <v>15.52</v>
      </c>
      <c r="BY116">
        <v>3.92</v>
      </c>
      <c r="BZ116">
        <v>4.4800000000000004</v>
      </c>
      <c r="CA116">
        <v>4.42</v>
      </c>
      <c r="CB116">
        <v>-0.39</v>
      </c>
      <c r="CC116">
        <v>-9.19</v>
      </c>
      <c r="CD116" t="s">
        <v>741</v>
      </c>
      <c r="CE116" t="s">
        <v>2898</v>
      </c>
      <c r="CF116" s="10">
        <v>3.2345132743362832</v>
      </c>
      <c r="CG116" s="11">
        <v>-0.47433251690821249</v>
      </c>
      <c r="CH116" s="10">
        <v>-0.69394099712371826</v>
      </c>
      <c r="CI116" s="10">
        <v>1.5460698865354061E-2</v>
      </c>
      <c r="CJ116" s="10">
        <v>7.7515773475170135E-2</v>
      </c>
      <c r="CK116" s="10">
        <v>-4.7598481178283691E-2</v>
      </c>
      <c r="CL116" s="10">
        <v>-2.7092289179563522E-2</v>
      </c>
      <c r="CM116" s="11">
        <v>0.6650124192237854</v>
      </c>
      <c r="CN116" s="11">
        <v>2.2842640057206154E-2</v>
      </c>
      <c r="CO116" s="11">
        <v>0.16913945972919464</v>
      </c>
      <c r="CP116" s="11">
        <v>-0.32329317927360535</v>
      </c>
      <c r="CQ116" s="11">
        <v>3.3195022493600845E-2</v>
      </c>
      <c r="CR116">
        <v>39.940048114901252</v>
      </c>
      <c r="CS116">
        <v>2.9556527124207519</v>
      </c>
      <c r="CT116">
        <v>0</v>
      </c>
      <c r="CU116" s="10">
        <v>-0.13513105902820827</v>
      </c>
      <c r="CV116" s="11">
        <v>0.11337927244603634</v>
      </c>
      <c r="CW116">
        <v>0.06</v>
      </c>
      <c r="CX116">
        <v>28.955050670640833</v>
      </c>
      <c r="CY116" t="s">
        <v>4608</v>
      </c>
      <c r="CZ116">
        <v>-0.13513105902820827</v>
      </c>
      <c r="DA116">
        <v>9.651683556880279</v>
      </c>
      <c r="DB116" t="s">
        <v>4609</v>
      </c>
      <c r="DC116">
        <v>-0.12837450607679785</v>
      </c>
      <c r="DD116">
        <v>4.8258417784401395</v>
      </c>
      <c r="DE116" t="s">
        <v>4610</v>
      </c>
      <c r="DF116">
        <v>-0.11891533194482327</v>
      </c>
      <c r="DG116">
        <v>2.8955050670640836</v>
      </c>
      <c r="DH116" t="s">
        <v>4611</v>
      </c>
      <c r="DI116">
        <v>-0.10810484722256662</v>
      </c>
      <c r="DJ116">
        <v>1.4477525335320418</v>
      </c>
      <c r="DK116" t="s">
        <v>4612</v>
      </c>
      <c r="DL116">
        <v>-9.4591741319745778E-2</v>
      </c>
      <c r="DM116">
        <v>671000000</v>
      </c>
      <c r="DN116">
        <v>-0.13513105902820827</v>
      </c>
      <c r="DO116">
        <v>19428839000</v>
      </c>
      <c r="DP116">
        <v>9146061000</v>
      </c>
      <c r="DQ116">
        <v>3726</v>
      </c>
      <c r="DR116">
        <v>3.3696443333644917</v>
      </c>
      <c r="DS116">
        <v>-0.58771178935424884</v>
      </c>
      <c r="DT116" s="12">
        <v>-0.77333333333333332</v>
      </c>
      <c r="DU116">
        <v>0.13</v>
      </c>
      <c r="DV116">
        <v>-0.64333333333333331</v>
      </c>
      <c r="DW116">
        <v>-2.0918999999999999</v>
      </c>
      <c r="DX116">
        <v>0.3272332942555698</v>
      </c>
      <c r="DY116">
        <v>-2.0107737397420866</v>
      </c>
      <c r="DZ116">
        <v>2766</v>
      </c>
      <c r="EA116">
        <v>-2.0049420050793447</v>
      </c>
      <c r="EB116">
        <v>2</v>
      </c>
      <c r="EC116">
        <v>1.3862788531242962E-2</v>
      </c>
      <c r="ED116">
        <v>0.11824958617150244</v>
      </c>
      <c r="EE116" s="13">
        <v>6.709999999999999E-3</v>
      </c>
      <c r="EF116">
        <v>5.6999999999999993E-3</v>
      </c>
      <c r="EG116">
        <v>21.11723329425557</v>
      </c>
      <c r="EH116" t="s">
        <v>1547</v>
      </c>
      <c r="EI116">
        <v>0</v>
      </c>
      <c r="EJ116">
        <v>0</v>
      </c>
      <c r="EK116" s="15">
        <v>45470</v>
      </c>
      <c r="EL116" s="16">
        <v>-0.18</v>
      </c>
      <c r="EM116" s="16">
        <v>1.0900000000000001</v>
      </c>
      <c r="EN116" s="16">
        <v>0.54</v>
      </c>
      <c r="EO116" s="16">
        <v>0.54</v>
      </c>
      <c r="EP116" s="16">
        <v>1.24</v>
      </c>
    </row>
    <row r="117" spans="1:146" ht="108" x14ac:dyDescent="0.25">
      <c r="A117" s="8"/>
      <c r="B117" s="8"/>
      <c r="C117" s="8" t="str">
        <f>""&amp;CHAR(10)&amp;Basic_Fundamental_Information_Constructure(F117)&amp;CHAR(10)&amp;Basic_Fundamental_Information_Concatenate("")</f>
        <v xml:space="preserve">
市值160.99246亿, 利润5.27亿; PE40.93; 平均PE73.29; 平均PEG.3, PB1.99; ROIC2.2633%; ROE2.8133%; 股利率.7682%; 毛利18.9667%; 净利2.98%; 上一年度营收增1151.84%, 利润增260.96%; 当季营收增-90.93%, 利润增6.33%; 过往5年营收增241.92%, 利润增63.75%
Income profile:
</v>
      </c>
      <c r="D117" t="s">
        <v>271</v>
      </c>
      <c r="E117" t="s">
        <v>13</v>
      </c>
      <c r="F117">
        <v>3.71</v>
      </c>
      <c r="G117">
        <v>0.82</v>
      </c>
      <c r="H117" t="s">
        <v>4613</v>
      </c>
      <c r="I117">
        <v>16099246000</v>
      </c>
      <c r="J117">
        <v>40.93</v>
      </c>
      <c r="K117">
        <v>1.99</v>
      </c>
      <c r="L117" t="s">
        <v>101</v>
      </c>
      <c r="M117" t="s">
        <v>4614</v>
      </c>
      <c r="N117" t="s">
        <v>4615</v>
      </c>
      <c r="O117" t="s">
        <v>4616</v>
      </c>
      <c r="P117">
        <v>0.22</v>
      </c>
      <c r="Q117" t="s">
        <v>4617</v>
      </c>
      <c r="R117">
        <v>89777996</v>
      </c>
      <c r="S117" s="6">
        <v>0.1212</v>
      </c>
      <c r="T117" t="s">
        <v>854</v>
      </c>
      <c r="U117">
        <v>4339419300</v>
      </c>
      <c r="V117">
        <v>4339419300</v>
      </c>
      <c r="W117">
        <v>2.1800000000000002</v>
      </c>
      <c r="X117">
        <v>0.12</v>
      </c>
      <c r="Y117">
        <v>3.93</v>
      </c>
      <c r="Z117" t="s">
        <v>2154</v>
      </c>
      <c r="AA117" t="s">
        <v>1139</v>
      </c>
      <c r="AB117" t="s">
        <v>4618</v>
      </c>
      <c r="AC117" t="s">
        <v>303</v>
      </c>
      <c r="AD117" t="s">
        <v>5</v>
      </c>
      <c r="AE117">
        <v>11638927</v>
      </c>
      <c r="AF117" t="s">
        <v>4619</v>
      </c>
      <c r="AG117" t="s">
        <v>4620</v>
      </c>
      <c r="AH117" t="s">
        <v>4621</v>
      </c>
      <c r="AI117" t="s">
        <v>4622</v>
      </c>
      <c r="AJ117" t="s">
        <v>4623</v>
      </c>
      <c r="AK117" t="s">
        <v>227</v>
      </c>
      <c r="AL117" t="s">
        <v>4624</v>
      </c>
      <c r="AM117" t="s">
        <v>5</v>
      </c>
      <c r="AN117" t="s">
        <v>220</v>
      </c>
      <c r="AO117" t="s">
        <v>2123</v>
      </c>
      <c r="AP117" t="s">
        <v>4625</v>
      </c>
      <c r="AQ117" t="s">
        <v>4626</v>
      </c>
      <c r="AR117" t="s">
        <v>4627</v>
      </c>
      <c r="AS117" t="s">
        <v>2253</v>
      </c>
      <c r="AT117" t="s">
        <v>866</v>
      </c>
      <c r="AU117" t="s">
        <v>4628</v>
      </c>
      <c r="AV117" t="s">
        <v>4629</v>
      </c>
      <c r="AW117" t="s">
        <v>2219</v>
      </c>
      <c r="AX117" t="s">
        <v>2029</v>
      </c>
      <c r="AY117" t="s">
        <v>1489</v>
      </c>
      <c r="AZ117" t="s">
        <v>1122</v>
      </c>
      <c r="BA117" t="s">
        <v>272</v>
      </c>
      <c r="BB117" t="s">
        <v>1123</v>
      </c>
      <c r="BC117" t="s">
        <v>551</v>
      </c>
      <c r="BD117" t="s">
        <v>839</v>
      </c>
      <c r="BE117" t="s">
        <v>629</v>
      </c>
      <c r="BF117" t="s">
        <v>273</v>
      </c>
      <c r="BG117" t="s">
        <v>208</v>
      </c>
      <c r="BH117" t="s">
        <v>4630</v>
      </c>
      <c r="BI117" t="s">
        <v>4631</v>
      </c>
      <c r="BJ117" t="s">
        <v>2029</v>
      </c>
      <c r="BK117" t="s">
        <v>1712</v>
      </c>
      <c r="BL117" t="s">
        <v>4632</v>
      </c>
      <c r="BM117" t="s">
        <v>551</v>
      </c>
      <c r="BN117">
        <v>2.95</v>
      </c>
      <c r="BO117">
        <v>1.1299999999999999</v>
      </c>
      <c r="BP117">
        <v>2.71</v>
      </c>
      <c r="BQ117">
        <v>3.44</v>
      </c>
      <c r="BR117">
        <v>1.92</v>
      </c>
      <c r="BS117">
        <v>3.08</v>
      </c>
      <c r="BT117" t="s">
        <v>4633</v>
      </c>
      <c r="BU117" t="s">
        <v>1536</v>
      </c>
      <c r="BV117">
        <v>19.73</v>
      </c>
      <c r="BW117">
        <v>16.23</v>
      </c>
      <c r="BX117">
        <v>20.94</v>
      </c>
      <c r="BY117">
        <v>4.12</v>
      </c>
      <c r="BZ117">
        <v>1.87</v>
      </c>
      <c r="CA117">
        <v>2.95</v>
      </c>
      <c r="CB117">
        <v>-2.62</v>
      </c>
      <c r="CC117">
        <v>-9.2899999999999991</v>
      </c>
      <c r="CD117" t="s">
        <v>227</v>
      </c>
      <c r="CE117" t="s">
        <v>3924</v>
      </c>
      <c r="CF117" s="10">
        <v>-0.9093407737475534</v>
      </c>
      <c r="CG117" s="11">
        <v>6.3251694750654924E-2</v>
      </c>
      <c r="CH117" s="10">
        <v>11.518409729003906</v>
      </c>
      <c r="CI117" s="10">
        <v>0.16913902759552002</v>
      </c>
      <c r="CJ117" s="10">
        <v>0.19499841332435608</v>
      </c>
      <c r="CK117" s="10">
        <v>0.20572520792484283</v>
      </c>
      <c r="CL117" s="10">
        <v>7.4985702522099018E-3</v>
      </c>
      <c r="CM117" s="11">
        <v>2.6095890998840332</v>
      </c>
      <c r="CN117" s="11">
        <v>-0.35682818293571472</v>
      </c>
      <c r="CO117" s="11">
        <v>0.16410256922245026</v>
      </c>
      <c r="CP117" s="11">
        <v>0.66666668653488159</v>
      </c>
      <c r="CQ117" s="11">
        <v>0.10377358645200729</v>
      </c>
      <c r="CR117">
        <v>73.289435508345989</v>
      </c>
      <c r="CS117">
        <v>0.3029547923105026</v>
      </c>
      <c r="CT117">
        <v>0.76819407008086249</v>
      </c>
      <c r="CU117" s="10">
        <v>2.4191541896201669</v>
      </c>
      <c r="CV117" s="11">
        <v>0.6374607518315315</v>
      </c>
      <c r="CW117">
        <v>0.06</v>
      </c>
      <c r="CX117">
        <v>10.528409575929068</v>
      </c>
      <c r="CY117">
        <v>1699900243.3300261</v>
      </c>
      <c r="CZ117">
        <v>2.4191541896201669</v>
      </c>
      <c r="DA117">
        <v>0.79131052176763417</v>
      </c>
      <c r="DB117">
        <v>22617222326.351765</v>
      </c>
      <c r="DC117">
        <v>2.2981964801391586</v>
      </c>
      <c r="DD117">
        <v>3.4001600387459953E-2</v>
      </c>
      <c r="DE117">
        <v>526364812128.09735</v>
      </c>
      <c r="DF117">
        <v>2.1288556868657471</v>
      </c>
      <c r="DG117">
        <v>8.182977185469825E-4</v>
      </c>
      <c r="DH117">
        <v>21871313574941.16</v>
      </c>
      <c r="DI117">
        <v>1.9353233516961337</v>
      </c>
      <c r="DJ117">
        <v>1.6362238881113303E-7</v>
      </c>
      <c r="DK117">
        <v>1.0938140024748406E+17</v>
      </c>
      <c r="DL117">
        <v>1.6934079327341167</v>
      </c>
      <c r="DM117">
        <v>526999999.99999994</v>
      </c>
      <c r="DN117">
        <v>2.4191541896201669</v>
      </c>
      <c r="DO117">
        <v>17897246000</v>
      </c>
      <c r="DP117">
        <v>2560473800.000001</v>
      </c>
      <c r="DQ117">
        <v>3748</v>
      </c>
      <c r="DR117">
        <v>-3.3284949633677203</v>
      </c>
      <c r="DS117">
        <v>-0.57420905708087655</v>
      </c>
      <c r="DT117" s="12">
        <v>0.26</v>
      </c>
      <c r="DU117">
        <v>0.51666666666666672</v>
      </c>
      <c r="DV117">
        <v>0.77666666666666673</v>
      </c>
      <c r="DW117">
        <v>-8.2820236813778259</v>
      </c>
      <c r="DX117">
        <v>0.34529880478087638</v>
      </c>
      <c r="DY117">
        <v>-8.0494384142654347</v>
      </c>
      <c r="DZ117">
        <v>2892</v>
      </c>
      <c r="EA117">
        <v>-8.021458787248676</v>
      </c>
      <c r="EB117">
        <v>8</v>
      </c>
      <c r="EC117">
        <v>3.0418816637516454E-2</v>
      </c>
      <c r="ED117">
        <v>0.17352552218219613</v>
      </c>
      <c r="EE117" s="13">
        <v>1.02521</v>
      </c>
      <c r="EF117">
        <v>1.0221100000000001</v>
      </c>
      <c r="EG117">
        <v>17.175298804780876</v>
      </c>
      <c r="EH117" t="s">
        <v>1815</v>
      </c>
      <c r="EI117">
        <v>0</v>
      </c>
      <c r="EJ117">
        <v>0</v>
      </c>
      <c r="EK117" s="15">
        <v>45470</v>
      </c>
      <c r="EL117" s="16">
        <v>0.21</v>
      </c>
      <c r="EM117" s="16">
        <v>0</v>
      </c>
      <c r="EN117" s="16">
        <v>-0.84</v>
      </c>
      <c r="EO117" s="16">
        <v>1.75</v>
      </c>
      <c r="EP117" s="16">
        <v>0.31</v>
      </c>
    </row>
    <row r="118" spans="1:146" ht="108" x14ac:dyDescent="0.25">
      <c r="A118" s="8"/>
      <c r="B118" s="8"/>
      <c r="C118" s="8" t="str">
        <f>""&amp;CHAR(10)&amp;Basic_Fundamental_Information_Constructure(F118)&amp;CHAR(10)&amp;Basic_Fundamental_Information_Concatenate("")</f>
        <v xml:space="preserve">
市值252.29651亿, 利润1.82亿; PE7.14; 平均PE19.46; 平均PEG2.31, PB1.18; ROIC10.59%; ROE14.3%; 股利率5.9448%; 毛利21.52%; 净利8.27%; 上一年度营收增-63.9%, 利润增-92.83%; 当季营收增251.71%, 利润增4251.75%; 过往5年营收增-8.43%, 利润增7.76%
Income profile:
</v>
      </c>
      <c r="D118" t="s">
        <v>1297</v>
      </c>
      <c r="E118" t="s">
        <v>1298</v>
      </c>
      <c r="F118">
        <v>14.13</v>
      </c>
      <c r="G118">
        <v>0.5</v>
      </c>
      <c r="H118" t="s">
        <v>4634</v>
      </c>
      <c r="I118">
        <v>25229651000</v>
      </c>
      <c r="J118">
        <v>7.14</v>
      </c>
      <c r="K118">
        <v>1.18</v>
      </c>
      <c r="L118" t="s">
        <v>101</v>
      </c>
      <c r="M118" t="s">
        <v>4635</v>
      </c>
      <c r="N118" t="s">
        <v>4636</v>
      </c>
      <c r="O118" t="s">
        <v>4637</v>
      </c>
      <c r="P118">
        <v>4.93</v>
      </c>
      <c r="Q118" t="s">
        <v>4638</v>
      </c>
      <c r="R118">
        <v>1042121390</v>
      </c>
      <c r="S118" s="6">
        <v>0.33079999999999998</v>
      </c>
      <c r="T118" t="s">
        <v>536</v>
      </c>
      <c r="U118">
        <v>1531089700</v>
      </c>
      <c r="V118">
        <v>1785537900</v>
      </c>
      <c r="W118">
        <v>2.14</v>
      </c>
      <c r="X118">
        <v>0.2</v>
      </c>
      <c r="Y118">
        <v>12.13</v>
      </c>
      <c r="Z118" t="s">
        <v>4258</v>
      </c>
      <c r="AA118" t="s">
        <v>4639</v>
      </c>
      <c r="AB118" t="s">
        <v>522</v>
      </c>
      <c r="AC118" t="s">
        <v>201</v>
      </c>
      <c r="AD118" t="s">
        <v>5</v>
      </c>
      <c r="AE118">
        <v>53624865</v>
      </c>
      <c r="AF118" t="s">
        <v>4640</v>
      </c>
      <c r="AG118" t="s">
        <v>4641</v>
      </c>
      <c r="AH118" t="s">
        <v>4642</v>
      </c>
      <c r="AI118" t="s">
        <v>4643</v>
      </c>
      <c r="AJ118" t="s">
        <v>4644</v>
      </c>
      <c r="AK118" t="s">
        <v>4645</v>
      </c>
      <c r="AL118" t="s">
        <v>4646</v>
      </c>
      <c r="AM118" t="s">
        <v>5</v>
      </c>
      <c r="AN118" t="s">
        <v>2036</v>
      </c>
      <c r="AO118" t="s">
        <v>2023</v>
      </c>
      <c r="AP118" t="s">
        <v>4647</v>
      </c>
      <c r="AQ118" t="s">
        <v>170</v>
      </c>
      <c r="AR118" t="s">
        <v>4648</v>
      </c>
      <c r="AS118" t="s">
        <v>4649</v>
      </c>
      <c r="AT118" t="s">
        <v>4650</v>
      </c>
      <c r="AU118" t="s">
        <v>320</v>
      </c>
      <c r="AV118" t="s">
        <v>4651</v>
      </c>
      <c r="AW118" t="s">
        <v>4652</v>
      </c>
      <c r="AX118" t="s">
        <v>4653</v>
      </c>
      <c r="AY118" t="s">
        <v>2031</v>
      </c>
      <c r="AZ118" t="s">
        <v>2032</v>
      </c>
      <c r="BA118" t="s">
        <v>1299</v>
      </c>
      <c r="BB118" t="s">
        <v>1300</v>
      </c>
      <c r="BC118" t="s">
        <v>2030</v>
      </c>
      <c r="BD118" t="s">
        <v>1490</v>
      </c>
      <c r="BE118" t="s">
        <v>892</v>
      </c>
      <c r="BF118" t="s">
        <v>924</v>
      </c>
      <c r="BG118" t="s">
        <v>991</v>
      </c>
      <c r="BH118" t="s">
        <v>4654</v>
      </c>
      <c r="BI118" t="s">
        <v>4655</v>
      </c>
      <c r="BJ118" t="s">
        <v>4653</v>
      </c>
      <c r="BK118" t="s">
        <v>4656</v>
      </c>
      <c r="BL118" t="s">
        <v>4657</v>
      </c>
      <c r="BM118" t="s">
        <v>2030</v>
      </c>
      <c r="BN118">
        <v>9.69</v>
      </c>
      <c r="BO118">
        <v>11.52</v>
      </c>
      <c r="BP118">
        <v>10.56</v>
      </c>
      <c r="BQ118">
        <v>13.1</v>
      </c>
      <c r="BR118">
        <v>15.74</v>
      </c>
      <c r="BS118">
        <v>14.06</v>
      </c>
      <c r="BT118" t="s">
        <v>4658</v>
      </c>
      <c r="BU118" t="s">
        <v>1536</v>
      </c>
      <c r="BV118">
        <v>22.05</v>
      </c>
      <c r="BW118">
        <v>20.66</v>
      </c>
      <c r="BX118">
        <v>21.85</v>
      </c>
      <c r="BY118">
        <v>9.5299999999999994</v>
      </c>
      <c r="BZ118">
        <v>8.2100000000000009</v>
      </c>
      <c r="CA118">
        <v>7.07</v>
      </c>
      <c r="CB118">
        <v>-4.53</v>
      </c>
      <c r="CC118">
        <v>-10.11</v>
      </c>
      <c r="CD118" t="s">
        <v>4659</v>
      </c>
      <c r="CE118" t="s">
        <v>555</v>
      </c>
      <c r="CF118" s="10">
        <v>2.5171033478893743</v>
      </c>
      <c r="CG118" s="11">
        <v>42.5174630019376</v>
      </c>
      <c r="CH118" s="10">
        <v>-0.63895565271377563</v>
      </c>
      <c r="CI118" s="10">
        <v>9.3800149857997894E-2</v>
      </c>
      <c r="CJ118" s="10">
        <v>0.10434192419052124</v>
      </c>
      <c r="CK118" s="10">
        <v>3.063647449016571E-2</v>
      </c>
      <c r="CL118" s="10">
        <v>-1.1187156662344933E-2</v>
      </c>
      <c r="CM118" s="11">
        <v>-0.92828994989395142</v>
      </c>
      <c r="CN118" s="11">
        <v>0.30287468433380127</v>
      </c>
      <c r="CO118" s="11">
        <v>0.5722355842590332</v>
      </c>
      <c r="CP118" s="11">
        <v>0.19134621322154999</v>
      </c>
      <c r="CQ118" s="11">
        <v>0.25</v>
      </c>
      <c r="CR118">
        <v>19.459815657539529</v>
      </c>
      <c r="CS118">
        <v>2.309144066806275</v>
      </c>
      <c r="CT118">
        <v>5.9447983014861991</v>
      </c>
      <c r="CU118" s="10">
        <v>-8.4272852167487144E-2</v>
      </c>
      <c r="CV118" s="11">
        <v>7.7633306384086609E-2</v>
      </c>
      <c r="CW118">
        <v>0.06</v>
      </c>
      <c r="CX118">
        <v>162.04203846153845</v>
      </c>
      <c r="CY118" t="s">
        <v>4660</v>
      </c>
      <c r="CZ118">
        <v>-8.4272852167487144E-2</v>
      </c>
      <c r="DA118">
        <v>54.014012820512818</v>
      </c>
      <c r="DB118" t="s">
        <v>4661</v>
      </c>
      <c r="DC118">
        <v>-8.005920955911279E-2</v>
      </c>
      <c r="DD118">
        <v>27.007006410256409</v>
      </c>
      <c r="DE118" t="s">
        <v>4662</v>
      </c>
      <c r="DF118">
        <v>-7.4160109907388694E-2</v>
      </c>
      <c r="DG118">
        <v>16.204203846153845</v>
      </c>
      <c r="DH118" t="s">
        <v>4663</v>
      </c>
      <c r="DI118">
        <v>-6.7418281733989713E-2</v>
      </c>
      <c r="DJ118">
        <v>8.1021019230769227</v>
      </c>
      <c r="DK118" t="s">
        <v>4664</v>
      </c>
      <c r="DL118">
        <v>-5.8990996517240997E-2</v>
      </c>
      <c r="DM118">
        <v>182000000</v>
      </c>
      <c r="DN118">
        <v>-8.4272852167487144E-2</v>
      </c>
      <c r="DO118">
        <v>29491651000</v>
      </c>
      <c r="DP118">
        <v>19371644000</v>
      </c>
      <c r="DQ118">
        <v>3773</v>
      </c>
      <c r="DR118">
        <v>2.6013762000568614</v>
      </c>
      <c r="DS118">
        <v>42.439829695553513</v>
      </c>
      <c r="DT118" s="12">
        <v>-0.77333333333333332</v>
      </c>
      <c r="DU118">
        <v>0.1666666666666666</v>
      </c>
      <c r="DV118">
        <v>-0.60666666666666669</v>
      </c>
      <c r="DW118">
        <v>-8.4480712166172101</v>
      </c>
      <c r="DX118">
        <v>0.31876081081081098</v>
      </c>
      <c r="DY118">
        <v>-8.0800975739834797</v>
      </c>
      <c r="DZ118">
        <v>386</v>
      </c>
      <c r="EA118">
        <v>-8.0740471505866847</v>
      </c>
      <c r="EB118">
        <v>8</v>
      </c>
      <c r="EC118">
        <v>4.4451478739263951E-2</v>
      </c>
      <c r="ED118">
        <v>0.24866456209078511</v>
      </c>
      <c r="EE118" s="13">
        <v>1.0011000000000001</v>
      </c>
      <c r="EF118">
        <v>1.02871</v>
      </c>
      <c r="EG118">
        <v>14.178760810810811</v>
      </c>
      <c r="EH118" t="s">
        <v>1815</v>
      </c>
      <c r="EI118">
        <v>0</v>
      </c>
      <c r="EJ118">
        <v>1</v>
      </c>
      <c r="EK118" s="15">
        <v>45470</v>
      </c>
      <c r="EL118" s="16">
        <v>-0.57999999999999996</v>
      </c>
      <c r="EM118" s="16">
        <v>-2.61</v>
      </c>
      <c r="EN118" s="16">
        <v>-1.31</v>
      </c>
      <c r="EO118" s="16">
        <v>2.2200000000000002</v>
      </c>
      <c r="EP118" s="16">
        <v>-2.98</v>
      </c>
    </row>
    <row r="119" spans="1:146" ht="96" x14ac:dyDescent="0.25">
      <c r="A119" s="8"/>
      <c r="B119" s="8"/>
      <c r="C119" s="8" t="str">
        <f>""&amp;CHAR(10)&amp;Basic_Fundamental_Information_Constructure(F119)&amp;CHAR(10)&amp;Basic_Fundamental_Information_Concatenate("")</f>
        <v xml:space="preserve">
市值17.620051亿, 利润11.02亿; PE; 平均PE13.4; 平均PEG.06, PB1.38; ROIC0%; ROE-8.7333%; 股利率0%; 毛利13.6067%; 净利-18.2467%; 上一年度营收增1077.93%, 利润增698.91%; 当季营收增-95.05%, 利润增-103.36%; 过往5年营收增219.31%, 利润增-70.82%
Income profile:
</v>
      </c>
      <c r="D119" t="s">
        <v>411</v>
      </c>
      <c r="E119" t="s">
        <v>412</v>
      </c>
      <c r="F119">
        <v>4.97</v>
      </c>
      <c r="G119">
        <v>2.4700000000000002</v>
      </c>
      <c r="H119" t="s">
        <v>4665</v>
      </c>
      <c r="I119">
        <v>1762005100</v>
      </c>
      <c r="K119">
        <v>1.38</v>
      </c>
      <c r="L119" t="s">
        <v>101</v>
      </c>
      <c r="M119" t="s">
        <v>1893</v>
      </c>
      <c r="N119" t="s">
        <v>4666</v>
      </c>
      <c r="O119" t="s">
        <v>4667</v>
      </c>
      <c r="P119">
        <v>-15.12</v>
      </c>
      <c r="Q119" t="s">
        <v>4668</v>
      </c>
      <c r="R119">
        <v>-6859830</v>
      </c>
      <c r="S119" s="6">
        <v>0.58350000000000002</v>
      </c>
      <c r="T119" t="s">
        <v>1711</v>
      </c>
      <c r="U119">
        <v>354528200</v>
      </c>
      <c r="V119">
        <v>354528200</v>
      </c>
      <c r="W119">
        <v>2.02</v>
      </c>
      <c r="X119">
        <v>0.04</v>
      </c>
      <c r="Y119">
        <v>-7.06</v>
      </c>
      <c r="Z119" t="s">
        <v>441</v>
      </c>
      <c r="AA119" t="s">
        <v>4669</v>
      </c>
      <c r="AB119" t="s">
        <v>4670</v>
      </c>
      <c r="AC119" t="s">
        <v>4671</v>
      </c>
      <c r="AD119" t="s">
        <v>5</v>
      </c>
      <c r="AE119">
        <v>4923460</v>
      </c>
      <c r="AF119" t="s">
        <v>4672</v>
      </c>
      <c r="AG119" t="s">
        <v>4673</v>
      </c>
      <c r="AH119" t="s">
        <v>4674</v>
      </c>
      <c r="AI119" t="s">
        <v>593</v>
      </c>
      <c r="AJ119" t="s">
        <v>4675</v>
      </c>
      <c r="AK119" t="s">
        <v>4676</v>
      </c>
      <c r="AL119" t="s">
        <v>4677</v>
      </c>
      <c r="AM119" t="s">
        <v>5</v>
      </c>
      <c r="AN119">
        <v>0</v>
      </c>
      <c r="AO119" t="s">
        <v>710</v>
      </c>
      <c r="AP119" t="s">
        <v>4678</v>
      </c>
      <c r="AQ119" t="s">
        <v>138</v>
      </c>
      <c r="AR119" t="s">
        <v>5</v>
      </c>
      <c r="AS119" t="s">
        <v>740</v>
      </c>
      <c r="AT119" t="s">
        <v>2185</v>
      </c>
      <c r="AU119" t="s">
        <v>4679</v>
      </c>
      <c r="AV119" t="s">
        <v>4680</v>
      </c>
      <c r="AW119" t="s">
        <v>4681</v>
      </c>
      <c r="AX119" t="s">
        <v>1895</v>
      </c>
      <c r="AY119" t="s">
        <v>991</v>
      </c>
      <c r="AZ119" t="s">
        <v>866</v>
      </c>
      <c r="BA119" t="s">
        <v>413</v>
      </c>
      <c r="BB119" t="s">
        <v>712</v>
      </c>
      <c r="BC119" t="s">
        <v>983</v>
      </c>
      <c r="BD119" t="s">
        <v>1491</v>
      </c>
      <c r="BE119" t="s">
        <v>1124</v>
      </c>
      <c r="BF119" t="s">
        <v>414</v>
      </c>
      <c r="BG119" t="s">
        <v>1126</v>
      </c>
      <c r="BH119" t="s">
        <v>3543</v>
      </c>
      <c r="BI119" t="s">
        <v>4682</v>
      </c>
      <c r="BJ119" t="s">
        <v>1895</v>
      </c>
      <c r="BK119" t="s">
        <v>1632</v>
      </c>
      <c r="BL119" t="s">
        <v>171</v>
      </c>
      <c r="BM119" t="s">
        <v>983</v>
      </c>
      <c r="BN119" t="s">
        <v>5</v>
      </c>
      <c r="BO119" t="s">
        <v>5</v>
      </c>
      <c r="BP119" t="s">
        <v>5</v>
      </c>
      <c r="BQ119">
        <v>-3.8</v>
      </c>
      <c r="BR119">
        <v>-12.15</v>
      </c>
      <c r="BS119">
        <v>-10.25</v>
      </c>
      <c r="BT119" t="s">
        <v>1720</v>
      </c>
      <c r="BU119" t="s">
        <v>1536</v>
      </c>
      <c r="BV119">
        <v>14</v>
      </c>
      <c r="BW119">
        <v>13.18</v>
      </c>
      <c r="BX119">
        <v>13.64</v>
      </c>
      <c r="BY119">
        <v>-12.43</v>
      </c>
      <c r="BZ119">
        <v>-21.11</v>
      </c>
      <c r="CA119">
        <v>-21.2</v>
      </c>
      <c r="CB119">
        <v>0.4</v>
      </c>
      <c r="CC119">
        <v>-12.96</v>
      </c>
      <c r="CD119" t="s">
        <v>4683</v>
      </c>
      <c r="CE119" t="s">
        <v>274</v>
      </c>
      <c r="CF119" s="10">
        <v>-0.9504857514300572</v>
      </c>
      <c r="CG119" s="11">
        <v>-1.0336266176470588</v>
      </c>
      <c r="CH119" s="10">
        <v>10.77931022644043</v>
      </c>
      <c r="CI119" s="10">
        <v>4.5673076063394547E-2</v>
      </c>
      <c r="CJ119" s="10">
        <v>-0.29491525888442993</v>
      </c>
      <c r="CK119" s="10">
        <v>9.3605123460292816E-2</v>
      </c>
      <c r="CL119" s="10">
        <v>0.34203988313674927</v>
      </c>
      <c r="CM119" s="11">
        <v>6.9891304969787598</v>
      </c>
      <c r="CN119" s="11">
        <v>-5.7471264153718948E-2</v>
      </c>
      <c r="CO119" s="11">
        <v>-10.405354499816895</v>
      </c>
      <c r="CP119" s="11">
        <v>1.5095365047454834</v>
      </c>
      <c r="CQ119" s="11">
        <v>-1.57685387134552</v>
      </c>
      <c r="CR119">
        <v>13.397014927642768</v>
      </c>
      <c r="CS119">
        <v>6.1085926953826065E-2</v>
      </c>
      <c r="CT119">
        <v>0</v>
      </c>
      <c r="CU119" s="10">
        <v>2.1931426100432874</v>
      </c>
      <c r="CV119" s="11">
        <v>-0.70820252671837802</v>
      </c>
      <c r="CW119">
        <v>0.06</v>
      </c>
      <c r="CX119">
        <v>0.55126225292106357</v>
      </c>
      <c r="CY119">
        <v>3319663354.9695311</v>
      </c>
      <c r="CZ119">
        <v>2.1931426100432874</v>
      </c>
      <c r="DA119">
        <v>4.6145813057280605E-2</v>
      </c>
      <c r="DB119">
        <v>39657012819.958817</v>
      </c>
      <c r="DC119">
        <v>2.0834854795411228</v>
      </c>
      <c r="DD119">
        <v>2.3816436644509037E-3</v>
      </c>
      <c r="DE119">
        <v>768379051541.24475</v>
      </c>
      <c r="DF119">
        <v>1.9299654968380928</v>
      </c>
      <c r="DG119">
        <v>7.2762983296240837E-5</v>
      </c>
      <c r="DH119">
        <v>25150220855424.215</v>
      </c>
      <c r="DI119">
        <v>1.7545140880346299</v>
      </c>
      <c r="DJ119">
        <v>2.5762188144987122E-8</v>
      </c>
      <c r="DK119">
        <v>7.103453672882548E+16</v>
      </c>
      <c r="DL119">
        <v>1.5351998270303011</v>
      </c>
      <c r="DM119">
        <v>1102000000</v>
      </c>
      <c r="DN119">
        <v>2.1931426100432874</v>
      </c>
      <c r="DO119">
        <v>1830005100</v>
      </c>
      <c r="DP119">
        <v>432548900</v>
      </c>
      <c r="DQ119">
        <v>3782</v>
      </c>
      <c r="DR119">
        <v>-3.1436283614733447</v>
      </c>
      <c r="DS119">
        <v>-0.32542409092868074</v>
      </c>
      <c r="DT119" s="12">
        <v>-0.17333333333333337</v>
      </c>
      <c r="DU119">
        <v>-2.081666666666667</v>
      </c>
      <c r="DV119">
        <v>-2.2550000000000003</v>
      </c>
      <c r="DW119">
        <v>-2.1295999999999999</v>
      </c>
      <c r="DX119">
        <v>0.37620111731843409</v>
      </c>
      <c r="DY119">
        <v>-2.0163556648044691</v>
      </c>
      <c r="DZ119">
        <v>2303</v>
      </c>
      <c r="EA119">
        <v>-2.008984413132318</v>
      </c>
      <c r="EB119">
        <v>2</v>
      </c>
      <c r="EC119">
        <v>6.3718485581682929E-2</v>
      </c>
      <c r="ED119">
        <v>0.50489636649496428</v>
      </c>
      <c r="EE119" s="13">
        <v>-2.0750999999999999</v>
      </c>
      <c r="EF119">
        <v>-2.0617000000000001</v>
      </c>
      <c r="EG119">
        <v>25.126201117318434</v>
      </c>
      <c r="EH119" t="s">
        <v>1852</v>
      </c>
      <c r="EI119">
        <v>0</v>
      </c>
      <c r="EJ119">
        <v>0</v>
      </c>
      <c r="EK119" s="15">
        <v>45470</v>
      </c>
      <c r="EL119" s="16">
        <v>0.53</v>
      </c>
      <c r="EM119" s="16">
        <v>-3.19</v>
      </c>
      <c r="EN119" s="16">
        <v>0.27</v>
      </c>
      <c r="EO119" s="16">
        <v>1.92</v>
      </c>
      <c r="EP119" s="16">
        <v>-1.34</v>
      </c>
    </row>
    <row r="120" spans="1:146" ht="96" x14ac:dyDescent="0.25">
      <c r="A120" s="8"/>
      <c r="B120" s="8"/>
      <c r="C120" s="8" t="str">
        <f>""&amp;CHAR(10)&amp;Basic_Fundamental_Information_Constructure(F120)&amp;CHAR(10)&amp;Basic_Fundamental_Information_Concatenate("")</f>
        <v xml:space="preserve">
市值27.934416亿, 利润4.02亿; PE972; 平均PE28.69; 平均PEG.97, PB1.25; ROIC2.73%; ROE1.5567%; 股利率0%; 毛利30.9367%; 净利2.29%; 上一年度营收增53.17%, 利润增2969.41%; 当季营收增-31.83%, 利润增-93.39%; 过往5年营收增29.69%, 利润增597.21%
Income profile:
</v>
      </c>
      <c r="D120" t="s">
        <v>693</v>
      </c>
      <c r="E120" t="s">
        <v>34</v>
      </c>
      <c r="F120">
        <v>5.65</v>
      </c>
      <c r="G120">
        <v>0.89</v>
      </c>
      <c r="H120" t="s">
        <v>4684</v>
      </c>
      <c r="I120">
        <v>2793441600</v>
      </c>
      <c r="J120">
        <v>972</v>
      </c>
      <c r="K120">
        <v>1.25</v>
      </c>
      <c r="L120" t="s">
        <v>101</v>
      </c>
      <c r="M120" t="s">
        <v>4685</v>
      </c>
      <c r="N120" t="s">
        <v>1112</v>
      </c>
      <c r="O120" t="s">
        <v>372</v>
      </c>
      <c r="P120">
        <v>7.95</v>
      </c>
      <c r="Q120" t="s">
        <v>4686</v>
      </c>
      <c r="R120">
        <v>5456572</v>
      </c>
      <c r="S120" s="6">
        <v>-0.71609999999999996</v>
      </c>
      <c r="T120" t="s">
        <v>523</v>
      </c>
      <c r="U120">
        <v>494414440</v>
      </c>
      <c r="V120">
        <v>494414440</v>
      </c>
      <c r="W120">
        <v>1.86</v>
      </c>
      <c r="X120">
        <v>7.0000000000000007E-2</v>
      </c>
      <c r="Y120">
        <v>1.71</v>
      </c>
      <c r="Z120" t="s">
        <v>946</v>
      </c>
      <c r="AA120" t="s">
        <v>335</v>
      </c>
      <c r="AB120" t="s">
        <v>4687</v>
      </c>
      <c r="AC120" t="s">
        <v>4688</v>
      </c>
      <c r="AD120" t="s">
        <v>5</v>
      </c>
      <c r="AE120">
        <v>5226629</v>
      </c>
      <c r="AF120" t="s">
        <v>4689</v>
      </c>
      <c r="AG120" t="s">
        <v>4690</v>
      </c>
      <c r="AH120" t="s">
        <v>4691</v>
      </c>
      <c r="AI120" t="s">
        <v>2072</v>
      </c>
      <c r="AJ120" t="s">
        <v>4692</v>
      </c>
      <c r="AK120" t="s">
        <v>692</v>
      </c>
      <c r="AL120" t="s">
        <v>4693</v>
      </c>
      <c r="AM120" t="s">
        <v>5</v>
      </c>
      <c r="AN120" t="s">
        <v>4694</v>
      </c>
      <c r="AO120" t="s">
        <v>1966</v>
      </c>
      <c r="AP120" t="s">
        <v>2432</v>
      </c>
      <c r="AQ120" t="s">
        <v>247</v>
      </c>
      <c r="AR120" t="s">
        <v>5</v>
      </c>
      <c r="AS120" t="s">
        <v>4695</v>
      </c>
      <c r="AT120" t="s">
        <v>5</v>
      </c>
      <c r="AU120" t="s">
        <v>4696</v>
      </c>
      <c r="AV120" t="s">
        <v>4697</v>
      </c>
      <c r="AW120" t="s">
        <v>4698</v>
      </c>
      <c r="AX120" t="s">
        <v>2034</v>
      </c>
      <c r="AY120" t="s">
        <v>1425</v>
      </c>
      <c r="AZ120" t="s">
        <v>739</v>
      </c>
      <c r="BA120" t="s">
        <v>532</v>
      </c>
      <c r="BB120" t="s">
        <v>486</v>
      </c>
      <c r="BC120" t="s">
        <v>4699</v>
      </c>
      <c r="BD120" t="s">
        <v>1492</v>
      </c>
      <c r="BE120" t="s">
        <v>1127</v>
      </c>
      <c r="BF120" t="s">
        <v>695</v>
      </c>
      <c r="BG120" t="s">
        <v>1129</v>
      </c>
      <c r="BH120" t="s">
        <v>2764</v>
      </c>
      <c r="BI120" t="s">
        <v>989</v>
      </c>
      <c r="BJ120" t="s">
        <v>2034</v>
      </c>
      <c r="BK120" t="s">
        <v>4700</v>
      </c>
      <c r="BL120" t="s">
        <v>4701</v>
      </c>
      <c r="BM120" t="s">
        <v>4699</v>
      </c>
      <c r="BN120">
        <v>3.34</v>
      </c>
      <c r="BO120">
        <v>0.89</v>
      </c>
      <c r="BP120">
        <v>3.96</v>
      </c>
      <c r="BQ120">
        <v>0.33</v>
      </c>
      <c r="BR120">
        <v>0.61</v>
      </c>
      <c r="BS120">
        <v>3.73</v>
      </c>
      <c r="BT120" t="s">
        <v>1720</v>
      </c>
      <c r="BU120" t="s">
        <v>1537</v>
      </c>
      <c r="BV120">
        <v>30.94</v>
      </c>
      <c r="BW120">
        <v>30.33</v>
      </c>
      <c r="BX120">
        <v>31.54</v>
      </c>
      <c r="BY120">
        <v>0.87</v>
      </c>
      <c r="BZ120">
        <v>0.7</v>
      </c>
      <c r="CA120">
        <v>5.3</v>
      </c>
      <c r="CB120">
        <v>-4.72</v>
      </c>
      <c r="CC120">
        <v>-15.55</v>
      </c>
      <c r="CD120" t="s">
        <v>4702</v>
      </c>
      <c r="CE120" t="s">
        <v>319</v>
      </c>
      <c r="CF120" s="10">
        <v>-0.31827956989247319</v>
      </c>
      <c r="CG120" s="11">
        <v>-0.93387976976673737</v>
      </c>
      <c r="CH120" s="10">
        <v>0.53171855211257935</v>
      </c>
      <c r="CI120" s="10">
        <v>0.43781095743179321</v>
      </c>
      <c r="CJ120" s="10">
        <v>0.43914079666137695</v>
      </c>
      <c r="CK120" s="10">
        <v>0.20575539767742157</v>
      </c>
      <c r="CL120" s="10">
        <v>-0.13016270101070404</v>
      </c>
      <c r="CM120" s="11">
        <v>29.694051742553711</v>
      </c>
      <c r="CN120" s="11">
        <v>-0.79642969369888306</v>
      </c>
      <c r="CO120" s="11">
        <v>1.4837758541107178</v>
      </c>
      <c r="CP120" s="11">
        <v>-5.1534049212932587E-2</v>
      </c>
      <c r="CQ120" s="11">
        <v>-0.46921518445014954</v>
      </c>
      <c r="CR120">
        <v>28.69489774500401</v>
      </c>
      <c r="CS120">
        <v>0.96663791017735057</v>
      </c>
      <c r="CT120">
        <v>0</v>
      </c>
      <c r="CU120" s="10">
        <v>0.29685260057449342</v>
      </c>
      <c r="CV120" s="11">
        <v>5.9721297338604931</v>
      </c>
      <c r="CW120">
        <v>0.06</v>
      </c>
      <c r="CX120">
        <v>5.4194893410844731</v>
      </c>
      <c r="CY120">
        <v>491825231.53862846</v>
      </c>
      <c r="CZ120">
        <v>0.29685260057449342</v>
      </c>
      <c r="DA120">
        <v>1.4929032146459018</v>
      </c>
      <c r="DB120">
        <v>1785408172.3792188</v>
      </c>
      <c r="DC120">
        <v>0.28200997054576876</v>
      </c>
      <c r="DD120">
        <v>0.57573416707857861</v>
      </c>
      <c r="DE120">
        <v>4629639428.0803719</v>
      </c>
      <c r="DF120">
        <v>0.26123028850555419</v>
      </c>
      <c r="DG120">
        <v>0.25683928064724498</v>
      </c>
      <c r="DH120">
        <v>10377858064.712622</v>
      </c>
      <c r="DI120">
        <v>0.23748208045959474</v>
      </c>
      <c r="DJ120">
        <v>6.4358333232481163E-2</v>
      </c>
      <c r="DK120">
        <v>41415640619.088806</v>
      </c>
      <c r="DL120">
        <v>0.20779682040214539</v>
      </c>
      <c r="DM120">
        <v>401999999.99999994</v>
      </c>
      <c r="DN120">
        <v>0.29685260057449342</v>
      </c>
      <c r="DO120">
        <v>2665441600</v>
      </c>
      <c r="DP120">
        <v>970250800.00000024</v>
      </c>
      <c r="DQ120">
        <v>3855</v>
      </c>
      <c r="DR120">
        <v>-0.61513217046696655</v>
      </c>
      <c r="DS120">
        <v>-6.9060095036272307</v>
      </c>
      <c r="DT120" s="12">
        <v>0.12666666666666662</v>
      </c>
      <c r="DU120">
        <v>-0.27333333333333337</v>
      </c>
      <c r="DV120">
        <v>-0.14666666666666675</v>
      </c>
      <c r="DW120">
        <v>-8.3035369774919623</v>
      </c>
      <c r="DX120">
        <v>0.29233322259136202</v>
      </c>
      <c r="DY120">
        <v>-8.0310619170823934</v>
      </c>
      <c r="DZ120">
        <v>2108</v>
      </c>
      <c r="EA120">
        <v>-8.0182481164542754</v>
      </c>
      <c r="EB120">
        <v>8</v>
      </c>
      <c r="EC120">
        <v>6.2300567111268031E-2</v>
      </c>
      <c r="ED120">
        <v>0.60880098890315582</v>
      </c>
      <c r="EE120" s="13">
        <v>1.0242</v>
      </c>
      <c r="EF120">
        <v>1.0014000000000001</v>
      </c>
      <c r="EG120">
        <v>19.102333222591362</v>
      </c>
      <c r="EH120" t="s">
        <v>1814</v>
      </c>
      <c r="EI120">
        <v>0</v>
      </c>
      <c r="EJ120">
        <v>0</v>
      </c>
      <c r="EK120" s="15">
        <v>45470</v>
      </c>
      <c r="EL120" s="16">
        <v>0</v>
      </c>
      <c r="EM120" s="16">
        <v>-3.22</v>
      </c>
      <c r="EN120" s="16">
        <v>0.44</v>
      </c>
      <c r="EO120" s="16">
        <v>1.88</v>
      </c>
      <c r="EP120" s="16">
        <v>-2.2799999999999998</v>
      </c>
    </row>
    <row r="121" spans="1:146" ht="96" x14ac:dyDescent="0.25">
      <c r="A121" s="8"/>
      <c r="B121" s="8"/>
      <c r="C121" s="8" t="str">
        <f>""&amp;CHAR(10)&amp;Basic_Fundamental_Information_Constructure(F121)&amp;CHAR(10)&amp;Basic_Fundamental_Information_Concatenate("")</f>
        <v xml:space="preserve">
市值27.98268亿, 利润4.66亿; PE7.37; 平均PE8.11; 平均PEG.16, PB.761; ROIC9.09%; ROE10.33%; 股利率3.4884%; 毛利44.91%; 净利14.6067%; 上一年度营收增229.1%, 利润增15.06%; 当季营收增-69.95%, 利润增-51.93%; 过往5年营收增52.01%, 利润增16.61%
Income profile:
</v>
      </c>
      <c r="D121" t="s">
        <v>418</v>
      </c>
      <c r="E121" t="s">
        <v>64</v>
      </c>
      <c r="F121">
        <v>4.3</v>
      </c>
      <c r="G121">
        <v>0.47</v>
      </c>
      <c r="H121" t="s">
        <v>4703</v>
      </c>
      <c r="I121">
        <v>2798268000</v>
      </c>
      <c r="J121">
        <v>7.37</v>
      </c>
      <c r="K121">
        <v>0.76100000000000001</v>
      </c>
      <c r="L121" t="s">
        <v>101</v>
      </c>
      <c r="M121" t="s">
        <v>4704</v>
      </c>
      <c r="N121" t="s">
        <v>4705</v>
      </c>
      <c r="O121" t="s">
        <v>1362</v>
      </c>
      <c r="P121">
        <v>23.79</v>
      </c>
      <c r="Q121" t="s">
        <v>4706</v>
      </c>
      <c r="R121">
        <v>60571304</v>
      </c>
      <c r="S121" s="6">
        <v>-0.26600000000000001</v>
      </c>
      <c r="T121" t="s">
        <v>651</v>
      </c>
      <c r="U121">
        <v>642240000</v>
      </c>
      <c r="V121">
        <v>650760000</v>
      </c>
      <c r="W121">
        <v>1.8</v>
      </c>
      <c r="X121">
        <v>0.09</v>
      </c>
      <c r="Y121">
        <v>7.18</v>
      </c>
      <c r="Z121" t="s">
        <v>196</v>
      </c>
      <c r="AA121" t="s">
        <v>873</v>
      </c>
      <c r="AB121" t="s">
        <v>4707</v>
      </c>
      <c r="AC121" t="s">
        <v>4708</v>
      </c>
      <c r="AD121" t="s">
        <v>5</v>
      </c>
      <c r="AE121">
        <v>4850989</v>
      </c>
      <c r="AF121" t="s">
        <v>4709</v>
      </c>
      <c r="AG121" t="s">
        <v>4710</v>
      </c>
      <c r="AH121" t="s">
        <v>4711</v>
      </c>
      <c r="AI121" t="s">
        <v>914</v>
      </c>
      <c r="AJ121" t="s">
        <v>4712</v>
      </c>
      <c r="AK121" t="s">
        <v>4713</v>
      </c>
      <c r="AL121" t="s">
        <v>4714</v>
      </c>
      <c r="AM121" t="s">
        <v>5</v>
      </c>
      <c r="AN121" t="s">
        <v>347</v>
      </c>
      <c r="AO121" t="s">
        <v>318</v>
      </c>
      <c r="AP121" t="s">
        <v>1638</v>
      </c>
      <c r="AQ121" t="s">
        <v>351</v>
      </c>
      <c r="AR121" t="s">
        <v>4715</v>
      </c>
      <c r="AS121" t="s">
        <v>1685</v>
      </c>
      <c r="AT121" t="s">
        <v>199</v>
      </c>
      <c r="AU121" t="s">
        <v>4716</v>
      </c>
      <c r="AV121" t="s">
        <v>4717</v>
      </c>
      <c r="AW121" t="s">
        <v>392</v>
      </c>
      <c r="AX121" t="s">
        <v>1698</v>
      </c>
      <c r="AY121" t="s">
        <v>1493</v>
      </c>
      <c r="AZ121" t="s">
        <v>1130</v>
      </c>
      <c r="BA121" t="s">
        <v>419</v>
      </c>
      <c r="BB121" t="s">
        <v>1131</v>
      </c>
      <c r="BC121" t="s">
        <v>810</v>
      </c>
      <c r="BD121" t="s">
        <v>257</v>
      </c>
      <c r="BE121" t="s">
        <v>586</v>
      </c>
      <c r="BF121" t="s">
        <v>265</v>
      </c>
      <c r="BG121" t="s">
        <v>239</v>
      </c>
      <c r="BH121" t="s">
        <v>4686</v>
      </c>
      <c r="BI121" t="s">
        <v>4718</v>
      </c>
      <c r="BJ121" t="s">
        <v>1698</v>
      </c>
      <c r="BK121" t="s">
        <v>523</v>
      </c>
      <c r="BL121" t="s">
        <v>362</v>
      </c>
      <c r="BM121" t="s">
        <v>810</v>
      </c>
      <c r="BN121">
        <v>6.15</v>
      </c>
      <c r="BO121">
        <v>11.33</v>
      </c>
      <c r="BP121">
        <v>9.7899999999999991</v>
      </c>
      <c r="BQ121">
        <v>7.47</v>
      </c>
      <c r="BR121">
        <v>13.22</v>
      </c>
      <c r="BS121">
        <v>10.3</v>
      </c>
      <c r="BT121" t="s">
        <v>4719</v>
      </c>
      <c r="BU121" t="s">
        <v>1536</v>
      </c>
      <c r="BV121">
        <v>46.09</v>
      </c>
      <c r="BW121">
        <v>46.06</v>
      </c>
      <c r="BX121">
        <v>42.58</v>
      </c>
      <c r="BY121">
        <v>14.19</v>
      </c>
      <c r="BZ121">
        <v>16.079999999999998</v>
      </c>
      <c r="CA121">
        <v>13.55</v>
      </c>
      <c r="CB121">
        <v>-3.59</v>
      </c>
      <c r="CC121">
        <v>-16.34</v>
      </c>
      <c r="CD121" t="s">
        <v>4720</v>
      </c>
      <c r="CE121" t="s">
        <v>248</v>
      </c>
      <c r="CF121" s="10">
        <v>-0.69953051643192488</v>
      </c>
      <c r="CG121" s="11">
        <v>-0.51927536507936511</v>
      </c>
      <c r="CH121" s="10">
        <v>2.2910275459289551</v>
      </c>
      <c r="CI121" s="10">
        <v>-2.2953816223889589E-3</v>
      </c>
      <c r="CJ121" s="10">
        <v>0.14298209547996521</v>
      </c>
      <c r="CK121" s="10">
        <v>-4.3703496339730918E-4</v>
      </c>
      <c r="CL121" s="10">
        <v>0.16913646459579468</v>
      </c>
      <c r="CM121" s="11">
        <v>0.15061728656291962</v>
      </c>
      <c r="CN121" s="11">
        <v>0.31493505835533142</v>
      </c>
      <c r="CO121" s="11">
        <v>-0.15846994519233704</v>
      </c>
      <c r="CP121" s="11">
        <v>0.24067796766757965</v>
      </c>
      <c r="CQ121" s="11">
        <v>0.28260868787765503</v>
      </c>
      <c r="CR121">
        <v>8.1109217391304345</v>
      </c>
      <c r="CS121">
        <v>0.15595445009641612</v>
      </c>
      <c r="CT121">
        <v>3.4883720930232558</v>
      </c>
      <c r="CU121" s="10">
        <v>0.52008273788378578</v>
      </c>
      <c r="CV121" s="11">
        <v>0.16607381105422975</v>
      </c>
      <c r="CW121">
        <v>0.06</v>
      </c>
      <c r="CX121">
        <v>2.8660401758723002</v>
      </c>
      <c r="CY121">
        <v>668262788.5413624</v>
      </c>
      <c r="CZ121">
        <v>0.52008273788378578</v>
      </c>
      <c r="DA121">
        <v>0.66327940965543786</v>
      </c>
      <c r="DB121">
        <v>2887573430.0194068</v>
      </c>
      <c r="DC121">
        <v>0.49407860098959649</v>
      </c>
      <c r="DD121">
        <v>0.19457077030709602</v>
      </c>
      <c r="DE121">
        <v>9843554594.4392548</v>
      </c>
      <c r="DF121">
        <v>0.45767280933773147</v>
      </c>
      <c r="DG121">
        <v>6.0421381483271731E-2</v>
      </c>
      <c r="DH121">
        <v>31698513886.682007</v>
      </c>
      <c r="DI121">
        <v>0.41606619030702863</v>
      </c>
      <c r="DJ121">
        <v>5.9461775093961082E-3</v>
      </c>
      <c r="DK121">
        <v>322100710409.92419</v>
      </c>
      <c r="DL121">
        <v>0.36405791651865005</v>
      </c>
      <c r="DM121">
        <v>466000000</v>
      </c>
      <c r="DN121">
        <v>0.52008273788378578</v>
      </c>
      <c r="DO121">
        <v>1915268000</v>
      </c>
      <c r="DP121">
        <v>2323128800</v>
      </c>
      <c r="DQ121">
        <v>3856</v>
      </c>
      <c r="DR121">
        <v>-1.2196132543157105</v>
      </c>
      <c r="DS121">
        <v>-0.68534917613359481</v>
      </c>
      <c r="DT121" s="12">
        <v>-4.0000000000000036E-2</v>
      </c>
      <c r="DU121">
        <v>0.17999999999999997</v>
      </c>
      <c r="DV121">
        <v>0.13999999999999993</v>
      </c>
      <c r="DW121">
        <v>-8.2197062423500604</v>
      </c>
      <c r="DX121">
        <v>0.43095119047618891</v>
      </c>
      <c r="DY121">
        <v>-8.0485443558022958</v>
      </c>
      <c r="DZ121">
        <v>2784</v>
      </c>
      <c r="EA121">
        <v>-8.0220967067702826</v>
      </c>
      <c r="EB121">
        <v>8</v>
      </c>
      <c r="EC121">
        <v>5.7040690884504273E-2</v>
      </c>
      <c r="ED121">
        <v>0.25815969020837176</v>
      </c>
      <c r="EE121" s="13">
        <v>-1.0418000000000001</v>
      </c>
      <c r="EF121">
        <v>-1.0165999999999999</v>
      </c>
      <c r="EG121">
        <v>21.220951190476189</v>
      </c>
      <c r="EH121" t="s">
        <v>1813</v>
      </c>
      <c r="EI121">
        <v>0</v>
      </c>
      <c r="EJ121">
        <v>0</v>
      </c>
      <c r="EK121" s="15">
        <v>45470</v>
      </c>
      <c r="EL121" s="16">
        <v>-0.67</v>
      </c>
      <c r="EM121" s="16">
        <v>-4.75</v>
      </c>
      <c r="EN121" s="16">
        <v>2.5</v>
      </c>
      <c r="EO121" s="16">
        <v>3.48</v>
      </c>
      <c r="EP121" s="16">
        <v>-2.52</v>
      </c>
    </row>
    <row r="122" spans="1:146" ht="204" x14ac:dyDescent="0.25">
      <c r="A122" s="8" t="s">
        <v>1809</v>
      </c>
      <c r="B122" s="8"/>
      <c r="C122" s="8" t="str">
        <f>"公司主营业务是棉花采摘及棉花加工机械成套设备的研发、生产及销售。公司主要产品轧花设备、剥绒设备、箱式采棉机、打包采棉机、智能配肥机、玉米收获机、秸秆打捆机、粮食烘干机。"&amp;CHAR(10)&amp;Basic_Fundamental_Information_Constructure(F122)&amp;CHAR(10)&amp;Basic_Fundamental_Information_Concatenate("采棉机 1.92亿 36.77% 33.71% 26.29%
轧花设备 1.71亿 32.72% 35.32% 30.95%
棉机辅机 5835.51万 11.19% 10.27% 26.33%
其他业务 3089.49万 5.92% 8.49% 41.11%
其他农机设备 2964.58万 5.68% 2.70% 13.61%
棉机配件 2637.69万 5.06% 7.12% 40.38%
剥绒设备 1393.01万 2.67% 2.39% 25.66%")</f>
        <v>公司主营业务是棉花采摘及棉花加工机械成套设备的研发、生产及销售。公司主要产品轧花设备、剥绒设备、箱式采棉机、打包采棉机、智能配肥机、玉米收获机、秸秆打捆机、粮食烘干机。
市值17.097088亿, 利润9488.57万; PE25.74; 平均PE45.1; 平均PEG1.64, PB2; ROIC5.12%; ROE5.7%; 股利率1.2065%; 毛利32.29%; 净利8.3633%; 上一年度营收增60.74%, 利润增65%; 当季营收增-62.41%, 利润增116.24%; 过往5年营收增27.47%, 利润增58.06%
Income profile:
采棉机 1.92亿 36.77% 33.71% 26.29%
轧花设备 1.71亿 32.72% 35.32% 30.95%
棉机辅机 5835.51万 11.19% 10.27% 26.33%
其他业务 3089.49万 5.92% 8.49% 41.11%
其他农机设备 2964.58万 5.68% 2.70% 13.61%
棉机配件 2637.69万 5.06% 7.12% 40.38%
剥绒设备 1393.01万 2.67% 2.39% 25.66%</v>
      </c>
      <c r="D122" t="s">
        <v>696</v>
      </c>
      <c r="E122" t="s">
        <v>81</v>
      </c>
      <c r="F122">
        <v>14.09</v>
      </c>
      <c r="G122">
        <v>1.22</v>
      </c>
      <c r="H122" t="s">
        <v>4721</v>
      </c>
      <c r="I122">
        <v>1709708800</v>
      </c>
      <c r="J122">
        <v>25.74</v>
      </c>
      <c r="K122">
        <v>2</v>
      </c>
      <c r="L122" t="s">
        <v>101</v>
      </c>
      <c r="M122" t="s">
        <v>1903</v>
      </c>
      <c r="N122" t="s">
        <v>2226</v>
      </c>
      <c r="O122" t="s">
        <v>208</v>
      </c>
      <c r="P122">
        <v>8.7200000000000006</v>
      </c>
      <c r="Q122" t="s">
        <v>924</v>
      </c>
      <c r="R122">
        <v>6981188</v>
      </c>
      <c r="S122" s="6">
        <v>0.17219999999999999</v>
      </c>
      <c r="T122" t="s">
        <v>4722</v>
      </c>
      <c r="U122">
        <v>121342000</v>
      </c>
      <c r="V122">
        <v>121342000</v>
      </c>
      <c r="W122">
        <v>2.4900000000000002</v>
      </c>
      <c r="X122">
        <v>0.05</v>
      </c>
      <c r="Y122">
        <v>6.56</v>
      </c>
      <c r="Z122" t="s">
        <v>441</v>
      </c>
      <c r="AA122" t="s">
        <v>4723</v>
      </c>
      <c r="AB122" t="s">
        <v>4724</v>
      </c>
      <c r="AC122" t="s">
        <v>4725</v>
      </c>
      <c r="AD122" t="s">
        <v>5</v>
      </c>
      <c r="AE122">
        <v>-589774</v>
      </c>
      <c r="AF122" t="s">
        <v>127</v>
      </c>
      <c r="AG122" t="s">
        <v>4726</v>
      </c>
      <c r="AH122" t="s">
        <v>4727</v>
      </c>
      <c r="AI122" t="s">
        <v>504</v>
      </c>
      <c r="AJ122" t="s">
        <v>4728</v>
      </c>
      <c r="AK122" t="s">
        <v>4729</v>
      </c>
      <c r="AL122" t="s">
        <v>4730</v>
      </c>
      <c r="AM122" t="s">
        <v>5</v>
      </c>
      <c r="AN122" t="s">
        <v>4731</v>
      </c>
      <c r="AO122" t="s">
        <v>4732</v>
      </c>
      <c r="AP122" t="s">
        <v>5</v>
      </c>
      <c r="AQ122" t="s">
        <v>114</v>
      </c>
      <c r="AR122" t="s">
        <v>4733</v>
      </c>
      <c r="AS122" t="s">
        <v>2174</v>
      </c>
      <c r="AT122" t="s">
        <v>5</v>
      </c>
      <c r="AU122" t="s">
        <v>4734</v>
      </c>
      <c r="AV122" t="s">
        <v>4735</v>
      </c>
      <c r="AW122" t="s">
        <v>4736</v>
      </c>
      <c r="AX122" t="s">
        <v>1697</v>
      </c>
      <c r="AY122" t="s">
        <v>607</v>
      </c>
      <c r="AZ122" t="s">
        <v>489</v>
      </c>
      <c r="BA122" t="s">
        <v>697</v>
      </c>
      <c r="BB122" t="s">
        <v>439</v>
      </c>
      <c r="BC122" t="s">
        <v>4737</v>
      </c>
      <c r="BD122" t="s">
        <v>1494</v>
      </c>
      <c r="BE122" t="s">
        <v>1132</v>
      </c>
      <c r="BF122" t="s">
        <v>698</v>
      </c>
      <c r="BG122" t="s">
        <v>1133</v>
      </c>
      <c r="BH122" t="s">
        <v>568</v>
      </c>
      <c r="BI122" t="s">
        <v>216</v>
      </c>
      <c r="BJ122" t="s">
        <v>1697</v>
      </c>
      <c r="BK122" t="s">
        <v>4738</v>
      </c>
      <c r="BL122" t="s">
        <v>4739</v>
      </c>
      <c r="BM122" t="s">
        <v>4737</v>
      </c>
      <c r="BN122">
        <v>4.21</v>
      </c>
      <c r="BO122">
        <v>6.68</v>
      </c>
      <c r="BP122">
        <v>4.47</v>
      </c>
      <c r="BQ122">
        <v>4.72</v>
      </c>
      <c r="BR122">
        <v>7.44</v>
      </c>
      <c r="BS122">
        <v>4.9400000000000004</v>
      </c>
      <c r="BT122" t="s">
        <v>1851</v>
      </c>
      <c r="BU122" t="s">
        <v>1605</v>
      </c>
      <c r="BV122">
        <v>35.049999999999997</v>
      </c>
      <c r="BW122">
        <v>33.15</v>
      </c>
      <c r="BX122">
        <v>28.67</v>
      </c>
      <c r="BY122">
        <v>9.2899999999999991</v>
      </c>
      <c r="BZ122">
        <v>8.8699999999999992</v>
      </c>
      <c r="CA122">
        <v>6.93</v>
      </c>
      <c r="CB122">
        <v>1.44</v>
      </c>
      <c r="CC122">
        <v>-10.25</v>
      </c>
      <c r="CD122" t="s">
        <v>4740</v>
      </c>
      <c r="CE122" t="s">
        <v>4741</v>
      </c>
      <c r="CF122" s="10">
        <v>-0.62411347517730498</v>
      </c>
      <c r="CG122" s="11">
        <v>1.1624336706321969</v>
      </c>
      <c r="CH122" s="10">
        <v>0.60741883516311646</v>
      </c>
      <c r="CI122" s="10">
        <v>0.23946359753608704</v>
      </c>
      <c r="CJ122" s="10">
        <v>0.1651785671710968</v>
      </c>
      <c r="CK122" s="10">
        <v>-3.0303031206130981E-2</v>
      </c>
      <c r="CL122" s="10">
        <v>0.39156627655029297</v>
      </c>
      <c r="CM122" s="11">
        <v>0.64995646476745605</v>
      </c>
      <c r="CN122" s="11">
        <v>0.59145438671112061</v>
      </c>
      <c r="CO122" s="11">
        <v>1.6425269842147827</v>
      </c>
      <c r="CP122" s="11">
        <v>0.34615042805671692</v>
      </c>
      <c r="CQ122" s="11">
        <v>-0.32723817229270935</v>
      </c>
      <c r="CR122">
        <v>45.098853212521682</v>
      </c>
      <c r="CS122">
        <v>1.6419594050594699</v>
      </c>
      <c r="CT122">
        <v>1.2065294535131299</v>
      </c>
      <c r="CU122" s="10">
        <v>0.27466484904289246</v>
      </c>
      <c r="CV122" s="11">
        <v>0.58057001829147337</v>
      </c>
      <c r="CW122">
        <v>0.06</v>
      </c>
      <c r="CX122">
        <v>19.515177927661135</v>
      </c>
      <c r="CY122">
        <v>114101383.45927282</v>
      </c>
      <c r="CZ122">
        <v>0.27466484904289246</v>
      </c>
      <c r="DA122">
        <v>5.4729201989467642</v>
      </c>
      <c r="DB122">
        <v>406859358.26883036</v>
      </c>
      <c r="DC122">
        <v>0.26093160659074782</v>
      </c>
      <c r="DD122">
        <v>2.1681222602759243</v>
      </c>
      <c r="DE122">
        <v>1027021787.8380253</v>
      </c>
      <c r="DF122">
        <v>0.24170506715774537</v>
      </c>
      <c r="DG122">
        <v>1.0010686435747436</v>
      </c>
      <c r="DH122">
        <v>2224331782.1329255</v>
      </c>
      <c r="DI122">
        <v>0.21973187923431398</v>
      </c>
      <c r="DJ122">
        <v>0.27393287953818168</v>
      </c>
      <c r="DK122">
        <v>8128665692.6834297</v>
      </c>
      <c r="DL122">
        <v>0.19226539433002471</v>
      </c>
      <c r="DM122">
        <v>94885700</v>
      </c>
      <c r="DN122">
        <v>0.27466484904289246</v>
      </c>
      <c r="DO122">
        <v>2226708800</v>
      </c>
      <c r="DP122">
        <v>587696000</v>
      </c>
      <c r="DQ122">
        <v>3871</v>
      </c>
      <c r="DR122">
        <v>-0.89877832422019743</v>
      </c>
      <c r="DS122">
        <v>0.58186365234072357</v>
      </c>
      <c r="DT122" s="12">
        <v>0.27666666666666662</v>
      </c>
      <c r="DU122">
        <v>0.98666666666666669</v>
      </c>
      <c r="DV122">
        <v>1.2633333333333332</v>
      </c>
      <c r="DW122">
        <v>-2.1025</v>
      </c>
      <c r="DX122">
        <v>0.33519447842889283</v>
      </c>
      <c r="DY122">
        <v>-2.0241074340389615</v>
      </c>
      <c r="DZ122">
        <v>3245</v>
      </c>
      <c r="EA122">
        <v>-2.0087985057696014</v>
      </c>
      <c r="EB122">
        <v>2</v>
      </c>
      <c r="EC122">
        <v>0.15457549735458456</v>
      </c>
      <c r="ED122">
        <v>0.6572242092597782</v>
      </c>
      <c r="EE122" s="13">
        <v>-3.0573100000000002</v>
      </c>
      <c r="EF122">
        <v>-3.08161</v>
      </c>
      <c r="EG122">
        <v>10.235194478428893</v>
      </c>
      <c r="EH122" t="s">
        <v>2118</v>
      </c>
      <c r="EI122">
        <v>0</v>
      </c>
      <c r="EJ122">
        <v>0</v>
      </c>
      <c r="EK122" s="15">
        <v>45470</v>
      </c>
      <c r="EL122" s="16">
        <v>-1.55</v>
      </c>
      <c r="EM122" s="16">
        <v>-3.67</v>
      </c>
      <c r="EN122" s="16">
        <v>2</v>
      </c>
      <c r="EO122" s="16">
        <v>3.2</v>
      </c>
      <c r="EP122" s="16">
        <v>-2.4300000000000002</v>
      </c>
    </row>
    <row r="123" spans="1:146" ht="108" x14ac:dyDescent="0.25">
      <c r="A123" s="8"/>
      <c r="B123" s="8"/>
      <c r="C123" s="8" t="str">
        <f>""&amp;CHAR(10)&amp;Basic_Fundamental_Information_Constructure(F123)&amp;CHAR(10)&amp;Basic_Fundamental_Information_Concatenate("")</f>
        <v xml:space="preserve">
市值20.765407亿, 利润9182.67万; PE20.56; 平均PE31.13; 平均PEG.92, PB1.61; ROIC5.0133%; ROE5.5333%; 股利率1.9841%; 毛利42.65%; 净利23.6067%; 上一年度营收增140.72%, 利润增13.17%; 当季营收增-29.56%, 利润增147.12%; 过往5年营收增33.72%, 利润增22.33%
Income profile:
</v>
      </c>
      <c r="D123" t="s">
        <v>422</v>
      </c>
      <c r="E123" t="s">
        <v>26</v>
      </c>
      <c r="F123">
        <v>10.08</v>
      </c>
      <c r="G123">
        <v>1.2</v>
      </c>
      <c r="H123" t="s">
        <v>4742</v>
      </c>
      <c r="I123">
        <v>2076540700</v>
      </c>
      <c r="J123">
        <v>20.56</v>
      </c>
      <c r="K123">
        <v>1.61</v>
      </c>
      <c r="L123" t="s">
        <v>101</v>
      </c>
      <c r="M123" t="s">
        <v>274</v>
      </c>
      <c r="N123" t="s">
        <v>4743</v>
      </c>
      <c r="O123" t="s">
        <v>4744</v>
      </c>
      <c r="P123">
        <v>19.559999999999999</v>
      </c>
      <c r="Q123" t="s">
        <v>905</v>
      </c>
      <c r="R123">
        <v>20177149</v>
      </c>
      <c r="S123" s="6">
        <v>0.41210000000000002</v>
      </c>
      <c r="T123" t="s">
        <v>4745</v>
      </c>
      <c r="U123">
        <v>206006030</v>
      </c>
      <c r="V123">
        <v>206006030</v>
      </c>
      <c r="W123">
        <v>1.1299999999999999</v>
      </c>
      <c r="X123">
        <v>0.06</v>
      </c>
      <c r="Y123">
        <v>23.09</v>
      </c>
      <c r="Z123" t="s">
        <v>4746</v>
      </c>
      <c r="AA123" t="s">
        <v>4747</v>
      </c>
      <c r="AB123" t="s">
        <v>4748</v>
      </c>
      <c r="AC123" t="s">
        <v>4749</v>
      </c>
      <c r="AD123" t="s">
        <v>5</v>
      </c>
      <c r="AE123">
        <v>-487097</v>
      </c>
      <c r="AF123" t="s">
        <v>4750</v>
      </c>
      <c r="AG123" t="s">
        <v>4751</v>
      </c>
      <c r="AH123" t="s">
        <v>4752</v>
      </c>
      <c r="AI123" t="s">
        <v>320</v>
      </c>
      <c r="AJ123" t="s">
        <v>4753</v>
      </c>
      <c r="AK123" t="s">
        <v>4754</v>
      </c>
      <c r="AL123" t="s">
        <v>4755</v>
      </c>
      <c r="AM123" t="s">
        <v>5</v>
      </c>
      <c r="AN123" t="s">
        <v>4756</v>
      </c>
      <c r="AO123" t="s">
        <v>5</v>
      </c>
      <c r="AP123" t="s">
        <v>4757</v>
      </c>
      <c r="AQ123" t="s">
        <v>4758</v>
      </c>
      <c r="AR123" t="s">
        <v>5</v>
      </c>
      <c r="AS123" t="s">
        <v>199</v>
      </c>
      <c r="AT123" t="s">
        <v>5</v>
      </c>
      <c r="AU123" t="s">
        <v>4759</v>
      </c>
      <c r="AV123" t="s">
        <v>1849</v>
      </c>
      <c r="AW123" t="s">
        <v>5</v>
      </c>
      <c r="AX123" t="s">
        <v>332</v>
      </c>
      <c r="AY123" t="s">
        <v>511</v>
      </c>
      <c r="AZ123" t="s">
        <v>255</v>
      </c>
      <c r="BA123" t="s">
        <v>423</v>
      </c>
      <c r="BB123" t="s">
        <v>472</v>
      </c>
      <c r="BC123" t="s">
        <v>2037</v>
      </c>
      <c r="BD123" t="s">
        <v>1495</v>
      </c>
      <c r="BE123" t="s">
        <v>1134</v>
      </c>
      <c r="BF123" t="s">
        <v>424</v>
      </c>
      <c r="BG123" t="s">
        <v>1135</v>
      </c>
      <c r="BH123" t="s">
        <v>129</v>
      </c>
      <c r="BI123" t="s">
        <v>347</v>
      </c>
      <c r="BJ123" t="s">
        <v>332</v>
      </c>
      <c r="BK123" t="s">
        <v>4760</v>
      </c>
      <c r="BL123" t="s">
        <v>4761</v>
      </c>
      <c r="BM123" t="s">
        <v>2037</v>
      </c>
      <c r="BN123">
        <v>4.57</v>
      </c>
      <c r="BO123">
        <v>5.96</v>
      </c>
      <c r="BP123">
        <v>4.51</v>
      </c>
      <c r="BQ123">
        <v>4.78</v>
      </c>
      <c r="BR123">
        <v>6.89</v>
      </c>
      <c r="BS123">
        <v>4.93</v>
      </c>
      <c r="BT123" t="s">
        <v>1731</v>
      </c>
      <c r="BU123" t="s">
        <v>1536</v>
      </c>
      <c r="BV123">
        <v>43.99</v>
      </c>
      <c r="BW123">
        <v>44.06</v>
      </c>
      <c r="BX123">
        <v>39.9</v>
      </c>
      <c r="BY123">
        <v>24.95</v>
      </c>
      <c r="BZ123">
        <v>25.96</v>
      </c>
      <c r="CA123">
        <v>19.91</v>
      </c>
      <c r="CB123">
        <v>-5.35</v>
      </c>
      <c r="CC123">
        <v>-11.89</v>
      </c>
      <c r="CD123" t="s">
        <v>4762</v>
      </c>
      <c r="CE123" t="s">
        <v>4763</v>
      </c>
      <c r="CF123" s="10">
        <v>-0.29556320000000014</v>
      </c>
      <c r="CG123" s="11">
        <v>1.4712058935198227</v>
      </c>
      <c r="CH123" s="10">
        <v>1.4071661233901978</v>
      </c>
      <c r="CI123" s="10">
        <v>0.13703703880310059</v>
      </c>
      <c r="CJ123" s="10">
        <v>-7.2164945304393768E-2</v>
      </c>
      <c r="CK123" s="10">
        <v>-2.6755852624773979E-2</v>
      </c>
      <c r="CL123" s="10">
        <v>0.24066390097141266</v>
      </c>
      <c r="CM123" s="11">
        <v>0.13165397942066193</v>
      </c>
      <c r="CN123" s="11">
        <v>0.4611237645149231</v>
      </c>
      <c r="CO123" s="11">
        <v>-0.18098257482051849</v>
      </c>
      <c r="CP123" s="11">
        <v>4.6023353934288025E-2</v>
      </c>
      <c r="CQ123" s="11">
        <v>0.65881150960922241</v>
      </c>
      <c r="CR123">
        <v>31.131385163321006</v>
      </c>
      <c r="CS123">
        <v>0.92326148837761579</v>
      </c>
      <c r="CT123">
        <v>1.9841269841269842</v>
      </c>
      <c r="CU123" s="10">
        <v>0.33718925304710867</v>
      </c>
      <c r="CV123" s="11">
        <v>0.22332600653171539</v>
      </c>
      <c r="CW123">
        <v>0.06</v>
      </c>
      <c r="CX123">
        <v>8.2661113857478572</v>
      </c>
      <c r="CY123">
        <v>115839317.34224615</v>
      </c>
      <c r="CZ123">
        <v>0.33718925304710867</v>
      </c>
      <c r="DA123">
        <v>2.2047522697085769</v>
      </c>
      <c r="DB123">
        <v>434307615.03493875</v>
      </c>
      <c r="DC123">
        <v>0.32032979039475323</v>
      </c>
      <c r="DD123">
        <v>0.80950409623440867</v>
      </c>
      <c r="DE123">
        <v>1182873199.1032746</v>
      </c>
      <c r="DF123">
        <v>0.29672654268145565</v>
      </c>
      <c r="DG123">
        <v>0.33887670136536929</v>
      </c>
      <c r="DH123">
        <v>2825631553.1341324</v>
      </c>
      <c r="DI123">
        <v>0.26975140243768697</v>
      </c>
      <c r="DJ123">
        <v>7.2086856351705073E-2</v>
      </c>
      <c r="DK123">
        <v>13283152414.474117</v>
      </c>
      <c r="DL123">
        <v>0.23603247713297607</v>
      </c>
      <c r="DM123">
        <v>91826700</v>
      </c>
      <c r="DN123">
        <v>0.33718925304710867</v>
      </c>
      <c r="DO123">
        <v>957540700</v>
      </c>
      <c r="DP123">
        <v>1131902280</v>
      </c>
      <c r="DQ123">
        <v>3877</v>
      </c>
      <c r="DR123">
        <v>-0.63275245304710881</v>
      </c>
      <c r="DS123">
        <v>1.2478798869881074</v>
      </c>
      <c r="DT123" s="12">
        <v>-6.6666666666666714E-3</v>
      </c>
      <c r="DU123">
        <v>0.43666666666666659</v>
      </c>
      <c r="DV123">
        <v>0.42999999999999994</v>
      </c>
      <c r="DW123">
        <v>-8.4499579478553404</v>
      </c>
      <c r="DX123">
        <v>0.33562709424196047</v>
      </c>
      <c r="DY123">
        <v>-8.0790248069129085</v>
      </c>
      <c r="DZ123">
        <v>679</v>
      </c>
      <c r="EA123">
        <v>-8.0685242503779051</v>
      </c>
      <c r="EB123">
        <v>8</v>
      </c>
      <c r="EC123">
        <v>3.9792524519791969E-2</v>
      </c>
      <c r="ED123">
        <v>0.22657395028679503</v>
      </c>
      <c r="EE123" s="13">
        <v>0.11151</v>
      </c>
      <c r="EF123">
        <v>0.13931000000000002</v>
      </c>
      <c r="EG123">
        <v>16.17562709424196</v>
      </c>
      <c r="EH123">
        <v>-1</v>
      </c>
      <c r="EI123">
        <v>0</v>
      </c>
      <c r="EJ123">
        <v>1</v>
      </c>
      <c r="EK123" s="15">
        <v>45470</v>
      </c>
      <c r="EL123" s="16">
        <v>-0.23</v>
      </c>
      <c r="EM123" s="16">
        <v>-3.58</v>
      </c>
      <c r="EN123" s="16">
        <v>0.71</v>
      </c>
      <c r="EO123" s="16">
        <v>1.57</v>
      </c>
      <c r="EP123" s="16">
        <v>-2.78</v>
      </c>
    </row>
    <row r="124" spans="1:146" ht="108" x14ac:dyDescent="0.25">
      <c r="A124" s="8"/>
      <c r="B124" s="8"/>
      <c r="C124" s="8" t="str">
        <f>""&amp;CHAR(10)&amp;Basic_Fundamental_Information_Constructure(F124)&amp;CHAR(10)&amp;Basic_Fundamental_Information_Concatenate("")</f>
        <v xml:space="preserve">
市值25.14209亿, 利润12.83亿; PE155.8; 平均PE10.25; 平均PEG.08, PB1.9; ROIC3.1467%; ROE2.76%; 股利率.7201%; 毛利22.9667%; 净利2.3767%; 上一年度营收增632.89%, 利润增5759.87%; 当季营收增-90.85%, 利润增-99.14%; 过往5年营收增132.27%, 利润增1202.87%
Income profile:
</v>
      </c>
      <c r="D124" t="s">
        <v>699</v>
      </c>
      <c r="E124" t="s">
        <v>60</v>
      </c>
      <c r="F124">
        <v>20.83</v>
      </c>
      <c r="G124">
        <v>-0.62</v>
      </c>
      <c r="H124" t="s">
        <v>4764</v>
      </c>
      <c r="I124">
        <v>2514209000</v>
      </c>
      <c r="J124">
        <v>155.80000000000001</v>
      </c>
      <c r="K124">
        <v>1.9</v>
      </c>
      <c r="L124" t="s">
        <v>101</v>
      </c>
      <c r="M124" t="s">
        <v>2198</v>
      </c>
      <c r="N124" t="s">
        <v>1887</v>
      </c>
      <c r="O124" t="s">
        <v>614</v>
      </c>
      <c r="P124">
        <v>-31.64</v>
      </c>
      <c r="Q124" t="s">
        <v>1120</v>
      </c>
      <c r="R124">
        <v>3429702</v>
      </c>
      <c r="S124" s="6">
        <v>-0.50860000000000005</v>
      </c>
      <c r="T124" t="s">
        <v>2209</v>
      </c>
      <c r="U124">
        <v>120701344</v>
      </c>
      <c r="V124">
        <v>120701344</v>
      </c>
      <c r="W124">
        <v>2.68</v>
      </c>
      <c r="X124">
        <v>0.06</v>
      </c>
      <c r="Y124">
        <v>0.92</v>
      </c>
      <c r="Z124" t="s">
        <v>280</v>
      </c>
      <c r="AA124" t="s">
        <v>551</v>
      </c>
      <c r="AB124" t="s">
        <v>4765</v>
      </c>
      <c r="AC124" t="s">
        <v>4766</v>
      </c>
      <c r="AD124" t="s">
        <v>5</v>
      </c>
      <c r="AE124">
        <v>8084734</v>
      </c>
      <c r="AF124" t="s">
        <v>4767</v>
      </c>
      <c r="AG124" t="s">
        <v>4768</v>
      </c>
      <c r="AH124" t="s">
        <v>4769</v>
      </c>
      <c r="AI124" t="s">
        <v>179</v>
      </c>
      <c r="AJ124" t="s">
        <v>4770</v>
      </c>
      <c r="AK124" t="s">
        <v>3831</v>
      </c>
      <c r="AL124" t="s">
        <v>4771</v>
      </c>
      <c r="AM124" t="s">
        <v>5</v>
      </c>
      <c r="AN124" t="s">
        <v>4772</v>
      </c>
      <c r="AO124" t="s">
        <v>188</v>
      </c>
      <c r="AP124" t="s">
        <v>5</v>
      </c>
      <c r="AQ124" t="s">
        <v>1018</v>
      </c>
      <c r="AR124" t="s">
        <v>5</v>
      </c>
      <c r="AS124" t="s">
        <v>2199</v>
      </c>
      <c r="AT124" t="s">
        <v>484</v>
      </c>
      <c r="AU124" t="s">
        <v>4773</v>
      </c>
      <c r="AV124" t="s">
        <v>1014</v>
      </c>
      <c r="AW124" t="s">
        <v>4774</v>
      </c>
      <c r="AX124" t="s">
        <v>1603</v>
      </c>
      <c r="AY124" t="s">
        <v>1496</v>
      </c>
      <c r="AZ124" t="s">
        <v>509</v>
      </c>
      <c r="BA124" t="s">
        <v>700</v>
      </c>
      <c r="BB124" t="s">
        <v>112</v>
      </c>
      <c r="BC124" t="s">
        <v>2039</v>
      </c>
      <c r="BD124" t="s">
        <v>1497</v>
      </c>
      <c r="BE124" t="s">
        <v>208</v>
      </c>
      <c r="BF124" t="s">
        <v>701</v>
      </c>
      <c r="BG124" t="s">
        <v>1137</v>
      </c>
      <c r="BH124" t="s">
        <v>901</v>
      </c>
      <c r="BI124" t="s">
        <v>4775</v>
      </c>
      <c r="BJ124" t="s">
        <v>1603</v>
      </c>
      <c r="BK124" t="s">
        <v>4776</v>
      </c>
      <c r="BL124" t="s">
        <v>442</v>
      </c>
      <c r="BM124" t="s">
        <v>2039</v>
      </c>
      <c r="BN124">
        <v>1.97</v>
      </c>
      <c r="BO124">
        <v>3.87</v>
      </c>
      <c r="BP124">
        <v>3.6</v>
      </c>
      <c r="BQ124">
        <v>2.79</v>
      </c>
      <c r="BR124">
        <v>1.68</v>
      </c>
      <c r="BS124">
        <v>3.81</v>
      </c>
      <c r="BT124" t="s">
        <v>4719</v>
      </c>
      <c r="BU124" t="s">
        <v>1537</v>
      </c>
      <c r="BV124">
        <v>22.31</v>
      </c>
      <c r="BW124">
        <v>22.92</v>
      </c>
      <c r="BX124">
        <v>23.67</v>
      </c>
      <c r="BY124">
        <v>0.96</v>
      </c>
      <c r="BZ124">
        <v>1.49</v>
      </c>
      <c r="CA124">
        <v>4.68</v>
      </c>
      <c r="CB124">
        <v>-2.16</v>
      </c>
      <c r="CC124">
        <v>-20.010000000000002</v>
      </c>
      <c r="CD124" t="s">
        <v>4777</v>
      </c>
      <c r="CE124" t="s">
        <v>4778</v>
      </c>
      <c r="CF124" s="10">
        <v>-0.9085213032581454</v>
      </c>
      <c r="CG124" s="11">
        <v>-0.99136095214105791</v>
      </c>
      <c r="CH124" s="10">
        <v>6.3289041519165039</v>
      </c>
      <c r="CI124" s="10">
        <v>0.21739129722118378</v>
      </c>
      <c r="CJ124" s="10">
        <v>0.16079811751842499</v>
      </c>
      <c r="CK124" s="10">
        <v>0.12997347116470337</v>
      </c>
      <c r="CL124" s="10">
        <v>-0.2234809547662735</v>
      </c>
      <c r="CM124" s="11">
        <v>57.598659515380859</v>
      </c>
      <c r="CN124" s="11">
        <v>-0.52664917707443237</v>
      </c>
      <c r="CO124" s="11">
        <v>-0.56363493204116821</v>
      </c>
      <c r="CP124" s="11">
        <v>5.2718510627746582</v>
      </c>
      <c r="CQ124" s="11">
        <v>-1.636624813079834</v>
      </c>
      <c r="CR124">
        <v>10.252922458490467</v>
      </c>
      <c r="CS124">
        <v>7.7514092428317388E-2</v>
      </c>
      <c r="CT124">
        <v>0.72011521843494963</v>
      </c>
      <c r="CU124" s="10">
        <v>1.3227172166109085</v>
      </c>
      <c r="CV124" s="11">
        <v>12.028720331192016</v>
      </c>
      <c r="CW124">
        <v>0.06</v>
      </c>
      <c r="CX124">
        <v>1.2055388783460006</v>
      </c>
      <c r="CY124">
        <v>2811364329.1620712</v>
      </c>
      <c r="CZ124">
        <v>1.3227172166109085</v>
      </c>
      <c r="DA124">
        <v>0.16197551657045281</v>
      </c>
      <c r="DB124">
        <v>20924205532.790081</v>
      </c>
      <c r="DC124">
        <v>1.2565813557803629</v>
      </c>
      <c r="DD124">
        <v>1.8876655162337767E-2</v>
      </c>
      <c r="DE124">
        <v>179544997291.79062</v>
      </c>
      <c r="DF124">
        <v>1.1639911506175995</v>
      </c>
      <c r="DG124">
        <v>1.6842425407578244E-3</v>
      </c>
      <c r="DH124">
        <v>2012304592707.3105</v>
      </c>
      <c r="DI124">
        <v>1.0581737732887269</v>
      </c>
      <c r="DJ124">
        <v>7.7293412685803963E-6</v>
      </c>
      <c r="DK124">
        <v>438486137722636.25</v>
      </c>
      <c r="DL124">
        <v>0.92590205162763584</v>
      </c>
      <c r="DM124">
        <v>1283000000</v>
      </c>
      <c r="DN124">
        <v>1.3227172166109085</v>
      </c>
      <c r="DO124">
        <v>3389209000</v>
      </c>
      <c r="DP124">
        <v>734516200</v>
      </c>
      <c r="DQ124">
        <v>3909</v>
      </c>
      <c r="DR124">
        <v>-2.2312385198690539</v>
      </c>
      <c r="DS124">
        <v>-13.020081283333074</v>
      </c>
      <c r="DT124" s="12">
        <v>4.33333333333333E-2</v>
      </c>
      <c r="DU124">
        <v>-0.6183333333333334</v>
      </c>
      <c r="DV124">
        <v>-0.57500000000000007</v>
      </c>
      <c r="DW124">
        <v>-3.0453511904761905</v>
      </c>
      <c r="DX124">
        <v>0.34935864667784555</v>
      </c>
      <c r="DY124">
        <v>-3.0054130567204673</v>
      </c>
      <c r="DZ124">
        <v>1541</v>
      </c>
      <c r="EA124">
        <v>-3.003780665251536</v>
      </c>
      <c r="EB124">
        <v>3</v>
      </c>
      <c r="EC124">
        <v>2.7895298332386423E-2</v>
      </c>
      <c r="ED124">
        <v>0.23370990798578017</v>
      </c>
      <c r="EE124" s="13">
        <v>8.0366</v>
      </c>
      <c r="EF124">
        <v>8.0198999999999998</v>
      </c>
      <c r="EG124">
        <v>23.119358646677846</v>
      </c>
      <c r="EH124" t="s">
        <v>2115</v>
      </c>
      <c r="EI124">
        <v>0</v>
      </c>
      <c r="EJ124">
        <v>0</v>
      </c>
      <c r="EK124" s="15">
        <v>45470</v>
      </c>
      <c r="EL124" s="16">
        <v>0.11</v>
      </c>
      <c r="EM124" s="16">
        <v>-4.59</v>
      </c>
      <c r="EN124" s="16">
        <v>0.93</v>
      </c>
      <c r="EO124" s="16">
        <v>3.1</v>
      </c>
      <c r="EP124" s="16">
        <v>-1.67</v>
      </c>
    </row>
    <row r="125" spans="1:146" ht="108" x14ac:dyDescent="0.25">
      <c r="A125" s="8"/>
      <c r="B125" s="8"/>
      <c r="C125" s="8" t="str">
        <f>""&amp;CHAR(10)&amp;Basic_Fundamental_Information_Constructure(F125)&amp;CHAR(10)&amp;Basic_Fundamental_Information_Concatenate("")</f>
        <v xml:space="preserve">
市值38.613518亿, 利润1.55亿; PE34.01; 平均PE14.36; 平均PEG4.48, PB1.38; ROIC5.8167%; ROE10.2867%; 股利率.5297%; 毛利28.46%; 净利9.23%; 上一年度营收增-34.41%, 利润增-45.99%; 当季营收增-32.87%, 利润增6.7%; 过往5年营收增3.21%, 利润增-2.48%
Income profile:
</v>
      </c>
      <c r="D125" t="s">
        <v>703</v>
      </c>
      <c r="E125" t="s">
        <v>65</v>
      </c>
      <c r="F125">
        <v>9.44</v>
      </c>
      <c r="G125">
        <v>1.51</v>
      </c>
      <c r="H125" t="s">
        <v>4779</v>
      </c>
      <c r="I125">
        <v>3861351800</v>
      </c>
      <c r="J125">
        <v>34.01</v>
      </c>
      <c r="K125">
        <v>1.38</v>
      </c>
      <c r="L125" t="s">
        <v>101</v>
      </c>
      <c r="M125" t="s">
        <v>4780</v>
      </c>
      <c r="N125" t="s">
        <v>3825</v>
      </c>
      <c r="O125" t="s">
        <v>225</v>
      </c>
      <c r="P125">
        <v>-13.14</v>
      </c>
      <c r="Q125" t="s">
        <v>4781</v>
      </c>
      <c r="R125">
        <v>33887051</v>
      </c>
      <c r="S125" s="6">
        <v>0.5877</v>
      </c>
      <c r="T125" t="s">
        <v>219</v>
      </c>
      <c r="U125">
        <v>405908900</v>
      </c>
      <c r="V125">
        <v>409041500</v>
      </c>
      <c r="W125">
        <v>2.63</v>
      </c>
      <c r="X125">
        <v>0.04</v>
      </c>
      <c r="Y125">
        <v>10.85</v>
      </c>
      <c r="Z125" t="s">
        <v>608</v>
      </c>
      <c r="AA125" t="s">
        <v>536</v>
      </c>
      <c r="AB125" t="s">
        <v>4782</v>
      </c>
      <c r="AC125" t="s">
        <v>4783</v>
      </c>
      <c r="AD125" t="s">
        <v>5</v>
      </c>
      <c r="AE125">
        <v>-7253632</v>
      </c>
      <c r="AF125" t="s">
        <v>4784</v>
      </c>
      <c r="AG125" t="s">
        <v>2246</v>
      </c>
      <c r="AH125" t="s">
        <v>4785</v>
      </c>
      <c r="AI125" t="s">
        <v>1059</v>
      </c>
      <c r="AJ125" t="s">
        <v>4786</v>
      </c>
      <c r="AK125" t="s">
        <v>4787</v>
      </c>
      <c r="AL125" t="s">
        <v>4788</v>
      </c>
      <c r="AM125" t="s">
        <v>5</v>
      </c>
      <c r="AN125" t="s">
        <v>310</v>
      </c>
      <c r="AO125" t="s">
        <v>752</v>
      </c>
      <c r="AP125" t="s">
        <v>574</v>
      </c>
      <c r="AQ125" t="s">
        <v>1559</v>
      </c>
      <c r="AR125" t="s">
        <v>5</v>
      </c>
      <c r="AS125" t="s">
        <v>4789</v>
      </c>
      <c r="AT125" t="s">
        <v>1407</v>
      </c>
      <c r="AU125" t="s">
        <v>4790</v>
      </c>
      <c r="AV125" t="s">
        <v>139</v>
      </c>
      <c r="AW125" t="s">
        <v>4791</v>
      </c>
      <c r="AX125" t="s">
        <v>1939</v>
      </c>
      <c r="AY125" t="s">
        <v>1499</v>
      </c>
      <c r="AZ125" t="s">
        <v>1138</v>
      </c>
      <c r="BA125" t="s">
        <v>704</v>
      </c>
      <c r="BB125" t="s">
        <v>1139</v>
      </c>
      <c r="BC125" t="s">
        <v>1929</v>
      </c>
      <c r="BD125" t="s">
        <v>330</v>
      </c>
      <c r="BE125" t="s">
        <v>719</v>
      </c>
      <c r="BF125" t="s">
        <v>338</v>
      </c>
      <c r="BG125" t="s">
        <v>239</v>
      </c>
      <c r="BH125" t="s">
        <v>2245</v>
      </c>
      <c r="BI125" t="s">
        <v>908</v>
      </c>
      <c r="BJ125" t="s">
        <v>1939</v>
      </c>
      <c r="BK125" t="s">
        <v>441</v>
      </c>
      <c r="BL125" t="s">
        <v>4792</v>
      </c>
      <c r="BM125" t="s">
        <v>1929</v>
      </c>
      <c r="BN125">
        <v>1.74</v>
      </c>
      <c r="BO125">
        <v>5.74</v>
      </c>
      <c r="BP125">
        <v>9.9700000000000006</v>
      </c>
      <c r="BQ125">
        <v>4.28</v>
      </c>
      <c r="BR125">
        <v>10.55</v>
      </c>
      <c r="BS125">
        <v>16.03</v>
      </c>
      <c r="BT125" t="s">
        <v>1725</v>
      </c>
      <c r="BU125" t="s">
        <v>1537</v>
      </c>
      <c r="BV125">
        <v>25.03</v>
      </c>
      <c r="BW125">
        <v>29.92</v>
      </c>
      <c r="BX125">
        <v>30.43</v>
      </c>
      <c r="BY125">
        <v>4.97</v>
      </c>
      <c r="BZ125">
        <v>9.77</v>
      </c>
      <c r="CA125">
        <v>12.95</v>
      </c>
      <c r="CB125">
        <v>1.83</v>
      </c>
      <c r="CC125">
        <v>-11.03</v>
      </c>
      <c r="CD125" t="s">
        <v>4793</v>
      </c>
      <c r="CE125" t="s">
        <v>4794</v>
      </c>
      <c r="CF125" s="10">
        <v>-0.32870370370370372</v>
      </c>
      <c r="CG125" s="11">
        <v>6.6955841375293215E-2</v>
      </c>
      <c r="CH125" s="10">
        <v>-0.34412384033203125</v>
      </c>
      <c r="CI125" s="10">
        <v>-3.9540451020002365E-2</v>
      </c>
      <c r="CJ125" s="10">
        <v>0.17935438454151154</v>
      </c>
      <c r="CK125" s="10">
        <v>0.17188230156898499</v>
      </c>
      <c r="CL125" s="10">
        <v>0.19275757670402527</v>
      </c>
      <c r="CM125" s="11">
        <v>-0.45993030071258545</v>
      </c>
      <c r="CN125" s="11">
        <v>-0.26598465442657471</v>
      </c>
      <c r="CO125" s="11">
        <v>0.24522292613983154</v>
      </c>
      <c r="CP125" s="11">
        <v>0.33050847053527832</v>
      </c>
      <c r="CQ125" s="11">
        <v>2.6086956262588501E-2</v>
      </c>
      <c r="CR125">
        <v>14.363366893986361</v>
      </c>
      <c r="CS125">
        <v>4.4793143674159843</v>
      </c>
      <c r="CT125">
        <v>0.52966101694915257</v>
      </c>
      <c r="CU125" s="10">
        <v>3.2065994292497638E-2</v>
      </c>
      <c r="CV125" s="11">
        <v>-2.4819320440292357E-2</v>
      </c>
      <c r="CW125">
        <v>0.06</v>
      </c>
      <c r="CX125">
        <v>38.792298681561604</v>
      </c>
      <c r="CY125">
        <v>150915310.4861671</v>
      </c>
      <c r="CZ125">
        <v>3.2065994292497638E-2</v>
      </c>
      <c r="DA125">
        <v>13.318564950205831</v>
      </c>
      <c r="DB125">
        <v>439563257.89510262</v>
      </c>
      <c r="DC125">
        <v>3.0462694577872755E-2</v>
      </c>
      <c r="DD125">
        <v>6.9932866115534837</v>
      </c>
      <c r="DE125">
        <v>837138834.02521074</v>
      </c>
      <c r="DF125">
        <v>2.8218074977397922E-2</v>
      </c>
      <c r="DG125">
        <v>4.5069771069595221</v>
      </c>
      <c r="DH125">
        <v>1298953081.2037868</v>
      </c>
      <c r="DI125">
        <v>2.5652795433998111E-2</v>
      </c>
      <c r="DJ125">
        <v>2.6992936859022625</v>
      </c>
      <c r="DK125">
        <v>2168845809.7671323</v>
      </c>
      <c r="DL125">
        <v>2.2446196004748346E-2</v>
      </c>
      <c r="DM125">
        <v>155000000</v>
      </c>
      <c r="DN125">
        <v>3.2065994292497638E-2</v>
      </c>
      <c r="DO125">
        <v>5854351800</v>
      </c>
      <c r="DP125">
        <v>1157084500</v>
      </c>
      <c r="DQ125">
        <v>3914</v>
      </c>
      <c r="DR125">
        <v>-0.36076969799620134</v>
      </c>
      <c r="DS125">
        <v>9.1775161815585565E-2</v>
      </c>
      <c r="DT125" s="12">
        <v>-0.25666666666666677</v>
      </c>
      <c r="DU125">
        <v>-6.6666666666666666E-2</v>
      </c>
      <c r="DV125">
        <v>-0.32333333333333342</v>
      </c>
      <c r="DW125">
        <v>-2.1103000000000001</v>
      </c>
      <c r="DX125">
        <v>0.3478077117521654</v>
      </c>
      <c r="DY125">
        <v>-2.0140971906062637</v>
      </c>
      <c r="DZ125">
        <v>916</v>
      </c>
      <c r="EA125">
        <v>-2.0115701795308554</v>
      </c>
      <c r="EB125">
        <v>2</v>
      </c>
      <c r="EC125">
        <v>1.6254585414927337E-2</v>
      </c>
      <c r="ED125">
        <v>0.12718000496282161</v>
      </c>
      <c r="EE125" s="13">
        <v>-3.0345</v>
      </c>
      <c r="EF125">
        <v>-3.0173999999999999</v>
      </c>
      <c r="EG125">
        <v>22.127807711752165</v>
      </c>
      <c r="EH125" t="s">
        <v>1946</v>
      </c>
      <c r="EI125">
        <v>0</v>
      </c>
      <c r="EJ125">
        <v>1</v>
      </c>
      <c r="EK125" s="15">
        <v>45470</v>
      </c>
      <c r="EL125" s="16">
        <v>0.52</v>
      </c>
      <c r="EM125" s="16">
        <v>-4.08</v>
      </c>
      <c r="EN125" s="16">
        <v>1.32</v>
      </c>
      <c r="EO125" s="16">
        <v>2.98</v>
      </c>
      <c r="EP125" s="16">
        <v>-1.71</v>
      </c>
    </row>
    <row r="126" spans="1:146" ht="96" x14ac:dyDescent="0.25">
      <c r="A126" s="8"/>
      <c r="B126" s="8"/>
      <c r="C126" s="8" t="str">
        <f>""&amp;CHAR(10)&amp;Basic_Fundamental_Information_Constructure(F126)&amp;CHAR(10)&amp;Basic_Fundamental_Information_Concatenate("")</f>
        <v xml:space="preserve">
市值23.562亿, 利润1.60亿; PE68.71; 平均PE10.11; 平均PEG1.32, PB.946; ROIC11.1167%; ROE12.4033%; 股利率1.9608%; 毛利19.18%; 净利21.11%; 上一年度营收增-28.72%, 利润增-64.44%; 当季营收增15.12%, 利润增-73.47%; 过往5年营收增7.68%, 利润增22.2%
Income profile:
</v>
      </c>
      <c r="D126" t="s">
        <v>158</v>
      </c>
      <c r="E126" t="s">
        <v>1301</v>
      </c>
      <c r="F126">
        <v>12.75</v>
      </c>
      <c r="G126">
        <v>0.63</v>
      </c>
      <c r="H126" t="s">
        <v>4795</v>
      </c>
      <c r="I126">
        <v>2356200000</v>
      </c>
      <c r="J126">
        <v>68.709999999999994</v>
      </c>
      <c r="K126">
        <v>0.94599999999999995</v>
      </c>
      <c r="L126" t="s">
        <v>101</v>
      </c>
      <c r="M126" t="s">
        <v>1268</v>
      </c>
      <c r="N126" t="s">
        <v>4796</v>
      </c>
      <c r="O126" t="s">
        <v>338</v>
      </c>
      <c r="P126">
        <v>14.83</v>
      </c>
      <c r="Q126" t="s">
        <v>919</v>
      </c>
      <c r="R126">
        <v>11946375</v>
      </c>
      <c r="S126" s="6">
        <v>-0.54210000000000003</v>
      </c>
      <c r="T126" t="s">
        <v>553</v>
      </c>
      <c r="U126">
        <v>184800000</v>
      </c>
      <c r="V126">
        <v>184800000</v>
      </c>
      <c r="W126">
        <v>1.3</v>
      </c>
      <c r="X126">
        <v>7.0000000000000007E-2</v>
      </c>
      <c r="Y126">
        <v>5.0599999999999996</v>
      </c>
      <c r="Z126" t="s">
        <v>280</v>
      </c>
      <c r="AA126" t="s">
        <v>173</v>
      </c>
      <c r="AB126" t="s">
        <v>4797</v>
      </c>
      <c r="AC126" t="s">
        <v>4798</v>
      </c>
      <c r="AD126" t="s">
        <v>5</v>
      </c>
      <c r="AE126">
        <v>-8512536</v>
      </c>
      <c r="AF126" t="s">
        <v>4799</v>
      </c>
      <c r="AG126">
        <v>30.88</v>
      </c>
      <c r="AH126" t="s">
        <v>4800</v>
      </c>
      <c r="AI126" t="s">
        <v>4801</v>
      </c>
      <c r="AJ126" t="s">
        <v>4802</v>
      </c>
      <c r="AK126" t="s">
        <v>5</v>
      </c>
      <c r="AL126" t="s">
        <v>4803</v>
      </c>
      <c r="AM126" t="s">
        <v>5</v>
      </c>
      <c r="AN126" t="s">
        <v>4804</v>
      </c>
      <c r="AO126" t="s">
        <v>4805</v>
      </c>
      <c r="AP126" t="s">
        <v>281</v>
      </c>
      <c r="AQ126" t="s">
        <v>4806</v>
      </c>
      <c r="AR126" t="s">
        <v>5</v>
      </c>
      <c r="AS126" t="s">
        <v>2206</v>
      </c>
      <c r="AT126" t="s">
        <v>4807</v>
      </c>
      <c r="AU126" t="s">
        <v>4808</v>
      </c>
      <c r="AV126" t="s">
        <v>4809</v>
      </c>
      <c r="AW126" t="s">
        <v>4810</v>
      </c>
      <c r="AX126" t="s">
        <v>1516</v>
      </c>
      <c r="AY126" t="s">
        <v>1190</v>
      </c>
      <c r="AZ126" t="s">
        <v>905</v>
      </c>
      <c r="BA126" t="s">
        <v>160</v>
      </c>
      <c r="BB126" t="s">
        <v>726</v>
      </c>
      <c r="BC126" t="s">
        <v>524</v>
      </c>
      <c r="BD126" t="s">
        <v>713</v>
      </c>
      <c r="BE126" t="s">
        <v>508</v>
      </c>
      <c r="BF126" t="s">
        <v>161</v>
      </c>
      <c r="BG126" t="s">
        <v>145</v>
      </c>
      <c r="BH126" t="s">
        <v>1312</v>
      </c>
      <c r="BI126" t="s">
        <v>392</v>
      </c>
      <c r="BJ126" t="s">
        <v>1516</v>
      </c>
      <c r="BK126" t="s">
        <v>4811</v>
      </c>
      <c r="BL126" t="s">
        <v>4812</v>
      </c>
      <c r="BM126" t="s">
        <v>524</v>
      </c>
      <c r="BN126">
        <v>1.58</v>
      </c>
      <c r="BO126">
        <v>17.07</v>
      </c>
      <c r="BP126">
        <v>14.7</v>
      </c>
      <c r="BQ126">
        <v>2.66</v>
      </c>
      <c r="BR126">
        <v>18.96</v>
      </c>
      <c r="BS126">
        <v>15.59</v>
      </c>
      <c r="BT126" t="s">
        <v>1882</v>
      </c>
      <c r="BU126" t="s">
        <v>1589</v>
      </c>
      <c r="BV126">
        <v>15.41</v>
      </c>
      <c r="BW126">
        <v>20.88</v>
      </c>
      <c r="BX126">
        <v>21.25</v>
      </c>
      <c r="BY126">
        <v>6.83</v>
      </c>
      <c r="BZ126">
        <v>35.6</v>
      </c>
      <c r="CA126">
        <v>20.9</v>
      </c>
      <c r="CB126">
        <v>-2.75</v>
      </c>
      <c r="CC126">
        <v>-15.9</v>
      </c>
      <c r="CD126" t="s">
        <v>4813</v>
      </c>
      <c r="CE126" t="s">
        <v>4814</v>
      </c>
      <c r="CF126" s="10">
        <v>0.15121951219512211</v>
      </c>
      <c r="CG126" s="11">
        <v>-0.73468183251677899</v>
      </c>
      <c r="CH126" s="10">
        <v>-0.28718355298042297</v>
      </c>
      <c r="CI126" s="10">
        <v>-0.18451613187789917</v>
      </c>
      <c r="CJ126" s="10">
        <v>1.0974289178848267</v>
      </c>
      <c r="CK126" s="10">
        <v>-0.27406680583953857</v>
      </c>
      <c r="CL126" s="10">
        <v>3.2454360276460648E-2</v>
      </c>
      <c r="CM126" s="11">
        <v>-0.64444446563720703</v>
      </c>
      <c r="CN126" s="11">
        <v>0.3888888955116272</v>
      </c>
      <c r="CO126" s="11">
        <v>1.6129032373428345</v>
      </c>
      <c r="CP126" s="11">
        <v>-0.28323698043823242</v>
      </c>
      <c r="CQ126" s="11">
        <v>3.5928145051002502E-2</v>
      </c>
      <c r="CR126">
        <v>10.112446351931331</v>
      </c>
      <c r="CS126">
        <v>1.3163244463630974</v>
      </c>
      <c r="CT126">
        <v>1.9607843137254901</v>
      </c>
      <c r="CU126" s="10">
        <v>7.6823357492685318E-2</v>
      </c>
      <c r="CV126" s="11">
        <v>0.22200776636600494</v>
      </c>
      <c r="CW126">
        <v>0.06</v>
      </c>
      <c r="CX126">
        <v>2.8682280882089621</v>
      </c>
      <c r="CY126">
        <v>162539374.715877</v>
      </c>
      <c r="CZ126">
        <v>7.6823357492685318E-2</v>
      </c>
      <c r="DA126">
        <v>0.94784273320539758</v>
      </c>
      <c r="DB126">
        <v>491853747.11204797</v>
      </c>
      <c r="DC126">
        <v>7.2982189618051044E-2</v>
      </c>
      <c r="DD126">
        <v>0.47359023365461117</v>
      </c>
      <c r="DE126">
        <v>984395299.71388543</v>
      </c>
      <c r="DF126">
        <v>6.7604554593563085E-2</v>
      </c>
      <c r="DG126">
        <v>0.2891772568939579</v>
      </c>
      <c r="DH126">
        <v>1612159977.611783</v>
      </c>
      <c r="DI126">
        <v>6.1458685994148256E-2</v>
      </c>
      <c r="DJ126">
        <v>0.15489051970079962</v>
      </c>
      <c r="DK126">
        <v>3009867878.9415493</v>
      </c>
      <c r="DL126">
        <v>5.3776350244879721E-2</v>
      </c>
      <c r="DM126">
        <v>160000000</v>
      </c>
      <c r="DN126">
        <v>7.6823357492685318E-2</v>
      </c>
      <c r="DO126">
        <v>466200000</v>
      </c>
      <c r="DP126">
        <v>1565813800</v>
      </c>
      <c r="DQ126">
        <v>3924</v>
      </c>
      <c r="DR126">
        <v>7.4396154702436795E-2</v>
      </c>
      <c r="DS126">
        <v>-0.95668959888278393</v>
      </c>
      <c r="DT126" s="12">
        <v>-0.60666666666666669</v>
      </c>
      <c r="DU126">
        <v>-0.47333333333333333</v>
      </c>
      <c r="DV126">
        <v>-1.08</v>
      </c>
      <c r="DW126">
        <v>-8.1729559748427665</v>
      </c>
      <c r="DX126">
        <v>0.25879507951089809</v>
      </c>
      <c r="DY126">
        <v>-8.0188167590349035</v>
      </c>
      <c r="DZ126">
        <v>786</v>
      </c>
      <c r="EA126">
        <v>-8.015922439543429</v>
      </c>
      <c r="EB126">
        <v>8</v>
      </c>
      <c r="EC126">
        <v>2.3967532467532467E-2</v>
      </c>
      <c r="ED126">
        <v>0.22029978354978355</v>
      </c>
      <c r="EE126" s="13">
        <v>5.4210000000000001E-2</v>
      </c>
      <c r="EF126">
        <v>7.9009999999999997E-2</v>
      </c>
      <c r="EG126">
        <v>15.108795079510898</v>
      </c>
      <c r="EH126">
        <v>-1</v>
      </c>
      <c r="EI126">
        <v>0</v>
      </c>
      <c r="EJ126">
        <v>1</v>
      </c>
      <c r="EK126" s="15">
        <v>45470</v>
      </c>
      <c r="EL126" s="16">
        <v>0</v>
      </c>
      <c r="EM126" s="16">
        <v>-3.6</v>
      </c>
      <c r="EN126" s="16">
        <v>0.23</v>
      </c>
      <c r="EO126" s="16">
        <v>3.38</v>
      </c>
      <c r="EP126" s="16">
        <v>-2.48</v>
      </c>
    </row>
    <row r="127" spans="1:146" ht="96" x14ac:dyDescent="0.25">
      <c r="C127" s="8" t="str">
        <f>""&amp;CHAR(10)&amp;Basic_Fundamental_Information_Constructure(F127)&amp;CHAR(10)&amp;Basic_Fundamental_Information_Concatenate("")</f>
        <v xml:space="preserve">
市值55.935亿, 利润1.47亿; PE37.86; 平均PE30.13; 平均PEG1.33, PB1.81; ROIC19.1767%; ROE13.51%; 股利率1.609%; 毛利27.0367%; 净利16.8667%; 上一年度营收增-58.77%, 利润增-48.06%; 当季营收增-3.33%, 利润增-20.36%; 过往5年营收增22.73%, 利润增17.33%
Income profile:
</v>
      </c>
      <c r="D127" t="s">
        <v>2041</v>
      </c>
      <c r="E127" t="s">
        <v>2042</v>
      </c>
      <c r="F127">
        <v>12.43</v>
      </c>
      <c r="G127">
        <v>1.3</v>
      </c>
      <c r="H127" t="s">
        <v>4815</v>
      </c>
      <c r="I127">
        <v>5593500000</v>
      </c>
      <c r="J127">
        <v>37.86</v>
      </c>
      <c r="K127">
        <v>1.81</v>
      </c>
      <c r="L127" t="s">
        <v>101</v>
      </c>
      <c r="M127" t="s">
        <v>1481</v>
      </c>
      <c r="N127" t="s">
        <v>4816</v>
      </c>
      <c r="O127" t="s">
        <v>260</v>
      </c>
      <c r="P127" s="6">
        <v>-61.68</v>
      </c>
      <c r="Q127" t="s">
        <v>4817</v>
      </c>
      <c r="R127">
        <v>15245741</v>
      </c>
      <c r="S127">
        <v>-0.69199999999999995</v>
      </c>
      <c r="T127" t="s">
        <v>146</v>
      </c>
      <c r="U127">
        <v>180799340</v>
      </c>
      <c r="V127">
        <v>450000000</v>
      </c>
      <c r="W127">
        <v>1.26</v>
      </c>
      <c r="X127">
        <v>0.03</v>
      </c>
      <c r="Y127">
        <v>13.09</v>
      </c>
      <c r="Z127" t="s">
        <v>353</v>
      </c>
      <c r="AA127" t="s">
        <v>4818</v>
      </c>
      <c r="AB127" t="s">
        <v>4819</v>
      </c>
      <c r="AC127" t="s">
        <v>4820</v>
      </c>
      <c r="AD127" t="s">
        <v>5</v>
      </c>
      <c r="AE127">
        <v>-8071262</v>
      </c>
      <c r="AF127" t="s">
        <v>127</v>
      </c>
      <c r="AG127">
        <v>4081.86</v>
      </c>
      <c r="AH127" t="s">
        <v>4821</v>
      </c>
      <c r="AI127" t="s">
        <v>1676</v>
      </c>
      <c r="AJ127" t="s">
        <v>4822</v>
      </c>
      <c r="AK127" t="s">
        <v>4823</v>
      </c>
      <c r="AL127" t="s">
        <v>4824</v>
      </c>
      <c r="AM127" t="s">
        <v>5</v>
      </c>
      <c r="AN127" t="s">
        <v>4825</v>
      </c>
      <c r="AO127" t="s">
        <v>5</v>
      </c>
      <c r="AP127" t="s">
        <v>553</v>
      </c>
      <c r="AQ127" t="s">
        <v>211</v>
      </c>
      <c r="AR127" t="s">
        <v>5</v>
      </c>
      <c r="AS127" t="s">
        <v>1481</v>
      </c>
      <c r="AT127" t="s">
        <v>5</v>
      </c>
      <c r="AU127" t="s">
        <v>4826</v>
      </c>
      <c r="AV127" t="s">
        <v>4827</v>
      </c>
      <c r="AW127" t="s">
        <v>4828</v>
      </c>
      <c r="AX127" t="s">
        <v>1679</v>
      </c>
      <c r="AY127" t="s">
        <v>2043</v>
      </c>
      <c r="AZ127" t="s">
        <v>1833</v>
      </c>
      <c r="BA127" t="s">
        <v>1568</v>
      </c>
      <c r="BB127" t="s">
        <v>665</v>
      </c>
      <c r="BC127" t="s">
        <v>479</v>
      </c>
      <c r="BD127" t="s">
        <v>174</v>
      </c>
      <c r="BE127" t="s">
        <v>2044</v>
      </c>
      <c r="BF127" t="s">
        <v>214</v>
      </c>
      <c r="BG127" t="s">
        <v>536</v>
      </c>
      <c r="BH127" t="s">
        <v>4829</v>
      </c>
      <c r="BI127" t="s">
        <v>484</v>
      </c>
      <c r="BJ127" t="s">
        <v>1679</v>
      </c>
      <c r="BK127" t="s">
        <v>536</v>
      </c>
      <c r="BL127" t="s">
        <v>4830</v>
      </c>
      <c r="BM127" t="s">
        <v>479</v>
      </c>
      <c r="BN127">
        <v>5.68</v>
      </c>
      <c r="BO127">
        <v>20.28</v>
      </c>
      <c r="BP127">
        <v>31.57</v>
      </c>
      <c r="BQ127">
        <v>5.95</v>
      </c>
      <c r="BR127">
        <v>21.07</v>
      </c>
      <c r="BS127" t="s">
        <v>5</v>
      </c>
      <c r="BT127" t="s">
        <v>4831</v>
      </c>
      <c r="BU127" t="s">
        <v>1536</v>
      </c>
      <c r="BV127">
        <v>28.75</v>
      </c>
      <c r="BW127">
        <v>28.18</v>
      </c>
      <c r="BX127">
        <v>24.18</v>
      </c>
      <c r="BY127">
        <v>16.3</v>
      </c>
      <c r="BZ127">
        <v>18.53</v>
      </c>
      <c r="CA127">
        <v>15.77</v>
      </c>
      <c r="CB127">
        <v>-0.8</v>
      </c>
      <c r="CC127" s="10">
        <v>-10.83</v>
      </c>
      <c r="CD127" s="11" t="s">
        <v>4832</v>
      </c>
      <c r="CE127" s="10" t="s">
        <v>4833</v>
      </c>
      <c r="CF127" s="10">
        <v>-3.3333333333333458E-2</v>
      </c>
      <c r="CG127" s="10">
        <v>-0.20362407868825055</v>
      </c>
      <c r="CH127" s="10">
        <v>-0.58769631385803223</v>
      </c>
      <c r="CI127" s="10">
        <v>-0.14109052717685699</v>
      </c>
      <c r="CJ127" s="11">
        <v>2.2345454692840576</v>
      </c>
      <c r="CK127" s="11">
        <v>-6.6213920712471008E-2</v>
      </c>
      <c r="CL127" s="11">
        <v>-0.30295857787132263</v>
      </c>
      <c r="CM127" s="11">
        <v>-0.48056536912918091</v>
      </c>
      <c r="CN127" s="11">
        <v>7.1174376644194126E-3</v>
      </c>
      <c r="CO127">
        <v>1.8672416210174561</v>
      </c>
      <c r="CP127">
        <v>-0.20322276651859283</v>
      </c>
      <c r="CQ127">
        <v>-0.32417583465576172</v>
      </c>
      <c r="CR127" s="10">
        <v>30.126473558972343</v>
      </c>
      <c r="CS127" s="11">
        <v>1.3253053496193006</v>
      </c>
      <c r="CT127">
        <v>1.6090104585679808</v>
      </c>
      <c r="CU127">
        <v>0.22731722593307496</v>
      </c>
      <c r="CV127">
        <v>0.173279017675668</v>
      </c>
      <c r="CW127">
        <v>0.06</v>
      </c>
      <c r="CX127">
        <v>19.473755998418191</v>
      </c>
      <c r="CY127">
        <v>170203426.61524716</v>
      </c>
      <c r="CZ127">
        <v>0.22731722593307496</v>
      </c>
      <c r="DA127">
        <v>5.6759125575851312</v>
      </c>
      <c r="DB127">
        <v>583958961.02567589</v>
      </c>
      <c r="DC127">
        <v>0.2159513646364212</v>
      </c>
      <c r="DD127">
        <v>2.3802916167650481</v>
      </c>
      <c r="DE127">
        <v>1392476441.3969555</v>
      </c>
      <c r="DF127">
        <v>0.20003915882110596</v>
      </c>
      <c r="DG127">
        <v>1.1808032032581923</v>
      </c>
      <c r="DH127">
        <v>2806987642.6946459</v>
      </c>
      <c r="DI127">
        <v>0.18185378074645997</v>
      </c>
      <c r="DJ127">
        <v>0.38743137185475951</v>
      </c>
      <c r="DK127">
        <v>8555063530.6903896</v>
      </c>
      <c r="DL127">
        <v>0.15912205815315247</v>
      </c>
      <c r="DM127">
        <v>147000000</v>
      </c>
      <c r="DN127">
        <v>0.22731722593307496</v>
      </c>
      <c r="DO127">
        <v>3314500000</v>
      </c>
      <c r="DP127">
        <v>2451247600</v>
      </c>
      <c r="DQ127" s="12">
        <v>3958</v>
      </c>
      <c r="DR127">
        <v>-0.2606505592664084</v>
      </c>
      <c r="DS127">
        <v>-0.37690309636391855</v>
      </c>
      <c r="DT127">
        <v>-0.32333333333333331</v>
      </c>
      <c r="DU127">
        <v>-0.21999999999999997</v>
      </c>
      <c r="DV127">
        <v>-0.54333333333333322</v>
      </c>
      <c r="DW127">
        <v>-2.1082999999999998</v>
      </c>
      <c r="DX127">
        <v>0.3649329782560069</v>
      </c>
      <c r="DY127">
        <v>-2.0146132415451254</v>
      </c>
      <c r="DZ127">
        <v>243</v>
      </c>
      <c r="EA127">
        <v>-2.0139183261448386</v>
      </c>
      <c r="EB127" s="13">
        <v>2</v>
      </c>
      <c r="EC127" s="13">
        <v>1.1124444444444444E-2</v>
      </c>
      <c r="ED127">
        <v>8.2444222222222224E-2</v>
      </c>
      <c r="EE127">
        <v>-1.0104</v>
      </c>
      <c r="EF127">
        <v>-1.01911</v>
      </c>
      <c r="EG127">
        <v>23.134932978256007</v>
      </c>
      <c r="EH127" s="15" t="s">
        <v>1563</v>
      </c>
      <c r="EI127">
        <v>0</v>
      </c>
      <c r="EJ127">
        <v>1</v>
      </c>
      <c r="EK127">
        <v>45470</v>
      </c>
      <c r="EL127">
        <v>-2.37</v>
      </c>
      <c r="EM127">
        <v>-2.4300000000000002</v>
      </c>
      <c r="EN127" s="16">
        <v>2.4900000000000002</v>
      </c>
      <c r="EO127" s="16">
        <v>2.2799999999999998</v>
      </c>
      <c r="EP127" s="16">
        <v>-2.95</v>
      </c>
    </row>
    <row r="128" spans="1:146" ht="96" x14ac:dyDescent="0.25">
      <c r="A128" s="8"/>
      <c r="B128" s="8"/>
      <c r="C128" s="8" t="str">
        <f>""&amp;CHAR(10)&amp;Basic_Fundamental_Information_Constructure(F128)&amp;CHAR(10)&amp;Basic_Fundamental_Information_Concatenate("")</f>
        <v xml:space="preserve">
市值13.706亿, 利润1.65亿; PE37.7; 平均PE24.27; 平均PEG.19, PB2.71; ROIC6.36%; ROE6.5933%; 股利率1.1236%; 毛利17.6067%; 净利5.64%; 上一年度营收增637.12%, 利润增445.97%; 当季营收增-86.49%, 利润增104.07%; 过往5年营收增126.67%, 利润增89.89%
Income profile:
</v>
      </c>
      <c r="D128" t="s">
        <v>706</v>
      </c>
      <c r="E128" t="s">
        <v>4834</v>
      </c>
      <c r="F128">
        <v>9.7899999999999991</v>
      </c>
      <c r="G128">
        <v>0.51</v>
      </c>
      <c r="H128" t="s">
        <v>4835</v>
      </c>
      <c r="I128">
        <v>1370600000</v>
      </c>
      <c r="J128">
        <v>37.700000000000003</v>
      </c>
      <c r="K128">
        <v>2.71</v>
      </c>
      <c r="L128" t="s">
        <v>101</v>
      </c>
      <c r="M128" t="s">
        <v>145</v>
      </c>
      <c r="N128" t="s">
        <v>748</v>
      </c>
      <c r="O128" t="s">
        <v>207</v>
      </c>
      <c r="P128">
        <v>19.52</v>
      </c>
      <c r="Q128" t="s">
        <v>4836</v>
      </c>
      <c r="R128">
        <v>5663973</v>
      </c>
      <c r="S128" s="6">
        <v>0.23680000000000001</v>
      </c>
      <c r="T128" t="s">
        <v>474</v>
      </c>
      <c r="U128">
        <v>140000000</v>
      </c>
      <c r="V128">
        <v>140000000</v>
      </c>
      <c r="W128">
        <v>1.22</v>
      </c>
      <c r="X128">
        <v>0.18</v>
      </c>
      <c r="Y128">
        <v>4.99</v>
      </c>
      <c r="Z128" t="s">
        <v>310</v>
      </c>
      <c r="AA128" t="s">
        <v>4837</v>
      </c>
      <c r="AB128" t="s">
        <v>4838</v>
      </c>
      <c r="AC128" t="s">
        <v>4839</v>
      </c>
      <c r="AD128" t="s">
        <v>5</v>
      </c>
      <c r="AE128">
        <v>-102572</v>
      </c>
      <c r="AF128" t="s">
        <v>4840</v>
      </c>
      <c r="AG128" t="s">
        <v>5</v>
      </c>
      <c r="AH128" t="s">
        <v>4841</v>
      </c>
      <c r="AI128" t="s">
        <v>4842</v>
      </c>
      <c r="AJ128" t="s">
        <v>4843</v>
      </c>
      <c r="AK128" t="s">
        <v>4844</v>
      </c>
      <c r="AL128" t="s">
        <v>4845</v>
      </c>
      <c r="AM128" t="s">
        <v>5</v>
      </c>
      <c r="AN128">
        <v>0</v>
      </c>
      <c r="AO128" t="s">
        <v>5</v>
      </c>
      <c r="AP128" t="s">
        <v>4846</v>
      </c>
      <c r="AQ128" t="s">
        <v>4847</v>
      </c>
      <c r="AR128" t="s">
        <v>5</v>
      </c>
      <c r="AS128" t="s">
        <v>425</v>
      </c>
      <c r="AT128" t="s">
        <v>5</v>
      </c>
      <c r="AU128" t="s">
        <v>4848</v>
      </c>
      <c r="AV128" t="s">
        <v>4849</v>
      </c>
      <c r="AW128" t="s">
        <v>4850</v>
      </c>
      <c r="AX128" t="s">
        <v>730</v>
      </c>
      <c r="AY128" t="s">
        <v>677</v>
      </c>
      <c r="AZ128" t="s">
        <v>977</v>
      </c>
      <c r="BA128" t="s">
        <v>644</v>
      </c>
      <c r="BB128" t="s">
        <v>416</v>
      </c>
      <c r="BC128" t="s">
        <v>2045</v>
      </c>
      <c r="BD128" t="s">
        <v>1500</v>
      </c>
      <c r="BE128" t="s">
        <v>1141</v>
      </c>
      <c r="BF128" t="s">
        <v>707</v>
      </c>
      <c r="BG128" t="s">
        <v>1142</v>
      </c>
      <c r="BH128" t="s">
        <v>947</v>
      </c>
      <c r="BI128" t="s">
        <v>3941</v>
      </c>
      <c r="BJ128" t="s">
        <v>730</v>
      </c>
      <c r="BK128" t="s">
        <v>4851</v>
      </c>
      <c r="BL128" t="s">
        <v>4052</v>
      </c>
      <c r="BM128" t="s">
        <v>2045</v>
      </c>
      <c r="BN128">
        <v>4.75</v>
      </c>
      <c r="BO128">
        <v>6.15</v>
      </c>
      <c r="BP128">
        <v>8.18</v>
      </c>
      <c r="BQ128">
        <v>4.9800000000000004</v>
      </c>
      <c r="BR128">
        <v>6.43</v>
      </c>
      <c r="BS128">
        <v>8.3699999999999992</v>
      </c>
      <c r="BT128" t="s">
        <v>1727</v>
      </c>
      <c r="BU128" t="s">
        <v>1537</v>
      </c>
      <c r="BV128">
        <v>19.190000000000001</v>
      </c>
      <c r="BW128">
        <v>17.73</v>
      </c>
      <c r="BX128">
        <v>15.9</v>
      </c>
      <c r="BY128">
        <v>6.34</v>
      </c>
      <c r="BZ128">
        <v>5.04</v>
      </c>
      <c r="CA128">
        <v>5.54</v>
      </c>
      <c r="CB128">
        <v>-4.95</v>
      </c>
      <c r="CC128">
        <v>-14.94</v>
      </c>
      <c r="CD128" t="s">
        <v>4852</v>
      </c>
      <c r="CE128" t="s">
        <v>4853</v>
      </c>
      <c r="CF128" s="10">
        <v>-0.86492890995260663</v>
      </c>
      <c r="CG128" s="11">
        <v>1.0407480071942445</v>
      </c>
      <c r="CH128" s="10">
        <v>6.3712372779846191</v>
      </c>
      <c r="CI128" s="10">
        <v>-0.11799409985542297</v>
      </c>
      <c r="CJ128" s="10">
        <v>0.14527027308940887</v>
      </c>
      <c r="CK128" s="10">
        <v>4.964539036154747E-2</v>
      </c>
      <c r="CL128" s="10">
        <v>-0.11459968239068985</v>
      </c>
      <c r="CM128" s="11">
        <v>4.4596710205078125</v>
      </c>
      <c r="CN128" s="11">
        <v>-0.19712233543395996</v>
      </c>
      <c r="CO128" s="11">
        <v>-6.4465619623661041E-2</v>
      </c>
      <c r="CP128" s="11">
        <v>0.76534545421600342</v>
      </c>
      <c r="CQ128" s="11">
        <v>-0.46904438734054565</v>
      </c>
      <c r="CR128">
        <v>24.27155238058134</v>
      </c>
      <c r="CS128">
        <v>0.19161068658658817</v>
      </c>
      <c r="CT128">
        <v>1.1235955056179776</v>
      </c>
      <c r="CU128" s="10">
        <v>1.2667118318378925</v>
      </c>
      <c r="CV128" s="11">
        <v>0.8988768264651299</v>
      </c>
      <c r="CW128">
        <v>0.06</v>
      </c>
      <c r="CX128">
        <v>2.9208936704830073</v>
      </c>
      <c r="CY128">
        <v>352837219.10684174</v>
      </c>
      <c r="CZ128">
        <v>1.2667118318378925</v>
      </c>
      <c r="DA128">
        <v>0.40609039908277433</v>
      </c>
      <c r="DB128">
        <v>2537858571.2141657</v>
      </c>
      <c r="DC128">
        <v>1.2033762402459978</v>
      </c>
      <c r="DD128">
        <v>5.0207202202377607E-2</v>
      </c>
      <c r="DE128">
        <v>20526935475.229389</v>
      </c>
      <c r="DF128">
        <v>1.1147064120173453</v>
      </c>
      <c r="DG128">
        <v>4.8470665472367547E-3</v>
      </c>
      <c r="DH128">
        <v>212623447595.85172</v>
      </c>
      <c r="DI128">
        <v>1.013369465470314</v>
      </c>
      <c r="DJ128">
        <v>2.6873440050718227E-5</v>
      </c>
      <c r="DK128">
        <v>38350132995811.078</v>
      </c>
      <c r="DL128">
        <v>0.8866982822865247</v>
      </c>
      <c r="DM128">
        <v>165000000</v>
      </c>
      <c r="DN128">
        <v>1.2667118318378925</v>
      </c>
      <c r="DO128">
        <v>1030600000</v>
      </c>
      <c r="DP128">
        <v>288113210</v>
      </c>
      <c r="DQ128">
        <v>3969</v>
      </c>
      <c r="DR128">
        <v>-2.1316407417904992</v>
      </c>
      <c r="DS128">
        <v>0.14187118072911464</v>
      </c>
      <c r="DT128" s="12">
        <v>-0.14000000000000004</v>
      </c>
      <c r="DU128">
        <v>0.72333333333333327</v>
      </c>
      <c r="DV128">
        <v>0.58333333333333326</v>
      </c>
      <c r="DW128">
        <v>-8.331325301204819</v>
      </c>
      <c r="DX128">
        <v>0.36117254851895841</v>
      </c>
      <c r="DY128">
        <v>-8.0865330733044747</v>
      </c>
      <c r="DZ128">
        <v>562</v>
      </c>
      <c r="EA128">
        <v>-8.0770161286475055</v>
      </c>
      <c r="EB128">
        <v>8</v>
      </c>
      <c r="EC128">
        <v>7.7446428571428569E-2</v>
      </c>
      <c r="ED128">
        <v>0.29653357142857145</v>
      </c>
      <c r="EE128" s="13">
        <v>5.8910000000000011E-2</v>
      </c>
      <c r="EF128">
        <v>9.0609999999999996E-2</v>
      </c>
      <c r="EG128">
        <v>10.261172548518958</v>
      </c>
      <c r="EH128">
        <v>-1</v>
      </c>
      <c r="EI128">
        <v>0</v>
      </c>
      <c r="EJ128">
        <v>1</v>
      </c>
      <c r="EK128" s="15">
        <v>45470</v>
      </c>
      <c r="EL128" s="16">
        <v>0.28000000000000003</v>
      </c>
      <c r="EM128" s="16">
        <v>-4.42</v>
      </c>
      <c r="EN128" s="16">
        <v>1.88</v>
      </c>
      <c r="EO128" s="16">
        <v>2.84</v>
      </c>
      <c r="EP128" s="16">
        <v>-3.17</v>
      </c>
    </row>
    <row r="129" spans="1:146" ht="108" x14ac:dyDescent="0.25">
      <c r="A129" s="8"/>
      <c r="B129" s="8"/>
      <c r="C129" s="8" t="str">
        <f>""&amp;CHAR(10)&amp;Basic_Fundamental_Information_Constructure(F129)&amp;CHAR(10)&amp;Basic_Fundamental_Information_Concatenate("")</f>
        <v xml:space="preserve">
市值57.084952亿, 利润3.01亿; PE36.47; 平均PE-30.11; 平均PEG-5.11, PB1.8; ROIC5.0733%; ROE5.9033%; 股利率0%; 毛利15.3233%; 净利3.3933%; 上一年度营收增-52.43%, 利润增71.02%; 当季营收增71.99%, 利润增-56.62%; 过往5年营收增5.89%, 利润增-48.88%
Income profile:
</v>
      </c>
      <c r="D129" t="s">
        <v>426</v>
      </c>
      <c r="E129" t="s">
        <v>80</v>
      </c>
      <c r="F129">
        <v>4.37</v>
      </c>
      <c r="G129">
        <v>2.1</v>
      </c>
      <c r="H129" t="s">
        <v>4854</v>
      </c>
      <c r="I129">
        <v>5708495200</v>
      </c>
      <c r="J129">
        <v>36.47</v>
      </c>
      <c r="K129">
        <v>1.8</v>
      </c>
      <c r="L129" t="s">
        <v>101</v>
      </c>
      <c r="M129" t="s">
        <v>4855</v>
      </c>
      <c r="N129" t="s">
        <v>4856</v>
      </c>
      <c r="O129" t="s">
        <v>2076</v>
      </c>
      <c r="P129">
        <v>-0.93</v>
      </c>
      <c r="Q129" t="s">
        <v>4857</v>
      </c>
      <c r="R129">
        <v>33114671</v>
      </c>
      <c r="S129" s="6">
        <v>9.1600000000000001E-2</v>
      </c>
      <c r="T129" t="s">
        <v>319</v>
      </c>
      <c r="U129">
        <v>1306291800</v>
      </c>
      <c r="V129">
        <v>1306291800</v>
      </c>
      <c r="W129">
        <v>3.81</v>
      </c>
      <c r="X129">
        <v>7.0000000000000007E-2</v>
      </c>
      <c r="Y129">
        <v>3.48</v>
      </c>
      <c r="Z129" t="s">
        <v>2203</v>
      </c>
      <c r="AA129" t="s">
        <v>304</v>
      </c>
      <c r="AB129" t="s">
        <v>4858</v>
      </c>
      <c r="AC129" t="s">
        <v>4859</v>
      </c>
      <c r="AD129" t="s">
        <v>5</v>
      </c>
      <c r="AE129">
        <v>37090782</v>
      </c>
      <c r="AF129" t="s">
        <v>4860</v>
      </c>
      <c r="AG129" t="s">
        <v>4861</v>
      </c>
      <c r="AH129" t="s">
        <v>4862</v>
      </c>
      <c r="AI129" t="s">
        <v>2153</v>
      </c>
      <c r="AJ129" t="s">
        <v>4863</v>
      </c>
      <c r="AK129" t="s">
        <v>218</v>
      </c>
      <c r="AL129" t="s">
        <v>4864</v>
      </c>
      <c r="AM129" t="s">
        <v>5</v>
      </c>
      <c r="AN129" t="s">
        <v>4865</v>
      </c>
      <c r="AO129" t="s">
        <v>1024</v>
      </c>
      <c r="AP129" t="s">
        <v>2156</v>
      </c>
      <c r="AQ129" t="s">
        <v>4866</v>
      </c>
      <c r="AR129" t="s">
        <v>4867</v>
      </c>
      <c r="AS129" t="s">
        <v>4868</v>
      </c>
      <c r="AT129" t="s">
        <v>2186</v>
      </c>
      <c r="AU129" t="s">
        <v>4869</v>
      </c>
      <c r="AV129" t="s">
        <v>4870</v>
      </c>
      <c r="AW129" t="s">
        <v>1681</v>
      </c>
      <c r="AX129" t="s">
        <v>2046</v>
      </c>
      <c r="AY129" t="s">
        <v>1501</v>
      </c>
      <c r="AZ129" t="s">
        <v>566</v>
      </c>
      <c r="BA129" t="s">
        <v>427</v>
      </c>
      <c r="BB129" t="s">
        <v>1144</v>
      </c>
      <c r="BC129" t="s">
        <v>282</v>
      </c>
      <c r="BD129" t="s">
        <v>214</v>
      </c>
      <c r="BE129" t="s">
        <v>1143</v>
      </c>
      <c r="BF129" t="s">
        <v>428</v>
      </c>
      <c r="BG129" t="s">
        <v>1145</v>
      </c>
      <c r="BH129" t="s">
        <v>2108</v>
      </c>
      <c r="BI129" t="s">
        <v>655</v>
      </c>
      <c r="BJ129" t="s">
        <v>2046</v>
      </c>
      <c r="BK129" t="s">
        <v>420</v>
      </c>
      <c r="BL129" t="s">
        <v>4871</v>
      </c>
      <c r="BM129" t="s">
        <v>282</v>
      </c>
      <c r="BN129">
        <v>3.65</v>
      </c>
      <c r="BO129">
        <v>5.43</v>
      </c>
      <c r="BP129">
        <v>6.14</v>
      </c>
      <c r="BQ129">
        <v>4.2699999999999996</v>
      </c>
      <c r="BR129">
        <v>5.77</v>
      </c>
      <c r="BS129">
        <v>7.67</v>
      </c>
      <c r="BT129" t="s">
        <v>1720</v>
      </c>
      <c r="BU129" t="s">
        <v>1536</v>
      </c>
      <c r="BV129">
        <v>15.14</v>
      </c>
      <c r="BW129">
        <v>14</v>
      </c>
      <c r="BX129">
        <v>16.829999999999998</v>
      </c>
      <c r="BY129">
        <v>3.22</v>
      </c>
      <c r="BZ129">
        <v>3.66</v>
      </c>
      <c r="CA129">
        <v>3.3</v>
      </c>
      <c r="CB129">
        <v>-2.89</v>
      </c>
      <c r="CC129">
        <v>-13.98</v>
      </c>
      <c r="CD129" t="s">
        <v>4872</v>
      </c>
      <c r="CE129" t="s">
        <v>752</v>
      </c>
      <c r="CF129" s="10">
        <v>0.71985157699443414</v>
      </c>
      <c r="CG129" s="11">
        <v>-0.56618884302338535</v>
      </c>
      <c r="CH129" s="10">
        <v>-0.52429717779159546</v>
      </c>
      <c r="CI129" s="10">
        <v>0.23358926177024841</v>
      </c>
      <c r="CJ129" s="10">
        <v>0.39158910512924194</v>
      </c>
      <c r="CK129" s="10">
        <v>-0.1561955064535141</v>
      </c>
      <c r="CL129" s="10">
        <v>0.34982332587242126</v>
      </c>
      <c r="CM129" s="11">
        <v>0.71022725105285645</v>
      </c>
      <c r="CN129" s="11">
        <v>0.43089431524276733</v>
      </c>
      <c r="CO129" s="11">
        <v>1.4315789937973022</v>
      </c>
      <c r="CP129" s="11">
        <v>-6.053863525390625</v>
      </c>
      <c r="CQ129" s="11">
        <v>1.0373708009719849</v>
      </c>
      <c r="CR129">
        <v>-30.107898550246901</v>
      </c>
      <c r="CS129">
        <v>-5.1115411886470197</v>
      </c>
      <c r="CT129">
        <v>0</v>
      </c>
      <c r="CU129" s="10">
        <v>5.8901801705360413E-2</v>
      </c>
      <c r="CV129" s="11">
        <v>-0.48875843286514281</v>
      </c>
      <c r="CW129">
        <v>0.06</v>
      </c>
      <c r="CX129">
        <v>38.233947963993828</v>
      </c>
      <c r="CY129">
        <v>300688153.12576741</v>
      </c>
      <c r="CZ129">
        <v>5.8901801705360413E-2</v>
      </c>
      <c r="DA129">
        <v>12.829067742790008</v>
      </c>
      <c r="DB129">
        <v>896128653.34358227</v>
      </c>
      <c r="DC129">
        <v>5.5956711620092386E-2</v>
      </c>
      <c r="DD129">
        <v>6.5398192214532864</v>
      </c>
      <c r="DE129">
        <v>1757922476.2493107</v>
      </c>
      <c r="DF129">
        <v>5.1833585500717164E-2</v>
      </c>
      <c r="DG129">
        <v>4.0825337071327485</v>
      </c>
      <c r="DH129">
        <v>2816019664.433888</v>
      </c>
      <c r="DI129">
        <v>4.7121441364288336E-2</v>
      </c>
      <c r="DJ129">
        <v>2.2915696277059618</v>
      </c>
      <c r="DK129">
        <v>5016864886.4092684</v>
      </c>
      <c r="DL129">
        <v>4.1231261193752283E-2</v>
      </c>
      <c r="DM129">
        <v>301000000</v>
      </c>
      <c r="DN129">
        <v>5.8901801705360413E-2</v>
      </c>
      <c r="DO129">
        <v>11496495200</v>
      </c>
      <c r="DP129">
        <v>731949000.00000095</v>
      </c>
      <c r="DQ129">
        <v>3978</v>
      </c>
      <c r="DR129">
        <v>0.66094977528907373</v>
      </c>
      <c r="DS129">
        <v>-7.7430410158242535E-2</v>
      </c>
      <c r="DT129" s="12">
        <v>-0.34</v>
      </c>
      <c r="DU129">
        <v>7.999999999999996E-2</v>
      </c>
      <c r="DV129">
        <v>-0.26000000000000006</v>
      </c>
      <c r="DW129">
        <v>-8.2067238912732474</v>
      </c>
      <c r="DX129">
        <v>0.42523869731800845</v>
      </c>
      <c r="DY129">
        <v>-8.0320915475857682</v>
      </c>
      <c r="DZ129">
        <v>3294</v>
      </c>
      <c r="EA129">
        <v>-8.0114047456782291</v>
      </c>
      <c r="EB129">
        <v>8</v>
      </c>
      <c r="EC129">
        <v>3.1017036162976755E-2</v>
      </c>
      <c r="ED129">
        <v>0.19980221876919077</v>
      </c>
      <c r="EE129" s="13">
        <v>-2.0518000000000001</v>
      </c>
      <c r="EF129">
        <v>-2.0207000000000002</v>
      </c>
      <c r="EG129">
        <v>27.155238697318008</v>
      </c>
      <c r="EH129" t="s">
        <v>1852</v>
      </c>
      <c r="EI129">
        <v>0</v>
      </c>
      <c r="EJ129">
        <v>0</v>
      </c>
      <c r="EK129" s="15">
        <v>45470</v>
      </c>
      <c r="EL129" s="16">
        <v>0.25</v>
      </c>
      <c r="EM129" s="16">
        <v>-4.7699999999999996</v>
      </c>
      <c r="EN129" s="16">
        <v>-0.92</v>
      </c>
      <c r="EO129" s="16">
        <v>2.8</v>
      </c>
      <c r="EP129" s="16">
        <v>-3.11</v>
      </c>
    </row>
    <row r="130" spans="1:146" ht="96" x14ac:dyDescent="0.25">
      <c r="C130" s="8" t="str">
        <f>""&amp;CHAR(10)&amp;Basic_Fundamental_Information_Constructure(F130)&amp;CHAR(10)&amp;Basic_Fundamental_Information_Concatenate("")</f>
        <v xml:space="preserve">
市值33.552亿, 利润5980.78万; PE15.14; 平均PE34.01; 平均PEG.89, PB2.21; ROIC21.57%; ROE25.0333%; 股利率1.7644%; 毛利21.8633%; 净利9.1567%; 上一年度营收增47.19%, 利润增-57.88%; 当季营收增-22.3%, 利润增399.66%; 过往5年营收增38.29%, 利润增88.83%
Income profile:
</v>
      </c>
      <c r="D130" t="s">
        <v>2048</v>
      </c>
      <c r="E130" t="s">
        <v>2049</v>
      </c>
      <c r="F130">
        <v>20.97</v>
      </c>
      <c r="G130">
        <v>0.43</v>
      </c>
      <c r="H130" t="s">
        <v>4873</v>
      </c>
      <c r="I130">
        <v>3355200000</v>
      </c>
      <c r="J130">
        <v>15.14</v>
      </c>
      <c r="K130">
        <v>2.21</v>
      </c>
      <c r="L130" t="s">
        <v>101</v>
      </c>
      <c r="M130" t="s">
        <v>1707</v>
      </c>
      <c r="N130" t="s">
        <v>4874</v>
      </c>
      <c r="O130" t="s">
        <v>894</v>
      </c>
      <c r="P130" s="6">
        <v>3.53</v>
      </c>
      <c r="Q130" t="s">
        <v>2112</v>
      </c>
      <c r="R130">
        <v>65675301</v>
      </c>
      <c r="S130">
        <v>0.86329999999999996</v>
      </c>
      <c r="T130" t="s">
        <v>4875</v>
      </c>
      <c r="U130">
        <v>49540000</v>
      </c>
      <c r="V130">
        <v>160000000</v>
      </c>
      <c r="W130">
        <v>2.87</v>
      </c>
      <c r="X130">
        <v>0.08</v>
      </c>
      <c r="Y130">
        <v>18.68</v>
      </c>
      <c r="Z130" t="s">
        <v>465</v>
      </c>
      <c r="AA130" t="s">
        <v>176</v>
      </c>
      <c r="AB130" t="s">
        <v>4876</v>
      </c>
      <c r="AC130" t="s">
        <v>4877</v>
      </c>
      <c r="AD130" t="s">
        <v>5</v>
      </c>
      <c r="AE130">
        <v>-1645073</v>
      </c>
      <c r="AF130" t="s">
        <v>4878</v>
      </c>
      <c r="AG130" t="s">
        <v>5</v>
      </c>
      <c r="AH130" t="s">
        <v>4879</v>
      </c>
      <c r="AI130" t="s">
        <v>2489</v>
      </c>
      <c r="AJ130" t="s">
        <v>4880</v>
      </c>
      <c r="AK130" t="s">
        <v>792</v>
      </c>
      <c r="AL130" t="s">
        <v>4881</v>
      </c>
      <c r="AM130" t="s">
        <v>5</v>
      </c>
      <c r="AN130" t="s">
        <v>214</v>
      </c>
      <c r="AO130" t="s">
        <v>4882</v>
      </c>
      <c r="AP130" t="s">
        <v>1660</v>
      </c>
      <c r="AQ130" t="s">
        <v>2197</v>
      </c>
      <c r="AR130" t="s">
        <v>5</v>
      </c>
      <c r="AS130" t="s">
        <v>4883</v>
      </c>
      <c r="AT130" t="s">
        <v>5</v>
      </c>
      <c r="AU130" t="s">
        <v>4884</v>
      </c>
      <c r="AV130" t="s">
        <v>4885</v>
      </c>
      <c r="AW130" t="s">
        <v>4886</v>
      </c>
      <c r="AX130" t="s">
        <v>1881</v>
      </c>
      <c r="AY130" t="s">
        <v>1688</v>
      </c>
      <c r="AZ130" t="s">
        <v>2051</v>
      </c>
      <c r="BA130" t="s">
        <v>1601</v>
      </c>
      <c r="BB130" t="s">
        <v>368</v>
      </c>
      <c r="BC130" t="s">
        <v>220</v>
      </c>
      <c r="BD130" t="s">
        <v>553</v>
      </c>
      <c r="BE130" t="s">
        <v>325</v>
      </c>
      <c r="BF130" t="s">
        <v>2052</v>
      </c>
      <c r="BG130" t="s">
        <v>2053</v>
      </c>
      <c r="BH130" t="s">
        <v>4887</v>
      </c>
      <c r="BI130" t="s">
        <v>228</v>
      </c>
      <c r="BJ130" t="s">
        <v>1881</v>
      </c>
      <c r="BK130" t="s">
        <v>792</v>
      </c>
      <c r="BL130" t="s">
        <v>4888</v>
      </c>
      <c r="BM130" t="s">
        <v>220</v>
      </c>
      <c r="BN130">
        <v>11.81</v>
      </c>
      <c r="BO130">
        <v>20.38</v>
      </c>
      <c r="BP130">
        <v>32.520000000000003</v>
      </c>
      <c r="BQ130">
        <v>11.27</v>
      </c>
      <c r="BR130">
        <v>25.52</v>
      </c>
      <c r="BS130">
        <v>38.31</v>
      </c>
      <c r="BT130" t="s">
        <v>4889</v>
      </c>
      <c r="BU130" t="s">
        <v>1536</v>
      </c>
      <c r="BV130">
        <v>22.49</v>
      </c>
      <c r="BW130">
        <v>20.059999999999999</v>
      </c>
      <c r="BX130">
        <v>23.04</v>
      </c>
      <c r="BY130">
        <v>8.8699999999999992</v>
      </c>
      <c r="BZ130">
        <v>7.53</v>
      </c>
      <c r="CA130">
        <v>11.07</v>
      </c>
      <c r="CB130">
        <v>-3.41</v>
      </c>
      <c r="CC130" s="10">
        <v>-16.22</v>
      </c>
      <c r="CD130" s="11" t="s">
        <v>4890</v>
      </c>
      <c r="CE130" s="10" t="s">
        <v>4891</v>
      </c>
      <c r="CF130" s="10">
        <v>-0.22295805739514349</v>
      </c>
      <c r="CG130" s="10">
        <v>3.9965734505037234</v>
      </c>
      <c r="CH130" s="10">
        <v>0.47189819812774658</v>
      </c>
      <c r="CI130" s="10">
        <v>0.30338627099990845</v>
      </c>
      <c r="CJ130" s="11">
        <v>0.34230062365531921</v>
      </c>
      <c r="CK130" s="11">
        <v>0.49930459260940552</v>
      </c>
      <c r="CL130" s="11">
        <v>0.29783394932746887</v>
      </c>
      <c r="CM130" s="11">
        <v>-0.57881832122802734</v>
      </c>
      <c r="CN130" s="11">
        <v>-0.11249999701976776</v>
      </c>
      <c r="CO130">
        <v>0.10344827920198441</v>
      </c>
      <c r="CP130">
        <v>1.0475598573684692</v>
      </c>
      <c r="CQ130">
        <v>3.9818499088287354</v>
      </c>
      <c r="CR130" s="10">
        <v>34.014679002011697</v>
      </c>
      <c r="CS130" s="11">
        <v>0.88823991058606555</v>
      </c>
      <c r="CT130">
        <v>1.7644253695755843</v>
      </c>
      <c r="CU130">
        <v>0.38294472694396975</v>
      </c>
      <c r="CV130">
        <v>0.8883079454302788</v>
      </c>
      <c r="CW130">
        <v>0.06</v>
      </c>
      <c r="CX130">
        <v>61.261733637986126</v>
      </c>
      <c r="CY130">
        <v>78029133.622754276</v>
      </c>
      <c r="CZ130">
        <v>0.38294472694396975</v>
      </c>
      <c r="DA130">
        <v>15.759183180451226</v>
      </c>
      <c r="DB130">
        <v>303327903.81735575</v>
      </c>
      <c r="DC130">
        <v>0.36379749059677124</v>
      </c>
      <c r="DD130">
        <v>5.4710866997214413</v>
      </c>
      <c r="DE130">
        <v>873720389.08529496</v>
      </c>
      <c r="DF130">
        <v>0.33699135971069338</v>
      </c>
      <c r="DG130">
        <v>2.1280955908890404</v>
      </c>
      <c r="DH130">
        <v>2246233684.4572887</v>
      </c>
      <c r="DI130">
        <v>0.30635578155517584</v>
      </c>
      <c r="DJ130">
        <v>0.37434759239741605</v>
      </c>
      <c r="DK130">
        <v>12769415636.912203</v>
      </c>
      <c r="DL130">
        <v>0.26806130886077878</v>
      </c>
      <c r="DM130">
        <v>59807800</v>
      </c>
      <c r="DN130">
        <v>0.38294472694396975</v>
      </c>
      <c r="DO130">
        <v>4780200000</v>
      </c>
      <c r="DP130">
        <v>1030034900</v>
      </c>
      <c r="DQ130" s="12">
        <v>3982</v>
      </c>
      <c r="DR130">
        <v>-0.60590278433911327</v>
      </c>
      <c r="DS130">
        <v>3.1082655050734447</v>
      </c>
      <c r="DT130">
        <v>0.22666666666666657</v>
      </c>
      <c r="DU130">
        <v>1.0133333333333334</v>
      </c>
      <c r="DV130">
        <v>1.24</v>
      </c>
      <c r="DW130">
        <v>-8.2102342786683113</v>
      </c>
      <c r="DX130">
        <v>0.38225704173774289</v>
      </c>
      <c r="DY130">
        <v>-8.0299073065552218</v>
      </c>
      <c r="DZ130">
        <v>4046</v>
      </c>
      <c r="EA130">
        <v>-8.0062272747895804</v>
      </c>
      <c r="EB130" s="13">
        <v>8</v>
      </c>
      <c r="EC130" s="13">
        <v>3.7632499999999999E-2</v>
      </c>
      <c r="ED130">
        <v>0.26453874999999999</v>
      </c>
      <c r="EE130">
        <v>-1.0802</v>
      </c>
      <c r="EF130">
        <v>-1.0583</v>
      </c>
      <c r="EG130">
        <v>24.142257041737743</v>
      </c>
      <c r="EH130" s="15" t="s">
        <v>1813</v>
      </c>
      <c r="EI130">
        <v>0</v>
      </c>
      <c r="EJ130">
        <v>0</v>
      </c>
      <c r="EK130">
        <v>45470</v>
      </c>
      <c r="EL130">
        <v>-2.44</v>
      </c>
      <c r="EM130">
        <v>0</v>
      </c>
      <c r="EN130" s="16">
        <v>5.28</v>
      </c>
      <c r="EO130" s="16">
        <v>-2.09</v>
      </c>
      <c r="EP130" s="16">
        <v>-2.19</v>
      </c>
    </row>
    <row r="131" spans="1:146" ht="108" x14ac:dyDescent="0.25">
      <c r="A131" s="8"/>
      <c r="B131" s="8"/>
      <c r="C131" s="8" t="str">
        <f>""&amp;CHAR(10)&amp;Basic_Fundamental_Information_Constructure(F131)&amp;CHAR(10)&amp;Basic_Fundamental_Information_Concatenate("")</f>
        <v xml:space="preserve">
市值23.485046亿, 利润9.11亿; PE30.49; 平均PE9.7; 平均PEG.19, PB1.66; ROIC8.0133%; ROE8.2733%; 股利率1.8797%; 毛利29.24%; 净利9.8933%; 上一年度营收增208.85%, 利润增842.33%; 当季营收增-67.18%, 利润增-87.89%; 过往5年营收增50.55%, 利润增172.69%
Income profile:
</v>
      </c>
      <c r="D131" t="s">
        <v>711</v>
      </c>
      <c r="E131" t="s">
        <v>53</v>
      </c>
      <c r="F131">
        <v>7.98</v>
      </c>
      <c r="G131">
        <v>0.5</v>
      </c>
      <c r="H131" t="s">
        <v>4892</v>
      </c>
      <c r="I131">
        <v>2348504600</v>
      </c>
      <c r="J131">
        <v>30.49</v>
      </c>
      <c r="K131">
        <v>1.66</v>
      </c>
      <c r="L131" t="s">
        <v>101</v>
      </c>
      <c r="M131" t="s">
        <v>4893</v>
      </c>
      <c r="N131" t="s">
        <v>4894</v>
      </c>
      <c r="O131" t="s">
        <v>269</v>
      </c>
      <c r="P131">
        <v>-11.61</v>
      </c>
      <c r="Q131" t="s">
        <v>765</v>
      </c>
      <c r="R131">
        <v>24955120</v>
      </c>
      <c r="S131" s="6">
        <v>-0.26079999999999998</v>
      </c>
      <c r="T131" t="s">
        <v>309</v>
      </c>
      <c r="U131">
        <v>293221200</v>
      </c>
      <c r="V131">
        <v>294298820</v>
      </c>
      <c r="W131">
        <v>1.68</v>
      </c>
      <c r="X131">
        <v>0.11</v>
      </c>
      <c r="Y131">
        <v>9.74</v>
      </c>
      <c r="Z131" t="s">
        <v>405</v>
      </c>
      <c r="AA131" t="s">
        <v>658</v>
      </c>
      <c r="AB131" t="s">
        <v>4895</v>
      </c>
      <c r="AC131" t="s">
        <v>4896</v>
      </c>
      <c r="AD131" t="s">
        <v>5</v>
      </c>
      <c r="AE131">
        <v>-250321</v>
      </c>
      <c r="AF131" t="s">
        <v>4897</v>
      </c>
      <c r="AG131">
        <v>2000</v>
      </c>
      <c r="AH131" t="s">
        <v>4898</v>
      </c>
      <c r="AI131" t="s">
        <v>137</v>
      </c>
      <c r="AJ131" t="s">
        <v>4899</v>
      </c>
      <c r="AK131" t="s">
        <v>4900</v>
      </c>
      <c r="AL131" t="s">
        <v>4901</v>
      </c>
      <c r="AM131" t="s">
        <v>5</v>
      </c>
      <c r="AN131" t="s">
        <v>133</v>
      </c>
      <c r="AO131" t="s">
        <v>1033</v>
      </c>
      <c r="AP131" t="s">
        <v>386</v>
      </c>
      <c r="AQ131" t="s">
        <v>1683</v>
      </c>
      <c r="AR131" t="s">
        <v>5</v>
      </c>
      <c r="AS131" t="s">
        <v>694</v>
      </c>
      <c r="AT131" t="s">
        <v>5</v>
      </c>
      <c r="AU131" t="s">
        <v>4902</v>
      </c>
      <c r="AV131" t="s">
        <v>4903</v>
      </c>
      <c r="AW131" t="s">
        <v>4904</v>
      </c>
      <c r="AX131" t="s">
        <v>1264</v>
      </c>
      <c r="AY131" t="s">
        <v>987</v>
      </c>
      <c r="AZ131" t="s">
        <v>786</v>
      </c>
      <c r="BA131" t="s">
        <v>712</v>
      </c>
      <c r="BB131" t="s">
        <v>603</v>
      </c>
      <c r="BC131" t="s">
        <v>4905</v>
      </c>
      <c r="BD131" t="s">
        <v>220</v>
      </c>
      <c r="BE131" t="s">
        <v>1146</v>
      </c>
      <c r="BF131" t="s">
        <v>194</v>
      </c>
      <c r="BG131" t="s">
        <v>441</v>
      </c>
      <c r="BH131" t="s">
        <v>841</v>
      </c>
      <c r="BI131" t="s">
        <v>2221</v>
      </c>
      <c r="BJ131" t="s">
        <v>1264</v>
      </c>
      <c r="BK131" t="s">
        <v>4906</v>
      </c>
      <c r="BL131" t="s">
        <v>173</v>
      </c>
      <c r="BM131" t="s">
        <v>4905</v>
      </c>
      <c r="BN131">
        <v>5.52</v>
      </c>
      <c r="BO131">
        <v>7.19</v>
      </c>
      <c r="BP131">
        <v>11.33</v>
      </c>
      <c r="BQ131">
        <v>6.04</v>
      </c>
      <c r="BR131">
        <v>7.31</v>
      </c>
      <c r="BS131">
        <v>11.47</v>
      </c>
      <c r="BT131" t="s">
        <v>1726</v>
      </c>
      <c r="BU131" t="s">
        <v>1537</v>
      </c>
      <c r="BV131">
        <v>31.97</v>
      </c>
      <c r="BW131">
        <v>26.31</v>
      </c>
      <c r="BX131">
        <v>29.44</v>
      </c>
      <c r="BY131">
        <v>8.57</v>
      </c>
      <c r="BZ131">
        <v>8.15</v>
      </c>
      <c r="CA131">
        <v>12.96</v>
      </c>
      <c r="CB131">
        <v>-10.54</v>
      </c>
      <c r="CC131">
        <v>-9.52</v>
      </c>
      <c r="CD131" t="s">
        <v>4907</v>
      </c>
      <c r="CE131" t="s">
        <v>214</v>
      </c>
      <c r="CF131" s="10">
        <v>-0.67179487179487174</v>
      </c>
      <c r="CG131" s="11">
        <v>-0.87885864077669906</v>
      </c>
      <c r="CH131" s="10">
        <v>2.0885331630706787</v>
      </c>
      <c r="CI131" s="10">
        <v>8.0145716667175293E-2</v>
      </c>
      <c r="CJ131" s="10">
        <v>0.25773194432258606</v>
      </c>
      <c r="CK131" s="10">
        <v>8.5820898413658142E-2</v>
      </c>
      <c r="CL131" s="10">
        <v>1.5151515603065491E-2</v>
      </c>
      <c r="CM131" s="11">
        <v>8.4232673645019531</v>
      </c>
      <c r="CN131" s="11">
        <v>-0.31918591260910034</v>
      </c>
      <c r="CO131" s="11">
        <v>0.63792604207992554</v>
      </c>
      <c r="CP131" s="11">
        <v>-0.24613043665885925</v>
      </c>
      <c r="CQ131" s="11">
        <v>0.13861386477947235</v>
      </c>
      <c r="CR131">
        <v>9.7020881584906782</v>
      </c>
      <c r="CS131">
        <v>0.19193939431742135</v>
      </c>
      <c r="CT131">
        <v>1.8796992481203008</v>
      </c>
      <c r="CU131" s="10">
        <v>0.50547664761543276</v>
      </c>
      <c r="CV131" s="11">
        <v>1.7268981844186784</v>
      </c>
      <c r="CW131">
        <v>0.06</v>
      </c>
      <c r="CX131">
        <v>1.4479988893710416</v>
      </c>
      <c r="CY131">
        <v>1293857760.3562822</v>
      </c>
      <c r="CZ131">
        <v>0.50547664761543276</v>
      </c>
      <c r="DA131">
        <v>0.33883737286675697</v>
      </c>
      <c r="DB131">
        <v>5529214750.2770576</v>
      </c>
      <c r="DC131">
        <v>0.48020281523466107</v>
      </c>
      <c r="DD131">
        <v>0.1011951067026467</v>
      </c>
      <c r="DE131">
        <v>18513786496.664661</v>
      </c>
      <c r="DF131">
        <v>0.44481944990158084</v>
      </c>
      <c r="DG131">
        <v>3.2193999032001069E-2</v>
      </c>
      <c r="DH131">
        <v>58194218063.364006</v>
      </c>
      <c r="DI131">
        <v>0.40438131809234623</v>
      </c>
      <c r="DJ131">
        <v>3.3709429831690367E-3</v>
      </c>
      <c r="DK131">
        <v>555780566255.2948</v>
      </c>
      <c r="DL131">
        <v>0.35383365333080291</v>
      </c>
      <c r="DM131">
        <v>911000000</v>
      </c>
      <c r="DN131">
        <v>0.50547664761543276</v>
      </c>
      <c r="DO131">
        <v>1873504600</v>
      </c>
      <c r="DP131">
        <v>330256770</v>
      </c>
      <c r="DQ131">
        <v>4063</v>
      </c>
      <c r="DR131">
        <v>-1.1772715194103045</v>
      </c>
      <c r="DS131">
        <v>-2.6057568251953773</v>
      </c>
      <c r="DT131" s="12">
        <v>-6.6666666666666714E-3</v>
      </c>
      <c r="DU131">
        <v>-0.14000000000000001</v>
      </c>
      <c r="DV131">
        <v>-0.1466666666666667</v>
      </c>
      <c r="DW131">
        <v>-5.903225806451613</v>
      </c>
      <c r="DX131">
        <v>0.47026747967479737</v>
      </c>
      <c r="DY131">
        <v>-5.3524996590611069</v>
      </c>
      <c r="DZ131">
        <v>3191</v>
      </c>
      <c r="EA131">
        <v>-5.1323770735299927</v>
      </c>
      <c r="EB131">
        <v>5</v>
      </c>
      <c r="EC131">
        <v>0.16310938657518231</v>
      </c>
      <c r="ED131">
        <v>0.41794255240303035</v>
      </c>
      <c r="EE131" s="13">
        <v>9.0100000000000006E-3</v>
      </c>
      <c r="EF131">
        <v>1.3909999999999999E-2</v>
      </c>
      <c r="EG131">
        <v>8.3902674796747974</v>
      </c>
      <c r="EH131">
        <v>-1</v>
      </c>
      <c r="EI131">
        <v>0</v>
      </c>
      <c r="EJ131">
        <v>0</v>
      </c>
      <c r="EK131" s="15">
        <v>45470</v>
      </c>
      <c r="EL131" s="16">
        <v>0.86</v>
      </c>
      <c r="EM131" s="16">
        <v>-4.37</v>
      </c>
      <c r="EN131" s="16">
        <v>1.65</v>
      </c>
      <c r="EO131" s="16">
        <v>2.88</v>
      </c>
      <c r="EP131" s="16">
        <v>-0.49</v>
      </c>
    </row>
    <row r="132" spans="1:146" ht="108" x14ac:dyDescent="0.25">
      <c r="A132" s="8"/>
      <c r="B132" s="8"/>
      <c r="C132" s="8" t="str">
        <f>""&amp;CHAR(10)&amp;Basic_Fundamental_Information_Constructure(F132)&amp;CHAR(10)&amp;Basic_Fundamental_Information_Concatenate("")</f>
        <v xml:space="preserve">
市值20.3234亿, 利润1878.81万; PE13.94; 平均PE48.75; 平均PEG1.35, PB1.66; ROIC3.42%; ROE4.5067%; 股利率2.2659%; 毛利24.12%; 净利5.7633%; 上一年度营收增140.65%, 利润增-59.69%; 当季营收增-43.8%, 利润增467.52%; 过往5年营收增36.18%, 利润增-11.92%
Income profile:
</v>
      </c>
      <c r="D132" t="s">
        <v>778</v>
      </c>
      <c r="E132" t="s">
        <v>1502</v>
      </c>
      <c r="F132">
        <v>6.62</v>
      </c>
      <c r="G132">
        <v>0.91</v>
      </c>
      <c r="H132" t="s">
        <v>4908</v>
      </c>
      <c r="I132">
        <v>2032340000</v>
      </c>
      <c r="J132">
        <v>13.94</v>
      </c>
      <c r="K132">
        <v>1.66</v>
      </c>
      <c r="L132" t="s">
        <v>101</v>
      </c>
      <c r="M132" t="s">
        <v>2111</v>
      </c>
      <c r="N132" t="s">
        <v>1512</v>
      </c>
      <c r="O132" t="s">
        <v>325</v>
      </c>
      <c r="P132">
        <v>1.43</v>
      </c>
      <c r="Q132" t="s">
        <v>4909</v>
      </c>
      <c r="R132">
        <v>73310046</v>
      </c>
      <c r="S132" s="6">
        <v>6.8250000000000002</v>
      </c>
      <c r="T132" t="s">
        <v>4910</v>
      </c>
      <c r="U132">
        <v>307000000</v>
      </c>
      <c r="V132">
        <v>307000000</v>
      </c>
      <c r="W132">
        <v>1.62</v>
      </c>
      <c r="X132">
        <v>7.0000000000000007E-2</v>
      </c>
      <c r="Y132">
        <v>50.57</v>
      </c>
      <c r="Z132" t="s">
        <v>146</v>
      </c>
      <c r="AA132" t="s">
        <v>197</v>
      </c>
      <c r="AB132" t="s">
        <v>4911</v>
      </c>
      <c r="AC132" t="s">
        <v>4912</v>
      </c>
      <c r="AD132" t="s">
        <v>5</v>
      </c>
      <c r="AE132">
        <v>-5651518</v>
      </c>
      <c r="AF132" t="s">
        <v>127</v>
      </c>
      <c r="AG132" t="s">
        <v>4913</v>
      </c>
      <c r="AH132" t="s">
        <v>4914</v>
      </c>
      <c r="AI132" t="s">
        <v>1403</v>
      </c>
      <c r="AJ132" t="s">
        <v>4915</v>
      </c>
      <c r="AK132" t="s">
        <v>4916</v>
      </c>
      <c r="AL132" t="s">
        <v>4917</v>
      </c>
      <c r="AM132" t="s">
        <v>5</v>
      </c>
      <c r="AN132" t="s">
        <v>4918</v>
      </c>
      <c r="AO132" t="s">
        <v>4919</v>
      </c>
      <c r="AP132" t="s">
        <v>164</v>
      </c>
      <c r="AQ132" t="s">
        <v>752</v>
      </c>
      <c r="AR132" t="s">
        <v>4920</v>
      </c>
      <c r="AS132" t="s">
        <v>1161</v>
      </c>
      <c r="AT132" t="s">
        <v>5</v>
      </c>
      <c r="AU132" t="s">
        <v>4921</v>
      </c>
      <c r="AV132" t="s">
        <v>4922</v>
      </c>
      <c r="AW132" t="s">
        <v>4923</v>
      </c>
      <c r="AX132" t="s">
        <v>1624</v>
      </c>
      <c r="AY132" t="s">
        <v>1415</v>
      </c>
      <c r="AZ132" t="s">
        <v>862</v>
      </c>
      <c r="BA132" t="s">
        <v>779</v>
      </c>
      <c r="BB132" t="s">
        <v>624</v>
      </c>
      <c r="BC132" t="s">
        <v>2056</v>
      </c>
      <c r="BD132" t="s">
        <v>1503</v>
      </c>
      <c r="BE132" t="s">
        <v>1149</v>
      </c>
      <c r="BF132" t="s">
        <v>780</v>
      </c>
      <c r="BG132" t="s">
        <v>1150</v>
      </c>
      <c r="BH132" t="s">
        <v>2260</v>
      </c>
      <c r="BI132" t="s">
        <v>1377</v>
      </c>
      <c r="BJ132" t="s">
        <v>1624</v>
      </c>
      <c r="BK132" t="s">
        <v>4924</v>
      </c>
      <c r="BL132" t="s">
        <v>4925</v>
      </c>
      <c r="BM132" t="s">
        <v>2056</v>
      </c>
      <c r="BN132">
        <v>3.66</v>
      </c>
      <c r="BO132">
        <v>3.02</v>
      </c>
      <c r="BP132">
        <v>3.58</v>
      </c>
      <c r="BQ132">
        <v>5.42</v>
      </c>
      <c r="BR132">
        <v>4.1399999999999997</v>
      </c>
      <c r="BS132">
        <v>3.96</v>
      </c>
      <c r="BT132" t="s">
        <v>1726</v>
      </c>
      <c r="BU132" t="s">
        <v>1595</v>
      </c>
      <c r="BV132">
        <v>27.25</v>
      </c>
      <c r="BW132">
        <v>21.57</v>
      </c>
      <c r="BX132">
        <v>23.54</v>
      </c>
      <c r="BY132">
        <v>8.64</v>
      </c>
      <c r="BZ132">
        <v>4.51</v>
      </c>
      <c r="CA132">
        <v>4.1399999999999997</v>
      </c>
      <c r="CB132">
        <v>-3.07</v>
      </c>
      <c r="CC132">
        <v>-10.050000000000001</v>
      </c>
      <c r="CD132" t="s">
        <v>4926</v>
      </c>
      <c r="CE132" t="s">
        <v>4927</v>
      </c>
      <c r="CF132" s="10">
        <v>-0.43798449612403101</v>
      </c>
      <c r="CG132" s="11">
        <v>4.6752232655373467</v>
      </c>
      <c r="CH132" s="10">
        <v>1.4064960479736328</v>
      </c>
      <c r="CI132" s="10">
        <v>-4.1509434580802917E-2</v>
      </c>
      <c r="CJ132" s="10">
        <v>0.46005508303642273</v>
      </c>
      <c r="CK132" s="10">
        <v>-1.4925372786819935E-2</v>
      </c>
      <c r="CL132" s="10">
        <v>-1.3550135772675276E-3</v>
      </c>
      <c r="CM132" s="11">
        <v>-0.59691447019577026</v>
      </c>
      <c r="CN132" s="11">
        <v>6.1515022069215775E-2</v>
      </c>
      <c r="CO132" s="11">
        <v>-0.14048188924789429</v>
      </c>
      <c r="CP132" s="11">
        <v>0.2903774082660675</v>
      </c>
      <c r="CQ132" s="11">
        <v>-0.21043835580348969</v>
      </c>
      <c r="CR132">
        <v>48.751413782364075</v>
      </c>
      <c r="CS132">
        <v>1.3476464116928641</v>
      </c>
      <c r="CT132">
        <v>2.2658610271903323</v>
      </c>
      <c r="CU132" s="10">
        <v>0.36175226201303301</v>
      </c>
      <c r="CV132" s="11">
        <v>-0.11918845698237419</v>
      </c>
      <c r="CW132">
        <v>0.06</v>
      </c>
      <c r="CX132">
        <v>70.653857117407668</v>
      </c>
      <c r="CY132">
        <v>24136544.975402892</v>
      </c>
      <c r="CZ132">
        <v>0.36175226201303301</v>
      </c>
      <c r="DA132">
        <v>18.481376156499799</v>
      </c>
      <c r="DB132">
        <v>92273431.673011065</v>
      </c>
      <c r="DC132">
        <v>0.34366464891238135</v>
      </c>
      <c r="DD132">
        <v>6.5849267011702759</v>
      </c>
      <c r="DE132">
        <v>258976307.16176784</v>
      </c>
      <c r="DF132">
        <v>0.31834199057146906</v>
      </c>
      <c r="DG132">
        <v>2.650405486844631</v>
      </c>
      <c r="DH132">
        <v>643426075.16642547</v>
      </c>
      <c r="DI132">
        <v>0.28940180961042644</v>
      </c>
      <c r="DJ132">
        <v>0.50935005821411905</v>
      </c>
      <c r="DK132">
        <v>3348070688.3184733</v>
      </c>
      <c r="DL132">
        <v>0.25322658340912307</v>
      </c>
      <c r="DM132">
        <v>18788100</v>
      </c>
      <c r="DN132">
        <v>0.36175226201303301</v>
      </c>
      <c r="DO132">
        <v>1705340000</v>
      </c>
      <c r="DP132">
        <v>562576780</v>
      </c>
      <c r="DQ132">
        <v>4087</v>
      </c>
      <c r="DR132">
        <v>-0.79973675813706402</v>
      </c>
      <c r="DS132">
        <v>4.7944117225197207</v>
      </c>
      <c r="DT132" s="12">
        <v>2.6666666666666616E-2</v>
      </c>
      <c r="DU132">
        <v>0.44999999999999996</v>
      </c>
      <c r="DV132">
        <v>0.47666666666666657</v>
      </c>
      <c r="DW132">
        <v>-8.3054726368159209</v>
      </c>
      <c r="DX132">
        <v>0.3163906410083655</v>
      </c>
      <c r="DY132">
        <v>-8.0355541560095212</v>
      </c>
      <c r="DZ132">
        <v>530</v>
      </c>
      <c r="EA132">
        <v>-8.0318665429596106</v>
      </c>
      <c r="EB132">
        <v>8</v>
      </c>
      <c r="EC132">
        <v>3.545016286644951E-2</v>
      </c>
      <c r="ED132">
        <v>0.30457915309446254</v>
      </c>
      <c r="EE132" s="13">
        <v>6.2509999999999996E-2</v>
      </c>
      <c r="EF132">
        <v>7.571E-2</v>
      </c>
      <c r="EG132">
        <v>20.116390641008365</v>
      </c>
      <c r="EH132">
        <v>-1</v>
      </c>
      <c r="EI132">
        <v>0</v>
      </c>
      <c r="EJ132">
        <v>1</v>
      </c>
      <c r="EK132" s="15">
        <v>45470</v>
      </c>
      <c r="EL132" s="16">
        <v>-1.56</v>
      </c>
      <c r="EM132" s="16">
        <v>-3.03</v>
      </c>
      <c r="EN132" s="16">
        <v>1.93</v>
      </c>
      <c r="EO132" s="16">
        <v>1.79</v>
      </c>
      <c r="EP132" s="16">
        <v>-1.32</v>
      </c>
    </row>
    <row r="133" spans="1:146" ht="96" x14ac:dyDescent="0.25">
      <c r="C133" s="8" t="str">
        <f>""&amp;CHAR(10)&amp;Basic_Fundamental_Information_Constructure(F133)&amp;CHAR(10)&amp;Basic_Fundamental_Information_Concatenate("")</f>
        <v xml:space="preserve">
市值43.062153亿, 利润1.57亿; PE21.35; 平均PE31.2; 平均PEG.65, PB1.89; ROIC28.26%; ROE31.39%; 股利率2.0127%; 毛利32.4333%; 净利23.6367%; 上一年度营收增64.36%, 利润增-33.76%; 当季营收增-46.42%, 利润增323.98%; 过往5年营收增47.86%, 利润增87.45%
Income profile:
</v>
      </c>
      <c r="D133" s="6" t="s">
        <v>2228</v>
      </c>
      <c r="E133" t="s">
        <v>2229</v>
      </c>
      <c r="F133">
        <v>64.59</v>
      </c>
      <c r="G133">
        <v>1.1599999999999999</v>
      </c>
      <c r="H133" t="s">
        <v>4928</v>
      </c>
      <c r="I133">
        <v>4306215300</v>
      </c>
      <c r="J133">
        <v>21.35</v>
      </c>
      <c r="K133">
        <v>1.89</v>
      </c>
      <c r="L133" t="s">
        <v>101</v>
      </c>
      <c r="M133" t="s">
        <v>4929</v>
      </c>
      <c r="N133" t="s">
        <v>1879</v>
      </c>
      <c r="O133" t="s">
        <v>220</v>
      </c>
      <c r="P133" s="6">
        <v>-67.06</v>
      </c>
      <c r="Q133" t="s">
        <v>4930</v>
      </c>
      <c r="R133">
        <v>28175213</v>
      </c>
      <c r="S133">
        <v>-0.75270000000000004</v>
      </c>
      <c r="T133" t="s">
        <v>324</v>
      </c>
      <c r="U133">
        <v>16334632</v>
      </c>
      <c r="V133">
        <v>66670000</v>
      </c>
      <c r="W133">
        <v>2.0699999999999998</v>
      </c>
      <c r="X133">
        <v>0.03</v>
      </c>
      <c r="Y133">
        <v>19.829999999999998</v>
      </c>
      <c r="Z133" t="s">
        <v>260</v>
      </c>
      <c r="AA133" t="s">
        <v>353</v>
      </c>
      <c r="AB133" t="s">
        <v>4931</v>
      </c>
      <c r="AC133" t="s">
        <v>4932</v>
      </c>
      <c r="AD133" t="s">
        <v>5</v>
      </c>
      <c r="AE133">
        <v>-9406121</v>
      </c>
      <c r="AF133" t="s">
        <v>4933</v>
      </c>
      <c r="AG133" t="s">
        <v>5</v>
      </c>
      <c r="AH133" t="s">
        <v>4934</v>
      </c>
      <c r="AI133" t="s">
        <v>4935</v>
      </c>
      <c r="AJ133" t="s">
        <v>4936</v>
      </c>
      <c r="AK133" t="s">
        <v>4937</v>
      </c>
      <c r="AL133" t="s">
        <v>4938</v>
      </c>
      <c r="AM133" t="s">
        <v>5</v>
      </c>
      <c r="AN133" t="s">
        <v>4939</v>
      </c>
      <c r="AO133" t="s">
        <v>5</v>
      </c>
      <c r="AP133" t="s">
        <v>508</v>
      </c>
      <c r="AQ133" t="s">
        <v>121</v>
      </c>
      <c r="AR133" t="s">
        <v>5</v>
      </c>
      <c r="AS133" t="s">
        <v>4940</v>
      </c>
      <c r="AT133" t="s">
        <v>5</v>
      </c>
      <c r="AU133" t="s">
        <v>441</v>
      </c>
      <c r="AV133" t="s">
        <v>4941</v>
      </c>
      <c r="AW133" t="s">
        <v>2241</v>
      </c>
      <c r="AX133" t="s">
        <v>2231</v>
      </c>
      <c r="AY133" t="s">
        <v>2233</v>
      </c>
      <c r="AZ133" t="s">
        <v>619</v>
      </c>
      <c r="BA133" t="s">
        <v>321</v>
      </c>
      <c r="BB133" t="s">
        <v>293</v>
      </c>
      <c r="BC133" t="s">
        <v>613</v>
      </c>
      <c r="BD133" t="s">
        <v>472</v>
      </c>
      <c r="BE133" t="s">
        <v>273</v>
      </c>
      <c r="BF133" t="s">
        <v>2234</v>
      </c>
      <c r="BG133" t="s">
        <v>2235</v>
      </c>
      <c r="BH133" t="s">
        <v>969</v>
      </c>
      <c r="BI133" t="s">
        <v>246</v>
      </c>
      <c r="BJ133" t="s">
        <v>2231</v>
      </c>
      <c r="BK133" t="s">
        <v>1929</v>
      </c>
      <c r="BL133" t="s">
        <v>4942</v>
      </c>
      <c r="BM133" t="s">
        <v>613</v>
      </c>
      <c r="BN133">
        <v>16.489999999999998</v>
      </c>
      <c r="BO133">
        <v>27.85</v>
      </c>
      <c r="BP133">
        <v>40.44</v>
      </c>
      <c r="BQ133" t="s">
        <v>5</v>
      </c>
      <c r="BR133">
        <v>31.39</v>
      </c>
      <c r="BS133" t="s">
        <v>5</v>
      </c>
      <c r="BT133" t="s">
        <v>4943</v>
      </c>
      <c r="BU133" t="s">
        <v>1536</v>
      </c>
      <c r="BV133">
        <v>32.15</v>
      </c>
      <c r="BW133">
        <v>32.090000000000003</v>
      </c>
      <c r="BX133">
        <v>33.06</v>
      </c>
      <c r="BY133">
        <v>23.5</v>
      </c>
      <c r="BZ133">
        <v>22.73</v>
      </c>
      <c r="CA133">
        <v>24.68</v>
      </c>
      <c r="CB133">
        <v>-4.28</v>
      </c>
      <c r="CC133" s="10">
        <v>-18.84</v>
      </c>
      <c r="CD133" s="11" t="s">
        <v>4944</v>
      </c>
      <c r="CE133" s="10" t="s">
        <v>4945</v>
      </c>
      <c r="CF133" s="10">
        <v>-0.46415094339622642</v>
      </c>
      <c r="CG133" s="10">
        <v>3.2398069341198421</v>
      </c>
      <c r="CH133" s="10">
        <v>0.64361196756362915</v>
      </c>
      <c r="CI133" s="10">
        <v>6.4417175948619843E-2</v>
      </c>
      <c r="CJ133" s="11">
        <v>1.0764330625534058</v>
      </c>
      <c r="CK133" s="11">
        <v>0.28337875008583069</v>
      </c>
      <c r="CL133" s="11">
        <v>0.3249097466468811</v>
      </c>
      <c r="CM133" s="11">
        <v>-0.3375527560710907</v>
      </c>
      <c r="CN133" s="11">
        <v>-1.6597511246800423E-2</v>
      </c>
      <c r="CO133">
        <v>1.0598291158676147</v>
      </c>
      <c r="CP133">
        <v>4.2541294097900391</v>
      </c>
      <c r="CQ133">
        <v>-0.58748918771743774</v>
      </c>
      <c r="CR133" s="10">
        <v>31.195028604275787</v>
      </c>
      <c r="CS133" s="11">
        <v>0.65186541514317853</v>
      </c>
      <c r="CT133">
        <v>2.0126954636940702</v>
      </c>
      <c r="CU133">
        <v>0.47855014055967332</v>
      </c>
      <c r="CV133">
        <v>0.87446381412446494</v>
      </c>
      <c r="CW133">
        <v>0.06</v>
      </c>
      <c r="CX133">
        <v>19.864649539926351</v>
      </c>
      <c r="CY133">
        <v>218992803.83761197</v>
      </c>
      <c r="CZ133">
        <v>0.47855014055967332</v>
      </c>
      <c r="DA133">
        <v>4.7448318330045174</v>
      </c>
      <c r="DB133">
        <v>916832345.82528114</v>
      </c>
      <c r="DC133">
        <v>0.45462263353168963</v>
      </c>
      <c r="DD133">
        <v>1.4647225328189573</v>
      </c>
      <c r="DE133">
        <v>2969992747.7921143</v>
      </c>
      <c r="DF133">
        <v>0.42112412369251251</v>
      </c>
      <c r="DG133">
        <v>0.48719270447929391</v>
      </c>
      <c r="DH133">
        <v>8929147050.0352859</v>
      </c>
      <c r="DI133">
        <v>0.38284011244773869</v>
      </c>
      <c r="DJ133">
        <v>5.7195686027894842E-2</v>
      </c>
      <c r="DK133">
        <v>76058451294.357437</v>
      </c>
      <c r="DL133">
        <v>0.33498509839177132</v>
      </c>
      <c r="DM133">
        <v>157000000</v>
      </c>
      <c r="DN133">
        <v>0.47855014055967332</v>
      </c>
      <c r="DO133">
        <v>4350215300</v>
      </c>
      <c r="DP133">
        <v>1384381700</v>
      </c>
      <c r="DQ133" s="12">
        <v>4091</v>
      </c>
      <c r="DR133">
        <v>-0.9427010839558998</v>
      </c>
      <c r="DS133">
        <v>2.3653431199953774</v>
      </c>
      <c r="DT133">
        <v>0.37666666666666671</v>
      </c>
      <c r="DU133">
        <v>0.9</v>
      </c>
      <c r="DV133">
        <v>1.2766666666666668</v>
      </c>
      <c r="DW133">
        <v>-8.2271762208067933</v>
      </c>
      <c r="DX133">
        <v>0.42192781732577073</v>
      </c>
      <c r="DY133">
        <v>-8.0299708629593578</v>
      </c>
      <c r="DZ133">
        <v>583</v>
      </c>
      <c r="EA133">
        <v>-8.0265514866178105</v>
      </c>
      <c r="EB133" s="13">
        <v>8</v>
      </c>
      <c r="EC133" s="13">
        <v>2.462876856157192E-2</v>
      </c>
      <c r="ED133">
        <v>0.18668366581670914</v>
      </c>
      <c r="EE133">
        <v>3.0524100000000001</v>
      </c>
      <c r="EF133">
        <v>3.07301</v>
      </c>
      <c r="EG133">
        <v>29.131927817325771</v>
      </c>
      <c r="EH133" s="15" t="s">
        <v>1848</v>
      </c>
      <c r="EI133">
        <v>0</v>
      </c>
      <c r="EJ133">
        <v>1</v>
      </c>
      <c r="EK133">
        <v>45470</v>
      </c>
      <c r="EL133">
        <v>0.18</v>
      </c>
      <c r="EM133">
        <v>-5.03</v>
      </c>
      <c r="EN133" s="16">
        <v>0.41</v>
      </c>
      <c r="EO133" s="16">
        <v>1.18</v>
      </c>
      <c r="EP133" s="16">
        <v>-2.06</v>
      </c>
    </row>
    <row r="134" spans="1:146" ht="204" x14ac:dyDescent="0.25">
      <c r="A134" s="8" t="s">
        <v>1335</v>
      </c>
      <c r="B134" s="8"/>
      <c r="C134" s="8" t="str">
        <f>"公司的主营业务为工业缝制机械的研发、生产和销售，包括工业缝纫机、裁床、铺布机等工业用缝中、缝前设备以及电机、电控等工业缝制机械重要零部件。"&amp;CHAR(10)&amp;Basic_Fundamental_Information_Constructure(F134)&amp;CHAR(10)&amp;Basic_Fundamental_Information_Concatenate("工业缝纫机 30.35亿 90.11% 利润占比83.93% 20.92%
裁床及铺布机 2.82亿 8.37% 利润占比13.79% 37.00%
衬衫及牛仔自动缝制设备 4912.63万 1.46% 利润占比2.11% 32.43%
其他业务 192.95万 0.06% 利润占比0.18% 68.77%")</f>
        <v>公司的主营业务为工业缝制机械的研发、生产和销售，包括工业缝纫机、裁床、铺布机等工业用缝中、缝前设备以及电机、电控等工业缝制机械重要零部件。
市值125.125436亿, 利润18.67亿; PE20.37; 平均PE19.27; 平均PEG1.55, PB2.88; ROIC8.6967%; ROE12.7067%; 股利率1.9357%; 毛利26.63%; 净利9.06%; 上一年度营收增14.72%, 利润增277.94%; 当季营收增25.12%, 利润增-41.09%; 过往5年营收增12.41%, 利润增60.59%
Income profile:
工业缝纫机 30.35亿 90.11% 利润占比83.93% 20.92%
裁床及铺布机 2.82亿 8.37% 利润占比13.79% 37.00%
衬衫及牛仔自动缝制设备 4912.63万 1.46% 利润占比2.11% 32.43%
其他业务 192.95万 0.06% 利润占比0.18% 68.77%</v>
      </c>
      <c r="D134" t="s">
        <v>714</v>
      </c>
      <c r="E134" t="s">
        <v>61</v>
      </c>
      <c r="F134">
        <v>25.83</v>
      </c>
      <c r="G134">
        <v>0.74</v>
      </c>
      <c r="H134" t="s">
        <v>4946</v>
      </c>
      <c r="I134">
        <v>12512543600</v>
      </c>
      <c r="J134">
        <v>20.37</v>
      </c>
      <c r="K134">
        <v>2.88</v>
      </c>
      <c r="L134" t="s">
        <v>101</v>
      </c>
      <c r="M134" t="s">
        <v>4947</v>
      </c>
      <c r="N134" t="s">
        <v>4948</v>
      </c>
      <c r="O134" t="s">
        <v>4949</v>
      </c>
      <c r="P134">
        <v>12.56</v>
      </c>
      <c r="Q134" t="s">
        <v>4950</v>
      </c>
      <c r="R134">
        <v>187916130</v>
      </c>
      <c r="S134" s="6">
        <v>0.67559999999999998</v>
      </c>
      <c r="T134" t="s">
        <v>4951</v>
      </c>
      <c r="U134">
        <v>473547390</v>
      </c>
      <c r="V134">
        <v>484419030</v>
      </c>
      <c r="W134">
        <v>1.93</v>
      </c>
      <c r="X134">
        <v>0.19</v>
      </c>
      <c r="Y134">
        <v>11.86</v>
      </c>
      <c r="Z134" t="s">
        <v>4952</v>
      </c>
      <c r="AA134" t="s">
        <v>1153</v>
      </c>
      <c r="AB134" t="s">
        <v>4953</v>
      </c>
      <c r="AC134" t="s">
        <v>4954</v>
      </c>
      <c r="AD134" t="s">
        <v>5</v>
      </c>
      <c r="AE134">
        <v>2362124</v>
      </c>
      <c r="AF134" t="s">
        <v>4955</v>
      </c>
      <c r="AG134" t="s">
        <v>4956</v>
      </c>
      <c r="AH134" t="s">
        <v>4957</v>
      </c>
      <c r="AI134" t="s">
        <v>4958</v>
      </c>
      <c r="AJ134" t="s">
        <v>4959</v>
      </c>
      <c r="AK134" t="s">
        <v>128</v>
      </c>
      <c r="AL134" t="s">
        <v>4960</v>
      </c>
      <c r="AM134" t="s">
        <v>5</v>
      </c>
      <c r="AN134" t="s">
        <v>2240</v>
      </c>
      <c r="AO134" t="s">
        <v>2213</v>
      </c>
      <c r="AP134" t="s">
        <v>4961</v>
      </c>
      <c r="AQ134" t="s">
        <v>4962</v>
      </c>
      <c r="AR134" t="s">
        <v>5</v>
      </c>
      <c r="AS134" t="s">
        <v>4963</v>
      </c>
      <c r="AT134" t="s">
        <v>4964</v>
      </c>
      <c r="AU134" t="s">
        <v>758</v>
      </c>
      <c r="AV134" t="s">
        <v>4965</v>
      </c>
      <c r="AW134" t="s">
        <v>4966</v>
      </c>
      <c r="AX134" t="s">
        <v>2057</v>
      </c>
      <c r="AY134" t="s">
        <v>1504</v>
      </c>
      <c r="AZ134" t="s">
        <v>1083</v>
      </c>
      <c r="BA134" t="s">
        <v>716</v>
      </c>
      <c r="BB134" t="s">
        <v>1151</v>
      </c>
      <c r="BC134" t="s">
        <v>1562</v>
      </c>
      <c r="BD134" t="s">
        <v>651</v>
      </c>
      <c r="BE134" t="s">
        <v>719</v>
      </c>
      <c r="BF134" t="s">
        <v>319</v>
      </c>
      <c r="BG134" t="s">
        <v>1008</v>
      </c>
      <c r="BH134" t="s">
        <v>903</v>
      </c>
      <c r="BI134" t="s">
        <v>2058</v>
      </c>
      <c r="BJ134" t="s">
        <v>2057</v>
      </c>
      <c r="BK134" t="s">
        <v>215</v>
      </c>
      <c r="BL134" t="s">
        <v>156</v>
      </c>
      <c r="BM134" t="s">
        <v>1562</v>
      </c>
      <c r="BN134">
        <v>5.75</v>
      </c>
      <c r="BO134">
        <v>8.92</v>
      </c>
      <c r="BP134">
        <v>11.42</v>
      </c>
      <c r="BQ134">
        <v>9.44</v>
      </c>
      <c r="BR134">
        <v>13.54</v>
      </c>
      <c r="BS134">
        <v>15.14</v>
      </c>
      <c r="BT134" t="s">
        <v>4967</v>
      </c>
      <c r="BU134" t="s">
        <v>1589</v>
      </c>
      <c r="BV134">
        <v>28.42</v>
      </c>
      <c r="BW134">
        <v>26.74</v>
      </c>
      <c r="BX134">
        <v>24.73</v>
      </c>
      <c r="BY134">
        <v>10.199999999999999</v>
      </c>
      <c r="BZ134">
        <v>9.11</v>
      </c>
      <c r="CA134">
        <v>7.87</v>
      </c>
      <c r="CB134">
        <v>-1.86</v>
      </c>
      <c r="CC134">
        <v>-9.0500000000000007</v>
      </c>
      <c r="CD134" t="s">
        <v>4968</v>
      </c>
      <c r="CE134" t="s">
        <v>4969</v>
      </c>
      <c r="CF134" s="10">
        <v>0.25115207373271892</v>
      </c>
      <c r="CG134" s="11">
        <v>-0.41092122257053293</v>
      </c>
      <c r="CH134" s="10">
        <v>0.14721916615962982</v>
      </c>
      <c r="CI134" s="10">
        <v>-9.1179385781288147E-2</v>
      </c>
      <c r="CJ134" s="10">
        <v>0.71939796209335327</v>
      </c>
      <c r="CK134" s="10">
        <v>-2.411310002207756E-2</v>
      </c>
      <c r="CL134" s="10">
        <v>-0.13102120161056519</v>
      </c>
      <c r="CM134" s="11">
        <v>2.7793524265289307</v>
      </c>
      <c r="CN134" s="11">
        <v>6.0085836797952652E-2</v>
      </c>
      <c r="CO134" s="11">
        <v>0.48407644033432007</v>
      </c>
      <c r="CP134" s="11">
        <v>4.3189369142055511E-2</v>
      </c>
      <c r="CQ134" s="11">
        <v>-0.3370043933391571</v>
      </c>
      <c r="CR134">
        <v>19.269831006160164</v>
      </c>
      <c r="CS134">
        <v>1.5532584326869818</v>
      </c>
      <c r="CT134">
        <v>1.9357336430507164</v>
      </c>
      <c r="CU134" s="10">
        <v>0.12406068816781043</v>
      </c>
      <c r="CV134" s="11">
        <v>0.60593993589282036</v>
      </c>
      <c r="CW134">
        <v>0.06</v>
      </c>
      <c r="CX134">
        <v>6.1240282782547268</v>
      </c>
      <c r="CY134">
        <v>1979831419.6314173</v>
      </c>
      <c r="CZ134">
        <v>0.12406068816781043</v>
      </c>
      <c r="DA134">
        <v>1.9445977086513417</v>
      </c>
      <c r="DB134">
        <v>6234988114.0242977</v>
      </c>
      <c r="DC134">
        <v>0.11785765375941991</v>
      </c>
      <c r="DD134">
        <v>0.92074799860285639</v>
      </c>
      <c r="DE134">
        <v>13168145484.321215</v>
      </c>
      <c r="DF134">
        <v>0.10917340558767319</v>
      </c>
      <c r="DG134">
        <v>0.52882305274696895</v>
      </c>
      <c r="DH134">
        <v>22927411233.339985</v>
      </c>
      <c r="DI134">
        <v>9.9248550534248359E-2</v>
      </c>
      <c r="DJ134">
        <v>0.24714243049496917</v>
      </c>
      <c r="DK134">
        <v>49058931627.876854</v>
      </c>
      <c r="DL134">
        <v>8.6842481717467293E-2</v>
      </c>
      <c r="DM134">
        <v>1867000000.0000002</v>
      </c>
      <c r="DN134">
        <v>0.12406068816781043</v>
      </c>
      <c r="DO134">
        <v>12124543600</v>
      </c>
      <c r="DP134">
        <v>120600600</v>
      </c>
      <c r="DQ134">
        <v>4102</v>
      </c>
      <c r="DR134">
        <v>0.12709138556490848</v>
      </c>
      <c r="DS134">
        <v>-1.0168611584633533</v>
      </c>
      <c r="DT134" s="12">
        <v>-0.17333333333333334</v>
      </c>
      <c r="DU134">
        <v>0.11333333333333333</v>
      </c>
      <c r="DV134">
        <v>-6.0000000000000012E-2</v>
      </c>
      <c r="DW134">
        <v>-2.0905</v>
      </c>
      <c r="DX134">
        <v>0.30807880070998028</v>
      </c>
      <c r="DY134">
        <v>-2.0124961314642529</v>
      </c>
      <c r="DZ134">
        <v>1515</v>
      </c>
      <c r="EA134">
        <v>-2.0087913097091956</v>
      </c>
      <c r="EB134">
        <v>2</v>
      </c>
      <c r="EC134">
        <v>2.1537139034360397E-2</v>
      </c>
      <c r="ED134">
        <v>0.15597715060863732</v>
      </c>
      <c r="EE134" s="13">
        <v>4.7010000000000003E-2</v>
      </c>
      <c r="EF134">
        <v>7.0709999999999995E-2</v>
      </c>
      <c r="EG134">
        <v>17.13807880070998</v>
      </c>
      <c r="EH134">
        <v>-1</v>
      </c>
      <c r="EI134">
        <v>0</v>
      </c>
      <c r="EJ134">
        <v>0</v>
      </c>
      <c r="EK134" s="15">
        <v>45470</v>
      </c>
      <c r="EL134" s="16">
        <v>1.01</v>
      </c>
      <c r="EM134" s="16">
        <v>-2.2200000000000002</v>
      </c>
      <c r="EN134" s="16">
        <v>-0.04</v>
      </c>
      <c r="EO134" s="16">
        <v>2.27</v>
      </c>
      <c r="EP134" s="16">
        <v>-2.37</v>
      </c>
    </row>
    <row r="135" spans="1:146" ht="96" x14ac:dyDescent="0.25">
      <c r="A135" s="8"/>
      <c r="B135" s="8"/>
      <c r="C135" s="8" t="str">
        <f>""&amp;CHAR(10)&amp;Basic_Fundamental_Information_Constructure(F135)&amp;CHAR(10)&amp;Basic_Fundamental_Information_Concatenate("")</f>
        <v xml:space="preserve">
市值16.20081亿, 利润4.88亿; PE; 平均PE14.2; 平均PEG.42, PB2.51; ROIC1.33%; ROE-2.12%; 股利率0%; 毛利7.3667%; 净利-2.8167%; 上一年度营收增93.27%, 利润增5249.74%; 当季营收增-64.71%, 利润增-111.85%; 过往5年营收增33.79%, 利润增921.02%
Income profile:
</v>
      </c>
      <c r="D135" t="s">
        <v>781</v>
      </c>
      <c r="E135" t="s">
        <v>59</v>
      </c>
      <c r="F135">
        <v>12.15</v>
      </c>
      <c r="G135">
        <v>-1.22</v>
      </c>
      <c r="H135" t="s">
        <v>4970</v>
      </c>
      <c r="I135">
        <v>1620081000</v>
      </c>
      <c r="K135">
        <v>2.5099999999999998</v>
      </c>
      <c r="L135" t="s">
        <v>101</v>
      </c>
      <c r="M135" t="s">
        <v>3357</v>
      </c>
      <c r="N135" t="s">
        <v>2208</v>
      </c>
      <c r="O135" t="s">
        <v>449</v>
      </c>
      <c r="P135">
        <v>-20.76</v>
      </c>
      <c r="Q135" t="s">
        <v>4971</v>
      </c>
      <c r="R135">
        <v>-14699170</v>
      </c>
      <c r="S135" s="6">
        <v>-2.1549999999999998</v>
      </c>
      <c r="T135" t="s">
        <v>3385</v>
      </c>
      <c r="U135">
        <v>133340000</v>
      </c>
      <c r="V135">
        <v>133340000</v>
      </c>
      <c r="W135">
        <v>2.2599999999999998</v>
      </c>
      <c r="X135">
        <v>0.13</v>
      </c>
      <c r="Y135">
        <v>-6.14</v>
      </c>
      <c r="Z135" t="s">
        <v>686</v>
      </c>
      <c r="AA135" t="s">
        <v>137</v>
      </c>
      <c r="AB135" t="s">
        <v>4972</v>
      </c>
      <c r="AC135" t="s">
        <v>4973</v>
      </c>
      <c r="AD135" t="s">
        <v>5</v>
      </c>
      <c r="AE135">
        <v>6535248</v>
      </c>
      <c r="AF135" t="s">
        <v>4974</v>
      </c>
      <c r="AG135" t="s">
        <v>4975</v>
      </c>
      <c r="AH135" t="s">
        <v>4976</v>
      </c>
      <c r="AI135" t="s">
        <v>572</v>
      </c>
      <c r="AJ135" t="s">
        <v>4977</v>
      </c>
      <c r="AK135" t="s">
        <v>4978</v>
      </c>
      <c r="AL135" t="s">
        <v>4979</v>
      </c>
      <c r="AM135" t="s">
        <v>5</v>
      </c>
      <c r="AN135" t="s">
        <v>220</v>
      </c>
      <c r="AO135" t="s">
        <v>165</v>
      </c>
      <c r="AP135" t="s">
        <v>4980</v>
      </c>
      <c r="AQ135" t="s">
        <v>345</v>
      </c>
      <c r="AR135" t="s">
        <v>4981</v>
      </c>
      <c r="AS135" t="s">
        <v>1892</v>
      </c>
      <c r="AT135" t="s">
        <v>449</v>
      </c>
      <c r="AU135" t="s">
        <v>4982</v>
      </c>
      <c r="AV135" t="s">
        <v>4983</v>
      </c>
      <c r="AW135" t="s">
        <v>4984</v>
      </c>
      <c r="AX135" t="s">
        <v>1663</v>
      </c>
      <c r="AY135" t="s">
        <v>1302</v>
      </c>
      <c r="AZ135" t="s">
        <v>1099</v>
      </c>
      <c r="BA135" t="s">
        <v>782</v>
      </c>
      <c r="BB135" t="s">
        <v>913</v>
      </c>
      <c r="BC135" t="s">
        <v>2059</v>
      </c>
      <c r="BD135" t="s">
        <v>1505</v>
      </c>
      <c r="BE135" t="s">
        <v>1154</v>
      </c>
      <c r="BF135" t="s">
        <v>783</v>
      </c>
      <c r="BG135" t="s">
        <v>1156</v>
      </c>
      <c r="BH135" t="s">
        <v>4329</v>
      </c>
      <c r="BI135" t="s">
        <v>1598</v>
      </c>
      <c r="BJ135" t="s">
        <v>1663</v>
      </c>
      <c r="BK135" t="s">
        <v>1406</v>
      </c>
      <c r="BL135" t="s">
        <v>508</v>
      </c>
      <c r="BM135" t="s">
        <v>2059</v>
      </c>
      <c r="BN135" t="s">
        <v>5</v>
      </c>
      <c r="BO135" t="s">
        <v>5</v>
      </c>
      <c r="BP135">
        <v>1.33</v>
      </c>
      <c r="BQ135">
        <v>-5.4</v>
      </c>
      <c r="BR135">
        <v>-1.22</v>
      </c>
      <c r="BS135">
        <v>0.26</v>
      </c>
      <c r="BT135" t="s">
        <v>1720</v>
      </c>
      <c r="BU135" t="s">
        <v>1595</v>
      </c>
      <c r="BV135">
        <v>5.48</v>
      </c>
      <c r="BW135">
        <v>9.2100000000000009</v>
      </c>
      <c r="BX135">
        <v>7.41</v>
      </c>
      <c r="BY135">
        <v>-7.8</v>
      </c>
      <c r="BZ135">
        <v>-0.74</v>
      </c>
      <c r="CA135">
        <v>0.09</v>
      </c>
      <c r="CB135">
        <v>-7.95</v>
      </c>
      <c r="CC135">
        <v>-6.39</v>
      </c>
      <c r="CD135" t="s">
        <v>4985</v>
      </c>
      <c r="CE135" t="s">
        <v>178</v>
      </c>
      <c r="CF135" s="10">
        <v>-0.6470588235294118</v>
      </c>
      <c r="CG135" s="11">
        <v>-1.1185416935483872</v>
      </c>
      <c r="CH135" s="10">
        <v>0.93268686532974243</v>
      </c>
      <c r="CI135" s="10">
        <v>-0.21530884504318237</v>
      </c>
      <c r="CJ135" s="10">
        <v>0.16840997338294983</v>
      </c>
      <c r="CK135" s="10">
        <v>0.32501727342605591</v>
      </c>
      <c r="CL135" s="10">
        <v>0.47848367691040039</v>
      </c>
      <c r="CM135" s="11">
        <v>52.4974365234375</v>
      </c>
      <c r="CN135" s="11">
        <v>-5.6710700988769531</v>
      </c>
      <c r="CO135" s="11">
        <v>-0.97245675325393677</v>
      </c>
      <c r="CP135" s="11">
        <v>6.7137308418750763E-2</v>
      </c>
      <c r="CQ135" s="11">
        <v>0.13001467287540436</v>
      </c>
      <c r="CR135">
        <v>14.204819752480239</v>
      </c>
      <c r="CS135">
        <v>0.42043783577944466</v>
      </c>
      <c r="CT135">
        <v>0</v>
      </c>
      <c r="CU135" s="10">
        <v>0.33785778880119322</v>
      </c>
      <c r="CV135" s="11">
        <v>9.2102123305201538</v>
      </c>
      <c r="CW135">
        <v>0.06</v>
      </c>
      <c r="CX135">
        <v>3.0524787717978099</v>
      </c>
      <c r="CY135">
        <v>615919434.84432292</v>
      </c>
      <c r="CZ135">
        <v>0.33785778880119322</v>
      </c>
      <c r="DA135">
        <v>0.8137297480614829</v>
      </c>
      <c r="DB135">
        <v>2310448898.3951302</v>
      </c>
      <c r="DC135">
        <v>0.32096489936113354</v>
      </c>
      <c r="DD135">
        <v>0.29852789997111001</v>
      </c>
      <c r="DE135">
        <v>6297840168.9823446</v>
      </c>
      <c r="DF135">
        <v>0.29731485414505004</v>
      </c>
      <c r="DG135">
        <v>0.12483761776615267</v>
      </c>
      <c r="DH135">
        <v>15060212087.047276</v>
      </c>
      <c r="DI135">
        <v>0.27028623104095456</v>
      </c>
      <c r="DJ135">
        <v>2.6482944444992839E-2</v>
      </c>
      <c r="DK135">
        <v>70992143789.187653</v>
      </c>
      <c r="DL135">
        <v>0.23650045216083523</v>
      </c>
      <c r="DM135">
        <v>488000000</v>
      </c>
      <c r="DN135">
        <v>0.33785778880119322</v>
      </c>
      <c r="DO135">
        <v>1880081000</v>
      </c>
      <c r="DP135">
        <v>154574150</v>
      </c>
      <c r="DQ135">
        <v>4113</v>
      </c>
      <c r="DR135">
        <v>-0.98491661233060501</v>
      </c>
      <c r="DS135">
        <v>-10.328754024068541</v>
      </c>
      <c r="DT135" s="12">
        <v>9.3333333333333268E-2</v>
      </c>
      <c r="DU135">
        <v>-1.5816666666666668</v>
      </c>
      <c r="DV135">
        <v>-1.4883333333333335</v>
      </c>
      <c r="DW135">
        <v>-5.8037735849056604</v>
      </c>
      <c r="DX135">
        <v>0.51202818181818155</v>
      </c>
      <c r="DY135">
        <v>-5.355290576329331</v>
      </c>
      <c r="DZ135">
        <v>1653</v>
      </c>
      <c r="EA135">
        <v>-5.2403599848083164</v>
      </c>
      <c r="EB135">
        <v>5</v>
      </c>
      <c r="EC135">
        <v>0.36465501724913763</v>
      </c>
      <c r="ED135">
        <v>0.82495875206239699</v>
      </c>
      <c r="EE135" s="13">
        <v>3.0221100000000001</v>
      </c>
      <c r="EF135">
        <v>3.0341100000000001</v>
      </c>
      <c r="EG135">
        <v>7.4420281818181815</v>
      </c>
      <c r="EH135" t="s">
        <v>1848</v>
      </c>
      <c r="EI135">
        <v>0</v>
      </c>
      <c r="EJ135">
        <v>0</v>
      </c>
      <c r="EK135" s="15">
        <v>45470</v>
      </c>
      <c r="EL135" s="16">
        <v>2.85</v>
      </c>
      <c r="EM135" s="16">
        <v>-5.22</v>
      </c>
      <c r="EN135" s="16">
        <v>0.45</v>
      </c>
      <c r="EO135" s="16">
        <v>2.2400000000000002</v>
      </c>
      <c r="EP135" s="16">
        <v>-1.2</v>
      </c>
    </row>
    <row r="136" spans="1:146" ht="108" x14ac:dyDescent="0.25">
      <c r="A136" s="8"/>
      <c r="B136" s="8"/>
      <c r="C136" s="8" t="str">
        <f>""&amp;CHAR(10)&amp;Basic_Fundamental_Information_Constructure(F136)&amp;CHAR(10)&amp;Basic_Fundamental_Information_Concatenate("")</f>
        <v xml:space="preserve">
市值20.672923亿, 利润1.28亿; PE27.97; 平均PE24.52; 平均PEG.44, PB1.99; ROIC5.74%; ROE5.8467%; 股利率2.8249%; 毛利24.54%; 净利13.1267%; 上一年度营收增230.26%, 利润增208.48%; 当季营收增-83.82%, 利润增-82.7%; 过往5年营收增56.04%, 利润增34.49%
Income profile:
</v>
      </c>
      <c r="D136" t="s">
        <v>784</v>
      </c>
      <c r="E136" t="s">
        <v>785</v>
      </c>
      <c r="F136">
        <v>7.08</v>
      </c>
      <c r="G136">
        <v>5.99</v>
      </c>
      <c r="H136" t="s">
        <v>4986</v>
      </c>
      <c r="I136">
        <v>2067292300</v>
      </c>
      <c r="J136">
        <v>27.97</v>
      </c>
      <c r="K136">
        <v>1.99</v>
      </c>
      <c r="L136" t="s">
        <v>101</v>
      </c>
      <c r="M136" t="s">
        <v>792</v>
      </c>
      <c r="N136" t="s">
        <v>2230</v>
      </c>
      <c r="O136" t="s">
        <v>4987</v>
      </c>
      <c r="P136">
        <v>-18.190000000000001</v>
      </c>
      <c r="Q136" t="s">
        <v>4988</v>
      </c>
      <c r="R136">
        <v>8057482</v>
      </c>
      <c r="S136" s="6">
        <v>-0.4904</v>
      </c>
      <c r="T136" t="s">
        <v>533</v>
      </c>
      <c r="U136">
        <v>291990440</v>
      </c>
      <c r="V136">
        <v>291990440</v>
      </c>
      <c r="W136">
        <v>1.1599999999999999</v>
      </c>
      <c r="X136">
        <v>0.06</v>
      </c>
      <c r="Y136">
        <v>11.01</v>
      </c>
      <c r="Z136" t="s">
        <v>4989</v>
      </c>
      <c r="AA136" t="s">
        <v>4990</v>
      </c>
      <c r="AB136" t="s">
        <v>4991</v>
      </c>
      <c r="AC136" t="s">
        <v>4992</v>
      </c>
      <c r="AD136" t="s">
        <v>5</v>
      </c>
      <c r="AE136">
        <v>-54531</v>
      </c>
      <c r="AF136" t="s">
        <v>4993</v>
      </c>
      <c r="AG136" t="s">
        <v>4994</v>
      </c>
      <c r="AH136" t="s">
        <v>4995</v>
      </c>
      <c r="AI136" t="s">
        <v>4996</v>
      </c>
      <c r="AJ136" t="s">
        <v>4997</v>
      </c>
      <c r="AK136" t="s">
        <v>4998</v>
      </c>
      <c r="AL136" t="s">
        <v>4999</v>
      </c>
      <c r="AM136" t="s">
        <v>5</v>
      </c>
      <c r="AN136">
        <v>0</v>
      </c>
      <c r="AO136" t="s">
        <v>5000</v>
      </c>
      <c r="AP136" t="s">
        <v>5001</v>
      </c>
      <c r="AQ136" t="s">
        <v>5002</v>
      </c>
      <c r="AR136" t="s">
        <v>5</v>
      </c>
      <c r="AS136" t="s">
        <v>146</v>
      </c>
      <c r="AT136" t="s">
        <v>5</v>
      </c>
      <c r="AU136" t="s">
        <v>5003</v>
      </c>
      <c r="AV136" t="s">
        <v>5004</v>
      </c>
      <c r="AW136" t="s">
        <v>5005</v>
      </c>
      <c r="AX136" t="s">
        <v>402</v>
      </c>
      <c r="AY136" t="s">
        <v>684</v>
      </c>
      <c r="AZ136" t="s">
        <v>750</v>
      </c>
      <c r="BA136" t="s">
        <v>186</v>
      </c>
      <c r="BB136" t="s">
        <v>719</v>
      </c>
      <c r="BC136" t="s">
        <v>5006</v>
      </c>
      <c r="BD136" t="s">
        <v>1506</v>
      </c>
      <c r="BE136" t="s">
        <v>650</v>
      </c>
      <c r="BF136" t="s">
        <v>787</v>
      </c>
      <c r="BG136" t="s">
        <v>1157</v>
      </c>
      <c r="BH136" t="s">
        <v>175</v>
      </c>
      <c r="BI136" t="s">
        <v>456</v>
      </c>
      <c r="BJ136" t="s">
        <v>402</v>
      </c>
      <c r="BK136" t="s">
        <v>5007</v>
      </c>
      <c r="BL136" t="s">
        <v>5008</v>
      </c>
      <c r="BM136" t="s">
        <v>5006</v>
      </c>
      <c r="BN136">
        <v>5.72</v>
      </c>
      <c r="BO136">
        <v>4.12</v>
      </c>
      <c r="BP136">
        <v>7.38</v>
      </c>
      <c r="BQ136">
        <v>5.68</v>
      </c>
      <c r="BR136">
        <v>4.2699999999999996</v>
      </c>
      <c r="BS136">
        <v>7.59</v>
      </c>
      <c r="BT136" t="s">
        <v>1731</v>
      </c>
      <c r="BU136" t="s">
        <v>1595</v>
      </c>
      <c r="BV136">
        <v>23.67</v>
      </c>
      <c r="BW136">
        <v>24.72</v>
      </c>
      <c r="BX136">
        <v>25.23</v>
      </c>
      <c r="BY136">
        <v>16.22</v>
      </c>
      <c r="BZ136">
        <v>8.31</v>
      </c>
      <c r="CA136">
        <v>14.85</v>
      </c>
      <c r="CB136">
        <v>4.12</v>
      </c>
      <c r="CC136">
        <v>-8.8800000000000008</v>
      </c>
      <c r="CD136" t="s">
        <v>5009</v>
      </c>
      <c r="CE136" t="s">
        <v>5010</v>
      </c>
      <c r="CF136" s="10">
        <v>-0.83814999999999995</v>
      </c>
      <c r="CG136" s="11">
        <v>-0.82700319263825284</v>
      </c>
      <c r="CH136" s="10">
        <v>2.302605152130127</v>
      </c>
      <c r="CI136" s="10">
        <v>2.8865979984402657E-2</v>
      </c>
      <c r="CJ136" s="10">
        <v>0.19164618849754333</v>
      </c>
      <c r="CK136" s="10">
        <v>9.4086021184921265E-2</v>
      </c>
      <c r="CL136" s="10">
        <v>0.18471337854862213</v>
      </c>
      <c r="CM136" s="11">
        <v>2.0847609043121338</v>
      </c>
      <c r="CN136" s="11">
        <v>-0.42403265833854675</v>
      </c>
      <c r="CO136" s="11">
        <v>-0.3072807788848877</v>
      </c>
      <c r="CP136" s="11">
        <v>0.20377336442470551</v>
      </c>
      <c r="CQ136" s="11">
        <v>0.16737064719200134</v>
      </c>
      <c r="CR136">
        <v>24.51623995953673</v>
      </c>
      <c r="CS136">
        <v>0.43749051821412899</v>
      </c>
      <c r="CT136">
        <v>2.8248587570621471</v>
      </c>
      <c r="CU136" s="10">
        <v>0.56038334406912327</v>
      </c>
      <c r="CV136" s="11">
        <v>0.34491829574108124</v>
      </c>
      <c r="CW136">
        <v>0.06</v>
      </c>
      <c r="CX136">
        <v>6.4763224035845228</v>
      </c>
      <c r="CY136">
        <v>188423649.09513941</v>
      </c>
      <c r="CZ136">
        <v>0.56038334406912327</v>
      </c>
      <c r="DA136">
        <v>1.4540393742413973</v>
      </c>
      <c r="DB136">
        <v>839242954.22649884</v>
      </c>
      <c r="DC136">
        <v>0.53236417686566706</v>
      </c>
      <c r="DD136">
        <v>0.40597926427154629</v>
      </c>
      <c r="DE136">
        <v>3005799574.984663</v>
      </c>
      <c r="DF136">
        <v>0.49313734278082849</v>
      </c>
      <c r="DG136">
        <v>0.11792605571193021</v>
      </c>
      <c r="DH136">
        <v>10347944672.896805</v>
      </c>
      <c r="DI136">
        <v>0.44830667525529866</v>
      </c>
      <c r="DJ136">
        <v>9.7845748423230263E-3</v>
      </c>
      <c r="DK136">
        <v>124715924775.96927</v>
      </c>
      <c r="DL136">
        <v>0.39226834084838624</v>
      </c>
      <c r="DM136">
        <v>128000000</v>
      </c>
      <c r="DN136">
        <v>0.56038334406912327</v>
      </c>
      <c r="DO136">
        <v>1220292300</v>
      </c>
      <c r="DP136">
        <v>650096230</v>
      </c>
      <c r="DQ136">
        <v>4154</v>
      </c>
      <c r="DR136">
        <v>-1.3985333440691232</v>
      </c>
      <c r="DS136">
        <v>-1.1719214883793341</v>
      </c>
      <c r="DT136" s="12">
        <v>9.3333333333333268E-2</v>
      </c>
      <c r="DU136">
        <v>-0.20666666666666675</v>
      </c>
      <c r="DV136">
        <v>-0.11333333333333348</v>
      </c>
      <c r="DW136">
        <v>6.3169230769230769</v>
      </c>
      <c r="DX136">
        <v>0.50251314672779157</v>
      </c>
      <c r="DY136">
        <v>6.0483349357321927</v>
      </c>
      <c r="DZ136">
        <v>3201</v>
      </c>
      <c r="EA136">
        <v>6.0180570239359596</v>
      </c>
      <c r="EB136">
        <v>6</v>
      </c>
      <c r="EC136">
        <v>3.2926420467738603E-2</v>
      </c>
      <c r="ED136">
        <v>0.21589234222873871</v>
      </c>
      <c r="EE136" s="13">
        <v>-5.0097100000000001</v>
      </c>
      <c r="EF136">
        <v>-5.0363100000000003</v>
      </c>
      <c r="EG136">
        <v>35.152513146727792</v>
      </c>
      <c r="EH136" t="s">
        <v>2193</v>
      </c>
      <c r="EI136">
        <v>0</v>
      </c>
      <c r="EJ136">
        <v>0</v>
      </c>
      <c r="EK136" s="15">
        <v>45470</v>
      </c>
      <c r="EL136" s="16">
        <v>7.0000000000000007E-2</v>
      </c>
      <c r="EM136" s="16">
        <v>-5.83</v>
      </c>
      <c r="EN136" s="16">
        <v>2.64</v>
      </c>
      <c r="EO136" s="16">
        <v>3.61</v>
      </c>
      <c r="EP136" s="16">
        <v>-2.66</v>
      </c>
    </row>
    <row r="137" spans="1:146" ht="108" x14ac:dyDescent="0.25">
      <c r="C137" s="8" t="str">
        <f>""&amp;CHAR(10)&amp;Basic_Fundamental_Information_Constructure(F137)&amp;CHAR(10)&amp;Basic_Fundamental_Information_Concatenate("")</f>
        <v xml:space="preserve">
市值18.887662亿, 利润2499.64万; PE128.3; 平均PE41.73; 平均PEG.7, PB1.45; ROIC1.8333%; ROE2.6867%; 股利率.4854%; 毛利41.3133%; 净利4.15%; 上一年度营收增279.96%, 利润增15.92%; 当季营收增-76.82%, 利润增-98.46%; 过往5年营收增59.9%, 利润增-18.52%
Income profile:
</v>
      </c>
      <c r="D137" t="s">
        <v>724</v>
      </c>
      <c r="E137" t="s">
        <v>1158</v>
      </c>
      <c r="F137">
        <v>10.3</v>
      </c>
      <c r="G137">
        <v>1.08</v>
      </c>
      <c r="H137" t="s">
        <v>5011</v>
      </c>
      <c r="I137">
        <v>1888766200</v>
      </c>
      <c r="J137">
        <v>128.30000000000001</v>
      </c>
      <c r="K137">
        <v>1.45</v>
      </c>
      <c r="L137" t="s">
        <v>101</v>
      </c>
      <c r="M137" t="s">
        <v>507</v>
      </c>
      <c r="N137" t="s">
        <v>3422</v>
      </c>
      <c r="O137" t="s">
        <v>5012</v>
      </c>
      <c r="P137">
        <v>1.1000000000000001</v>
      </c>
      <c r="Q137" t="s">
        <v>2204</v>
      </c>
      <c r="R137">
        <v>255968</v>
      </c>
      <c r="S137" s="7">
        <v>1.081</v>
      </c>
      <c r="T137" t="s">
        <v>5013</v>
      </c>
      <c r="U137">
        <v>183375360</v>
      </c>
      <c r="V137">
        <v>183375360</v>
      </c>
      <c r="W137">
        <v>1.23</v>
      </c>
      <c r="X137">
        <v>0.06</v>
      </c>
      <c r="Y137">
        <v>-0.09</v>
      </c>
      <c r="Z137" t="s">
        <v>5014</v>
      </c>
      <c r="AA137" t="s">
        <v>5015</v>
      </c>
      <c r="AB137" t="s">
        <v>5016</v>
      </c>
      <c r="AC137" t="s">
        <v>5017</v>
      </c>
      <c r="AD137" t="s">
        <v>5</v>
      </c>
      <c r="AE137">
        <v>-2706881</v>
      </c>
      <c r="AF137" t="s">
        <v>5018</v>
      </c>
      <c r="AG137" t="s">
        <v>5019</v>
      </c>
      <c r="AH137" t="s">
        <v>5020</v>
      </c>
      <c r="AI137" t="s">
        <v>629</v>
      </c>
      <c r="AJ137" t="s">
        <v>5021</v>
      </c>
      <c r="AK137" t="s">
        <v>5022</v>
      </c>
      <c r="AL137" t="s">
        <v>5023</v>
      </c>
      <c r="AM137" t="s">
        <v>5</v>
      </c>
      <c r="AN137" t="s">
        <v>5024</v>
      </c>
      <c r="AO137" t="s">
        <v>5</v>
      </c>
      <c r="AP137" t="s">
        <v>5025</v>
      </c>
      <c r="AQ137" t="s">
        <v>5026</v>
      </c>
      <c r="AR137" t="s">
        <v>5027</v>
      </c>
      <c r="AS137" t="s">
        <v>534</v>
      </c>
      <c r="AT137" t="s">
        <v>5</v>
      </c>
      <c r="AU137" t="s">
        <v>5028</v>
      </c>
      <c r="AV137" t="s">
        <v>5029</v>
      </c>
      <c r="AW137" t="s">
        <v>5030</v>
      </c>
      <c r="AX137" t="s">
        <v>1048</v>
      </c>
      <c r="AY137" t="s">
        <v>794</v>
      </c>
      <c r="AZ137" t="s">
        <v>159</v>
      </c>
      <c r="BA137" t="s">
        <v>432</v>
      </c>
      <c r="BB137" t="s">
        <v>750</v>
      </c>
      <c r="BC137" t="s">
        <v>2060</v>
      </c>
      <c r="BD137" t="s">
        <v>1508</v>
      </c>
      <c r="BE137" t="s">
        <v>1159</v>
      </c>
      <c r="BF137" t="s">
        <v>725</v>
      </c>
      <c r="BG137" t="s">
        <v>1160</v>
      </c>
      <c r="BH137" t="s">
        <v>5031</v>
      </c>
      <c r="BI137" t="s">
        <v>557</v>
      </c>
      <c r="BJ137" t="s">
        <v>1048</v>
      </c>
      <c r="BK137" t="s">
        <v>5032</v>
      </c>
      <c r="BL137" t="s">
        <v>5033</v>
      </c>
      <c r="BM137" t="s">
        <v>2060</v>
      </c>
      <c r="BN137">
        <v>1.04</v>
      </c>
      <c r="BO137">
        <v>0.77</v>
      </c>
      <c r="BP137">
        <v>3.69</v>
      </c>
      <c r="BQ137">
        <v>1.93</v>
      </c>
      <c r="BR137">
        <v>2.2000000000000002</v>
      </c>
      <c r="BS137">
        <v>3.93</v>
      </c>
      <c r="BT137" t="s">
        <v>1725</v>
      </c>
      <c r="BU137" t="s">
        <v>1537</v>
      </c>
      <c r="BV137">
        <v>41.62</v>
      </c>
      <c r="BW137">
        <v>40</v>
      </c>
      <c r="BX137">
        <v>42.32</v>
      </c>
      <c r="BY137">
        <v>1.65</v>
      </c>
      <c r="BZ137">
        <v>3.99</v>
      </c>
      <c r="CA137">
        <v>6.81</v>
      </c>
      <c r="CB137">
        <v>-5.16</v>
      </c>
      <c r="CC137">
        <v>-14.02</v>
      </c>
      <c r="CD137" t="s">
        <v>5034</v>
      </c>
      <c r="CE137" t="s">
        <v>5035</v>
      </c>
      <c r="CF137" s="10">
        <v>-0.7682260975609756</v>
      </c>
      <c r="CG137" s="11">
        <v>-0.98463356065699736</v>
      </c>
      <c r="CH137" s="10">
        <v>2.7995822429656982</v>
      </c>
      <c r="CI137" s="10">
        <v>-7.7071294188499451E-2</v>
      </c>
      <c r="CJ137" s="10">
        <v>9.263157844543457E-2</v>
      </c>
      <c r="CK137" s="10">
        <v>0.23376622796058655</v>
      </c>
      <c r="CL137" s="10">
        <v>-5.4054055362939835E-2</v>
      </c>
      <c r="CM137" s="11">
        <v>0.15921570360660553</v>
      </c>
      <c r="CN137" s="11">
        <v>-0.43852704763412476</v>
      </c>
      <c r="CO137" s="11">
        <v>-0.11554945260286331</v>
      </c>
      <c r="CP137" s="11">
        <v>-0.3043370246887207</v>
      </c>
      <c r="CQ137" s="11">
        <v>-0.22685618698596954</v>
      </c>
      <c r="CR137">
        <v>41.734878900838112</v>
      </c>
      <c r="CS137">
        <v>0.69677635618420164</v>
      </c>
      <c r="CT137">
        <v>0.48543689320388345</v>
      </c>
      <c r="CU137" s="10">
        <v>0.59897093996405604</v>
      </c>
      <c r="CV137" s="11">
        <v>-0.18521080166101456</v>
      </c>
      <c r="CW137">
        <v>0.06</v>
      </c>
      <c r="CX137">
        <v>23.729981454297814</v>
      </c>
      <c r="CY137">
        <v>37706148.30539389</v>
      </c>
      <c r="CZ137">
        <v>0.59897093996405604</v>
      </c>
      <c r="DA137">
        <v>5.176992018939151</v>
      </c>
      <c r="DB137">
        <v>172835151.51784065</v>
      </c>
      <c r="DC137">
        <v>0.56902239296585322</v>
      </c>
      <c r="DD137">
        <v>1.3788750091418676</v>
      </c>
      <c r="DE137">
        <v>648910303.01350594</v>
      </c>
      <c r="DF137">
        <v>0.52709442716836929</v>
      </c>
      <c r="DG137">
        <v>0.37571800400919136</v>
      </c>
      <c r="DH137">
        <v>2381483427.6030884</v>
      </c>
      <c r="DI137">
        <v>0.47917675197124487</v>
      </c>
      <c r="DJ137">
        <v>2.6498583631117411E-2</v>
      </c>
      <c r="DK137">
        <v>33766567015.652561</v>
      </c>
      <c r="DL137">
        <v>0.41927965797483918</v>
      </c>
      <c r="DM137">
        <v>24996400</v>
      </c>
      <c r="DN137">
        <v>0.59897093996405604</v>
      </c>
      <c r="DO137">
        <v>894766200</v>
      </c>
      <c r="DP137">
        <v>759726030</v>
      </c>
      <c r="DQ137">
        <v>4233</v>
      </c>
      <c r="DR137">
        <v>-1.3671970375250315</v>
      </c>
      <c r="DS137">
        <v>-0.79942275899598281</v>
      </c>
      <c r="DT137" s="12">
        <v>-2.3333333333333355E-2</v>
      </c>
      <c r="DU137">
        <v>-0.64</v>
      </c>
      <c r="DV137">
        <v>-0.66333333333333333</v>
      </c>
      <c r="DW137">
        <v>-8.3680456490727533</v>
      </c>
      <c r="DX137">
        <v>0.33193121893645056</v>
      </c>
      <c r="DY137">
        <v>-8.0559176240878791</v>
      </c>
      <c r="DZ137">
        <v>3844</v>
      </c>
      <c r="EA137">
        <v>-8.0138535640108124</v>
      </c>
      <c r="EB137">
        <v>8</v>
      </c>
      <c r="EC137">
        <v>5.3560631046613898E-2</v>
      </c>
      <c r="ED137">
        <v>0.35253209591517637</v>
      </c>
      <c r="EE137" s="13">
        <v>2.0001099999999998</v>
      </c>
      <c r="EF137">
        <v>2.0299100000000001</v>
      </c>
      <c r="EG137">
        <v>18.151931218936451</v>
      </c>
      <c r="EH137" t="s">
        <v>1816</v>
      </c>
      <c r="EI137">
        <v>0</v>
      </c>
      <c r="EJ137">
        <v>0</v>
      </c>
      <c r="EK137" s="15">
        <v>45470</v>
      </c>
      <c r="EL137" s="16">
        <v>-0.76</v>
      </c>
      <c r="EM137" s="16">
        <v>-3.58</v>
      </c>
      <c r="EN137" s="16">
        <v>1.68</v>
      </c>
      <c r="EO137" s="16">
        <v>2.2599999999999998</v>
      </c>
      <c r="EP137" s="16">
        <v>-2.98</v>
      </c>
    </row>
    <row r="138" spans="1:146" ht="108" x14ac:dyDescent="0.25">
      <c r="C138" s="8" t="str">
        <f>""&amp;CHAR(10)&amp;Basic_Fundamental_Information_Constructure(F138)&amp;CHAR(10)&amp;Basic_Fundamental_Information_Concatenate("")</f>
        <v xml:space="preserve">
市值62.389236亿, 利润7.22亿; PE37.4; 平均PE23.32; 平均PEG.69, PB1.9; ROIC3.59%; ROE4.6167%; 股利率.9021%; 毛利18.93%; 净利6.5767%; 上一年度营收增121.23%, 利润增332.34%; 当季营收增-78.21%, 利润增-86.93%; 过往5年营收增33.59%, 利润增62.09%
Income profile:
</v>
      </c>
      <c r="D138" t="s">
        <v>1305</v>
      </c>
      <c r="E138" t="s">
        <v>5036</v>
      </c>
      <c r="F138">
        <v>11.64</v>
      </c>
      <c r="G138">
        <v>1.93</v>
      </c>
      <c r="H138" t="s">
        <v>5037</v>
      </c>
      <c r="I138">
        <v>6238923600</v>
      </c>
      <c r="J138">
        <v>37.4</v>
      </c>
      <c r="K138">
        <v>1.9</v>
      </c>
      <c r="L138" t="s">
        <v>101</v>
      </c>
      <c r="M138" t="s">
        <v>5038</v>
      </c>
      <c r="N138" t="s">
        <v>5039</v>
      </c>
      <c r="O138" t="s">
        <v>605</v>
      </c>
      <c r="P138">
        <v>-53.91</v>
      </c>
      <c r="Q138" t="s">
        <v>5040</v>
      </c>
      <c r="R138">
        <v>12827669</v>
      </c>
      <c r="S138" s="6">
        <v>-0.61329999999999996</v>
      </c>
      <c r="T138" t="s">
        <v>5041</v>
      </c>
      <c r="U138">
        <v>535990000</v>
      </c>
      <c r="V138">
        <v>535990000</v>
      </c>
      <c r="W138">
        <v>1.63</v>
      </c>
      <c r="X138">
        <v>0.04</v>
      </c>
      <c r="Y138">
        <v>5.4</v>
      </c>
      <c r="Z138" t="s">
        <v>323</v>
      </c>
      <c r="AA138" t="s">
        <v>165</v>
      </c>
      <c r="AB138" t="s">
        <v>4038</v>
      </c>
      <c r="AC138" t="s">
        <v>5042</v>
      </c>
      <c r="AD138" t="s">
        <v>5</v>
      </c>
      <c r="AE138">
        <v>-2997027</v>
      </c>
      <c r="AF138" t="s">
        <v>127</v>
      </c>
      <c r="AG138">
        <v>180.18</v>
      </c>
      <c r="AH138" t="s">
        <v>5043</v>
      </c>
      <c r="AI138" t="s">
        <v>5044</v>
      </c>
      <c r="AJ138" t="s">
        <v>5045</v>
      </c>
      <c r="AK138" t="s">
        <v>5046</v>
      </c>
      <c r="AL138" t="s">
        <v>5047</v>
      </c>
      <c r="AM138" t="s">
        <v>5</v>
      </c>
      <c r="AN138" t="s">
        <v>5048</v>
      </c>
      <c r="AO138" t="s">
        <v>5</v>
      </c>
      <c r="AP138" t="s">
        <v>5049</v>
      </c>
      <c r="AQ138" t="s">
        <v>2192</v>
      </c>
      <c r="AR138" t="s">
        <v>5</v>
      </c>
      <c r="AS138" t="s">
        <v>5050</v>
      </c>
      <c r="AT138" t="s">
        <v>5</v>
      </c>
      <c r="AU138" t="s">
        <v>5051</v>
      </c>
      <c r="AV138" t="s">
        <v>5052</v>
      </c>
      <c r="AW138" t="s">
        <v>5053</v>
      </c>
      <c r="AX138" t="s">
        <v>2061</v>
      </c>
      <c r="AY138" t="s">
        <v>1509</v>
      </c>
      <c r="AZ138" t="s">
        <v>1306</v>
      </c>
      <c r="BA138" t="s">
        <v>1307</v>
      </c>
      <c r="BB138" t="s">
        <v>1294</v>
      </c>
      <c r="BC138" t="s">
        <v>145</v>
      </c>
      <c r="BD138" t="s">
        <v>219</v>
      </c>
      <c r="BE138" t="s">
        <v>274</v>
      </c>
      <c r="BF138" t="s">
        <v>219</v>
      </c>
      <c r="BG138" t="s">
        <v>839</v>
      </c>
      <c r="BH138" t="s">
        <v>2249</v>
      </c>
      <c r="BI138" t="s">
        <v>2116</v>
      </c>
      <c r="BJ138" t="s">
        <v>2061</v>
      </c>
      <c r="BK138" t="s">
        <v>281</v>
      </c>
      <c r="BL138" t="s">
        <v>5054</v>
      </c>
      <c r="BM138" t="s">
        <v>145</v>
      </c>
      <c r="BN138">
        <v>2.15</v>
      </c>
      <c r="BO138">
        <v>4.8</v>
      </c>
      <c r="BP138">
        <v>3.82</v>
      </c>
      <c r="BQ138">
        <v>3.18</v>
      </c>
      <c r="BR138">
        <v>5.43</v>
      </c>
      <c r="BS138">
        <v>5.24</v>
      </c>
      <c r="BT138" t="s">
        <v>5055</v>
      </c>
      <c r="BU138" t="s">
        <v>1536</v>
      </c>
      <c r="BV138">
        <v>21.52</v>
      </c>
      <c r="BW138">
        <v>20.399999999999999</v>
      </c>
      <c r="BX138">
        <v>14.87</v>
      </c>
      <c r="BY138">
        <v>6.67</v>
      </c>
      <c r="BZ138">
        <v>6.67</v>
      </c>
      <c r="CA138">
        <v>6.39</v>
      </c>
      <c r="CB138">
        <v>-1.9</v>
      </c>
      <c r="CC138">
        <v>-7.58</v>
      </c>
      <c r="CD138" t="s">
        <v>5056</v>
      </c>
      <c r="CE138" t="s">
        <v>5057</v>
      </c>
      <c r="CF138" s="10">
        <v>-0.78205128205128205</v>
      </c>
      <c r="CG138" s="11">
        <v>-0.86930905619509191</v>
      </c>
      <c r="CH138" s="10">
        <v>1.2122906446456909</v>
      </c>
      <c r="CI138" s="10">
        <v>3.0427578836679459E-2</v>
      </c>
      <c r="CJ138" s="10">
        <v>0.17431189119815826</v>
      </c>
      <c r="CK138" s="10">
        <v>0.16610364615917206</v>
      </c>
      <c r="CL138" s="10">
        <v>9.6296295523643494E-2</v>
      </c>
      <c r="CM138" s="11">
        <v>3.3233532905578613</v>
      </c>
      <c r="CN138" s="11">
        <v>7.7419355511665344E-2</v>
      </c>
      <c r="CO138" s="11">
        <v>-0.13407821953296661</v>
      </c>
      <c r="CP138" s="11">
        <v>0.15483871102333069</v>
      </c>
      <c r="CQ138" s="11">
        <v>-0.31718060374259949</v>
      </c>
      <c r="CR138">
        <v>23.323078878504674</v>
      </c>
      <c r="CS138">
        <v>0.69437482049739896</v>
      </c>
      <c r="CT138">
        <v>0.90206185567010311</v>
      </c>
      <c r="CU138" s="10">
        <v>0.33588601127266882</v>
      </c>
      <c r="CV138" s="11">
        <v>0.62087050676345823</v>
      </c>
      <c r="CW138">
        <v>0.06</v>
      </c>
      <c r="CX138">
        <v>5.6246184099744418</v>
      </c>
      <c r="CY138">
        <v>909914811.45176136</v>
      </c>
      <c r="CZ138">
        <v>0.33588601127266882</v>
      </c>
      <c r="DA138">
        <v>1.5017652423006931</v>
      </c>
      <c r="DB138">
        <v>3407938508.5243945</v>
      </c>
      <c r="DC138">
        <v>0.31909171070903536</v>
      </c>
      <c r="DD138">
        <v>0.55227110197674012</v>
      </c>
      <c r="DE138">
        <v>9267049428.5894222</v>
      </c>
      <c r="DF138">
        <v>0.29557968991994854</v>
      </c>
      <c r="DG138">
        <v>0.23167300997667181</v>
      </c>
      <c r="DH138">
        <v>22091151664.647282</v>
      </c>
      <c r="DI138">
        <v>0.26870880901813504</v>
      </c>
      <c r="DJ138">
        <v>4.9546770917277112E-2</v>
      </c>
      <c r="DK138">
        <v>103294796113.8546</v>
      </c>
      <c r="DL138">
        <v>0.23512020789086815</v>
      </c>
      <c r="DM138">
        <v>722000000</v>
      </c>
      <c r="DN138">
        <v>0.33588601127266882</v>
      </c>
      <c r="DO138">
        <v>5117923600</v>
      </c>
      <c r="DP138">
        <v>2189690800</v>
      </c>
      <c r="DQ138">
        <v>4263</v>
      </c>
      <c r="DR138">
        <v>-1.1179372933239509</v>
      </c>
      <c r="DS138">
        <v>-1.4901795629585501</v>
      </c>
      <c r="DT138" s="12">
        <v>0.14333333333333331</v>
      </c>
      <c r="DU138">
        <v>-0.12333333333333336</v>
      </c>
      <c r="DV138">
        <v>1.9999999999999948E-2</v>
      </c>
      <c r="DW138">
        <v>-2.0758000000000001</v>
      </c>
      <c r="DX138">
        <v>0.31358145430571538</v>
      </c>
      <c r="DY138">
        <v>-2.0063354742363733</v>
      </c>
      <c r="DZ138">
        <v>621</v>
      </c>
      <c r="EA138">
        <v>-2.0055655467411113</v>
      </c>
      <c r="EB138">
        <v>2</v>
      </c>
      <c r="EC138">
        <v>1.0762887367301629E-2</v>
      </c>
      <c r="ED138">
        <v>0.1287712457321965</v>
      </c>
      <c r="EE138" s="13">
        <v>2.0488</v>
      </c>
      <c r="EF138">
        <v>2.0133000000000001</v>
      </c>
      <c r="EG138">
        <v>23.083581454305715</v>
      </c>
      <c r="EH138" t="s">
        <v>1871</v>
      </c>
      <c r="EI138">
        <v>0</v>
      </c>
      <c r="EJ138">
        <v>1</v>
      </c>
      <c r="EK138" s="15">
        <v>45470</v>
      </c>
      <c r="EL138" s="16">
        <v>-1.45</v>
      </c>
      <c r="EM138" s="16">
        <v>-0.59</v>
      </c>
      <c r="EN138" s="16">
        <v>5.21</v>
      </c>
      <c r="EO138" s="16">
        <v>-0.28000000000000003</v>
      </c>
      <c r="EP138" s="16">
        <v>-3.55</v>
      </c>
    </row>
    <row r="139" spans="1:146" ht="96" x14ac:dyDescent="0.25">
      <c r="C139" s="8" t="str">
        <f>""&amp;CHAR(10)&amp;Basic_Fundamental_Information_Constructure(F139)&amp;CHAR(10)&amp;Basic_Fundamental_Information_Concatenate("")</f>
        <v xml:space="preserve">
市值18.864492亿, 利润4383.31万; PE; 平均PE-18.15; 平均PEG-.47, PB4.77; ROIC0%; ROE-19.8433%; 股利率0%; 毛利.0033%; 净利-44.4667%; 上一年度营收增217.21%, 利润增127.57%; 当季营收增-81.85%, 利润增-231.83%; 过往5年营收增38.69%, 利润增-419.27%
Income profile:
</v>
      </c>
      <c r="D139" t="s">
        <v>229</v>
      </c>
      <c r="E139" t="s">
        <v>9</v>
      </c>
      <c r="F139">
        <v>6.8</v>
      </c>
      <c r="G139">
        <v>1.8</v>
      </c>
      <c r="H139" t="s">
        <v>5058</v>
      </c>
      <c r="I139">
        <v>1886449200</v>
      </c>
      <c r="K139">
        <v>4.7699999999999996</v>
      </c>
      <c r="L139" t="s">
        <v>101</v>
      </c>
      <c r="M139" t="s">
        <v>2114</v>
      </c>
      <c r="N139" t="s">
        <v>444</v>
      </c>
      <c r="O139" t="s">
        <v>5059</v>
      </c>
      <c r="P139">
        <v>-34.14</v>
      </c>
      <c r="Q139" t="s">
        <v>1266</v>
      </c>
      <c r="R139">
        <v>-23145749</v>
      </c>
      <c r="S139" s="6">
        <v>-20</v>
      </c>
      <c r="T139" t="s">
        <v>5060</v>
      </c>
      <c r="U139">
        <v>260000000</v>
      </c>
      <c r="V139">
        <v>277419000</v>
      </c>
      <c r="W139">
        <v>2.92</v>
      </c>
      <c r="X139">
        <v>0.03</v>
      </c>
      <c r="Y139">
        <v>-67.510000000000005</v>
      </c>
      <c r="Z139" t="s">
        <v>5061</v>
      </c>
      <c r="AA139" t="s">
        <v>5062</v>
      </c>
      <c r="AB139" t="s">
        <v>5063</v>
      </c>
      <c r="AC139" t="s">
        <v>5064</v>
      </c>
      <c r="AD139" t="s">
        <v>5</v>
      </c>
      <c r="AE139">
        <v>2474605</v>
      </c>
      <c r="AF139" t="s">
        <v>5065</v>
      </c>
      <c r="AG139">
        <v>260.76</v>
      </c>
      <c r="AH139" t="s">
        <v>5066</v>
      </c>
      <c r="AI139" t="s">
        <v>5067</v>
      </c>
      <c r="AJ139" t="s">
        <v>5068</v>
      </c>
      <c r="AK139" t="s">
        <v>5069</v>
      </c>
      <c r="AL139" t="s">
        <v>5070</v>
      </c>
      <c r="AM139" t="s">
        <v>5</v>
      </c>
      <c r="AN139" t="s">
        <v>145</v>
      </c>
      <c r="AO139" t="s">
        <v>310</v>
      </c>
      <c r="AP139" t="s">
        <v>5071</v>
      </c>
      <c r="AQ139" t="s">
        <v>614</v>
      </c>
      <c r="AR139" t="s">
        <v>5072</v>
      </c>
      <c r="AS139" t="s">
        <v>503</v>
      </c>
      <c r="AT139" t="s">
        <v>5073</v>
      </c>
      <c r="AU139" t="s">
        <v>5074</v>
      </c>
      <c r="AV139" t="s">
        <v>5075</v>
      </c>
      <c r="AW139" t="s">
        <v>5076</v>
      </c>
      <c r="AX139" t="s">
        <v>461</v>
      </c>
      <c r="AY139" t="s">
        <v>523</v>
      </c>
      <c r="AZ139" t="s">
        <v>451</v>
      </c>
      <c r="BA139" t="s">
        <v>231</v>
      </c>
      <c r="BB139" t="s">
        <v>195</v>
      </c>
      <c r="BC139" t="s">
        <v>2062</v>
      </c>
      <c r="BD139" t="s">
        <v>1344</v>
      </c>
      <c r="BE139" t="s">
        <v>1162</v>
      </c>
      <c r="BF139" t="s">
        <v>232</v>
      </c>
      <c r="BG139" t="s">
        <v>1163</v>
      </c>
      <c r="BH139" t="s">
        <v>257</v>
      </c>
      <c r="BI139" t="s">
        <v>916</v>
      </c>
      <c r="BJ139" t="s">
        <v>461</v>
      </c>
      <c r="BK139" t="s">
        <v>5077</v>
      </c>
      <c r="BL139" t="s">
        <v>5078</v>
      </c>
      <c r="BM139" t="s">
        <v>2062</v>
      </c>
      <c r="BN139" t="s">
        <v>5</v>
      </c>
      <c r="BO139" t="s">
        <v>5</v>
      </c>
      <c r="BP139" t="s">
        <v>5</v>
      </c>
      <c r="BQ139">
        <v>-4</v>
      </c>
      <c r="BR139">
        <v>-29.08</v>
      </c>
      <c r="BS139">
        <v>-26.45</v>
      </c>
      <c r="BT139" t="s">
        <v>1720</v>
      </c>
      <c r="BU139" t="s">
        <v>1605</v>
      </c>
      <c r="BV139">
        <v>5.33</v>
      </c>
      <c r="BW139">
        <v>-2.64</v>
      </c>
      <c r="BX139">
        <v>-2.68</v>
      </c>
      <c r="BY139">
        <v>-19.73</v>
      </c>
      <c r="BZ139">
        <v>-65.64</v>
      </c>
      <c r="CA139">
        <v>-48.03</v>
      </c>
      <c r="CB139">
        <v>5.59</v>
      </c>
      <c r="CC139">
        <v>-17.97</v>
      </c>
      <c r="CD139" t="s">
        <v>5079</v>
      </c>
      <c r="CE139" t="s">
        <v>275</v>
      </c>
      <c r="CF139" s="10">
        <v>-0.8184520833333333</v>
      </c>
      <c r="CG139" s="11">
        <v>-2.3183277799611548</v>
      </c>
      <c r="CH139" s="10">
        <v>2.1721310615539551</v>
      </c>
      <c r="CI139" s="10">
        <v>-0.39303481578826904</v>
      </c>
      <c r="CJ139" s="10">
        <v>0.62096774578094482</v>
      </c>
      <c r="CK139" s="10">
        <v>-0.64822697639465332</v>
      </c>
      <c r="CL139" s="10">
        <v>0.18288590013980865</v>
      </c>
      <c r="CM139" s="11">
        <v>1.2756799459457397</v>
      </c>
      <c r="CN139" s="11">
        <v>0.14054054021835327</v>
      </c>
      <c r="CO139" s="11">
        <v>0.33212995529174805</v>
      </c>
      <c r="CP139" s="11">
        <v>-23.918130874633789</v>
      </c>
      <c r="CQ139" s="11">
        <v>1.2064342498779297</v>
      </c>
      <c r="CR139">
        <v>-18.149716826967559</v>
      </c>
      <c r="CS139">
        <v>-0.46905209742218568</v>
      </c>
      <c r="CT139">
        <v>0</v>
      </c>
      <c r="CU139" s="10">
        <v>0.38694458305835722</v>
      </c>
      <c r="CV139" s="11">
        <v>-4.192669236660004</v>
      </c>
      <c r="CW139">
        <v>0.06</v>
      </c>
      <c r="CX139">
        <v>39.744266678731933</v>
      </c>
      <c r="CY139">
        <v>57352906.22986348</v>
      </c>
      <c r="CZ139">
        <v>0.38694458305835722</v>
      </c>
      <c r="DA139">
        <v>10.191884439277102</v>
      </c>
      <c r="DB139">
        <v>223653360.04159781</v>
      </c>
      <c r="DC139">
        <v>0.36759735390543935</v>
      </c>
      <c r="DD139">
        <v>3.5209837150645358</v>
      </c>
      <c r="DE139">
        <v>647389872.96288025</v>
      </c>
      <c r="DF139">
        <v>0.34051123309135434</v>
      </c>
      <c r="DG139">
        <v>1.3607191046900147</v>
      </c>
      <c r="DH139">
        <v>1675179831.122663</v>
      </c>
      <c r="DI139">
        <v>0.30955566644668581</v>
      </c>
      <c r="DJ139">
        <v>0.23538021143953852</v>
      </c>
      <c r="DK139">
        <v>9684115695.4501076</v>
      </c>
      <c r="DL139">
        <v>0.27086120814085002</v>
      </c>
      <c r="DM139">
        <v>43833100.000000007</v>
      </c>
      <c r="DN139">
        <v>0.38694458305835722</v>
      </c>
      <c r="DO139">
        <v>2279449200</v>
      </c>
      <c r="DP139">
        <v>-21816490</v>
      </c>
      <c r="DQ139">
        <v>4306</v>
      </c>
      <c r="DR139">
        <v>-1.2053966663916906</v>
      </c>
      <c r="DS139">
        <v>1.8743414566988492</v>
      </c>
      <c r="DT139" s="12">
        <v>-0.15666666666666665</v>
      </c>
      <c r="DU139">
        <v>-1.7150000000000001</v>
      </c>
      <c r="DV139">
        <v>-1.8716666666666668</v>
      </c>
      <c r="DW139">
        <v>6.2372665534804757</v>
      </c>
      <c r="DX139">
        <v>0.52264819277108576</v>
      </c>
      <c r="DY139">
        <v>6.0528269693374517</v>
      </c>
      <c r="DZ139">
        <v>2357</v>
      </c>
      <c r="EA139">
        <v>6.0284604005060674</v>
      </c>
      <c r="EB139">
        <v>6</v>
      </c>
      <c r="EC139">
        <v>0.13322663552244079</v>
      </c>
      <c r="ED139">
        <v>0.59837285838388865</v>
      </c>
      <c r="EE139" s="13">
        <v>-2.0314999999999999</v>
      </c>
      <c r="EF139">
        <v>-2.0101</v>
      </c>
      <c r="EG139">
        <v>30.222648192771086</v>
      </c>
      <c r="EH139" t="s">
        <v>1852</v>
      </c>
      <c r="EI139">
        <v>0</v>
      </c>
      <c r="EJ139">
        <v>0</v>
      </c>
      <c r="EK139" s="15">
        <v>45470</v>
      </c>
      <c r="EL139" s="16">
        <v>-0.8</v>
      </c>
      <c r="EM139" s="16">
        <v>-4.6500000000000004</v>
      </c>
      <c r="EN139" s="16">
        <v>0.95</v>
      </c>
      <c r="EO139" s="16">
        <v>3.05</v>
      </c>
      <c r="EP139" s="16">
        <v>-2.14</v>
      </c>
    </row>
    <row r="140" spans="1:146" ht="96" x14ac:dyDescent="0.25">
      <c r="C140" s="8" t="str">
        <f>""&amp;CHAR(10)&amp;Basic_Fundamental_Information_Constructure(F140)&amp;CHAR(10)&amp;Basic_Fundamental_Information_Concatenate("")</f>
        <v xml:space="preserve">
市值37.856亿, 利润5.95亿; PE17.51; 平均PE26.08; 平均PEG.46, PB4.76; ROIC9.415%; ROE4.5633%; 股利率.8242%; 毛利19.5267%; 净利5.65%; 上一年度营收增179.27%, 利润增461.32%; 当季营收增-58.19%, 利润增-43.51%; 过往5年营收增56.2%, 利润增-26.29%
Income profile:
</v>
      </c>
      <c r="D140" t="s">
        <v>430</v>
      </c>
      <c r="E140" t="s">
        <v>54</v>
      </c>
      <c r="F140">
        <v>18.2</v>
      </c>
      <c r="G140">
        <v>0.83</v>
      </c>
      <c r="H140" t="s">
        <v>5080</v>
      </c>
      <c r="I140">
        <v>3785600000</v>
      </c>
      <c r="J140">
        <v>17.510000000000002</v>
      </c>
      <c r="K140">
        <v>4.76</v>
      </c>
      <c r="L140" t="s">
        <v>101</v>
      </c>
      <c r="M140" t="s">
        <v>2223</v>
      </c>
      <c r="N140" t="s">
        <v>4893</v>
      </c>
      <c r="O140" t="s">
        <v>212</v>
      </c>
      <c r="P140">
        <v>-13.47</v>
      </c>
      <c r="Q140" t="s">
        <v>1056</v>
      </c>
      <c r="R140">
        <v>29116067</v>
      </c>
      <c r="S140" s="6">
        <v>0.64200000000000002</v>
      </c>
      <c r="T140" t="s">
        <v>1591</v>
      </c>
      <c r="U140">
        <v>208000000</v>
      </c>
      <c r="V140">
        <v>208000000</v>
      </c>
      <c r="W140">
        <v>3.97</v>
      </c>
      <c r="X140">
        <v>0.09</v>
      </c>
      <c r="Y140">
        <v>11.69</v>
      </c>
      <c r="Z140" t="s">
        <v>758</v>
      </c>
      <c r="AA140" t="s">
        <v>1931</v>
      </c>
      <c r="AB140" t="s">
        <v>5081</v>
      </c>
      <c r="AC140" t="s">
        <v>5082</v>
      </c>
      <c r="AD140" t="s">
        <v>5</v>
      </c>
      <c r="AE140">
        <v>5865158</v>
      </c>
      <c r="AF140" t="s">
        <v>5083</v>
      </c>
      <c r="AG140">
        <v>0.85</v>
      </c>
      <c r="AH140" t="s">
        <v>5084</v>
      </c>
      <c r="AI140" t="s">
        <v>962</v>
      </c>
      <c r="AJ140" t="s">
        <v>5085</v>
      </c>
      <c r="AK140" t="s">
        <v>551</v>
      </c>
      <c r="AL140" t="s">
        <v>5086</v>
      </c>
      <c r="AM140" t="s">
        <v>5</v>
      </c>
      <c r="AN140" t="s">
        <v>5087</v>
      </c>
      <c r="AO140" t="s">
        <v>432</v>
      </c>
      <c r="AP140" t="s">
        <v>404</v>
      </c>
      <c r="AQ140" t="s">
        <v>491</v>
      </c>
      <c r="AR140" t="s">
        <v>5088</v>
      </c>
      <c r="AS140" t="s">
        <v>5089</v>
      </c>
      <c r="AT140" t="s">
        <v>2134</v>
      </c>
      <c r="AU140" t="s">
        <v>5090</v>
      </c>
      <c r="AV140" t="s">
        <v>5091</v>
      </c>
      <c r="AW140" t="s">
        <v>202</v>
      </c>
      <c r="AX140" t="s">
        <v>2064</v>
      </c>
      <c r="AY140" t="s">
        <v>1510</v>
      </c>
      <c r="AZ140" t="s">
        <v>639</v>
      </c>
      <c r="BA140" t="s">
        <v>431</v>
      </c>
      <c r="BB140" t="s">
        <v>1165</v>
      </c>
      <c r="BC140" t="s">
        <v>208</v>
      </c>
      <c r="BD140" t="s">
        <v>1511</v>
      </c>
      <c r="BE140" t="s">
        <v>1164</v>
      </c>
      <c r="BF140" t="s">
        <v>197</v>
      </c>
      <c r="BG140" t="s">
        <v>1166</v>
      </c>
      <c r="BH140" t="s">
        <v>5092</v>
      </c>
      <c r="BI140" t="s">
        <v>5093</v>
      </c>
      <c r="BJ140" t="s">
        <v>2064</v>
      </c>
      <c r="BK140" t="s">
        <v>392</v>
      </c>
      <c r="BL140" t="s">
        <v>5094</v>
      </c>
      <c r="BM140" t="s">
        <v>208</v>
      </c>
      <c r="BN140">
        <v>6.51</v>
      </c>
      <c r="BO140">
        <v>12.32</v>
      </c>
      <c r="BP140" t="s">
        <v>5</v>
      </c>
      <c r="BQ140">
        <v>6.24</v>
      </c>
      <c r="BR140">
        <v>11.46</v>
      </c>
      <c r="BS140">
        <v>-4.01</v>
      </c>
      <c r="BT140" t="s">
        <v>1726</v>
      </c>
      <c r="BU140" t="s">
        <v>1536</v>
      </c>
      <c r="BV140">
        <v>25.34</v>
      </c>
      <c r="BW140">
        <v>21.05</v>
      </c>
      <c r="BX140">
        <v>12.19</v>
      </c>
      <c r="BY140">
        <v>12.46</v>
      </c>
      <c r="BZ140">
        <v>7.67</v>
      </c>
      <c r="CA140">
        <v>-3.18</v>
      </c>
      <c r="CB140">
        <v>-9</v>
      </c>
      <c r="CC140">
        <v>-20.73</v>
      </c>
      <c r="CD140" t="s">
        <v>5095</v>
      </c>
      <c r="CE140" t="s">
        <v>5096</v>
      </c>
      <c r="CF140" s="10">
        <v>-0.58188585607940446</v>
      </c>
      <c r="CG140" s="11">
        <v>-0.43508044206270063</v>
      </c>
      <c r="CH140" s="10">
        <v>1.7926937341690063</v>
      </c>
      <c r="CI140" s="10">
        <v>0.86382979154586792</v>
      </c>
      <c r="CJ140" s="10">
        <v>0.38561329245567322</v>
      </c>
      <c r="CK140" s="10">
        <v>-0.35267174243927002</v>
      </c>
      <c r="CL140" s="10">
        <v>0.12061597406864166</v>
      </c>
      <c r="CM140" s="11">
        <v>4.6132073402404785</v>
      </c>
      <c r="CN140" s="11">
        <v>3.9773857593536377</v>
      </c>
      <c r="CO140" s="11">
        <v>-9.2014560699462891</v>
      </c>
      <c r="CP140" s="11">
        <v>-0.96124202013015747</v>
      </c>
      <c r="CQ140" s="11">
        <v>0.25746485590934753</v>
      </c>
      <c r="CR140">
        <v>26.083382626672975</v>
      </c>
      <c r="CS140">
        <v>0.46410374228405515</v>
      </c>
      <c r="CT140">
        <v>0.82417582417582425</v>
      </c>
      <c r="CU140" s="10">
        <v>0.5620162099599838</v>
      </c>
      <c r="CV140" s="11">
        <v>-0.26292802691459655</v>
      </c>
      <c r="CW140">
        <v>0.06</v>
      </c>
      <c r="CX140">
        <v>6.2838156135338377</v>
      </c>
      <c r="CY140">
        <v>876792117.85489666</v>
      </c>
      <c r="CZ140">
        <v>0.5620162099599838</v>
      </c>
      <c r="DA140">
        <v>1.4090967372189274</v>
      </c>
      <c r="DB140">
        <v>3910022537.4689722</v>
      </c>
      <c r="DC140">
        <v>0.53391539946198463</v>
      </c>
      <c r="DD140">
        <v>0.39264538844835134</v>
      </c>
      <c r="DE140">
        <v>14031999768.984257</v>
      </c>
      <c r="DF140">
        <v>0.49457426476478578</v>
      </c>
      <c r="DG140">
        <v>0.11374462138158399</v>
      </c>
      <c r="DH140">
        <v>48438334341.249481</v>
      </c>
      <c r="DI140">
        <v>0.44961296796798705</v>
      </c>
      <c r="DJ140">
        <v>9.3727681960254754E-3</v>
      </c>
      <c r="DK140">
        <v>587830605085.94971</v>
      </c>
      <c r="DL140">
        <v>0.39341134697198865</v>
      </c>
      <c r="DM140">
        <v>595000000</v>
      </c>
      <c r="DN140">
        <v>0.5620162099599838</v>
      </c>
      <c r="DO140">
        <v>5509600000</v>
      </c>
      <c r="DP140">
        <v>675754100</v>
      </c>
      <c r="DQ140">
        <v>4311</v>
      </c>
      <c r="DR140">
        <v>-1.1439020660393884</v>
      </c>
      <c r="DS140">
        <v>-0.17215241514810409</v>
      </c>
      <c r="DT140" s="12">
        <v>0.21000000000000005</v>
      </c>
      <c r="DU140">
        <v>-0.38666666666666677</v>
      </c>
      <c r="DV140">
        <v>-0.17666666666666672</v>
      </c>
      <c r="DW140">
        <v>-9.4341534008683077</v>
      </c>
      <c r="DX140">
        <v>0.36572811663534521</v>
      </c>
      <c r="DY140">
        <v>-9.058926823430685</v>
      </c>
      <c r="DZ140">
        <v>1140</v>
      </c>
      <c r="EA140">
        <v>-9.0457807219216875</v>
      </c>
      <c r="EB140">
        <v>9</v>
      </c>
      <c r="EC140">
        <v>1.8332692307692307E-2</v>
      </c>
      <c r="ED140">
        <v>0.13506923076923077</v>
      </c>
      <c r="EE140" s="13">
        <v>0.10540999999999999</v>
      </c>
      <c r="EF140">
        <v>0.13630999999999999</v>
      </c>
      <c r="EG140">
        <v>23.135728116635345</v>
      </c>
      <c r="EH140">
        <v>-1</v>
      </c>
      <c r="EI140">
        <v>0</v>
      </c>
      <c r="EJ140">
        <v>1</v>
      </c>
      <c r="EK140" s="15">
        <v>45470</v>
      </c>
      <c r="EL140" s="16">
        <v>-0.28999999999999998</v>
      </c>
      <c r="EM140" s="16">
        <v>-2.93</v>
      </c>
      <c r="EN140" s="16">
        <v>0.68</v>
      </c>
      <c r="EO140" s="16">
        <v>1.72</v>
      </c>
      <c r="EP140" s="16">
        <v>-3.09</v>
      </c>
    </row>
    <row r="141" spans="1:146" ht="180" x14ac:dyDescent="0.25">
      <c r="C141" s="8" t="str">
        <f>"公司主营业务为防爆电器及相关智能化/信息化产品等的生产、销售、服务；新能源EPC总承包、新能源电站持有/运营；专业照明设备生产、销售及光电业务，公司主要产品为厂用防爆电器、矿用防爆电器和专业照明设备。"&amp;CHAR(10)&amp;Basic_Fundamental_Information_Constructure(F141)&amp;CHAR(10)&amp;Basic_Fundamental_Information_Concatenate("厂用防爆产品 8.73亿 63.68%
工程收入 2.46亿 17.94%
矿用防爆产品 1.30亿 9.45%
专业照明产品 9686.37万 7.06%")</f>
        <v>公司主营业务为防爆电器及相关智能化/信息化产品等的生产、销售、服务；新能源EPC总承包、新能源电站持有/运营；专业照明设备生产、销售及光电业务，公司主要产品为厂用防爆电器、矿用防爆电器和专业照明设备。
市值71.427484亿, 利润1.61亿; PE15.53; 平均PE28.51; 平均PEG2.23, PB3.52; ROIC18.8533%; ROE19.6967%; 股利率4.7259%; 毛利50.1467%; 净利13.11%; 上一年度营收增-5.88%, 利润增-55.03%; 当季营收增.31%, 利润增77.28%; 过往5年营收增12.77%, 利润增9.46%
Income profile:
厂用防爆产品 8.73亿 63.68%
工程收入 2.46亿 17.94%
矿用防爆产品 1.30亿 9.45%
专业照明产品 9686.37万 7.06%</v>
      </c>
      <c r="D141" t="s">
        <v>728</v>
      </c>
      <c r="E141" t="s">
        <v>70</v>
      </c>
      <c r="F141">
        <v>21.16</v>
      </c>
      <c r="G141">
        <v>0.76</v>
      </c>
      <c r="H141" t="s">
        <v>5097</v>
      </c>
      <c r="I141">
        <v>7142748400</v>
      </c>
      <c r="J141">
        <v>15.53</v>
      </c>
      <c r="K141">
        <v>3.52</v>
      </c>
      <c r="L141" t="s">
        <v>101</v>
      </c>
      <c r="M141" t="s">
        <v>3016</v>
      </c>
      <c r="N141" t="s">
        <v>5098</v>
      </c>
      <c r="O141" t="s">
        <v>333</v>
      </c>
      <c r="P141">
        <v>5.42</v>
      </c>
      <c r="Q141" t="s">
        <v>5099</v>
      </c>
      <c r="R141">
        <v>84985229</v>
      </c>
      <c r="S141" s="6">
        <v>-1.2200000000000001E-2</v>
      </c>
      <c r="T141" t="s">
        <v>223</v>
      </c>
      <c r="U141">
        <v>330904000</v>
      </c>
      <c r="V141">
        <v>337559000</v>
      </c>
      <c r="W141">
        <v>2.21</v>
      </c>
      <c r="X141">
        <v>0.14000000000000001</v>
      </c>
      <c r="Y141">
        <v>13.13</v>
      </c>
      <c r="Z141" t="s">
        <v>385</v>
      </c>
      <c r="AA141" t="s">
        <v>319</v>
      </c>
      <c r="AB141" t="s">
        <v>536</v>
      </c>
      <c r="AC141" t="s">
        <v>5100</v>
      </c>
      <c r="AD141" t="s">
        <v>5</v>
      </c>
      <c r="AE141">
        <v>-2571535</v>
      </c>
      <c r="AF141" t="s">
        <v>5101</v>
      </c>
      <c r="AG141" t="s">
        <v>5102</v>
      </c>
      <c r="AH141" t="s">
        <v>5103</v>
      </c>
      <c r="AI141" t="s">
        <v>1551</v>
      </c>
      <c r="AJ141" t="s">
        <v>5104</v>
      </c>
      <c r="AK141" t="s">
        <v>5105</v>
      </c>
      <c r="AL141" t="s">
        <v>5106</v>
      </c>
      <c r="AM141" t="s">
        <v>5</v>
      </c>
      <c r="AN141" t="s">
        <v>5107</v>
      </c>
      <c r="AO141" t="s">
        <v>244</v>
      </c>
      <c r="AP141" t="s">
        <v>946</v>
      </c>
      <c r="AQ141" t="s">
        <v>1889</v>
      </c>
      <c r="AR141" t="s">
        <v>5108</v>
      </c>
      <c r="AS141" t="s">
        <v>5109</v>
      </c>
      <c r="AT141" t="s">
        <v>5</v>
      </c>
      <c r="AU141" t="s">
        <v>5110</v>
      </c>
      <c r="AV141" t="s">
        <v>5111</v>
      </c>
      <c r="AW141" t="s">
        <v>5112</v>
      </c>
      <c r="AX141" t="s">
        <v>2065</v>
      </c>
      <c r="AY141" t="s">
        <v>1513</v>
      </c>
      <c r="AZ141" t="s">
        <v>1167</v>
      </c>
      <c r="BA141" t="s">
        <v>585</v>
      </c>
      <c r="BB141" t="s">
        <v>1169</v>
      </c>
      <c r="BC141" t="s">
        <v>601</v>
      </c>
      <c r="BD141" t="s">
        <v>289</v>
      </c>
      <c r="BE141" t="s">
        <v>752</v>
      </c>
      <c r="BF141" t="s">
        <v>308</v>
      </c>
      <c r="BG141" t="s">
        <v>297</v>
      </c>
      <c r="BH141" t="s">
        <v>5113</v>
      </c>
      <c r="BI141" t="s">
        <v>1609</v>
      </c>
      <c r="BJ141" t="s">
        <v>2065</v>
      </c>
      <c r="BK141" t="s">
        <v>528</v>
      </c>
      <c r="BL141" t="s">
        <v>5114</v>
      </c>
      <c r="BM141" t="s">
        <v>601</v>
      </c>
      <c r="BN141">
        <v>15.63</v>
      </c>
      <c r="BO141">
        <v>19</v>
      </c>
      <c r="BP141">
        <v>21.93</v>
      </c>
      <c r="BQ141">
        <v>16.38</v>
      </c>
      <c r="BR141">
        <v>19.850000000000001</v>
      </c>
      <c r="BS141">
        <v>22.86</v>
      </c>
      <c r="BT141" t="s">
        <v>1736</v>
      </c>
      <c r="BU141" t="s">
        <v>1537</v>
      </c>
      <c r="BV141">
        <v>54.19</v>
      </c>
      <c r="BW141">
        <v>50.37</v>
      </c>
      <c r="BX141">
        <v>45.88</v>
      </c>
      <c r="BY141">
        <v>14.63</v>
      </c>
      <c r="BZ141">
        <v>11.81</v>
      </c>
      <c r="CA141">
        <v>12.89</v>
      </c>
      <c r="CB141">
        <v>-4.3</v>
      </c>
      <c r="CC141">
        <v>-0.38</v>
      </c>
      <c r="CD141" t="s">
        <v>5115</v>
      </c>
      <c r="CE141" t="s">
        <v>5116</v>
      </c>
      <c r="CF141" s="10">
        <v>3.1152647975077881E-3</v>
      </c>
      <c r="CG141" s="11">
        <v>0.77284877474857683</v>
      </c>
      <c r="CH141" s="10">
        <v>-5.8823548257350922E-2</v>
      </c>
      <c r="CI141" s="10">
        <v>5.2857613191008568E-3</v>
      </c>
      <c r="CJ141" s="10">
        <v>0.32588699460029602</v>
      </c>
      <c r="CK141" s="10">
        <v>0.17498712241649628</v>
      </c>
      <c r="CL141" s="10">
        <v>0.19129377603530884</v>
      </c>
      <c r="CM141" s="11">
        <v>-0.55027931928634644</v>
      </c>
      <c r="CN141" s="11">
        <v>-6.0367453843355179E-2</v>
      </c>
      <c r="CO141" s="11">
        <v>0.45977011322975159</v>
      </c>
      <c r="CP141" s="11">
        <v>0.37368419766426086</v>
      </c>
      <c r="CQ141" s="11">
        <v>0.25</v>
      </c>
      <c r="CR141">
        <v>28.513965668662674</v>
      </c>
      <c r="CS141">
        <v>2.2324319974651634</v>
      </c>
      <c r="CT141">
        <v>4.7258979206049148</v>
      </c>
      <c r="CU141" s="10">
        <v>0.12772602122277021</v>
      </c>
      <c r="CV141" s="11">
        <v>9.4561507552862162E-2</v>
      </c>
      <c r="CW141">
        <v>0.06</v>
      </c>
      <c r="CX141">
        <v>44.829802501707704</v>
      </c>
      <c r="CY141">
        <v>171286688.12911886</v>
      </c>
      <c r="CZ141">
        <v>0.12772602122277021</v>
      </c>
      <c r="DA141">
        <v>14.191314213951216</v>
      </c>
      <c r="DB141">
        <v>541087899.55839086</v>
      </c>
      <c r="DC141">
        <v>0.12133972016163169</v>
      </c>
      <c r="DD141">
        <v>6.6911151680785261</v>
      </c>
      <c r="DE141">
        <v>1147603681.4660134</v>
      </c>
      <c r="DF141">
        <v>0.11239889867603779</v>
      </c>
      <c r="DG141">
        <v>3.8241222687996332</v>
      </c>
      <c r="DH141">
        <v>2007976696.4172692</v>
      </c>
      <c r="DI141">
        <v>0.10218081697821618</v>
      </c>
      <c r="DJ141">
        <v>1.7670579668373934</v>
      </c>
      <c r="DK141">
        <v>4345498871.065958</v>
      </c>
      <c r="DL141">
        <v>8.9408214855939139E-2</v>
      </c>
      <c r="DM141">
        <v>161000000</v>
      </c>
      <c r="DN141">
        <v>0.12772602122277021</v>
      </c>
      <c r="DO141">
        <v>7678748400</v>
      </c>
      <c r="DP141">
        <v>1262202800</v>
      </c>
      <c r="DQ141">
        <v>4337</v>
      </c>
      <c r="DR141">
        <v>-0.12461075642526243</v>
      </c>
      <c r="DS141">
        <v>0.67828726719571464</v>
      </c>
      <c r="DT141" s="12">
        <v>-9.000000000000008E-2</v>
      </c>
      <c r="DU141">
        <v>0.18333333333333326</v>
      </c>
      <c r="DV141">
        <v>9.3333333333333185E-2</v>
      </c>
      <c r="DW141">
        <v>-4.0883720930232554</v>
      </c>
      <c r="DX141">
        <v>0.34140153259913841</v>
      </c>
      <c r="DY141">
        <v>-4.0116122284622495</v>
      </c>
      <c r="DZ141">
        <v>1917</v>
      </c>
      <c r="EA141">
        <v>-4.0072559384500908</v>
      </c>
      <c r="EB141">
        <v>4</v>
      </c>
      <c r="EC141">
        <v>1.3944229008854747E-2</v>
      </c>
      <c r="ED141">
        <v>0.10611922656483755</v>
      </c>
      <c r="EE141" s="13">
        <v>-1.0581100000000001</v>
      </c>
      <c r="EF141">
        <v>-1.0659099999999999</v>
      </c>
      <c r="EG141">
        <v>21.131401532599138</v>
      </c>
      <c r="EH141" t="s">
        <v>1563</v>
      </c>
      <c r="EI141">
        <v>0</v>
      </c>
      <c r="EJ141">
        <v>0</v>
      </c>
      <c r="EK141" s="15">
        <v>45470</v>
      </c>
      <c r="EL141" s="16">
        <v>2.85</v>
      </c>
      <c r="EM141" s="16">
        <v>-4.01</v>
      </c>
      <c r="EN141" s="16">
        <v>-0.2</v>
      </c>
      <c r="EO141" s="16">
        <v>2.69</v>
      </c>
      <c r="EP141" s="16">
        <v>-0.78</v>
      </c>
    </row>
    <row r="142" spans="1:146" ht="96" x14ac:dyDescent="0.25">
      <c r="C142" s="8" t="str">
        <f>""&amp;CHAR(10)&amp;Basic_Fundamental_Information_Constructure(F142)&amp;CHAR(10)&amp;Basic_Fundamental_Information_Concatenate("")</f>
        <v xml:space="preserve">
市值18.027744亿, 利润2.54亿; PE; 平均PE75.5; 平均PEG7.48, PB4.9; ROIC0%; ROE-6.89%; 股利率0%; 毛利18.1933%; 净利-16.9267%; 上一年度营收增35.64%, 利润增301.59%; 当季营收增-16.5%, 利润增-92.77%; 过往5年营收增10.1%, 利润增-333.24%
Income profile:
</v>
      </c>
      <c r="D142" t="s">
        <v>729</v>
      </c>
      <c r="E142" t="s">
        <v>43</v>
      </c>
      <c r="F142">
        <v>16.68</v>
      </c>
      <c r="G142">
        <v>1.96</v>
      </c>
      <c r="H142" t="s">
        <v>5117</v>
      </c>
      <c r="I142">
        <v>1802774400</v>
      </c>
      <c r="K142">
        <v>4.9000000000000004</v>
      </c>
      <c r="L142" t="s">
        <v>101</v>
      </c>
      <c r="M142" t="s">
        <v>1260</v>
      </c>
      <c r="N142" t="s">
        <v>190</v>
      </c>
      <c r="O142" t="s">
        <v>344</v>
      </c>
      <c r="P142">
        <v>-11.69</v>
      </c>
      <c r="Q142" t="s">
        <v>191</v>
      </c>
      <c r="R142">
        <v>4528826</v>
      </c>
      <c r="S142" s="6">
        <v>-0.40500000000000003</v>
      </c>
      <c r="T142" t="s">
        <v>702</v>
      </c>
      <c r="U142">
        <v>108080000</v>
      </c>
      <c r="V142">
        <v>108080000</v>
      </c>
      <c r="W142">
        <v>5.0199999999999996</v>
      </c>
      <c r="X142">
        <v>0.11</v>
      </c>
      <c r="Y142">
        <v>7.18</v>
      </c>
      <c r="Z142" t="s">
        <v>165</v>
      </c>
      <c r="AA142" t="s">
        <v>214</v>
      </c>
      <c r="AB142" t="s">
        <v>5118</v>
      </c>
      <c r="AC142" t="s">
        <v>5119</v>
      </c>
      <c r="AD142" t="s">
        <v>5</v>
      </c>
      <c r="AE142">
        <v>4372482</v>
      </c>
      <c r="AF142" t="s">
        <v>127</v>
      </c>
      <c r="AG142" t="s">
        <v>5120</v>
      </c>
      <c r="AH142" t="s">
        <v>5121</v>
      </c>
      <c r="AI142" t="s">
        <v>121</v>
      </c>
      <c r="AJ142" t="s">
        <v>5122</v>
      </c>
      <c r="AK142" t="s">
        <v>5123</v>
      </c>
      <c r="AL142" t="s">
        <v>5124</v>
      </c>
      <c r="AM142" t="s">
        <v>5</v>
      </c>
      <c r="AN142" t="s">
        <v>5125</v>
      </c>
      <c r="AO142" t="s">
        <v>177</v>
      </c>
      <c r="AP142" t="s">
        <v>5126</v>
      </c>
      <c r="AQ142" t="s">
        <v>943</v>
      </c>
      <c r="AR142" t="s">
        <v>5</v>
      </c>
      <c r="AS142" t="s">
        <v>5127</v>
      </c>
      <c r="AT142" t="s">
        <v>916</v>
      </c>
      <c r="AU142" t="s">
        <v>5128</v>
      </c>
      <c r="AV142" t="s">
        <v>5</v>
      </c>
      <c r="AW142" t="s">
        <v>5129</v>
      </c>
      <c r="AX142" t="s">
        <v>1658</v>
      </c>
      <c r="AY142" t="s">
        <v>962</v>
      </c>
      <c r="AZ142" t="s">
        <v>748</v>
      </c>
      <c r="BA142" t="s">
        <v>291</v>
      </c>
      <c r="BB142" t="s">
        <v>230</v>
      </c>
      <c r="BC142" t="s">
        <v>1920</v>
      </c>
      <c r="BD142" t="s">
        <v>1514</v>
      </c>
      <c r="BE142" t="s">
        <v>1171</v>
      </c>
      <c r="BF142" t="s">
        <v>731</v>
      </c>
      <c r="BG142" t="s">
        <v>1173</v>
      </c>
      <c r="BH142" t="s">
        <v>1591</v>
      </c>
      <c r="BI142" t="s">
        <v>173</v>
      </c>
      <c r="BJ142" t="s">
        <v>1658</v>
      </c>
      <c r="BK142" t="s">
        <v>2078</v>
      </c>
      <c r="BL142" t="s">
        <v>5130</v>
      </c>
      <c r="BM142" t="s">
        <v>1920</v>
      </c>
      <c r="BN142" t="s">
        <v>5</v>
      </c>
      <c r="BO142" t="s">
        <v>5</v>
      </c>
      <c r="BP142" t="s">
        <v>5</v>
      </c>
      <c r="BQ142">
        <v>1.73</v>
      </c>
      <c r="BR142">
        <v>-23.61</v>
      </c>
      <c r="BS142">
        <v>1.21</v>
      </c>
      <c r="BT142" t="s">
        <v>1720</v>
      </c>
      <c r="BU142" t="s">
        <v>1537</v>
      </c>
      <c r="BV142">
        <v>17.100000000000001</v>
      </c>
      <c r="BW142">
        <v>15.41</v>
      </c>
      <c r="BX142">
        <v>22.07</v>
      </c>
      <c r="BY142">
        <v>-24.58</v>
      </c>
      <c r="BZ142">
        <v>-26.96</v>
      </c>
      <c r="CA142">
        <v>0.76</v>
      </c>
      <c r="CB142">
        <v>-3.19</v>
      </c>
      <c r="CC142">
        <v>-8.5</v>
      </c>
      <c r="CD142" t="s">
        <v>5131</v>
      </c>
      <c r="CE142" t="s">
        <v>5132</v>
      </c>
      <c r="CF142" s="10">
        <v>-0.1650485436893204</v>
      </c>
      <c r="CG142" s="11">
        <v>-0.92766666932862696</v>
      </c>
      <c r="CH142" s="10">
        <v>0.35640138387680054</v>
      </c>
      <c r="CI142" s="10">
        <v>0.1468254029750824</v>
      </c>
      <c r="CJ142" s="10">
        <v>-5.917159840464592E-3</v>
      </c>
      <c r="CK142" s="10">
        <v>7.8723400831222534E-2</v>
      </c>
      <c r="CL142" s="10">
        <v>-7.1146242320537567E-2</v>
      </c>
      <c r="CM142" s="11">
        <v>3.0158729553222656</v>
      </c>
      <c r="CN142" s="11">
        <v>-18.457084655761719</v>
      </c>
      <c r="CO142" s="11">
        <v>-0.40857914090156555</v>
      </c>
      <c r="CP142" s="11">
        <v>1.3029897212982178</v>
      </c>
      <c r="CQ142" s="11">
        <v>-2.1151916980743408</v>
      </c>
      <c r="CR142">
        <v>75.502972193448045</v>
      </c>
      <c r="CS142">
        <v>7.4772180970601596</v>
      </c>
      <c r="CT142">
        <v>0</v>
      </c>
      <c r="CU142" s="10">
        <v>0.10097735710442066</v>
      </c>
      <c r="CV142" s="11">
        <v>-3.3323985636234283</v>
      </c>
      <c r="CW142">
        <v>0.06</v>
      </c>
      <c r="CX142">
        <v>10.214477928013579</v>
      </c>
      <c r="CY142">
        <v>263819102.5514366</v>
      </c>
      <c r="CZ142">
        <v>0.10097735710442066</v>
      </c>
      <c r="DA142">
        <v>3.3071501006355337</v>
      </c>
      <c r="DB142">
        <v>814832807.09942567</v>
      </c>
      <c r="DC142">
        <v>9.5928489249199625E-2</v>
      </c>
      <c r="DD142">
        <v>1.6078621129883064</v>
      </c>
      <c r="DE142">
        <v>1675998444.2892327</v>
      </c>
      <c r="DF142">
        <v>8.8860074251890173E-2</v>
      </c>
      <c r="DG142">
        <v>0.95199905683100661</v>
      </c>
      <c r="DH142">
        <v>2830648182.5415936</v>
      </c>
      <c r="DI142">
        <v>8.0781885683536531E-2</v>
      </c>
      <c r="DJ142">
        <v>0.4766503423480265</v>
      </c>
      <c r="DK142">
        <v>5653566483.8197241</v>
      </c>
      <c r="DL142">
        <v>7.0684149973094454E-2</v>
      </c>
      <c r="DM142">
        <v>254000000</v>
      </c>
      <c r="DN142">
        <v>0.10097735710442066</v>
      </c>
      <c r="DO142">
        <v>2694774400</v>
      </c>
      <c r="DP142">
        <v>293615670</v>
      </c>
      <c r="DQ142">
        <v>4364</v>
      </c>
      <c r="DR142">
        <v>-0.26602590079374105</v>
      </c>
      <c r="DS142">
        <v>2.4047318942948013</v>
      </c>
      <c r="DT142" s="12">
        <v>-0.27333333333333337</v>
      </c>
      <c r="DU142">
        <v>-1.3733333333333333</v>
      </c>
      <c r="DV142">
        <v>-1.6466666666666667</v>
      </c>
      <c r="DW142">
        <v>-8.3752941176470586</v>
      </c>
      <c r="DX142">
        <v>0.30363016002138538</v>
      </c>
      <c r="DY142">
        <v>-8.0388917894668488</v>
      </c>
      <c r="DZ142">
        <v>823</v>
      </c>
      <c r="EA142">
        <v>-8.0326280041965514</v>
      </c>
      <c r="EB142">
        <v>8</v>
      </c>
      <c r="EC142">
        <v>3.3356772760917835E-2</v>
      </c>
      <c r="ED142">
        <v>0.32188286454478165</v>
      </c>
      <c r="EE142" s="13">
        <v>-3.0162</v>
      </c>
      <c r="EF142">
        <v>-3.0098099999999999</v>
      </c>
      <c r="EG142">
        <v>20.103630160021385</v>
      </c>
      <c r="EH142" t="s">
        <v>2118</v>
      </c>
      <c r="EI142">
        <v>0</v>
      </c>
      <c r="EJ142">
        <v>1</v>
      </c>
      <c r="EK142" s="15">
        <v>45470</v>
      </c>
      <c r="EL142" s="16">
        <v>1.63</v>
      </c>
      <c r="EM142" s="16">
        <v>-3.05</v>
      </c>
      <c r="EN142" s="16">
        <v>-3.18</v>
      </c>
      <c r="EO142" s="16">
        <v>6.32</v>
      </c>
      <c r="EP142" s="16">
        <v>-2.6</v>
      </c>
    </row>
    <row r="143" spans="1:146" ht="96" x14ac:dyDescent="0.25">
      <c r="C143" s="8" t="str">
        <f>""&amp;CHAR(10)&amp;Basic_Fundamental_Information_Constructure(F143)&amp;CHAR(10)&amp;Basic_Fundamental_Information_Concatenate("")</f>
        <v xml:space="preserve">
市值32.396723亿, 利润1.63亿; PE91.99; 平均PE18.66; 平均PEG6.21, PB1.34; ROIC8.0133%; ROE10.7433%; 股利率1.2048%; 毛利30.5633%; 净利7.1433%; 上一年度营收增-41.83%, 利润增-40.51%; 当季营收增359.67%, 利润增1210.28%; 过往5年营收增3%, 利润增24.69%
Income profile:
</v>
      </c>
      <c r="D143" t="s">
        <v>476</v>
      </c>
      <c r="E143" t="s">
        <v>47</v>
      </c>
      <c r="F143">
        <v>6.64</v>
      </c>
      <c r="G143">
        <v>0.3</v>
      </c>
      <c r="H143" t="s">
        <v>5133</v>
      </c>
      <c r="I143">
        <v>3239672300</v>
      </c>
      <c r="J143">
        <v>91.99</v>
      </c>
      <c r="K143">
        <v>1.34</v>
      </c>
      <c r="L143" t="s">
        <v>101</v>
      </c>
      <c r="M143" t="s">
        <v>5134</v>
      </c>
      <c r="N143" t="s">
        <v>2257</v>
      </c>
      <c r="O143" t="s">
        <v>991</v>
      </c>
      <c r="P143">
        <v>11.2</v>
      </c>
      <c r="Q143" t="s">
        <v>5135</v>
      </c>
      <c r="R143">
        <v>38467183</v>
      </c>
      <c r="S143" s="6">
        <v>-0.4824</v>
      </c>
      <c r="T143" t="s">
        <v>642</v>
      </c>
      <c r="U143">
        <v>482895560</v>
      </c>
      <c r="V143">
        <v>487902460</v>
      </c>
      <c r="W143">
        <v>2.75</v>
      </c>
      <c r="X143">
        <v>0.12</v>
      </c>
      <c r="Y143">
        <v>4.76</v>
      </c>
      <c r="Z143" t="s">
        <v>2240</v>
      </c>
      <c r="AA143" t="s">
        <v>1253</v>
      </c>
      <c r="AB143" t="s">
        <v>5136</v>
      </c>
      <c r="AC143" t="s">
        <v>5137</v>
      </c>
      <c r="AD143" t="s">
        <v>5</v>
      </c>
      <c r="AE143">
        <v>10175710</v>
      </c>
      <c r="AF143" t="s">
        <v>5138</v>
      </c>
      <c r="AG143" t="s">
        <v>5139</v>
      </c>
      <c r="AH143" t="s">
        <v>5140</v>
      </c>
      <c r="AI143" t="s">
        <v>1555</v>
      </c>
      <c r="AJ143" t="s">
        <v>5141</v>
      </c>
      <c r="AK143" t="s">
        <v>5142</v>
      </c>
      <c r="AL143" t="s">
        <v>5143</v>
      </c>
      <c r="AM143" t="s">
        <v>5</v>
      </c>
      <c r="AN143" t="s">
        <v>733</v>
      </c>
      <c r="AO143" t="s">
        <v>405</v>
      </c>
      <c r="AP143" t="s">
        <v>2197</v>
      </c>
      <c r="AQ143" t="s">
        <v>569</v>
      </c>
      <c r="AR143" t="s">
        <v>5</v>
      </c>
      <c r="AS143" t="s">
        <v>5144</v>
      </c>
      <c r="AT143" t="s">
        <v>830</v>
      </c>
      <c r="AU143" t="s">
        <v>3468</v>
      </c>
      <c r="AV143" t="s">
        <v>2062</v>
      </c>
      <c r="AW143" t="s">
        <v>5145</v>
      </c>
      <c r="AX143" t="s">
        <v>2066</v>
      </c>
      <c r="AY143" t="s">
        <v>1258</v>
      </c>
      <c r="AZ143" t="s">
        <v>809</v>
      </c>
      <c r="BA143" t="s">
        <v>477</v>
      </c>
      <c r="BB143" t="s">
        <v>1174</v>
      </c>
      <c r="BC143" t="s">
        <v>320</v>
      </c>
      <c r="BD143" t="s">
        <v>752</v>
      </c>
      <c r="BE143" t="s">
        <v>371</v>
      </c>
      <c r="BF143" t="s">
        <v>478</v>
      </c>
      <c r="BG143" t="s">
        <v>1176</v>
      </c>
      <c r="BH143" t="s">
        <v>5146</v>
      </c>
      <c r="BI143" t="s">
        <v>658</v>
      </c>
      <c r="BJ143" t="s">
        <v>2066</v>
      </c>
      <c r="BK143" t="s">
        <v>5147</v>
      </c>
      <c r="BL143" t="s">
        <v>5148</v>
      </c>
      <c r="BM143" t="s">
        <v>320</v>
      </c>
      <c r="BN143">
        <v>4.33</v>
      </c>
      <c r="BO143">
        <v>8.7100000000000009</v>
      </c>
      <c r="BP143">
        <v>11</v>
      </c>
      <c r="BQ143">
        <v>6.43</v>
      </c>
      <c r="BR143">
        <v>11.84</v>
      </c>
      <c r="BS143">
        <v>13.96</v>
      </c>
      <c r="BT143" t="s">
        <v>1734</v>
      </c>
      <c r="BU143" t="s">
        <v>1590</v>
      </c>
      <c r="BV143">
        <v>29.9</v>
      </c>
      <c r="BW143">
        <v>29.65</v>
      </c>
      <c r="BX143">
        <v>32.14</v>
      </c>
      <c r="BY143">
        <v>1.98</v>
      </c>
      <c r="BZ143">
        <v>9.89</v>
      </c>
      <c r="CA143">
        <v>9.56</v>
      </c>
      <c r="CB143">
        <v>-5.28</v>
      </c>
      <c r="CC143">
        <v>-21.88</v>
      </c>
      <c r="CD143" t="s">
        <v>5149</v>
      </c>
      <c r="CE143" t="s">
        <v>219</v>
      </c>
      <c r="CF143" s="10">
        <v>3.596685082872928</v>
      </c>
      <c r="CG143" s="11">
        <v>12.102794127665373</v>
      </c>
      <c r="CH143" s="10">
        <v>-0.41833388805389404</v>
      </c>
      <c r="CI143" s="10">
        <v>1.55152827501297E-2</v>
      </c>
      <c r="CJ143" s="10">
        <v>0.340099036693573</v>
      </c>
      <c r="CK143" s="10">
        <v>7.9636521637439728E-2</v>
      </c>
      <c r="CL143" s="10">
        <v>0.1332525759935379</v>
      </c>
      <c r="CM143" s="11">
        <v>-0.40510949492454529</v>
      </c>
      <c r="CN143" s="11">
        <v>4.9808427691459656E-2</v>
      </c>
      <c r="CO143" s="11">
        <v>0.52631580829620361</v>
      </c>
      <c r="CP143" s="11">
        <v>0.73503488302230835</v>
      </c>
      <c r="CQ143" s="11">
        <v>0.32854378223419189</v>
      </c>
      <c r="CR143">
        <v>18.659173764237458</v>
      </c>
      <c r="CS143">
        <v>6.2127030316698528</v>
      </c>
      <c r="CT143">
        <v>1.2048192771084338</v>
      </c>
      <c r="CU143" s="10">
        <v>3.0033905804157258E-2</v>
      </c>
      <c r="CV143" s="11">
        <v>0.24691868126392363</v>
      </c>
      <c r="CW143">
        <v>0.06</v>
      </c>
      <c r="CX143">
        <v>32.846811038779023</v>
      </c>
      <c r="CY143">
        <v>158392006.26988456</v>
      </c>
      <c r="CZ143">
        <v>3.0033905804157258E-2</v>
      </c>
      <c r="DA143">
        <v>11.296972862518963</v>
      </c>
      <c r="DB143">
        <v>460536850.29742777</v>
      </c>
      <c r="DC143">
        <v>2.8532210513949392E-2</v>
      </c>
      <c r="DD143">
        <v>5.944974004614858</v>
      </c>
      <c r="DE143">
        <v>875137939.36884546</v>
      </c>
      <c r="DF143">
        <v>2.6429837107658387E-2</v>
      </c>
      <c r="DG143">
        <v>3.8403847776229538</v>
      </c>
      <c r="DH143">
        <v>1354726831.1016085</v>
      </c>
      <c r="DI143">
        <v>2.4027124643325806E-2</v>
      </c>
      <c r="DJ143">
        <v>2.3107762676439143</v>
      </c>
      <c r="DK143">
        <v>2251482487.8761134</v>
      </c>
      <c r="DL143">
        <v>2.1023734062910079E-2</v>
      </c>
      <c r="DM143">
        <v>163000000</v>
      </c>
      <c r="DN143">
        <v>3.0033905804157258E-2</v>
      </c>
      <c r="DO143">
        <v>5202672300</v>
      </c>
      <c r="DP143">
        <v>1703556600</v>
      </c>
      <c r="DQ143">
        <v>4370</v>
      </c>
      <c r="DR143">
        <v>3.5666511770687706</v>
      </c>
      <c r="DS143">
        <v>11.855875446401448</v>
      </c>
      <c r="DT143" s="12">
        <v>-0.47333333333333333</v>
      </c>
      <c r="DU143">
        <v>0.51999999999999991</v>
      </c>
      <c r="DV143">
        <v>4.6666666666666579E-2</v>
      </c>
      <c r="DW143">
        <v>-8.2413162705667276</v>
      </c>
      <c r="DX143">
        <v>0.40011354838709678</v>
      </c>
      <c r="DY143">
        <v>-8.0362248416583117</v>
      </c>
      <c r="DZ143">
        <v>1387</v>
      </c>
      <c r="EA143">
        <v>-8.02639238463677</v>
      </c>
      <c r="EB143">
        <v>8</v>
      </c>
      <c r="EC143">
        <v>4.7689040141343016E-2</v>
      </c>
      <c r="ED143">
        <v>0.31768644904967275</v>
      </c>
      <c r="EE143" s="13">
        <v>-4.0865999999999998</v>
      </c>
      <c r="EF143">
        <v>-4.0753000000000004</v>
      </c>
      <c r="EG143">
        <v>25.150113548387097</v>
      </c>
      <c r="EH143" t="s">
        <v>2120</v>
      </c>
      <c r="EI143">
        <v>0</v>
      </c>
      <c r="EJ143">
        <v>1</v>
      </c>
      <c r="EK143" s="15">
        <v>45470</v>
      </c>
      <c r="EL143" s="16">
        <v>0.71</v>
      </c>
      <c r="EM143" s="16">
        <v>-4.22</v>
      </c>
      <c r="EN143" s="16">
        <v>1.32</v>
      </c>
      <c r="EO143" s="16">
        <v>2.75</v>
      </c>
      <c r="EP143" s="16">
        <v>-1.1299999999999999</v>
      </c>
    </row>
    <row r="144" spans="1:146" ht="96" x14ac:dyDescent="0.25">
      <c r="C144" s="8" t="str">
        <f>""&amp;CHAR(10)&amp;Basic_Fundamental_Information_Constructure(F144)&amp;CHAR(10)&amp;Basic_Fundamental_Information_Concatenate("")</f>
        <v xml:space="preserve">
市值26.044368亿, 利润-533.08万; PE86.08; 平均PE34.44; 平均PEG4.92, PB1.42; ROIC11.69%; ROE.3033%; 股利率1.9455%; 毛利56.3667%; 净利1.6567%; 上一年度营收增-23.18%, 利润增96.3%; 当季营收增16.3%, 利润增-208.06%; 过往5年营收增7%, 利润增-3.32%
Income profile:
</v>
      </c>
      <c r="D144" t="s">
        <v>734</v>
      </c>
      <c r="E144" t="s">
        <v>20</v>
      </c>
      <c r="F144">
        <v>5.14</v>
      </c>
      <c r="G144">
        <v>0.98</v>
      </c>
      <c r="H144" t="s">
        <v>5150</v>
      </c>
      <c r="I144">
        <v>2604436800</v>
      </c>
      <c r="J144">
        <v>86.08</v>
      </c>
      <c r="K144">
        <v>1.42</v>
      </c>
      <c r="L144" t="s">
        <v>101</v>
      </c>
      <c r="M144" t="s">
        <v>5151</v>
      </c>
      <c r="N144" t="s">
        <v>5152</v>
      </c>
      <c r="O144" t="s">
        <v>576</v>
      </c>
      <c r="P144">
        <v>37.03</v>
      </c>
      <c r="Q144" t="s">
        <v>762</v>
      </c>
      <c r="R144">
        <v>-37501987</v>
      </c>
      <c r="S144" s="6">
        <v>0.15570000000000001</v>
      </c>
      <c r="T144" t="s">
        <v>5153</v>
      </c>
      <c r="U144">
        <v>506699770</v>
      </c>
      <c r="V144">
        <v>506699770</v>
      </c>
      <c r="W144">
        <v>1.68</v>
      </c>
      <c r="X144">
        <v>0.06</v>
      </c>
      <c r="Y144">
        <v>-12.48</v>
      </c>
      <c r="Z144" t="s">
        <v>269</v>
      </c>
      <c r="AA144" t="s">
        <v>5154</v>
      </c>
      <c r="AB144" t="s">
        <v>5155</v>
      </c>
      <c r="AC144" t="s">
        <v>5156</v>
      </c>
      <c r="AD144" t="s">
        <v>5</v>
      </c>
      <c r="AE144">
        <v>5433737</v>
      </c>
      <c r="AF144" t="s">
        <v>5157</v>
      </c>
      <c r="AG144" t="s">
        <v>5158</v>
      </c>
      <c r="AH144" t="s">
        <v>5159</v>
      </c>
      <c r="AI144" t="s">
        <v>619</v>
      </c>
      <c r="AJ144" t="s">
        <v>5160</v>
      </c>
      <c r="AK144" t="s">
        <v>5161</v>
      </c>
      <c r="AL144" t="s">
        <v>5162</v>
      </c>
      <c r="AM144" t="s">
        <v>5</v>
      </c>
      <c r="AN144" t="s">
        <v>1637</v>
      </c>
      <c r="AO144" t="s">
        <v>591</v>
      </c>
      <c r="AP144" t="s">
        <v>5163</v>
      </c>
      <c r="AQ144" t="s">
        <v>329</v>
      </c>
      <c r="AR144" t="s">
        <v>5</v>
      </c>
      <c r="AS144" t="s">
        <v>1304</v>
      </c>
      <c r="AT144" t="s">
        <v>5</v>
      </c>
      <c r="AU144" t="s">
        <v>2200</v>
      </c>
      <c r="AV144" t="s">
        <v>1557</v>
      </c>
      <c r="AW144" t="s">
        <v>303</v>
      </c>
      <c r="AX144" t="s">
        <v>1633</v>
      </c>
      <c r="AY144" t="s">
        <v>1516</v>
      </c>
      <c r="AZ144" t="s">
        <v>841</v>
      </c>
      <c r="BA144" t="s">
        <v>735</v>
      </c>
      <c r="BB144" t="s">
        <v>1177</v>
      </c>
      <c r="BC144" t="s">
        <v>1413</v>
      </c>
      <c r="BD144" t="s">
        <v>314</v>
      </c>
      <c r="BE144" t="s">
        <v>371</v>
      </c>
      <c r="BF144" t="s">
        <v>484</v>
      </c>
      <c r="BG144" t="s">
        <v>260</v>
      </c>
      <c r="BH144" t="s">
        <v>4801</v>
      </c>
      <c r="BI144" t="s">
        <v>367</v>
      </c>
      <c r="BJ144" t="s">
        <v>1633</v>
      </c>
      <c r="BK144" t="s">
        <v>5164</v>
      </c>
      <c r="BL144" t="s">
        <v>5165</v>
      </c>
      <c r="BM144" t="s">
        <v>1413</v>
      </c>
      <c r="BN144" t="s">
        <v>5</v>
      </c>
      <c r="BO144" t="s">
        <v>5</v>
      </c>
      <c r="BP144">
        <v>11.69</v>
      </c>
      <c r="BQ144">
        <v>-2.93</v>
      </c>
      <c r="BR144">
        <v>-11.38</v>
      </c>
      <c r="BS144">
        <v>15.22</v>
      </c>
      <c r="BT144" t="s">
        <v>1723</v>
      </c>
      <c r="BU144" t="s">
        <v>1537</v>
      </c>
      <c r="BV144">
        <v>50.76</v>
      </c>
      <c r="BW144">
        <v>55.61</v>
      </c>
      <c r="BX144">
        <v>62.73</v>
      </c>
      <c r="BY144">
        <v>1.43</v>
      </c>
      <c r="BZ144">
        <v>-11.99</v>
      </c>
      <c r="CA144">
        <v>15.53</v>
      </c>
      <c r="CB144">
        <v>-3.2</v>
      </c>
      <c r="CC144">
        <v>-15.6</v>
      </c>
      <c r="CD144" t="s">
        <v>5166</v>
      </c>
      <c r="CE144" t="s">
        <v>5167</v>
      </c>
      <c r="CF144" s="10">
        <v>0.16304347826086957</v>
      </c>
      <c r="CG144" s="11">
        <v>-2.0805742707640245</v>
      </c>
      <c r="CH144" s="10">
        <v>-0.23178808391094208</v>
      </c>
      <c r="CI144" s="10">
        <v>-0.16376581788063049</v>
      </c>
      <c r="CJ144" s="10">
        <v>0.26147705316543579</v>
      </c>
      <c r="CK144" s="10">
        <v>0.16647264361381531</v>
      </c>
      <c r="CL144" s="10">
        <v>0.31748467683792114</v>
      </c>
      <c r="CM144" s="11">
        <v>0.96298056840896606</v>
      </c>
      <c r="CN144" s="11">
        <v>-1.7346938848495483</v>
      </c>
      <c r="CO144" s="11">
        <v>0.1461988240480423</v>
      </c>
      <c r="CP144" s="11">
        <v>0.42500001192092896</v>
      </c>
      <c r="CQ144" s="11">
        <v>3.4482758492231369E-2</v>
      </c>
      <c r="CR144">
        <v>34.444967390336394</v>
      </c>
      <c r="CS144">
        <v>4.9223906682488021</v>
      </c>
      <c r="CT144">
        <v>1.945525291828794</v>
      </c>
      <c r="CU144" s="10">
        <v>6.9976094365119937E-2</v>
      </c>
      <c r="CV144" s="11">
        <v>-3.3206344395875928E-2</v>
      </c>
      <c r="CW144">
        <v>0.06</v>
      </c>
      <c r="CX144" t="e">
        <v>#VALUE!</v>
      </c>
      <c r="CY144" t="s">
        <v>1552</v>
      </c>
      <c r="CZ144">
        <v>6.9976094365119937E-2</v>
      </c>
      <c r="DA144" t="e">
        <v>#VALUE!</v>
      </c>
      <c r="DB144" t="s">
        <v>1549</v>
      </c>
      <c r="DC144">
        <v>6.6477289646863932E-2</v>
      </c>
      <c r="DD144" t="e">
        <v>#VALUE!</v>
      </c>
      <c r="DE144" t="s">
        <v>1549</v>
      </c>
      <c r="DF144">
        <v>6.1578963041305543E-2</v>
      </c>
      <c r="DG144" t="e">
        <v>#VALUE!</v>
      </c>
      <c r="DH144" t="s">
        <v>1549</v>
      </c>
      <c r="DI144">
        <v>5.5980875492095954E-2</v>
      </c>
      <c r="DJ144" t="e">
        <v>#VALUE!</v>
      </c>
      <c r="DK144" t="s">
        <v>1549</v>
      </c>
      <c r="DL144">
        <v>4.8983266055583952E-2</v>
      </c>
      <c r="DM144">
        <v>-5330800</v>
      </c>
      <c r="DN144">
        <v>6.9976094365119937E-2</v>
      </c>
      <c r="DO144">
        <v>1861436800</v>
      </c>
      <c r="DP144">
        <v>1070564099.9999999</v>
      </c>
      <c r="DQ144">
        <v>4397</v>
      </c>
      <c r="DR144">
        <v>9.3067383895749631E-2</v>
      </c>
      <c r="DS144">
        <v>-2.0473679263681483</v>
      </c>
      <c r="DT144" s="12">
        <v>-0.40666666666666673</v>
      </c>
      <c r="DU144">
        <v>-1.5816666666666668</v>
      </c>
      <c r="DV144">
        <v>-1.9883333333333335</v>
      </c>
      <c r="DW144">
        <v>-8.2051282051282044</v>
      </c>
      <c r="DX144">
        <v>0.34127077796611371</v>
      </c>
      <c r="DY144">
        <v>-8.0248760570186892</v>
      </c>
      <c r="DZ144">
        <v>4125</v>
      </c>
      <c r="EA144">
        <v>-8.0047950912257164</v>
      </c>
      <c r="EB144">
        <v>8</v>
      </c>
      <c r="EC144">
        <v>2.0586747059308911E-2</v>
      </c>
      <c r="ED144">
        <v>0.16975851400129904</v>
      </c>
      <c r="EE144" s="13">
        <v>2.0964</v>
      </c>
      <c r="EF144">
        <v>2.0760000000000001</v>
      </c>
      <c r="EG144">
        <v>22.121270777966114</v>
      </c>
      <c r="EH144" t="s">
        <v>1871</v>
      </c>
      <c r="EI144">
        <v>0</v>
      </c>
      <c r="EJ144">
        <v>0</v>
      </c>
      <c r="EK144" s="15">
        <v>45470</v>
      </c>
      <c r="EL144" s="16">
        <v>-0.6</v>
      </c>
      <c r="EM144" s="16">
        <v>-3.86</v>
      </c>
      <c r="EN144" s="16">
        <v>1.63</v>
      </c>
      <c r="EO144" s="16">
        <v>2.72</v>
      </c>
      <c r="EP144" s="16">
        <v>-2.04</v>
      </c>
    </row>
    <row r="145" spans="1:146" ht="96" x14ac:dyDescent="0.25">
      <c r="C145" s="8" t="str">
        <f>""&amp;CHAR(10)&amp;Basic_Fundamental_Information_Constructure(F145)&amp;CHAR(10)&amp;Basic_Fundamental_Information_Concatenate("")</f>
        <v xml:space="preserve">
市值23.659336亿, 利润2.40亿; PE14.37; 平均PE14.91; 平均PEG.19, PB1.56; ROIC10%; ROE13.0933%; 股利率3.5008%; 毛利25.19%; 净利10.36%; 上一年度营收增295.67%, 利润增18.23%; 当季营收增-78.39%, 利润增-53.47%; 过往5年营收增79.63%, 利润增30.81%
Income profile:
</v>
      </c>
      <c r="D145" t="s">
        <v>277</v>
      </c>
      <c r="E145" t="s">
        <v>50</v>
      </c>
      <c r="F145">
        <v>6.57</v>
      </c>
      <c r="G145">
        <v>-0.61</v>
      </c>
      <c r="H145" t="s">
        <v>5168</v>
      </c>
      <c r="I145">
        <v>2365933600</v>
      </c>
      <c r="J145">
        <v>14.37</v>
      </c>
      <c r="K145">
        <v>1.56</v>
      </c>
      <c r="L145" t="s">
        <v>101</v>
      </c>
      <c r="M145" t="s">
        <v>2267</v>
      </c>
      <c r="N145" t="s">
        <v>1667</v>
      </c>
      <c r="O145" t="s">
        <v>727</v>
      </c>
      <c r="P145">
        <v>-22.46</v>
      </c>
      <c r="Q145" t="s">
        <v>5169</v>
      </c>
      <c r="R145">
        <v>24857575</v>
      </c>
      <c r="S145" s="6">
        <v>5.6599999999999998E-2</v>
      </c>
      <c r="T145" t="s">
        <v>449</v>
      </c>
      <c r="U145">
        <v>358694660</v>
      </c>
      <c r="V145">
        <v>360111660</v>
      </c>
      <c r="W145">
        <v>2.21</v>
      </c>
      <c r="X145">
        <v>0.1</v>
      </c>
      <c r="Y145">
        <v>7.4</v>
      </c>
      <c r="Z145" t="s">
        <v>719</v>
      </c>
      <c r="AA145" t="s">
        <v>595</v>
      </c>
      <c r="AB145" t="s">
        <v>5170</v>
      </c>
      <c r="AC145" t="s">
        <v>5171</v>
      </c>
      <c r="AD145" t="s">
        <v>5</v>
      </c>
      <c r="AE145">
        <v>6857043</v>
      </c>
      <c r="AF145" t="s">
        <v>5172</v>
      </c>
      <c r="AG145" t="s">
        <v>5173</v>
      </c>
      <c r="AH145" t="s">
        <v>5174</v>
      </c>
      <c r="AI145" t="s">
        <v>279</v>
      </c>
      <c r="AJ145" t="s">
        <v>5175</v>
      </c>
      <c r="AK145" t="s">
        <v>5176</v>
      </c>
      <c r="AL145" t="s">
        <v>5177</v>
      </c>
      <c r="AM145" t="s">
        <v>5</v>
      </c>
      <c r="AN145" t="s">
        <v>5178</v>
      </c>
      <c r="AO145" t="s">
        <v>5179</v>
      </c>
      <c r="AP145" t="s">
        <v>241</v>
      </c>
      <c r="AQ145" t="s">
        <v>423</v>
      </c>
      <c r="AR145" t="s">
        <v>5</v>
      </c>
      <c r="AS145" t="s">
        <v>5180</v>
      </c>
      <c r="AT145" t="s">
        <v>237</v>
      </c>
      <c r="AU145" t="s">
        <v>5181</v>
      </c>
      <c r="AV145" t="s">
        <v>5182</v>
      </c>
      <c r="AW145" t="s">
        <v>5183</v>
      </c>
      <c r="AX145" t="s">
        <v>1677</v>
      </c>
      <c r="AY145" t="s">
        <v>1517</v>
      </c>
      <c r="AZ145" t="s">
        <v>912</v>
      </c>
      <c r="BA145" t="s">
        <v>278</v>
      </c>
      <c r="BB145" t="s">
        <v>1178</v>
      </c>
      <c r="BC145" t="s">
        <v>354</v>
      </c>
      <c r="BD145" t="s">
        <v>647</v>
      </c>
      <c r="BE145" t="s">
        <v>219</v>
      </c>
      <c r="BF145" t="s">
        <v>153</v>
      </c>
      <c r="BG145" t="s">
        <v>1179</v>
      </c>
      <c r="BH145" t="s">
        <v>5184</v>
      </c>
      <c r="BI145" t="s">
        <v>2153</v>
      </c>
      <c r="BJ145" t="s">
        <v>1677</v>
      </c>
      <c r="BK145" t="s">
        <v>642</v>
      </c>
      <c r="BL145" t="s">
        <v>5185</v>
      </c>
      <c r="BM145" t="s">
        <v>354</v>
      </c>
      <c r="BN145">
        <v>7.42</v>
      </c>
      <c r="BO145">
        <v>11.48</v>
      </c>
      <c r="BP145">
        <v>11.1</v>
      </c>
      <c r="BQ145">
        <v>9.4499999999999993</v>
      </c>
      <c r="BR145">
        <v>14.86</v>
      </c>
      <c r="BS145">
        <v>14.97</v>
      </c>
      <c r="BT145" t="s">
        <v>5186</v>
      </c>
      <c r="BU145" t="s">
        <v>1536</v>
      </c>
      <c r="BV145">
        <v>24.02</v>
      </c>
      <c r="BW145">
        <v>23.89</v>
      </c>
      <c r="BX145">
        <v>27.66</v>
      </c>
      <c r="BY145">
        <v>8.3800000000000008</v>
      </c>
      <c r="BZ145">
        <v>10.96</v>
      </c>
      <c r="CA145">
        <v>11.74</v>
      </c>
      <c r="CB145">
        <v>-4.37</v>
      </c>
      <c r="CC145">
        <v>-21.03</v>
      </c>
      <c r="CD145" t="s">
        <v>5187</v>
      </c>
      <c r="CE145" t="s">
        <v>227</v>
      </c>
      <c r="CF145" s="10">
        <v>-0.7839195979899497</v>
      </c>
      <c r="CG145" s="11">
        <v>-0.53467139278988529</v>
      </c>
      <c r="CH145" s="10">
        <v>2.9566843509674072</v>
      </c>
      <c r="CI145" s="10">
        <v>0.17684082686901093</v>
      </c>
      <c r="CJ145" s="10">
        <v>0.26011103391647339</v>
      </c>
      <c r="CK145" s="10">
        <v>0.14014460146427155</v>
      </c>
      <c r="CL145" s="10">
        <v>0.44764396548271179</v>
      </c>
      <c r="CM145" s="11">
        <v>0.18226601183414459</v>
      </c>
      <c r="CN145" s="11">
        <v>9.7297295928001404E-2</v>
      </c>
      <c r="CO145" s="11">
        <v>0.19354838132858276</v>
      </c>
      <c r="CP145" s="11">
        <v>0.50485438108444214</v>
      </c>
      <c r="CQ145" s="11">
        <v>0.56234121322631836</v>
      </c>
      <c r="CR145">
        <v>14.912494417900033</v>
      </c>
      <c r="CS145">
        <v>0.18727585282635523</v>
      </c>
      <c r="CT145">
        <v>3.5007610350076099</v>
      </c>
      <c r="CU145" s="10">
        <v>0.79628495573997493</v>
      </c>
      <c r="CV145" s="11">
        <v>0.30806145668029783</v>
      </c>
      <c r="CW145">
        <v>0.06</v>
      </c>
      <c r="CX145">
        <v>6.6950903464603515</v>
      </c>
      <c r="CY145">
        <v>406706027.71471131</v>
      </c>
      <c r="CZ145">
        <v>0.79628495573997493</v>
      </c>
      <c r="DA145">
        <v>1.2672649421149371</v>
      </c>
      <c r="DB145">
        <v>2148669555.5987678</v>
      </c>
      <c r="DC145">
        <v>0.75647070795297611</v>
      </c>
      <c r="DD145">
        <v>0.26614673599733674</v>
      </c>
      <c r="DE145">
        <v>10230948690.001022</v>
      </c>
      <c r="DF145">
        <v>0.70073076105117793</v>
      </c>
      <c r="DG145">
        <v>5.2496225582969222E-2</v>
      </c>
      <c r="DH145">
        <v>51869130966.310303</v>
      </c>
      <c r="DI145">
        <v>0.63702796459197997</v>
      </c>
      <c r="DJ145">
        <v>1.6498545573880661E-3</v>
      </c>
      <c r="DK145">
        <v>1650408266478.2024</v>
      </c>
      <c r="DL145">
        <v>0.55739946901798243</v>
      </c>
      <c r="DM145">
        <v>240000000</v>
      </c>
      <c r="DN145">
        <v>0.79628495573997493</v>
      </c>
      <c r="DO145">
        <v>2722933600</v>
      </c>
      <c r="DP145">
        <v>707917800</v>
      </c>
      <c r="DQ145">
        <v>4402</v>
      </c>
      <c r="DR145">
        <v>-1.5802045537299247</v>
      </c>
      <c r="DS145">
        <v>-0.84273284947018312</v>
      </c>
      <c r="DT145" s="12">
        <v>0.24333333333333326</v>
      </c>
      <c r="DU145">
        <v>0.29666666666666658</v>
      </c>
      <c r="DV145">
        <v>0.53999999999999981</v>
      </c>
      <c r="DW145">
        <v>-8.2077983832620074</v>
      </c>
      <c r="DX145">
        <v>0.38674848484848323</v>
      </c>
      <c r="DY145">
        <v>-8.0346500655629036</v>
      </c>
      <c r="DZ145">
        <v>1836</v>
      </c>
      <c r="EA145">
        <v>-8.0222004529653521</v>
      </c>
      <c r="EB145">
        <v>8</v>
      </c>
      <c r="EC145">
        <v>6.1122153056638047E-2</v>
      </c>
      <c r="ED145">
        <v>0.36655297415251703</v>
      </c>
      <c r="EE145" s="13">
        <v>-1.0281</v>
      </c>
      <c r="EF145">
        <v>-1.0119</v>
      </c>
      <c r="EG145">
        <v>22.166748484848483</v>
      </c>
      <c r="EH145" t="s">
        <v>1813</v>
      </c>
      <c r="EI145">
        <v>0</v>
      </c>
      <c r="EJ145">
        <v>0</v>
      </c>
      <c r="EK145" s="15">
        <v>45470</v>
      </c>
      <c r="EL145" s="16">
        <v>2.2000000000000002</v>
      </c>
      <c r="EM145" s="16">
        <v>-4.95</v>
      </c>
      <c r="EN145" s="16">
        <v>1.93</v>
      </c>
      <c r="EO145" s="16">
        <v>3.11</v>
      </c>
      <c r="EP145" s="16">
        <v>-1.62</v>
      </c>
    </row>
    <row r="146" spans="1:146" ht="96" x14ac:dyDescent="0.25">
      <c r="C146" s="8" t="str">
        <f>""&amp;CHAR(10)&amp;Basic_Fundamental_Information_Constructure(F146)&amp;CHAR(10)&amp;Basic_Fundamental_Information_Concatenate("")</f>
        <v xml:space="preserve">
市值22.07744亿, 利润4.14亿; PE13.36; 平均PE12.89; 平均PEG.12, PB1.37; ROIC12.24%; ROE13.62%; 股利率3.9062%; 毛利20.9667%; 净利11.4167%; 上一年度营收增460.9%, 利润增92.56%; 当季营收增-80.39%, 利润增-51.87%; 过往5年营收增109.02%, 利润增69.43%
Income profile:
</v>
      </c>
      <c r="D146" t="s">
        <v>1309</v>
      </c>
      <c r="E146" t="s">
        <v>1310</v>
      </c>
      <c r="F146">
        <v>12.8</v>
      </c>
      <c r="G146">
        <v>0.23</v>
      </c>
      <c r="H146" t="s">
        <v>5188</v>
      </c>
      <c r="I146">
        <v>2207744000</v>
      </c>
      <c r="J146">
        <v>13.36</v>
      </c>
      <c r="K146">
        <v>1.37</v>
      </c>
      <c r="L146" t="s">
        <v>101</v>
      </c>
      <c r="M146" t="s">
        <v>1873</v>
      </c>
      <c r="N146" t="s">
        <v>2218</v>
      </c>
      <c r="O146" t="s">
        <v>1661</v>
      </c>
      <c r="P146">
        <v>0.28000000000000003</v>
      </c>
      <c r="Q146" t="s">
        <v>5189</v>
      </c>
      <c r="R146">
        <v>36724202</v>
      </c>
      <c r="S146" s="6">
        <v>-0.28449999999999998</v>
      </c>
      <c r="T146" t="s">
        <v>166</v>
      </c>
      <c r="U146">
        <v>172480000</v>
      </c>
      <c r="V146">
        <v>172480000</v>
      </c>
      <c r="W146">
        <v>1.4</v>
      </c>
      <c r="X146">
        <v>0.19</v>
      </c>
      <c r="Y146">
        <v>8.6300000000000008</v>
      </c>
      <c r="Z146" t="s">
        <v>768</v>
      </c>
      <c r="AA146" t="s">
        <v>727</v>
      </c>
      <c r="AB146" t="s">
        <v>5190</v>
      </c>
      <c r="AC146" t="s">
        <v>5191</v>
      </c>
      <c r="AD146" t="s">
        <v>5</v>
      </c>
      <c r="AE146">
        <v>-12941799</v>
      </c>
      <c r="AF146" t="s">
        <v>5192</v>
      </c>
      <c r="AG146" t="s">
        <v>5193</v>
      </c>
      <c r="AH146" t="s">
        <v>5194</v>
      </c>
      <c r="AI146" t="s">
        <v>1690</v>
      </c>
      <c r="AJ146" t="s">
        <v>5195</v>
      </c>
      <c r="AK146" t="s">
        <v>5</v>
      </c>
      <c r="AL146" t="s">
        <v>5196</v>
      </c>
      <c r="AM146" t="s">
        <v>5</v>
      </c>
      <c r="AN146" t="s">
        <v>5197</v>
      </c>
      <c r="AO146" t="s">
        <v>5</v>
      </c>
      <c r="AP146" t="s">
        <v>650</v>
      </c>
      <c r="AQ146" t="s">
        <v>733</v>
      </c>
      <c r="AR146" t="s">
        <v>5</v>
      </c>
      <c r="AS146" t="s">
        <v>793</v>
      </c>
      <c r="AT146" t="s">
        <v>5</v>
      </c>
      <c r="AU146" t="s">
        <v>5198</v>
      </c>
      <c r="AV146" t="s">
        <v>5199</v>
      </c>
      <c r="AW146" t="s">
        <v>5200</v>
      </c>
      <c r="AX146" t="s">
        <v>1548</v>
      </c>
      <c r="AY146" t="s">
        <v>1392</v>
      </c>
      <c r="AZ146" t="s">
        <v>1311</v>
      </c>
      <c r="BA146" t="s">
        <v>718</v>
      </c>
      <c r="BB146" t="s">
        <v>1266</v>
      </c>
      <c r="BC146" t="s">
        <v>335</v>
      </c>
      <c r="BD146" t="s">
        <v>406</v>
      </c>
      <c r="BE146" t="s">
        <v>260</v>
      </c>
      <c r="BF146" t="s">
        <v>1313</v>
      </c>
      <c r="BG146" t="s">
        <v>1314</v>
      </c>
      <c r="BH146" t="s">
        <v>5201</v>
      </c>
      <c r="BI146" t="s">
        <v>5202</v>
      </c>
      <c r="BJ146" t="s">
        <v>1548</v>
      </c>
      <c r="BK146" t="s">
        <v>631</v>
      </c>
      <c r="BL146" t="s">
        <v>5203</v>
      </c>
      <c r="BM146" t="s">
        <v>335</v>
      </c>
      <c r="BN146">
        <v>8.2200000000000006</v>
      </c>
      <c r="BO146">
        <v>13.6</v>
      </c>
      <c r="BP146">
        <v>14.9</v>
      </c>
      <c r="BQ146">
        <v>9.8699999999999992</v>
      </c>
      <c r="BR146">
        <v>15.2</v>
      </c>
      <c r="BS146">
        <v>15.79</v>
      </c>
      <c r="BT146" t="s">
        <v>1990</v>
      </c>
      <c r="BU146" t="s">
        <v>1537</v>
      </c>
      <c r="BV146">
        <v>22</v>
      </c>
      <c r="BW146">
        <v>21.18</v>
      </c>
      <c r="BX146">
        <v>19.72</v>
      </c>
      <c r="BY146">
        <v>11.06</v>
      </c>
      <c r="BZ146">
        <v>13.28</v>
      </c>
      <c r="CA146">
        <v>9.91</v>
      </c>
      <c r="CB146">
        <v>-5.73</v>
      </c>
      <c r="CC146">
        <v>-14.38</v>
      </c>
      <c r="CD146" t="s">
        <v>5204</v>
      </c>
      <c r="CE146" t="s">
        <v>5205</v>
      </c>
      <c r="CF146" s="10">
        <v>-0.80387632671896636</v>
      </c>
      <c r="CG146" s="11">
        <v>-0.51871133716625228</v>
      </c>
      <c r="CH146" s="10">
        <v>4.6090173721313477</v>
      </c>
      <c r="CI146" s="10">
        <v>8.7228212505578995E-3</v>
      </c>
      <c r="CJ146" s="10">
        <v>0.31020408868789673</v>
      </c>
      <c r="CK146" s="10">
        <v>0.16666661202907562</v>
      </c>
      <c r="CL146" s="10">
        <v>0.35658913850784302</v>
      </c>
      <c r="CM146" s="11">
        <v>0.92558139562606812</v>
      </c>
      <c r="CN146" s="11">
        <v>0.35220125317573547</v>
      </c>
      <c r="CO146" s="11">
        <v>0.37068966031074524</v>
      </c>
      <c r="CP146" s="11">
        <v>0.30841484665870667</v>
      </c>
      <c r="CQ146" s="11">
        <v>1.5147182941436768</v>
      </c>
      <c r="CR146">
        <v>12.886767263465426</v>
      </c>
      <c r="CS146">
        <v>0.11820119594201606</v>
      </c>
      <c r="CT146">
        <v>3.90625</v>
      </c>
      <c r="CU146" s="10">
        <v>1.0902400065213442</v>
      </c>
      <c r="CV146" s="11">
        <v>0.69432108998298647</v>
      </c>
      <c r="CW146">
        <v>0.06</v>
      </c>
      <c r="CX146">
        <v>1.4842950748145214</v>
      </c>
      <c r="CY146">
        <v>816376757.26399648</v>
      </c>
      <c r="CZ146">
        <v>1.0902400065213442</v>
      </c>
      <c r="DA146">
        <v>0.23060743710106105</v>
      </c>
      <c r="DB146">
        <v>5254574679.9526119</v>
      </c>
      <c r="DC146">
        <v>1.0357280061952769</v>
      </c>
      <c r="DD146">
        <v>3.4542169243278145E-2</v>
      </c>
      <c r="DE146">
        <v>35080136150.852875</v>
      </c>
      <c r="DF146">
        <v>0.95941120573878291</v>
      </c>
      <c r="DG146">
        <v>4.3126698953707132E-3</v>
      </c>
      <c r="DH146">
        <v>280973046720.01556</v>
      </c>
      <c r="DI146">
        <v>0.87219200521707541</v>
      </c>
      <c r="DJ146">
        <v>4.4405405707145599E-5</v>
      </c>
      <c r="DK146">
        <v>27288209187671.254</v>
      </c>
      <c r="DL146">
        <v>0.76316800456494094</v>
      </c>
      <c r="DM146">
        <v>413999999.99999994</v>
      </c>
      <c r="DN146">
        <v>1.0902400065213442</v>
      </c>
      <c r="DO146">
        <v>1211744000</v>
      </c>
      <c r="DP146">
        <v>1136177600</v>
      </c>
      <c r="DQ146">
        <v>4494</v>
      </c>
      <c r="DR146">
        <v>-1.8941163332403106</v>
      </c>
      <c r="DS146">
        <v>-1.2130324271492388</v>
      </c>
      <c r="DT146" s="12">
        <v>0.20999999999999988</v>
      </c>
      <c r="DU146">
        <v>0.71333333333333326</v>
      </c>
      <c r="DV146">
        <v>0.92333333333333312</v>
      </c>
      <c r="DW146">
        <v>-8.3984700973574409</v>
      </c>
      <c r="DX146">
        <v>0.27473322249093057</v>
      </c>
      <c r="DY146">
        <v>-8.0656412632039665</v>
      </c>
      <c r="DZ146">
        <v>707</v>
      </c>
      <c r="EA146">
        <v>-8.0565593898017731</v>
      </c>
      <c r="EB146">
        <v>8</v>
      </c>
      <c r="EC146">
        <v>1.516523654916512E-2</v>
      </c>
      <c r="ED146">
        <v>9.2059369202226349E-2</v>
      </c>
      <c r="EE146" s="13">
        <v>-4.0003000000000002</v>
      </c>
      <c r="EF146">
        <v>-4.0383100000000001</v>
      </c>
      <c r="EG146">
        <v>11.164733222490931</v>
      </c>
      <c r="EH146" t="s">
        <v>2119</v>
      </c>
      <c r="EI146">
        <v>0</v>
      </c>
      <c r="EJ146">
        <v>1</v>
      </c>
      <c r="EK146" s="15">
        <v>45470</v>
      </c>
      <c r="EL146" s="16">
        <v>0.13</v>
      </c>
      <c r="EM146" s="16">
        <v>-6.39</v>
      </c>
      <c r="EN146" s="16">
        <v>-1.35</v>
      </c>
      <c r="EO146" s="16">
        <v>0.79</v>
      </c>
      <c r="EP146" s="16">
        <v>-3.86</v>
      </c>
    </row>
    <row r="147" spans="1:146" ht="96" x14ac:dyDescent="0.25">
      <c r="C147" s="8" t="str">
        <f>""&amp;CHAR(10)&amp;Basic_Fundamental_Information_Constructure(F147)&amp;CHAR(10)&amp;Basic_Fundamental_Information_Concatenate("")</f>
        <v xml:space="preserve">
市值37.1536亿, 利润1.56亿; PE15.4; 平均PE26.89; 平均PEG.64, PB2.01; ROIC8.7633%; ROE9.82%; 股利率1.8001%; 毛利16.46%; 净利7.5167%; 上一年度营收增148.9%, 利润增8.33%; 当季营收增-45.4%, 利润增-12.85%; 过往5年营收增42.3%, 利润增6.56%
Income profile:
</v>
      </c>
      <c r="D147" t="s">
        <v>1315</v>
      </c>
      <c r="E147" t="s">
        <v>1316</v>
      </c>
      <c r="F147">
        <v>21.11</v>
      </c>
      <c r="G147">
        <v>-3.08</v>
      </c>
      <c r="H147" t="s">
        <v>5206</v>
      </c>
      <c r="I147">
        <v>3715360000</v>
      </c>
      <c r="J147">
        <v>15.4</v>
      </c>
      <c r="K147">
        <v>2.0099999999999998</v>
      </c>
      <c r="L147" t="s">
        <v>101</v>
      </c>
      <c r="M147" t="s">
        <v>5207</v>
      </c>
      <c r="N147" t="s">
        <v>5208</v>
      </c>
      <c r="O147" t="s">
        <v>923</v>
      </c>
      <c r="P147">
        <v>18.690000000000001</v>
      </c>
      <c r="Q147" t="s">
        <v>5209</v>
      </c>
      <c r="R147">
        <v>41333275</v>
      </c>
      <c r="S147" s="6">
        <v>1.401</v>
      </c>
      <c r="T147" t="s">
        <v>141</v>
      </c>
      <c r="U147">
        <v>168000000</v>
      </c>
      <c r="V147">
        <v>176000000</v>
      </c>
      <c r="W147">
        <v>1.78</v>
      </c>
      <c r="X147">
        <v>0.13</v>
      </c>
      <c r="Y147">
        <v>12.03</v>
      </c>
      <c r="Z147" t="s">
        <v>1074</v>
      </c>
      <c r="AA147" t="s">
        <v>247</v>
      </c>
      <c r="AB147" t="s">
        <v>5210</v>
      </c>
      <c r="AC147" t="s">
        <v>5211</v>
      </c>
      <c r="AD147" t="s">
        <v>5</v>
      </c>
      <c r="AE147">
        <v>-744636</v>
      </c>
      <c r="AF147" t="s">
        <v>5212</v>
      </c>
      <c r="AG147" t="s">
        <v>5213</v>
      </c>
      <c r="AH147" t="s">
        <v>5214</v>
      </c>
      <c r="AI147" t="s">
        <v>2903</v>
      </c>
      <c r="AJ147" t="s">
        <v>5215</v>
      </c>
      <c r="AK147" t="s">
        <v>5216</v>
      </c>
      <c r="AL147" t="s">
        <v>5217</v>
      </c>
      <c r="AM147" t="s">
        <v>5</v>
      </c>
      <c r="AN147" t="s">
        <v>5218</v>
      </c>
      <c r="AO147" t="s">
        <v>5219</v>
      </c>
      <c r="AP147" t="s">
        <v>223</v>
      </c>
      <c r="AQ147" t="s">
        <v>794</v>
      </c>
      <c r="AR147" t="s">
        <v>5</v>
      </c>
      <c r="AS147" t="s">
        <v>1667</v>
      </c>
      <c r="AT147" t="s">
        <v>2149</v>
      </c>
      <c r="AU147" t="s">
        <v>5220</v>
      </c>
      <c r="AV147" t="s">
        <v>5221</v>
      </c>
      <c r="AW147" t="s">
        <v>5222</v>
      </c>
      <c r="AX147" t="s">
        <v>2068</v>
      </c>
      <c r="AY147" t="s">
        <v>1518</v>
      </c>
      <c r="AZ147" t="s">
        <v>1317</v>
      </c>
      <c r="BA147" t="s">
        <v>1318</v>
      </c>
      <c r="BB147" t="s">
        <v>1319</v>
      </c>
      <c r="BC147" t="s">
        <v>237</v>
      </c>
      <c r="BD147" t="s">
        <v>305</v>
      </c>
      <c r="BE147" t="s">
        <v>146</v>
      </c>
      <c r="BF147" t="s">
        <v>207</v>
      </c>
      <c r="BG147" t="s">
        <v>273</v>
      </c>
      <c r="BH147" t="s">
        <v>5223</v>
      </c>
      <c r="BI147" t="s">
        <v>1919</v>
      </c>
      <c r="BJ147" t="s">
        <v>2068</v>
      </c>
      <c r="BK147" t="s">
        <v>1842</v>
      </c>
      <c r="BL147" t="s">
        <v>5224</v>
      </c>
      <c r="BM147" t="s">
        <v>237</v>
      </c>
      <c r="BN147">
        <v>6.98</v>
      </c>
      <c r="BO147">
        <v>7.26</v>
      </c>
      <c r="BP147">
        <v>12.05</v>
      </c>
      <c r="BQ147">
        <v>8.5299999999999994</v>
      </c>
      <c r="BR147">
        <v>9.3699999999999992</v>
      </c>
      <c r="BS147">
        <v>11.56</v>
      </c>
      <c r="BT147" t="s">
        <v>5225</v>
      </c>
      <c r="BU147" t="s">
        <v>1595</v>
      </c>
      <c r="BV147">
        <v>19.239999999999998</v>
      </c>
      <c r="BW147">
        <v>15.78</v>
      </c>
      <c r="BX147">
        <v>14.36</v>
      </c>
      <c r="BY147">
        <v>10.61</v>
      </c>
      <c r="BZ147">
        <v>5.38</v>
      </c>
      <c r="CA147">
        <v>6.56</v>
      </c>
      <c r="CB147">
        <v>-13.23</v>
      </c>
      <c r="CC147">
        <v>-12.08</v>
      </c>
      <c r="CD147" t="s">
        <v>5226</v>
      </c>
      <c r="CE147" t="s">
        <v>5227</v>
      </c>
      <c r="CF147" s="10">
        <v>-0.45403587443946186</v>
      </c>
      <c r="CG147" s="11">
        <v>-0.1284643590619452</v>
      </c>
      <c r="CH147" s="10">
        <v>1.4889886379241943</v>
      </c>
      <c r="CI147" s="10">
        <v>6.7944251000881195E-2</v>
      </c>
      <c r="CJ147" s="10">
        <v>0.3127501904964447</v>
      </c>
      <c r="CK147" s="10">
        <v>0.15674598515033722</v>
      </c>
      <c r="CL147" s="10">
        <v>8.8552966713905334E-2</v>
      </c>
      <c r="CM147" s="11">
        <v>8.3333335816860199E-2</v>
      </c>
      <c r="CN147" s="11">
        <v>-4.6357616782188416E-2</v>
      </c>
      <c r="CO147" s="11">
        <v>2.7210883796215057E-2</v>
      </c>
      <c r="CP147" s="11">
        <v>0.28947368264198303</v>
      </c>
      <c r="CQ147" s="11">
        <v>-2.5641025975346565E-2</v>
      </c>
      <c r="CR147">
        <v>26.890422195416168</v>
      </c>
      <c r="CS147">
        <v>0.63571278142416776</v>
      </c>
      <c r="CT147">
        <v>1.8000947418285174</v>
      </c>
      <c r="CU147" s="10">
        <v>0.42299640625715257</v>
      </c>
      <c r="CV147" s="11">
        <v>6.5603851899504656E-2</v>
      </c>
      <c r="CW147">
        <v>0.06</v>
      </c>
      <c r="CX147">
        <v>15.5015149040466</v>
      </c>
      <c r="CY147">
        <v>209422112.61897716</v>
      </c>
      <c r="CZ147">
        <v>0.42299640625715257</v>
      </c>
      <c r="DA147">
        <v>3.8647695579605514</v>
      </c>
      <c r="DB147">
        <v>839987986.68687308</v>
      </c>
      <c r="DC147">
        <v>0.4018465859442949</v>
      </c>
      <c r="DD147">
        <v>1.2773527350278706</v>
      </c>
      <c r="DE147">
        <v>2541474966.919899</v>
      </c>
      <c r="DF147">
        <v>0.37223683750629427</v>
      </c>
      <c r="DG147">
        <v>0.4655000673050223</v>
      </c>
      <c r="DH147">
        <v>6973919507.2399397</v>
      </c>
      <c r="DI147">
        <v>0.33839712500572205</v>
      </c>
      <c r="DJ147">
        <v>6.9174070220824987E-2</v>
      </c>
      <c r="DK147">
        <v>46930301912.79213</v>
      </c>
      <c r="DL147">
        <v>0.29609748438000677</v>
      </c>
      <c r="DM147">
        <v>156000000</v>
      </c>
      <c r="DN147">
        <v>0.42299640625715257</v>
      </c>
      <c r="DO147">
        <v>3246360000</v>
      </c>
      <c r="DP147">
        <v>1235036100</v>
      </c>
      <c r="DQ147">
        <v>4498</v>
      </c>
      <c r="DR147">
        <v>-0.87703228069661443</v>
      </c>
      <c r="DS147">
        <v>-0.19406821096144986</v>
      </c>
      <c r="DT147" s="12">
        <v>0.14333333333333331</v>
      </c>
      <c r="DU147">
        <v>0.11666666666666665</v>
      </c>
      <c r="DV147">
        <v>0.25999999999999995</v>
      </c>
      <c r="DW147">
        <v>-5.9130763416477699</v>
      </c>
      <c r="DX147">
        <v>0.33011360830571201</v>
      </c>
      <c r="DY147">
        <v>-5.1644574745527594</v>
      </c>
      <c r="DZ147">
        <v>2671</v>
      </c>
      <c r="EA147">
        <v>-5.0784954560536555</v>
      </c>
      <c r="EB147">
        <v>5</v>
      </c>
      <c r="EC147">
        <v>9.8810227272727272E-2</v>
      </c>
      <c r="ED147">
        <v>0.54859943181818183</v>
      </c>
      <c r="EE147" s="13">
        <v>-2.0308099999999998</v>
      </c>
      <c r="EF147">
        <v>-2.0178099999999999</v>
      </c>
      <c r="EG147">
        <v>15.180113608305712</v>
      </c>
      <c r="EH147" t="s">
        <v>2103</v>
      </c>
      <c r="EI147">
        <v>0</v>
      </c>
      <c r="EJ147">
        <v>0</v>
      </c>
      <c r="EK147" s="15">
        <v>45470</v>
      </c>
      <c r="EL147" s="16">
        <v>4.88</v>
      </c>
      <c r="EM147" s="16">
        <v>-4.57</v>
      </c>
      <c r="EN147" s="16">
        <v>0.17</v>
      </c>
      <c r="EO147" s="16">
        <v>1.81</v>
      </c>
      <c r="EP147" s="16">
        <v>1.3</v>
      </c>
    </row>
    <row r="148" spans="1:146" ht="108" x14ac:dyDescent="0.25">
      <c r="C148" s="8" t="str">
        <f>""&amp;CHAR(10)&amp;Basic_Fundamental_Information_Constructure(F148)&amp;CHAR(10)&amp;Basic_Fundamental_Information_Concatenate("")</f>
        <v xml:space="preserve">
市值97.104048亿, 利润4.96亿; PE54.4; 平均PE31.92; 平均PEG1.08, PB2.55; ROIC6.7367%; ROE7.7967%; 股利率.7738%; 毛利53.0367%; 净利14.23%; 上一年度营收增53.41%, 利润增49.85%; 当季营收增-64.43%, 利润增-142.11%; 过往5年营收增29.44%, 利润增19.35%
Income profile:
</v>
      </c>
      <c r="D148" t="s">
        <v>737</v>
      </c>
      <c r="E148" t="s">
        <v>738</v>
      </c>
      <c r="F148">
        <v>21.97</v>
      </c>
      <c r="G148">
        <v>0.78</v>
      </c>
      <c r="H148" t="s">
        <v>5228</v>
      </c>
      <c r="I148">
        <v>9710404800</v>
      </c>
      <c r="J148">
        <v>54.4</v>
      </c>
      <c r="K148">
        <v>2.5499999999999998</v>
      </c>
      <c r="L148" t="s">
        <v>101</v>
      </c>
      <c r="M148" t="s">
        <v>2137</v>
      </c>
      <c r="N148" t="s">
        <v>5229</v>
      </c>
      <c r="O148" t="s">
        <v>174</v>
      </c>
      <c r="P148">
        <v>-21.6</v>
      </c>
      <c r="Q148" t="s">
        <v>5230</v>
      </c>
      <c r="R148">
        <v>-34358926</v>
      </c>
      <c r="S148" s="6">
        <v>-2.282</v>
      </c>
      <c r="T148" t="s">
        <v>1708</v>
      </c>
      <c r="U148">
        <v>441984740</v>
      </c>
      <c r="V148">
        <v>441984740</v>
      </c>
      <c r="W148">
        <v>1.42</v>
      </c>
      <c r="X148">
        <v>0.05</v>
      </c>
      <c r="Y148">
        <v>-12.22</v>
      </c>
      <c r="Z148" t="s">
        <v>212</v>
      </c>
      <c r="AA148" t="s">
        <v>298</v>
      </c>
      <c r="AB148" t="s">
        <v>5231</v>
      </c>
      <c r="AC148" t="s">
        <v>5232</v>
      </c>
      <c r="AD148" t="s">
        <v>5</v>
      </c>
      <c r="AE148">
        <v>-683965</v>
      </c>
      <c r="AF148" t="s">
        <v>5233</v>
      </c>
      <c r="AG148" t="s">
        <v>5234</v>
      </c>
      <c r="AH148" t="s">
        <v>5235</v>
      </c>
      <c r="AI148" t="s">
        <v>119</v>
      </c>
      <c r="AJ148" t="s">
        <v>5236</v>
      </c>
      <c r="AK148" t="s">
        <v>5237</v>
      </c>
      <c r="AL148" t="s">
        <v>5238</v>
      </c>
      <c r="AM148" t="s">
        <v>5</v>
      </c>
      <c r="AN148" t="s">
        <v>5239</v>
      </c>
      <c r="AO148" t="s">
        <v>5240</v>
      </c>
      <c r="AP148" t="s">
        <v>5241</v>
      </c>
      <c r="AQ148" t="s">
        <v>923</v>
      </c>
      <c r="AR148" t="s">
        <v>5</v>
      </c>
      <c r="AS148" t="s">
        <v>1519</v>
      </c>
      <c r="AT148" t="s">
        <v>5</v>
      </c>
      <c r="AU148" t="s">
        <v>5242</v>
      </c>
      <c r="AV148" t="s">
        <v>2160</v>
      </c>
      <c r="AW148" t="s">
        <v>5243</v>
      </c>
      <c r="AX148" t="s">
        <v>2070</v>
      </c>
      <c r="AY148" t="s">
        <v>809</v>
      </c>
      <c r="AZ148" t="s">
        <v>358</v>
      </c>
      <c r="BA148" t="s">
        <v>740</v>
      </c>
      <c r="BB148" t="s">
        <v>1175</v>
      </c>
      <c r="BC148" t="s">
        <v>1618</v>
      </c>
      <c r="BD148" t="s">
        <v>719</v>
      </c>
      <c r="BE148" t="s">
        <v>246</v>
      </c>
      <c r="BF148" t="s">
        <v>282</v>
      </c>
      <c r="BG148" t="s">
        <v>918</v>
      </c>
      <c r="BH148" t="s">
        <v>2138</v>
      </c>
      <c r="BI148" t="s">
        <v>304</v>
      </c>
      <c r="BJ148" t="s">
        <v>2070</v>
      </c>
      <c r="BK148" t="s">
        <v>449</v>
      </c>
      <c r="BL148" t="s">
        <v>5244</v>
      </c>
      <c r="BM148" t="s">
        <v>1618</v>
      </c>
      <c r="BN148">
        <v>3.89</v>
      </c>
      <c r="BO148">
        <v>7.82</v>
      </c>
      <c r="BP148">
        <v>8.5</v>
      </c>
      <c r="BQ148">
        <v>4.8899999999999997</v>
      </c>
      <c r="BR148">
        <v>9</v>
      </c>
      <c r="BS148">
        <v>9.5</v>
      </c>
      <c r="BT148" t="s">
        <v>1851</v>
      </c>
      <c r="BU148" t="s">
        <v>1537</v>
      </c>
      <c r="BV148">
        <v>53.99</v>
      </c>
      <c r="BW148">
        <v>52.08</v>
      </c>
      <c r="BX148">
        <v>53.04</v>
      </c>
      <c r="BY148">
        <v>12.88</v>
      </c>
      <c r="BZ148">
        <v>14.27</v>
      </c>
      <c r="CA148">
        <v>15.54</v>
      </c>
      <c r="CB148">
        <v>-2.7</v>
      </c>
      <c r="CC148">
        <v>-1.21</v>
      </c>
      <c r="CD148" t="s">
        <v>5245</v>
      </c>
      <c r="CE148" t="s">
        <v>5246</v>
      </c>
      <c r="CF148" s="10">
        <v>-0.64430379746835442</v>
      </c>
      <c r="CG148" s="11">
        <v>-1.421081266567725</v>
      </c>
      <c r="CH148" s="10">
        <v>0.53405177593231201</v>
      </c>
      <c r="CI148" s="10">
        <v>0.14851485192775726</v>
      </c>
      <c r="CJ148" s="10">
        <v>0.2045319527387619</v>
      </c>
      <c r="CK148" s="10">
        <v>0.33306831121444702</v>
      </c>
      <c r="CL148" s="10">
        <v>0.25174129009246826</v>
      </c>
      <c r="CM148" s="11">
        <v>0.49848943948745728</v>
      </c>
      <c r="CN148" s="11">
        <v>5.4140128195285797E-2</v>
      </c>
      <c r="CO148" s="11">
        <v>0.18490566313266754</v>
      </c>
      <c r="CP148" s="11">
        <v>0.50568181276321411</v>
      </c>
      <c r="CQ148" s="11">
        <v>-0.27572017908096313</v>
      </c>
      <c r="CR148">
        <v>31.924618520547941</v>
      </c>
      <c r="CS148">
        <v>1.0844636544928259</v>
      </c>
      <c r="CT148">
        <v>0.77378243058716434</v>
      </c>
      <c r="CU148" s="10">
        <v>0.29438163638114928</v>
      </c>
      <c r="CV148" s="11">
        <v>0.19349937289953231</v>
      </c>
      <c r="CW148">
        <v>0.06</v>
      </c>
      <c r="CX148">
        <v>12.291130402893179</v>
      </c>
      <c r="CY148">
        <v>605672916.64627361</v>
      </c>
      <c r="CZ148">
        <v>0.29438163638114928</v>
      </c>
      <c r="DA148">
        <v>3.3925678638432024</v>
      </c>
      <c r="DB148">
        <v>2194327453.0599236</v>
      </c>
      <c r="DC148">
        <v>0.27966255456209183</v>
      </c>
      <c r="DD148">
        <v>1.3122643423314568</v>
      </c>
      <c r="DE148">
        <v>5672946036.7518415</v>
      </c>
      <c r="DF148">
        <v>0.25905584001541138</v>
      </c>
      <c r="DG148">
        <v>0.58767081365755924</v>
      </c>
      <c r="DH148">
        <v>12667644244.006845</v>
      </c>
      <c r="DI148">
        <v>0.23550530910491943</v>
      </c>
      <c r="DJ148">
        <v>0.14872040100830222</v>
      </c>
      <c r="DK148">
        <v>50056379283.057617</v>
      </c>
      <c r="DL148">
        <v>0.20606714546680449</v>
      </c>
      <c r="DM148">
        <v>496000000</v>
      </c>
      <c r="DN148">
        <v>0.29438163638114928</v>
      </c>
      <c r="DO148">
        <v>7444404800</v>
      </c>
      <c r="DP148">
        <v>2193203000</v>
      </c>
      <c r="DQ148">
        <v>4540</v>
      </c>
      <c r="DR148">
        <v>-0.93868543384950365</v>
      </c>
      <c r="DS148">
        <v>-1.6145806394672573</v>
      </c>
      <c r="DT148" s="12">
        <v>7.6666666666666591E-2</v>
      </c>
      <c r="DU148">
        <v>-0.58166666666666667</v>
      </c>
      <c r="DV148">
        <v>-0.50500000000000012</v>
      </c>
      <c r="DW148">
        <v>-4.4481481481481477</v>
      </c>
      <c r="DX148">
        <v>0.30538028940432099</v>
      </c>
      <c r="DY148">
        <v>-4.0517074630293433</v>
      </c>
      <c r="DZ148">
        <v>182</v>
      </c>
      <c r="EA148">
        <v>-4.0498658273598052</v>
      </c>
      <c r="EB148">
        <v>4</v>
      </c>
      <c r="EC148">
        <v>1.0676386700590613E-2</v>
      </c>
      <c r="ED148">
        <v>9.2532153938165371E-2</v>
      </c>
      <c r="EE148" s="13">
        <v>-1.0080100000000001</v>
      </c>
      <c r="EF148">
        <v>-1.04081</v>
      </c>
      <c r="EG148">
        <v>19.115380289404321</v>
      </c>
      <c r="EH148" t="s">
        <v>1563</v>
      </c>
      <c r="EI148">
        <v>0</v>
      </c>
      <c r="EJ148">
        <v>1</v>
      </c>
      <c r="EK148" s="15">
        <v>45470</v>
      </c>
      <c r="EL148" s="16">
        <v>-0.17</v>
      </c>
      <c r="EM148" s="16">
        <v>-3.45</v>
      </c>
      <c r="EN148">
        <v>-3.16</v>
      </c>
      <c r="EO148">
        <v>1.81</v>
      </c>
      <c r="EP148">
        <v>-3.28</v>
      </c>
    </row>
    <row r="149" spans="1:146" ht="108" x14ac:dyDescent="0.25">
      <c r="C149" s="8" t="str">
        <f>""&amp;CHAR(10)&amp;Basic_Fundamental_Information_Constructure(F149)&amp;CHAR(10)&amp;Basic_Fundamental_Information_Concatenate("")</f>
        <v xml:space="preserve">
市值22.090317亿, 利润-3.60亿; PE; 平均PE-348.84; 平均PEG-8.59, PB1.25; ROIC5.49%; ROE5.0833%; 股利率0%; 毛利27.4033%; 净利2.33%; 上一年度营收增89.85%, 利润增-589.71%; 当季营收增-20.54%, 利润增106.38%; 过往5年营收增40.62%, 利润增-113.31%
Income profile:
</v>
      </c>
      <c r="D149" t="s">
        <v>746</v>
      </c>
      <c r="E149" t="s">
        <v>747</v>
      </c>
      <c r="F149">
        <v>12.56</v>
      </c>
      <c r="G149">
        <v>-0.16</v>
      </c>
      <c r="H149" t="s">
        <v>5247</v>
      </c>
      <c r="I149">
        <v>2209031700</v>
      </c>
      <c r="K149">
        <v>1.25</v>
      </c>
      <c r="L149" t="s">
        <v>101</v>
      </c>
      <c r="M149" t="s">
        <v>2162</v>
      </c>
      <c r="N149" t="s">
        <v>2764</v>
      </c>
      <c r="O149" t="s">
        <v>506</v>
      </c>
      <c r="P149">
        <v>46.81</v>
      </c>
      <c r="Q149" t="s">
        <v>2247</v>
      </c>
      <c r="R149">
        <v>12049122</v>
      </c>
      <c r="S149" s="6">
        <v>1.2809999999999999</v>
      </c>
      <c r="T149" t="s">
        <v>5248</v>
      </c>
      <c r="U149">
        <v>175878320</v>
      </c>
      <c r="V149">
        <v>175878320</v>
      </c>
      <c r="W149">
        <v>2.2200000000000002</v>
      </c>
      <c r="X149">
        <v>7.0000000000000007E-2</v>
      </c>
      <c r="Y149">
        <v>3.19</v>
      </c>
      <c r="Z149" t="s">
        <v>120</v>
      </c>
      <c r="AA149" t="s">
        <v>916</v>
      </c>
      <c r="AB149" t="s">
        <v>5249</v>
      </c>
      <c r="AC149" t="s">
        <v>5250</v>
      </c>
      <c r="AD149" t="s">
        <v>5</v>
      </c>
      <c r="AE149">
        <v>7737899</v>
      </c>
      <c r="AF149" t="s">
        <v>5251</v>
      </c>
      <c r="AG149">
        <v>729.82</v>
      </c>
      <c r="AH149" t="s">
        <v>5252</v>
      </c>
      <c r="AI149" t="s">
        <v>5253</v>
      </c>
      <c r="AJ149" t="s">
        <v>5254</v>
      </c>
      <c r="AK149" t="s">
        <v>5255</v>
      </c>
      <c r="AL149" t="s">
        <v>5256</v>
      </c>
      <c r="AM149" t="s">
        <v>5</v>
      </c>
      <c r="AN149" t="s">
        <v>1931</v>
      </c>
      <c r="AO149" t="s">
        <v>231</v>
      </c>
      <c r="AP149" t="s">
        <v>636</v>
      </c>
      <c r="AQ149" t="s">
        <v>442</v>
      </c>
      <c r="AR149" t="s">
        <v>5</v>
      </c>
      <c r="AS149" t="s">
        <v>2212</v>
      </c>
      <c r="AT149" t="s">
        <v>225</v>
      </c>
      <c r="AU149" t="s">
        <v>5257</v>
      </c>
      <c r="AV149" t="s">
        <v>5258</v>
      </c>
      <c r="AW149" t="s">
        <v>5259</v>
      </c>
      <c r="AX149" t="s">
        <v>1912</v>
      </c>
      <c r="AY149" t="s">
        <v>1519</v>
      </c>
      <c r="AZ149" t="s">
        <v>554</v>
      </c>
      <c r="BA149" t="s">
        <v>721</v>
      </c>
      <c r="BB149" t="s">
        <v>814</v>
      </c>
      <c r="BC149" t="s">
        <v>2071</v>
      </c>
      <c r="BD149" t="s">
        <v>1520</v>
      </c>
      <c r="BE149" t="s">
        <v>1183</v>
      </c>
      <c r="BF149" t="s">
        <v>749</v>
      </c>
      <c r="BG149" t="s">
        <v>1184</v>
      </c>
      <c r="BH149" t="s">
        <v>2254</v>
      </c>
      <c r="BI149" t="s">
        <v>873</v>
      </c>
      <c r="BJ149" t="s">
        <v>1912</v>
      </c>
      <c r="BK149" t="s">
        <v>5260</v>
      </c>
      <c r="BL149" t="s">
        <v>5261</v>
      </c>
      <c r="BM149" t="s">
        <v>2071</v>
      </c>
      <c r="BN149" t="s">
        <v>5</v>
      </c>
      <c r="BO149">
        <v>5.92</v>
      </c>
      <c r="BP149">
        <v>5.0599999999999996</v>
      </c>
      <c r="BQ149">
        <v>1.04</v>
      </c>
      <c r="BR149">
        <v>7.52</v>
      </c>
      <c r="BS149">
        <v>6.69</v>
      </c>
      <c r="BT149" t="s">
        <v>1720</v>
      </c>
      <c r="BU149" t="s">
        <v>1537</v>
      </c>
      <c r="BV149">
        <v>20.149999999999999</v>
      </c>
      <c r="BW149">
        <v>28.3</v>
      </c>
      <c r="BX149">
        <v>33.76</v>
      </c>
      <c r="BY149">
        <v>-6.93</v>
      </c>
      <c r="BZ149">
        <v>6.37</v>
      </c>
      <c r="CA149">
        <v>7.55</v>
      </c>
      <c r="CB149">
        <v>-8.39</v>
      </c>
      <c r="CC149">
        <v>-16.989999999999998</v>
      </c>
      <c r="CD149" t="s">
        <v>5262</v>
      </c>
      <c r="CE149" t="s">
        <v>5263</v>
      </c>
      <c r="CF149" s="10">
        <v>-0.20535714285714285</v>
      </c>
      <c r="CG149" s="11">
        <v>1.0637519682539682</v>
      </c>
      <c r="CH149" s="10">
        <v>0.89851248264312744</v>
      </c>
      <c r="CI149" s="10">
        <v>0.5079156756401062</v>
      </c>
      <c r="CJ149" s="10">
        <v>0.257048100233078</v>
      </c>
      <c r="CK149" s="10">
        <v>0.31947484612464905</v>
      </c>
      <c r="CL149" s="10">
        <v>4.8165138810873032E-2</v>
      </c>
      <c r="CM149" s="11">
        <v>-5.8970799446105957</v>
      </c>
      <c r="CN149" s="11">
        <v>0.20900124311447144</v>
      </c>
      <c r="CO149" s="11">
        <v>0.37728434801101685</v>
      </c>
      <c r="CP149" s="11">
        <v>-0.39755386114120483</v>
      </c>
      <c r="CQ149" s="11">
        <v>4.3060779571533203E-2</v>
      </c>
      <c r="CR149">
        <v>-348.84037899723648</v>
      </c>
      <c r="CS149">
        <v>-8.5874055737053876</v>
      </c>
      <c r="CT149">
        <v>0</v>
      </c>
      <c r="CU149" s="10">
        <v>0.40622324869036674</v>
      </c>
      <c r="CV149" s="11">
        <v>-1.1330574870109558</v>
      </c>
      <c r="CW149">
        <v>0.06</v>
      </c>
      <c r="CX149" t="e">
        <v>#VALUE!</v>
      </c>
      <c r="CY149" t="s">
        <v>1549</v>
      </c>
      <c r="CZ149">
        <v>0.40622324869036674</v>
      </c>
      <c r="DA149" t="e">
        <v>#VALUE!</v>
      </c>
      <c r="DB149" t="s">
        <v>1549</v>
      </c>
      <c r="DC149">
        <v>0.38591208625584839</v>
      </c>
      <c r="DD149" t="e">
        <v>#VALUE!</v>
      </c>
      <c r="DE149" t="s">
        <v>1549</v>
      </c>
      <c r="DF149">
        <v>0.35747645884752272</v>
      </c>
      <c r="DG149" t="e">
        <v>#VALUE!</v>
      </c>
      <c r="DH149" t="s">
        <v>1549</v>
      </c>
      <c r="DI149">
        <v>0.32497859895229342</v>
      </c>
      <c r="DJ149" t="e">
        <v>#VALUE!</v>
      </c>
      <c r="DK149" t="s">
        <v>1549</v>
      </c>
      <c r="DL149">
        <v>0.2843562740832567</v>
      </c>
      <c r="DM149">
        <v>-360000000</v>
      </c>
      <c r="DN149">
        <v>0.40622324869036674</v>
      </c>
      <c r="DO149">
        <v>2753031700</v>
      </c>
      <c r="DP149">
        <v>433906899.99999976</v>
      </c>
      <c r="DQ149">
        <v>4560</v>
      </c>
      <c r="DR149">
        <v>-0.61158039154750954</v>
      </c>
      <c r="DS149">
        <v>2.196809455264924</v>
      </c>
      <c r="DT149" s="12">
        <v>0.29333333333333339</v>
      </c>
      <c r="DU149">
        <v>-1.0233333333333332</v>
      </c>
      <c r="DV149">
        <v>-0.72999999999999976</v>
      </c>
      <c r="DW149">
        <v>-9.493819894055326</v>
      </c>
      <c r="DX149">
        <v>0.4054887954012425</v>
      </c>
      <c r="DY149">
        <v>-9.0619688636501721</v>
      </c>
      <c r="DZ149">
        <v>4599</v>
      </c>
      <c r="EA149">
        <v>-9.0061968863650179</v>
      </c>
      <c r="EB149">
        <v>9</v>
      </c>
      <c r="EC149">
        <v>5.7275962153834535E-2</v>
      </c>
      <c r="ED149">
        <v>0.45642294058756078</v>
      </c>
      <c r="EE149" s="13">
        <v>-5.0390100000000002</v>
      </c>
      <c r="EF149">
        <v>-5.0685099999999998</v>
      </c>
      <c r="EG149">
        <v>28.125488795401242</v>
      </c>
      <c r="EH149" t="s">
        <v>2193</v>
      </c>
      <c r="EI149">
        <v>0</v>
      </c>
      <c r="EJ149">
        <v>0</v>
      </c>
      <c r="EK149" s="15">
        <v>45470</v>
      </c>
      <c r="EL149" s="16">
        <v>-1.18</v>
      </c>
      <c r="EM149" s="16">
        <v>-5.01</v>
      </c>
      <c r="EN149">
        <v>-1.94</v>
      </c>
      <c r="EO149">
        <v>6.23</v>
      </c>
      <c r="EP149">
        <v>-2.95</v>
      </c>
    </row>
    <row r="150" spans="1:146" ht="108" x14ac:dyDescent="0.25">
      <c r="C150" s="8" t="str">
        <f>""&amp;CHAR(10)&amp;Basic_Fundamental_Information_Constructure(F150)&amp;CHAR(10)&amp;Basic_Fundamental_Information_Concatenate("")</f>
        <v xml:space="preserve">
市值16.127006亿, 利润6.63亿; PE; 平均PE11.42; 平均PEG.08, PB1.58; ROIC9.1167%; ROE8.7667%; 股利率0%; 毛利46.8533%; 净利8.36%; 上一年度营收增702.67%, 利润增1701.58%; 当季营收增-74.63%, 利润增-118.04%; 过往5年营收增152.07%, 利润增411.67%
Income profile:
</v>
      </c>
      <c r="D150" t="s">
        <v>1320</v>
      </c>
      <c r="E150" t="s">
        <v>1321</v>
      </c>
      <c r="F150">
        <v>19.02</v>
      </c>
      <c r="G150">
        <v>-0.52</v>
      </c>
      <c r="H150" t="s">
        <v>5264</v>
      </c>
      <c r="I150">
        <v>1612700600</v>
      </c>
      <c r="K150">
        <v>1.58</v>
      </c>
      <c r="L150" t="s">
        <v>101</v>
      </c>
      <c r="M150" t="s">
        <v>1109</v>
      </c>
      <c r="N150" t="s">
        <v>2135</v>
      </c>
      <c r="O150" t="s">
        <v>353</v>
      </c>
      <c r="P150">
        <v>-1.24</v>
      </c>
      <c r="Q150" t="s">
        <v>1685</v>
      </c>
      <c r="R150">
        <v>-9692730</v>
      </c>
      <c r="S150" s="6">
        <v>-1.8069999999999999</v>
      </c>
      <c r="T150" t="s">
        <v>463</v>
      </c>
      <c r="U150">
        <v>53608330</v>
      </c>
      <c r="V150">
        <v>84789724</v>
      </c>
      <c r="W150">
        <v>2.14</v>
      </c>
      <c r="X150">
        <v>0.05</v>
      </c>
      <c r="Y150">
        <v>-9.35</v>
      </c>
      <c r="Z150" t="s">
        <v>260</v>
      </c>
      <c r="AA150" t="s">
        <v>5265</v>
      </c>
      <c r="AB150" t="s">
        <v>5266</v>
      </c>
      <c r="AC150" t="s">
        <v>5267</v>
      </c>
      <c r="AD150" t="s">
        <v>5</v>
      </c>
      <c r="AE150">
        <v>10604817</v>
      </c>
      <c r="AF150" t="s">
        <v>127</v>
      </c>
      <c r="AG150">
        <v>3200.1</v>
      </c>
      <c r="AH150" t="s">
        <v>5268</v>
      </c>
      <c r="AI150" t="s">
        <v>298</v>
      </c>
      <c r="AJ150" t="s">
        <v>5269</v>
      </c>
      <c r="AK150" t="s">
        <v>5270</v>
      </c>
      <c r="AL150" t="s">
        <v>5271</v>
      </c>
      <c r="AM150" t="s">
        <v>5</v>
      </c>
      <c r="AN150" t="s">
        <v>697</v>
      </c>
      <c r="AO150" t="s">
        <v>751</v>
      </c>
      <c r="AP150" t="s">
        <v>5</v>
      </c>
      <c r="AQ150" t="s">
        <v>141</v>
      </c>
      <c r="AR150" t="s">
        <v>5</v>
      </c>
      <c r="AS150" t="s">
        <v>5272</v>
      </c>
      <c r="AT150" t="s">
        <v>686</v>
      </c>
      <c r="AU150" t="s">
        <v>5273</v>
      </c>
      <c r="AV150" t="s">
        <v>5274</v>
      </c>
      <c r="AW150" t="s">
        <v>5275</v>
      </c>
      <c r="AX150" t="s">
        <v>212</v>
      </c>
      <c r="AY150" t="s">
        <v>518</v>
      </c>
      <c r="AZ150" t="s">
        <v>465</v>
      </c>
      <c r="BA150" t="s">
        <v>736</v>
      </c>
      <c r="BB150" t="s">
        <v>392</v>
      </c>
      <c r="BC150" t="s">
        <v>5276</v>
      </c>
      <c r="BD150" t="s">
        <v>1521</v>
      </c>
      <c r="BE150" t="s">
        <v>1322</v>
      </c>
      <c r="BF150" t="s">
        <v>1323</v>
      </c>
      <c r="BG150" t="s">
        <v>1324</v>
      </c>
      <c r="BH150" t="s">
        <v>894</v>
      </c>
      <c r="BI150" t="s">
        <v>523</v>
      </c>
      <c r="BJ150" t="s">
        <v>212</v>
      </c>
      <c r="BK150" t="s">
        <v>5277</v>
      </c>
      <c r="BL150" t="s">
        <v>5278</v>
      </c>
      <c r="BM150" t="s">
        <v>5276</v>
      </c>
      <c r="BN150">
        <v>9.2100000000000009</v>
      </c>
      <c r="BO150">
        <v>6.64</v>
      </c>
      <c r="BP150">
        <v>11.5</v>
      </c>
      <c r="BQ150">
        <v>0.76</v>
      </c>
      <c r="BR150">
        <v>7.52</v>
      </c>
      <c r="BS150">
        <v>18.02</v>
      </c>
      <c r="BT150" t="s">
        <v>1720</v>
      </c>
      <c r="BU150" t="s">
        <v>1537</v>
      </c>
      <c r="BV150">
        <v>40.17</v>
      </c>
      <c r="BW150">
        <v>49.71</v>
      </c>
      <c r="BX150">
        <v>50.68</v>
      </c>
      <c r="BY150">
        <v>-4.5199999999999996</v>
      </c>
      <c r="BZ150">
        <v>11.18</v>
      </c>
      <c r="CA150">
        <v>18.420000000000002</v>
      </c>
      <c r="CB150">
        <v>-12.23</v>
      </c>
      <c r="CC150">
        <v>-32.770000000000003</v>
      </c>
      <c r="CD150" t="s">
        <v>5279</v>
      </c>
      <c r="CE150" t="s">
        <v>5280</v>
      </c>
      <c r="CF150" s="10">
        <v>-0.74626865671641784</v>
      </c>
      <c r="CG150" s="11">
        <v>-1.1804345964541278</v>
      </c>
      <c r="CH150" s="10">
        <v>7.0267062187194824</v>
      </c>
      <c r="CI150" s="10">
        <v>4.9844235181808472E-2</v>
      </c>
      <c r="CJ150" s="10">
        <v>6.2913909554481506E-2</v>
      </c>
      <c r="CK150" s="10">
        <v>2.0270269364118576E-2</v>
      </c>
      <c r="CL150" s="10">
        <v>0.44390243291854858</v>
      </c>
      <c r="CM150" s="11">
        <v>17.015766143798828</v>
      </c>
      <c r="CN150" s="11">
        <v>-0.36564812064170837</v>
      </c>
      <c r="CO150" s="11">
        <v>0.38526615500450134</v>
      </c>
      <c r="CP150" s="11">
        <v>8.0890439450740814E-2</v>
      </c>
      <c r="CQ150" s="11">
        <v>3.4671063423156738</v>
      </c>
      <c r="CR150">
        <v>11.422574787309781</v>
      </c>
      <c r="CS150">
        <v>7.5112572368684322E-2</v>
      </c>
      <c r="CT150">
        <v>0</v>
      </c>
      <c r="CU150" s="10">
        <v>1.520727413147688</v>
      </c>
      <c r="CV150" s="11">
        <v>4.116676191985607</v>
      </c>
      <c r="CW150">
        <v>0.06</v>
      </c>
      <c r="CX150">
        <v>1.0495082983029471</v>
      </c>
      <c r="CY150">
        <v>1576643655.5819974</v>
      </c>
      <c r="CZ150">
        <v>1.520727413147688</v>
      </c>
      <c r="DA150">
        <v>0.12546110319488146</v>
      </c>
      <c r="DB150">
        <v>13188953052.881397</v>
      </c>
      <c r="DC150">
        <v>1.4446910424903034</v>
      </c>
      <c r="DD150">
        <v>1.1945813683312307E-2</v>
      </c>
      <c r="DE150">
        <v>138517194714.95963</v>
      </c>
      <c r="DF150">
        <v>1.3382401235699655</v>
      </c>
      <c r="DG150">
        <v>8.1506268247377907E-4</v>
      </c>
      <c r="DH150">
        <v>2030151343670.7151</v>
      </c>
      <c r="DI150">
        <v>1.2165819305181504</v>
      </c>
      <c r="DJ150">
        <v>1.9684509318998614E-6</v>
      </c>
      <c r="DK150">
        <v>840610539579443.12</v>
      </c>
      <c r="DL150">
        <v>1.0645091892033816</v>
      </c>
      <c r="DM150">
        <v>663000000</v>
      </c>
      <c r="DN150">
        <v>1.520727413147688</v>
      </c>
      <c r="DO150">
        <v>1654700600</v>
      </c>
      <c r="DP150">
        <v>-873480</v>
      </c>
      <c r="DQ150">
        <v>4601</v>
      </c>
      <c r="DR150">
        <v>-2.2669960698641058</v>
      </c>
      <c r="DS150">
        <v>-5.2971107884397348</v>
      </c>
      <c r="DT150" s="12">
        <v>-4.0000000000000036E-2</v>
      </c>
      <c r="DU150">
        <v>-0.11666666666666665</v>
      </c>
      <c r="DV150">
        <v>-0.15666666666666668</v>
      </c>
      <c r="DW150">
        <v>-9.3732072017088797</v>
      </c>
      <c r="DX150">
        <v>0.31055635079452998</v>
      </c>
      <c r="DY150">
        <v>-9.0449924983282592</v>
      </c>
      <c r="DZ150">
        <v>87</v>
      </c>
      <c r="EA150">
        <v>-9.0442264812334336</v>
      </c>
      <c r="EB150">
        <v>9</v>
      </c>
      <c r="EC150">
        <v>5.8902184892122067E-2</v>
      </c>
      <c r="ED150">
        <v>0.48858632916413314</v>
      </c>
      <c r="EE150" s="13">
        <v>3.0480999999999998</v>
      </c>
      <c r="EF150">
        <v>3.0247000000000002</v>
      </c>
      <c r="EG150">
        <v>19.12055635079453</v>
      </c>
      <c r="EH150" t="s">
        <v>1834</v>
      </c>
      <c r="EI150">
        <v>0</v>
      </c>
      <c r="EJ150">
        <v>1</v>
      </c>
      <c r="EK150" s="15">
        <v>45470</v>
      </c>
      <c r="EL150" s="16">
        <v>-0.61</v>
      </c>
      <c r="EM150" s="16">
        <v>-5.6</v>
      </c>
      <c r="EN150">
        <v>-3.28</v>
      </c>
      <c r="EO150">
        <v>1.34</v>
      </c>
      <c r="EP150">
        <v>-2.34</v>
      </c>
    </row>
    <row r="151" spans="1:146" ht="96" x14ac:dyDescent="0.25">
      <c r="C151" s="8" t="str">
        <f>""&amp;CHAR(10)&amp;Basic_Fundamental_Information_Constructure(F151)&amp;CHAR(10)&amp;Basic_Fundamental_Information_Concatenate("")</f>
        <v xml:space="preserve">
市值16.066795亿, 利润1.93亿; PE19.7; 平均PE22.72; 平均PEG.98, PB2.62; ROIC9.6967%; ROE10.0033%; 股利率2.6248%; 毛利43.8%; 净利17.19%; 上一年度营收增72.05%, 利润增325.25%; 当季营收增12.27%, 利润增-45.81%; 过往5年营收增23.26%, 利润增68.66%
Income profile:
</v>
      </c>
      <c r="D151" t="s">
        <v>1185</v>
      </c>
      <c r="E151" t="s">
        <v>1186</v>
      </c>
      <c r="F151">
        <v>19.43</v>
      </c>
      <c r="G151">
        <v>-0.1</v>
      </c>
      <c r="H151" t="s">
        <v>5281</v>
      </c>
      <c r="I151">
        <v>1606679500</v>
      </c>
      <c r="J151">
        <v>19.7</v>
      </c>
      <c r="K151">
        <v>2.62</v>
      </c>
      <c r="L151" t="s">
        <v>101</v>
      </c>
      <c r="M151" t="s">
        <v>674</v>
      </c>
      <c r="N151" t="s">
        <v>1600</v>
      </c>
      <c r="O151" t="s">
        <v>5282</v>
      </c>
      <c r="P151">
        <v>32.26</v>
      </c>
      <c r="Q151" t="s">
        <v>1068</v>
      </c>
      <c r="R151">
        <v>16283529</v>
      </c>
      <c r="S151" s="6">
        <v>0.623</v>
      </c>
      <c r="T151" t="s">
        <v>361</v>
      </c>
      <c r="U151">
        <v>82690657</v>
      </c>
      <c r="V151">
        <v>82690657</v>
      </c>
      <c r="W151">
        <v>1.23</v>
      </c>
      <c r="X151">
        <v>0.12</v>
      </c>
      <c r="Y151">
        <v>17.79</v>
      </c>
      <c r="Z151" t="s">
        <v>5283</v>
      </c>
      <c r="AA151" t="s">
        <v>5284</v>
      </c>
      <c r="AB151" t="s">
        <v>5285</v>
      </c>
      <c r="AC151" t="s">
        <v>5286</v>
      </c>
      <c r="AD151" t="s">
        <v>5</v>
      </c>
      <c r="AE151">
        <v>-2648319</v>
      </c>
      <c r="AF151" t="s">
        <v>5287</v>
      </c>
      <c r="AG151">
        <v>1221.4000000000001</v>
      </c>
      <c r="AH151" t="s">
        <v>5288</v>
      </c>
      <c r="AI151" t="s">
        <v>829</v>
      </c>
      <c r="AJ151" t="s">
        <v>5289</v>
      </c>
      <c r="AK151" t="s">
        <v>5290</v>
      </c>
      <c r="AL151" t="s">
        <v>5291</v>
      </c>
      <c r="AM151" t="s">
        <v>5</v>
      </c>
      <c r="AN151">
        <v>0</v>
      </c>
      <c r="AO151" t="s">
        <v>2412</v>
      </c>
      <c r="AP151" t="s">
        <v>5</v>
      </c>
      <c r="AQ151" t="s">
        <v>5292</v>
      </c>
      <c r="AR151" t="s">
        <v>5</v>
      </c>
      <c r="AS151" t="s">
        <v>227</v>
      </c>
      <c r="AT151" t="s">
        <v>5</v>
      </c>
      <c r="AU151" t="s">
        <v>5293</v>
      </c>
      <c r="AV151" t="s">
        <v>5294</v>
      </c>
      <c r="AW151" t="s">
        <v>2412</v>
      </c>
      <c r="AX151" t="s">
        <v>366</v>
      </c>
      <c r="AY151" t="s">
        <v>156</v>
      </c>
      <c r="AZ151" t="s">
        <v>137</v>
      </c>
      <c r="BA151" t="s">
        <v>184</v>
      </c>
      <c r="BB151" t="s">
        <v>173</v>
      </c>
      <c r="BC151" t="s">
        <v>5295</v>
      </c>
      <c r="BD151" t="s">
        <v>1522</v>
      </c>
      <c r="BE151" t="s">
        <v>1187</v>
      </c>
      <c r="BF151" t="s">
        <v>1188</v>
      </c>
      <c r="BG151" t="s">
        <v>1189</v>
      </c>
      <c r="BH151" t="s">
        <v>1712</v>
      </c>
      <c r="BI151" t="s">
        <v>5296</v>
      </c>
      <c r="BJ151" t="s">
        <v>366</v>
      </c>
      <c r="BK151" t="s">
        <v>5297</v>
      </c>
      <c r="BL151" t="s">
        <v>5298</v>
      </c>
      <c r="BM151" t="s">
        <v>5295</v>
      </c>
      <c r="BN151">
        <v>7.58</v>
      </c>
      <c r="BO151">
        <v>7.95</v>
      </c>
      <c r="BP151">
        <v>13.56</v>
      </c>
      <c r="BQ151">
        <v>9.39</v>
      </c>
      <c r="BR151">
        <v>8.58</v>
      </c>
      <c r="BS151">
        <v>12.04</v>
      </c>
      <c r="BT151" t="s">
        <v>5299</v>
      </c>
      <c r="BU151" t="s">
        <v>1537</v>
      </c>
      <c r="BV151">
        <v>43.82</v>
      </c>
      <c r="BW151">
        <v>43.68</v>
      </c>
      <c r="BX151">
        <v>43.9</v>
      </c>
      <c r="BY151">
        <v>19.61</v>
      </c>
      <c r="BZ151">
        <v>15.27</v>
      </c>
      <c r="CA151">
        <v>16.690000000000001</v>
      </c>
      <c r="CB151">
        <v>-8.99</v>
      </c>
      <c r="CC151">
        <v>-18.16</v>
      </c>
      <c r="CD151" t="s">
        <v>5300</v>
      </c>
      <c r="CE151" t="s">
        <v>5301</v>
      </c>
      <c r="CF151" s="10">
        <v>0.12267060552601684</v>
      </c>
      <c r="CG151" s="11">
        <v>-0.45811162211809808</v>
      </c>
      <c r="CH151" s="10">
        <v>0.72053873538970947</v>
      </c>
      <c r="CI151" s="10">
        <v>-6.8965516984462738E-2</v>
      </c>
      <c r="CJ151" s="10">
        <v>0.43049326539039612</v>
      </c>
      <c r="CK151" s="10">
        <v>5.6872036308050156E-2</v>
      </c>
      <c r="CL151" s="10">
        <v>2.4271843954920769E-2</v>
      </c>
      <c r="CM151" s="11">
        <v>3.2524969577789307</v>
      </c>
      <c r="CN151" s="11">
        <v>-0.14729411900043488</v>
      </c>
      <c r="CO151" s="11">
        <v>8.8599778711795807E-2</v>
      </c>
      <c r="CP151" s="11">
        <v>9.3301936984062195E-2</v>
      </c>
      <c r="CQ151" s="11">
        <v>0.14578673243522644</v>
      </c>
      <c r="CR151">
        <v>22.722445424728374</v>
      </c>
      <c r="CS151">
        <v>0.9767126448842145</v>
      </c>
      <c r="CT151">
        <v>2.6248069994853318</v>
      </c>
      <c r="CU151" s="10">
        <v>0.23264207281172275</v>
      </c>
      <c r="CV151" s="11">
        <v>0.68657825738191602</v>
      </c>
      <c r="CW151">
        <v>0.06</v>
      </c>
      <c r="CX151">
        <v>4.9488048156526654</v>
      </c>
      <c r="CY151">
        <v>224433886.84213439</v>
      </c>
      <c r="CZ151">
        <v>0.23264207281172275</v>
      </c>
      <c r="DA151">
        <v>1.4361291719458984</v>
      </c>
      <c r="DB151">
        <v>773384122.88852334</v>
      </c>
      <c r="DC151">
        <v>0.22100996917113661</v>
      </c>
      <c r="DD151">
        <v>0.59844049860819515</v>
      </c>
      <c r="DE151">
        <v>1855956444.4303639</v>
      </c>
      <c r="DF151">
        <v>0.20472502407431603</v>
      </c>
      <c r="DG151">
        <v>0.29452137408605594</v>
      </c>
      <c r="DH151">
        <v>3771133770.6698041</v>
      </c>
      <c r="DI151">
        <v>0.1861136582493782</v>
      </c>
      <c r="DJ151">
        <v>9.4728981605754409E-2</v>
      </c>
      <c r="DK151">
        <v>11724811997.05551</v>
      </c>
      <c r="DL151">
        <v>0.16284945096820591</v>
      </c>
      <c r="DM151">
        <v>193000000</v>
      </c>
      <c r="DN151">
        <v>0.23264207281172275</v>
      </c>
      <c r="DO151">
        <v>1110679500</v>
      </c>
      <c r="DP151">
        <v>475655530</v>
      </c>
      <c r="DQ151">
        <v>4620</v>
      </c>
      <c r="DR151">
        <v>-0.10997146728570591</v>
      </c>
      <c r="DS151">
        <v>-1.1446898795000142</v>
      </c>
      <c r="DT151" s="12">
        <v>2.6666666666666616E-2</v>
      </c>
      <c r="DU151">
        <v>7.999999999999996E-2</v>
      </c>
      <c r="DV151">
        <v>0.10666666666666658</v>
      </c>
      <c r="DW151">
        <v>-9.4950440528634363</v>
      </c>
      <c r="DX151">
        <v>0.35986163806683918</v>
      </c>
      <c r="DY151">
        <v>-9.0890394342632632</v>
      </c>
      <c r="DZ151">
        <v>909</v>
      </c>
      <c r="EA151">
        <v>-9.0732005212015601</v>
      </c>
      <c r="EB151">
        <v>9</v>
      </c>
      <c r="EC151">
        <v>4.9016420319408033E-2</v>
      </c>
      <c r="ED151">
        <v>0.27252292843676407</v>
      </c>
      <c r="EE151" s="13">
        <v>1.02501</v>
      </c>
      <c r="EF151">
        <v>1.01481</v>
      </c>
      <c r="EG151">
        <v>18.179861638066839</v>
      </c>
      <c r="EH151" t="s">
        <v>1815</v>
      </c>
      <c r="EI151">
        <v>0</v>
      </c>
      <c r="EJ151">
        <v>1</v>
      </c>
      <c r="EK151" s="15">
        <v>45470</v>
      </c>
      <c r="EL151" s="16">
        <v>1.82</v>
      </c>
      <c r="EM151" s="16">
        <v>-5.98</v>
      </c>
      <c r="EN151">
        <v>-0.18</v>
      </c>
      <c r="EO151">
        <v>5.36</v>
      </c>
      <c r="EP151">
        <v>1.02</v>
      </c>
    </row>
    <row r="152" spans="1:146" ht="108" x14ac:dyDescent="0.25">
      <c r="C152" s="8" t="str">
        <f>""&amp;CHAR(10)&amp;Basic_Fundamental_Information_Constructure(F152)&amp;CHAR(10)&amp;Basic_Fundamental_Information_Concatenate("")</f>
        <v xml:space="preserve">
市值16.928525亿, 利润-6.07亿; PE18.72; 平均PE-36.46; 平均PEG-.25, PB1.91; ROIC10.7933%; ROE12.7633%; 股利率1.3389%; 毛利40.87%; 净利20.9333%; 上一年度营收增678.34%, 利润增-847.3%; 当季营收增-87.65%, 利润增107.62%; 过往5年营收增147.67%, 利润增-149.81%
Income profile:
</v>
      </c>
      <c r="D152" t="s">
        <v>1191</v>
      </c>
      <c r="E152" t="s">
        <v>1192</v>
      </c>
      <c r="F152">
        <v>26.44</v>
      </c>
      <c r="G152">
        <v>3.4</v>
      </c>
      <c r="H152" t="s">
        <v>5302</v>
      </c>
      <c r="I152">
        <v>1692852500</v>
      </c>
      <c r="J152">
        <v>18.72</v>
      </c>
      <c r="K152">
        <v>1.91</v>
      </c>
      <c r="L152" t="s">
        <v>101</v>
      </c>
      <c r="M152" t="s">
        <v>126</v>
      </c>
      <c r="N152" t="s">
        <v>1293</v>
      </c>
      <c r="O152" t="s">
        <v>5303</v>
      </c>
      <c r="P152">
        <v>-1.59</v>
      </c>
      <c r="Q152" t="s">
        <v>5304</v>
      </c>
      <c r="R152">
        <v>11422886</v>
      </c>
      <c r="S152" s="6">
        <v>-1.83E-2</v>
      </c>
      <c r="T152" t="s">
        <v>5305</v>
      </c>
      <c r="U152">
        <v>64026190</v>
      </c>
      <c r="V152">
        <v>64026190</v>
      </c>
      <c r="W152">
        <v>1.39</v>
      </c>
      <c r="X152">
        <v>0.06</v>
      </c>
      <c r="Y152">
        <v>13.42</v>
      </c>
      <c r="Z152" t="s">
        <v>5306</v>
      </c>
      <c r="AA152" t="s">
        <v>5307</v>
      </c>
      <c r="AB152" t="s">
        <v>5308</v>
      </c>
      <c r="AC152" t="s">
        <v>5309</v>
      </c>
      <c r="AD152" t="s">
        <v>5</v>
      </c>
      <c r="AE152">
        <v>-276357</v>
      </c>
      <c r="AF152" t="s">
        <v>5310</v>
      </c>
      <c r="AG152" t="s">
        <v>5311</v>
      </c>
      <c r="AH152" t="s">
        <v>5312</v>
      </c>
      <c r="AI152" t="s">
        <v>275</v>
      </c>
      <c r="AJ152" t="s">
        <v>5313</v>
      </c>
      <c r="AK152" t="s">
        <v>5314</v>
      </c>
      <c r="AL152" t="s">
        <v>5315</v>
      </c>
      <c r="AM152" t="s">
        <v>5</v>
      </c>
      <c r="AN152" t="s">
        <v>5316</v>
      </c>
      <c r="AO152" t="s">
        <v>5</v>
      </c>
      <c r="AP152" t="s">
        <v>5317</v>
      </c>
      <c r="AQ152" t="s">
        <v>5318</v>
      </c>
      <c r="AR152" t="s">
        <v>5319</v>
      </c>
      <c r="AS152" t="s">
        <v>136</v>
      </c>
      <c r="AT152" t="s">
        <v>5</v>
      </c>
      <c r="AU152" t="s">
        <v>5320</v>
      </c>
      <c r="AV152" t="s">
        <v>5321</v>
      </c>
      <c r="AW152" t="s">
        <v>5322</v>
      </c>
      <c r="AX152" t="s">
        <v>247</v>
      </c>
      <c r="AY152" t="s">
        <v>387</v>
      </c>
      <c r="AZ152" t="s">
        <v>601</v>
      </c>
      <c r="BA152" t="s">
        <v>157</v>
      </c>
      <c r="BB152" t="s">
        <v>137</v>
      </c>
      <c r="BC152" t="s">
        <v>2074</v>
      </c>
      <c r="BD152" t="s">
        <v>1523</v>
      </c>
      <c r="BE152" t="s">
        <v>1193</v>
      </c>
      <c r="BF152" t="s">
        <v>1194</v>
      </c>
      <c r="BG152" t="s">
        <v>1195</v>
      </c>
      <c r="BH152" t="s">
        <v>5323</v>
      </c>
      <c r="BI152" t="s">
        <v>588</v>
      </c>
      <c r="BJ152" t="s">
        <v>247</v>
      </c>
      <c r="BK152" t="s">
        <v>5324</v>
      </c>
      <c r="BL152" t="s">
        <v>1890</v>
      </c>
      <c r="BM152" t="s">
        <v>2074</v>
      </c>
      <c r="BN152">
        <v>7.21</v>
      </c>
      <c r="BO152">
        <v>10.67</v>
      </c>
      <c r="BP152">
        <v>14.5</v>
      </c>
      <c r="BQ152">
        <v>7.77</v>
      </c>
      <c r="BR152">
        <v>11.15</v>
      </c>
      <c r="BS152">
        <v>19.37</v>
      </c>
      <c r="BT152" t="s">
        <v>5325</v>
      </c>
      <c r="BU152" t="s">
        <v>1537</v>
      </c>
      <c r="BV152">
        <v>39.130000000000003</v>
      </c>
      <c r="BW152">
        <v>42.96</v>
      </c>
      <c r="BX152">
        <v>40.520000000000003</v>
      </c>
      <c r="BY152">
        <v>18.440000000000001</v>
      </c>
      <c r="BZ152">
        <v>21.79</v>
      </c>
      <c r="CA152">
        <v>22.57</v>
      </c>
      <c r="CB152">
        <v>-6.8</v>
      </c>
      <c r="CC152">
        <v>-18.86</v>
      </c>
      <c r="CD152" t="s">
        <v>5326</v>
      </c>
      <c r="CE152" t="s">
        <v>5327</v>
      </c>
      <c r="CF152" s="10">
        <v>-0.87653634894991928</v>
      </c>
      <c r="CG152" s="11">
        <v>1.0761525733333333</v>
      </c>
      <c r="CH152" s="10">
        <v>6.7834224700927734</v>
      </c>
      <c r="CI152" s="10">
        <v>0.1032448410987854</v>
      </c>
      <c r="CJ152" s="10">
        <v>-5.3072623908519745E-2</v>
      </c>
      <c r="CK152" s="10">
        <v>0.13291139900684357</v>
      </c>
      <c r="CL152" s="10">
        <v>0.41704034805297852</v>
      </c>
      <c r="CM152" s="11">
        <v>-8.4729681015014648</v>
      </c>
      <c r="CN152" s="11">
        <v>6.163470447063446E-2</v>
      </c>
      <c r="CO152" s="11">
        <v>5.4310936480760574E-2</v>
      </c>
      <c r="CP152" s="11">
        <v>0.17808134853839874</v>
      </c>
      <c r="CQ152" s="11">
        <v>0.68838101625442505</v>
      </c>
      <c r="CR152">
        <v>-36.456299058148161</v>
      </c>
      <c r="CS152">
        <v>-0.24687526097608126</v>
      </c>
      <c r="CT152">
        <v>1.3388804841149773</v>
      </c>
      <c r="CU152" s="10">
        <v>1.4767092868685723</v>
      </c>
      <c r="CV152" s="11">
        <v>-1.4981120191514492</v>
      </c>
      <c r="CW152">
        <v>0.06</v>
      </c>
      <c r="CX152" t="e">
        <v>#VALUE!</v>
      </c>
      <c r="CY152" t="s">
        <v>1549</v>
      </c>
      <c r="CZ152">
        <v>1.4767092868685723</v>
      </c>
      <c r="DA152" t="e">
        <v>#VALUE!</v>
      </c>
      <c r="DB152" t="s">
        <v>1549</v>
      </c>
      <c r="DC152">
        <v>1.4028738225251436</v>
      </c>
      <c r="DD152" t="e">
        <v>#VALUE!</v>
      </c>
      <c r="DE152" t="s">
        <v>1549</v>
      </c>
      <c r="DF152">
        <v>1.2995041724443437</v>
      </c>
      <c r="DG152" t="e">
        <v>#VALUE!</v>
      </c>
      <c r="DH152" t="s">
        <v>1549</v>
      </c>
      <c r="DI152">
        <v>1.181367429494858</v>
      </c>
      <c r="DJ152" t="e">
        <v>#VALUE!</v>
      </c>
      <c r="DK152" t="s">
        <v>1549</v>
      </c>
      <c r="DL152">
        <v>1.0336965008080006</v>
      </c>
      <c r="DM152">
        <v>-607000000</v>
      </c>
      <c r="DN152">
        <v>1.4767092868685723</v>
      </c>
      <c r="DO152">
        <v>1146852500</v>
      </c>
      <c r="DP152">
        <v>564899440</v>
      </c>
      <c r="DQ152">
        <v>4639</v>
      </c>
      <c r="DR152">
        <v>-2.3532456358184914</v>
      </c>
      <c r="DS152">
        <v>2.5742645924847825</v>
      </c>
      <c r="DT152" s="12">
        <v>-4.0000000000000036E-2</v>
      </c>
      <c r="DU152">
        <v>-0.87333333333333341</v>
      </c>
      <c r="DV152">
        <v>-0.91333333333333344</v>
      </c>
      <c r="DW152">
        <v>-9.360551431601273</v>
      </c>
      <c r="DX152">
        <v>0.45541204738658875</v>
      </c>
      <c r="DY152">
        <v>-9.059639550489333</v>
      </c>
      <c r="DZ152">
        <v>3898</v>
      </c>
      <c r="EA152">
        <v>-9.0141454276307389</v>
      </c>
      <c r="EB152">
        <v>9</v>
      </c>
      <c r="EC152">
        <v>1.6988360544333499E-2</v>
      </c>
      <c r="ED152">
        <v>0.1027032843903409</v>
      </c>
      <c r="EE152" s="13">
        <v>-5.0264100000000003</v>
      </c>
      <c r="EF152">
        <v>-5.0378100000000003</v>
      </c>
      <c r="EG152">
        <v>29.165412047386589</v>
      </c>
      <c r="EH152" t="s">
        <v>2193</v>
      </c>
      <c r="EI152">
        <v>0</v>
      </c>
      <c r="EJ152">
        <v>0</v>
      </c>
      <c r="EK152" s="15">
        <v>45470</v>
      </c>
      <c r="EL152" s="16">
        <v>-0.33</v>
      </c>
      <c r="EM152" s="16">
        <v>-2.95</v>
      </c>
      <c r="EN152">
        <v>0.12</v>
      </c>
      <c r="EO152">
        <v>0.64</v>
      </c>
      <c r="EP152">
        <v>-1.1399999999999999</v>
      </c>
    </row>
    <row r="153" spans="1:146" ht="180" x14ac:dyDescent="0.25">
      <c r="A153" s="8" t="s">
        <v>2269</v>
      </c>
      <c r="B153" s="8" t="s">
        <v>2268</v>
      </c>
      <c r="C153" s="8" t="str">
        <f>"公司是大型炼油化工专用装备模块化、集成化制造的提供商，专业为石油化工、炼油、天然气化工等领域的客户提供设计、制造、安装和服务一体化的解决方案。公司主要产品包括乙烯裂解炉、转化炉、炼油加热炉、余热锅炉、压力容器、其他配套产品及相关技术服务"&amp;CHAR(10)&amp;Basic_Fundamental_Information_Constructure(F153)&amp;CHAR(10)&amp;Basic_Fundamental_Information_Concatenate("石化专用设备 19.46亿 66.30% 3.05亿 56.53% 15.66%
其他产品及服务 6.68亿 22.74% 1.85亿 34.33% 27.73%
炼油专用设备 3.22亿 10.96% 4927.81万 9.14% 15.32%")</f>
        <v>公司是大型炼油化工专用装备模块化、集成化制造的提供商，专业为石油化工、炼油、天然气化工等领域的客户提供设计、制造、安装和服务一体化的解决方案。公司主要产品包括乙烯裂解炉、转化炉、炼油加热炉、余热锅炉、压力容器、其他配套产品及相关技术服务
市值27.940235亿, 利润7.52亿; PE14.57; 平均PE10.12; 平均PEG.22, PB1.12; ROIC7.43%; ROE14.0133%; 股利率0%; 毛利19.1367%; 净利5.91%; 上一年度营收增41.66%, 利润增295.79%; 当季营收增-94.43%, 利润增-119.33%; 过往5年营收增45.29%, 利润增117.39%
Income profile:
石化专用设备 19.46亿 66.30% 3.05亿 56.53% 15.66%
其他产品及服务 6.68亿 22.74% 1.85亿 34.33% 27.73%
炼油专用设备 3.22亿 10.96% 4927.81万 9.14% 15.32%</v>
      </c>
      <c r="D153" t="s">
        <v>1325</v>
      </c>
      <c r="E153" t="s">
        <v>1326</v>
      </c>
      <c r="F153">
        <v>11.96</v>
      </c>
      <c r="G153">
        <v>3.91</v>
      </c>
      <c r="H153" t="s">
        <v>5328</v>
      </c>
      <c r="I153">
        <v>2794023500</v>
      </c>
      <c r="J153">
        <v>14.57</v>
      </c>
      <c r="K153">
        <v>1.1200000000000001</v>
      </c>
      <c r="L153" t="s">
        <v>101</v>
      </c>
      <c r="M153" t="s">
        <v>5329</v>
      </c>
      <c r="N153" t="s">
        <v>5330</v>
      </c>
      <c r="O153" t="s">
        <v>5331</v>
      </c>
      <c r="P153">
        <v>-6.62</v>
      </c>
      <c r="Q153" t="s">
        <v>5332</v>
      </c>
      <c r="R153">
        <v>-40199670</v>
      </c>
      <c r="S153" s="6">
        <v>0.48409999999999997</v>
      </c>
      <c r="T153" t="s">
        <v>583</v>
      </c>
      <c r="U153">
        <v>141578670</v>
      </c>
      <c r="V153">
        <v>233614000</v>
      </c>
      <c r="W153">
        <v>3</v>
      </c>
      <c r="X153">
        <v>0.01</v>
      </c>
      <c r="Y153">
        <v>-88.58</v>
      </c>
      <c r="Z153" t="s">
        <v>237</v>
      </c>
      <c r="AA153" t="s">
        <v>5333</v>
      </c>
      <c r="AB153" t="s">
        <v>5334</v>
      </c>
      <c r="AC153" t="s">
        <v>5335</v>
      </c>
      <c r="AD153" t="s">
        <v>5</v>
      </c>
      <c r="AE153">
        <v>14857298</v>
      </c>
      <c r="AF153" t="s">
        <v>5336</v>
      </c>
      <c r="AG153" t="s">
        <v>5337</v>
      </c>
      <c r="AH153" t="s">
        <v>5338</v>
      </c>
      <c r="AI153" t="s">
        <v>1651</v>
      </c>
      <c r="AJ153" t="s">
        <v>5339</v>
      </c>
      <c r="AK153" t="s">
        <v>5340</v>
      </c>
      <c r="AL153" t="s">
        <v>5341</v>
      </c>
      <c r="AM153" t="s">
        <v>5</v>
      </c>
      <c r="AN153" t="s">
        <v>2764</v>
      </c>
      <c r="AO153" t="s">
        <v>1692</v>
      </c>
      <c r="AP153" t="s">
        <v>104</v>
      </c>
      <c r="AQ153" t="s">
        <v>5342</v>
      </c>
      <c r="AR153" t="s">
        <v>5</v>
      </c>
      <c r="AS153" t="s">
        <v>5343</v>
      </c>
      <c r="AT153" t="s">
        <v>204</v>
      </c>
      <c r="AU153" t="s">
        <v>5344</v>
      </c>
      <c r="AV153" t="s">
        <v>5242</v>
      </c>
      <c r="AW153" t="s">
        <v>5345</v>
      </c>
      <c r="AX153" t="s">
        <v>2075</v>
      </c>
      <c r="AY153" t="s">
        <v>1524</v>
      </c>
      <c r="AZ153" t="s">
        <v>1327</v>
      </c>
      <c r="BA153" t="s">
        <v>1328</v>
      </c>
      <c r="BB153" t="s">
        <v>370</v>
      </c>
      <c r="BC153" t="s">
        <v>308</v>
      </c>
      <c r="BD153" t="s">
        <v>336</v>
      </c>
      <c r="BE153" t="s">
        <v>451</v>
      </c>
      <c r="BF153" t="s">
        <v>197</v>
      </c>
      <c r="BG153" t="s">
        <v>1329</v>
      </c>
      <c r="BH153" t="s">
        <v>1499</v>
      </c>
      <c r="BI153" t="s">
        <v>3823</v>
      </c>
      <c r="BJ153" t="s">
        <v>2075</v>
      </c>
      <c r="BK153" t="s">
        <v>420</v>
      </c>
      <c r="BL153" t="s">
        <v>329</v>
      </c>
      <c r="BM153" t="s">
        <v>308</v>
      </c>
      <c r="BN153">
        <v>1.72</v>
      </c>
      <c r="BO153">
        <v>5.93</v>
      </c>
      <c r="BP153">
        <v>14.64</v>
      </c>
      <c r="BQ153">
        <v>2.82</v>
      </c>
      <c r="BR153">
        <v>9.23</v>
      </c>
      <c r="BS153">
        <v>29.99</v>
      </c>
      <c r="BT153" t="s">
        <v>1720</v>
      </c>
      <c r="BU153" t="s">
        <v>1536</v>
      </c>
      <c r="BV153">
        <v>20.52</v>
      </c>
      <c r="BW153">
        <v>18.38</v>
      </c>
      <c r="BX153">
        <v>18.510000000000002</v>
      </c>
      <c r="BY153">
        <v>4.47</v>
      </c>
      <c r="BZ153">
        <v>6.01</v>
      </c>
      <c r="CA153">
        <v>7.25</v>
      </c>
      <c r="CB153">
        <v>-0.5</v>
      </c>
      <c r="CC153">
        <v>-20.43</v>
      </c>
      <c r="CD153" t="s">
        <v>5346</v>
      </c>
      <c r="CE153" t="s">
        <v>5347</v>
      </c>
      <c r="CF153" s="10">
        <v>-0.94430379609544468</v>
      </c>
      <c r="CG153" s="11">
        <v>-1.1932676442307693</v>
      </c>
      <c r="CH153" s="10">
        <v>0.41655316948890686</v>
      </c>
      <c r="CI153" s="10">
        <v>-0.24737246334552765</v>
      </c>
      <c r="CJ153" s="10">
        <v>0.42998531460762024</v>
      </c>
      <c r="CK153" s="10">
        <v>0.95555543899536133</v>
      </c>
      <c r="CL153" s="10">
        <v>0.70955890417098999</v>
      </c>
      <c r="CM153" s="11">
        <v>2.9578948020935059</v>
      </c>
      <c r="CN153" s="11">
        <v>-0.3968254029750824</v>
      </c>
      <c r="CO153" s="11">
        <v>0.27016130089759827</v>
      </c>
      <c r="CP153" s="11">
        <v>1.2142857313156128</v>
      </c>
      <c r="CQ153" s="11">
        <v>1.8239685297012329</v>
      </c>
      <c r="CR153">
        <v>10.119237465974471</v>
      </c>
      <c r="CS153">
        <v>0.22345372126240454</v>
      </c>
      <c r="CT153">
        <v>0</v>
      </c>
      <c r="CU153" s="10">
        <v>0.45285607278347018</v>
      </c>
      <c r="CV153" s="11">
        <v>1.1738969922065734</v>
      </c>
      <c r="CW153">
        <v>0.06</v>
      </c>
      <c r="CX153">
        <v>5.0286175829434363</v>
      </c>
      <c r="CY153">
        <v>1030705440.3143109</v>
      </c>
      <c r="CZ153">
        <v>0.45285607278347018</v>
      </c>
      <c r="DA153">
        <v>1.2250672289151654</v>
      </c>
      <c r="DB153">
        <v>4230807401.9657893</v>
      </c>
      <c r="DC153">
        <v>0.43021326914429664</v>
      </c>
      <c r="DD153">
        <v>0.39031022228475631</v>
      </c>
      <c r="DE153">
        <v>13279240983.39052</v>
      </c>
      <c r="DF153">
        <v>0.39851334404945377</v>
      </c>
      <c r="DG153">
        <v>0.13543939666534396</v>
      </c>
      <c r="DH153">
        <v>38268211669.65686</v>
      </c>
      <c r="DI153">
        <v>0.36228485822677614</v>
      </c>
      <c r="DJ153">
        <v>1.7734027077883383E-2</v>
      </c>
      <c r="DK153">
        <v>292264327624.93628</v>
      </c>
      <c r="DL153">
        <v>0.31699925094842912</v>
      </c>
      <c r="DM153">
        <v>752000000</v>
      </c>
      <c r="DN153">
        <v>0.45285607278347018</v>
      </c>
      <c r="DO153">
        <v>5183023500</v>
      </c>
      <c r="DP153">
        <v>595643900.00000048</v>
      </c>
      <c r="DQ153">
        <v>4647</v>
      </c>
      <c r="DR153">
        <v>-1.3971598688789149</v>
      </c>
      <c r="DS153">
        <v>-2.3671646364373427</v>
      </c>
      <c r="DT153" s="12">
        <v>0.14333333333333323</v>
      </c>
      <c r="DU153">
        <v>0.1399999999999999</v>
      </c>
      <c r="DV153">
        <v>0.2833333333333331</v>
      </c>
      <c r="DW153">
        <v>-3.0501011904761905</v>
      </c>
      <c r="DX153">
        <v>0.37440033552884699</v>
      </c>
      <c r="DY153">
        <v>-3.0062326049056329</v>
      </c>
      <c r="DZ153">
        <v>834</v>
      </c>
      <c r="EA153">
        <v>-3.005215385240017</v>
      </c>
      <c r="EB153">
        <v>3</v>
      </c>
      <c r="EC153">
        <v>3.9704384155059197E-2</v>
      </c>
      <c r="ED153">
        <v>0.31916623147585332</v>
      </c>
      <c r="EE153" s="13">
        <v>1.02051</v>
      </c>
      <c r="EF153">
        <v>1.04931</v>
      </c>
      <c r="EG153">
        <v>25.124400335528847</v>
      </c>
      <c r="EH153" t="s">
        <v>1815</v>
      </c>
      <c r="EI153">
        <v>0</v>
      </c>
      <c r="EJ153">
        <v>1</v>
      </c>
      <c r="EK153" s="15">
        <v>45470</v>
      </c>
      <c r="EL153" s="16">
        <v>1.1599999999999999</v>
      </c>
      <c r="EM153" s="16">
        <v>-2.62</v>
      </c>
      <c r="EN153">
        <v>-2.99</v>
      </c>
      <c r="EO153">
        <v>1.74</v>
      </c>
      <c r="EP153">
        <v>-2.88</v>
      </c>
    </row>
    <row r="154" spans="1:146" ht="96" x14ac:dyDescent="0.25">
      <c r="C154" s="8" t="str">
        <f>""&amp;CHAR(10)&amp;Basic_Fundamental_Information_Constructure(F154)&amp;CHAR(10)&amp;Basic_Fundamental_Information_Concatenate("")</f>
        <v xml:space="preserve">
市值67.8751亿, 利润5167.36万; PE16.24; 平均PE27.67; 平均PEG3.28, PB2.27; ROIC11.6033%; ROE12.67%; 股利率2.6818%; 毛利28.8233%; 净利9.4667%; 上一年度营收增-86.32%, 利润增-85.76%; 当季营收增950.92%, 利润增2199.69%; 过往5年营收增-8.45%, 利润增-5.04%
Income profile:
</v>
      </c>
      <c r="D154" t="s">
        <v>754</v>
      </c>
      <c r="E154" t="s">
        <v>755</v>
      </c>
      <c r="F154">
        <v>16.78</v>
      </c>
      <c r="G154">
        <v>1.51</v>
      </c>
      <c r="H154" t="s">
        <v>5348</v>
      </c>
      <c r="I154">
        <v>6787510000</v>
      </c>
      <c r="J154">
        <v>16.239999999999998</v>
      </c>
      <c r="K154">
        <v>2.27</v>
      </c>
      <c r="L154" t="s">
        <v>101</v>
      </c>
      <c r="M154" t="s">
        <v>5349</v>
      </c>
      <c r="N154" t="s">
        <v>5350</v>
      </c>
      <c r="O154" t="s">
        <v>1418</v>
      </c>
      <c r="P154">
        <v>2.21</v>
      </c>
      <c r="Q154" t="s">
        <v>794</v>
      </c>
      <c r="R154">
        <v>70182073</v>
      </c>
      <c r="S154" s="6">
        <v>0.12429999999999999</v>
      </c>
      <c r="T154" t="s">
        <v>5351</v>
      </c>
      <c r="U154">
        <v>404500000</v>
      </c>
      <c r="V154">
        <v>404500000</v>
      </c>
      <c r="W154">
        <v>2.39</v>
      </c>
      <c r="X154">
        <v>0.12</v>
      </c>
      <c r="Y154">
        <v>7.95</v>
      </c>
      <c r="Z154" t="s">
        <v>5093</v>
      </c>
      <c r="AA154" t="s">
        <v>1597</v>
      </c>
      <c r="AB154" t="s">
        <v>5352</v>
      </c>
      <c r="AC154" t="s">
        <v>5353</v>
      </c>
      <c r="AD154" t="s">
        <v>5</v>
      </c>
      <c r="AE154">
        <v>-7986388</v>
      </c>
      <c r="AF154" t="s">
        <v>5354</v>
      </c>
      <c r="AG154" t="s">
        <v>5355</v>
      </c>
      <c r="AH154" t="s">
        <v>5356</v>
      </c>
      <c r="AI154" t="s">
        <v>1267</v>
      </c>
      <c r="AJ154" t="s">
        <v>5357</v>
      </c>
      <c r="AK154" t="s">
        <v>176</v>
      </c>
      <c r="AL154" t="s">
        <v>5358</v>
      </c>
      <c r="AM154" t="s">
        <v>5</v>
      </c>
      <c r="AN154" t="s">
        <v>5359</v>
      </c>
      <c r="AO154" t="s">
        <v>5360</v>
      </c>
      <c r="AP154" t="s">
        <v>713</v>
      </c>
      <c r="AQ154" t="s">
        <v>459</v>
      </c>
      <c r="AR154" t="s">
        <v>5</v>
      </c>
      <c r="AS154" t="s">
        <v>4082</v>
      </c>
      <c r="AT154" t="s">
        <v>5</v>
      </c>
      <c r="AU154" t="s">
        <v>5361</v>
      </c>
      <c r="AV154" t="s">
        <v>5362</v>
      </c>
      <c r="AW154" t="s">
        <v>5363</v>
      </c>
      <c r="AX154" t="s">
        <v>2077</v>
      </c>
      <c r="AY154" t="s">
        <v>1471</v>
      </c>
      <c r="AZ154" t="s">
        <v>1196</v>
      </c>
      <c r="BA154" t="s">
        <v>756</v>
      </c>
      <c r="BB154" t="s">
        <v>1197</v>
      </c>
      <c r="BC154" t="s">
        <v>790</v>
      </c>
      <c r="BD154" t="s">
        <v>336</v>
      </c>
      <c r="BE154" t="s">
        <v>479</v>
      </c>
      <c r="BF154" t="s">
        <v>409</v>
      </c>
      <c r="BG154" t="s">
        <v>147</v>
      </c>
      <c r="BH154" t="s">
        <v>5364</v>
      </c>
      <c r="BI154" t="s">
        <v>5365</v>
      </c>
      <c r="BJ154" t="s">
        <v>2077</v>
      </c>
      <c r="BK154" t="s">
        <v>557</v>
      </c>
      <c r="BL154" t="s">
        <v>5366</v>
      </c>
      <c r="BM154" t="s">
        <v>790</v>
      </c>
      <c r="BN154">
        <v>9.41</v>
      </c>
      <c r="BO154">
        <v>13.05</v>
      </c>
      <c r="BP154">
        <v>12.35</v>
      </c>
      <c r="BQ154">
        <v>10.42</v>
      </c>
      <c r="BR154">
        <v>14.3</v>
      </c>
      <c r="BS154">
        <v>13.29</v>
      </c>
      <c r="BT154" t="s">
        <v>5367</v>
      </c>
      <c r="BU154" t="s">
        <v>1537</v>
      </c>
      <c r="BV154">
        <v>30.67</v>
      </c>
      <c r="BW154">
        <v>28.45</v>
      </c>
      <c r="BX154">
        <v>27.35</v>
      </c>
      <c r="BY154">
        <v>9.7799999999999994</v>
      </c>
      <c r="BZ154">
        <v>9.44</v>
      </c>
      <c r="CA154">
        <v>9.18</v>
      </c>
      <c r="CB154">
        <v>-2.5</v>
      </c>
      <c r="CC154">
        <v>-7.55</v>
      </c>
      <c r="CD154" t="s">
        <v>5368</v>
      </c>
      <c r="CE154" t="s">
        <v>5369</v>
      </c>
      <c r="CF154" s="10">
        <v>9.5092355161716124</v>
      </c>
      <c r="CG154" s="11">
        <v>21.99694377088931</v>
      </c>
      <c r="CH154" s="10">
        <v>-0.86324107646942139</v>
      </c>
      <c r="CI154" s="10">
        <v>0.11388318240642548</v>
      </c>
      <c r="CJ154" s="10">
        <v>0.35198414325714111</v>
      </c>
      <c r="CK154" s="10">
        <v>-8.4302328526973724E-2</v>
      </c>
      <c r="CL154" s="10">
        <v>5.9276312589645386E-2</v>
      </c>
      <c r="CM154" s="11">
        <v>-0.85764849185943604</v>
      </c>
      <c r="CN154" s="11">
        <v>0.15238095819950104</v>
      </c>
      <c r="CO154" s="11">
        <v>0.11307420581579208</v>
      </c>
      <c r="CP154" s="11">
        <v>0.1230158731341362</v>
      </c>
      <c r="CQ154" s="11">
        <v>0.21739129722118378</v>
      </c>
      <c r="CR154">
        <v>27.672617080309109</v>
      </c>
      <c r="CS154">
        <v>3.2756430352308783</v>
      </c>
      <c r="CT154">
        <v>2.6817640047675804</v>
      </c>
      <c r="CU154" s="10">
        <v>-8.447995334863663E-2</v>
      </c>
      <c r="CV154" s="11">
        <v>-5.0357231497764589E-2</v>
      </c>
      <c r="CW154">
        <v>0.06</v>
      </c>
      <c r="CX154">
        <v>158.07898036908597</v>
      </c>
      <c r="CY154" t="s">
        <v>5370</v>
      </c>
      <c r="CZ154">
        <v>-8.447995334863663E-2</v>
      </c>
      <c r="DA154">
        <v>52.692993456361982</v>
      </c>
      <c r="DB154" t="s">
        <v>5371</v>
      </c>
      <c r="DC154">
        <v>-8.0255955681204791E-2</v>
      </c>
      <c r="DD154">
        <v>26.346496728180991</v>
      </c>
      <c r="DE154" t="s">
        <v>5372</v>
      </c>
      <c r="DF154">
        <v>-7.4342358946800233E-2</v>
      </c>
      <c r="DG154">
        <v>15.807898036908595</v>
      </c>
      <c r="DH154" t="s">
        <v>5373</v>
      </c>
      <c r="DI154">
        <v>-6.7583962678909301E-2</v>
      </c>
      <c r="DJ154">
        <v>7.9039490184542975</v>
      </c>
      <c r="DK154" t="s">
        <v>5374</v>
      </c>
      <c r="DL154">
        <v>-5.9135967344045637E-2</v>
      </c>
      <c r="DM154">
        <v>51673600</v>
      </c>
      <c r="DN154">
        <v>-8.447995334863663E-2</v>
      </c>
      <c r="DO154">
        <v>8168510000</v>
      </c>
      <c r="DP154">
        <v>1967494800</v>
      </c>
      <c r="DQ154">
        <v>4653</v>
      </c>
      <c r="DR154">
        <v>9.5937154695202498</v>
      </c>
      <c r="DS154">
        <v>22.047301002387073</v>
      </c>
      <c r="DT154" s="12">
        <v>-0.64</v>
      </c>
      <c r="DU154">
        <v>-8.3333333333333329E-2</v>
      </c>
      <c r="DV154">
        <v>-0.72333333333333338</v>
      </c>
      <c r="DW154">
        <v>-8.331125827814569</v>
      </c>
      <c r="DX154">
        <v>0.34489234159065374</v>
      </c>
      <c r="DY154">
        <v>-8.0380438217187606</v>
      </c>
      <c r="DZ154">
        <v>1482</v>
      </c>
      <c r="EA154">
        <v>-8.0270103689228307</v>
      </c>
      <c r="EB154">
        <v>8</v>
      </c>
      <c r="EC154">
        <v>2.1037824474660075E-2</v>
      </c>
      <c r="ED154">
        <v>0.18310902348578492</v>
      </c>
      <c r="EE154" s="13">
        <v>-4.0141099999999996</v>
      </c>
      <c r="EF154">
        <v>-4.0392099999999997</v>
      </c>
      <c r="EG154">
        <v>23.114892341590654</v>
      </c>
      <c r="EH154" t="s">
        <v>2119</v>
      </c>
      <c r="EI154">
        <v>0</v>
      </c>
      <c r="EJ154">
        <v>1</v>
      </c>
      <c r="EK154" s="15">
        <v>45470</v>
      </c>
      <c r="EL154" s="16">
        <v>-2.15</v>
      </c>
      <c r="EM154" s="16">
        <v>-4.8</v>
      </c>
      <c r="EN154">
        <v>0.91</v>
      </c>
      <c r="EO154">
        <v>4.5</v>
      </c>
      <c r="EP154">
        <v>-2.5099999999999998</v>
      </c>
    </row>
    <row r="155" spans="1:146" ht="96" x14ac:dyDescent="0.25">
      <c r="C155" s="8" t="str">
        <f>""&amp;CHAR(10)&amp;Basic_Fundamental_Information_Constructure(F155)&amp;CHAR(10)&amp;Basic_Fundamental_Information_Concatenate("")</f>
        <v xml:space="preserve">
市值25.510962亿, 利润3877.43万; PE; 平均PE25.1; 平均PEG4.25, PB1.08; ROIC6.23%; ROE4.73%; 股利率0%; 毛利17.78%; 净利1.6267%; 上一年度营收增-94.54%, 利润增-73.98%; 当季营收增3439.85%, 利润增750.36%; 过往5年营收增5.9%, 利润增213.54%
Income profile:
</v>
      </c>
      <c r="D155" t="s">
        <v>1525</v>
      </c>
      <c r="E155" t="s">
        <v>1526</v>
      </c>
      <c r="F155">
        <v>18.579999999999998</v>
      </c>
      <c r="G155">
        <v>0.05</v>
      </c>
      <c r="H155" t="s">
        <v>5375</v>
      </c>
      <c r="I155">
        <v>2551096200</v>
      </c>
      <c r="K155">
        <v>1.08</v>
      </c>
      <c r="L155" t="s">
        <v>101</v>
      </c>
      <c r="M155" t="s">
        <v>5376</v>
      </c>
      <c r="N155" t="s">
        <v>5377</v>
      </c>
      <c r="O155" t="s">
        <v>639</v>
      </c>
      <c r="P155">
        <v>26.91</v>
      </c>
      <c r="Q155" t="s">
        <v>308</v>
      </c>
      <c r="R155">
        <v>25639067</v>
      </c>
      <c r="S155" s="6">
        <v>0.1709</v>
      </c>
      <c r="T155" t="s">
        <v>5378</v>
      </c>
      <c r="U155">
        <v>49803750</v>
      </c>
      <c r="V155">
        <v>137303350</v>
      </c>
      <c r="W155">
        <v>2.99</v>
      </c>
      <c r="X155">
        <v>0.12</v>
      </c>
      <c r="Y155">
        <v>2.98</v>
      </c>
      <c r="Z155" t="s">
        <v>2067</v>
      </c>
      <c r="AA155" t="s">
        <v>5379</v>
      </c>
      <c r="AB155" t="s">
        <v>5380</v>
      </c>
      <c r="AC155" t="s">
        <v>5381</v>
      </c>
      <c r="AD155" t="s">
        <v>5</v>
      </c>
      <c r="AE155">
        <v>-1176653</v>
      </c>
      <c r="AF155" t="s">
        <v>5382</v>
      </c>
      <c r="AG155" t="s">
        <v>5383</v>
      </c>
      <c r="AH155" t="s">
        <v>5384</v>
      </c>
      <c r="AI155" t="s">
        <v>1633</v>
      </c>
      <c r="AJ155" t="s">
        <v>5385</v>
      </c>
      <c r="AK155" t="s">
        <v>572</v>
      </c>
      <c r="AL155" t="s">
        <v>5386</v>
      </c>
      <c r="AM155" t="s">
        <v>5</v>
      </c>
      <c r="AN155" t="s">
        <v>329</v>
      </c>
      <c r="AO155" t="s">
        <v>733</v>
      </c>
      <c r="AP155" t="s">
        <v>1498</v>
      </c>
      <c r="AQ155" t="s">
        <v>827</v>
      </c>
      <c r="AR155" t="s">
        <v>5</v>
      </c>
      <c r="AS155" t="s">
        <v>5387</v>
      </c>
      <c r="AT155" t="s">
        <v>484</v>
      </c>
      <c r="AU155" t="s">
        <v>5388</v>
      </c>
      <c r="AV155" t="s">
        <v>5389</v>
      </c>
      <c r="AW155" t="s">
        <v>5390</v>
      </c>
      <c r="AX155" t="s">
        <v>2035</v>
      </c>
      <c r="AY155" t="s">
        <v>1291</v>
      </c>
      <c r="AZ155" t="s">
        <v>1364</v>
      </c>
      <c r="BA155" t="s">
        <v>1527</v>
      </c>
      <c r="BB155" t="s">
        <v>912</v>
      </c>
      <c r="BC155" t="s">
        <v>187</v>
      </c>
      <c r="BD155" t="s">
        <v>114</v>
      </c>
      <c r="BE155" t="s">
        <v>533</v>
      </c>
      <c r="BF155" t="s">
        <v>305</v>
      </c>
      <c r="BG155" t="s">
        <v>1528</v>
      </c>
      <c r="BH155" t="s">
        <v>5391</v>
      </c>
      <c r="BI155" t="s">
        <v>5392</v>
      </c>
      <c r="BJ155" t="s">
        <v>2035</v>
      </c>
      <c r="BK155" t="s">
        <v>5393</v>
      </c>
      <c r="BL155" t="s">
        <v>5394</v>
      </c>
      <c r="BM155" t="s">
        <v>187</v>
      </c>
      <c r="BN155" t="s">
        <v>5</v>
      </c>
      <c r="BO155">
        <v>5.0199999999999996</v>
      </c>
      <c r="BP155">
        <v>7.44</v>
      </c>
      <c r="BQ155">
        <v>-3.52</v>
      </c>
      <c r="BR155">
        <v>5.78</v>
      </c>
      <c r="BS155">
        <v>11.93</v>
      </c>
      <c r="BT155" t="s">
        <v>1720</v>
      </c>
      <c r="BU155" t="s">
        <v>1537</v>
      </c>
      <c r="BV155">
        <v>12.03</v>
      </c>
      <c r="BW155">
        <v>17.82</v>
      </c>
      <c r="BX155">
        <v>23.49</v>
      </c>
      <c r="BY155">
        <v>-5.53</v>
      </c>
      <c r="BZ155">
        <v>4.26</v>
      </c>
      <c r="CA155">
        <v>6.15</v>
      </c>
      <c r="CB155">
        <v>-4.62</v>
      </c>
      <c r="CC155">
        <v>-17.61</v>
      </c>
      <c r="CD155" t="s">
        <v>5395</v>
      </c>
      <c r="CE155" t="s">
        <v>5396</v>
      </c>
      <c r="CF155" s="10">
        <v>34.398525618013174</v>
      </c>
      <c r="CG155" s="11">
        <v>7.5035544426387188</v>
      </c>
      <c r="CH155" s="10">
        <v>-0.9454493522644043</v>
      </c>
      <c r="CI155" s="10">
        <v>0.64060288667678833</v>
      </c>
      <c r="CJ155" s="10">
        <v>0.42101743817329407</v>
      </c>
      <c r="CK155" s="10">
        <v>4.329608753323555E-2</v>
      </c>
      <c r="CL155" s="10">
        <v>0.13560672104358673</v>
      </c>
      <c r="CM155" s="11">
        <v>-0.73976975679397583</v>
      </c>
      <c r="CN155" s="11">
        <v>0.13740457594394684</v>
      </c>
      <c r="CO155" s="11">
        <v>2.34375E-2</v>
      </c>
      <c r="CP155" s="11">
        <v>-0.15231788158416748</v>
      </c>
      <c r="CQ155" s="11">
        <v>11.408476829528809</v>
      </c>
      <c r="CR155">
        <v>25.095078002319561</v>
      </c>
      <c r="CS155">
        <v>4.2523395171629002</v>
      </c>
      <c r="CT155">
        <v>0</v>
      </c>
      <c r="CU155" s="10">
        <v>5.9014756232500076E-2</v>
      </c>
      <c r="CV155" s="11">
        <v>2.1354462534189222</v>
      </c>
      <c r="CW155">
        <v>0.06</v>
      </c>
      <c r="CX155">
        <v>129.53850193349936</v>
      </c>
      <c r="CY155">
        <v>38738260.247722477</v>
      </c>
      <c r="CZ155">
        <v>5.9014756232500076E-2</v>
      </c>
      <c r="DA155">
        <v>43.461328483862211</v>
      </c>
      <c r="DB155">
        <v>115461178.3637329</v>
      </c>
      <c r="DC155">
        <v>5.6064018420875071E-2</v>
      </c>
      <c r="DD155">
        <v>22.15231277640811</v>
      </c>
      <c r="DE155">
        <v>226526965.85903209</v>
      </c>
      <c r="DF155">
        <v>5.1932985484600069E-2</v>
      </c>
      <c r="DG155">
        <v>13.826857020304519</v>
      </c>
      <c r="DH155">
        <v>362923851.21441597</v>
      </c>
      <c r="DI155">
        <v>4.7211804986000062E-2</v>
      </c>
      <c r="DJ155">
        <v>7.758939154508818</v>
      </c>
      <c r="DK155">
        <v>646750296.66702831</v>
      </c>
      <c r="DL155">
        <v>4.1310329362750052E-2</v>
      </c>
      <c r="DM155">
        <v>38774300</v>
      </c>
      <c r="DN155">
        <v>5.9014756232500076E-2</v>
      </c>
      <c r="DO155">
        <v>5018096200</v>
      </c>
      <c r="DP155">
        <v>1470147900</v>
      </c>
      <c r="DQ155">
        <v>4680</v>
      </c>
      <c r="DR155">
        <v>34.339510861780674</v>
      </c>
      <c r="DS155">
        <v>5.3681081892197966</v>
      </c>
      <c r="DT155" s="12">
        <v>-0.34</v>
      </c>
      <c r="DU155">
        <v>0.60499999999999998</v>
      </c>
      <c r="DV155">
        <v>0.26499999999999996</v>
      </c>
      <c r="DW155">
        <v>-8.262350936967632</v>
      </c>
      <c r="DX155">
        <v>0.37922677293496476</v>
      </c>
      <c r="DY155">
        <v>-8.036526274330468</v>
      </c>
      <c r="DZ155">
        <v>3334</v>
      </c>
      <c r="EA155">
        <v>-8.0126948460295324</v>
      </c>
      <c r="EB155">
        <v>8</v>
      </c>
      <c r="EC155">
        <v>1.9440166609190526E-2</v>
      </c>
      <c r="ED155">
        <v>0.13962951377369889</v>
      </c>
      <c r="EE155" s="13">
        <v>-3.0493000000000001</v>
      </c>
      <c r="EF155">
        <v>-3.0179999999999998</v>
      </c>
      <c r="EG155">
        <v>24.139226772934965</v>
      </c>
      <c r="EH155" t="s">
        <v>1946</v>
      </c>
      <c r="EI155">
        <v>0</v>
      </c>
      <c r="EJ155">
        <v>0</v>
      </c>
      <c r="EK155" s="15">
        <v>45470</v>
      </c>
      <c r="EL155" s="16">
        <v>-1.26</v>
      </c>
      <c r="EM155" s="16">
        <v>-5.98</v>
      </c>
      <c r="EN155">
        <v>1.44</v>
      </c>
      <c r="EO155">
        <v>4.0999999999999996</v>
      </c>
      <c r="EP155">
        <v>-3.13</v>
      </c>
    </row>
    <row r="156" spans="1:146" ht="96" x14ac:dyDescent="0.25">
      <c r="C156" s="8" t="str">
        <f>""&amp;CHAR(10)&amp;Basic_Fundamental_Information_Constructure(F156)&amp;CHAR(10)&amp;Basic_Fundamental_Information_Concatenate("")</f>
        <v xml:space="preserve">
市值12.2604271亿, 利润2952.20万; PE; 平均PE33.86; 平均PEG20.99, PB1.28; ROIC9.87%; ROE-.94%; 股利率.7704%; 毛利33.7667%; 净利-5.6833%; 上一年度营收增-38.2%, 利润增182.36%; 当季营收增68.17%, 利润增-1112.18%; 过往5年营收增1.61%, 利润增10.58%
Income profile:
</v>
      </c>
      <c r="D156" t="s">
        <v>1199</v>
      </c>
      <c r="E156" t="s">
        <v>1200</v>
      </c>
      <c r="F156">
        <v>12.98</v>
      </c>
      <c r="G156">
        <v>-0.15</v>
      </c>
      <c r="H156" t="s">
        <v>5397</v>
      </c>
      <c r="I156">
        <v>1226042710</v>
      </c>
      <c r="K156">
        <v>1.28</v>
      </c>
      <c r="L156" t="s">
        <v>101</v>
      </c>
      <c r="M156" t="s">
        <v>1841</v>
      </c>
      <c r="N156" t="s">
        <v>2135</v>
      </c>
      <c r="O156" t="s">
        <v>5398</v>
      </c>
      <c r="P156">
        <v>-42.6</v>
      </c>
      <c r="Q156" t="s">
        <v>556</v>
      </c>
      <c r="R156">
        <v>-25823814</v>
      </c>
      <c r="S156" s="6">
        <v>-0.46050000000000002</v>
      </c>
      <c r="T156" t="s">
        <v>5399</v>
      </c>
      <c r="U156">
        <v>94456295</v>
      </c>
      <c r="V156">
        <v>94456295</v>
      </c>
      <c r="W156">
        <v>1.61</v>
      </c>
      <c r="X156">
        <v>0.05</v>
      </c>
      <c r="Y156">
        <v>-32.68</v>
      </c>
      <c r="Z156" t="s">
        <v>197</v>
      </c>
      <c r="AA156" t="s">
        <v>5400</v>
      </c>
      <c r="AB156" t="s">
        <v>5401</v>
      </c>
      <c r="AC156" t="s">
        <v>5402</v>
      </c>
      <c r="AD156" t="s">
        <v>5</v>
      </c>
      <c r="AE156">
        <v>1541408</v>
      </c>
      <c r="AF156" t="s">
        <v>5403</v>
      </c>
      <c r="AG156" t="s">
        <v>5404</v>
      </c>
      <c r="AH156" t="s">
        <v>5405</v>
      </c>
      <c r="AI156" t="s">
        <v>261</v>
      </c>
      <c r="AJ156" t="s">
        <v>5406</v>
      </c>
      <c r="AK156" t="s">
        <v>5407</v>
      </c>
      <c r="AL156" t="s">
        <v>5408</v>
      </c>
      <c r="AM156" t="s">
        <v>5</v>
      </c>
      <c r="AN156" t="s">
        <v>5409</v>
      </c>
      <c r="AO156" t="s">
        <v>327</v>
      </c>
      <c r="AP156" t="s">
        <v>260</v>
      </c>
      <c r="AQ156" t="s">
        <v>344</v>
      </c>
      <c r="AR156" t="s">
        <v>5</v>
      </c>
      <c r="AS156" t="s">
        <v>2126</v>
      </c>
      <c r="AT156" t="s">
        <v>5</v>
      </c>
      <c r="AU156" t="s">
        <v>5410</v>
      </c>
      <c r="AV156" t="s">
        <v>5411</v>
      </c>
      <c r="AW156" t="s">
        <v>5412</v>
      </c>
      <c r="AX156" t="s">
        <v>1568</v>
      </c>
      <c r="AY156" t="s">
        <v>309</v>
      </c>
      <c r="AZ156" t="s">
        <v>401</v>
      </c>
      <c r="BA156" t="s">
        <v>359</v>
      </c>
      <c r="BB156" t="s">
        <v>253</v>
      </c>
      <c r="BC156" t="s">
        <v>2082</v>
      </c>
      <c r="BD156" t="s">
        <v>1529</v>
      </c>
      <c r="BE156" t="s">
        <v>1201</v>
      </c>
      <c r="BF156" t="s">
        <v>1202</v>
      </c>
      <c r="BG156" t="s">
        <v>1203</v>
      </c>
      <c r="BH156" t="s">
        <v>385</v>
      </c>
      <c r="BI156" t="s">
        <v>5413</v>
      </c>
      <c r="BJ156" t="s">
        <v>1568</v>
      </c>
      <c r="BK156" t="s">
        <v>5414</v>
      </c>
      <c r="BL156" t="s">
        <v>5415</v>
      </c>
      <c r="BM156" t="s">
        <v>2082</v>
      </c>
      <c r="BN156" t="s">
        <v>5</v>
      </c>
      <c r="BO156" t="s">
        <v>5</v>
      </c>
      <c r="BP156">
        <v>9.8699999999999992</v>
      </c>
      <c r="BQ156">
        <v>-6.07</v>
      </c>
      <c r="BR156">
        <v>-4.79</v>
      </c>
      <c r="BS156">
        <v>8.0399999999999991</v>
      </c>
      <c r="BT156" t="s">
        <v>1723</v>
      </c>
      <c r="BU156" t="s">
        <v>1537</v>
      </c>
      <c r="BV156">
        <v>34.840000000000003</v>
      </c>
      <c r="BW156">
        <v>33.42</v>
      </c>
      <c r="BX156">
        <v>33.04</v>
      </c>
      <c r="BY156">
        <v>-20.22</v>
      </c>
      <c r="BZ156">
        <v>-5.07</v>
      </c>
      <c r="CA156">
        <v>8.24</v>
      </c>
      <c r="CB156">
        <v>-8.7799999999999994</v>
      </c>
      <c r="CC156">
        <v>-17.739999999999998</v>
      </c>
      <c r="CD156" t="s">
        <v>5416</v>
      </c>
      <c r="CE156" t="s">
        <v>227</v>
      </c>
      <c r="CF156" s="10">
        <v>0.68172923420467568</v>
      </c>
      <c r="CG156" s="11">
        <v>-11.121825735899346</v>
      </c>
      <c r="CH156" s="10">
        <v>-0.38200339674949646</v>
      </c>
      <c r="CI156" s="10">
        <v>-0.3534577488899231</v>
      </c>
      <c r="CJ156" s="10">
        <v>0.40586420893669128</v>
      </c>
      <c r="CK156" s="10">
        <v>0.37288135290145874</v>
      </c>
      <c r="CL156" s="10">
        <v>3.7362638860940933E-2</v>
      </c>
      <c r="CM156" s="11">
        <v>1.8236429691314697</v>
      </c>
      <c r="CN156" s="11">
        <v>-1.6429873704910278</v>
      </c>
      <c r="CO156" s="11">
        <v>-0.23404224216938019</v>
      </c>
      <c r="CP156" s="11">
        <v>0.43012192845344543</v>
      </c>
      <c r="CQ156" s="11">
        <v>0.15208709239959717</v>
      </c>
      <c r="CR156">
        <v>33.858886911759157</v>
      </c>
      <c r="CS156">
        <v>20.99201693521648</v>
      </c>
      <c r="CT156">
        <v>0.77041602465331271</v>
      </c>
      <c r="CU156" s="10">
        <v>1.612941101193428E-2</v>
      </c>
      <c r="CV156" s="11">
        <v>0.10576447546482086</v>
      </c>
      <c r="CW156">
        <v>0.06</v>
      </c>
      <c r="CX156">
        <v>32.015459391728484</v>
      </c>
      <c r="CY156">
        <v>28300162.709334269</v>
      </c>
      <c r="CZ156">
        <v>1.612941101193428E-2</v>
      </c>
      <c r="DA156">
        <v>11.143370470514572</v>
      </c>
      <c r="DB156">
        <v>81307779.58045949</v>
      </c>
      <c r="DC156">
        <v>1.5322940461337566E-2</v>
      </c>
      <c r="DD156">
        <v>5.9533791576602182</v>
      </c>
      <c r="DE156">
        <v>152189653.30541632</v>
      </c>
      <c r="DF156">
        <v>1.4193881690502166E-2</v>
      </c>
      <c r="DG156">
        <v>3.9072104866565858</v>
      </c>
      <c r="DH156">
        <v>231889915.60454786</v>
      </c>
      <c r="DI156">
        <v>1.2903528809547425E-2</v>
      </c>
      <c r="DJ156">
        <v>2.4245203329337954</v>
      </c>
      <c r="DK156">
        <v>373699777.92829698</v>
      </c>
      <c r="DL156">
        <v>1.1290587708353995E-2</v>
      </c>
      <c r="DM156">
        <v>29522000</v>
      </c>
      <c r="DN156">
        <v>1.612941101193428E-2</v>
      </c>
      <c r="DO156">
        <v>906042710</v>
      </c>
      <c r="DP156">
        <v>536606640</v>
      </c>
      <c r="DQ156">
        <v>4826</v>
      </c>
      <c r="DR156">
        <v>0.66559982319274136</v>
      </c>
      <c r="DS156">
        <v>-11.227590211364166</v>
      </c>
      <c r="DT156" s="12">
        <v>-0.50666666666666671</v>
      </c>
      <c r="DU156">
        <v>-1.2316666666666667</v>
      </c>
      <c r="DV156">
        <v>-1.7383333333333333</v>
      </c>
      <c r="DW156">
        <v>-9.4949267192784674</v>
      </c>
      <c r="DX156">
        <v>0.28496363636363686</v>
      </c>
      <c r="DY156">
        <v>-9.0568985753817763</v>
      </c>
      <c r="DZ156">
        <v>3769</v>
      </c>
      <c r="EA156">
        <v>-9.0149317005062546</v>
      </c>
      <c r="EB156">
        <v>9</v>
      </c>
      <c r="EC156">
        <v>0.16065842938260494</v>
      </c>
      <c r="ED156">
        <v>1.3974717090057365</v>
      </c>
      <c r="EE156" s="13">
        <v>-4.0054100000000004</v>
      </c>
      <c r="EF156">
        <v>-4.0300099999999999</v>
      </c>
      <c r="EG156">
        <v>17.114963636363637</v>
      </c>
      <c r="EH156" t="s">
        <v>2119</v>
      </c>
      <c r="EI156">
        <v>0</v>
      </c>
      <c r="EJ156">
        <v>0</v>
      </c>
      <c r="EK156" s="15">
        <v>45470</v>
      </c>
      <c r="EL156" s="16">
        <v>-3.17</v>
      </c>
      <c r="EM156" s="16">
        <v>-6.35</v>
      </c>
      <c r="EN156">
        <v>0.63</v>
      </c>
      <c r="EO156">
        <v>4.58</v>
      </c>
      <c r="EP156">
        <v>-2.46</v>
      </c>
    </row>
    <row r="157" spans="1:146" ht="108" x14ac:dyDescent="0.25">
      <c r="C157" s="8" t="str">
        <f>""&amp;CHAR(10)&amp;Basic_Fundamental_Information_Constructure(F157)&amp;CHAR(10)&amp;Basic_Fundamental_Information_Concatenate("")</f>
        <v xml:space="preserve">
市值24.391775亿, 利润1.22亿; PE17.4; 平均PE29.15; 平均PEG2.73, PB1.37; ROIC5.3067%; ROE5.7967%; 股利率1.8356%; 毛利21.9733%; 净利9.9533%; 上一年度营收增-47.41%, 利润增.83%; 当季营收增18.67%, 利润增-70.23%; 过往5年营收增10.67%, 利润增56.85%
Income profile:
</v>
      </c>
      <c r="D157" t="s">
        <v>434</v>
      </c>
      <c r="E157" t="s">
        <v>435</v>
      </c>
      <c r="F157">
        <v>12.53</v>
      </c>
      <c r="G157">
        <v>0.48</v>
      </c>
      <c r="H157" t="s">
        <v>5417</v>
      </c>
      <c r="I157">
        <v>2439177500</v>
      </c>
      <c r="J157">
        <v>17.399999999999999</v>
      </c>
      <c r="K157">
        <v>1.37</v>
      </c>
      <c r="L157" t="s">
        <v>101</v>
      </c>
      <c r="M157" t="s">
        <v>931</v>
      </c>
      <c r="N157" t="s">
        <v>953</v>
      </c>
      <c r="O157" t="s">
        <v>226</v>
      </c>
      <c r="P157">
        <v>5.78</v>
      </c>
      <c r="Q157" t="s">
        <v>2134</v>
      </c>
      <c r="R157">
        <v>28219444</v>
      </c>
      <c r="S157" s="6">
        <v>-7.3700000000000002E-2</v>
      </c>
      <c r="T157" t="s">
        <v>261</v>
      </c>
      <c r="U157">
        <v>192720240</v>
      </c>
      <c r="V157">
        <v>194667000</v>
      </c>
      <c r="W157">
        <v>1.4</v>
      </c>
      <c r="X157">
        <v>0.11</v>
      </c>
      <c r="Y157">
        <v>9.85</v>
      </c>
      <c r="Z157" t="s">
        <v>269</v>
      </c>
      <c r="AA157" t="s">
        <v>343</v>
      </c>
      <c r="AB157" t="s">
        <v>5418</v>
      </c>
      <c r="AC157" t="s">
        <v>5419</v>
      </c>
      <c r="AD157" t="s">
        <v>5</v>
      </c>
      <c r="AE157">
        <v>-1568687</v>
      </c>
      <c r="AF157" t="s">
        <v>5420</v>
      </c>
      <c r="AG157" t="s">
        <v>5</v>
      </c>
      <c r="AH157" t="s">
        <v>5421</v>
      </c>
      <c r="AI157" t="s">
        <v>467</v>
      </c>
      <c r="AJ157" t="s">
        <v>5422</v>
      </c>
      <c r="AK157" t="s">
        <v>5423</v>
      </c>
      <c r="AL157" t="s">
        <v>5424</v>
      </c>
      <c r="AM157" t="s">
        <v>5</v>
      </c>
      <c r="AN157" t="s">
        <v>398</v>
      </c>
      <c r="AO157" t="s">
        <v>5425</v>
      </c>
      <c r="AP157" t="s">
        <v>2117</v>
      </c>
      <c r="AQ157" t="s">
        <v>128</v>
      </c>
      <c r="AR157" t="s">
        <v>5</v>
      </c>
      <c r="AS157" t="s">
        <v>818</v>
      </c>
      <c r="AT157" t="s">
        <v>5426</v>
      </c>
      <c r="AU157" t="s">
        <v>5427</v>
      </c>
      <c r="AV157" t="s">
        <v>5428</v>
      </c>
      <c r="AW157" t="s">
        <v>5429</v>
      </c>
      <c r="AX157" t="s">
        <v>1666</v>
      </c>
      <c r="AY157" t="s">
        <v>381</v>
      </c>
      <c r="AZ157" t="s">
        <v>302</v>
      </c>
      <c r="BA157" t="s">
        <v>437</v>
      </c>
      <c r="BB157" t="s">
        <v>175</v>
      </c>
      <c r="BC157" t="s">
        <v>256</v>
      </c>
      <c r="BD157" t="s">
        <v>1530</v>
      </c>
      <c r="BE157" t="s">
        <v>1205</v>
      </c>
      <c r="BF157" t="s">
        <v>438</v>
      </c>
      <c r="BG157" t="s">
        <v>1206</v>
      </c>
      <c r="BH157" t="s">
        <v>5430</v>
      </c>
      <c r="BI157" t="s">
        <v>472</v>
      </c>
      <c r="BJ157" t="s">
        <v>1666</v>
      </c>
      <c r="BK157" t="s">
        <v>220</v>
      </c>
      <c r="BL157" t="s">
        <v>5431</v>
      </c>
      <c r="BM157" t="s">
        <v>256</v>
      </c>
      <c r="BN157">
        <v>6.42</v>
      </c>
      <c r="BO157">
        <v>7.4</v>
      </c>
      <c r="BP157">
        <v>2.1</v>
      </c>
      <c r="BQ157">
        <v>7.43</v>
      </c>
      <c r="BR157">
        <v>7.83</v>
      </c>
      <c r="BS157">
        <v>2.13</v>
      </c>
      <c r="BT157" t="s">
        <v>5186</v>
      </c>
      <c r="BU157" t="s">
        <v>1536</v>
      </c>
      <c r="BV157">
        <v>21.98</v>
      </c>
      <c r="BW157">
        <v>23.24</v>
      </c>
      <c r="BX157">
        <v>20.7</v>
      </c>
      <c r="BY157">
        <v>11.77</v>
      </c>
      <c r="BZ157">
        <v>12.36</v>
      </c>
      <c r="CA157">
        <v>5.73</v>
      </c>
      <c r="CB157">
        <v>-4.3499999999999996</v>
      </c>
      <c r="CC157">
        <v>-21.49</v>
      </c>
      <c r="CD157" t="s">
        <v>5432</v>
      </c>
      <c r="CE157" t="s">
        <v>5433</v>
      </c>
      <c r="CF157" s="10">
        <v>0.18672199170124482</v>
      </c>
      <c r="CG157" s="11">
        <v>-0.70234851856930391</v>
      </c>
      <c r="CH157" s="10">
        <v>-0.47405901551246643</v>
      </c>
      <c r="CI157" s="10">
        <v>0.86174243688583374</v>
      </c>
      <c r="CJ157" s="10">
        <v>-0.25423729419708252</v>
      </c>
      <c r="CK157" s="10">
        <v>2.0172910764813423E-2</v>
      </c>
      <c r="CL157" s="10">
        <v>0.37972167134284973</v>
      </c>
      <c r="CM157" s="11">
        <v>8.2644624635577202E-3</v>
      </c>
      <c r="CN157" s="11">
        <v>2.7589895725250244</v>
      </c>
      <c r="CO157" s="11">
        <v>-0.59891718626022339</v>
      </c>
      <c r="CP157" s="11">
        <v>-0.15356963872909546</v>
      </c>
      <c r="CQ157" s="11">
        <v>0.82772809267044067</v>
      </c>
      <c r="CR157">
        <v>29.145335502445629</v>
      </c>
      <c r="CS157">
        <v>2.7323374153808309</v>
      </c>
      <c r="CT157">
        <v>1.8355945730247405</v>
      </c>
      <c r="CU157" s="10">
        <v>0.10666814185678959</v>
      </c>
      <c r="CV157" s="11">
        <v>0.56849906053394084</v>
      </c>
      <c r="CW157">
        <v>0.06</v>
      </c>
      <c r="CX157">
        <v>11.338332826911033</v>
      </c>
      <c r="CY157">
        <v>127371238.96842296</v>
      </c>
      <c r="CZ157">
        <v>0.10666814185678959</v>
      </c>
      <c r="DA157">
        <v>3.6534294797279787</v>
      </c>
      <c r="DB157">
        <v>395293657.1003769</v>
      </c>
      <c r="DC157">
        <v>0.10133473476395011</v>
      </c>
      <c r="DD157">
        <v>1.7647230644940439</v>
      </c>
      <c r="DE157">
        <v>818359282.00669479</v>
      </c>
      <c r="DF157">
        <v>9.3867964833974846E-2</v>
      </c>
      <c r="DG157">
        <v>1.0371562433155657</v>
      </c>
      <c r="DH157">
        <v>1392439672.7182348</v>
      </c>
      <c r="DI157">
        <v>8.5334513485431682E-2</v>
      </c>
      <c r="DJ157">
        <v>0.51074079743380552</v>
      </c>
      <c r="DK157">
        <v>2827613355.4558511</v>
      </c>
      <c r="DL157">
        <v>7.4667699299752713E-2</v>
      </c>
      <c r="DM157">
        <v>122000000</v>
      </c>
      <c r="DN157">
        <v>0.10666814185678959</v>
      </c>
      <c r="DO157">
        <v>1444177500</v>
      </c>
      <c r="DP157">
        <v>650358290</v>
      </c>
      <c r="DQ157">
        <v>4867</v>
      </c>
      <c r="DR157">
        <v>8.0053849844455224E-2</v>
      </c>
      <c r="DS157">
        <v>-1.2708475791032448</v>
      </c>
      <c r="DT157" s="12">
        <v>-0.34</v>
      </c>
      <c r="DU157">
        <v>-0.14000000000000004</v>
      </c>
      <c r="DV157">
        <v>-0.48000000000000009</v>
      </c>
      <c r="DW157">
        <v>-8.2024197301070263</v>
      </c>
      <c r="DX157">
        <v>0.36533211958160267</v>
      </c>
      <c r="DY157">
        <v>-8.0334664830237301</v>
      </c>
      <c r="DZ157">
        <v>2225</v>
      </c>
      <c r="EA157">
        <v>-8.0188944820985242</v>
      </c>
      <c r="EB157">
        <v>8</v>
      </c>
      <c r="EC157">
        <v>2.9295669014265387E-2</v>
      </c>
      <c r="ED157">
        <v>0.1771928472725218</v>
      </c>
      <c r="EE157" s="13">
        <v>-3.03261</v>
      </c>
      <c r="EF157">
        <v>-3.0687099999999998</v>
      </c>
      <c r="EG157">
        <v>20.165332119581603</v>
      </c>
      <c r="EH157" t="s">
        <v>2118</v>
      </c>
      <c r="EI157">
        <v>0</v>
      </c>
      <c r="EJ157">
        <v>0</v>
      </c>
      <c r="EK157" s="15">
        <v>45470</v>
      </c>
      <c r="EL157" s="16">
        <v>0.54</v>
      </c>
      <c r="EM157" s="16">
        <v>-6.84</v>
      </c>
      <c r="EN157">
        <v>-3.81</v>
      </c>
      <c r="EO157">
        <v>5.09</v>
      </c>
      <c r="EP157">
        <v>-3.61</v>
      </c>
    </row>
    <row r="158" spans="1:146" ht="108" x14ac:dyDescent="0.25">
      <c r="C158" s="8" t="str">
        <f>""&amp;CHAR(10)&amp;Basic_Fundamental_Information_Constructure(F158)&amp;CHAR(10)&amp;Basic_Fundamental_Information_Concatenate("")</f>
        <v xml:space="preserve">
市值44.273127亿, 利润4160.28万; PE36.15; 平均PE47.39; 平均PEG.87, PB2.37; ROIC6.0533%; ROE6.9933%; 股利率3.7612%; 毛利55.5067%; 净利27.2167%; 上一年度营收增208.28%, 利润增-63.18%; 当季营收增-10.73%, 利润增1058.22%; 过往5年营收增54.71%, 利润增-.53%
Income profile:
</v>
      </c>
      <c r="D158" t="s">
        <v>760</v>
      </c>
      <c r="E158" t="s">
        <v>761</v>
      </c>
      <c r="F158">
        <v>21.27</v>
      </c>
      <c r="G158">
        <v>2.31</v>
      </c>
      <c r="H158" t="s">
        <v>5434</v>
      </c>
      <c r="I158">
        <v>4427312700</v>
      </c>
      <c r="J158">
        <v>36.15</v>
      </c>
      <c r="K158">
        <v>2.37</v>
      </c>
      <c r="L158" t="s">
        <v>101</v>
      </c>
      <c r="M158" t="s">
        <v>814</v>
      </c>
      <c r="N158" t="s">
        <v>1677</v>
      </c>
      <c r="O158" t="s">
        <v>1377</v>
      </c>
      <c r="P158">
        <v>6.99</v>
      </c>
      <c r="Q158" t="s">
        <v>2215</v>
      </c>
      <c r="R158">
        <v>95014489</v>
      </c>
      <c r="S158" s="6">
        <v>2.1900000000000001E-3</v>
      </c>
      <c r="T158" t="s">
        <v>5435</v>
      </c>
      <c r="U158">
        <v>201215980</v>
      </c>
      <c r="V158">
        <v>208148220</v>
      </c>
      <c r="W158">
        <v>1.22</v>
      </c>
      <c r="X158">
        <v>0.12</v>
      </c>
      <c r="Y158">
        <v>36.79</v>
      </c>
      <c r="Z158" t="s">
        <v>161</v>
      </c>
      <c r="AA158" t="s">
        <v>256</v>
      </c>
      <c r="AB158" t="s">
        <v>5436</v>
      </c>
      <c r="AC158" t="s">
        <v>5437</v>
      </c>
      <c r="AD158" t="s">
        <v>5</v>
      </c>
      <c r="AE158">
        <v>-2348687</v>
      </c>
      <c r="AF158" t="s">
        <v>5438</v>
      </c>
      <c r="AG158">
        <v>5000.05</v>
      </c>
      <c r="AH158" t="s">
        <v>5439</v>
      </c>
      <c r="AI158" t="s">
        <v>1631</v>
      </c>
      <c r="AJ158" t="s">
        <v>5440</v>
      </c>
      <c r="AK158" t="s">
        <v>5</v>
      </c>
      <c r="AL158" t="s">
        <v>5441</v>
      </c>
      <c r="AM158" t="s">
        <v>5</v>
      </c>
      <c r="AN158" t="s">
        <v>308</v>
      </c>
      <c r="AO158" t="s">
        <v>5442</v>
      </c>
      <c r="AP158" t="s">
        <v>5</v>
      </c>
      <c r="AQ158" t="s">
        <v>178</v>
      </c>
      <c r="AR158" t="s">
        <v>5</v>
      </c>
      <c r="AS158" t="s">
        <v>417</v>
      </c>
      <c r="AT158" t="s">
        <v>5</v>
      </c>
      <c r="AU158" t="s">
        <v>5443</v>
      </c>
      <c r="AV158" t="s">
        <v>5444</v>
      </c>
      <c r="AW158" t="s">
        <v>5445</v>
      </c>
      <c r="AX158" t="s">
        <v>1901</v>
      </c>
      <c r="AY158" t="s">
        <v>510</v>
      </c>
      <c r="AZ158" t="s">
        <v>205</v>
      </c>
      <c r="BA158" t="s">
        <v>319</v>
      </c>
      <c r="BB158" t="s">
        <v>559</v>
      </c>
      <c r="BC158" t="s">
        <v>169</v>
      </c>
      <c r="BD158" t="s">
        <v>249</v>
      </c>
      <c r="BE158" t="s">
        <v>1207</v>
      </c>
      <c r="BF158" t="s">
        <v>286</v>
      </c>
      <c r="BG158" t="s">
        <v>1208</v>
      </c>
      <c r="BH158" t="s">
        <v>2134</v>
      </c>
      <c r="BI158" t="s">
        <v>895</v>
      </c>
      <c r="BJ158" t="s">
        <v>1901</v>
      </c>
      <c r="BK158" t="s">
        <v>261</v>
      </c>
      <c r="BL158" t="s">
        <v>5446</v>
      </c>
      <c r="BM158" t="s">
        <v>169</v>
      </c>
      <c r="BN158">
        <v>5.12</v>
      </c>
      <c r="BO158">
        <v>5.34</v>
      </c>
      <c r="BP158">
        <v>7.7</v>
      </c>
      <c r="BQ158">
        <v>5.8</v>
      </c>
      <c r="BR158">
        <v>6.78</v>
      </c>
      <c r="BS158">
        <v>8.4</v>
      </c>
      <c r="BT158" t="s">
        <v>5447</v>
      </c>
      <c r="BU158" t="s">
        <v>1537</v>
      </c>
      <c r="BV158">
        <v>56.46</v>
      </c>
      <c r="BW158">
        <v>54.6</v>
      </c>
      <c r="BX158">
        <v>55.46</v>
      </c>
      <c r="BY158">
        <v>23.64</v>
      </c>
      <c r="BZ158">
        <v>24.49</v>
      </c>
      <c r="CA158">
        <v>33.520000000000003</v>
      </c>
      <c r="CB158">
        <v>-9.34</v>
      </c>
      <c r="CC158">
        <v>-18.48</v>
      </c>
      <c r="CD158" t="s">
        <v>5448</v>
      </c>
      <c r="CE158" t="s">
        <v>5449</v>
      </c>
      <c r="CF158" s="10">
        <v>-0.10726643598615918</v>
      </c>
      <c r="CG158" s="11">
        <v>10.582189187541903</v>
      </c>
      <c r="CH158" s="10">
        <v>2.0827887058258057</v>
      </c>
      <c r="CI158" s="10">
        <v>0.13054187595844269</v>
      </c>
      <c r="CJ158" s="10">
        <v>0.42957746982574463</v>
      </c>
      <c r="CK158" s="10">
        <v>-5.6478403508663177E-2</v>
      </c>
      <c r="CL158" s="10">
        <v>0.14885495603084564</v>
      </c>
      <c r="CM158" s="11">
        <v>-0.63183361291885376</v>
      </c>
      <c r="CN158" s="11">
        <v>-0.16911764442920685</v>
      </c>
      <c r="CO158" s="11">
        <v>0.89108467102050781</v>
      </c>
      <c r="CP158" s="11">
        <v>-0.34021651744842529</v>
      </c>
      <c r="CQ158" s="11">
        <v>0.22380605340003967</v>
      </c>
      <c r="CR158">
        <v>47.385941058778535</v>
      </c>
      <c r="CS158">
        <v>0.86619763419120854</v>
      </c>
      <c r="CT158">
        <v>3.7611659614480488</v>
      </c>
      <c r="CU158" s="10">
        <v>0.54705692082643509</v>
      </c>
      <c r="CV158" s="11">
        <v>-5.2554100751876828E-3</v>
      </c>
      <c r="CW158">
        <v>0.06</v>
      </c>
      <c r="CX158">
        <v>49.297977195785919</v>
      </c>
      <c r="CY158">
        <v>60718773.269583032</v>
      </c>
      <c r="CZ158">
        <v>0.54705692082643509</v>
      </c>
      <c r="DA158">
        <v>11.179288250411439</v>
      </c>
      <c r="DB158">
        <v>267755212.40270686</v>
      </c>
      <c r="DC158">
        <v>0.51970407478511327</v>
      </c>
      <c r="DD158">
        <v>3.1727055333528775</v>
      </c>
      <c r="DE158">
        <v>943457458.79438829</v>
      </c>
      <c r="DF158">
        <v>0.4814100903272629</v>
      </c>
      <c r="DG158">
        <v>0.94217134432179839</v>
      </c>
      <c r="DH158">
        <v>3177036446.7565837</v>
      </c>
      <c r="DI158">
        <v>0.43764553666114808</v>
      </c>
      <c r="DJ158">
        <v>8.2705034548429174E-2</v>
      </c>
      <c r="DK158">
        <v>36192629824.091553</v>
      </c>
      <c r="DL158">
        <v>0.38293984457850455</v>
      </c>
      <c r="DM158">
        <v>41602800</v>
      </c>
      <c r="DN158">
        <v>0.54705692082643509</v>
      </c>
      <c r="DO158">
        <v>2993312700</v>
      </c>
      <c r="DP158">
        <v>767684480</v>
      </c>
      <c r="DQ158">
        <v>4868</v>
      </c>
      <c r="DR158">
        <v>-0.65432335681259424</v>
      </c>
      <c r="DS158">
        <v>10.587444597617091</v>
      </c>
      <c r="DT158" s="12">
        <v>-6.6666666666666714E-3</v>
      </c>
      <c r="DU158">
        <v>-0.23333333333333331</v>
      </c>
      <c r="DV158">
        <v>-0.24</v>
      </c>
      <c r="DW158">
        <v>-9.5054112554112553</v>
      </c>
      <c r="DX158">
        <v>0.3595772385641503</v>
      </c>
      <c r="DY158">
        <v>-9.080652132477768</v>
      </c>
      <c r="DZ158">
        <v>2138</v>
      </c>
      <c r="EA158">
        <v>-9.0469076590457789</v>
      </c>
      <c r="EB158">
        <v>9</v>
      </c>
      <c r="EC158">
        <v>5.9583502563701964E-2</v>
      </c>
      <c r="ED158">
        <v>0.37338344762208392</v>
      </c>
      <c r="EE158" s="13">
        <v>-5.0263</v>
      </c>
      <c r="EF158">
        <v>-5.0088999999999997</v>
      </c>
      <c r="EG158">
        <v>20.15957723856415</v>
      </c>
      <c r="EH158" t="s">
        <v>2265</v>
      </c>
      <c r="EI158">
        <v>0</v>
      </c>
      <c r="EJ158">
        <v>0</v>
      </c>
      <c r="EK158" s="15">
        <v>45470</v>
      </c>
      <c r="EL158" s="16">
        <v>-2.16</v>
      </c>
      <c r="EM158" s="16">
        <v>-5.84</v>
      </c>
      <c r="EN158">
        <v>1.06</v>
      </c>
      <c r="EO158">
        <v>3.44</v>
      </c>
      <c r="EP158">
        <v>-1.74</v>
      </c>
    </row>
    <row r="159" spans="1:146" ht="96" x14ac:dyDescent="0.25">
      <c r="C159" s="8" t="str">
        <f>""&amp;CHAR(10)&amp;Basic_Fundamental_Information_Constructure(F159)&amp;CHAR(10)&amp;Basic_Fundamental_Information_Concatenate("")</f>
        <v xml:space="preserve">
市值47.063163亿, 利润7.19亿; PE152.3; 平均PE19.44; 平均PEG.36, PB3.33; ROIC12.4767%; ROE14.3867%; 股利率.434%; 毛利39.92%; 净利13.9467%; 上一年度营收增198.65%, 利润增250.73%; 当季营收增-67.49%, 利润增-84.61%; 过往5年营收增53.76%, 利润增72.77%
Income profile:
</v>
      </c>
      <c r="D159" t="s">
        <v>1209</v>
      </c>
      <c r="E159" t="s">
        <v>1210</v>
      </c>
      <c r="F159">
        <v>46.08</v>
      </c>
      <c r="G159">
        <v>-0.65</v>
      </c>
      <c r="H159" t="s">
        <v>5450</v>
      </c>
      <c r="I159">
        <v>4706316300</v>
      </c>
      <c r="J159">
        <v>152.30000000000001</v>
      </c>
      <c r="K159">
        <v>3.33</v>
      </c>
      <c r="L159" t="s">
        <v>101</v>
      </c>
      <c r="M159" t="s">
        <v>2224</v>
      </c>
      <c r="N159" t="s">
        <v>2248</v>
      </c>
      <c r="O159" t="s">
        <v>176</v>
      </c>
      <c r="P159">
        <v>-26.6</v>
      </c>
      <c r="Q159" t="s">
        <v>5451</v>
      </c>
      <c r="R159">
        <v>28937664</v>
      </c>
      <c r="S159" s="6">
        <v>-0.50390000000000001</v>
      </c>
      <c r="T159" t="s">
        <v>1601</v>
      </c>
      <c r="U159">
        <v>102133600</v>
      </c>
      <c r="V159">
        <v>102133600</v>
      </c>
      <c r="W159">
        <v>1.93</v>
      </c>
      <c r="X159">
        <v>0.1</v>
      </c>
      <c r="Y159">
        <v>10.32</v>
      </c>
      <c r="Z159" t="s">
        <v>635</v>
      </c>
      <c r="AA159" t="s">
        <v>139</v>
      </c>
      <c r="AB159" t="s">
        <v>5452</v>
      </c>
      <c r="AC159" t="s">
        <v>5453</v>
      </c>
      <c r="AD159" t="s">
        <v>5</v>
      </c>
      <c r="AE159">
        <v>4982616</v>
      </c>
      <c r="AF159" t="s">
        <v>127</v>
      </c>
      <c r="AG159">
        <v>5280.98</v>
      </c>
      <c r="AH159" t="s">
        <v>5454</v>
      </c>
      <c r="AI159" t="s">
        <v>420</v>
      </c>
      <c r="AJ159" t="s">
        <v>5455</v>
      </c>
      <c r="AK159" t="s">
        <v>5456</v>
      </c>
      <c r="AL159" t="s">
        <v>5457</v>
      </c>
      <c r="AM159" t="s">
        <v>5</v>
      </c>
      <c r="AN159" t="s">
        <v>5458</v>
      </c>
      <c r="AO159" t="s">
        <v>793</v>
      </c>
      <c r="AP159" t="s">
        <v>5459</v>
      </c>
      <c r="AQ159" t="s">
        <v>355</v>
      </c>
      <c r="AR159" t="s">
        <v>5</v>
      </c>
      <c r="AS159" t="s">
        <v>5430</v>
      </c>
      <c r="AT159" t="s">
        <v>5460</v>
      </c>
      <c r="AU159" t="s">
        <v>5461</v>
      </c>
      <c r="AV159" t="s">
        <v>5462</v>
      </c>
      <c r="AW159" t="s">
        <v>5463</v>
      </c>
      <c r="AX159" t="s">
        <v>1703</v>
      </c>
      <c r="AY159" t="s">
        <v>1260</v>
      </c>
      <c r="AZ159" t="s">
        <v>568</v>
      </c>
      <c r="BA159" t="s">
        <v>717</v>
      </c>
      <c r="BB159" t="s">
        <v>617</v>
      </c>
      <c r="BC159" t="s">
        <v>392</v>
      </c>
      <c r="BD159" t="s">
        <v>241</v>
      </c>
      <c r="BE159" t="s">
        <v>121</v>
      </c>
      <c r="BF159" t="s">
        <v>1211</v>
      </c>
      <c r="BG159" t="s">
        <v>441</v>
      </c>
      <c r="BH159" t="s">
        <v>924</v>
      </c>
      <c r="BI159" t="s">
        <v>2191</v>
      </c>
      <c r="BJ159" t="s">
        <v>1703</v>
      </c>
      <c r="BK159" t="s">
        <v>5464</v>
      </c>
      <c r="BL159" t="s">
        <v>107</v>
      </c>
      <c r="BM159" t="s">
        <v>392</v>
      </c>
      <c r="BN159">
        <v>3.29</v>
      </c>
      <c r="BO159">
        <v>12.56</v>
      </c>
      <c r="BP159">
        <v>21.58</v>
      </c>
      <c r="BQ159">
        <v>4.07</v>
      </c>
      <c r="BR159">
        <v>15.56</v>
      </c>
      <c r="BS159">
        <v>23.53</v>
      </c>
      <c r="BT159" t="s">
        <v>1731</v>
      </c>
      <c r="BU159" t="s">
        <v>1537</v>
      </c>
      <c r="BV159">
        <v>33.49</v>
      </c>
      <c r="BW159">
        <v>43.64</v>
      </c>
      <c r="BX159">
        <v>42.63</v>
      </c>
      <c r="BY159">
        <v>5.32</v>
      </c>
      <c r="BZ159">
        <v>17.18</v>
      </c>
      <c r="CA159">
        <v>19.34</v>
      </c>
      <c r="CB159">
        <v>-11.57</v>
      </c>
      <c r="CC159">
        <v>-28.81</v>
      </c>
      <c r="CD159" t="s">
        <v>5465</v>
      </c>
      <c r="CE159" t="s">
        <v>5466</v>
      </c>
      <c r="CF159" s="10">
        <v>-0.67490729295426455</v>
      </c>
      <c r="CG159" s="11">
        <v>-0.84607625531914898</v>
      </c>
      <c r="CH159" s="10">
        <v>1.9864864349365234</v>
      </c>
      <c r="CI159" s="10">
        <v>-1.086043193936348E-2</v>
      </c>
      <c r="CJ159" s="10">
        <v>0.70028400421142578</v>
      </c>
      <c r="CK159" s="10">
        <v>7.4809163808822632E-2</v>
      </c>
      <c r="CL159" s="10">
        <v>-6.2947064638137817E-2</v>
      </c>
      <c r="CM159" s="11">
        <v>2.507317066192627</v>
      </c>
      <c r="CN159" s="11">
        <v>-0.11637931317090988</v>
      </c>
      <c r="CO159" s="11">
        <v>1.1481481790542603</v>
      </c>
      <c r="CP159" s="11">
        <v>0.2307131290435791</v>
      </c>
      <c r="CQ159" s="11">
        <v>-0.13114851713180542</v>
      </c>
      <c r="CR159">
        <v>19.437494441591625</v>
      </c>
      <c r="CS159">
        <v>0.36159119285928049</v>
      </c>
      <c r="CT159">
        <v>0.43402777777777779</v>
      </c>
      <c r="CU159" s="10">
        <v>0.53755442127585407</v>
      </c>
      <c r="CV159" s="11">
        <v>0.72773010879755018</v>
      </c>
      <c r="CW159">
        <v>0.06</v>
      </c>
      <c r="CX159">
        <v>4.3323457449602385</v>
      </c>
      <c r="CY159">
        <v>1042926064.9974897</v>
      </c>
      <c r="CZ159">
        <v>0.53755442127585407</v>
      </c>
      <c r="DA159">
        <v>0.98948881147232504</v>
      </c>
      <c r="DB159">
        <v>4566313684.0091219</v>
      </c>
      <c r="DC159">
        <v>0.51067670021206135</v>
      </c>
      <c r="DD159">
        <v>0.28410871163300772</v>
      </c>
      <c r="DE159">
        <v>15903476785.451244</v>
      </c>
      <c r="DF159">
        <v>0.47304789072275161</v>
      </c>
      <c r="DG159">
        <v>8.5708747594319692E-2</v>
      </c>
      <c r="DH159">
        <v>52717096292.04113</v>
      </c>
      <c r="DI159">
        <v>0.43004353702068326</v>
      </c>
      <c r="DJ159">
        <v>7.832501800445521E-3</v>
      </c>
      <c r="DK159">
        <v>576867572471.28796</v>
      </c>
      <c r="DL159">
        <v>0.37628809489309784</v>
      </c>
      <c r="DM159">
        <v>719000000</v>
      </c>
      <c r="DN159">
        <v>0.53755442127585407</v>
      </c>
      <c r="DO159">
        <v>4518316300</v>
      </c>
      <c r="DP159">
        <v>729366800</v>
      </c>
      <c r="DQ159">
        <v>4873</v>
      </c>
      <c r="DR159">
        <v>-1.2124617142301186</v>
      </c>
      <c r="DS159">
        <v>-1.5738063641166993</v>
      </c>
      <c r="DT159" s="12">
        <v>0.12666666666666662</v>
      </c>
      <c r="DU159">
        <v>0.24333333333333326</v>
      </c>
      <c r="DV159">
        <v>0.36999999999999988</v>
      </c>
      <c r="DW159">
        <v>-9.4015966678236715</v>
      </c>
      <c r="DX159">
        <v>0.39313116176354668</v>
      </c>
      <c r="DY159">
        <v>-9.061496964304208</v>
      </c>
      <c r="DZ159">
        <v>1184</v>
      </c>
      <c r="EA159">
        <v>-9.0472479612247199</v>
      </c>
      <c r="EB159">
        <v>9</v>
      </c>
      <c r="EC159">
        <v>3.801980934775627E-2</v>
      </c>
      <c r="ED159">
        <v>0.2482826415596826</v>
      </c>
      <c r="EE159" s="13">
        <v>-1.0267999999999999</v>
      </c>
      <c r="EF159">
        <v>-1.0006999999999999</v>
      </c>
      <c r="EG159">
        <v>24.153131161763547</v>
      </c>
      <c r="EH159" t="s">
        <v>1813</v>
      </c>
      <c r="EI159">
        <v>0</v>
      </c>
      <c r="EJ159">
        <v>1</v>
      </c>
      <c r="EK159" s="15">
        <v>45470</v>
      </c>
      <c r="EL159" s="16">
        <v>0.09</v>
      </c>
      <c r="EM159" s="16">
        <v>-5.57</v>
      </c>
      <c r="EN159">
        <v>-6.37</v>
      </c>
      <c r="EO159">
        <v>3.73</v>
      </c>
      <c r="EP159">
        <v>-2.61</v>
      </c>
    </row>
    <row r="160" spans="1:146" ht="108" x14ac:dyDescent="0.25">
      <c r="C160" s="8" t="str">
        <f>""&amp;CHAR(10)&amp;Basic_Fundamental_Information_Constructure(F160)&amp;CHAR(10)&amp;Basic_Fundamental_Information_Concatenate("")</f>
        <v xml:space="preserve">
市值17.341123亿, 利润15.93亿; PE22.61; 平均PE5.27; 平均PEG.01, PB1.2; ROIC14.5867%; ROE20.8867%; 股利率1.5298%; 毛利51.9633%; 净利20.3033%; 上一年度营收增1950.51%, 利润增1174.4%; 当季营收增-95.39%, 利润增-98.2%; 过往5年营收增422.38%, 利润增314.67%
Income profile:
</v>
      </c>
      <c r="D160" t="s">
        <v>1715</v>
      </c>
      <c r="E160" t="s">
        <v>2084</v>
      </c>
      <c r="F160">
        <v>19.61</v>
      </c>
      <c r="G160">
        <v>-0.71</v>
      </c>
      <c r="H160" t="s">
        <v>5467</v>
      </c>
      <c r="I160">
        <v>1734112300</v>
      </c>
      <c r="J160">
        <v>22.61</v>
      </c>
      <c r="K160">
        <v>1.2</v>
      </c>
      <c r="L160" t="s">
        <v>101</v>
      </c>
      <c r="M160" t="s">
        <v>636</v>
      </c>
      <c r="N160" t="s">
        <v>5468</v>
      </c>
      <c r="O160" t="s">
        <v>286</v>
      </c>
      <c r="P160" s="6">
        <v>23.97</v>
      </c>
      <c r="Q160" t="s">
        <v>5469</v>
      </c>
      <c r="R160">
        <v>7472865</v>
      </c>
      <c r="S160">
        <v>0.48809999999999998</v>
      </c>
      <c r="T160" t="s">
        <v>5470</v>
      </c>
      <c r="U160">
        <v>33224600</v>
      </c>
      <c r="V160">
        <v>88430000</v>
      </c>
      <c r="W160">
        <v>1.22</v>
      </c>
      <c r="X160">
        <v>0.06</v>
      </c>
      <c r="Y160">
        <v>6.43</v>
      </c>
      <c r="Z160" t="s">
        <v>286</v>
      </c>
      <c r="AA160" t="s">
        <v>5471</v>
      </c>
      <c r="AB160" t="s">
        <v>5472</v>
      </c>
      <c r="AC160" t="s">
        <v>5473</v>
      </c>
      <c r="AD160" t="s">
        <v>5</v>
      </c>
      <c r="AE160">
        <v>-950487</v>
      </c>
      <c r="AF160" t="s">
        <v>5474</v>
      </c>
      <c r="AG160" t="s">
        <v>5475</v>
      </c>
      <c r="AH160" t="s">
        <v>5476</v>
      </c>
      <c r="AI160" t="s">
        <v>710</v>
      </c>
      <c r="AJ160" t="s">
        <v>5477</v>
      </c>
      <c r="AK160" t="s">
        <v>5478</v>
      </c>
      <c r="AL160" t="s">
        <v>5479</v>
      </c>
      <c r="AM160" t="s">
        <v>5</v>
      </c>
      <c r="AN160" t="s">
        <v>5480</v>
      </c>
      <c r="AO160" t="s">
        <v>5</v>
      </c>
      <c r="AP160" t="s">
        <v>5481</v>
      </c>
      <c r="AQ160" t="s">
        <v>741</v>
      </c>
      <c r="AR160" t="s">
        <v>5</v>
      </c>
      <c r="AS160" t="s">
        <v>366</v>
      </c>
      <c r="AT160" t="s">
        <v>5</v>
      </c>
      <c r="AU160" t="s">
        <v>5482</v>
      </c>
      <c r="AV160" t="s">
        <v>2421</v>
      </c>
      <c r="AW160" t="s">
        <v>5483</v>
      </c>
      <c r="AX160" t="s">
        <v>340</v>
      </c>
      <c r="AY160" t="s">
        <v>1712</v>
      </c>
      <c r="AZ160" t="s">
        <v>518</v>
      </c>
      <c r="BA160" t="s">
        <v>472</v>
      </c>
      <c r="BB160" t="s">
        <v>202</v>
      </c>
      <c r="BC160" t="s">
        <v>347</v>
      </c>
      <c r="BD160" t="s">
        <v>1716</v>
      </c>
      <c r="BE160" t="s">
        <v>1717</v>
      </c>
      <c r="BF160" t="s">
        <v>1718</v>
      </c>
      <c r="BG160" t="s">
        <v>1719</v>
      </c>
      <c r="BH160" t="s">
        <v>1924</v>
      </c>
      <c r="BI160" t="s">
        <v>5377</v>
      </c>
      <c r="BJ160" t="s">
        <v>340</v>
      </c>
      <c r="BK160" t="s">
        <v>5484</v>
      </c>
      <c r="BL160" t="s">
        <v>318</v>
      </c>
      <c r="BM160" t="s">
        <v>347</v>
      </c>
      <c r="BN160">
        <v>2.21</v>
      </c>
      <c r="BO160">
        <v>13.79</v>
      </c>
      <c r="BP160">
        <v>27.76</v>
      </c>
      <c r="BQ160">
        <v>2.2999999999999998</v>
      </c>
      <c r="BR160">
        <v>30.59</v>
      </c>
      <c r="BS160">
        <v>29.77</v>
      </c>
      <c r="BT160" t="s">
        <v>1724</v>
      </c>
      <c r="BU160" t="s">
        <v>1536</v>
      </c>
      <c r="BV160">
        <v>44.86</v>
      </c>
      <c r="BW160">
        <v>53.55</v>
      </c>
      <c r="BX160">
        <v>57.48</v>
      </c>
      <c r="BY160">
        <v>13.02</v>
      </c>
      <c r="BZ160">
        <v>25.48</v>
      </c>
      <c r="CA160">
        <v>22.41</v>
      </c>
      <c r="CB160">
        <v>-3.78</v>
      </c>
      <c r="CC160" s="10">
        <v>-9.0399999999999991</v>
      </c>
      <c r="CD160" s="11" t="s">
        <v>5485</v>
      </c>
      <c r="CE160" s="10" t="s">
        <v>5486</v>
      </c>
      <c r="CF160" s="10">
        <v>-0.95391120507399574</v>
      </c>
      <c r="CG160" s="10">
        <v>-0.98203638221153844</v>
      </c>
      <c r="CH160" s="10">
        <v>19.505111694335938</v>
      </c>
      <c r="CI160" s="10">
        <v>0.2734375</v>
      </c>
      <c r="CJ160" s="11">
        <v>0.1962616890668869</v>
      </c>
      <c r="CK160" s="11">
        <v>0.33195021748542786</v>
      </c>
      <c r="CL160" s="11">
        <v>0.81203007698059082</v>
      </c>
      <c r="CM160" s="11">
        <v>11.744000434875488</v>
      </c>
      <c r="CN160" s="11">
        <v>0.45442190766334534</v>
      </c>
      <c r="CO160">
        <v>-6.324024498462677E-2</v>
      </c>
      <c r="CP160">
        <v>0.44976219534873962</v>
      </c>
      <c r="CQ160">
        <v>3.1483626365661621</v>
      </c>
      <c r="CR160" s="10">
        <v>5.2702413243435036</v>
      </c>
      <c r="CS160" s="11">
        <v>1.247761124194074E-2</v>
      </c>
      <c r="CT160">
        <v>1.5298317185109638</v>
      </c>
      <c r="CU160">
        <v>4.2237582355737686</v>
      </c>
      <c r="CV160">
        <v>3.1466613858938217</v>
      </c>
      <c r="CW160">
        <v>0.06</v>
      </c>
      <c r="CX160">
        <v>7.8354046867486135E-2</v>
      </c>
      <c r="CY160">
        <v>7850421574.7820873</v>
      </c>
      <c r="CZ160">
        <v>4.2237582355737686</v>
      </c>
      <c r="DA160">
        <v>2.9068352956458559E-3</v>
      </c>
      <c r="DB160">
        <v>211608927730.22806</v>
      </c>
      <c r="DC160">
        <v>4.0125703237950798</v>
      </c>
      <c r="DD160">
        <v>3.8560473221561712E-5</v>
      </c>
      <c r="DE160">
        <v>15951886701848.098</v>
      </c>
      <c r="DF160">
        <v>3.7169072473049165</v>
      </c>
      <c r="DG160">
        <v>2.0215017331269207E-7</v>
      </c>
      <c r="DH160">
        <v>3042848244549983.5</v>
      </c>
      <c r="DI160">
        <v>3.3790065884590152</v>
      </c>
      <c r="DJ160">
        <v>1.0254466851132668E-12</v>
      </c>
      <c r="DK160">
        <v>5.9984815293645141E+20</v>
      </c>
      <c r="DL160">
        <v>2.9566307649016377</v>
      </c>
      <c r="DM160">
        <v>1593000000</v>
      </c>
      <c r="DN160">
        <v>4.2237582355737686</v>
      </c>
      <c r="DO160">
        <v>615112300</v>
      </c>
      <c r="DP160">
        <v>1317194600</v>
      </c>
      <c r="DQ160" s="12">
        <v>4896</v>
      </c>
      <c r="DR160">
        <v>-5.1776694406477644</v>
      </c>
      <c r="DS160">
        <v>-4.1286977681053605</v>
      </c>
      <c r="DT160">
        <v>0.46</v>
      </c>
      <c r="DU160">
        <v>0.65333333333333321</v>
      </c>
      <c r="DV160">
        <v>1.1133333333333333</v>
      </c>
      <c r="DW160">
        <v>-8.4181415929203531</v>
      </c>
      <c r="DX160">
        <v>0.33515799281975345</v>
      </c>
      <c r="DY160">
        <v>-8.0481523465551632</v>
      </c>
      <c r="DZ160">
        <v>2471</v>
      </c>
      <c r="EA160">
        <v>-8.0248677187004063</v>
      </c>
      <c r="EB160" s="13">
        <v>8</v>
      </c>
      <c r="EC160">
        <v>9.5035621395454049E-3</v>
      </c>
      <c r="ED160">
        <v>8.2526291982358932E-2</v>
      </c>
      <c r="EE160">
        <v>1.0203</v>
      </c>
      <c r="EF160">
        <v>1.0095000000000001</v>
      </c>
      <c r="EG160">
        <v>22.115157992819753</v>
      </c>
      <c r="EH160" s="15" t="s">
        <v>1814</v>
      </c>
      <c r="EI160" s="16">
        <v>0</v>
      </c>
      <c r="EJ160" s="16">
        <v>0</v>
      </c>
      <c r="EK160" s="16">
        <v>45470</v>
      </c>
      <c r="EL160" s="16">
        <v>0.54</v>
      </c>
      <c r="EM160" s="16">
        <v>-2.93</v>
      </c>
      <c r="EN160">
        <v>0.27</v>
      </c>
      <c r="EO160">
        <v>1.1000000000000001</v>
      </c>
      <c r="EP160">
        <v>-1.08</v>
      </c>
    </row>
    <row r="161" spans="3:146" ht="108" x14ac:dyDescent="0.25">
      <c r="C161" s="9" t="str">
        <f>""&amp;CHAR(10)&amp;Basic_Fundamental_Information_Constructure(F161)&amp;CHAR(10)&amp;Basic_Fundamental_Information_Concatenate("")</f>
        <v xml:space="preserve">
市值21.462962亿, 利润4934.33万; PE32.29; 平均PE36.36; 平均PEG44.58, PB1.01; ROIC5.6933%; ROE7.5133%; 股利率.873%; 毛利27.4533%; 净利5.27%; 上一年度营收增-69.62%, 利润增-45.3%; 当季营收增315.09%, 利润增-24.36%; 过往5年营收增.82%, 利润增26.16%
Income profile:
</v>
      </c>
      <c r="D161" t="s">
        <v>1212</v>
      </c>
      <c r="E161" t="s">
        <v>2255</v>
      </c>
      <c r="F161">
        <v>12.83</v>
      </c>
      <c r="G161">
        <v>0.94</v>
      </c>
      <c r="H161" t="s">
        <v>5487</v>
      </c>
      <c r="I161">
        <v>2146296200</v>
      </c>
      <c r="J161">
        <v>32.29</v>
      </c>
      <c r="K161">
        <v>1.01</v>
      </c>
      <c r="L161" t="s">
        <v>101</v>
      </c>
      <c r="M161" t="s">
        <v>5488</v>
      </c>
      <c r="N161" t="s">
        <v>2256</v>
      </c>
      <c r="O161" t="s">
        <v>444</v>
      </c>
      <c r="P161">
        <v>7.18</v>
      </c>
      <c r="Q161" t="s">
        <v>1555</v>
      </c>
      <c r="R161">
        <v>7831077</v>
      </c>
      <c r="S161" s="6">
        <v>-0.72060000000000002</v>
      </c>
      <c r="T161" t="s">
        <v>5489</v>
      </c>
      <c r="U161">
        <v>167287310</v>
      </c>
      <c r="V161">
        <v>167287310</v>
      </c>
      <c r="W161">
        <v>2.67</v>
      </c>
      <c r="X161">
        <v>0.08</v>
      </c>
      <c r="Y161">
        <v>1.52</v>
      </c>
      <c r="Z161" t="s">
        <v>1926</v>
      </c>
      <c r="AA161" t="s">
        <v>254</v>
      </c>
      <c r="AB161" t="s">
        <v>5490</v>
      </c>
      <c r="AC161" t="s">
        <v>5491</v>
      </c>
      <c r="AD161" t="s">
        <v>5</v>
      </c>
      <c r="AE161">
        <v>13864038</v>
      </c>
      <c r="AF161" t="s">
        <v>5492</v>
      </c>
      <c r="AG161" t="s">
        <v>5493</v>
      </c>
      <c r="AH161" t="s">
        <v>5494</v>
      </c>
      <c r="AI161" t="s">
        <v>535</v>
      </c>
      <c r="AJ161" t="s">
        <v>5495</v>
      </c>
      <c r="AK161" t="s">
        <v>5496</v>
      </c>
      <c r="AL161" t="s">
        <v>5497</v>
      </c>
      <c r="AM161" t="s">
        <v>5</v>
      </c>
      <c r="AN161" t="s">
        <v>1117</v>
      </c>
      <c r="AO161" t="s">
        <v>1710</v>
      </c>
      <c r="AP161" t="s">
        <v>325</v>
      </c>
      <c r="AQ161" t="s">
        <v>1017</v>
      </c>
      <c r="AR161" t="s">
        <v>5</v>
      </c>
      <c r="AS161" t="s">
        <v>5498</v>
      </c>
      <c r="AT161" t="s">
        <v>2079</v>
      </c>
      <c r="AU161" t="s">
        <v>5499</v>
      </c>
      <c r="AV161" t="s">
        <v>5500</v>
      </c>
      <c r="AW161" t="s">
        <v>260</v>
      </c>
      <c r="AX161" t="s">
        <v>1245</v>
      </c>
      <c r="AY161" t="s">
        <v>1265</v>
      </c>
      <c r="AZ161" t="s">
        <v>1002</v>
      </c>
      <c r="BA161" t="s">
        <v>505</v>
      </c>
      <c r="BB161" t="s">
        <v>640</v>
      </c>
      <c r="BC161" t="s">
        <v>2085</v>
      </c>
      <c r="BD161" t="s">
        <v>1531</v>
      </c>
      <c r="BE161" t="s">
        <v>1213</v>
      </c>
      <c r="BF161" t="s">
        <v>1214</v>
      </c>
      <c r="BG161" t="s">
        <v>1215</v>
      </c>
      <c r="BH161" t="s">
        <v>5501</v>
      </c>
      <c r="BI161" t="s">
        <v>208</v>
      </c>
      <c r="BJ161" t="s">
        <v>1245</v>
      </c>
      <c r="BK161" t="s">
        <v>5502</v>
      </c>
      <c r="BL161" t="s">
        <v>5503</v>
      </c>
      <c r="BM161" t="s">
        <v>2085</v>
      </c>
      <c r="BN161">
        <v>4.8099999999999996</v>
      </c>
      <c r="BO161">
        <v>6.46</v>
      </c>
      <c r="BP161">
        <v>5.81</v>
      </c>
      <c r="BQ161">
        <v>8.08</v>
      </c>
      <c r="BR161">
        <v>7.87</v>
      </c>
      <c r="BS161">
        <v>6.59</v>
      </c>
      <c r="BT161" t="s">
        <v>5504</v>
      </c>
      <c r="BU161" t="s">
        <v>1537</v>
      </c>
      <c r="BV161">
        <v>27.94</v>
      </c>
      <c r="BW161">
        <v>28.86</v>
      </c>
      <c r="BX161">
        <v>25.56</v>
      </c>
      <c r="BY161">
        <v>4.2699999999999996</v>
      </c>
      <c r="BZ161">
        <v>5.64</v>
      </c>
      <c r="CA161">
        <v>5.9</v>
      </c>
      <c r="CB161">
        <v>-4.54</v>
      </c>
      <c r="CC161">
        <v>-12.71</v>
      </c>
      <c r="CD161" t="s">
        <v>5505</v>
      </c>
      <c r="CE161" t="s">
        <v>5506</v>
      </c>
      <c r="CF161" s="10">
        <v>3.1509433962264155</v>
      </c>
      <c r="CG161" s="11">
        <v>-0.24357883857507148</v>
      </c>
      <c r="CH161" s="10">
        <v>-0.69623488187789917</v>
      </c>
      <c r="CI161" s="10">
        <v>0.31349551677703857</v>
      </c>
      <c r="CJ161" s="10">
        <v>0.15043388307094574</v>
      </c>
      <c r="CK161" s="10">
        <v>-1.3320647180080414E-2</v>
      </c>
      <c r="CL161" s="10">
        <v>0.28641369938850403</v>
      </c>
      <c r="CM161" s="11">
        <v>-0.45304408669471741</v>
      </c>
      <c r="CN161" s="11">
        <v>0.28571346402168274</v>
      </c>
      <c r="CO161" s="11">
        <v>-0.14610882103443146</v>
      </c>
      <c r="CP161" s="11">
        <v>1.4091577529907227</v>
      </c>
      <c r="CQ161" s="11">
        <v>0.21227608621120453</v>
      </c>
      <c r="CR161">
        <v>36.363305012310029</v>
      </c>
      <c r="CS161">
        <v>44.576454117227726</v>
      </c>
      <c r="CT161">
        <v>0.87295401402961814</v>
      </c>
      <c r="CU161" s="10">
        <v>8.1575140357017517E-3</v>
      </c>
      <c r="CV161" s="11">
        <v>0.26159887909889223</v>
      </c>
      <c r="CW161">
        <v>0.06</v>
      </c>
      <c r="CX161">
        <v>74.116660880140984</v>
      </c>
      <c r="CY161">
        <v>46930017.605960228</v>
      </c>
      <c r="CZ161">
        <v>8.1575140357017517E-3</v>
      </c>
      <c r="DA161">
        <v>25.974890085351458</v>
      </c>
      <c r="DB161">
        <v>133909948.74552272</v>
      </c>
      <c r="DC161">
        <v>7.749638333916664E-3</v>
      </c>
      <c r="DD161">
        <v>13.996885723862055</v>
      </c>
      <c r="DE161">
        <v>248505008.08691749</v>
      </c>
      <c r="DF161">
        <v>7.1786123514175418E-3</v>
      </c>
      <c r="DG161">
        <v>9.2681622186461841</v>
      </c>
      <c r="DH161">
        <v>375295135.9658097</v>
      </c>
      <c r="DI161">
        <v>6.5260112285614015E-3</v>
      </c>
      <c r="DJ161">
        <v>5.8489585458075535</v>
      </c>
      <c r="DK161">
        <v>594686416.86530519</v>
      </c>
      <c r="DL161">
        <v>5.710259824991226E-3</v>
      </c>
      <c r="DM161">
        <v>49343300</v>
      </c>
      <c r="DN161">
        <v>8.1575140357017517E-3</v>
      </c>
      <c r="DO161">
        <v>3478296200</v>
      </c>
      <c r="DP161">
        <v>1712045700</v>
      </c>
      <c r="DQ161">
        <v>4953</v>
      </c>
      <c r="DR161">
        <v>3.1427858821907138</v>
      </c>
      <c r="DS161">
        <v>-0.50517771767396369</v>
      </c>
      <c r="DT161" s="12">
        <v>-0.39000000000000007</v>
      </c>
      <c r="DU161">
        <v>9.6666666666666637E-2</v>
      </c>
      <c r="DV161">
        <v>-0.29333333333333345</v>
      </c>
      <c r="DW161">
        <v>-8.3571990558615266</v>
      </c>
      <c r="DX161">
        <v>0.28713244425247125</v>
      </c>
      <c r="DY161">
        <v>-8.0382676079391207</v>
      </c>
      <c r="DZ161" t="s">
        <v>1812</v>
      </c>
      <c r="EA161" t="e">
        <v>#VALUE!</v>
      </c>
      <c r="EB161" t="e">
        <v>#VALUE!</v>
      </c>
      <c r="EC161">
        <v>2.3722062360856895E-2</v>
      </c>
      <c r="ED161">
        <v>0.22142743523104053</v>
      </c>
      <c r="EE161" s="13">
        <v>3.1247099999999999</v>
      </c>
      <c r="EF161">
        <v>2.0056099999999999</v>
      </c>
      <c r="EG161">
        <v>18.107132444252471</v>
      </c>
      <c r="EH161" t="s">
        <v>1816</v>
      </c>
      <c r="EI161" t="e">
        <v>#VALUE!</v>
      </c>
      <c r="EJ161">
        <v>0</v>
      </c>
      <c r="EK161" s="15">
        <v>45470</v>
      </c>
      <c r="EL161" s="16">
        <v>-6.23</v>
      </c>
      <c r="EM161" s="16">
        <v>-5.92</v>
      </c>
      <c r="EN161">
        <v>-0.53</v>
      </c>
      <c r="EO161">
        <v>2.4300000000000002</v>
      </c>
      <c r="EP161">
        <v>-3.09</v>
      </c>
    </row>
    <row r="162" spans="3:146" ht="108" x14ac:dyDescent="0.25">
      <c r="C162" s="9" t="str">
        <f>""&amp;CHAR(10)&amp;Basic_Fundamental_Information_Constructure(F162)&amp;CHAR(10)&amp;Basic_Fundamental_Information_Concatenate("")</f>
        <v xml:space="preserve">
市值47.782692亿, 利润1.59亿; PE35.66; 平均PE76.76; 平均PEG.58, PB1.47; ROIC12.8967%; ROE10.81%; 股利率1.9171%; 毛利40.5333%; 净利16.31%; 上一年度营收增379.59%, 利润增121.68%; 当季营收增-66.89%, 利润增13.01%; 过往5年营收增131.75%, 利润增114.38%
Income profile:
</v>
      </c>
      <c r="D162" t="s">
        <v>2086</v>
      </c>
      <c r="E162" t="s">
        <v>2087</v>
      </c>
      <c r="F162">
        <v>41.73</v>
      </c>
      <c r="G162">
        <v>0.34</v>
      </c>
      <c r="H162" t="s">
        <v>5507</v>
      </c>
      <c r="I162">
        <v>4778269200</v>
      </c>
      <c r="J162">
        <v>35.659999999999997</v>
      </c>
      <c r="K162">
        <v>1.47</v>
      </c>
      <c r="L162" t="s">
        <v>101</v>
      </c>
      <c r="M162" t="s">
        <v>332</v>
      </c>
      <c r="N162" t="s">
        <v>5508</v>
      </c>
      <c r="O162" t="s">
        <v>572</v>
      </c>
      <c r="P162" s="6">
        <v>35.51</v>
      </c>
      <c r="Q162" t="s">
        <v>4929</v>
      </c>
      <c r="R162">
        <v>33823112</v>
      </c>
      <c r="S162">
        <v>1.405</v>
      </c>
      <c r="T162" t="s">
        <v>406</v>
      </c>
      <c r="U162">
        <v>69009590</v>
      </c>
      <c r="V162">
        <v>114504414</v>
      </c>
      <c r="W162">
        <v>1.1000000000000001</v>
      </c>
      <c r="X162">
        <v>0.04</v>
      </c>
      <c r="Y162">
        <v>22.58</v>
      </c>
      <c r="Z162" t="s">
        <v>266</v>
      </c>
      <c r="AA162" t="s">
        <v>5509</v>
      </c>
      <c r="AB162" t="s">
        <v>5510</v>
      </c>
      <c r="AC162" t="s">
        <v>5511</v>
      </c>
      <c r="AD162" t="s">
        <v>5</v>
      </c>
      <c r="AE162">
        <v>-5797504</v>
      </c>
      <c r="AF162" t="s">
        <v>5512</v>
      </c>
      <c r="AG162" t="s">
        <v>3750</v>
      </c>
      <c r="AH162" t="s">
        <v>5513</v>
      </c>
      <c r="AI162" t="s">
        <v>130</v>
      </c>
      <c r="AJ162" t="s">
        <v>5514</v>
      </c>
      <c r="AK162" t="s">
        <v>5515</v>
      </c>
      <c r="AL162" t="s">
        <v>5516</v>
      </c>
      <c r="AM162" t="s">
        <v>5</v>
      </c>
      <c r="AN162" t="s">
        <v>207</v>
      </c>
      <c r="AO162" t="s">
        <v>5</v>
      </c>
      <c r="AP162" t="s">
        <v>208</v>
      </c>
      <c r="AQ162" t="s">
        <v>5517</v>
      </c>
      <c r="AR162" t="s">
        <v>5</v>
      </c>
      <c r="AS162" t="s">
        <v>423</v>
      </c>
      <c r="AT162" t="s">
        <v>5</v>
      </c>
      <c r="AU162" t="s">
        <v>5518</v>
      </c>
      <c r="AV162" t="s">
        <v>5519</v>
      </c>
      <c r="AW162" t="s">
        <v>5520</v>
      </c>
      <c r="AX162" t="s">
        <v>684</v>
      </c>
      <c r="AY162" t="s">
        <v>1602</v>
      </c>
      <c r="AZ162" t="s">
        <v>388</v>
      </c>
      <c r="BA162" t="s">
        <v>187</v>
      </c>
      <c r="BB162" t="s">
        <v>5</v>
      </c>
      <c r="BC162" t="s">
        <v>2088</v>
      </c>
      <c r="BD162" t="s">
        <v>2089</v>
      </c>
      <c r="BE162" t="s">
        <v>2090</v>
      </c>
      <c r="BF162" t="s">
        <v>2091</v>
      </c>
      <c r="BG162" t="s">
        <v>5</v>
      </c>
      <c r="BH162" t="s">
        <v>2182</v>
      </c>
      <c r="BI162" t="s">
        <v>228</v>
      </c>
      <c r="BJ162" t="s">
        <v>684</v>
      </c>
      <c r="BK162" t="s">
        <v>207</v>
      </c>
      <c r="BL162" t="s">
        <v>5521</v>
      </c>
      <c r="BM162" t="s">
        <v>2088</v>
      </c>
      <c r="BN162">
        <v>3.71</v>
      </c>
      <c r="BO162">
        <v>17.940000000000001</v>
      </c>
      <c r="BP162">
        <v>17.04</v>
      </c>
      <c r="BQ162">
        <v>3.52</v>
      </c>
      <c r="BR162">
        <v>18.100000000000001</v>
      </c>
      <c r="BS162" t="s">
        <v>5</v>
      </c>
      <c r="BT162" t="s">
        <v>5522</v>
      </c>
      <c r="BU162" t="s">
        <v>1537</v>
      </c>
      <c r="BV162">
        <v>40.630000000000003</v>
      </c>
      <c r="BW162">
        <v>40.67</v>
      </c>
      <c r="BX162">
        <v>40.299999999999997</v>
      </c>
      <c r="BY162">
        <v>19.45</v>
      </c>
      <c r="BZ162">
        <v>14.8</v>
      </c>
      <c r="CA162">
        <v>14.68</v>
      </c>
      <c r="CB162">
        <v>-9.6</v>
      </c>
      <c r="CC162" s="10">
        <v>-13.56</v>
      </c>
      <c r="CD162" s="11" t="s">
        <v>5523</v>
      </c>
      <c r="CE162" s="10" t="s">
        <v>5524</v>
      </c>
      <c r="CF162" s="10">
        <v>-0.66887417218543044</v>
      </c>
      <c r="CG162" s="10">
        <v>0.1300927847107369</v>
      </c>
      <c r="CH162" s="10">
        <v>3.7958767414093018</v>
      </c>
      <c r="CI162" s="10">
        <v>0.4017341136932373</v>
      </c>
      <c r="CJ162" s="11">
        <v>0.73000001907348633</v>
      </c>
      <c r="CK162" s="11">
        <v>0.34228187799453735</v>
      </c>
      <c r="CL162" s="11" t="s">
        <v>5</v>
      </c>
      <c r="CM162" s="11">
        <v>1.2167971134185791</v>
      </c>
      <c r="CN162" s="11">
        <v>0.4114697277545929</v>
      </c>
      <c r="CO162">
        <v>1.3772186040878296</v>
      </c>
      <c r="CP162">
        <v>1.5697489976882935</v>
      </c>
      <c r="CQ162" t="s">
        <v>5</v>
      </c>
      <c r="CR162" s="10">
        <v>76.762896018321811</v>
      </c>
      <c r="CS162" s="11">
        <v>0.58265243433430192</v>
      </c>
      <c r="CT162">
        <v>1.917086029235562</v>
      </c>
      <c r="CU162">
        <v>1.3174731880426407</v>
      </c>
      <c r="CV162">
        <v>1.1438086107373238</v>
      </c>
      <c r="CW162">
        <v>0.06</v>
      </c>
      <c r="CX162">
        <v>5.259375338718729</v>
      </c>
      <c r="CY162">
        <v>347620978.20639604</v>
      </c>
      <c r="CZ162">
        <v>1.3174731880426407</v>
      </c>
      <c r="DA162">
        <v>0.70889576710640823</v>
      </c>
      <c r="DB162">
        <v>2579038110.8673897</v>
      </c>
      <c r="DC162">
        <v>1.2515995286405086</v>
      </c>
      <c r="DD162">
        <v>8.3070249096346999E-2</v>
      </c>
      <c r="DE162">
        <v>22008712142.893982</v>
      </c>
      <c r="DF162">
        <v>1.1593764054775237</v>
      </c>
      <c r="DG162">
        <v>7.4663110367328995E-3</v>
      </c>
      <c r="DH162">
        <v>244869145017.56573</v>
      </c>
      <c r="DI162">
        <v>1.0539785504341126</v>
      </c>
      <c r="DJ162">
        <v>3.487135286020112E-5</v>
      </c>
      <c r="DK162">
        <v>52428972495833.805</v>
      </c>
      <c r="DL162">
        <v>0.92223123162984844</v>
      </c>
      <c r="DM162">
        <v>159000000</v>
      </c>
      <c r="DN162">
        <v>1.3174731880426407</v>
      </c>
      <c r="DO162">
        <v>1828269200</v>
      </c>
      <c r="DP162">
        <v>2911728400</v>
      </c>
      <c r="DQ162" s="12">
        <v>4955</v>
      </c>
      <c r="DR162">
        <v>-1.9863473602280712</v>
      </c>
      <c r="DS162">
        <v>-1.0137158260265868</v>
      </c>
      <c r="DT162">
        <v>0.47199999999999998</v>
      </c>
      <c r="DU162">
        <v>1.1800000000000002</v>
      </c>
      <c r="DV162">
        <v>1.6520000000000001</v>
      </c>
      <c r="DW162">
        <v>-9.7079646017699108</v>
      </c>
      <c r="DX162">
        <v>0.27478386384175069</v>
      </c>
      <c r="DY162">
        <v>-9.0954222044897346</v>
      </c>
      <c r="DZ162">
        <v>740</v>
      </c>
      <c r="EA162">
        <v>-9.0816037247788923</v>
      </c>
      <c r="EB162" s="13">
        <v>9</v>
      </c>
      <c r="EC162" s="13">
        <v>3.7512964347383153E-2</v>
      </c>
      <c r="ED162">
        <v>0.27831940173066166</v>
      </c>
      <c r="EE162">
        <v>-1.0190999999999999</v>
      </c>
      <c r="EF162">
        <v>-1.0076099999999999</v>
      </c>
      <c r="EG162">
        <v>14.134783863841751</v>
      </c>
      <c r="EH162" s="15" t="s">
        <v>1563</v>
      </c>
      <c r="EI162">
        <v>0</v>
      </c>
      <c r="EJ162">
        <v>1</v>
      </c>
      <c r="EK162">
        <v>45470</v>
      </c>
      <c r="EL162">
        <v>-0.87</v>
      </c>
      <c r="EM162">
        <v>-3.53</v>
      </c>
      <c r="EN162">
        <v>-1.02</v>
      </c>
      <c r="EO162">
        <v>2.7</v>
      </c>
      <c r="EP162">
        <v>-2.67</v>
      </c>
    </row>
    <row r="163" spans="3:146" ht="108" x14ac:dyDescent="0.25">
      <c r="C163" s="9" t="str">
        <f>""&amp;CHAR(10)&amp;Basic_Fundamental_Information_Constructure(F163)&amp;CHAR(10)&amp;Basic_Fundamental_Information_Concatenate("")</f>
        <v xml:space="preserve">
市值88.309486亿, 利润3763.87万; PE21.27; 平均PE72.41; 平均PEG6.47, PB2.85; ROIC9.1967%; ROE10.8767%; 股利率.9311%; 毛利26.9133%; 净利9.95%; 上一年度营收增-79.22%, 利润增-85.47%; 当季营收增739.75%, 利润增588.02%; 过往5年营收增11.19%, 利润增18.37%
Income profile:
</v>
      </c>
      <c r="D163" t="s">
        <v>1532</v>
      </c>
      <c r="E163" t="s">
        <v>1533</v>
      </c>
      <c r="F163">
        <v>30.77</v>
      </c>
      <c r="G163">
        <v>-0.16</v>
      </c>
      <c r="H163" t="s">
        <v>5525</v>
      </c>
      <c r="I163">
        <v>8830948600</v>
      </c>
      <c r="J163">
        <v>21.27</v>
      </c>
      <c r="K163">
        <v>2.85</v>
      </c>
      <c r="L163" t="s">
        <v>101</v>
      </c>
      <c r="M163" t="s">
        <v>5526</v>
      </c>
      <c r="N163" t="s">
        <v>5146</v>
      </c>
      <c r="O163" t="s">
        <v>1568</v>
      </c>
      <c r="P163">
        <v>43.31</v>
      </c>
      <c r="Q163" t="s">
        <v>1657</v>
      </c>
      <c r="R163">
        <v>24902874</v>
      </c>
      <c r="S163" s="6">
        <v>1.234</v>
      </c>
      <c r="T163" t="s">
        <v>5527</v>
      </c>
      <c r="U163">
        <v>286998650</v>
      </c>
      <c r="V163">
        <v>286998650</v>
      </c>
      <c r="W163">
        <v>2.75</v>
      </c>
      <c r="X163">
        <v>7.0000000000000007E-2</v>
      </c>
      <c r="Y163">
        <v>5.95</v>
      </c>
      <c r="Z163" t="s">
        <v>708</v>
      </c>
      <c r="AA163" t="s">
        <v>380</v>
      </c>
      <c r="AB163" t="s">
        <v>5528</v>
      </c>
      <c r="AC163" t="s">
        <v>5529</v>
      </c>
      <c r="AD163" t="s">
        <v>5</v>
      </c>
      <c r="AE163">
        <v>4435911</v>
      </c>
      <c r="AF163" t="s">
        <v>5530</v>
      </c>
      <c r="AG163">
        <v>5648.93</v>
      </c>
      <c r="AH163" t="s">
        <v>5531</v>
      </c>
      <c r="AI163" t="s">
        <v>5532</v>
      </c>
      <c r="AJ163" t="s">
        <v>5533</v>
      </c>
      <c r="AK163" t="s">
        <v>206</v>
      </c>
      <c r="AL163" t="s">
        <v>5534</v>
      </c>
      <c r="AM163" t="s">
        <v>5</v>
      </c>
      <c r="AN163" t="s">
        <v>293</v>
      </c>
      <c r="AO163" t="s">
        <v>545</v>
      </c>
      <c r="AP163" t="s">
        <v>321</v>
      </c>
      <c r="AQ163" t="s">
        <v>5535</v>
      </c>
      <c r="AR163" t="s">
        <v>5</v>
      </c>
      <c r="AS163" t="s">
        <v>5536</v>
      </c>
      <c r="AT163" t="s">
        <v>190</v>
      </c>
      <c r="AU163" t="s">
        <v>2195</v>
      </c>
      <c r="AV163" t="s">
        <v>867</v>
      </c>
      <c r="AW163" t="s">
        <v>254</v>
      </c>
      <c r="AX163" t="s">
        <v>1685</v>
      </c>
      <c r="AY163" t="s">
        <v>1515</v>
      </c>
      <c r="AZ163" t="s">
        <v>1487</v>
      </c>
      <c r="BA163" t="s">
        <v>1264</v>
      </c>
      <c r="BB163" t="s">
        <v>1304</v>
      </c>
      <c r="BC163" t="s">
        <v>686</v>
      </c>
      <c r="BD163" t="s">
        <v>248</v>
      </c>
      <c r="BE163" t="s">
        <v>508</v>
      </c>
      <c r="BF163" t="s">
        <v>1534</v>
      </c>
      <c r="BG163" t="s">
        <v>1535</v>
      </c>
      <c r="BH163" t="s">
        <v>2129</v>
      </c>
      <c r="BI163" t="s">
        <v>5537</v>
      </c>
      <c r="BJ163" t="s">
        <v>1685</v>
      </c>
      <c r="BK163" t="s">
        <v>1479</v>
      </c>
      <c r="BL163" t="s">
        <v>5538</v>
      </c>
      <c r="BM163" t="s">
        <v>686</v>
      </c>
      <c r="BN163">
        <v>8.75</v>
      </c>
      <c r="BO163">
        <v>9.9</v>
      </c>
      <c r="BP163">
        <v>8.94</v>
      </c>
      <c r="BQ163">
        <v>10.36</v>
      </c>
      <c r="BR163">
        <v>12.9</v>
      </c>
      <c r="BS163">
        <v>9.3699999999999992</v>
      </c>
      <c r="BT163" t="s">
        <v>5539</v>
      </c>
      <c r="BU163" t="s">
        <v>1537</v>
      </c>
      <c r="BV163">
        <v>27.11</v>
      </c>
      <c r="BW163">
        <v>27.46</v>
      </c>
      <c r="BX163">
        <v>26.17</v>
      </c>
      <c r="BY163">
        <v>11.04</v>
      </c>
      <c r="BZ163">
        <v>9.66</v>
      </c>
      <c r="CA163">
        <v>9.15</v>
      </c>
      <c r="CB163">
        <v>-6.76</v>
      </c>
      <c r="CC163">
        <v>-7.16</v>
      </c>
      <c r="CD163" t="s">
        <v>5540</v>
      </c>
      <c r="CE163" t="s">
        <v>326</v>
      </c>
      <c r="CF163" s="10">
        <v>7.3974667879475682</v>
      </c>
      <c r="CG163" s="11">
        <v>5.8802371247158423</v>
      </c>
      <c r="CH163" s="10">
        <v>-0.7922365665435791</v>
      </c>
      <c r="CI163" s="10">
        <v>0.47250953316688538</v>
      </c>
      <c r="CJ163" s="10">
        <v>0.65644729137420654</v>
      </c>
      <c r="CK163" s="10">
        <v>-6.4924165606498718E-2</v>
      </c>
      <c r="CL163" s="10">
        <v>0.28773072361946106</v>
      </c>
      <c r="CM163" s="11">
        <v>-0.85467684268951416</v>
      </c>
      <c r="CN163" s="11">
        <v>0.54166668653488159</v>
      </c>
      <c r="CO163" s="11">
        <v>0.35483869910240173</v>
      </c>
      <c r="CP163" s="11">
        <v>0.49356561899185181</v>
      </c>
      <c r="CQ163" s="11">
        <v>0.38294118642807007</v>
      </c>
      <c r="CR163">
        <v>72.414997505791348</v>
      </c>
      <c r="CS163">
        <v>6.4710926655958199</v>
      </c>
      <c r="CT163">
        <v>0.93110172245693867</v>
      </c>
      <c r="CU163" s="10">
        <v>0.11190536320209503</v>
      </c>
      <c r="CV163" s="11">
        <v>0.18366706967353821</v>
      </c>
      <c r="CW163">
        <v>0.06</v>
      </c>
      <c r="CX163">
        <v>270.90856293237778</v>
      </c>
      <c r="CY163">
        <v>39481766.409391217</v>
      </c>
      <c r="CZ163">
        <v>0.11190536320209503</v>
      </c>
      <c r="DA163">
        <v>86.907398667487598</v>
      </c>
      <c r="DB163">
        <v>123072934.68676099</v>
      </c>
      <c r="DC163">
        <v>0.10631009504199027</v>
      </c>
      <c r="DD163">
        <v>41.728339463163977</v>
      </c>
      <c r="DE163">
        <v>256323370.10299522</v>
      </c>
      <c r="DF163">
        <v>9.8476719617843628E-2</v>
      </c>
      <c r="DG163">
        <v>24.356377763895487</v>
      </c>
      <c r="DH163">
        <v>439143648.68552285</v>
      </c>
      <c r="DI163">
        <v>8.9524290561676031E-2</v>
      </c>
      <c r="DJ163">
        <v>11.809639055240714</v>
      </c>
      <c r="DK163">
        <v>905696486.57073081</v>
      </c>
      <c r="DL163">
        <v>7.8333754241466519E-2</v>
      </c>
      <c r="DM163">
        <v>37638700</v>
      </c>
      <c r="DN163">
        <v>0.11190536320209503</v>
      </c>
      <c r="DO163">
        <v>10695948600</v>
      </c>
      <c r="DP163">
        <v>1793157100</v>
      </c>
      <c r="DQ163">
        <v>5002</v>
      </c>
      <c r="DR163">
        <v>7.285561424745473</v>
      </c>
      <c r="DS163">
        <v>5.6965700550423044</v>
      </c>
      <c r="DT163" s="12">
        <v>-0.25666666666666665</v>
      </c>
      <c r="DU163">
        <v>0.38666666666666655</v>
      </c>
      <c r="DV163">
        <v>0.12999999999999989</v>
      </c>
      <c r="DW163">
        <v>-9.94413407821229</v>
      </c>
      <c r="DX163">
        <v>0.33784184397163003</v>
      </c>
      <c r="DY163">
        <v>-9.1395825230793619</v>
      </c>
      <c r="DZ163">
        <v>3149</v>
      </c>
      <c r="EA163">
        <v>-9.0535658175652891</v>
      </c>
      <c r="EB163">
        <v>9</v>
      </c>
      <c r="EC163">
        <v>7.2633442700862874E-2</v>
      </c>
      <c r="ED163">
        <v>0.49129150955936551</v>
      </c>
      <c r="EE163" s="13">
        <v>-1.02841</v>
      </c>
      <c r="EF163">
        <v>-1.05281</v>
      </c>
      <c r="EG163">
        <v>19.14784184397163</v>
      </c>
      <c r="EH163" t="s">
        <v>1563</v>
      </c>
      <c r="EI163">
        <v>0</v>
      </c>
      <c r="EJ163">
        <v>0</v>
      </c>
      <c r="EK163" s="15">
        <v>45470</v>
      </c>
      <c r="EL163" s="16">
        <v>-3.72</v>
      </c>
      <c r="EM163" s="16">
        <v>-6.62</v>
      </c>
      <c r="EN163">
        <v>-1.18</v>
      </c>
      <c r="EO163">
        <v>4.1900000000000004</v>
      </c>
      <c r="EP163">
        <v>-2.44</v>
      </c>
    </row>
    <row r="164" spans="3:146" ht="108" x14ac:dyDescent="0.25">
      <c r="C164" s="9" t="str">
        <f>""&amp;CHAR(10)&amp;Basic_Fundamental_Information_Constructure(F164)&amp;CHAR(10)&amp;Basic_Fundamental_Information_Concatenate("")</f>
        <v xml:space="preserve">
市值36.946619亿, 利润1.61亿; PE35.3; 平均PE57.21; 平均PEG.9, PB2.17; ROIC9.27%; ROE9.045%; 股利率.9503%; 毛利38.66%; 净利14.9%; 上一年度营收增101.98%, 利润增143.69%; 当季营收增-65.11%, 利润增-135.34%; 过往5年营收增63.62%, 利润增1585.83%
Income profile:
</v>
      </c>
      <c r="D164" t="s">
        <v>2092</v>
      </c>
      <c r="E164" t="s">
        <v>2093</v>
      </c>
      <c r="F164">
        <v>39.299999999999997</v>
      </c>
      <c r="G164">
        <v>-2.12</v>
      </c>
      <c r="H164" t="s">
        <v>5541</v>
      </c>
      <c r="I164">
        <v>3694661900</v>
      </c>
      <c r="J164">
        <v>35.299999999999997</v>
      </c>
      <c r="K164">
        <v>2.17</v>
      </c>
      <c r="L164" t="s">
        <v>101</v>
      </c>
      <c r="M164" t="s">
        <v>102</v>
      </c>
      <c r="N164" t="s">
        <v>4385</v>
      </c>
      <c r="O164" t="s">
        <v>5542</v>
      </c>
      <c r="P164" s="6">
        <v>62.25</v>
      </c>
      <c r="Q164" t="s">
        <v>5543</v>
      </c>
      <c r="R164">
        <v>-14442579</v>
      </c>
      <c r="S164">
        <v>-3.2210000000000001</v>
      </c>
      <c r="T164" t="s">
        <v>223</v>
      </c>
      <c r="U164">
        <v>21283369</v>
      </c>
      <c r="V164">
        <v>94011754</v>
      </c>
      <c r="W164">
        <v>1.1399999999999999</v>
      </c>
      <c r="X164">
        <v>0.04</v>
      </c>
      <c r="Y164">
        <v>-18.37</v>
      </c>
      <c r="Z164" t="s">
        <v>5544</v>
      </c>
      <c r="AA164" t="s">
        <v>5545</v>
      </c>
      <c r="AB164" t="s">
        <v>5546</v>
      </c>
      <c r="AC164" t="s">
        <v>5547</v>
      </c>
      <c r="AD164" t="s">
        <v>5</v>
      </c>
      <c r="AE164">
        <v>-3349640</v>
      </c>
      <c r="AF164" t="s">
        <v>5548</v>
      </c>
      <c r="AG164">
        <v>4893.29</v>
      </c>
      <c r="AH164" t="s">
        <v>5549</v>
      </c>
      <c r="AI164" t="s">
        <v>2182</v>
      </c>
      <c r="AJ164" t="s">
        <v>5550</v>
      </c>
      <c r="AK164" t="s">
        <v>5</v>
      </c>
      <c r="AL164" t="s">
        <v>5551</v>
      </c>
      <c r="AM164" t="s">
        <v>5</v>
      </c>
      <c r="AN164">
        <v>0</v>
      </c>
      <c r="AO164" t="s">
        <v>5</v>
      </c>
      <c r="AP164" t="s">
        <v>5552</v>
      </c>
      <c r="AQ164" t="s">
        <v>187</v>
      </c>
      <c r="AR164" t="s">
        <v>5</v>
      </c>
      <c r="AS164" t="s">
        <v>241</v>
      </c>
      <c r="AT164" t="s">
        <v>5</v>
      </c>
      <c r="AU164" t="s">
        <v>1426</v>
      </c>
      <c r="AV164" t="s">
        <v>5553</v>
      </c>
      <c r="AW164" t="s">
        <v>5554</v>
      </c>
      <c r="AX164" t="s">
        <v>196</v>
      </c>
      <c r="AY164" t="s">
        <v>589</v>
      </c>
      <c r="AZ164" t="s">
        <v>201</v>
      </c>
      <c r="BA164" t="s">
        <v>324</v>
      </c>
      <c r="BB164" t="s">
        <v>5</v>
      </c>
      <c r="BC164" t="s">
        <v>5555</v>
      </c>
      <c r="BD164" t="s">
        <v>2094</v>
      </c>
      <c r="BE164" t="s">
        <v>2095</v>
      </c>
      <c r="BF164" t="s">
        <v>2096</v>
      </c>
      <c r="BG164" t="s">
        <v>5</v>
      </c>
      <c r="BH164" t="s">
        <v>5556</v>
      </c>
      <c r="BI164" t="s">
        <v>605</v>
      </c>
      <c r="BJ164" t="s">
        <v>196</v>
      </c>
      <c r="BK164" t="s">
        <v>260</v>
      </c>
      <c r="BL164" t="s">
        <v>5557</v>
      </c>
      <c r="BM164" t="s">
        <v>5555</v>
      </c>
      <c r="BN164">
        <v>4.09</v>
      </c>
      <c r="BO164">
        <v>10.02</v>
      </c>
      <c r="BP164">
        <v>13.7</v>
      </c>
      <c r="BQ164">
        <v>6.4</v>
      </c>
      <c r="BR164">
        <v>11.69</v>
      </c>
      <c r="BS164" t="s">
        <v>5</v>
      </c>
      <c r="BT164" t="s">
        <v>5558</v>
      </c>
      <c r="BU164" t="s">
        <v>1537</v>
      </c>
      <c r="BV164">
        <v>40.369999999999997</v>
      </c>
      <c r="BW164">
        <v>36.78</v>
      </c>
      <c r="BX164">
        <v>38.83</v>
      </c>
      <c r="BY164">
        <v>17.27</v>
      </c>
      <c r="BZ164">
        <v>12.72</v>
      </c>
      <c r="CA164">
        <v>14.71</v>
      </c>
      <c r="CB164">
        <v>-14.65</v>
      </c>
      <c r="CC164" s="10">
        <v>-24.61</v>
      </c>
      <c r="CD164" s="11" t="s">
        <v>5559</v>
      </c>
      <c r="CE164" s="10" t="s">
        <v>5560</v>
      </c>
      <c r="CF164" s="10">
        <v>-0.65106302521008408</v>
      </c>
      <c r="CG164" s="10">
        <v>-1.3533594717191637</v>
      </c>
      <c r="CH164" s="10">
        <v>1.0198019742965698</v>
      </c>
      <c r="CI164" s="10">
        <v>0.10262008756399155</v>
      </c>
      <c r="CJ164" s="11">
        <v>0.60701751708984375</v>
      </c>
      <c r="CK164" s="11">
        <v>0.81528663635253906</v>
      </c>
      <c r="CL164" s="11" t="s">
        <v>5</v>
      </c>
      <c r="CM164" s="11">
        <v>1.4368832111358643</v>
      </c>
      <c r="CN164" s="11">
        <v>-2.7088375762104988E-2</v>
      </c>
      <c r="CO164">
        <v>1.4691393375396729</v>
      </c>
      <c r="CP164">
        <v>60.554386138916016</v>
      </c>
      <c r="CQ164" t="s">
        <v>5</v>
      </c>
      <c r="CR164" s="10">
        <v>57.206227270249919</v>
      </c>
      <c r="CS164" s="11">
        <v>0.89921229130638936</v>
      </c>
      <c r="CT164">
        <v>0.9502544529262088</v>
      </c>
      <c r="CU164">
        <v>0.63618155382573605</v>
      </c>
      <c r="CV164">
        <v>15.858330077957362</v>
      </c>
      <c r="CW164">
        <v>0.06</v>
      </c>
      <c r="CX164">
        <v>9.1087767579759067</v>
      </c>
      <c r="CY164">
        <v>248514368.08107877</v>
      </c>
      <c r="CZ164">
        <v>0.63618155382573605</v>
      </c>
      <c r="DA164">
        <v>1.9335055243618431</v>
      </c>
      <c r="DB164">
        <v>1170755330.914881</v>
      </c>
      <c r="DC164">
        <v>0.60437247613444922</v>
      </c>
      <c r="DD164">
        <v>0.49217232284500312</v>
      </c>
      <c r="DE164">
        <v>4599327907.9873848</v>
      </c>
      <c r="DF164">
        <v>0.55983976736664776</v>
      </c>
      <c r="DG164">
        <v>0.12610374852486589</v>
      </c>
      <c r="DH164">
        <v>17950789936.69754</v>
      </c>
      <c r="DI164">
        <v>0.50894524306058886</v>
      </c>
      <c r="DJ164">
        <v>7.6124531739270402E-3</v>
      </c>
      <c r="DK164">
        <v>297362998271.4552</v>
      </c>
      <c r="DL164">
        <v>0.44532708767801521</v>
      </c>
      <c r="DM164">
        <v>161000000</v>
      </c>
      <c r="DN164">
        <v>0.63618155382573605</v>
      </c>
      <c r="DO164">
        <v>2263661900</v>
      </c>
      <c r="DP164">
        <v>1580073300</v>
      </c>
      <c r="DQ164" s="12">
        <v>5028</v>
      </c>
      <c r="DR164">
        <v>-1.28724457903582</v>
      </c>
      <c r="DS164">
        <v>-17.211689549676525</v>
      </c>
      <c r="DT164">
        <v>0.47199999999999998</v>
      </c>
      <c r="DU164">
        <v>0.25400000000000017</v>
      </c>
      <c r="DV164">
        <v>0.7260000000000002</v>
      </c>
      <c r="DW164">
        <v>-9.5952864689150754</v>
      </c>
      <c r="DX164">
        <v>0.32632439194640495</v>
      </c>
      <c r="DY164">
        <v>-9.0632934718413178</v>
      </c>
      <c r="DZ164">
        <v>604</v>
      </c>
      <c r="EA164">
        <v>-9.0558122082420702</v>
      </c>
      <c r="EB164" s="13">
        <v>9</v>
      </c>
      <c r="EC164" s="13">
        <v>4.9903334427735493E-2</v>
      </c>
      <c r="ED164">
        <v>0.46934982193822267</v>
      </c>
      <c r="EE164">
        <v>1.1231100000000001</v>
      </c>
      <c r="EF164">
        <v>2.4100000000000133E-3</v>
      </c>
      <c r="EG164">
        <v>22.106324391946405</v>
      </c>
      <c r="EH164" s="15">
        <v>-1</v>
      </c>
      <c r="EI164">
        <v>0</v>
      </c>
      <c r="EJ164">
        <v>1</v>
      </c>
      <c r="EK164">
        <v>45470</v>
      </c>
      <c r="EL164">
        <v>-0.56000000000000005</v>
      </c>
      <c r="EM164">
        <v>-3.96</v>
      </c>
      <c r="EN164">
        <v>0.12</v>
      </c>
      <c r="EO164">
        <v>0.82</v>
      </c>
      <c r="EP164">
        <v>-2.93</v>
      </c>
    </row>
    <row r="165" spans="3:146" ht="108" x14ac:dyDescent="0.25">
      <c r="C165" s="9" t="str">
        <f>""&amp;CHAR(10)&amp;Basic_Fundamental_Information_Constructure(F165)&amp;CHAR(10)&amp;Basic_Fundamental_Information_Concatenate("")</f>
        <v xml:space="preserve">
市值72.753606亿, 利润1.32亿; PE39.21; 平均PE85.43; 平均PEG.99, PB3.56; ROIC11.8433%; ROE12.19%; 股利率1.4451%; 毛利42.85%; 净利21.38%; 上一年度营收增157.06%, 利润增-3.65%; 当季营收增11.86%, 利润增224.66%; 过往5年营收增86.63%, 利润增59.88%
Income profile:
</v>
      </c>
      <c r="D165" t="s">
        <v>1216</v>
      </c>
      <c r="E165" t="s">
        <v>1217</v>
      </c>
      <c r="F165">
        <v>55.36</v>
      </c>
      <c r="G165">
        <v>-1.25</v>
      </c>
      <c r="H165" t="s">
        <v>5561</v>
      </c>
      <c r="I165">
        <v>7275360600</v>
      </c>
      <c r="J165">
        <v>39.21</v>
      </c>
      <c r="K165">
        <v>3.56</v>
      </c>
      <c r="L165" t="s">
        <v>101</v>
      </c>
      <c r="M165" t="s">
        <v>2197</v>
      </c>
      <c r="N165" t="s">
        <v>5562</v>
      </c>
      <c r="O165" t="s">
        <v>467</v>
      </c>
      <c r="P165">
        <v>26.26</v>
      </c>
      <c r="Q165" t="s">
        <v>5563</v>
      </c>
      <c r="R165">
        <v>39760352</v>
      </c>
      <c r="S165" s="6">
        <v>0.18659999999999999</v>
      </c>
      <c r="T165" t="s">
        <v>227</v>
      </c>
      <c r="U165">
        <v>131419086</v>
      </c>
      <c r="V165">
        <v>131419086</v>
      </c>
      <c r="W165">
        <v>1.23</v>
      </c>
      <c r="X165">
        <v>0.08</v>
      </c>
      <c r="Y165">
        <v>20.079999999999998</v>
      </c>
      <c r="Z165" t="s">
        <v>165</v>
      </c>
      <c r="AA165" t="s">
        <v>310</v>
      </c>
      <c r="AB165" t="s">
        <v>5564</v>
      </c>
      <c r="AC165" t="s">
        <v>5565</v>
      </c>
      <c r="AD165" t="s">
        <v>5</v>
      </c>
      <c r="AE165">
        <v>-4281189</v>
      </c>
      <c r="AF165" t="s">
        <v>5566</v>
      </c>
      <c r="AG165" t="s">
        <v>5567</v>
      </c>
      <c r="AH165" t="s">
        <v>5568</v>
      </c>
      <c r="AI165" t="s">
        <v>2125</v>
      </c>
      <c r="AJ165" t="s">
        <v>5569</v>
      </c>
      <c r="AK165" t="s">
        <v>5570</v>
      </c>
      <c r="AL165" t="s">
        <v>5571</v>
      </c>
      <c r="AM165" t="s">
        <v>5</v>
      </c>
      <c r="AN165" t="s">
        <v>5572</v>
      </c>
      <c r="AO165" t="s">
        <v>2244</v>
      </c>
      <c r="AP165" t="s">
        <v>441</v>
      </c>
      <c r="AQ165" t="s">
        <v>164</v>
      </c>
      <c r="AR165" t="s">
        <v>5</v>
      </c>
      <c r="AS165" t="s">
        <v>312</v>
      </c>
      <c r="AT165" t="s">
        <v>5</v>
      </c>
      <c r="AU165" t="s">
        <v>5573</v>
      </c>
      <c r="AV165" t="s">
        <v>5574</v>
      </c>
      <c r="AW165" t="s">
        <v>5575</v>
      </c>
      <c r="AX165" t="s">
        <v>1177</v>
      </c>
      <c r="AY165" t="s">
        <v>1181</v>
      </c>
      <c r="AZ165" t="s">
        <v>507</v>
      </c>
      <c r="BA165" t="s">
        <v>164</v>
      </c>
      <c r="BB165" t="s">
        <v>1219</v>
      </c>
      <c r="BC165" t="s">
        <v>512</v>
      </c>
      <c r="BD165" t="s">
        <v>208</v>
      </c>
      <c r="BE165" t="s">
        <v>1218</v>
      </c>
      <c r="BF165" t="s">
        <v>1220</v>
      </c>
      <c r="BG165" t="s">
        <v>1221</v>
      </c>
      <c r="BH165" t="s">
        <v>2608</v>
      </c>
      <c r="BI165" t="s">
        <v>1907</v>
      </c>
      <c r="BJ165" t="s">
        <v>1177</v>
      </c>
      <c r="BK165" t="s">
        <v>274</v>
      </c>
      <c r="BL165" t="s">
        <v>5576</v>
      </c>
      <c r="BM165" t="s">
        <v>512</v>
      </c>
      <c r="BN165">
        <v>7.32</v>
      </c>
      <c r="BO165">
        <v>13.1</v>
      </c>
      <c r="BP165">
        <v>15.11</v>
      </c>
      <c r="BQ165">
        <v>9.2100000000000009</v>
      </c>
      <c r="BR165">
        <v>13.64</v>
      </c>
      <c r="BS165">
        <v>13.72</v>
      </c>
      <c r="BT165" t="s">
        <v>5577</v>
      </c>
      <c r="BU165" t="s">
        <v>1537</v>
      </c>
      <c r="BV165">
        <v>42.62</v>
      </c>
      <c r="BW165">
        <v>43.17</v>
      </c>
      <c r="BX165">
        <v>42.76</v>
      </c>
      <c r="BY165">
        <v>21.63</v>
      </c>
      <c r="BZ165">
        <v>20.94</v>
      </c>
      <c r="CA165">
        <v>21.57</v>
      </c>
      <c r="CB165">
        <v>-11.52</v>
      </c>
      <c r="CC165">
        <v>-12.74</v>
      </c>
      <c r="CD165" t="s">
        <v>5578</v>
      </c>
      <c r="CE165" t="s">
        <v>5579</v>
      </c>
      <c r="CF165" s="10">
        <v>0.11864406779661017</v>
      </c>
      <c r="CG165" s="11">
        <v>2.2466053193457265</v>
      </c>
      <c r="CH165" s="10">
        <v>1.5705521106719971</v>
      </c>
      <c r="CI165" s="10">
        <v>0.32520323991775513</v>
      </c>
      <c r="CJ165" s="10">
        <v>0.58709675073623657</v>
      </c>
      <c r="CK165" s="10">
        <v>0.53465348482131958</v>
      </c>
      <c r="CL165" s="10">
        <v>1.3139849901199341</v>
      </c>
      <c r="CM165" s="11">
        <v>-3.6496348679065704E-2</v>
      </c>
      <c r="CN165" s="11">
        <v>0.29245284199714661</v>
      </c>
      <c r="CO165" s="11">
        <v>0.49214029312133789</v>
      </c>
      <c r="CP165" s="11">
        <v>0.49162721633911133</v>
      </c>
      <c r="CQ165" s="11">
        <v>1.7540581226348877</v>
      </c>
      <c r="CR165">
        <v>85.432216859080228</v>
      </c>
      <c r="CS165">
        <v>0.98617572120754016</v>
      </c>
      <c r="CT165">
        <v>1.4450867052023122</v>
      </c>
      <c r="CU165" s="10">
        <v>0.86629811525344846</v>
      </c>
      <c r="CV165" s="11">
        <v>0.59875642508268356</v>
      </c>
      <c r="CW165">
        <v>0.06</v>
      </c>
      <c r="CX165">
        <v>24.441441893220418</v>
      </c>
      <c r="CY165">
        <v>232406935.10703319</v>
      </c>
      <c r="CZ165">
        <v>0.86629811525344846</v>
      </c>
      <c r="DA165">
        <v>4.4072597047894932</v>
      </c>
      <c r="DB165">
        <v>1288864505.4946482</v>
      </c>
      <c r="DC165">
        <v>0.82298320949077597</v>
      </c>
      <c r="DD165">
        <v>0.85235282093599896</v>
      </c>
      <c r="DE165">
        <v>6664330146.4787712</v>
      </c>
      <c r="DF165">
        <v>0.7623423414230347</v>
      </c>
      <c r="DG165">
        <v>0.15031206219638166</v>
      </c>
      <c r="DH165">
        <v>37790450859.350517</v>
      </c>
      <c r="DI165">
        <v>0.69303849220275882</v>
      </c>
      <c r="DJ165">
        <v>3.5856372920418395E-3</v>
      </c>
      <c r="DK165">
        <v>1584198327200.3848</v>
      </c>
      <c r="DL165">
        <v>0.60640868067741394</v>
      </c>
      <c r="DM165">
        <v>132000000</v>
      </c>
      <c r="DN165">
        <v>0.86629811525344846</v>
      </c>
      <c r="DO165">
        <v>5680360600</v>
      </c>
      <c r="DP165">
        <v>1834513900</v>
      </c>
      <c r="DQ165">
        <v>5031</v>
      </c>
      <c r="DR165">
        <v>-0.74765404745683828</v>
      </c>
      <c r="DS165">
        <v>1.6478488942630429</v>
      </c>
      <c r="DT165" s="12">
        <v>0.49333333333333323</v>
      </c>
      <c r="DU165">
        <v>0.82</v>
      </c>
      <c r="DV165">
        <v>1.3133333333333332</v>
      </c>
      <c r="DW165">
        <v>-9.9042386185243334</v>
      </c>
      <c r="DX165">
        <v>0.42040043212403289</v>
      </c>
      <c r="DY165">
        <v>-9.1721674237102722</v>
      </c>
      <c r="DZ165">
        <v>1789</v>
      </c>
      <c r="EA165">
        <v>-9.1118919792841115</v>
      </c>
      <c r="EB165">
        <v>9</v>
      </c>
      <c r="EC165">
        <v>6.8664303448283004E-2</v>
      </c>
      <c r="ED165">
        <v>0.36063102736842956</v>
      </c>
      <c r="EE165" s="13">
        <v>11.0221</v>
      </c>
      <c r="EF165">
        <v>11.02481</v>
      </c>
      <c r="EG165">
        <v>23.190400432124033</v>
      </c>
      <c r="EH165" t="s">
        <v>5580</v>
      </c>
      <c r="EI165">
        <v>0</v>
      </c>
      <c r="EJ165">
        <v>0</v>
      </c>
      <c r="EK165" s="15">
        <v>45470</v>
      </c>
      <c r="EL165" s="16">
        <v>-3.28</v>
      </c>
      <c r="EM165" s="16">
        <v>-5.63</v>
      </c>
      <c r="EN165">
        <v>-5.53</v>
      </c>
      <c r="EO165">
        <v>3.16</v>
      </c>
      <c r="EP165">
        <v>-4.6900000000000004</v>
      </c>
    </row>
    <row r="166" spans="3:146" ht="108" x14ac:dyDescent="0.25">
      <c r="C166" s="9" t="str">
        <f>""&amp;CHAR(10)&amp;Basic_Fundamental_Information_Constructure(F166)&amp;CHAR(10)&amp;Basic_Fundamental_Information_Concatenate("")</f>
        <v xml:space="preserve">
市值28.079666亿, 利润9625.60万; PE18.2; 平均PE24.63; 平均PEG2.41, PB1.85; ROIC10.2767%; ROE10.2567%; 股利率2.3401%; 毛利39.4233%; 净利21.5333%; 上一年度营收增1.84%, 利润增-32.21%; 当季营收增72.49%, 利润增2271.94%; 过往5年营收增10.23%, 利润增26.94%
Income profile:
</v>
      </c>
      <c r="D166" t="s">
        <v>1222</v>
      </c>
      <c r="E166" t="s">
        <v>1223</v>
      </c>
      <c r="F166">
        <v>19.23</v>
      </c>
      <c r="G166">
        <v>0.47</v>
      </c>
      <c r="H166" t="s">
        <v>5581</v>
      </c>
      <c r="I166">
        <v>2807966600</v>
      </c>
      <c r="J166">
        <v>18.2</v>
      </c>
      <c r="K166">
        <v>1.85</v>
      </c>
      <c r="L166" t="s">
        <v>101</v>
      </c>
      <c r="M166" t="s">
        <v>2236</v>
      </c>
      <c r="N166" t="s">
        <v>2691</v>
      </c>
      <c r="O166" t="s">
        <v>674</v>
      </c>
      <c r="P166">
        <v>9.17</v>
      </c>
      <c r="Q166" t="s">
        <v>463</v>
      </c>
      <c r="R166">
        <v>28372078</v>
      </c>
      <c r="S166" s="6">
        <v>0.30170000000000002</v>
      </c>
      <c r="T166" t="s">
        <v>5582</v>
      </c>
      <c r="U166">
        <v>143763160</v>
      </c>
      <c r="V166">
        <v>146020100</v>
      </c>
      <c r="W166">
        <v>1.84</v>
      </c>
      <c r="X166">
        <v>0.04</v>
      </c>
      <c r="Y166">
        <v>24.06</v>
      </c>
      <c r="Z166" t="s">
        <v>5583</v>
      </c>
      <c r="AA166" t="s">
        <v>5584</v>
      </c>
      <c r="AB166" t="s">
        <v>5585</v>
      </c>
      <c r="AC166" t="s">
        <v>5586</v>
      </c>
      <c r="AD166" t="s">
        <v>5</v>
      </c>
      <c r="AE166">
        <v>4285196</v>
      </c>
      <c r="AF166" t="s">
        <v>5587</v>
      </c>
      <c r="AG166" t="s">
        <v>5</v>
      </c>
      <c r="AH166" t="s">
        <v>5588</v>
      </c>
      <c r="AI166" t="s">
        <v>343</v>
      </c>
      <c r="AJ166" t="s">
        <v>5589</v>
      </c>
      <c r="AK166" t="s">
        <v>5590</v>
      </c>
      <c r="AL166" t="s">
        <v>5591</v>
      </c>
      <c r="AM166" t="s">
        <v>5</v>
      </c>
      <c r="AN166" t="s">
        <v>5592</v>
      </c>
      <c r="AO166" t="s">
        <v>5593</v>
      </c>
      <c r="AP166" t="s">
        <v>5594</v>
      </c>
      <c r="AQ166" t="s">
        <v>347</v>
      </c>
      <c r="AR166" t="s">
        <v>5</v>
      </c>
      <c r="AS166" t="s">
        <v>231</v>
      </c>
      <c r="AT166" t="s">
        <v>5</v>
      </c>
      <c r="AU166" t="s">
        <v>5595</v>
      </c>
      <c r="AV166" t="s">
        <v>2200</v>
      </c>
      <c r="AW166" t="s">
        <v>5596</v>
      </c>
      <c r="AX166" t="s">
        <v>183</v>
      </c>
      <c r="AY166" t="s">
        <v>264</v>
      </c>
      <c r="AZ166" t="s">
        <v>1070</v>
      </c>
      <c r="BA166" t="s">
        <v>1168</v>
      </c>
      <c r="BB166" t="s">
        <v>398</v>
      </c>
      <c r="BC166" t="s">
        <v>220</v>
      </c>
      <c r="BD166" t="s">
        <v>261</v>
      </c>
      <c r="BE166" t="s">
        <v>297</v>
      </c>
      <c r="BF166" t="s">
        <v>261</v>
      </c>
      <c r="BG166" t="s">
        <v>1224</v>
      </c>
      <c r="BH166" t="s">
        <v>2240</v>
      </c>
      <c r="BI166" t="s">
        <v>5597</v>
      </c>
      <c r="BJ166" t="s">
        <v>183</v>
      </c>
      <c r="BK166" t="s">
        <v>185</v>
      </c>
      <c r="BL166" t="s">
        <v>5598</v>
      </c>
      <c r="BM166" t="s">
        <v>220</v>
      </c>
      <c r="BN166">
        <v>6.75</v>
      </c>
      <c r="BO166">
        <v>10.68</v>
      </c>
      <c r="BP166">
        <v>13.4</v>
      </c>
      <c r="BQ166">
        <v>7.99</v>
      </c>
      <c r="BR166">
        <v>11.09</v>
      </c>
      <c r="BS166">
        <v>11.69</v>
      </c>
      <c r="BT166" t="s">
        <v>5599</v>
      </c>
      <c r="BU166" t="s">
        <v>1536</v>
      </c>
      <c r="BV166">
        <v>36.94</v>
      </c>
      <c r="BW166">
        <v>39.770000000000003</v>
      </c>
      <c r="BX166">
        <v>41.56</v>
      </c>
      <c r="BY166">
        <v>19.16</v>
      </c>
      <c r="BZ166">
        <v>21.76</v>
      </c>
      <c r="CA166">
        <v>23.68</v>
      </c>
      <c r="CB166">
        <v>2.56</v>
      </c>
      <c r="CC166">
        <v>8.3800000000000008</v>
      </c>
      <c r="CD166" t="s">
        <v>5600</v>
      </c>
      <c r="CE166" t="s">
        <v>5601</v>
      </c>
      <c r="CF166" s="10">
        <v>0.72494697249879037</v>
      </c>
      <c r="CG166" s="11">
        <v>22.719419735129755</v>
      </c>
      <c r="CH166" s="10">
        <v>1.8433179706335068E-2</v>
      </c>
      <c r="CI166" s="10">
        <v>0.26407766342163086</v>
      </c>
      <c r="CJ166" s="10">
        <v>-8.03571417927742E-2</v>
      </c>
      <c r="CK166" s="10">
        <v>0.16424116492271423</v>
      </c>
      <c r="CL166" s="10">
        <v>0.14523810148239136</v>
      </c>
      <c r="CM166" s="11">
        <v>-0.32214084267616272</v>
      </c>
      <c r="CN166" s="11">
        <v>0.16393442451953888</v>
      </c>
      <c r="CO166" s="11">
        <v>-0.19736842811107635</v>
      </c>
      <c r="CP166" s="11">
        <v>0.24590164422988892</v>
      </c>
      <c r="CQ166" s="11">
        <v>1.4564681053161621</v>
      </c>
      <c r="CR166">
        <v>24.634138338825196</v>
      </c>
      <c r="CS166">
        <v>2.4074033430278652</v>
      </c>
      <c r="CT166">
        <v>2.3400936037441498</v>
      </c>
      <c r="CU166" s="10">
        <v>0.10232659354805947</v>
      </c>
      <c r="CV166" s="11">
        <v>0.26935898065567015</v>
      </c>
      <c r="CW166">
        <v>0.06</v>
      </c>
      <c r="CX166">
        <v>25.873902284276447</v>
      </c>
      <c r="CY166">
        <v>100099574.14015284</v>
      </c>
      <c r="CZ166">
        <v>0.10232659354805947</v>
      </c>
      <c r="DA166">
        <v>8.3676748759561317</v>
      </c>
      <c r="DB166">
        <v>309520462.78017676</v>
      </c>
      <c r="DC166">
        <v>9.7210263870656483E-2</v>
      </c>
      <c r="DD166">
        <v>4.0619264314053316</v>
      </c>
      <c r="DE166">
        <v>637620263.12818575</v>
      </c>
      <c r="DF166">
        <v>9.004740232229233E-2</v>
      </c>
      <c r="DG166">
        <v>2.4008147193390119</v>
      </c>
      <c r="DH166">
        <v>1078786538.2269337</v>
      </c>
      <c r="DI166">
        <v>8.1861274838447573E-2</v>
      </c>
      <c r="DJ166">
        <v>1.1973568706909237</v>
      </c>
      <c r="DK166">
        <v>2163069894.5298438</v>
      </c>
      <c r="DL166">
        <v>7.1628615483641619E-2</v>
      </c>
      <c r="DM166">
        <v>96256000</v>
      </c>
      <c r="DN166">
        <v>0.10232659354805947</v>
      </c>
      <c r="DO166">
        <v>2589966600</v>
      </c>
      <c r="DP166">
        <v>1532721700</v>
      </c>
      <c r="DQ166">
        <v>5033</v>
      </c>
      <c r="DR166">
        <v>0.62262037895073086</v>
      </c>
      <c r="DS166">
        <v>22.450060754474084</v>
      </c>
      <c r="DT166" s="12">
        <v>-0.17333333333333334</v>
      </c>
      <c r="DU166">
        <v>0.38666666666666666</v>
      </c>
      <c r="DV166">
        <v>0.21333333333333332</v>
      </c>
      <c r="DW166">
        <v>8.3054892601431973</v>
      </c>
      <c r="DX166">
        <v>0.28771677455446254</v>
      </c>
      <c r="DY166">
        <v>8.0420709955679506</v>
      </c>
      <c r="DZ166">
        <v>2878</v>
      </c>
      <c r="EA166">
        <v>8.0183762156766463</v>
      </c>
      <c r="EB166">
        <v>8</v>
      </c>
      <c r="EC166">
        <v>2.360291494116221E-2</v>
      </c>
      <c r="ED166">
        <v>0.17138736379443653</v>
      </c>
      <c r="EE166" s="13">
        <v>-3.0824099999999999</v>
      </c>
      <c r="EF166">
        <v>-3.1100099999999999</v>
      </c>
      <c r="EG166">
        <v>15.137716774554463</v>
      </c>
      <c r="EH166" t="s">
        <v>2118</v>
      </c>
      <c r="EI166">
        <v>0</v>
      </c>
      <c r="EJ166">
        <v>0</v>
      </c>
      <c r="EK166" s="15">
        <v>45470</v>
      </c>
      <c r="EL166" s="16">
        <v>-1.64</v>
      </c>
      <c r="EM166" s="16">
        <v>-5.74</v>
      </c>
      <c r="EN166">
        <v>-3.04</v>
      </c>
      <c r="EO166">
        <v>1.78</v>
      </c>
      <c r="EP166">
        <v>-2.76</v>
      </c>
    </row>
    <row r="167" spans="3:146" ht="108" x14ac:dyDescent="0.25">
      <c r="C167" s="9" t="str">
        <f>""&amp;CHAR(10)&amp;Basic_Fundamental_Information_Constructure(F167)&amp;CHAR(10)&amp;Basic_Fundamental_Information_Concatenate("")</f>
        <v xml:space="preserve">
市值70.900163亿, 利润-1.21亿; PE53.77; 平均PE88.94; 平均PEG11.33, PB4.05; ROIC21.1867%; ROE21.7467%; 股利率1.0522%; 毛利42.07%; 净利19.24%; 上一年度营收增-65.71%, 利润增-156.81%; 当季营收增199.03%, 利润增362.07%; 过往5年营收增7.85%, 利润增-1.09%
Income profile:
</v>
      </c>
      <c r="D167" t="s">
        <v>1246</v>
      </c>
      <c r="E167" t="s">
        <v>1247</v>
      </c>
      <c r="F167">
        <v>23.76</v>
      </c>
      <c r="G167">
        <v>-2.1</v>
      </c>
      <c r="H167" t="s">
        <v>5602</v>
      </c>
      <c r="I167">
        <v>7090016300</v>
      </c>
      <c r="J167">
        <v>53.77</v>
      </c>
      <c r="K167">
        <v>4.05</v>
      </c>
      <c r="L167" t="s">
        <v>101</v>
      </c>
      <c r="M167" t="s">
        <v>1832</v>
      </c>
      <c r="N167" t="s">
        <v>2110</v>
      </c>
      <c r="O167" t="s">
        <v>819</v>
      </c>
      <c r="P167">
        <v>-15.73</v>
      </c>
      <c r="Q167" t="s">
        <v>192</v>
      </c>
      <c r="R167">
        <v>30981133</v>
      </c>
      <c r="S167" s="6">
        <v>-0.38719999999999999</v>
      </c>
      <c r="T167" t="s">
        <v>488</v>
      </c>
      <c r="U167">
        <v>298401360</v>
      </c>
      <c r="V167">
        <v>298401360</v>
      </c>
      <c r="W167">
        <v>1.35</v>
      </c>
      <c r="X167">
        <v>0.08</v>
      </c>
      <c r="Y167">
        <v>15.69</v>
      </c>
      <c r="Z167" t="s">
        <v>248</v>
      </c>
      <c r="AA167" t="s">
        <v>484</v>
      </c>
      <c r="AB167" t="s">
        <v>5603</v>
      </c>
      <c r="AC167" t="s">
        <v>5604</v>
      </c>
      <c r="AD167" t="s">
        <v>5</v>
      </c>
      <c r="AE167">
        <v>-1174171</v>
      </c>
      <c r="AF167" t="s">
        <v>5605</v>
      </c>
      <c r="AG167">
        <v>3590</v>
      </c>
      <c r="AH167" t="s">
        <v>5606</v>
      </c>
      <c r="AI167" t="s">
        <v>211</v>
      </c>
      <c r="AJ167" t="s">
        <v>5607</v>
      </c>
      <c r="AK167" t="s">
        <v>5608</v>
      </c>
      <c r="AL167" t="s">
        <v>5609</v>
      </c>
      <c r="AM167" t="s">
        <v>5</v>
      </c>
      <c r="AN167" t="s">
        <v>5610</v>
      </c>
      <c r="AO167" t="s">
        <v>5</v>
      </c>
      <c r="AP167" t="s">
        <v>5611</v>
      </c>
      <c r="AQ167" t="s">
        <v>354</v>
      </c>
      <c r="AR167" t="s">
        <v>5</v>
      </c>
      <c r="AS167" t="s">
        <v>852</v>
      </c>
      <c r="AT167" t="s">
        <v>5</v>
      </c>
      <c r="AU167" t="s">
        <v>5612</v>
      </c>
      <c r="AV167" t="s">
        <v>5613</v>
      </c>
      <c r="AW167" t="s">
        <v>5614</v>
      </c>
      <c r="AX167" t="s">
        <v>2097</v>
      </c>
      <c r="AY167" t="s">
        <v>860</v>
      </c>
      <c r="AZ167" t="s">
        <v>368</v>
      </c>
      <c r="BA167" t="s">
        <v>466</v>
      </c>
      <c r="BB167" t="s">
        <v>750</v>
      </c>
      <c r="BC167" t="s">
        <v>499</v>
      </c>
      <c r="BD167" t="s">
        <v>223</v>
      </c>
      <c r="BE167" t="s">
        <v>1248</v>
      </c>
      <c r="BF167" t="s">
        <v>1249</v>
      </c>
      <c r="BG167" t="s">
        <v>1250</v>
      </c>
      <c r="BH167" t="s">
        <v>5615</v>
      </c>
      <c r="BI167" t="s">
        <v>5616</v>
      </c>
      <c r="BJ167" t="s">
        <v>2097</v>
      </c>
      <c r="BK167" t="s">
        <v>305</v>
      </c>
      <c r="BL167" t="s">
        <v>5617</v>
      </c>
      <c r="BM167" t="s">
        <v>499</v>
      </c>
      <c r="BN167">
        <v>10.6</v>
      </c>
      <c r="BO167">
        <v>24.8</v>
      </c>
      <c r="BP167">
        <v>28.16</v>
      </c>
      <c r="BQ167">
        <v>12.21</v>
      </c>
      <c r="BR167">
        <v>25.55</v>
      </c>
      <c r="BS167">
        <v>27.48</v>
      </c>
      <c r="BT167" t="s">
        <v>5618</v>
      </c>
      <c r="BU167" t="s">
        <v>1537</v>
      </c>
      <c r="BV167">
        <v>41.72</v>
      </c>
      <c r="BW167">
        <v>41.86</v>
      </c>
      <c r="BX167">
        <v>42.63</v>
      </c>
      <c r="BY167">
        <v>16.649999999999999</v>
      </c>
      <c r="BZ167">
        <v>21.08</v>
      </c>
      <c r="CA167">
        <v>19.989999999999998</v>
      </c>
      <c r="CB167">
        <v>-9.35</v>
      </c>
      <c r="CC167">
        <v>-30.78</v>
      </c>
      <c r="CD167" t="s">
        <v>5619</v>
      </c>
      <c r="CE167" t="s">
        <v>5620</v>
      </c>
      <c r="CF167" s="10">
        <v>1.9903171405889255</v>
      </c>
      <c r="CG167" s="11">
        <v>3.620744660153111</v>
      </c>
      <c r="CH167" s="10">
        <v>-0.65711462497711182</v>
      </c>
      <c r="CI167" s="10">
        <v>0.25714287161827087</v>
      </c>
      <c r="CJ167" s="10">
        <v>0.45306858420372009</v>
      </c>
      <c r="CK167" s="10">
        <v>0.25339367985725403</v>
      </c>
      <c r="CL167" s="10">
        <v>8.5995085537433624E-2</v>
      </c>
      <c r="CM167" s="11">
        <v>-1.5680750608444214</v>
      </c>
      <c r="CN167" s="11">
        <v>0.32298135757446289</v>
      </c>
      <c r="CO167" s="11">
        <v>0.8334624171257019</v>
      </c>
      <c r="CP167" s="11">
        <v>0.18277107179164886</v>
      </c>
      <c r="CQ167" s="11">
        <v>0.17433448135852814</v>
      </c>
      <c r="CR167">
        <v>88.944737720260036</v>
      </c>
      <c r="CS167">
        <v>11.330955654480835</v>
      </c>
      <c r="CT167">
        <v>1.0521885521885521</v>
      </c>
      <c r="CU167" s="10">
        <v>7.8497119247913361E-2</v>
      </c>
      <c r="CV167" s="11">
        <v>-1.0905146598815918E-2</v>
      </c>
      <c r="CW167">
        <v>0.06</v>
      </c>
      <c r="CX167" t="e">
        <v>#VALUE!</v>
      </c>
      <c r="CY167" t="s">
        <v>1549</v>
      </c>
      <c r="CZ167">
        <v>7.8497119247913361E-2</v>
      </c>
      <c r="DA167" t="e">
        <v>#VALUE!</v>
      </c>
      <c r="DB167" t="s">
        <v>1549</v>
      </c>
      <c r="DC167">
        <v>7.4572263285517693E-2</v>
      </c>
      <c r="DD167" t="e">
        <v>#VALUE!</v>
      </c>
      <c r="DE167" t="s">
        <v>1549</v>
      </c>
      <c r="DF167">
        <v>6.907746493816376E-2</v>
      </c>
      <c r="DG167" t="e">
        <v>#VALUE!</v>
      </c>
      <c r="DH167" t="s">
        <v>1549</v>
      </c>
      <c r="DI167">
        <v>6.2797695398330688E-2</v>
      </c>
      <c r="DJ167" t="e">
        <v>#VALUE!</v>
      </c>
      <c r="DK167" t="s">
        <v>1549</v>
      </c>
      <c r="DL167">
        <v>5.4947983473539345E-2</v>
      </c>
      <c r="DM167">
        <v>-121000000</v>
      </c>
      <c r="DN167">
        <v>7.8497119247913361E-2</v>
      </c>
      <c r="DO167">
        <v>6084016300</v>
      </c>
      <c r="DP167">
        <v>888913100</v>
      </c>
      <c r="DQ167">
        <v>5078</v>
      </c>
      <c r="DR167">
        <v>1.9118200213410121</v>
      </c>
      <c r="DS167">
        <v>3.6316498067519269</v>
      </c>
      <c r="DT167" s="12">
        <v>-0.37333333333333335</v>
      </c>
      <c r="DU167">
        <v>-0.1166666666666667</v>
      </c>
      <c r="DV167">
        <v>-0.49000000000000005</v>
      </c>
      <c r="DW167">
        <v>-9.3037686809616638</v>
      </c>
      <c r="DX167">
        <v>0.39839678323726391</v>
      </c>
      <c r="DY167">
        <v>-9.0390029214837053</v>
      </c>
      <c r="DZ167">
        <v>4160</v>
      </c>
      <c r="EA167">
        <v>-9.0072510323697692</v>
      </c>
      <c r="EB167">
        <v>9</v>
      </c>
      <c r="EC167">
        <v>3.2765601336401419E-2</v>
      </c>
      <c r="ED167">
        <v>0.25519019082218658</v>
      </c>
      <c r="EE167" s="13">
        <v>-5.0209999999999999</v>
      </c>
      <c r="EF167">
        <v>-5.0503099999999996</v>
      </c>
      <c r="EG167">
        <v>27.128396783237264</v>
      </c>
      <c r="EH167" t="s">
        <v>2193</v>
      </c>
      <c r="EI167">
        <v>0</v>
      </c>
      <c r="EJ167">
        <v>0</v>
      </c>
      <c r="EK167" s="15">
        <v>45470</v>
      </c>
      <c r="EL167" s="16">
        <v>-7.32</v>
      </c>
      <c r="EM167" s="16">
        <v>-3.38</v>
      </c>
      <c r="EN167">
        <v>3.11</v>
      </c>
      <c r="EO167">
        <v>8.49</v>
      </c>
      <c r="EP167">
        <v>-7.13</v>
      </c>
    </row>
    <row r="168" spans="3:146" ht="96" x14ac:dyDescent="0.25">
      <c r="C168" s="9" t="str">
        <f>""&amp;CHAR(10)&amp;Basic_Fundamental_Information_Constructure(F168)&amp;CHAR(10)&amp;Basic_Fundamental_Information_Concatenate("")</f>
        <v xml:space="preserve">
市值117.137158亿, 利润-5086.54万; PE33.69; 平均PE84.06; 平均PEG3.65, PB4.05; ROIC13.9133%; ROE15.37%; 股利率.5141%; 毛利45.4467%; 净利26.2933%; 上一年度营收增42.46%, 利润增-120.93%; 当季营收增61.4%, 利润增10930.82%; 过往5年营收增23.03%, 利润增-4.24%
Income profile:
</v>
      </c>
      <c r="D168" t="s">
        <v>1251</v>
      </c>
      <c r="E168" t="s">
        <v>1252</v>
      </c>
      <c r="F168">
        <v>97.26</v>
      </c>
      <c r="G168">
        <v>4.03</v>
      </c>
      <c r="H168" t="s">
        <v>5621</v>
      </c>
      <c r="I168">
        <v>11713715800</v>
      </c>
      <c r="J168">
        <v>33.69</v>
      </c>
      <c r="K168">
        <v>4.05</v>
      </c>
      <c r="L168" t="s">
        <v>101</v>
      </c>
      <c r="M168" t="s">
        <v>2184</v>
      </c>
      <c r="N168" t="s">
        <v>5622</v>
      </c>
      <c r="O168" t="s">
        <v>1369</v>
      </c>
      <c r="P168">
        <v>30.23</v>
      </c>
      <c r="Q168" t="s">
        <v>1606</v>
      </c>
      <c r="R168">
        <v>197500000</v>
      </c>
      <c r="S168" s="6">
        <v>0.34949999999999998</v>
      </c>
      <c r="T168" t="s">
        <v>5623</v>
      </c>
      <c r="U168">
        <v>70916891</v>
      </c>
      <c r="V168">
        <v>120437136</v>
      </c>
      <c r="W168">
        <v>1.21</v>
      </c>
      <c r="X168">
        <v>0.1</v>
      </c>
      <c r="Y168">
        <v>24.38</v>
      </c>
      <c r="Z168" t="s">
        <v>593</v>
      </c>
      <c r="AA168" t="s">
        <v>388</v>
      </c>
      <c r="AB168" t="s">
        <v>5624</v>
      </c>
      <c r="AC168" t="s">
        <v>5625</v>
      </c>
      <c r="AD168" t="s">
        <v>5</v>
      </c>
      <c r="AE168">
        <v>-7961384</v>
      </c>
      <c r="AF168" t="s">
        <v>5626</v>
      </c>
      <c r="AG168">
        <v>1004.32</v>
      </c>
      <c r="AH168" t="s">
        <v>5627</v>
      </c>
      <c r="AI168" t="s">
        <v>5628</v>
      </c>
      <c r="AJ168" t="s">
        <v>5629</v>
      </c>
      <c r="AK168" t="s">
        <v>5630</v>
      </c>
      <c r="AL168" t="s">
        <v>5631</v>
      </c>
      <c r="AM168" t="s">
        <v>5</v>
      </c>
      <c r="AN168" t="s">
        <v>167</v>
      </c>
      <c r="AO168" t="s">
        <v>5632</v>
      </c>
      <c r="AP168" t="s">
        <v>208</v>
      </c>
      <c r="AQ168" t="s">
        <v>5633</v>
      </c>
      <c r="AR168" t="s">
        <v>5</v>
      </c>
      <c r="AS168" t="s">
        <v>997</v>
      </c>
      <c r="AT168" t="s">
        <v>5634</v>
      </c>
      <c r="AU168" t="s">
        <v>5635</v>
      </c>
      <c r="AV168" t="s">
        <v>5636</v>
      </c>
      <c r="AW168" t="s">
        <v>5637</v>
      </c>
      <c r="AX168" t="s">
        <v>661</v>
      </c>
      <c r="AY168" t="s">
        <v>1259</v>
      </c>
      <c r="AZ168" t="s">
        <v>1198</v>
      </c>
      <c r="BA168" t="s">
        <v>1253</v>
      </c>
      <c r="BB168" t="s">
        <v>1136</v>
      </c>
      <c r="BC168" t="s">
        <v>918</v>
      </c>
      <c r="BD168" t="s">
        <v>839</v>
      </c>
      <c r="BE168" t="s">
        <v>371</v>
      </c>
      <c r="BF168" t="s">
        <v>237</v>
      </c>
      <c r="BG168" t="s">
        <v>353</v>
      </c>
      <c r="BH168" t="s">
        <v>740</v>
      </c>
      <c r="BI168" t="s">
        <v>177</v>
      </c>
      <c r="BJ168" t="s">
        <v>661</v>
      </c>
      <c r="BK168" t="s">
        <v>483</v>
      </c>
      <c r="BL168" t="s">
        <v>5638</v>
      </c>
      <c r="BM168" t="s">
        <v>918</v>
      </c>
      <c r="BN168">
        <v>8.92</v>
      </c>
      <c r="BO168">
        <v>14.28</v>
      </c>
      <c r="BP168">
        <v>18.54</v>
      </c>
      <c r="BQ168">
        <v>9.42</v>
      </c>
      <c r="BR168">
        <v>15.48</v>
      </c>
      <c r="BS168">
        <v>21.21</v>
      </c>
      <c r="BT168" t="s">
        <v>5639</v>
      </c>
      <c r="BU168" t="s">
        <v>1589</v>
      </c>
      <c r="BV168">
        <v>46.54</v>
      </c>
      <c r="BW168">
        <v>47.2</v>
      </c>
      <c r="BX168">
        <v>42.6</v>
      </c>
      <c r="BY168">
        <v>26.7</v>
      </c>
      <c r="BZ168">
        <v>28.01</v>
      </c>
      <c r="CA168">
        <v>24.17</v>
      </c>
      <c r="CB168">
        <v>-9.7799999999999994</v>
      </c>
      <c r="CC168">
        <v>-9.84</v>
      </c>
      <c r="CD168" t="s">
        <v>5640</v>
      </c>
      <c r="CE168" t="s">
        <v>5641</v>
      </c>
      <c r="CF168" s="10">
        <v>0.61403508771929849</v>
      </c>
      <c r="CG168" s="11">
        <v>109.30819851933096</v>
      </c>
      <c r="CH168" s="10">
        <v>0.42458108067512512</v>
      </c>
      <c r="CI168" s="10">
        <v>-5.0901379436254501E-2</v>
      </c>
      <c r="CJ168" s="10">
        <v>0.31703910231590271</v>
      </c>
      <c r="CK168" s="10">
        <v>0.21150591969490051</v>
      </c>
      <c r="CL168" s="10">
        <v>0.24947145581245422</v>
      </c>
      <c r="CM168" s="11">
        <v>-1.2093226909637451</v>
      </c>
      <c r="CN168" s="11">
        <v>7.0484578609466553E-2</v>
      </c>
      <c r="CO168" s="11">
        <v>0.32748538255691528</v>
      </c>
      <c r="CP168" s="11">
        <v>0.1875</v>
      </c>
      <c r="CQ168" s="11">
        <v>0.4117647111415863</v>
      </c>
      <c r="CR168">
        <v>84.056197172082108</v>
      </c>
      <c r="CS168">
        <v>3.6492348720186087</v>
      </c>
      <c r="CT168">
        <v>0.51408595517170463</v>
      </c>
      <c r="CU168" s="10">
        <v>0.2303392358124256</v>
      </c>
      <c r="CV168" s="11">
        <v>-4.2417603731155398E-2</v>
      </c>
      <c r="CW168">
        <v>0.06</v>
      </c>
      <c r="CX168" t="e">
        <v>#VALUE!</v>
      </c>
      <c r="CY168" t="s">
        <v>1549</v>
      </c>
      <c r="CZ168">
        <v>0.2303392358124256</v>
      </c>
      <c r="DA168" t="e">
        <v>#VALUE!</v>
      </c>
      <c r="DB168" t="s">
        <v>1549</v>
      </c>
      <c r="DC168">
        <v>0.21882227402180432</v>
      </c>
      <c r="DD168" t="e">
        <v>#VALUE!</v>
      </c>
      <c r="DE168" t="s">
        <v>1549</v>
      </c>
      <c r="DF168">
        <v>0.20269852751493453</v>
      </c>
      <c r="DG168" t="e">
        <v>#VALUE!</v>
      </c>
      <c r="DH168" t="s">
        <v>1549</v>
      </c>
      <c r="DI168">
        <v>0.1842713886499405</v>
      </c>
      <c r="DJ168" t="e">
        <v>#VALUE!</v>
      </c>
      <c r="DK168" t="s">
        <v>1549</v>
      </c>
      <c r="DL168">
        <v>0.1612374650686979</v>
      </c>
      <c r="DM168">
        <v>-50865400</v>
      </c>
      <c r="DN168">
        <v>0.2303392358124256</v>
      </c>
      <c r="DO168">
        <v>9398715800</v>
      </c>
      <c r="DP168">
        <v>1712428300</v>
      </c>
      <c r="DQ168">
        <v>5105</v>
      </c>
      <c r="DR168">
        <v>0.38369585190687289</v>
      </c>
      <c r="DS168">
        <v>109.35061612306211</v>
      </c>
      <c r="DT168" s="12">
        <v>7.6666666666666591E-2</v>
      </c>
      <c r="DU168">
        <v>-0.40000000000000008</v>
      </c>
      <c r="DV168">
        <v>-0.32333333333333347</v>
      </c>
      <c r="DW168">
        <v>-9.9939024390243905</v>
      </c>
      <c r="DX168">
        <v>0.40504452728363988</v>
      </c>
      <c r="DY168">
        <v>-9.2037942557758115</v>
      </c>
      <c r="DZ168">
        <v>3472</v>
      </c>
      <c r="EA168">
        <v>-9.0653258299336166</v>
      </c>
      <c r="EB168">
        <v>9</v>
      </c>
      <c r="EC168">
        <v>3.8865919229431029E-2</v>
      </c>
      <c r="ED168">
        <v>0.18954867873975348</v>
      </c>
      <c r="EE168" s="13">
        <v>-3.0687099999999998</v>
      </c>
      <c r="EF168">
        <v>-3.0832099999999998</v>
      </c>
      <c r="EG168">
        <v>20.20504452728364</v>
      </c>
      <c r="EH168" t="s">
        <v>2118</v>
      </c>
      <c r="EI168">
        <v>0</v>
      </c>
      <c r="EJ168">
        <v>0</v>
      </c>
      <c r="EK168" s="15">
        <v>45470</v>
      </c>
      <c r="EL168" s="16">
        <v>0.95</v>
      </c>
      <c r="EM168" s="16">
        <v>-1.24</v>
      </c>
      <c r="EN168">
        <v>-0.03</v>
      </c>
      <c r="EO168">
        <v>0.95</v>
      </c>
      <c r="EP168">
        <v>-1.45</v>
      </c>
    </row>
    <row r="169" spans="3:146" x14ac:dyDescent="0.25">
      <c r="S169" s="6"/>
    </row>
    <row r="170" spans="3:146" x14ac:dyDescent="0.25">
      <c r="S170" s="7"/>
    </row>
    <row r="171" spans="3:146" x14ac:dyDescent="0.25">
      <c r="S171" s="6"/>
    </row>
    <row r="172" spans="3:146" x14ac:dyDescent="0.25">
      <c r="S172" s="6"/>
    </row>
    <row r="173" spans="3:146" x14ac:dyDescent="0.25">
      <c r="S173" s="6"/>
    </row>
    <row r="174" spans="3:146" x14ac:dyDescent="0.25">
      <c r="S174" s="6"/>
    </row>
    <row r="175" spans="3:146" x14ac:dyDescent="0.25">
      <c r="S175" s="6"/>
    </row>
    <row r="176" spans="3:146" x14ac:dyDescent="0.25">
      <c r="S176" s="6"/>
    </row>
  </sheetData>
  <autoFilter ref="BU1:BU176"/>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asic_Fundamental_Tabel_Update_Buttom &quot;专用设备&quot;,&quot;&quot;'" altText="更新基本面按钮_x000a_">
                <anchor moveWithCells="1" sizeWithCells="1">
                  <from>
                    <xdr:col>147</xdr:col>
                    <xdr:colOff>406400</xdr:colOff>
                    <xdr:row>0</xdr:row>
                    <xdr:rowOff>120650</xdr:rowOff>
                  </from>
                  <to>
                    <xdr:col>147</xdr:col>
                    <xdr:colOff>1524000</xdr:colOff>
                    <xdr:row>0</xdr:row>
                    <xdr:rowOff>431800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专用设备</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2024-07-10T14:36:05Z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