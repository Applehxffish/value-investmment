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001Xiaofeng\value-investment-backup\估值分析\SW1L机械设备\"/>
    </mc:Choice>
  </mc:AlternateContent>
  <bookViews>
    <workbookView xWindow="0" yWindow="0" windowWidth="3800" windowHeight="2950"/>
  </bookViews>
  <sheets>
    <sheet name="专用设备" sheetId="15" r:id="rId1"/>
    <sheet name="估值-增速与年化收益" sheetId="14" r:id="rId2"/>
  </sheets>
  <functionGroups builtInGroupCount="18"/>
  <definedNames>
    <definedName name="_xlnm._FilterDatabase" localSheetId="0" hidden="1">专用设备!$BU$1:$BU$34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7" i="15"/>
  <c r="C23" i="15"/>
  <c r="C16" i="15"/>
  <c r="C12" i="15"/>
  <c r="C3" i="15"/>
  <c r="C2" i="15"/>
  <c r="C26" i="15"/>
  <c r="C19" i="15"/>
  <c r="C22" i="15"/>
  <c r="C17" i="15"/>
  <c r="C9" i="15"/>
  <c r="C14" i="15"/>
  <c r="C4" i="15"/>
  <c r="C18" i="15"/>
  <c r="C13" i="15"/>
  <c r="C6" i="15"/>
  <c r="C21" i="15"/>
  <c r="C24" i="15"/>
  <c r="C20" i="15"/>
  <c r="C11" i="15"/>
  <c r="C15" i="15"/>
  <c r="C10" i="15"/>
  <c r="C25" i="15"/>
</calcChain>
</file>

<file path=xl/sharedStrings.xml><?xml version="1.0" encoding="utf-8"?>
<sst xmlns="http://schemas.openxmlformats.org/spreadsheetml/2006/main" count="1525" uniqueCount="1191">
  <si>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</si>
  <si>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</si>
  <si>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</si>
  <si>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</si>
  <si>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</si>
  <si>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--</t>
  </si>
  <si>
    <t>山推股份</t>
  </si>
  <si>
    <t>浙江鼎力</t>
  </si>
  <si>
    <t>建设机械</t>
  </si>
  <si>
    <t>艾迪精密</t>
  </si>
  <si>
    <t>中联重科</t>
  </si>
  <si>
    <t>山河智能</t>
  </si>
  <si>
    <t>徐工机械</t>
  </si>
  <si>
    <t>杭叉集团</t>
  </si>
  <si>
    <t>三一重工</t>
  </si>
  <si>
    <t>安徽合力</t>
  </si>
  <si>
    <t>柳    工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</si>
  <si>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</si>
  <si>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</si>
  <si>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</si>
  <si>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代码</t>
  </si>
  <si>
    <t>总市值</t>
  </si>
  <si>
    <t>TTM市盈率</t>
  </si>
  <si>
    <t>所属行业</t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</si>
  <si>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</si>
  <si>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</si>
  <si>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</si>
  <si>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</si>
  <si>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</si>
  <si>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</si>
  <si>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</si>
  <si>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</si>
  <si>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2.75亿</t>
  </si>
  <si>
    <t>1.88亿</t>
  </si>
  <si>
    <t>3.42亿</t>
  </si>
  <si>
    <t>0亿</t>
  </si>
  <si>
    <t>2.79亿</t>
  </si>
  <si>
    <t>3.40亿</t>
  </si>
  <si>
    <t>1.64亿</t>
  </si>
  <si>
    <t>1.67亿</t>
  </si>
  <si>
    <t>1.47亿</t>
  </si>
  <si>
    <t>2.07亿</t>
  </si>
  <si>
    <t>1.38亿</t>
  </si>
  <si>
    <t>1.03亿</t>
  </si>
  <si>
    <t>5.44亿</t>
  </si>
  <si>
    <t>4.75亿</t>
  </si>
  <si>
    <t>1.73亿</t>
  </si>
  <si>
    <t>2.02亿</t>
  </si>
  <si>
    <t>SZ000157</t>
  </si>
  <si>
    <t>433.07亿</t>
  </si>
  <si>
    <t>43.71亿</t>
  </si>
  <si>
    <t>SZ000425</t>
  </si>
  <si>
    <t>591.76亿</t>
  </si>
  <si>
    <t>36.21亿</t>
  </si>
  <si>
    <t>SZ000528</t>
  </si>
  <si>
    <t>191.77亿</t>
  </si>
  <si>
    <t>10.17亿</t>
  </si>
  <si>
    <t>3.18亿</t>
  </si>
  <si>
    <t>1.13亿</t>
  </si>
  <si>
    <t>SZ000680</t>
  </si>
  <si>
    <t>64.03亿</t>
  </si>
  <si>
    <t>5664.41万</t>
  </si>
  <si>
    <t>1.35亿</t>
  </si>
  <si>
    <t>2.06亿</t>
  </si>
  <si>
    <t>SZ002097</t>
  </si>
  <si>
    <t>74.27亿</t>
  </si>
  <si>
    <t>5.03亿</t>
  </si>
  <si>
    <t>1.10亿</t>
  </si>
  <si>
    <t>3.57亿</t>
  </si>
  <si>
    <t>2.76亿</t>
  </si>
  <si>
    <t>SH600031</t>
  </si>
  <si>
    <t>25.46亿</t>
  </si>
  <si>
    <t>SH600761</t>
  </si>
  <si>
    <t>101.30亿</t>
  </si>
  <si>
    <t>6.51亿</t>
  </si>
  <si>
    <t>1.49亿</t>
  </si>
  <si>
    <t>5.00亿</t>
  </si>
  <si>
    <t>SH600815</t>
  </si>
  <si>
    <t>18.72亿</t>
  </si>
  <si>
    <t>-11.53亿</t>
  </si>
  <si>
    <t>2000.00万</t>
  </si>
  <si>
    <t>1.15亿</t>
  </si>
  <si>
    <t>32.51亿</t>
  </si>
  <si>
    <t>5.05亿</t>
  </si>
  <si>
    <t>1.53亿</t>
  </si>
  <si>
    <t>SH603298</t>
  </si>
  <si>
    <t>88.54亿</t>
  </si>
  <si>
    <t>6.45亿</t>
  </si>
  <si>
    <t>2.85亿</t>
  </si>
  <si>
    <t>1.33亿</t>
  </si>
  <si>
    <t>17.07亿</t>
  </si>
  <si>
    <t>2.84亿</t>
  </si>
  <si>
    <t>2.42亿</t>
  </si>
  <si>
    <t>1.14亿</t>
  </si>
  <si>
    <t>1.06亿</t>
  </si>
  <si>
    <t>9.05亿</t>
  </si>
  <si>
    <t>3.56亿</t>
  </si>
  <si>
    <t>1.23亿</t>
  </si>
  <si>
    <t>5.38亿</t>
  </si>
  <si>
    <t>1.75亿</t>
  </si>
  <si>
    <t>1.55亿</t>
  </si>
  <si>
    <t>1.42亿</t>
  </si>
  <si>
    <t>1.61亿</t>
  </si>
  <si>
    <t>1.32亿</t>
  </si>
  <si>
    <t>5.06亿</t>
  </si>
  <si>
    <t>3.23亿</t>
  </si>
  <si>
    <t>2.32亿</t>
  </si>
  <si>
    <t>1.36亿</t>
  </si>
  <si>
    <t>4.55亿</t>
  </si>
  <si>
    <t>3.34亿</t>
  </si>
  <si>
    <t>1.21亿</t>
  </si>
  <si>
    <t>1.16亿</t>
  </si>
  <si>
    <t>1.29亿</t>
  </si>
  <si>
    <t>2.56亿</t>
  </si>
  <si>
    <t>37.29亿</t>
  </si>
  <si>
    <t>1.79亿</t>
  </si>
  <si>
    <t>1.66亿</t>
  </si>
  <si>
    <t>1.70亿</t>
  </si>
  <si>
    <t>3.81亿</t>
  </si>
  <si>
    <t>4.70亿</t>
  </si>
  <si>
    <t>2.77亿</t>
  </si>
  <si>
    <t>1.52亿</t>
  </si>
  <si>
    <t>1.27亿</t>
  </si>
  <si>
    <t>1.30亿</t>
  </si>
  <si>
    <t>7.90亿</t>
  </si>
  <si>
    <t>1.51亿</t>
  </si>
  <si>
    <t>1.11亿</t>
  </si>
  <si>
    <t>3.01亿</t>
  </si>
  <si>
    <t>1.45亿</t>
  </si>
  <si>
    <t>1.41亿</t>
  </si>
  <si>
    <t>2.08亿</t>
  </si>
  <si>
    <t>3.75亿</t>
  </si>
  <si>
    <t>3.07亿</t>
  </si>
  <si>
    <t>3.15亿</t>
  </si>
  <si>
    <t>2.25亿</t>
  </si>
  <si>
    <t>2.36亿</t>
  </si>
  <si>
    <t>4.89亿</t>
  </si>
  <si>
    <t>10.03亿</t>
  </si>
  <si>
    <t>2.31亿</t>
  </si>
  <si>
    <t>1.72亿</t>
  </si>
  <si>
    <t>2.45亿</t>
  </si>
  <si>
    <t>1.25亿</t>
  </si>
  <si>
    <t>1.02亿</t>
  </si>
  <si>
    <t>3.38亿</t>
  </si>
  <si>
    <t>1.43亿</t>
  </si>
  <si>
    <t>1.84亿</t>
  </si>
  <si>
    <t>1.71亿</t>
  </si>
  <si>
    <t>8.83亿</t>
  </si>
  <si>
    <t>3.69亿</t>
  </si>
  <si>
    <t>6.10亿</t>
  </si>
  <si>
    <t>5.58亿</t>
  </si>
  <si>
    <t>1.89亿</t>
  </si>
  <si>
    <t>2.00亿</t>
  </si>
  <si>
    <t>6.60亿</t>
  </si>
  <si>
    <t>2.05亿</t>
  </si>
  <si>
    <t>10.07亿</t>
  </si>
  <si>
    <t>6.37亿</t>
  </si>
  <si>
    <t>1.54亿</t>
  </si>
  <si>
    <t>4.03亿</t>
  </si>
  <si>
    <t>1.07亿</t>
  </si>
  <si>
    <t>3.85亿</t>
  </si>
  <si>
    <t>1.74亿</t>
  </si>
  <si>
    <t>6.94亿</t>
  </si>
  <si>
    <t>3.32亿</t>
  </si>
  <si>
    <t>1.01亿</t>
  </si>
  <si>
    <t>1.94亿</t>
  </si>
  <si>
    <t>4.52亿</t>
  </si>
  <si>
    <t>6.40亿</t>
  </si>
  <si>
    <t>2.44亿</t>
  </si>
  <si>
    <t>6.63亿</t>
  </si>
  <si>
    <t>4.42亿</t>
  </si>
  <si>
    <t>1.98亿</t>
  </si>
  <si>
    <t>1.69亿</t>
  </si>
  <si>
    <t>4.80亿</t>
  </si>
  <si>
    <t>2.41亿</t>
  </si>
  <si>
    <t>4.23亿</t>
  </si>
  <si>
    <t>1.20亿</t>
  </si>
  <si>
    <t>7.99亿</t>
  </si>
  <si>
    <t>7.02亿</t>
  </si>
  <si>
    <t>3.10亿</t>
  </si>
  <si>
    <t>2.70亿</t>
  </si>
  <si>
    <t>1.37亿</t>
  </si>
  <si>
    <t>2.49亿</t>
  </si>
  <si>
    <t>1.28亿</t>
  </si>
  <si>
    <t>5.71亿</t>
  </si>
  <si>
    <t>6.36亿</t>
  </si>
  <si>
    <t>4.56亿</t>
  </si>
  <si>
    <t>1.46亿</t>
  </si>
  <si>
    <t>1.60亿</t>
  </si>
  <si>
    <t>4.38亿</t>
  </si>
  <si>
    <t>7.04亿</t>
  </si>
  <si>
    <t>1.50亿</t>
  </si>
  <si>
    <t>1.99亿</t>
  </si>
  <si>
    <t>3.43亿</t>
  </si>
  <si>
    <t>7.52亿</t>
  </si>
  <si>
    <t>5.59亿</t>
  </si>
  <si>
    <t>2.38亿</t>
  </si>
  <si>
    <t>7.38亿</t>
  </si>
  <si>
    <t>1.95亿</t>
  </si>
  <si>
    <t>1.63亿</t>
  </si>
  <si>
    <t>1.85亿</t>
  </si>
  <si>
    <t>5.39亿</t>
  </si>
  <si>
    <t>1.81亿</t>
  </si>
  <si>
    <t>1.18亿</t>
  </si>
  <si>
    <t>5.83亿</t>
  </si>
  <si>
    <t>6.55亿</t>
  </si>
  <si>
    <t>SH603338</t>
  </si>
  <si>
    <t>23.89亿</t>
  </si>
  <si>
    <t>SH603638</t>
  </si>
  <si>
    <t>14.42亿</t>
  </si>
  <si>
    <t>9.86亿</t>
  </si>
  <si>
    <t>4.11亿</t>
  </si>
  <si>
    <t>8.38亿</t>
  </si>
  <si>
    <t>4.26亿</t>
  </si>
  <si>
    <t>8.10亿</t>
  </si>
  <si>
    <t>11.26亿</t>
  </si>
  <si>
    <t>3.63亿</t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</si>
  <si>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</si>
  <si>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</si>
  <si>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</si>
  <si>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</si>
  <si>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</si>
  <si>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</si>
  <si>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</si>
  <si>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</si>
  <si>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</si>
  <si>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投入资本回报率roic%[20191231]</t>
  </si>
  <si>
    <t>净资产收益率%[20191231]</t>
  </si>
  <si>
    <t>销售毛利率%[20191231]</t>
  </si>
  <si>
    <t>销售净利率%[20191231]</t>
  </si>
  <si>
    <t>651.09亿</t>
  </si>
  <si>
    <t>72.81亿</t>
  </si>
  <si>
    <t>286.97亿</t>
  </si>
  <si>
    <t>20.20亿</t>
  </si>
  <si>
    <t>739.68亿</t>
  </si>
  <si>
    <t>444.10亿</t>
  </si>
  <si>
    <t>20.46亿</t>
  </si>
  <si>
    <t>10.21亿</t>
  </si>
  <si>
    <t>4.05亿</t>
  </si>
  <si>
    <t>180.85亿</t>
  </si>
  <si>
    <t>70.98亿</t>
  </si>
  <si>
    <t>80.02亿</t>
  </si>
  <si>
    <t>8047.31万</t>
  </si>
  <si>
    <t>1.97亿</t>
  </si>
  <si>
    <t>10.04亿</t>
  </si>
  <si>
    <t>11.41亿</t>
  </si>
  <si>
    <t>93.77亿</t>
  </si>
  <si>
    <t>5.65亿</t>
  </si>
  <si>
    <t>57.56亿</t>
  </si>
  <si>
    <t>4.29亿</t>
  </si>
  <si>
    <t>5.27亿</t>
  </si>
  <si>
    <t>3.90亿</t>
  </si>
  <si>
    <t>8.67亿</t>
  </si>
  <si>
    <t>3.36亿</t>
  </si>
  <si>
    <t>5.32亿</t>
  </si>
  <si>
    <t>12.39亿</t>
  </si>
  <si>
    <t>2.89亿</t>
  </si>
  <si>
    <t>1.92亿</t>
  </si>
  <si>
    <t>7.88亿</t>
  </si>
  <si>
    <t>4.87亿</t>
  </si>
  <si>
    <t>10.40亿</t>
  </si>
  <si>
    <t>4.30亿</t>
  </si>
  <si>
    <t>17.77亿</t>
  </si>
  <si>
    <t>7.32亿</t>
  </si>
  <si>
    <t>5.99亿</t>
  </si>
  <si>
    <t>5.92亿</t>
  </si>
  <si>
    <t>4.65亿</t>
  </si>
  <si>
    <t>5.53亿</t>
  </si>
  <si>
    <t>5.47亿</t>
  </si>
  <si>
    <t>5.16亿</t>
  </si>
  <si>
    <t>3.60亿</t>
  </si>
  <si>
    <t>756.65亿</t>
  </si>
  <si>
    <t>558.22亿</t>
  </si>
  <si>
    <t>8.37亿</t>
  </si>
  <si>
    <t>6.64亿</t>
  </si>
  <si>
    <t>16.07亿</t>
  </si>
  <si>
    <t>4.19亿</t>
  </si>
  <si>
    <t>8.96亿</t>
  </si>
  <si>
    <t>6.58亿</t>
  </si>
  <si>
    <t>127.97亿</t>
  </si>
  <si>
    <t>96.67亿</t>
  </si>
  <si>
    <t>厦工股份</t>
  </si>
  <si>
    <t>19.20亿</t>
  </si>
  <si>
    <t>3760.05万</t>
  </si>
  <si>
    <t>28.38亿</t>
  </si>
  <si>
    <t>-7.31亿</t>
  </si>
  <si>
    <t>40.01亿</t>
  </si>
  <si>
    <t>22.27亿</t>
  </si>
  <si>
    <t>22.56亿</t>
  </si>
  <si>
    <t>4.73亿</t>
  </si>
  <si>
    <t>114.52亿</t>
  </si>
  <si>
    <t>84.43亿</t>
  </si>
  <si>
    <t>29.57亿</t>
  </si>
  <si>
    <t>17.08亿</t>
  </si>
  <si>
    <t>11.69亿</t>
  </si>
  <si>
    <t>6.81亿</t>
  </si>
  <si>
    <t>SH605305</t>
  </si>
  <si>
    <t>9332.70万</t>
  </si>
  <si>
    <t>5.30亿</t>
  </si>
  <si>
    <t>8.84亿</t>
  </si>
  <si>
    <t>7.16亿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</si>
  <si>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</si>
  <si>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</si>
  <si>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</si>
  <si>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</si>
  <si>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</si>
  <si>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</si>
  <si>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</si>
  <si>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</si>
  <si>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</si>
  <si>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</si>
  <si>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</si>
  <si>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</si>
  <si>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</si>
  <si>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6.34亿</t>
  </si>
  <si>
    <t>SH688425</t>
  </si>
  <si>
    <t>铁建重工</t>
  </si>
  <si>
    <t>76.11亿</t>
  </si>
  <si>
    <t>15.67亿</t>
  </si>
  <si>
    <t>72.82亿</t>
  </si>
  <si>
    <t>79.31亿</t>
  </si>
  <si>
    <t>15.30亿</t>
  </si>
  <si>
    <t>1.现在塔机租赁市场从18、19年供不应求变为供求过剩，所以账款情况比之前变差；</t>
    <phoneticPr fontId="1" type="noConversion"/>
  </si>
  <si>
    <t>1.公司研制的隧道掘进机主要产品具有完全自主知识产权。该类产品主要应用于隧道、巷道、竖井、斜井等的开挖、掘进、支护一体化施工，包括水平、斜向、竖向三种掘进方向、开挖直径覆盖φ0.5-φ23m 的土压平衡盾构机、泥水平衡盾构机、岩石隧道掘进机（TBM）、多模式掘进机、顶管机、竖井/斜井掘进机、异型断面掘进机、软岩多功能掘进机、隧道出渣皮带机 9 大系列；2.公司轨道交通设备产品主要包括铁路道岔、弹条扣件、闸片和闸瓦、预埋槽道、新型轨道交通轨排和道岔、新型轨道交通智能化检测装备等产品；3.公司特种专业装备主要包含隧道钻爆法施工装备、隧道冷开挖装备、煤矿装备、矿山装备及高端农机等</t>
    <phoneticPr fontId="1" type="noConversion"/>
  </si>
  <si>
    <t>销售毛利率%[20201231]</t>
  </si>
  <si>
    <t>销售净利率%[20201231]</t>
  </si>
  <si>
    <t>6.32亿</t>
  </si>
  <si>
    <t>14.40亿</t>
  </si>
  <si>
    <t>SZ300718</t>
  </si>
  <si>
    <t>长盛轴承</t>
  </si>
  <si>
    <t>6.01亿</t>
  </si>
  <si>
    <t>SZ301079</t>
  </si>
  <si>
    <t>邵阳液压</t>
  </si>
  <si>
    <t>5518.12万</t>
  </si>
  <si>
    <t>4745.65万</t>
  </si>
  <si>
    <t>3150.65万</t>
  </si>
  <si>
    <t>7.33亿</t>
  </si>
  <si>
    <t>9.08亿</t>
  </si>
  <si>
    <t>SH600984</t>
  </si>
  <si>
    <t>SH601100</t>
  </si>
  <si>
    <t>恒立液压</t>
  </si>
  <si>
    <t>78.55亿</t>
  </si>
  <si>
    <t>22.54亿</t>
  </si>
  <si>
    <t>54.14亿</t>
  </si>
  <si>
    <t>42.11亿</t>
  </si>
  <si>
    <t>12.96亿</t>
  </si>
  <si>
    <t>26.84亿</t>
  </si>
  <si>
    <t>12.16亿</t>
  </si>
  <si>
    <t>SH605389</t>
  </si>
  <si>
    <t>长龄液压</t>
  </si>
  <si>
    <t>1.增加负极材料的业务，计划100条产线，每条1000吨；2.液压静力压桩机是山河董事长的发明专利；3.</t>
    <phoneticPr fontId="1" type="noConversion"/>
  </si>
  <si>
    <t>地下工程机械（细分类：液压静力压桩机25%左右，旋挖类产品60%左右，全回旋、桩架等细分产品15%左右） 48.06亿 51.25%（毛利32.02%）
挖掘机机械 26.56亿 28.32%（毛利16.20%）
航空业务 6.56亿 7.00%（毛利59.18%）
工程施工及其他 4.78亿 5.10%（毛利15.17%）
特种装备及其他机械 4.19亿 4.47% 
配件及维修服务 3.62亿 3.86%</t>
    <phoneticPr fontId="1" type="noConversion"/>
  </si>
  <si>
    <t>公司是一家主要经营建筑工程机械、起重运输机械、矿山机械、农田基本建设机械、收获机械及配件的研究、开发、制造、销售、租赁、维修及技术咨询服务的公司。
2021H1：
工程机械主机 26.85亿 49.68% 利润占比62.38% 16.31%
工程机械配件及其他 18.85亿 34.88% 利润占比25.79% 9.61%
其他业务 8.34亿 15.44% 利润占比11.83% 9.95%</t>
    <phoneticPr fontId="1" type="noConversion"/>
  </si>
  <si>
    <t>1.从国内来看，推土机产品主要呈现由山推股份等6家企业为主导的竞争格局，公司经过40年的发展，以绝对的优势领先行业其它制造商。</t>
    <phoneticPr fontId="1" type="noConversion"/>
  </si>
  <si>
    <r>
      <t>1.预计2021年报业绩：净利润1.814亿元至2.317亿元，增长幅度为80.00%至130.00% 原因：报告期内，工程机械行业景气度持续向好，在公司发展战略的引领下，公司积极把握市场机遇，产品产销量同比大幅增长，使得利润增加。2.作为民族工业领军企业之一，“山推牌”推土机领跑中国推土机行业优势明显，</t>
    </r>
    <r>
      <rPr>
        <sz val="9"/>
        <color rgb="FFFF0000"/>
        <rFont val="宋体"/>
        <family val="3"/>
        <charset val="134"/>
        <scheme val="minor"/>
      </rPr>
      <t>国内市场占有率保持60%以上</t>
    </r>
    <phoneticPr fontId="1" type="noConversion"/>
  </si>
  <si>
    <t>流通股本</t>
  </si>
  <si>
    <t>净利润[20201231]</t>
  </si>
  <si>
    <t>投入资本回报率roic%[20201231]</t>
  </si>
  <si>
    <t>净资产收益率%[20201231]</t>
  </si>
  <si>
    <t>671.31亿</t>
  </si>
  <si>
    <t>62.70亿</t>
  </si>
  <si>
    <t>287.01亿</t>
  </si>
  <si>
    <t>259.79亿</t>
  </si>
  <si>
    <t>6.26亿</t>
  </si>
  <si>
    <t>114.08亿</t>
  </si>
  <si>
    <t>3.68亿</t>
  </si>
  <si>
    <t>2.58亿</t>
  </si>
  <si>
    <t>60.08亿</t>
  </si>
  <si>
    <t>-1.20亿</t>
  </si>
  <si>
    <t>9.85亿</t>
  </si>
  <si>
    <t>4.84亿</t>
  </si>
  <si>
    <t>5092.81万</t>
  </si>
  <si>
    <t>SZ301279</t>
  </si>
  <si>
    <t>金道科技</t>
  </si>
  <si>
    <t>7955.20万</t>
  </si>
  <si>
    <t>4.51亿</t>
  </si>
  <si>
    <t>7125.50万</t>
  </si>
  <si>
    <t>5181.74万</t>
  </si>
  <si>
    <t>6086.60万</t>
  </si>
  <si>
    <t>9.07亿</t>
  </si>
  <si>
    <t>154.17亿</t>
  </si>
  <si>
    <t>47.25亿</t>
  </si>
  <si>
    <t>93.09亿</t>
  </si>
  <si>
    <t>26.94亿</t>
  </si>
  <si>
    <t>144.90亿</t>
  </si>
  <si>
    <t>49.39亿</t>
  </si>
  <si>
    <t>9.97亿</t>
  </si>
  <si>
    <t>95.17亿</t>
  </si>
  <si>
    <t>17.35亿</t>
  </si>
  <si>
    <t>工程机械</t>
  </si>
  <si>
    <t xml:space="preserve">    名称</t>
  </si>
  <si>
    <t>净利润?</t>
  </si>
  <si>
    <t>扣非净利润</t>
  </si>
  <si>
    <t>营业总收入[20201231]</t>
  </si>
  <si>
    <t>投入资本回报率roic%[20211231]</t>
  </si>
  <si>
    <t>净资产收益率%[20211231]</t>
  </si>
  <si>
    <t>单季营收增速</t>
  </si>
  <si>
    <t>单季利润增速</t>
  </si>
  <si>
    <t>SZ001226</t>
  </si>
  <si>
    <t>拓山重工</t>
  </si>
  <si>
    <t>8.87亿</t>
  </si>
  <si>
    <t>8625.52万</t>
  </si>
  <si>
    <t>8801.50万</t>
  </si>
  <si>
    <t>7242.44万</t>
  </si>
  <si>
    <t>7403.86万</t>
  </si>
  <si>
    <t>扭亏</t>
  </si>
  <si>
    <t>-1-1</t>
  </si>
  <si>
    <t>5.31亿</t>
  </si>
  <si>
    <t>LY营业总收入[20211231]</t>
  </si>
  <si>
    <t>权益乘数[20220630]</t>
  </si>
  <si>
    <t>总资产周转率[20220630]</t>
  </si>
  <si>
    <t>净利润／营业总收入%[20220630]</t>
  </si>
  <si>
    <t>营业总成本[20220630]</t>
  </si>
  <si>
    <t>营业成本[20220630]</t>
  </si>
  <si>
    <t>管理费用[20220630]</t>
  </si>
  <si>
    <t>研发费用总额[20220630]</t>
  </si>
  <si>
    <t>细分行业</t>
  </si>
  <si>
    <t>市销率</t>
    <phoneticPr fontId="1" type="noConversion"/>
  </si>
  <si>
    <t>1年自由现金流折现</t>
    <phoneticPr fontId="1" type="noConversion"/>
  </si>
  <si>
    <t>3年自由现金流折现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</si>
  <si>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</si>
  <si>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</si>
  <si>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营收和利润加权</t>
    <phoneticPr fontId="1" type="noConversion"/>
  </si>
  <si>
    <t>量价齐升策略</t>
    <phoneticPr fontId="1" type="noConversion"/>
  </si>
  <si>
    <t>综合策略</t>
    <phoneticPr fontId="1" type="noConversion"/>
  </si>
  <si>
    <t>6.75亿</t>
  </si>
  <si>
    <t>7.63亿</t>
  </si>
  <si>
    <t>22.35亿</t>
  </si>
  <si>
    <t>10.71亿</t>
  </si>
  <si>
    <t>5.81亿</t>
  </si>
  <si>
    <t>SZ301161</t>
  </si>
  <si>
    <t>5964.24万</t>
  </si>
  <si>
    <t>7690.44万</t>
  </si>
  <si>
    <t>4720.96万</t>
  </si>
  <si>
    <t>4504.39万</t>
  </si>
  <si>
    <t>11.14亿</t>
  </si>
  <si>
    <t>5.13亿</t>
  </si>
  <si>
    <t>12.30亿</t>
  </si>
  <si>
    <t>23.43亿</t>
  </si>
  <si>
    <t>唯万密封</t>
  </si>
  <si>
    <t>8.56亿</t>
  </si>
  <si>
    <t>1.公司毛利率40%左右，净利率20%左右。中小租赁商报表上利润率可能比公司低；2.行业下行期会出现行业的洗牌，未来肯定会出来寡头企业，庞源目前规模是第二名的四五倍，是最有希望走出来的企业，公司的市场地位会进一步得到巩固；3.设备使用率保持73%，处于相对正常的水平；租金价格维持年初的判断，整体趋势缓慢下行，维持1100元中枢波动。新增产能方面，随着新接订单增多，公司设备保有量较年初增加1100台，9300台，年初8200台，里面包括上半年报废处置的几十台设备。年底设备保有量能达到11000台；</t>
    <phoneticPr fontId="1" type="noConversion"/>
  </si>
  <si>
    <t>15.54亿</t>
  </si>
  <si>
    <t>5.78亿</t>
  </si>
  <si>
    <t>6.61亿</t>
  </si>
  <si>
    <t>4.25亿</t>
  </si>
  <si>
    <t>6.27亿</t>
  </si>
  <si>
    <t>-2.58亿</t>
  </si>
  <si>
    <t>23.06亿</t>
  </si>
  <si>
    <t>8.23亿</t>
  </si>
  <si>
    <t>12.63亿</t>
  </si>
  <si>
    <t>SH603280</t>
  </si>
  <si>
    <t>南方路机</t>
  </si>
  <si>
    <t>12.84亿</t>
  </si>
  <si>
    <t>8.71亿</t>
  </si>
  <si>
    <t>3187.01万</t>
  </si>
  <si>
    <t>7378.24万</t>
  </si>
  <si>
    <t>7.98亿</t>
  </si>
  <si>
    <r>
      <t>1.从</t>
    </r>
    <r>
      <rPr>
        <sz val="9"/>
        <color rgb="FFFF0000"/>
        <rFont val="宋体"/>
        <family val="3"/>
        <charset val="134"/>
        <scheme val="minor"/>
      </rPr>
      <t>2021年2月</t>
    </r>
    <r>
      <rPr>
        <sz val="9"/>
        <color theme="1"/>
        <rFont val="宋体"/>
        <family val="2"/>
        <charset val="134"/>
        <scheme val="minor"/>
      </rPr>
      <t>后，价格走势随着营收减少开始下滑，这个和整体中国的重工机械走势几乎同步。2021年在国五，六机械的最后冲刺消费后</t>
    </r>
    <r>
      <rPr>
        <sz val="9"/>
        <color rgb="FFFF0000"/>
        <rFont val="宋体"/>
        <family val="3"/>
        <charset val="134"/>
        <scheme val="minor"/>
      </rPr>
      <t>到达顶峰</t>
    </r>
    <r>
      <rPr>
        <sz val="9"/>
        <color theme="1"/>
        <rFont val="宋体"/>
        <family val="2"/>
        <charset val="134"/>
        <scheme val="minor"/>
      </rPr>
      <t>。2.短期内仍面临较大的放缓压力。国内工程机械行业处于下行调整期，叠加宏观经济增速放缓、新冠疫情反复、</t>
    </r>
    <r>
      <rPr>
        <sz val="9"/>
        <color rgb="FFFF0000"/>
        <rFont val="宋体"/>
        <family val="3"/>
        <charset val="134"/>
        <scheme val="minor"/>
      </rPr>
      <t>工程有效开工率不足</t>
    </r>
    <r>
      <rPr>
        <sz val="9"/>
        <color theme="1"/>
        <rFont val="宋体"/>
        <family val="2"/>
        <charset val="134"/>
        <scheme val="minor"/>
      </rPr>
      <t>等因素影响，上半年</t>
    </r>
    <r>
      <rPr>
        <sz val="9"/>
        <color rgb="FFFF0000"/>
        <rFont val="宋体"/>
        <family val="3"/>
        <charset val="134"/>
        <scheme val="minor"/>
      </rPr>
      <t>工程机械市场需求减少</t>
    </r>
    <r>
      <rPr>
        <sz val="9"/>
        <color theme="1"/>
        <rFont val="宋体"/>
        <family val="2"/>
        <charset val="134"/>
        <scheme val="minor"/>
      </rPr>
      <t>，营业收入下降幅度较大。3.挖掘机市场份额提升 11 个百分点达</t>
    </r>
    <r>
      <rPr>
        <b/>
        <sz val="9"/>
        <color rgb="FFFF0000"/>
        <rFont val="宋体"/>
        <family val="3"/>
        <charset val="134"/>
        <scheme val="minor"/>
      </rPr>
      <t>近 30%</t>
    </r>
    <r>
      <rPr>
        <sz val="9"/>
        <color theme="1"/>
        <rFont val="宋体"/>
        <family val="2"/>
        <charset val="134"/>
        <scheme val="minor"/>
      </rPr>
      <t>。</t>
    </r>
    <phoneticPr fontId="1" type="noConversion"/>
  </si>
  <si>
    <t>10派3.2元(含税)</t>
  </si>
  <si>
    <t>不分配不转增</t>
  </si>
  <si>
    <t>10派1元(含税)</t>
  </si>
  <si>
    <t>10派3元(含税)</t>
  </si>
  <si>
    <t>10派0.5元(含税)</t>
  </si>
  <si>
    <t>10派1.8元(含税)</t>
  </si>
  <si>
    <t>10派1.5元(含税)</t>
  </si>
  <si>
    <t>10派4元(含税)</t>
  </si>
  <si>
    <t>10派7元(含税)</t>
  </si>
  <si>
    <t>10派1.2元(含税)</t>
  </si>
  <si>
    <t>10派10元(含税)</t>
  </si>
  <si>
    <t>10派0.1元(含税)</t>
  </si>
  <si>
    <t>涨幅</t>
  </si>
  <si>
    <t>成交量[20221212]</t>
  </si>
  <si>
    <t>营业收入(同比增长率) %[20220930]</t>
  </si>
  <si>
    <t>LY净利润[20211231]</t>
  </si>
  <si>
    <t>销售费用[20220930]</t>
  </si>
  <si>
    <t>其他收入[20220930]</t>
  </si>
  <si>
    <t>货币资金[20220930]</t>
  </si>
  <si>
    <t>应收票据[20220930]</t>
  </si>
  <si>
    <t>固定资产[20220930]</t>
  </si>
  <si>
    <t>在建工程[20220930]</t>
  </si>
  <si>
    <t>短期借款[20220930]</t>
  </si>
  <si>
    <t>应付票据[20220930]</t>
  </si>
  <si>
    <t>应付账款[20220930]</t>
  </si>
  <si>
    <t>预收款项[20220930]</t>
  </si>
  <si>
    <t>流动负债[20220930]</t>
  </si>
  <si>
    <t>长期借款[20220930]</t>
  </si>
  <si>
    <t>经营活动产生的现金流量净额[20220930]</t>
  </si>
  <si>
    <t>投资活动产生的现金流量净额[20220930]</t>
  </si>
  <si>
    <t>筹资活动产生的现金流量净额[20220930]</t>
  </si>
  <si>
    <t>CYLQ营业收入[20220630]</t>
  </si>
  <si>
    <t>LYCQ营业收入[20210930]</t>
  </si>
  <si>
    <t>LYLQ营业收入[20210630]</t>
  </si>
  <si>
    <t>CYLQ净利润[20220630]</t>
  </si>
  <si>
    <t>LYCQ净利润[20210930]</t>
  </si>
  <si>
    <t>LYLQ净利润[20210630]</t>
  </si>
  <si>
    <t>分红明细[20211231]</t>
  </si>
  <si>
    <t>销售毛利率%[20220630]</t>
  </si>
  <si>
    <t>销售净利率%[20220630]</t>
  </si>
  <si>
    <t>区间涨跌幅:前复权%[20221206-20221212]</t>
  </si>
  <si>
    <t>指数@区间涨跌幅:不复权%[20221101-20221212]</t>
  </si>
  <si>
    <t>指数@区间成交量[20221206-20221212]</t>
  </si>
  <si>
    <t>指数@区间成交量[20221101-20221212]</t>
  </si>
  <si>
    <t>股利率</t>
    <phoneticPr fontId="1" type="noConversion"/>
  </si>
  <si>
    <t>折现率</t>
    <phoneticPr fontId="1" type="noConversion"/>
  </si>
  <si>
    <t>6年自由现金流折现</t>
    <phoneticPr fontId="1" type="noConversion"/>
  </si>
  <si>
    <t>10增速</t>
    <phoneticPr fontId="1" type="noConversion"/>
  </si>
  <si>
    <t>清算价格</t>
    <phoneticPr fontId="1" type="noConversion"/>
  </si>
  <si>
    <t>原始顺序</t>
    <phoneticPr fontId="1" type="noConversion"/>
  </si>
  <si>
    <t>利润成长策略</t>
    <phoneticPr fontId="1" type="noConversion"/>
  </si>
  <si>
    <t>5日成交换手率</t>
    <phoneticPr fontId="1" type="noConversion"/>
  </si>
  <si>
    <t>今日价格累积指数</t>
    <phoneticPr fontId="1" type="noConversion"/>
  </si>
  <si>
    <t>成交量异动策略</t>
    <phoneticPr fontId="1" type="noConversion"/>
  </si>
  <si>
    <t>N-2</t>
    <phoneticPr fontId="1" type="noConversion"/>
  </si>
  <si>
    <t>扣非对比净利润</t>
    <phoneticPr fontId="1" type="noConversion"/>
  </si>
  <si>
    <t>过往营收增速均值</t>
    <phoneticPr fontId="1" type="noConversion"/>
  </si>
  <si>
    <t>过往利润增速均值</t>
    <phoneticPr fontId="1" type="noConversion"/>
  </si>
  <si>
    <t>1增速</t>
    <phoneticPr fontId="1" type="noConversion"/>
  </si>
  <si>
    <t>3增速</t>
    <phoneticPr fontId="1" type="noConversion"/>
  </si>
  <si>
    <t>20年自由现金流折现</t>
    <phoneticPr fontId="1" type="noConversion"/>
  </si>
  <si>
    <t>承担负债现期溢价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</si>
  <si>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</si>
  <si>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</si>
  <si>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营收成长策略</t>
    <phoneticPr fontId="1" type="noConversion"/>
  </si>
  <si>
    <t>价格变动策略</t>
    <phoneticPr fontId="1" type="noConversion"/>
  </si>
  <si>
    <t>成交量综合策略</t>
    <phoneticPr fontId="1" type="noConversion"/>
  </si>
  <si>
    <t>基本面排序</t>
    <phoneticPr fontId="1" type="noConversion"/>
  </si>
  <si>
    <t>机会区域号</t>
    <phoneticPr fontId="1" type="noConversion"/>
  </si>
  <si>
    <t>30日成交换手率</t>
    <phoneticPr fontId="1" type="noConversion"/>
  </si>
  <si>
    <t>昨日价格累计指数</t>
    <phoneticPr fontId="1" type="noConversion"/>
  </si>
  <si>
    <t>价格箱体形态过滤</t>
    <phoneticPr fontId="1" type="noConversion"/>
  </si>
  <si>
    <t>价格右侧初期策略</t>
    <phoneticPr fontId="1" type="noConversion"/>
  </si>
  <si>
    <t>N日期</t>
    <phoneticPr fontId="1" type="noConversion"/>
  </si>
  <si>
    <t>N-4</t>
    <phoneticPr fontId="1" type="noConversion"/>
  </si>
  <si>
    <t>N-3</t>
    <phoneticPr fontId="1" type="noConversion"/>
  </si>
  <si>
    <t>N-1</t>
    <phoneticPr fontId="1" type="noConversion"/>
  </si>
  <si>
    <t>N</t>
    <phoneticPr fontId="1" type="noConversion"/>
  </si>
  <si>
    <t>-1-0</t>
  </si>
  <si>
    <t>1-0</t>
  </si>
  <si>
    <t>2-1</t>
  </si>
  <si>
    <t>5.86亿</t>
  </si>
  <si>
    <t>7.48亿</t>
  </si>
  <si>
    <t>3-0</t>
  </si>
  <si>
    <t>416.31亿</t>
  </si>
  <si>
    <t>9.06亿</t>
  </si>
  <si>
    <t>938.17亿</t>
  </si>
  <si>
    <t>1167.96亿</t>
  </si>
  <si>
    <t>82.08亿</t>
  </si>
  <si>
    <t>264.80亿</t>
  </si>
  <si>
    <t>99.98亿</t>
  </si>
  <si>
    <t>91.71亿</t>
  </si>
  <si>
    <t>2.17亿</t>
  </si>
  <si>
    <t>4.97亿</t>
  </si>
  <si>
    <t>5883.45万</t>
  </si>
  <si>
    <t>-2-0</t>
  </si>
  <si>
    <t>2-0</t>
  </si>
  <si>
    <t>73.02亿</t>
  </si>
  <si>
    <t>-11.38亿</t>
  </si>
  <si>
    <t>5.75亿</t>
  </si>
  <si>
    <t>10派6元(含税)</t>
  </si>
  <si>
    <t>10派0.6元(含税)</t>
  </si>
  <si>
    <t>7.76亿</t>
  </si>
  <si>
    <t>-3-0</t>
  </si>
  <si>
    <t>8.55亿</t>
  </si>
  <si>
    <t>80.00万</t>
  </si>
  <si>
    <t>6.54亿</t>
  </si>
  <si>
    <t>8.68亿</t>
  </si>
  <si>
    <t>5013.12万</t>
  </si>
  <si>
    <t>4620.49万</t>
  </si>
  <si>
    <t>8163.86万</t>
  </si>
  <si>
    <t>10转4股派5元(含税)</t>
  </si>
  <si>
    <t>SZ301446</t>
  </si>
  <si>
    <t>福事特</t>
  </si>
  <si>
    <t>8216.61万</t>
  </si>
  <si>
    <t>3782.63万</t>
  </si>
  <si>
    <t>993.42亿</t>
  </si>
  <si>
    <t>12.57亿</t>
  </si>
  <si>
    <t>38.88亿</t>
  </si>
  <si>
    <t>7.65亿</t>
  </si>
  <si>
    <t>81.97亿</t>
  </si>
  <si>
    <t>25.38亿</t>
  </si>
  <si>
    <t>11.49亿</t>
  </si>
  <si>
    <t>17.79亿</t>
  </si>
  <si>
    <t>SH603273</t>
  </si>
  <si>
    <t>天元智能</t>
  </si>
  <si>
    <t>7110.31万</t>
  </si>
  <si>
    <t>12.17亿</t>
  </si>
  <si>
    <t>144.12亿</t>
  </si>
  <si>
    <t>54.45亿</t>
  </si>
  <si>
    <t>20.25亿</t>
  </si>
  <si>
    <t>10.58亿</t>
  </si>
  <si>
    <t>8.46亿</t>
  </si>
  <si>
    <t>15.44亿</t>
  </si>
  <si>
    <t>5.08亿</t>
  </si>
  <si>
    <t>18.44亿</t>
  </si>
  <si>
    <t>7.40亿</t>
  </si>
  <si>
    <t>101.02亿</t>
  </si>
  <si>
    <t>-2-1</t>
  </si>
  <si>
    <t>16.69亿</t>
  </si>
  <si>
    <t>-2.18亿</t>
  </si>
  <si>
    <t>SZ001239</t>
  </si>
  <si>
    <t>永达股份</t>
  </si>
  <si>
    <t>8.33亿</t>
  </si>
  <si>
    <t>9305.24万</t>
  </si>
  <si>
    <t>-3-1</t>
  </si>
  <si>
    <t>-4-1</t>
  </si>
  <si>
    <t>35.06亿</t>
  </si>
  <si>
    <t>12.52亿</t>
  </si>
  <si>
    <t>9.29亿</t>
  </si>
  <si>
    <t>5.17亿</t>
  </si>
  <si>
    <t>8.69亿</t>
  </si>
  <si>
    <t>2862.16万</t>
  </si>
  <si>
    <t>15.13亿</t>
  </si>
  <si>
    <t>17.20亿</t>
  </si>
  <si>
    <t>3.06亿</t>
  </si>
  <si>
    <t>8.21亿</t>
  </si>
  <si>
    <t>15.62亿</t>
  </si>
  <si>
    <t>4.91亿</t>
  </si>
  <si>
    <t>8403.07万</t>
  </si>
  <si>
    <t>43.77亿</t>
  </si>
  <si>
    <t>25.60亿</t>
  </si>
  <si>
    <t>43.98亿</t>
  </si>
  <si>
    <t>14.15亿</t>
  </si>
  <si>
    <t>8135.38万</t>
  </si>
  <si>
    <t>6849.86万</t>
  </si>
  <si>
    <t>4225.36万</t>
  </si>
  <si>
    <t>1884.92万</t>
  </si>
  <si>
    <t>12.32亿</t>
  </si>
  <si>
    <t>11.05亿</t>
  </si>
  <si>
    <t>中际联合</t>
  </si>
  <si>
    <t>21.11亿</t>
  </si>
  <si>
    <t>9.87亿</t>
  </si>
  <si>
    <t>13.39亿</t>
  </si>
  <si>
    <t>-3.28亿</t>
  </si>
  <si>
    <t>7.61亿</t>
  </si>
  <si>
    <t>10-1</t>
  </si>
  <si>
    <t>2745.60万</t>
  </si>
  <si>
    <t>716.95亿</t>
  </si>
  <si>
    <t>600.46亿</t>
  </si>
  <si>
    <t>117.73亿</t>
  </si>
  <si>
    <t>470.75亿</t>
  </si>
  <si>
    <t>105.84亿</t>
  </si>
  <si>
    <t>84.00亿</t>
  </si>
  <si>
    <t>8.66亿</t>
  </si>
  <si>
    <t>-11751144亿</t>
  </si>
  <si>
    <t>1841.87万</t>
  </si>
  <si>
    <t>777492560亿</t>
  </si>
  <si>
    <t>143.20亿</t>
  </si>
  <si>
    <t>26011740000亿</t>
  </si>
  <si>
    <t>79089747000亿</t>
  </si>
  <si>
    <t>63.14亿</t>
  </si>
  <si>
    <t>16.95亿</t>
  </si>
  <si>
    <t>124.58亿</t>
  </si>
  <si>
    <t>117.79亿</t>
  </si>
  <si>
    <t>495.05亿</t>
  </si>
  <si>
    <t>168.23亿</t>
  </si>
  <si>
    <t>-9.71亿</t>
  </si>
  <si>
    <t>-13.73亿</t>
  </si>
  <si>
    <t>104.26亿</t>
  </si>
  <si>
    <t>13.05亿</t>
  </si>
  <si>
    <t>6216.60万</t>
  </si>
  <si>
    <t>1045.08亿</t>
  </si>
  <si>
    <t>592.22亿</t>
  </si>
  <si>
    <t>241.74亿</t>
  </si>
  <si>
    <t>928.48亿</t>
  </si>
  <si>
    <t>53.26亿</t>
  </si>
  <si>
    <t>224.09亿</t>
  </si>
  <si>
    <t>186.41亿</t>
  </si>
  <si>
    <t>-6893481亿</t>
  </si>
  <si>
    <t>1492.10万</t>
  </si>
  <si>
    <t>1466481700亿</t>
  </si>
  <si>
    <t>212.93亿</t>
  </si>
  <si>
    <t>45791145000亿</t>
  </si>
  <si>
    <t>47.48亿</t>
  </si>
  <si>
    <t>113952394000亿</t>
  </si>
  <si>
    <t>31.01亿</t>
  </si>
  <si>
    <t>154.62亿</t>
  </si>
  <si>
    <t>214.60亿</t>
  </si>
  <si>
    <t>225.56亿</t>
  </si>
  <si>
    <t>847.05亿</t>
  </si>
  <si>
    <t>154.83亿</t>
  </si>
  <si>
    <t>-8.48亿</t>
  </si>
  <si>
    <t>-12.19亿</t>
  </si>
  <si>
    <t>43.12亿</t>
  </si>
  <si>
    <t>238.93亿</t>
  </si>
  <si>
    <t>15.23亿</t>
  </si>
  <si>
    <t>26.64亿</t>
  </si>
  <si>
    <t>2570.79万</t>
  </si>
  <si>
    <t>285.81亿</t>
  </si>
  <si>
    <t>184.98亿</t>
  </si>
  <si>
    <t>79.39亿</t>
  </si>
  <si>
    <t>275.19亿</t>
  </si>
  <si>
    <t>71.99亿</t>
  </si>
  <si>
    <t>61.30亿</t>
  </si>
  <si>
    <t>-12831301亿</t>
  </si>
  <si>
    <t>657.85万</t>
  </si>
  <si>
    <t>456709760亿</t>
  </si>
  <si>
    <t>88.00亿</t>
  </si>
  <si>
    <t>10033747600亿</t>
  </si>
  <si>
    <t>33310445000亿</t>
  </si>
  <si>
    <t>60.66亿</t>
  </si>
  <si>
    <t>52.55亿</t>
  </si>
  <si>
    <t>67.46亿</t>
  </si>
  <si>
    <t>4903.21万</t>
  </si>
  <si>
    <t>222.09亿</t>
  </si>
  <si>
    <t>10.95亿</t>
  </si>
  <si>
    <t>-4133.72万</t>
  </si>
  <si>
    <t>-9644.03万</t>
  </si>
  <si>
    <t>-12.41亿</t>
  </si>
  <si>
    <t>77.92亿</t>
  </si>
  <si>
    <t>10派1.986770元(含税)</t>
  </si>
  <si>
    <t>4254.20万</t>
  </si>
  <si>
    <t>75.64亿</t>
  </si>
  <si>
    <t>60.76亿</t>
  </si>
  <si>
    <t>30.69亿</t>
  </si>
  <si>
    <t>105.41亿</t>
  </si>
  <si>
    <t>28.48亿</t>
  </si>
  <si>
    <t>7577.95万</t>
  </si>
  <si>
    <t>5224342亿</t>
  </si>
  <si>
    <t>108.91万</t>
  </si>
  <si>
    <t>208515270亿</t>
  </si>
  <si>
    <t>34.16亿</t>
  </si>
  <si>
    <t>3958576900亿</t>
  </si>
  <si>
    <t>10963953400亿</t>
  </si>
  <si>
    <t>41.80亿</t>
  </si>
  <si>
    <t>21.03亿</t>
  </si>
  <si>
    <t>77.45亿</t>
  </si>
  <si>
    <t>-5963.58万</t>
  </si>
  <si>
    <t>8696.19万</t>
  </si>
  <si>
    <t>-2314.81万</t>
  </si>
  <si>
    <t>23.72亿</t>
  </si>
  <si>
    <t>228.56万</t>
  </si>
  <si>
    <t>7.27亿</t>
  </si>
  <si>
    <t>-1251.75万</t>
  </si>
  <si>
    <t>102.77万</t>
  </si>
  <si>
    <t>644.73万</t>
  </si>
  <si>
    <t>286811亿</t>
  </si>
  <si>
    <t>5.72万</t>
  </si>
  <si>
    <t>5462763亿</t>
  </si>
  <si>
    <t>9241.94万</t>
  </si>
  <si>
    <t>310666640亿</t>
  </si>
  <si>
    <t>989.34万</t>
  </si>
  <si>
    <t>788336960亿</t>
  </si>
  <si>
    <t>5003.69万</t>
  </si>
  <si>
    <t>4738.18万</t>
  </si>
  <si>
    <t>-359.90万</t>
  </si>
  <si>
    <t>-7845.13万</t>
  </si>
  <si>
    <t>2487.89万</t>
  </si>
  <si>
    <t>1166.38万</t>
  </si>
  <si>
    <t>1259.13万</t>
  </si>
  <si>
    <t>7993.74万</t>
  </si>
  <si>
    <t>188.25万</t>
  </si>
  <si>
    <t>9122.50万</t>
  </si>
  <si>
    <t>119.11万</t>
  </si>
  <si>
    <t>993.39万</t>
  </si>
  <si>
    <t>5.00万</t>
  </si>
  <si>
    <t>15494555亿</t>
  </si>
  <si>
    <t>553929440亿</t>
  </si>
  <si>
    <t>2320.28万</t>
  </si>
  <si>
    <t>1653350200亿</t>
  </si>
  <si>
    <t>2471.21万</t>
  </si>
  <si>
    <t>9310.85万</t>
  </si>
  <si>
    <t>8640.84万</t>
  </si>
  <si>
    <t>149.13万</t>
  </si>
  <si>
    <t>-8894.23万</t>
  </si>
  <si>
    <t>-311.15万</t>
  </si>
  <si>
    <t>-2464.17万</t>
  </si>
  <si>
    <t>8866.50万</t>
  </si>
  <si>
    <t>6177.23万</t>
  </si>
  <si>
    <t>1155.09万</t>
  </si>
  <si>
    <t>1794.53万</t>
  </si>
  <si>
    <t>928.73万</t>
  </si>
  <si>
    <t>1230.21万</t>
  </si>
  <si>
    <t>161.30亿</t>
  </si>
  <si>
    <t>47.80亿</t>
  </si>
  <si>
    <t>16.62亿</t>
  </si>
  <si>
    <t>72.29亿</t>
  </si>
  <si>
    <t>3558.34万</t>
  </si>
  <si>
    <t>16.59亿</t>
  </si>
  <si>
    <t>12.14亿</t>
  </si>
  <si>
    <t>-776723亿</t>
  </si>
  <si>
    <t>62.23万</t>
  </si>
  <si>
    <t>-27500709亿</t>
  </si>
  <si>
    <t>6553498600亿</t>
  </si>
  <si>
    <t>13349622600亿</t>
  </si>
  <si>
    <t>13.19亿</t>
  </si>
  <si>
    <t>25.32亿</t>
  </si>
  <si>
    <t>2865.84万</t>
  </si>
  <si>
    <t>92.85亿</t>
  </si>
  <si>
    <t>-4.66亿</t>
  </si>
  <si>
    <t>-4314.52万</t>
  </si>
  <si>
    <t>17.85亿</t>
  </si>
  <si>
    <t>3011.73万</t>
  </si>
  <si>
    <t>6200.26万</t>
  </si>
  <si>
    <t>274.80万</t>
  </si>
  <si>
    <t>484.56万</t>
  </si>
  <si>
    <t>1686.35万</t>
  </si>
  <si>
    <t>3705034亿</t>
  </si>
  <si>
    <t>4.13万</t>
  </si>
  <si>
    <t>49247489亿</t>
  </si>
  <si>
    <t>268736260亿</t>
  </si>
  <si>
    <t>1045.00万</t>
  </si>
  <si>
    <t>1352401200亿</t>
  </si>
  <si>
    <t>5430.04万</t>
  </si>
  <si>
    <t>9273.42万</t>
  </si>
  <si>
    <t>1437.21万</t>
  </si>
  <si>
    <t>3206.90万</t>
  </si>
  <si>
    <t>-978.48万</t>
  </si>
  <si>
    <t>667.04万</t>
  </si>
  <si>
    <t>5156.63万</t>
  </si>
  <si>
    <t>10派2.35元(含税)</t>
  </si>
  <si>
    <t>1583.55万</t>
  </si>
  <si>
    <t>229.55万</t>
  </si>
  <si>
    <t>5912.94万</t>
  </si>
  <si>
    <t>5928.57万</t>
  </si>
  <si>
    <t>4575.90万</t>
  </si>
  <si>
    <t>187.08万</t>
  </si>
  <si>
    <t>594.59万</t>
  </si>
  <si>
    <t>-137633亿</t>
  </si>
  <si>
    <t>9.14万</t>
  </si>
  <si>
    <t>80981亿</t>
  </si>
  <si>
    <t>1426.75万</t>
  </si>
  <si>
    <t>221765390亿</t>
  </si>
  <si>
    <t>3984.65万</t>
  </si>
  <si>
    <t>465532560亿</t>
  </si>
  <si>
    <t>5100.00万</t>
  </si>
  <si>
    <t>1651.46万</t>
  </si>
  <si>
    <t>-1679.14万</t>
  </si>
  <si>
    <t>-1553.31万</t>
  </si>
  <si>
    <t>3610.06万</t>
  </si>
  <si>
    <t>657.84万</t>
  </si>
  <si>
    <t>4504.95万</t>
  </si>
  <si>
    <t>1924.75万</t>
  </si>
  <si>
    <t>104.79万</t>
  </si>
  <si>
    <t>9958.37万</t>
  </si>
  <si>
    <t>8424.65万</t>
  </si>
  <si>
    <t>9098.32万</t>
  </si>
  <si>
    <t>1155.01万</t>
  </si>
  <si>
    <t>1221.22万</t>
  </si>
  <si>
    <t>38364亿</t>
  </si>
  <si>
    <t>3.62万</t>
  </si>
  <si>
    <t>14763353亿</t>
  </si>
  <si>
    <t>429300300亿</t>
  </si>
  <si>
    <t>3909.90万</t>
  </si>
  <si>
    <t>1039469470亿</t>
  </si>
  <si>
    <t>328.94万</t>
  </si>
  <si>
    <t>710.00万</t>
  </si>
  <si>
    <t>604.12万</t>
  </si>
  <si>
    <t>10000.00万</t>
  </si>
  <si>
    <t>-1912.19万</t>
  </si>
  <si>
    <t>-1.54亿</t>
  </si>
  <si>
    <t>5462.66万</t>
  </si>
  <si>
    <t>8231.46万</t>
  </si>
  <si>
    <t>3709.10万</t>
  </si>
  <si>
    <t>1039.60万</t>
  </si>
  <si>
    <t>678.38万</t>
  </si>
  <si>
    <t>4671.86万</t>
  </si>
  <si>
    <t>569.11万</t>
  </si>
  <si>
    <t>13.27亿</t>
  </si>
  <si>
    <t>196.89万</t>
  </si>
  <si>
    <t>901.60万</t>
  </si>
  <si>
    <t>-56.55亿</t>
  </si>
  <si>
    <t>8681794亿</t>
  </si>
  <si>
    <t>133027859亿</t>
  </si>
  <si>
    <t>6344.54万</t>
  </si>
  <si>
    <t>786302120亿</t>
  </si>
  <si>
    <t>2109.52万</t>
  </si>
  <si>
    <t>1900.36万</t>
  </si>
  <si>
    <t>18.33万</t>
  </si>
  <si>
    <t>-169.47万</t>
  </si>
  <si>
    <t>-2954.72万</t>
  </si>
  <si>
    <t>788.76万</t>
  </si>
  <si>
    <t>4910.42万</t>
  </si>
  <si>
    <t>3468.02万</t>
  </si>
  <si>
    <t>4911.79万</t>
  </si>
  <si>
    <t>228.85万</t>
  </si>
  <si>
    <t>5140.93万</t>
  </si>
  <si>
    <t>8842.84万</t>
  </si>
  <si>
    <t>7250.91万</t>
  </si>
  <si>
    <t>406.82万</t>
  </si>
  <si>
    <t>1067.80万</t>
  </si>
  <si>
    <t>3.09万</t>
  </si>
  <si>
    <t>17847976亿</t>
  </si>
  <si>
    <t>127591079亿</t>
  </si>
  <si>
    <t>3948.03万</t>
  </si>
  <si>
    <t>914037030亿</t>
  </si>
  <si>
    <t>3132.22万</t>
  </si>
  <si>
    <t>110.87万</t>
  </si>
  <si>
    <t>1100.03万</t>
  </si>
  <si>
    <t>5002.37万</t>
  </si>
  <si>
    <t>2386.77万</t>
  </si>
  <si>
    <t>-775.03万</t>
  </si>
  <si>
    <t>-696.73万</t>
  </si>
  <si>
    <t>7805.90万</t>
  </si>
  <si>
    <t>1190.59万</t>
  </si>
  <si>
    <t>10转3股派2元(含税)</t>
  </si>
  <si>
    <t>1904.03万</t>
  </si>
  <si>
    <t>6486.68万</t>
  </si>
  <si>
    <t>4412.73万</t>
  </si>
  <si>
    <t>820.29亿</t>
  </si>
  <si>
    <t>706.52亿</t>
  </si>
  <si>
    <t>176.62亿</t>
  </si>
  <si>
    <t>45.23亿</t>
  </si>
  <si>
    <t>45019000亿</t>
  </si>
  <si>
    <t>1252.50万</t>
  </si>
  <si>
    <t>1346070000亿</t>
  </si>
  <si>
    <t>200.86亿</t>
  </si>
  <si>
    <t>25328305000亿</t>
  </si>
  <si>
    <t>102067267000亿</t>
  </si>
  <si>
    <t>56.74亿</t>
  </si>
  <si>
    <t>188.88亿</t>
  </si>
  <si>
    <t>-26.57亿</t>
  </si>
  <si>
    <t>-2.73亿</t>
  </si>
  <si>
    <t>800.34亿</t>
  </si>
  <si>
    <t>42.90亿</t>
  </si>
  <si>
    <t>732.22亿</t>
  </si>
  <si>
    <t>10.46亿</t>
  </si>
  <si>
    <t>45.27亿</t>
  </si>
  <si>
    <t>10派2.2元(含税)</t>
  </si>
  <si>
    <t>16.30亿</t>
  </si>
  <si>
    <t>0627000000</t>
  </si>
  <si>
    <t>01881000000</t>
  </si>
  <si>
    <t>03762000000</t>
  </si>
  <si>
    <t>06270000000</t>
  </si>
  <si>
    <t>012540000000</t>
  </si>
  <si>
    <t>1061.29万</t>
  </si>
  <si>
    <t>86.36亿</t>
  </si>
  <si>
    <t>88.48亿</t>
  </si>
  <si>
    <t>43.05亿</t>
  </si>
  <si>
    <t>28.47亿</t>
  </si>
  <si>
    <t>39.10亿</t>
  </si>
  <si>
    <t>34.17亿</t>
  </si>
  <si>
    <t>9688.72万</t>
  </si>
  <si>
    <t>69470183亿</t>
  </si>
  <si>
    <t>122.99万</t>
  </si>
  <si>
    <t>339933770亿</t>
  </si>
  <si>
    <t>32.57亿</t>
  </si>
  <si>
    <t>2304121200亿</t>
  </si>
  <si>
    <t>931.59万</t>
  </si>
  <si>
    <t>13335706200亿</t>
  </si>
  <si>
    <t>54.60亿</t>
  </si>
  <si>
    <t>15.33亿</t>
  </si>
  <si>
    <t>-1.34亿</t>
  </si>
  <si>
    <t>157.74亿</t>
  </si>
  <si>
    <t>174.71亿</t>
  </si>
  <si>
    <t>12.78亿</t>
  </si>
  <si>
    <t>9777.20万</t>
  </si>
  <si>
    <t>0500000000</t>
  </si>
  <si>
    <t>01500000000</t>
  </si>
  <si>
    <t>03000000000</t>
  </si>
  <si>
    <t>05000000000</t>
  </si>
  <si>
    <t>010000000000</t>
  </si>
  <si>
    <t>576.81万</t>
  </si>
  <si>
    <t>4247.95万</t>
  </si>
  <si>
    <t>968.11万</t>
  </si>
  <si>
    <t>1527.68万</t>
  </si>
  <si>
    <t>9523060亿</t>
  </si>
  <si>
    <t>95.27万</t>
  </si>
  <si>
    <t>-11356359亿</t>
  </si>
  <si>
    <t>325476710亿</t>
  </si>
  <si>
    <t>2984.81万</t>
  </si>
  <si>
    <t>1729044100亿</t>
  </si>
  <si>
    <t>598.77万</t>
  </si>
  <si>
    <t>985.34万</t>
  </si>
  <si>
    <t>1003.46万</t>
  </si>
  <si>
    <t>5177.20万</t>
  </si>
  <si>
    <t>-962.76万</t>
  </si>
  <si>
    <t>-1265.53万</t>
  </si>
  <si>
    <t>-2000.00万</t>
  </si>
  <si>
    <t>-2179.29万</t>
  </si>
  <si>
    <t>2991.86万</t>
  </si>
  <si>
    <t>042479500</t>
  </si>
  <si>
    <t>0127438500</t>
  </si>
  <si>
    <t>0254877000</t>
  </si>
  <si>
    <t>0424795000</t>
  </si>
  <si>
    <t>0849590000</t>
  </si>
  <si>
    <t>705.41万</t>
  </si>
  <si>
    <t>123.11亿</t>
  </si>
  <si>
    <t>50.25亿</t>
  </si>
  <si>
    <t>733.87亿</t>
  </si>
  <si>
    <t>62.25亿</t>
  </si>
  <si>
    <t>534.32万</t>
  </si>
  <si>
    <t>7723.50万</t>
  </si>
  <si>
    <t>1080596亿</t>
  </si>
  <si>
    <t>183.29万</t>
  </si>
  <si>
    <t>-242409120亿</t>
  </si>
  <si>
    <t>17.70亿</t>
  </si>
  <si>
    <t>4370578600亿</t>
  </si>
  <si>
    <t>7684826600亿</t>
  </si>
  <si>
    <t>28.94亿</t>
  </si>
  <si>
    <t>11.31亿</t>
  </si>
  <si>
    <t>222.92万</t>
  </si>
  <si>
    <t>78.96亿</t>
  </si>
  <si>
    <t>35.88亿</t>
  </si>
  <si>
    <t>-399.25万</t>
  </si>
  <si>
    <t>-1.43亿</t>
  </si>
  <si>
    <t>-4457.55万</t>
  </si>
  <si>
    <t>32.28亿</t>
  </si>
  <si>
    <t>189.94亿</t>
  </si>
  <si>
    <t>-7.45亿</t>
  </si>
  <si>
    <t>4273.96万</t>
  </si>
  <si>
    <t>808.77万</t>
  </si>
  <si>
    <t>34.53亿</t>
  </si>
  <si>
    <t>150.72亿</t>
  </si>
  <si>
    <t>23.62亿</t>
  </si>
  <si>
    <t>84.37亿</t>
  </si>
  <si>
    <t>16.54亿</t>
  </si>
  <si>
    <t>4907.25万</t>
  </si>
  <si>
    <t>74451亿</t>
  </si>
  <si>
    <t>473.22万</t>
  </si>
  <si>
    <t>586207340亿</t>
  </si>
  <si>
    <t>77.01亿</t>
  </si>
  <si>
    <t>1453942000亿</t>
  </si>
  <si>
    <t>13247861900亿</t>
  </si>
  <si>
    <t>1770.64万</t>
  </si>
  <si>
    <t>31.66亿</t>
  </si>
  <si>
    <t>9411.95万</t>
  </si>
  <si>
    <t>-11.36亿</t>
  </si>
  <si>
    <t>-2522.76万</t>
  </si>
  <si>
    <t>89.85亿</t>
  </si>
  <si>
    <t>22.43亿</t>
  </si>
  <si>
    <t>24.99亿</t>
  </si>
  <si>
    <t>3172.09万</t>
  </si>
  <si>
    <t>162.27万</t>
  </si>
  <si>
    <t>6.16亿</t>
  </si>
  <si>
    <t>512.36万</t>
  </si>
  <si>
    <t>639.24万</t>
  </si>
  <si>
    <t>469426亿</t>
  </si>
  <si>
    <t>47.78万</t>
  </si>
  <si>
    <t>6969819亿</t>
  </si>
  <si>
    <t>195115860亿</t>
  </si>
  <si>
    <t>2006.44万</t>
  </si>
  <si>
    <t>1165760320亿</t>
  </si>
  <si>
    <t>214.64万</t>
  </si>
  <si>
    <t>1.45万</t>
  </si>
  <si>
    <t>-4031.79万</t>
  </si>
  <si>
    <t>-2134.73万</t>
  </si>
  <si>
    <t>-820.75万</t>
  </si>
  <si>
    <t>6039.47万</t>
  </si>
  <si>
    <t>4082.94万</t>
  </si>
  <si>
    <t>873.06万</t>
  </si>
  <si>
    <t>7399.00万</t>
  </si>
  <si>
    <t>102.85万</t>
  </si>
  <si>
    <t>22.77亿</t>
  </si>
  <si>
    <t>1292.90万</t>
  </si>
  <si>
    <t>1125.38万</t>
  </si>
  <si>
    <t>2929635亿</t>
  </si>
  <si>
    <t>221.54万</t>
  </si>
  <si>
    <t>1453518亿</t>
  </si>
  <si>
    <t>208352820亿</t>
  </si>
  <si>
    <t>88.06万</t>
  </si>
  <si>
    <t>1908162200亿</t>
  </si>
  <si>
    <t>430.86万</t>
  </si>
  <si>
    <t>8182.01万</t>
  </si>
  <si>
    <t>632.65万</t>
  </si>
  <si>
    <t>-8210.13万</t>
  </si>
  <si>
    <t>-102.36万</t>
  </si>
  <si>
    <t>10派3.4元(含税)</t>
  </si>
  <si>
    <t>961.49万</t>
  </si>
  <si>
    <t>8447.94万</t>
  </si>
  <si>
    <t>440.36万</t>
  </si>
  <si>
    <t>47.63亿</t>
  </si>
  <si>
    <t>96.05亿</t>
  </si>
  <si>
    <t>41.72亿</t>
  </si>
  <si>
    <t>56.82亿</t>
  </si>
  <si>
    <t>37.81亿</t>
  </si>
  <si>
    <t>33.14亿</t>
  </si>
  <si>
    <t>9505.83万</t>
  </si>
  <si>
    <t>57826725亿</t>
  </si>
  <si>
    <t>19.59万</t>
  </si>
  <si>
    <t>375889060亿</t>
  </si>
  <si>
    <t>39.89亿</t>
  </si>
  <si>
    <t>2146691100亿</t>
  </si>
  <si>
    <t>2334.56万</t>
  </si>
  <si>
    <t>10056062100亿</t>
  </si>
  <si>
    <t>28.25亿</t>
  </si>
  <si>
    <t>70.23万</t>
  </si>
  <si>
    <t>54.52亿</t>
  </si>
  <si>
    <t>-1.10亿</t>
  </si>
  <si>
    <t>-4804.17万</t>
  </si>
  <si>
    <t>162.72亿</t>
  </si>
  <si>
    <t>3713.53万</t>
  </si>
  <si>
    <t>0738000000</t>
  </si>
  <si>
    <t>02214000000</t>
  </si>
  <si>
    <t>04428000000</t>
  </si>
  <si>
    <t>07380000000</t>
  </si>
  <si>
    <t>014760000000</t>
  </si>
  <si>
    <t>457.59万</t>
  </si>
  <si>
    <t>52.42亿</t>
  </si>
  <si>
    <t>91.74亿</t>
  </si>
  <si>
    <t>14.52亿</t>
  </si>
  <si>
    <t>22.29亿</t>
  </si>
  <si>
    <t>9.82亿</t>
  </si>
  <si>
    <t>5542.95万</t>
  </si>
  <si>
    <t>9783558亿</t>
  </si>
  <si>
    <t>55.83万</t>
  </si>
  <si>
    <t>377183310亿</t>
  </si>
  <si>
    <t>39.48亿</t>
  </si>
  <si>
    <t>2922563900亿</t>
  </si>
  <si>
    <t>2931.15万</t>
  </si>
  <si>
    <t>10256207000亿</t>
  </si>
  <si>
    <t>17.72亿</t>
  </si>
  <si>
    <t>45.81亿</t>
  </si>
  <si>
    <t>-2.53亿</t>
  </si>
  <si>
    <t>63.12亿</t>
  </si>
  <si>
    <t>18.67亿</t>
  </si>
  <si>
    <t>7647.57万</t>
  </si>
  <si>
    <t>2716.97万</t>
  </si>
  <si>
    <t>207.09万</t>
  </si>
  <si>
    <t>33.56亿</t>
  </si>
  <si>
    <t>2355.18万</t>
  </si>
  <si>
    <t>2590.85万</t>
  </si>
  <si>
    <t>1146318亿</t>
  </si>
  <si>
    <t>89.54万</t>
  </si>
  <si>
    <t>79981731亿</t>
  </si>
  <si>
    <t>832621180亿</t>
  </si>
  <si>
    <t>3111008000亿</t>
  </si>
  <si>
    <t>15.80亿</t>
  </si>
  <si>
    <t>5634.69万</t>
  </si>
  <si>
    <t>1992.64万</t>
  </si>
  <si>
    <t>966.68万</t>
  </si>
  <si>
    <t>5743.41万</t>
  </si>
  <si>
    <t>283.92万</t>
  </si>
  <si>
    <t>23.68亿</t>
  </si>
  <si>
    <t>1284.37万</t>
  </si>
  <si>
    <t>2581.79万</t>
  </si>
  <si>
    <t>2030.80万</t>
  </si>
  <si>
    <t>4849527亿</t>
  </si>
  <si>
    <t>1.56万</t>
  </si>
  <si>
    <t>51994500亿</t>
  </si>
  <si>
    <t>456826980亿</t>
  </si>
  <si>
    <t>8698.94万</t>
  </si>
  <si>
    <t>2541656700亿</t>
  </si>
  <si>
    <t>2359.12万</t>
  </si>
  <si>
    <t>9134.06万</t>
  </si>
  <si>
    <t>1723.66万</t>
  </si>
  <si>
    <t>-121.29万</t>
  </si>
  <si>
    <t>9460.50万</t>
  </si>
  <si>
    <t>201.09万</t>
  </si>
  <si>
    <t>10转4股派2.8元(含税)</t>
  </si>
  <si>
    <t>1173.86万</t>
  </si>
  <si>
    <t>8003.04万</t>
  </si>
  <si>
    <t>64.64万</t>
  </si>
  <si>
    <t>21.99亿</t>
  </si>
  <si>
    <t>5956.30万</t>
  </si>
  <si>
    <t>470.02万</t>
  </si>
  <si>
    <t>876.38万</t>
  </si>
  <si>
    <t>351922亿</t>
  </si>
  <si>
    <t>55.68万</t>
  </si>
  <si>
    <t>31513528亿</t>
  </si>
  <si>
    <t>8.00亿</t>
  </si>
  <si>
    <t>334889580亿</t>
  </si>
  <si>
    <t>278.02万</t>
  </si>
  <si>
    <t>1442860600亿</t>
  </si>
  <si>
    <t>4935.64万</t>
  </si>
  <si>
    <t>1.07万</t>
  </si>
  <si>
    <t>1090.00万</t>
  </si>
  <si>
    <t>285.48万</t>
  </si>
  <si>
    <t>3480.10万</t>
  </si>
  <si>
    <t>-2131.76万</t>
  </si>
  <si>
    <t>-1200.00万</t>
  </si>
  <si>
    <t>8.06亿</t>
  </si>
  <si>
    <t>1257.56万</t>
  </si>
  <si>
    <t>361.94万</t>
  </si>
  <si>
    <t>2508.00万</t>
  </si>
  <si>
    <t>1188.94万</t>
  </si>
  <si>
    <t>88.86亿</t>
  </si>
  <si>
    <t>169.23亿</t>
  </si>
  <si>
    <t>23.95亿</t>
  </si>
  <si>
    <t>-8440.95万</t>
  </si>
  <si>
    <t>20.93亿</t>
  </si>
  <si>
    <t>16.43亿</t>
  </si>
  <si>
    <t>9221.75万</t>
  </si>
  <si>
    <t>8534.62万</t>
  </si>
  <si>
    <t>39194489亿</t>
  </si>
  <si>
    <t>175.72万</t>
  </si>
  <si>
    <t>316540200亿</t>
  </si>
  <si>
    <t>21.64亿</t>
  </si>
  <si>
    <t>8981421000亿</t>
  </si>
  <si>
    <t>17030535000亿</t>
  </si>
  <si>
    <t>18.14亿</t>
  </si>
  <si>
    <t>48.84亿</t>
  </si>
  <si>
    <t>88.36亿</t>
  </si>
  <si>
    <t>-8430.78万</t>
  </si>
  <si>
    <t>9.63亿</t>
  </si>
  <si>
    <t>100.27亿</t>
  </si>
  <si>
    <t>7694.31万</t>
  </si>
  <si>
    <t>15.93亿</t>
  </si>
  <si>
    <t>398.94万</t>
  </si>
  <si>
    <t>10派0.9元(含税)</t>
  </si>
  <si>
    <t>5718.25万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</si>
</sst>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b/>
      <sz val="11"/>
      <color theme="1"/>
      <name val="宋体"/>
      <family val="3"/>
      <charset val="134"/>
      <scheme val="minor"/>
    </font>
    <font>
      <sz val="9"/>
      <color theme="1"/>
      <name val="宋体"/>
      <family val="2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b/>
      <sz val="9"/>
      <color rgb="FFFF0000"/>
      <name val="宋体"/>
      <family val="3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Fill="0" applyProtection="0"/>
  </cellStyleXfs>
  <cellXfs count="17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0" fontId="0" fillId="0" borderId="1" xfId="0" applyNumberFormat="1" applyFill="1" applyBorder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4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9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 applyFill="1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406400</xdr:colOff>
          <xdr:row>0</xdr:row>
          <xdr:rowOff>120650</xdr:rowOff>
        </xdr:from>
        <xdr:to>
          <xdr:col>147</xdr:col>
          <xdr:colOff>1524000</xdr:colOff>
          <xdr:row>0</xdr:row>
          <xdr:rowOff>431800</xdr:rowOff>
        </xdr:to>
        <xdr:sp macro="" textlink="">
          <xdr:nvSpPr>
            <xdr:cNvPr id="3073" name="Button 1" descr="更新基本面按钮&#10;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P34"/>
  <sheetViews>
    <sheetView tabSelected="1" zoomScale="85" zoomScaleNormal="85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D26" sqref="D26:EP26"/>
    </sheetView>
  </sheetViews>
  <sheetFormatPr defaultRowHeight="14" x14ac:dyDescent="0.25"/>
  <cols>
    <col min="1" max="1" width="32.1796875" customWidth="1"/>
    <col min="2" max="2" width="34.6328125" customWidth="1"/>
    <col min="3" max="3" width="40.81640625" customWidth="1"/>
    <col min="148" max="148" width="27.7265625" customWidth="1"/>
  </cols>
  <sheetData>
    <row r="1" spans="1:146" s="3" customFormat="1" ht="29.5" customHeight="1" x14ac:dyDescent="0.25">
      <c r="A1" s="4" t="s">
        <v>17</v>
      </c>
      <c r="B1" s="5" t="s">
        <v>18</v>
      </c>
      <c r="C1" s="4" t="s">
        <v>19</v>
      </c>
      <c r="D1" t="s">
        <v>20</v>
      </c>
      <c r="E1" t="s">
        <v>390</v>
      </c>
      <c r="F1" t="s">
        <v>3</v>
      </c>
      <c r="G1" t="s">
        <v>471</v>
      </c>
      <c r="H1" t="s">
        <v>472</v>
      </c>
      <c r="I1" t="s">
        <v>21</v>
      </c>
      <c r="J1" t="s">
        <v>22</v>
      </c>
      <c r="K1" t="s">
        <v>4</v>
      </c>
      <c r="L1" t="s">
        <v>23</v>
      </c>
      <c r="M1" t="s">
        <v>24</v>
      </c>
      <c r="N1" t="s">
        <v>25</v>
      </c>
      <c r="O1" t="s">
        <v>26</v>
      </c>
      <c r="P1" t="s">
        <v>473</v>
      </c>
      <c r="Q1" t="s">
        <v>408</v>
      </c>
      <c r="R1" t="s">
        <v>391</v>
      </c>
      <c r="S1" t="s">
        <v>27</v>
      </c>
      <c r="T1" t="s">
        <v>474</v>
      </c>
      <c r="U1" t="s">
        <v>355</v>
      </c>
      <c r="V1" t="s">
        <v>28</v>
      </c>
      <c r="W1" t="s">
        <v>409</v>
      </c>
      <c r="X1" t="s">
        <v>410</v>
      </c>
      <c r="Y1" t="s">
        <v>411</v>
      </c>
      <c r="Z1" t="s">
        <v>412</v>
      </c>
      <c r="AA1" t="s">
        <v>413</v>
      </c>
      <c r="AB1" t="s">
        <v>475</v>
      </c>
      <c r="AC1" t="s">
        <v>414</v>
      </c>
      <c r="AD1" t="s">
        <v>415</v>
      </c>
      <c r="AE1" t="s">
        <v>29</v>
      </c>
      <c r="AF1" t="s">
        <v>30</v>
      </c>
      <c r="AG1" t="s">
        <v>476</v>
      </c>
      <c r="AH1" t="s">
        <v>392</v>
      </c>
      <c r="AI1" t="s">
        <v>477</v>
      </c>
      <c r="AJ1" t="s">
        <v>31</v>
      </c>
      <c r="AK1" t="s">
        <v>478</v>
      </c>
      <c r="AL1" t="s">
        <v>217</v>
      </c>
      <c r="AM1" t="s">
        <v>479</v>
      </c>
      <c r="AN1" t="s">
        <v>480</v>
      </c>
      <c r="AO1" t="s">
        <v>481</v>
      </c>
      <c r="AP1" t="s">
        <v>482</v>
      </c>
      <c r="AQ1" t="s">
        <v>483</v>
      </c>
      <c r="AR1" t="s">
        <v>484</v>
      </c>
      <c r="AS1" t="s">
        <v>485</v>
      </c>
      <c r="AT1" t="s">
        <v>486</v>
      </c>
      <c r="AU1" t="s">
        <v>487</v>
      </c>
      <c r="AV1" t="s">
        <v>488</v>
      </c>
      <c r="AW1" t="s">
        <v>489</v>
      </c>
      <c r="AX1" t="s">
        <v>393</v>
      </c>
      <c r="AY1" t="s">
        <v>218</v>
      </c>
      <c r="AZ1" t="s">
        <v>219</v>
      </c>
      <c r="BA1" t="s">
        <v>220</v>
      </c>
      <c r="BB1" t="s">
        <v>221</v>
      </c>
      <c r="BC1" t="s">
        <v>356</v>
      </c>
      <c r="BD1" t="s">
        <v>222</v>
      </c>
      <c r="BE1" t="s">
        <v>223</v>
      </c>
      <c r="BF1" t="s">
        <v>224</v>
      </c>
      <c r="BG1" t="s">
        <v>225</v>
      </c>
      <c r="BH1" t="s">
        <v>490</v>
      </c>
      <c r="BI1" t="s">
        <v>491</v>
      </c>
      <c r="BJ1" t="s">
        <v>492</v>
      </c>
      <c r="BK1" t="s">
        <v>493</v>
      </c>
      <c r="BL1" t="s">
        <v>494</v>
      </c>
      <c r="BM1" t="s">
        <v>495</v>
      </c>
      <c r="BN1" t="s">
        <v>394</v>
      </c>
      <c r="BO1" t="s">
        <v>357</v>
      </c>
      <c r="BP1" t="s">
        <v>226</v>
      </c>
      <c r="BQ1" t="s">
        <v>395</v>
      </c>
      <c r="BR1" t="s">
        <v>358</v>
      </c>
      <c r="BS1" t="s">
        <v>227</v>
      </c>
      <c r="BT1" t="s">
        <v>496</v>
      </c>
      <c r="BU1" t="s">
        <v>416</v>
      </c>
      <c r="BV1" t="s">
        <v>497</v>
      </c>
      <c r="BW1" t="s">
        <v>324</v>
      </c>
      <c r="BX1" t="s">
        <v>228</v>
      </c>
      <c r="BY1" t="s">
        <v>498</v>
      </c>
      <c r="BZ1" t="s">
        <v>325</v>
      </c>
      <c r="CA1" t="s">
        <v>229</v>
      </c>
      <c r="CB1" t="s">
        <v>499</v>
      </c>
      <c r="CC1" t="s">
        <v>500</v>
      </c>
      <c r="CD1" t="s">
        <v>501</v>
      </c>
      <c r="CE1" t="s">
        <v>502</v>
      </c>
      <c r="CF1" s="1" t="s">
        <v>396</v>
      </c>
      <c r="CG1" s="1" t="s">
        <v>397</v>
      </c>
      <c r="CH1" s="1" t="s">
        <v>301</v>
      </c>
      <c r="CI1" s="1" t="s">
        <v>302</v>
      </c>
      <c r="CJ1" s="1" t="s">
        <v>303</v>
      </c>
      <c r="CK1" s="1" t="s">
        <v>304</v>
      </c>
      <c r="CL1" s="1" t="s">
        <v>305</v>
      </c>
      <c r="CM1" s="1" t="s">
        <v>306</v>
      </c>
      <c r="CN1" s="1" t="s">
        <v>307</v>
      </c>
      <c r="CO1" s="1" t="s">
        <v>308</v>
      </c>
      <c r="CP1" s="1" t="s">
        <v>309</v>
      </c>
      <c r="CQ1" s="1" t="s">
        <v>310</v>
      </c>
      <c r="CR1" s="1" t="s">
        <v>417</v>
      </c>
      <c r="CS1" s="1" t="s">
        <v>514</v>
      </c>
      <c r="CT1" s="1" t="s">
        <v>503</v>
      </c>
      <c r="CU1" s="1" t="s">
        <v>515</v>
      </c>
      <c r="CV1" s="1" t="s">
        <v>516</v>
      </c>
      <c r="CW1" s="1" t="s">
        <v>504</v>
      </c>
      <c r="CX1">
        <v>1</v>
      </c>
      <c r="CY1" t="s">
        <v>418</v>
      </c>
      <c r="CZ1" t="s">
        <v>517</v>
      </c>
      <c r="DA1">
        <v>3</v>
      </c>
      <c r="DB1" t="s">
        <v>419</v>
      </c>
      <c r="DC1" t="s">
        <v>518</v>
      </c>
      <c r="DD1">
        <v>6</v>
      </c>
      <c r="DE1" t="s">
        <v>505</v>
      </c>
      <c r="DF1" t="s">
        <v>420</v>
      </c>
      <c r="DG1">
        <v>10</v>
      </c>
      <c r="DH1" t="s">
        <v>421</v>
      </c>
      <c r="DI1" t="s">
        <v>506</v>
      </c>
      <c r="DJ1">
        <v>20</v>
      </c>
      <c r="DK1" t="s">
        <v>519</v>
      </c>
      <c r="DL1" t="s">
        <v>311</v>
      </c>
      <c r="DM1" t="s">
        <v>312</v>
      </c>
      <c r="DN1" s="2" t="s">
        <v>313</v>
      </c>
      <c r="DO1" t="s">
        <v>520</v>
      </c>
      <c r="DP1" t="s">
        <v>507</v>
      </c>
      <c r="DQ1" s="14" t="s">
        <v>508</v>
      </c>
      <c r="DR1" s="1" t="s">
        <v>521</v>
      </c>
      <c r="DS1" s="1" t="s">
        <v>522</v>
      </c>
      <c r="DT1" t="s">
        <v>523</v>
      </c>
      <c r="DU1" t="s">
        <v>509</v>
      </c>
      <c r="DV1" t="s">
        <v>422</v>
      </c>
      <c r="DW1" t="s">
        <v>524</v>
      </c>
      <c r="DX1" t="s">
        <v>525</v>
      </c>
      <c r="DY1" t="s">
        <v>423</v>
      </c>
      <c r="DZ1" t="s">
        <v>526</v>
      </c>
      <c r="EA1" t="s">
        <v>424</v>
      </c>
      <c r="EB1" t="s">
        <v>527</v>
      </c>
      <c r="EC1" t="s">
        <v>510</v>
      </c>
      <c r="ED1" t="s">
        <v>528</v>
      </c>
      <c r="EE1" t="s">
        <v>529</v>
      </c>
      <c r="EF1" t="s">
        <v>511</v>
      </c>
      <c r="EG1" t="s">
        <v>512</v>
      </c>
      <c r="EH1" t="s">
        <v>530</v>
      </c>
      <c r="EI1" t="s">
        <v>531</v>
      </c>
      <c r="EJ1"/>
      <c r="EK1" s="15" t="s">
        <v>532</v>
      </c>
      <c r="EL1" t="s">
        <v>533</v>
      </c>
      <c r="EM1" t="s">
        <v>534</v>
      </c>
      <c r="EN1" t="s">
        <v>513</v>
      </c>
      <c r="EO1" t="s">
        <v>535</v>
      </c>
      <c r="EP1" t="s">
        <v>536</v>
      </c>
    </row>
    <row r="2" spans="1:146" ht="108" x14ac:dyDescent="0.25">
      <c r="A2" s="8"/>
      <c r="B2" s="8"/>
      <c r="C2" s="8" t="str">
        <f>""&amp;CHAR(10)&amp;Basic_Fundamental_Information_Constructure(F2)&amp;CHAR(10)&amp;Basic_Fundamental_Information_Concatenate("")</f>
        <v xml:space="preserve">
市值641.30363亿, 利润35.06亿; PE17.76; 平均PE14.94; 平均PEG.94, PB1.12; ROIC5.2833%; ROE6.9733%; 股利率4.3302%; 毛利24.3267%; 净利7.75%; 上一年度营收增13.08%, 利润增52.04%; 当季营收增12.92%, 利润增13.06%; 过往5年营收增15.89%, 利润增31.58%
Income profile:
</v>
      </c>
      <c r="D2" t="s">
        <v>48</v>
      </c>
      <c r="E2" t="s">
        <v>10</v>
      </c>
      <c r="F2">
        <v>7.39</v>
      </c>
      <c r="G2">
        <v>0.68</v>
      </c>
      <c r="H2" t="s">
        <v>636</v>
      </c>
      <c r="I2">
        <v>64130363000</v>
      </c>
      <c r="J2">
        <v>17.760000000000002</v>
      </c>
      <c r="K2">
        <v>1.1200000000000001</v>
      </c>
      <c r="L2" t="s">
        <v>389</v>
      </c>
      <c r="M2" t="s">
        <v>637</v>
      </c>
      <c r="N2" t="s">
        <v>638</v>
      </c>
      <c r="O2" t="s">
        <v>639</v>
      </c>
      <c r="P2">
        <v>12.93</v>
      </c>
      <c r="Q2" t="s">
        <v>640</v>
      </c>
      <c r="R2">
        <v>915819270</v>
      </c>
      <c r="S2" s="6">
        <v>0.13059999999999999</v>
      </c>
      <c r="T2" t="s">
        <v>606</v>
      </c>
      <c r="U2">
        <v>7070510100</v>
      </c>
      <c r="V2">
        <v>8677992200</v>
      </c>
      <c r="W2">
        <v>2.21</v>
      </c>
      <c r="X2">
        <v>0.09</v>
      </c>
      <c r="Y2">
        <v>8.67</v>
      </c>
      <c r="Z2" t="s">
        <v>641</v>
      </c>
      <c r="AA2" t="s">
        <v>642</v>
      </c>
      <c r="AB2" t="s">
        <v>643</v>
      </c>
      <c r="AC2" t="s">
        <v>250</v>
      </c>
      <c r="AD2" t="s">
        <v>5</v>
      </c>
      <c r="AE2">
        <v>53782196</v>
      </c>
      <c r="AF2" t="s">
        <v>644</v>
      </c>
      <c r="AG2" t="s">
        <v>645</v>
      </c>
      <c r="AH2" t="s">
        <v>646</v>
      </c>
      <c r="AI2" t="s">
        <v>647</v>
      </c>
      <c r="AJ2" t="s">
        <v>648</v>
      </c>
      <c r="AK2" t="s">
        <v>125</v>
      </c>
      <c r="AL2" t="s">
        <v>649</v>
      </c>
      <c r="AM2" t="s">
        <v>5</v>
      </c>
      <c r="AN2" t="s">
        <v>650</v>
      </c>
      <c r="AO2" t="s">
        <v>651</v>
      </c>
      <c r="AP2" t="s">
        <v>652</v>
      </c>
      <c r="AQ2" t="s">
        <v>653</v>
      </c>
      <c r="AR2" t="s">
        <v>5</v>
      </c>
      <c r="AS2" t="s">
        <v>654</v>
      </c>
      <c r="AT2" t="s">
        <v>655</v>
      </c>
      <c r="AU2" t="s">
        <v>132</v>
      </c>
      <c r="AV2" t="s">
        <v>656</v>
      </c>
      <c r="AW2" t="s">
        <v>657</v>
      </c>
      <c r="AX2" t="s">
        <v>543</v>
      </c>
      <c r="AY2" t="s">
        <v>359</v>
      </c>
      <c r="AZ2" t="s">
        <v>230</v>
      </c>
      <c r="BA2" t="s">
        <v>49</v>
      </c>
      <c r="BB2" t="s">
        <v>232</v>
      </c>
      <c r="BC2" t="s">
        <v>448</v>
      </c>
      <c r="BD2" t="s">
        <v>360</v>
      </c>
      <c r="BE2" t="s">
        <v>231</v>
      </c>
      <c r="BF2" t="s">
        <v>50</v>
      </c>
      <c r="BG2" t="s">
        <v>233</v>
      </c>
      <c r="BH2" t="s">
        <v>640</v>
      </c>
      <c r="BI2" t="s">
        <v>658</v>
      </c>
      <c r="BJ2" t="s">
        <v>543</v>
      </c>
      <c r="BK2" t="s">
        <v>606</v>
      </c>
      <c r="BL2" t="s">
        <v>214</v>
      </c>
      <c r="BM2" t="s">
        <v>448</v>
      </c>
      <c r="BN2">
        <v>3.6</v>
      </c>
      <c r="BO2">
        <v>2.96</v>
      </c>
      <c r="BP2">
        <v>9.2899999999999991</v>
      </c>
      <c r="BQ2">
        <v>5.23</v>
      </c>
      <c r="BR2">
        <v>4.13</v>
      </c>
      <c r="BS2">
        <v>11.56</v>
      </c>
      <c r="BT2" t="s">
        <v>459</v>
      </c>
      <c r="BU2" t="s">
        <v>389</v>
      </c>
      <c r="BV2">
        <v>27.54</v>
      </c>
      <c r="BW2">
        <v>21.83</v>
      </c>
      <c r="BX2">
        <v>23.61</v>
      </c>
      <c r="BY2">
        <v>8.01</v>
      </c>
      <c r="BZ2">
        <v>5.73</v>
      </c>
      <c r="CA2">
        <v>9.51</v>
      </c>
      <c r="CB2">
        <v>-3.78</v>
      </c>
      <c r="CC2">
        <v>-9.2100000000000009</v>
      </c>
      <c r="CD2" t="s">
        <v>106</v>
      </c>
      <c r="CE2" t="s">
        <v>659</v>
      </c>
      <c r="CF2" s="10">
        <v>0.12919624016880873</v>
      </c>
      <c r="CG2" s="11">
        <v>0.13064107407407408</v>
      </c>
      <c r="CH2" s="10">
        <v>0.13076798617839813</v>
      </c>
      <c r="CI2" s="10">
        <v>-0.37985432147979736</v>
      </c>
      <c r="CJ2" s="10">
        <v>3.1055592000484467E-2</v>
      </c>
      <c r="CK2" s="10">
        <v>0.50342899560928345</v>
      </c>
      <c r="CL2" s="10">
        <v>0.50911241769790649</v>
      </c>
      <c r="CM2" s="11">
        <v>0.5203816294670105</v>
      </c>
      <c r="CN2" s="11">
        <v>-0.6322169303894043</v>
      </c>
      <c r="CO2" s="11">
        <v>-0.13885453343391418</v>
      </c>
      <c r="CP2" s="11">
        <v>0.66575157642364502</v>
      </c>
      <c r="CQ2" s="11">
        <v>1.1638612747192383</v>
      </c>
      <c r="CR2">
        <v>14.940676322124718</v>
      </c>
      <c r="CS2">
        <v>0.94024390647936262</v>
      </c>
      <c r="CT2">
        <v>4.3301759133964826</v>
      </c>
      <c r="CU2" s="10">
        <v>0.15890213400125502</v>
      </c>
      <c r="CV2" s="11">
        <v>0.31578460335731506</v>
      </c>
      <c r="CW2">
        <v>0.06</v>
      </c>
      <c r="CX2">
        <v>19.769611786781617</v>
      </c>
      <c r="CY2">
        <v>3833123473.404151</v>
      </c>
      <c r="CZ2">
        <v>0.15890213400125502</v>
      </c>
      <c r="DA2">
        <v>6.097203958042777</v>
      </c>
      <c r="DB2">
        <v>12428543234.155714</v>
      </c>
      <c r="DC2">
        <v>0.15095702730119226</v>
      </c>
      <c r="DD2">
        <v>2.7725462415648447</v>
      </c>
      <c r="DE2">
        <v>27332046572.911114</v>
      </c>
      <c r="DF2">
        <v>0.13983387792110441</v>
      </c>
      <c r="DG2">
        <v>1.5182725558543217</v>
      </c>
      <c r="DH2">
        <v>49911567397.962654</v>
      </c>
      <c r="DI2">
        <v>0.12712170720100402</v>
      </c>
      <c r="DJ2">
        <v>0.6346082804222426</v>
      </c>
      <c r="DK2">
        <v>119411242080.83054</v>
      </c>
      <c r="DL2">
        <v>0.1112314938008785</v>
      </c>
      <c r="DM2">
        <v>3506000000</v>
      </c>
      <c r="DN2">
        <v>0.15890213400125502</v>
      </c>
      <c r="DO2">
        <v>75779363000</v>
      </c>
      <c r="DP2">
        <v>29584747000</v>
      </c>
      <c r="DQ2">
        <v>61</v>
      </c>
      <c r="DR2">
        <v>-2.970589383244629E-2</v>
      </c>
      <c r="DS2">
        <v>-0.18514352928324099</v>
      </c>
      <c r="DT2" s="12">
        <v>-0.37333333333333335</v>
      </c>
      <c r="DU2">
        <v>0.29999999999999993</v>
      </c>
      <c r="DV2">
        <v>-7.3333333333333417E-2</v>
      </c>
      <c r="DW2">
        <v>-8.4104234527687289</v>
      </c>
      <c r="DX2">
        <v>0.30777778649638166</v>
      </c>
      <c r="DY2">
        <v>-8.072964172959427</v>
      </c>
      <c r="DZ2">
        <v>1891</v>
      </c>
      <c r="EA2">
        <v>-8.0459631453535021</v>
      </c>
      <c r="EB2">
        <v>8</v>
      </c>
      <c r="EC2">
        <v>2.6734294598697608E-2</v>
      </c>
      <c r="ED2">
        <v>0.15038040711767406</v>
      </c>
      <c r="EE2" s="13">
        <v>2.0994000000000002</v>
      </c>
      <c r="EF2">
        <v>2.0661</v>
      </c>
      <c r="EG2">
        <v>13.177777786496382</v>
      </c>
      <c r="EH2" t="s">
        <v>555</v>
      </c>
      <c r="EI2">
        <v>0</v>
      </c>
      <c r="EJ2">
        <v>0</v>
      </c>
      <c r="EK2" s="15">
        <v>45470</v>
      </c>
      <c r="EL2" s="16">
        <v>1.41</v>
      </c>
      <c r="EM2" s="16">
        <v>-1.27</v>
      </c>
      <c r="EN2" s="16">
        <v>0.51</v>
      </c>
      <c r="EO2" s="16">
        <v>-0.38</v>
      </c>
      <c r="EP2" s="16">
        <v>-3.33</v>
      </c>
    </row>
    <row r="3" spans="1:146" ht="108" x14ac:dyDescent="0.25">
      <c r="A3" s="8"/>
      <c r="B3" s="8"/>
      <c r="C3" s="8" t="str">
        <f>""&amp;CHAR(10)&amp;Basic_Fundamental_Information_Constructure(F3)&amp;CHAR(10)&amp;Basic_Fundamental_Information_Concatenate("")</f>
        <v xml:space="preserve">
市值783.41181亿, 利润53.26亿; PE14.5; 平均PE17.25; 平均PEG.9, PB1.35; ROIC5.92%; ROE11.07%; 股利率2.7149%; 毛利19.61%; 净利5.64%; 上一年度营收增-1.03%, 利润增23.52%; 当季营收增1.18%, 利润增5.09%; 过往5年营收增19.09%, 利润增35.22%
Income profile:
</v>
      </c>
      <c r="D3" t="s">
        <v>51</v>
      </c>
      <c r="E3" t="s">
        <v>12</v>
      </c>
      <c r="F3">
        <v>6.63</v>
      </c>
      <c r="G3">
        <v>0.15</v>
      </c>
      <c r="H3" t="s">
        <v>660</v>
      </c>
      <c r="I3">
        <v>78341181000</v>
      </c>
      <c r="J3">
        <v>14.5</v>
      </c>
      <c r="K3">
        <v>1.35</v>
      </c>
      <c r="L3" t="s">
        <v>389</v>
      </c>
      <c r="M3" t="s">
        <v>661</v>
      </c>
      <c r="N3" t="s">
        <v>662</v>
      </c>
      <c r="O3" t="s">
        <v>663</v>
      </c>
      <c r="P3">
        <v>1.18</v>
      </c>
      <c r="Q3" t="s">
        <v>664</v>
      </c>
      <c r="R3">
        <v>1600471800</v>
      </c>
      <c r="S3" s="6">
        <v>5.0599999999999999E-2</v>
      </c>
      <c r="T3" t="s">
        <v>665</v>
      </c>
      <c r="U3">
        <v>8120089600</v>
      </c>
      <c r="V3">
        <v>11816166100</v>
      </c>
      <c r="W3">
        <v>2.78</v>
      </c>
      <c r="X3">
        <v>0.15</v>
      </c>
      <c r="Y3">
        <v>6.63</v>
      </c>
      <c r="Z3" t="s">
        <v>666</v>
      </c>
      <c r="AA3" t="s">
        <v>667</v>
      </c>
      <c r="AB3" t="s">
        <v>262</v>
      </c>
      <c r="AC3" t="s">
        <v>153</v>
      </c>
      <c r="AD3" t="s">
        <v>5</v>
      </c>
      <c r="AE3">
        <v>351366330</v>
      </c>
      <c r="AF3" t="s">
        <v>668</v>
      </c>
      <c r="AG3" t="s">
        <v>669</v>
      </c>
      <c r="AH3" t="s">
        <v>670</v>
      </c>
      <c r="AI3" t="s">
        <v>671</v>
      </c>
      <c r="AJ3" t="s">
        <v>672</v>
      </c>
      <c r="AK3" t="s">
        <v>673</v>
      </c>
      <c r="AL3" t="s">
        <v>674</v>
      </c>
      <c r="AM3" t="s">
        <v>5</v>
      </c>
      <c r="AN3" t="s">
        <v>675</v>
      </c>
      <c r="AO3" t="s">
        <v>676</v>
      </c>
      <c r="AP3" t="s">
        <v>677</v>
      </c>
      <c r="AQ3" t="s">
        <v>678</v>
      </c>
      <c r="AR3" t="s">
        <v>5</v>
      </c>
      <c r="AS3" t="s">
        <v>679</v>
      </c>
      <c r="AT3" t="s">
        <v>680</v>
      </c>
      <c r="AU3" t="s">
        <v>138</v>
      </c>
      <c r="AV3" t="s">
        <v>681</v>
      </c>
      <c r="AW3" t="s">
        <v>682</v>
      </c>
      <c r="AX3" t="s">
        <v>545</v>
      </c>
      <c r="AY3" t="s">
        <v>546</v>
      </c>
      <c r="AZ3" t="s">
        <v>234</v>
      </c>
      <c r="BA3" t="s">
        <v>52</v>
      </c>
      <c r="BB3" t="s">
        <v>235</v>
      </c>
      <c r="BC3" t="s">
        <v>683</v>
      </c>
      <c r="BD3" t="s">
        <v>547</v>
      </c>
      <c r="BE3" t="s">
        <v>114</v>
      </c>
      <c r="BF3" t="s">
        <v>53</v>
      </c>
      <c r="BG3" t="s">
        <v>236</v>
      </c>
      <c r="BH3" t="s">
        <v>664</v>
      </c>
      <c r="BI3" t="s">
        <v>684</v>
      </c>
      <c r="BJ3" t="s">
        <v>545</v>
      </c>
      <c r="BK3" t="s">
        <v>665</v>
      </c>
      <c r="BL3" t="s">
        <v>685</v>
      </c>
      <c r="BM3" t="s">
        <v>683</v>
      </c>
      <c r="BN3">
        <v>4.9000000000000004</v>
      </c>
      <c r="BO3">
        <v>4.97</v>
      </c>
      <c r="BP3">
        <v>7.89</v>
      </c>
      <c r="BQ3">
        <v>8.84</v>
      </c>
      <c r="BR3">
        <v>8.1300000000000008</v>
      </c>
      <c r="BS3">
        <v>16.239999999999998</v>
      </c>
      <c r="BT3" t="s">
        <v>464</v>
      </c>
      <c r="BU3" t="s">
        <v>389</v>
      </c>
      <c r="BV3">
        <v>22.38</v>
      </c>
      <c r="BW3">
        <v>20.21</v>
      </c>
      <c r="BX3">
        <v>16.239999999999998</v>
      </c>
      <c r="BY3">
        <v>5.64</v>
      </c>
      <c r="BZ3">
        <v>4.58</v>
      </c>
      <c r="CA3">
        <v>6.7</v>
      </c>
      <c r="CB3">
        <v>-4.88</v>
      </c>
      <c r="CC3">
        <v>-11.13</v>
      </c>
      <c r="CD3" t="s">
        <v>593</v>
      </c>
      <c r="CE3" t="s">
        <v>686</v>
      </c>
      <c r="CF3" s="10">
        <v>1.1760766751768301E-2</v>
      </c>
      <c r="CG3" s="11">
        <v>5.0867892317793831E-2</v>
      </c>
      <c r="CH3" s="10">
        <v>-1.0328693315386772E-2</v>
      </c>
      <c r="CI3" s="10">
        <v>-0.19674471020698547</v>
      </c>
      <c r="CJ3" s="10">
        <v>0.57900708913803101</v>
      </c>
      <c r="CK3" s="10">
        <v>0.24996618926525116</v>
      </c>
      <c r="CL3" s="10">
        <v>0.33249273896217346</v>
      </c>
      <c r="CM3" s="11">
        <v>0.23515772819519043</v>
      </c>
      <c r="CN3" s="11">
        <v>-0.47465887665748596</v>
      </c>
      <c r="CO3" s="11">
        <v>1.2011263370513916</v>
      </c>
      <c r="CP3" s="11">
        <v>2.982601523399353E-2</v>
      </c>
      <c r="CQ3" s="11">
        <v>0.76979470252990723</v>
      </c>
      <c r="CR3">
        <v>17.254499889875927</v>
      </c>
      <c r="CS3">
        <v>0.90395187680658373</v>
      </c>
      <c r="CT3">
        <v>2.7149321266968327</v>
      </c>
      <c r="CU3" s="10">
        <v>0.19087852276861667</v>
      </c>
      <c r="CV3" s="11">
        <v>0.35224918127059934</v>
      </c>
      <c r="CW3">
        <v>0.06</v>
      </c>
      <c r="CX3">
        <v>20.660993764023889</v>
      </c>
      <c r="CY3">
        <v>5983602841.7600489</v>
      </c>
      <c r="CZ3">
        <v>0.19087852276861667</v>
      </c>
      <c r="DA3">
        <v>6.2052428667211297</v>
      </c>
      <c r="DB3">
        <v>19923020525.597092</v>
      </c>
      <c r="DC3">
        <v>0.18133459663018583</v>
      </c>
      <c r="DD3">
        <v>2.7175345051591289</v>
      </c>
      <c r="DE3">
        <v>45492405253.842712</v>
      </c>
      <c r="DF3">
        <v>0.16797310003638266</v>
      </c>
      <c r="DG3">
        <v>1.4221017119084436</v>
      </c>
      <c r="DH3">
        <v>86932727782.244064</v>
      </c>
      <c r="DI3">
        <v>0.15270281821489334</v>
      </c>
      <c r="DJ3">
        <v>0.5326393208791107</v>
      </c>
      <c r="DK3">
        <v>232102993815.69461</v>
      </c>
      <c r="DL3">
        <v>0.13361496593803165</v>
      </c>
      <c r="DM3">
        <v>5326000000</v>
      </c>
      <c r="DN3">
        <v>0.19087852276861667</v>
      </c>
      <c r="DO3">
        <v>123627181000</v>
      </c>
      <c r="DP3">
        <v>29247394000</v>
      </c>
      <c r="DQ3">
        <v>86</v>
      </c>
      <c r="DR3">
        <v>-0.17911775601684837</v>
      </c>
      <c r="DS3">
        <v>-0.30138128895280553</v>
      </c>
      <c r="DT3" s="12">
        <v>-0.24000000000000007</v>
      </c>
      <c r="DU3">
        <v>0.48333333333333334</v>
      </c>
      <c r="DV3">
        <v>0.24333333333333326</v>
      </c>
      <c r="DW3">
        <v>-8.4384546271338721</v>
      </c>
      <c r="DX3">
        <v>0.32069069069069045</v>
      </c>
      <c r="DY3">
        <v>-8.083609215684687</v>
      </c>
      <c r="DZ3">
        <v>1170</v>
      </c>
      <c r="EA3">
        <v>-8.0644658140504237</v>
      </c>
      <c r="EB3">
        <v>8</v>
      </c>
      <c r="EC3">
        <v>4.2991948124358206E-2</v>
      </c>
      <c r="ED3">
        <v>0.22545383819545325</v>
      </c>
      <c r="EE3" s="13">
        <v>-1.0141</v>
      </c>
      <c r="EF3">
        <v>-1.0422100000000001</v>
      </c>
      <c r="EG3">
        <v>13.19069069069069</v>
      </c>
      <c r="EH3" t="s">
        <v>406</v>
      </c>
      <c r="EI3">
        <v>0</v>
      </c>
      <c r="EJ3">
        <v>1</v>
      </c>
      <c r="EK3" s="15">
        <v>45470</v>
      </c>
      <c r="EL3" s="16">
        <v>1.8</v>
      </c>
      <c r="EM3" s="16">
        <v>-0.68</v>
      </c>
      <c r="EN3" s="16">
        <v>1.78</v>
      </c>
      <c r="EO3" s="16">
        <v>0.13</v>
      </c>
      <c r="EP3" s="16">
        <v>-5.63</v>
      </c>
    </row>
    <row r="4" spans="1:146" ht="96" x14ac:dyDescent="0.25">
      <c r="A4" s="8"/>
      <c r="B4" s="8"/>
      <c r="C4" s="8" t="str">
        <f>""&amp;CHAR(10)&amp;Basic_Fundamental_Information_Constructure(F4)&amp;CHAR(10)&amp;Basic_Fundamental_Information_Concatenate("")</f>
        <v xml:space="preserve">
市值211.91109亿, 利润8.68亿; PE20.17; 平均PE22.26; 平均PEG2.31, PB1.23; ROIC3.2667%; ROE5.2167%; 股利率1.8551%; 毛利18.3633%; 净利3.1367%; 上一年度营收增3.92%, 利润增44.91%; 当季营收增1.89%, 利润增58.06%; 过往5年营收增9.63%, 利润增8.91%
Income profile:
</v>
      </c>
      <c r="D4" t="s">
        <v>54</v>
      </c>
      <c r="E4" t="s">
        <v>16</v>
      </c>
      <c r="F4">
        <v>10.71</v>
      </c>
      <c r="G4">
        <v>1.23</v>
      </c>
      <c r="H4" t="s">
        <v>687</v>
      </c>
      <c r="I4">
        <v>21191109000</v>
      </c>
      <c r="J4">
        <v>20.170000000000002</v>
      </c>
      <c r="K4">
        <v>1.23</v>
      </c>
      <c r="L4" t="s">
        <v>389</v>
      </c>
      <c r="M4" t="s">
        <v>688</v>
      </c>
      <c r="N4" t="s">
        <v>689</v>
      </c>
      <c r="O4" t="s">
        <v>690</v>
      </c>
      <c r="P4">
        <v>1.88</v>
      </c>
      <c r="Q4" t="s">
        <v>691</v>
      </c>
      <c r="R4">
        <v>497893810</v>
      </c>
      <c r="S4" s="6">
        <v>0.58030000000000004</v>
      </c>
      <c r="T4" t="s">
        <v>566</v>
      </c>
      <c r="U4">
        <v>1440325500</v>
      </c>
      <c r="V4">
        <v>1978628300</v>
      </c>
      <c r="W4">
        <v>2.5299999999999998</v>
      </c>
      <c r="X4">
        <v>0.17</v>
      </c>
      <c r="Y4">
        <v>6.49</v>
      </c>
      <c r="Z4" t="s">
        <v>692</v>
      </c>
      <c r="AA4" t="s">
        <v>693</v>
      </c>
      <c r="AB4" t="s">
        <v>443</v>
      </c>
      <c r="AC4" t="s">
        <v>145</v>
      </c>
      <c r="AD4" t="s">
        <v>5</v>
      </c>
      <c r="AE4">
        <v>52779959</v>
      </c>
      <c r="AF4" t="s">
        <v>694</v>
      </c>
      <c r="AG4" t="s">
        <v>695</v>
      </c>
      <c r="AH4" t="s">
        <v>696</v>
      </c>
      <c r="AI4" t="s">
        <v>697</v>
      </c>
      <c r="AJ4" t="s">
        <v>698</v>
      </c>
      <c r="AK4" t="s">
        <v>97</v>
      </c>
      <c r="AL4" t="s">
        <v>699</v>
      </c>
      <c r="AM4" t="s">
        <v>5</v>
      </c>
      <c r="AN4" t="s">
        <v>178</v>
      </c>
      <c r="AO4" t="s">
        <v>700</v>
      </c>
      <c r="AP4" t="s">
        <v>701</v>
      </c>
      <c r="AQ4" t="s">
        <v>702</v>
      </c>
      <c r="AR4" t="s">
        <v>703</v>
      </c>
      <c r="AS4" t="s">
        <v>704</v>
      </c>
      <c r="AT4" t="s">
        <v>705</v>
      </c>
      <c r="AU4" t="s">
        <v>706</v>
      </c>
      <c r="AV4" t="s">
        <v>707</v>
      </c>
      <c r="AW4" t="s">
        <v>708</v>
      </c>
      <c r="AX4" t="s">
        <v>548</v>
      </c>
      <c r="AY4" t="s">
        <v>361</v>
      </c>
      <c r="AZ4" t="s">
        <v>362</v>
      </c>
      <c r="BA4" t="s">
        <v>55</v>
      </c>
      <c r="BB4" t="s">
        <v>239</v>
      </c>
      <c r="BC4" t="s">
        <v>264</v>
      </c>
      <c r="BD4" t="s">
        <v>386</v>
      </c>
      <c r="BE4" t="s">
        <v>327</v>
      </c>
      <c r="BF4" t="s">
        <v>56</v>
      </c>
      <c r="BG4" t="s">
        <v>124</v>
      </c>
      <c r="BH4" t="s">
        <v>691</v>
      </c>
      <c r="BI4" t="s">
        <v>709</v>
      </c>
      <c r="BJ4" t="s">
        <v>548</v>
      </c>
      <c r="BK4" t="s">
        <v>566</v>
      </c>
      <c r="BL4" t="s">
        <v>133</v>
      </c>
      <c r="BM4" t="s">
        <v>264</v>
      </c>
      <c r="BN4">
        <v>3.33</v>
      </c>
      <c r="BO4">
        <v>2.5099999999999998</v>
      </c>
      <c r="BP4">
        <v>3.96</v>
      </c>
      <c r="BQ4">
        <v>5.16</v>
      </c>
      <c r="BR4">
        <v>3.85</v>
      </c>
      <c r="BS4">
        <v>6.64</v>
      </c>
      <c r="BT4" t="s">
        <v>710</v>
      </c>
      <c r="BU4" t="s">
        <v>389</v>
      </c>
      <c r="BV4">
        <v>20.82</v>
      </c>
      <c r="BW4">
        <v>16.8</v>
      </c>
      <c r="BX4">
        <v>17.47</v>
      </c>
      <c r="BY4">
        <v>3.42</v>
      </c>
      <c r="BZ4">
        <v>2.44</v>
      </c>
      <c r="CA4">
        <v>3.55</v>
      </c>
      <c r="CB4">
        <v>-4.29</v>
      </c>
      <c r="CC4">
        <v>6.45</v>
      </c>
      <c r="CD4" t="s">
        <v>243</v>
      </c>
      <c r="CE4" t="s">
        <v>607</v>
      </c>
      <c r="CF4" s="10">
        <v>1.8865503080082134E-2</v>
      </c>
      <c r="CG4" s="11">
        <v>0.58061526984126988</v>
      </c>
      <c r="CH4" s="10">
        <v>3.9237141609191895E-2</v>
      </c>
      <c r="CI4" s="10">
        <v>-7.7384017407894135E-2</v>
      </c>
      <c r="CJ4" s="10">
        <v>0.10477688908576965</v>
      </c>
      <c r="CK4" s="10">
        <v>0.35469570755958557</v>
      </c>
      <c r="CL4" s="10">
        <v>6.0381632298231125E-2</v>
      </c>
      <c r="CM4" s="11">
        <v>0.44908180832862854</v>
      </c>
      <c r="CN4" s="11">
        <v>-0.39919757843017578</v>
      </c>
      <c r="CO4" s="11">
        <v>-0.30763888359069824</v>
      </c>
      <c r="CP4" s="11">
        <v>0.41592919826507568</v>
      </c>
      <c r="CQ4" s="11">
        <v>0.28734177350997925</v>
      </c>
      <c r="CR4">
        <v>22.263465942917176</v>
      </c>
      <c r="CS4">
        <v>2.3108912286232992</v>
      </c>
      <c r="CT4">
        <v>1.8550606909430436</v>
      </c>
      <c r="CU4" s="10">
        <v>9.6341470628976827E-2</v>
      </c>
      <c r="CV4" s="11">
        <v>8.9103263616561887E-2</v>
      </c>
      <c r="CW4">
        <v>0.06</v>
      </c>
      <c r="CX4">
        <v>34.835756272871741</v>
      </c>
      <c r="CY4">
        <v>897758864.62825656</v>
      </c>
      <c r="CZ4">
        <v>9.6341470628976827E-2</v>
      </c>
      <c r="DA4">
        <v>11.323077441473188</v>
      </c>
      <c r="DB4">
        <v>2761979608.6046271</v>
      </c>
      <c r="DC4">
        <v>9.1524397097527979E-2</v>
      </c>
      <c r="DD4">
        <v>5.5341356777003057</v>
      </c>
      <c r="DE4">
        <v>5651127984.8122311</v>
      </c>
      <c r="DF4">
        <v>8.4780494153499614E-2</v>
      </c>
      <c r="DG4">
        <v>3.2964124163181179</v>
      </c>
      <c r="DH4">
        <v>9487316831.2268353</v>
      </c>
      <c r="DI4">
        <v>7.7073176503181462E-2</v>
      </c>
      <c r="DJ4">
        <v>1.6725974205948437</v>
      </c>
      <c r="DK4">
        <v>18697929707.961437</v>
      </c>
      <c r="DL4">
        <v>6.7439029440283779E-2</v>
      </c>
      <c r="DM4">
        <v>868000000</v>
      </c>
      <c r="DN4">
        <v>9.6341470628976827E-2</v>
      </c>
      <c r="DO4">
        <v>31274109000</v>
      </c>
      <c r="DP4">
        <v>11101445000</v>
      </c>
      <c r="DQ4">
        <v>113</v>
      </c>
      <c r="DR4">
        <v>-7.7475967548894686E-2</v>
      </c>
      <c r="DS4">
        <v>0.49151200622470798</v>
      </c>
      <c r="DT4" s="12">
        <v>-0.32333333333333336</v>
      </c>
      <c r="DU4">
        <v>0.53999999999999992</v>
      </c>
      <c r="DV4">
        <v>0.21666666666666656</v>
      </c>
      <c r="DW4">
        <v>-6.3994413407821229</v>
      </c>
      <c r="DX4">
        <v>0.30734824281150142</v>
      </c>
      <c r="DY4">
        <v>-6.0628513930783372</v>
      </c>
      <c r="DZ4">
        <v>1225</v>
      </c>
      <c r="EA4">
        <v>-6.0477842782992841</v>
      </c>
      <c r="EB4">
        <v>6</v>
      </c>
      <c r="EC4">
        <v>9.9563925169775441E-2</v>
      </c>
      <c r="ED4">
        <v>0.6327615954952226</v>
      </c>
      <c r="EE4" s="13">
        <v>3.1009999999999999E-2</v>
      </c>
      <c r="EF4">
        <v>5.7610000000000001E-2</v>
      </c>
      <c r="EG4">
        <v>15.157348242811501</v>
      </c>
      <c r="EH4">
        <v>-1</v>
      </c>
      <c r="EI4">
        <v>0</v>
      </c>
      <c r="EJ4">
        <v>1</v>
      </c>
      <c r="EK4" s="15">
        <v>45470</v>
      </c>
      <c r="EL4" s="16">
        <v>2.4900000000000002</v>
      </c>
      <c r="EM4" s="16">
        <v>-0.35</v>
      </c>
      <c r="EN4" s="16">
        <v>1.1299999999999999</v>
      </c>
      <c r="EO4" s="16">
        <v>-2.84</v>
      </c>
      <c r="EP4" s="16">
        <v>-2.66</v>
      </c>
    </row>
    <row r="5" spans="1:146" ht="108" x14ac:dyDescent="0.25">
      <c r="A5" s="8" t="s">
        <v>354</v>
      </c>
      <c r="B5" s="8" t="s">
        <v>353</v>
      </c>
      <c r="C5" s="8" t="s">
        <v>352</v>
      </c>
      <c r="D5" t="s">
        <v>59</v>
      </c>
      <c r="E5" t="s">
        <v>6</v>
      </c>
      <c r="F5">
        <v>8.39</v>
      </c>
      <c r="G5">
        <v>-0.47</v>
      </c>
      <c r="H5" t="s">
        <v>711</v>
      </c>
      <c r="I5">
        <v>12587747000</v>
      </c>
      <c r="J5">
        <v>15.66</v>
      </c>
      <c r="K5">
        <v>2.1800000000000002</v>
      </c>
      <c r="L5" t="s">
        <v>389</v>
      </c>
      <c r="M5" t="s">
        <v>712</v>
      </c>
      <c r="N5" t="s">
        <v>713</v>
      </c>
      <c r="O5" t="s">
        <v>714</v>
      </c>
      <c r="P5">
        <v>29.39</v>
      </c>
      <c r="Q5" t="s">
        <v>715</v>
      </c>
      <c r="R5">
        <v>207509140</v>
      </c>
      <c r="S5" s="6">
        <v>0.2281</v>
      </c>
      <c r="T5" t="s">
        <v>578</v>
      </c>
      <c r="U5">
        <v>1307994730</v>
      </c>
      <c r="V5">
        <v>1500327400</v>
      </c>
      <c r="W5">
        <v>2.34</v>
      </c>
      <c r="X5">
        <v>0.22</v>
      </c>
      <c r="Y5">
        <v>6.79</v>
      </c>
      <c r="Z5" t="s">
        <v>716</v>
      </c>
      <c r="AA5" t="s">
        <v>71</v>
      </c>
      <c r="AB5" t="s">
        <v>159</v>
      </c>
      <c r="AC5" t="s">
        <v>717</v>
      </c>
      <c r="AD5" t="s">
        <v>5</v>
      </c>
      <c r="AE5">
        <v>-50495</v>
      </c>
      <c r="AF5" t="s">
        <v>718</v>
      </c>
      <c r="AG5" t="s">
        <v>719</v>
      </c>
      <c r="AH5" t="s">
        <v>720</v>
      </c>
      <c r="AI5" t="s">
        <v>721</v>
      </c>
      <c r="AJ5" t="s">
        <v>722</v>
      </c>
      <c r="AK5" t="s">
        <v>5</v>
      </c>
      <c r="AL5" t="s">
        <v>723</v>
      </c>
      <c r="AM5" t="s">
        <v>5</v>
      </c>
      <c r="AN5" t="s">
        <v>154</v>
      </c>
      <c r="AO5" t="s">
        <v>149</v>
      </c>
      <c r="AP5" t="s">
        <v>724</v>
      </c>
      <c r="AQ5" t="s">
        <v>725</v>
      </c>
      <c r="AR5" t="s">
        <v>5</v>
      </c>
      <c r="AS5" t="s">
        <v>726</v>
      </c>
      <c r="AT5" t="s">
        <v>191</v>
      </c>
      <c r="AU5" t="s">
        <v>727</v>
      </c>
      <c r="AV5" t="s">
        <v>728</v>
      </c>
      <c r="AW5" t="s">
        <v>729</v>
      </c>
      <c r="AX5" t="s">
        <v>549</v>
      </c>
      <c r="AY5" t="s">
        <v>550</v>
      </c>
      <c r="AZ5" t="s">
        <v>240</v>
      </c>
      <c r="BA5" t="s">
        <v>60</v>
      </c>
      <c r="BB5" t="s">
        <v>241</v>
      </c>
      <c r="BC5" t="s">
        <v>326</v>
      </c>
      <c r="BD5" t="s">
        <v>199</v>
      </c>
      <c r="BE5" t="s">
        <v>164</v>
      </c>
      <c r="BF5" t="s">
        <v>61</v>
      </c>
      <c r="BG5" t="s">
        <v>242</v>
      </c>
      <c r="BH5" t="s">
        <v>715</v>
      </c>
      <c r="BI5" t="s">
        <v>730</v>
      </c>
      <c r="BJ5" t="s">
        <v>549</v>
      </c>
      <c r="BK5" t="s">
        <v>578</v>
      </c>
      <c r="BL5" t="s">
        <v>172</v>
      </c>
      <c r="BM5" t="s">
        <v>326</v>
      </c>
      <c r="BN5">
        <v>7.95</v>
      </c>
      <c r="BO5">
        <v>10.47</v>
      </c>
      <c r="BP5">
        <v>4.0599999999999996</v>
      </c>
      <c r="BQ5">
        <v>9.84</v>
      </c>
      <c r="BR5">
        <v>12.76</v>
      </c>
      <c r="BS5">
        <v>5.12</v>
      </c>
      <c r="BT5" t="s">
        <v>465</v>
      </c>
      <c r="BU5" t="s">
        <v>389</v>
      </c>
      <c r="BV5">
        <v>18.440000000000001</v>
      </c>
      <c r="BW5">
        <v>14.69</v>
      </c>
      <c r="BX5">
        <v>14.35</v>
      </c>
      <c r="BY5">
        <v>7.29</v>
      </c>
      <c r="BZ5">
        <v>6.36</v>
      </c>
      <c r="CA5">
        <v>2.2999999999999998</v>
      </c>
      <c r="CB5">
        <v>-9.49</v>
      </c>
      <c r="CC5">
        <v>5.4</v>
      </c>
      <c r="CD5" t="s">
        <v>99</v>
      </c>
      <c r="CE5" t="s">
        <v>544</v>
      </c>
      <c r="CF5" s="10">
        <v>0.29384485666104554</v>
      </c>
      <c r="CG5" s="11">
        <v>0.22786473372781066</v>
      </c>
      <c r="CH5" s="10">
        <v>5.4310817271471024E-2</v>
      </c>
      <c r="CI5" s="10">
        <v>9.0175531804561615E-2</v>
      </c>
      <c r="CJ5" s="10">
        <v>0.29205417633056641</v>
      </c>
      <c r="CK5" s="10">
        <v>0.10854288190603256</v>
      </c>
      <c r="CL5" s="10">
        <v>-0.19982504844665527</v>
      </c>
      <c r="CM5" s="11">
        <v>0.21044303476810455</v>
      </c>
      <c r="CN5" s="11">
        <v>2.877300500869751</v>
      </c>
      <c r="CO5" s="11">
        <v>0.61386138200759888</v>
      </c>
      <c r="CP5" s="11">
        <v>0.78306299448013306</v>
      </c>
      <c r="CQ5" s="11">
        <v>-0.29611140489578247</v>
      </c>
      <c r="CR5">
        <v>42.0030919007949</v>
      </c>
      <c r="CS5">
        <v>6.0828493825257128</v>
      </c>
      <c r="CT5">
        <v>1.7878426698450536</v>
      </c>
      <c r="CU5" s="10">
        <v>6.9051671773195267E-2</v>
      </c>
      <c r="CV5" s="11">
        <v>0.83771130144596095</v>
      </c>
      <c r="CW5">
        <v>0.06</v>
      </c>
      <c r="CX5">
        <v>18.24387908730224</v>
      </c>
      <c r="CY5">
        <v>771532574.44008911</v>
      </c>
      <c r="CZ5">
        <v>6.9051671773195267E-2</v>
      </c>
      <c r="DA5">
        <v>6.068883413155171</v>
      </c>
      <c r="DB5">
        <v>2319330598.6878591</v>
      </c>
      <c r="DC5">
        <v>6.5599088184535498E-2</v>
      </c>
      <c r="DD5">
        <v>3.0588709413617092</v>
      </c>
      <c r="DE5">
        <v>4601615193.9165955</v>
      </c>
      <c r="DF5">
        <v>6.0765471160411838E-2</v>
      </c>
      <c r="DG5">
        <v>1.8859107353068894</v>
      </c>
      <c r="DH5">
        <v>7463633742.8290262</v>
      </c>
      <c r="DI5">
        <v>5.5241337418556219E-2</v>
      </c>
      <c r="DJ5">
        <v>1.0312217172634519</v>
      </c>
      <c r="DK5">
        <v>13649583561.285677</v>
      </c>
      <c r="DL5">
        <v>4.8336170241236681E-2</v>
      </c>
      <c r="DM5">
        <v>765000000</v>
      </c>
      <c r="DN5">
        <v>6.9051671773195267E-2</v>
      </c>
      <c r="DO5">
        <v>14075747000</v>
      </c>
      <c r="DP5">
        <v>3218953400</v>
      </c>
      <c r="DQ5">
        <v>214</v>
      </c>
      <c r="DR5">
        <v>0.22479318488785027</v>
      </c>
      <c r="DS5">
        <v>-0.60984656771815027</v>
      </c>
      <c r="DT5" s="12">
        <v>-0.40666666666666668</v>
      </c>
      <c r="DU5">
        <v>1.1533333333333333</v>
      </c>
      <c r="DV5">
        <v>0.74666666666666659</v>
      </c>
      <c r="DW5">
        <v>-5.5690200210748158</v>
      </c>
      <c r="DX5">
        <v>0.51315673289182917</v>
      </c>
      <c r="DY5">
        <v>-5.1099100482208533</v>
      </c>
      <c r="DZ5">
        <v>407</v>
      </c>
      <c r="EA5">
        <v>-5.1011559602314431</v>
      </c>
      <c r="EB5">
        <v>5</v>
      </c>
      <c r="EC5">
        <v>0.11664120777904875</v>
      </c>
      <c r="ED5">
        <v>0.60386819570181816</v>
      </c>
      <c r="EE5" s="13">
        <v>3.0914000000000001</v>
      </c>
      <c r="EF5">
        <v>3.0605000000000002</v>
      </c>
      <c r="EG5">
        <v>32.193156732891829</v>
      </c>
      <c r="EH5" t="s">
        <v>542</v>
      </c>
      <c r="EI5">
        <v>0</v>
      </c>
      <c r="EJ5">
        <v>1</v>
      </c>
      <c r="EK5" s="15">
        <v>45470</v>
      </c>
      <c r="EL5" s="16">
        <v>2.89</v>
      </c>
      <c r="EM5" s="16">
        <v>2.92</v>
      </c>
      <c r="EN5" s="16">
        <v>-0.55000000000000004</v>
      </c>
      <c r="EO5" s="16">
        <v>1</v>
      </c>
      <c r="EP5" s="16">
        <v>-3.09</v>
      </c>
    </row>
    <row r="6" spans="1:146" ht="108" x14ac:dyDescent="0.25">
      <c r="A6" s="8"/>
      <c r="B6" s="8"/>
      <c r="C6" s="8" t="str">
        <f>""&amp;CHAR(10)&amp;Basic_Fundamental_Information_Constructure(F6)&amp;CHAR(10)&amp;Basic_Fundamental_Information_Concatenate("")</f>
        <v xml:space="preserve">
市值19.099742亿, 利润-1251.75万; PE; 平均PE31.22; 平均PEG12.97, PB2.63; ROIC15.36%; ROE12.9333%; 股利率0%; 毛利14.72%; 净利5.1633%; 上一年度营收增-30.06%, 利润增-121.28%; 当季营收增-11.98%, 利润增-53.13%; 过往5年营收增2.41%, 利润增-27.14%
Income profile:
</v>
      </c>
      <c r="D6" t="s">
        <v>398</v>
      </c>
      <c r="E6" t="s">
        <v>399</v>
      </c>
      <c r="F6">
        <v>25.58</v>
      </c>
      <c r="G6">
        <v>0.12</v>
      </c>
      <c r="H6" t="s">
        <v>731</v>
      </c>
      <c r="I6">
        <v>1909974200</v>
      </c>
      <c r="K6">
        <v>2.63</v>
      </c>
      <c r="L6" t="s">
        <v>389</v>
      </c>
      <c r="M6" t="s">
        <v>251</v>
      </c>
      <c r="N6" t="s">
        <v>732</v>
      </c>
      <c r="O6" t="s">
        <v>40</v>
      </c>
      <c r="P6">
        <v>-11.79</v>
      </c>
      <c r="Q6" t="s">
        <v>617</v>
      </c>
      <c r="R6">
        <v>5467130</v>
      </c>
      <c r="S6" s="6">
        <v>-0.53129999999999999</v>
      </c>
      <c r="T6" t="s">
        <v>733</v>
      </c>
      <c r="U6">
        <v>18666700</v>
      </c>
      <c r="V6">
        <v>74666700</v>
      </c>
      <c r="W6">
        <v>1.55</v>
      </c>
      <c r="X6">
        <v>0.13</v>
      </c>
      <c r="Y6">
        <v>3.52</v>
      </c>
      <c r="Z6" t="s">
        <v>129</v>
      </c>
      <c r="AA6" t="s">
        <v>112</v>
      </c>
      <c r="AB6" t="s">
        <v>734</v>
      </c>
      <c r="AC6" t="s">
        <v>735</v>
      </c>
      <c r="AD6" t="s">
        <v>5</v>
      </c>
      <c r="AE6">
        <v>681993</v>
      </c>
      <c r="AF6" t="s">
        <v>736</v>
      </c>
      <c r="AG6" t="s">
        <v>737</v>
      </c>
      <c r="AH6" t="s">
        <v>738</v>
      </c>
      <c r="AI6" t="s">
        <v>739</v>
      </c>
      <c r="AJ6" t="s">
        <v>740</v>
      </c>
      <c r="AK6" t="s">
        <v>741</v>
      </c>
      <c r="AL6" t="s">
        <v>742</v>
      </c>
      <c r="AM6" t="s">
        <v>5</v>
      </c>
      <c r="AN6" t="s">
        <v>121</v>
      </c>
      <c r="AO6" t="s">
        <v>743</v>
      </c>
      <c r="AP6" t="s">
        <v>122</v>
      </c>
      <c r="AQ6" t="s">
        <v>744</v>
      </c>
      <c r="AR6" t="s">
        <v>5</v>
      </c>
      <c r="AS6" t="s">
        <v>182</v>
      </c>
      <c r="AT6" t="s">
        <v>58</v>
      </c>
      <c r="AU6" t="s">
        <v>745</v>
      </c>
      <c r="AV6" t="s">
        <v>746</v>
      </c>
      <c r="AW6" t="s">
        <v>747</v>
      </c>
      <c r="AX6" t="s">
        <v>178</v>
      </c>
      <c r="AY6" t="s">
        <v>400</v>
      </c>
      <c r="AZ6" t="s">
        <v>194</v>
      </c>
      <c r="BA6" t="s">
        <v>195</v>
      </c>
      <c r="BB6" t="s">
        <v>104</v>
      </c>
      <c r="BC6" t="s">
        <v>553</v>
      </c>
      <c r="BD6" t="s">
        <v>401</v>
      </c>
      <c r="BE6" t="s">
        <v>402</v>
      </c>
      <c r="BF6" t="s">
        <v>403</v>
      </c>
      <c r="BG6" t="s">
        <v>404</v>
      </c>
      <c r="BH6" t="s">
        <v>617</v>
      </c>
      <c r="BI6" t="s">
        <v>39</v>
      </c>
      <c r="BJ6" t="s">
        <v>178</v>
      </c>
      <c r="BK6" t="s">
        <v>733</v>
      </c>
      <c r="BL6" t="s">
        <v>748</v>
      </c>
      <c r="BM6" t="s">
        <v>553</v>
      </c>
      <c r="BN6" t="s">
        <v>5</v>
      </c>
      <c r="BO6">
        <v>8.83</v>
      </c>
      <c r="BP6">
        <v>21.89</v>
      </c>
      <c r="BQ6">
        <v>-0.56999999999999995</v>
      </c>
      <c r="BR6">
        <v>10.210000000000001</v>
      </c>
      <c r="BS6">
        <v>29.16</v>
      </c>
      <c r="BT6" t="s">
        <v>460</v>
      </c>
      <c r="BU6" t="s">
        <v>389</v>
      </c>
      <c r="BV6">
        <v>8.5399999999999991</v>
      </c>
      <c r="BW6">
        <v>16.3</v>
      </c>
      <c r="BX6">
        <v>19.32</v>
      </c>
      <c r="BY6">
        <v>-2.62</v>
      </c>
      <c r="BZ6">
        <v>8.3800000000000008</v>
      </c>
      <c r="CA6">
        <v>9.73</v>
      </c>
      <c r="CB6">
        <v>-6.27</v>
      </c>
      <c r="CC6">
        <v>-24.09</v>
      </c>
      <c r="CD6" t="s">
        <v>749</v>
      </c>
      <c r="CE6" t="s">
        <v>750</v>
      </c>
      <c r="CF6" s="10">
        <v>-0.11976047904191617</v>
      </c>
      <c r="CG6" s="11">
        <v>-0.53127368439102185</v>
      </c>
      <c r="CH6" s="10">
        <v>-0.3005698025226593</v>
      </c>
      <c r="CI6" s="10">
        <v>-0.20856820046901703</v>
      </c>
      <c r="CJ6" s="10">
        <v>0.17952127754688263</v>
      </c>
      <c r="CK6" s="10">
        <v>0.3452593982219696</v>
      </c>
      <c r="CL6" s="10">
        <v>0.10474308580160141</v>
      </c>
      <c r="CM6" s="11">
        <v>-1.2127578258514404</v>
      </c>
      <c r="CN6" s="11">
        <v>-0.31790199875831604</v>
      </c>
      <c r="CO6" s="11">
        <v>-1.999431848526001E-2</v>
      </c>
      <c r="CP6" s="11">
        <v>0.21526722609996796</v>
      </c>
      <c r="CQ6" s="11">
        <v>-2.1802140399813652E-2</v>
      </c>
      <c r="CR6">
        <v>31.221465619689077</v>
      </c>
      <c r="CS6">
        <v>12.967258747328723</v>
      </c>
      <c r="CT6">
        <v>0</v>
      </c>
      <c r="CU6" s="10">
        <v>2.4077151715755463E-2</v>
      </c>
      <c r="CV6" s="11">
        <v>-0.27143781147897245</v>
      </c>
      <c r="CW6">
        <v>0.06</v>
      </c>
      <c r="CX6" t="e">
        <v>#VALUE!</v>
      </c>
      <c r="CY6" t="s">
        <v>405</v>
      </c>
      <c r="CZ6">
        <v>2.4077151715755463E-2</v>
      </c>
      <c r="DA6" t="e">
        <v>#VALUE!</v>
      </c>
      <c r="DB6" t="s">
        <v>405</v>
      </c>
      <c r="DC6">
        <v>2.2873294129967688E-2</v>
      </c>
      <c r="DD6" t="e">
        <v>#VALUE!</v>
      </c>
      <c r="DE6" t="s">
        <v>405</v>
      </c>
      <c r="DF6">
        <v>2.1187893509864809E-2</v>
      </c>
      <c r="DG6" t="e">
        <v>#VALUE!</v>
      </c>
      <c r="DH6" t="s">
        <v>405</v>
      </c>
      <c r="DI6">
        <v>1.9261721372604373E-2</v>
      </c>
      <c r="DJ6" t="e">
        <v>#VALUE!</v>
      </c>
      <c r="DK6" t="s">
        <v>405</v>
      </c>
      <c r="DL6">
        <v>1.6854006201028823E-2</v>
      </c>
      <c r="DM6">
        <v>-12517500</v>
      </c>
      <c r="DN6">
        <v>2.4077151715755463E-2</v>
      </c>
      <c r="DO6">
        <v>1572974200</v>
      </c>
      <c r="DP6">
        <v>539336960</v>
      </c>
      <c r="DQ6">
        <v>448</v>
      </c>
      <c r="DR6">
        <v>-0.14383763075767164</v>
      </c>
      <c r="DS6">
        <v>-0.2598358729120494</v>
      </c>
      <c r="DT6" s="12">
        <v>-0.50666666666666671</v>
      </c>
      <c r="DU6">
        <v>-1.0033333333333334</v>
      </c>
      <c r="DV6">
        <v>-1.5100000000000002</v>
      </c>
      <c r="DW6">
        <v>-9.2602739726027394</v>
      </c>
      <c r="DX6">
        <v>0.37751450510024154</v>
      </c>
      <c r="DY6">
        <v>-9.0409969259849934</v>
      </c>
      <c r="DZ6">
        <v>4027</v>
      </c>
      <c r="EA6">
        <v>-9.0086887809866436</v>
      </c>
      <c r="EB6">
        <v>9</v>
      </c>
      <c r="EC6">
        <v>0.16863340686008624</v>
      </c>
      <c r="ED6">
        <v>1.0705897006295979</v>
      </c>
      <c r="EE6" s="13">
        <v>2.1381999999999999</v>
      </c>
      <c r="EF6">
        <v>2.1375000000000002</v>
      </c>
      <c r="EG6">
        <v>22.157514505100242</v>
      </c>
      <c r="EH6" t="s">
        <v>555</v>
      </c>
      <c r="EI6">
        <v>0</v>
      </c>
      <c r="EJ6">
        <v>0</v>
      </c>
      <c r="EK6" s="15">
        <v>45470</v>
      </c>
      <c r="EL6" s="16">
        <v>9.19</v>
      </c>
      <c r="EM6" s="16">
        <v>-5.17</v>
      </c>
      <c r="EN6" s="16">
        <v>1.53</v>
      </c>
      <c r="EO6" s="16">
        <v>10.02</v>
      </c>
      <c r="EP6" s="16">
        <v>-7.0000000000000007E-2</v>
      </c>
    </row>
    <row r="7" spans="1:146" ht="108" x14ac:dyDescent="0.25">
      <c r="C7" s="8" t="str">
        <f>""&amp;CHAR(10)&amp;Basic_Fundamental_Information_Constructure(F7)&amp;CHAR(10)&amp;Basic_Fundamental_Information_Concatenate("")</f>
        <v xml:space="preserve">
市值31.704亿, 利润9122.50万; PE35.56; 平均PE45.78; 平均PEG1.77, PB2.56; ROIC11.1767%; ROE16.22%; 股利率0%; 毛利22.7433%; 净利10.3733%; 上一年度营收增-1.44%, 利润增-1.96%; 当季营收增-16.35%, 利润增-11.51%; 过往5年营收增25.85%, 利润增120.33%
Income profile:
</v>
      </c>
      <c r="D7" s="6" t="s">
        <v>600</v>
      </c>
      <c r="E7" t="s">
        <v>601</v>
      </c>
      <c r="F7">
        <v>13.21</v>
      </c>
      <c r="G7">
        <v>0.61</v>
      </c>
      <c r="H7" t="s">
        <v>751</v>
      </c>
      <c r="I7">
        <v>3170400000</v>
      </c>
      <c r="J7">
        <v>35.56</v>
      </c>
      <c r="K7">
        <v>2.56</v>
      </c>
      <c r="L7" t="s">
        <v>389</v>
      </c>
      <c r="M7" t="s">
        <v>95</v>
      </c>
      <c r="N7" t="s">
        <v>255</v>
      </c>
      <c r="O7" t="s">
        <v>161</v>
      </c>
      <c r="P7" s="6">
        <v>-16.510000000000002</v>
      </c>
      <c r="Q7" t="s">
        <v>615</v>
      </c>
      <c r="R7">
        <v>15880589</v>
      </c>
      <c r="S7">
        <v>-0.11509999999999999</v>
      </c>
      <c r="T7" t="s">
        <v>752</v>
      </c>
      <c r="U7">
        <v>48796682</v>
      </c>
      <c r="V7">
        <v>240000000</v>
      </c>
      <c r="W7">
        <v>1.69</v>
      </c>
      <c r="X7">
        <v>0.08</v>
      </c>
      <c r="Y7">
        <v>9.1300000000000008</v>
      </c>
      <c r="Z7" t="s">
        <v>84</v>
      </c>
      <c r="AA7" t="s">
        <v>42</v>
      </c>
      <c r="AB7" t="s">
        <v>753</v>
      </c>
      <c r="AC7" t="s">
        <v>754</v>
      </c>
      <c r="AD7" t="s">
        <v>5</v>
      </c>
      <c r="AE7">
        <v>633028</v>
      </c>
      <c r="AF7" t="s">
        <v>35</v>
      </c>
      <c r="AG7" t="s">
        <v>755</v>
      </c>
      <c r="AH7" t="s">
        <v>756</v>
      </c>
      <c r="AI7" t="s">
        <v>552</v>
      </c>
      <c r="AJ7" t="s">
        <v>757</v>
      </c>
      <c r="AK7" t="s">
        <v>758</v>
      </c>
      <c r="AL7" t="s">
        <v>759</v>
      </c>
      <c r="AM7" t="s">
        <v>5</v>
      </c>
      <c r="AN7" t="s">
        <v>760</v>
      </c>
      <c r="AO7" t="s">
        <v>141</v>
      </c>
      <c r="AP7" t="s">
        <v>761</v>
      </c>
      <c r="AQ7" t="s">
        <v>762</v>
      </c>
      <c r="AR7" t="s">
        <v>763</v>
      </c>
      <c r="AS7" t="s">
        <v>270</v>
      </c>
      <c r="AT7" t="s">
        <v>445</v>
      </c>
      <c r="AU7" t="s">
        <v>764</v>
      </c>
      <c r="AV7" t="s">
        <v>765</v>
      </c>
      <c r="AW7" t="s">
        <v>766</v>
      </c>
      <c r="AX7" t="s">
        <v>602</v>
      </c>
      <c r="AY7" t="s">
        <v>137</v>
      </c>
      <c r="AZ7" t="s">
        <v>561</v>
      </c>
      <c r="BA7" t="s">
        <v>158</v>
      </c>
      <c r="BB7" t="s">
        <v>5</v>
      </c>
      <c r="BC7" t="s">
        <v>603</v>
      </c>
      <c r="BD7" t="s">
        <v>767</v>
      </c>
      <c r="BE7" t="s">
        <v>768</v>
      </c>
      <c r="BF7" t="s">
        <v>769</v>
      </c>
      <c r="BG7" t="s">
        <v>5</v>
      </c>
      <c r="BH7" t="s">
        <v>615</v>
      </c>
      <c r="BI7" t="s">
        <v>130</v>
      </c>
      <c r="BJ7" t="s">
        <v>602</v>
      </c>
      <c r="BK7" t="s">
        <v>752</v>
      </c>
      <c r="BL7" t="s">
        <v>770</v>
      </c>
      <c r="BM7" t="s">
        <v>603</v>
      </c>
      <c r="BN7">
        <v>6.65</v>
      </c>
      <c r="BO7">
        <v>12.02</v>
      </c>
      <c r="BP7">
        <v>14.86</v>
      </c>
      <c r="BQ7">
        <v>11.72</v>
      </c>
      <c r="BR7">
        <v>20.72</v>
      </c>
      <c r="BS7" t="s">
        <v>5</v>
      </c>
      <c r="BT7" t="s">
        <v>460</v>
      </c>
      <c r="BU7" t="s">
        <v>389</v>
      </c>
      <c r="BV7">
        <v>23.06</v>
      </c>
      <c r="BW7">
        <v>22.95</v>
      </c>
      <c r="BX7">
        <v>22.22</v>
      </c>
      <c r="BY7">
        <v>11.11</v>
      </c>
      <c r="BZ7">
        <v>11.17</v>
      </c>
      <c r="CA7">
        <v>8.84</v>
      </c>
      <c r="CB7">
        <v>-4.83</v>
      </c>
      <c r="CC7" s="10">
        <v>-26.77</v>
      </c>
      <c r="CD7" s="11" t="s">
        <v>771</v>
      </c>
      <c r="CE7" s="10" t="s">
        <v>97</v>
      </c>
      <c r="CF7" s="10">
        <v>-0.16346153846153846</v>
      </c>
      <c r="CG7" s="10">
        <v>-0.11505580848467287</v>
      </c>
      <c r="CH7" s="10">
        <v>-1.440576184540987E-2</v>
      </c>
      <c r="CI7" s="10">
        <v>-0.16949152946472168</v>
      </c>
      <c r="CJ7" s="11">
        <v>0.2925257682800293</v>
      </c>
      <c r="CK7" s="11">
        <v>0.92555832862854004</v>
      </c>
      <c r="CL7" s="11" t="s">
        <v>5</v>
      </c>
      <c r="CM7" s="11">
        <v>-1.9638396799564362E-2</v>
      </c>
      <c r="CN7" s="11">
        <v>4.9482885748147964E-2</v>
      </c>
      <c r="CO7">
        <v>0.43535208702087402</v>
      </c>
      <c r="CP7">
        <v>4.347834587097168</v>
      </c>
      <c r="CQ7" t="s">
        <v>5</v>
      </c>
      <c r="CR7" s="10">
        <v>45.779886884518703</v>
      </c>
      <c r="CS7" s="11">
        <v>1.7706621912673861</v>
      </c>
      <c r="CT7">
        <v>0</v>
      </c>
      <c r="CU7">
        <v>0.25854670139960945</v>
      </c>
      <c r="CV7">
        <v>1.2032577907666564</v>
      </c>
      <c r="CW7">
        <v>0.06</v>
      </c>
      <c r="CX7">
        <v>26.187264467129157</v>
      </c>
      <c r="CY7">
        <v>108312191.3539428</v>
      </c>
      <c r="CZ7">
        <v>0.25854670139960945</v>
      </c>
      <c r="DA7">
        <v>7.4406708005119251</v>
      </c>
      <c r="DB7">
        <v>381202189.43228251</v>
      </c>
      <c r="DC7">
        <v>0.24561936632962897</v>
      </c>
      <c r="DD7">
        <v>3.0055611633003831</v>
      </c>
      <c r="DE7">
        <v>943717278.03581655</v>
      </c>
      <c r="DF7">
        <v>0.22752109723165631</v>
      </c>
      <c r="DG7">
        <v>1.4224326686031159</v>
      </c>
      <c r="DH7">
        <v>1994048690.3928149</v>
      </c>
      <c r="DI7">
        <v>0.20683736111968756</v>
      </c>
      <c r="DJ7">
        <v>0.41448428027733958</v>
      </c>
      <c r="DK7">
        <v>6843202830.5201559</v>
      </c>
      <c r="DL7">
        <v>0.18098269097972661</v>
      </c>
      <c r="DM7">
        <v>91225000</v>
      </c>
      <c r="DN7">
        <v>0.25854670139960945</v>
      </c>
      <c r="DO7">
        <v>2836400000</v>
      </c>
      <c r="DP7">
        <v>1293350200</v>
      </c>
      <c r="DQ7" s="12">
        <v>457</v>
      </c>
      <c r="DR7">
        <v>-0.42200823986114788</v>
      </c>
      <c r="DS7">
        <v>-1.3183135992513293</v>
      </c>
      <c r="DT7">
        <v>-0.26799999999999996</v>
      </c>
      <c r="DU7">
        <v>0.71600000000000008</v>
      </c>
      <c r="DV7">
        <v>0.44800000000000012</v>
      </c>
      <c r="DW7">
        <v>-8.1804258498319022</v>
      </c>
      <c r="DX7">
        <v>0.32550650406503934</v>
      </c>
      <c r="DY7">
        <v>-8.0136233251637705</v>
      </c>
      <c r="DZ7">
        <v>783</v>
      </c>
      <c r="EA7">
        <v>-8.0115358371787941</v>
      </c>
      <c r="EB7" s="13">
        <v>8</v>
      </c>
      <c r="EC7" s="13">
        <v>3.8697083333333333E-2</v>
      </c>
      <c r="ED7">
        <v>0.51249999999999996</v>
      </c>
      <c r="EE7">
        <v>10.00421</v>
      </c>
      <c r="EF7">
        <v>10.02031</v>
      </c>
      <c r="EG7">
        <v>25.075506504065039</v>
      </c>
      <c r="EH7" s="15" t="s">
        <v>635</v>
      </c>
      <c r="EI7">
        <v>0</v>
      </c>
      <c r="EJ7">
        <v>1</v>
      </c>
      <c r="EK7">
        <v>45470</v>
      </c>
      <c r="EL7">
        <v>-1.18</v>
      </c>
      <c r="EM7">
        <v>-5.75</v>
      </c>
      <c r="EN7" s="16">
        <v>3.43</v>
      </c>
      <c r="EO7" s="16">
        <v>2.81</v>
      </c>
      <c r="EP7" s="16">
        <v>-1.61</v>
      </c>
    </row>
    <row r="8" spans="1:146" ht="96" x14ac:dyDescent="0.25">
      <c r="A8" s="8" t="s">
        <v>350</v>
      </c>
      <c r="B8" s="8"/>
      <c r="C8" s="8" t="s">
        <v>351</v>
      </c>
      <c r="D8" t="s">
        <v>64</v>
      </c>
      <c r="E8" t="s">
        <v>11</v>
      </c>
      <c r="F8">
        <v>5.88</v>
      </c>
      <c r="G8">
        <v>1.55</v>
      </c>
      <c r="H8" t="s">
        <v>772</v>
      </c>
      <c r="I8">
        <v>6318749500</v>
      </c>
      <c r="J8">
        <v>242.1</v>
      </c>
      <c r="K8">
        <v>1.37</v>
      </c>
      <c r="L8" t="s">
        <v>389</v>
      </c>
      <c r="M8" t="s">
        <v>773</v>
      </c>
      <c r="N8" t="s">
        <v>774</v>
      </c>
      <c r="O8" t="s">
        <v>775</v>
      </c>
      <c r="P8">
        <v>-6.87</v>
      </c>
      <c r="Q8" t="s">
        <v>776</v>
      </c>
      <c r="R8">
        <v>20634279</v>
      </c>
      <c r="S8" s="6">
        <v>-0.31490000000000001</v>
      </c>
      <c r="T8" t="s">
        <v>777</v>
      </c>
      <c r="U8">
        <v>1072676640</v>
      </c>
      <c r="V8">
        <v>1074617260</v>
      </c>
      <c r="W8">
        <v>4.45</v>
      </c>
      <c r="X8">
        <v>0.08</v>
      </c>
      <c r="Y8">
        <v>0.85</v>
      </c>
      <c r="Z8" t="s">
        <v>778</v>
      </c>
      <c r="AA8" t="s">
        <v>779</v>
      </c>
      <c r="AB8" t="s">
        <v>144</v>
      </c>
      <c r="AC8" t="s">
        <v>187</v>
      </c>
      <c r="AD8" t="s">
        <v>5</v>
      </c>
      <c r="AE8">
        <v>95342754</v>
      </c>
      <c r="AF8" t="s">
        <v>780</v>
      </c>
      <c r="AG8" t="s">
        <v>781</v>
      </c>
      <c r="AH8" t="s">
        <v>782</v>
      </c>
      <c r="AI8" t="s">
        <v>582</v>
      </c>
      <c r="AJ8" t="s">
        <v>783</v>
      </c>
      <c r="AK8" t="s">
        <v>93</v>
      </c>
      <c r="AL8" t="s">
        <v>784</v>
      </c>
      <c r="AM8" t="s">
        <v>5</v>
      </c>
      <c r="AN8" t="s">
        <v>141</v>
      </c>
      <c r="AO8" t="s">
        <v>294</v>
      </c>
      <c r="AP8" t="s">
        <v>785</v>
      </c>
      <c r="AQ8" t="s">
        <v>786</v>
      </c>
      <c r="AR8" t="s">
        <v>787</v>
      </c>
      <c r="AS8" t="s">
        <v>788</v>
      </c>
      <c r="AT8" t="s">
        <v>367</v>
      </c>
      <c r="AU8" t="s">
        <v>789</v>
      </c>
      <c r="AV8" t="s">
        <v>790</v>
      </c>
      <c r="AW8" t="s">
        <v>365</v>
      </c>
      <c r="AX8" t="s">
        <v>556</v>
      </c>
      <c r="AY8" t="s">
        <v>364</v>
      </c>
      <c r="AZ8" t="s">
        <v>246</v>
      </c>
      <c r="BA8" t="s">
        <v>65</v>
      </c>
      <c r="BB8" t="s">
        <v>248</v>
      </c>
      <c r="BC8" t="s">
        <v>557</v>
      </c>
      <c r="BD8" t="s">
        <v>57</v>
      </c>
      <c r="BE8" t="s">
        <v>247</v>
      </c>
      <c r="BF8" t="s">
        <v>66</v>
      </c>
      <c r="BG8" t="s">
        <v>249</v>
      </c>
      <c r="BH8" t="s">
        <v>776</v>
      </c>
      <c r="BI8" t="s">
        <v>791</v>
      </c>
      <c r="BJ8" t="s">
        <v>556</v>
      </c>
      <c r="BK8" t="s">
        <v>777</v>
      </c>
      <c r="BL8" t="s">
        <v>792</v>
      </c>
      <c r="BM8" t="s">
        <v>557</v>
      </c>
      <c r="BN8">
        <v>6.38</v>
      </c>
      <c r="BO8" t="s">
        <v>5</v>
      </c>
      <c r="BP8">
        <v>3.84</v>
      </c>
      <c r="BQ8">
        <v>0.76</v>
      </c>
      <c r="BR8">
        <v>-22.61</v>
      </c>
      <c r="BS8">
        <v>5.72</v>
      </c>
      <c r="BT8" t="s">
        <v>463</v>
      </c>
      <c r="BU8" t="s">
        <v>389</v>
      </c>
      <c r="BV8">
        <v>28.06</v>
      </c>
      <c r="BW8">
        <v>21.35</v>
      </c>
      <c r="BX8">
        <v>23.19</v>
      </c>
      <c r="BY8">
        <v>0.26</v>
      </c>
      <c r="BZ8">
        <v>-16.02</v>
      </c>
      <c r="CA8">
        <v>2.82</v>
      </c>
      <c r="CB8">
        <v>-2.4900000000000002</v>
      </c>
      <c r="CC8">
        <v>-15.52</v>
      </c>
      <c r="CD8" t="s">
        <v>793</v>
      </c>
      <c r="CE8" t="s">
        <v>185</v>
      </c>
      <c r="CF8" s="10">
        <v>-6.8907563025210214E-2</v>
      </c>
      <c r="CG8" s="11">
        <v>-0.31486956002032057</v>
      </c>
      <c r="CH8" s="10">
        <v>-9.9972523748874664E-3</v>
      </c>
      <c r="CI8" s="10">
        <v>-0.359922856092453</v>
      </c>
      <c r="CJ8" s="10">
        <v>0.21659374237060547</v>
      </c>
      <c r="CK8" s="10">
        <v>0.26255562901496887</v>
      </c>
      <c r="CL8" s="10">
        <v>0.29030567407608032</v>
      </c>
      <c r="CM8" s="11">
        <v>1.0312683582305908</v>
      </c>
      <c r="CN8" s="11">
        <v>-4.5786161422729492</v>
      </c>
      <c r="CO8" s="11">
        <v>-0.43716815114021301</v>
      </c>
      <c r="CP8" s="11">
        <v>0.12326043844223022</v>
      </c>
      <c r="CQ8" s="11">
        <v>0.17249417304992676</v>
      </c>
      <c r="CR8">
        <v>53.204294402592033</v>
      </c>
      <c r="CS8">
        <v>6.6582780973856588</v>
      </c>
      <c r="CT8">
        <v>0.85034013605442182</v>
      </c>
      <c r="CU8" s="10">
        <v>7.9906987398862844E-2</v>
      </c>
      <c r="CV8" s="11">
        <v>-0.73775226473808286</v>
      </c>
      <c r="CW8">
        <v>0.06</v>
      </c>
      <c r="CX8">
        <v>487.39142595518024</v>
      </c>
      <c r="CY8">
        <v>36251662.542838395</v>
      </c>
      <c r="CZ8">
        <v>7.9906987398862844E-2</v>
      </c>
      <c r="DA8">
        <v>160.64362661655986</v>
      </c>
      <c r="DB8">
        <v>109987242.39570066</v>
      </c>
      <c r="DC8">
        <v>7.5911638028919703E-2</v>
      </c>
      <c r="DD8">
        <v>79.987680768346237</v>
      </c>
      <c r="DE8">
        <v>220893384.20963579</v>
      </c>
      <c r="DF8">
        <v>7.0318148910999301E-2</v>
      </c>
      <c r="DG8">
        <v>48.6523978217202</v>
      </c>
      <c r="DH8">
        <v>363162974.30487645</v>
      </c>
      <c r="DI8">
        <v>6.3925589919090281E-2</v>
      </c>
      <c r="DJ8">
        <v>25.843027714543496</v>
      </c>
      <c r="DK8">
        <v>683695025.7982614</v>
      </c>
      <c r="DL8">
        <v>5.5934891179203985E-2</v>
      </c>
      <c r="DM8">
        <v>35583400</v>
      </c>
      <c r="DN8">
        <v>7.9906987398862844E-2</v>
      </c>
      <c r="DO8">
        <v>17668749500</v>
      </c>
      <c r="DP8">
        <v>4064622600</v>
      </c>
      <c r="DQ8">
        <v>611</v>
      </c>
      <c r="DR8">
        <v>-0.14881455042407304</v>
      </c>
      <c r="DS8">
        <v>0.42288270471776229</v>
      </c>
      <c r="DT8" s="12">
        <v>-0.24000000000000007</v>
      </c>
      <c r="DU8">
        <v>-0.85666666666666658</v>
      </c>
      <c r="DV8">
        <v>-1.0966666666666667</v>
      </c>
      <c r="DW8">
        <v>-2.1551999999999998</v>
      </c>
      <c r="DX8">
        <v>0.33748836477987409</v>
      </c>
      <c r="DY8">
        <v>-2.0151301942138367</v>
      </c>
      <c r="DZ8">
        <v>3659</v>
      </c>
      <c r="EA8">
        <v>-2.0042962645409546</v>
      </c>
      <c r="EB8">
        <v>2</v>
      </c>
      <c r="EC8">
        <v>5.7697379623327473E-2</v>
      </c>
      <c r="ED8">
        <v>0.59183862354862982</v>
      </c>
      <c r="EE8" s="13">
        <v>2.08731</v>
      </c>
      <c r="EF8">
        <v>2.1198100000000002</v>
      </c>
      <c r="EG8">
        <v>24.097488364779874</v>
      </c>
      <c r="EH8" t="s">
        <v>539</v>
      </c>
      <c r="EI8">
        <v>0</v>
      </c>
      <c r="EJ8">
        <v>0</v>
      </c>
      <c r="EK8" s="15">
        <v>45470</v>
      </c>
      <c r="EL8" s="16">
        <v>0.98</v>
      </c>
      <c r="EM8" s="16">
        <v>-3.55</v>
      </c>
      <c r="EN8" s="16">
        <v>0.5</v>
      </c>
      <c r="EO8" s="16">
        <v>2.33</v>
      </c>
      <c r="EP8" s="16">
        <v>-3.25</v>
      </c>
    </row>
    <row r="9" spans="1:146" ht="108" x14ac:dyDescent="0.25">
      <c r="A9" s="8"/>
      <c r="B9" s="8"/>
      <c r="C9" s="8" t="str">
        <f>""&amp;CHAR(10)&amp;Basic_Fundamental_Information_Constructure(F9)&amp;CHAR(10)&amp;Basic_Fundamental_Information_Concatenate("")</f>
        <v xml:space="preserve">
市值39.241346亿, 利润2.42亿; PE16.16; 平均PE25.62; 平均PEG2.07, PB2.48; ROIC9.7533%; ROE10.5567%; 股利率1.7898%; 毛利30.95%; 净利15.7067%; 上一年度营收增3.17%, 利润增137.25%; 当季营收增6.98%, 利润增1.29%; 过往5年营收增12.38%, 利润增22.06%
Income profile:
</v>
      </c>
      <c r="D9" t="s">
        <v>328</v>
      </c>
      <c r="E9" t="s">
        <v>329</v>
      </c>
      <c r="F9">
        <v>13.13</v>
      </c>
      <c r="G9">
        <v>0.31</v>
      </c>
      <c r="H9" t="s">
        <v>794</v>
      </c>
      <c r="I9">
        <v>3924134600</v>
      </c>
      <c r="J9">
        <v>16.16</v>
      </c>
      <c r="K9">
        <v>2.48</v>
      </c>
      <c r="L9" t="s">
        <v>389</v>
      </c>
      <c r="M9" t="s">
        <v>163</v>
      </c>
      <c r="N9" t="s">
        <v>598</v>
      </c>
      <c r="O9" t="s">
        <v>69</v>
      </c>
      <c r="P9">
        <v>6.85</v>
      </c>
      <c r="Q9" t="s">
        <v>628</v>
      </c>
      <c r="R9">
        <v>52230942</v>
      </c>
      <c r="S9" s="6">
        <v>1.29E-2</v>
      </c>
      <c r="T9" t="s">
        <v>92</v>
      </c>
      <c r="U9">
        <v>193864230</v>
      </c>
      <c r="V9">
        <v>298867830</v>
      </c>
      <c r="W9">
        <v>1.19</v>
      </c>
      <c r="X9">
        <v>0.14000000000000001</v>
      </c>
      <c r="Y9">
        <v>19.21</v>
      </c>
      <c r="Z9" t="s">
        <v>551</v>
      </c>
      <c r="AA9" t="s">
        <v>202</v>
      </c>
      <c r="AB9" t="s">
        <v>795</v>
      </c>
      <c r="AC9" t="s">
        <v>796</v>
      </c>
      <c r="AD9" t="s">
        <v>5</v>
      </c>
      <c r="AE9">
        <v>-1303668</v>
      </c>
      <c r="AF9" t="s">
        <v>797</v>
      </c>
      <c r="AG9" t="s">
        <v>798</v>
      </c>
      <c r="AH9" t="s">
        <v>799</v>
      </c>
      <c r="AI9" t="s">
        <v>265</v>
      </c>
      <c r="AJ9" t="s">
        <v>800</v>
      </c>
      <c r="AK9" t="s">
        <v>801</v>
      </c>
      <c r="AL9" t="s">
        <v>802</v>
      </c>
      <c r="AM9" t="s">
        <v>5</v>
      </c>
      <c r="AN9" t="s">
        <v>803</v>
      </c>
      <c r="AO9" t="s">
        <v>81</v>
      </c>
      <c r="AP9" t="s">
        <v>564</v>
      </c>
      <c r="AQ9" t="s">
        <v>804</v>
      </c>
      <c r="AR9" t="s">
        <v>5</v>
      </c>
      <c r="AS9" t="s">
        <v>36</v>
      </c>
      <c r="AT9" t="s">
        <v>805</v>
      </c>
      <c r="AU9" t="s">
        <v>806</v>
      </c>
      <c r="AV9" t="s">
        <v>807</v>
      </c>
      <c r="AW9" t="s">
        <v>808</v>
      </c>
      <c r="AX9" t="s">
        <v>428</v>
      </c>
      <c r="AY9" t="s">
        <v>369</v>
      </c>
      <c r="AZ9" t="s">
        <v>205</v>
      </c>
      <c r="BA9" t="s">
        <v>330</v>
      </c>
      <c r="BB9" t="s">
        <v>169</v>
      </c>
      <c r="BC9" t="s">
        <v>142</v>
      </c>
      <c r="BD9" t="s">
        <v>100</v>
      </c>
      <c r="BE9" t="s">
        <v>128</v>
      </c>
      <c r="BF9" t="s">
        <v>183</v>
      </c>
      <c r="BG9" t="s">
        <v>40</v>
      </c>
      <c r="BH9" t="s">
        <v>628</v>
      </c>
      <c r="BI9" t="s">
        <v>366</v>
      </c>
      <c r="BJ9" t="s">
        <v>428</v>
      </c>
      <c r="BK9" t="s">
        <v>92</v>
      </c>
      <c r="BL9" t="s">
        <v>809</v>
      </c>
      <c r="BM9" t="s">
        <v>142</v>
      </c>
      <c r="BN9">
        <v>11.11</v>
      </c>
      <c r="BO9">
        <v>6.97</v>
      </c>
      <c r="BP9">
        <v>11.18</v>
      </c>
      <c r="BQ9">
        <v>12.32</v>
      </c>
      <c r="BR9">
        <v>7.55</v>
      </c>
      <c r="BS9">
        <v>11.8</v>
      </c>
      <c r="BT9" t="s">
        <v>810</v>
      </c>
      <c r="BU9" t="s">
        <v>389</v>
      </c>
      <c r="BV9">
        <v>35.81</v>
      </c>
      <c r="BW9">
        <v>29.38</v>
      </c>
      <c r="BX9">
        <v>27.66</v>
      </c>
      <c r="BY9">
        <v>21.88</v>
      </c>
      <c r="BZ9">
        <v>9.43</v>
      </c>
      <c r="CA9">
        <v>15.81</v>
      </c>
      <c r="CB9">
        <v>-4.99</v>
      </c>
      <c r="CC9">
        <v>-8.41</v>
      </c>
      <c r="CD9" t="s">
        <v>811</v>
      </c>
      <c r="CE9" t="s">
        <v>93</v>
      </c>
      <c r="CF9" s="10">
        <v>6.9767441860465115E-2</v>
      </c>
      <c r="CG9" s="11">
        <v>1.2889076780765733E-2</v>
      </c>
      <c r="CH9" s="10">
        <v>3.1745970249176025E-2</v>
      </c>
      <c r="CI9" s="10">
        <v>8.7309643626213074E-2</v>
      </c>
      <c r="CJ9" s="10">
        <v>0.50381678342819214</v>
      </c>
      <c r="CK9" s="10">
        <v>8.9850246906280518E-2</v>
      </c>
      <c r="CL9" s="10">
        <v>-9.3514330685138702E-2</v>
      </c>
      <c r="CM9" s="11">
        <v>1.3725490570068359</v>
      </c>
      <c r="CN9" s="11">
        <v>-0.34193548560142517</v>
      </c>
      <c r="CO9" s="11">
        <v>6.8965516984462738E-2</v>
      </c>
      <c r="CP9" s="11">
        <v>0.1328125</v>
      </c>
      <c r="CQ9" s="11">
        <v>-0.12925170361995697</v>
      </c>
      <c r="CR9">
        <v>25.620030032644181</v>
      </c>
      <c r="CS9">
        <v>2.0687730988951953</v>
      </c>
      <c r="CT9">
        <v>1.7897943640517897</v>
      </c>
      <c r="CU9" s="10">
        <v>0.12384166270494461</v>
      </c>
      <c r="CV9" s="11">
        <v>0.22062797695398331</v>
      </c>
      <c r="CW9">
        <v>0.06</v>
      </c>
      <c r="CX9">
        <v>10.083339628359074</v>
      </c>
      <c r="CY9">
        <v>256575172.05150619</v>
      </c>
      <c r="CZ9">
        <v>0.12384166270494461</v>
      </c>
      <c r="DA9">
        <v>3.2024097216091998</v>
      </c>
      <c r="DB9">
        <v>807871204.78137124</v>
      </c>
      <c r="DC9">
        <v>0.11764957956969738</v>
      </c>
      <c r="DD9">
        <v>1.5166922623788417</v>
      </c>
      <c r="DE9">
        <v>1705774245.8198035</v>
      </c>
      <c r="DF9">
        <v>0.10898066318035125</v>
      </c>
      <c r="DG9">
        <v>0.87135355460965114</v>
      </c>
      <c r="DH9">
        <v>2969098578.0840526</v>
      </c>
      <c r="DI9">
        <v>9.9073330163955697E-2</v>
      </c>
      <c r="DJ9">
        <v>0.4074964286490052</v>
      </c>
      <c r="DK9">
        <v>6348852206.0850115</v>
      </c>
      <c r="DL9">
        <v>8.6689163893461221E-2</v>
      </c>
      <c r="DM9">
        <v>242000000</v>
      </c>
      <c r="DN9">
        <v>0.12384166270494461</v>
      </c>
      <c r="DO9">
        <v>2587134600</v>
      </c>
      <c r="DP9">
        <v>1073401200</v>
      </c>
      <c r="DQ9">
        <v>2182</v>
      </c>
      <c r="DR9">
        <v>-5.4074220844479493E-2</v>
      </c>
      <c r="DS9">
        <v>-0.20773890017321758</v>
      </c>
      <c r="DT9" s="12">
        <v>-0.3066666666666667</v>
      </c>
      <c r="DU9">
        <v>0.18333333333333335</v>
      </c>
      <c r="DV9">
        <v>-0.12333333333333335</v>
      </c>
      <c r="DW9">
        <v>-8.59334126040428</v>
      </c>
      <c r="DX9">
        <v>0.33890789473684252</v>
      </c>
      <c r="DY9">
        <v>-8.0824197853432622</v>
      </c>
      <c r="DZ9">
        <v>1992</v>
      </c>
      <c r="EA9">
        <v>-8.0502905852642446</v>
      </c>
      <c r="EB9">
        <v>8</v>
      </c>
      <c r="EC9">
        <v>5.2984959940318772E-2</v>
      </c>
      <c r="ED9">
        <v>0.38143951458408887</v>
      </c>
      <c r="EE9" s="13">
        <v>-1.0179100000000001</v>
      </c>
      <c r="EF9">
        <v>-1.0483100000000001</v>
      </c>
      <c r="EG9">
        <v>20.138907894736843</v>
      </c>
      <c r="EH9" t="s">
        <v>406</v>
      </c>
      <c r="EI9">
        <v>0</v>
      </c>
      <c r="EJ9">
        <v>0</v>
      </c>
      <c r="EK9" s="15">
        <v>45470</v>
      </c>
      <c r="EL9" s="16">
        <v>-1.76</v>
      </c>
      <c r="EM9" s="16">
        <v>-3.73</v>
      </c>
      <c r="EN9" s="16">
        <v>-0.36</v>
      </c>
      <c r="EO9" s="16">
        <v>1.8</v>
      </c>
      <c r="EP9" s="16">
        <v>-3.04</v>
      </c>
    </row>
    <row r="10" spans="1:146" ht="108" x14ac:dyDescent="0.25">
      <c r="A10" s="8"/>
      <c r="B10" s="8"/>
      <c r="C10" s="8" t="str">
        <f>""&amp;CHAR(10)&amp;Basic_Fundamental_Information_Constructure(F10)&amp;CHAR(10)&amp;Basic_Fundamental_Information_Concatenate("")</f>
        <v xml:space="preserve">
市值13.519662亿, 利润1.54亿; PE; 平均PE20.84; 平均PEG.8, PB2.79; ROIC8.9933%; ROE13.22%; 股利率.0816%; 毛利27.12%; 净利10.8733%; 上一年度营收增80.73%, 利润增207.19%; 当季营收增-56.84%, 利润增-96.44%; 过往5年营收增26%, 利润增52.96%
Income profile:
</v>
      </c>
      <c r="D10" t="s">
        <v>331</v>
      </c>
      <c r="E10" t="s">
        <v>332</v>
      </c>
      <c r="F10">
        <v>12.25</v>
      </c>
      <c r="G10">
        <v>1.58</v>
      </c>
      <c r="H10" t="s">
        <v>812</v>
      </c>
      <c r="I10">
        <v>1351966200</v>
      </c>
      <c r="K10">
        <v>2.79</v>
      </c>
      <c r="L10" t="s">
        <v>389</v>
      </c>
      <c r="M10" t="s">
        <v>160</v>
      </c>
      <c r="N10" t="s">
        <v>370</v>
      </c>
      <c r="O10" t="s">
        <v>813</v>
      </c>
      <c r="P10">
        <v>-18.260000000000002</v>
      </c>
      <c r="Q10" t="s">
        <v>44</v>
      </c>
      <c r="R10">
        <v>1604920</v>
      </c>
      <c r="S10" s="6">
        <v>-0.81259999999999999</v>
      </c>
      <c r="T10" t="s">
        <v>157</v>
      </c>
      <c r="U10">
        <v>58367529</v>
      </c>
      <c r="V10">
        <v>110364584</v>
      </c>
      <c r="W10">
        <v>1.84</v>
      </c>
      <c r="X10">
        <v>7.0000000000000007E-2</v>
      </c>
      <c r="Y10">
        <v>2.71</v>
      </c>
      <c r="Z10" t="s">
        <v>814</v>
      </c>
      <c r="AA10" t="s">
        <v>815</v>
      </c>
      <c r="AB10" t="s">
        <v>816</v>
      </c>
      <c r="AC10" t="s">
        <v>817</v>
      </c>
      <c r="AD10" t="s">
        <v>5</v>
      </c>
      <c r="AE10">
        <v>280516</v>
      </c>
      <c r="AF10" t="s">
        <v>818</v>
      </c>
      <c r="AG10" t="s">
        <v>819</v>
      </c>
      <c r="AH10" t="s">
        <v>820</v>
      </c>
      <c r="AI10" t="s">
        <v>821</v>
      </c>
      <c r="AJ10" t="s">
        <v>822</v>
      </c>
      <c r="AK10" t="s">
        <v>823</v>
      </c>
      <c r="AL10" t="s">
        <v>824</v>
      </c>
      <c r="AM10" t="s">
        <v>5</v>
      </c>
      <c r="AN10" t="s">
        <v>110</v>
      </c>
      <c r="AO10" t="s">
        <v>825</v>
      </c>
      <c r="AP10" t="s">
        <v>826</v>
      </c>
      <c r="AQ10" t="s">
        <v>75</v>
      </c>
      <c r="AR10" t="s">
        <v>5</v>
      </c>
      <c r="AS10" t="s">
        <v>88</v>
      </c>
      <c r="AT10" t="s">
        <v>618</v>
      </c>
      <c r="AU10" t="s">
        <v>827</v>
      </c>
      <c r="AV10" t="s">
        <v>828</v>
      </c>
      <c r="AW10" t="s">
        <v>829</v>
      </c>
      <c r="AX10" t="s">
        <v>127</v>
      </c>
      <c r="AY10" t="s">
        <v>131</v>
      </c>
      <c r="AZ10" t="s">
        <v>143</v>
      </c>
      <c r="BA10" t="s">
        <v>179</v>
      </c>
      <c r="BB10" t="s">
        <v>130</v>
      </c>
      <c r="BC10" t="s">
        <v>567</v>
      </c>
      <c r="BD10" t="s">
        <v>371</v>
      </c>
      <c r="BE10" t="s">
        <v>333</v>
      </c>
      <c r="BF10" t="s">
        <v>334</v>
      </c>
      <c r="BG10" t="s">
        <v>335</v>
      </c>
      <c r="BH10" t="s">
        <v>69</v>
      </c>
      <c r="BI10" t="s">
        <v>181</v>
      </c>
      <c r="BJ10" t="s">
        <v>127</v>
      </c>
      <c r="BK10" t="s">
        <v>830</v>
      </c>
      <c r="BL10" t="s">
        <v>831</v>
      </c>
      <c r="BM10" t="s">
        <v>567</v>
      </c>
      <c r="BN10">
        <v>3.16</v>
      </c>
      <c r="BO10">
        <v>9.49</v>
      </c>
      <c r="BP10">
        <v>14.33</v>
      </c>
      <c r="BQ10">
        <v>3.77</v>
      </c>
      <c r="BR10">
        <v>10.92</v>
      </c>
      <c r="BS10">
        <v>24.97</v>
      </c>
      <c r="BT10" t="s">
        <v>470</v>
      </c>
      <c r="BU10" t="s">
        <v>389</v>
      </c>
      <c r="BV10">
        <v>25.57</v>
      </c>
      <c r="BW10">
        <v>29.37</v>
      </c>
      <c r="BX10">
        <v>26.42</v>
      </c>
      <c r="BY10">
        <v>2.39</v>
      </c>
      <c r="BZ10">
        <v>16.66</v>
      </c>
      <c r="CA10">
        <v>13.57</v>
      </c>
      <c r="CB10">
        <v>-4</v>
      </c>
      <c r="CC10">
        <v>4.7</v>
      </c>
      <c r="CD10" t="s">
        <v>832</v>
      </c>
      <c r="CE10" t="s">
        <v>116</v>
      </c>
      <c r="CF10" s="10">
        <v>-0.56839854014598545</v>
      </c>
      <c r="CG10" s="11">
        <v>-0.96437429938179109</v>
      </c>
      <c r="CH10" s="10">
        <v>0.80730897188186646</v>
      </c>
      <c r="CI10" s="10">
        <v>-0.19733333587646484</v>
      </c>
      <c r="CJ10" s="10">
        <v>0.10946745425462723</v>
      </c>
      <c r="CK10" s="10">
        <v>9.0322583913803101E-2</v>
      </c>
      <c r="CL10" s="10">
        <v>0.49038460850715637</v>
      </c>
      <c r="CM10" s="11">
        <v>2.07193922996521</v>
      </c>
      <c r="CN10" s="11">
        <v>-1.5647551044821739E-2</v>
      </c>
      <c r="CO10" s="11">
        <v>-7.7075161039829254E-2</v>
      </c>
      <c r="CP10" s="11">
        <v>0.16277432441711426</v>
      </c>
      <c r="CQ10" s="11">
        <v>0.5062447190284729</v>
      </c>
      <c r="CR10">
        <v>20.842045870604966</v>
      </c>
      <c r="CS10">
        <v>0.801524490985281</v>
      </c>
      <c r="CT10">
        <v>8.1632653061224497E-2</v>
      </c>
      <c r="CU10" s="10">
        <v>0.26003005653619765</v>
      </c>
      <c r="CV10" s="11">
        <v>0.5296471122652292</v>
      </c>
      <c r="CW10">
        <v>0.06</v>
      </c>
      <c r="CX10">
        <v>6.8445294304350979</v>
      </c>
      <c r="CY10">
        <v>183060970.47790042</v>
      </c>
      <c r="CZ10">
        <v>0.26003005653619765</v>
      </c>
      <c r="DA10">
        <v>1.9424160102758499</v>
      </c>
      <c r="DB10">
        <v>645055535.66872704</v>
      </c>
      <c r="DC10">
        <v>0.24702855370938775</v>
      </c>
      <c r="DD10">
        <v>0.78321211990004835</v>
      </c>
      <c r="DE10">
        <v>1599778869.8161368</v>
      </c>
      <c r="DF10">
        <v>0.22882644975185393</v>
      </c>
      <c r="DG10">
        <v>0.36983088967686523</v>
      </c>
      <c r="DH10">
        <v>3387943611.4564753</v>
      </c>
      <c r="DI10">
        <v>0.20802404522895812</v>
      </c>
      <c r="DJ10">
        <v>0.10714844302171454</v>
      </c>
      <c r="DK10">
        <v>11693741548.312332</v>
      </c>
      <c r="DL10">
        <v>0.18202103957533836</v>
      </c>
      <c r="DM10">
        <v>154000000</v>
      </c>
      <c r="DN10">
        <v>0.26003005653619765</v>
      </c>
      <c r="DO10">
        <v>1252966200</v>
      </c>
      <c r="DP10">
        <v>180532560</v>
      </c>
      <c r="DQ10">
        <v>2523</v>
      </c>
      <c r="DR10">
        <v>-0.82842859668218316</v>
      </c>
      <c r="DS10">
        <v>-1.4940214116470203</v>
      </c>
      <c r="DT10" s="12">
        <v>-0.1566666666666667</v>
      </c>
      <c r="DU10">
        <v>7.6666666666666591E-2</v>
      </c>
      <c r="DV10">
        <v>-8.0000000000000113E-2</v>
      </c>
      <c r="DW10">
        <v>-6.4597701149425291</v>
      </c>
      <c r="DX10">
        <v>0.24594879518072255</v>
      </c>
      <c r="DY10">
        <v>-6.0533097908876883</v>
      </c>
      <c r="DZ10">
        <v>2917</v>
      </c>
      <c r="EA10">
        <v>-6.0228783505707826</v>
      </c>
      <c r="EB10">
        <v>6</v>
      </c>
      <c r="EC10">
        <v>0.1743992438733788</v>
      </c>
      <c r="ED10">
        <v>1.504105701155001</v>
      </c>
      <c r="EE10" s="13">
        <v>-4.0493100000000002</v>
      </c>
      <c r="EF10">
        <v>-4.06691</v>
      </c>
      <c r="EG10">
        <v>13.115948795180723</v>
      </c>
      <c r="EH10" t="s">
        <v>605</v>
      </c>
      <c r="EI10">
        <v>0</v>
      </c>
      <c r="EJ10">
        <v>0</v>
      </c>
      <c r="EK10" s="15">
        <v>45470</v>
      </c>
      <c r="EL10" s="16">
        <v>-0.57999999999999996</v>
      </c>
      <c r="EM10" s="16">
        <v>-4.84</v>
      </c>
      <c r="EN10" s="16">
        <v>1.83</v>
      </c>
      <c r="EO10" s="16">
        <v>3</v>
      </c>
      <c r="EP10" s="16">
        <v>-1.76</v>
      </c>
    </row>
    <row r="11" spans="1:146" ht="108" x14ac:dyDescent="0.25">
      <c r="A11" s="8"/>
      <c r="B11" s="8"/>
      <c r="C11" s="8" t="str">
        <f>""&amp;CHAR(10)&amp;Basic_Fundamental_Information_Constructure(F11)&amp;CHAR(10)&amp;Basic_Fundamental_Information_Concatenate("")</f>
        <v xml:space="preserve">
市值17.904亿, 利润8424.65万; PE46.64; 平均PE29.9; 平均PEG1.96, PB1.88; ROIC8.0167%; ROE10.66%; 股利率.4021%; 毛利36.9633%; 净利12.7667%; 上一年度营收增34.12%, 利润增82.33%; 当季营收增73.72%, 利润增78.53%; 过往5年营收增15.28%, 利润增21.01%
Income profile:
</v>
      </c>
      <c r="D11" t="s">
        <v>430</v>
      </c>
      <c r="E11" t="s">
        <v>439</v>
      </c>
      <c r="F11">
        <v>14.92</v>
      </c>
      <c r="G11">
        <v>0.81</v>
      </c>
      <c r="H11" t="s">
        <v>833</v>
      </c>
      <c r="I11">
        <v>1790400000</v>
      </c>
      <c r="J11">
        <v>46.64</v>
      </c>
      <c r="K11">
        <v>1.88</v>
      </c>
      <c r="L11" t="s">
        <v>389</v>
      </c>
      <c r="M11" t="s">
        <v>834</v>
      </c>
      <c r="N11" t="s">
        <v>590</v>
      </c>
      <c r="O11" t="s">
        <v>144</v>
      </c>
      <c r="P11">
        <v>42.1</v>
      </c>
      <c r="Q11" t="s">
        <v>186</v>
      </c>
      <c r="R11">
        <v>18560265</v>
      </c>
      <c r="S11">
        <v>7.5300000000000006E-2</v>
      </c>
      <c r="T11" t="s">
        <v>835</v>
      </c>
      <c r="U11">
        <v>53328000</v>
      </c>
      <c r="V11">
        <v>120000000</v>
      </c>
      <c r="W11">
        <v>1.36</v>
      </c>
      <c r="X11">
        <v>0.12</v>
      </c>
      <c r="Y11">
        <v>14.86</v>
      </c>
      <c r="Z11" t="s">
        <v>97</v>
      </c>
      <c r="AA11" t="s">
        <v>836</v>
      </c>
      <c r="AB11" t="s">
        <v>837</v>
      </c>
      <c r="AC11" t="s">
        <v>838</v>
      </c>
      <c r="AD11" t="s">
        <v>5</v>
      </c>
      <c r="AE11">
        <v>-871581</v>
      </c>
      <c r="AF11" t="s">
        <v>839</v>
      </c>
      <c r="AG11" t="s">
        <v>840</v>
      </c>
      <c r="AH11" t="s">
        <v>841</v>
      </c>
      <c r="AI11" t="s">
        <v>105</v>
      </c>
      <c r="AJ11" t="s">
        <v>842</v>
      </c>
      <c r="AK11" t="s">
        <v>843</v>
      </c>
      <c r="AL11" t="s">
        <v>844</v>
      </c>
      <c r="AM11" t="s">
        <v>5</v>
      </c>
      <c r="AN11" t="s">
        <v>845</v>
      </c>
      <c r="AO11" t="s">
        <v>846</v>
      </c>
      <c r="AP11" t="s">
        <v>847</v>
      </c>
      <c r="AQ11" t="s">
        <v>94</v>
      </c>
      <c r="AR11" t="s">
        <v>5</v>
      </c>
      <c r="AS11" t="s">
        <v>154</v>
      </c>
      <c r="AT11" t="s">
        <v>848</v>
      </c>
      <c r="AU11" t="s">
        <v>849</v>
      </c>
      <c r="AV11" t="s">
        <v>850</v>
      </c>
      <c r="AW11" t="s">
        <v>851</v>
      </c>
      <c r="AX11" t="s">
        <v>37</v>
      </c>
      <c r="AY11" t="s">
        <v>211</v>
      </c>
      <c r="AZ11" t="s">
        <v>238</v>
      </c>
      <c r="BA11" t="s">
        <v>256</v>
      </c>
      <c r="BB11" t="s">
        <v>140</v>
      </c>
      <c r="BC11" t="s">
        <v>568</v>
      </c>
      <c r="BD11" t="s">
        <v>431</v>
      </c>
      <c r="BE11" t="s">
        <v>432</v>
      </c>
      <c r="BF11" t="s">
        <v>433</v>
      </c>
      <c r="BG11" t="s">
        <v>434</v>
      </c>
      <c r="BH11" t="s">
        <v>216</v>
      </c>
      <c r="BI11" t="s">
        <v>852</v>
      </c>
      <c r="BJ11" t="s">
        <v>37</v>
      </c>
      <c r="BK11" t="s">
        <v>853</v>
      </c>
      <c r="BL11" t="s">
        <v>854</v>
      </c>
      <c r="BM11" t="s">
        <v>568</v>
      </c>
      <c r="BN11">
        <v>3.08</v>
      </c>
      <c r="BO11">
        <v>6.96</v>
      </c>
      <c r="BP11">
        <v>14.01</v>
      </c>
      <c r="BQ11">
        <v>3.36</v>
      </c>
      <c r="BR11">
        <v>11.51</v>
      </c>
      <c r="BS11">
        <v>17.11</v>
      </c>
      <c r="BT11" t="s">
        <v>560</v>
      </c>
      <c r="BU11" t="s">
        <v>389</v>
      </c>
      <c r="BV11">
        <v>36.659999999999997</v>
      </c>
      <c r="BW11">
        <v>38.520000000000003</v>
      </c>
      <c r="BX11">
        <v>35.71</v>
      </c>
      <c r="BY11">
        <v>10.210000000000001</v>
      </c>
      <c r="BZ11">
        <v>13.57</v>
      </c>
      <c r="CA11">
        <v>14.52</v>
      </c>
      <c r="CB11">
        <v>-3.93</v>
      </c>
      <c r="CC11">
        <v>-12.03</v>
      </c>
      <c r="CD11" t="s">
        <v>855</v>
      </c>
      <c r="CE11" t="s">
        <v>856</v>
      </c>
      <c r="CF11" s="10">
        <v>0.73723737951712121</v>
      </c>
      <c r="CG11" s="11">
        <v>0.78532752981916121</v>
      </c>
      <c r="CH11" s="10">
        <v>0.34117648005485535</v>
      </c>
      <c r="CI11" s="10">
        <v>-0.17274938523769379</v>
      </c>
      <c r="CJ11" s="10">
        <v>1.4814814552664757E-2</v>
      </c>
      <c r="CK11" s="10">
        <v>0.40138408541679382</v>
      </c>
      <c r="CL11" s="10">
        <v>0.1795918345451355</v>
      </c>
      <c r="CM11" s="11">
        <v>0.82332384586334229</v>
      </c>
      <c r="CN11" s="11">
        <v>-0.22530113160610199</v>
      </c>
      <c r="CO11" s="11">
        <v>-0.22446049749851227</v>
      </c>
      <c r="CP11" s="11">
        <v>0.62899917364120483</v>
      </c>
      <c r="CQ11" s="11">
        <v>4.8079762607812881E-2</v>
      </c>
      <c r="CR11">
        <v>29.902154951528413</v>
      </c>
      <c r="CS11">
        <v>1.9563895138167178</v>
      </c>
      <c r="CT11">
        <v>0.40214477211796246</v>
      </c>
      <c r="CU11" s="10">
        <v>0.15284356586635112</v>
      </c>
      <c r="CV11" s="11">
        <v>0.21012823060154914</v>
      </c>
      <c r="CW11">
        <v>0.06</v>
      </c>
      <c r="CX11">
        <v>9.0802631704857575</v>
      </c>
      <c r="CY11">
        <v>91625505.162037298</v>
      </c>
      <c r="CZ11">
        <v>0.15284356586635112</v>
      </c>
      <c r="DA11">
        <v>2.8146529561921279</v>
      </c>
      <c r="DB11">
        <v>295590153.72380739</v>
      </c>
      <c r="DC11">
        <v>0.14520138757303355</v>
      </c>
      <c r="DD11">
        <v>1.2889775111469401</v>
      </c>
      <c r="DE11">
        <v>645460213.85562873</v>
      </c>
      <c r="DF11">
        <v>0.13450233796238897</v>
      </c>
      <c r="DG11">
        <v>0.71183074778057209</v>
      </c>
      <c r="DH11">
        <v>1168794271.1017396</v>
      </c>
      <c r="DI11">
        <v>0.1222748526930809</v>
      </c>
      <c r="DJ11">
        <v>0.3035522345483388</v>
      </c>
      <c r="DK11">
        <v>2740825483.4227281</v>
      </c>
      <c r="DL11">
        <v>0.10699049610644577</v>
      </c>
      <c r="DM11">
        <v>84246500</v>
      </c>
      <c r="DN11">
        <v>0.15284356586635112</v>
      </c>
      <c r="DO11">
        <v>831983700</v>
      </c>
      <c r="DP11">
        <v>834469470</v>
      </c>
      <c r="DQ11">
        <v>2591</v>
      </c>
      <c r="DR11">
        <v>0.58439381365077003</v>
      </c>
      <c r="DS11">
        <v>0.57519929921761204</v>
      </c>
      <c r="DT11" s="12">
        <v>-0.20666666666666669</v>
      </c>
      <c r="DU11">
        <v>0.5033333333333333</v>
      </c>
      <c r="DV11">
        <v>0.29666666666666663</v>
      </c>
      <c r="DW11">
        <v>-8.3266832917705731</v>
      </c>
      <c r="DX11">
        <v>0.3252055498238387</v>
      </c>
      <c r="DY11">
        <v>-8.0474362269998085</v>
      </c>
      <c r="DZ11">
        <v>558</v>
      </c>
      <c r="EA11">
        <v>-8.0422563024076581</v>
      </c>
      <c r="EB11">
        <v>8</v>
      </c>
      <c r="EC11">
        <v>5.6531666666666668E-2</v>
      </c>
      <c r="ED11">
        <v>0.38932166666666668</v>
      </c>
      <c r="EE11" s="13">
        <v>1.6700000000000003E-2</v>
      </c>
      <c r="EF11">
        <v>1.091E-2</v>
      </c>
      <c r="EG11">
        <v>18.145205549823839</v>
      </c>
      <c r="EH11">
        <v>-1</v>
      </c>
      <c r="EI11">
        <v>0</v>
      </c>
      <c r="EJ11">
        <v>1</v>
      </c>
      <c r="EK11" s="15">
        <v>45470</v>
      </c>
      <c r="EL11" s="16">
        <v>0.05</v>
      </c>
      <c r="EM11" s="16">
        <v>-4.62</v>
      </c>
      <c r="EN11" s="16">
        <v>1.6</v>
      </c>
      <c r="EO11" s="16">
        <v>1.85</v>
      </c>
      <c r="EP11" s="16">
        <v>-2.76</v>
      </c>
    </row>
    <row r="12" spans="1:146" ht="96" x14ac:dyDescent="0.25">
      <c r="A12" s="8"/>
      <c r="B12" s="8"/>
      <c r="C12" s="8" t="str">
        <f>""&amp;CHAR(10)&amp;Basic_Fundamental_Information_Constructure(F12)&amp;CHAR(10)&amp;Basic_Fundamental_Information_Concatenate("")</f>
        <v xml:space="preserve">
市值18.57亿, 利润1.47亿; PE38.99; 平均PE22.64; 平均PEG.9, PB1.4; ROIC7.5467%; ROE8.9767%; 股利率1.6155%; 毛利19%; 净利10.8233%; 上一年度营收增85.93%, 利润增80.06%; 当季营收增-41.82%, 利润增-74.59%; 过往5年营收增25.23%, 利润增23.39%
Income profile:
</v>
      </c>
      <c r="D12" t="s">
        <v>372</v>
      </c>
      <c r="E12" t="s">
        <v>373</v>
      </c>
      <c r="F12">
        <v>18.57</v>
      </c>
      <c r="G12">
        <v>-2.62</v>
      </c>
      <c r="H12" t="s">
        <v>857</v>
      </c>
      <c r="I12">
        <v>1857000000</v>
      </c>
      <c r="J12">
        <v>38.99</v>
      </c>
      <c r="K12">
        <v>1.4</v>
      </c>
      <c r="L12" t="s">
        <v>389</v>
      </c>
      <c r="M12" t="s">
        <v>148</v>
      </c>
      <c r="N12" t="s">
        <v>858</v>
      </c>
      <c r="O12" t="s">
        <v>188</v>
      </c>
      <c r="P12">
        <v>7.62</v>
      </c>
      <c r="Q12" t="s">
        <v>347</v>
      </c>
      <c r="R12">
        <v>8810612</v>
      </c>
      <c r="S12" s="6">
        <v>-0.1431</v>
      </c>
      <c r="T12" t="s">
        <v>40</v>
      </c>
      <c r="U12">
        <v>28750000</v>
      </c>
      <c r="V12">
        <v>100000000</v>
      </c>
      <c r="W12">
        <v>1.26</v>
      </c>
      <c r="X12">
        <v>0.1</v>
      </c>
      <c r="Y12">
        <v>5.5</v>
      </c>
      <c r="Z12" t="s">
        <v>121</v>
      </c>
      <c r="AA12" t="s">
        <v>107</v>
      </c>
      <c r="AB12" t="s">
        <v>859</v>
      </c>
      <c r="AC12" t="s">
        <v>860</v>
      </c>
      <c r="AD12" t="s">
        <v>5</v>
      </c>
      <c r="AE12">
        <v>-2576015</v>
      </c>
      <c r="AF12" t="s">
        <v>861</v>
      </c>
      <c r="AG12" t="s">
        <v>5</v>
      </c>
      <c r="AH12" t="s">
        <v>862</v>
      </c>
      <c r="AI12" t="s">
        <v>68</v>
      </c>
      <c r="AJ12" t="s">
        <v>863</v>
      </c>
      <c r="AK12" t="s">
        <v>864</v>
      </c>
      <c r="AL12" t="s">
        <v>865</v>
      </c>
      <c r="AM12" t="s">
        <v>5</v>
      </c>
      <c r="AN12" t="s">
        <v>866</v>
      </c>
      <c r="AO12" t="s">
        <v>867</v>
      </c>
      <c r="AP12" t="s">
        <v>43</v>
      </c>
      <c r="AQ12" t="s">
        <v>171</v>
      </c>
      <c r="AR12" t="s">
        <v>868</v>
      </c>
      <c r="AS12" t="s">
        <v>253</v>
      </c>
      <c r="AT12" t="s">
        <v>5</v>
      </c>
      <c r="AU12" t="s">
        <v>869</v>
      </c>
      <c r="AV12" t="s">
        <v>870</v>
      </c>
      <c r="AW12" t="s">
        <v>871</v>
      </c>
      <c r="AX12" t="s">
        <v>565</v>
      </c>
      <c r="AY12" t="s">
        <v>167</v>
      </c>
      <c r="AZ12" t="s">
        <v>298</v>
      </c>
      <c r="BA12" t="s">
        <v>375</v>
      </c>
      <c r="BB12" t="s">
        <v>166</v>
      </c>
      <c r="BC12" t="s">
        <v>569</v>
      </c>
      <c r="BD12" t="s">
        <v>374</v>
      </c>
      <c r="BE12" t="s">
        <v>376</v>
      </c>
      <c r="BF12" t="s">
        <v>377</v>
      </c>
      <c r="BG12" t="s">
        <v>378</v>
      </c>
      <c r="BH12" t="s">
        <v>74</v>
      </c>
      <c r="BI12" t="s">
        <v>32</v>
      </c>
      <c r="BJ12" t="s">
        <v>565</v>
      </c>
      <c r="BK12" t="s">
        <v>872</v>
      </c>
      <c r="BL12" t="s">
        <v>873</v>
      </c>
      <c r="BM12" t="s">
        <v>569</v>
      </c>
      <c r="BN12">
        <v>2.4500000000000002</v>
      </c>
      <c r="BO12">
        <v>7.39</v>
      </c>
      <c r="BP12">
        <v>12.8</v>
      </c>
      <c r="BQ12">
        <v>2.93</v>
      </c>
      <c r="BR12">
        <v>7.83</v>
      </c>
      <c r="BS12">
        <v>16.170000000000002</v>
      </c>
      <c r="BT12" t="s">
        <v>462</v>
      </c>
      <c r="BU12" t="s">
        <v>389</v>
      </c>
      <c r="BV12">
        <v>16.45</v>
      </c>
      <c r="BW12">
        <v>19.57</v>
      </c>
      <c r="BX12">
        <v>20.98</v>
      </c>
      <c r="BY12">
        <v>7.55</v>
      </c>
      <c r="BZ12">
        <v>12.49</v>
      </c>
      <c r="CA12">
        <v>12.43</v>
      </c>
      <c r="CB12">
        <v>-23.83</v>
      </c>
      <c r="CC12">
        <v>6.05</v>
      </c>
      <c r="CD12" t="s">
        <v>874</v>
      </c>
      <c r="CE12" t="s">
        <v>126</v>
      </c>
      <c r="CF12" s="10">
        <v>-0.41818181818181815</v>
      </c>
      <c r="CG12" s="11">
        <v>-0.74594690918737494</v>
      </c>
      <c r="CH12" s="10">
        <v>0.85932719707489014</v>
      </c>
      <c r="CI12" s="10">
        <v>2.187499962747097E-2</v>
      </c>
      <c r="CJ12" s="10">
        <v>0.20754717290401459</v>
      </c>
      <c r="CK12" s="10">
        <v>0.1751662939786911</v>
      </c>
      <c r="CL12" s="10">
        <v>-2.2123893722891808E-3</v>
      </c>
      <c r="CM12" s="11">
        <v>0.80061882734298706</v>
      </c>
      <c r="CN12" s="11">
        <v>2.6229385286569595E-2</v>
      </c>
      <c r="CO12" s="11">
        <v>0.11644095182418823</v>
      </c>
      <c r="CP12" s="11">
        <v>0.37511724233627319</v>
      </c>
      <c r="CQ12" s="11">
        <v>-0.14866428077220917</v>
      </c>
      <c r="CR12">
        <v>22.640405259596569</v>
      </c>
      <c r="CS12">
        <v>0.89721591923912292</v>
      </c>
      <c r="CT12">
        <v>1.615508885298869</v>
      </c>
      <c r="CU12" s="10">
        <v>0.25234065484255552</v>
      </c>
      <c r="CV12" s="11">
        <v>0.23394842520356179</v>
      </c>
      <c r="CW12">
        <v>0.06</v>
      </c>
      <c r="CX12">
        <v>5.1763751411780188</v>
      </c>
      <c r="CY12">
        <v>173673656.85080722</v>
      </c>
      <c r="CZ12">
        <v>0.25234065484255552</v>
      </c>
      <c r="DA12">
        <v>1.4782206918492302</v>
      </c>
      <c r="DB12">
        <v>608163588.12794423</v>
      </c>
      <c r="DC12">
        <v>0.23972362210042775</v>
      </c>
      <c r="DD12">
        <v>0.60158631932616913</v>
      </c>
      <c r="DE12">
        <v>1494382387.2307484</v>
      </c>
      <c r="DF12">
        <v>0.22205977626144885</v>
      </c>
      <c r="DG12">
        <v>0.28741093193533646</v>
      </c>
      <c r="DH12">
        <v>3127925559.2207704</v>
      </c>
      <c r="DI12">
        <v>0.20187252387404442</v>
      </c>
      <c r="DJ12">
        <v>8.5776857194219375E-2</v>
      </c>
      <c r="DK12">
        <v>10480682428.879953</v>
      </c>
      <c r="DL12">
        <v>0.17663845838978887</v>
      </c>
      <c r="DM12">
        <v>147000000</v>
      </c>
      <c r="DN12">
        <v>0.25234065484255552</v>
      </c>
      <c r="DO12">
        <v>899000000</v>
      </c>
      <c r="DP12">
        <v>450302120</v>
      </c>
      <c r="DQ12">
        <v>2686</v>
      </c>
      <c r="DR12">
        <v>-0.67052247302437373</v>
      </c>
      <c r="DS12">
        <v>-0.97989533439093668</v>
      </c>
      <c r="DT12" s="12">
        <v>0.14333333333333331</v>
      </c>
      <c r="DU12">
        <v>1.0000000000000011E-2</v>
      </c>
      <c r="DV12">
        <v>0.15333333333333332</v>
      </c>
      <c r="DW12">
        <v>-5.253881661770877</v>
      </c>
      <c r="DX12">
        <v>0.57250360360360297</v>
      </c>
      <c r="DY12">
        <v>-5.1123435502224845</v>
      </c>
      <c r="DZ12">
        <v>173</v>
      </c>
      <c r="EA12">
        <v>-5.1085401384439155</v>
      </c>
      <c r="EB12">
        <v>5</v>
      </c>
      <c r="EC12">
        <v>0.49117899999999998</v>
      </c>
      <c r="ED12">
        <v>1.1100000000000001</v>
      </c>
      <c r="EE12" s="13">
        <v>-3.1085099999999999</v>
      </c>
      <c r="EF12">
        <v>-3.13531</v>
      </c>
      <c r="EG12">
        <v>13.442503603603603</v>
      </c>
      <c r="EH12" t="s">
        <v>604</v>
      </c>
      <c r="EI12">
        <v>0</v>
      </c>
      <c r="EJ12">
        <v>1</v>
      </c>
      <c r="EK12" s="15">
        <v>45470</v>
      </c>
      <c r="EL12" s="16">
        <v>0.03</v>
      </c>
      <c r="EM12" s="16">
        <v>-6.45</v>
      </c>
      <c r="EN12" s="16">
        <v>-1.26</v>
      </c>
      <c r="EO12" s="16">
        <v>3.52</v>
      </c>
      <c r="EP12" s="16">
        <v>-2.68</v>
      </c>
    </row>
    <row r="13" spans="1:146" ht="96" x14ac:dyDescent="0.25">
      <c r="C13" s="8" t="str">
        <f>""&amp;CHAR(10)&amp;Basic_Fundamental_Information_Constructure(F13)&amp;CHAR(10)&amp;Basic_Fundamental_Information_Concatenate("")</f>
        <v xml:space="preserve">
市值19.1984亿, 利润5140.93万; PE25.93; 平均PE22.46; 平均PEG.34, PB1.74; ROIC26.48%; ROE26.36%; 股利率1.0834%; 毛利38.7767%; 净利24.7833%; 上一年度营收增26.02%, 利润增-66.83%; 当季营收增-16.67%, 利润增53.22%; 过往5年营收增66.17%, 利润增31.69%
Income profile:
</v>
      </c>
      <c r="D13" t="s">
        <v>571</v>
      </c>
      <c r="E13" t="s">
        <v>572</v>
      </c>
      <c r="F13">
        <v>18.46</v>
      </c>
      <c r="G13">
        <v>-1.07</v>
      </c>
      <c r="H13" t="s">
        <v>875</v>
      </c>
      <c r="I13">
        <v>1919840000</v>
      </c>
      <c r="J13">
        <v>25.93</v>
      </c>
      <c r="K13">
        <v>1.74</v>
      </c>
      <c r="L13" t="s">
        <v>389</v>
      </c>
      <c r="M13" t="s">
        <v>41</v>
      </c>
      <c r="N13" t="s">
        <v>215</v>
      </c>
      <c r="O13" t="s">
        <v>67</v>
      </c>
      <c r="P13" s="6">
        <v>-6.46</v>
      </c>
      <c r="Q13" t="s">
        <v>540</v>
      </c>
      <c r="R13">
        <v>18242096</v>
      </c>
      <c r="S13">
        <v>-0.18010000000000001</v>
      </c>
      <c r="T13" t="s">
        <v>876</v>
      </c>
      <c r="U13">
        <v>26000000</v>
      </c>
      <c r="V13">
        <v>104000000</v>
      </c>
      <c r="W13">
        <v>1.17</v>
      </c>
      <c r="X13">
        <v>0.08</v>
      </c>
      <c r="Y13">
        <v>17.670000000000002</v>
      </c>
      <c r="Z13" t="s">
        <v>877</v>
      </c>
      <c r="AA13" t="s">
        <v>878</v>
      </c>
      <c r="AB13" t="s">
        <v>879</v>
      </c>
      <c r="AC13" t="s">
        <v>880</v>
      </c>
      <c r="AD13" t="s">
        <v>5</v>
      </c>
      <c r="AE13">
        <v>-3537520</v>
      </c>
      <c r="AF13" t="s">
        <v>35</v>
      </c>
      <c r="AG13" t="s">
        <v>881</v>
      </c>
      <c r="AH13" t="s">
        <v>882</v>
      </c>
      <c r="AI13" t="s">
        <v>363</v>
      </c>
      <c r="AJ13" t="s">
        <v>883</v>
      </c>
      <c r="AK13" t="s">
        <v>884</v>
      </c>
      <c r="AL13" t="s">
        <v>885</v>
      </c>
      <c r="AM13" t="s">
        <v>5</v>
      </c>
      <c r="AN13" t="s">
        <v>886</v>
      </c>
      <c r="AO13" t="s">
        <v>887</v>
      </c>
      <c r="AP13" t="s">
        <v>888</v>
      </c>
      <c r="AQ13" t="s">
        <v>889</v>
      </c>
      <c r="AR13" t="s">
        <v>5</v>
      </c>
      <c r="AS13" t="s">
        <v>43</v>
      </c>
      <c r="AT13" t="s">
        <v>5</v>
      </c>
      <c r="AU13" t="s">
        <v>890</v>
      </c>
      <c r="AV13" t="s">
        <v>891</v>
      </c>
      <c r="AW13" t="s">
        <v>892</v>
      </c>
      <c r="AX13" t="s">
        <v>266</v>
      </c>
      <c r="AY13" t="s">
        <v>83</v>
      </c>
      <c r="AZ13" t="s">
        <v>251</v>
      </c>
      <c r="BA13" t="s">
        <v>97</v>
      </c>
      <c r="BB13" t="s">
        <v>5</v>
      </c>
      <c r="BC13" t="s">
        <v>100</v>
      </c>
      <c r="BD13" t="s">
        <v>164</v>
      </c>
      <c r="BE13" t="s">
        <v>573</v>
      </c>
      <c r="BF13" t="s">
        <v>574</v>
      </c>
      <c r="BG13" t="s">
        <v>5</v>
      </c>
      <c r="BH13" t="s">
        <v>276</v>
      </c>
      <c r="BI13" t="s">
        <v>103</v>
      </c>
      <c r="BJ13" t="s">
        <v>266</v>
      </c>
      <c r="BK13" t="s">
        <v>893</v>
      </c>
      <c r="BL13" t="s">
        <v>894</v>
      </c>
      <c r="BM13" t="s">
        <v>100</v>
      </c>
      <c r="BN13">
        <v>8.3800000000000008</v>
      </c>
      <c r="BO13">
        <v>38.17</v>
      </c>
      <c r="BP13">
        <v>32.89</v>
      </c>
      <c r="BQ13">
        <v>10.8</v>
      </c>
      <c r="BR13">
        <v>41.92</v>
      </c>
      <c r="BS13" t="s">
        <v>5</v>
      </c>
      <c r="BT13" t="s">
        <v>895</v>
      </c>
      <c r="BU13" t="s">
        <v>389</v>
      </c>
      <c r="BV13">
        <v>37.74</v>
      </c>
      <c r="BW13">
        <v>38.15</v>
      </c>
      <c r="BX13">
        <v>40.44</v>
      </c>
      <c r="BY13">
        <v>19.25</v>
      </c>
      <c r="BZ13">
        <v>34.590000000000003</v>
      </c>
      <c r="CA13">
        <v>20.51</v>
      </c>
      <c r="CB13">
        <v>-4.5999999999999996</v>
      </c>
      <c r="CC13" s="10">
        <v>-4.8499999999999996</v>
      </c>
      <c r="CD13" s="11" t="s">
        <v>896</v>
      </c>
      <c r="CE13" s="10" t="s">
        <v>897</v>
      </c>
      <c r="CF13" s="10">
        <v>-0.16666666666666655</v>
      </c>
      <c r="CG13" s="10">
        <v>0.53218958667551386</v>
      </c>
      <c r="CH13" s="10">
        <v>0.26021504402160645</v>
      </c>
      <c r="CI13" s="10">
        <v>-7.9207919538021088E-2</v>
      </c>
      <c r="CJ13" s="11">
        <v>0.29487180709838867</v>
      </c>
      <c r="CK13" s="11">
        <v>2.170731782913208</v>
      </c>
      <c r="CL13" s="11" t="s">
        <v>5</v>
      </c>
      <c r="CM13" s="11">
        <v>-0.66832709312438965</v>
      </c>
      <c r="CN13" s="11">
        <v>0.53465348482131958</v>
      </c>
      <c r="CO13">
        <v>0.22921745479106903</v>
      </c>
      <c r="CP13">
        <v>1.1721949577331543</v>
      </c>
      <c r="CQ13" t="s">
        <v>5</v>
      </c>
      <c r="CR13" s="10">
        <v>22.459433362104082</v>
      </c>
      <c r="CS13" s="11">
        <v>0.33944445609770041</v>
      </c>
      <c r="CT13">
        <v>1.0834236186348862</v>
      </c>
      <c r="CU13">
        <v>0.66165267862379551</v>
      </c>
      <c r="CV13">
        <v>0.31693470105528831</v>
      </c>
      <c r="CW13">
        <v>0.06</v>
      </c>
      <c r="CX13">
        <v>12.419055760946614</v>
      </c>
      <c r="CY13">
        <v>80589057.595447436</v>
      </c>
      <c r="CZ13">
        <v>0.66165267862379551</v>
      </c>
      <c r="DA13">
        <v>2.5876390305866286</v>
      </c>
      <c r="DB13">
        <v>386777285.45975184</v>
      </c>
      <c r="DC13">
        <v>0.62857004469260569</v>
      </c>
      <c r="DD13">
        <v>0.63864065839793971</v>
      </c>
      <c r="DE13">
        <v>1567141062.5666308</v>
      </c>
      <c r="DF13">
        <v>0.58225435718894003</v>
      </c>
      <c r="DG13">
        <v>0.15689971287588367</v>
      </c>
      <c r="DH13">
        <v>6378851698.6753168</v>
      </c>
      <c r="DI13">
        <v>0.52932214289903645</v>
      </c>
      <c r="DJ13">
        <v>8.5210856952399276E-3</v>
      </c>
      <c r="DK13">
        <v>117454516454.29315</v>
      </c>
      <c r="DL13">
        <v>0.46315687503665681</v>
      </c>
      <c r="DM13">
        <v>51409300</v>
      </c>
      <c r="DN13">
        <v>0.66165267862379551</v>
      </c>
      <c r="DO13">
        <v>1000840000</v>
      </c>
      <c r="DP13">
        <v>811037030</v>
      </c>
      <c r="DQ13" s="12">
        <v>2793</v>
      </c>
      <c r="DR13">
        <v>-0.82831934529046203</v>
      </c>
      <c r="DS13">
        <v>0.21525488562022554</v>
      </c>
      <c r="DT13">
        <v>0.40800000000000008</v>
      </c>
      <c r="DU13">
        <v>0.48399999999999999</v>
      </c>
      <c r="DV13">
        <v>0.89200000000000013</v>
      </c>
      <c r="DW13">
        <v>-8.9484536082474229</v>
      </c>
      <c r="DX13">
        <v>0.42352920137882599</v>
      </c>
      <c r="DY13">
        <v>-8.2783988301737317</v>
      </c>
      <c r="DZ13">
        <v>795</v>
      </c>
      <c r="EA13">
        <v>-8.2350862920155876</v>
      </c>
      <c r="EB13" s="13">
        <v>8</v>
      </c>
      <c r="EC13" s="13">
        <v>0.18307980769230769</v>
      </c>
      <c r="ED13">
        <v>0.62371923076923075</v>
      </c>
      <c r="EE13">
        <v>2.6609999999999995E-2</v>
      </c>
      <c r="EF13">
        <v>4.0410000000000001E-2</v>
      </c>
      <c r="EG13">
        <v>13.293529201378826</v>
      </c>
      <c r="EH13" s="15">
        <v>-1</v>
      </c>
      <c r="EI13">
        <v>0</v>
      </c>
      <c r="EJ13">
        <v>1</v>
      </c>
      <c r="EK13">
        <v>45470</v>
      </c>
      <c r="EL13">
        <v>-0.24</v>
      </c>
      <c r="EM13">
        <v>-3.99</v>
      </c>
      <c r="EN13" s="16">
        <v>0.08</v>
      </c>
      <c r="EO13" s="16">
        <v>2.4900000000000002</v>
      </c>
      <c r="EP13" s="16">
        <v>-1.38</v>
      </c>
    </row>
    <row r="14" spans="1:146" ht="216" x14ac:dyDescent="0.25">
      <c r="A14" s="8"/>
      <c r="B14" s="8" t="s">
        <v>458</v>
      </c>
      <c r="C14" s="8" t="str">
        <f>"公司是一家主要从事混凝土机械、路面机械、履带起重机械、桩工机械、挖掘机械、汽车起重机械的制造和销售的公司,属工程机械行业。公司是国内混凝土机械龙头企业,主要产品包括拖式混凝土输送泵、混凝土输送泵车、全液压振动压路机、摊铺机、挖掘机、平地机等。"&amp;CHAR(10)&amp;Basic_Fundamental_Information_Constructure(F14)&amp;CHAR(10)&amp;Basic_Fundamental_Information_Concatenate("挖掘机械 167.38亿 42.19% 47.07% 25.10%
混凝土机械 83.55亿 21.06% 19.58% 20.91%
起重机械 71.46亿 18.01% 12.54% 15.67%
其他 35.22亿 8.88% 7.43% 18.83%
桩工机械 16.65亿 4.20% 6.87% 36.82%
路面机械 13.51亿 3.40% 4.17% 27.56%")</f>
        <v>公司是一家主要从事混凝土机械、路面机械、履带起重机械、桩工机械、挖掘机械、汽车起重机械的制造和销售的公司,属工程机械行业。公司是国内混凝土机械龙头企业,主要产品包括拖式混凝土输送泵、混凝土输送泵车、全液压振动压路机、摊铺机、挖掘机、平地机等。
市值1342.4441亿, 利润6.27亿; PE29.24; 平均PE54.6; 平均PEG5.95, PB1.93; ROIC7.7367%; ROE10.8733%; 股利率1.3906%; 毛利25.86%; 净利7.8033%; 上一年度营收增-94.35%, 利润增-85.38%; 当季营收增1588.53%, 利润增1205.87%; 过往5年营收增-9.17%, 利润增-85.38%
Income profile:
挖掘机械 167.38亿 42.19% 47.07% 25.10%
混凝土机械 83.55亿 21.06% 19.58% 20.91%
起重机械 71.46亿 18.01% 12.54% 15.67%
其他 35.22亿 8.88% 7.43% 18.83%
桩工机械 16.65亿 4.20% 6.87% 36.82%
路面机械 13.51亿 3.40% 4.17% 27.56%</v>
      </c>
      <c r="D14" t="s">
        <v>70</v>
      </c>
      <c r="E14" t="s">
        <v>14</v>
      </c>
      <c r="F14">
        <v>15.82</v>
      </c>
      <c r="G14">
        <v>1.28</v>
      </c>
      <c r="H14" t="s">
        <v>898</v>
      </c>
      <c r="I14">
        <v>134244410000</v>
      </c>
      <c r="J14">
        <v>29.24</v>
      </c>
      <c r="K14">
        <v>1.93</v>
      </c>
      <c r="L14" t="s">
        <v>389</v>
      </c>
      <c r="M14" t="s">
        <v>899</v>
      </c>
      <c r="N14" t="s">
        <v>900</v>
      </c>
      <c r="O14" t="s">
        <v>901</v>
      </c>
      <c r="P14">
        <v>-0.73</v>
      </c>
      <c r="Q14" t="s">
        <v>902</v>
      </c>
      <c r="R14">
        <v>1580101000</v>
      </c>
      <c r="S14" s="6">
        <v>4.2099999999999999E-2</v>
      </c>
      <c r="T14" t="s">
        <v>446</v>
      </c>
      <c r="U14">
        <v>8464215800</v>
      </c>
      <c r="V14">
        <v>8485740200</v>
      </c>
      <c r="W14">
        <v>2.19</v>
      </c>
      <c r="X14" t="s">
        <v>5</v>
      </c>
      <c r="Y14">
        <v>9.1</v>
      </c>
      <c r="Z14" t="s">
        <v>5</v>
      </c>
      <c r="AA14" t="s">
        <v>5</v>
      </c>
      <c r="AB14" t="s">
        <v>5</v>
      </c>
      <c r="AC14" t="s">
        <v>5</v>
      </c>
      <c r="AD14" t="s">
        <v>5</v>
      </c>
      <c r="AE14">
        <v>155429000</v>
      </c>
      <c r="AF14" t="s">
        <v>903</v>
      </c>
      <c r="AG14" t="s">
        <v>904</v>
      </c>
      <c r="AH14" t="s">
        <v>905</v>
      </c>
      <c r="AI14" t="s">
        <v>906</v>
      </c>
      <c r="AJ14" t="s">
        <v>907</v>
      </c>
      <c r="AK14" t="s">
        <v>5</v>
      </c>
      <c r="AL14" t="s">
        <v>908</v>
      </c>
      <c r="AM14" t="s">
        <v>5</v>
      </c>
      <c r="AN14" t="s">
        <v>616</v>
      </c>
      <c r="AO14" t="s">
        <v>5</v>
      </c>
      <c r="AP14" t="s">
        <v>909</v>
      </c>
      <c r="AQ14" t="s">
        <v>910</v>
      </c>
      <c r="AR14" t="s">
        <v>5</v>
      </c>
      <c r="AS14" t="s">
        <v>5</v>
      </c>
      <c r="AT14" t="s">
        <v>5</v>
      </c>
      <c r="AU14" t="s">
        <v>619</v>
      </c>
      <c r="AV14" t="s">
        <v>911</v>
      </c>
      <c r="AW14" t="s">
        <v>912</v>
      </c>
      <c r="AX14" t="s">
        <v>913</v>
      </c>
      <c r="AY14" t="s">
        <v>5</v>
      </c>
      <c r="AZ14" t="s">
        <v>575</v>
      </c>
      <c r="BA14" t="s">
        <v>271</v>
      </c>
      <c r="BB14" t="s">
        <v>272</v>
      </c>
      <c r="BC14" t="s">
        <v>914</v>
      </c>
      <c r="BD14" t="s">
        <v>5</v>
      </c>
      <c r="BE14" t="s">
        <v>5</v>
      </c>
      <c r="BF14" t="s">
        <v>5</v>
      </c>
      <c r="BG14" t="s">
        <v>5</v>
      </c>
      <c r="BH14" t="s">
        <v>915</v>
      </c>
      <c r="BI14" t="s">
        <v>916</v>
      </c>
      <c r="BJ14" t="s">
        <v>913</v>
      </c>
      <c r="BK14" t="s">
        <v>917</v>
      </c>
      <c r="BL14" t="s">
        <v>110</v>
      </c>
      <c r="BM14" t="s">
        <v>914</v>
      </c>
      <c r="BN14">
        <v>3.65</v>
      </c>
      <c r="BO14">
        <v>4.6399999999999997</v>
      </c>
      <c r="BP14">
        <v>14.92</v>
      </c>
      <c r="BQ14">
        <v>6.02</v>
      </c>
      <c r="BR14">
        <v>6.65</v>
      </c>
      <c r="BS14">
        <v>19.95</v>
      </c>
      <c r="BT14" t="s">
        <v>918</v>
      </c>
      <c r="BU14" t="s">
        <v>389</v>
      </c>
      <c r="BV14">
        <v>27.71</v>
      </c>
      <c r="BW14">
        <v>24.02</v>
      </c>
      <c r="BX14">
        <v>25.85</v>
      </c>
      <c r="BY14">
        <v>6.29</v>
      </c>
      <c r="BZ14">
        <v>5.5</v>
      </c>
      <c r="CA14">
        <v>11.62</v>
      </c>
      <c r="CB14">
        <v>-4.12</v>
      </c>
      <c r="CC14">
        <v>-4.0599999999999996</v>
      </c>
      <c r="CD14" t="s">
        <v>113</v>
      </c>
      <c r="CE14" t="s">
        <v>919</v>
      </c>
      <c r="CF14" s="10">
        <v>15.885277246653917</v>
      </c>
      <c r="CG14" s="11">
        <v>12.058685950413222</v>
      </c>
      <c r="CH14" s="10">
        <v>-0.94348651170730591</v>
      </c>
      <c r="CI14" s="10" t="s">
        <v>5</v>
      </c>
      <c r="CJ14" s="10" t="s">
        <v>5</v>
      </c>
      <c r="CK14" s="10">
        <v>0.31291881203651428</v>
      </c>
      <c r="CL14" s="10">
        <v>0.35546913743019104</v>
      </c>
      <c r="CM14" s="11">
        <v>-0.85384613275527954</v>
      </c>
      <c r="CN14" s="11" t="s">
        <v>5</v>
      </c>
      <c r="CO14" s="11" t="s">
        <v>5</v>
      </c>
      <c r="CP14" s="11" t="s">
        <v>5</v>
      </c>
      <c r="CQ14" s="11" t="s">
        <v>5</v>
      </c>
      <c r="CR14">
        <v>54.604193613992273</v>
      </c>
      <c r="CS14">
        <v>5.9546869132200948</v>
      </c>
      <c r="CT14">
        <v>1.390644753476612</v>
      </c>
      <c r="CU14" s="10">
        <v>-9.1699520746866867E-2</v>
      </c>
      <c r="CV14" s="11">
        <v>-0.85384613275527954</v>
      </c>
      <c r="CW14">
        <v>0.06</v>
      </c>
      <c r="CX14">
        <v>232.25105263157894</v>
      </c>
      <c r="CY14" t="s">
        <v>920</v>
      </c>
      <c r="CZ14">
        <v>-9.1699520746866867E-2</v>
      </c>
      <c r="DA14">
        <v>77.417017543859643</v>
      </c>
      <c r="DB14" t="s">
        <v>921</v>
      </c>
      <c r="DC14">
        <v>-8.7114544709523525E-2</v>
      </c>
      <c r="DD14">
        <v>38.708508771929822</v>
      </c>
      <c r="DE14" t="s">
        <v>922</v>
      </c>
      <c r="DF14">
        <v>-8.0695578257242842E-2</v>
      </c>
      <c r="DG14">
        <v>23.225105263157896</v>
      </c>
      <c r="DH14" t="s">
        <v>923</v>
      </c>
      <c r="DI14">
        <v>-7.3359616597493502E-2</v>
      </c>
      <c r="DJ14">
        <v>11.612552631578948</v>
      </c>
      <c r="DK14" t="s">
        <v>924</v>
      </c>
      <c r="DL14">
        <v>-6.4189664522806805E-2</v>
      </c>
      <c r="DM14">
        <v>627000000</v>
      </c>
      <c r="DN14">
        <v>-9.1699520746866867E-2</v>
      </c>
      <c r="DO14">
        <v>145621410000</v>
      </c>
      <c r="DP14">
        <v>102067267000</v>
      </c>
      <c r="DQ14">
        <v>2870</v>
      </c>
      <c r="DR14">
        <v>15.976976767400783</v>
      </c>
      <c r="DS14">
        <v>12.912532083168502</v>
      </c>
      <c r="DT14" s="12">
        <v>-1.1599999999999999</v>
      </c>
      <c r="DU14">
        <v>-2.3199999999999998</v>
      </c>
      <c r="DV14">
        <v>-3.4799999999999995</v>
      </c>
      <c r="DW14">
        <v>-4.9854368932038833</v>
      </c>
      <c r="DX14">
        <v>0.35705521472392548</v>
      </c>
      <c r="DY14">
        <v>-4.154768002859015</v>
      </c>
      <c r="DZ14">
        <v>1138</v>
      </c>
      <c r="EA14">
        <v>-4.1203010777604714</v>
      </c>
      <c r="EB14">
        <v>4</v>
      </c>
      <c r="EC14">
        <v>3.0168258038350031E-2</v>
      </c>
      <c r="ED14">
        <v>0.19208695547855684</v>
      </c>
      <c r="EE14" s="13">
        <v>-2.1082000000000001</v>
      </c>
      <c r="EF14">
        <v>-2.1082000000000001</v>
      </c>
      <c r="EG14">
        <v>20.157055214723925</v>
      </c>
      <c r="EH14" t="s">
        <v>554</v>
      </c>
      <c r="EI14">
        <v>0</v>
      </c>
      <c r="EJ14">
        <v>1</v>
      </c>
      <c r="EK14" s="15">
        <v>45470</v>
      </c>
      <c r="EL14" s="16">
        <v>0.33</v>
      </c>
      <c r="EM14" s="16">
        <v>-0.11</v>
      </c>
      <c r="EN14" s="16">
        <v>-1.63</v>
      </c>
      <c r="EO14" s="16">
        <v>1.55</v>
      </c>
      <c r="EP14" s="16">
        <v>0</v>
      </c>
    </row>
    <row r="15" spans="1:146" ht="96" x14ac:dyDescent="0.25">
      <c r="A15" s="8"/>
      <c r="B15" s="8"/>
      <c r="C15" s="8" t="str">
        <f>""&amp;CHAR(10)&amp;Basic_Fundamental_Information_Constructure(F15)&amp;CHAR(10)&amp;Basic_Fundamental_Information_Concatenate("")</f>
        <v xml:space="preserve">
市值175.73368亿, 利润5.00亿; PE12.51; 平均PE26.31; 平均PEG4.69, PB1.84; ROIC9.8733%; ROE13.0933%; 股利率3.0411%; 毛利17.9%; 净利6.5767%; 上一年度营收增-81.95%, 利润增-44.87%; 当季营收增537.78%, 利润增130.74%; 过往5年营收增-5.61%, 利润增1.78%
Income profile:
</v>
      </c>
      <c r="D15" t="s">
        <v>72</v>
      </c>
      <c r="E15" t="s">
        <v>15</v>
      </c>
      <c r="F15">
        <v>19.73</v>
      </c>
      <c r="G15">
        <v>-1.1499999999999999</v>
      </c>
      <c r="H15" t="s">
        <v>925</v>
      </c>
      <c r="I15">
        <v>17573368000</v>
      </c>
      <c r="J15">
        <v>12.51</v>
      </c>
      <c r="K15">
        <v>1.84</v>
      </c>
      <c r="L15" t="s">
        <v>389</v>
      </c>
      <c r="M15" t="s">
        <v>926</v>
      </c>
      <c r="N15" t="s">
        <v>927</v>
      </c>
      <c r="O15" t="s">
        <v>928</v>
      </c>
      <c r="P15">
        <v>2.5</v>
      </c>
      <c r="Q15" t="s">
        <v>929</v>
      </c>
      <c r="R15">
        <v>389951210</v>
      </c>
      <c r="S15" s="6">
        <v>0.48270000000000002</v>
      </c>
      <c r="T15" t="s">
        <v>76</v>
      </c>
      <c r="U15">
        <v>890692760</v>
      </c>
      <c r="V15">
        <v>890692760</v>
      </c>
      <c r="W15">
        <v>2.0299999999999998</v>
      </c>
      <c r="X15">
        <v>0.25</v>
      </c>
      <c r="Y15">
        <v>9.5500000000000007</v>
      </c>
      <c r="Z15" t="s">
        <v>930</v>
      </c>
      <c r="AA15" t="s">
        <v>931</v>
      </c>
      <c r="AB15" t="s">
        <v>172</v>
      </c>
      <c r="AC15" t="s">
        <v>932</v>
      </c>
      <c r="AD15" t="s">
        <v>5</v>
      </c>
      <c r="AE15">
        <v>-3053441</v>
      </c>
      <c r="AF15" t="s">
        <v>933</v>
      </c>
      <c r="AG15" t="s">
        <v>934</v>
      </c>
      <c r="AH15" t="s">
        <v>935</v>
      </c>
      <c r="AI15" t="s">
        <v>936</v>
      </c>
      <c r="AJ15" t="s">
        <v>937</v>
      </c>
      <c r="AK15" t="s">
        <v>938</v>
      </c>
      <c r="AL15" t="s">
        <v>939</v>
      </c>
      <c r="AM15" t="s">
        <v>5</v>
      </c>
      <c r="AN15" t="s">
        <v>457</v>
      </c>
      <c r="AO15" t="s">
        <v>76</v>
      </c>
      <c r="AP15" t="s">
        <v>627</v>
      </c>
      <c r="AQ15" t="s">
        <v>580</v>
      </c>
      <c r="AR15" t="s">
        <v>5</v>
      </c>
      <c r="AS15" t="s">
        <v>940</v>
      </c>
      <c r="AT15" t="s">
        <v>941</v>
      </c>
      <c r="AU15" t="s">
        <v>132</v>
      </c>
      <c r="AV15" t="s">
        <v>91</v>
      </c>
      <c r="AW15" t="s">
        <v>942</v>
      </c>
      <c r="AX15" t="s">
        <v>943</v>
      </c>
      <c r="AY15" t="s">
        <v>380</v>
      </c>
      <c r="AZ15" t="s">
        <v>279</v>
      </c>
      <c r="BA15" t="s">
        <v>73</v>
      </c>
      <c r="BB15" t="s">
        <v>280</v>
      </c>
      <c r="BC15" t="s">
        <v>379</v>
      </c>
      <c r="BD15" t="s">
        <v>314</v>
      </c>
      <c r="BE15" t="s">
        <v>263</v>
      </c>
      <c r="BF15" t="s">
        <v>74</v>
      </c>
      <c r="BG15" t="s">
        <v>204</v>
      </c>
      <c r="BH15" t="s">
        <v>944</v>
      </c>
      <c r="BI15" t="s">
        <v>425</v>
      </c>
      <c r="BJ15" t="s">
        <v>943</v>
      </c>
      <c r="BK15" t="s">
        <v>945</v>
      </c>
      <c r="BL15" t="s">
        <v>172</v>
      </c>
      <c r="BM15" t="s">
        <v>379</v>
      </c>
      <c r="BN15">
        <v>9.0399999999999991</v>
      </c>
      <c r="BO15">
        <v>10.4</v>
      </c>
      <c r="BP15">
        <v>10.18</v>
      </c>
      <c r="BQ15">
        <v>13.47</v>
      </c>
      <c r="BR15">
        <v>14.8</v>
      </c>
      <c r="BS15">
        <v>11.01</v>
      </c>
      <c r="BT15" t="s">
        <v>559</v>
      </c>
      <c r="BU15" t="s">
        <v>389</v>
      </c>
      <c r="BV15">
        <v>20.61</v>
      </c>
      <c r="BW15">
        <v>16.989999999999998</v>
      </c>
      <c r="BX15">
        <v>16.100000000000001</v>
      </c>
      <c r="BY15">
        <v>8.1</v>
      </c>
      <c r="BZ15">
        <v>6.54</v>
      </c>
      <c r="CA15">
        <v>5.09</v>
      </c>
      <c r="CB15">
        <v>-8.83</v>
      </c>
      <c r="CC15">
        <v>-20.350000000000001</v>
      </c>
      <c r="CD15" t="s">
        <v>946</v>
      </c>
      <c r="CE15" t="s">
        <v>108</v>
      </c>
      <c r="CF15" s="10">
        <v>5.3777777777777782</v>
      </c>
      <c r="CG15" s="11">
        <v>1.3074036094674557</v>
      </c>
      <c r="CH15" s="10">
        <v>-0.81951314210891724</v>
      </c>
      <c r="CI15" s="10">
        <v>2.3156268522143364E-2</v>
      </c>
      <c r="CJ15" s="10">
        <v>0.20473550260066986</v>
      </c>
      <c r="CK15" s="10">
        <v>0.26327738165855408</v>
      </c>
      <c r="CL15" s="10">
        <v>4.7894854098558426E-2</v>
      </c>
      <c r="CM15" s="11">
        <v>-0.44873207807540894</v>
      </c>
      <c r="CN15" s="11">
        <v>0.43059936165809631</v>
      </c>
      <c r="CO15" s="11">
        <v>-0.13387978076934814</v>
      </c>
      <c r="CP15" s="11">
        <v>0.12442396581172943</v>
      </c>
      <c r="CQ15" s="11">
        <v>0.11663807928562164</v>
      </c>
      <c r="CR15">
        <v>26.314002495632643</v>
      </c>
      <c r="CS15">
        <v>4.6914037502998198</v>
      </c>
      <c r="CT15">
        <v>3.0410542321338063</v>
      </c>
      <c r="CU15" s="10">
        <v>-5.6089827045798304E-2</v>
      </c>
      <c r="CV15" s="11">
        <v>1.7809909582138062E-2</v>
      </c>
      <c r="CW15">
        <v>0.06</v>
      </c>
      <c r="CX15">
        <v>34.722735999999998</v>
      </c>
      <c r="CY15" t="s">
        <v>947</v>
      </c>
      <c r="CZ15">
        <v>-5.6089827045798304E-2</v>
      </c>
      <c r="DA15">
        <v>11.574245333333334</v>
      </c>
      <c r="DB15" t="s">
        <v>948</v>
      </c>
      <c r="DC15">
        <v>-5.3285335693508386E-2</v>
      </c>
      <c r="DD15">
        <v>5.7871226666666669</v>
      </c>
      <c r="DE15" t="s">
        <v>949</v>
      </c>
      <c r="DF15">
        <v>-4.9359047800302508E-2</v>
      </c>
      <c r="DG15">
        <v>3.4722735999999998</v>
      </c>
      <c r="DH15" t="s">
        <v>950</v>
      </c>
      <c r="DI15">
        <v>-4.4871861636638644E-2</v>
      </c>
      <c r="DJ15">
        <v>1.7361367999999999</v>
      </c>
      <c r="DK15" t="s">
        <v>951</v>
      </c>
      <c r="DL15">
        <v>-3.9262878932058813E-2</v>
      </c>
      <c r="DM15">
        <v>500000000</v>
      </c>
      <c r="DN15">
        <v>-5.6089827045798304E-2</v>
      </c>
      <c r="DO15">
        <v>17361368000</v>
      </c>
      <c r="DP15">
        <v>7875706200</v>
      </c>
      <c r="DQ15">
        <v>3443</v>
      </c>
      <c r="DR15">
        <v>5.4338676048235763</v>
      </c>
      <c r="DS15">
        <v>1.2895936998853177</v>
      </c>
      <c r="DT15" s="12">
        <v>-0.52333333333333332</v>
      </c>
      <c r="DU15">
        <v>0.42333333333333334</v>
      </c>
      <c r="DV15">
        <v>-9.9999999999999978E-2</v>
      </c>
      <c r="DW15">
        <v>-9.4339066339066342</v>
      </c>
      <c r="DX15">
        <v>0.33488351648351589</v>
      </c>
      <c r="DY15">
        <v>-9.0932393833193839</v>
      </c>
      <c r="DZ15">
        <v>434</v>
      </c>
      <c r="EA15">
        <v>-9.0853204219963679</v>
      </c>
      <c r="EB15">
        <v>9</v>
      </c>
      <c r="EC15">
        <v>0.10977073620762338</v>
      </c>
      <c r="ED15">
        <v>0.51083832768551973</v>
      </c>
      <c r="EE15" s="13">
        <v>1.0639000000000001</v>
      </c>
      <c r="EF15">
        <v>1.0478000000000001</v>
      </c>
      <c r="EG15">
        <v>12.214883516483516</v>
      </c>
      <c r="EH15" t="s">
        <v>538</v>
      </c>
      <c r="EI15">
        <v>0</v>
      </c>
      <c r="EJ15">
        <v>1</v>
      </c>
      <c r="EK15" s="15">
        <v>45470</v>
      </c>
      <c r="EL15" s="16">
        <v>0.22</v>
      </c>
      <c r="EM15" s="16">
        <v>-1.76</v>
      </c>
      <c r="EN15" s="16">
        <v>-1.89</v>
      </c>
      <c r="EO15" s="16">
        <v>0.67</v>
      </c>
      <c r="EP15" s="16">
        <v>-1.61</v>
      </c>
    </row>
    <row r="16" spans="1:146" x14ac:dyDescent="0.25">
      <c r="A16" s="8"/>
      <c r="B16" s="8"/>
      <c r="C16" s="8" t="e">
        <f>""&amp;CHAR(10)&amp;Basic_Fundamental_Information_Constructure(F16)&amp;CHAR(10)&amp;Basic_Fundamental_Information_Concatenate("")</f>
        <v>#VALUE!</v>
      </c>
      <c r="D16" t="s">
        <v>77</v>
      </c>
      <c r="E16" t="s">
        <v>281</v>
      </c>
      <c r="F16">
        <v>1.95</v>
      </c>
      <c r="G16">
        <v>0.52</v>
      </c>
      <c r="H16" t="s">
        <v>952</v>
      </c>
      <c r="I16">
        <v>3459484200</v>
      </c>
      <c r="K16">
        <v>2.29</v>
      </c>
      <c r="L16" t="s">
        <v>389</v>
      </c>
      <c r="M16" t="s">
        <v>162</v>
      </c>
      <c r="N16" t="s">
        <v>90</v>
      </c>
      <c r="O16" t="s">
        <v>101</v>
      </c>
      <c r="P16">
        <v>-18.82</v>
      </c>
      <c r="Q16" t="s">
        <v>5</v>
      </c>
      <c r="R16">
        <v>892157</v>
      </c>
      <c r="S16" s="6">
        <v>1.097</v>
      </c>
      <c r="T16" t="s">
        <v>953</v>
      </c>
      <c r="U16">
        <v>1774094500</v>
      </c>
      <c r="V16">
        <v>1774094500</v>
      </c>
      <c r="W16">
        <v>1.39</v>
      </c>
      <c r="X16">
        <v>0.06</v>
      </c>
      <c r="Y16">
        <v>7.07</v>
      </c>
      <c r="Z16" t="s">
        <v>128</v>
      </c>
      <c r="AA16" t="s">
        <v>58</v>
      </c>
      <c r="AB16" t="s">
        <v>954</v>
      </c>
      <c r="AC16" t="s">
        <v>955</v>
      </c>
      <c r="AD16" t="s">
        <v>5</v>
      </c>
      <c r="AE16">
        <v>4497</v>
      </c>
      <c r="AF16" t="s">
        <v>956</v>
      </c>
      <c r="AG16" t="s">
        <v>957</v>
      </c>
      <c r="AH16" t="s">
        <v>958</v>
      </c>
      <c r="AI16" t="s">
        <v>445</v>
      </c>
      <c r="AJ16" t="s">
        <v>959</v>
      </c>
      <c r="AK16" t="s">
        <v>960</v>
      </c>
      <c r="AL16" t="s">
        <v>961</v>
      </c>
      <c r="AM16" t="s">
        <v>5</v>
      </c>
      <c r="AN16" t="s">
        <v>962</v>
      </c>
      <c r="AO16" t="s">
        <v>5</v>
      </c>
      <c r="AP16" t="s">
        <v>963</v>
      </c>
      <c r="AQ16" t="s">
        <v>139</v>
      </c>
      <c r="AR16" t="s">
        <v>964</v>
      </c>
      <c r="AS16" t="s">
        <v>259</v>
      </c>
      <c r="AT16" t="s">
        <v>965</v>
      </c>
      <c r="AU16" t="s">
        <v>966</v>
      </c>
      <c r="AV16" t="s">
        <v>967</v>
      </c>
      <c r="AW16" t="s">
        <v>968</v>
      </c>
      <c r="AX16" t="s">
        <v>155</v>
      </c>
      <c r="AY16" t="s">
        <v>442</v>
      </c>
      <c r="AZ16" t="s">
        <v>282</v>
      </c>
      <c r="BA16" t="s">
        <v>78</v>
      </c>
      <c r="BB16" t="s">
        <v>284</v>
      </c>
      <c r="BC16" t="s">
        <v>366</v>
      </c>
      <c r="BD16" t="s">
        <v>368</v>
      </c>
      <c r="BE16" t="s">
        <v>283</v>
      </c>
      <c r="BF16" t="s">
        <v>79</v>
      </c>
      <c r="BG16" t="s">
        <v>285</v>
      </c>
      <c r="BH16" t="s">
        <v>615</v>
      </c>
      <c r="BI16" t="s">
        <v>5</v>
      </c>
      <c r="BJ16" t="s">
        <v>155</v>
      </c>
      <c r="BK16" t="s">
        <v>599</v>
      </c>
      <c r="BL16" t="s">
        <v>969</v>
      </c>
      <c r="BM16" t="s">
        <v>366</v>
      </c>
      <c r="BN16" t="s">
        <v>5</v>
      </c>
      <c r="BO16">
        <v>13.87</v>
      </c>
      <c r="BP16" t="s">
        <v>5</v>
      </c>
      <c r="BQ16">
        <v>-2.77</v>
      </c>
      <c r="BR16">
        <v>18.559999999999999</v>
      </c>
      <c r="BS16">
        <v>-8.7200000000000006</v>
      </c>
      <c r="BT16" t="s">
        <v>460</v>
      </c>
      <c r="BU16" t="s">
        <v>389</v>
      </c>
      <c r="BV16">
        <v>15.27</v>
      </c>
      <c r="BW16">
        <v>8.94</v>
      </c>
      <c r="BX16">
        <v>8.19</v>
      </c>
      <c r="BY16">
        <v>-25.25</v>
      </c>
      <c r="BZ16">
        <v>26.52</v>
      </c>
      <c r="CA16">
        <v>-6.3</v>
      </c>
      <c r="CB16">
        <v>0.52</v>
      </c>
      <c r="CC16">
        <v>-12.95</v>
      </c>
      <c r="CD16" t="s">
        <v>970</v>
      </c>
      <c r="CE16" t="s">
        <v>180</v>
      </c>
      <c r="CF16" s="10" t="s">
        <v>5</v>
      </c>
      <c r="CG16" s="11">
        <v>1.0409379660348095</v>
      </c>
      <c r="CH16" s="10" t="s">
        <v>5</v>
      </c>
      <c r="CI16" s="10">
        <v>-0.3519948422908783</v>
      </c>
      <c r="CJ16" s="10">
        <v>-0.19062499701976776</v>
      </c>
      <c r="CK16" s="10">
        <v>2.5641025975346565E-2</v>
      </c>
      <c r="CL16" s="10">
        <v>-0.34038057923316956</v>
      </c>
      <c r="CM16" s="11">
        <v>-0.83535075187683105</v>
      </c>
      <c r="CN16" s="11">
        <v>3.1500000953674316</v>
      </c>
      <c r="CO16" s="11">
        <v>-4.1914467811584473</v>
      </c>
      <c r="CP16" s="11">
        <v>1.0326110124588013</v>
      </c>
      <c r="CQ16" s="11">
        <v>-0.57729130983352661</v>
      </c>
      <c r="CR16">
        <v>-12.459725076834422</v>
      </c>
      <c r="CS16">
        <v>-0.58130698443777218</v>
      </c>
      <c r="CT16">
        <v>0</v>
      </c>
      <c r="CU16" s="10">
        <v>-0.21433984814211726</v>
      </c>
      <c r="CV16" s="11">
        <v>-0.28429554700851439</v>
      </c>
      <c r="CW16">
        <v>0.06</v>
      </c>
      <c r="CX16">
        <v>57.592113843147871</v>
      </c>
      <c r="CY16" t="s">
        <v>971</v>
      </c>
      <c r="CZ16">
        <v>-0.21433984814211726</v>
      </c>
      <c r="DA16">
        <v>19.197371281049289</v>
      </c>
      <c r="DB16" t="s">
        <v>972</v>
      </c>
      <c r="DC16">
        <v>-0.20362285573501138</v>
      </c>
      <c r="DD16">
        <v>9.5986856405246446</v>
      </c>
      <c r="DE16" t="s">
        <v>973</v>
      </c>
      <c r="DF16">
        <v>-0.1886190663650632</v>
      </c>
      <c r="DG16">
        <v>5.7592113843147867</v>
      </c>
      <c r="DH16" t="s">
        <v>974</v>
      </c>
      <c r="DI16">
        <v>-0.17147187851369383</v>
      </c>
      <c r="DJ16">
        <v>2.8796056921573934</v>
      </c>
      <c r="DK16" t="s">
        <v>975</v>
      </c>
      <c r="DL16">
        <v>-0.15003789369948206</v>
      </c>
      <c r="DM16">
        <v>42479500</v>
      </c>
      <c r="DN16">
        <v>-0.21433984814211726</v>
      </c>
      <c r="DO16">
        <v>2446484200</v>
      </c>
      <c r="DP16">
        <v>1242044100</v>
      </c>
      <c r="DQ16">
        <v>3487</v>
      </c>
      <c r="DR16" t="e">
        <v>#VALUE!</v>
      </c>
      <c r="DS16">
        <v>1.3252335130433239</v>
      </c>
      <c r="DT16" s="12" t="e">
        <v>#VALUE!</v>
      </c>
      <c r="DU16">
        <v>-1.2033333333333336</v>
      </c>
      <c r="DV16" t="e">
        <v>#VALUE!</v>
      </c>
      <c r="DW16">
        <v>-2.1295000000000002</v>
      </c>
      <c r="DX16">
        <v>0.34080962962962813</v>
      </c>
      <c r="DY16">
        <v>-2.0143498470370371</v>
      </c>
      <c r="DZ16">
        <v>2795</v>
      </c>
      <c r="EA16">
        <v>-2.0065009580999491</v>
      </c>
      <c r="EB16">
        <v>2</v>
      </c>
      <c r="EC16">
        <v>1.6864152388725628E-2</v>
      </c>
      <c r="ED16">
        <v>0.15219031455201512</v>
      </c>
      <c r="EE16" s="13">
        <v>-3.0183</v>
      </c>
      <c r="EF16">
        <v>-3.0015000000000001</v>
      </c>
      <c r="EG16">
        <v>23.110809629629628</v>
      </c>
      <c r="EH16" t="s">
        <v>562</v>
      </c>
      <c r="EI16">
        <v>0</v>
      </c>
      <c r="EJ16">
        <v>0</v>
      </c>
      <c r="EK16" s="15">
        <v>45470</v>
      </c>
      <c r="EL16" s="16">
        <v>0.68</v>
      </c>
      <c r="EM16" s="16">
        <v>-3.52</v>
      </c>
      <c r="EN16" s="16">
        <v>2.96</v>
      </c>
      <c r="EO16" s="16">
        <v>0.51</v>
      </c>
      <c r="EP16" s="16">
        <v>-1.68</v>
      </c>
    </row>
    <row r="17" spans="1:146" ht="156" x14ac:dyDescent="0.25">
      <c r="A17" s="8" t="s">
        <v>441</v>
      </c>
      <c r="B17" s="8" t="s">
        <v>322</v>
      </c>
      <c r="C17" s="8" t="str">
        <f>"公司主营业务包括工程机械制造和工程机械租赁两大板块"&amp;CHAR(10)&amp;Basic_Fundamental_Information_Constructure(F17)&amp;CHAR(10)&amp;Basic_Fundamental_Information_Concatenate("建筑及施工机械租赁 16.32亿 91.71% 94.14% 25.70%
筑路设备及起重机械销售 2.99亿 16.78% 4.67% 6.97%
钢结构制作及安装 7060.15万 3.97% 1.30% 8.21%
路面工程 4417.03万 2.48% 1.00% 10.11%")</f>
        <v>公司主营业务包括工程机械制造和工程机械租赁两大板块
市值30.169054亿, 利润62.25亿; PE; 平均PE2.33; 平均PEG.01, PB.6; ROIC4.12%; ROE-.1667%; 股利率0%; 毛利22.2967%; 净利-5.4333%; 上一年度营收增1787.53%, 利润增14065.07%; 当季营收增-97.33%, 利润增-111.3%; 过往5年营收增371.39%, 利润增2827.69%
Income profile:
建筑及施工机械租赁 16.32亿 91.71% 94.14% 25.70%
筑路设备及起重机械销售 2.99亿 16.78% 4.67% 6.97%
钢结构制作及安装 7060.15万 3.97% 1.30% 8.21%
路面工程 4417.03万 2.48% 1.00% 10.11%</v>
      </c>
      <c r="D17" t="s">
        <v>338</v>
      </c>
      <c r="E17" t="s">
        <v>8</v>
      </c>
      <c r="F17">
        <v>2.4</v>
      </c>
      <c r="G17">
        <v>1.69</v>
      </c>
      <c r="H17" t="s">
        <v>976</v>
      </c>
      <c r="I17">
        <v>3016905400</v>
      </c>
      <c r="K17">
        <v>0.6</v>
      </c>
      <c r="L17" t="s">
        <v>389</v>
      </c>
      <c r="M17" t="s">
        <v>977</v>
      </c>
      <c r="N17" t="s">
        <v>978</v>
      </c>
      <c r="O17" t="s">
        <v>593</v>
      </c>
      <c r="P17">
        <v>-21.68</v>
      </c>
      <c r="Q17" t="s">
        <v>979</v>
      </c>
      <c r="R17">
        <v>-238508550</v>
      </c>
      <c r="S17" s="6">
        <v>-0.78820000000000001</v>
      </c>
      <c r="T17" t="s">
        <v>980</v>
      </c>
      <c r="U17">
        <v>1257043930</v>
      </c>
      <c r="V17">
        <v>1257043930</v>
      </c>
      <c r="W17">
        <v>3.58</v>
      </c>
      <c r="X17">
        <v>0.03</v>
      </c>
      <c r="Y17">
        <v>-46.96</v>
      </c>
      <c r="Z17" t="s">
        <v>258</v>
      </c>
      <c r="AA17" t="s">
        <v>558</v>
      </c>
      <c r="AB17" t="s">
        <v>981</v>
      </c>
      <c r="AC17" t="s">
        <v>982</v>
      </c>
      <c r="AD17" t="s">
        <v>5</v>
      </c>
      <c r="AE17">
        <v>108666621</v>
      </c>
      <c r="AF17" t="s">
        <v>983</v>
      </c>
      <c r="AG17" t="s">
        <v>984</v>
      </c>
      <c r="AH17" t="s">
        <v>985</v>
      </c>
      <c r="AI17" t="s">
        <v>986</v>
      </c>
      <c r="AJ17" t="s">
        <v>987</v>
      </c>
      <c r="AK17" t="s">
        <v>165</v>
      </c>
      <c r="AL17" t="s">
        <v>988</v>
      </c>
      <c r="AM17" t="s">
        <v>5</v>
      </c>
      <c r="AN17" t="s">
        <v>436</v>
      </c>
      <c r="AO17" t="s">
        <v>989</v>
      </c>
      <c r="AP17" t="s">
        <v>102</v>
      </c>
      <c r="AQ17" t="s">
        <v>990</v>
      </c>
      <c r="AR17" t="s">
        <v>991</v>
      </c>
      <c r="AS17" t="s">
        <v>992</v>
      </c>
      <c r="AT17" t="s">
        <v>993</v>
      </c>
      <c r="AU17" t="s">
        <v>994</v>
      </c>
      <c r="AV17" t="s">
        <v>995</v>
      </c>
      <c r="AW17" t="s">
        <v>440</v>
      </c>
      <c r="AX17" t="s">
        <v>577</v>
      </c>
      <c r="AY17" t="s">
        <v>381</v>
      </c>
      <c r="AZ17" t="s">
        <v>286</v>
      </c>
      <c r="BA17" t="s">
        <v>82</v>
      </c>
      <c r="BB17" t="s">
        <v>287</v>
      </c>
      <c r="BC17" t="s">
        <v>996</v>
      </c>
      <c r="BD17" t="s">
        <v>131</v>
      </c>
      <c r="BE17" t="s">
        <v>267</v>
      </c>
      <c r="BF17" t="s">
        <v>83</v>
      </c>
      <c r="BG17" t="s">
        <v>38</v>
      </c>
      <c r="BH17" t="s">
        <v>997</v>
      </c>
      <c r="BI17" t="s">
        <v>998</v>
      </c>
      <c r="BJ17" t="s">
        <v>577</v>
      </c>
      <c r="BK17" t="s">
        <v>999</v>
      </c>
      <c r="BL17" t="s">
        <v>630</v>
      </c>
      <c r="BM17" t="s">
        <v>996</v>
      </c>
      <c r="BN17" t="s">
        <v>5</v>
      </c>
      <c r="BO17" t="s">
        <v>5</v>
      </c>
      <c r="BP17">
        <v>4.12</v>
      </c>
      <c r="BQ17">
        <v>-6.01</v>
      </c>
      <c r="BR17">
        <v>-0.73</v>
      </c>
      <c r="BS17">
        <v>6.24</v>
      </c>
      <c r="BT17" t="s">
        <v>460</v>
      </c>
      <c r="BU17" t="s">
        <v>389</v>
      </c>
      <c r="BV17">
        <v>9.4</v>
      </c>
      <c r="BW17">
        <v>22.49</v>
      </c>
      <c r="BX17">
        <v>35</v>
      </c>
      <c r="BY17">
        <v>-23.08</v>
      </c>
      <c r="BZ17">
        <v>-1.1499999999999999</v>
      </c>
      <c r="CA17">
        <v>7.93</v>
      </c>
      <c r="CB17">
        <v>0.84</v>
      </c>
      <c r="CC17">
        <v>-21.05</v>
      </c>
      <c r="CD17" t="s">
        <v>1000</v>
      </c>
      <c r="CE17" t="s">
        <v>108</v>
      </c>
      <c r="CF17" s="10">
        <v>-0.97325471201432034</v>
      </c>
      <c r="CG17" s="11">
        <v>-1.1129836807200379</v>
      </c>
      <c r="CH17" s="10">
        <v>17.87525749206543</v>
      </c>
      <c r="CI17" s="10">
        <v>-0.17714288830757141</v>
      </c>
      <c r="CJ17" s="10">
        <v>0.18095482885837555</v>
      </c>
      <c r="CK17" s="10">
        <v>0.23069819808006287</v>
      </c>
      <c r="CL17" s="10">
        <v>0.45981138944625854</v>
      </c>
      <c r="CM17" s="11">
        <v>140.65071105957031</v>
      </c>
      <c r="CN17" s="11">
        <v>-1.1188679933547974</v>
      </c>
      <c r="CO17" s="11">
        <v>-0.32188063859939575</v>
      </c>
      <c r="CP17" s="11">
        <v>9.5049507915973663E-2</v>
      </c>
      <c r="CQ17" s="11">
        <v>2.079268217086792</v>
      </c>
      <c r="CR17">
        <v>2.3274327381770146</v>
      </c>
      <c r="CS17">
        <v>6.2667891815221862E-3</v>
      </c>
      <c r="CT17">
        <v>0</v>
      </c>
      <c r="CU17" s="10">
        <v>3.713915804028511</v>
      </c>
      <c r="CV17" s="11">
        <v>28.276856030523778</v>
      </c>
      <c r="CW17">
        <v>0.06</v>
      </c>
      <c r="CX17">
        <v>0.37217260342434039</v>
      </c>
      <c r="CY17">
        <v>27683137622.714607</v>
      </c>
      <c r="CZ17">
        <v>3.713915804028511</v>
      </c>
      <c r="DA17">
        <v>1.64718118707513E-2</v>
      </c>
      <c r="DB17">
        <v>625487073361.65515</v>
      </c>
      <c r="DC17">
        <v>3.5282200138270854</v>
      </c>
      <c r="DD17">
        <v>2.9193022953834838E-4</v>
      </c>
      <c r="DE17">
        <v>35292355355910.805</v>
      </c>
      <c r="DF17">
        <v>3.2682459075450896</v>
      </c>
      <c r="DG17">
        <v>2.2278373035073702E-6</v>
      </c>
      <c r="DH17">
        <v>4624621997207668</v>
      </c>
      <c r="DI17">
        <v>2.9711326432228091</v>
      </c>
      <c r="DJ17">
        <v>2.8056312964718962E-11</v>
      </c>
      <c r="DK17">
        <v>3.6722235786847637E+20</v>
      </c>
      <c r="DL17">
        <v>2.5997410628199575</v>
      </c>
      <c r="DM17">
        <v>6225000000</v>
      </c>
      <c r="DN17">
        <v>3.713915804028511</v>
      </c>
      <c r="DO17">
        <v>10302905400</v>
      </c>
      <c r="DP17">
        <v>-211173399.99999905</v>
      </c>
      <c r="DQ17">
        <v>3605</v>
      </c>
      <c r="DR17">
        <v>-4.6871705160428316</v>
      </c>
      <c r="DS17">
        <v>-29.389839711243816</v>
      </c>
      <c r="DT17" s="12">
        <v>5.9999999999999908E-2</v>
      </c>
      <c r="DU17">
        <v>-1.0333333333333334</v>
      </c>
      <c r="DV17">
        <v>-0.97333333333333349</v>
      </c>
      <c r="DW17">
        <v>-3.0571130952380954</v>
      </c>
      <c r="DX17">
        <v>0.28393318681318519</v>
      </c>
      <c r="DY17">
        <v>-3.0053648150444792</v>
      </c>
      <c r="DZ17">
        <v>4225</v>
      </c>
      <c r="EA17">
        <v>-3.0009291313726738</v>
      </c>
      <c r="EB17">
        <v>3</v>
      </c>
      <c r="EC17">
        <v>3.4000084627114027E-2</v>
      </c>
      <c r="ED17">
        <v>0.36196030157832271</v>
      </c>
      <c r="EE17" s="13">
        <v>-2.0954999999999999</v>
      </c>
      <c r="EF17">
        <v>-2.0249999999999999</v>
      </c>
      <c r="EG17">
        <v>19.093933186813185</v>
      </c>
      <c r="EH17" t="s">
        <v>554</v>
      </c>
      <c r="EI17">
        <v>0</v>
      </c>
      <c r="EJ17">
        <v>0</v>
      </c>
      <c r="EK17" s="15">
        <v>45470</v>
      </c>
      <c r="EL17" s="16">
        <v>-0.25</v>
      </c>
      <c r="EM17" s="16">
        <v>-1.39</v>
      </c>
      <c r="EN17" s="16">
        <v>0.9</v>
      </c>
      <c r="EO17" s="16">
        <v>8.41</v>
      </c>
      <c r="EP17" s="16">
        <v>-7.05</v>
      </c>
    </row>
    <row r="18" spans="1:146" ht="108" x14ac:dyDescent="0.25">
      <c r="C18" s="8" t="str">
        <f>""&amp;CHAR(10)&amp;Basic_Fundamental_Information_Constructure(F18)&amp;CHAR(10)&amp;Basic_Fundamental_Information_Concatenate("")</f>
        <v xml:space="preserve">
市值584.06162亿, 利润10.40亿; PE23.6; 平均PE33.49; 平均PEG2.01, PB3.89; ROIC20.2167%; ROE22.79%; 股利率1.607%; 毛利42.1533%; 净利28.5067%; 上一年度营收增2.93%, 利润增-55.61%; 当季营收增5.31%, 利润增39.99%; 过往5年营收增16.63%, 利润增15.93%
Income profile:
</v>
      </c>
      <c r="D18" t="s">
        <v>339</v>
      </c>
      <c r="E18" t="s">
        <v>340</v>
      </c>
      <c r="F18">
        <v>43.56</v>
      </c>
      <c r="G18">
        <v>-3.41</v>
      </c>
      <c r="H18" t="s">
        <v>1001</v>
      </c>
      <c r="I18">
        <v>58406162000</v>
      </c>
      <c r="J18">
        <v>23.6</v>
      </c>
      <c r="K18">
        <v>3.89</v>
      </c>
      <c r="L18" t="s">
        <v>389</v>
      </c>
      <c r="M18" t="s">
        <v>1002</v>
      </c>
      <c r="N18" t="s">
        <v>1003</v>
      </c>
      <c r="O18" t="s">
        <v>1004</v>
      </c>
      <c r="P18">
        <v>-2.7</v>
      </c>
      <c r="Q18" t="s">
        <v>1005</v>
      </c>
      <c r="R18">
        <v>601941670</v>
      </c>
      <c r="S18" s="6">
        <v>-3.7699999999999997E-2</v>
      </c>
      <c r="T18" t="s">
        <v>260</v>
      </c>
      <c r="U18">
        <v>1340820990</v>
      </c>
      <c r="V18">
        <v>1340820990</v>
      </c>
      <c r="W18">
        <v>1.23</v>
      </c>
      <c r="X18">
        <v>0.13</v>
      </c>
      <c r="Y18">
        <v>25.52</v>
      </c>
      <c r="Z18" t="s">
        <v>1006</v>
      </c>
      <c r="AA18" t="s">
        <v>622</v>
      </c>
      <c r="AB18" t="s">
        <v>1007</v>
      </c>
      <c r="AC18" t="s">
        <v>111</v>
      </c>
      <c r="AD18" t="s">
        <v>5</v>
      </c>
      <c r="AE18">
        <v>-54897988</v>
      </c>
      <c r="AF18" t="s">
        <v>1008</v>
      </c>
      <c r="AG18" t="s">
        <v>1009</v>
      </c>
      <c r="AH18" t="s">
        <v>1010</v>
      </c>
      <c r="AI18" t="s">
        <v>1011</v>
      </c>
      <c r="AJ18" t="s">
        <v>1012</v>
      </c>
      <c r="AK18" t="s">
        <v>609</v>
      </c>
      <c r="AL18" t="s">
        <v>1013</v>
      </c>
      <c r="AM18" t="s">
        <v>5</v>
      </c>
      <c r="AN18" t="s">
        <v>581</v>
      </c>
      <c r="AO18" t="s">
        <v>152</v>
      </c>
      <c r="AP18" t="s">
        <v>150</v>
      </c>
      <c r="AQ18" t="s">
        <v>578</v>
      </c>
      <c r="AR18" t="s">
        <v>1014</v>
      </c>
      <c r="AS18" t="s">
        <v>1015</v>
      </c>
      <c r="AT18" t="s">
        <v>5</v>
      </c>
      <c r="AU18" t="s">
        <v>1016</v>
      </c>
      <c r="AV18" t="s">
        <v>1017</v>
      </c>
      <c r="AW18" t="s">
        <v>1018</v>
      </c>
      <c r="AX18" t="s">
        <v>579</v>
      </c>
      <c r="AY18" t="s">
        <v>382</v>
      </c>
      <c r="AZ18" t="s">
        <v>341</v>
      </c>
      <c r="BA18" t="s">
        <v>343</v>
      </c>
      <c r="BB18" t="s">
        <v>344</v>
      </c>
      <c r="BC18" t="s">
        <v>438</v>
      </c>
      <c r="BD18" t="s">
        <v>383</v>
      </c>
      <c r="BE18" t="s">
        <v>342</v>
      </c>
      <c r="BF18" t="s">
        <v>345</v>
      </c>
      <c r="BG18" t="s">
        <v>273</v>
      </c>
      <c r="BH18" t="s">
        <v>1019</v>
      </c>
      <c r="BI18" t="s">
        <v>1020</v>
      </c>
      <c r="BJ18" t="s">
        <v>579</v>
      </c>
      <c r="BK18" t="s">
        <v>1021</v>
      </c>
      <c r="BL18" t="s">
        <v>261</v>
      </c>
      <c r="BM18" t="s">
        <v>438</v>
      </c>
      <c r="BN18">
        <v>10.94</v>
      </c>
      <c r="BO18">
        <v>20.079999999999998</v>
      </c>
      <c r="BP18">
        <v>29.63</v>
      </c>
      <c r="BQ18">
        <v>12.94</v>
      </c>
      <c r="BR18">
        <v>22.6</v>
      </c>
      <c r="BS18">
        <v>32.83</v>
      </c>
      <c r="BT18" t="s">
        <v>467</v>
      </c>
      <c r="BU18" t="s">
        <v>389</v>
      </c>
      <c r="BV18">
        <v>41.9</v>
      </c>
      <c r="BW18">
        <v>40.549999999999997</v>
      </c>
      <c r="BX18">
        <v>44.01</v>
      </c>
      <c r="BY18">
        <v>27.87</v>
      </c>
      <c r="BZ18">
        <v>28.66</v>
      </c>
      <c r="CA18">
        <v>28.99</v>
      </c>
      <c r="CB18">
        <v>-6.48</v>
      </c>
      <c r="CC18">
        <v>-14.92</v>
      </c>
      <c r="CD18" t="s">
        <v>1022</v>
      </c>
      <c r="CE18" t="s">
        <v>115</v>
      </c>
      <c r="CF18" s="10">
        <v>5.3053945608559964E-2</v>
      </c>
      <c r="CG18" s="11">
        <v>0.39986434883720928</v>
      </c>
      <c r="CH18" s="10">
        <v>2.9279002919793129E-2</v>
      </c>
      <c r="CI18" s="10">
        <v>-0.11945424228906631</v>
      </c>
      <c r="CJ18" s="10">
        <v>0.18510498106479645</v>
      </c>
      <c r="CK18" s="10">
        <v>0.45086809992790222</v>
      </c>
      <c r="CL18" s="10">
        <v>0.2856803834438324</v>
      </c>
      <c r="CM18" s="11">
        <v>-0.55612462759017944</v>
      </c>
      <c r="CN18" s="11">
        <v>-0.13028955459594727</v>
      </c>
      <c r="CO18" s="11">
        <v>0.19520850479602814</v>
      </c>
      <c r="CP18" s="11">
        <v>0.73919761180877686</v>
      </c>
      <c r="CQ18" s="11">
        <v>0.54838711023330688</v>
      </c>
      <c r="CR18">
        <v>33.489771788990822</v>
      </c>
      <c r="CS18">
        <v>2.013869442358629</v>
      </c>
      <c r="CT18">
        <v>1.6069788797061524</v>
      </c>
      <c r="CU18" s="10">
        <v>0.16629564501345157</v>
      </c>
      <c r="CV18" s="11">
        <v>0.15927580893039703</v>
      </c>
      <c r="CW18">
        <v>0.06</v>
      </c>
      <c r="CX18">
        <v>40.887501654723764</v>
      </c>
      <c r="CY18">
        <v>1144290066.8056505</v>
      </c>
      <c r="CZ18">
        <v>0.16629564501345157</v>
      </c>
      <c r="DA18">
        <v>12.532863474105437</v>
      </c>
      <c r="DB18">
        <v>3733158196.1830592</v>
      </c>
      <c r="DC18">
        <v>0.15798086276277898</v>
      </c>
      <c r="DD18">
        <v>5.6498790595367696</v>
      </c>
      <c r="DE18">
        <v>8281090888.3129358</v>
      </c>
      <c r="DF18">
        <v>0.14634016761183738</v>
      </c>
      <c r="DG18">
        <v>3.0620324641412364</v>
      </c>
      <c r="DH18">
        <v>15279773336.146425</v>
      </c>
      <c r="DI18">
        <v>0.13303651601076125</v>
      </c>
      <c r="DJ18">
        <v>1.2485374501179927</v>
      </c>
      <c r="DK18">
        <v>37473575178.36441</v>
      </c>
      <c r="DL18">
        <v>0.11640695150941609</v>
      </c>
      <c r="DM18">
        <v>1040000000</v>
      </c>
      <c r="DN18">
        <v>0.16629564501345157</v>
      </c>
      <c r="DO18">
        <v>46787162000</v>
      </c>
      <c r="DP18">
        <v>10081861900</v>
      </c>
      <c r="DQ18">
        <v>3656</v>
      </c>
      <c r="DR18">
        <v>-0.11324169940489159</v>
      </c>
      <c r="DS18">
        <v>0.24058853990681225</v>
      </c>
      <c r="DT18" s="12">
        <v>-9.000000000000008E-2</v>
      </c>
      <c r="DU18">
        <v>0.51999999999999991</v>
      </c>
      <c r="DV18">
        <v>0.42999999999999983</v>
      </c>
      <c r="DW18">
        <v>-9.4343163538874002</v>
      </c>
      <c r="DX18">
        <v>0.5172117318435776</v>
      </c>
      <c r="DY18">
        <v>-9.0769659532403733</v>
      </c>
      <c r="DZ18">
        <v>3469</v>
      </c>
      <c r="EA18">
        <v>-9.024716463653121</v>
      </c>
      <c r="EB18">
        <v>9</v>
      </c>
      <c r="EC18">
        <v>2.3657818781610811E-2</v>
      </c>
      <c r="ED18">
        <v>0.13350029671000302</v>
      </c>
      <c r="EE18" s="13">
        <v>2.0264099999999998</v>
      </c>
      <c r="EF18">
        <v>2.0487099999999998</v>
      </c>
      <c r="EG18">
        <v>34.177211731843578</v>
      </c>
      <c r="EH18" t="s">
        <v>539</v>
      </c>
      <c r="EI18">
        <v>0</v>
      </c>
      <c r="EJ18">
        <v>0</v>
      </c>
      <c r="EK18" s="15">
        <v>45470</v>
      </c>
      <c r="EL18" s="16">
        <v>0.32</v>
      </c>
      <c r="EM18" s="16">
        <v>-2.21</v>
      </c>
      <c r="EN18" s="16">
        <v>0</v>
      </c>
      <c r="EO18" s="16">
        <v>1.29</v>
      </c>
      <c r="EP18" s="16">
        <v>-2.23</v>
      </c>
    </row>
    <row r="19" spans="1:146" ht="96" x14ac:dyDescent="0.25">
      <c r="C19" s="8" t="str">
        <f>""&amp;CHAR(10)&amp;Basic_Fundamental_Information_Constructure(F19)&amp;CHAR(10)&amp;Basic_Fundamental_Information_Concatenate("")</f>
        <v xml:space="preserve">
市值37.033356亿, 利润1.92亿; PE64.43; 平均PE46.87; 平均PEG6.33, PB4.26; ROIC21.48%; ROE17.81%; 股利率.5787%; 毛利15.55%; 净利7.2833%; 上一年度营收增-37.53%, 利润增170.03%; 当季营收增25.36%, 利润增-77.41%; 过往5年营收增7.4%, 利润增72.5%
Income profile:
</v>
      </c>
      <c r="D19" t="s">
        <v>583</v>
      </c>
      <c r="E19" t="s">
        <v>584</v>
      </c>
      <c r="F19">
        <v>17.28</v>
      </c>
      <c r="G19">
        <v>1.1100000000000001</v>
      </c>
      <c r="H19" t="s">
        <v>1023</v>
      </c>
      <c r="I19">
        <v>3703335600</v>
      </c>
      <c r="J19">
        <v>64.430000000000007</v>
      </c>
      <c r="K19">
        <v>4.26</v>
      </c>
      <c r="L19" t="s">
        <v>389</v>
      </c>
      <c r="M19" t="s">
        <v>184</v>
      </c>
      <c r="N19" t="s">
        <v>610</v>
      </c>
      <c r="O19" t="s">
        <v>46</v>
      </c>
      <c r="P19" s="6">
        <v>-10.15</v>
      </c>
      <c r="Q19" t="s">
        <v>1024</v>
      </c>
      <c r="R19">
        <v>9224227</v>
      </c>
      <c r="S19">
        <v>-0.2399</v>
      </c>
      <c r="T19" t="s">
        <v>257</v>
      </c>
      <c r="U19">
        <v>53578400</v>
      </c>
      <c r="V19">
        <v>214313400</v>
      </c>
      <c r="W19">
        <v>1.55</v>
      </c>
      <c r="X19">
        <v>0.12</v>
      </c>
      <c r="Y19">
        <v>5.33</v>
      </c>
      <c r="Z19" t="s">
        <v>116</v>
      </c>
      <c r="AA19" t="s">
        <v>121</v>
      </c>
      <c r="AB19" t="s">
        <v>1025</v>
      </c>
      <c r="AC19" t="s">
        <v>1026</v>
      </c>
      <c r="AD19" t="s">
        <v>5</v>
      </c>
      <c r="AE19">
        <v>-1653544</v>
      </c>
      <c r="AF19" t="s">
        <v>1027</v>
      </c>
      <c r="AG19" t="s">
        <v>1028</v>
      </c>
      <c r="AH19" t="s">
        <v>1029</v>
      </c>
      <c r="AI19" t="s">
        <v>170</v>
      </c>
      <c r="AJ19" t="s">
        <v>1030</v>
      </c>
      <c r="AK19" t="s">
        <v>1031</v>
      </c>
      <c r="AL19" t="s">
        <v>1032</v>
      </c>
      <c r="AM19" t="s">
        <v>5</v>
      </c>
      <c r="AN19" t="s">
        <v>1033</v>
      </c>
      <c r="AO19" t="s">
        <v>5</v>
      </c>
      <c r="AP19" t="s">
        <v>198</v>
      </c>
      <c r="AQ19" t="s">
        <v>117</v>
      </c>
      <c r="AR19" t="s">
        <v>1034</v>
      </c>
      <c r="AS19" t="s">
        <v>289</v>
      </c>
      <c r="AT19" t="s">
        <v>5</v>
      </c>
      <c r="AU19" t="s">
        <v>1035</v>
      </c>
      <c r="AV19" t="s">
        <v>1036</v>
      </c>
      <c r="AW19" t="s">
        <v>1037</v>
      </c>
      <c r="AX19" t="s">
        <v>210</v>
      </c>
      <c r="AY19" t="s">
        <v>435</v>
      </c>
      <c r="AZ19" t="s">
        <v>541</v>
      </c>
      <c r="BA19" t="s">
        <v>190</v>
      </c>
      <c r="BB19" t="s">
        <v>98</v>
      </c>
      <c r="BC19" t="s">
        <v>585</v>
      </c>
      <c r="BD19" t="s">
        <v>623</v>
      </c>
      <c r="BE19" t="s">
        <v>624</v>
      </c>
      <c r="BF19" t="s">
        <v>625</v>
      </c>
      <c r="BG19" t="s">
        <v>626</v>
      </c>
      <c r="BH19" t="s">
        <v>449</v>
      </c>
      <c r="BI19" t="s">
        <v>42</v>
      </c>
      <c r="BJ19" t="s">
        <v>210</v>
      </c>
      <c r="BK19" t="s">
        <v>1038</v>
      </c>
      <c r="BL19" t="s">
        <v>1039</v>
      </c>
      <c r="BM19" t="s">
        <v>585</v>
      </c>
      <c r="BN19">
        <v>11.64</v>
      </c>
      <c r="BO19">
        <v>21.94</v>
      </c>
      <c r="BP19">
        <v>30.86</v>
      </c>
      <c r="BQ19">
        <v>12.31</v>
      </c>
      <c r="BR19">
        <v>23.31</v>
      </c>
      <c r="BS19" t="s">
        <v>5</v>
      </c>
      <c r="BT19" t="s">
        <v>461</v>
      </c>
      <c r="BU19" t="s">
        <v>389</v>
      </c>
      <c r="BV19">
        <v>16.77</v>
      </c>
      <c r="BW19">
        <v>15.08</v>
      </c>
      <c r="BX19">
        <v>14.8</v>
      </c>
      <c r="BY19">
        <v>7.34</v>
      </c>
      <c r="BZ19">
        <v>7.21</v>
      </c>
      <c r="CA19">
        <v>7.3</v>
      </c>
      <c r="CB19">
        <v>-5.83</v>
      </c>
      <c r="CC19" s="10">
        <v>-19.52</v>
      </c>
      <c r="CD19" s="11" t="s">
        <v>1040</v>
      </c>
      <c r="CE19" s="10" t="s">
        <v>1041</v>
      </c>
      <c r="CF19" s="10">
        <v>0.25362318840579712</v>
      </c>
      <c r="CG19" s="10">
        <v>-0.77407880106002047</v>
      </c>
      <c r="CH19" s="10">
        <v>-0.37525355815887451</v>
      </c>
      <c r="CI19" s="10">
        <v>-0.11490125954151154</v>
      </c>
      <c r="CJ19" s="11">
        <v>0.4893048107624054</v>
      </c>
      <c r="CK19" s="11">
        <v>6.25E-2</v>
      </c>
      <c r="CL19" s="11">
        <v>0.30855017900466919</v>
      </c>
      <c r="CM19" s="11">
        <v>1.7003040313720703</v>
      </c>
      <c r="CN19" s="11">
        <v>-0.12600144743919373</v>
      </c>
      <c r="CO19">
        <v>0.1876709908246994</v>
      </c>
      <c r="CP19">
        <v>0.62113052606582642</v>
      </c>
      <c r="CQ19">
        <v>1.2416654825210571</v>
      </c>
      <c r="CR19" s="10">
        <v>46.871900776761002</v>
      </c>
      <c r="CS19" s="11">
        <v>6.3306157470285314</v>
      </c>
      <c r="CT19">
        <v>0.57870370370370372</v>
      </c>
      <c r="CU19">
        <v>7.4040034413337702E-2</v>
      </c>
      <c r="CV19">
        <v>0.72495391666889186</v>
      </c>
      <c r="CW19">
        <v>0.06</v>
      </c>
      <c r="CX19">
        <v>17.504273294557187</v>
      </c>
      <c r="CY19">
        <v>194543100.57298189</v>
      </c>
      <c r="CZ19">
        <v>7.4040034413337702E-2</v>
      </c>
      <c r="DA19">
        <v>5.7982056377078193</v>
      </c>
      <c r="DB19">
        <v>587308524.874295</v>
      </c>
      <c r="DC19">
        <v>7.0338032692670818E-2</v>
      </c>
      <c r="DD19">
        <v>2.9061491216800559</v>
      </c>
      <c r="DE19">
        <v>1171769051.5589793</v>
      </c>
      <c r="DF19">
        <v>6.5155230283737181E-2</v>
      </c>
      <c r="DG19">
        <v>1.7806925289436983</v>
      </c>
      <c r="DH19">
        <v>1912365860.2757406</v>
      </c>
      <c r="DI19">
        <v>5.9232027530670167E-2</v>
      </c>
      <c r="DJ19">
        <v>0.96092205074816583</v>
      </c>
      <c r="DK19">
        <v>3543820851.3881373</v>
      </c>
      <c r="DL19">
        <v>5.1828024089336386E-2</v>
      </c>
      <c r="DM19">
        <v>192000000</v>
      </c>
      <c r="DN19">
        <v>7.4040034413337702E-2</v>
      </c>
      <c r="DO19">
        <v>3405335600</v>
      </c>
      <c r="DP19">
        <v>692760320</v>
      </c>
      <c r="DQ19" s="12">
        <v>4050</v>
      </c>
      <c r="DR19">
        <v>0.17958315399245942</v>
      </c>
      <c r="DS19">
        <v>-1.4990327177289124</v>
      </c>
      <c r="DT19">
        <v>-0.37333333333333335</v>
      </c>
      <c r="DU19">
        <v>0.45999999999999991</v>
      </c>
      <c r="DV19">
        <v>8.6666666666666559E-2</v>
      </c>
      <c r="DW19">
        <v>-8.2986680327868854</v>
      </c>
      <c r="DX19">
        <v>0.33799702662521836</v>
      </c>
      <c r="DY19">
        <v>-8.0352419398168564</v>
      </c>
      <c r="DZ19">
        <v>4501</v>
      </c>
      <c r="EA19">
        <v>-8.0042000668000917</v>
      </c>
      <c r="EB19" s="13">
        <v>8</v>
      </c>
      <c r="EC19" s="13">
        <v>4.0737536710257032E-2</v>
      </c>
      <c r="ED19">
        <v>0.34524206139233476</v>
      </c>
      <c r="EE19">
        <v>-4.0409100000000002</v>
      </c>
      <c r="EF19">
        <v>-4.04671</v>
      </c>
      <c r="EG19">
        <v>22.117997026625218</v>
      </c>
      <c r="EH19" s="15" t="s">
        <v>605</v>
      </c>
      <c r="EI19">
        <v>0</v>
      </c>
      <c r="EJ19">
        <v>0</v>
      </c>
      <c r="EK19">
        <v>45470</v>
      </c>
      <c r="EL19">
        <v>-0.95</v>
      </c>
      <c r="EM19">
        <v>-3.82</v>
      </c>
      <c r="EN19" s="16">
        <v>3.1</v>
      </c>
      <c r="EO19" s="16">
        <v>3.49</v>
      </c>
      <c r="EP19" s="16">
        <v>-0.57999999999999996</v>
      </c>
    </row>
    <row r="20" spans="1:146" ht="108" x14ac:dyDescent="0.25">
      <c r="C20" s="8" t="str">
        <f>""&amp;CHAR(10)&amp;Basic_Fundamental_Information_Constructure(F20)&amp;CHAR(10)&amp;Basic_Fundamental_Information_Concatenate("")</f>
        <v xml:space="preserve">
市值19.914305亿, 利润6.55亿; PE16.41; 平均PE10.17; 平均PEG.41, PB1.58; ROIC18.4033%; ROE20.3733%; 股利率1.8508%; 毛利25.0933%; 净利10.6867%; 上一年度营收增87.1%, 利润增474.56%; 当季营收增-67.64%, 利润增-94.31%; 过往5年营收增24.67%, 利润增150.63%
Income profile:
</v>
      </c>
      <c r="D20" t="s">
        <v>451</v>
      </c>
      <c r="E20" t="s">
        <v>452</v>
      </c>
      <c r="F20">
        <v>18.37</v>
      </c>
      <c r="G20">
        <v>0.44</v>
      </c>
      <c r="H20" t="s">
        <v>1042</v>
      </c>
      <c r="I20">
        <v>1991430500</v>
      </c>
      <c r="J20">
        <v>16.41</v>
      </c>
      <c r="K20">
        <v>1.58</v>
      </c>
      <c r="L20" t="s">
        <v>389</v>
      </c>
      <c r="M20" t="s">
        <v>426</v>
      </c>
      <c r="N20" t="s">
        <v>450</v>
      </c>
      <c r="O20" t="s">
        <v>33</v>
      </c>
      <c r="P20" s="6">
        <v>13.36</v>
      </c>
      <c r="Q20" t="s">
        <v>1043</v>
      </c>
      <c r="R20">
        <v>8757705</v>
      </c>
      <c r="S20">
        <v>0.1232</v>
      </c>
      <c r="T20" t="s">
        <v>205</v>
      </c>
      <c r="U20">
        <v>27941667</v>
      </c>
      <c r="V20">
        <v>108406667</v>
      </c>
      <c r="W20">
        <v>1.61</v>
      </c>
      <c r="X20">
        <v>0.09</v>
      </c>
      <c r="Y20">
        <v>4.6500000000000004</v>
      </c>
      <c r="Z20" t="s">
        <v>200</v>
      </c>
      <c r="AA20" t="s">
        <v>129</v>
      </c>
      <c r="AB20" t="s">
        <v>1044</v>
      </c>
      <c r="AC20" t="s">
        <v>1045</v>
      </c>
      <c r="AD20" t="s">
        <v>5</v>
      </c>
      <c r="AE20">
        <v>-1129190</v>
      </c>
      <c r="AF20" t="s">
        <v>1046</v>
      </c>
      <c r="AG20" t="s">
        <v>1047</v>
      </c>
      <c r="AH20" t="s">
        <v>1048</v>
      </c>
      <c r="AI20" t="s">
        <v>213</v>
      </c>
      <c r="AJ20" t="s">
        <v>1049</v>
      </c>
      <c r="AK20" t="s">
        <v>1050</v>
      </c>
      <c r="AL20" t="s">
        <v>1051</v>
      </c>
      <c r="AM20" t="s">
        <v>5</v>
      </c>
      <c r="AN20" t="s">
        <v>1052</v>
      </c>
      <c r="AO20" t="s">
        <v>5</v>
      </c>
      <c r="AP20" t="s">
        <v>75</v>
      </c>
      <c r="AQ20" t="s">
        <v>1053</v>
      </c>
      <c r="AR20" t="s">
        <v>5</v>
      </c>
      <c r="AS20" t="s">
        <v>634</v>
      </c>
      <c r="AT20" t="s">
        <v>5</v>
      </c>
      <c r="AU20" t="s">
        <v>1054</v>
      </c>
      <c r="AV20" t="s">
        <v>1055</v>
      </c>
      <c r="AW20" t="s">
        <v>1056</v>
      </c>
      <c r="AX20" t="s">
        <v>586</v>
      </c>
      <c r="AY20" t="s">
        <v>453</v>
      </c>
      <c r="AZ20" t="s">
        <v>245</v>
      </c>
      <c r="BA20" t="s">
        <v>244</v>
      </c>
      <c r="BB20" t="s">
        <v>454</v>
      </c>
      <c r="BC20" t="s">
        <v>93</v>
      </c>
      <c r="BD20" t="s">
        <v>100</v>
      </c>
      <c r="BE20" t="s">
        <v>128</v>
      </c>
      <c r="BF20" t="s">
        <v>455</v>
      </c>
      <c r="BG20" t="s">
        <v>456</v>
      </c>
      <c r="BH20" t="s">
        <v>245</v>
      </c>
      <c r="BI20" t="s">
        <v>429</v>
      </c>
      <c r="BJ20" t="s">
        <v>586</v>
      </c>
      <c r="BK20" t="s">
        <v>176</v>
      </c>
      <c r="BL20" t="s">
        <v>157</v>
      </c>
      <c r="BM20" t="s">
        <v>93</v>
      </c>
      <c r="BN20">
        <v>7.1</v>
      </c>
      <c r="BO20">
        <v>13.34</v>
      </c>
      <c r="BP20">
        <v>34.770000000000003</v>
      </c>
      <c r="BQ20">
        <v>7.35</v>
      </c>
      <c r="BR20">
        <v>18.95</v>
      </c>
      <c r="BS20">
        <v>34.82</v>
      </c>
      <c r="BT20" t="s">
        <v>1057</v>
      </c>
      <c r="BU20" t="s">
        <v>389</v>
      </c>
      <c r="BV20">
        <v>25.6</v>
      </c>
      <c r="BW20">
        <v>22.12</v>
      </c>
      <c r="BX20">
        <v>27.56</v>
      </c>
      <c r="BY20">
        <v>10.55</v>
      </c>
      <c r="BZ20">
        <v>9.4</v>
      </c>
      <c r="CA20">
        <v>12.11</v>
      </c>
      <c r="CB20">
        <v>-7.41</v>
      </c>
      <c r="CC20" s="10">
        <v>-6.28</v>
      </c>
      <c r="CD20" s="11" t="s">
        <v>1058</v>
      </c>
      <c r="CE20" s="10" t="s">
        <v>1059</v>
      </c>
      <c r="CF20" s="10">
        <v>-0.67641996557659212</v>
      </c>
      <c r="CG20" s="10">
        <v>-0.94313178571428569</v>
      </c>
      <c r="CH20" s="10">
        <v>0.87099426984786987</v>
      </c>
      <c r="CI20" s="10">
        <v>-5.2180733531713486E-2</v>
      </c>
      <c r="CJ20" s="11">
        <v>0.12532871961593628</v>
      </c>
      <c r="CK20" s="11">
        <v>0.13645412027835846</v>
      </c>
      <c r="CL20" s="11">
        <v>0.15269805490970612</v>
      </c>
      <c r="CM20" s="11">
        <v>4.7456140518188477</v>
      </c>
      <c r="CN20" s="11">
        <v>-0.26451611518859863</v>
      </c>
      <c r="CO20">
        <v>6.8965516984462738E-2</v>
      </c>
      <c r="CP20">
        <v>3.5497190952301025</v>
      </c>
      <c r="CQ20">
        <v>-0.56805282831192017</v>
      </c>
      <c r="CR20" s="10">
        <v>10.172015127878245</v>
      </c>
      <c r="CS20" s="11">
        <v>0.41239199947734162</v>
      </c>
      <c r="CT20">
        <v>1.8508437670114315</v>
      </c>
      <c r="CU20">
        <v>0.24665888622403145</v>
      </c>
      <c r="CV20">
        <v>1.5063459441065787</v>
      </c>
      <c r="CW20">
        <v>0.06</v>
      </c>
      <c r="CX20">
        <v>1.9360650649736055</v>
      </c>
      <c r="CY20">
        <v>770341104.22334015</v>
      </c>
      <c r="CZ20">
        <v>0.24665888622403145</v>
      </c>
      <c r="DA20">
        <v>0.55544750043643143</v>
      </c>
      <c r="DB20">
        <v>2685097149.2861867</v>
      </c>
      <c r="DC20">
        <v>0.23432594191282988</v>
      </c>
      <c r="DD20">
        <v>0.22759811036355546</v>
      </c>
      <c r="DE20">
        <v>6552912489.5529795</v>
      </c>
      <c r="DF20">
        <v>0.21705981987714768</v>
      </c>
      <c r="DG20">
        <v>0.10967590713918243</v>
      </c>
      <c r="DH20">
        <v>13598524406.16082</v>
      </c>
      <c r="DI20">
        <v>0.19732710897922517</v>
      </c>
      <c r="DJ20">
        <v>3.3452529322981511E-2</v>
      </c>
      <c r="DK20">
        <v>44583489804.32412</v>
      </c>
      <c r="DL20">
        <v>0.17266122035682202</v>
      </c>
      <c r="DM20">
        <v>655000000</v>
      </c>
      <c r="DN20">
        <v>0.24665888622403145</v>
      </c>
      <c r="DO20">
        <v>1491430500</v>
      </c>
      <c r="DP20">
        <v>1147162200</v>
      </c>
      <c r="DQ20" s="12">
        <v>4056</v>
      </c>
      <c r="DR20">
        <v>-0.92307885180062355</v>
      </c>
      <c r="DS20">
        <v>-2.4494777298208645</v>
      </c>
      <c r="DT20">
        <v>-6.6666666666666714E-3</v>
      </c>
      <c r="DU20">
        <v>4.4999999999999929E-2</v>
      </c>
      <c r="DV20">
        <v>3.8333333333333261E-2</v>
      </c>
      <c r="DW20">
        <v>-5.8475033738191637</v>
      </c>
      <c r="DX20">
        <v>0.22381354507726192</v>
      </c>
      <c r="DY20">
        <v>-5.0964573634392982</v>
      </c>
      <c r="DZ20">
        <v>567</v>
      </c>
      <c r="EA20">
        <v>-5.0857545600987732</v>
      </c>
      <c r="EB20" s="13">
        <v>5</v>
      </c>
      <c r="EC20">
        <v>8.8692884543715378E-2</v>
      </c>
      <c r="ED20">
        <v>0.77928232956373433</v>
      </c>
      <c r="EE20">
        <v>-1.0316099999999999</v>
      </c>
      <c r="EF20">
        <v>-1.0618099999999999</v>
      </c>
      <c r="EG20">
        <v>11.113813545077262</v>
      </c>
      <c r="EH20" s="15" t="s">
        <v>406</v>
      </c>
      <c r="EI20" s="16">
        <v>0</v>
      </c>
      <c r="EJ20" s="16">
        <v>1</v>
      </c>
      <c r="EK20" s="16">
        <v>45470</v>
      </c>
      <c r="EL20" s="16">
        <v>-0.31</v>
      </c>
      <c r="EM20" s="16">
        <v>-3.45</v>
      </c>
      <c r="EN20" s="16">
        <v>-0.05</v>
      </c>
      <c r="EO20" s="16">
        <v>0.41</v>
      </c>
      <c r="EP20" s="16">
        <v>-3.02</v>
      </c>
    </row>
    <row r="21" spans="1:146" ht="108" x14ac:dyDescent="0.25">
      <c r="A21" s="8"/>
      <c r="B21" s="8"/>
      <c r="C21" s="8" t="str">
        <f>""&amp;CHAR(10)&amp;Basic_Fundamental_Information_Constructure(F21)&amp;CHAR(10)&amp;Basic_Fundamental_Information_Concatenate("")</f>
        <v xml:space="preserve">
市值244.14897亿, 利润7.38亿; PE13.49; 平均PE31.42; 平均PEG419.88, PB2.72; ROIC14.2833%; ROE17.37%; 股利率2.6824%; 毛利18.0233%; 净利8.52%; 上一年度营收增-60.57%, 利润增-25.23%; 当季营收增170.21%, 利润增83.85%; 过往5年营收增-.07%, 利润增7.93%
Income profile:
</v>
      </c>
      <c r="D21" t="s">
        <v>85</v>
      </c>
      <c r="E21" t="s">
        <v>13</v>
      </c>
      <c r="F21">
        <v>18.64</v>
      </c>
      <c r="G21">
        <v>0.11</v>
      </c>
      <c r="H21" t="s">
        <v>1060</v>
      </c>
      <c r="I21">
        <v>24414897000</v>
      </c>
      <c r="J21">
        <v>13.49</v>
      </c>
      <c r="K21">
        <v>2.72</v>
      </c>
      <c r="L21" t="s">
        <v>389</v>
      </c>
      <c r="M21" t="s">
        <v>1061</v>
      </c>
      <c r="N21" t="s">
        <v>1062</v>
      </c>
      <c r="O21" t="s">
        <v>1063</v>
      </c>
      <c r="P21">
        <v>6.17</v>
      </c>
      <c r="Q21" t="s">
        <v>1064</v>
      </c>
      <c r="R21">
        <v>378735770</v>
      </c>
      <c r="S21" s="6">
        <v>0.31159999999999999</v>
      </c>
      <c r="T21" t="s">
        <v>197</v>
      </c>
      <c r="U21">
        <v>1309812050</v>
      </c>
      <c r="V21">
        <v>1309812050</v>
      </c>
      <c r="W21">
        <v>1.58</v>
      </c>
      <c r="X21">
        <v>0.28999999999999998</v>
      </c>
      <c r="Y21">
        <v>9.64</v>
      </c>
      <c r="Z21" t="s">
        <v>1065</v>
      </c>
      <c r="AA21" t="s">
        <v>1066</v>
      </c>
      <c r="AB21" t="s">
        <v>172</v>
      </c>
      <c r="AC21" t="s">
        <v>1067</v>
      </c>
      <c r="AD21" t="s">
        <v>5</v>
      </c>
      <c r="AE21">
        <v>-15923182</v>
      </c>
      <c r="AF21" t="s">
        <v>1068</v>
      </c>
      <c r="AG21" t="s">
        <v>1069</v>
      </c>
      <c r="AH21" t="s">
        <v>1070</v>
      </c>
      <c r="AI21" t="s">
        <v>1071</v>
      </c>
      <c r="AJ21" t="s">
        <v>1072</v>
      </c>
      <c r="AK21" t="s">
        <v>1073</v>
      </c>
      <c r="AL21" t="s">
        <v>1074</v>
      </c>
      <c r="AM21" t="s">
        <v>5</v>
      </c>
      <c r="AN21" t="s">
        <v>118</v>
      </c>
      <c r="AO21" t="s">
        <v>608</v>
      </c>
      <c r="AP21" t="s">
        <v>336</v>
      </c>
      <c r="AQ21" t="s">
        <v>1075</v>
      </c>
      <c r="AR21" t="s">
        <v>1076</v>
      </c>
      <c r="AS21" t="s">
        <v>1077</v>
      </c>
      <c r="AT21" t="s">
        <v>5</v>
      </c>
      <c r="AU21" t="s">
        <v>193</v>
      </c>
      <c r="AV21" t="s">
        <v>1078</v>
      </c>
      <c r="AW21" t="s">
        <v>1079</v>
      </c>
      <c r="AX21" t="s">
        <v>587</v>
      </c>
      <c r="AY21" t="s">
        <v>384</v>
      </c>
      <c r="AZ21" t="s">
        <v>290</v>
      </c>
      <c r="BA21" t="s">
        <v>86</v>
      </c>
      <c r="BB21" t="s">
        <v>291</v>
      </c>
      <c r="BC21" t="s">
        <v>631</v>
      </c>
      <c r="BD21" t="s">
        <v>337</v>
      </c>
      <c r="BE21" t="s">
        <v>212</v>
      </c>
      <c r="BF21" t="s">
        <v>87</v>
      </c>
      <c r="BG21" t="s">
        <v>268</v>
      </c>
      <c r="BH21" t="s">
        <v>1080</v>
      </c>
      <c r="BI21" t="s">
        <v>592</v>
      </c>
      <c r="BJ21" t="s">
        <v>587</v>
      </c>
      <c r="BK21" t="s">
        <v>613</v>
      </c>
      <c r="BL21" t="s">
        <v>63</v>
      </c>
      <c r="BM21" t="s">
        <v>631</v>
      </c>
      <c r="BN21">
        <v>14.55</v>
      </c>
      <c r="BO21">
        <v>13.33</v>
      </c>
      <c r="BP21">
        <v>14.97</v>
      </c>
      <c r="BQ21">
        <v>18.190000000000001</v>
      </c>
      <c r="BR21">
        <v>16.7</v>
      </c>
      <c r="BS21">
        <v>17.22</v>
      </c>
      <c r="BT21" t="s">
        <v>570</v>
      </c>
      <c r="BU21" t="s">
        <v>389</v>
      </c>
      <c r="BV21">
        <v>20.78</v>
      </c>
      <c r="BW21">
        <v>17.78</v>
      </c>
      <c r="BX21">
        <v>15.51</v>
      </c>
      <c r="BY21">
        <v>11.27</v>
      </c>
      <c r="BZ21">
        <v>7.45</v>
      </c>
      <c r="CA21">
        <v>6.84</v>
      </c>
      <c r="CB21">
        <v>-5.09</v>
      </c>
      <c r="CC21">
        <v>-13.45</v>
      </c>
      <c r="CD21" t="s">
        <v>1081</v>
      </c>
      <c r="CE21" t="s">
        <v>32</v>
      </c>
      <c r="CF21" s="10">
        <v>1.7020725388601037</v>
      </c>
      <c r="CG21" s="11">
        <v>0.83852315533980581</v>
      </c>
      <c r="CH21" s="10">
        <v>-0.60574525594711304</v>
      </c>
      <c r="CI21" s="10">
        <v>-5.3830314427614212E-3</v>
      </c>
      <c r="CJ21" s="10">
        <v>0.26528117060661316</v>
      </c>
      <c r="CK21" s="10">
        <v>0.29342678189277649</v>
      </c>
      <c r="CL21" s="10">
        <v>4.8679359257221222E-2</v>
      </c>
      <c r="CM21" s="11">
        <v>-0.25227963924407959</v>
      </c>
      <c r="CN21" s="11">
        <v>8.7004408240318298E-2</v>
      </c>
      <c r="CO21" s="11">
        <v>8.3532221615314484E-2</v>
      </c>
      <c r="CP21" s="11">
        <v>0.29922479391098022</v>
      </c>
      <c r="CQ21" s="11">
        <v>0.17915904521942139</v>
      </c>
      <c r="CR21">
        <v>31.415265279862751</v>
      </c>
      <c r="CS21">
        <v>419.88064557983239</v>
      </c>
      <c r="CT21">
        <v>2.6824034334763946</v>
      </c>
      <c r="CU21" s="10">
        <v>-7.4819512665271761E-4</v>
      </c>
      <c r="CV21" s="11">
        <v>7.9328165948390955E-2</v>
      </c>
      <c r="CW21">
        <v>0.06</v>
      </c>
      <c r="CX21">
        <v>26.521540650406504</v>
      </c>
      <c r="CY21" t="s">
        <v>1082</v>
      </c>
      <c r="CZ21">
        <v>-7.4819512665271761E-4</v>
      </c>
      <c r="DA21">
        <v>8.8405135501355012</v>
      </c>
      <c r="DB21" t="s">
        <v>1083</v>
      </c>
      <c r="DC21">
        <v>-7.1078537032008169E-4</v>
      </c>
      <c r="DD21">
        <v>4.4202567750677506</v>
      </c>
      <c r="DE21" t="s">
        <v>1084</v>
      </c>
      <c r="DF21">
        <v>-6.5841171145439152E-4</v>
      </c>
      <c r="DG21">
        <v>2.6521540650406505</v>
      </c>
      <c r="DH21" t="s">
        <v>1085</v>
      </c>
      <c r="DI21">
        <v>-5.9855610132217415E-4</v>
      </c>
      <c r="DJ21">
        <v>1.3260770325203253</v>
      </c>
      <c r="DK21" t="s">
        <v>1086</v>
      </c>
      <c r="DL21">
        <v>-5.2373658865690232E-4</v>
      </c>
      <c r="DM21">
        <v>738000000</v>
      </c>
      <c r="DN21">
        <v>-7.4819512665271761E-4</v>
      </c>
      <c r="DO21">
        <v>19572897000</v>
      </c>
      <c r="DP21">
        <v>4604062100</v>
      </c>
      <c r="DQ21">
        <v>4068</v>
      </c>
      <c r="DR21">
        <v>1.7028207339867565</v>
      </c>
      <c r="DS21">
        <v>0.75919498939141483</v>
      </c>
      <c r="DT21" s="12">
        <v>-0.52333333333333332</v>
      </c>
      <c r="DU21">
        <v>0.26999999999999996</v>
      </c>
      <c r="DV21">
        <v>-0.25333333333333335</v>
      </c>
      <c r="DW21">
        <v>-8.378438661710037</v>
      </c>
      <c r="DX21">
        <v>0.26503745454545424</v>
      </c>
      <c r="DY21">
        <v>-8.0511033935789111</v>
      </c>
      <c r="DZ21">
        <v>602</v>
      </c>
      <c r="EA21">
        <v>-8.0450829937874229</v>
      </c>
      <c r="EB21">
        <v>8</v>
      </c>
      <c r="EC21">
        <v>2.8351624952602933E-2</v>
      </c>
      <c r="ED21">
        <v>0.20995378688110253</v>
      </c>
      <c r="EE21" s="13">
        <v>3.2899999999999999E-2</v>
      </c>
      <c r="EF21">
        <v>9.0100000000000076E-3</v>
      </c>
      <c r="EG21">
        <v>13.135037454545454</v>
      </c>
      <c r="EH21">
        <v>-1</v>
      </c>
      <c r="EI21">
        <v>0</v>
      </c>
      <c r="EJ21">
        <v>1</v>
      </c>
      <c r="EK21" s="15">
        <v>45470</v>
      </c>
      <c r="EL21" s="16">
        <v>-0.7</v>
      </c>
      <c r="EM21" s="16">
        <v>-0.85</v>
      </c>
      <c r="EN21" s="16">
        <v>1.52</v>
      </c>
      <c r="EO21" s="16">
        <v>0</v>
      </c>
      <c r="EP21" s="16">
        <v>-4.1900000000000004</v>
      </c>
    </row>
    <row r="22" spans="1:146" ht="108" x14ac:dyDescent="0.25">
      <c r="A22" s="8"/>
      <c r="B22" s="8"/>
      <c r="C22" s="8" t="str">
        <f>""&amp;CHAR(10)&amp;Basic_Fundamental_Information_Constructure(F22)&amp;CHAR(10)&amp;Basic_Fundamental_Information_Concatenate("")</f>
        <v xml:space="preserve">
市值273.88357亿, 利润3.34亿; PE14.81; 平均PE38.1; 平均PEG2.33, PB2.99; ROIC14.48%; ROE19.0767%; 股利率1.8488%; 毛利32.9567%; 净利23.5267%; 上一年度营收增-59.06%, 利润增-73.43%; 当季营收增173.45%, 利润增295.18%; 过往5年营收增16.37%, 利润增8.43%
Income profile:
</v>
      </c>
      <c r="D22" t="s">
        <v>206</v>
      </c>
      <c r="E22" t="s">
        <v>7</v>
      </c>
      <c r="F22">
        <v>54.09</v>
      </c>
      <c r="G22">
        <v>-1.71</v>
      </c>
      <c r="H22" t="s">
        <v>1087</v>
      </c>
      <c r="I22">
        <v>27388357000</v>
      </c>
      <c r="J22">
        <v>14.81</v>
      </c>
      <c r="K22">
        <v>2.99</v>
      </c>
      <c r="L22" t="s">
        <v>389</v>
      </c>
      <c r="M22" t="s">
        <v>1088</v>
      </c>
      <c r="N22" t="s">
        <v>1089</v>
      </c>
      <c r="O22" t="s">
        <v>1090</v>
      </c>
      <c r="P22">
        <v>11.53</v>
      </c>
      <c r="Q22" t="s">
        <v>1091</v>
      </c>
      <c r="R22">
        <v>302213570</v>
      </c>
      <c r="S22" s="6">
        <v>-5.3999999999999999E-2</v>
      </c>
      <c r="T22" t="s">
        <v>109</v>
      </c>
      <c r="U22">
        <v>506347880</v>
      </c>
      <c r="V22">
        <v>506347880</v>
      </c>
      <c r="W22">
        <v>1.58</v>
      </c>
      <c r="X22">
        <v>0.1</v>
      </c>
      <c r="Y22">
        <v>20.82</v>
      </c>
      <c r="Z22" t="s">
        <v>1092</v>
      </c>
      <c r="AA22" t="s">
        <v>563</v>
      </c>
      <c r="AB22" t="s">
        <v>1093</v>
      </c>
      <c r="AC22" t="s">
        <v>611</v>
      </c>
      <c r="AD22" t="s">
        <v>5</v>
      </c>
      <c r="AE22">
        <v>-17560867</v>
      </c>
      <c r="AF22" t="s">
        <v>1094</v>
      </c>
      <c r="AG22" t="s">
        <v>1095</v>
      </c>
      <c r="AH22" t="s">
        <v>1096</v>
      </c>
      <c r="AI22" t="s">
        <v>1097</v>
      </c>
      <c r="AJ22" t="s">
        <v>1098</v>
      </c>
      <c r="AK22" t="s">
        <v>1099</v>
      </c>
      <c r="AL22" t="s">
        <v>1100</v>
      </c>
      <c r="AM22" t="s">
        <v>5</v>
      </c>
      <c r="AN22" t="s">
        <v>202</v>
      </c>
      <c r="AO22" t="s">
        <v>80</v>
      </c>
      <c r="AP22" t="s">
        <v>1101</v>
      </c>
      <c r="AQ22" t="s">
        <v>632</v>
      </c>
      <c r="AR22" t="s">
        <v>5</v>
      </c>
      <c r="AS22" t="s">
        <v>1102</v>
      </c>
      <c r="AT22" t="s">
        <v>175</v>
      </c>
      <c r="AU22" t="s">
        <v>203</v>
      </c>
      <c r="AV22" t="s">
        <v>633</v>
      </c>
      <c r="AW22" t="s">
        <v>1103</v>
      </c>
      <c r="AX22" t="s">
        <v>588</v>
      </c>
      <c r="AY22" t="s">
        <v>385</v>
      </c>
      <c r="AZ22" t="s">
        <v>292</v>
      </c>
      <c r="BA22" t="s">
        <v>207</v>
      </c>
      <c r="BB22" t="s">
        <v>293</v>
      </c>
      <c r="BC22" t="s">
        <v>576</v>
      </c>
      <c r="BD22" t="s">
        <v>299</v>
      </c>
      <c r="BE22" t="s">
        <v>274</v>
      </c>
      <c r="BF22" t="s">
        <v>162</v>
      </c>
      <c r="BG22" t="s">
        <v>173</v>
      </c>
      <c r="BH22" t="s">
        <v>1104</v>
      </c>
      <c r="BI22" t="s">
        <v>407</v>
      </c>
      <c r="BJ22" t="s">
        <v>588</v>
      </c>
      <c r="BK22" t="s">
        <v>1105</v>
      </c>
      <c r="BL22" t="s">
        <v>1106</v>
      </c>
      <c r="BM22" t="s">
        <v>576</v>
      </c>
      <c r="BN22">
        <v>12.44</v>
      </c>
      <c r="BO22">
        <v>15.54</v>
      </c>
      <c r="BP22">
        <v>15.46</v>
      </c>
      <c r="BQ22">
        <v>17.02</v>
      </c>
      <c r="BR22">
        <v>19.32</v>
      </c>
      <c r="BS22">
        <v>20.89</v>
      </c>
      <c r="BT22" t="s">
        <v>469</v>
      </c>
      <c r="BU22" t="s">
        <v>389</v>
      </c>
      <c r="BV22">
        <v>38.49</v>
      </c>
      <c r="BW22">
        <v>31.04</v>
      </c>
      <c r="BX22">
        <v>29.34</v>
      </c>
      <c r="BY22">
        <v>29.58</v>
      </c>
      <c r="BZ22">
        <v>23.09</v>
      </c>
      <c r="CA22">
        <v>17.91</v>
      </c>
      <c r="CB22">
        <v>-10.48</v>
      </c>
      <c r="CC22">
        <v>-18.66</v>
      </c>
      <c r="CD22" t="s">
        <v>1107</v>
      </c>
      <c r="CE22" t="s">
        <v>123</v>
      </c>
      <c r="CF22" s="10">
        <v>1.7344632768361583</v>
      </c>
      <c r="CG22" s="11">
        <v>2.9517594477722988</v>
      </c>
      <c r="CH22" s="10">
        <v>-0.59063363075256348</v>
      </c>
      <c r="CI22" s="10">
        <v>0.10244996845722198</v>
      </c>
      <c r="CJ22" s="10">
        <v>0.67027390003204346</v>
      </c>
      <c r="CK22" s="10">
        <v>0.2377563863992691</v>
      </c>
      <c r="CL22" s="10">
        <v>0.3987119197845459</v>
      </c>
      <c r="CM22" s="11">
        <v>-0.73428797721862793</v>
      </c>
      <c r="CN22" s="11">
        <v>0.42194563150405884</v>
      </c>
      <c r="CO22" s="11">
        <v>0.33132529258728027</v>
      </c>
      <c r="CP22" s="11">
        <v>-4.32276651263237E-2</v>
      </c>
      <c r="CQ22" s="11">
        <v>0.44583332538604736</v>
      </c>
      <c r="CR22">
        <v>38.101122652446094</v>
      </c>
      <c r="CS22">
        <v>2.3273303379107944</v>
      </c>
      <c r="CT22">
        <v>1.8487705675725641</v>
      </c>
      <c r="CU22" s="10">
        <v>0.1637117087841034</v>
      </c>
      <c r="CV22" s="11">
        <v>8.4317721426486969E-2</v>
      </c>
      <c r="CW22">
        <v>0.06</v>
      </c>
      <c r="CX22">
        <v>63.969735834816852</v>
      </c>
      <c r="CY22">
        <v>366678972.3904627</v>
      </c>
      <c r="CZ22">
        <v>0.1637117087841034</v>
      </c>
      <c r="DA22">
        <v>19.650240430720892</v>
      </c>
      <c r="DB22">
        <v>1193693129.7455618</v>
      </c>
      <c r="DC22">
        <v>0.15552612334489824</v>
      </c>
      <c r="DD22">
        <v>8.8852924058473963</v>
      </c>
      <c r="DE22">
        <v>2639908280.8533583</v>
      </c>
      <c r="DF22">
        <v>0.144066303730011</v>
      </c>
      <c r="DG22">
        <v>4.8330275598789347</v>
      </c>
      <c r="DH22">
        <v>4853346418.8620462</v>
      </c>
      <c r="DI22">
        <v>0.13096936702728273</v>
      </c>
      <c r="DJ22">
        <v>1.9878840142270855</v>
      </c>
      <c r="DK22">
        <v>11799660760.952459</v>
      </c>
      <c r="DL22">
        <v>0.11459819614887237</v>
      </c>
      <c r="DM22">
        <v>334000000</v>
      </c>
      <c r="DN22">
        <v>0.1637117087841034</v>
      </c>
      <c r="DO22">
        <v>23456357000</v>
      </c>
      <c r="DP22">
        <v>5675207000</v>
      </c>
      <c r="DQ22">
        <v>4103</v>
      </c>
      <c r="DR22">
        <v>1.570751568052055</v>
      </c>
      <c r="DS22">
        <v>2.8674417263458118</v>
      </c>
      <c r="DT22" s="12">
        <v>-0.12333333333333336</v>
      </c>
      <c r="DU22">
        <v>4.9999999999999968E-2</v>
      </c>
      <c r="DV22">
        <v>-7.3333333333333389E-2</v>
      </c>
      <c r="DW22">
        <v>-9.5616291532690241</v>
      </c>
      <c r="DX22">
        <v>0.40899769230769395</v>
      </c>
      <c r="DY22">
        <v>-9.117379196965949</v>
      </c>
      <c r="DZ22">
        <v>399</v>
      </c>
      <c r="EA22">
        <v>-9.1082139719973743</v>
      </c>
      <c r="EB22">
        <v>9</v>
      </c>
      <c r="EC22">
        <v>5.3658168767290973E-2</v>
      </c>
      <c r="ED22">
        <v>0.25674048442742564</v>
      </c>
      <c r="EE22" s="13">
        <v>1.0206</v>
      </c>
      <c r="EF22">
        <v>1.0141</v>
      </c>
      <c r="EG22">
        <v>20.208997692307694</v>
      </c>
      <c r="EH22" t="s">
        <v>538</v>
      </c>
      <c r="EI22">
        <v>0</v>
      </c>
      <c r="EJ22">
        <v>1</v>
      </c>
      <c r="EK22" s="15">
        <v>45470</v>
      </c>
      <c r="EL22" s="16">
        <v>1.17</v>
      </c>
      <c r="EM22" s="16">
        <v>-1.1100000000000001</v>
      </c>
      <c r="EN22" s="16">
        <v>-1.36</v>
      </c>
      <c r="EO22" s="16">
        <v>-0.91</v>
      </c>
      <c r="EP22" s="16">
        <v>-0.65</v>
      </c>
    </row>
    <row r="23" spans="1:146" ht="108" x14ac:dyDescent="0.25">
      <c r="C23" s="8" t="str">
        <f>""&amp;CHAR(10)&amp;Basic_Fundamental_Information_Constructure(F23)&amp;CHAR(10)&amp;Basic_Fundamental_Information_Concatenate("")</f>
        <v xml:space="preserve">
市值116.780066亿, 利润4.73亿; PE40.36; 平均PE30.8; 平均PEG.74, PB3.66; ROIC9.33%; ROE11.0067%; 股利率.8615%; 毛利31.52%; 净利14.0933%; 上一年度营收增117.19%, 利润增89.96%; 当季营收增-48.62%, 利润增-41.93%; 过往5年营收增41.86%, 利润增27.38%
Income profile:
</v>
      </c>
      <c r="D23" t="s">
        <v>208</v>
      </c>
      <c r="E23" t="s">
        <v>9</v>
      </c>
      <c r="F23">
        <v>13.93</v>
      </c>
      <c r="G23">
        <v>0.22</v>
      </c>
      <c r="H23" t="s">
        <v>1108</v>
      </c>
      <c r="I23">
        <v>11678006600</v>
      </c>
      <c r="J23">
        <v>40.36</v>
      </c>
      <c r="K23">
        <v>3.66</v>
      </c>
      <c r="L23" t="s">
        <v>389</v>
      </c>
      <c r="M23" t="s">
        <v>620</v>
      </c>
      <c r="N23" t="s">
        <v>1109</v>
      </c>
      <c r="O23" t="s">
        <v>326</v>
      </c>
      <c r="P23">
        <v>0.36</v>
      </c>
      <c r="Q23" t="s">
        <v>621</v>
      </c>
      <c r="R23">
        <v>88267743</v>
      </c>
      <c r="S23" s="6">
        <v>0.1376</v>
      </c>
      <c r="T23" t="s">
        <v>289</v>
      </c>
      <c r="U23">
        <v>838335000</v>
      </c>
      <c r="V23">
        <v>838335000</v>
      </c>
      <c r="W23">
        <v>1.77</v>
      </c>
      <c r="X23">
        <v>0.11</v>
      </c>
      <c r="Y23">
        <v>13.96</v>
      </c>
      <c r="Z23" t="s">
        <v>254</v>
      </c>
      <c r="AA23" t="s">
        <v>189</v>
      </c>
      <c r="AB23" t="s">
        <v>1110</v>
      </c>
      <c r="AC23" t="s">
        <v>1111</v>
      </c>
      <c r="AD23" t="s">
        <v>5</v>
      </c>
      <c r="AE23">
        <v>9412852</v>
      </c>
      <c r="AF23" t="s">
        <v>1112</v>
      </c>
      <c r="AG23" t="s">
        <v>1113</v>
      </c>
      <c r="AH23" t="s">
        <v>1114</v>
      </c>
      <c r="AI23" t="s">
        <v>591</v>
      </c>
      <c r="AJ23" t="s">
        <v>1115</v>
      </c>
      <c r="AK23" t="s">
        <v>151</v>
      </c>
      <c r="AL23" t="s">
        <v>1116</v>
      </c>
      <c r="AM23" t="s">
        <v>5</v>
      </c>
      <c r="AN23" t="s">
        <v>109</v>
      </c>
      <c r="AO23" t="s">
        <v>278</v>
      </c>
      <c r="AP23" t="s">
        <v>196</v>
      </c>
      <c r="AQ23" t="s">
        <v>45</v>
      </c>
      <c r="AR23" t="s">
        <v>5</v>
      </c>
      <c r="AS23" t="s">
        <v>1117</v>
      </c>
      <c r="AT23" t="s">
        <v>5</v>
      </c>
      <c r="AU23" t="s">
        <v>1118</v>
      </c>
      <c r="AV23" t="s">
        <v>614</v>
      </c>
      <c r="AW23" t="s">
        <v>1119</v>
      </c>
      <c r="AX23" t="s">
        <v>589</v>
      </c>
      <c r="AY23" t="s">
        <v>346</v>
      </c>
      <c r="AZ23" t="s">
        <v>288</v>
      </c>
      <c r="BA23" t="s">
        <v>209</v>
      </c>
      <c r="BB23" t="s">
        <v>237</v>
      </c>
      <c r="BC23" t="s">
        <v>182</v>
      </c>
      <c r="BD23" t="s">
        <v>119</v>
      </c>
      <c r="BE23" t="s">
        <v>269</v>
      </c>
      <c r="BF23" t="s">
        <v>34</v>
      </c>
      <c r="BG23" t="s">
        <v>134</v>
      </c>
      <c r="BH23" t="s">
        <v>427</v>
      </c>
      <c r="BI23" t="s">
        <v>437</v>
      </c>
      <c r="BJ23" t="s">
        <v>589</v>
      </c>
      <c r="BK23" t="s">
        <v>36</v>
      </c>
      <c r="BL23" t="s">
        <v>121</v>
      </c>
      <c r="BM23" t="s">
        <v>182</v>
      </c>
      <c r="BN23">
        <v>5.09</v>
      </c>
      <c r="BO23">
        <v>7.11</v>
      </c>
      <c r="BP23">
        <v>15.79</v>
      </c>
      <c r="BQ23">
        <v>6.55</v>
      </c>
      <c r="BR23">
        <v>8.6</v>
      </c>
      <c r="BS23">
        <v>17.87</v>
      </c>
      <c r="BT23" t="s">
        <v>468</v>
      </c>
      <c r="BU23" t="s">
        <v>389</v>
      </c>
      <c r="BV23">
        <v>31.93</v>
      </c>
      <c r="BW23">
        <v>28.87</v>
      </c>
      <c r="BX23">
        <v>33.76</v>
      </c>
      <c r="BY23">
        <v>12.47</v>
      </c>
      <c r="BZ23">
        <v>12.31</v>
      </c>
      <c r="CA23">
        <v>17.5</v>
      </c>
      <c r="CB23">
        <v>-0.71</v>
      </c>
      <c r="CC23">
        <v>-15.27</v>
      </c>
      <c r="CD23" t="s">
        <v>1120</v>
      </c>
      <c r="CE23" t="s">
        <v>1121</v>
      </c>
      <c r="CF23" s="10">
        <v>-0.48617886178861791</v>
      </c>
      <c r="CG23" s="11">
        <v>-0.4192911644736842</v>
      </c>
      <c r="CH23" s="10">
        <v>1.1718519926071167</v>
      </c>
      <c r="CI23" s="10">
        <v>-0.24552908539772034</v>
      </c>
      <c r="CJ23" s="10">
        <v>0.18971630930900574</v>
      </c>
      <c r="CK23" s="10">
        <v>0.56449377536773682</v>
      </c>
      <c r="CL23" s="10">
        <v>0.41234084963798523</v>
      </c>
      <c r="CM23" s="11">
        <v>0.89959841966629028</v>
      </c>
      <c r="CN23" s="11">
        <v>-0.47021275758743286</v>
      </c>
      <c r="CO23" s="11">
        <v>-8.9147284626960754E-2</v>
      </c>
      <c r="CP23" s="11">
        <v>0.50877195596694946</v>
      </c>
      <c r="CQ23" s="11">
        <v>0.51999998092651367</v>
      </c>
      <c r="CR23">
        <v>30.799138285714285</v>
      </c>
      <c r="CS23">
        <v>0.7358097195023704</v>
      </c>
      <c r="CT23">
        <v>0.8614501076812634</v>
      </c>
      <c r="CU23" s="10">
        <v>0.41857476830482482</v>
      </c>
      <c r="CV23" s="11">
        <v>0.27380206286907194</v>
      </c>
      <c r="CW23">
        <v>0.06</v>
      </c>
      <c r="CX23">
        <v>17.19101338890788</v>
      </c>
      <c r="CY23">
        <v>633005533.40394545</v>
      </c>
      <c r="CZ23">
        <v>0.41857476830482482</v>
      </c>
      <c r="DA23">
        <v>4.3007525439496721</v>
      </c>
      <c r="DB23">
        <v>2530256388.5729442</v>
      </c>
      <c r="DC23">
        <v>0.39764602988958359</v>
      </c>
      <c r="DD23">
        <v>1.4291927841984675</v>
      </c>
      <c r="DE23">
        <v>7614092878.3816538</v>
      </c>
      <c r="DF23">
        <v>0.36834579610824586</v>
      </c>
      <c r="DG23">
        <v>0.52461295547982079</v>
      </c>
      <c r="DH23">
        <v>20742923876.226261</v>
      </c>
      <c r="DI23">
        <v>0.33485981464385989</v>
      </c>
      <c r="DJ23">
        <v>7.9429506416853396E-2</v>
      </c>
      <c r="DK23">
        <v>137002067504.86681</v>
      </c>
      <c r="DL23">
        <v>0.29300233781337737</v>
      </c>
      <c r="DM23">
        <v>473000000.00000006</v>
      </c>
      <c r="DN23">
        <v>0.41857476830482482</v>
      </c>
      <c r="DO23">
        <v>10882006600</v>
      </c>
      <c r="DP23">
        <v>1531008000</v>
      </c>
      <c r="DQ23">
        <v>4228</v>
      </c>
      <c r="DR23">
        <v>-0.90475363009344267</v>
      </c>
      <c r="DS23">
        <v>-0.69309322734275614</v>
      </c>
      <c r="DT23" s="12">
        <v>9.3333333333333268E-2</v>
      </c>
      <c r="DU23">
        <v>0.17999999999999997</v>
      </c>
      <c r="DV23">
        <v>0.27333333333333321</v>
      </c>
      <c r="DW23">
        <v>-2.1526999999999998</v>
      </c>
      <c r="DX23">
        <v>0.43831116009478821</v>
      </c>
      <c r="DY23">
        <v>-2.0257011141464738</v>
      </c>
      <c r="DZ23">
        <v>2376</v>
      </c>
      <c r="EA23">
        <v>-2.0137508505041994</v>
      </c>
      <c r="EB23">
        <v>2</v>
      </c>
      <c r="EC23">
        <v>1.1530951230713259E-2</v>
      </c>
      <c r="ED23">
        <v>6.8509724632754204E-2</v>
      </c>
      <c r="EE23" s="13">
        <v>-1.0682</v>
      </c>
      <c r="EF23">
        <v>-1.0496000000000001</v>
      </c>
      <c r="EG23">
        <v>27.168311160094788</v>
      </c>
      <c r="EH23" t="s">
        <v>537</v>
      </c>
      <c r="EI23">
        <v>0</v>
      </c>
      <c r="EJ23">
        <v>0</v>
      </c>
      <c r="EK23" s="15">
        <v>45470</v>
      </c>
      <c r="EL23" s="16">
        <v>0.24</v>
      </c>
      <c r="EM23" s="16">
        <v>-3.01</v>
      </c>
      <c r="EN23" s="16">
        <v>1.59</v>
      </c>
      <c r="EO23" s="16">
        <v>2.06</v>
      </c>
      <c r="EP23" s="16">
        <v>-1.86</v>
      </c>
    </row>
    <row r="24" spans="1:146" ht="96" x14ac:dyDescent="0.25">
      <c r="C24" s="8" t="str">
        <f>""&amp;CHAR(10)&amp;Basic_Fundamental_Information_Constructure(F24)&amp;CHAR(10)&amp;Basic_Fundamental_Information_Concatenate("")</f>
        <v xml:space="preserve">
市值51.897384亿, 利润1284.37万; PE20.75; 平均PE37.97; 平均PEG2.1, PB2.19; ROIC8.6433%; ROE8.8967%; 股利率1.1466%; 毛利45.8233%; 净利21.4633%; 上一年度营收增-7.38%, 利润增-91.71%; 当季营收增154.74%, 利润增2803.32%; 过往5年营收增18.1%, 利润增-3.41%
Income profile:
</v>
      </c>
      <c r="D24" t="s">
        <v>296</v>
      </c>
      <c r="E24" t="s">
        <v>629</v>
      </c>
      <c r="F24">
        <v>24.42</v>
      </c>
      <c r="G24">
        <v>-0.73</v>
      </c>
      <c r="H24" t="s">
        <v>1122</v>
      </c>
      <c r="I24">
        <v>5189738400</v>
      </c>
      <c r="J24">
        <v>20.75</v>
      </c>
      <c r="K24">
        <v>2.19</v>
      </c>
      <c r="L24" t="s">
        <v>389</v>
      </c>
      <c r="M24" t="s">
        <v>436</v>
      </c>
      <c r="N24" t="s">
        <v>1123</v>
      </c>
      <c r="O24" t="s">
        <v>174</v>
      </c>
      <c r="P24">
        <v>37.24</v>
      </c>
      <c r="Q24" t="s">
        <v>595</v>
      </c>
      <c r="R24">
        <v>58382931</v>
      </c>
      <c r="S24" s="6">
        <v>2.859</v>
      </c>
      <c r="T24" t="s">
        <v>1124</v>
      </c>
      <c r="U24">
        <v>212520000</v>
      </c>
      <c r="V24">
        <v>212520000</v>
      </c>
      <c r="W24">
        <v>1.2</v>
      </c>
      <c r="X24">
        <v>0.09</v>
      </c>
      <c r="Y24">
        <v>24.27</v>
      </c>
      <c r="Z24" t="s">
        <v>145</v>
      </c>
      <c r="AA24" t="s">
        <v>112</v>
      </c>
      <c r="AB24" t="s">
        <v>1125</v>
      </c>
      <c r="AC24" t="s">
        <v>1126</v>
      </c>
      <c r="AD24" t="s">
        <v>5</v>
      </c>
      <c r="AE24">
        <v>-6698546</v>
      </c>
      <c r="AF24" t="s">
        <v>1127</v>
      </c>
      <c r="AG24" t="s">
        <v>1128</v>
      </c>
      <c r="AH24" t="s">
        <v>1129</v>
      </c>
      <c r="AI24" t="s">
        <v>444</v>
      </c>
      <c r="AJ24" t="s">
        <v>1130</v>
      </c>
      <c r="AK24" t="s">
        <v>1131</v>
      </c>
      <c r="AL24" t="s">
        <v>1132</v>
      </c>
      <c r="AM24" t="s">
        <v>5</v>
      </c>
      <c r="AN24" t="s">
        <v>1133</v>
      </c>
      <c r="AO24" t="s">
        <v>5</v>
      </c>
      <c r="AP24" t="s">
        <v>1134</v>
      </c>
      <c r="AQ24" t="s">
        <v>181</v>
      </c>
      <c r="AR24" t="s">
        <v>5</v>
      </c>
      <c r="AS24" t="s">
        <v>375</v>
      </c>
      <c r="AT24" t="s">
        <v>5</v>
      </c>
      <c r="AU24" t="s">
        <v>1135</v>
      </c>
      <c r="AV24" t="s">
        <v>447</v>
      </c>
      <c r="AW24" t="s">
        <v>1136</v>
      </c>
      <c r="AX24" t="s">
        <v>177</v>
      </c>
      <c r="AY24" t="s">
        <v>147</v>
      </c>
      <c r="AZ24" t="s">
        <v>295</v>
      </c>
      <c r="BA24" t="s">
        <v>201</v>
      </c>
      <c r="BB24" t="s">
        <v>96</v>
      </c>
      <c r="BC24" t="s">
        <v>100</v>
      </c>
      <c r="BD24" t="s">
        <v>106</v>
      </c>
      <c r="BE24" t="s">
        <v>200</v>
      </c>
      <c r="BF24" t="s">
        <v>101</v>
      </c>
      <c r="BG24" t="s">
        <v>297</v>
      </c>
      <c r="BH24" t="s">
        <v>628</v>
      </c>
      <c r="BI24" t="s">
        <v>1137</v>
      </c>
      <c r="BJ24" t="s">
        <v>177</v>
      </c>
      <c r="BK24" t="s">
        <v>41</v>
      </c>
      <c r="BL24" t="s">
        <v>1138</v>
      </c>
      <c r="BM24" t="s">
        <v>100</v>
      </c>
      <c r="BN24">
        <v>4.1500000000000004</v>
      </c>
      <c r="BO24">
        <v>6.69</v>
      </c>
      <c r="BP24">
        <v>15.09</v>
      </c>
      <c r="BQ24">
        <v>5.36</v>
      </c>
      <c r="BR24">
        <v>7.37</v>
      </c>
      <c r="BS24">
        <v>13.96</v>
      </c>
      <c r="BT24" t="s">
        <v>1139</v>
      </c>
      <c r="BU24" t="s">
        <v>389</v>
      </c>
      <c r="BV24">
        <v>46.13</v>
      </c>
      <c r="BW24">
        <v>43.67</v>
      </c>
      <c r="BX24">
        <v>47.67</v>
      </c>
      <c r="BY24">
        <v>18.73</v>
      </c>
      <c r="BZ24">
        <v>19.41</v>
      </c>
      <c r="CA24">
        <v>26.25</v>
      </c>
      <c r="CB24">
        <v>-5.31</v>
      </c>
      <c r="CC24">
        <v>-18.850000000000001</v>
      </c>
      <c r="CD24" t="s">
        <v>1140</v>
      </c>
      <c r="CE24" t="s">
        <v>1141</v>
      </c>
      <c r="CF24" s="10">
        <v>1.5474340679668093</v>
      </c>
      <c r="CG24" s="11">
        <v>28.033234372668954</v>
      </c>
      <c r="CH24" s="10">
        <v>-7.3842301964759827E-2</v>
      </c>
      <c r="CI24" s="10">
        <v>-9.5130234956741333E-2</v>
      </c>
      <c r="CJ24" s="10">
        <v>0.29662260413169861</v>
      </c>
      <c r="CK24" s="10">
        <v>0.26345083117485046</v>
      </c>
      <c r="CL24" s="10">
        <v>0.51404494047164917</v>
      </c>
      <c r="CM24" s="11">
        <v>-0.91713744401931763</v>
      </c>
      <c r="CN24" s="11">
        <v>-0.33189654350280762</v>
      </c>
      <c r="CO24" s="11">
        <v>0.25405403971672058</v>
      </c>
      <c r="CP24" s="11">
        <v>0.30281689763069153</v>
      </c>
      <c r="CQ24" s="11">
        <v>0.52153182029724121</v>
      </c>
      <c r="CR24">
        <v>37.965792243005026</v>
      </c>
      <c r="CS24">
        <v>2.0972196199321962</v>
      </c>
      <c r="CT24">
        <v>1.1466011466011465</v>
      </c>
      <c r="CU24" s="10">
        <v>0.18102916777133943</v>
      </c>
      <c r="CV24" s="11">
        <v>-3.4126245975494386E-2</v>
      </c>
      <c r="CW24">
        <v>0.06</v>
      </c>
      <c r="CX24">
        <v>233.03269589303019</v>
      </c>
      <c r="CY24">
        <v>14310173.888778064</v>
      </c>
      <c r="CZ24">
        <v>0.18102916777133943</v>
      </c>
      <c r="DA24">
        <v>70.560991038877262</v>
      </c>
      <c r="DB24">
        <v>47260367.958304986</v>
      </c>
      <c r="DC24">
        <v>0.17197770938277246</v>
      </c>
      <c r="DD24">
        <v>31.263049852993277</v>
      </c>
      <c r="DE24">
        <v>106667085.12703587</v>
      </c>
      <c r="DF24">
        <v>0.15930566763877871</v>
      </c>
      <c r="DG24">
        <v>16.593128124399691</v>
      </c>
      <c r="DH24">
        <v>200971051.08809283</v>
      </c>
      <c r="DI24">
        <v>0.14482333421707155</v>
      </c>
      <c r="DJ24">
        <v>6.4329088282544582</v>
      </c>
      <c r="DK24">
        <v>518387325.0858534</v>
      </c>
      <c r="DL24">
        <v>0.12672041743993759</v>
      </c>
      <c r="DM24">
        <v>12843699.999999998</v>
      </c>
      <c r="DN24">
        <v>0.18102916777133943</v>
      </c>
      <c r="DO24">
        <v>3334738400</v>
      </c>
      <c r="DP24">
        <v>2090656700</v>
      </c>
      <c r="DQ24">
        <v>4507</v>
      </c>
      <c r="DR24">
        <v>1.3664049001954699</v>
      </c>
      <c r="DS24">
        <v>28.067360618644447</v>
      </c>
      <c r="DT24" s="12">
        <v>-9.000000000000008E-2</v>
      </c>
      <c r="DU24">
        <v>-0.13333333333333339</v>
      </c>
      <c r="DV24">
        <v>-0.22333333333333347</v>
      </c>
      <c r="DW24">
        <v>-8.2816976127320956</v>
      </c>
      <c r="DX24">
        <v>0.45667676283012554</v>
      </c>
      <c r="DY24">
        <v>-8.0413184939325184</v>
      </c>
      <c r="DZ24">
        <v>3507</v>
      </c>
      <c r="EA24">
        <v>-8.0129615549459547</v>
      </c>
      <c r="EB24">
        <v>8</v>
      </c>
      <c r="EC24">
        <v>5.5235271974402401E-2</v>
      </c>
      <c r="ED24">
        <v>0.37657820440429135</v>
      </c>
      <c r="EE24" s="13">
        <v>-1.0359</v>
      </c>
      <c r="EF24">
        <v>-1.0181</v>
      </c>
      <c r="EG24">
        <v>31.146676762830126</v>
      </c>
      <c r="EH24" t="s">
        <v>537</v>
      </c>
      <c r="EI24">
        <v>0</v>
      </c>
      <c r="EJ24">
        <v>0</v>
      </c>
      <c r="EK24" s="15">
        <v>45470</v>
      </c>
      <c r="EL24" s="16">
        <v>1.02</v>
      </c>
      <c r="EM24" s="16">
        <v>-2.1</v>
      </c>
      <c r="EN24" s="16">
        <v>1.55</v>
      </c>
      <c r="EO24" s="16">
        <v>2.25</v>
      </c>
      <c r="EP24" s="16">
        <v>-1.78</v>
      </c>
    </row>
    <row r="25" spans="1:146" ht="96" x14ac:dyDescent="0.25">
      <c r="C25" s="8" t="str">
        <f>""&amp;CHAR(10)&amp;Basic_Fundamental_Information_Constructure(F25)&amp;CHAR(10)&amp;Basic_Fundamental_Information_Concatenate("")</f>
        <v xml:space="preserve">
市值28.961501亿, 利润5956.30万; PE26.66; 平均PE18.2; 平均PEG3.53, PB1.35; ROIC8.23%; ROE8.27%; 股利率1.99%; 毛利27.26%; 净利16.5367%; 上一年度营收增-28.91%, 利润增-53.1%; 当季营收增69.17%, 利润增165.36%; 过往5年营收增5.15%, 利润增-11.91%
Income profile:
</v>
      </c>
      <c r="D25" t="s">
        <v>348</v>
      </c>
      <c r="E25" t="s">
        <v>349</v>
      </c>
      <c r="F25">
        <v>20.100000000000001</v>
      </c>
      <c r="G25">
        <v>0.85</v>
      </c>
      <c r="H25" t="s">
        <v>1142</v>
      </c>
      <c r="I25">
        <v>2896150100</v>
      </c>
      <c r="J25">
        <v>26.66</v>
      </c>
      <c r="K25">
        <v>1.35</v>
      </c>
      <c r="L25" t="s">
        <v>389</v>
      </c>
      <c r="M25" t="s">
        <v>270</v>
      </c>
      <c r="N25" t="s">
        <v>1143</v>
      </c>
      <c r="O25" t="s">
        <v>134</v>
      </c>
      <c r="P25">
        <v>10.46</v>
      </c>
      <c r="Q25" t="s">
        <v>156</v>
      </c>
      <c r="R25">
        <v>33370170</v>
      </c>
      <c r="S25" s="6">
        <v>0.26190000000000002</v>
      </c>
      <c r="T25" t="s">
        <v>1144</v>
      </c>
      <c r="U25">
        <v>136266760</v>
      </c>
      <c r="V25">
        <v>144087070</v>
      </c>
      <c r="W25">
        <v>1.1000000000000001</v>
      </c>
      <c r="X25">
        <v>0.09</v>
      </c>
      <c r="Y25">
        <v>17.04</v>
      </c>
      <c r="Z25" t="s">
        <v>200</v>
      </c>
      <c r="AA25" t="s">
        <v>38</v>
      </c>
      <c r="AB25" t="s">
        <v>1145</v>
      </c>
      <c r="AC25" t="s">
        <v>1146</v>
      </c>
      <c r="AD25" t="s">
        <v>5</v>
      </c>
      <c r="AE25">
        <v>-2803044</v>
      </c>
      <c r="AF25" t="s">
        <v>1147</v>
      </c>
      <c r="AG25" t="s">
        <v>1148</v>
      </c>
      <c r="AH25" t="s">
        <v>1149</v>
      </c>
      <c r="AI25" t="s">
        <v>1150</v>
      </c>
      <c r="AJ25" t="s">
        <v>1151</v>
      </c>
      <c r="AK25" t="s">
        <v>1152</v>
      </c>
      <c r="AL25" t="s">
        <v>1153</v>
      </c>
      <c r="AM25" t="s">
        <v>5</v>
      </c>
      <c r="AN25" t="s">
        <v>1154</v>
      </c>
      <c r="AO25" t="s">
        <v>1155</v>
      </c>
      <c r="AP25" t="s">
        <v>1156</v>
      </c>
      <c r="AQ25" t="s">
        <v>62</v>
      </c>
      <c r="AR25" t="s">
        <v>1157</v>
      </c>
      <c r="AS25" t="s">
        <v>99</v>
      </c>
      <c r="AT25" t="s">
        <v>5</v>
      </c>
      <c r="AU25" t="s">
        <v>1158</v>
      </c>
      <c r="AV25" t="s">
        <v>1159</v>
      </c>
      <c r="AW25" t="s">
        <v>1160</v>
      </c>
      <c r="AX25" t="s">
        <v>277</v>
      </c>
      <c r="AY25" t="s">
        <v>379</v>
      </c>
      <c r="AZ25" t="s">
        <v>252</v>
      </c>
      <c r="BA25" t="s">
        <v>149</v>
      </c>
      <c r="BB25" t="s">
        <v>195</v>
      </c>
      <c r="BC25" t="s">
        <v>122</v>
      </c>
      <c r="BD25" t="s">
        <v>47</v>
      </c>
      <c r="BE25" t="s">
        <v>135</v>
      </c>
      <c r="BF25" t="s">
        <v>117</v>
      </c>
      <c r="BG25" t="s">
        <v>188</v>
      </c>
      <c r="BH25" t="s">
        <v>1161</v>
      </c>
      <c r="BI25" t="s">
        <v>89</v>
      </c>
      <c r="BJ25" t="s">
        <v>277</v>
      </c>
      <c r="BK25" t="s">
        <v>142</v>
      </c>
      <c r="BL25" t="s">
        <v>1162</v>
      </c>
      <c r="BM25" t="s">
        <v>122</v>
      </c>
      <c r="BN25">
        <v>3.39</v>
      </c>
      <c r="BO25">
        <v>6.34</v>
      </c>
      <c r="BP25">
        <v>14.96</v>
      </c>
      <c r="BQ25">
        <v>4.0599999999999996</v>
      </c>
      <c r="BR25">
        <v>7.02</v>
      </c>
      <c r="BS25">
        <v>13.73</v>
      </c>
      <c r="BT25" t="s">
        <v>466</v>
      </c>
      <c r="BU25" t="s">
        <v>389</v>
      </c>
      <c r="BV25">
        <v>24.18</v>
      </c>
      <c r="BW25">
        <v>24.48</v>
      </c>
      <c r="BX25">
        <v>33.119999999999997</v>
      </c>
      <c r="BY25">
        <v>13.2</v>
      </c>
      <c r="BZ25">
        <v>14.18</v>
      </c>
      <c r="CA25">
        <v>22.23</v>
      </c>
      <c r="CB25">
        <v>-4.24</v>
      </c>
      <c r="CC25">
        <v>-9.91</v>
      </c>
      <c r="CD25" t="s">
        <v>1163</v>
      </c>
      <c r="CE25" t="s">
        <v>1164</v>
      </c>
      <c r="CF25" s="10">
        <v>0.69172932330827064</v>
      </c>
      <c r="CG25" s="11">
        <v>1.6535648398485956</v>
      </c>
      <c r="CH25" s="10">
        <v>-0.2890625</v>
      </c>
      <c r="CI25" s="10">
        <v>-1.2127893976867199E-2</v>
      </c>
      <c r="CJ25" s="10">
        <v>4.6136099845170975E-2</v>
      </c>
      <c r="CK25" s="10">
        <v>0.42131146788597107</v>
      </c>
      <c r="CL25" s="10">
        <v>9.1234348714351654E-2</v>
      </c>
      <c r="CM25" s="11">
        <v>-0.53100001811981201</v>
      </c>
      <c r="CN25" s="11">
        <v>-0.37128713726997375</v>
      </c>
      <c r="CO25" s="11">
        <v>-0.14406779408454895</v>
      </c>
      <c r="CP25" s="11">
        <v>0.38823530077934265</v>
      </c>
      <c r="CQ25" s="11">
        <v>6.25E-2</v>
      </c>
      <c r="CR25">
        <v>18.204037449597354</v>
      </c>
      <c r="CS25">
        <v>3.5348809302674007</v>
      </c>
      <c r="CT25">
        <v>1.9900497512437809</v>
      </c>
      <c r="CU25" s="10">
        <v>5.1498304493725298E-2</v>
      </c>
      <c r="CV25" s="11">
        <v>-0.11912392973899841</v>
      </c>
      <c r="CW25">
        <v>0.06</v>
      </c>
      <c r="CX25">
        <v>17.891937814682027</v>
      </c>
      <c r="CY25">
        <v>59085276.896754488</v>
      </c>
      <c r="CZ25">
        <v>5.1498304493725298E-2</v>
      </c>
      <c r="DA25">
        <v>6.0415316363338638</v>
      </c>
      <c r="DB25">
        <v>174980479.063005</v>
      </c>
      <c r="DC25">
        <v>4.8923389269039032E-2</v>
      </c>
      <c r="DD25">
        <v>3.1051739543558377</v>
      </c>
      <c r="DE25">
        <v>340447947.69615531</v>
      </c>
      <c r="DF25">
        <v>4.5318507954478261E-2</v>
      </c>
      <c r="DG25">
        <v>1.9558429228223573</v>
      </c>
      <c r="DH25">
        <v>540508692.01422954</v>
      </c>
      <c r="DI25">
        <v>4.1198643594980239E-2</v>
      </c>
      <c r="DJ25">
        <v>1.1183677200277273</v>
      </c>
      <c r="DK25">
        <v>945261635.3892889</v>
      </c>
      <c r="DL25">
        <v>3.6048813145607705E-2</v>
      </c>
      <c r="DM25">
        <v>59563000</v>
      </c>
      <c r="DN25">
        <v>5.1498304493725298E-2</v>
      </c>
      <c r="DO25">
        <v>1057150100</v>
      </c>
      <c r="DP25">
        <v>1267860600</v>
      </c>
      <c r="DQ25">
        <v>4524</v>
      </c>
      <c r="DR25">
        <v>0.64023101881454536</v>
      </c>
      <c r="DS25">
        <v>1.7726887695875939</v>
      </c>
      <c r="DT25" s="12">
        <v>-0.49</v>
      </c>
      <c r="DU25">
        <v>-0.20000000000000004</v>
      </c>
      <c r="DV25">
        <v>-0.69000000000000006</v>
      </c>
      <c r="DW25">
        <v>-8.4278506559031285</v>
      </c>
      <c r="DX25">
        <v>0.35431419457735114</v>
      </c>
      <c r="DY25">
        <v>-8.0617449228060512</v>
      </c>
      <c r="DZ25">
        <v>3401</v>
      </c>
      <c r="EA25">
        <v>-8.0206501121478553</v>
      </c>
      <c r="EB25">
        <v>8</v>
      </c>
      <c r="EC25">
        <v>2.5119533626438515E-2</v>
      </c>
      <c r="ED25">
        <v>0.17406141994559263</v>
      </c>
      <c r="EE25" s="13">
        <v>-4.0081100000000003</v>
      </c>
      <c r="EF25">
        <v>-4.0308099999999998</v>
      </c>
      <c r="EG25">
        <v>21.144314194577351</v>
      </c>
      <c r="EH25" t="s">
        <v>605</v>
      </c>
      <c r="EI25">
        <v>0</v>
      </c>
      <c r="EJ25">
        <v>0</v>
      </c>
      <c r="EK25" s="15">
        <v>45470</v>
      </c>
      <c r="EL25" s="16">
        <v>1.47</v>
      </c>
      <c r="EM25" s="16">
        <v>-5.67</v>
      </c>
      <c r="EN25" s="16">
        <v>-1.1399999999999999</v>
      </c>
      <c r="EO25" s="16">
        <v>6.23</v>
      </c>
      <c r="EP25" s="16">
        <v>-2.27</v>
      </c>
    </row>
    <row r="26" spans="1:146" ht="180" x14ac:dyDescent="0.25">
      <c r="A26" s="9" t="s">
        <v>323</v>
      </c>
      <c r="B26" s="9"/>
      <c r="C26" s="8" t="str">
        <f>""&amp;CHAR(10)&amp;Basic_Fundamental_Information_Constructure(F26)&amp;CHAR(10)&amp;Basic_Fundamental_Information_Concatenate("掘进机装备业务 32.22亿 42.34%（毛利36.87%）
轨道交通设备业务 22.99亿 30.20%（毛利34.31%）
特种专业装备业务 15.88亿 20.87%（毛利22.92%）
租赁业务 4.55亿 5.98%（毛利52.31%）
其他业务 4663.56万 0.61%（毛利82.49%）")</f>
        <v xml:space="preserve">
市值193.60594亿, 利润-8440.95万; PE12.52; 平均PE14.17; 平均PEG1, PB1.15; ROIC10.73%; ROE11.9133%; 股利率2.4793%; 毛利32.6033%; 净利17.4633%; 上一年度营收增-98.31%, 利润增-104.58%; 当季营收增3012.69%, 利润增9143.21%; 过往5年营收增-14.16%, 利润增-17.99%
Income profile:
掘进机装备业务 32.22亿 42.34%（毛利36.87%）
轨道交通设备业务 22.99亿 30.20%（毛利34.31%）
特种专业装备业务 15.88亿 20.87%（毛利22.92%）
租赁业务 4.55亿 5.98%（毛利52.31%）
其他业务 4663.56万 0.61%（毛利82.49%）</v>
      </c>
      <c r="D26" t="s">
        <v>315</v>
      </c>
      <c r="E26" t="s">
        <v>316</v>
      </c>
      <c r="F26">
        <v>3.63</v>
      </c>
      <c r="G26">
        <v>0.28000000000000003</v>
      </c>
      <c r="H26" t="s">
        <v>1165</v>
      </c>
      <c r="I26">
        <v>19360594000</v>
      </c>
      <c r="J26">
        <v>12.52</v>
      </c>
      <c r="K26">
        <v>1.1499999999999999</v>
      </c>
      <c r="L26" t="s">
        <v>389</v>
      </c>
      <c r="M26" t="s">
        <v>1166</v>
      </c>
      <c r="N26" t="s">
        <v>1167</v>
      </c>
      <c r="O26" t="s">
        <v>1168</v>
      </c>
      <c r="P26">
        <v>1.25</v>
      </c>
      <c r="Q26" t="s">
        <v>146</v>
      </c>
      <c r="R26">
        <v>368748470</v>
      </c>
      <c r="S26" s="6">
        <v>-0.1145</v>
      </c>
      <c r="T26" t="s">
        <v>1169</v>
      </c>
      <c r="U26">
        <v>1477957000</v>
      </c>
      <c r="V26">
        <v>5333497000</v>
      </c>
      <c r="W26">
        <v>1.62</v>
      </c>
      <c r="X26">
        <v>0.09</v>
      </c>
      <c r="Y26">
        <v>15.4</v>
      </c>
      <c r="Z26" t="s">
        <v>1170</v>
      </c>
      <c r="AA26" t="s">
        <v>1171</v>
      </c>
      <c r="AB26" t="s">
        <v>1172</v>
      </c>
      <c r="AC26" t="s">
        <v>1173</v>
      </c>
      <c r="AD26" t="s">
        <v>5</v>
      </c>
      <c r="AE26">
        <v>18595868</v>
      </c>
      <c r="AF26" t="s">
        <v>1174</v>
      </c>
      <c r="AG26" t="s">
        <v>1175</v>
      </c>
      <c r="AH26" t="s">
        <v>1176</v>
      </c>
      <c r="AI26" t="s">
        <v>1177</v>
      </c>
      <c r="AJ26" t="s">
        <v>1178</v>
      </c>
      <c r="AK26" t="s">
        <v>120</v>
      </c>
      <c r="AL26" t="s">
        <v>1179</v>
      </c>
      <c r="AM26" t="s">
        <v>5</v>
      </c>
      <c r="AN26" t="s">
        <v>168</v>
      </c>
      <c r="AO26" t="s">
        <v>300</v>
      </c>
      <c r="AP26" t="s">
        <v>1180</v>
      </c>
      <c r="AQ26" t="s">
        <v>1181</v>
      </c>
      <c r="AR26" t="s">
        <v>5</v>
      </c>
      <c r="AS26" t="s">
        <v>1182</v>
      </c>
      <c r="AT26" t="s">
        <v>612</v>
      </c>
      <c r="AU26" t="s">
        <v>192</v>
      </c>
      <c r="AV26" t="s">
        <v>1183</v>
      </c>
      <c r="AW26" t="s">
        <v>1184</v>
      </c>
      <c r="AX26" t="s">
        <v>596</v>
      </c>
      <c r="AY26" t="s">
        <v>387</v>
      </c>
      <c r="AZ26" t="s">
        <v>317</v>
      </c>
      <c r="BA26" t="s">
        <v>319</v>
      </c>
      <c r="BB26" t="s">
        <v>320</v>
      </c>
      <c r="BC26" t="s">
        <v>594</v>
      </c>
      <c r="BD26" t="s">
        <v>388</v>
      </c>
      <c r="BE26" t="s">
        <v>318</v>
      </c>
      <c r="BF26" t="s">
        <v>321</v>
      </c>
      <c r="BG26" t="s">
        <v>275</v>
      </c>
      <c r="BH26" t="s">
        <v>1185</v>
      </c>
      <c r="BI26" t="s">
        <v>1186</v>
      </c>
      <c r="BJ26" t="s">
        <v>596</v>
      </c>
      <c r="BK26" t="s">
        <v>1187</v>
      </c>
      <c r="BL26" t="s">
        <v>1188</v>
      </c>
      <c r="BM26" t="s">
        <v>594</v>
      </c>
      <c r="BN26">
        <v>7.01</v>
      </c>
      <c r="BO26">
        <v>11.52</v>
      </c>
      <c r="BP26">
        <v>13.66</v>
      </c>
      <c r="BQ26">
        <v>7.73</v>
      </c>
      <c r="BR26">
        <v>12.48</v>
      </c>
      <c r="BS26">
        <v>15.53</v>
      </c>
      <c r="BT26" t="s">
        <v>1189</v>
      </c>
      <c r="BU26" t="s">
        <v>389</v>
      </c>
      <c r="BV26">
        <v>31.36</v>
      </c>
      <c r="BW26">
        <v>34.07</v>
      </c>
      <c r="BX26">
        <v>32.380000000000003</v>
      </c>
      <c r="BY26">
        <v>15.89</v>
      </c>
      <c r="BZ26">
        <v>18.260000000000002</v>
      </c>
      <c r="CA26">
        <v>18.239999999999998</v>
      </c>
      <c r="CB26">
        <v>-1.36</v>
      </c>
      <c r="CC26">
        <v>-8.1</v>
      </c>
      <c r="CD26" t="s">
        <v>1190</v>
      </c>
      <c r="CE26" t="s">
        <v>136</v>
      </c>
      <c r="CF26" s="10">
        <v>30.126897668536881</v>
      </c>
      <c r="CG26" s="11">
        <v>91.432062465533662</v>
      </c>
      <c r="CH26" s="10">
        <v>-0.98307269811630249</v>
      </c>
      <c r="CI26" s="10">
        <v>6.1468943953514099E-2</v>
      </c>
      <c r="CJ26" s="10">
        <v>0.2504270076751709</v>
      </c>
      <c r="CK26" s="10">
        <v>4.5179888606071472E-2</v>
      </c>
      <c r="CL26" s="10">
        <v>-8.1830784678459167E-2</v>
      </c>
      <c r="CM26" s="11">
        <v>-1.0457751750946045</v>
      </c>
      <c r="CN26" s="11">
        <v>6.2824167311191559E-2</v>
      </c>
      <c r="CO26" s="11">
        <v>0.10721122473478317</v>
      </c>
      <c r="CP26" s="11">
        <v>2.4183047935366631E-2</v>
      </c>
      <c r="CQ26" s="11">
        <v>-4.791540652513504E-2</v>
      </c>
      <c r="CR26">
        <v>14.168723758065488</v>
      </c>
      <c r="CS26">
        <v>1.0008597366176153</v>
      </c>
      <c r="CT26">
        <v>2.4793388429752068</v>
      </c>
      <c r="CU26" s="10">
        <v>-0.14156552851200105</v>
      </c>
      <c r="CV26" s="11">
        <v>-0.17989442832767963</v>
      </c>
      <c r="CW26">
        <v>0.06</v>
      </c>
      <c r="CX26" t="e">
        <v>#VALUE!</v>
      </c>
      <c r="CY26" t="s">
        <v>405</v>
      </c>
      <c r="CZ26">
        <v>-0.14156552851200105</v>
      </c>
      <c r="DA26" t="e">
        <v>#VALUE!</v>
      </c>
      <c r="DB26" t="s">
        <v>405</v>
      </c>
      <c r="DC26">
        <v>-0.134487252086401</v>
      </c>
      <c r="DD26" t="e">
        <v>#VALUE!</v>
      </c>
      <c r="DE26" t="s">
        <v>405</v>
      </c>
      <c r="DF26">
        <v>-0.12457766509056092</v>
      </c>
      <c r="DG26" t="e">
        <v>#VALUE!</v>
      </c>
      <c r="DH26" t="s">
        <v>405</v>
      </c>
      <c r="DI26">
        <v>-0.11325242280960085</v>
      </c>
      <c r="DJ26" t="e">
        <v>#VALUE!</v>
      </c>
      <c r="DK26" t="s">
        <v>405</v>
      </c>
      <c r="DL26">
        <v>-9.9095869958400723E-2</v>
      </c>
      <c r="DM26">
        <v>-84409500</v>
      </c>
      <c r="DN26">
        <v>-0.14156552851200105</v>
      </c>
      <c r="DO26">
        <v>11323594000.000002</v>
      </c>
      <c r="DP26">
        <v>8194535000</v>
      </c>
      <c r="DQ26">
        <v>4897</v>
      </c>
      <c r="DR26">
        <v>30.268463197048881</v>
      </c>
      <c r="DS26">
        <v>91.611956893861347</v>
      </c>
      <c r="DT26" s="12">
        <v>-0.64</v>
      </c>
      <c r="DU26">
        <v>-0.97000000000000008</v>
      </c>
      <c r="DV26">
        <v>-1.61</v>
      </c>
      <c r="DW26">
        <v>-2.081</v>
      </c>
      <c r="DX26">
        <v>0.37693762781186124</v>
      </c>
      <c r="DY26">
        <v>-2.0094719478527607</v>
      </c>
      <c r="DZ26">
        <v>3354</v>
      </c>
      <c r="EA26">
        <v>-2.0032549394186785</v>
      </c>
      <c r="EB26">
        <v>2</v>
      </c>
      <c r="EC26">
        <v>1.0721389737352436E-2</v>
      </c>
      <c r="ED26">
        <v>9.1684686426185283E-2</v>
      </c>
      <c r="EE26" s="13">
        <v>-2.0078100000000001</v>
      </c>
      <c r="EF26">
        <v>-2.0073099999999999</v>
      </c>
      <c r="EG26">
        <v>26.116937627811861</v>
      </c>
      <c r="EH26" t="s">
        <v>597</v>
      </c>
      <c r="EI26">
        <v>0</v>
      </c>
      <c r="EJ26">
        <v>0</v>
      </c>
      <c r="EK26" s="15">
        <v>45470</v>
      </c>
      <c r="EL26" s="16">
        <v>-1.66</v>
      </c>
      <c r="EM26" s="16">
        <v>-4.54</v>
      </c>
      <c r="EN26">
        <v>-0.22</v>
      </c>
      <c r="EO26">
        <v>3.32</v>
      </c>
      <c r="EP26">
        <v>0.05</v>
      </c>
    </row>
    <row r="27" spans="1:146" x14ac:dyDescent="0.25">
      <c r="S27" s="6"/>
    </row>
    <row r="28" spans="1:146" x14ac:dyDescent="0.25">
      <c r="S28" s="7"/>
    </row>
    <row r="29" spans="1:146" x14ac:dyDescent="0.25">
      <c r="S29" s="6"/>
    </row>
    <row r="30" spans="1:146" x14ac:dyDescent="0.25">
      <c r="S30" s="6"/>
    </row>
    <row r="31" spans="1:146" x14ac:dyDescent="0.25">
      <c r="S31" s="6"/>
    </row>
    <row r="32" spans="1:146" x14ac:dyDescent="0.25">
      <c r="S32" s="6"/>
    </row>
    <row r="33" spans="19:19" x14ac:dyDescent="0.25">
      <c r="S33" s="6"/>
    </row>
    <row r="34" spans="19:19" x14ac:dyDescent="0.25">
      <c r="S34" s="6"/>
    </row>
  </sheetData>
  <autoFilter ref="BU1:BU34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'Basic_Fundamental_Tabel_Update_Buttom &quot;工程机械&quot;,&quot;&quot;'" altText="更新基本面按钮_x000a_">
                <anchor moveWithCells="1" sizeWithCells="1">
                  <from>
                    <xdr:col>147</xdr:col>
                    <xdr:colOff>406400</xdr:colOff>
                    <xdr:row>0</xdr:row>
                    <xdr:rowOff>120650</xdr:rowOff>
                  </from>
                  <to>
                    <xdr:col>147</xdr:col>
                    <xdr:colOff>1524000</xdr:colOff>
                    <xdr:row>0</xdr:row>
                    <xdr:rowOff>431800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6"/>
  <sheetViews>
    <sheetView workbookViewId="0">
      <selection activeCell="A3" sqref="A3"/>
    </sheetView>
  </sheetViews>
  <sheetFormatPr defaultRowHeight="14" x14ac:dyDescent="0.25"/>
  <sheetData>
    <row r="1" spans="1:30" x14ac:dyDescent="0.25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 x14ac:dyDescent="0.25">
      <c r="A2">
        <v>0.15</v>
      </c>
      <c r="B2" t="s">
        <v>2</v>
      </c>
    </row>
    <row r="3" spans="1:30" s="2" customFormat="1" x14ac:dyDescent="0.25">
      <c r="A3" s="2">
        <v>1</v>
      </c>
      <c r="B3" s="2">
        <v>2</v>
      </c>
      <c r="C3" s="2">
        <v>3</v>
      </c>
      <c r="D3" s="2">
        <v>4</v>
      </c>
      <c r="E3" s="2">
        <v>5</v>
      </c>
      <c r="F3" s="2">
        <v>6</v>
      </c>
      <c r="G3" s="2">
        <v>7</v>
      </c>
      <c r="H3" s="2">
        <v>8</v>
      </c>
      <c r="I3" s="2">
        <v>9</v>
      </c>
      <c r="J3" s="2">
        <v>10</v>
      </c>
      <c r="K3" s="2">
        <v>11</v>
      </c>
      <c r="L3" s="2">
        <v>12</v>
      </c>
      <c r="M3" s="2">
        <v>13</v>
      </c>
      <c r="N3" s="2">
        <v>14</v>
      </c>
      <c r="O3" s="2">
        <v>15</v>
      </c>
      <c r="P3" s="2">
        <v>16</v>
      </c>
      <c r="Q3" s="2">
        <v>17</v>
      </c>
      <c r="R3" s="2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2">
        <v>28</v>
      </c>
      <c r="AC3" s="2">
        <v>29</v>
      </c>
      <c r="AD3" s="2">
        <v>30</v>
      </c>
    </row>
    <row r="4" spans="1:30" x14ac:dyDescent="0.25">
      <c r="A4">
        <v>0.5</v>
      </c>
      <c r="B4" t="s">
        <v>0</v>
      </c>
    </row>
    <row r="5" spans="1:30" x14ac:dyDescent="0.25">
      <c r="A5" s="1">
        <v>1</v>
      </c>
      <c r="B5" s="1">
        <f>A5*$A$4+A5</f>
        <v>1.5</v>
      </c>
      <c r="C5" s="1">
        <f t="shared" ref="C5:AD5" si="1">B5*$A$4+B5</f>
        <v>2.25</v>
      </c>
      <c r="D5" s="1">
        <f t="shared" si="1"/>
        <v>3.375</v>
      </c>
      <c r="E5" s="1">
        <f t="shared" si="1"/>
        <v>5.0625</v>
      </c>
      <c r="F5" s="1">
        <f t="shared" si="1"/>
        <v>7.59375</v>
      </c>
      <c r="G5" s="1">
        <f t="shared" si="1"/>
        <v>11.390625</v>
      </c>
      <c r="H5" s="1">
        <f t="shared" si="1"/>
        <v>17.0859375</v>
      </c>
      <c r="I5" s="1">
        <f t="shared" si="1"/>
        <v>25.62890625</v>
      </c>
      <c r="J5" s="1">
        <f t="shared" si="1"/>
        <v>38.443359375</v>
      </c>
      <c r="K5" s="1">
        <f t="shared" si="1"/>
        <v>57.6650390625</v>
      </c>
      <c r="L5" s="1">
        <f t="shared" si="1"/>
        <v>86.49755859375</v>
      </c>
      <c r="M5" s="1">
        <f t="shared" si="1"/>
        <v>129.746337890625</v>
      </c>
      <c r="N5" s="1">
        <f t="shared" si="1"/>
        <v>194.6195068359375</v>
      </c>
      <c r="O5" s="1">
        <f t="shared" si="1"/>
        <v>291.92926025390625</v>
      </c>
      <c r="P5">
        <f t="shared" si="1"/>
        <v>437.89389038085937</v>
      </c>
      <c r="Q5">
        <f t="shared" si="1"/>
        <v>656.84083557128906</v>
      </c>
      <c r="R5">
        <f t="shared" si="1"/>
        <v>985.26125335693359</v>
      </c>
      <c r="S5" s="1">
        <f t="shared" si="1"/>
        <v>1477.8918800354004</v>
      </c>
      <c r="T5">
        <f t="shared" si="1"/>
        <v>2216.8378200531006</v>
      </c>
      <c r="U5">
        <f t="shared" si="1"/>
        <v>3325.2567300796509</v>
      </c>
      <c r="V5">
        <f t="shared" si="1"/>
        <v>4987.8850951194763</v>
      </c>
      <c r="W5">
        <f t="shared" si="1"/>
        <v>7481.8276426792145</v>
      </c>
      <c r="X5">
        <f t="shared" si="1"/>
        <v>11222.741464018822</v>
      </c>
      <c r="Y5">
        <f t="shared" si="1"/>
        <v>16834.112196028233</v>
      </c>
      <c r="Z5">
        <f t="shared" si="1"/>
        <v>25251.168294042349</v>
      </c>
      <c r="AA5">
        <f t="shared" si="1"/>
        <v>37876.752441063523</v>
      </c>
      <c r="AB5">
        <f t="shared" si="1"/>
        <v>56815.128661595285</v>
      </c>
      <c r="AC5">
        <f t="shared" si="1"/>
        <v>85222.692992392927</v>
      </c>
      <c r="AD5">
        <f t="shared" si="1"/>
        <v>127834.03948858939</v>
      </c>
    </row>
    <row r="6" spans="1:30" x14ac:dyDescent="0.25">
      <c r="A6">
        <v>15</v>
      </c>
      <c r="B6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专用设备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2024-07-10T15:05:48Z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